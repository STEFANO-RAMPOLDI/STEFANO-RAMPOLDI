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40960" windowHeight="25000" tabRatio="500" firstSheet="0" activeTab="7" autoFilterDateGrouping="1"/>
  </bookViews>
  <sheets>
    <sheet name="LAVORAZIONI" sheetId="1" state="visible" r:id="rId1"/>
    <sheet name="EDILI" sheetId="2" state="visible" r:id="rId2"/>
    <sheet name="EDILI SPECIALI" sheetId="3" state="visible" r:id="rId3"/>
    <sheet name="MECCANICHE" sheetId="4" state="visible" r:id="rId4"/>
    <sheet name="MECCANICHE SPECIALI" sheetId="5" state="visible" r:id="rId5"/>
    <sheet name="ELETTRICHE" sheetId="6" state="visible" r:id="rId6"/>
    <sheet name="ELETTRICHE SPECIALI" sheetId="7" state="visible" r:id="rId7"/>
    <sheet name="SICUREZZA" sheetId="8" state="visible" r:id="rId8"/>
    <sheet name="TOTALE" sheetId="9" state="visible" r:id="rId9"/>
    <sheet name="Aprile - Edili" sheetId="10" state="visible" r:id="rId10"/>
    <sheet name="Aprile - Edili Speciali" sheetId="11" state="visible" r:id="rId11"/>
    <sheet name="Aprile - Meccaniche" sheetId="12" state="visible" r:id="rId12"/>
    <sheet name="Aprile - Meccaniche Speciali" sheetId="13" state="visible" r:id="rId13"/>
    <sheet name="Aprile - Elettriche" sheetId="14" state="visible" r:id="rId14"/>
    <sheet name="Aprile - Elettriche Speciali" sheetId="15" state="visible" r:id="rId15"/>
    <sheet name="Maggio - Edili" sheetId="16" state="visible" r:id="rId16"/>
    <sheet name="Maggio - Edili Speciali" sheetId="17" state="visible" r:id="rId17"/>
    <sheet name="Maggio - Meccaniche" sheetId="18" state="visible" r:id="rId18"/>
    <sheet name="Maggio - Meccaniche Speciali" sheetId="19" state="visible" r:id="rId19"/>
    <sheet name="Maggio - Elettriche" sheetId="20" state="visible" r:id="rId20"/>
    <sheet name="Maggio - Elettriche Speciali" sheetId="21" state="visible" r:id="rId21"/>
    <sheet name="CONTROLLO" sheetId="22" state="visible" r:id="rId22"/>
  </sheets>
  <definedNames>
    <definedName name="_xlnm._FilterDatabase" localSheetId="0" hidden="1">'LAVORAZIONI'!$A$2:$AJ$608</definedName>
    <definedName name="_xlnm._FilterDatabase" localSheetId="1" hidden="1">'EDILI'!$B$2:$M$3</definedName>
    <definedName name="_xlnm.Print_Titles" localSheetId="1">'EDILI'!$3:$3</definedName>
    <definedName name="_xlnm.Print_Area" localSheetId="1">'EDILI'!$B$2:$R$126</definedName>
    <definedName name="_xlnm.Print_Titles" localSheetId="3">'MECCANICHE'!$2:$2</definedName>
    <definedName name="_xlnm.Print_Area" localSheetId="3">'MECCANICHE'!$B$1:$P$89</definedName>
    <definedName name="_xlnm.Print_Area" localSheetId="4">'MECCANICHE SPECIALI'!$B$2:$P$146</definedName>
    <definedName name="_xlnm._FilterDatabase" localSheetId="5" hidden="1">'ELETTRICHE'!$B$4:$AD$118</definedName>
    <definedName name="_xlnm.Print_Titles" localSheetId="5">'ELETTRICHE'!$3:$3</definedName>
    <definedName name="_xlnm.Print_Area" localSheetId="5">'ELETTRICHE'!$B$2:$P$118</definedName>
    <definedName name="_xlnm.Print_Titles" localSheetId="6">'ELETTRICHE SPECIALI'!$3:$3</definedName>
    <definedName name="_xlnm.Print_Area" localSheetId="6">'ELETTRICHE SPECIALI'!$B$2:$R$103</definedName>
    <definedName name="_xlnm.Print_Area" localSheetId="7">'SICUREZZA'!$B$2:$L$5</definedName>
    <definedName name="_xlnm.Print_Titles" localSheetId="9">'Aprile - Edili'!$1:$4</definedName>
    <definedName name="_xlnm.Print_Area" localSheetId="9">'Aprile - Edili'!$A$1:$I$126</definedName>
    <definedName name="_xlnm.Print_Titles" localSheetId="10">'Aprile - Edili Speciali'!$1:$4</definedName>
    <definedName name="_xlnm.Print_Area" localSheetId="10">'Aprile - Edili Speciali'!$A$1:$I$52</definedName>
    <definedName name="_xlnm.Print_Titles" localSheetId="11">'Aprile - Meccaniche'!$1:$4</definedName>
    <definedName name="_xlnm.Print_Area" localSheetId="11">'Aprile - Meccaniche'!$A$1:$I$90</definedName>
    <definedName name="_xlnm.Print_Titles" localSheetId="12">'Aprile - Meccaniche Speciali'!$1:$4</definedName>
    <definedName name="_xlnm.Print_Area" localSheetId="12">'Aprile - Meccaniche Speciali'!$A$1:$I$146</definedName>
    <definedName name="_xlnm.Print_Titles" localSheetId="13">'Aprile - Elettriche'!$1:$4</definedName>
    <definedName name="_xlnm.Print_Area" localSheetId="13">'Aprile - Elettriche'!$A$1:$I$118</definedName>
    <definedName name="_xlnm.Print_Titles" localSheetId="14">'Aprile - Elettriche Speciali'!$1:$4</definedName>
    <definedName name="_xlnm.Print_Area" localSheetId="14">'Aprile - Elettriche Speciali'!$A$1:$I$103</definedName>
    <definedName name="_xlnm.Print_Titles" localSheetId="15">'Maggio - Edili'!$1:$4</definedName>
    <definedName name="_xlnm.Print_Area" localSheetId="15">'Maggio - Edili'!$A$1:$I$126</definedName>
    <definedName name="_xlnm.Print_Titles" localSheetId="16">'Maggio - Edili Speciali'!$1:$4</definedName>
    <definedName name="_xlnm.Print_Area" localSheetId="16">'Maggio - Edili Speciali'!$A$1:$I$52</definedName>
    <definedName name="_xlnm.Print_Titles" localSheetId="17">'Maggio - Meccaniche'!$1:$4</definedName>
    <definedName name="_xlnm.Print_Area" localSheetId="17">'Maggio - Meccaniche'!$A$1:$I$90</definedName>
    <definedName name="_xlnm.Print_Titles" localSheetId="18">'Maggio - Meccaniche Speciali'!$1:$4</definedName>
    <definedName name="_xlnm.Print_Area" localSheetId="18">'Maggio - Meccaniche Speciali'!$A$1:$I$146</definedName>
    <definedName name="_xlnm.Print_Titles" localSheetId="19">'Maggio - Elettriche'!$1:$4</definedName>
    <definedName name="_xlnm.Print_Area" localSheetId="19">'Maggio - Elettriche'!$A$1:$I$118</definedName>
    <definedName name="_xlnm.Print_Titles" localSheetId="20">'Maggio - Elettriche Speciali'!$1:$4</definedName>
    <definedName name="_xlnm.Print_Area" localSheetId="20">'Maggio - Elettriche Speciali'!$A$1:$I$103</definedName>
    <definedName name="_xlnm.Print_Area" localSheetId="21">'CONTROLLO'!$A$1:$F$21</definedName>
  </definedNames>
  <calcPr calcId="191029" fullCalcOnLoad="1"/>
</workbook>
</file>

<file path=xl/styles.xml><?xml version="1.0" encoding="utf-8"?>
<styleSheet xmlns="http://schemas.openxmlformats.org/spreadsheetml/2006/main">
  <numFmts count="3">
    <numFmt numFmtId="164" formatCode="#,##0.00&quot; €&quot;"/>
    <numFmt numFmtId="165" formatCode="0.0%"/>
    <numFmt numFmtId="166" formatCode="#,##0.00 €"/>
  </numFmts>
  <fonts count="24">
    <font>
      <name val="Calibri"/>
      <charset val="1"/>
      <family val="2"/>
      <color theme="1"/>
      <sz val="11"/>
    </font>
    <font>
      <name val="Calibri"/>
      <family val="2"/>
      <b val="1"/>
      <color rgb="FF000000"/>
      <sz val="14"/>
    </font>
    <font>
      <name val="Calibri"/>
      <family val="2"/>
      <b val="1"/>
      <color rgb="FF000000"/>
      <sz val="10"/>
    </font>
    <font>
      <name val="Calibri"/>
      <family val="2"/>
      <b val="1"/>
      <color rgb="FF000000"/>
      <sz val="9"/>
    </font>
    <font>
      <name val="Calibri"/>
      <family val="2"/>
      <color rgb="FF000000"/>
      <sz val="9"/>
    </font>
    <font>
      <name val="Calibri"/>
      <family val="2"/>
      <color rgb="FF000000"/>
      <sz val="10"/>
    </font>
    <font>
      <name val="Calibri"/>
      <family val="2"/>
      <b val="1"/>
      <color rgb="FF000000"/>
      <sz val="12"/>
    </font>
    <font>
      <name val="Calibri"/>
      <family val="2"/>
      <b val="1"/>
      <color rgb="FF000000"/>
      <sz val="8"/>
    </font>
    <font>
      <name val="Calibri"/>
      <family val="2"/>
      <b val="1"/>
      <color rgb="FF000000"/>
      <sz val="11"/>
    </font>
    <font>
      <name val="Calibri"/>
      <b val="1"/>
      <color rgb="001F4E78"/>
      <sz val="16"/>
    </font>
    <font>
      <name val="Calibri"/>
      <i val="1"/>
      <color rgb="00404040"/>
      <sz val="10"/>
    </font>
    <font>
      <name val="Calibri"/>
      <b val="1"/>
      <color rgb="00FFFFFF"/>
      <sz val="9"/>
    </font>
    <font>
      <sz val="8"/>
    </font>
    <font>
      <name val="Calibri"/>
      <b val="1"/>
      <sz val="10"/>
    </font>
    <font>
      <b val="1"/>
      <color rgb="00C00000"/>
      <sz val="14"/>
    </font>
    <font>
      <i val="1"/>
      <sz val="10"/>
    </font>
    <font>
      <b val="1"/>
      <color rgb="00FFFFFF"/>
      <sz val="10"/>
    </font>
    <font>
      <sz val="10"/>
    </font>
    <font>
      <b val="1"/>
      <sz val="10"/>
    </font>
    <font>
      <b val="1"/>
      <color rgb="00FFFFFF"/>
      <sz val="9"/>
    </font>
    <font>
      <sz val="9"/>
    </font>
    <font>
      <name val="Calibri"/>
      <b val="1"/>
      <color rgb="001F4E78"/>
      <sz val="15"/>
    </font>
    <font>
      <color rgb="00000000"/>
      <sz val="8"/>
    </font>
    <font>
      <color rgb="00808080"/>
      <sz val="8"/>
    </font>
  </fonts>
  <fills count="14">
    <fill>
      <patternFill/>
    </fill>
    <fill>
      <patternFill patternType="gray125"/>
    </fill>
    <fill>
      <patternFill patternType="solid">
        <fgColor rgb="FFFFFFFF"/>
        <bgColor rgb="FFFFFFCC"/>
      </patternFill>
    </fill>
    <fill>
      <patternFill patternType="solid">
        <fgColor rgb="FFFFC000"/>
        <bgColor rgb="FFFFFFCC"/>
      </patternFill>
    </fill>
    <fill>
      <patternFill patternType="solid">
        <fgColor theme="9" tint="0.3999755851924192"/>
        <bgColor rgb="FFFFFFCC"/>
      </patternFill>
    </fill>
    <fill>
      <patternFill patternType="solid">
        <fgColor theme="4"/>
        <bgColor rgb="FFFFFFCC"/>
      </patternFill>
    </fill>
    <fill>
      <patternFill patternType="solid">
        <fgColor theme="4"/>
        <bgColor indexed="64"/>
      </patternFill>
    </fill>
    <fill>
      <patternFill patternType="solid">
        <fgColor theme="3" tint="0.3999755851924192"/>
        <bgColor rgb="FFFFFFCC"/>
      </patternFill>
    </fill>
    <fill>
      <patternFill patternType="solid">
        <fgColor theme="3" tint="0.3999755851924192"/>
        <bgColor indexed="64"/>
      </patternFill>
    </fill>
    <fill>
      <patternFill patternType="solid">
        <fgColor rgb="FFFFC000"/>
        <bgColor indexed="64"/>
      </patternFill>
    </fill>
    <fill>
      <patternFill patternType="solid">
        <fgColor rgb="001F4E78"/>
      </patternFill>
    </fill>
    <fill>
      <patternFill patternType="solid">
        <fgColor rgb="00DDEBF7"/>
      </patternFill>
    </fill>
    <fill>
      <patternFill patternType="solid">
        <fgColor rgb="00C00000"/>
      </patternFill>
    </fill>
    <fill>
      <patternFill patternType="solid">
        <fgColor rgb="00F2F2F2"/>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9">
    <xf numFmtId="0" fontId="0" fillId="0" borderId="0" pivotButton="0" quotePrefix="0" xfId="0"/>
    <xf numFmtId="0" fontId="3" fillId="2" borderId="1" applyAlignment="1" pivotButton="0" quotePrefix="0" xfId="0">
      <alignment horizontal="center" vertical="center" wrapText="1"/>
    </xf>
    <xf numFmtId="0" fontId="2" fillId="2" borderId="1"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center" vertical="top" wrapText="1"/>
    </xf>
    <xf numFmtId="4" fontId="4" fillId="2" borderId="1" applyAlignment="1" pivotButton="0" quotePrefix="0" xfId="0">
      <alignment horizontal="right" vertical="top" wrapText="1"/>
    </xf>
    <xf numFmtId="164" fontId="4" fillId="2" borderId="1" applyAlignment="1" pivotButton="0" quotePrefix="0" xfId="0">
      <alignment horizontal="right" vertical="top" wrapText="1"/>
    </xf>
    <xf numFmtId="165" fontId="4" fillId="2" borderId="1" applyAlignment="1" pivotButton="0" quotePrefix="0" xfId="0">
      <alignment horizontal="right" vertical="top" wrapText="1"/>
    </xf>
    <xf numFmtId="0" fontId="6" fillId="2" borderId="1" applyAlignment="1" pivotButton="0" quotePrefix="0" xfId="0">
      <alignment horizontal="left" vertical="center" wrapText="1"/>
    </xf>
    <xf numFmtId="164" fontId="5" fillId="2" borderId="1" applyAlignment="1" pivotButton="0" quotePrefix="0" xfId="0">
      <alignment horizontal="right" vertical="top" wrapText="1"/>
    </xf>
    <xf numFmtId="164" fontId="2" fillId="2" borderId="1" applyAlignment="1" pivotButton="0" quotePrefix="0" xfId="0">
      <alignment horizontal="right" vertical="center" wrapText="1"/>
    </xf>
    <xf numFmtId="0" fontId="2" fillId="2" borderId="1" applyAlignment="1" pivotButton="0" quotePrefix="0" xfId="0">
      <alignment horizontal="left" vertical="center" wrapText="1"/>
    </xf>
    <xf numFmtId="0" fontId="7" fillId="2" borderId="1" applyAlignment="1" pivotButton="0" quotePrefix="0" xfId="0">
      <alignment horizontal="center" vertical="center" wrapText="1"/>
    </xf>
    <xf numFmtId="164" fontId="3" fillId="2" borderId="1" applyAlignment="1" pivotButton="0" quotePrefix="0" xfId="0">
      <alignment horizontal="right" vertical="center" wrapText="1"/>
    </xf>
    <xf numFmtId="0" fontId="8" fillId="2" borderId="1" applyAlignment="1" pivotButton="0" quotePrefix="0" xfId="0">
      <alignment horizontal="right" vertical="center" wrapText="1"/>
    </xf>
    <xf numFmtId="0" fontId="8" fillId="2" borderId="1" applyAlignment="1" pivotButton="0" quotePrefix="0" xfId="0">
      <alignment horizontal="left" vertical="center" wrapText="1"/>
    </xf>
    <xf numFmtId="165" fontId="2" fillId="2" borderId="1" applyAlignment="1" pivotButton="0" quotePrefix="0" xfId="0">
      <alignment horizontal="right" vertical="center" wrapText="1"/>
    </xf>
    <xf numFmtId="164" fontId="4" fillId="3" borderId="1" applyAlignment="1" pivotButton="0" quotePrefix="0" xfId="0">
      <alignment horizontal="right" vertical="top" wrapText="1"/>
    </xf>
    <xf numFmtId="4" fontId="4" fillId="3" borderId="1" applyAlignment="1" pivotButton="0" quotePrefix="0" xfId="0">
      <alignment horizontal="right" vertical="top" wrapText="1"/>
    </xf>
    <xf numFmtId="165" fontId="4" fillId="2" borderId="2" applyAlignment="1" pivotButton="0" quotePrefix="0" xfId="0">
      <alignment horizontal="right" vertical="top" wrapText="1"/>
    </xf>
    <xf numFmtId="0" fontId="0" fillId="0" borderId="3" pivotButton="0" quotePrefix="0" xfId="0"/>
    <xf numFmtId="0" fontId="0" fillId="0" borderId="0" applyAlignment="1" pivotButton="0" quotePrefix="0" xfId="0">
      <alignment wrapText="1"/>
    </xf>
    <xf numFmtId="0" fontId="0" fillId="0" borderId="3" applyAlignment="1" pivotButton="0" quotePrefix="0" xfId="0">
      <alignment wrapText="1"/>
    </xf>
    <xf numFmtId="0" fontId="1" fillId="2" borderId="3" applyAlignment="1" pivotButton="0" quotePrefix="0" xfId="0">
      <alignment vertical="center" wrapText="1"/>
    </xf>
    <xf numFmtId="0" fontId="1" fillId="2" borderId="4" applyAlignment="1" pivotButton="0" quotePrefix="0" xfId="0">
      <alignment vertical="center" wrapText="1"/>
    </xf>
    <xf numFmtId="0" fontId="1" fillId="2" borderId="6" applyAlignment="1" pivotButton="0" quotePrefix="0" xfId="0">
      <alignment vertical="center" wrapText="1"/>
    </xf>
    <xf numFmtId="0" fontId="7" fillId="0" borderId="1" applyAlignment="1" pivotButton="0" quotePrefix="0" xfId="0">
      <alignment horizontal="center" vertical="center" wrapText="1"/>
    </xf>
    <xf numFmtId="164" fontId="4" fillId="0" borderId="1" applyAlignment="1" pivotButton="0" quotePrefix="0" xfId="0">
      <alignment horizontal="right" vertical="top" wrapText="1"/>
    </xf>
    <xf numFmtId="164" fontId="2" fillId="0" borderId="1" applyAlignment="1" pivotButton="0" quotePrefix="0" xfId="0">
      <alignment horizontal="right" vertical="center" wrapText="1"/>
    </xf>
    <xf numFmtId="4" fontId="0" fillId="0" borderId="0" pivotButton="0" quotePrefix="0" xfId="0"/>
    <xf numFmtId="0" fontId="1" fillId="0" borderId="6" applyAlignment="1" pivotButton="0" quotePrefix="0" xfId="0">
      <alignment vertical="center" wrapText="1"/>
    </xf>
    <xf numFmtId="0" fontId="3" fillId="2" borderId="1" applyAlignment="1" pivotButton="0" quotePrefix="0" xfId="0">
      <alignment horizontal="center" vertical="center" wrapText="1"/>
    </xf>
    <xf numFmtId="0" fontId="0" fillId="0" borderId="3" pivotButton="0" quotePrefix="0" xfId="0"/>
    <xf numFmtId="0" fontId="1" fillId="2" borderId="4" applyAlignment="1" pivotButton="0" quotePrefix="0" xfId="0">
      <alignment horizontal="center" vertical="center" wrapText="1"/>
    </xf>
    <xf numFmtId="0" fontId="0" fillId="0" borderId="5" pivotButton="0" quotePrefix="0" xfId="0"/>
    <xf numFmtId="0" fontId="3" fillId="4" borderId="1" applyAlignment="1" pivotButton="0" quotePrefix="0" xfId="0">
      <alignment horizontal="center" vertical="center" wrapText="1"/>
    </xf>
    <xf numFmtId="0" fontId="2" fillId="2" borderId="1" applyAlignment="1" pivotButton="0" quotePrefix="0" xfId="0">
      <alignment horizontal="center" vertical="center" wrapText="1"/>
    </xf>
    <xf numFmtId="0" fontId="0" fillId="0" borderId="7" pivotButton="0" quotePrefix="0" xfId="0"/>
    <xf numFmtId="0" fontId="1" fillId="2" borderId="1" applyAlignment="1" pivotButton="0" quotePrefix="0" xfId="0">
      <alignment horizontal="left" vertical="center" wrapText="1"/>
    </xf>
    <xf numFmtId="0" fontId="1" fillId="2" borderId="4" applyAlignment="1" pivotButton="0" quotePrefix="0" xfId="0">
      <alignment horizontal="left" vertical="center" wrapText="1"/>
    </xf>
    <xf numFmtId="0" fontId="3" fillId="5" borderId="1" applyAlignment="1" pivotButton="0" quotePrefix="0" xfId="0">
      <alignment horizontal="center" vertical="center" wrapText="1"/>
    </xf>
    <xf numFmtId="0" fontId="0" fillId="6" borderId="3" pivotButton="0" quotePrefix="0" xfId="0"/>
    <xf numFmtId="4" fontId="0" fillId="0" borderId="0" applyAlignment="1" pivotButton="0" quotePrefix="0" xfId="0">
      <alignment wrapText="1"/>
    </xf>
    <xf numFmtId="0" fontId="2" fillId="0" borderId="1" applyAlignment="1" pivotButton="0" quotePrefix="0" xfId="0">
      <alignment horizontal="center" vertical="center" wrapText="1"/>
    </xf>
    <xf numFmtId="0" fontId="0" fillId="0" borderId="7" pivotButton="0" quotePrefix="0" xfId="0"/>
    <xf numFmtId="164" fontId="4" fillId="0" borderId="1" applyAlignment="1" pivotButton="0" quotePrefix="0" xfId="0">
      <alignment horizontal="right" vertical="top" wrapText="1"/>
    </xf>
    <xf numFmtId="0" fontId="0" fillId="0" borderId="0" pivotButton="0" quotePrefix="0" xfId="0"/>
    <xf numFmtId="0" fontId="2" fillId="7" borderId="1" applyAlignment="1" pivotButton="0" quotePrefix="0" xfId="0">
      <alignment horizontal="center" vertical="center" wrapText="1"/>
    </xf>
    <xf numFmtId="0" fontId="0" fillId="8" borderId="3" pivotButton="0" quotePrefix="0" xfId="0"/>
    <xf numFmtId="0" fontId="2" fillId="3" borderId="1" applyAlignment="1" pivotButton="0" quotePrefix="0" xfId="0">
      <alignment horizontal="center" vertical="center" wrapText="1"/>
    </xf>
    <xf numFmtId="0" fontId="0" fillId="9" borderId="3" pivotButton="0" quotePrefix="0" xfId="0"/>
    <xf numFmtId="0" fontId="3" fillId="7" borderId="1" applyAlignment="1" pivotButton="0" quotePrefix="0" xfId="0">
      <alignment horizontal="center" vertical="center" wrapText="1"/>
    </xf>
    <xf numFmtId="0" fontId="9" fillId="0" borderId="0" applyAlignment="1" pivotButton="0" quotePrefix="0" xfId="0">
      <alignment horizontal="center"/>
    </xf>
    <xf numFmtId="0" fontId="10" fillId="0" borderId="0" applyAlignment="1" pivotButton="0" quotePrefix="0" xfId="0">
      <alignment horizontal="center" wrapText="1"/>
    </xf>
    <xf numFmtId="0" fontId="10" fillId="0" borderId="0" applyAlignment="1" pivotButton="0" quotePrefix="0" xfId="0">
      <alignment horizontal="center"/>
    </xf>
    <xf numFmtId="0" fontId="11" fillId="10" borderId="11" applyAlignment="1" pivotButton="0" quotePrefix="0" xfId="0">
      <alignment horizontal="center" vertical="center" wrapText="1"/>
    </xf>
    <xf numFmtId="0" fontId="12" fillId="0" borderId="11" applyAlignment="1" pivotButton="0" quotePrefix="0" xfId="0">
      <alignment horizontal="left" vertical="center" wrapText="1"/>
    </xf>
    <xf numFmtId="0" fontId="12" fillId="0" borderId="11" applyAlignment="1" pivotButton="0" quotePrefix="0" xfId="0">
      <alignment horizontal="center" vertical="center" wrapText="1"/>
    </xf>
    <xf numFmtId="4" fontId="12" fillId="0" borderId="11" applyAlignment="1" pivotButton="0" quotePrefix="0" xfId="0">
      <alignment horizontal="right" vertical="center"/>
    </xf>
    <xf numFmtId="166" fontId="12" fillId="0" borderId="11" applyAlignment="1" pivotButton="0" quotePrefix="0" xfId="0">
      <alignment horizontal="right" vertical="center"/>
    </xf>
    <xf numFmtId="9" fontId="12" fillId="0" borderId="11" applyAlignment="1" pivotButton="0" quotePrefix="0" xfId="0">
      <alignment horizontal="center" vertical="center" wrapText="1"/>
    </xf>
    <xf numFmtId="0" fontId="13" fillId="11" borderId="11" applyAlignment="1" pivotButton="0" quotePrefix="0" xfId="0">
      <alignment horizontal="right"/>
    </xf>
    <xf numFmtId="0" fontId="13" fillId="11" borderId="11" pivotButton="0" quotePrefix="0" xfId="0"/>
    <xf numFmtId="166" fontId="13" fillId="11" borderId="11" pivotButton="0" quotePrefix="0" xfId="0"/>
    <xf numFmtId="0" fontId="0" fillId="0" borderId="14" pivotButton="0" quotePrefix="0" xfId="0"/>
    <xf numFmtId="0" fontId="0" fillId="0" borderId="15" pivotButton="0" quotePrefix="0" xfId="0"/>
    <xf numFmtId="0" fontId="14" fillId="0" borderId="0" pivotButton="0" quotePrefix="0" xfId="0"/>
    <xf numFmtId="0" fontId="15" fillId="0" borderId="0" pivotButton="0" quotePrefix="0" xfId="0"/>
    <xf numFmtId="0" fontId="16" fillId="12" borderId="11" applyAlignment="1" pivotButton="0" quotePrefix="0" xfId="0">
      <alignment horizontal="center" vertical="center" wrapText="1"/>
    </xf>
    <xf numFmtId="0" fontId="17" fillId="0" borderId="11" applyAlignment="1" pivotButton="0" quotePrefix="0" xfId="0">
      <alignment vertical="top" wrapText="1"/>
    </xf>
    <xf numFmtId="0" fontId="18" fillId="0" borderId="0" pivotButton="0" quotePrefix="0" xfId="0"/>
    <xf numFmtId="0" fontId="17" fillId="0" borderId="0" applyAlignment="1" pivotButton="0" quotePrefix="0" xfId="0">
      <alignment vertical="top" wrapText="1"/>
    </xf>
    <xf numFmtId="0" fontId="17" fillId="0" borderId="0" pivotButton="0" quotePrefix="0" xfId="0"/>
    <xf numFmtId="0" fontId="18" fillId="0" borderId="0" applyAlignment="1" pivotButton="0" quotePrefix="0" xfId="0">
      <alignment horizontal="right"/>
    </xf>
    <xf numFmtId="0" fontId="19" fillId="12" borderId="11" applyAlignment="1" pivotButton="0" quotePrefix="0" xfId="0">
      <alignment horizontal="center" vertical="center" wrapText="1"/>
    </xf>
    <xf numFmtId="0" fontId="20" fillId="0" borderId="11" applyAlignment="1" pivotButton="0" quotePrefix="0" xfId="0">
      <alignment vertical="top" wrapText="1"/>
    </xf>
    <xf numFmtId="0" fontId="20" fillId="0" borderId="0" applyAlignment="1" pivotButton="0" quotePrefix="0" xfId="0">
      <alignment vertical="top" wrapText="1"/>
    </xf>
    <xf numFmtId="0" fontId="20" fillId="0" borderId="0" pivotButton="0" quotePrefix="0" xfId="0"/>
    <xf numFmtId="0" fontId="21" fillId="0" borderId="0" applyAlignment="1" pivotButton="0" quotePrefix="0" xfId="0">
      <alignment horizontal="center"/>
    </xf>
    <xf numFmtId="0" fontId="22" fillId="0" borderId="11" applyAlignment="1" pivotButton="0" quotePrefix="0" xfId="0">
      <alignment horizontal="center" vertical="center" wrapText="1"/>
    </xf>
    <xf numFmtId="0" fontId="22" fillId="0" borderId="11" applyAlignment="1" pivotButton="0" quotePrefix="0" xfId="0">
      <alignment horizontal="left" vertical="center" wrapText="1"/>
    </xf>
    <xf numFmtId="4" fontId="22" fillId="0" borderId="11" applyAlignment="1" pivotButton="0" quotePrefix="0" xfId="0">
      <alignment horizontal="right" vertical="center"/>
    </xf>
    <xf numFmtId="166" fontId="22" fillId="0" borderId="11" applyAlignment="1" pivotButton="0" quotePrefix="0" xfId="0">
      <alignment horizontal="right" vertical="center"/>
    </xf>
    <xf numFmtId="9" fontId="22" fillId="0" borderId="11" applyAlignment="1" pivotButton="0" quotePrefix="0" xfId="0">
      <alignment horizontal="center" vertical="center" wrapText="1"/>
    </xf>
    <xf numFmtId="0" fontId="23" fillId="13" borderId="11" applyAlignment="1" pivotButton="0" quotePrefix="0" xfId="0">
      <alignment horizontal="center" vertical="center" wrapText="1"/>
    </xf>
    <xf numFmtId="0" fontId="23" fillId="13" borderId="11" applyAlignment="1" pivotButton="0" quotePrefix="0" xfId="0">
      <alignment horizontal="left" vertical="center" wrapText="1"/>
    </xf>
    <xf numFmtId="4" fontId="23" fillId="13" borderId="11" applyAlignment="1" pivotButton="0" quotePrefix="0" xfId="0">
      <alignment horizontal="right" vertical="center"/>
    </xf>
    <xf numFmtId="166" fontId="23" fillId="13" borderId="11" applyAlignment="1" pivotButton="0" quotePrefix="0" xfId="0">
      <alignment horizontal="right" vertical="center"/>
    </xf>
    <xf numFmtId="9" fontId="23" fillId="13" borderId="11" applyAlignment="1" pivotButton="0" quotePrefix="0" xfId="0">
      <alignment horizontal="center" vertical="center" wrapText="1"/>
    </xf>
  </cellXfs>
  <cellStyles count="1">
    <cellStyle name="Normale" xfId="0" builtinId="0"/>
  </cellStyles>
  <dxfs count="2">
    <dxf>
      <font>
        <b val="1"/>
        <color rgb="FF00B050"/>
      </font>
    </dxf>
    <dxf>
      <font>
        <b val="1"/>
        <color rgb="FFC00000"/>
      </font>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filterMode="1">
    <tabColor rgb="FFC00000"/>
    <outlinePr summaryBelow="1" summaryRight="1"/>
    <pageSetUpPr/>
  </sheetPr>
  <dimension ref="A1:AJ609"/>
  <sheetViews>
    <sheetView topLeftCell="L1" zoomScaleNormal="100" workbookViewId="0">
      <pane ySplit="3" topLeftCell="A65" activePane="bottomLeft" state="frozen"/>
      <selection pane="bottomLeft" activeCell="X41" sqref="X41"/>
    </sheetView>
  </sheetViews>
  <sheetFormatPr baseColWidth="10" defaultColWidth="8.6640625" defaultRowHeight="15"/>
  <cols>
    <col width="22" customWidth="1" style="46" min="1" max="1"/>
    <col width="11" customWidth="1" style="46" min="2" max="2"/>
    <col width="16" customWidth="1" style="46" min="3" max="3"/>
    <col width="12" customWidth="1" style="46" min="4" max="4"/>
    <col width="18" customWidth="1" style="46" min="5" max="5"/>
    <col width="28" customWidth="1" style="46" min="6" max="6"/>
    <col width="9" customWidth="1" style="46" min="7" max="7"/>
    <col width="18" customWidth="1" style="46" min="8" max="8"/>
    <col width="22" customWidth="1" style="46" min="9" max="9"/>
    <col width="28" customWidth="1" style="46" min="10" max="10"/>
    <col width="42" customWidth="1" style="46" min="11" max="11"/>
    <col width="50" customWidth="1" style="46" min="12" max="12"/>
    <col width="8" customWidth="1" style="46" min="13" max="13"/>
    <col width="12" customWidth="1" style="46" min="14" max="14"/>
    <col width="14" customWidth="1" style="46" min="15" max="16"/>
    <col hidden="1" width="13" customWidth="1" style="46" min="17" max="17"/>
    <col hidden="1" width="14" customWidth="1" style="46" min="18" max="19"/>
    <col width="14" customWidth="1" style="46" min="20" max="20"/>
    <col width="7" customWidth="1" style="46" min="21" max="21"/>
    <col width="14" customWidth="1" style="46" min="22" max="22"/>
    <col width="7" customWidth="1" style="46" min="23" max="23"/>
    <col width="14" customWidth="1" style="46" min="24" max="24"/>
    <col width="7" customWidth="1" style="46" min="25" max="25"/>
    <col width="14" customWidth="1" style="46" min="26" max="26"/>
    <col width="7" customWidth="1" style="46" min="27" max="27"/>
    <col width="14" customWidth="1" style="46" min="28" max="28"/>
    <col width="7" customWidth="1" style="46" min="29" max="29"/>
    <col width="14" customWidth="1" style="46" min="30" max="30"/>
    <col width="7" customWidth="1" style="46" min="31" max="31"/>
    <col width="14" customWidth="1" style="46" min="32" max="32"/>
    <col width="7" customWidth="1" style="46" min="33" max="33"/>
    <col width="14" customWidth="1" style="46" min="34" max="34"/>
    <col width="7" customWidth="1" style="46" min="35" max="35"/>
    <col width="14" customWidth="1" style="46" min="36" max="36"/>
  </cols>
  <sheetData>
    <row r="1" ht="27.75" customHeight="1" s="46">
      <c r="A1" s="38" t="inlineStr">
        <is>
          <t>LAVORAZIONI — RADIOFARMACIA PAVIA — MASTER + RIPARTIZIONE % SAL</t>
        </is>
      </c>
      <c r="B1" s="34" t="n"/>
      <c r="C1" s="34" t="n"/>
      <c r="D1" s="34" t="n"/>
      <c r="E1" s="34" t="n"/>
      <c r="F1" s="34" t="n"/>
      <c r="G1" s="34" t="n"/>
      <c r="H1" s="34" t="n"/>
      <c r="I1" s="34" t="n"/>
      <c r="J1" s="34" t="n"/>
      <c r="K1" s="34" t="n"/>
      <c r="L1" s="34" t="n"/>
      <c r="M1" s="34" t="n"/>
      <c r="N1" s="34" t="n"/>
      <c r="O1" s="34" t="n"/>
      <c r="P1" s="34" t="n"/>
      <c r="Q1" s="34" t="n"/>
      <c r="R1" s="34" t="n"/>
      <c r="S1" s="34" t="n"/>
      <c r="T1" s="32" t="n"/>
    </row>
    <row r="2" ht="37.5" customHeight="1" s="46">
      <c r="A2" s="36" t="inlineStr">
        <is>
          <t>CODICE LAVORAZIONE</t>
        </is>
      </c>
      <c r="B2" s="36" t="inlineStr">
        <is>
          <t>N° OCCORRENZA</t>
        </is>
      </c>
      <c r="C2" s="36" t="inlineStr">
        <is>
          <t>MACRO AREA</t>
        </is>
      </c>
      <c r="D2" s="36" t="inlineStr">
        <is>
          <t>TIPOLOGIA IMPIANTO</t>
        </is>
      </c>
      <c r="E2" s="36" t="inlineStr">
        <is>
          <t>CATEGORIA SAL</t>
        </is>
      </c>
      <c r="F2" s="36" t="inlineStr">
        <is>
          <t>DOCUMENTO DI PROVENIENZA</t>
        </is>
      </c>
      <c r="G2" s="36" t="inlineStr">
        <is>
          <t>N. VOCE</t>
        </is>
      </c>
      <c r="H2" s="36" t="inlineStr">
        <is>
          <t>STEP DI LAVORAZIONE</t>
        </is>
      </c>
      <c r="I2" s="36" t="inlineStr">
        <is>
          <t>AREA DI INTERVENTO</t>
        </is>
      </c>
      <c r="J2" s="36" t="inlineStr">
        <is>
          <t>TIPOLOGIA DI INTERVENTO</t>
        </is>
      </c>
      <c r="K2" s="36" t="inlineStr">
        <is>
          <t>DESCRIZIONE</t>
        </is>
      </c>
      <c r="L2" s="36" t="inlineStr">
        <is>
          <t>DETTAGLI TECNICI</t>
        </is>
      </c>
      <c r="M2" s="36" t="inlineStr">
        <is>
          <t>U.M.</t>
        </is>
      </c>
      <c r="N2" s="36" t="inlineStr">
        <is>
          <t>QUANTITÀ EDITEL</t>
        </is>
      </c>
      <c r="O2" s="43" t="inlineStr">
        <is>
          <t>VALORE UNITARIO EDITEL</t>
        </is>
      </c>
      <c r="P2" s="43" t="inlineStr">
        <is>
          <t>TOTALE EDITEL</t>
        </is>
      </c>
      <c r="Q2" s="36" t="inlineStr">
        <is>
          <t>QUANTITÀ EDITEL CONSUNTIVATA</t>
        </is>
      </c>
      <c r="R2" s="36" t="inlineStr">
        <is>
          <t>VALORE UNITARIO EDITEL CONSUNTIVATO</t>
        </is>
      </c>
      <c r="S2" s="36" t="inlineStr">
        <is>
          <t>TOTALE EDITEL CONSUNTIVATO</t>
        </is>
      </c>
      <c r="T2" s="43" t="inlineStr">
        <is>
          <t>VALORE PER SAL</t>
        </is>
      </c>
      <c r="U2" s="49" t="inlineStr">
        <is>
          <t>SAL 01
APRILE 2026</t>
        </is>
      </c>
      <c r="V2" s="32" t="n"/>
      <c r="W2" s="47" t="inlineStr">
        <is>
          <t>SAL 02
MAGGIO 2026</t>
        </is>
      </c>
      <c r="X2" s="32" t="n"/>
      <c r="Y2" s="36" t="inlineStr">
        <is>
          <t>SAL 03
GIUGNO 2026</t>
        </is>
      </c>
      <c r="Z2" s="32" t="n"/>
      <c r="AA2" s="36" t="inlineStr">
        <is>
          <t>SAL 04
LUGLIO 2026</t>
        </is>
      </c>
      <c r="AB2" s="32" t="n"/>
      <c r="AC2" s="36" t="inlineStr">
        <is>
          <t>SAL 05
AGOSTO 2026</t>
        </is>
      </c>
      <c r="AD2" s="32" t="n"/>
      <c r="AE2" s="36" t="inlineStr">
        <is>
          <t>SAL 06
SETTEMBRE 2026</t>
        </is>
      </c>
      <c r="AF2" s="32" t="n"/>
      <c r="AG2" s="36" t="inlineStr">
        <is>
          <t>SAL 07
OTTOBRE 2026</t>
        </is>
      </c>
      <c r="AH2" s="32" t="n"/>
      <c r="AI2" s="36" t="inlineStr">
        <is>
          <t>TOTALE COMPLESSIVO
AVANZAMENTO</t>
        </is>
      </c>
      <c r="AJ2" s="32" t="n"/>
    </row>
    <row r="3" hidden="1" ht="21.75" customHeight="1" s="46">
      <c r="A3" s="44" t="n"/>
      <c r="B3" s="44" t="n"/>
      <c r="C3" s="44" t="n"/>
      <c r="D3" s="44" t="n"/>
      <c r="E3" s="44" t="n"/>
      <c r="F3" s="44" t="n"/>
      <c r="G3" s="44" t="n"/>
      <c r="H3" s="44" t="n"/>
      <c r="I3" s="44" t="n"/>
      <c r="J3" s="44" t="n"/>
      <c r="K3" s="44" t="n"/>
      <c r="L3" s="44" t="n"/>
      <c r="M3" s="44" t="n"/>
      <c r="N3" s="44" t="n"/>
      <c r="O3" s="44" t="n"/>
      <c r="P3" s="44" t="n"/>
      <c r="Q3" s="44" t="n"/>
      <c r="R3" s="44" t="n"/>
      <c r="S3" s="44" t="n"/>
      <c r="T3" s="44" t="n"/>
      <c r="U3" s="31" t="inlineStr">
        <is>
          <t>%</t>
        </is>
      </c>
      <c r="V3" s="31" t="inlineStr">
        <is>
          <t>TOTALE</t>
        </is>
      </c>
      <c r="W3" s="31" t="inlineStr">
        <is>
          <t>%</t>
        </is>
      </c>
      <c r="X3" s="31" t="inlineStr">
        <is>
          <t>TOTALE</t>
        </is>
      </c>
      <c r="Y3" s="31" t="inlineStr">
        <is>
          <t>%</t>
        </is>
      </c>
      <c r="Z3" s="31" t="inlineStr">
        <is>
          <t>TOTALE</t>
        </is>
      </c>
      <c r="AA3" s="31" t="inlineStr">
        <is>
          <t>%</t>
        </is>
      </c>
      <c r="AB3" s="31" t="inlineStr">
        <is>
          <t>TOTALE</t>
        </is>
      </c>
      <c r="AC3" s="31" t="inlineStr">
        <is>
          <t>%</t>
        </is>
      </c>
      <c r="AD3" s="31" t="inlineStr">
        <is>
          <t>TOTALE</t>
        </is>
      </c>
      <c r="AE3" s="31" t="inlineStr">
        <is>
          <t>%</t>
        </is>
      </c>
      <c r="AF3" s="31" t="inlineStr">
        <is>
          <t>TOTALE</t>
        </is>
      </c>
      <c r="AG3" s="31" t="inlineStr">
        <is>
          <t>%</t>
        </is>
      </c>
      <c r="AH3" s="31" t="inlineStr">
        <is>
          <t>TOTALE</t>
        </is>
      </c>
      <c r="AI3" s="31" t="inlineStr">
        <is>
          <t>%</t>
        </is>
      </c>
      <c r="AJ3" s="31" t="inlineStr">
        <is>
          <t>TOTALE</t>
        </is>
      </c>
    </row>
    <row r="4" hidden="1" ht="60" customHeight="1" s="46">
      <c r="A4" s="3" t="inlineStr">
        <is>
          <t>LOM241.OC.EEA.C09.A6402.NA000.0000</t>
        </is>
      </c>
      <c r="B4" s="4" t="inlineStr">
        <is>
          <t>1/2</t>
        </is>
      </c>
      <c r="C4" s="3" t="inlineStr">
        <is>
          <t>EDILE</t>
        </is>
      </c>
      <c r="D4" s="4" t="inlineStr">
        <is>
          <t>NON SPECIALE</t>
        </is>
      </c>
      <c r="E4" s="4" t="inlineStr">
        <is>
          <t>EDILI</t>
        </is>
      </c>
      <c r="F4" s="3" t="inlineStr">
        <is>
          <t>1_2025.11.20_CME REV07.PDF</t>
        </is>
      </c>
      <c r="G4" s="4" t="inlineStr">
        <is>
          <t>1</t>
        </is>
      </c>
      <c r="H4" s="3" t="inlineStr">
        <is>
          <t>10 - PREPARAZIONE</t>
        </is>
      </c>
      <c r="I4" s="3" t="inlineStr">
        <is>
          <t>NUOVI LABORATORI</t>
        </is>
      </c>
      <c r="J4" s="3" t="inlineStr">
        <is>
          <t>SCAVI E MOVIMENTI TERRA</t>
        </is>
      </c>
      <c r="K4" s="3" t="inlineStr">
        <is>
          <t xml:space="preserve">OPERA: SBANCAMENTO DI TERRENO GENERICO. INCLUSO: TROVANTI ROCCIOSI/RELITTI DI MURATURE FINO A 0.750 M³. ESCLUSO: ROCCIA. </t>
        </is>
      </c>
      <c r="L4" s="3" t="inlineStr">
        <is>
          <t>OPERA: SBANCAMENTO DI TERRENO GENERICO. INCLUSO: TROVANTI ROCCIOSI/RELITTI DI MURATURE FINO A 0.750 M³. ESCLUSO: ROCCIA. 
LAVORO: SCAVO. INCLUSO: SPIANAMENTO E CONFIGURAZIONE FONDO ANCHE A GRADONI; PROFILATURA DI PARETI E SCARPATE; CARICO, TRASPORTO ED ACCATASTAMENTO MATERIALE IN CANTIERE. ESCLUSO: ARMO DI SCAVO; OPERE DI SEGNALAZIONE E PROTEZIONE. 
SPECIFICHE TECNICHE: TERRENO DI MATERIALI DI NATURA E CONSISTENZA GENERICHE TERRENO ASCIUTTO/BAGNATO/MELMOSO, PROFONDITÀ GENERICA. 
COMPONENTI: 
OP1 OPERA: SBANCAMENTO DI TERRENO GENERICO. INCLUSO: TROVANTI ROCCIOSI/RELITTI DI MURATURE FINO A 0.750 M³. ESCLUSO: ROCCIA. 
SPECIFICHE TECNICHE: TERRENO DI MATERIALI DI NATURA E CONSISTENZA GENERICHE TERRENO ASCIUTTO/BAGNATO/MELMOSO. 
RM2 TERRENO DI TERRENO GENERICO 
LV1 LAVORO: SCAVO. INCLUSO: SPIANAMENTO E CONFIGURAZIONE FONDO ANCHE A GRADONI; PROFILATURA DI PARETI E SCARPATE; CARICO, TRASPORTO ED ACCATASTAMENTO MATERIALE IN CANTIERE. ESCLUSO: ARMO DI SCAVO; OPERE DI SEGNALAZIONE E PROTEZIONE. 
SPECIFICHE TECNICHE: PROFONDITÀ GENERICA. 
RP2 ESCAVATORE CINGOLATO; POTENZA [KW] ≤ 90; PESO [T] ≤ 19 
SPECIFICHE TECNICHE: CRITERIO DI MISURAZIONE: ORE DI PRESENZA IN CANTIERE 
RP2 AUTOCARRO A CASSONE RIBALTABILE; PORTATA [T] ≤ 5,0 
SPECIFICHE TECNICHE: CRITERIO DI MISURAZIONE: ORE DI PRESENZA IN CANTIERE</t>
        </is>
      </c>
      <c r="M4" s="4" t="inlineStr">
        <is>
          <t>M³</t>
        </is>
      </c>
      <c r="N4" s="5" t="n">
        <v>440.7</v>
      </c>
      <c r="O4" s="45" t="n">
        <v>5.88</v>
      </c>
      <c r="P4" s="45" t="n">
        <v>2591.316</v>
      </c>
      <c r="Q4" s="5" t="n"/>
      <c r="R4" s="6" t="n"/>
      <c r="S4" s="6">
        <f>IF(AND(Q4&lt;&gt;"",R4&lt;&gt;""),Q4*R4,"")</f>
        <v/>
      </c>
      <c r="T4" s="45">
        <f>IF(S4="",P4,S4)</f>
        <v/>
      </c>
      <c r="U4" s="7" t="n">
        <v>1</v>
      </c>
      <c r="V4" s="6">
        <f>$T4*U4</f>
        <v/>
      </c>
      <c r="W4" s="7" t="n">
        <v>0</v>
      </c>
      <c r="X4" s="6">
        <f>$T4*W4</f>
        <v/>
      </c>
      <c r="Y4" s="7" t="n">
        <v>0</v>
      </c>
      <c r="Z4" s="6">
        <f>$T4*Y4</f>
        <v/>
      </c>
      <c r="AA4" s="7" t="n">
        <v>0</v>
      </c>
      <c r="AB4" s="6">
        <f>$T4*AA4</f>
        <v/>
      </c>
      <c r="AC4" s="7" t="n">
        <v>0</v>
      </c>
      <c r="AD4" s="6">
        <f>$T4*AC4</f>
        <v/>
      </c>
      <c r="AE4" s="7" t="n">
        <v>0</v>
      </c>
      <c r="AF4" s="6">
        <f>$T4*AE4</f>
        <v/>
      </c>
      <c r="AG4" s="7" t="n">
        <v>0</v>
      </c>
      <c r="AH4" s="6">
        <f>$T4*AG4</f>
        <v/>
      </c>
      <c r="AI4" s="7">
        <f>U4+W4+Y4+AA4+AC4+AE4+AG4</f>
        <v/>
      </c>
      <c r="AJ4" s="6">
        <f>V4+X4+Z4+AB4+AD4+AF4+AH4</f>
        <v/>
      </c>
    </row>
    <row r="5" hidden="1" ht="60" customHeight="1" s="46">
      <c r="A5" s="3" t="inlineStr">
        <is>
          <t>LOM241.1U.04.110.0040.B</t>
        </is>
      </c>
      <c r="B5" s="4" t="inlineStr">
        <is>
          <t>1/4</t>
        </is>
      </c>
      <c r="C5" s="3" t="inlineStr">
        <is>
          <t>EDILE</t>
        </is>
      </c>
      <c r="D5" s="4" t="inlineStr">
        <is>
          <t>NON SPECIALE</t>
        </is>
      </c>
      <c r="E5" s="4" t="inlineStr">
        <is>
          <t>EDILI</t>
        </is>
      </c>
      <c r="F5" s="3" t="inlineStr">
        <is>
          <t>1_2025.11.20_CME REV07.PDF</t>
        </is>
      </c>
      <c r="G5" s="4" t="inlineStr">
        <is>
          <t>2</t>
        </is>
      </c>
      <c r="H5" s="3" t="inlineStr">
        <is>
          <t>10 - PREPARAZIONE</t>
        </is>
      </c>
      <c r="I5" s="3" t="inlineStr">
        <is>
          <t>NUOVI LABORATORI</t>
        </is>
      </c>
      <c r="J5" s="3" t="inlineStr">
        <is>
          <t>SCAVI E MOVIMENTI TERRA</t>
        </is>
      </c>
      <c r="K5" s="3" t="inlineStr">
        <is>
          <t>COMPATTAZIONE DEL PIANO DI POSA DELLA FONDAZIONE STRADALE, NEI TRATTI IN TRINCEA, FINO A RAGGIUNGERE IN OGNI PUNTO UN VALORE DELLA DENSITÀ NON MINORE DEL 95% DI QUELLA MASSIMA DELLA PROVA AASHO MODIFI</t>
        </is>
      </c>
      <c r="L5" s="3" t="inlineStr">
        <is>
          <t>COMPATTAZIONE DEL PIANO DI POSA DELLA FONDAZIONE STRADALE, NEI TRATTI IN TRINCEA, FINO A RAGGIUNGERE IN OGNI PUNTO UN VALORE DELLA DENSITÀ NON MINORE DEL 95% DI QUELLA MASSIMA DELLA PROVA AASHO MODIFICATA, ED UN VALORE DEL MODULO DI COMPRESSIBILITÀ ME NON MINORE DI 50 N/MM², COMPRESI GLI EVENTUALI INUMIDIMENTI O ESSICAMENTI NECESSARI NEI TRATTI IN TRINCEA: - SU STRATI DI TERRENO A4, A5, A2-6, A2-7, SENZA ASPORTAZIONE O SOSTITUZIONE, MA CON EVENTUALE CORREZIONE DEI MATERIALI IN SITO PER UNA PROFONDITÀ DI CM 20, CON TERRENI ARIDI DA CONTABILIZZARE A PARTE.</t>
        </is>
      </c>
      <c r="M5" s="4" t="inlineStr">
        <is>
          <t>M²</t>
        </is>
      </c>
      <c r="N5" s="5" t="n">
        <v>992</v>
      </c>
      <c r="O5" s="45" t="n">
        <v>1.76</v>
      </c>
      <c r="P5" s="45" t="n">
        <v>1745.92</v>
      </c>
      <c r="Q5" s="5" t="n"/>
      <c r="R5" s="6" t="n"/>
      <c r="S5" s="6">
        <f>IF(AND(Q5&lt;&gt;"",R5&lt;&gt;""),Q5*R5,"")</f>
        <v/>
      </c>
      <c r="T5" s="45">
        <f>IF(S5="",P5,S5)</f>
        <v/>
      </c>
      <c r="U5" s="7" t="n">
        <v>1</v>
      </c>
      <c r="V5" s="6">
        <f>$T5*U5</f>
        <v/>
      </c>
      <c r="W5" s="7" t="n">
        <v>0</v>
      </c>
      <c r="X5" s="6">
        <f>$T5*W5</f>
        <v/>
      </c>
      <c r="Y5" s="7" t="n">
        <v>0</v>
      </c>
      <c r="Z5" s="6">
        <f>$T5*Y5</f>
        <v/>
      </c>
      <c r="AA5" s="7" t="n">
        <v>0</v>
      </c>
      <c r="AB5" s="6">
        <f>$T5*AA5</f>
        <v/>
      </c>
      <c r="AC5" s="7" t="n">
        <v>0</v>
      </c>
      <c r="AD5" s="6">
        <f>$T5*AC5</f>
        <v/>
      </c>
      <c r="AE5" s="7" t="n">
        <v>0</v>
      </c>
      <c r="AF5" s="6">
        <f>$T5*AE5</f>
        <v/>
      </c>
      <c r="AG5" s="7" t="n">
        <v>0</v>
      </c>
      <c r="AH5" s="6">
        <f>$T5*AG5</f>
        <v/>
      </c>
      <c r="AI5" s="7">
        <f>U5+W5+Y5+AA5+AC5+AE5+AG5</f>
        <v/>
      </c>
      <c r="AJ5" s="6">
        <f>V5+X5+Z5+AB5+AD5+AF5+AH5</f>
        <v/>
      </c>
    </row>
    <row r="6" hidden="1" ht="42" customHeight="1" s="46">
      <c r="A6" s="3" t="inlineStr">
        <is>
          <t>LOM241.NC.90.050.0100.C</t>
        </is>
      </c>
      <c r="B6" s="4" t="inlineStr">
        <is>
          <t>1/2</t>
        </is>
      </c>
      <c r="C6" s="3" t="inlineStr">
        <is>
          <t>EDILE</t>
        </is>
      </c>
      <c r="D6" s="4" t="inlineStr">
        <is>
          <t>NON SPECIALE</t>
        </is>
      </c>
      <c r="E6" s="4" t="inlineStr">
        <is>
          <t>EDILI</t>
        </is>
      </c>
      <c r="F6" s="3" t="inlineStr">
        <is>
          <t>1_2025.11.20_CME REV07.PDF</t>
        </is>
      </c>
      <c r="G6" s="4" t="inlineStr">
        <is>
          <t>3</t>
        </is>
      </c>
      <c r="H6" s="3" t="inlineStr">
        <is>
          <t>10 - PREPARAZIONE</t>
        </is>
      </c>
      <c r="I6" s="3" t="inlineStr">
        <is>
          <t>NUOVI LABORATORI</t>
        </is>
      </c>
      <c r="J6" s="3" t="inlineStr">
        <is>
          <t>SCAVI E MOVIMENTI TERRA</t>
        </is>
      </c>
      <c r="K6" s="3" t="inlineStr">
        <is>
          <t>CARICO CON MEZZO MECCANICO DI MATERIALI SFUSI (TERRE DI SCAVO, MACERIE, INERTI ECC.), TRASPORTO E SCARICO, ALLE SEGUENTI DISTANZE DAL CANTIERE: - DA 1,1 FINO A 5 KM.</t>
        </is>
      </c>
      <c r="L6" s="3" t="inlineStr">
        <is>
          <t>CARICO CON MEZZO MECCANICO DI MATERIALI SFUSI (TERRE DI SCAVO, MACERIE, INERTI ECC.), TRASPORTO E SCARICO, ALLE SEGUENTI DISTANZE DAL CANTIERE: - DA 1,1 FINO A 5 KM.</t>
        </is>
      </c>
      <c r="M6" s="4" t="inlineStr">
        <is>
          <t>M³</t>
        </is>
      </c>
      <c r="N6" s="5" t="n">
        <v>440.7</v>
      </c>
      <c r="O6" s="45" t="n">
        <v>10.58</v>
      </c>
      <c r="P6" s="45" t="n">
        <v>4662.606</v>
      </c>
      <c r="Q6" s="5" t="n"/>
      <c r="R6" s="6" t="n"/>
      <c r="S6" s="6">
        <f>IF(AND(Q6&lt;&gt;"",R6&lt;&gt;""),Q6*R6,"")</f>
        <v/>
      </c>
      <c r="T6" s="45">
        <f>IF(S6="",P6,S6)</f>
        <v/>
      </c>
      <c r="U6" s="7" t="n">
        <v>1</v>
      </c>
      <c r="V6" s="6">
        <f>$T6*U6</f>
        <v/>
      </c>
      <c r="W6" s="7" t="n">
        <v>0</v>
      </c>
      <c r="X6" s="6">
        <f>$T6*W6</f>
        <v/>
      </c>
      <c r="Y6" s="7" t="n">
        <v>0</v>
      </c>
      <c r="Z6" s="6">
        <f>$T6*Y6</f>
        <v/>
      </c>
      <c r="AA6" s="7" t="n">
        <v>0</v>
      </c>
      <c r="AB6" s="6">
        <f>$T6*AA6</f>
        <v/>
      </c>
      <c r="AC6" s="7" t="n">
        <v>0</v>
      </c>
      <c r="AD6" s="6">
        <f>$T6*AC6</f>
        <v/>
      </c>
      <c r="AE6" s="7" t="n">
        <v>0</v>
      </c>
      <c r="AF6" s="6">
        <f>$T6*AE6</f>
        <v/>
      </c>
      <c r="AG6" s="7" t="n">
        <v>0</v>
      </c>
      <c r="AH6" s="6">
        <f>$T6*AG6</f>
        <v/>
      </c>
      <c r="AI6" s="7">
        <f>U6+W6+Y6+AA6+AC6+AE6+AG6</f>
        <v/>
      </c>
      <c r="AJ6" s="6">
        <f>V6+X6+Z6+AB6+AD6+AF6+AH6</f>
        <v/>
      </c>
    </row>
    <row r="7" hidden="1" ht="60" customHeight="1" s="46">
      <c r="A7" s="3" t="inlineStr">
        <is>
          <t>LOM241.1C.27.050.0100.C</t>
        </is>
      </c>
      <c r="B7" s="4" t="inlineStr">
        <is>
          <t>1/3</t>
        </is>
      </c>
      <c r="C7" s="3" t="inlineStr">
        <is>
          <t>EDILE</t>
        </is>
      </c>
      <c r="D7" s="4" t="inlineStr">
        <is>
          <t>NON SPECIALE</t>
        </is>
      </c>
      <c r="E7" s="4" t="inlineStr">
        <is>
          <t>EDILI</t>
        </is>
      </c>
      <c r="F7" s="3" t="inlineStr">
        <is>
          <t>1_2025.11.20_CME REV07.PDF</t>
        </is>
      </c>
      <c r="G7" s="4" t="inlineStr">
        <is>
          <t>4</t>
        </is>
      </c>
      <c r="H7" s="3" t="inlineStr">
        <is>
          <t>10 - PREPARAZIONE</t>
        </is>
      </c>
      <c r="I7" s="3" t="inlineStr">
        <is>
          <t>NUOVI LABORATORI</t>
        </is>
      </c>
      <c r="J7" s="3" t="inlineStr">
        <is>
          <t>SCAVI E MOVIMENTI TERRA</t>
        </is>
      </c>
      <c r="K7" s="3" t="inlineStr">
        <is>
          <t>ONERI PER CONFERIMENTO IN IMPIANTI AUTORIZZATI DEI SEGUENTI RIFIUTI URBANI E SPECIALI NON PERICOLOSI: - TERRE E ROCCE NON CONTENENTI SOSTANZE PERICOLOSE (CER 170504), PRESSO IMPIANTO DI RECUPERO AUTOR</t>
        </is>
      </c>
      <c r="L7" s="3" t="inlineStr">
        <is>
          <t>ONERI PER CONFERIMENTO IN IMPIANTI AUTORIZZATI DEI SEGUENTI RIFIUTI URBANI E SPECIALI NON PERICOLOSI: - TERRE E ROCCE NON CONTENENTI SOSTANZE PERICOLOSE (CER 170504), PRESSO IMPIANTO DI RECUPERO AUTORIZZATO, SECONDO IL GIUDIZIO DI AMMISSIBILITÀ IN DISCARICA RILASCIATO DAL LABORATORIO DI ANALISI AI SENSI DEL D.M. 27/09/2010</t>
        </is>
      </c>
      <c r="M7" s="4" t="inlineStr">
        <is>
          <t>100 KG</t>
        </is>
      </c>
      <c r="N7" s="5" t="n">
        <v>-3439.8</v>
      </c>
      <c r="O7" s="45" t="n">
        <v>0.82</v>
      </c>
      <c r="P7" s="45" t="n">
        <v>-2820.636</v>
      </c>
      <c r="Q7" s="18" t="n"/>
      <c r="R7" s="17" t="n"/>
      <c r="S7" s="17">
        <f>IF(AND(Q7&lt;&gt;"",R7&lt;&gt;""),Q7*R7,"")</f>
        <v/>
      </c>
      <c r="T7" s="45">
        <f>IF(S7="",P7,S7)</f>
        <v/>
      </c>
      <c r="U7" s="7" t="n">
        <v>1</v>
      </c>
      <c r="V7" s="6">
        <f>$T7*U7</f>
        <v/>
      </c>
      <c r="W7" s="7" t="n">
        <v>0</v>
      </c>
      <c r="X7" s="6">
        <f>$T7*W7</f>
        <v/>
      </c>
      <c r="Y7" s="7" t="n">
        <v>0</v>
      </c>
      <c r="Z7" s="6">
        <f>$T7*Y7</f>
        <v/>
      </c>
      <c r="AA7" s="7" t="n">
        <v>0</v>
      </c>
      <c r="AB7" s="6">
        <f>$T7*AA7</f>
        <v/>
      </c>
      <c r="AC7" s="7" t="n">
        <v>0</v>
      </c>
      <c r="AD7" s="6">
        <f>$T7*AC7</f>
        <v/>
      </c>
      <c r="AE7" s="7" t="n">
        <v>0</v>
      </c>
      <c r="AF7" s="6">
        <f>$T7*AE7</f>
        <v/>
      </c>
      <c r="AG7" s="7" t="n">
        <v>0</v>
      </c>
      <c r="AH7" s="6">
        <f>$T7*AG7</f>
        <v/>
      </c>
      <c r="AI7" s="7">
        <f>U7+W7+Y7+AA7+AC7+AE7+AG7</f>
        <v/>
      </c>
      <c r="AJ7" s="6">
        <f>V7+X7+Z7+AB7+AD7+AF7+AH7</f>
        <v/>
      </c>
    </row>
    <row r="8" ht="60" customHeight="1" s="46">
      <c r="A8" s="3" t="inlineStr">
        <is>
          <t>LOM241.OC.EEA.C09.A6402.NA000.0000</t>
        </is>
      </c>
      <c r="B8" s="4" t="inlineStr">
        <is>
          <t>2/2</t>
        </is>
      </c>
      <c r="C8" s="3" t="inlineStr">
        <is>
          <t>EDILE</t>
        </is>
      </c>
      <c r="D8" s="4" t="inlineStr">
        <is>
          <t>NON SPECIALE</t>
        </is>
      </c>
      <c r="E8" s="4" t="inlineStr">
        <is>
          <t>EDILI</t>
        </is>
      </c>
      <c r="F8" s="3" t="inlineStr">
        <is>
          <t>1_2025.11.20_CME REV07.PDF</t>
        </is>
      </c>
      <c r="G8" s="4" t="inlineStr">
        <is>
          <t>5</t>
        </is>
      </c>
      <c r="H8" s="3" t="inlineStr">
        <is>
          <t>10 - PREPARAZIONE</t>
        </is>
      </c>
      <c r="I8" s="3" t="inlineStr">
        <is>
          <t>NUOVI LABORATORI</t>
        </is>
      </c>
      <c r="J8" s="3" t="inlineStr">
        <is>
          <t>SCAVI E MOVIMENTI TERRA</t>
        </is>
      </c>
      <c r="K8" s="3" t="inlineStr">
        <is>
          <t xml:space="preserve">OPERA: SBANCAMENTO DI TERRENO GENERICO. INCLUSO: TROVANTI ROCCIOSI/RELITTI DI MURATURE FINO A 0.750 M³. ESCLUSO: ROCCIA. </t>
        </is>
      </c>
      <c r="L8" s="3" t="inlineStr">
        <is>
          <t>OPERA: SBANCAMENTO DI TERRENO GENERICO. INCLUSO: TROVANTI ROCCIOSI/RELITTI DI MURATURE FINO A 0.750 M³. ESCLUSO: ROCCIA. 
LAVORO: SCAVO. INCLUSO: SPIANAMENTO E CONFIGURAZIONE FONDO ANCHE A GRADONI; PROFILATURA DI PARETI E SCARPATE; CARICO, TRASPORTO ED ACCATASTAMENTO MATERIALE IN CANTIERE. ESCLUSO: ARMO DI SCAVO; OPERE DI SEGNALAZIONE E PROTEZIONE. 
SPECIFICHE TECNICHE: TERRENO DI MATERIALI DI NATURA E CONSISTENZA GENERICHE TERRENO ASCIUTTO/BAGNATO/MELMOSO, PROFONDITÀ GENERICA. 
COMPONENTI: 
OP1 OPERA: SBANCAMENTO DI TERRENO GENERICO. INCLUSO: TROVANTI ROCCIOSI/RELITTI DI MURATURE FINO A 0.750 M³. ESCLUSO: ROCCIA. 
SPECIFICHE TECNICHE: TERRENO DI MATERIALI DI NATURA E CONSISTENZA GENERICHE TERRENO ASCIUTTO/BAGNATO/MELMOSO. 
RM2 TERRENO DI TERRENO GENERICO 
LV1 LAVORO: SCAVO. INCLUSO: SPIANAMENTO E CONFIGURAZIONE FONDO ANCHE A GRADONI; PROFILATURA DI PARETI E SCARPATE; CARICO, TRASPORTO ED ACCATASTAMENTO MATERIALE IN CANTIERE. ESCLUSO: ARMO DI SCAVO; OPERE DI SEGNALAZIONE E PROTEZIONE. 
SPECIFICHE TECNICHE: PROFONDITÀ GENERICA. 
RP2 ESCAVATORE CINGOLATO; POTENZA [KW] ≤ 90; PESO [T] ≤ 19 
SPECIFICHE TECNICHE: CRITERIO DI MISURAZIONE: ORE DI PRESENZA IN CANTIERE 
RP2 AUTOCARRO A CASSONE RIBALTABILE; PORTATA [T] ≤ 5,0 
SPECIFICHE TECNICHE: CRITERIO DI MISURAZIONE: ORE DI PRESENZA IN CANTIERE</t>
        </is>
      </c>
      <c r="M8" s="4" t="inlineStr">
        <is>
          <t>M³</t>
        </is>
      </c>
      <c r="N8" s="5" t="n">
        <v>877.5</v>
      </c>
      <c r="O8" s="45" t="n">
        <v>5.88</v>
      </c>
      <c r="P8" s="45" t="n">
        <v>5159.7</v>
      </c>
      <c r="Q8" s="5" t="n"/>
      <c r="R8" s="6" t="n"/>
      <c r="S8" s="6">
        <f>IF(AND(Q8&lt;&gt;"",R8&lt;&gt;""),Q8*R8,"")</f>
        <v/>
      </c>
      <c r="T8" s="45">
        <f>IF(S8="",P8,S8)</f>
        <v/>
      </c>
      <c r="U8" s="7" t="n">
        <v>0</v>
      </c>
      <c r="V8" s="6">
        <f>$T8*U8</f>
        <v/>
      </c>
      <c r="W8" s="7" t="n">
        <v>0.75</v>
      </c>
      <c r="X8" s="6">
        <f>$T8*W8</f>
        <v/>
      </c>
      <c r="Y8" s="7" t="n">
        <v>0</v>
      </c>
      <c r="Z8" s="6">
        <f>$T8*Y8</f>
        <v/>
      </c>
      <c r="AA8" s="7" t="n">
        <v>0</v>
      </c>
      <c r="AB8" s="6">
        <f>$T8*AA8</f>
        <v/>
      </c>
      <c r="AC8" s="7" t="n">
        <v>0</v>
      </c>
      <c r="AD8" s="6">
        <f>$T8*AC8</f>
        <v/>
      </c>
      <c r="AE8" s="7" t="n">
        <v>0</v>
      </c>
      <c r="AF8" s="6">
        <f>$T8*AE8</f>
        <v/>
      </c>
      <c r="AG8" s="7" t="n">
        <v>0</v>
      </c>
      <c r="AH8" s="6">
        <f>$T8*AG8</f>
        <v/>
      </c>
      <c r="AI8" s="7">
        <f>U8+W8+Y8+AA8+AC8+AE8+AG8</f>
        <v/>
      </c>
      <c r="AJ8" s="6">
        <f>V8+X8+Z8+AB8+AD8+AF8+AH8</f>
        <v/>
      </c>
    </row>
    <row r="9" hidden="1" ht="60" customHeight="1" s="46">
      <c r="A9" s="3" t="inlineStr">
        <is>
          <t>LOM241.1U.04.110.0040.B</t>
        </is>
      </c>
      <c r="B9" s="4" t="inlineStr">
        <is>
          <t>2/4</t>
        </is>
      </c>
      <c r="C9" s="3" t="inlineStr">
        <is>
          <t>EDILE</t>
        </is>
      </c>
      <c r="D9" s="4" t="inlineStr">
        <is>
          <t>NON SPECIALE</t>
        </is>
      </c>
      <c r="E9" s="4" t="inlineStr">
        <is>
          <t>EDILI</t>
        </is>
      </c>
      <c r="F9" s="3" t="inlineStr">
        <is>
          <t>1_2025.11.20_CME REV07.PDF</t>
        </is>
      </c>
      <c r="G9" s="4" t="inlineStr">
        <is>
          <t>6</t>
        </is>
      </c>
      <c r="H9" s="3" t="inlineStr">
        <is>
          <t>10 - PREPARAZIONE</t>
        </is>
      </c>
      <c r="I9" s="3" t="inlineStr">
        <is>
          <t>NUOVI LABORATORI</t>
        </is>
      </c>
      <c r="J9" s="3" t="inlineStr">
        <is>
          <t>SCAVI E MOVIMENTI TERRA</t>
        </is>
      </c>
      <c r="K9" s="3" t="inlineStr">
        <is>
          <t>COMPATTAZIONE DEL PIANO DI POSA DELLA FONDAZIONE STRADALE, NEI TRATTI IN TRINCEA, FINO A RAGGIUNGERE IN OGNI PUNTO UN VALORE DELLA DENSITÀ NON MINORE DEL 95% DI QUELLA MASSIMA DELLA PROVA AASHO MODIFI</t>
        </is>
      </c>
      <c r="L9" s="3" t="inlineStr">
        <is>
          <t>COMPATTAZIONE DEL PIANO DI POSA DELLA FONDAZIONE STRADALE, NEI TRATTI IN TRINCEA, FINO A RAGGIUNGERE IN OGNI PUNTO UN VALORE DELLA DENSITÀ NON MINORE DEL 95% DI QUELLA MASSIMA DELLA PROVA AASHO MODIFICATA, ED UN VALORE DEL MODULO DI COMPRESSIBILITÀ ME NON MINORE DI 50 N/MM², COMPRESI GLI EVENTUALI INUMIDIMENTI O ESSICAMENTI NECESSARI NEI TRATTI IN TRINCEA: - SU STRATI DI TERRENO A4, A5, A2-6, A2-7, SENZA ASPORTAZIONE O SOSTITUZIONE, MA CON EVENTUALE CORREZIONE DEI MATERIALI IN SITO PER UNA PROFONDITÀ DI CM 20, CON TERRENI ARIDI DA CONTABILIZZARE A PARTE.</t>
        </is>
      </c>
      <c r="M9" s="4" t="inlineStr">
        <is>
          <t>M²</t>
        </is>
      </c>
      <c r="N9" s="5" t="n">
        <v>150</v>
      </c>
      <c r="O9" s="45" t="n">
        <v>1.76</v>
      </c>
      <c r="P9" s="45" t="n">
        <v>264</v>
      </c>
      <c r="Q9" s="5" t="n"/>
      <c r="R9" s="6" t="n"/>
      <c r="S9" s="6">
        <f>IF(AND(Q9&lt;&gt;"",R9&lt;&gt;""),Q9*R9,"")</f>
        <v/>
      </c>
      <c r="T9" s="45">
        <f>IF(S9="",P9,S9)</f>
        <v/>
      </c>
      <c r="U9" s="7" t="n">
        <v>0</v>
      </c>
      <c r="V9" s="6">
        <f>$T9*U9</f>
        <v/>
      </c>
      <c r="W9" s="7" t="n">
        <v>0</v>
      </c>
      <c r="X9" s="6">
        <f>$T9*W9</f>
        <v/>
      </c>
      <c r="Y9" s="7" t="n">
        <v>0</v>
      </c>
      <c r="Z9" s="6">
        <f>$T9*Y9</f>
        <v/>
      </c>
      <c r="AA9" s="7" t="n">
        <v>0</v>
      </c>
      <c r="AB9" s="6">
        <f>$T9*AA9</f>
        <v/>
      </c>
      <c r="AC9" s="7" t="n">
        <v>0</v>
      </c>
      <c r="AD9" s="6">
        <f>$T9*AC9</f>
        <v/>
      </c>
      <c r="AE9" s="7" t="n">
        <v>0</v>
      </c>
      <c r="AF9" s="6">
        <f>$T9*AE9</f>
        <v/>
      </c>
      <c r="AG9" s="7" t="n">
        <v>0</v>
      </c>
      <c r="AH9" s="6">
        <f>$T9*AG9</f>
        <v/>
      </c>
      <c r="AI9" s="7">
        <f>U9+W9+Y9+AA9+AC9+AE9+AG9</f>
        <v/>
      </c>
      <c r="AJ9" s="6">
        <f>V9+X9+Z9+AB9+AD9+AF9+AH9</f>
        <v/>
      </c>
    </row>
    <row r="10" ht="42" customHeight="1" s="46">
      <c r="A10" s="3" t="inlineStr">
        <is>
          <t>LOM241.NC.90.050.0100.C</t>
        </is>
      </c>
      <c r="B10" s="4" t="inlineStr">
        <is>
          <t>2/2</t>
        </is>
      </c>
      <c r="C10" s="3" t="inlineStr">
        <is>
          <t>EDILE</t>
        </is>
      </c>
      <c r="D10" s="4" t="inlineStr">
        <is>
          <t>NON SPECIALE</t>
        </is>
      </c>
      <c r="E10" s="4" t="inlineStr">
        <is>
          <t>EDILI</t>
        </is>
      </c>
      <c r="F10" s="3" t="inlineStr">
        <is>
          <t>1_2025.11.20_CME REV07.PDF</t>
        </is>
      </c>
      <c r="G10" s="4" t="inlineStr">
        <is>
          <t>7</t>
        </is>
      </c>
      <c r="H10" s="3" t="inlineStr">
        <is>
          <t>10 - PREPARAZIONE</t>
        </is>
      </c>
      <c r="I10" s="3" t="inlineStr">
        <is>
          <t>NUOVI LABORATORI</t>
        </is>
      </c>
      <c r="J10" s="3" t="inlineStr">
        <is>
          <t>SCAVI E MOVIMENTI TERRA</t>
        </is>
      </c>
      <c r="K10" s="3" t="inlineStr">
        <is>
          <t>CARICO CON MEZZO MECCANICO DI MATERIALI SFUSI (TERRE DI SCAVO, MACERIE, INERTI ECC.), TRASPORTO E SCARICO, ALLE SEGUENTI DISTANZE DAL CANTIERE: - DA 1,1 FINO A 5 KM.</t>
        </is>
      </c>
      <c r="L10" s="3" t="inlineStr">
        <is>
          <t>CARICO CON MEZZO MECCANICO DI MATERIALI SFUSI (TERRE DI SCAVO, MACERIE, INERTI ECC.), TRASPORTO E SCARICO, ALLE SEGUENTI DISTANZE DAL CANTIERE: - DA 1,1 FINO A 5 KM.</t>
        </is>
      </c>
      <c r="M10" s="4" t="inlineStr">
        <is>
          <t>M³</t>
        </is>
      </c>
      <c r="N10" s="5" t="n">
        <v>877.5</v>
      </c>
      <c r="O10" s="45" t="n">
        <v>10.58</v>
      </c>
      <c r="P10" s="45" t="n">
        <v>9283.950000000001</v>
      </c>
      <c r="Q10" s="5" t="n"/>
      <c r="R10" s="6" t="n"/>
      <c r="S10" s="6">
        <f>IF(AND(Q10&lt;&gt;"",R10&lt;&gt;""),Q10*R10,"")</f>
        <v/>
      </c>
      <c r="T10" s="45">
        <f>IF(S10="",P10,S10)</f>
        <v/>
      </c>
      <c r="U10" s="7" t="n">
        <v>0</v>
      </c>
      <c r="V10" s="6">
        <f>$T10*U10</f>
        <v/>
      </c>
      <c r="W10" s="7" t="n">
        <v>0.75</v>
      </c>
      <c r="X10" s="6">
        <f>$T10*W10</f>
        <v/>
      </c>
      <c r="Y10" s="7" t="n">
        <v>0</v>
      </c>
      <c r="Z10" s="6">
        <f>$T10*Y10</f>
        <v/>
      </c>
      <c r="AA10" s="7" t="n">
        <v>0</v>
      </c>
      <c r="AB10" s="6">
        <f>$T10*AA10</f>
        <v/>
      </c>
      <c r="AC10" s="7" t="n">
        <v>0</v>
      </c>
      <c r="AD10" s="6">
        <f>$T10*AC10</f>
        <v/>
      </c>
      <c r="AE10" s="7" t="n">
        <v>0</v>
      </c>
      <c r="AF10" s="6">
        <f>$T10*AE10</f>
        <v/>
      </c>
      <c r="AG10" s="7" t="n">
        <v>0</v>
      </c>
      <c r="AH10" s="6">
        <f>$T10*AG10</f>
        <v/>
      </c>
      <c r="AI10" s="7">
        <f>U10+W10+Y10+AA10+AC10+AE10+AG10</f>
        <v/>
      </c>
      <c r="AJ10" s="6">
        <f>V10+X10+Z10+AB10+AD10+AF10+AH10</f>
        <v/>
      </c>
    </row>
    <row r="11" ht="60" customHeight="1" s="46">
      <c r="A11" s="3" t="inlineStr">
        <is>
          <t>LOM241.1C.27.050.0100.C</t>
        </is>
      </c>
      <c r="B11" s="4" t="inlineStr">
        <is>
          <t>2/3</t>
        </is>
      </c>
      <c r="C11" s="3" t="inlineStr">
        <is>
          <t>EDILE</t>
        </is>
      </c>
      <c r="D11" s="4" t="inlineStr">
        <is>
          <t>NON SPECIALE</t>
        </is>
      </c>
      <c r="E11" s="4" t="inlineStr">
        <is>
          <t>EDILI</t>
        </is>
      </c>
      <c r="F11" s="3" t="inlineStr">
        <is>
          <t>1_2025.11.20_CME REV07.PDF</t>
        </is>
      </c>
      <c r="G11" s="4" t="inlineStr">
        <is>
          <t>8</t>
        </is>
      </c>
      <c r="H11" s="3" t="inlineStr">
        <is>
          <t>10 - PREPARAZIONE</t>
        </is>
      </c>
      <c r="I11" s="3" t="inlineStr">
        <is>
          <t>NUOVI LABORATORI</t>
        </is>
      </c>
      <c r="J11" s="3" t="inlineStr">
        <is>
          <t>SCAVI E MOVIMENTI TERRA</t>
        </is>
      </c>
      <c r="K11" s="3" t="inlineStr">
        <is>
          <t>ONERI PER CONFERIMENTO IN IMPIANTI AUTORIZZATI DEI SEGUENTI RIFIUTI URBANI E SPECIALI NON PERICOLOSI: - TERRE E ROCCE NON CONTENENTI SOSTANZE PERICOLOSE (CER 170504), PRESSO IMPIANTO DI RECUPERO AUTOR</t>
        </is>
      </c>
      <c r="L11" s="3" t="inlineStr">
        <is>
          <t>ONERI PER CONFERIMENTO IN IMPIANTI AUTORIZZATI DEI SEGUENTI RIFIUTI URBANI E SPECIALI NON PERICOLOSI: - TERRE E ROCCE NON CONTENENTI SOSTANZE PERICOLOSE (CER 170504), PRESSO IMPIANTO DI RECUPERO AUTORIZZATO, SECONDO IL GIUDIZIO DI AMMISSIBILITÀ IN DISCARICA RILASCIATO DAL LABORATORIO DI ANALISI AI SENSI DEL D.M. 27/09/2010</t>
        </is>
      </c>
      <c r="M11" s="4" t="inlineStr">
        <is>
          <t>100 KG</t>
        </is>
      </c>
      <c r="N11" s="5" t="n">
        <v>15795</v>
      </c>
      <c r="O11" s="45" t="n">
        <v>0.82</v>
      </c>
      <c r="P11" s="45" t="n">
        <v>12951.9</v>
      </c>
      <c r="Q11" s="5" t="n"/>
      <c r="R11" s="6" t="n"/>
      <c r="S11" s="6">
        <f>IF(AND(Q11&lt;&gt;"",R11&lt;&gt;""),Q11*R11,"")</f>
        <v/>
      </c>
      <c r="T11" s="45">
        <f>IF(S11="",P11,S11)</f>
        <v/>
      </c>
      <c r="U11" s="7" t="n">
        <v>0</v>
      </c>
      <c r="V11" s="6">
        <f>$T11*U11</f>
        <v/>
      </c>
      <c r="W11" s="7" t="n">
        <v>0.75</v>
      </c>
      <c r="X11" s="6">
        <f>$T11*W11</f>
        <v/>
      </c>
      <c r="Y11" s="7" t="n">
        <v>0</v>
      </c>
      <c r="Z11" s="6">
        <f>$T11*Y11</f>
        <v/>
      </c>
      <c r="AA11" s="7" t="n">
        <v>0</v>
      </c>
      <c r="AB11" s="6">
        <f>$T11*AA11</f>
        <v/>
      </c>
      <c r="AC11" s="7" t="n">
        <v>0</v>
      </c>
      <c r="AD11" s="6">
        <f>$T11*AC11</f>
        <v/>
      </c>
      <c r="AE11" s="7" t="n">
        <v>0</v>
      </c>
      <c r="AF11" s="6">
        <f>$T11*AE11</f>
        <v/>
      </c>
      <c r="AG11" s="7" t="n">
        <v>0</v>
      </c>
      <c r="AH11" s="6">
        <f>$T11*AG11</f>
        <v/>
      </c>
      <c r="AI11" s="7">
        <f>U11+W11+Y11+AA11+AC11+AE11+AG11</f>
        <v/>
      </c>
      <c r="AJ11" s="6">
        <f>V11+X11+Z11+AB11+AD11+AF11+AH11</f>
        <v/>
      </c>
    </row>
    <row r="12" ht="60" customHeight="1" s="46">
      <c r="A12" s="3" t="inlineStr">
        <is>
          <t>LOM241.1C.27.050.0100.C</t>
        </is>
      </c>
      <c r="B12" s="4" t="inlineStr">
        <is>
          <t>3/3</t>
        </is>
      </c>
      <c r="C12" s="3" t="inlineStr">
        <is>
          <t>EDILE</t>
        </is>
      </c>
      <c r="D12" s="4" t="inlineStr">
        <is>
          <t>NON SPECIALE</t>
        </is>
      </c>
      <c r="E12" s="4" t="inlineStr">
        <is>
          <t>EDILI</t>
        </is>
      </c>
      <c r="F12" s="3" t="inlineStr">
        <is>
          <t>1_2025.11.20_CME REV07.PDF</t>
        </is>
      </c>
      <c r="G12" s="4" t="inlineStr">
        <is>
          <t>9</t>
        </is>
      </c>
      <c r="H12" s="3" t="inlineStr">
        <is>
          <t>10 - PREPARAZIONE</t>
        </is>
      </c>
      <c r="I12" s="3" t="inlineStr">
        <is>
          <t>NUOVI LABORATORI</t>
        </is>
      </c>
      <c r="J12" s="3" t="inlineStr">
        <is>
          <t>SCAVI E MOVIMENTI TERRA</t>
        </is>
      </c>
      <c r="K12" s="3" t="inlineStr">
        <is>
          <t>ONERI PER CONFERIMENTO IN IMPIANTI AUTORIZZATI DEI SEGUENTI RIFIUTI URBANI E SPECIALI NON PERICOLOSI: - TERRE E ROCCE NON CONTENENTI SOSTANZE PERICOLOSE (CER 170504), PRESSO IMPIANTO DI RECUPERO AUTOR</t>
        </is>
      </c>
      <c r="L12" s="3" t="inlineStr">
        <is>
          <t>ONERI PER CONFERIMENTO IN IMPIANTI AUTORIZZATI DEI SEGUENTI RIFIUTI URBANI E SPECIALI NON PERICOLOSI: - TERRE E ROCCE NON CONTENENTI SOSTANZE PERICOLOSE (CER 170504), PRESSO IMPIANTO DI RECUPERO AUTORIZZATO, SECONDO IL GIUDIZIO DI AMMISSIBILITÀ IN DISCARICA RILASCIATO DAL LABORATORIO DI ANALISI AI SENSI DEL D.M. 27/09/2010</t>
        </is>
      </c>
      <c r="M12" s="4" t="inlineStr">
        <is>
          <t>100 KG</t>
        </is>
      </c>
      <c r="N12" s="5" t="n">
        <v>15795</v>
      </c>
      <c r="O12" s="45" t="n">
        <v>0.82</v>
      </c>
      <c r="P12" s="45" t="n">
        <v>12951.9</v>
      </c>
      <c r="Q12" s="5" t="n"/>
      <c r="R12" s="6" t="n"/>
      <c r="S12" s="6">
        <f>IF(AND(Q12&lt;&gt;"",R12&lt;&gt;""),Q12*R12,"")</f>
        <v/>
      </c>
      <c r="T12" s="45">
        <f>IF(S12="",P12,S12)</f>
        <v/>
      </c>
      <c r="U12" s="7" t="n">
        <v>0</v>
      </c>
      <c r="V12" s="6">
        <f>$T12*U12</f>
        <v/>
      </c>
      <c r="W12" s="7" t="n">
        <v>0.75</v>
      </c>
      <c r="X12" s="6">
        <f>$T12*W12</f>
        <v/>
      </c>
      <c r="Y12" s="7" t="n">
        <v>0</v>
      </c>
      <c r="Z12" s="6">
        <f>$T12*Y12</f>
        <v/>
      </c>
      <c r="AA12" s="7" t="n">
        <v>0</v>
      </c>
      <c r="AB12" s="6">
        <f>$T12*AA12</f>
        <v/>
      </c>
      <c r="AC12" s="7" t="n">
        <v>0</v>
      </c>
      <c r="AD12" s="6">
        <f>$T12*AC12</f>
        <v/>
      </c>
      <c r="AE12" s="7" t="n">
        <v>0</v>
      </c>
      <c r="AF12" s="6">
        <f>$T12*AE12</f>
        <v/>
      </c>
      <c r="AG12" s="7" t="n">
        <v>0</v>
      </c>
      <c r="AH12" s="6">
        <f>$T12*AG12</f>
        <v/>
      </c>
      <c r="AI12" s="7">
        <f>U12+W12+Y12+AA12+AC12+AE12+AG12</f>
        <v/>
      </c>
      <c r="AJ12" s="6">
        <f>V12+X12+Z12+AB12+AD12+AF12+AH12</f>
        <v/>
      </c>
    </row>
    <row r="13" ht="60" customHeight="1" s="46">
      <c r="A13" s="3" t="inlineStr">
        <is>
          <t>LOM241.OC.EEA.C09.A6400.NA000.0000.B</t>
        </is>
      </c>
      <c r="B13" s="4" t="inlineStr">
        <is>
          <t>1/2</t>
        </is>
      </c>
      <c r="C13" s="3" t="inlineStr">
        <is>
          <t>EDILE</t>
        </is>
      </c>
      <c r="D13" s="4" t="inlineStr">
        <is>
          <t>NON SPECIALE</t>
        </is>
      </c>
      <c r="E13" s="4" t="inlineStr">
        <is>
          <t>EDILI</t>
        </is>
      </c>
      <c r="F13" s="3" t="inlineStr">
        <is>
          <t>1_2025.11.20_CME REV07.PDF</t>
        </is>
      </c>
      <c r="G13" s="4" t="inlineStr">
        <is>
          <t>28</t>
        </is>
      </c>
      <c r="H13" s="3" t="inlineStr">
        <is>
          <t>10 - PREPARAZIONE</t>
        </is>
      </c>
      <c r="I13" s="3" t="inlineStr">
        <is>
          <t>NUOVI LABORATORI</t>
        </is>
      </c>
      <c r="J13" s="3" t="inlineStr">
        <is>
          <t>SCAVI E MOVIMENTI TERRA</t>
        </is>
      </c>
      <c r="K13" s="3" t="inlineStr">
        <is>
          <t xml:space="preserve">OPERA: SCOTICO DI TERRENO GENERICO. </t>
        </is>
      </c>
      <c r="L13" s="3" t="inlineStr">
        <is>
          <t>OPERA: SCOTICO DI TERRENO GENERICO. 
LAVORO: SCAVO CON MEZZI MECCANICI. INCLUSO: ESTIRPAZIONE ERBA, ARBUSTI, ALBERI DI PICCOLE DIMENSIONI; DEMOLIZIONE E RIMOZIONE RECINZIONI; CARICO E TRASPORTO TERRE AD IMPIANTO DI STOCCAGGIO, DI RECUPERO. 
SPECIFICHE TECNICHE: TERRENO DI NATURA GENERICA. 
COMPONENTI: 
OP1 OPERA: SCOTICO DI TERRENO GENERICO. 
SPECIFICHE TECNICHE: TERRENO DI NATURA GENERICA. 
RM2 TERRENO DI TERRENO GENERICO 
LV1 LAVORO: SCAVO CON MEZZI MECCANICI. INCLUSO: ESTIRPAZIONE ERBA, ARBUSTI, ALBERI DI PICCOLE DIMENSIONI; DEMOLIZIONE E RIMOZIONE RECINZIONI; CARICO E TRASPORTO TERRE AD IMPIANTO DI STOCCAGGIO, DI RECUPERO. 
RP2 AUTOCARRO A CASSONE RIBALTABILE; PORTATA [T] ≤ 1,5 
SPECIFICHE TECNICHE: CRITERIO DI MISURAZIONE: ORE DI PRESENZA IN CANTIERE</t>
        </is>
      </c>
      <c r="M13" s="4" t="inlineStr">
        <is>
          <t>M³</t>
        </is>
      </c>
      <c r="N13" s="5" t="n">
        <v>117.6</v>
      </c>
      <c r="O13" s="45" t="n">
        <v>11.76</v>
      </c>
      <c r="P13" s="45" t="n">
        <v>1382.976</v>
      </c>
      <c r="Q13" s="5" t="n"/>
      <c r="R13" s="6" t="n"/>
      <c r="S13" s="6">
        <f>IF(AND(Q13&lt;&gt;"",R13&lt;&gt;""),Q13*R13,"")</f>
        <v/>
      </c>
      <c r="T13" s="45">
        <f>IF(S13="",P13,S13)</f>
        <v/>
      </c>
      <c r="U13" s="7" t="n">
        <v>0</v>
      </c>
      <c r="V13" s="6">
        <f>$T13*U13</f>
        <v/>
      </c>
      <c r="W13" s="7" t="n">
        <v>0.75</v>
      </c>
      <c r="X13" s="6">
        <f>$T13*W13</f>
        <v/>
      </c>
      <c r="Y13" s="7" t="n">
        <v>0</v>
      </c>
      <c r="Z13" s="6">
        <f>$T13*Y13</f>
        <v/>
      </c>
      <c r="AA13" s="7" t="n">
        <v>0</v>
      </c>
      <c r="AB13" s="6">
        <f>$T13*AA13</f>
        <v/>
      </c>
      <c r="AC13" s="7" t="n">
        <v>0</v>
      </c>
      <c r="AD13" s="6">
        <f>$T13*AC13</f>
        <v/>
      </c>
      <c r="AE13" s="7" t="n">
        <v>0</v>
      </c>
      <c r="AF13" s="6">
        <f>$T13*AE13</f>
        <v/>
      </c>
      <c r="AG13" s="7" t="n">
        <v>0</v>
      </c>
      <c r="AH13" s="6">
        <f>$T13*AG13</f>
        <v/>
      </c>
      <c r="AI13" s="7">
        <f>U13+W13+Y13+AA13+AC13+AE13+AG13</f>
        <v/>
      </c>
      <c r="AJ13" s="6">
        <f>V13+X13+Z13+AB13+AD13+AF13+AH13</f>
        <v/>
      </c>
    </row>
    <row r="14" hidden="1" ht="60" customHeight="1" s="46">
      <c r="A14" s="3" t="inlineStr">
        <is>
          <t>LOM241.1U.04.110.0040.B</t>
        </is>
      </c>
      <c r="B14" s="4" t="inlineStr">
        <is>
          <t>3/4</t>
        </is>
      </c>
      <c r="C14" s="3" t="inlineStr">
        <is>
          <t>EDILE</t>
        </is>
      </c>
      <c r="D14" s="4" t="inlineStr">
        <is>
          <t>NON SPECIALE</t>
        </is>
      </c>
      <c r="E14" s="4" t="inlineStr">
        <is>
          <t>EDILI</t>
        </is>
      </c>
      <c r="F14" s="3" t="inlineStr">
        <is>
          <t>1_2025.11.20_CME REV07.PDF</t>
        </is>
      </c>
      <c r="G14" s="4" t="inlineStr">
        <is>
          <t>30</t>
        </is>
      </c>
      <c r="H14" s="3" t="inlineStr">
        <is>
          <t>10 - PREPARAZIONE</t>
        </is>
      </c>
      <c r="I14" s="3" t="inlineStr">
        <is>
          <t>NUOVI LABORATORI</t>
        </is>
      </c>
      <c r="J14" s="3" t="inlineStr">
        <is>
          <t>SCAVI E MOVIMENTI TERRA</t>
        </is>
      </c>
      <c r="K14" s="3" t="inlineStr">
        <is>
          <t>COMPATTAZIONE DEL PIANO DI POSA DELLA FONDAZIONE STRADALE, NEI TRATTI IN TRINCEA, FINO A RAGGIUNGERE IN OGNI PUNTO UN VALORE DELLA DENSITÀ NON MINORE DEL 95% DI QUELLA MASSIMA DELLA PROVA AASHO MODIFI</t>
        </is>
      </c>
      <c r="L14" s="3" t="inlineStr">
        <is>
          <t>COMPATTAZIONE DEL PIANO DI POSA DELLA FONDAZIONE STRADALE, NEI TRATTI IN TRINCEA, FINO A RAGGIUNGERE IN OGNI PUNTO UN VALORE DELLA DENSITÀ NON MINORE DEL 95% DI QUELLA MASSIMA DELLA PROVA AASHO MODIFICATA, ED UN VALORE DEL MODULO DI COMPRESSIBILITÀ ME NON MINORE DI 50 N/MM², COMPRESI GLI EVENTUALI INUMIDIMENTI O ESSICAMENTI NECESSARI NEI TRATTI IN TRINCEA: - SU STRATI DI TERRENO A4, A5, A2-6, A2-7, SENZA ASPORTAZIONE O SOSTITUZIONE, MA CON EVENTUALE CORREZIONE DEI MATERIALI IN SITO PER UNA PROFONDITÀ DI CM 20, CON TERRENI ARIDI DA CONTABILIZZARE A PARTE.</t>
        </is>
      </c>
      <c r="M14" s="4" t="inlineStr">
        <is>
          <t>M²</t>
        </is>
      </c>
      <c r="N14" s="5" t="n">
        <v>395</v>
      </c>
      <c r="O14" s="45" t="n">
        <v>1.76</v>
      </c>
      <c r="P14" s="45" t="n">
        <v>695.2</v>
      </c>
      <c r="Q14" s="5" t="n"/>
      <c r="R14" s="6" t="n"/>
      <c r="S14" s="6">
        <f>IF(AND(Q14&lt;&gt;"",R14&lt;&gt;""),Q14*R14,"")</f>
        <v/>
      </c>
      <c r="T14" s="45">
        <f>IF(S14="",P14,S14)</f>
        <v/>
      </c>
      <c r="U14" s="7" t="n">
        <v>0</v>
      </c>
      <c r="V14" s="6">
        <f>$T14*U14</f>
        <v/>
      </c>
      <c r="W14" s="7" t="n">
        <v>0</v>
      </c>
      <c r="X14" s="6">
        <f>$T14*W14</f>
        <v/>
      </c>
      <c r="Y14" s="7" t="n">
        <v>0</v>
      </c>
      <c r="Z14" s="6">
        <f>$T14*Y14</f>
        <v/>
      </c>
      <c r="AA14" s="7" t="n">
        <v>0</v>
      </c>
      <c r="AB14" s="6">
        <f>$T14*AA14</f>
        <v/>
      </c>
      <c r="AC14" s="7" t="n">
        <v>0</v>
      </c>
      <c r="AD14" s="6">
        <f>$T14*AC14</f>
        <v/>
      </c>
      <c r="AE14" s="7" t="n">
        <v>0</v>
      </c>
      <c r="AF14" s="6">
        <f>$T14*AE14</f>
        <v/>
      </c>
      <c r="AG14" s="7" t="n">
        <v>0</v>
      </c>
      <c r="AH14" s="6">
        <f>$T14*AG14</f>
        <v/>
      </c>
      <c r="AI14" s="7">
        <f>U14+W14+Y14+AA14+AC14+AE14+AG14</f>
        <v/>
      </c>
      <c r="AJ14" s="6">
        <f>V14+X14+Z14+AB14+AD14+AF14+AH14</f>
        <v/>
      </c>
    </row>
    <row r="15" hidden="1" ht="60" customHeight="1" s="46">
      <c r="A15" s="3" t="inlineStr">
        <is>
          <t>LOM241.OC.EEA.C09.A6400.NA000.0000.B</t>
        </is>
      </c>
      <c r="B15" s="4" t="inlineStr">
        <is>
          <t>2/2</t>
        </is>
      </c>
      <c r="C15" s="3" t="inlineStr">
        <is>
          <t>EDILE</t>
        </is>
      </c>
      <c r="D15" s="4" t="inlineStr">
        <is>
          <t>NON SPECIALE</t>
        </is>
      </c>
      <c r="E15" s="4" t="inlineStr">
        <is>
          <t>EDILI</t>
        </is>
      </c>
      <c r="F15" s="3" t="inlineStr">
        <is>
          <t>1_2025.11.20_CME REV07.PDF</t>
        </is>
      </c>
      <c r="G15" s="4" t="inlineStr">
        <is>
          <t>33</t>
        </is>
      </c>
      <c r="H15" s="3" t="inlineStr">
        <is>
          <t>10 - PREPARAZIONE</t>
        </is>
      </c>
      <c r="I15" s="3" t="inlineStr">
        <is>
          <t>NUOVI LABORATORI</t>
        </is>
      </c>
      <c r="J15" s="3" t="inlineStr">
        <is>
          <t>SCAVI E MOVIMENTI TERRA</t>
        </is>
      </c>
      <c r="K15" s="3" t="inlineStr">
        <is>
          <t xml:space="preserve">OPERA: SCOTICO DI TERRENO GENERICO. </t>
        </is>
      </c>
      <c r="L15" s="3" t="inlineStr">
        <is>
          <t>OPERA: SCOTICO DI TERRENO GENERICO. 
LAVORO: SCAVO CON MEZZI MECCANICI. INCLUSO: ESTIRPAZIONE ERBA, ARBUSTI, ALBERI DI PICCOLE DIMENSIONI; DEMOLIZIONE E RIMOZIONE RECINZIONI; CARICO E TRASPORTO TERRE AD IMPIANTO DI STOCCAGGIO, DI RECUPERO. 
SPECIFICHE TECNICHE: TERRENO DI NATURA GENERICA. 
COMPONENTI: 
OP1 OPERA: SCOTICO DI TERRENO GENERICO. 
SPECIFICHE TECNICHE: TERRENO DI NATURA GENERICA. 
RM2 TERRENO DI TERRENO GENERICO 
LV1 LAVORO: SCAVO CON MEZZI MECCANICI. INCLUSO: ESTIRPAZIONE ERBA, ARBUSTI, ALBERI DI PICCOLE DIMENSIONI; DEMOLIZIONE E RIMOZIONE RECINZIONI; CARICO E TRASPORTO TERRE AD IMPIANTO DI STOCCAGGIO, DI RECUPERO. 
RP2 AUTOCARRO A CASSONE RIBALTABILE; PORTATA [T] ≤ 1,5 
SPECIFICHE TECNICHE: CRITERIO DI MISURAZIONE: ORE DI PRESENZA IN CANTIERE</t>
        </is>
      </c>
      <c r="M15" s="4" t="inlineStr">
        <is>
          <t>M³</t>
        </is>
      </c>
      <c r="N15" s="5" t="n">
        <v>72</v>
      </c>
      <c r="O15" s="45" t="n">
        <v>11.76</v>
      </c>
      <c r="P15" s="45" t="n">
        <v>846.72</v>
      </c>
      <c r="Q15" s="5" t="n"/>
      <c r="R15" s="6" t="n"/>
      <c r="S15" s="6">
        <f>IF(AND(Q15&lt;&gt;"",R15&lt;&gt;""),Q15*R15,"")</f>
        <v/>
      </c>
      <c r="T15" s="45">
        <f>IF(S15="",P15,S15)</f>
        <v/>
      </c>
      <c r="U15" s="7" t="n">
        <v>0</v>
      </c>
      <c r="V15" s="6">
        <f>$T15*U15</f>
        <v/>
      </c>
      <c r="W15" s="7" t="n">
        <v>0</v>
      </c>
      <c r="X15" s="6">
        <f>$T15*W15</f>
        <v/>
      </c>
      <c r="Y15" s="7" t="n">
        <v>0</v>
      </c>
      <c r="Z15" s="6">
        <f>$T15*Y15</f>
        <v/>
      </c>
      <c r="AA15" s="7" t="n">
        <v>0</v>
      </c>
      <c r="AB15" s="6">
        <f>$T15*AA15</f>
        <v/>
      </c>
      <c r="AC15" s="7" t="n">
        <v>0</v>
      </c>
      <c r="AD15" s="6">
        <f>$T15*AC15</f>
        <v/>
      </c>
      <c r="AE15" s="7" t="n">
        <v>0</v>
      </c>
      <c r="AF15" s="6">
        <f>$T15*AE15</f>
        <v/>
      </c>
      <c r="AG15" s="7" t="n">
        <v>0</v>
      </c>
      <c r="AH15" s="6">
        <f>$T15*AG15</f>
        <v/>
      </c>
      <c r="AI15" s="7">
        <f>U15+W15+Y15+AA15+AC15+AE15+AG15</f>
        <v/>
      </c>
      <c r="AJ15" s="6">
        <f>V15+X15+Z15+AB15+AD15+AF15+AH15</f>
        <v/>
      </c>
    </row>
    <row r="16" hidden="1" ht="60" customHeight="1" s="46">
      <c r="A16" s="3" t="inlineStr">
        <is>
          <t>LOM241.1U.04.110.0040.B</t>
        </is>
      </c>
      <c r="B16" s="4" t="inlineStr">
        <is>
          <t>4/4</t>
        </is>
      </c>
      <c r="C16" s="3" t="inlineStr">
        <is>
          <t>EDILE</t>
        </is>
      </c>
      <c r="D16" s="4" t="inlineStr">
        <is>
          <t>NON SPECIALE</t>
        </is>
      </c>
      <c r="E16" s="4" t="inlineStr">
        <is>
          <t>EDILI</t>
        </is>
      </c>
      <c r="F16" s="3" t="inlineStr">
        <is>
          <t>1_2025.11.20_CME REV07.PDF</t>
        </is>
      </c>
      <c r="G16" s="4" t="inlineStr">
        <is>
          <t>35</t>
        </is>
      </c>
      <c r="H16" s="3" t="inlineStr">
        <is>
          <t>10 - PREPARAZIONE</t>
        </is>
      </c>
      <c r="I16" s="3" t="inlineStr">
        <is>
          <t>NUOVI LABORATORI</t>
        </is>
      </c>
      <c r="J16" s="3" t="inlineStr">
        <is>
          <t>SCAVI E MOVIMENTI TERRA</t>
        </is>
      </c>
      <c r="K16" s="3" t="inlineStr">
        <is>
          <t>COMPATTAZIONE DEL PIANO DI POSA DELLA FONDAZIONE STRADALE, NEI TRATTI IN TRINCEA, FINO A RAGGIUNGERE IN OGNI PUNTO UN VALORE DELLA DENSITÀ NON MINORE DEL 95% DI QUELLA MASSIMA DELLA PROVA AASHO MODIFI</t>
        </is>
      </c>
      <c r="L16" s="3" t="inlineStr">
        <is>
          <t>COMPATTAZIONE DEL PIANO DI POSA DELLA FONDAZIONE STRADALE, NEI TRATTI IN TRINCEA, FINO A RAGGIUNGERE IN OGNI PUNTO UN VALORE DELLA DENSITÀ NON MINORE DEL 95% DI QUELLA MASSIMA DELLA PROVA AASHO MODIFICATA, ED UN VALORE DEL MODULO DI COMPRESSIBILITÀ ME NON MINORE DI 50 N/MM², COMPRESI GLI EVENTUALI INUMIDIMENTI O ESSICAMENTI NECESSARI NEI TRATTI IN TRINCEA: - SU STRATI DI TERRENO A4, A5, A2-6, A2-7, SENZA ASPORTAZIONE O SOSTITUZIONE, MA CON EVENTUALE CORREZIONE DEI MATERIALI IN SITO PER UNA PROFONDITÀ DI CM 20, CON TERRENI ARIDI DA CONTABILIZZARE A PARTE.</t>
        </is>
      </c>
      <c r="M16" s="4" t="inlineStr">
        <is>
          <t>M²</t>
        </is>
      </c>
      <c r="N16" s="5" t="n">
        <v>240</v>
      </c>
      <c r="O16" s="45" t="n">
        <v>1.76</v>
      </c>
      <c r="P16" s="45" t="n">
        <v>422.4</v>
      </c>
      <c r="Q16" s="5" t="n"/>
      <c r="R16" s="6" t="n"/>
      <c r="S16" s="6">
        <f>IF(AND(Q16&lt;&gt;"",R16&lt;&gt;""),Q16*R16,"")</f>
        <v/>
      </c>
      <c r="T16" s="45">
        <f>IF(S16="",P16,S16)</f>
        <v/>
      </c>
      <c r="U16" s="7" t="n">
        <v>0</v>
      </c>
      <c r="V16" s="6">
        <f>$T16*U16</f>
        <v/>
      </c>
      <c r="W16" s="7" t="n">
        <v>0</v>
      </c>
      <c r="X16" s="6">
        <f>$T16*W16</f>
        <v/>
      </c>
      <c r="Y16" s="7" t="n">
        <v>0</v>
      </c>
      <c r="Z16" s="6">
        <f>$T16*Y16</f>
        <v/>
      </c>
      <c r="AA16" s="7" t="n">
        <v>0</v>
      </c>
      <c r="AB16" s="6">
        <f>$T16*AA16</f>
        <v/>
      </c>
      <c r="AC16" s="7" t="n">
        <v>0</v>
      </c>
      <c r="AD16" s="6">
        <f>$T16*AC16</f>
        <v/>
      </c>
      <c r="AE16" s="7" t="n">
        <v>0</v>
      </c>
      <c r="AF16" s="6">
        <f>$T16*AE16</f>
        <v/>
      </c>
      <c r="AG16" s="7" t="n">
        <v>0</v>
      </c>
      <c r="AH16" s="6">
        <f>$T16*AG16</f>
        <v/>
      </c>
      <c r="AI16" s="7">
        <f>U16+W16+Y16+AA16+AC16+AE16+AG16</f>
        <v/>
      </c>
      <c r="AJ16" s="6">
        <f>V16+X16+Z16+AB16+AD16+AF16+AH16</f>
        <v/>
      </c>
    </row>
    <row r="17" ht="60" customHeight="1" s="46">
      <c r="A17" s="3" t="inlineStr">
        <is>
          <t>LOM241.1U.06.040.0040.B</t>
        </is>
      </c>
      <c r="B17" s="4" t="inlineStr">
        <is>
          <t>1/1</t>
        </is>
      </c>
      <c r="C17" s="3" t="inlineStr">
        <is>
          <t>EDILE</t>
        </is>
      </c>
      <c r="D17" s="4" t="inlineStr">
        <is>
          <t>NON SPECIALE</t>
        </is>
      </c>
      <c r="E17" s="4" t="inlineStr">
        <is>
          <t>EDILI</t>
        </is>
      </c>
      <c r="F17" s="3" t="inlineStr">
        <is>
          <t>1_2025.11.20_CME REV07.PDF</t>
        </is>
      </c>
      <c r="G17" s="4" t="inlineStr">
        <is>
          <t>36</t>
        </is>
      </c>
      <c r="H17" s="3" t="inlineStr">
        <is>
          <t>10 - PREPARAZIONE</t>
        </is>
      </c>
      <c r="I17" s="3" t="inlineStr">
        <is>
          <t>NUOVI LABORATORI</t>
        </is>
      </c>
      <c r="J17" s="3" t="inlineStr">
        <is>
          <t>SCAVI E MOVIMENTI TERRA</t>
        </is>
      </c>
      <c r="K17" s="3" t="inlineStr">
        <is>
          <t xml:space="preserve">BIOSTUOIA ANTIEROSIONE BIODEGRADABILE COSTITUITA DA FIBRE VEGETALI CONFINATE DA DUE MICRORETI DI POLIPROPILENE FOTOSSIDABILI TRAPUNTATE, PRESEMINATE CON MISCUGLIO STANDARD, IN OPERA, COMPRESI TAGLI E </t>
        </is>
      </c>
      <c r="L17" s="3" t="inlineStr">
        <is>
          <t>BIOSTUOIA ANTIEROSIONE BIODEGRADABILE COSTITUITA DA FIBRE VEGETALI CONFINATE DA DUE MICRORETI DI POLIPROPILENE FOTOSSIDABILI TRAPUNTATE, PRESEMINATE CON MISCUGLIO STANDARD, IN OPERA, COMPRESI TAGLI E SFRIDI, CON SORMONTO DI 10 CM; NELLA VERSIONE: - 50% PAGLIA E 50% COCCO</t>
        </is>
      </c>
      <c r="M17" s="4" t="inlineStr">
        <is>
          <t>M²</t>
        </is>
      </c>
      <c r="N17" s="5" t="n">
        <v>790</v>
      </c>
      <c r="O17" s="45" t="n">
        <v>4.7</v>
      </c>
      <c r="P17" s="45" t="n">
        <v>3713</v>
      </c>
      <c r="Q17" s="5" t="n"/>
      <c r="R17" s="6" t="n"/>
      <c r="S17" s="6">
        <f>IF(AND(Q17&lt;&gt;"",R17&lt;&gt;""),Q17*R17,"")</f>
        <v/>
      </c>
      <c r="T17" s="45">
        <f>IF(S17="",P17,S17)</f>
        <v/>
      </c>
      <c r="U17" s="7" t="n">
        <v>0</v>
      </c>
      <c r="V17" s="6">
        <f>$T17*U17</f>
        <v/>
      </c>
      <c r="W17" s="7" t="n">
        <v>0.5</v>
      </c>
      <c r="X17" s="6">
        <f>$T17*W17</f>
        <v/>
      </c>
      <c r="Y17" s="7" t="n">
        <v>0</v>
      </c>
      <c r="Z17" s="6">
        <f>$T17*Y17</f>
        <v/>
      </c>
      <c r="AA17" s="7" t="n">
        <v>0</v>
      </c>
      <c r="AB17" s="6">
        <f>$T17*AA17</f>
        <v/>
      </c>
      <c r="AC17" s="7" t="n">
        <v>0</v>
      </c>
      <c r="AD17" s="6">
        <f>$T17*AC17</f>
        <v/>
      </c>
      <c r="AE17" s="7" t="n">
        <v>0</v>
      </c>
      <c r="AF17" s="6">
        <f>$T17*AE17</f>
        <v/>
      </c>
      <c r="AG17" s="7" t="n">
        <v>0</v>
      </c>
      <c r="AH17" s="6">
        <f>$T17*AG17</f>
        <v/>
      </c>
      <c r="AI17" s="7">
        <f>U17+W17+Y17+AA17+AC17+AE17+AG17</f>
        <v/>
      </c>
      <c r="AJ17" s="6">
        <f>V17+X17+Z17+AB17+AD17+AF17+AH17</f>
        <v/>
      </c>
    </row>
    <row r="18" ht="60" customHeight="1" s="46">
      <c r="A18" s="3" t="inlineStr">
        <is>
          <t>LOM241.1U.04.110.0090.A</t>
        </is>
      </c>
      <c r="B18" s="4" t="inlineStr">
        <is>
          <t>1/1</t>
        </is>
      </c>
      <c r="C18" s="3" t="inlineStr">
        <is>
          <t>EDILE</t>
        </is>
      </c>
      <c r="D18" s="4" t="inlineStr">
        <is>
          <t>NON SPECIALE</t>
        </is>
      </c>
      <c r="E18" s="4" t="inlineStr">
        <is>
          <t>EDILI</t>
        </is>
      </c>
      <c r="F18" s="3" t="inlineStr">
        <is>
          <t>1_2025.11.20_CME REV07.PDF</t>
        </is>
      </c>
      <c r="G18" s="4" t="inlineStr">
        <is>
          <t>37</t>
        </is>
      </c>
      <c r="H18" s="3" t="inlineStr">
        <is>
          <t>10 - PREPARAZIONE</t>
        </is>
      </c>
      <c r="I18" s="3" t="inlineStr">
        <is>
          <t>NUOVI LABORATORI</t>
        </is>
      </c>
      <c r="J18" s="3" t="inlineStr">
        <is>
          <t>SCAVI E MOVIMENTI TERRA</t>
        </is>
      </c>
      <c r="K18" s="3" t="inlineStr">
        <is>
          <t>FORNITURA E STESA DI TERRENO VEGETALE PER FORMAZIONE AIUOLE VERDE E PER RIVESTIMENTO SCARPATE IN TRINCEA, PROVENIENTE SIA DA DEPOSITI DI PROPRIETÀ DELL'AMMINISTRAZIONE CHE DIRETTAMENTE FORNITO DALL'IM</t>
        </is>
      </c>
      <c r="L18" s="3" t="inlineStr">
        <is>
          <t>FORNITURA E STESA DI TERRENO VEGETALE PER FORMAZIONE AIUOLE VERDE E PER RIVESTIMENTO SCARPATE IN TRINCEA, PROVENIENTE SIA DA DEPOSITI DI PROPRIETÀ DELL'AMMINISTRAZIONE CHE DIRETTAMENTE FORNITO DALL'IMPRESA DA QUALSIASI DISTANZA, PRONTO PER LA STESA ANCHE IN SCARPATA. IL TERRENO VEGETALE POTRÀ PROVENIRE DAGLI SCAVI DI SCOTICAMENTO, QUALORA NON SIA STATO POSSIBILE IL DIRETTO TRASFERIMENTO DALLO SCAVO AL SITO DI COLLOCAZIONE DEFINITIVA: - TERRENO VEGETALE FORNITO DALL'IMPRESA</t>
        </is>
      </c>
      <c r="M18" s="4" t="inlineStr">
        <is>
          <t>M³</t>
        </is>
      </c>
      <c r="N18" s="5" t="n">
        <v>103</v>
      </c>
      <c r="O18" s="45" t="n">
        <v>25.39</v>
      </c>
      <c r="P18" s="45" t="n">
        <v>2615.17</v>
      </c>
      <c r="Q18" s="5" t="n"/>
      <c r="R18" s="6" t="n"/>
      <c r="S18" s="6">
        <f>IF(AND(Q18&lt;&gt;"",R18&lt;&gt;""),Q18*R18,"")</f>
        <v/>
      </c>
      <c r="T18" s="45">
        <f>IF(S18="",P18,S18)</f>
        <v/>
      </c>
      <c r="U18" s="7" t="n">
        <v>0</v>
      </c>
      <c r="V18" s="6">
        <f>$T18*U18</f>
        <v/>
      </c>
      <c r="W18" s="7" t="n">
        <v>0.5</v>
      </c>
      <c r="X18" s="6">
        <f>$T18*W18</f>
        <v/>
      </c>
      <c r="Y18" s="7" t="n">
        <v>0</v>
      </c>
      <c r="Z18" s="6">
        <f>$T18*Y18</f>
        <v/>
      </c>
      <c r="AA18" s="7" t="n">
        <v>0</v>
      </c>
      <c r="AB18" s="6">
        <f>$T18*AA18</f>
        <v/>
      </c>
      <c r="AC18" s="7" t="n">
        <v>0</v>
      </c>
      <c r="AD18" s="6">
        <f>$T18*AC18</f>
        <v/>
      </c>
      <c r="AE18" s="7" t="n">
        <v>0</v>
      </c>
      <c r="AF18" s="6">
        <f>$T18*AE18</f>
        <v/>
      </c>
      <c r="AG18" s="7" t="n">
        <v>0</v>
      </c>
      <c r="AH18" s="6">
        <f>$T18*AG18</f>
        <v/>
      </c>
      <c r="AI18" s="7">
        <f>U18+W18+Y18+AA18+AC18+AE18+AG18</f>
        <v/>
      </c>
      <c r="AJ18" s="6">
        <f>V18+X18+Z18+AB18+AD18+AF18+AH18</f>
        <v/>
      </c>
    </row>
    <row r="19" hidden="1" ht="60" customHeight="1" s="46">
      <c r="A19" s="3" t="inlineStr">
        <is>
          <t>LOM241.OC.EEA.A10.A6415.J0001.0030</t>
        </is>
      </c>
      <c r="B19" s="4" t="inlineStr">
        <is>
          <t>1/2</t>
        </is>
      </c>
      <c r="C19" s="3" t="inlineStr">
        <is>
          <t>EDILE</t>
        </is>
      </c>
      <c r="D19" s="4" t="inlineStr">
        <is>
          <t>NON SPECIALE</t>
        </is>
      </c>
      <c r="E19" s="4" t="inlineStr">
        <is>
          <t>EDILI</t>
        </is>
      </c>
      <c r="F19" s="3" t="inlineStr">
        <is>
          <t>1_2025.11.20_CME REV07.PDF</t>
        </is>
      </c>
      <c r="G19" s="4" t="inlineStr">
        <is>
          <t>10</t>
        </is>
      </c>
      <c r="H19" s="3" t="inlineStr">
        <is>
          <t>30 - STRUTTURALE</t>
        </is>
      </c>
      <c r="I19" s="3" t="inlineStr">
        <is>
          <t>NUOVI LABORATORI</t>
        </is>
      </c>
      <c r="J19" s="3" t="inlineStr">
        <is>
          <t>OPERE PREFABBRICATE</t>
        </is>
      </c>
      <c r="K19" s="3" t="inlineStr">
        <is>
          <t xml:space="preserve">OPERA: SOTTOFONDAZIONE DI CONGLOMERATO CEMENTIZIO; RESISTENZA A COMPRESSIONE [CLASSE] = C16/20 | ESPOSIZIONE [CLASSE] = X0 | CONSISTENZA [CLASSE] = S3. </t>
        </is>
      </c>
      <c r="L19" s="3" t="inlineStr">
        <is>
          <t>OPERA: SOTTOFONDAZIONE DI CONGLOMERATO CEMENTIZIO; RESISTENZA A COMPRESSIONE [CLASSE] = C16/20 | ESPOSIZIONE [CLASSE] = X0 | CONSISTENZA [CLASSE] = S3. 
LAVORO: GETTO. 
COMPONENTI: 
OP1 OPERA: SOTTOFONDAZIONE DI CONGLOMERATO CEMENTIZIO; RESISTENZA A COMPRESSIONE [CLASSE] = C16/20 | ESPOSIZIONE [CLASSE] = X0 | CONSISTENZA [CLASSE] = S3. 
RM2 IMPASTO PRECONFEZIONATO DI CEMENTO GENERICO; GEOMETRIA/FORMA/ASPETTO: SFUSO; FUNZIONE: STRUTTURALE | NON STRUTTURALE | DRENANTE; IMPIEGO: CONGLOMERATO CEMENTIZIO; CLASSE DI CONSISTENZA [CLASSE] = S3 | CLASSE DI RESISTENZA [CLASSE] = C16/20 | CLASSE DI ESPOSIZIONE [CLASSE] = X0 
SPECIFICHE TECNICHE: UTILIZZATO IN STRUTTURE ORDINARIE E MANUFATTI NON STRUTTURALI 
LV1 LAVORO: GETTO. 
RP2 GRU A TORRE A ROTAZIONE IN ALTO; ALTEZZA SOTTO GANCIO [M] ≤ 34,0 | SBRACCIO [M] ≤ 31,0; PORTATA [T] ≤ 1,0; ESCLUSO: F.E.M., ESCLUSO BASAMENTO 
SPECIFICHE TECNICHE: GIÀ INSTALLATA; CRITERIO DI MISURAZIONE: GIORNO DI PRESENZA IN CANTIERE</t>
        </is>
      </c>
      <c r="M19" s="4" t="inlineStr">
        <is>
          <t>M³</t>
        </is>
      </c>
      <c r="N19" s="5" t="n">
        <v>99.06</v>
      </c>
      <c r="O19" s="45" t="n">
        <v>127.31</v>
      </c>
      <c r="P19" s="45" t="n">
        <v>12611.3286</v>
      </c>
      <c r="Q19" s="5" t="n"/>
      <c r="R19" s="6" t="n"/>
      <c r="S19" s="6">
        <f>IF(AND(Q19&lt;&gt;"",R19&lt;&gt;""),Q19*R19,"")</f>
        <v/>
      </c>
      <c r="T19" s="45">
        <f>IF(S19="",P19,S19)</f>
        <v/>
      </c>
      <c r="U19" s="7" t="n">
        <v>0.9</v>
      </c>
      <c r="V19" s="6">
        <f>$T19*U19</f>
        <v/>
      </c>
      <c r="W19" s="7" t="n">
        <v>0</v>
      </c>
      <c r="X19" s="6">
        <f>$T19*W19</f>
        <v/>
      </c>
      <c r="Y19" s="7" t="n">
        <v>0</v>
      </c>
      <c r="Z19" s="6">
        <f>$T19*Y19</f>
        <v/>
      </c>
      <c r="AA19" s="7" t="n">
        <v>0</v>
      </c>
      <c r="AB19" s="6">
        <f>$T19*AA19</f>
        <v/>
      </c>
      <c r="AC19" s="7" t="n">
        <v>0</v>
      </c>
      <c r="AD19" s="6">
        <f>$T19*AC19</f>
        <v/>
      </c>
      <c r="AE19" s="7" t="n">
        <v>0</v>
      </c>
      <c r="AF19" s="6">
        <f>$T19*AE19</f>
        <v/>
      </c>
      <c r="AG19" s="7" t="n">
        <v>0</v>
      </c>
      <c r="AH19" s="6">
        <f>$T19*AG19</f>
        <v/>
      </c>
      <c r="AI19" s="7">
        <f>U19+W19+Y19+AA19+AC19+AE19+AG19</f>
        <v/>
      </c>
      <c r="AJ19" s="6">
        <f>V19+X19+Z19+AB19+AD19+AF19+AH19</f>
        <v/>
      </c>
    </row>
    <row r="20" ht="60" customHeight="1" s="46">
      <c r="A20" s="3" t="inlineStr">
        <is>
          <t>LOM241.LP.EEA.A04.A1020.QA000.0005</t>
        </is>
      </c>
      <c r="B20" s="4" t="inlineStr">
        <is>
          <t>1/2</t>
        </is>
      </c>
      <c r="C20" s="3" t="inlineStr">
        <is>
          <t>EDILE</t>
        </is>
      </c>
      <c r="D20" s="4" t="inlineStr">
        <is>
          <t>NON SPECIALE</t>
        </is>
      </c>
      <c r="E20" s="4" t="inlineStr">
        <is>
          <t>EDILI</t>
        </is>
      </c>
      <c r="F20" s="3" t="inlineStr">
        <is>
          <t>1_2025.11.20_CME REV07.PDF</t>
        </is>
      </c>
      <c r="G20" s="4" t="inlineStr">
        <is>
          <t>11</t>
        </is>
      </c>
      <c r="H20" s="3" t="inlineStr">
        <is>
          <t>30 - STRUTTURALE</t>
        </is>
      </c>
      <c r="I20" s="3" t="inlineStr">
        <is>
          <t>NUOVI LABORATORI</t>
        </is>
      </c>
      <c r="J20" s="3" t="inlineStr">
        <is>
          <t>OPERE IN C.A.</t>
        </is>
      </c>
      <c r="K20" s="3" t="inlineStr">
        <is>
          <t xml:space="preserve">OPERA STRUMENTALE: CASSAFORMA; TRADIZIONALE DI LEGNO NATURALE GENERICO; IMPIEGO: FONDAZIONI PUNTUALI; SPESSORE [M] = 0,025 ÷ 0,027. INCLUSO: DISARMANTE, CHIODI. </t>
        </is>
      </c>
      <c r="L20" s="3" t="inlineStr">
        <is>
          <t>OPERA STRUMENTALE: CASSAFORMA; TRADIZIONALE DI LEGNO NATURALE GENERICO; IMPIEGO: FONDAZIONI PUNTUALI; SPESSORE [M] = 0,025 ÷ 0,027. INCLUSO: DISARMANTE, CHIODI. 
LAVORO: FORMAZIONE. 
COMPONENTI: 
OS1 OPERA STRUMENTALE: CASSAFORMA; TRADIZIONALE DI LEGNO NATURALE GENERICO; IMPIEGO: FONDAZIONI PUNTUALI; SPESSORE [M] = 0,025 ÷ 0,027. INCLUSO: DISARMANTE, CHIODI. 
RT2 CASSAFORMA TRADIZIONALE IN LEGNO; IMPIEGO: FONDAZIONI PUNTUALI; INCLUSO: OGNI ELEMENTO NECESSARIO AL SUO COMPLETAMENTO (ES.: SOTTOMISURE IN LEGNO DI ABETE O PANNELLI COMPENSATI MULTISTRATO, PICCHETTI, FILO DI FERRO, TRAVI SQUADRATE DI LEGNO, ORDITURA METALLICA D'IRRIGIDIMENTO, SBADACCHI, DISARMANTE, CHIODI) 
SPECIFICHE TECNICHE: SPESSORE PARAMENTO [M] = 0,025 ÷ 0,027; CRITERIO DI MISURAZIONE: VALUTATO A SUPERFICIE EFFETTIVA BAGNATA DAL GETTO 
LV1 LAVORO: FORMAZIONE.</t>
        </is>
      </c>
      <c r="M20" s="4" t="inlineStr">
        <is>
          <t>M²</t>
        </is>
      </c>
      <c r="N20" s="5" t="n">
        <v>925.08</v>
      </c>
      <c r="O20" s="45" t="n">
        <v>34.77</v>
      </c>
      <c r="P20" s="45" t="n">
        <v>32165.0316</v>
      </c>
      <c r="Q20" s="5" t="n"/>
      <c r="R20" s="6" t="n"/>
      <c r="S20" s="6">
        <f>IF(AND(Q20&lt;&gt;"",R20&lt;&gt;""),Q20*R20,"")</f>
        <v/>
      </c>
      <c r="T20" s="45">
        <f>IF(S20="",P20,S20)</f>
        <v/>
      </c>
      <c r="U20" s="7" t="n">
        <v>0.8</v>
      </c>
      <c r="V20" s="6">
        <f>$T20*U20</f>
        <v/>
      </c>
      <c r="W20" s="7" t="n">
        <v>0.15</v>
      </c>
      <c r="X20" s="6">
        <f>$T20*W20</f>
        <v/>
      </c>
      <c r="Y20" s="7" t="n">
        <v>0</v>
      </c>
      <c r="Z20" s="6">
        <f>$T20*Y20</f>
        <v/>
      </c>
      <c r="AA20" s="7" t="n">
        <v>0</v>
      </c>
      <c r="AB20" s="6">
        <f>$T20*AA20</f>
        <v/>
      </c>
      <c r="AC20" s="7" t="n">
        <v>0</v>
      </c>
      <c r="AD20" s="6">
        <f>$T20*AC20</f>
        <v/>
      </c>
      <c r="AE20" s="7" t="n">
        <v>0</v>
      </c>
      <c r="AF20" s="6">
        <f>$T20*AE20</f>
        <v/>
      </c>
      <c r="AG20" s="7" t="n">
        <v>0</v>
      </c>
      <c r="AH20" s="6">
        <f>$T20*AG20</f>
        <v/>
      </c>
      <c r="AI20" s="7">
        <f>U20+W20+Y20+AA20+AC20+AE20+AG20</f>
        <v/>
      </c>
      <c r="AJ20" s="6">
        <f>V20+X20+Z20+AB20+AD20+AF20+AH20</f>
        <v/>
      </c>
    </row>
    <row r="21" hidden="1" ht="60" customHeight="1" s="46">
      <c r="A21" s="3" t="inlineStr">
        <is>
          <t>LOM241.OC.EEA.A10.E0000.J0001.0080.A</t>
        </is>
      </c>
      <c r="B21" s="4" t="inlineStr">
        <is>
          <t>1/3</t>
        </is>
      </c>
      <c r="C21" s="3" t="inlineStr">
        <is>
          <t>EDILE</t>
        </is>
      </c>
      <c r="D21" s="4" t="inlineStr">
        <is>
          <t>NON SPECIALE</t>
        </is>
      </c>
      <c r="E21" s="4" t="inlineStr">
        <is>
          <t>EDILI</t>
        </is>
      </c>
      <c r="F21" s="3" t="inlineStr">
        <is>
          <t>1_2025.11.20_CME REV07.PDF</t>
        </is>
      </c>
      <c r="G21" s="4" t="inlineStr">
        <is>
          <t>12</t>
        </is>
      </c>
      <c r="H21" s="3" t="inlineStr">
        <is>
          <t>30 - STRUTTURALE</t>
        </is>
      </c>
      <c r="I21" s="3" t="inlineStr">
        <is>
          <t>NUOVI LABORATORI</t>
        </is>
      </c>
      <c r="J21" s="3" t="inlineStr">
        <is>
          <t>OPERE IN C.A.</t>
        </is>
      </c>
      <c r="K21" s="3" t="inlineStr">
        <is>
          <t>OPERA: STRUTTURA DI CONGLOMERATO CEMENTIZIO; IMPIEGO: PILASTRI | TRAVI | CORREE | SOLETTE | MURATURE VANI SCALA-ASCENSORI; SPESSORE [CM] ≥ 17; RESISTENZA A COMPRESSIONE [CLASSE] = C30/37 | ESPOSIZIONE</t>
        </is>
      </c>
      <c r="L21" s="3" t="inlineStr">
        <is>
          <t>OPERA: STRUTTURA DI CONGLOMERATO CEMENTIZIO; IMPIEGO: PILASTRI | TRAVI | CORREE | SOLETTE | MURATURE VANI SCALA-ASCENSORI; SPESSORE [CM] ≥ 17; RESISTENZA A COMPRESSIONE [CLASSE] = C30/37 | ESPOSIZIONE [CLASSE] = XC1/XC2. 
LAVORO: GETTO CON GRU. INCLUSO: VIBRATURA. ESCLUSO: CASSERI; FERRO. 
COMPONENTI: 
OP1 OPERA: STRUTTURA DI CONGLOMERATO CEMENTIZIO; IMPIEGO: PILASTRI | TRAVI | CORREE | SOLETTE | MURATURE VANI SCALA-ASCENSORI; SPESSORE [CM] ≥ 17; RESISTENZA A COMPRESSIONE [CLASSE] = C30/37 | ESPOSIZIONE [CLASSE] = XC1/XC2. 
RM2 IMPASTO PRECONFEZIONATO DI CEMENTO GENERICO; GEOMETRIA/FORMA/ASPETTO: SFUSO; FUNZIONE: STRUTTURALE; IMPIEGO: CONGLOMERATO CEMENTIZIO; FORNITURA: AUTOBETONIERA; CLASSE DI CONSISTENZA [CLASSE] = S4 | CLASSE DI RESISTENZA [CLASSE] = C30/37 | CLASSE DI ESPOSIZIONE [CLASSE] = XC1/XC2 
SPECIFICHE TECNICHE: CONFEZIONATO IN IMPIANTO DI BETONAGGIO, MATERIE PRIME IN POSSESSO DI MARCATURA CE 
LV1 LAVORO: GETTO CON GRU. INCLUSO: VIBRATURA. ESCLUSO: CASSERI; FERRO. 
RP2 VIBRATORE PER CALCESTRUZZO; DIAMETRO TESTA [MM] = 45 ; POTENZA [KW] = 1; PESO [KG] = 14 
SPECIFICHE TECNICHE: CRITERIO DI MISURAZIONE: ORE DI PRESENZA IN CANTIERE 
RP2 GRU A TORRE A ROTAZIONE IN ALTO; ALTEZZA SOTTO GANCIO [M] ≤ 34,0 | SBRACCIO [M] ≤ 31,0; PORTATA [T] ≤ 1,0; ESCLUSO: F.E.M., ESCLUSO BASAMENTO 
SPECIFICHE TECNICHE: GIÀ INSTALLATA; CRITERIO DI MISURAZIONE: GIORNO DI PRESENZA IN CANTIERE</t>
        </is>
      </c>
      <c r="M21" s="4" t="inlineStr">
        <is>
          <t>M³</t>
        </is>
      </c>
      <c r="N21" s="5" t="n">
        <v>320.09</v>
      </c>
      <c r="O21" s="45" t="n">
        <v>152</v>
      </c>
      <c r="P21" s="45" t="n">
        <v>48653.68</v>
      </c>
      <c r="Q21" s="5" t="n"/>
      <c r="R21" s="6" t="n"/>
      <c r="S21" s="6">
        <f>IF(AND(Q21&lt;&gt;"",R21&lt;&gt;""),Q21*R21,"")</f>
        <v/>
      </c>
      <c r="T21" s="45">
        <f>IF(S21="",P21,S21)</f>
        <v/>
      </c>
      <c r="U21" s="7" t="n">
        <v>1</v>
      </c>
      <c r="V21" s="6">
        <f>$T21*U21</f>
        <v/>
      </c>
      <c r="W21" s="7" t="n">
        <v>0</v>
      </c>
      <c r="X21" s="6">
        <f>$T21*W21</f>
        <v/>
      </c>
      <c r="Y21" s="7" t="n">
        <v>0</v>
      </c>
      <c r="Z21" s="6">
        <f>$T21*Y21</f>
        <v/>
      </c>
      <c r="AA21" s="7" t="n">
        <v>0</v>
      </c>
      <c r="AB21" s="6">
        <f>$T21*AA21</f>
        <v/>
      </c>
      <c r="AC21" s="7" t="n">
        <v>0</v>
      </c>
      <c r="AD21" s="6">
        <f>$T21*AC21</f>
        <v/>
      </c>
      <c r="AE21" s="7" t="n">
        <v>0</v>
      </c>
      <c r="AF21" s="6">
        <f>$T21*AE21</f>
        <v/>
      </c>
      <c r="AG21" s="7" t="n">
        <v>0</v>
      </c>
      <c r="AH21" s="6">
        <f>$T21*AG21</f>
        <v/>
      </c>
      <c r="AI21" s="7">
        <f>U21+W21+Y21+AA21+AC21+AE21+AG21</f>
        <v/>
      </c>
      <c r="AJ21" s="6">
        <f>V21+X21+Z21+AB21+AD21+AF21+AH21</f>
        <v/>
      </c>
    </row>
    <row r="22" ht="60" customHeight="1" s="46">
      <c r="A22" s="3" t="inlineStr">
        <is>
          <t>LOM241.OC.EEA.A10.E0000.J0001.0080.A</t>
        </is>
      </c>
      <c r="B22" s="4" t="inlineStr">
        <is>
          <t>2/3</t>
        </is>
      </c>
      <c r="C22" s="3" t="inlineStr">
        <is>
          <t>EDILE</t>
        </is>
      </c>
      <c r="D22" s="4" t="inlineStr">
        <is>
          <t>NON SPECIALE</t>
        </is>
      </c>
      <c r="E22" s="4" t="inlineStr">
        <is>
          <t>EDILI</t>
        </is>
      </c>
      <c r="F22" s="3" t="inlineStr">
        <is>
          <t>1_2025.11.20_CME REV07.PDF</t>
        </is>
      </c>
      <c r="G22" s="4" t="inlineStr">
        <is>
          <t>13</t>
        </is>
      </c>
      <c r="H22" s="3" t="inlineStr">
        <is>
          <t>30 - STRUTTURALE</t>
        </is>
      </c>
      <c r="I22" s="3" t="inlineStr">
        <is>
          <t>NUOVI LABORATORI</t>
        </is>
      </c>
      <c r="J22" s="3" t="inlineStr">
        <is>
          <t>OPERE IN C.A.</t>
        </is>
      </c>
      <c r="K22" s="3" t="inlineStr">
        <is>
          <t>OPERA: STRUTTURA DI CONGLOMERATO CEMENTIZIO; IMPIEGO: PILASTRI | TRAVI | CORREE | SOLETTE | MURATURE VANI SCALA-ASCENSORI; SPESSORE [CM] ≥ 17; RESISTENZA A COMPRESSIONE [CLASSE] = C30/37 | ESPOSIZIONE</t>
        </is>
      </c>
      <c r="L22" s="3" t="inlineStr">
        <is>
          <t>OPERA: STRUTTURA DI CONGLOMERATO CEMENTIZIO; IMPIEGO: PILASTRI | TRAVI | CORREE | SOLETTE | MURATURE VANI SCALA-ASCENSORI; SPESSORE [CM] ≥ 17; RESISTENZA A COMPRESSIONE [CLASSE] = C30/37 | ESPOSIZIONE [CLASSE] = XC1/XC2. 
LAVORO: GETTO CON GRU. INCLUSO: VIBRATURA. ESCLUSO: CASSERI; FERRO. 
COMPONENTI: 
OP1 OPERA: STRUTTURA DI CONGLOMERATO CEMENTIZIO; IMPIEGO: PILASTRI | TRAVI | CORREE | SOLETTE | MURATURE VANI SCALA-ASCENSORI; SPESSORE [CM] ≥ 17; RESISTENZA A COMPRESSIONE [CLASSE] = C30/37 | ESPOSIZIONE [CLASSE] = XC1/XC2. 
RM2 IMPASTO PRECONFEZIONATO DI CEMENTO GENERICO; GEOMETRIA/FORMA/ASPETTO: SFUSO; FUNZIONE: STRUTTURALE; IMPIEGO: CONGLOMERATO CEMENTIZIO; FORNITURA: AUTOBETONIERA; CLASSE DI CONSISTENZA [CLASSE] = S4 | CLASSE DI RESISTENZA [CLASSE] = C30/37 | CLASSE DI ESPOSIZIONE [CLASSE] = XC1/XC2 
SPECIFICHE TECNICHE: CONFEZIONATO IN IMPIANTO DI BETONAGGIO, MATERIE PRIME IN POSSESSO DI MARCATURA CE 
LV1 LAVORO: GETTO CON GRU. INCLUSO: VIBRATURA. ESCLUSO: CASSERI; FERRO. 
RP2 VIBRATORE PER CALCESTRUZZO; DIAMETRO TESTA [MM] = 45 ; POTENZA [KW] = 1; PESO [KG] = 14 
SPECIFICHE TECNICHE: CRITERIO DI MISURAZIONE: ORE DI PRESENZA IN CANTIERE 
RP2 GRU A TORRE A ROTAZIONE IN ALTO; ALTEZZA SOTTO GANCIO [M] ≤ 34,0 | SBRACCIO [M] ≤ 31,0; PORTATA [T] ≤ 1,0; ESCLUSO: F.E.M., ESCLUSO BASAMENTO 
SPECIFICHE TECNICHE: GIÀ INSTALLATA; CRITERIO DI MISURAZIONE: GIORNO DI PRESENZA IN CANTIERE</t>
        </is>
      </c>
      <c r="M22" s="4" t="inlineStr">
        <is>
          <t>M³</t>
        </is>
      </c>
      <c r="N22" s="5" t="n">
        <v>239.9</v>
      </c>
      <c r="O22" s="45" t="n">
        <v>152</v>
      </c>
      <c r="P22" s="45" t="n">
        <v>36464.8</v>
      </c>
      <c r="Q22" s="5" t="n"/>
      <c r="R22" s="6" t="n"/>
      <c r="S22" s="6">
        <f>IF(AND(Q22&lt;&gt;"",R22&lt;&gt;""),Q22*R22,"")</f>
        <v/>
      </c>
      <c r="T22" s="45">
        <f>IF(S22="",P22,S22)</f>
        <v/>
      </c>
      <c r="U22" s="7" t="n">
        <v>0.5</v>
      </c>
      <c r="V22" s="6">
        <f>$T22*U22</f>
        <v/>
      </c>
      <c r="W22" s="7" t="n">
        <v>0.45</v>
      </c>
      <c r="X22" s="6">
        <f>$T22*W22</f>
        <v/>
      </c>
      <c r="Y22" s="7" t="n">
        <v>0</v>
      </c>
      <c r="Z22" s="6">
        <f>$T22*Y22</f>
        <v/>
      </c>
      <c r="AA22" s="7" t="n">
        <v>0</v>
      </c>
      <c r="AB22" s="6">
        <f>$T22*AA22</f>
        <v/>
      </c>
      <c r="AC22" s="7" t="n">
        <v>0</v>
      </c>
      <c r="AD22" s="6">
        <f>$T22*AC22</f>
        <v/>
      </c>
      <c r="AE22" s="7" t="n">
        <v>0</v>
      </c>
      <c r="AF22" s="6">
        <f>$T22*AE22</f>
        <v/>
      </c>
      <c r="AG22" s="7" t="n">
        <v>0</v>
      </c>
      <c r="AH22" s="6">
        <f>$T22*AG22</f>
        <v/>
      </c>
      <c r="AI22" s="7">
        <f>U22+W22+Y22+AA22+AC22+AE22+AG22</f>
        <v/>
      </c>
      <c r="AJ22" s="6">
        <f>V22+X22+Z22+AB22+AD22+AF22+AH22</f>
        <v/>
      </c>
    </row>
    <row r="23" hidden="1" ht="60" customHeight="1" s="46">
      <c r="A23" s="3" t="inlineStr">
        <is>
          <t>LOM241.OC.EEA.A02.E9700.SB017.0255</t>
        </is>
      </c>
      <c r="B23" s="4" t="inlineStr">
        <is>
          <t>1/3</t>
        </is>
      </c>
      <c r="C23" s="3" t="inlineStr">
        <is>
          <t>EDILE</t>
        </is>
      </c>
      <c r="D23" s="4" t="inlineStr">
        <is>
          <t>NON SPECIALE</t>
        </is>
      </c>
      <c r="E23" s="4" t="inlineStr">
        <is>
          <t>EDILI</t>
        </is>
      </c>
      <c r="F23" s="3" t="inlineStr">
        <is>
          <t>1_2025.11.20_CME REV07.PDF</t>
        </is>
      </c>
      <c r="G23" s="4" t="inlineStr">
        <is>
          <t>14</t>
        </is>
      </c>
      <c r="H23" s="3" t="inlineStr">
        <is>
          <t>30 - STRUTTURALE</t>
        </is>
      </c>
      <c r="I23" s="3" t="inlineStr">
        <is>
          <t>NUOVI LABORATORI</t>
        </is>
      </c>
      <c r="J23" s="3" t="inlineStr">
        <is>
          <t>OPERE IN C.A.</t>
        </is>
      </c>
      <c r="K23" s="3" t="inlineStr">
        <is>
          <t xml:space="preserve">OPERA: ARMATURA, BARRE NERVATE DI LEGA FERROSA ACCIAIO B450C; IMPIEGO: STRUTTURE IN CEMENTO ARMATO. INCLUSO: SORMONTI; SFRIDO; LEGATURE. </t>
        </is>
      </c>
      <c r="L23" s="3" t="inlineStr">
        <is>
          <t>OPERA: ARMATURA, BARRE NERVATE DI LEGA FERROSA ACCIAIO B450C; IMPIEGO: STRUTTURE IN CEMENTO ARMATO. INCLUSO: SORMONTI; SFRIDO; LEGATURE. 
LAVORO: POSA. 
COMPONENTI: 
OP1 OPERA: ARMATURA, BARRE NERVATE DI LEGA FERROSA ACCIAIO B450C; IMPIEGO: STRUTTURE IN CEMENTO ARMATO. INCLUSO: SORMONTI; SFRIDO; LEGATURE. 
RM2 BARRA NERVATA DI LEGA FERROSA ACCIAIO B450C; FUNZIONE: STRUTTURALE; IMPIEGO: STRUTTURE C.A. 
SPECIFICHE TECNICHE: PRODOTTO CON SISTEMI DI CONTROLLO DI PRODUZIONE IN STABILIMENTO 
RM2 FERRAMENTA FILO DI METALLO FERRO 
SPECIFICHE TECNICHE: FILO DI METALLO FERRO COTTO 
LV1 LAVORO: POSA.</t>
        </is>
      </c>
      <c r="M23" s="4" t="inlineStr">
        <is>
          <t>KG</t>
        </is>
      </c>
      <c r="N23" s="5" t="n">
        <v>38410.8</v>
      </c>
      <c r="O23" s="45" t="n">
        <v>1.27</v>
      </c>
      <c r="P23" s="45" t="n">
        <v>48781.716</v>
      </c>
      <c r="Q23" s="5" t="n"/>
      <c r="R23" s="6" t="n"/>
      <c r="S23" s="6">
        <f>IF(AND(Q23&lt;&gt;"",R23&lt;&gt;""),Q23*R23,"")</f>
        <v/>
      </c>
      <c r="T23" s="45">
        <f>IF(S23="",P23,S23)</f>
        <v/>
      </c>
      <c r="U23" s="7" t="n">
        <v>1</v>
      </c>
      <c r="V23" s="6">
        <f>$T23*U23</f>
        <v/>
      </c>
      <c r="W23" s="7" t="n">
        <v>0</v>
      </c>
      <c r="X23" s="6">
        <f>$T23*W23</f>
        <v/>
      </c>
      <c r="Y23" s="7" t="n">
        <v>0</v>
      </c>
      <c r="Z23" s="6">
        <f>$T23*Y23</f>
        <v/>
      </c>
      <c r="AA23" s="7" t="n">
        <v>0</v>
      </c>
      <c r="AB23" s="6">
        <f>$T23*AA23</f>
        <v/>
      </c>
      <c r="AC23" s="7" t="n">
        <v>0</v>
      </c>
      <c r="AD23" s="6">
        <f>$T23*AC23</f>
        <v/>
      </c>
      <c r="AE23" s="7" t="n">
        <v>0</v>
      </c>
      <c r="AF23" s="6">
        <f>$T23*AE23</f>
        <v/>
      </c>
      <c r="AG23" s="7" t="n">
        <v>0</v>
      </c>
      <c r="AH23" s="6">
        <f>$T23*AG23</f>
        <v/>
      </c>
      <c r="AI23" s="7">
        <f>U23+W23+Y23+AA23+AC23+AE23+AG23</f>
        <v/>
      </c>
      <c r="AJ23" s="6">
        <f>V23+X23+Z23+AB23+AD23+AF23+AH23</f>
        <v/>
      </c>
    </row>
    <row r="24" ht="60" customHeight="1" s="46">
      <c r="A24" s="3" t="inlineStr">
        <is>
          <t>LOM241.OC.EEA.A02.E9700.SB017.0255</t>
        </is>
      </c>
      <c r="B24" s="4" t="inlineStr">
        <is>
          <t>2/3</t>
        </is>
      </c>
      <c r="C24" s="3" t="inlineStr">
        <is>
          <t>EDILE</t>
        </is>
      </c>
      <c r="D24" s="4" t="inlineStr">
        <is>
          <t>NON SPECIALE</t>
        </is>
      </c>
      <c r="E24" s="4" t="inlineStr">
        <is>
          <t>EDILI</t>
        </is>
      </c>
      <c r="F24" s="3" t="inlineStr">
        <is>
          <t>1_2025.11.20_CME REV07.PDF</t>
        </is>
      </c>
      <c r="G24" s="4" t="inlineStr">
        <is>
          <t>15</t>
        </is>
      </c>
      <c r="H24" s="3" t="inlineStr">
        <is>
          <t>30 - STRUTTURALE</t>
        </is>
      </c>
      <c r="I24" s="3" t="inlineStr">
        <is>
          <t>NUOVI LABORATORI</t>
        </is>
      </c>
      <c r="J24" s="3" t="inlineStr">
        <is>
          <t>OPERE IN C.A.</t>
        </is>
      </c>
      <c r="K24" s="3" t="inlineStr">
        <is>
          <t xml:space="preserve">OPERA: ARMATURA, BARRE NERVATE DI LEGA FERROSA ACCIAIO B450C; IMPIEGO: STRUTTURE IN CEMENTO ARMATO. INCLUSO: SORMONTI; SFRIDO; LEGATURE. </t>
        </is>
      </c>
      <c r="L24" s="3" t="inlineStr">
        <is>
          <t>OPERA: ARMATURA, BARRE NERVATE DI LEGA FERROSA ACCIAIO B450C; IMPIEGO: STRUTTURE IN CEMENTO ARMATO. INCLUSO: SORMONTI; SFRIDO; LEGATURE. 
LAVORO: POSA. 
COMPONENTI: 
OP1 OPERA: ARMATURA, BARRE NERVATE DI LEGA FERROSA ACCIAIO B450C; IMPIEGO: STRUTTURE IN CEMENTO ARMATO. INCLUSO: SORMONTI; SFRIDO; LEGATURE. 
RM2 BARRA NERVATA DI LEGA FERROSA ACCIAIO B450C; FUNZIONE: STRUTTURALE; IMPIEGO: STRUTTURE C.A. 
SPECIFICHE TECNICHE: PRODOTTO CON SISTEMI DI CONTROLLO DI PRODUZIONE IN STABILIMENTO 
RM2 FERRAMENTA FILO DI METALLO FERRO 
SPECIFICHE TECNICHE: FILO DI METALLO FERRO COTTO 
LV1 LAVORO: POSA.</t>
        </is>
      </c>
      <c r="M24" s="4" t="inlineStr">
        <is>
          <t>KG</t>
        </is>
      </c>
      <c r="N24" s="5" t="n">
        <v>28800</v>
      </c>
      <c r="O24" s="45" t="n">
        <v>1.27</v>
      </c>
      <c r="P24" s="45" t="n">
        <v>36576</v>
      </c>
      <c r="Q24" s="5" t="n"/>
      <c r="R24" s="6" t="n"/>
      <c r="S24" s="6">
        <f>IF(AND(Q24&lt;&gt;"",R24&lt;&gt;""),Q24*R24,"")</f>
        <v/>
      </c>
      <c r="T24" s="45">
        <f>IF(S24="",P24,S24)</f>
        <v/>
      </c>
      <c r="U24" s="7" t="n">
        <v>0.75</v>
      </c>
      <c r="V24" s="6">
        <f>$T24*U24</f>
        <v/>
      </c>
      <c r="W24" s="7" t="n">
        <v>0.2</v>
      </c>
      <c r="X24" s="6">
        <f>$T24*W24</f>
        <v/>
      </c>
      <c r="Y24" s="7" t="n">
        <v>0</v>
      </c>
      <c r="Z24" s="6">
        <f>$T24*Y24</f>
        <v/>
      </c>
      <c r="AA24" s="7" t="n">
        <v>0</v>
      </c>
      <c r="AB24" s="6">
        <f>$T24*AA24</f>
        <v/>
      </c>
      <c r="AC24" s="7" t="n">
        <v>0</v>
      </c>
      <c r="AD24" s="6">
        <f>$T24*AC24</f>
        <v/>
      </c>
      <c r="AE24" s="7" t="n">
        <v>0</v>
      </c>
      <c r="AF24" s="6">
        <f>$T24*AE24</f>
        <v/>
      </c>
      <c r="AG24" s="7" t="n">
        <v>0</v>
      </c>
      <c r="AH24" s="6">
        <f>$T24*AG24</f>
        <v/>
      </c>
      <c r="AI24" s="7">
        <f>U24+W24+Y24+AA24+AC24+AE24+AG24</f>
        <v/>
      </c>
      <c r="AJ24" s="6">
        <f>V24+X24+Z24+AB24+AD24+AF24+AH24</f>
        <v/>
      </c>
    </row>
    <row r="25" ht="60" customHeight="1" s="46">
      <c r="A25" s="3" t="inlineStr">
        <is>
          <t>PA.ARC.18</t>
        </is>
      </c>
      <c r="B25" s="4" t="inlineStr">
        <is>
          <t>1/1</t>
        </is>
      </c>
      <c r="C25" s="3" t="inlineStr">
        <is>
          <t>EDILE</t>
        </is>
      </c>
      <c r="D25" s="4" t="inlineStr">
        <is>
          <t>NON SPECIALE</t>
        </is>
      </c>
      <c r="E25" s="4" t="inlineStr">
        <is>
          <t>EDILI</t>
        </is>
      </c>
      <c r="F25" s="3" t="inlineStr">
        <is>
          <t>1_2025.11.20_CME REV07.PDF</t>
        </is>
      </c>
      <c r="G25" s="4" t="inlineStr">
        <is>
          <t>16</t>
        </is>
      </c>
      <c r="H25" s="3" t="inlineStr">
        <is>
          <t>30 - STRUTTURALE</t>
        </is>
      </c>
      <c r="I25" s="3" t="inlineStr">
        <is>
          <t>NUOVI LABORATORI</t>
        </is>
      </c>
      <c r="J25" s="3" t="inlineStr">
        <is>
          <t>OPERE PREFABBRICATE</t>
        </is>
      </c>
      <c r="K25" s="3" t="inlineStr">
        <is>
          <t>FORNITURA E POSA IN OPERA DI STRUTTURA PREFABBRICATA PIANA IN CALCESTRUZZO ARMATO VIBRATO, REALIZZATA SECONDO NORMATIVE TECNICHE VIGENTI, CON RESISTENZA AL FUOCO R 90’, DURABILITÀ DI PROGETTO IN CATEG</t>
        </is>
      </c>
      <c r="L25" s="3" t="inlineStr">
        <is>
          <t>FORNITURA E POSA IN OPERA DI STRUTTURA PREFABBRICATA PIANA IN CALCESTRUZZO ARMATO VIBRATO, REALIZZATA SECONDO NORMATIVE TECNICHE VIGENTI, CON RESISTENZA AL FUOCO R 90’, DURABILITÀ DI PROGETTO IN CATEGORIA S4, CLASSE DI ESPOSIZIONE AMBIENTALE XC2-XC3.  COMPONENTI STRUTTURALI FORNITI E POSATI:  PILASTRI PREFABBRICATI IN C.A.: - N. 11 ELEMENTI, SEZIONE 60X60 CM, ALTEZZA 9,38 M - N. 6 ELEMENTI, SEZIONE 60X70 CM, ALTEZZA 9,38 M - N. 48 MENSOLE PREFABBRICATE INTEGRATE PER ALLOGGIAMENTO TRAVI  TRAVI PREFABBRICATE IN C.A. PER STRUTTURA INTERMEDIA: - SEZIONE “T ROVESCIA”, H 70 CM, ANIMA 50 CM: N. 4 ELEMENTI (LUNGHEZZE DA 5,26 A 6,43 M) - SEZIONE “L”, H 70 CM, ANIMA 50 CM: N. 9 ELEMENTI (LUNGHEZZE DA 5,03 A 6,74 M) - SEZIONE RETTANGOLARE 50X60 CM: N. 7 ELEMENTI (LUNGHEZZE DA 4,68 A 6,62 M)  TRAVI PREFABBRICATE IN C.A. PER STRUTTURA DI COPERTURA: - SEZIONE “T ROVESCIA”, H 70 CM, ANIMA 50 CM: N. 5 ELEMENTI (LUNGHEZZE DA 5,65 A 9,14 M) - SEZIONE “L”, H 70 CM, ANIMA 50 CM: N. 8 ELEMENTI (LUNGHEZZE DA 6,06 A 9,67 M) - SEZIONE RETTANGOLARE 50X60 CM: N. 7 ELEMENTI (LUNGHEZZE DA 1,43 A 5,13 M)  SONO COMPRESI:  LA PRODUZIONE E POSA IN OPERA DEI MANUFATTI PREFABBRICATI COME DESCRITTI, COMPLETI DI ARMATURE SECONDO PROGETTO ESECUTIVO, TRASPORTO IN CANTIERE, SCARICO, MOVIMENTAZIONE, MONTAGGIO, FISSAGGI MEDIANTE STAFFAGGI E GIUNZIONI PREFABBRICATE, VERIFICA DIMENSIONALE FINALE DA DISEGNI APPROVATI E OGNI ONERE NECESSARIO PER LA CORRETTA ESECUZIONE DELL’OPERA A REGOLA D’ARTE.  RIMANGONO  ESCLUSI  GLI ELEMENTI DI SOLAIO, LE OPERE IN OPERA (COLLEGAMENTI, FONDAZIONI, GETTI INTEGRATIVI), OPERE PROVVISIONALI, PONTEGGI, ELEMENTI NON STRUTTURALI, PREDISPOSIZIONI PARTICOLARI (ES. CARROPONTE, AMPLIAMENTI) E QUANTO NON ESPRESSAMENTE ELENCATO.</t>
        </is>
      </c>
      <c r="M25" s="4" t="inlineStr">
        <is>
          <t>A CORPO</t>
        </is>
      </c>
      <c r="N25" s="5" t="n">
        <v>1</v>
      </c>
      <c r="O25" s="45" t="n">
        <v>182327.77</v>
      </c>
      <c r="P25" s="45" t="n">
        <v>182327.77</v>
      </c>
      <c r="Q25" s="5" t="n"/>
      <c r="R25" s="6" t="n"/>
      <c r="S25" s="6">
        <f>IF(AND(Q25&lt;&gt;"",R25&lt;&gt;""),Q25*R25,"")</f>
        <v/>
      </c>
      <c r="T25" s="45">
        <f>IF(S25="",P25,S25)</f>
        <v/>
      </c>
      <c r="U25" s="7" t="n">
        <v>0.8</v>
      </c>
      <c r="V25" s="6">
        <f>$T25*U25</f>
        <v/>
      </c>
      <c r="W25" s="7" t="n">
        <v>0.2</v>
      </c>
      <c r="X25" s="6">
        <f>$T25*W25</f>
        <v/>
      </c>
      <c r="Y25" s="7" t="n">
        <v>0</v>
      </c>
      <c r="Z25" s="6">
        <f>$T25*Y25</f>
        <v/>
      </c>
      <c r="AA25" s="7" t="n">
        <v>0</v>
      </c>
      <c r="AB25" s="6">
        <f>$T25*AA25</f>
        <v/>
      </c>
      <c r="AC25" s="7" t="n">
        <v>0</v>
      </c>
      <c r="AD25" s="6">
        <f>$T25*AC25</f>
        <v/>
      </c>
      <c r="AE25" s="7" t="n">
        <v>0</v>
      </c>
      <c r="AF25" s="6">
        <f>$T25*AE25</f>
        <v/>
      </c>
      <c r="AG25" s="7" t="n">
        <v>0</v>
      </c>
      <c r="AH25" s="6">
        <f>$T25*AG25</f>
        <v/>
      </c>
      <c r="AI25" s="7">
        <f>U25+W25+Y25+AA25+AC25+AE25+AG25</f>
        <v/>
      </c>
      <c r="AJ25" s="6">
        <f>V25+X25+Z25+AB25+AD25+AF25+AH25</f>
        <v/>
      </c>
    </row>
    <row r="26" ht="60" customHeight="1" s="46">
      <c r="A26" s="3" t="inlineStr">
        <is>
          <t>LOM241.OC.EEA.A04.E0200.J0001.0030</t>
        </is>
      </c>
      <c r="B26" s="4" t="inlineStr">
        <is>
          <t>1/1</t>
        </is>
      </c>
      <c r="C26" s="3" t="inlineStr">
        <is>
          <t>EDILE</t>
        </is>
      </c>
      <c r="D26" s="4" t="inlineStr">
        <is>
          <t>NON SPECIALE</t>
        </is>
      </c>
      <c r="E26" s="4" t="inlineStr">
        <is>
          <t>EDILI</t>
        </is>
      </c>
      <c r="F26" s="3" t="inlineStr">
        <is>
          <t>1_2025.11.20_CME REV07.PDF</t>
        </is>
      </c>
      <c r="G26" s="4" t="inlineStr">
        <is>
          <t>17</t>
        </is>
      </c>
      <c r="H26" s="3" t="inlineStr">
        <is>
          <t>30 - STRUTTURALE</t>
        </is>
      </c>
      <c r="I26" s="3" t="inlineStr">
        <is>
          <t>NUOVI LABORATORI</t>
        </is>
      </c>
      <c r="J26" s="3" t="inlineStr">
        <is>
          <t>OPERE IN C.A.</t>
        </is>
      </c>
      <c r="K26" s="3" t="inlineStr">
        <is>
          <t>OPERA: SOLAIO DI CONGLOMERATO CEMENTIZIO; SPESSORE TOT [CM] = 35. INCLUSO: LASTRE PREFABBRICATE, BLOCCHI DI POLISTIROLO, CALCESTRUZZO, TRAVETTI ROMPITRATTA, MASSETTO ALL'INCASTRO, STRATO DI IRRIGIDIME</t>
        </is>
      </c>
      <c r="L26" s="3" t="inlineStr">
        <is>
          <t>OPERA: SOLAIO DI CONGLOMERATO CEMENTIZIO; SPESSORE TOT [CM] = 35. INCLUSO: LASTRE PREFABBRICATE, BLOCCHI DI POLISTIROLO, CALCESTRUZZO, TRAVETTI ROMPITRATTA, MASSETTO ALL'INCASTRO, STRATO DI IRRIGIDIMENTO IN CONGLOMERATO CEMENTIZIO. 
LAVORO: FORMAZIONE. INCLUSO: ARMATURA PROVVISORIA DI SOSTEGNO. ESCLUSO: COSTI DELLE ARMATURE AGGIUNTIVE E DI DISTRIBUZIONE IN ACCIAIO TONDINO O RETE ELETTROSALDATA (CONTABILIZZATI IN BASE AI CALCOLI DEI CEMENTI ARMATI). 
COMPONENTI: 
OP1 OPERA: SOLAIO DI CONGLOMERATO CEMENTIZIO; SPESSORE TOT [CM] = 35. INCLUSO: LASTRE PREFABBRICATE, BLOCCHI DI POLISTIROLO, CALCESTRUZZO, TRAVETTI ROMPITRATTA, MASSETTO ALL'INCASTRO, STRATO DI IRRIGIDIMENTO IN CONGLOMERATO CEMENTIZIO. 
RM2 LASTRA PREDALLES PREFABBRICATI DI PLASTICA POLISTIRENE ESPANSO (EPS); IMPIEGO: SOLAI ALLEGGERITI; SPESSORE TOTALE [CM] = 30 
SPECIFICHE TECNICHE: ARMATE CON RETE METALLICA E CON TRALICCI IN ACCIAIO TONDO 
OC2 OPERA: STRATO DI IRRIGIDIMENTO DI CONGLOMERATO CEMENTIZIO; IMPIEGO: SOLAIO | VESPAIO AERATO; SPESSORE [CM] = 5. ESCLUSO: ARMATURA; BORDI DI CONTENIMENTO. 
LAVORO: GETTO CON POMPA. INCLUSO: VIBRATURA. ESCLUSO: INSTALLAZIONE DELLA POMPA AUTOCARRATA. 
SPECIFICHE TECNICHE: RESISTENZA CALCESTRUZZO [CLASSE] = C20/25, QUANTITÀ DI CALCESTRUZZO GETTATO [M3] ≤ 30; CONSULTARE LE VOCI LP.EEA.A01.A0500.ZA000.0000.B E LP.EEA.A01.A0500.ZA000.0000.A PER L'INSTALLAZIONE DELLA POMPA AUTOCARRATA. 
LV1 LAVORO: FORMAZIONE. INCLUSO: ARMATURA PROVVISORIA DI SOSTEGNO. ESCLUSO: COSTI DELLE ARMATURE AGGIUNTIVE E DI DISTRIBUZIONE IN ACCIAIO TONDINO O RETE ELETTROSALDATA (CONTABILIZZATI IN BASE AI CALCOLI DEI CEMENTI ARMATI). 
LP2 OPERA STRUMENTALE: CASSAFORMA; TRADIZIONALE DI LEGNO NATURALE GENERICO; IMPIEGO: SOLAIO MISTO CON TRAVI IN SPESSORE PER STRUTTURE PIANE; SPESSORE [M] = 0,025 ÷ 0,027 | ALTEZZA [M] ≤ 3,5; PRESSIONE [KN/M²] ≤ 70. INCLUSO: DISARMANTE, CHIODI, PUNTELLI. 
LAVORO: FORMAZIONE.</t>
        </is>
      </c>
      <c r="M26" s="4" t="inlineStr">
        <is>
          <t>M²</t>
        </is>
      </c>
      <c r="N26" s="5" t="n">
        <v>581.53</v>
      </c>
      <c r="O26" s="45" t="n">
        <v>118.14</v>
      </c>
      <c r="P26" s="45" t="n">
        <v>68701.95419999999</v>
      </c>
      <c r="Q26" s="5" t="n"/>
      <c r="R26" s="6" t="n"/>
      <c r="S26" s="6">
        <f>IF(AND(Q26&lt;&gt;"",R26&lt;&gt;""),Q26*R26,"")</f>
        <v/>
      </c>
      <c r="T26" s="45">
        <f>IF(S26="",P26,S26)</f>
        <v/>
      </c>
      <c r="U26" s="7" t="n">
        <v>0.8</v>
      </c>
      <c r="V26" s="6">
        <f>$T26*U26</f>
        <v/>
      </c>
      <c r="W26" s="7" t="n">
        <v>0.2</v>
      </c>
      <c r="X26" s="6">
        <f>$T26*W26</f>
        <v/>
      </c>
      <c r="Y26" s="7" t="n">
        <v>0</v>
      </c>
      <c r="Z26" s="6">
        <f>$T26*Y26</f>
        <v/>
      </c>
      <c r="AA26" s="7" t="n">
        <v>0</v>
      </c>
      <c r="AB26" s="6">
        <f>$T26*AA26</f>
        <v/>
      </c>
      <c r="AC26" s="7" t="n">
        <v>0</v>
      </c>
      <c r="AD26" s="6">
        <f>$T26*AC26</f>
        <v/>
      </c>
      <c r="AE26" s="7" t="n">
        <v>0</v>
      </c>
      <c r="AF26" s="6">
        <f>$T26*AE26</f>
        <v/>
      </c>
      <c r="AG26" s="7" t="n">
        <v>0</v>
      </c>
      <c r="AH26" s="6">
        <f>$T26*AG26</f>
        <v/>
      </c>
      <c r="AI26" s="7">
        <f>U26+W26+Y26+AA26+AC26+AE26+AG26</f>
        <v/>
      </c>
      <c r="AJ26" s="6">
        <f>V26+X26+Z26+AB26+AD26+AF26+AH26</f>
        <v/>
      </c>
    </row>
    <row r="27" hidden="1" ht="60" customHeight="1" s="46">
      <c r="A27" s="3" t="inlineStr">
        <is>
          <t>LOM241.OC.EEA.A10.A6415.J0001.0030</t>
        </is>
      </c>
      <c r="B27" s="4" t="inlineStr">
        <is>
          <t>2/2</t>
        </is>
      </c>
      <c r="C27" s="3" t="inlineStr">
        <is>
          <t>EDILE</t>
        </is>
      </c>
      <c r="D27" s="4" t="inlineStr">
        <is>
          <t>NON SPECIALE</t>
        </is>
      </c>
      <c r="E27" s="4" t="inlineStr">
        <is>
          <t>EDILI</t>
        </is>
      </c>
      <c r="F27" s="3" t="inlineStr">
        <is>
          <t>1_2025.11.20_CME REV07.PDF</t>
        </is>
      </c>
      <c r="G27" s="4" t="inlineStr">
        <is>
          <t>18</t>
        </is>
      </c>
      <c r="H27" s="3" t="inlineStr">
        <is>
          <t>30 - STRUTTURALE</t>
        </is>
      </c>
      <c r="I27" s="3" t="inlineStr">
        <is>
          <t>NUOVI LABORATORI</t>
        </is>
      </c>
      <c r="J27" s="3" t="inlineStr">
        <is>
          <t>OPERE PREFABBRICATE</t>
        </is>
      </c>
      <c r="K27" s="3" t="inlineStr">
        <is>
          <t xml:space="preserve">OPERA: SOTTOFONDAZIONE DI CONGLOMERATO CEMENTIZIO; RESISTENZA A COMPRESSIONE [CLASSE] = C16/20 | ESPOSIZIONE [CLASSE] = X0 | CONSISTENZA [CLASSE] = S3. </t>
        </is>
      </c>
      <c r="L27" s="3" t="inlineStr">
        <is>
          <t>OPERA: SOTTOFONDAZIONE DI CONGLOMERATO CEMENTIZIO; RESISTENZA A COMPRESSIONE [CLASSE] = C16/20 | ESPOSIZIONE [CLASSE] = X0 | CONSISTENZA [CLASSE] = S3. 
LAVORO: GETTO. 
COMPONENTI: 
OP1 OPERA: SOTTOFONDAZIONE DI CONGLOMERATO CEMENTIZIO; RESISTENZA A COMPRESSIONE [CLASSE] = C16/20 | ESPOSIZIONE [CLASSE] = X0 | CONSISTENZA [CLASSE] = S3. 
RM2 IMPASTO PRECONFEZIONATO DI CEMENTO GENERICO; GEOMETRIA/FORMA/ASPETTO: SFUSO; FUNZIONE: STRUTTURALE | NON STRUTTURALE | DRENANTE; IMPIEGO: CONGLOMERATO CEMENTIZIO; CLASSE DI CONSISTENZA [CLASSE] = S3 | CLASSE DI RESISTENZA [CLASSE] = C16/20 | CLASSE DI ESPOSIZIONE [CLASSE] = X0 
SPECIFICHE TECNICHE: UTILIZZATO IN STRUTTURE ORDINARIE E MANUFATTI NON STRUTTURALI 
LV1 LAVORO: GETTO. 
RP2 GRU A TORRE A ROTAZIONE IN ALTO; ALTEZZA SOTTO GANCIO [M] ≤ 34,0 | SBRACCIO [M] ≤ 31,0; PORTATA [T] ≤ 1,0; ESCLUSO: F.E.M., ESCLUSO BASAMENTO 
SPECIFICHE TECNICHE: GIÀ INSTALLATA; CRITERIO DI MISURAZIONE: GIORNO DI PRESENZA IN CANTIERE</t>
        </is>
      </c>
      <c r="M27" s="4" t="inlineStr">
        <is>
          <t>M³</t>
        </is>
      </c>
      <c r="N27" s="5" t="n">
        <v>15</v>
      </c>
      <c r="O27" s="45" t="n">
        <v>127.31</v>
      </c>
      <c r="P27" s="45" t="n">
        <v>1909.65</v>
      </c>
      <c r="Q27" s="5" t="n"/>
      <c r="R27" s="6" t="n"/>
      <c r="S27" s="6">
        <f>IF(AND(Q27&lt;&gt;"",R27&lt;&gt;""),Q27*R27,"")</f>
        <v/>
      </c>
      <c r="T27" s="45">
        <f>IF(S27="",P27,S27)</f>
        <v/>
      </c>
      <c r="U27" s="7" t="n">
        <v>0</v>
      </c>
      <c r="V27" s="6">
        <f>$T27*U27</f>
        <v/>
      </c>
      <c r="W27" s="7" t="n">
        <v>0</v>
      </c>
      <c r="X27" s="6">
        <f>$T27*W27</f>
        <v/>
      </c>
      <c r="Y27" s="7" t="n">
        <v>0</v>
      </c>
      <c r="Z27" s="6">
        <f>$T27*Y27</f>
        <v/>
      </c>
      <c r="AA27" s="7" t="n">
        <v>0</v>
      </c>
      <c r="AB27" s="6">
        <f>$T27*AA27</f>
        <v/>
      </c>
      <c r="AC27" s="7" t="n">
        <v>0</v>
      </c>
      <c r="AD27" s="6">
        <f>$T27*AC27</f>
        <v/>
      </c>
      <c r="AE27" s="7" t="n">
        <v>0</v>
      </c>
      <c r="AF27" s="6">
        <f>$T27*AE27</f>
        <v/>
      </c>
      <c r="AG27" s="7" t="n">
        <v>0</v>
      </c>
      <c r="AH27" s="6">
        <f>$T27*AG27</f>
        <v/>
      </c>
      <c r="AI27" s="7">
        <f>U27+W27+Y27+AA27+AC27+AE27+AG27</f>
        <v/>
      </c>
      <c r="AJ27" s="6">
        <f>V27+X27+Z27+AB27+AD27+AF27+AH27</f>
        <v/>
      </c>
    </row>
    <row r="28" ht="60" customHeight="1" s="46">
      <c r="A28" s="3" t="inlineStr">
        <is>
          <t>LOM241.LP.EEA.A04.A1020.QA000.0005</t>
        </is>
      </c>
      <c r="B28" s="4" t="inlineStr">
        <is>
          <t>2/2</t>
        </is>
      </c>
      <c r="C28" s="3" t="inlineStr">
        <is>
          <t>EDILE</t>
        </is>
      </c>
      <c r="D28" s="4" t="inlineStr">
        <is>
          <t>NON SPECIALE</t>
        </is>
      </c>
      <c r="E28" s="4" t="inlineStr">
        <is>
          <t>EDILI</t>
        </is>
      </c>
      <c r="F28" s="3" t="inlineStr">
        <is>
          <t>1_2025.11.20_CME REV07.PDF</t>
        </is>
      </c>
      <c r="G28" s="4" t="inlineStr">
        <is>
          <t>19</t>
        </is>
      </c>
      <c r="H28" s="3" t="inlineStr">
        <is>
          <t>30 - STRUTTURALE</t>
        </is>
      </c>
      <c r="I28" s="3" t="inlineStr">
        <is>
          <t>NUOVI LABORATORI</t>
        </is>
      </c>
      <c r="J28" s="3" t="inlineStr">
        <is>
          <t>OPERE IN C.A.</t>
        </is>
      </c>
      <c r="K28" s="3" t="inlineStr">
        <is>
          <t xml:space="preserve">OPERA STRUMENTALE: CASSAFORMA; TRADIZIONALE DI LEGNO NATURALE GENERICO; IMPIEGO: FONDAZIONI PUNTUALI; SPESSORE [M] = 0,025 ÷ 0,027. INCLUSO: DISARMANTE, CHIODI. </t>
        </is>
      </c>
      <c r="L28" s="3" t="inlineStr">
        <is>
          <t>OPERA STRUMENTALE: CASSAFORMA; TRADIZIONALE DI LEGNO NATURALE GENERICO; IMPIEGO: FONDAZIONI PUNTUALI; SPESSORE [M] = 0,025 ÷ 0,027. INCLUSO: DISARMANTE, CHIODI. 
LAVORO: FORMAZIONE. 
COMPONENTI: 
OS1 OPERA STRUMENTALE: CASSAFORMA; TRADIZIONALE DI LEGNO NATURALE GENERICO; IMPIEGO: FONDAZIONI PUNTUALI; SPESSORE [M] = 0,025 ÷ 0,027. INCLUSO: DISARMANTE, CHIODI. 
RT2 CASSAFORMA TRADIZIONALE IN LEGNO; IMPIEGO: FONDAZIONI PUNTUALI; INCLUSO: OGNI ELEMENTO NECESSARIO AL SUO COMPLETAMENTO (ES.: SOTTOMISURE IN LEGNO DI ABETE O PANNELLI COMPENSATI MULTISTRATO, PICCHETTI, FILO DI FERRO, TRAVI SQUADRATE DI LEGNO, ORDITURA METALLICA D'IRRIGIDIMENTO, SBADACCHI, DISARMANTE, CHIODI) 
SPECIFICHE TECNICHE: SPESSORE PARAMENTO [M] = 0,025 ÷ 0,027; CRITERIO DI MISURAZIONE: VALUTATO A SUPERFICIE EFFETTIVA BAGNATA DAL GETTO 
LV1 LAVORO: FORMAZIONE.</t>
        </is>
      </c>
      <c r="M28" s="4" t="inlineStr">
        <is>
          <t>M²</t>
        </is>
      </c>
      <c r="N28" s="5" t="n">
        <v>24.8</v>
      </c>
      <c r="O28" s="45" t="n">
        <v>34.77</v>
      </c>
      <c r="P28" s="45" t="n">
        <v>862.296</v>
      </c>
      <c r="Q28" s="5" t="n"/>
      <c r="R28" s="6" t="n"/>
      <c r="S28" s="6">
        <f>IF(AND(Q28&lt;&gt;"",R28&lt;&gt;""),Q28*R28,"")</f>
        <v/>
      </c>
      <c r="T28" s="45">
        <f>IF(S28="",P28,S28)</f>
        <v/>
      </c>
      <c r="U28" s="7" t="n">
        <v>0</v>
      </c>
      <c r="V28" s="6">
        <f>$T28*U28</f>
        <v/>
      </c>
      <c r="W28" s="7" t="n">
        <v>0.75</v>
      </c>
      <c r="X28" s="6">
        <f>$T28*W28</f>
        <v/>
      </c>
      <c r="Y28" s="7" t="n">
        <v>0</v>
      </c>
      <c r="Z28" s="6">
        <f>$T28*Y28</f>
        <v/>
      </c>
      <c r="AA28" s="7" t="n">
        <v>0</v>
      </c>
      <c r="AB28" s="6">
        <f>$T28*AA28</f>
        <v/>
      </c>
      <c r="AC28" s="7" t="n">
        <v>0</v>
      </c>
      <c r="AD28" s="6">
        <f>$T28*AC28</f>
        <v/>
      </c>
      <c r="AE28" s="7" t="n">
        <v>0</v>
      </c>
      <c r="AF28" s="6">
        <f>$T28*AE28</f>
        <v/>
      </c>
      <c r="AG28" s="7" t="n">
        <v>0</v>
      </c>
      <c r="AH28" s="6">
        <f>$T28*AG28</f>
        <v/>
      </c>
      <c r="AI28" s="7">
        <f>U28+W28+Y28+AA28+AC28+AE28+AG28</f>
        <v/>
      </c>
      <c r="AJ28" s="6">
        <f>V28+X28+Z28+AB28+AD28+AF28+AH28</f>
        <v/>
      </c>
    </row>
    <row r="29" ht="60" customHeight="1" s="46">
      <c r="A29" s="3" t="inlineStr">
        <is>
          <t>LOM241.OC.EEA.A10.E0000.J0001.0080.A</t>
        </is>
      </c>
      <c r="B29" s="4" t="inlineStr">
        <is>
          <t>3/3</t>
        </is>
      </c>
      <c r="C29" s="3" t="inlineStr">
        <is>
          <t>EDILE</t>
        </is>
      </c>
      <c r="D29" s="4" t="inlineStr">
        <is>
          <t>NON SPECIALE</t>
        </is>
      </c>
      <c r="E29" s="4" t="inlineStr">
        <is>
          <t>EDILI</t>
        </is>
      </c>
      <c r="F29" s="3" t="inlineStr">
        <is>
          <t>1_2025.11.20_CME REV07.PDF</t>
        </is>
      </c>
      <c r="G29" s="4" t="inlineStr">
        <is>
          <t>20</t>
        </is>
      </c>
      <c r="H29" s="3" t="inlineStr">
        <is>
          <t>30 - STRUTTURALE</t>
        </is>
      </c>
      <c r="I29" s="3" t="inlineStr">
        <is>
          <t>NUOVI LABORATORI</t>
        </is>
      </c>
      <c r="J29" s="3" t="inlineStr">
        <is>
          <t>OPERE IN C.A.</t>
        </is>
      </c>
      <c r="K29" s="3" t="inlineStr">
        <is>
          <t>OPERA: STRUTTURA DI CONGLOMERATO CEMENTIZIO; IMPIEGO: PILASTRI | TRAVI | CORREE | SOLETTE | MURATURE VANI SCALA-ASCENSORI; SPESSORE [CM] ≥ 17; RESISTENZA A COMPRESSIONE [CLASSE] = C30/37 | ESPOSIZIONE</t>
        </is>
      </c>
      <c r="L29" s="3" t="inlineStr">
        <is>
          <t>OPERA: STRUTTURA DI CONGLOMERATO CEMENTIZIO; IMPIEGO: PILASTRI | TRAVI | CORREE | SOLETTE | MURATURE VANI SCALA-ASCENSORI; SPESSORE [CM] ≥ 17; RESISTENZA A COMPRESSIONE [CLASSE] = C30/37 | ESPOSIZIONE [CLASSE] = XC1/XC2. 
LAVORO: GETTO CON GRU. INCLUSO: VIBRATURA. ESCLUSO: CASSERI; FERRO. 
COMPONENTI: 
OP1 OPERA: STRUTTURA DI CONGLOMERATO CEMENTIZIO; IMPIEGO: PILASTRI | TRAVI | CORREE | SOLETTE | MURATURE VANI SCALA-ASCENSORI; SPESSORE [CM] ≥ 17; RESISTENZA A COMPRESSIONE [CLASSE] = C30/37 | ESPOSIZIONE [CLASSE] = XC1/XC2. 
RM2 IMPASTO PRECONFEZIONATO DI CEMENTO GENERICO; GEOMETRIA/FORMA/ASPETTO: SFUSO; FUNZIONE: STRUTTURALE; IMPIEGO: CONGLOMERATO CEMENTIZIO; FORNITURA: AUTOBETONIERA; CLASSE DI CONSISTENZA [CLASSE] = S4 | CLASSE DI RESISTENZA [CLASSE] = C30/37 | CLASSE DI ESPOSIZIONE [CLASSE] = XC1/XC2 
SPECIFICHE TECNICHE: CONFEZIONATO IN IMPIANTO DI BETONAGGIO, MATERIE PRIME IN POSSESSO DI MARCATURA CE 
LV1 LAVORO: GETTO CON GRU. INCLUSO: VIBRATURA. ESCLUSO: CASSERI; FERRO. 
RP2 VIBRATORE PER CALCESTRUZZO; DIAMETRO TESTA [MM] = 45 ; POTENZA [KW] = 1; PESO [KG] = 14 
SPECIFICHE TECNICHE: CRITERIO DI MISURAZIONE: ORE DI PRESENZA IN CANTIERE 
RP2 GRU A TORRE A ROTAZIONE IN ALTO; ALTEZZA SOTTO GANCIO [M] ≤ 34,0 | SBRACCIO [M] ≤ 31,0; PORTATA [T] ≤ 1,0; ESCLUSO: F.E.M., ESCLUSO BASAMENTO 
SPECIFICHE TECNICHE: GIÀ INSTALLATA; CRITERIO DI MISURAZIONE: GIORNO DI PRESENZA IN CANTIERE</t>
        </is>
      </c>
      <c r="M29" s="4" t="inlineStr">
        <is>
          <t>M³</t>
        </is>
      </c>
      <c r="N29" s="5" t="n">
        <v>45</v>
      </c>
      <c r="O29" s="45" t="n">
        <v>152</v>
      </c>
      <c r="P29" s="45" t="n">
        <v>6840</v>
      </c>
      <c r="Q29" s="5" t="n"/>
      <c r="R29" s="6" t="n"/>
      <c r="S29" s="6">
        <f>IF(AND(Q29&lt;&gt;"",R29&lt;&gt;""),Q29*R29,"")</f>
        <v/>
      </c>
      <c r="T29" s="45">
        <f>IF(S29="",P29,S29)</f>
        <v/>
      </c>
      <c r="U29" s="7" t="n">
        <v>0</v>
      </c>
      <c r="V29" s="6">
        <f>$T29*U29</f>
        <v/>
      </c>
      <c r="W29" s="7" t="n">
        <v>0.75</v>
      </c>
      <c r="X29" s="6">
        <f>$T29*W29</f>
        <v/>
      </c>
      <c r="Y29" s="7" t="n">
        <v>0</v>
      </c>
      <c r="Z29" s="6">
        <f>$T29*Y29</f>
        <v/>
      </c>
      <c r="AA29" s="7" t="n">
        <v>0</v>
      </c>
      <c r="AB29" s="6">
        <f>$T29*AA29</f>
        <v/>
      </c>
      <c r="AC29" s="7" t="n">
        <v>0</v>
      </c>
      <c r="AD29" s="6">
        <f>$T29*AC29</f>
        <v/>
      </c>
      <c r="AE29" s="7" t="n">
        <v>0</v>
      </c>
      <c r="AF29" s="6">
        <f>$T29*AE29</f>
        <v/>
      </c>
      <c r="AG29" s="7" t="n">
        <v>0</v>
      </c>
      <c r="AH29" s="6">
        <f>$T29*AG29</f>
        <v/>
      </c>
      <c r="AI29" s="7">
        <f>U29+W29+Y29+AA29+AC29+AE29+AG29</f>
        <v/>
      </c>
      <c r="AJ29" s="6">
        <f>V29+X29+Z29+AB29+AD29+AF29+AH29</f>
        <v/>
      </c>
    </row>
    <row r="30" ht="60" customHeight="1" s="46">
      <c r="A30" s="3" t="inlineStr">
        <is>
          <t>LOM241.OC.EEA.A02.E9700.SB017.0255</t>
        </is>
      </c>
      <c r="B30" s="4" t="inlineStr">
        <is>
          <t>3/3</t>
        </is>
      </c>
      <c r="C30" s="3" t="inlineStr">
        <is>
          <t>EDILE</t>
        </is>
      </c>
      <c r="D30" s="4" t="inlineStr">
        <is>
          <t>NON SPECIALE</t>
        </is>
      </c>
      <c r="E30" s="4" t="inlineStr">
        <is>
          <t>EDILI</t>
        </is>
      </c>
      <c r="F30" s="3" t="inlineStr">
        <is>
          <t>1_2025.11.20_CME REV07.PDF</t>
        </is>
      </c>
      <c r="G30" s="4" t="inlineStr">
        <is>
          <t>21</t>
        </is>
      </c>
      <c r="H30" s="3" t="inlineStr">
        <is>
          <t>30 - STRUTTURALE</t>
        </is>
      </c>
      <c r="I30" s="3" t="inlineStr">
        <is>
          <t>NUOVI LABORATORI</t>
        </is>
      </c>
      <c r="J30" s="3" t="inlineStr">
        <is>
          <t>OPERE IN C.A.</t>
        </is>
      </c>
      <c r="K30" s="3" t="inlineStr">
        <is>
          <t xml:space="preserve">OPERA: ARMATURA, BARRE NERVATE DI LEGA FERROSA ACCIAIO B450C; IMPIEGO: STRUTTURE IN CEMENTO ARMATO. INCLUSO: SORMONTI; SFRIDO; LEGATURE. </t>
        </is>
      </c>
      <c r="L30" s="3" t="inlineStr">
        <is>
          <t>OPERA: ARMATURA, BARRE NERVATE DI LEGA FERROSA ACCIAIO B450C; IMPIEGO: STRUTTURE IN CEMENTO ARMATO. INCLUSO: SORMONTI; SFRIDO; LEGATURE. 
LAVORO: POSA. 
COMPONENTI: 
OP1 OPERA: ARMATURA, BARRE NERVATE DI LEGA FERROSA ACCIAIO B450C; IMPIEGO: STRUTTURE IN CEMENTO ARMATO. INCLUSO: SORMONTI; SFRIDO; LEGATURE. 
RM2 BARRA NERVATA DI LEGA FERROSA ACCIAIO B450C; FUNZIONE: STRUTTURALE; IMPIEGO: STRUTTURE C.A. 
SPECIFICHE TECNICHE: PRODOTTO CON SISTEMI DI CONTROLLO DI PRODUZIONE IN STABILIMENTO 
RM2 FERRAMENTA FILO DI METALLO FERRO 
SPECIFICHE TECNICHE: FILO DI METALLO FERRO COTTO 
LV1 LAVORO: POSA.</t>
        </is>
      </c>
      <c r="M30" s="4" t="inlineStr">
        <is>
          <t>KG</t>
        </is>
      </c>
      <c r="N30" s="5" t="n">
        <v>5400</v>
      </c>
      <c r="O30" s="45" t="n">
        <v>1.27</v>
      </c>
      <c r="P30" s="45" t="n">
        <v>6858</v>
      </c>
      <c r="Q30" s="5" t="n"/>
      <c r="R30" s="6" t="n"/>
      <c r="S30" s="6">
        <f>IF(AND(Q30&lt;&gt;"",R30&lt;&gt;""),Q30*R30,"")</f>
        <v/>
      </c>
      <c r="T30" s="45">
        <f>IF(S30="",P30,S30)</f>
        <v/>
      </c>
      <c r="U30" s="7" t="n">
        <v>0</v>
      </c>
      <c r="V30" s="6">
        <f>$T30*U30</f>
        <v/>
      </c>
      <c r="W30" s="7" t="n">
        <v>0.75</v>
      </c>
      <c r="X30" s="6">
        <f>$T30*W30</f>
        <v/>
      </c>
      <c r="Y30" s="7" t="n">
        <v>0</v>
      </c>
      <c r="Z30" s="6">
        <f>$T30*Y30</f>
        <v/>
      </c>
      <c r="AA30" s="7" t="n">
        <v>0</v>
      </c>
      <c r="AB30" s="6">
        <f>$T30*AA30</f>
        <v/>
      </c>
      <c r="AC30" s="7" t="n">
        <v>0</v>
      </c>
      <c r="AD30" s="6">
        <f>$T30*AC30</f>
        <v/>
      </c>
      <c r="AE30" s="7" t="n">
        <v>0</v>
      </c>
      <c r="AF30" s="6">
        <f>$T30*AE30</f>
        <v/>
      </c>
      <c r="AG30" s="7" t="n">
        <v>0</v>
      </c>
      <c r="AH30" s="6">
        <f>$T30*AG30</f>
        <v/>
      </c>
      <c r="AI30" s="7">
        <f>U30+W30+Y30+AA30+AC30+AE30+AG30</f>
        <v/>
      </c>
      <c r="AJ30" s="6">
        <f>V30+X30+Z30+AB30+AD30+AF30+AH30</f>
        <v/>
      </c>
    </row>
    <row r="31" hidden="1" ht="60" customHeight="1" s="46">
      <c r="A31" s="3" t="inlineStr">
        <is>
          <t>PA.ARC.08</t>
        </is>
      </c>
      <c r="B31" s="4" t="inlineStr">
        <is>
          <t>1/1</t>
        </is>
      </c>
      <c r="C31" s="3" t="inlineStr">
        <is>
          <t>EDILE</t>
        </is>
      </c>
      <c r="D31" s="4" t="inlineStr">
        <is>
          <t>NON SPECIALE</t>
        </is>
      </c>
      <c r="E31" s="4" t="inlineStr">
        <is>
          <t>EDILI</t>
        </is>
      </c>
      <c r="F31" s="3" t="inlineStr">
        <is>
          <t>1_2025.11.20_CME REV07.PDF</t>
        </is>
      </c>
      <c r="G31" s="4" t="inlineStr">
        <is>
          <t>22</t>
        </is>
      </c>
      <c r="H31" s="3" t="inlineStr">
        <is>
          <t>30 - STRUTTURALE</t>
        </is>
      </c>
      <c r="I31" s="3" t="inlineStr">
        <is>
          <t>NUOVI LABORATORI</t>
        </is>
      </c>
      <c r="J31" s="3" t="inlineStr">
        <is>
          <t>OPERE PREFABBRICATE</t>
        </is>
      </c>
      <c r="K31" s="3" t="inlineStr">
        <is>
          <t>FORNITURA E POSA IN OPERA DI ELEMENTI STRUTTURALI PREFABBRICATI IN CEMENTO ARMATO (TRAVI E PILASTRI), REALIZZATI CON CALCESTRUZZO DI CLASSE C40/50, CLASSE DI ESPOSIZIONE XC3, COMPRENSIVA DI NOLO DI ME</t>
        </is>
      </c>
      <c r="L31" s="3" t="inlineStr">
        <is>
          <t>FORNITURA E POSA IN OPERA DI ELEMENTI STRUTTURALI PREFABBRICATI IN CEMENTO ARMATO (TRAVI E PILASTRI), REALIZZATI CON CALCESTRUZZO DI CLASSE C40/50, CLASSE DI ESPOSIZIONE XC3, COMPRENSIVA DI NOLO DI MEZZI MECCANICI PER TIRO IN QUOTA, MOVIMENTAZIONE E POSA IN OPERA. GLI ELEMENTI PREFABBRICATI SONO PRODOTTI PER AMBIENTI UMIDI E SOGGETTI A CONDENSA, CON FINITURE SUPERFICIALI ADEGUATE. LA FORNITURA COMPRENDE LA CONSEGNA IN CANTIERE, IL TRASPORTO, IL NOLEGGIO DI MEZZI MECCANICI COME GRU E PIATTAFORME ELEVATRICI PER IL TIRO IN QUOTA E IL POSIZIONAMENTO, OLTRE AGLI INTERVENTI DI POSA, ANCORAGGI E EVENTUALI FINITURE DI FINITURA O SISTEMAZIONE TEMPORANEA.</t>
        </is>
      </c>
      <c r="M31" s="4" t="inlineStr">
        <is>
          <t>MC</t>
        </is>
      </c>
      <c r="N31" s="5" t="n">
        <v>0</v>
      </c>
      <c r="O31" s="45" t="n">
        <v>96453.86</v>
      </c>
      <c r="P31" s="45" t="n">
        <v>0</v>
      </c>
      <c r="Q31" s="5" t="n"/>
      <c r="R31" s="6" t="n"/>
      <c r="S31" s="6">
        <f>IF(AND(Q31&lt;&gt;"",R31&lt;&gt;""),Q31*R31,"")</f>
        <v/>
      </c>
      <c r="T31" s="45">
        <f>IF(S31="",P31,S31)</f>
        <v/>
      </c>
      <c r="U31" s="7" t="n">
        <v>0</v>
      </c>
      <c r="V31" s="6">
        <f>$T31*U31</f>
        <v/>
      </c>
      <c r="W31" s="7" t="n">
        <v>0</v>
      </c>
      <c r="X31" s="6">
        <f>$T31*W31</f>
        <v/>
      </c>
      <c r="Y31" s="7" t="n">
        <v>0</v>
      </c>
      <c r="Z31" s="6">
        <f>$T31*Y31</f>
        <v/>
      </c>
      <c r="AA31" s="7" t="n">
        <v>0</v>
      </c>
      <c r="AB31" s="6">
        <f>$T31*AA31</f>
        <v/>
      </c>
      <c r="AC31" s="7" t="n">
        <v>0</v>
      </c>
      <c r="AD31" s="6">
        <f>$T31*AC31</f>
        <v/>
      </c>
      <c r="AE31" s="7" t="n">
        <v>0</v>
      </c>
      <c r="AF31" s="6">
        <f>$T31*AE31</f>
        <v/>
      </c>
      <c r="AG31" s="7" t="n">
        <v>0</v>
      </c>
      <c r="AH31" s="6">
        <f>$T31*AG31</f>
        <v/>
      </c>
      <c r="AI31" s="7">
        <f>U31+W31+Y31+AA31+AC31+AE31+AG31</f>
        <v/>
      </c>
      <c r="AJ31" s="6">
        <f>V31+X31+Z31+AB31+AD31+AF31+AH31</f>
        <v/>
      </c>
    </row>
    <row r="32" ht="60" customHeight="1" s="46">
      <c r="A32" s="3" t="inlineStr">
        <is>
          <t>LOM241.OC.EEA.A02.E0005.SB001.0040</t>
        </is>
      </c>
      <c r="B32" s="4" t="inlineStr">
        <is>
          <t>1/1</t>
        </is>
      </c>
      <c r="C32" s="3" t="inlineStr">
        <is>
          <t>EDILE</t>
        </is>
      </c>
      <c r="D32" s="4" t="inlineStr">
        <is>
          <t>NON SPECIALE</t>
        </is>
      </c>
      <c r="E32" s="4" t="inlineStr">
        <is>
          <t>EDILI</t>
        </is>
      </c>
      <c r="F32" s="3" t="inlineStr">
        <is>
          <t>1_2025.11.20_CME REV07.PDF</t>
        </is>
      </c>
      <c r="G32" s="4" t="inlineStr">
        <is>
          <t>23</t>
        </is>
      </c>
      <c r="H32" s="3" t="inlineStr">
        <is>
          <t>30 - STRUTTURALE</t>
        </is>
      </c>
      <c r="I32" s="3" t="inlineStr">
        <is>
          <t>NUOVI LABORATORI</t>
        </is>
      </c>
      <c r="J32" s="3" t="inlineStr">
        <is>
          <t>OPERE IN C.A.</t>
        </is>
      </c>
      <c r="K32" s="3" t="inlineStr">
        <is>
          <t xml:space="preserve">OPERA: PROFILATO DI LEGA FERROSA ACCIAIO GENERICO; FUNZIONE: CARPENTERIA METALLICA | TRAVATURE; IMPIEGO: SOLAI | COPERTURE | OSSATURE | RAMPE | RIPIANI SCALE | PENSILINE | BALCONI. INCLUSO: PROFILATI </t>
        </is>
      </c>
      <c r="L32" s="3" t="inlineStr">
        <is>
          <t>OPERA: PROFILATO DI LEGA FERROSA ACCIAIO GENERICO; FUNZIONE: CARPENTERIA METALLICA | TRAVATURE; IMPIEGO: SOLAI | COPERTURE | OSSATURE | RAMPE | RIPIANI SCALE | PENSILINE | BALCONI. INCLUSO: PROFILATI (DI QUALSIASI TIPO, SEZIONE E DIMENSIONE), PIASTRE, SQUADRE, TIRANTI, BULLONI, FORI, FISSAGGI. 
LAVORO: POSA. INCLUSO: MANO DI ANTIRUGGINE, TRASPORTI E SOLLEVAMENTI. ESCLUSO: ONERI PER DEMOLIZIONI, RIPRISTINI DI OPERE MURARIE, OPERE DI SOSTEGNO E PROTEZIONE. 
SPECIFICHE TECNICHE: ACCIAIO S235/S275/S355, IN OPERA, IMBULLONATA O SALDATA. 
COMPONENTI: 
OP1 OPERA: PROFILATO DI LEGA FERROSA ACCIAIO GENERICO; FUNZIONE: CARPENTERIA METALLICA | TRAVATURE; IMPIEGO: SOLAI | COPERTURE | OSSATURE | RAMPE | RIPIANI SCALE | PENSILINE | BALCONI. INCLUSO: PROFILATI (DI QUALSIASI TIPO, SEZIONE E DIMENSIONE), PIASTRE, SQUADRE, TIRANTI, BULLONI, FORI, FISSAGGI. 
SPECIFICHE TECNICHE: ACCIAIO S235/S275/S355. 
RM2 PROFILATO A CALDO DI LEGA FERROSA ACCIAO S355J2; GEOMETRIA/FORMA/ASPETTO: HE; FUNZIONE: CARPENTERIA; ALTEZZA [MM] = 80 ÷ 220 
LV1 LAVORO: POSA. INCLUSO: MANO DI ANTIRUGGINE, TRASPORTI E SOLLEVAMENTI. ESCLUSO: ONERI PER DEMOLIZIONI, RIPRISTINI DI OPERE MURARIE, OPERE DI SOSTEGNO E PROTEZIONE. 
SPECIFICHE TECNICHE: IN OPERA, IMBULLONATA O SALDATA.</t>
        </is>
      </c>
      <c r="M32" s="4" t="inlineStr">
        <is>
          <t>KG</t>
        </is>
      </c>
      <c r="N32" s="5" t="n">
        <v>2062.05</v>
      </c>
      <c r="O32" s="45" t="n">
        <v>4.47</v>
      </c>
      <c r="P32" s="45" t="n">
        <v>9217.363499999999</v>
      </c>
      <c r="Q32" s="5" t="n"/>
      <c r="R32" s="6" t="n"/>
      <c r="S32" s="6">
        <f>IF(AND(Q32&lt;&gt;"",R32&lt;&gt;""),Q32*R32,"")</f>
        <v/>
      </c>
      <c r="T32" s="45">
        <f>IF(S32="",P32,S32)</f>
        <v/>
      </c>
      <c r="U32" s="7" t="n">
        <v>0</v>
      </c>
      <c r="V32" s="6">
        <f>$T32*U32</f>
        <v/>
      </c>
      <c r="W32" s="7" t="n">
        <v>0.75</v>
      </c>
      <c r="X32" s="6">
        <f>$T32*W32</f>
        <v/>
      </c>
      <c r="Y32" s="7" t="n">
        <v>0</v>
      </c>
      <c r="Z32" s="6">
        <f>$T32*Y32</f>
        <v/>
      </c>
      <c r="AA32" s="7" t="n">
        <v>0</v>
      </c>
      <c r="AB32" s="6">
        <f>$T32*AA32</f>
        <v/>
      </c>
      <c r="AC32" s="7" t="n">
        <v>0</v>
      </c>
      <c r="AD32" s="6">
        <f>$T32*AC32</f>
        <v/>
      </c>
      <c r="AE32" s="7" t="n">
        <v>0</v>
      </c>
      <c r="AF32" s="6">
        <f>$T32*AE32</f>
        <v/>
      </c>
      <c r="AG32" s="7" t="n">
        <v>0</v>
      </c>
      <c r="AH32" s="6">
        <f>$T32*AG32</f>
        <v/>
      </c>
      <c r="AI32" s="7">
        <f>U32+W32+Y32+AA32+AC32+AE32+AG32</f>
        <v/>
      </c>
      <c r="AJ32" s="6">
        <f>V32+X32+Z32+AB32+AD32+AF32+AH32</f>
        <v/>
      </c>
    </row>
    <row r="33" ht="60" customHeight="1" s="46">
      <c r="A33" s="3" t="inlineStr">
        <is>
          <t>LOM241.OC.EEA.A02.E0005.SB001.0025</t>
        </is>
      </c>
      <c r="B33" s="4" t="inlineStr">
        <is>
          <t>1/1</t>
        </is>
      </c>
      <c r="C33" s="3" t="inlineStr">
        <is>
          <t>EDILE</t>
        </is>
      </c>
      <c r="D33" s="4" t="inlineStr">
        <is>
          <t>NON SPECIALE</t>
        </is>
      </c>
      <c r="E33" s="4" t="inlineStr">
        <is>
          <t>EDILI</t>
        </is>
      </c>
      <c r="F33" s="3" t="inlineStr">
        <is>
          <t>1_2025.11.20_CME REV07.PDF</t>
        </is>
      </c>
      <c r="G33" s="4" t="inlineStr">
        <is>
          <t>24</t>
        </is>
      </c>
      <c r="H33" s="3" t="inlineStr">
        <is>
          <t>30 - STRUTTURALE</t>
        </is>
      </c>
      <c r="I33" s="3" t="inlineStr">
        <is>
          <t>NUOVI LABORATORI</t>
        </is>
      </c>
      <c r="J33" s="3" t="inlineStr">
        <is>
          <t>OPERE IN C.A.</t>
        </is>
      </c>
      <c r="K33" s="3" t="inlineStr">
        <is>
          <t xml:space="preserve">OPERA: PROFILATO DI LEGA FERROSA ACCIAIO GENERICO; FUNZIONE: CARPENTERIA METALLICA | TRAVATURE; IMPIEGO: SOLAI | COPERTURE | OSSATURE | RAMPE | RIPIANI SCALE | PENSILINE | BALCONI. INCLUSO: PROFILATI </t>
        </is>
      </c>
      <c r="L33" s="3" t="inlineStr">
        <is>
          <t>OPERA: PROFILATO DI LEGA FERROSA ACCIAIO GENERICO; FUNZIONE: CARPENTERIA METALLICA | TRAVATURE; IMPIEGO: SOLAI | COPERTURE | OSSATURE | RAMPE | RIPIANI SCALE | PENSILINE | BALCONI. INCLUSO: PROFILATI (DI QUALSIASI TIPO, SEZIONE E DIMENSIONE), PIASTRE, SQUADRE, TIRANTI, BULLONI, FORI, FISSAGGI. 
LAVORO: POSA. INCLUSO: MANO DI ANTIRUGGINE, TRASPORTI E SOLLEVAMENTI. ESCLUSO: ONERI PER DEMOLIZIONI, RIPRISTINI DI OPERE MURARIE, OPERE DI SOSTEGNO E PROTEZIONE. 
SPECIFICHE TECNICHE: ACCIAIO S235/S275/S355, IN OPERA, IMBULLONATA O SALDATA. 
COMPONENTI: 
OP1 OPERA: PROFILATO DI LEGA FERROSA ACCIAIO GENERICO; FUNZIONE: CARPENTERIA METALLICA | TRAVATURE; IMPIEGO: SOLAI | COPERTURE | OSSATURE | RAMPE | RIPIANI SCALE | PENSILINE | BALCONI. INCLUSO: PROFILATI (DI QUALSIASI TIPO, SEZIONE E DIMENSIONE), PIASTRE, SQUADRE, TIRANTI, BULLONI, FORI, FISSAGGI. 
SPECIFICHE TECNICHE: ACCIAIO S235/S275/S355. 
RM2 PROFILATO A CALDO DI LEGA FERROSA ACCIAO S355JR; GEOMETRIA/FORMA/ASPETTO: HE; FUNZIONE: CARPENTERIA; ALTEZZA [MM] = 240 ÷ 600 
LV1 LAVORO: POSA. INCLUSO: MANO DI ANTIRUGGINE, TRASPORTI E SOLLEVAMENTI. ESCLUSO: ONERI PER DEMOLIZIONI, RIPRISTINI DI OPERE MURARIE, OPERE DI SOSTEGNO E PROTEZIONE. 
SPECIFICHE TECNICHE: IN OPERA, IMBULLONATA O SALDATA.</t>
        </is>
      </c>
      <c r="M33" s="4" t="inlineStr">
        <is>
          <t>KG</t>
        </is>
      </c>
      <c r="N33" s="5" t="n">
        <v>1704.68</v>
      </c>
      <c r="O33" s="45" t="n">
        <v>4.47</v>
      </c>
      <c r="P33" s="45" t="n">
        <v>7619.9196</v>
      </c>
      <c r="Q33" s="5" t="n"/>
      <c r="R33" s="6" t="n"/>
      <c r="S33" s="6">
        <f>IF(AND(Q33&lt;&gt;"",R33&lt;&gt;""),Q33*R33,"")</f>
        <v/>
      </c>
      <c r="T33" s="45">
        <f>IF(S33="",P33,S33)</f>
        <v/>
      </c>
      <c r="U33" s="7" t="n">
        <v>0</v>
      </c>
      <c r="V33" s="6">
        <f>$T33*U33</f>
        <v/>
      </c>
      <c r="W33" s="7" t="n">
        <v>0.75</v>
      </c>
      <c r="X33" s="6">
        <f>$T33*W33</f>
        <v/>
      </c>
      <c r="Y33" s="7" t="n">
        <v>0</v>
      </c>
      <c r="Z33" s="6">
        <f>$T33*Y33</f>
        <v/>
      </c>
      <c r="AA33" s="7" t="n">
        <v>0</v>
      </c>
      <c r="AB33" s="6">
        <f>$T33*AA33</f>
        <v/>
      </c>
      <c r="AC33" s="7" t="n">
        <v>0</v>
      </c>
      <c r="AD33" s="6">
        <f>$T33*AC33</f>
        <v/>
      </c>
      <c r="AE33" s="7" t="n">
        <v>0</v>
      </c>
      <c r="AF33" s="6">
        <f>$T33*AE33</f>
        <v/>
      </c>
      <c r="AG33" s="7" t="n">
        <v>0</v>
      </c>
      <c r="AH33" s="6">
        <f>$T33*AG33</f>
        <v/>
      </c>
      <c r="AI33" s="7">
        <f>U33+W33+Y33+AA33+AC33+AE33+AG33</f>
        <v/>
      </c>
      <c r="AJ33" s="6">
        <f>V33+X33+Z33+AB33+AD33+AF33+AH33</f>
        <v/>
      </c>
    </row>
    <row r="34" ht="30" customHeight="1" s="46">
      <c r="A34" s="3" t="inlineStr">
        <is>
          <t>LOM241.1C.22.100.0010.A</t>
        </is>
      </c>
      <c r="B34" s="4" t="inlineStr">
        <is>
          <t>1/2</t>
        </is>
      </c>
      <c r="C34" s="3" t="inlineStr">
        <is>
          <t>EDILE</t>
        </is>
      </c>
      <c r="D34" s="4" t="inlineStr">
        <is>
          <t>NON SPECIALE</t>
        </is>
      </c>
      <c r="E34" s="4" t="inlineStr">
        <is>
          <t>EDILI</t>
        </is>
      </c>
      <c r="F34" s="3" t="inlineStr">
        <is>
          <t>1_2025.11.20_CME REV07.PDF</t>
        </is>
      </c>
      <c r="G34" s="4" t="inlineStr">
        <is>
          <t>25</t>
        </is>
      </c>
      <c r="H34" s="3" t="inlineStr">
        <is>
          <t>30 - STRUTTURALE</t>
        </is>
      </c>
      <c r="I34" s="3" t="inlineStr">
        <is>
          <t>NUOVI LABORATORI</t>
        </is>
      </c>
      <c r="J34" s="3" t="inlineStr">
        <is>
          <t>OPERE IN CARPENTERIA METALLICA</t>
        </is>
      </c>
      <c r="K34" s="3" t="inlineStr">
        <is>
          <t>SOVRAPPREZZO PER ZINCATURA DI CARPENTERIA METALLICA: - A CALDO</t>
        </is>
      </c>
      <c r="L34" s="3" t="inlineStr">
        <is>
          <t>SOVRAPPREZZO PER ZINCATURA DI CARPENTERIA METALLICA: - A CALDO</t>
        </is>
      </c>
      <c r="M34" s="4" t="inlineStr">
        <is>
          <t>KG</t>
        </is>
      </c>
      <c r="N34" s="5" t="n">
        <v>3766.73</v>
      </c>
      <c r="O34" s="45" t="n">
        <v>0.9399999999999999</v>
      </c>
      <c r="P34" s="45" t="n">
        <v>3540.7262</v>
      </c>
      <c r="Q34" s="5" t="n"/>
      <c r="R34" s="6" t="n"/>
      <c r="S34" s="6">
        <f>IF(AND(Q34&lt;&gt;"",R34&lt;&gt;""),Q34*R34,"")</f>
        <v/>
      </c>
      <c r="T34" s="45">
        <f>IF(S34="",P34,S34)</f>
        <v/>
      </c>
      <c r="U34" s="7" t="n">
        <v>0</v>
      </c>
      <c r="V34" s="6">
        <f>$T34*U34</f>
        <v/>
      </c>
      <c r="W34" s="7" t="n">
        <v>0.75</v>
      </c>
      <c r="X34" s="6">
        <f>$T34*W34</f>
        <v/>
      </c>
      <c r="Y34" s="7" t="n">
        <v>0</v>
      </c>
      <c r="Z34" s="6">
        <f>$T34*Y34</f>
        <v/>
      </c>
      <c r="AA34" s="7" t="n">
        <v>0</v>
      </c>
      <c r="AB34" s="6">
        <f>$T34*AA34</f>
        <v/>
      </c>
      <c r="AC34" s="7" t="n">
        <v>0</v>
      </c>
      <c r="AD34" s="6">
        <f>$T34*AC34</f>
        <v/>
      </c>
      <c r="AE34" s="7" t="n">
        <v>0</v>
      </c>
      <c r="AF34" s="6">
        <f>$T34*AE34</f>
        <v/>
      </c>
      <c r="AG34" s="7" t="n">
        <v>0</v>
      </c>
      <c r="AH34" s="6">
        <f>$T34*AG34</f>
        <v/>
      </c>
      <c r="AI34" s="7">
        <f>U34+W34+Y34+AA34+AC34+AE34+AG34</f>
        <v/>
      </c>
      <c r="AJ34" s="6">
        <f>V34+X34+Z34+AB34+AD34+AF34+AH34</f>
        <v/>
      </c>
    </row>
    <row r="35" hidden="1" ht="60" customHeight="1" s="46">
      <c r="A35" s="3" t="inlineStr">
        <is>
          <t>LOM241.OC.EEA.A04.E0200.J0001.0035.C</t>
        </is>
      </c>
      <c r="B35" s="4" t="inlineStr">
        <is>
          <t>1/1</t>
        </is>
      </c>
      <c r="C35" s="3" t="inlineStr">
        <is>
          <t>EDILE</t>
        </is>
      </c>
      <c r="D35" s="4" t="inlineStr">
        <is>
          <t>NON SPECIALE</t>
        </is>
      </c>
      <c r="E35" s="4" t="inlineStr">
        <is>
          <t>EDILI</t>
        </is>
      </c>
      <c r="F35" s="3" t="inlineStr">
        <is>
          <t>1_2025.11.20_CME REV07.PDF</t>
        </is>
      </c>
      <c r="G35" s="4" t="inlineStr">
        <is>
          <t>26</t>
        </is>
      </c>
      <c r="H35" s="3" t="inlineStr">
        <is>
          <t>30 - STRUTTURALE</t>
        </is>
      </c>
      <c r="I35" s="3" t="inlineStr">
        <is>
          <t>NUOVI LABORATORI</t>
        </is>
      </c>
      <c r="J35" s="3" t="inlineStr">
        <is>
          <t>OPERE IN C.A.</t>
        </is>
      </c>
      <c r="K35" s="3" t="inlineStr">
        <is>
          <t xml:space="preserve">OPERA: SOLAIO DI CONGLOMERATO CEMENTIZIO; GEOMETRIA/FORMA/ASPETTO: PIANO/INCLINATO; SPESSORE TOT [CM] = 10. INCLUSO: ARMATURA; LAMIERA GRECATA. </t>
        </is>
      </c>
      <c r="L35" s="3" t="inlineStr">
        <is>
          <t>OPERA: SOLAIO DI CONGLOMERATO CEMENTIZIO; GEOMETRIA/FORMA/ASPETTO: PIANO/INCLINATO; SPESSORE TOT [CM] = 10. INCLUSO: ARMATURA; LAMIERA GRECATA. 
LAVORO: FORMAZIONE. INCLUSO: ARMATURA DI SOSTEGNO PROVVISORIA FINO A 4,50 M DAL PIANO DI APPOGGIO, EVENTUALI CASSERATURE A COMPLETAMENTO, SALDATURA PER PUNTI, RIVETTATURA, OPERE NECESSARIE PER L'ADEGUATO COLLEGAMENTO ALLE STRUTTURE PORTANTI. ESCLUSO: FERRO TONDO D'ARMATURA, RETE ELETTROSALDATA. 
SPECIFICHE TECNICHE: LAMIERA GRECATA COLLABORANTE CON IL GETTO. 
COMPONENTI: 
OP1 OPERA: SOLAIO DI CONGLOMERATO CEMENTIZIO; GEOMETRIA/FORMA/ASPETTO: PIANO/INCLINATO; SPESSORE TOT [CM] = 10. INCLUSO: ARMATURA; LAMIERA GRECATA. 
SPECIFICHE TECNICHE: LAMIERA GRECATA COLLABORANTE CON IL GETTO. 
RM2 LAMIERA DI LEGA FERROSA ACCIAIO ZINCATO; GEOMETRIA/FORMA/ASPETTO: GRECATA; FUNZIONE: COLLABORANTE; IMPIEGO: SOLAIO 
SPECIFICHE TECNICHE: DA COMPLETARE CON GETTO DI CALCESTRUZZO 
RM2 FERRAMENTA VITE DI METALLO FERRO; GEOMETRIA/FORMA/ASPETTO: AUTOPERFORANTI; FUNZIONE: FISSAGGIO; IMPIEGO: LASTRE 
LV1 LAVORO: FORMAZIONE. INCLUSO: ARMATURA DI SOSTEGNO PROVVISORIA FINO A 4,50 M DAL PIANO DI APPOGGIO, EVENTUALI CASSERATURE A COMPLETAMENTO, SALDATURA PER PUNTI, RIVETTATURA, OPERE NECESSARIE PER L'ADEGUATO COLLEGAMENTO ALLE STRUTTURE PORTANTI. ESCLUSO: FERRO TONDO D'ARMATURA, RETE ELETTROSALDATA. 
LP2 OPERA STRUMENTALE: CASSAFORMA; TRADIZIONALE DI LEGNO NATURALE GENERICO; IMPIEGO: SOLAIO MISTO CON TRAVI IN SPESSORE PER STRUTTURE PIANE; SPESSORE [M] = 0,025 ÷ 0,027 | ALTEZZA [M] ≤ 3,5; PRESSIONE [KN/M²] ≤ 70. INCLUSO: DISARMANTE, CHIODI, PUNTELLI. 
LAVORO: FORMAZIONE.</t>
        </is>
      </c>
      <c r="M35" s="4" t="inlineStr">
        <is>
          <t>M²</t>
        </is>
      </c>
      <c r="N35" s="5" t="n">
        <v>38.88</v>
      </c>
      <c r="O35" s="45" t="n">
        <v>115.2</v>
      </c>
      <c r="P35" s="45" t="n">
        <v>4478.976</v>
      </c>
      <c r="Q35" s="5" t="n"/>
      <c r="R35" s="6" t="n"/>
      <c r="S35" s="6">
        <f>IF(AND(Q35&lt;&gt;"",R35&lt;&gt;""),Q35*R35,"")</f>
        <v/>
      </c>
      <c r="T35" s="45">
        <f>IF(S35="",P35,S35)</f>
        <v/>
      </c>
      <c r="U35" s="7" t="n">
        <v>0</v>
      </c>
      <c r="V35" s="6">
        <f>$T35*U35</f>
        <v/>
      </c>
      <c r="W35" s="7" t="n">
        <v>0</v>
      </c>
      <c r="X35" s="6">
        <f>$T35*W35</f>
        <v/>
      </c>
      <c r="Y35" s="7" t="n">
        <v>0</v>
      </c>
      <c r="Z35" s="6">
        <f>$T35*Y35</f>
        <v/>
      </c>
      <c r="AA35" s="7" t="n">
        <v>0</v>
      </c>
      <c r="AB35" s="6">
        <f>$T35*AA35</f>
        <v/>
      </c>
      <c r="AC35" s="7" t="n">
        <v>0</v>
      </c>
      <c r="AD35" s="6">
        <f>$T35*AC35</f>
        <v/>
      </c>
      <c r="AE35" s="7" t="n">
        <v>0</v>
      </c>
      <c r="AF35" s="6">
        <f>$T35*AE35</f>
        <v/>
      </c>
      <c r="AG35" s="7" t="n">
        <v>0</v>
      </c>
      <c r="AH35" s="6">
        <f>$T35*AG35</f>
        <v/>
      </c>
      <c r="AI35" s="7">
        <f>U35+W35+Y35+AA35+AC35+AE35+AG35</f>
        <v/>
      </c>
      <c r="AJ35" s="6">
        <f>V35+X35+Z35+AB35+AD35+AF35+AH35</f>
        <v/>
      </c>
    </row>
    <row r="36" ht="60" customHeight="1" s="46">
      <c r="A36" s="3" t="inlineStr">
        <is>
          <t>LOM241.OC.EEA.A02.E9700.SB016.0000</t>
        </is>
      </c>
      <c r="B36" s="4" t="inlineStr">
        <is>
          <t>1/3</t>
        </is>
      </c>
      <c r="C36" s="3" t="inlineStr">
        <is>
          <t>EDILE</t>
        </is>
      </c>
      <c r="D36" s="4" t="inlineStr">
        <is>
          <t>NON SPECIALE</t>
        </is>
      </c>
      <c r="E36" s="4" t="inlineStr">
        <is>
          <t>EDILI</t>
        </is>
      </c>
      <c r="F36" s="3" t="inlineStr">
        <is>
          <t>1_2025.11.20_CME REV07.PDF</t>
        </is>
      </c>
      <c r="G36" s="4" t="inlineStr">
        <is>
          <t>27</t>
        </is>
      </c>
      <c r="H36" s="3" t="inlineStr">
        <is>
          <t>30 - STRUTTURALE</t>
        </is>
      </c>
      <c r="I36" s="3" t="inlineStr">
        <is>
          <t>NUOVI LABORATORI</t>
        </is>
      </c>
      <c r="J36" s="3" t="inlineStr">
        <is>
          <t>OPERE IN C.A.</t>
        </is>
      </c>
      <c r="K36" s="3" t="inlineStr">
        <is>
          <t xml:space="preserve">OPERA: ARMATURA, RETE ELETTROSALDATA DI LEGA FERROSA ACCIAIO B450A; IMPIEGO: STRUTTURE IN CEMENTO ARMATO. </t>
        </is>
      </c>
      <c r="L36" s="3" t="inlineStr">
        <is>
          <t>OPERA: ARMATURA, RETE ELETTROSALDATA DI LEGA FERROSA ACCIAIO B450A; IMPIEGO: STRUTTURE IN CEMENTO ARMATO. 
LAVORO: POSA. INCLUSO: SORMONTI, TAGLI, SFRIDI, LEGATURE. 
SPECIFICHE TECNICHE: PRODOTTO CON SISTEMI DI CONTROLLO DI PRODUZIONE IN STABILIMENTO DI CUI AL D.M.17/01/2018. 
COMPONENTI: 
OP1 OPERA: ARMATURA, RETE ELETTROSALDATA DI LEGA FERROSA ACCIAIO B450A; IMPIEGO: STRUTTURE IN CEMENTO ARMATO. 
SPECIFICHE TECNICHE: PRODOTTO CON SISTEMI DI CONTROLLO DI PRODUZIONE IN STABILIMENTO DI CUI AL D.M.17/01/2018. 
RM2 RETE ELETTROSALDATA DI LEGA FERROSA ACCIAIO B450A; FINITURA: NERVATA; FUNZIONE: STRUTTURALE; IMPIEGO: ARMATURE 
LV1 LAVORO: POSA. INCLUSO: SORMONTI, TAGLI, SFRIDI, LEGATURE.</t>
        </is>
      </c>
      <c r="M36" s="4" t="inlineStr">
        <is>
          <t>KG</t>
        </is>
      </c>
      <c r="N36" s="5" t="n">
        <v>86.31</v>
      </c>
      <c r="O36" s="45" t="n">
        <v>1.39</v>
      </c>
      <c r="P36" s="45" t="n">
        <v>119.9709</v>
      </c>
      <c r="Q36" s="5" t="n"/>
      <c r="R36" s="6" t="n"/>
      <c r="S36" s="6">
        <f>IF(AND(Q36&lt;&gt;"",R36&lt;&gt;""),Q36*R36,"")</f>
        <v/>
      </c>
      <c r="T36" s="45">
        <f>IF(S36="",P36,S36)</f>
        <v/>
      </c>
      <c r="U36" s="7" t="n">
        <v>0</v>
      </c>
      <c r="V36" s="6">
        <f>$T36*U36</f>
        <v/>
      </c>
      <c r="W36" s="7" t="n">
        <v>0.8</v>
      </c>
      <c r="X36" s="6">
        <f>$T36*W36</f>
        <v/>
      </c>
      <c r="Y36" s="7" t="n">
        <v>0</v>
      </c>
      <c r="Z36" s="6">
        <f>$T36*Y36</f>
        <v/>
      </c>
      <c r="AA36" s="7" t="n">
        <v>0</v>
      </c>
      <c r="AB36" s="6">
        <f>$T36*AA36</f>
        <v/>
      </c>
      <c r="AC36" s="7" t="n">
        <v>0</v>
      </c>
      <c r="AD36" s="6">
        <f>$T36*AC36</f>
        <v/>
      </c>
      <c r="AE36" s="7" t="n">
        <v>0</v>
      </c>
      <c r="AF36" s="6">
        <f>$T36*AE36</f>
        <v/>
      </c>
      <c r="AG36" s="7" t="n">
        <v>0</v>
      </c>
      <c r="AH36" s="6">
        <f>$T36*AG36</f>
        <v/>
      </c>
      <c r="AI36" s="7">
        <f>U36+W36+Y36+AA36+AC36+AE36+AG36</f>
        <v/>
      </c>
      <c r="AJ36" s="6">
        <f>V36+X36+Z36+AB36+AD36+AF36+AH36</f>
        <v/>
      </c>
    </row>
    <row r="37" ht="60" customHeight="1" s="46">
      <c r="A37" s="3" t="inlineStr">
        <is>
          <t>LOM241.OC.EEA.A04.C1505.D0000.0025</t>
        </is>
      </c>
      <c r="B37" s="4" t="inlineStr">
        <is>
          <t>1/2</t>
        </is>
      </c>
      <c r="C37" s="3" t="inlineStr">
        <is>
          <t>EDILE</t>
        </is>
      </c>
      <c r="D37" s="4" t="inlineStr">
        <is>
          <t>NON SPECIALE</t>
        </is>
      </c>
      <c r="E37" s="4" t="inlineStr">
        <is>
          <t>EDILI</t>
        </is>
      </c>
      <c r="F37" s="3" t="inlineStr">
        <is>
          <t>1_2025.11.20_CME REV07.PDF</t>
        </is>
      </c>
      <c r="G37" s="4" t="inlineStr">
        <is>
          <t>38</t>
        </is>
      </c>
      <c r="H37" s="3" t="inlineStr">
        <is>
          <t>30 - STRUTTURALE</t>
        </is>
      </c>
      <c r="I37" s="3" t="inlineStr">
        <is>
          <t>NUOVI LABORATORI</t>
        </is>
      </c>
      <c r="J37" s="3" t="inlineStr">
        <is>
          <t>OPERE IN C.A.</t>
        </is>
      </c>
      <c r="K37" s="3" t="inlineStr">
        <is>
          <t xml:space="preserve">OPERA: STRATO DI VESPAIO DI PLASTICA GENERICO; ALTEZZA TOT [CM] = 26 ÷ 31. ESCLUSO: ARMATURA IN FERRO; BORDI DI CONTENIMENTO SE NECESSARI. </t>
        </is>
      </c>
      <c r="L37" s="3" t="inlineStr">
        <is>
          <t>OPERA: STRATO DI VESPAIO DI PLASTICA GENERICO; ALTEZZA TOT [CM] = 26 ÷ 31. ESCLUSO: ARMATURA IN FERRO; BORDI DI CONTENIMENTO SE NECESSARI. 
LAVORO: FORMAZIONE. 
SPECIFICHE TECNICHE: COMPOSTO DA: STRATO DI SOTTOFONDO, ALTEZZA [CM] = 8; CASSERO A PERDERE, ALTEZZA [CM] = 15 ÷ 20; STRATO DI IRRIGIDIMENTO, ALTEZZA [CM] = 5. 
COMPONENTI: 
OP1 OPERA: STRATO DI VESPAIO DI PLASTICA GENERICO; ALTEZZA TOT [CM] = 26 ÷ 31. ESCLUSO: ARMATURA IN FERRO; BORDI DI CONTENIMENTO SE NECESSARI. 
SPECIFICHE TECNICHE: COMPOSTO DA: STRATO DI SOTTOFONDO, ALTEZZA [CM] = 8; CASSERO A PERDERE, ALTEZZA [CM] = 15 ÷ 20; STRATO DI IRRIGIDIMENTO, ALTEZZA [CM] = 5. 
RM2 CASSERO A PERDERE MODULO DI PLASTICA GENERICO; FUNZIONE: AUTOPORTANTE; IMPIEGO: VESPAIO AERATO; ALTEZZA [CM] = 15 ÷ 20 
OC2 OPERA: STRATO DI IRRIGIDIMENTO DI CONGLOMERATO CEMENTIZIO; IMPIEGO: SOLAIO | VESPAIO AERATO; SPESSORE [CM] = 5. ESCLUSO: ARMATURA; BORDI DI CONTENIMENTO. 
LAVORO: GETTO CON POMPA. INCLUSO: VIBRATURA. 
SPECIFICHE TECNICHE: RESISTENZA CALCESTRUZZO [CLASSE] = C20/25, QUANTITÀ DI CALCESTRUZZO GETTATO [MC] ≤ 30. 
OC2 OPERA: STRATO DI SOTTOFONDO, DI RIEMPIMENTO ALLEGGERITO DI CONGLOMERATO CEMENTIZIO; FUNZIONE: FONOASSORBENTE | TERMOISOLANTE; IMPIEGO: A BASE CEMENTIZIA; SPESSORE [CM] = 8. 
LAVORO: GETTO. 
SPECIFICHE TECNICHE: COSTIPATO E LIVELLATO A FRATTAZZO LUNGO; QUANTITÀ DI CALCESTRUZZO GETTATO [MC] ≤ 30. 
LV1 LAVORO: FORMAZIONE.</t>
        </is>
      </c>
      <c r="M37" s="4" t="inlineStr">
        <is>
          <t>M²</t>
        </is>
      </c>
      <c r="N37" s="5" t="n">
        <v>106.08</v>
      </c>
      <c r="O37" s="45" t="n">
        <v>43.73</v>
      </c>
      <c r="P37" s="45" t="n">
        <v>4638.8784</v>
      </c>
      <c r="Q37" s="5" t="n"/>
      <c r="R37" s="6" t="n"/>
      <c r="S37" s="6">
        <f>IF(AND(Q37&lt;&gt;"",R37&lt;&gt;""),Q37*R37,"")</f>
        <v/>
      </c>
      <c r="T37" s="45">
        <f>IF(S37="",P37,S37)</f>
        <v/>
      </c>
      <c r="U37" s="7" t="n">
        <v>0</v>
      </c>
      <c r="V37" s="6">
        <f>$T37*U37</f>
        <v/>
      </c>
      <c r="W37" s="7" t="n">
        <v>0.8</v>
      </c>
      <c r="X37" s="6">
        <f>$T37*W37</f>
        <v/>
      </c>
      <c r="Y37" s="7" t="n">
        <v>0</v>
      </c>
      <c r="Z37" s="6">
        <f>$T37*Y37</f>
        <v/>
      </c>
      <c r="AA37" s="7" t="n">
        <v>0</v>
      </c>
      <c r="AB37" s="6">
        <f>$T37*AA37</f>
        <v/>
      </c>
      <c r="AC37" s="7" t="n">
        <v>0</v>
      </c>
      <c r="AD37" s="6">
        <f>$T37*AC37</f>
        <v/>
      </c>
      <c r="AE37" s="7" t="n">
        <v>0</v>
      </c>
      <c r="AF37" s="6">
        <f>$T37*AE37</f>
        <v/>
      </c>
      <c r="AG37" s="7" t="n">
        <v>0</v>
      </c>
      <c r="AH37" s="6">
        <f>$T37*AG37</f>
        <v/>
      </c>
      <c r="AI37" s="7">
        <f>U37+W37+Y37+AA37+AC37+AE37+AG37</f>
        <v/>
      </c>
      <c r="AJ37" s="6">
        <f>V37+X37+Z37+AB37+AD37+AF37+AH37</f>
        <v/>
      </c>
    </row>
    <row r="38" ht="60" customHeight="1" s="46">
      <c r="A38" s="3" t="inlineStr">
        <is>
          <t>LOM241.OC.EEA.A02.E9700.SB016.0000</t>
        </is>
      </c>
      <c r="B38" s="4" t="inlineStr">
        <is>
          <t>2/3</t>
        </is>
      </c>
      <c r="C38" s="3" t="inlineStr">
        <is>
          <t>EDILE</t>
        </is>
      </c>
      <c r="D38" s="4" t="inlineStr">
        <is>
          <t>NON SPECIALE</t>
        </is>
      </c>
      <c r="E38" s="4" t="inlineStr">
        <is>
          <t>EDILI</t>
        </is>
      </c>
      <c r="F38" s="3" t="inlineStr">
        <is>
          <t>1_2025.11.20_CME REV07.PDF</t>
        </is>
      </c>
      <c r="G38" s="4" t="inlineStr">
        <is>
          <t>39</t>
        </is>
      </c>
      <c r="H38" s="3" t="inlineStr">
        <is>
          <t>30 - STRUTTURALE</t>
        </is>
      </c>
      <c r="I38" s="3" t="inlineStr">
        <is>
          <t>NUOVI LABORATORI</t>
        </is>
      </c>
      <c r="J38" s="3" t="inlineStr">
        <is>
          <t>OPERE IN C.A.</t>
        </is>
      </c>
      <c r="K38" s="3" t="inlineStr">
        <is>
          <t xml:space="preserve">OPERA: ARMATURA, RETE ELETTROSALDATA DI LEGA FERROSA ACCIAIO B450A; IMPIEGO: STRUTTURE IN CEMENTO ARMATO. </t>
        </is>
      </c>
      <c r="L38" s="3" t="inlineStr">
        <is>
          <t>OPERA: ARMATURA, RETE ELETTROSALDATA DI LEGA FERROSA ACCIAIO B450A; IMPIEGO: STRUTTURE IN CEMENTO ARMATO. 
LAVORO: POSA. INCLUSO: SORMONTI, TAGLI, SFRIDI, LEGATURE. 
SPECIFICHE TECNICHE: PRODOTTO CON SISTEMI DI CONTROLLO DI PRODUZIONE IN STABILIMENTO DI CUI AL D.M.17/01/2018. 
COMPONENTI: 
OP1 OPERA: ARMATURA, RETE ELETTROSALDATA DI LEGA FERROSA ACCIAIO B450A; IMPIEGO: STRUTTURE IN CEMENTO ARMATO. 
SPECIFICHE TECNICHE: PRODOTTO CON SISTEMI DI CONTROLLO DI PRODUZIONE IN STABILIMENTO DI CUI AL D.M.17/01/2018. 
RM2 RETE ELETTROSALDATA DI LEGA FERROSA ACCIAIO B450A; FINITURA: NERVATA; FUNZIONE: STRUTTURALE; IMPIEGO: ARMATURE 
LV1 LAVORO: POSA. INCLUSO: SORMONTI, TAGLI, SFRIDI, LEGATURE.</t>
        </is>
      </c>
      <c r="M38" s="4" t="inlineStr">
        <is>
          <t>KG</t>
        </is>
      </c>
      <c r="N38" s="5" t="n">
        <v>235.5</v>
      </c>
      <c r="O38" s="45" t="n">
        <v>1.39</v>
      </c>
      <c r="P38" s="45" t="n">
        <v>327.345</v>
      </c>
      <c r="Q38" s="5" t="n"/>
      <c r="R38" s="6" t="n"/>
      <c r="S38" s="6">
        <f>IF(AND(Q38&lt;&gt;"",R38&lt;&gt;""),Q38*R38,"")</f>
        <v/>
      </c>
      <c r="T38" s="45">
        <f>IF(S38="",P38,S38)</f>
        <v/>
      </c>
      <c r="U38" s="7" t="n">
        <v>0</v>
      </c>
      <c r="V38" s="6">
        <f>$T38*U38</f>
        <v/>
      </c>
      <c r="W38" s="7" t="n">
        <v>0.8</v>
      </c>
      <c r="X38" s="6">
        <f>$T38*W38</f>
        <v/>
      </c>
      <c r="Y38" s="7" t="n">
        <v>0</v>
      </c>
      <c r="Z38" s="6">
        <f>$T38*Y38</f>
        <v/>
      </c>
      <c r="AA38" s="7" t="n">
        <v>0</v>
      </c>
      <c r="AB38" s="6">
        <f>$T38*AA38</f>
        <v/>
      </c>
      <c r="AC38" s="7" t="n">
        <v>0</v>
      </c>
      <c r="AD38" s="6">
        <f>$T38*AC38</f>
        <v/>
      </c>
      <c r="AE38" s="7" t="n">
        <v>0</v>
      </c>
      <c r="AF38" s="6">
        <f>$T38*AE38</f>
        <v/>
      </c>
      <c r="AG38" s="7" t="n">
        <v>0</v>
      </c>
      <c r="AH38" s="6">
        <f>$T38*AG38</f>
        <v/>
      </c>
      <c r="AI38" s="7">
        <f>U38+W38+Y38+AA38+AC38+AE38+AG38</f>
        <v/>
      </c>
      <c r="AJ38" s="6">
        <f>V38+X38+Z38+AB38+AD38+AF38+AH38</f>
        <v/>
      </c>
    </row>
    <row r="39" hidden="1" ht="60" customHeight="1" s="46">
      <c r="A39" s="3" t="inlineStr">
        <is>
          <t>LOM241.OC.EEA.A02.C0102.ZB009.0075</t>
        </is>
      </c>
      <c r="B39" s="4" t="inlineStr">
        <is>
          <t>1/2</t>
        </is>
      </c>
      <c r="C39" s="3" t="inlineStr">
        <is>
          <t>EDILE</t>
        </is>
      </c>
      <c r="D39" s="4" t="inlineStr">
        <is>
          <t>NON SPECIALE</t>
        </is>
      </c>
      <c r="E39" s="4" t="inlineStr">
        <is>
          <t>EDILI</t>
        </is>
      </c>
      <c r="F39" s="3" t="inlineStr">
        <is>
          <t>1_2025.11.20_CME REV07.PDF</t>
        </is>
      </c>
      <c r="G39" s="4" t="inlineStr">
        <is>
          <t>40</t>
        </is>
      </c>
      <c r="H39" s="3" t="inlineStr">
        <is>
          <t>30 - STRUTTURALE</t>
        </is>
      </c>
      <c r="I39" s="3" t="inlineStr">
        <is>
          <t>NUOVI LABORATORI</t>
        </is>
      </c>
      <c r="J39" s="3" t="inlineStr">
        <is>
          <t>OPERE IN C.A.</t>
        </is>
      </c>
      <c r="K39" s="3" t="inlineStr">
        <is>
          <t>OPERA: STRATO DI MURATURA, LASTRE DI MATERIALE MIX GESSO-CARTONE; FUNZIONE: CONTROPARETE. LAVORO: POSA. INCLUSO: RASATURA GIUNTI; ASSISTENZA MURARIA FORNITA DA IMPRESA. COMPONENTI: OP1 OPERA: STRATO D</t>
        </is>
      </c>
      <c r="L39" s="3" t="inlineStr">
        <is>
          <t>OPERA: STRATO DI MURATURA, LASTRE DI MATERIALE MIX GESSO-CARTONE; FUNZIONE: CONTROPARETE. LAVORO: POSA. INCLUSO: RASATURA GIUNTI; ASSISTENZA MURARIA FORNITA DA IMPRESA. COMPONENTI: OP1 OPERA: STRATO DI MURATURA, LASTRE DI MATERIALE MIX GESSO-CARTONE; FUNZIONE: CONTROPARETE. RM2 LASTRA DI GESSO GENERICO; FINITURA: CARTONE SPECIALE; GEOMETRIA/FORMA/ASPETTO: BORDI ASSOTTIGLIATI; FUNZIONE: DIVISORIA; IMPIEGO: MURATURE; LARGHEZZA [CM] = 120 | SPESSORE [MM] = 13 SPECIFICHE TECNICHE: LASTRA RIVESTITA SULLE DUE FACCE CON CARTONE RM2 PROFILO MONTANTE DI LEGA FERROSA ACCIAIO ZINCATO Z140; FINITURA: ORGANICA PRIVA DI CROMO; SPESSORE [MM] = 0,6 | LARGHEZZA [MM] = 75 RM2 PROFILO GUIDA DI LEGA FERROSA ACCIAIO ZINCATO Z141; FINITURA: ORGANICA PRIVA DI CROMO; SPESSORE [MM] = 0,6 | LARGHEZZA [MM] = 75 RM2 FERRAMENTA VITE DI METALLO FERRO; GEOMETRIA/FORMA/ASPETTO: AUTOPERFORANTI; FUNZIONE: FISSAGGIO; IMPIEGO: LASTRE RM2 PREMISCELATO DI MATERIALE GENERICO; GEOMETRIA/FORMA/ASPETTO: PASTA; FUNZIONE: STUCCATURA; IMPIEGO: MURATURE INTERNE | LEGNO; PESO SPECIFICO [KG/L] = 1,75 SPECIFICHE TECNICHE: RESINE IN DISPERSIONE ACQUOSA RM2 NASTRO DI FIBRA SINTETICA DI VETRO; FUNZIONE: COPRIGIUNTI; IMPIEGO: MURATURE | PARETI DIVISORIE LV1 LAVORO: POSA. INCLUSO: RASATURA GIUNTI; ASSISTENZA MURARIA FORNITA DA IMPRESA.</t>
        </is>
      </c>
      <c r="M39" s="4" t="inlineStr">
        <is>
          <t>M²</t>
        </is>
      </c>
      <c r="N39" s="5" t="n">
        <v>549.16</v>
      </c>
      <c r="O39" s="45" t="n">
        <v>33.4</v>
      </c>
      <c r="P39" s="45" t="n">
        <v>18341.944</v>
      </c>
      <c r="Q39" s="5" t="n"/>
      <c r="R39" s="6" t="n"/>
      <c r="S39" s="6">
        <f>IF(AND(Q39&lt;&gt;"",R39&lt;&gt;""),Q39*R39,"")</f>
        <v/>
      </c>
      <c r="T39" s="45">
        <f>IF(S39="",P39,S39)</f>
        <v/>
      </c>
      <c r="U39" s="7" t="n">
        <v>0</v>
      </c>
      <c r="V39" s="6">
        <f>$T39*U39</f>
        <v/>
      </c>
      <c r="W39" s="7" t="n">
        <v>0</v>
      </c>
      <c r="X39" s="6">
        <f>$T39*W39</f>
        <v/>
      </c>
      <c r="Y39" s="7" t="n">
        <v>0</v>
      </c>
      <c r="Z39" s="6">
        <f>$T39*Y39</f>
        <v/>
      </c>
      <c r="AA39" s="7" t="n">
        <v>0</v>
      </c>
      <c r="AB39" s="6">
        <f>$T39*AA39</f>
        <v/>
      </c>
      <c r="AC39" s="7" t="n">
        <v>0</v>
      </c>
      <c r="AD39" s="6">
        <f>$T39*AC39</f>
        <v/>
      </c>
      <c r="AE39" s="7" t="n">
        <v>0</v>
      </c>
      <c r="AF39" s="6">
        <f>$T39*AE39</f>
        <v/>
      </c>
      <c r="AG39" s="7" t="n">
        <v>0</v>
      </c>
      <c r="AH39" s="6">
        <f>$T39*AG39</f>
        <v/>
      </c>
      <c r="AI39" s="7">
        <f>U39+W39+Y39+AA39+AC39+AE39+AG39</f>
        <v/>
      </c>
      <c r="AJ39" s="6">
        <f>V39+X39+Z39+AB39+AD39+AF39+AH39</f>
        <v/>
      </c>
    </row>
    <row r="40" ht="60" customHeight="1" s="46">
      <c r="A40" s="3" t="inlineStr">
        <is>
          <t>LOM241.OC.EEA.A02.C0102.L0011.0255</t>
        </is>
      </c>
      <c r="B40" s="4" t="inlineStr">
        <is>
          <t>1/2</t>
        </is>
      </c>
      <c r="C40" s="3" t="inlineStr">
        <is>
          <t>EDILE</t>
        </is>
      </c>
      <c r="D40" s="4" t="inlineStr">
        <is>
          <t>NON SPECIALE</t>
        </is>
      </c>
      <c r="E40" s="4" t="inlineStr">
        <is>
          <t>EDILI</t>
        </is>
      </c>
      <c r="F40" s="3" t="inlineStr">
        <is>
          <t>1_2025.11.20_CME REV07.PDF</t>
        </is>
      </c>
      <c r="G40" s="4" t="inlineStr">
        <is>
          <t>41</t>
        </is>
      </c>
      <c r="H40" s="3" t="inlineStr">
        <is>
          <t>30 - STRUTTURALE</t>
        </is>
      </c>
      <c r="I40" s="3" t="inlineStr">
        <is>
          <t>NUOVI LABORATORI</t>
        </is>
      </c>
      <c r="J40" s="3" t="inlineStr">
        <is>
          <t>OPERE IN C.A.</t>
        </is>
      </c>
      <c r="K40" s="3" t="inlineStr">
        <is>
          <t xml:space="preserve">OPERA: STRATO DI MURATURA, BLOCCHI FORATI DI CERAMICA TERRACOTTA/LATERIZIO. INCLUSO: SPALLE, VOLTINI, SPIGOLI, LESENE. </t>
        </is>
      </c>
      <c r="L40" s="3" t="inlineStr">
        <is>
          <t>OPERA: STRATO DI MURATURA, BLOCCHI FORATI DI CERAMICA TERRACOTTA/LATERIZIO. INCLUSO: SPALLE, VOLTINI, SPIGOLI, LESENE. 
LAVORO: POSA. 
COMPONENTI: 
OP1 OPERA: STRATO DI MURATURA, BLOCCHI FORATI DI CERAMICA TERRACOTTA/LATERIZIO. INCLUSO: SPALLE, VOLTINI, SPIGOLI, LESENE. 
RM2 BLOCCO FORATO DI CERAMICA TERRACOTTA/LATERIZIO; GEOMETRIA/FORMA/ASPETTO: MATTONI; LUNGHEZZA [CM] = 24 | LARGHEZZA [CM] = 8 | ALTEZZA [CM] = 12 
PO2 PRODOTTO SEMILAVORATO: MALTA, IDRAULICA IN MATERIA MIX GENERICO. 
LAVORO: FORMAZIONE, CON MEZZO MECCANICO. 
SPECIFICHE TECNICHE: CONFEZIONATA IN BETONIERA; DOSAGGIO PER M³: CALCE EMINENTEMENTE IDRAULICA [KG] = 350. 
LV1 LAVORO: POSA.</t>
        </is>
      </c>
      <c r="M40" s="4" t="inlineStr">
        <is>
          <t>M³</t>
        </is>
      </c>
      <c r="N40" s="5" t="n">
        <v>208.7</v>
      </c>
      <c r="O40" s="45" t="n">
        <v>360.08</v>
      </c>
      <c r="P40" s="45" t="n">
        <v>75148.696</v>
      </c>
      <c r="Q40" s="5" t="n"/>
      <c r="R40" s="6" t="n"/>
      <c r="S40" s="6">
        <f>IF(AND(Q40&lt;&gt;"",R40&lt;&gt;""),Q40*R40,"")</f>
        <v/>
      </c>
      <c r="T40" s="45">
        <f>IF(S40="",P40,S40)</f>
        <v/>
      </c>
      <c r="U40" s="7" t="n">
        <v>0.5</v>
      </c>
      <c r="V40" s="6">
        <f>$T40*U40</f>
        <v/>
      </c>
      <c r="W40" s="7" t="n">
        <v>0.5</v>
      </c>
      <c r="X40" s="6">
        <f>$T40*W40</f>
        <v/>
      </c>
      <c r="Y40" s="7" t="n">
        <v>0</v>
      </c>
      <c r="Z40" s="6">
        <f>$T40*Y40</f>
        <v/>
      </c>
      <c r="AA40" s="7" t="n">
        <v>0</v>
      </c>
      <c r="AB40" s="6">
        <f>$T40*AA40</f>
        <v/>
      </c>
      <c r="AC40" s="7" t="n">
        <v>0</v>
      </c>
      <c r="AD40" s="6">
        <f>$T40*AC40</f>
        <v/>
      </c>
      <c r="AE40" s="7" t="n">
        <v>0</v>
      </c>
      <c r="AF40" s="6">
        <f>$T40*AE40</f>
        <v/>
      </c>
      <c r="AG40" s="7" t="n">
        <v>0</v>
      </c>
      <c r="AH40" s="6">
        <f>$T40*AG40</f>
        <v/>
      </c>
      <c r="AI40" s="7">
        <f>U40+W40+Y40+AA40+AC40+AE40+AG40</f>
        <v/>
      </c>
      <c r="AJ40" s="6">
        <f>V40+X40+Z40+AB40+AD40+AF40+AH40</f>
        <v/>
      </c>
    </row>
    <row r="41" ht="60" customHeight="1" s="46">
      <c r="A41" s="3" t="inlineStr">
        <is>
          <t>LOM241.OC.EEA.A02.C1515.OD001.0020</t>
        </is>
      </c>
      <c r="B41" s="4" t="inlineStr">
        <is>
          <t>1/4</t>
        </is>
      </c>
      <c r="C41" s="3" t="inlineStr">
        <is>
          <t>EDILE</t>
        </is>
      </c>
      <c r="D41" s="4" t="inlineStr">
        <is>
          <t>NON SPECIALE</t>
        </is>
      </c>
      <c r="E41" s="4" t="inlineStr">
        <is>
          <t>EDILI</t>
        </is>
      </c>
      <c r="F41" s="3" t="inlineStr">
        <is>
          <t>1_2025.11.20_CME REV07.PDF</t>
        </is>
      </c>
      <c r="G41" s="4" t="inlineStr">
        <is>
          <t>44</t>
        </is>
      </c>
      <c r="H41" s="3" t="inlineStr">
        <is>
          <t>30 - STRUTTURALE</t>
        </is>
      </c>
      <c r="I41" s="3" t="inlineStr">
        <is>
          <t>NUOVI LABORATORI</t>
        </is>
      </c>
      <c r="J41" s="3" t="inlineStr">
        <is>
          <t>OPERE IN C.A.</t>
        </is>
      </c>
      <c r="K41" s="3" t="inlineStr">
        <is>
          <t xml:space="preserve">OPERA: STRATO DI ISOLAMENTO, ACUSTICO DI FIBRA MINERALE LANA DI ROCCIA; FINITURA: LANA DI LEGNO; IMPIEGO: STRATO DI MURATURA; SPESSORE [MM] = 75. </t>
        </is>
      </c>
      <c r="L41" s="3" t="inlineStr">
        <is>
          <t>OPERA: STRATO DI ISOLAMENTO, ACUSTICO DI FIBRA MINERALE LANA DI ROCCIA; FINITURA: LANA DI LEGNO; IMPIEGO: STRATO DI MURATURA; SPESSORE [MM] = 75. 
LAVORO: POSA. INCLUSO: TAGLI; SIGILLATURE; ADATTAMENTI; FISSAGGIO GENERICO; ASSISTENZE MURARIE. ESCLUSO: PIANI DI LAVORO. 
SPECIFICHE TECNICHE: PER PARETI DIVISORIE INTERNE IN TAVOLATO E CARTONGESSO; PANNELLI CON LANA DI ROCCIA AD ALTA DENSITÀ A FIBRE ORIENTATE SPESSORE [MM] = 65, RIVESTITO SUI DUE LATI DA PANNELLI IN LANA DI LEGNO MINERALIZZATA SPESSORE [MM] = 5 E LEGATA CON CEMENTO. 
COMPONENTI: 
OP1 OPERA: STRATO DI ISOLAMENTO, ACUSTICO DI FIBRA MINERALE LANA DI ROCCIA; FINITURA: LANA DI LEGNO; IMPIEGO: STRATO DI MURATURA; SPESSORE [MM] = 75. 
SPECIFICHE TECNICHE: PER PARETI DIVISORIE INTERNE IN TAVOLATO E CARTONGESSO; PANNELLI CON LANA DI ROCCIA AD ALTA DENSITÀ A FIBRE ORIENTATE SPESSORE [MM] = 65, RIVESTITO SUI DUE LATI DA PANNELLI IN LANA DI LEGNO MINERALIZZATA SPESSORE [MM] = 5 E LEGATA CON CEMENTO. 
RM2 PANNELLO ACUSTICO DI FIBRA MINERALE LANA DI ROCCIA; FINITURA: LANA DI ABETE; GEOMETRIA/FORMA/ASPETTO: PANNELLI MULTISTRATO; FUNZIONE: ISOLAMENTO ACUSTICO; IMPIEGO: PARETI DIVISORIE INTERNE | COPERTURE PIANE; SPESSORE [MM] = 75 
SPECIFICHE TECNICHE: RIVESTITO SULLE DUE FACCE 
RM2 ADESIVO DI GESSO GENERICO; GEOMETRIA/FORMA/ASPETTO: POLVERE; FUNZIONE: SIGILLANTE; IMPIEGO: LASTRE 
LV1 LAVORO: POSA. INCLUSO: TAGLI; SIGILLATURE; ADATTAMENTI; FISSAGGIO GENERICO; ASSISTENZE MURARIE. ESCLUSO: PIANI DI LAVORO.</t>
        </is>
      </c>
      <c r="M41" s="4" t="inlineStr">
        <is>
          <t>M²</t>
        </is>
      </c>
      <c r="N41" s="5" t="n">
        <v>156.47</v>
      </c>
      <c r="O41" s="45" t="n">
        <v>47.15</v>
      </c>
      <c r="P41" s="45" t="n">
        <v>7377.5605</v>
      </c>
      <c r="Q41" s="5" t="n"/>
      <c r="R41" s="6" t="n"/>
      <c r="S41" s="6">
        <f>IF(AND(Q41&lt;&gt;"",R41&lt;&gt;""),Q41*R41,"")</f>
        <v/>
      </c>
      <c r="T41" s="45">
        <f>IF(S41="",P41,S41)</f>
        <v/>
      </c>
      <c r="U41" s="7" t="n">
        <v>0</v>
      </c>
      <c r="V41" s="6">
        <f>$T41*U41</f>
        <v/>
      </c>
      <c r="W41" s="7" t="n">
        <v>0.3</v>
      </c>
      <c r="X41" s="6">
        <f>$T41*W41</f>
        <v/>
      </c>
      <c r="Y41" s="7" t="n">
        <v>0</v>
      </c>
      <c r="Z41" s="6">
        <f>$T41*Y41</f>
        <v/>
      </c>
      <c r="AA41" s="7" t="n">
        <v>0</v>
      </c>
      <c r="AB41" s="6">
        <f>$T41*AA41</f>
        <v/>
      </c>
      <c r="AC41" s="7" t="n">
        <v>0</v>
      </c>
      <c r="AD41" s="6">
        <f>$T41*AC41</f>
        <v/>
      </c>
      <c r="AE41" s="7" t="n">
        <v>0</v>
      </c>
      <c r="AF41" s="6">
        <f>$T41*AE41</f>
        <v/>
      </c>
      <c r="AG41" s="7" t="n">
        <v>0</v>
      </c>
      <c r="AH41" s="6">
        <f>$T41*AG41</f>
        <v/>
      </c>
      <c r="AI41" s="7">
        <f>U41+W41+Y41+AA41+AC41+AE41+AG41</f>
        <v/>
      </c>
      <c r="AJ41" s="6">
        <f>V41+X41+Z41+AB41+AD41+AF41+AH41</f>
        <v/>
      </c>
    </row>
    <row r="42" ht="60" customHeight="1" s="46">
      <c r="A42" s="3" t="inlineStr">
        <is>
          <t>PA.ARC.03</t>
        </is>
      </c>
      <c r="B42" s="4" t="inlineStr">
        <is>
          <t>1/4</t>
        </is>
      </c>
      <c r="C42" s="3" t="inlineStr">
        <is>
          <t>EDILE</t>
        </is>
      </c>
      <c r="D42" s="4" t="inlineStr">
        <is>
          <t>NON SPECIALE</t>
        </is>
      </c>
      <c r="E42" s="4" t="inlineStr">
        <is>
          <t>EDILI</t>
        </is>
      </c>
      <c r="F42" s="3" t="inlineStr">
        <is>
          <t>1_2025.11.20_CME REV07.PDF</t>
        </is>
      </c>
      <c r="G42" s="4" t="inlineStr">
        <is>
          <t>45</t>
        </is>
      </c>
      <c r="H42" s="3" t="inlineStr">
        <is>
          <t>30 - STRUTTURALE</t>
        </is>
      </c>
      <c r="I42" s="3" t="inlineStr">
        <is>
          <t>NUOVI LABORATORI</t>
        </is>
      </c>
      <c r="J42" s="3" t="inlineStr">
        <is>
          <t>OPERE PREFABBRICATE</t>
        </is>
      </c>
      <c r="K42" s="3" t="inlineStr">
        <is>
          <t xml:space="preserve">LASTRA PREFABBRICATA IN GESSO CARTONATO. FORNITURA E POSA IN OPERA DI LASTRA PREFABBRICATA IN GESSO CARTONATO DI SPESSORE VARIABILE, PER LA REALIZZAZIONE DI PARETI, CONTROPARETI E CONTROSOFFITTI ALL' </t>
        </is>
      </c>
      <c r="L42"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STANDARD SPESSORE 12,5 MM. RIFERIMENTO PREZZARIO UMBRIA 2024. TARIFFA: 07.04.0050.005</t>
        </is>
      </c>
      <c r="M42" s="4" t="inlineStr">
        <is>
          <t>MQ</t>
        </is>
      </c>
      <c r="N42" s="5" t="n">
        <v>312.94</v>
      </c>
      <c r="O42" s="45" t="n">
        <v>7.9</v>
      </c>
      <c r="P42" s="45" t="n">
        <v>2472.226</v>
      </c>
      <c r="Q42" s="5" t="n"/>
      <c r="R42" s="6" t="n"/>
      <c r="S42" s="6">
        <f>IF(AND(Q42&lt;&gt;"",R42&lt;&gt;""),Q42*R42,"")</f>
        <v/>
      </c>
      <c r="T42" s="45">
        <f>IF(S42="",P42,S42)</f>
        <v/>
      </c>
      <c r="U42" s="7" t="n">
        <v>0</v>
      </c>
      <c r="V42" s="6">
        <f>$T42*U42</f>
        <v/>
      </c>
      <c r="W42" s="7" t="n">
        <v>0.3</v>
      </c>
      <c r="X42" s="6">
        <f>$T42*W42</f>
        <v/>
      </c>
      <c r="Y42" s="7" t="n">
        <v>0</v>
      </c>
      <c r="Z42" s="6">
        <f>$T42*Y42</f>
        <v/>
      </c>
      <c r="AA42" s="7" t="n">
        <v>0</v>
      </c>
      <c r="AB42" s="6">
        <f>$T42*AA42</f>
        <v/>
      </c>
      <c r="AC42" s="7" t="n">
        <v>0</v>
      </c>
      <c r="AD42" s="6">
        <f>$T42*AC42</f>
        <v/>
      </c>
      <c r="AE42" s="7" t="n">
        <v>0</v>
      </c>
      <c r="AF42" s="6">
        <f>$T42*AE42</f>
        <v/>
      </c>
      <c r="AG42" s="7" t="n">
        <v>0</v>
      </c>
      <c r="AH42" s="6">
        <f>$T42*AG42</f>
        <v/>
      </c>
      <c r="AI42" s="7">
        <f>U42+W42+Y42+AA42+AC42+AE42+AG42</f>
        <v/>
      </c>
      <c r="AJ42" s="6">
        <f>V42+X42+Z42+AB42+AD42+AF42+AH42</f>
        <v/>
      </c>
    </row>
    <row r="43" ht="60" customHeight="1" s="46">
      <c r="A43" s="3" t="inlineStr">
        <is>
          <t>PA.ARC.04</t>
        </is>
      </c>
      <c r="B43" s="4" t="inlineStr">
        <is>
          <t>1/4</t>
        </is>
      </c>
      <c r="C43" s="3" t="inlineStr">
        <is>
          <t>EDILE</t>
        </is>
      </c>
      <c r="D43" s="4" t="inlineStr">
        <is>
          <t>NON SPECIALE</t>
        </is>
      </c>
      <c r="E43" s="4" t="inlineStr">
        <is>
          <t>EDILI</t>
        </is>
      </c>
      <c r="F43" s="3" t="inlineStr">
        <is>
          <t>1_2025.11.20_CME REV07.PDF</t>
        </is>
      </c>
      <c r="G43" s="4" t="inlineStr">
        <is>
          <t>46</t>
        </is>
      </c>
      <c r="H43" s="3" t="inlineStr">
        <is>
          <t>30 - STRUTTURALE</t>
        </is>
      </c>
      <c r="I43" s="3" t="inlineStr">
        <is>
          <t>NUOVI LABORATORI</t>
        </is>
      </c>
      <c r="J43" s="3" t="inlineStr">
        <is>
          <t>OPERE PREFABBRICATE</t>
        </is>
      </c>
      <c r="K43" s="3" t="inlineStr">
        <is>
          <t xml:space="preserve">LASTRA PREFABBRICATA IN GESSO CARTONATO. FORNITURA E POSA IN OPERA DI LASTRA PREFABBRICATA IN GESSO CARTONATO DI SPESSORE VARIABILE, PER LA REALIZZAZIONE DI PARETI, CONTROPARETI E CONTROSOFFITTI ALL' </t>
        </is>
      </c>
      <c r="L43"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STANDARD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07.04.0050.006</t>
        </is>
      </c>
      <c r="M43" s="4" t="inlineStr">
        <is>
          <t>MQ</t>
        </is>
      </c>
      <c r="N43" s="5" t="n">
        <v>312.94</v>
      </c>
      <c r="O43" s="45" t="n">
        <v>7.9</v>
      </c>
      <c r="P43" s="45" t="n">
        <v>2472.226</v>
      </c>
      <c r="Q43" s="5" t="n"/>
      <c r="R43" s="6" t="n"/>
      <c r="S43" s="6">
        <f>IF(AND(Q43&lt;&gt;"",R43&lt;&gt;""),Q43*R43,"")</f>
        <v/>
      </c>
      <c r="T43" s="45">
        <f>IF(S43="",P43,S43)</f>
        <v/>
      </c>
      <c r="U43" s="7" t="n">
        <v>0</v>
      </c>
      <c r="V43" s="6">
        <f>$T43*U43</f>
        <v/>
      </c>
      <c r="W43" s="7" t="n">
        <v>0.3</v>
      </c>
      <c r="X43" s="6">
        <f>$T43*W43</f>
        <v/>
      </c>
      <c r="Y43" s="7" t="n">
        <v>0</v>
      </c>
      <c r="Z43" s="6">
        <f>$T43*Y43</f>
        <v/>
      </c>
      <c r="AA43" s="7" t="n">
        <v>0</v>
      </c>
      <c r="AB43" s="6">
        <f>$T43*AA43</f>
        <v/>
      </c>
      <c r="AC43" s="7" t="n">
        <v>0</v>
      </c>
      <c r="AD43" s="6">
        <f>$T43*AC43</f>
        <v/>
      </c>
      <c r="AE43" s="7" t="n">
        <v>0</v>
      </c>
      <c r="AF43" s="6">
        <f>$T43*AE43</f>
        <v/>
      </c>
      <c r="AG43" s="7" t="n">
        <v>0</v>
      </c>
      <c r="AH43" s="6">
        <f>$T43*AG43</f>
        <v/>
      </c>
      <c r="AI43" s="7">
        <f>U43+W43+Y43+AA43+AC43+AE43+AG43</f>
        <v/>
      </c>
      <c r="AJ43" s="6">
        <f>V43+X43+Z43+AB43+AD43+AF43+AH43</f>
        <v/>
      </c>
    </row>
    <row r="44" ht="60" customHeight="1" s="46">
      <c r="A44" s="3" t="inlineStr">
        <is>
          <t>LOM241.OC.EEA.A02.C1515.OD001.0020</t>
        </is>
      </c>
      <c r="B44" s="4" t="inlineStr">
        <is>
          <t>2/4</t>
        </is>
      </c>
      <c r="C44" s="3" t="inlineStr">
        <is>
          <t>EDILE</t>
        </is>
      </c>
      <c r="D44" s="4" t="inlineStr">
        <is>
          <t>NON SPECIALE</t>
        </is>
      </c>
      <c r="E44" s="4" t="inlineStr">
        <is>
          <t>EDILI</t>
        </is>
      </c>
      <c r="F44" s="3" t="inlineStr">
        <is>
          <t>1_2025.11.20_CME REV07.PDF</t>
        </is>
      </c>
      <c r="G44" s="4" t="inlineStr">
        <is>
          <t>48</t>
        </is>
      </c>
      <c r="H44" s="3" t="inlineStr">
        <is>
          <t>30 - STRUTTURALE</t>
        </is>
      </c>
      <c r="I44" s="3" t="inlineStr">
        <is>
          <t>NUOVI LABORATORI</t>
        </is>
      </c>
      <c r="J44" s="3" t="inlineStr">
        <is>
          <t>OPERE IN C.A.</t>
        </is>
      </c>
      <c r="K44" s="3" t="inlineStr">
        <is>
          <t xml:space="preserve">OPERA: STRATO DI ISOLAMENTO, ACUSTICO DI FIBRA MINERALE LANA DI ROCCIA; FINITURA: LANA DI LEGNO; IMPIEGO: STRATO DI MURATURA; SPESSORE [MM] = 75. </t>
        </is>
      </c>
      <c r="L44" s="3" t="inlineStr">
        <is>
          <t>OPERA: STRATO DI ISOLAMENTO, ACUSTICO DI FIBRA MINERALE LANA DI ROCCIA; FINITURA: LANA DI LEGNO; IMPIEGO: STRATO DI MURATURA; SPESSORE [MM] = 75. 
LAVORO: POSA. INCLUSO: TAGLI; SIGILLATURE; ADATTAMENTI; FISSAGGIO GENERICO; ASSISTENZE MURARIE. ESCLUSO: PIANI DI LAVORO. 
SPECIFICHE TECNICHE: PER PARETI DIVISORIE INTERNE IN TAVOLATO E CARTONGESSO; PANNELLI CON LANA DI ROCCIA AD ALTA DENSITÀ A FIBRE ORIENTATE SPESSORE [MM] = 65, RIVESTITO SUI DUE LATI DA PANNELLI IN LANA DI LEGNO MINERALIZZATA SPESSORE [MM] = 5 E LEGATA CON CEMENTO. 
COMPONENTI: 
OP1 OPERA: STRATO DI ISOLAMENTO, ACUSTICO DI FIBRA MINERALE LANA DI ROCCIA; FINITURA: LANA DI LEGNO; IMPIEGO: STRATO DI MURATURA; SPESSORE [MM] = 75. 
SPECIFICHE TECNICHE: PER PARETI DIVISORIE INTERNE IN TAVOLATO E CARTONGESSO; PANNELLI CON LANA DI ROCCIA AD ALTA DENSITÀ A FIBRE ORIENTATE SPESSORE [MM] = 65, RIVESTITO SUI DUE LATI DA PANNELLI IN LANA DI LEGNO MINERALIZZATA SPESSORE [MM] = 5 E LEGATA CON CEMENTO. 
RM2 PANNELLO ACUSTICO DI FIBRA MINERALE LANA DI ROCCIA; FINITURA: LANA DI ABETE; GEOMETRIA/FORMA/ASPETTO: PANNELLI MULTISTRATO; FUNZIONE: ISOLAMENTO ACUSTICO; IMPIEGO: PARETI DIVISORIE INTERNE | COPERTURE PIANE; SPESSORE [MM] = 75 
SPECIFICHE TECNICHE: RIVESTITO SULLE DUE FACCE 
RM2 ADESIVO DI GESSO GENERICO; GEOMETRIA/FORMA/ASPETTO: POLVERE; FUNZIONE: SIGILLANTE; IMPIEGO: LASTRE 
LV1 LAVORO: POSA. INCLUSO: TAGLI; SIGILLATURE; ADATTAMENTI; FISSAGGIO GENERICO; ASSISTENZE MURARIE. ESCLUSO: PIANI DI LAVORO.</t>
        </is>
      </c>
      <c r="M44" s="4" t="inlineStr">
        <is>
          <t>M²</t>
        </is>
      </c>
      <c r="N44" s="5" t="n">
        <v>86.72</v>
      </c>
      <c r="O44" s="45" t="n">
        <v>47.15</v>
      </c>
      <c r="P44" s="45" t="n">
        <v>4088.848</v>
      </c>
      <c r="Q44" s="5" t="n"/>
      <c r="R44" s="6" t="n"/>
      <c r="S44" s="6">
        <f>IF(AND(Q44&lt;&gt;"",R44&lt;&gt;""),Q44*R44,"")</f>
        <v/>
      </c>
      <c r="T44" s="45">
        <f>IF(S44="",P44,S44)</f>
        <v/>
      </c>
      <c r="U44" s="7" t="n">
        <v>0</v>
      </c>
      <c r="V44" s="6">
        <f>$T44*U44</f>
        <v/>
      </c>
      <c r="W44" s="7" t="n">
        <v>0.3</v>
      </c>
      <c r="X44" s="6">
        <f>$T44*W44</f>
        <v/>
      </c>
      <c r="Y44" s="7" t="n">
        <v>0</v>
      </c>
      <c r="Z44" s="6">
        <f>$T44*Y44</f>
        <v/>
      </c>
      <c r="AA44" s="7" t="n">
        <v>0</v>
      </c>
      <c r="AB44" s="6">
        <f>$T44*AA44</f>
        <v/>
      </c>
      <c r="AC44" s="7" t="n">
        <v>0</v>
      </c>
      <c r="AD44" s="6">
        <f>$T44*AC44</f>
        <v/>
      </c>
      <c r="AE44" s="7" t="n">
        <v>0</v>
      </c>
      <c r="AF44" s="6">
        <f>$T44*AE44</f>
        <v/>
      </c>
      <c r="AG44" s="7" t="n">
        <v>0</v>
      </c>
      <c r="AH44" s="6">
        <f>$T44*AG44</f>
        <v/>
      </c>
      <c r="AI44" s="7">
        <f>U44+W44+Y44+AA44+AC44+AE44+AG44</f>
        <v/>
      </c>
      <c r="AJ44" s="6">
        <f>V44+X44+Z44+AB44+AD44+AF44+AH44</f>
        <v/>
      </c>
    </row>
    <row r="45" ht="60" customHeight="1" s="46">
      <c r="A45" s="3" t="inlineStr">
        <is>
          <t>PA.ARC.03</t>
        </is>
      </c>
      <c r="B45" s="4" t="inlineStr">
        <is>
          <t>2/4</t>
        </is>
      </c>
      <c r="C45" s="3" t="inlineStr">
        <is>
          <t>EDILE</t>
        </is>
      </c>
      <c r="D45" s="4" t="inlineStr">
        <is>
          <t>NON SPECIALE</t>
        </is>
      </c>
      <c r="E45" s="4" t="inlineStr">
        <is>
          <t>EDILI</t>
        </is>
      </c>
      <c r="F45" s="3" t="inlineStr">
        <is>
          <t>1_2025.11.20_CME REV07.PDF</t>
        </is>
      </c>
      <c r="G45" s="4" t="inlineStr">
        <is>
          <t>49</t>
        </is>
      </c>
      <c r="H45" s="3" t="inlineStr">
        <is>
          <t>30 - STRUTTURALE</t>
        </is>
      </c>
      <c r="I45" s="3" t="inlineStr">
        <is>
          <t>NUOVI LABORATORI</t>
        </is>
      </c>
      <c r="J45" s="3" t="inlineStr">
        <is>
          <t>OPERE PREFABBRICATE</t>
        </is>
      </c>
      <c r="K45" s="3" t="inlineStr">
        <is>
          <t xml:space="preserve">LASTRA PREFABBRICATA IN GESSO CARTONATO. FORNITURA E POSA IN OPERA DI LASTRA PREFABBRICATA IN GESSO CARTONATO DI SPESSORE VARIABILE, PER LA REALIZZAZIONE DI PARETI, CONTROPARETI E CONTROSOFFITTI ALL' </t>
        </is>
      </c>
      <c r="L45"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STANDARD SPESSORE 12,5 MM. RIFERIMENTO PREZZARIO UMBRIA 2024. TARIFFA: 07.04.0050.005</t>
        </is>
      </c>
      <c r="M45" s="4" t="inlineStr">
        <is>
          <t>MQ</t>
        </is>
      </c>
      <c r="N45" s="5" t="n">
        <v>86.72</v>
      </c>
      <c r="O45" s="45" t="n">
        <v>7.9</v>
      </c>
      <c r="P45" s="45" t="n">
        <v>685.088</v>
      </c>
      <c r="Q45" s="5" t="n"/>
      <c r="R45" s="6" t="n"/>
      <c r="S45" s="6">
        <f>IF(AND(Q45&lt;&gt;"",R45&lt;&gt;""),Q45*R45,"")</f>
        <v/>
      </c>
      <c r="T45" s="45">
        <f>IF(S45="",P45,S45)</f>
        <v/>
      </c>
      <c r="U45" s="7" t="n">
        <v>0</v>
      </c>
      <c r="V45" s="6">
        <f>$T45*U45</f>
        <v/>
      </c>
      <c r="W45" s="7" t="n">
        <v>0.3</v>
      </c>
      <c r="X45" s="6">
        <f>$T45*W45</f>
        <v/>
      </c>
      <c r="Y45" s="7" t="n">
        <v>0</v>
      </c>
      <c r="Z45" s="6">
        <f>$T45*Y45</f>
        <v/>
      </c>
      <c r="AA45" s="7" t="n">
        <v>0</v>
      </c>
      <c r="AB45" s="6">
        <f>$T45*AA45</f>
        <v/>
      </c>
      <c r="AC45" s="7" t="n">
        <v>0</v>
      </c>
      <c r="AD45" s="6">
        <f>$T45*AC45</f>
        <v/>
      </c>
      <c r="AE45" s="7" t="n">
        <v>0</v>
      </c>
      <c r="AF45" s="6">
        <f>$T45*AE45</f>
        <v/>
      </c>
      <c r="AG45" s="7" t="n">
        <v>0</v>
      </c>
      <c r="AH45" s="6">
        <f>$T45*AG45</f>
        <v/>
      </c>
      <c r="AI45" s="7">
        <f>U45+W45+Y45+AA45+AC45+AE45+AG45</f>
        <v/>
      </c>
      <c r="AJ45" s="6">
        <f>V45+X45+Z45+AB45+AD45+AF45+AH45</f>
        <v/>
      </c>
    </row>
    <row r="46" ht="60" customHeight="1" s="46">
      <c r="A46" s="3" t="inlineStr">
        <is>
          <t>PA.ARC.04</t>
        </is>
      </c>
      <c r="B46" s="4" t="inlineStr">
        <is>
          <t>2/4</t>
        </is>
      </c>
      <c r="C46" s="3" t="inlineStr">
        <is>
          <t>EDILE</t>
        </is>
      </c>
      <c r="D46" s="4" t="inlineStr">
        <is>
          <t>NON SPECIALE</t>
        </is>
      </c>
      <c r="E46" s="4" t="inlineStr">
        <is>
          <t>EDILI</t>
        </is>
      </c>
      <c r="F46" s="3" t="inlineStr">
        <is>
          <t>1_2025.11.20_CME REV07.PDF</t>
        </is>
      </c>
      <c r="G46" s="4" t="inlineStr">
        <is>
          <t>50</t>
        </is>
      </c>
      <c r="H46" s="3" t="inlineStr">
        <is>
          <t>30 - STRUTTURALE</t>
        </is>
      </c>
      <c r="I46" s="3" t="inlineStr">
        <is>
          <t>NUOVI LABORATORI</t>
        </is>
      </c>
      <c r="J46" s="3" t="inlineStr">
        <is>
          <t>OPERE PREFABBRICATE</t>
        </is>
      </c>
      <c r="K46" s="3" t="inlineStr">
        <is>
          <t xml:space="preserve">LASTRA PREFABBRICATA IN GESSO CARTONATO. FORNITURA E POSA IN OPERA DI LASTRA PREFABBRICATA IN GESSO CARTONATO DI SPESSORE VARIABILE, PER LA REALIZZAZIONE DI PARETI, CONTROPARETI E CONTROSOFFITTI ALL' </t>
        </is>
      </c>
      <c r="L46"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STANDARD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07.04.0050.006</t>
        </is>
      </c>
      <c r="M46" s="4" t="inlineStr">
        <is>
          <t>MQ</t>
        </is>
      </c>
      <c r="N46" s="5" t="n">
        <v>86.72</v>
      </c>
      <c r="O46" s="45" t="n">
        <v>7.9</v>
      </c>
      <c r="P46" s="45" t="n">
        <v>685.088</v>
      </c>
      <c r="Q46" s="5" t="n"/>
      <c r="R46" s="6" t="n"/>
      <c r="S46" s="6">
        <f>IF(AND(Q46&lt;&gt;"",R46&lt;&gt;""),Q46*R46,"")</f>
        <v/>
      </c>
      <c r="T46" s="45">
        <f>IF(S46="",P46,S46)</f>
        <v/>
      </c>
      <c r="U46" s="7" t="n">
        <v>0</v>
      </c>
      <c r="V46" s="6">
        <f>$T46*U46</f>
        <v/>
      </c>
      <c r="W46" s="7" t="n">
        <v>0.3</v>
      </c>
      <c r="X46" s="6">
        <f>$T46*W46</f>
        <v/>
      </c>
      <c r="Y46" s="7" t="n">
        <v>0</v>
      </c>
      <c r="Z46" s="6">
        <f>$T46*Y46</f>
        <v/>
      </c>
      <c r="AA46" s="7" t="n">
        <v>0</v>
      </c>
      <c r="AB46" s="6">
        <f>$T46*AA46</f>
        <v/>
      </c>
      <c r="AC46" s="7" t="n">
        <v>0</v>
      </c>
      <c r="AD46" s="6">
        <f>$T46*AC46</f>
        <v/>
      </c>
      <c r="AE46" s="7" t="n">
        <v>0</v>
      </c>
      <c r="AF46" s="6">
        <f>$T46*AE46</f>
        <v/>
      </c>
      <c r="AG46" s="7" t="n">
        <v>0</v>
      </c>
      <c r="AH46" s="6">
        <f>$T46*AG46</f>
        <v/>
      </c>
      <c r="AI46" s="7">
        <f>U46+W46+Y46+AA46+AC46+AE46+AG46</f>
        <v/>
      </c>
      <c r="AJ46" s="6">
        <f>V46+X46+Z46+AB46+AD46+AF46+AH46</f>
        <v/>
      </c>
    </row>
    <row r="47" ht="60" customHeight="1" s="46">
      <c r="A47" s="3" t="inlineStr">
        <is>
          <t>PA.ARC.05</t>
        </is>
      </c>
      <c r="B47" s="4" t="inlineStr">
        <is>
          <t>1/4</t>
        </is>
      </c>
      <c r="C47" s="3" t="inlineStr">
        <is>
          <t>EDILE</t>
        </is>
      </c>
      <c r="D47" s="4" t="inlineStr">
        <is>
          <t>NON SPECIALE</t>
        </is>
      </c>
      <c r="E47" s="4" t="inlineStr">
        <is>
          <t>EDILI</t>
        </is>
      </c>
      <c r="F47" s="3" t="inlineStr">
        <is>
          <t>1_2025.11.20_CME REV07.PDF</t>
        </is>
      </c>
      <c r="G47" s="4" t="inlineStr">
        <is>
          <t>51</t>
        </is>
      </c>
      <c r="H47" s="3" t="inlineStr">
        <is>
          <t>30 - STRUTTURALE</t>
        </is>
      </c>
      <c r="I47" s="3" t="inlineStr">
        <is>
          <t>NUOVI LABORATORI</t>
        </is>
      </c>
      <c r="J47" s="3" t="inlineStr">
        <is>
          <t>OPERE PREFABBRICATE</t>
        </is>
      </c>
      <c r="K47" s="3" t="inlineStr">
        <is>
          <t xml:space="preserve">LASTRA PREFABBRICATA IN GESSO CARTONATO. FORNITURA E POSA IN OPERA DI LASTRA PREFABBRICATA IN GESSO CARTONATO DI SPESSORE VARIABILE, PER LA REALIZZAZIONE DI PARETI, CONTROPARETI E CONTROSOFFITTI ALL' </t>
        </is>
      </c>
      <c r="L47"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IDROREPELLENTE SPESSORE 12,5 MM. RIFERIMENTO PREZZARIO UMBRIA 2024. TARIFFA: 07.04.0050.011</t>
        </is>
      </c>
      <c r="M47" s="4" t="inlineStr">
        <is>
          <t>MQ</t>
        </is>
      </c>
      <c r="N47" s="5" t="n">
        <v>86.72</v>
      </c>
      <c r="O47" s="45" t="n">
        <v>9.449999999999999</v>
      </c>
      <c r="P47" s="45" t="n">
        <v>819.504</v>
      </c>
      <c r="Q47" s="5" t="n"/>
      <c r="R47" s="6" t="n"/>
      <c r="S47" s="6">
        <f>IF(AND(Q47&lt;&gt;"",R47&lt;&gt;""),Q47*R47,"")</f>
        <v/>
      </c>
      <c r="T47" s="45">
        <f>IF(S47="",P47,S47)</f>
        <v/>
      </c>
      <c r="U47" s="7" t="n">
        <v>0</v>
      </c>
      <c r="V47" s="6">
        <f>$T47*U47</f>
        <v/>
      </c>
      <c r="W47" s="7" t="n">
        <v>0.3</v>
      </c>
      <c r="X47" s="6">
        <f>$T47*W47</f>
        <v/>
      </c>
      <c r="Y47" s="7" t="n">
        <v>0</v>
      </c>
      <c r="Z47" s="6">
        <f>$T47*Y47</f>
        <v/>
      </c>
      <c r="AA47" s="7" t="n">
        <v>0</v>
      </c>
      <c r="AB47" s="6">
        <f>$T47*AA47</f>
        <v/>
      </c>
      <c r="AC47" s="7" t="n">
        <v>0</v>
      </c>
      <c r="AD47" s="6">
        <f>$T47*AC47</f>
        <v/>
      </c>
      <c r="AE47" s="7" t="n">
        <v>0</v>
      </c>
      <c r="AF47" s="6">
        <f>$T47*AE47</f>
        <v/>
      </c>
      <c r="AG47" s="7" t="n">
        <v>0</v>
      </c>
      <c r="AH47" s="6">
        <f>$T47*AG47</f>
        <v/>
      </c>
      <c r="AI47" s="7">
        <f>U47+W47+Y47+AA47+AC47+AE47+AG47</f>
        <v/>
      </c>
      <c r="AJ47" s="6">
        <f>V47+X47+Z47+AB47+AD47+AF47+AH47</f>
        <v/>
      </c>
    </row>
    <row r="48" ht="60" customHeight="1" s="46">
      <c r="A48" s="3" t="inlineStr">
        <is>
          <t>PA.ARC.06</t>
        </is>
      </c>
      <c r="B48" s="4" t="inlineStr">
        <is>
          <t>1/4</t>
        </is>
      </c>
      <c r="C48" s="3" t="inlineStr">
        <is>
          <t>EDILE</t>
        </is>
      </c>
      <c r="D48" s="4" t="inlineStr">
        <is>
          <t>NON SPECIALE</t>
        </is>
      </c>
      <c r="E48" s="4" t="inlineStr">
        <is>
          <t>EDILI</t>
        </is>
      </c>
      <c r="F48" s="3" t="inlineStr">
        <is>
          <t>1_2025.11.20_CME REV07.PDF</t>
        </is>
      </c>
      <c r="G48" s="4" t="inlineStr">
        <is>
          <t>52</t>
        </is>
      </c>
      <c r="H48" s="3" t="inlineStr">
        <is>
          <t>30 - STRUTTURALE</t>
        </is>
      </c>
      <c r="I48" s="3" t="inlineStr">
        <is>
          <t>NUOVI LABORATORI</t>
        </is>
      </c>
      <c r="J48" s="3" t="inlineStr">
        <is>
          <t>OPERE PREFABBRICATE</t>
        </is>
      </c>
      <c r="K48" s="3" t="inlineStr">
        <is>
          <t xml:space="preserve">LASTRA PREFABBRICATA IN GESSO CARTONATO. FORNITURA E POSA IN OPERA DI LASTRA PREFABBRICATA IN GESSO CARTONATO DI SPESSORE VARIABILE, PER LA REALIZZAZIONE DI PARETI, CONTROPARETI E CONTROSOFFITTI ALL' </t>
        </is>
      </c>
      <c r="L48"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IDROREPELLENTE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07.04.0050.012</t>
        </is>
      </c>
      <c r="M48" s="4" t="inlineStr">
        <is>
          <t>MQ</t>
        </is>
      </c>
      <c r="N48" s="5" t="n">
        <v>86.72</v>
      </c>
      <c r="O48" s="45" t="n">
        <v>9.449999999999999</v>
      </c>
      <c r="P48" s="45" t="n">
        <v>819.504</v>
      </c>
      <c r="Q48" s="5" t="n"/>
      <c r="R48" s="6" t="n"/>
      <c r="S48" s="6">
        <f>IF(AND(Q48&lt;&gt;"",R48&lt;&gt;""),Q48*R48,"")</f>
        <v/>
      </c>
      <c r="T48" s="45">
        <f>IF(S48="",P48,S48)</f>
        <v/>
      </c>
      <c r="U48" s="7" t="n">
        <v>0</v>
      </c>
      <c r="V48" s="6">
        <f>$T48*U48</f>
        <v/>
      </c>
      <c r="W48" s="7" t="n">
        <v>0.3</v>
      </c>
      <c r="X48" s="6">
        <f>$T48*W48</f>
        <v/>
      </c>
      <c r="Y48" s="7" t="n">
        <v>0</v>
      </c>
      <c r="Z48" s="6">
        <f>$T48*Y48</f>
        <v/>
      </c>
      <c r="AA48" s="7" t="n">
        <v>0</v>
      </c>
      <c r="AB48" s="6">
        <f>$T48*AA48</f>
        <v/>
      </c>
      <c r="AC48" s="7" t="n">
        <v>0</v>
      </c>
      <c r="AD48" s="6">
        <f>$T48*AC48</f>
        <v/>
      </c>
      <c r="AE48" s="7" t="n">
        <v>0</v>
      </c>
      <c r="AF48" s="6">
        <f>$T48*AE48</f>
        <v/>
      </c>
      <c r="AG48" s="7" t="n">
        <v>0</v>
      </c>
      <c r="AH48" s="6">
        <f>$T48*AG48</f>
        <v/>
      </c>
      <c r="AI48" s="7">
        <f>U48+W48+Y48+AA48+AC48+AE48+AG48</f>
        <v/>
      </c>
      <c r="AJ48" s="6">
        <f>V48+X48+Z48+AB48+AD48+AF48+AH48</f>
        <v/>
      </c>
    </row>
    <row r="49" ht="60" customHeight="1" s="46">
      <c r="A49" s="3" t="inlineStr">
        <is>
          <t>PA.ARC.05</t>
        </is>
      </c>
      <c r="B49" s="4" t="inlineStr">
        <is>
          <t>2/4</t>
        </is>
      </c>
      <c r="C49" s="3" t="inlineStr">
        <is>
          <t>EDILE</t>
        </is>
      </c>
      <c r="D49" s="4" t="inlineStr">
        <is>
          <t>NON SPECIALE</t>
        </is>
      </c>
      <c r="E49" s="4" t="inlineStr">
        <is>
          <t>EDILI</t>
        </is>
      </c>
      <c r="F49" s="3" t="inlineStr">
        <is>
          <t>1_2025.11.20_CME REV07.PDF</t>
        </is>
      </c>
      <c r="G49" s="4" t="inlineStr">
        <is>
          <t>54</t>
        </is>
      </c>
      <c r="H49" s="3" t="inlineStr">
        <is>
          <t>30 - STRUTTURALE</t>
        </is>
      </c>
      <c r="I49" s="3" t="inlineStr">
        <is>
          <t>NUOVI LABORATORI</t>
        </is>
      </c>
      <c r="J49" s="3" t="inlineStr">
        <is>
          <t>OPERE PREFABBRICATE</t>
        </is>
      </c>
      <c r="K49" s="3" t="inlineStr">
        <is>
          <t xml:space="preserve">LASTRA PREFABBRICATA IN GESSO CARTONATO. FORNITURA E POSA IN OPERA DI LASTRA PREFABBRICATA IN GESSO CARTONATO DI SPESSORE VARIABILE, PER LA REALIZZAZIONE DI PARETI, CONTROPARETI E CONTROSOFFITTI ALL' </t>
        </is>
      </c>
      <c r="L49"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IDROREPELLENTE SPESSORE 12,5 MM. RIFERIMENTO PREZZARIO UMBRIA 2024. TARIFFA: 07.04.0050.011</t>
        </is>
      </c>
      <c r="M49" s="4" t="inlineStr">
        <is>
          <t>MQ</t>
        </is>
      </c>
      <c r="N49" s="5" t="n">
        <v>50.24</v>
      </c>
      <c r="O49" s="45" t="n">
        <v>9.449999999999999</v>
      </c>
      <c r="P49" s="45" t="n">
        <v>474.768</v>
      </c>
      <c r="Q49" s="5" t="n"/>
      <c r="R49" s="6" t="n"/>
      <c r="S49" s="6">
        <f>IF(AND(Q49&lt;&gt;"",R49&lt;&gt;""),Q49*R49,"")</f>
        <v/>
      </c>
      <c r="T49" s="45">
        <f>IF(S49="",P49,S49)</f>
        <v/>
      </c>
      <c r="U49" s="7" t="n">
        <v>0</v>
      </c>
      <c r="V49" s="6">
        <f>$T49*U49</f>
        <v/>
      </c>
      <c r="W49" s="7" t="n">
        <v>0.3</v>
      </c>
      <c r="X49" s="6">
        <f>$T49*W49</f>
        <v/>
      </c>
      <c r="Y49" s="7" t="n">
        <v>0</v>
      </c>
      <c r="Z49" s="6">
        <f>$T49*Y49</f>
        <v/>
      </c>
      <c r="AA49" s="7" t="n">
        <v>0</v>
      </c>
      <c r="AB49" s="6">
        <f>$T49*AA49</f>
        <v/>
      </c>
      <c r="AC49" s="7" t="n">
        <v>0</v>
      </c>
      <c r="AD49" s="6">
        <f>$T49*AC49</f>
        <v/>
      </c>
      <c r="AE49" s="7" t="n">
        <v>0</v>
      </c>
      <c r="AF49" s="6">
        <f>$T49*AE49</f>
        <v/>
      </c>
      <c r="AG49" s="7" t="n">
        <v>0</v>
      </c>
      <c r="AH49" s="6">
        <f>$T49*AG49</f>
        <v/>
      </c>
      <c r="AI49" s="7">
        <f>U49+W49+Y49+AA49+AC49+AE49+AG49</f>
        <v/>
      </c>
      <c r="AJ49" s="6">
        <f>V49+X49+Z49+AB49+AD49+AF49+AH49</f>
        <v/>
      </c>
    </row>
    <row r="50" ht="60" customHeight="1" s="46">
      <c r="A50" s="3" t="inlineStr">
        <is>
          <t>PA.ARC.06</t>
        </is>
      </c>
      <c r="B50" s="4" t="inlineStr">
        <is>
          <t>2/4</t>
        </is>
      </c>
      <c r="C50" s="3" t="inlineStr">
        <is>
          <t>EDILE</t>
        </is>
      </c>
      <c r="D50" s="4" t="inlineStr">
        <is>
          <t>NON SPECIALE</t>
        </is>
      </c>
      <c r="E50" s="4" t="inlineStr">
        <is>
          <t>EDILI</t>
        </is>
      </c>
      <c r="F50" s="3" t="inlineStr">
        <is>
          <t>1_2025.11.20_CME REV07.PDF</t>
        </is>
      </c>
      <c r="G50" s="4" t="inlineStr">
        <is>
          <t>55</t>
        </is>
      </c>
      <c r="H50" s="3" t="inlineStr">
        <is>
          <t>30 - STRUTTURALE</t>
        </is>
      </c>
      <c r="I50" s="3" t="inlineStr">
        <is>
          <t>NUOVI LABORATORI</t>
        </is>
      </c>
      <c r="J50" s="3" t="inlineStr">
        <is>
          <t>OPERE PREFABBRICATE</t>
        </is>
      </c>
      <c r="K50" s="3" t="inlineStr">
        <is>
          <t xml:space="preserve">LASTRA PREFABBRICATA IN GESSO CARTONATO. FORNITURA E POSA IN OPERA DI LASTRA PREFABBRICATA IN GESSO CARTONATO DI SPESSORE VARIABILE, PER LA REALIZZAZIONE DI PARETI, CONTROPARETI E CONTROSOFFITTI ALL' </t>
        </is>
      </c>
      <c r="L50"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IDROREPELLENTE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07.04.0050.012</t>
        </is>
      </c>
      <c r="M50" s="4" t="inlineStr">
        <is>
          <t>MQ</t>
        </is>
      </c>
      <c r="N50" s="5" t="n">
        <v>50.24</v>
      </c>
      <c r="O50" s="45" t="n">
        <v>9.449999999999999</v>
      </c>
      <c r="P50" s="45" t="n">
        <v>474.768</v>
      </c>
      <c r="Q50" s="5" t="n"/>
      <c r="R50" s="6" t="n"/>
      <c r="S50" s="6">
        <f>IF(AND(Q50&lt;&gt;"",R50&lt;&gt;""),Q50*R50,"")</f>
        <v/>
      </c>
      <c r="T50" s="45">
        <f>IF(S50="",P50,S50)</f>
        <v/>
      </c>
      <c r="U50" s="7" t="n">
        <v>0</v>
      </c>
      <c r="V50" s="6">
        <f>$T50*U50</f>
        <v/>
      </c>
      <c r="W50" s="7" t="n">
        <v>0.3</v>
      </c>
      <c r="X50" s="6">
        <f>$T50*W50</f>
        <v/>
      </c>
      <c r="Y50" s="7" t="n">
        <v>0</v>
      </c>
      <c r="Z50" s="6">
        <f>$T50*Y50</f>
        <v/>
      </c>
      <c r="AA50" s="7" t="n">
        <v>0</v>
      </c>
      <c r="AB50" s="6">
        <f>$T50*AA50</f>
        <v/>
      </c>
      <c r="AC50" s="7" t="n">
        <v>0</v>
      </c>
      <c r="AD50" s="6">
        <f>$T50*AC50</f>
        <v/>
      </c>
      <c r="AE50" s="7" t="n">
        <v>0</v>
      </c>
      <c r="AF50" s="6">
        <f>$T50*AE50</f>
        <v/>
      </c>
      <c r="AG50" s="7" t="n">
        <v>0</v>
      </c>
      <c r="AH50" s="6">
        <f>$T50*AG50</f>
        <v/>
      </c>
      <c r="AI50" s="7">
        <f>U50+W50+Y50+AA50+AC50+AE50+AG50</f>
        <v/>
      </c>
      <c r="AJ50" s="6">
        <f>V50+X50+Z50+AB50+AD50+AF50+AH50</f>
        <v/>
      </c>
    </row>
    <row r="51" ht="60" customHeight="1" s="46">
      <c r="A51" s="3" t="inlineStr">
        <is>
          <t>LOM241.OC.EEA.A02.C1515.OD001.0020</t>
        </is>
      </c>
      <c r="B51" s="4" t="inlineStr">
        <is>
          <t>3/4</t>
        </is>
      </c>
      <c r="C51" s="3" t="inlineStr">
        <is>
          <t>EDILE</t>
        </is>
      </c>
      <c r="D51" s="4" t="inlineStr">
        <is>
          <t>NON SPECIALE</t>
        </is>
      </c>
      <c r="E51" s="4" t="inlineStr">
        <is>
          <t>EDILI</t>
        </is>
      </c>
      <c r="F51" s="3" t="inlineStr">
        <is>
          <t>1_2025.11.20_CME REV07.PDF</t>
        </is>
      </c>
      <c r="G51" s="4" t="inlineStr">
        <is>
          <t>57</t>
        </is>
      </c>
      <c r="H51" s="3" t="inlineStr">
        <is>
          <t>30 - STRUTTURALE</t>
        </is>
      </c>
      <c r="I51" s="3" t="inlineStr">
        <is>
          <t>NUOVI LABORATORI</t>
        </is>
      </c>
      <c r="J51" s="3" t="inlineStr">
        <is>
          <t>OPERE IN C.A.</t>
        </is>
      </c>
      <c r="K51" s="3" t="inlineStr">
        <is>
          <t xml:space="preserve">OPERA: STRATO DI ISOLAMENTO, ACUSTICO DI FIBRA MINERALE LANA DI ROCCIA; FINITURA: LANA DI LEGNO; IMPIEGO: STRATO DI MURATURA; SPESSORE [MM] = 75. </t>
        </is>
      </c>
      <c r="L51" s="3" t="inlineStr">
        <is>
          <t>OPERA: STRATO DI ISOLAMENTO, ACUSTICO DI FIBRA MINERALE LANA DI ROCCIA; FINITURA: LANA DI LEGNO; IMPIEGO: STRATO DI MURATURA; SPESSORE [MM] = 75. 
LAVORO: POSA. INCLUSO: TAGLI; SIGILLATURE; ADATTAMENTI; FISSAGGIO GENERICO; ASSISTENZE MURARIE. ESCLUSO: PIANI DI LAVORO. 
SPECIFICHE TECNICHE: PER PARETI DIVISORIE INTERNE IN TAVOLATO E CARTONGESSO; PANNELLI CON LANA DI ROCCIA AD ALTA DENSITÀ A FIBRE ORIENTATE SPESSORE [MM] = 65, RIVESTITO SUI DUE LATI DA PANNELLI IN LANA DI LEGNO MINERALIZZATA SPESSORE [MM] = 5 E LEGATA CON CEMENTO. 
COMPONENTI: 
OP1 OPERA: STRATO DI ISOLAMENTO, ACUSTICO DI FIBRA MINERALE LANA DI ROCCIA; FINITURA: LANA DI LEGNO; IMPIEGO: STRATO DI MURATURA; SPESSORE [MM] = 75. 
SPECIFICHE TECNICHE: PER PARETI DIVISORIE INTERNE IN TAVOLATO E CARTONGESSO; PANNELLI CON LANA DI ROCCIA AD ALTA DENSITÀ A FIBRE ORIENTATE SPESSORE [MM] = 65, RIVESTITO SUI DUE LATI DA PANNELLI IN LANA DI LEGNO MINERALIZZATA SPESSORE [MM] = 5 E LEGATA CON CEMENTO. 
RM2 PANNELLO ACUSTICO DI FIBRA MINERALE LANA DI ROCCIA; FINITURA: LANA DI ABETE; GEOMETRIA/FORMA/ASPETTO: PANNELLI MULTISTRATO; FUNZIONE: ISOLAMENTO ACUSTICO; IMPIEGO: PARETI DIVISORIE INTERNE | COPERTURE PIANE; SPESSORE [MM] = 75 
SPECIFICHE TECNICHE: RIVESTITO SULLE DUE FACCE 
RM2 ADESIVO DI GESSO GENERICO; GEOMETRIA/FORMA/ASPETTO: POLVERE; FUNZIONE: SIGILLANTE; IMPIEGO: LASTRE 
LV1 LAVORO: POSA. INCLUSO: TAGLI; SIGILLATURE; ADATTAMENTI; FISSAGGIO GENERICO; ASSISTENZE MURARIE. ESCLUSO: PIANI DI LAVORO.</t>
        </is>
      </c>
      <c r="M51" s="4" t="inlineStr">
        <is>
          <t>M²</t>
        </is>
      </c>
      <c r="N51" s="5" t="n">
        <v>25.5</v>
      </c>
      <c r="O51" s="45" t="n">
        <v>47.15</v>
      </c>
      <c r="P51" s="45" t="n">
        <v>1202.325</v>
      </c>
      <c r="Q51" s="5" t="n"/>
      <c r="R51" s="6" t="n"/>
      <c r="S51" s="6">
        <f>IF(AND(Q51&lt;&gt;"",R51&lt;&gt;""),Q51*R51,"")</f>
        <v/>
      </c>
      <c r="T51" s="45">
        <f>IF(S51="",P51,S51)</f>
        <v/>
      </c>
      <c r="U51" s="7" t="n">
        <v>0</v>
      </c>
      <c r="V51" s="6">
        <f>$T51*U51</f>
        <v/>
      </c>
      <c r="W51" s="7" t="n">
        <v>0.3</v>
      </c>
      <c r="X51" s="6">
        <f>$T51*W51</f>
        <v/>
      </c>
      <c r="Y51" s="7" t="n">
        <v>0</v>
      </c>
      <c r="Z51" s="6">
        <f>$T51*Y51</f>
        <v/>
      </c>
      <c r="AA51" s="7" t="n">
        <v>0</v>
      </c>
      <c r="AB51" s="6">
        <f>$T51*AA51</f>
        <v/>
      </c>
      <c r="AC51" s="7" t="n">
        <v>0</v>
      </c>
      <c r="AD51" s="6">
        <f>$T51*AC51</f>
        <v/>
      </c>
      <c r="AE51" s="7" t="n">
        <v>0</v>
      </c>
      <c r="AF51" s="6">
        <f>$T51*AE51</f>
        <v/>
      </c>
      <c r="AG51" s="7" t="n">
        <v>0</v>
      </c>
      <c r="AH51" s="6">
        <f>$T51*AG51</f>
        <v/>
      </c>
      <c r="AI51" s="7">
        <f>U51+W51+Y51+AA51+AC51+AE51+AG51</f>
        <v/>
      </c>
      <c r="AJ51" s="6">
        <f>V51+X51+Z51+AB51+AD51+AF51+AH51</f>
        <v/>
      </c>
    </row>
    <row r="52" ht="60" customHeight="1" s="46">
      <c r="A52" s="3" t="inlineStr">
        <is>
          <t>PA.ARC.03</t>
        </is>
      </c>
      <c r="B52" s="4" t="inlineStr">
        <is>
          <t>3/4</t>
        </is>
      </c>
      <c r="C52" s="3" t="inlineStr">
        <is>
          <t>EDILE</t>
        </is>
      </c>
      <c r="D52" s="4" t="inlineStr">
        <is>
          <t>NON SPECIALE</t>
        </is>
      </c>
      <c r="E52" s="4" t="inlineStr">
        <is>
          <t>EDILI</t>
        </is>
      </c>
      <c r="F52" s="3" t="inlineStr">
        <is>
          <t>1_2025.11.20_CME REV07.PDF</t>
        </is>
      </c>
      <c r="G52" s="4" t="inlineStr">
        <is>
          <t>58</t>
        </is>
      </c>
      <c r="H52" s="3" t="inlineStr">
        <is>
          <t>30 - STRUTTURALE</t>
        </is>
      </c>
      <c r="I52" s="3" t="inlineStr">
        <is>
          <t>NUOVI LABORATORI</t>
        </is>
      </c>
      <c r="J52" s="3" t="inlineStr">
        <is>
          <t>OPERE PREFABBRICATE</t>
        </is>
      </c>
      <c r="K52" s="3" t="inlineStr">
        <is>
          <t xml:space="preserve">LASTRA PREFABBRICATA IN GESSO CARTONATO. FORNITURA E POSA IN OPERA DI LASTRA PREFABBRICATA IN GESSO CARTONATO DI SPESSORE VARIABILE, PER LA REALIZZAZIONE DI PARETI, CONTROPARETI E CONTROSOFFITTI ALL' </t>
        </is>
      </c>
      <c r="L52"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STANDARD SPESSORE 12,5 MM. RIFERIMENTO PREZZARIO UMBRIA 2024. TARIFFA: 07.04.0050.005</t>
        </is>
      </c>
      <c r="M52" s="4" t="inlineStr">
        <is>
          <t>MQ</t>
        </is>
      </c>
      <c r="N52" s="5" t="n">
        <v>12.75</v>
      </c>
      <c r="O52" s="45" t="n">
        <v>7.9</v>
      </c>
      <c r="P52" s="45" t="n">
        <v>100.725</v>
      </c>
      <c r="Q52" s="5" t="n"/>
      <c r="R52" s="6" t="n"/>
      <c r="S52" s="6">
        <f>IF(AND(Q52&lt;&gt;"",R52&lt;&gt;""),Q52*R52,"")</f>
        <v/>
      </c>
      <c r="T52" s="45">
        <f>IF(S52="",P52,S52)</f>
        <v/>
      </c>
      <c r="U52" s="7" t="n">
        <v>0</v>
      </c>
      <c r="V52" s="6">
        <f>$T52*U52</f>
        <v/>
      </c>
      <c r="W52" s="7" t="n">
        <v>0.3</v>
      </c>
      <c r="X52" s="6">
        <f>$T52*W52</f>
        <v/>
      </c>
      <c r="Y52" s="7" t="n">
        <v>0</v>
      </c>
      <c r="Z52" s="6">
        <f>$T52*Y52</f>
        <v/>
      </c>
      <c r="AA52" s="7" t="n">
        <v>0</v>
      </c>
      <c r="AB52" s="6">
        <f>$T52*AA52</f>
        <v/>
      </c>
      <c r="AC52" s="7" t="n">
        <v>0</v>
      </c>
      <c r="AD52" s="6">
        <f>$T52*AC52</f>
        <v/>
      </c>
      <c r="AE52" s="7" t="n">
        <v>0</v>
      </c>
      <c r="AF52" s="6">
        <f>$T52*AE52</f>
        <v/>
      </c>
      <c r="AG52" s="7" t="n">
        <v>0</v>
      </c>
      <c r="AH52" s="6">
        <f>$T52*AG52</f>
        <v/>
      </c>
      <c r="AI52" s="7">
        <f>U52+W52+Y52+AA52+AC52+AE52+AG52</f>
        <v/>
      </c>
      <c r="AJ52" s="6">
        <f>V52+X52+Z52+AB52+AD52+AF52+AH52</f>
        <v/>
      </c>
    </row>
    <row r="53" ht="60" customHeight="1" s="46">
      <c r="A53" s="3" t="inlineStr">
        <is>
          <t>PA.ARC.04</t>
        </is>
      </c>
      <c r="B53" s="4" t="inlineStr">
        <is>
          <t>3/4</t>
        </is>
      </c>
      <c r="C53" s="3" t="inlineStr">
        <is>
          <t>EDILE</t>
        </is>
      </c>
      <c r="D53" s="4" t="inlineStr">
        <is>
          <t>NON SPECIALE</t>
        </is>
      </c>
      <c r="E53" s="4" t="inlineStr">
        <is>
          <t>EDILI</t>
        </is>
      </c>
      <c r="F53" s="3" t="inlineStr">
        <is>
          <t>1_2025.11.20_CME REV07.PDF</t>
        </is>
      </c>
      <c r="G53" s="4" t="inlineStr">
        <is>
          <t>59</t>
        </is>
      </c>
      <c r="H53" s="3" t="inlineStr">
        <is>
          <t>30 - STRUTTURALE</t>
        </is>
      </c>
      <c r="I53" s="3" t="inlineStr">
        <is>
          <t>NUOVI LABORATORI</t>
        </is>
      </c>
      <c r="J53" s="3" t="inlineStr">
        <is>
          <t>OPERE PREFABBRICATE</t>
        </is>
      </c>
      <c r="K53" s="3" t="inlineStr">
        <is>
          <t xml:space="preserve">LASTRA PREFABBRICATA IN GESSO CARTONATO. FORNITURA E POSA IN OPERA DI LASTRA PREFABBRICATA IN GESSO CARTONATO DI SPESSORE VARIABILE, PER LA REALIZZAZIONE DI PARETI, CONTROPARETI E CONTROSOFFITTI ALL' </t>
        </is>
      </c>
      <c r="L53"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STANDARD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07.04.0050.006</t>
        </is>
      </c>
      <c r="M53" s="4" t="inlineStr">
        <is>
          <t>MQ</t>
        </is>
      </c>
      <c r="N53" s="5" t="n">
        <v>12.75</v>
      </c>
      <c r="O53" s="45" t="n">
        <v>7.9</v>
      </c>
      <c r="P53" s="45" t="n">
        <v>100.725</v>
      </c>
      <c r="Q53" s="5" t="n"/>
      <c r="R53" s="6" t="n"/>
      <c r="S53" s="6">
        <f>IF(AND(Q53&lt;&gt;"",R53&lt;&gt;""),Q53*R53,"")</f>
        <v/>
      </c>
      <c r="T53" s="45">
        <f>IF(S53="",P53,S53)</f>
        <v/>
      </c>
      <c r="U53" s="7" t="n">
        <v>0</v>
      </c>
      <c r="V53" s="6">
        <f>$T53*U53</f>
        <v/>
      </c>
      <c r="W53" s="7" t="n">
        <v>0.3</v>
      </c>
      <c r="X53" s="6">
        <f>$T53*W53</f>
        <v/>
      </c>
      <c r="Y53" s="7" t="n">
        <v>0</v>
      </c>
      <c r="Z53" s="6">
        <f>$T53*Y53</f>
        <v/>
      </c>
      <c r="AA53" s="7" t="n">
        <v>0</v>
      </c>
      <c r="AB53" s="6">
        <f>$T53*AA53</f>
        <v/>
      </c>
      <c r="AC53" s="7" t="n">
        <v>0</v>
      </c>
      <c r="AD53" s="6">
        <f>$T53*AC53</f>
        <v/>
      </c>
      <c r="AE53" s="7" t="n">
        <v>0</v>
      </c>
      <c r="AF53" s="6">
        <f>$T53*AE53</f>
        <v/>
      </c>
      <c r="AG53" s="7" t="n">
        <v>0</v>
      </c>
      <c r="AH53" s="6">
        <f>$T53*AG53</f>
        <v/>
      </c>
      <c r="AI53" s="7">
        <f>U53+W53+Y53+AA53+AC53+AE53+AG53</f>
        <v/>
      </c>
      <c r="AJ53" s="6">
        <f>V53+X53+Z53+AB53+AD53+AF53+AH53</f>
        <v/>
      </c>
    </row>
    <row r="54" ht="60" customHeight="1" s="46">
      <c r="A54" s="3" t="inlineStr">
        <is>
          <t>PA.ARC.05</t>
        </is>
      </c>
      <c r="B54" s="4" t="inlineStr">
        <is>
          <t>3/4</t>
        </is>
      </c>
      <c r="C54" s="3" t="inlineStr">
        <is>
          <t>EDILE</t>
        </is>
      </c>
      <c r="D54" s="4" t="inlineStr">
        <is>
          <t>NON SPECIALE</t>
        </is>
      </c>
      <c r="E54" s="4" t="inlineStr">
        <is>
          <t>EDILI</t>
        </is>
      </c>
      <c r="F54" s="3" t="inlineStr">
        <is>
          <t>1_2025.11.20_CME REV07.PDF</t>
        </is>
      </c>
      <c r="G54" s="4" t="inlineStr">
        <is>
          <t>60</t>
        </is>
      </c>
      <c r="H54" s="3" t="inlineStr">
        <is>
          <t>30 - STRUTTURALE</t>
        </is>
      </c>
      <c r="I54" s="3" t="inlineStr">
        <is>
          <t>NUOVI LABORATORI</t>
        </is>
      </c>
      <c r="J54" s="3" t="inlineStr">
        <is>
          <t>OPERE PREFABBRICATE</t>
        </is>
      </c>
      <c r="K54" s="3" t="inlineStr">
        <is>
          <t xml:space="preserve">LASTRA PREFABBRICATA IN GESSO CARTONATO. FORNITURA E POSA IN OPERA DI LASTRA PREFABBRICATA IN GESSO CARTONATO DI SPESSORE VARIABILE, PER LA REALIZZAZIONE DI PARETI, CONTROPARETI E CONTROSOFFITTI ALL' </t>
        </is>
      </c>
      <c r="L54"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IDROREPELLENTE SPESSORE 12,5 MM. RIFERIMENTO PREZZARIO UMBRIA 2024. TARIFFA: 07.04.0050.011</t>
        </is>
      </c>
      <c r="M54" s="4" t="inlineStr">
        <is>
          <t>MQ</t>
        </is>
      </c>
      <c r="N54" s="5" t="n">
        <v>12.75</v>
      </c>
      <c r="O54" s="45" t="n">
        <v>9.449999999999999</v>
      </c>
      <c r="P54" s="45" t="n">
        <v>120.4875</v>
      </c>
      <c r="Q54" s="5" t="n"/>
      <c r="R54" s="6" t="n"/>
      <c r="S54" s="6">
        <f>IF(AND(Q54&lt;&gt;"",R54&lt;&gt;""),Q54*R54,"")</f>
        <v/>
      </c>
      <c r="T54" s="45">
        <f>IF(S54="",P54,S54)</f>
        <v/>
      </c>
      <c r="U54" s="7" t="n">
        <v>0</v>
      </c>
      <c r="V54" s="6">
        <f>$T54*U54</f>
        <v/>
      </c>
      <c r="W54" s="7" t="n">
        <v>0.3</v>
      </c>
      <c r="X54" s="6">
        <f>$T54*W54</f>
        <v/>
      </c>
      <c r="Y54" s="7" t="n">
        <v>0</v>
      </c>
      <c r="Z54" s="6">
        <f>$T54*Y54</f>
        <v/>
      </c>
      <c r="AA54" s="7" t="n">
        <v>0</v>
      </c>
      <c r="AB54" s="6">
        <f>$T54*AA54</f>
        <v/>
      </c>
      <c r="AC54" s="7" t="n">
        <v>0</v>
      </c>
      <c r="AD54" s="6">
        <f>$T54*AC54</f>
        <v/>
      </c>
      <c r="AE54" s="7" t="n">
        <v>0</v>
      </c>
      <c r="AF54" s="6">
        <f>$T54*AE54</f>
        <v/>
      </c>
      <c r="AG54" s="7" t="n">
        <v>0</v>
      </c>
      <c r="AH54" s="6">
        <f>$T54*AG54</f>
        <v/>
      </c>
      <c r="AI54" s="7">
        <f>U54+W54+Y54+AA54+AC54+AE54+AG54</f>
        <v/>
      </c>
      <c r="AJ54" s="6">
        <f>V54+X54+Z54+AB54+AD54+AF54+AH54</f>
        <v/>
      </c>
    </row>
    <row r="55" ht="60" customHeight="1" s="46">
      <c r="A55" s="3" t="inlineStr">
        <is>
          <t>PA.ARC.06</t>
        </is>
      </c>
      <c r="B55" s="4" t="inlineStr">
        <is>
          <t>3/4</t>
        </is>
      </c>
      <c r="C55" s="3" t="inlineStr">
        <is>
          <t>EDILE</t>
        </is>
      </c>
      <c r="D55" s="4" t="inlineStr">
        <is>
          <t>NON SPECIALE</t>
        </is>
      </c>
      <c r="E55" s="4" t="inlineStr">
        <is>
          <t>EDILI</t>
        </is>
      </c>
      <c r="F55" s="3" t="inlineStr">
        <is>
          <t>1_2025.11.20_CME REV07.PDF</t>
        </is>
      </c>
      <c r="G55" s="4" t="inlineStr">
        <is>
          <t>61</t>
        </is>
      </c>
      <c r="H55" s="3" t="inlineStr">
        <is>
          <t>30 - STRUTTURALE</t>
        </is>
      </c>
      <c r="I55" s="3" t="inlineStr">
        <is>
          <t>NUOVI LABORATORI</t>
        </is>
      </c>
      <c r="J55" s="3" t="inlineStr">
        <is>
          <t>OPERE PREFABBRICATE</t>
        </is>
      </c>
      <c r="K55" s="3" t="inlineStr">
        <is>
          <t xml:space="preserve">LASTRA PREFABBRICATA IN GESSO CARTONATO. FORNITURA E POSA IN OPERA DI LASTRA PREFABBRICATA IN GESSO CARTONATO DI SPESSORE VARIABILE, PER LA REALIZZAZIONE DI PARETI, CONTROPARETI E CONTROSOFFITTI ALL' </t>
        </is>
      </c>
      <c r="L55"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IDROREPELLENTE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07.04.0050.012</t>
        </is>
      </c>
      <c r="M55" s="4" t="inlineStr">
        <is>
          <t>MQ</t>
        </is>
      </c>
      <c r="N55" s="5" t="n">
        <v>12.75</v>
      </c>
      <c r="O55" s="45" t="n">
        <v>9.449999999999999</v>
      </c>
      <c r="P55" s="45" t="n">
        <v>120.4875</v>
      </c>
      <c r="Q55" s="5" t="n"/>
      <c r="R55" s="6" t="n"/>
      <c r="S55" s="6">
        <f>IF(AND(Q55&lt;&gt;"",R55&lt;&gt;""),Q55*R55,"")</f>
        <v/>
      </c>
      <c r="T55" s="45">
        <f>IF(S55="",P55,S55)</f>
        <v/>
      </c>
      <c r="U55" s="7" t="n">
        <v>0</v>
      </c>
      <c r="V55" s="6">
        <f>$T55*U55</f>
        <v/>
      </c>
      <c r="W55" s="7" t="n">
        <v>0.3</v>
      </c>
      <c r="X55" s="6">
        <f>$T55*W55</f>
        <v/>
      </c>
      <c r="Y55" s="7" t="n">
        <v>0</v>
      </c>
      <c r="Z55" s="6">
        <f>$T55*Y55</f>
        <v/>
      </c>
      <c r="AA55" s="7" t="n">
        <v>0</v>
      </c>
      <c r="AB55" s="6">
        <f>$T55*AA55</f>
        <v/>
      </c>
      <c r="AC55" s="7" t="n">
        <v>0</v>
      </c>
      <c r="AD55" s="6">
        <f>$T55*AC55</f>
        <v/>
      </c>
      <c r="AE55" s="7" t="n">
        <v>0</v>
      </c>
      <c r="AF55" s="6">
        <f>$T55*AE55</f>
        <v/>
      </c>
      <c r="AG55" s="7" t="n">
        <v>0</v>
      </c>
      <c r="AH55" s="6">
        <f>$T55*AG55</f>
        <v/>
      </c>
      <c r="AI55" s="7">
        <f>U55+W55+Y55+AA55+AC55+AE55+AG55</f>
        <v/>
      </c>
      <c r="AJ55" s="6">
        <f>V55+X55+Z55+AB55+AD55+AF55+AH55</f>
        <v/>
      </c>
    </row>
    <row r="56" ht="60" customHeight="1" s="46">
      <c r="A56" s="3" t="inlineStr">
        <is>
          <t>PA.ARC.05</t>
        </is>
      </c>
      <c r="B56" s="4" t="inlineStr">
        <is>
          <t>4/4</t>
        </is>
      </c>
      <c r="C56" s="3" t="inlineStr">
        <is>
          <t>EDILE</t>
        </is>
      </c>
      <c r="D56" s="4" t="inlineStr">
        <is>
          <t>NON SPECIALE</t>
        </is>
      </c>
      <c r="E56" s="4" t="inlineStr">
        <is>
          <t>EDILI</t>
        </is>
      </c>
      <c r="F56" s="3" t="inlineStr">
        <is>
          <t>1_2025.11.20_CME REV07.PDF</t>
        </is>
      </c>
      <c r="G56" s="4" t="inlineStr">
        <is>
          <t>63</t>
        </is>
      </c>
      <c r="H56" s="3" t="inlineStr">
        <is>
          <t>30 - STRUTTURALE</t>
        </is>
      </c>
      <c r="I56" s="3" t="inlineStr">
        <is>
          <t>NUOVI LABORATORI</t>
        </is>
      </c>
      <c r="J56" s="3" t="inlineStr">
        <is>
          <t>OPERE PREFABBRICATE</t>
        </is>
      </c>
      <c r="K56" s="3" t="inlineStr">
        <is>
          <t xml:space="preserve">LASTRA PREFABBRICATA IN GESSO CARTONATO. FORNITURA E POSA IN OPERA DI LASTRA PREFABBRICATA IN GESSO CARTONATO DI SPESSORE VARIABILE, PER LA REALIZZAZIONE DI PARETI, CONTROPARETI E CONTROSOFFITTI ALL' </t>
        </is>
      </c>
      <c r="L56"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IDROREPELLENTE SPESSORE 12,5 MM. RIFERIMENTO PREZZARIO UMBRIA 2024. TARIFFA: 07.04.0050.011</t>
        </is>
      </c>
      <c r="M56" s="4" t="inlineStr">
        <is>
          <t>MQ</t>
        </is>
      </c>
      <c r="N56" s="5" t="n">
        <v>19.76</v>
      </c>
      <c r="O56" s="45" t="n">
        <v>9.449999999999999</v>
      </c>
      <c r="P56" s="45" t="n">
        <v>186.732</v>
      </c>
      <c r="Q56" s="5" t="n"/>
      <c r="R56" s="6" t="n"/>
      <c r="S56" s="6">
        <f>IF(AND(Q56&lt;&gt;"",R56&lt;&gt;""),Q56*R56,"")</f>
        <v/>
      </c>
      <c r="T56" s="45">
        <f>IF(S56="",P56,S56)</f>
        <v/>
      </c>
      <c r="U56" s="7" t="n">
        <v>0</v>
      </c>
      <c r="V56" s="6">
        <f>$T56*U56</f>
        <v/>
      </c>
      <c r="W56" s="7" t="n">
        <v>0.3</v>
      </c>
      <c r="X56" s="6">
        <f>$T56*W56</f>
        <v/>
      </c>
      <c r="Y56" s="7" t="n">
        <v>0</v>
      </c>
      <c r="Z56" s="6">
        <f>$T56*Y56</f>
        <v/>
      </c>
      <c r="AA56" s="7" t="n">
        <v>0</v>
      </c>
      <c r="AB56" s="6">
        <f>$T56*AA56</f>
        <v/>
      </c>
      <c r="AC56" s="7" t="n">
        <v>0</v>
      </c>
      <c r="AD56" s="6">
        <f>$T56*AC56</f>
        <v/>
      </c>
      <c r="AE56" s="7" t="n">
        <v>0</v>
      </c>
      <c r="AF56" s="6">
        <f>$T56*AE56</f>
        <v/>
      </c>
      <c r="AG56" s="7" t="n">
        <v>0</v>
      </c>
      <c r="AH56" s="6">
        <f>$T56*AG56</f>
        <v/>
      </c>
      <c r="AI56" s="7">
        <f>U56+W56+Y56+AA56+AC56+AE56+AG56</f>
        <v/>
      </c>
      <c r="AJ56" s="6">
        <f>V56+X56+Z56+AB56+AD56+AF56+AH56</f>
        <v/>
      </c>
    </row>
    <row r="57" ht="60" customHeight="1" s="46">
      <c r="A57" s="3" t="inlineStr">
        <is>
          <t>PA.ARC.06</t>
        </is>
      </c>
      <c r="B57" s="4" t="inlineStr">
        <is>
          <t>4/4</t>
        </is>
      </c>
      <c r="C57" s="3" t="inlineStr">
        <is>
          <t>EDILE</t>
        </is>
      </c>
      <c r="D57" s="4" t="inlineStr">
        <is>
          <t>NON SPECIALE</t>
        </is>
      </c>
      <c r="E57" s="4" t="inlineStr">
        <is>
          <t>EDILI</t>
        </is>
      </c>
      <c r="F57" s="3" t="inlineStr">
        <is>
          <t>1_2025.11.20_CME REV07.PDF</t>
        </is>
      </c>
      <c r="G57" s="4" t="inlineStr">
        <is>
          <t>64</t>
        </is>
      </c>
      <c r="H57" s="3" t="inlineStr">
        <is>
          <t>30 - STRUTTURALE</t>
        </is>
      </c>
      <c r="I57" s="3" t="inlineStr">
        <is>
          <t>NUOVI LABORATORI</t>
        </is>
      </c>
      <c r="J57" s="3" t="inlineStr">
        <is>
          <t>OPERE PREFABBRICATE</t>
        </is>
      </c>
      <c r="K57" s="3" t="inlineStr">
        <is>
          <t xml:space="preserve">LASTRA PREFABBRICATA IN GESSO CARTONATO. FORNITURA E POSA IN OPERA DI LASTRA PREFABBRICATA IN GESSO CARTONATO DI SPESSORE VARIABILE, PER LA REALIZZAZIONE DI PARETI, CONTROPARETI E CONTROSOFFITTI ALL' </t>
        </is>
      </c>
      <c r="L57"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IDROREPELLENTE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07.04.0050.012</t>
        </is>
      </c>
      <c r="M57" s="4" t="inlineStr">
        <is>
          <t>MQ</t>
        </is>
      </c>
      <c r="N57" s="5" t="n">
        <v>19.76</v>
      </c>
      <c r="O57" s="45" t="n">
        <v>9.449999999999999</v>
      </c>
      <c r="P57" s="45" t="n">
        <v>186.732</v>
      </c>
      <c r="Q57" s="5" t="n"/>
      <c r="R57" s="6" t="n"/>
      <c r="S57" s="6">
        <f>IF(AND(Q57&lt;&gt;"",R57&lt;&gt;""),Q57*R57,"")</f>
        <v/>
      </c>
      <c r="T57" s="45">
        <f>IF(S57="",P57,S57)</f>
        <v/>
      </c>
      <c r="U57" s="7" t="n">
        <v>0</v>
      </c>
      <c r="V57" s="6">
        <f>$T57*U57</f>
        <v/>
      </c>
      <c r="W57" s="7" t="n">
        <v>0.3</v>
      </c>
      <c r="X57" s="6">
        <f>$T57*W57</f>
        <v/>
      </c>
      <c r="Y57" s="7" t="n">
        <v>0</v>
      </c>
      <c r="Z57" s="6">
        <f>$T57*Y57</f>
        <v/>
      </c>
      <c r="AA57" s="7" t="n">
        <v>0</v>
      </c>
      <c r="AB57" s="6">
        <f>$T57*AA57</f>
        <v/>
      </c>
      <c r="AC57" s="7" t="n">
        <v>0</v>
      </c>
      <c r="AD57" s="6">
        <f>$T57*AC57</f>
        <v/>
      </c>
      <c r="AE57" s="7" t="n">
        <v>0</v>
      </c>
      <c r="AF57" s="6">
        <f>$T57*AE57</f>
        <v/>
      </c>
      <c r="AG57" s="7" t="n">
        <v>0</v>
      </c>
      <c r="AH57" s="6">
        <f>$T57*AG57</f>
        <v/>
      </c>
      <c r="AI57" s="7">
        <f>U57+W57+Y57+AA57+AC57+AE57+AG57</f>
        <v/>
      </c>
      <c r="AJ57" s="6">
        <f>V57+X57+Z57+AB57+AD57+AF57+AH57</f>
        <v/>
      </c>
    </row>
    <row r="58" ht="60" customHeight="1" s="46">
      <c r="A58" s="3" t="inlineStr">
        <is>
          <t>LOM241.OC.EEA.A02.C0102.ZB009.0090</t>
        </is>
      </c>
      <c r="B58" s="4" t="inlineStr">
        <is>
          <t>1/2</t>
        </is>
      </c>
      <c r="C58" s="3" t="inlineStr">
        <is>
          <t>EDILE</t>
        </is>
      </c>
      <c r="D58" s="4" t="inlineStr">
        <is>
          <t>NON SPECIALE</t>
        </is>
      </c>
      <c r="E58" s="4" t="inlineStr">
        <is>
          <t>EDILI</t>
        </is>
      </c>
      <c r="F58" s="3" t="inlineStr">
        <is>
          <t>1_2025.11.20_CME REV07.PDF</t>
        </is>
      </c>
      <c r="G58" s="4" t="inlineStr">
        <is>
          <t>65</t>
        </is>
      </c>
      <c r="H58" s="3" t="inlineStr">
        <is>
          <t>30 - STRUTTURALE</t>
        </is>
      </c>
      <c r="I58" s="3" t="inlineStr">
        <is>
          <t>NUOVI LABORATORI</t>
        </is>
      </c>
      <c r="J58" s="3" t="inlineStr">
        <is>
          <t>OPERE IN C.A.</t>
        </is>
      </c>
      <c r="K58" s="3" t="inlineStr">
        <is>
          <t xml:space="preserve">OPERA: STRATO DI MURATURA, LASTRE DI MATERIALE MIX GESSO-CARTONE; FINITURA: RIVESTITO; FUNZIONE: CONTROPARETE. </t>
        </is>
      </c>
      <c r="L58" s="3" t="inlineStr">
        <is>
          <t>OPERA: STRATO DI MURATURA, LASTRE DI MATERIALE MIX GESSO-CARTONE; FINITURA: RIVESTITO; FUNZIONE: CONTROPARETE. 
LAVORO: POSA. INCLUSO: RASATURA GIUNTI; ASSISTENZA MURARIA FORNITA DA IMPRESA. 
SPECIFICHE TECNICHE: LASTRA APPLICATA DIRETTAMENTE A PARETE CON INCOLLAGGI IN GESSO. 
COMPONENTI: 
OP1 OPERA: STRATO DI MURATURA, LASTRE DI MATERIALE MIX GESSO-CARTONE; FINITURA: RIVESTITO; FUNZIONE: CONTROPARETE. 
RM2 LASTRA DI GESSO GENERICO; FINITURA: RIVESTITO; FUNZIONE: DIVISORIA; IMPIEGO: MURATURE; SPESSORE [MM] = 13; REAZIONE AL FUOCO [CLASSE] = 1 
RM2 ADESIVO DI GESSO GENERICO; GEOMETRIA/FORMA/ASPETTO: POLVERE; FUNZIONE: SIGILLANTE; IMPIEGO: LASTRE 
RM2 PREMISCELATO DI MATERIALE GENERICO; GEOMETRIA/FORMA/ASPETTO: PASTA; FUNZIONE: STUCCATURA; IMPIEGO: MURATURE INTERNE | LEGNO; PESO SPECIFICO [KG/L] = 1,75 
SPECIFICHE TECNICHE: RESINE IN DISPERSIONE ACQUOSA 
RM2 NASTRO DI FIBRA SINTETICA DI VETRO; FUNZIONE: COPRIGIUNTI; IMPIEGO: MURATURE | PARETI DIVISORIE 
LV1 LAVORO: POSA. INCLUSO: RASATURA GIUNTI; ASSISTENZA MURARIA FORNITA DA IMPRESA. 
SPECIFICHE TECNICHE: LASTRA APPLICATA DIRETTAMENTE A PARETE CON INCOLLAGGI IN GESSO.</t>
        </is>
      </c>
      <c r="M58" s="4" t="inlineStr">
        <is>
          <t>M²</t>
        </is>
      </c>
      <c r="N58" s="5" t="n">
        <v>128.22</v>
      </c>
      <c r="O58" s="45" t="n">
        <v>25.82</v>
      </c>
      <c r="P58" s="45" t="n">
        <v>3310.6404</v>
      </c>
      <c r="Q58" s="5" t="n"/>
      <c r="R58" s="6" t="n"/>
      <c r="S58" s="6">
        <f>IF(AND(Q58&lt;&gt;"",R58&lt;&gt;""),Q58*R58,"")</f>
        <v/>
      </c>
      <c r="T58" s="45">
        <f>IF(S58="",P58,S58)</f>
        <v/>
      </c>
      <c r="U58" s="7" t="n">
        <v>0</v>
      </c>
      <c r="V58" s="6">
        <f>$T58*U58</f>
        <v/>
      </c>
      <c r="W58" s="7" t="n">
        <v>0.4</v>
      </c>
      <c r="X58" s="6">
        <f>$T58*W58</f>
        <v/>
      </c>
      <c r="Y58" s="7" t="n">
        <v>0</v>
      </c>
      <c r="Z58" s="6">
        <f>$T58*Y58</f>
        <v/>
      </c>
      <c r="AA58" s="7" t="n">
        <v>0</v>
      </c>
      <c r="AB58" s="6">
        <f>$T58*AA58</f>
        <v/>
      </c>
      <c r="AC58" s="7" t="n">
        <v>0</v>
      </c>
      <c r="AD58" s="6">
        <f>$T58*AC58</f>
        <v/>
      </c>
      <c r="AE58" s="7" t="n">
        <v>0</v>
      </c>
      <c r="AF58" s="6">
        <f>$T58*AE58</f>
        <v/>
      </c>
      <c r="AG58" s="7" t="n">
        <v>0</v>
      </c>
      <c r="AH58" s="6">
        <f>$T58*AG58</f>
        <v/>
      </c>
      <c r="AI58" s="7">
        <f>U58+W58+Y58+AA58+AC58+AE58+AG58</f>
        <v/>
      </c>
      <c r="AJ58" s="6">
        <f>V58+X58+Z58+AB58+AD58+AF58+AH58</f>
        <v/>
      </c>
    </row>
    <row r="59" hidden="1" ht="60" customHeight="1" s="46">
      <c r="A59" s="3" t="inlineStr">
        <is>
          <t>LOM241.OC.EEA.A02.C3305.QA000.0010</t>
        </is>
      </c>
      <c r="B59" s="4" t="inlineStr">
        <is>
          <t>1/1</t>
        </is>
      </c>
      <c r="C59" s="3" t="inlineStr">
        <is>
          <t>EDILE</t>
        </is>
      </c>
      <c r="D59" s="4" t="inlineStr">
        <is>
          <t>NON SPECIALE</t>
        </is>
      </c>
      <c r="E59" s="4" t="inlineStr">
        <is>
          <t>EDILI</t>
        </is>
      </c>
      <c r="F59" s="3" t="inlineStr">
        <is>
          <t>1_2025.11.20_CME REV07.PDF</t>
        </is>
      </c>
      <c r="G59" s="4" t="inlineStr">
        <is>
          <t>71</t>
        </is>
      </c>
      <c r="H59" s="3" t="inlineStr">
        <is>
          <t>30 - STRUTTURALE</t>
        </is>
      </c>
      <c r="I59" s="3" t="inlineStr">
        <is>
          <t>NUOVI LABORATORI</t>
        </is>
      </c>
      <c r="J59" s="3" t="inlineStr">
        <is>
          <t>OPERE IN C.A.</t>
        </is>
      </c>
      <c r="K59" s="3" t="inlineStr">
        <is>
          <t>OPERA: SISTEMA PORTA, A BATTENTE DI LEGNO NATURALE GENERICO; FINITURA: VERNICIATA | MEDIUM DENSITY | LACCATO; GEOMETRIA/FORMA/ASPETTO: UN BATTENTE; FUNZIONE: CHIUSURA INTERNA; LARGHEZZA [CM] = 60/65/7</t>
        </is>
      </c>
      <c r="L59" s="3" t="inlineStr">
        <is>
          <t>OPERA: SISTEMA PORTA, A BATTENTE DI LEGNO NATURALE GENERICO; FINITURA: VERNICIATA | MEDIUM DENSITY | LACCATO; GEOMETRIA/FORMA/ASPETTO: UN BATTENTE; FUNZIONE: CHIUSURA INTERNA; LARGHEZZA [CM] = 60/65/70/75/80/85/90. 
LAVORO: POSA. INCLUSO: PULIZIA; ALLONTANAMENTO MATERIALI DI RISULTA. ESCLUSO: ASSISTENZA MURARIA PER MOVIMENTAZIONI. 
SPECIFICHE TECNICHE: FINITURA CON MANO DI FONDO E VERNICIATURA CON LACCHE POLIURETANICHE. 
COMPONENTI: 
OP1 OPERA: SISTEMA PORTA, A BATTENTE DI LEGNO NATURALE GENERICO; FINITURA: VERNICIATA | MEDIUM DENSITY | LACCATO; GEOMETRIA/FORMA/ASPETTO: UN BATTENTE; FUNZIONE: CHIUSURA INTERNA; LARGHEZZA [CM] = 60/65/70/75/80/85/90. 
SPECIFICHE TECNICHE: FINITURA CON MANO DI FONDO E VERNICIATURA CON LACCHE POLIURETANICHE. 
RM2 PORTA A BATTENTE DI LEGNO NATURALE GENERICO; FINITURA: LACCATA; GEOMETRIA/FORMA/ASPETTO: SINGOLA ANTA; FUNZIONE: DISTRIBUZIONE; IMPIEGO: INTERNO; LARGHEZZA [CM] = 60 ÷ 90 | ALTEZZA [CM] = 210 ÷ 220 
SPECIFICHE TECNICHE: FINITURA CON MANO DI FONDO E VERNICIATURA CON LACCHE POLIURETANICHE 
LV1 LAVORO: POSA. INCLUSO: PULIZIA; ALLONTANAMENTO MATERIALI DI RISULTA. ESCLUSO: ASSISTENZA MURARIA PER MOVIMENTAZIONI.</t>
        </is>
      </c>
      <c r="M59" s="4" t="inlineStr">
        <is>
          <t>CAD</t>
        </is>
      </c>
      <c r="N59" s="5" t="n">
        <v>-1</v>
      </c>
      <c r="O59" s="45" t="n">
        <v>615.96</v>
      </c>
      <c r="P59" s="45" t="n">
        <v>-615.96</v>
      </c>
      <c r="Q59" s="5" t="n"/>
      <c r="R59" s="6" t="n"/>
      <c r="S59" s="6">
        <f>IF(AND(Q59&lt;&gt;"",R59&lt;&gt;""),Q59*R59,"")</f>
        <v/>
      </c>
      <c r="T59" s="45">
        <f>IF(S59="",P59,S59)</f>
        <v/>
      </c>
      <c r="U59" s="7" t="n">
        <v>0</v>
      </c>
      <c r="V59" s="6">
        <f>$T59*U59</f>
        <v/>
      </c>
      <c r="W59" s="7" t="n">
        <v>0</v>
      </c>
      <c r="X59" s="6">
        <f>$T59*W59</f>
        <v/>
      </c>
      <c r="Y59" s="7" t="n">
        <v>0</v>
      </c>
      <c r="Z59" s="6">
        <f>$T59*Y59</f>
        <v/>
      </c>
      <c r="AA59" s="7" t="n">
        <v>0</v>
      </c>
      <c r="AB59" s="6">
        <f>$T59*AA59</f>
        <v/>
      </c>
      <c r="AC59" s="7" t="n">
        <v>0</v>
      </c>
      <c r="AD59" s="6">
        <f>$T59*AC59</f>
        <v/>
      </c>
      <c r="AE59" s="7" t="n">
        <v>0</v>
      </c>
      <c r="AF59" s="6">
        <f>$T59*AE59</f>
        <v/>
      </c>
      <c r="AG59" s="7" t="n">
        <v>0</v>
      </c>
      <c r="AH59" s="6">
        <f>$T59*AG59</f>
        <v/>
      </c>
      <c r="AI59" s="7">
        <f>U59+W59+Y59+AA59+AC59+AE59+AG59</f>
        <v/>
      </c>
      <c r="AJ59" s="6">
        <f>V59+X59+Z59+AB59+AD59+AF59+AH59</f>
        <v/>
      </c>
    </row>
    <row r="60" hidden="1" ht="60" customHeight="1" s="46">
      <c r="A60" s="3" t="inlineStr">
        <is>
          <t>LOM241.OC.EEA.A02.C3320.QB002.0000</t>
        </is>
      </c>
      <c r="B60" s="4" t="inlineStr">
        <is>
          <t>1/1</t>
        </is>
      </c>
      <c r="C60" s="3" t="inlineStr">
        <is>
          <t>EDILE</t>
        </is>
      </c>
      <c r="D60" s="4" t="inlineStr">
        <is>
          <t>NON SPECIALE</t>
        </is>
      </c>
      <c r="E60" s="4" t="inlineStr">
        <is>
          <t>EDILI</t>
        </is>
      </c>
      <c r="F60" s="3" t="inlineStr">
        <is>
          <t>1_2025.11.20_CME REV07.PDF</t>
        </is>
      </c>
      <c r="G60" s="4" t="inlineStr">
        <is>
          <t>72</t>
        </is>
      </c>
      <c r="H60" s="3" t="inlineStr">
        <is>
          <t>30 - STRUTTURALE</t>
        </is>
      </c>
      <c r="I60" s="3" t="inlineStr">
        <is>
          <t>NUOVI LABORATORI</t>
        </is>
      </c>
      <c r="J60" s="3" t="inlineStr">
        <is>
          <t>OPERE IN C.A.</t>
        </is>
      </c>
      <c r="K60" s="3" t="inlineStr">
        <is>
          <t xml:space="preserve">OPERA: IMPENNATA, PLURI ANTA DI LEGNO ARTIFICIALE MEDIUM DENSITY FIBERBOARD (MDF); FINITURA: VERNICIATA | LACCATA. INCLUSO: SOPRALUCE. </t>
        </is>
      </c>
      <c r="L60" s="3" t="inlineStr">
        <is>
          <t>OPERA: IMPENNATA, PLURI ANTA DI LEGNO ARTIFICIALE MEDIUM DENSITY FIBERBOARD (MDF); FINITURA: VERNICIATA | LACCATA. INCLUSO: SOPRALUCE. 
LAVORO: POSA. INCLUSO: ASSISTENZA MURARIA PER MOVIMENTAZIONI, PULIZIA ED ALLONTANAMENTO MATERIALI DI RISULTA. ESCLUSO: FORNITURA E POSA VETRI. 
COMPONENTI: 
OP1 OPERA: IMPENNATA, PLURI ANTA DI LEGNO ARTIFICIALE MEDIUM DENSITY FIBERBOARD (MDF); FINITURA: VERNICIATA | LACCATA. INCLUSO: SOPRALUCE. 
RM2 PORTONCINO A BATTENTE DI LEGNO NATURALE GENERICO; FINITURA: LACCATO COLORI BASE LUCIDO/OPACO; GEOMETRIA/FORMA/ASPETTO: SINGOLA ANTA; FUNZIONE: INGRESSO 
SPECIFICHE TECNICHE: FINITURA CON MANO DI FONDO E VERNICIATURA CON LACCHE POLIURETANICHE 
LV1 LAVORO: POSA. INCLUSO: ASSISTENZA MURARIA PER MOVIMENTAZIONI, PULIZIA ED ALLONTANAMENTO MATERIALI DI RISULTA. ESCLUSO: FORNITURA E POSA VETRI.</t>
        </is>
      </c>
      <c r="M60" s="4" t="inlineStr">
        <is>
          <t>M²</t>
        </is>
      </c>
      <c r="N60" s="5" t="n">
        <v>3.24</v>
      </c>
      <c r="O60" s="45" t="n">
        <v>336.82</v>
      </c>
      <c r="P60" s="45" t="n">
        <v>1091.2968</v>
      </c>
      <c r="Q60" s="5" t="n"/>
      <c r="R60" s="6" t="n"/>
      <c r="S60" s="6">
        <f>IF(AND(Q60&lt;&gt;"",R60&lt;&gt;""),Q60*R60,"")</f>
        <v/>
      </c>
      <c r="T60" s="45">
        <f>IF(S60="",P60,S60)</f>
        <v/>
      </c>
      <c r="U60" s="7" t="n">
        <v>0</v>
      </c>
      <c r="V60" s="6">
        <f>$T60*U60</f>
        <v/>
      </c>
      <c r="W60" s="7" t="n">
        <v>0</v>
      </c>
      <c r="X60" s="6">
        <f>$T60*W60</f>
        <v/>
      </c>
      <c r="Y60" s="7" t="n">
        <v>0</v>
      </c>
      <c r="Z60" s="6">
        <f>$T60*Y60</f>
        <v/>
      </c>
      <c r="AA60" s="7" t="n">
        <v>0</v>
      </c>
      <c r="AB60" s="6">
        <f>$T60*AA60</f>
        <v/>
      </c>
      <c r="AC60" s="7" t="n">
        <v>0</v>
      </c>
      <c r="AD60" s="6">
        <f>$T60*AC60</f>
        <v/>
      </c>
      <c r="AE60" s="7" t="n">
        <v>0</v>
      </c>
      <c r="AF60" s="6">
        <f>$T60*AE60</f>
        <v/>
      </c>
      <c r="AG60" s="7" t="n">
        <v>0</v>
      </c>
      <c r="AH60" s="6">
        <f>$T60*AG60</f>
        <v/>
      </c>
      <c r="AI60" s="7">
        <f>U60+W60+Y60+AA60+AC60+AE60+AG60</f>
        <v/>
      </c>
      <c r="AJ60" s="6">
        <f>V60+X60+Z60+AB60+AD60+AF60+AH60</f>
        <v/>
      </c>
    </row>
    <row r="61" hidden="1" ht="60" customHeight="1" s="46">
      <c r="A61" s="3" t="inlineStr">
        <is>
          <t>LOM241.OC.EEA.A02.C3305.SB001.0035</t>
        </is>
      </c>
      <c r="B61" s="4" t="inlineStr">
        <is>
          <t>1/1</t>
        </is>
      </c>
      <c r="C61" s="3" t="inlineStr">
        <is>
          <t>EDILE</t>
        </is>
      </c>
      <c r="D61" s="4" t="inlineStr">
        <is>
          <t>NON SPECIALE</t>
        </is>
      </c>
      <c r="E61" s="4" t="inlineStr">
        <is>
          <t>EDILI</t>
        </is>
      </c>
      <c r="F61" s="3" t="inlineStr">
        <is>
          <t>1_2025.11.20_CME REV07.PDF</t>
        </is>
      </c>
      <c r="G61" s="4" t="inlineStr">
        <is>
          <t>73</t>
        </is>
      </c>
      <c r="H61" s="3" t="inlineStr">
        <is>
          <t>30 - STRUTTURALE</t>
        </is>
      </c>
      <c r="I61" s="3" t="inlineStr">
        <is>
          <t>NUOVI LABORATORI</t>
        </is>
      </c>
      <c r="J61" s="3" t="inlineStr">
        <is>
          <t>OPERE IN C.A.</t>
        </is>
      </c>
      <c r="K61" s="3" t="inlineStr">
        <is>
          <t xml:space="preserve">OPERA: SISTEMA PORTA, A BATTENTE DI LEGA FERROSA ACCIAIO GENERICO; GEOMETRIA/FORMA/ASPETTO: DUE BATTENTI; FUNZIONE: TAGLIAFUOCO; LARGHEZZA PASSAGGIO [CM] = 180; RESISTENZA AL FUOCO [CLASSE] = REI 60. </t>
        </is>
      </c>
      <c r="L61" s="3" t="inlineStr">
        <is>
          <t>OPERA: SISTEMA PORTA, A BATTENTE DI LEGA FERROSA ACCIAIO GENERICO; GEOMETRIA/FORMA/ASPETTO: DUE BATTENTI; FUNZIONE: TAGLIAFUOCO; LARGHEZZA PASSAGGIO [CM] = 180; RESISTENZA AL FUOCO [CLASSE] = REI 60. 
LAVORO: POSA. 
COMPONENTI: 
OP1 OPERA: SISTEMA PORTA, A BATTENTE DI LEGA FERROSA ACCIAIO GENERICO; GEOMETRIA/FORMA/ASPETTO: DUE BATTENTI; FUNZIONE: TAGLIAFUOCO; LARGHEZZA PASSAGGIO [CM] = 180; RESISTENZA AL FUOCO [CLASSE] = REI 60. 
RM2 PORTA A BATTENTE DI LEGA FERROSA ACCIAIO ZINCATO; FINITURA: VERNICIATA; GEOMETRIA/FORMA/ASPETTO: DOPPIA ANTA; FUNZIONE: ANTINCENDIO; LARGHEZZA [CM] = 180 | ALTEZZA [CM] = 200 ÷ 210; RESISTENZA AL FUOCO [CLASSE] = REI 60 
SPECIFICHE TECNICHE: MISURE INDICATIVE SECONDO PRODUZIONE DI SERIE CON POSSIBILITA DI PRODUZIONE DI MISURE SPECIALI A RICHIESTA 
LV1 LAVORO: POSA.</t>
        </is>
      </c>
      <c r="M61" s="4" t="inlineStr">
        <is>
          <t>CAD</t>
        </is>
      </c>
      <c r="N61" s="5" t="n">
        <v>1</v>
      </c>
      <c r="O61" s="45" t="n">
        <v>748.64</v>
      </c>
      <c r="P61" s="45" t="n">
        <v>748.64</v>
      </c>
      <c r="Q61" s="5" t="n"/>
      <c r="R61" s="6" t="n"/>
      <c r="S61" s="6">
        <f>IF(AND(Q61&lt;&gt;"",R61&lt;&gt;""),Q61*R61,"")</f>
        <v/>
      </c>
      <c r="T61" s="45">
        <f>IF(S61="",P61,S61)</f>
        <v/>
      </c>
      <c r="U61" s="7" t="n">
        <v>0</v>
      </c>
      <c r="V61" s="6">
        <f>$T61*U61</f>
        <v/>
      </c>
      <c r="W61" s="7" t="n">
        <v>0</v>
      </c>
      <c r="X61" s="6">
        <f>$T61*W61</f>
        <v/>
      </c>
      <c r="Y61" s="7" t="n">
        <v>0</v>
      </c>
      <c r="Z61" s="6">
        <f>$T61*Y61</f>
        <v/>
      </c>
      <c r="AA61" s="7" t="n">
        <v>0</v>
      </c>
      <c r="AB61" s="6">
        <f>$T61*AA61</f>
        <v/>
      </c>
      <c r="AC61" s="7" t="n">
        <v>0</v>
      </c>
      <c r="AD61" s="6">
        <f>$T61*AC61</f>
        <v/>
      </c>
      <c r="AE61" s="7" t="n">
        <v>0</v>
      </c>
      <c r="AF61" s="6">
        <f>$T61*AE61</f>
        <v/>
      </c>
      <c r="AG61" s="7" t="n">
        <v>0</v>
      </c>
      <c r="AH61" s="6">
        <f>$T61*AG61</f>
        <v/>
      </c>
      <c r="AI61" s="7">
        <f>U61+W61+Y61+AA61+AC61+AE61+AG61</f>
        <v/>
      </c>
      <c r="AJ61" s="6">
        <f>V61+X61+Z61+AB61+AD61+AF61+AH61</f>
        <v/>
      </c>
    </row>
    <row r="62" hidden="1" ht="60" customHeight="1" s="46">
      <c r="A62" s="3" t="inlineStr">
        <is>
          <t>LOM241.OC.EEA.A02.C3335.T0006.0255</t>
        </is>
      </c>
      <c r="B62" s="4" t="inlineStr">
        <is>
          <t>1/2</t>
        </is>
      </c>
      <c r="C62" s="3" t="inlineStr">
        <is>
          <t>EDILE</t>
        </is>
      </c>
      <c r="D62" s="4" t="inlineStr">
        <is>
          <t>NON SPECIALE</t>
        </is>
      </c>
      <c r="E62" s="4" t="inlineStr">
        <is>
          <t>EDILI</t>
        </is>
      </c>
      <c r="F62" s="3" t="inlineStr">
        <is>
          <t>1_2025.11.20_CME REV07.PDF</t>
        </is>
      </c>
      <c r="G62" s="4" t="inlineStr">
        <is>
          <t>76</t>
        </is>
      </c>
      <c r="H62" s="3" t="inlineStr">
        <is>
          <t>30 - STRUTTURALE</t>
        </is>
      </c>
      <c r="I62" s="3" t="inlineStr">
        <is>
          <t>NUOVI LABORATORI</t>
        </is>
      </c>
      <c r="J62" s="3" t="inlineStr">
        <is>
          <t>OPERE IN C.A.</t>
        </is>
      </c>
      <c r="K62" s="3" t="inlineStr">
        <is>
          <t xml:space="preserve">OPERA: VETRATURA, CRISTALLI STRATIFICATI DI VETRO CRISTALLO; FUNZIONE: SICUREZZA. </t>
        </is>
      </c>
      <c r="L62" s="3" t="inlineStr">
        <is>
          <t>OPERA: VETRATURA, CRISTALLI STRATIFICATI DI VETRO CRISTALLO; FUNZIONE: SICUREZZA. 
LAVORO: POSA. 
COMPONENTI: 
OP1 OPERA: VETRATURA, CRISTALLI STRATIFICATI DI VETRO CRISTALLO; FUNZIONE: SICUREZZA. 
RM2 VETRATURA FLOAT STRATIFICATO DI VETRO CRISTALLO; FUNZIONE: SICUREZZA; SPESSORE [MM] = 44,1. INCLUSO: STRATO DI PVB 0,38 
RM2 SIGILLANTE DI RESINA SINTETICA SILICONICA; FUNZIONE: SIGILLATURA; FORNITURA: CARTUCCE 
SPECIFICHE TECNICHE: CARTUCCE DA 310 ML 
LV1 LAVORO: POSA.</t>
        </is>
      </c>
      <c r="M62" s="4" t="inlineStr">
        <is>
          <t>M²</t>
        </is>
      </c>
      <c r="N62" s="5" t="n">
        <v>31.54</v>
      </c>
      <c r="O62" s="45" t="n">
        <v>0</v>
      </c>
      <c r="P62" s="45" t="n">
        <v>0</v>
      </c>
      <c r="Q62" s="5" t="n"/>
      <c r="R62" s="6" t="n"/>
      <c r="S62" s="6">
        <f>IF(AND(Q62&lt;&gt;"",R62&lt;&gt;""),Q62*R62,"")</f>
        <v/>
      </c>
      <c r="T62" s="45">
        <f>IF(S62="",P62,S62)</f>
        <v/>
      </c>
      <c r="U62" s="7" t="n">
        <v>0</v>
      </c>
      <c r="V62" s="6">
        <f>$T62*U62</f>
        <v/>
      </c>
      <c r="W62" s="7" t="n">
        <v>0</v>
      </c>
      <c r="X62" s="6">
        <f>$T62*W62</f>
        <v/>
      </c>
      <c r="Y62" s="7" t="n">
        <v>0</v>
      </c>
      <c r="Z62" s="6">
        <f>$T62*Y62</f>
        <v/>
      </c>
      <c r="AA62" s="7" t="n">
        <v>0</v>
      </c>
      <c r="AB62" s="6">
        <f>$T62*AA62</f>
        <v/>
      </c>
      <c r="AC62" s="7" t="n">
        <v>0</v>
      </c>
      <c r="AD62" s="6">
        <f>$T62*AC62</f>
        <v/>
      </c>
      <c r="AE62" s="7" t="n">
        <v>0</v>
      </c>
      <c r="AF62" s="6">
        <f>$T62*AE62</f>
        <v/>
      </c>
      <c r="AG62" s="7" t="n">
        <v>0</v>
      </c>
      <c r="AH62" s="6">
        <f>$T62*AG62</f>
        <v/>
      </c>
      <c r="AI62" s="7">
        <f>U62+W62+Y62+AA62+AC62+AE62+AG62</f>
        <v/>
      </c>
      <c r="AJ62" s="6">
        <f>V62+X62+Z62+AB62+AD62+AF62+AH62</f>
        <v/>
      </c>
    </row>
    <row r="63" ht="60" customHeight="1" s="46">
      <c r="A63" s="3" t="inlineStr">
        <is>
          <t>LOM241.OC.EEA.A02.C3340.D0000.0165</t>
        </is>
      </c>
      <c r="B63" s="4" t="inlineStr">
        <is>
          <t>1/2</t>
        </is>
      </c>
      <c r="C63" s="3" t="inlineStr">
        <is>
          <t>EDILE</t>
        </is>
      </c>
      <c r="D63" s="4" t="inlineStr">
        <is>
          <t>NON SPECIALE</t>
        </is>
      </c>
      <c r="E63" s="4" t="inlineStr">
        <is>
          <t>EDILI</t>
        </is>
      </c>
      <c r="F63" s="3" t="inlineStr">
        <is>
          <t>1_2025.11.20_CME REV07.PDF</t>
        </is>
      </c>
      <c r="G63" s="4" t="inlineStr">
        <is>
          <t>78</t>
        </is>
      </c>
      <c r="H63" s="3" t="inlineStr">
        <is>
          <t>30 - STRUTTURALE</t>
        </is>
      </c>
      <c r="I63" s="3" t="inlineStr">
        <is>
          <t>NUOVI LABORATORI</t>
        </is>
      </c>
      <c r="J63" s="3" t="inlineStr">
        <is>
          <t>OPERE IN C.A.</t>
        </is>
      </c>
      <c r="K63" s="3" t="inlineStr">
        <is>
          <t xml:space="preserve">OPERA: LUCERNARIO, AUTOPORTANTE DI PLASTICA GENERICO; FINITURA: TRASPARENTE | OPALE; IMPIEGO: STRATO DI COPERTURA; LATO INTERNO X [CM] = 160 | LATO INTERNO Y [CM] = 160 | SPESSORE VETRO [MM] = 7. </t>
        </is>
      </c>
      <c r="L63" s="3" t="inlineStr">
        <is>
          <t>OPERA: LUCERNARIO, AUTOPORTANTE DI PLASTICA GENERICO; FINITURA: TRASPARENTE | OPALE; IMPIEGO: STRATO DI COPERTURA; LATO INTERNO X [CM] = 160 | LATO INTERNO Y [CM] = 160 | SPESSORE VETRO [MM] = 7. 
LAVORO: POSA. ESCLUSO: PREDISPOSIZIONE BASE; ASSISTENZE MURARIE. 
SPECIFICHE TECNICHE: SPESSORE LASTRE [MM] = 4 + 3 CON VETROCAMERA, POSA IN POSTAZIONE NON APRIBILE; FISSAGGIO ALLA BASE IN MURATURA, METALLICA O PREFABBRICATA VTR, CON MORSETTI E GUARNIZIONE DI TENUTA. 
COMPONENTI: 
OP1 OPERA: LUCERNARIO, AUTOPORTANTE DI PLASTICA GENERICO; FINITURA: TRASPARENTE | OPALE; IMPIEGO: STRATO DI COPERTURA; LATO INTERNO X [CM] = 160 | LATO INTERNO Y [CM] = 160 | SPESSORE VETRO [MM] = 7. 
SPECIFICHE TECNICHE: SPESSORE LASTRE [MM] = 4 + 3 CON VETROCAMERA. 
RM2 MONOBLOCCO LUCERNARIO FISSO DI PLASTICA GENERICO; FINITURA: TRASPARENTE | OPALE; GEOMETRIA/FORMA/ASPETTO: CUPOLA QUADRATA | A PARETE DOPPIA; IMPIEGO: COPERTURA; DIMENSIONE (X) [CM] = 160 | DIMENSIONE (Y) [CM] = 160 | SPESSORE [MM] = 4+3. INCLUSO: ACCESSORI DI FISSAGGIO (MORSETTI | GUARNIZIONI) 
SPECIFICHE TECNICHE: MORSETTI E GUARNIZIONI DI TENUTA PER FISSARE L'ELEMENTO SENZA FORARLO 
LV1 LAVORO: POSA. ESCLUSO: PREDISPOSIZIONE BASE; ASSISTENZE MURARIE. 
SPECIFICHE TECNICHE: POSA IN POSTAZIONE NON APRIBILE; FISSAGGIO ALLA BASE IN MURATURA, METALLICA O PREFABBRICATA VTR, CON MORSETTI E GUARNIZIONE DI TENUTA.</t>
        </is>
      </c>
      <c r="M63" s="4" t="inlineStr">
        <is>
          <t>CAD</t>
        </is>
      </c>
      <c r="N63" s="5" t="n">
        <v>1</v>
      </c>
      <c r="O63" s="45" t="n">
        <v>3526.65</v>
      </c>
      <c r="P63" s="45" t="n">
        <v>3526.65</v>
      </c>
      <c r="Q63" s="5" t="n"/>
      <c r="R63" s="6" t="n"/>
      <c r="S63" s="6">
        <f>IF(AND(Q63&lt;&gt;"",R63&lt;&gt;""),Q63*R63,"")</f>
        <v/>
      </c>
      <c r="T63" s="45">
        <f>IF(S63="",P63,S63)</f>
        <v/>
      </c>
      <c r="U63" s="7" t="n">
        <v>0</v>
      </c>
      <c r="V63" s="6">
        <f>$T63*U63</f>
        <v/>
      </c>
      <c r="W63" s="7" t="n">
        <v>0.6</v>
      </c>
      <c r="X63" s="6">
        <f>$T63*W63</f>
        <v/>
      </c>
      <c r="Y63" s="7" t="n">
        <v>0</v>
      </c>
      <c r="Z63" s="6">
        <f>$T63*Y63</f>
        <v/>
      </c>
      <c r="AA63" s="7" t="n">
        <v>0</v>
      </c>
      <c r="AB63" s="6">
        <f>$T63*AA63</f>
        <v/>
      </c>
      <c r="AC63" s="7" t="n">
        <v>0</v>
      </c>
      <c r="AD63" s="6">
        <f>$T63*AC63</f>
        <v/>
      </c>
      <c r="AE63" s="7" t="n">
        <v>0</v>
      </c>
      <c r="AF63" s="6">
        <f>$T63*AE63</f>
        <v/>
      </c>
      <c r="AG63" s="7" t="n">
        <v>0</v>
      </c>
      <c r="AH63" s="6">
        <f>$T63*AG63</f>
        <v/>
      </c>
      <c r="AI63" s="7">
        <f>U63+W63+Y63+AA63+AC63+AE63+AG63</f>
        <v/>
      </c>
      <c r="AJ63" s="6">
        <f>V63+X63+Z63+AB63+AD63+AF63+AH63</f>
        <v/>
      </c>
    </row>
    <row r="64" hidden="1" ht="60" customHeight="1" s="46">
      <c r="A64" s="3" t="inlineStr">
        <is>
          <t>LOM241.OC.EEA.A02.C3325.SB003.0000</t>
        </is>
      </c>
      <c r="B64" s="4" t="inlineStr">
        <is>
          <t>1/3</t>
        </is>
      </c>
      <c r="C64" s="3" t="inlineStr">
        <is>
          <t>EDILE</t>
        </is>
      </c>
      <c r="D64" s="4" t="inlineStr">
        <is>
          <t>NON SPECIALE</t>
        </is>
      </c>
      <c r="E64" s="4" t="inlineStr">
        <is>
          <t>EDILI</t>
        </is>
      </c>
      <c r="F64" s="3" t="inlineStr">
        <is>
          <t>1_2025.11.20_CME REV07.PDF</t>
        </is>
      </c>
      <c r="G64" s="4" t="inlineStr">
        <is>
          <t>79</t>
        </is>
      </c>
      <c r="H64" s="3" t="inlineStr">
        <is>
          <t>30 - STRUTTURALE</t>
        </is>
      </c>
      <c r="I64" s="3" t="inlineStr">
        <is>
          <t>NUOVI LABORATORI</t>
        </is>
      </c>
      <c r="J64" s="3" t="inlineStr">
        <is>
          <t>OPERE IN C.A.</t>
        </is>
      </c>
      <c r="K64" s="3" t="inlineStr">
        <is>
          <t xml:space="preserve">OPERA: FALSO TELAIO DI LEGA FERROSA ACCIAIO ZINCATO; IMPIEGO: SERRAMENTI IN GENERE. </t>
        </is>
      </c>
      <c r="L64" s="3" t="inlineStr">
        <is>
          <t>OPERA: FALSO TELAIO DI LEGA FERROSA ACCIAIO ZINCATO; IMPIEGO: SERRAMENTI IN GENERE. 
LAVORO: POSA. INCLUSO: ASSISTENZA MURARIA. 
COMPONENTI: 
OP1 OPERA: FALSO TELAIO DI LEGA FERROSA ACCIAIO ZINCATO; IMPIEGO: SERRAMENTI IN GENERE. 
RM2 FALSO TELAIO DI LEGA FERROSA ACCIAIO ZINCATO; IMPIEGO: SERRAMENTI GENERICI. INCLUSO: ZANCHE 
PO2 PRODOTTO SEMILAVORATO: MALTA, BASTARDA IN CEMENTO GENERICO. 
LAVORO: FORMAZIONE, CON MEZZO MECCANICO. 
SPECIFICHE TECNICHE: CONFEZIONATA IN BETONIERA; DOSAGGIO PER M³: CEMENTO [KG] = 100 | CALCE EMINENTEMENTE IDRAULICA [KG] = 350. 
LV1 LAVORO: POSA. INCLUSO: ASSISTENZA MURARIA.</t>
        </is>
      </c>
      <c r="M64" s="4" t="inlineStr">
        <is>
          <t>M</t>
        </is>
      </c>
      <c r="N64" s="5" t="n">
        <v>41.9</v>
      </c>
      <c r="O64" s="45" t="n">
        <v>17.63</v>
      </c>
      <c r="P64" s="45" t="n">
        <v>738.697</v>
      </c>
      <c r="Q64" s="5" t="n"/>
      <c r="R64" s="6" t="n"/>
      <c r="S64" s="6">
        <f>IF(AND(Q64&lt;&gt;"",R64&lt;&gt;""),Q64*R64,"")</f>
        <v/>
      </c>
      <c r="T64" s="45">
        <f>IF(S64="",P64,S64)</f>
        <v/>
      </c>
      <c r="U64" s="7" t="n">
        <v>0</v>
      </c>
      <c r="V64" s="6">
        <f>$T64*U64</f>
        <v/>
      </c>
      <c r="W64" s="7" t="n">
        <v>0</v>
      </c>
      <c r="X64" s="6">
        <f>$T64*W64</f>
        <v/>
      </c>
      <c r="Y64" s="7" t="n">
        <v>0</v>
      </c>
      <c r="Z64" s="6">
        <f>$T64*Y64</f>
        <v/>
      </c>
      <c r="AA64" s="7" t="n">
        <v>0</v>
      </c>
      <c r="AB64" s="6">
        <f>$T64*AA64</f>
        <v/>
      </c>
      <c r="AC64" s="7" t="n">
        <v>0</v>
      </c>
      <c r="AD64" s="6">
        <f>$T64*AC64</f>
        <v/>
      </c>
      <c r="AE64" s="7" t="n">
        <v>0</v>
      </c>
      <c r="AF64" s="6">
        <f>$T64*AE64</f>
        <v/>
      </c>
      <c r="AG64" s="7" t="n">
        <v>0</v>
      </c>
      <c r="AH64" s="6">
        <f>$T64*AG64</f>
        <v/>
      </c>
      <c r="AI64" s="7">
        <f>U64+W64+Y64+AA64+AC64+AE64+AG64</f>
        <v/>
      </c>
      <c r="AJ64" s="6">
        <f>V64+X64+Z64+AB64+AD64+AF64+AH64</f>
        <v/>
      </c>
    </row>
    <row r="65" ht="60" customHeight="1" s="46">
      <c r="A65" s="3" t="inlineStr">
        <is>
          <t>LOM241.OC.EEA.A02.I7817.SA000.0005</t>
        </is>
      </c>
      <c r="B65" s="4" t="inlineStr">
        <is>
          <t>1/1</t>
        </is>
      </c>
      <c r="C65" s="3" t="inlineStr">
        <is>
          <t>EDILE</t>
        </is>
      </c>
      <c r="D65" s="4" t="inlineStr">
        <is>
          <t>NON SPECIALE</t>
        </is>
      </c>
      <c r="E65" s="4" t="inlineStr">
        <is>
          <t>EDILI</t>
        </is>
      </c>
      <c r="F65" s="3" t="inlineStr">
        <is>
          <t>1_2025.11.20_CME REV07.PDF</t>
        </is>
      </c>
      <c r="G65" s="4" t="inlineStr">
        <is>
          <t>82</t>
        </is>
      </c>
      <c r="H65" s="3" t="inlineStr">
        <is>
          <t>30 - STRUTTURALE</t>
        </is>
      </c>
      <c r="I65" s="3" t="inlineStr">
        <is>
          <t>NUOVI LABORATORI</t>
        </is>
      </c>
      <c r="J65" s="3" t="inlineStr">
        <is>
          <t>OPERE IN C.A.</t>
        </is>
      </c>
      <c r="K65" s="3" t="inlineStr">
        <is>
          <t xml:space="preserve">OPERA: GRONDAIA DI LEGA ALLUMINIO GENERICO; FINITURA: PREVERNICIATA; SPESSORE [MM] = 1 ÷ 1,5. INCLUSO: ACCESSORI DI FISSAGGIO; CICOGNE E TIRANTI. ESCLUSO: PEZZI SPECIALI, LATTONERIE SPECIALI. </t>
        </is>
      </c>
      <c r="L65" s="3" t="inlineStr">
        <is>
          <t>OPERA: GRONDAIA DI LEGA ALLUMINIO GENERICO; FINITURA: PREVERNICIATA; SPESSORE [MM] = 1 ÷ 1,5. INCLUSO: ACCESSORI DI FISSAGGIO; CICOGNE E TIRANTI. ESCLUSO: PEZZI SPECIALI, LATTONERIE SPECIALI. 
LAVORO: POSA. INCLUSO: SFRIDO; POSA BRACCIOLI, CONVERSE, SCOSSALINE,COPERTINE. ESCLUSO: PONTEGGI PERIMETRALI DI FACCIATA. 
SPECIFICHE TECNICHE: TUTTI LAVORATI CON SAGOME E SVILUPPI NORMALI, IN OPERA. 
COMPONENTI: 
OP1 OPERA: GRONDAIA DI LEGA ALLUMINIO GENERICO; FINITURA: PREVERNICIATA; SPESSORE [MM] = 1 ÷ 1,5. INCLUSO: ACCESSORI DI FISSAGGIO; CICOGNE E TIRANTI. ESCLUSO: PEZZI SPECIALI, LATTONERIE SPECIALI. 
RM2 TUBO DI LEGA ALLUMINIO GENERICO; FINITURA: PREVERNICIATA; GEOMETRIA/FORMA/ASPETTO: LAMIERA SAGOMATA | SEZIONE TONDA | SEZIONE QUADRATA; IMPIEGO: PLUVIALI; SPESSORE [MM] = 1 ÷ 1,5 
SPECIFICHE TECNICHE: LAVORATI CON SAGOME NORMALI, PRONTI PER LA POSA IN OPERA 
LV1 LAVORO: POSA. INCLUSO: SFRIDO; POSA BRACCIOLI, CONVERSE, SCOSSALINE,COPERTINE. ESCLUSO: PONTEGGI PERIMETRALI DI FACCIATA. 
SPECIFICHE TECNICHE: TUTTI LAVORATI CON SAGOME E SVILUPPI NORMALI, IN OPERA.</t>
        </is>
      </c>
      <c r="M65" s="4" t="inlineStr">
        <is>
          <t>KG</t>
        </is>
      </c>
      <c r="N65" s="5" t="n">
        <v>300</v>
      </c>
      <c r="O65" s="45" t="n">
        <v>37.62</v>
      </c>
      <c r="P65" s="45" t="n">
        <v>11286</v>
      </c>
      <c r="Q65" s="5" t="n"/>
      <c r="R65" s="6" t="n"/>
      <c r="S65" s="6">
        <f>IF(AND(Q65&lt;&gt;"",R65&lt;&gt;""),Q65*R65,"")</f>
        <v/>
      </c>
      <c r="T65" s="45">
        <f>IF(S65="",P65,S65)</f>
        <v/>
      </c>
      <c r="U65" s="7" t="n">
        <v>0</v>
      </c>
      <c r="V65" s="6">
        <f>$T65*U65</f>
        <v/>
      </c>
      <c r="W65" s="7" t="n">
        <v>0.5</v>
      </c>
      <c r="X65" s="6">
        <f>$T65*W65</f>
        <v/>
      </c>
      <c r="Y65" s="7" t="n">
        <v>0</v>
      </c>
      <c r="Z65" s="6">
        <f>$T65*Y65</f>
        <v/>
      </c>
      <c r="AA65" s="7" t="n">
        <v>0</v>
      </c>
      <c r="AB65" s="6">
        <f>$T65*AA65</f>
        <v/>
      </c>
      <c r="AC65" s="7" t="n">
        <v>0</v>
      </c>
      <c r="AD65" s="6">
        <f>$T65*AC65</f>
        <v/>
      </c>
      <c r="AE65" s="7" t="n">
        <v>0</v>
      </c>
      <c r="AF65" s="6">
        <f>$T65*AE65</f>
        <v/>
      </c>
      <c r="AG65" s="7" t="n">
        <v>0</v>
      </c>
      <c r="AH65" s="6">
        <f>$T65*AG65</f>
        <v/>
      </c>
      <c r="AI65" s="7">
        <f>U65+W65+Y65+AA65+AC65+AE65+AG65</f>
        <v/>
      </c>
      <c r="AJ65" s="6">
        <f>V65+X65+Z65+AB65+AD65+AF65+AH65</f>
        <v/>
      </c>
    </row>
    <row r="66" ht="60" customHeight="1" s="46">
      <c r="A66" s="3" t="inlineStr">
        <is>
          <t>LOM241.OC.EEA.A02.C3010.R0001.0250</t>
        </is>
      </c>
      <c r="B66" s="4" t="inlineStr">
        <is>
          <t>1/1</t>
        </is>
      </c>
      <c r="C66" s="3" t="inlineStr">
        <is>
          <t>EDILE</t>
        </is>
      </c>
      <c r="D66" s="4" t="inlineStr">
        <is>
          <t>NON SPECIALE</t>
        </is>
      </c>
      <c r="E66" s="4" t="inlineStr">
        <is>
          <t>EDILI</t>
        </is>
      </c>
      <c r="F66" s="3" t="inlineStr">
        <is>
          <t>1_2025.11.20_CME REV07.PDF</t>
        </is>
      </c>
      <c r="G66" s="4" t="inlineStr">
        <is>
          <t>85</t>
        </is>
      </c>
      <c r="H66" s="3" t="inlineStr">
        <is>
          <t>30 - STRUTTURALE</t>
        </is>
      </c>
      <c r="I66" s="3" t="inlineStr">
        <is>
          <t>NUOVI LABORATORI</t>
        </is>
      </c>
      <c r="J66" s="3" t="inlineStr">
        <is>
          <t>OPERE IN C.A.</t>
        </is>
      </c>
      <c r="K66" s="3" t="inlineStr">
        <is>
          <t xml:space="preserve">OPERA: CANCELLO, CORRENTE DI METALLO FERRO; PESO MEDIO [KG/M²] = 30. INCLUSO: FISSAGGI; ED ACCESSORI D'USO. </t>
        </is>
      </c>
      <c r="L66" s="3" t="inlineStr">
        <is>
          <t>OPERA: CANCELLO, CORRENTE DI METALLO FERRO; PESO MEDIO [KG/M²] = 30. INCLUSO: FISSAGGI; ED ACCESSORI D'USO. 
LAVORO: POSA. INCLUSO: MANO DI ANTIRUGGINE; ASSISTENZA PER LO SCARICO; IL DEPOSITO; IL SOLLEVAMENTO A PIÉ D'OPERA; LA POSA DA FABBRO. 
SPECIFICHE TECNICHE: INFERRIATA COSTITUITA DA PROFILATI NORMALI, QUADRI, TONDI, ANGOLARI CON O SENZA FODRINA DI LAMIERA. 
COMPONENTI: 
OP1 OPERA: CANCELLO, CORRENTE DI METALLO FERRO; PESO MEDIO [KG/M²] = 30. INCLUSO: FISSAGGI; ED ACCESSORI D'USO. 
SPECIFICHE TECNICHE: INFERRIATA COSTITUITA DA PROFILATI NORMALI, QUADRI, TONDI, ANGOLARI CON O SENZA FODRINA DI LAMIERA. 
RM2 LAMIERA DI METALLO FERRO NERO 
SPECIFICHE TECNICHE: METALLO FERRO NERO, LAMINATA A CALDO 
OC2 OPERA: STRATO DI VERNICIATURA DI RESINA SINTETICA ALCHIDICA; IMPIEGO: SUPERFICI METALLICHE. 
LAVORO: APPLICAZIONE. INCLUSO: PIANI DI LAVORO, ASSISTENZE MURARIE. 
SPECIFICHE TECNICHE: PER SUPERFICI METALLICHE GIÀ PREPARATE, CON UNA MANO DI ANTIRUGGINE. 
LV1 LAVORO: POSA. INCLUSO: MANO DI ANTIRUGGINE; ASSISTENZA PER LO SCARICO; IL DEPOSITO; IL SOLLEVAMENTO A PIÉ D'OPERA; LA POSA DA FABBRO.</t>
        </is>
      </c>
      <c r="M66" s="4" t="inlineStr">
        <is>
          <t>KG</t>
        </is>
      </c>
      <c r="N66" s="5" t="n">
        <v>667.25</v>
      </c>
      <c r="O66" s="45" t="n">
        <v>11.76</v>
      </c>
      <c r="P66" s="45" t="n">
        <v>7846.86</v>
      </c>
      <c r="Q66" s="5" t="n"/>
      <c r="R66" s="6" t="n"/>
      <c r="S66" s="6">
        <f>IF(AND(Q66&lt;&gt;"",R66&lt;&gt;""),Q66*R66,"")</f>
        <v/>
      </c>
      <c r="T66" s="45">
        <f>IF(S66="",P66,S66)</f>
        <v/>
      </c>
      <c r="U66" s="7" t="n">
        <v>0</v>
      </c>
      <c r="V66" s="6">
        <f>$T66*U66</f>
        <v/>
      </c>
      <c r="W66" s="7" t="n">
        <v>0.4</v>
      </c>
      <c r="X66" s="6">
        <f>$T66*W66</f>
        <v/>
      </c>
      <c r="Y66" s="7" t="n">
        <v>0</v>
      </c>
      <c r="Z66" s="6">
        <f>$T66*Y66</f>
        <v/>
      </c>
      <c r="AA66" s="7" t="n">
        <v>0</v>
      </c>
      <c r="AB66" s="6">
        <f>$T66*AA66</f>
        <v/>
      </c>
      <c r="AC66" s="7" t="n">
        <v>0</v>
      </c>
      <c r="AD66" s="6">
        <f>$T66*AC66</f>
        <v/>
      </c>
      <c r="AE66" s="7" t="n">
        <v>0</v>
      </c>
      <c r="AF66" s="6">
        <f>$T66*AE66</f>
        <v/>
      </c>
      <c r="AG66" s="7" t="n">
        <v>0</v>
      </c>
      <c r="AH66" s="6">
        <f>$T66*AG66</f>
        <v/>
      </c>
      <c r="AI66" s="7">
        <f>U66+W66+Y66+AA66+AC66+AE66+AG66</f>
        <v/>
      </c>
      <c r="AJ66" s="6">
        <f>V66+X66+Z66+AB66+AD66+AF66+AH66</f>
        <v/>
      </c>
    </row>
    <row r="67" hidden="1" ht="30" customHeight="1" s="46">
      <c r="A67" s="3" t="inlineStr">
        <is>
          <t>LOM241.1C.22.100.0010.A</t>
        </is>
      </c>
      <c r="B67" s="4" t="inlineStr">
        <is>
          <t>2/2</t>
        </is>
      </c>
      <c r="C67" s="3" t="inlineStr">
        <is>
          <t>EDILE</t>
        </is>
      </c>
      <c r="D67" s="4" t="inlineStr">
        <is>
          <t>NON SPECIALE</t>
        </is>
      </c>
      <c r="E67" s="4" t="inlineStr">
        <is>
          <t>EDILI</t>
        </is>
      </c>
      <c r="F67" s="3" t="inlineStr">
        <is>
          <t>1_2025.11.20_CME REV07.PDF</t>
        </is>
      </c>
      <c r="G67" s="4" t="inlineStr">
        <is>
          <t>86</t>
        </is>
      </c>
      <c r="H67" s="3" t="inlineStr">
        <is>
          <t>30 - STRUTTURALE</t>
        </is>
      </c>
      <c r="I67" s="3" t="inlineStr">
        <is>
          <t>NUOVI LABORATORI</t>
        </is>
      </c>
      <c r="J67" s="3" t="inlineStr">
        <is>
          <t>OPERE IN CARPENTERIA METALLICA</t>
        </is>
      </c>
      <c r="K67" s="3" t="inlineStr">
        <is>
          <t>SOVRAPPREZZO PER ZINCATURA DI CARPENTERIA METALLICA: - A CALDO</t>
        </is>
      </c>
      <c r="L67" s="3" t="inlineStr">
        <is>
          <t>SOVRAPPREZZO PER ZINCATURA DI CARPENTERIA METALLICA: - A CALDO</t>
        </is>
      </c>
      <c r="M67" s="4" t="inlineStr">
        <is>
          <t>KG</t>
        </is>
      </c>
      <c r="N67" s="5" t="n">
        <v>667.25</v>
      </c>
      <c r="O67" s="45" t="n">
        <v>1.18</v>
      </c>
      <c r="P67" s="45" t="n">
        <v>787.355</v>
      </c>
      <c r="Q67" s="5" t="n"/>
      <c r="R67" s="6" t="n"/>
      <c r="S67" s="6">
        <f>IF(AND(Q67&lt;&gt;"",R67&lt;&gt;""),Q67*R67,"")</f>
        <v/>
      </c>
      <c r="T67" s="45">
        <f>IF(S67="",P67,S67)</f>
        <v/>
      </c>
      <c r="U67" s="7" t="n">
        <v>0</v>
      </c>
      <c r="V67" s="6">
        <f>$T67*U67</f>
        <v/>
      </c>
      <c r="W67" s="7" t="n">
        <v>0</v>
      </c>
      <c r="X67" s="6">
        <f>$T67*W67</f>
        <v/>
      </c>
      <c r="Y67" s="7" t="n">
        <v>0</v>
      </c>
      <c r="Z67" s="6">
        <f>$T67*Y67</f>
        <v/>
      </c>
      <c r="AA67" s="7" t="n">
        <v>0</v>
      </c>
      <c r="AB67" s="6">
        <f>$T67*AA67</f>
        <v/>
      </c>
      <c r="AC67" s="7" t="n">
        <v>0</v>
      </c>
      <c r="AD67" s="6">
        <f>$T67*AC67</f>
        <v/>
      </c>
      <c r="AE67" s="7" t="n">
        <v>0</v>
      </c>
      <c r="AF67" s="6">
        <f>$T67*AE67</f>
        <v/>
      </c>
      <c r="AG67" s="7" t="n">
        <v>0</v>
      </c>
      <c r="AH67" s="6">
        <f>$T67*AG67</f>
        <v/>
      </c>
      <c r="AI67" s="7">
        <f>U67+W67+Y67+AA67+AC67+AE67+AG67</f>
        <v/>
      </c>
      <c r="AJ67" s="6">
        <f>V67+X67+Z67+AB67+AD67+AF67+AH67</f>
        <v/>
      </c>
    </row>
    <row r="68" ht="60" customHeight="1" s="46">
      <c r="A68" s="3" t="inlineStr">
        <is>
          <t>LOM241.OC.EEA.A02.C3020.SA000.0005</t>
        </is>
      </c>
      <c r="B68" s="4" t="inlineStr">
        <is>
          <t>1/1</t>
        </is>
      </c>
      <c r="C68" s="3" t="inlineStr">
        <is>
          <t>EDILE</t>
        </is>
      </c>
      <c r="D68" s="4" t="inlineStr">
        <is>
          <t>NON SPECIALE</t>
        </is>
      </c>
      <c r="E68" s="4" t="inlineStr">
        <is>
          <t>EDILI</t>
        </is>
      </c>
      <c r="F68" s="3" t="inlineStr">
        <is>
          <t>1_2025.11.20_CME REV07.PDF</t>
        </is>
      </c>
      <c r="G68" s="4" t="inlineStr">
        <is>
          <t>88</t>
        </is>
      </c>
      <c r="H68" s="3" t="inlineStr">
        <is>
          <t>30 - STRUTTURALE</t>
        </is>
      </c>
      <c r="I68" s="3" t="inlineStr">
        <is>
          <t>NUOVI LABORATORI</t>
        </is>
      </c>
      <c r="J68" s="3" t="inlineStr">
        <is>
          <t>OPERE IN C.A.</t>
        </is>
      </c>
      <c r="K68" s="3" t="inlineStr">
        <is>
          <t>OPERA: CORRIMANO DI LEGA ALLUMINIO GENERICO; FINITURA: IN ACROVINILICO | FINEMENTE GRANULATO | NON POROSO; GEOMETRIA/FORMA/ASPETTO: CIRCOLARE; DIAMETRO [MM] = 45 | SPESSORE RIVESTIMENTO [MM] ≤ 2,5; IG</t>
        </is>
      </c>
      <c r="L68" s="3" t="inlineStr">
        <is>
          <t>OPERA: CORRIMANO DI LEGA ALLUMINIO GENERICO; FINITURA: IN ACROVINILICO | FINEMENTE GRANULATO | NON POROSO; GEOMETRIA/FORMA/ASPETTO: CIRCOLARE; DIAMETRO [MM] = 45 | SPESSORE RIVESTIMENTO [MM] ≤ 2,5; IGNIFUGO [CLASSE] = 1. 
LAVORO: POSA. 
SPECIFICHE TECNICHE: PROFILO ESTRUSO. 
COMPONENTI: 
OP1 OPERA: CORRIMANO DI LEGA ALLUMINIO GENERICO; FINITURA: IN ACROVINILICO | FINEMENTE GRANULATO | NON POROSO; GEOMETRIA/FORMA/ASPETTO: CIRCOLARE; DIAMETRO [MM] = 45 | SPESSORE RIVESTIMENTO [MM] ≤ 2,5; IGNIFUGO [CLASSE] = 1. 
SPECIFICHE TECNICHE: PROFILO ESTRUSO. 
RM2 CORRIMANO DI LEGA ALLUMINIO GENERICO; FINITURA: RESINA SINTETICA ACROVINILICA; DIAMETRO (Ø) [MM] = 45; IGNIFUGO [CLASSE] = 1 
LV1 LAVORO: POSA.</t>
        </is>
      </c>
      <c r="M68" s="4" t="inlineStr">
        <is>
          <t>M</t>
        </is>
      </c>
      <c r="N68" s="5" t="n">
        <v>50</v>
      </c>
      <c r="O68" s="45" t="n">
        <v>172.49</v>
      </c>
      <c r="P68" s="45" t="n">
        <v>8624.5</v>
      </c>
      <c r="Q68" s="5" t="n"/>
      <c r="R68" s="6" t="n"/>
      <c r="S68" s="6">
        <f>IF(AND(Q68&lt;&gt;"",R68&lt;&gt;""),Q68*R68,"")</f>
        <v/>
      </c>
      <c r="T68" s="45">
        <f>IF(S68="",P68,S68)</f>
        <v/>
      </c>
      <c r="U68" s="7" t="n">
        <v>0</v>
      </c>
      <c r="V68" s="6">
        <f>$T68*U68</f>
        <v/>
      </c>
      <c r="W68" s="7" t="n">
        <v>0.2</v>
      </c>
      <c r="X68" s="6">
        <f>$T68*W68</f>
        <v/>
      </c>
      <c r="Y68" s="7" t="n">
        <v>0</v>
      </c>
      <c r="Z68" s="6">
        <f>$T68*Y68</f>
        <v/>
      </c>
      <c r="AA68" s="7" t="n">
        <v>0</v>
      </c>
      <c r="AB68" s="6">
        <f>$T68*AA68</f>
        <v/>
      </c>
      <c r="AC68" s="7" t="n">
        <v>0</v>
      </c>
      <c r="AD68" s="6">
        <f>$T68*AC68</f>
        <v/>
      </c>
      <c r="AE68" s="7" t="n">
        <v>0</v>
      </c>
      <c r="AF68" s="6">
        <f>$T68*AE68</f>
        <v/>
      </c>
      <c r="AG68" s="7" t="n">
        <v>0</v>
      </c>
      <c r="AH68" s="6">
        <f>$T68*AG68</f>
        <v/>
      </c>
      <c r="AI68" s="7">
        <f>U68+W68+Y68+AA68+AC68+AE68+AG68</f>
        <v/>
      </c>
      <c r="AJ68" s="6">
        <f>V68+X68+Z68+AB68+AD68+AF68+AH68</f>
        <v/>
      </c>
    </row>
    <row r="69" ht="60" customHeight="1" s="46">
      <c r="A69" s="3" t="inlineStr">
        <is>
          <t>LOM241.OC.EEA.A02.D9715.SB003.0000</t>
        </is>
      </c>
      <c r="B69" s="4" t="inlineStr">
        <is>
          <t>1/1</t>
        </is>
      </c>
      <c r="C69" s="3" t="inlineStr">
        <is>
          <t>EDILE</t>
        </is>
      </c>
      <c r="D69" s="4" t="inlineStr">
        <is>
          <t>NON SPECIALE</t>
        </is>
      </c>
      <c r="E69" s="4" t="inlineStr">
        <is>
          <t>EDILI</t>
        </is>
      </c>
      <c r="F69" s="3" t="inlineStr">
        <is>
          <t>1_2025.11.20_CME REV07.PDF</t>
        </is>
      </c>
      <c r="G69" s="4" t="inlineStr">
        <is>
          <t>89</t>
        </is>
      </c>
      <c r="H69" s="3" t="inlineStr">
        <is>
          <t>30 - STRUTTURALE</t>
        </is>
      </c>
      <c r="I69" s="3" t="inlineStr">
        <is>
          <t>NUOVI LABORATORI</t>
        </is>
      </c>
      <c r="J69" s="3" t="inlineStr">
        <is>
          <t>OPERE IN C.A.</t>
        </is>
      </c>
      <c r="K69" s="3" t="inlineStr">
        <is>
          <t xml:space="preserve">OPERA: GRIGLIA CARRABILE, PANNELLI DI LEGA FERROSA ACCIAIO ZINCATO. INCLUSO: GANCI FERMAGRIGLIATO, CONTROTELAI, ACCESSORI. </t>
        </is>
      </c>
      <c r="L69" s="3" t="inlineStr">
        <is>
          <t>OPERA: GRIGLIA CARRABILE, PANNELLI DI LEGA FERROSA ACCIAIO ZINCATO. INCLUSO: GANCI FERMAGRIGLIATO, CONTROTELAI, ACCESSORI. 
LAVORO: POSA. ESCLUSO: ASSISTENZA MURARIA. 
COMPONENTI: 
OP1 OPERA: GRIGLIA CARRABILE, PANNELLI DI LEGA FERROSA ACCIAIO ZINCATO. INCLUSO: GANCI FERMAGRIGLIATO, CONTROTELAI, ACCESSORI. 
RM2 GRIGLIA DI LEGA FERROSA ACCIAIO ZINCATO; GEOMETRIA/FORMA/ASPETTO: BORDATI | PRESSATO; SPESSORE [MM] = 2. INCLUSO: PIATTI PORTANTI 
SPECIFICHE TECNICHE: GRIGLIATO IN ACCIAIO ZINCATO A CALDO 
LV1 LAVORO: POSA. ESCLUSO: ASSISTENZA MURARIA.</t>
        </is>
      </c>
      <c r="M69" s="4" t="inlineStr">
        <is>
          <t>KG</t>
        </is>
      </c>
      <c r="N69" s="5" t="n">
        <v>391.8</v>
      </c>
      <c r="O69" s="45" t="n">
        <v>6</v>
      </c>
      <c r="P69" s="45" t="n">
        <v>2350.8</v>
      </c>
      <c r="Q69" s="5" t="n"/>
      <c r="R69" s="6" t="n"/>
      <c r="S69" s="6">
        <f>IF(AND(Q69&lt;&gt;"",R69&lt;&gt;""),Q69*R69,"")</f>
        <v/>
      </c>
      <c r="T69" s="45">
        <f>IF(S69="",P69,S69)</f>
        <v/>
      </c>
      <c r="U69" s="7" t="n">
        <v>0</v>
      </c>
      <c r="V69" s="6">
        <f>$T69*U69</f>
        <v/>
      </c>
      <c r="W69" s="7" t="n">
        <v>0.2</v>
      </c>
      <c r="X69" s="6">
        <f>$T69*W69</f>
        <v/>
      </c>
      <c r="Y69" s="7" t="n">
        <v>0</v>
      </c>
      <c r="Z69" s="6">
        <f>$T69*Y69</f>
        <v/>
      </c>
      <c r="AA69" s="7" t="n">
        <v>0</v>
      </c>
      <c r="AB69" s="6">
        <f>$T69*AA69</f>
        <v/>
      </c>
      <c r="AC69" s="7" t="n">
        <v>0</v>
      </c>
      <c r="AD69" s="6">
        <f>$T69*AC69</f>
        <v/>
      </c>
      <c r="AE69" s="7" t="n">
        <v>0</v>
      </c>
      <c r="AF69" s="6">
        <f>$T69*AE69</f>
        <v/>
      </c>
      <c r="AG69" s="7" t="n">
        <v>0</v>
      </c>
      <c r="AH69" s="6">
        <f>$T69*AG69</f>
        <v/>
      </c>
      <c r="AI69" s="7">
        <f>U69+W69+Y69+AA69+AC69+AE69+AG69</f>
        <v/>
      </c>
      <c r="AJ69" s="6">
        <f>V69+X69+Z69+AB69+AD69+AF69+AH69</f>
        <v/>
      </c>
    </row>
    <row r="70" hidden="1" ht="60" customHeight="1" s="46">
      <c r="A70" s="3" t="inlineStr">
        <is>
          <t>LOM241.OC.EEA.A02.C1210.H0000.0010</t>
        </is>
      </c>
      <c r="B70" s="4" t="inlineStr">
        <is>
          <t>1/1</t>
        </is>
      </c>
      <c r="C70" s="3" t="inlineStr">
        <is>
          <t>EDILE</t>
        </is>
      </c>
      <c r="D70" s="4" t="inlineStr">
        <is>
          <t>NON SPECIALE</t>
        </is>
      </c>
      <c r="E70" s="4" t="inlineStr">
        <is>
          <t>EDILI</t>
        </is>
      </c>
      <c r="F70" s="3" t="inlineStr">
        <is>
          <t>1_2025.11.20_CME REV07.PDF</t>
        </is>
      </c>
      <c r="G70" s="4" t="inlineStr">
        <is>
          <t>93</t>
        </is>
      </c>
      <c r="H70" s="3" t="inlineStr">
        <is>
          <t>30 - STRUTTURALE</t>
        </is>
      </c>
      <c r="I70" s="3" t="inlineStr">
        <is>
          <t>NUOVI LABORATORI</t>
        </is>
      </c>
      <c r="J70" s="3" t="inlineStr">
        <is>
          <t>OPERE IN C.A.</t>
        </is>
      </c>
      <c r="K70" s="3" t="inlineStr">
        <is>
          <t xml:space="preserve">OPERA: SISTEMA DI CONTROSOFFITTATURA, LASTRA DI GESSO GENERICO; FINITURA: SUPERFICIE RIVESTITA; GEOMETRIA/FORMA/ASPETTO: ORDITURA NASCOSTA. INCLUSO: GIUNTI SIGILLATI/RASATI. </t>
        </is>
      </c>
      <c r="L70" s="3" t="inlineStr">
        <is>
          <t>OPERA: SISTEMA DI CONTROSOFFITTATURA, LASTRA DI GESSO GENERICO; FINITURA: SUPERFICIE RIVESTITA; GEOMETRIA/FORMA/ASPETTO: ORDITURA NASCOSTA. INCLUSO: GIUNTI SIGILLATI/RASATI. 
LAVORO: POSA. INCLUSO: PULIZIA FINALE; ALLONTAMENTO DEI MATERIALI DI RISULTA; ASSISTENZE MURARIE. 
SPECIFICHE TECNICHE: ORDITURA CON TRAVERSINI PORTANTI, PROFILI ED EVENTUALE PENDINATURA. 
COMPONENTI: 
OP1 OPERA: SISTEMA DI CONTROSOFFITTATURA, LASTRA DI GESSO GENERICO; FINITURA: SUPERFICIE RIVESTITA; GEOMETRIA/FORMA/ASPETTO: ORDITURA NASCOSTA. INCLUSO: GIUNTI SIGILLATI/RASATI. 
SPECIFICHE TECNICHE: ORDITURA CON TRAVERSINI PORTANTI, PROFILI ED EVENTUALE PENDINATURA. 
RM2 LASTRA DI GESSO GENERICO; FINITURA: CARTONE SPECIALE; GEOMETRIA/FORMA/ASPETTO: BORDI ASSOTTIGLIATI; FUNZIONE: DIVISORIA; IMPIEGO: MURATURE; LARGHEZZA [CM] = 120 | SPESSORE [MM] = 13 
SPECIFICHE TECNICHE: LASTRA RIVESTITA SULLE DUE FACCE CON CARTONE 
RM2 ORDITURA DI LEGA FERROSA ACCIAIO ZINCATO; IMPIEGO: CONTROSOFFITTI. INCLUSO: PENDINI; ACCESSORI 
SPECIFICHE TECNICHE: PER CONTROSOFFITTO CON MODULO [MM] = 600 X 600 
RM2 TASSELLO DI PLASTICA POLIAMMIDE - NYLON (PA); IMPIEGO: CONTROSOFFITTI; DIAMETRO ESTERNO (Ø) [MM] = 6 | LUNGHEZZA [MM] = 40 
RM2 PROFILO PERIMETRALE DI LEGA FERROSA ACCIAIO GENERICO; GEOMETRIA/FORMA/ASPETTO: A FORMA DI "L"; IMPIEGO: ORDITURE CONTROSOFFITTI; DIMENSIONE (X) [MM] = 19 | DIMENSIONE (Y) [MM] = 24 
LV1 LAVORO: POSA. INCLUSO: PULIZIA FINALE; ALLONTAMENTO DEI MATERIALI DI RISULTA; ASSISTENZE MURARIE.</t>
        </is>
      </c>
      <c r="M70" s="4" t="inlineStr">
        <is>
          <t>M²</t>
        </is>
      </c>
      <c r="N70" s="5" t="n">
        <v>91.69</v>
      </c>
      <c r="O70" s="45" t="n">
        <v>32.87</v>
      </c>
      <c r="P70" s="45" t="n">
        <v>3013.8503</v>
      </c>
      <c r="Q70" s="5" t="n"/>
      <c r="R70" s="6" t="n"/>
      <c r="S70" s="6">
        <f>IF(AND(Q70&lt;&gt;"",R70&lt;&gt;""),Q70*R70,"")</f>
        <v/>
      </c>
      <c r="T70" s="45">
        <f>IF(S70="",P70,S70)</f>
        <v/>
      </c>
      <c r="U70" s="7" t="n">
        <v>0</v>
      </c>
      <c r="V70" s="6">
        <f>$T70*U70</f>
        <v/>
      </c>
      <c r="W70" s="7" t="n">
        <v>0</v>
      </c>
      <c r="X70" s="6">
        <f>$T70*W70</f>
        <v/>
      </c>
      <c r="Y70" s="7" t="n">
        <v>0</v>
      </c>
      <c r="Z70" s="6">
        <f>$T70*Y70</f>
        <v/>
      </c>
      <c r="AA70" s="7" t="n">
        <v>0</v>
      </c>
      <c r="AB70" s="6">
        <f>$T70*AA70</f>
        <v/>
      </c>
      <c r="AC70" s="7" t="n">
        <v>0</v>
      </c>
      <c r="AD70" s="6">
        <f>$T70*AC70</f>
        <v/>
      </c>
      <c r="AE70" s="7" t="n">
        <v>0</v>
      </c>
      <c r="AF70" s="6">
        <f>$T70*AE70</f>
        <v/>
      </c>
      <c r="AG70" s="7" t="n">
        <v>0</v>
      </c>
      <c r="AH70" s="6">
        <f>$T70*AG70</f>
        <v/>
      </c>
      <c r="AI70" s="7">
        <f>U70+W70+Y70+AA70+AC70+AE70+AG70</f>
        <v/>
      </c>
      <c r="AJ70" s="6">
        <f>V70+X70+Z70+AB70+AD70+AF70+AH70</f>
        <v/>
      </c>
    </row>
    <row r="71" hidden="1" ht="60" customHeight="1" s="46">
      <c r="A71" s="3" t="inlineStr">
        <is>
          <t>LOM241.OC.EEA.A02.C1210.OD000.0005</t>
        </is>
      </c>
      <c r="B71" s="4" t="inlineStr">
        <is>
          <t>1/2</t>
        </is>
      </c>
      <c r="C71" s="3" t="inlineStr">
        <is>
          <t>EDILE</t>
        </is>
      </c>
      <c r="D71" s="4" t="inlineStr">
        <is>
          <t>NON SPECIALE</t>
        </is>
      </c>
      <c r="E71" s="4" t="inlineStr">
        <is>
          <t>EDILI</t>
        </is>
      </c>
      <c r="F71" s="3" t="inlineStr">
        <is>
          <t>1_2025.11.20_CME REV07.PDF</t>
        </is>
      </c>
      <c r="G71" s="4" t="inlineStr">
        <is>
          <t>94</t>
        </is>
      </c>
      <c r="H71" s="3" t="inlineStr">
        <is>
          <t>30 - STRUTTURALE</t>
        </is>
      </c>
      <c r="I71" s="3" t="inlineStr">
        <is>
          <t>NUOVI LABORATORI</t>
        </is>
      </c>
      <c r="J71" s="3" t="inlineStr">
        <is>
          <t>OPERE IN C.A.</t>
        </is>
      </c>
      <c r="K71" s="3" t="inlineStr">
        <is>
          <t>OPERA: SISTEMA DI CONTROSOFFITTATURA, LASTRA DI FIBRA MINERALE GENERICO; FINITURA: COLORE BIANCO | SUPERFICIE DECORATA FESSURATA; GEOMETRIA/FORMA/ASPETTO: ORDITURA SEMINASCOSTA | BORDI DISEGNATI; DIME</t>
        </is>
      </c>
      <c r="L71" s="3" t="inlineStr">
        <is>
          <t>OPERA: SISTEMA DI CONTROSOFFITTATURA, LASTRA DI FIBRA MINERALE GENERICO; FINITURA: COLORE BIANCO | SUPERFICIE DECORATA FESSURATA; GEOMETRIA/FORMA/ASPETTO: ORDITURA SEMINASCOSTA | BORDI DISEGNATI; DIMENSIONE (X) [MM] = 600 | DIMENSIONE (Y) [MM] = 600. INCLUSO: CORNICE PERIMETRALE DI FINITURA. 
LAVORO: POSA. INCLUSO: PULIZIA FINALE; ALLONTAMENTO DEI MATERIALI DI RISULTA; ASSISTENZE MURARIE. 
SPECIFICHE TECNICHE: ORDITURA CON PROFILI PORTANTI, INTERMEDI E ACCESSORI DI SOSPENSIONE. 
COMPONENTI: 
OP1 OPERA: SISTEMA DI CONTROSOFFITTATURA, LASTRA DI FIBRA MINERALE GENERICO; FINITURA: COLORE BIANCO | SUPERFICIE DECORATA FESSURATA; GEOMETRIA/FORMA/ASPETTO: ORDITURA SEMINASCOSTA | BORDI DISEGNATI; DIMENSIONE (X) [MM] = 600 | DIMENSIONE (Y) [MM] = 600. INCLUSO: CORNICE PERIMETRALE DI FINITURA. 
SPECIFICHE TECNICHE: ORDITURA CON PROFILI PORTANTI, INTERMEDI E ACCESSORI DI SOSPENSIONE. 
RM2 LASTRA ACUSTICO DI FIBRA MINERALE GENERICO; FINITURA: COLORE BIANCO; GEOMETRIA/FORMA/ASPETTO: PANNELLI A BORDI RISEGATI; IMPIEGO: CONTROSOFFITTI; SPESSORE [MM] = 15 ÷ 17 | LUNGHEZZA [MM] = 600 | LARGHEZZA [MM] = 600 
SPECIFICHE TECNICHE: A DECORO FESSURATO 
RM2 ORDITURA DI LEGA FERROSA ACCIAIO ZINCATO; FINITURA: COLORE BIANCO; IMPIEGO: CONTROSOFFITTI. INCLUSO: PENDINI; ACCESSORI 
SPECIFICHE TECNICHE: PER CONTROSOFFITTO CON MODULO [MM] = 600 X 1200 
RM2 TASSELLO DI PLASTICA POLIAMMIDE - NYLON (PA); IMPIEGO: CONTROSOFFITTI; DIAMETRO ESTERNO (Ø) [MM] = 6 | LUNGHEZZA [MM] = 40 
RM2 PROFILO PERIMETRALE DI LEGA FERROSA ACCIAIO GENERICO; GEOMETRIA/FORMA/ASPETTO: A FORMA DI "L"; IMPIEGO: ORDITURE CONTROSOFFITTI; DIMENSIONE (X) [MM] = 19 | DIMENSIONE (Y) [MM] = 24 
LV1 LAVORO: POSA. INCLUSO: PULIZIA FINALE; ALLONTAMENTO DEI MATERIALI DI RISULTA; ASSISTENZE MURARIE.</t>
        </is>
      </c>
      <c r="M71" s="4" t="inlineStr">
        <is>
          <t>M²</t>
        </is>
      </c>
      <c r="N71" s="5" t="n">
        <v>84.90000000000001</v>
      </c>
      <c r="O71" s="45" t="n">
        <v>38.31</v>
      </c>
      <c r="P71" s="45" t="n">
        <v>3252.519</v>
      </c>
      <c r="Q71" s="5" t="n"/>
      <c r="R71" s="6" t="n"/>
      <c r="S71" s="6">
        <f>IF(AND(Q71&lt;&gt;"",R71&lt;&gt;""),Q71*R71,"")</f>
        <v/>
      </c>
      <c r="T71" s="45">
        <f>IF(S71="",P71,S71)</f>
        <v/>
      </c>
      <c r="U71" s="7" t="n">
        <v>0</v>
      </c>
      <c r="V71" s="6">
        <f>$T71*U71</f>
        <v/>
      </c>
      <c r="W71" s="7" t="n">
        <v>0</v>
      </c>
      <c r="X71" s="6">
        <f>$T71*W71</f>
        <v/>
      </c>
      <c r="Y71" s="7" t="n">
        <v>0</v>
      </c>
      <c r="Z71" s="6">
        <f>$T71*Y71</f>
        <v/>
      </c>
      <c r="AA71" s="7" t="n">
        <v>0</v>
      </c>
      <c r="AB71" s="6">
        <f>$T71*AA71</f>
        <v/>
      </c>
      <c r="AC71" s="7" t="n">
        <v>0</v>
      </c>
      <c r="AD71" s="6">
        <f>$T71*AC71</f>
        <v/>
      </c>
      <c r="AE71" s="7" t="n">
        <v>0</v>
      </c>
      <c r="AF71" s="6">
        <f>$T71*AE71</f>
        <v/>
      </c>
      <c r="AG71" s="7" t="n">
        <v>0</v>
      </c>
      <c r="AH71" s="6">
        <f>$T71*AG71</f>
        <v/>
      </c>
      <c r="AI71" s="7">
        <f>U71+W71+Y71+AA71+AC71+AE71+AG71</f>
        <v/>
      </c>
      <c r="AJ71" s="6">
        <f>V71+X71+Z71+AB71+AD71+AF71+AH71</f>
        <v/>
      </c>
    </row>
    <row r="72" hidden="1" ht="60" customHeight="1" s="46">
      <c r="A72" s="3" t="inlineStr">
        <is>
          <t>LOM241.OC.EEA.A02.C1210.OD000.0030</t>
        </is>
      </c>
      <c r="B72" s="4" t="inlineStr">
        <is>
          <t>1/1</t>
        </is>
      </c>
      <c r="C72" s="3" t="inlineStr">
        <is>
          <t>EDILE</t>
        </is>
      </c>
      <c r="D72" s="4" t="inlineStr">
        <is>
          <t>NON SPECIALE</t>
        </is>
      </c>
      <c r="E72" s="4" t="inlineStr">
        <is>
          <t>EDILI</t>
        </is>
      </c>
      <c r="F72" s="3" t="inlineStr">
        <is>
          <t>1_2025.11.20_CME REV07.PDF</t>
        </is>
      </c>
      <c r="G72" s="4" t="inlineStr">
        <is>
          <t>95</t>
        </is>
      </c>
      <c r="H72" s="3" t="inlineStr">
        <is>
          <t>30 - STRUTTURALE</t>
        </is>
      </c>
      <c r="I72" s="3" t="inlineStr">
        <is>
          <t>NUOVI LABORATORI</t>
        </is>
      </c>
      <c r="J72" s="3" t="inlineStr">
        <is>
          <t>OPERE IN C.A.</t>
        </is>
      </c>
      <c r="K72" s="3" t="inlineStr">
        <is>
          <t>OPERA: SISTEMA DI CONTROSOFFITTATURA, LASTRA DI FIBRA MINERALE GENERICO; FINITURA: COLORE BIANCO | SUPERFICIE FINEMENTE GRANULATA; GEOMETRIA/FORMA/ASPETTO: ORDITURA SEMINASCOSTA | BORDI RISEGATI; FUNZ</t>
        </is>
      </c>
      <c r="L72" s="3" t="inlineStr">
        <is>
          <t>OPERA: SISTEMA DI CONTROSOFFITTATURA, LASTRA DI FIBRA MINERALE GENERICO; FINITURA: COLORE BIANCO | SUPERFICIE FINEMENTE GRANULATA; GEOMETRIA/FORMA/ASPETTO: ORDITURA SEMINASCOSTA | BORDI RISEGATI; FUNZIONE: FONOASSORBENTI; DIMENSIONE (X) [MM] = 600 | DIMENSIONE (Y) [MM] = 1200. INCLUSO: CORNICE PERIMETRALE DI FINITURA. 
LAVORO: POSA. INCLUSO: PULIZIA FINALE; ALLONTAMENTO DEI MATERIALI DI RISULTA; ASSISTENZE MURARIE. 
SPECIFICHE TECNICHE: ORDITURA CON PROFILI PORTANTI, INTERMEDI E ACCESSORI DI SOSPENSIONE. 
COMPONENTI: 
OP1 OPERA: SISTEMA DI CONTROSOFFITTATURA, LASTRA DI FIBRA MINERALE GENERICO; FINITURA: COLORE BIANCO | SUPERFICIE FINEMENTE GRANULATA; GEOMETRIA/FORMA/ASPETTO: ORDITURA SEMINASCOSTA | BORDI RISEGATI; FUNZIONE: FONOASSORBENTI; DIMENSIONE (X) [MM] = 600 | DIMENSIONE (Y) [MM] = 1200. INCLUSO: CORNICE PERIMETRALE DI FINITURA. 
SPECIFICHE TECNICHE: ORDITURA CON PROFILI PORTANTI, INTERMEDI E ACCESSORI DI SOSPENSIONE. 
RM2 LASTRA ACUSTICO DI FIBRA MINERALE GENERICO; FINITURA: GRANULATA; GEOMETRIA/FORMA/ASPETTO: PANNELLI A BORDI RISEGATI; FUNZIONE: FONOASSORBENTE; IMPIEGO: CONTROSOFFITTI; SPESSORE [MM] = 15 ÷ 17 | LUNGHEZZA [MM] = 600 | LARGHEZZA [MM] = 1200 
SPECIFICHE TECNICHE: SUPERFICIE FINEMENTE GRANULATA 
RM2 ORDITURA DI LEGA FERROSA ACCIAIO ZINCATO; FINITURA: COLORE BIANCO; IMPIEGO: CONTROSOFFITTI. INCLUSO: PENDINI; ACCESSORI 
SPECIFICHE TECNICHE: PER CONTROSOFFITTO CON MODULO [MM] = 600 X 1200 
RM2 TASSELLO DI PLASTICA POLIAMMIDE - NYLON (PA); IMPIEGO: CONTROSOFFITTI; DIAMETRO ESTERNO (Ø) [MM] = 6 | LUNGHEZZA [MM] = 40 
RM2 PROFILO PERIMETRALE DI LEGA FERROSA ACCIAIO GENERICO; GEOMETRIA/FORMA/ASPETTO: A FORMA DI "L"; IMPIEGO: ORDITURE CONTROSOFFITTI; DIMENSIONE (X) [MM] = 19 | DIMENSIONE (Y) [MM] = 24 
LV1 LAVORO: POSA. INCLUSO: PULIZIA FINALE; ALLONTAMENTO DEI MATERIALI DI RISULTA; ASSISTENZE MURARIE.</t>
        </is>
      </c>
      <c r="M72" s="4" t="inlineStr">
        <is>
          <t>M²</t>
        </is>
      </c>
      <c r="N72" s="5" t="n">
        <v>41.58</v>
      </c>
      <c r="O72" s="45" t="n">
        <v>39.65</v>
      </c>
      <c r="P72" s="45" t="n">
        <v>1648.647</v>
      </c>
      <c r="Q72" s="5" t="n"/>
      <c r="R72" s="6" t="n"/>
      <c r="S72" s="6">
        <f>IF(AND(Q72&lt;&gt;"",R72&lt;&gt;""),Q72*R72,"")</f>
        <v/>
      </c>
      <c r="T72" s="45">
        <f>IF(S72="",P72,S72)</f>
        <v/>
      </c>
      <c r="U72" s="7" t="n">
        <v>0</v>
      </c>
      <c r="V72" s="6">
        <f>$T72*U72</f>
        <v/>
      </c>
      <c r="W72" s="7" t="n">
        <v>0</v>
      </c>
      <c r="X72" s="6">
        <f>$T72*W72</f>
        <v/>
      </c>
      <c r="Y72" s="7" t="n">
        <v>0</v>
      </c>
      <c r="Z72" s="6">
        <f>$T72*Y72</f>
        <v/>
      </c>
      <c r="AA72" s="7" t="n">
        <v>0</v>
      </c>
      <c r="AB72" s="6">
        <f>$T72*AA72</f>
        <v/>
      </c>
      <c r="AC72" s="7" t="n">
        <v>0</v>
      </c>
      <c r="AD72" s="6">
        <f>$T72*AC72</f>
        <v/>
      </c>
      <c r="AE72" s="7" t="n">
        <v>0</v>
      </c>
      <c r="AF72" s="6">
        <f>$T72*AE72</f>
        <v/>
      </c>
      <c r="AG72" s="7" t="n">
        <v>0</v>
      </c>
      <c r="AH72" s="6">
        <f>$T72*AG72</f>
        <v/>
      </c>
      <c r="AI72" s="7">
        <f>U72+W72+Y72+AA72+AC72+AE72+AG72</f>
        <v/>
      </c>
      <c r="AJ72" s="6">
        <f>V72+X72+Z72+AB72+AD72+AF72+AH72</f>
        <v/>
      </c>
    </row>
    <row r="73" hidden="1" ht="60" customHeight="1" s="46">
      <c r="A73" s="3" t="inlineStr">
        <is>
          <t>LOM241.OC.EEA.A02.C1206.L0005.0260</t>
        </is>
      </c>
      <c r="B73" s="4" t="inlineStr">
        <is>
          <t>1/2</t>
        </is>
      </c>
      <c r="C73" s="3" t="inlineStr">
        <is>
          <t>EDILE</t>
        </is>
      </c>
      <c r="D73" s="4" t="inlineStr">
        <is>
          <t>NON SPECIALE</t>
        </is>
      </c>
      <c r="E73" s="4" t="inlineStr">
        <is>
          <t>EDILI</t>
        </is>
      </c>
      <c r="F73" s="3" t="inlineStr">
        <is>
          <t>1_2025.11.20_CME REV07.PDF</t>
        </is>
      </c>
      <c r="G73" s="4" t="inlineStr">
        <is>
          <t>97</t>
        </is>
      </c>
      <c r="H73" s="3" t="inlineStr">
        <is>
          <t>30 - STRUTTURALE</t>
        </is>
      </c>
      <c r="I73" s="3" t="inlineStr">
        <is>
          <t>NUOVI LABORATORI</t>
        </is>
      </c>
      <c r="J73" s="3" t="inlineStr">
        <is>
          <t>OPERE IN C.A.</t>
        </is>
      </c>
      <c r="K73" s="3" t="inlineStr">
        <is>
          <t xml:space="preserve">OPERA: STRATO DI PAVIMENTAZIONE, PIASTRELLE DI CERAMICA GRES PORCELLANATO; FINITURA: SMALTATA | COLORI CHIARI. </t>
        </is>
      </c>
      <c r="L73" s="3" t="inlineStr">
        <is>
          <t>OPERA: STRATO DI PAVIMENTAZIONE, PIASTRELLE DI CERAMICA GRES PORCELLANATO; FINITURA: SMALTATA | COLORI CHIARI. 
LAVORO: POSA. INCLUSO: ASSISTENZE MURARIE. ESCLUSO: SOTTOFONDO, PREPARAZIONE MASSETTO. 
SPECIFICHE TECNICHE: POSATO CON BOIACCA DI PURO CEMENTO SU LETTO DI MALTA DI LEGANTE IDRAULICO, O INCOLLATO SU IDONEO SOTTOFONDO. 
COMPONENTI: 
OP1 OPERA: STRATO DI PAVIMENTAZIONE, PIASTRELLE DI CERAMICA GRES PORCELLANATO; FINITURA: SMALTATA | COLORI CHIARI. 
RM2 PIASTRELLA PER PAVIMENTO DI CERAMICA GRES PORCELLANATO; FINITURA: SMALTATA | CHIARA; IMPIEGO: INTERNO; DIMENSIONE (X) [CM] = 30 | DIMENSIONE (Y) [CM] = 30 | SPESSORE [CM] = 0,8 ÷ 1 
PO2 PRODOTTO SEMILAVORATO: MALTA IN CEMENTO GENERICO. 
LAVORO: FORMAZIONEIN CON MEZZO MECCANICO. 
SPECIFICHE TECNICHE: CONFEZIONATA IN BETONIERA; 300 KG DI CEMENTO PER M³. 
LV1 LAVORO: POSA. INCLUSO: ASSISTENZE MURARIE. ESCLUSO: SOTTOFONDO, PREPARAZIONE MASSETTO. 
SPECIFICHE TECNICHE: POSATO CON BOIACCA DI PURO CEMENTO SU LETTO DI MALTA DI LEGANTE IDRAULICO, O INCOLLATO SU IDONEO SOTTOFONDO.</t>
        </is>
      </c>
      <c r="M73" s="4" t="inlineStr">
        <is>
          <t>M²</t>
        </is>
      </c>
      <c r="N73" s="5" t="n">
        <v>248.66</v>
      </c>
      <c r="O73" s="45" t="n">
        <v>53.49</v>
      </c>
      <c r="P73" s="45" t="n">
        <v>13300.8234</v>
      </c>
      <c r="Q73" s="5" t="n"/>
      <c r="R73" s="6" t="n"/>
      <c r="S73" s="6">
        <f>IF(AND(Q73&lt;&gt;"",R73&lt;&gt;""),Q73*R73,"")</f>
        <v/>
      </c>
      <c r="T73" s="45">
        <f>IF(S73="",P73,S73)</f>
        <v/>
      </c>
      <c r="U73" s="7" t="n">
        <v>0</v>
      </c>
      <c r="V73" s="6">
        <f>$T73*U73</f>
        <v/>
      </c>
      <c r="W73" s="7" t="n">
        <v>0</v>
      </c>
      <c r="X73" s="6">
        <f>$T73*W73</f>
        <v/>
      </c>
      <c r="Y73" s="7" t="n">
        <v>0</v>
      </c>
      <c r="Z73" s="6">
        <f>$T73*Y73</f>
        <v/>
      </c>
      <c r="AA73" s="7" t="n">
        <v>0</v>
      </c>
      <c r="AB73" s="6">
        <f>$T73*AA73</f>
        <v/>
      </c>
      <c r="AC73" s="7" t="n">
        <v>0</v>
      </c>
      <c r="AD73" s="6">
        <f>$T73*AC73</f>
        <v/>
      </c>
      <c r="AE73" s="7" t="n">
        <v>0</v>
      </c>
      <c r="AF73" s="6">
        <f>$T73*AE73</f>
        <v/>
      </c>
      <c r="AG73" s="7" t="n">
        <v>0</v>
      </c>
      <c r="AH73" s="6">
        <f>$T73*AG73</f>
        <v/>
      </c>
      <c r="AI73" s="7">
        <f>U73+W73+Y73+AA73+AC73+AE73+AG73</f>
        <v/>
      </c>
      <c r="AJ73" s="6">
        <f>V73+X73+Z73+AB73+AD73+AF73+AH73</f>
        <v/>
      </c>
    </row>
    <row r="74" hidden="1" ht="60" customHeight="1" s="46">
      <c r="A74" s="3" t="inlineStr">
        <is>
          <t>LOM241.OC.EEA.A02.C1240.L0005.0000.B</t>
        </is>
      </c>
      <c r="B74" s="4" t="inlineStr">
        <is>
          <t>1/2</t>
        </is>
      </c>
      <c r="C74" s="3" t="inlineStr">
        <is>
          <t>EDILE</t>
        </is>
      </c>
      <c r="D74" s="4" t="inlineStr">
        <is>
          <t>NON SPECIALE</t>
        </is>
      </c>
      <c r="E74" s="4" t="inlineStr">
        <is>
          <t>EDILI</t>
        </is>
      </c>
      <c r="F74" s="3" t="inlineStr">
        <is>
          <t>1_2025.11.20_CME REV07.PDF</t>
        </is>
      </c>
      <c r="G74" s="4" t="inlineStr">
        <is>
          <t>100</t>
        </is>
      </c>
      <c r="H74" s="3" t="inlineStr">
        <is>
          <t>30 - STRUTTURALE</t>
        </is>
      </c>
      <c r="I74" s="3" t="inlineStr">
        <is>
          <t>NUOVI LABORATORI</t>
        </is>
      </c>
      <c r="J74" s="3" t="inlineStr">
        <is>
          <t>OPERE IN C.A.</t>
        </is>
      </c>
      <c r="K74" s="3" t="inlineStr">
        <is>
          <t xml:space="preserve">OPERA: STRATO DI ZOCCOLATURA DI CERAMICA GRES PORCELLANATO; IMPIEGO: STRATO DI PAVIMENTAZIONE. </t>
        </is>
      </c>
      <c r="L74" s="3" t="inlineStr">
        <is>
          <t>OPERA: STRATO DI ZOCCOLATURA DI CERAMICA GRES PORCELLANATO; IMPIEGO: STRATO DI PAVIMENTAZIONE. 
LAVORO: POSA. INCLUSO: ASSISTENZE MURARIE. 
COMPONENTI: 
OP1 OPERA: STRATO DI ZOCCOLATURA DI CERAMICA GRES PORCELLANATO; IMPIEGO: STRATO DI PAVIMENTAZIONE. 
RM2 ZOCCOLINO DI CERAMICA GRES PORCELLANATO; GEOMETRIA/FORMA/ASPETTO: CON GOLA; IMPIEGO: BATTISCOPA; ALTEZZA [CM] = 10 
PO2 PRODOTTO SEMILAVORATO: MALTA, BASTARDA IN CEMENTO GENERICO. 
LAVORO: FORMAZIONE, CON MEZZO MECCANICO. 
SPECIFICHE TECNICHE: CONFEZIONATA IN BETONIERA; DOSAGGIO PER M³: CEMENTO [KG] = 100 | CALCE EMINENTEMENTE IDRAULICA [KG] = 350. 
LV1 LAVORO: POSA. INCLUSO: ASSISTENZE MURARIE.</t>
        </is>
      </c>
      <c r="M74" s="4" t="inlineStr">
        <is>
          <t>M</t>
        </is>
      </c>
      <c r="N74" s="5" t="n">
        <v>192.73</v>
      </c>
      <c r="O74" s="45" t="n">
        <v>16.46</v>
      </c>
      <c r="P74" s="45" t="n">
        <v>3172.3358</v>
      </c>
      <c r="Q74" s="5" t="n"/>
      <c r="R74" s="6" t="n"/>
      <c r="S74" s="6">
        <f>IF(AND(Q74&lt;&gt;"",R74&lt;&gt;""),Q74*R74,"")</f>
        <v/>
      </c>
      <c r="T74" s="45">
        <f>IF(S74="",P74,S74)</f>
        <v/>
      </c>
      <c r="U74" s="7" t="n">
        <v>0</v>
      </c>
      <c r="V74" s="6">
        <f>$T74*U74</f>
        <v/>
      </c>
      <c r="W74" s="7" t="n">
        <v>0</v>
      </c>
      <c r="X74" s="6">
        <f>$T74*W74</f>
        <v/>
      </c>
      <c r="Y74" s="7" t="n">
        <v>0</v>
      </c>
      <c r="Z74" s="6">
        <f>$T74*Y74</f>
        <v/>
      </c>
      <c r="AA74" s="7" t="n">
        <v>0</v>
      </c>
      <c r="AB74" s="6">
        <f>$T74*AA74</f>
        <v/>
      </c>
      <c r="AC74" s="7" t="n">
        <v>0</v>
      </c>
      <c r="AD74" s="6">
        <f>$T74*AC74</f>
        <v/>
      </c>
      <c r="AE74" s="7" t="n">
        <v>0</v>
      </c>
      <c r="AF74" s="6">
        <f>$T74*AE74</f>
        <v/>
      </c>
      <c r="AG74" s="7" t="n">
        <v>0</v>
      </c>
      <c r="AH74" s="6">
        <f>$T74*AG74</f>
        <v/>
      </c>
      <c r="AI74" s="7">
        <f>U74+W74+Y74+AA74+AC74+AE74+AG74</f>
        <v/>
      </c>
      <c r="AJ74" s="6">
        <f>V74+X74+Z74+AB74+AD74+AF74+AH74</f>
        <v/>
      </c>
    </row>
    <row r="75" hidden="1" ht="60" customHeight="1" s="46">
      <c r="A75" s="3" t="inlineStr">
        <is>
          <t>LOM241.OC.EEA.A02.C1220.CA017.0000</t>
        </is>
      </c>
      <c r="B75" s="4" t="inlineStr">
        <is>
          <t>1/2</t>
        </is>
      </c>
      <c r="C75" s="3" t="inlineStr">
        <is>
          <t>EDILE</t>
        </is>
      </c>
      <c r="D75" s="4" t="inlineStr">
        <is>
          <t>NON SPECIALE</t>
        </is>
      </c>
      <c r="E75" s="4" t="inlineStr">
        <is>
          <t>EDILI</t>
        </is>
      </c>
      <c r="F75" s="3" t="inlineStr">
        <is>
          <t>1_2025.11.20_CME REV07.PDF</t>
        </is>
      </c>
      <c r="G75" s="4" t="inlineStr">
        <is>
          <t>102</t>
        </is>
      </c>
      <c r="H75" s="3" t="inlineStr">
        <is>
          <t>30 - STRUTTURALE</t>
        </is>
      </c>
      <c r="I75" s="3" t="inlineStr">
        <is>
          <t>NUOVI LABORATORI</t>
        </is>
      </c>
      <c r="J75" s="3" t="inlineStr">
        <is>
          <t>OPERE IN C.A.</t>
        </is>
      </c>
      <c r="K75" s="3" t="inlineStr">
        <is>
          <t>OPERA: STRATO DI RIVESTIMENTO, PIASTRELLE DI RESINA SINTETICA POLIVINILCLORURO (PVC); FINITURA: NON RIFLETTENTE | GOFFRATA; GEOMETRIA/FORMA: QUADRATA; LATO (X) [CM] = 32 | LATO (Y) [CM] = 32 | SPESSOR</t>
        </is>
      </c>
      <c r="L75" s="3" t="inlineStr">
        <is>
          <t>OPERA: STRATO DI RIVESTIMENTO, PIASTRELLE DI RESINA SINTETICA POLIVINILCLORURO (PVC); FINITURA: NON RIFLETTENTE | GOFFRATA; GEOMETRIA/FORMA: QUADRATA; LATO (X) [CM] = 32 | LATO (Y) [CM] = 32 | SPESSORE [MM] = 3. 
LAVORO: POSA. INCLUSO: LISCIATURA FONDO; ASSISTENZE MURARIE; POSA GIUNTI ACCOSTATI E STUCCATI. 
COMPONENTI: 
OP1 OPERA: STRATO DI RIVESTIMENTO, PIASTRELLE DI RESINA SINTETICA POLIVINILCLORURO (PVC); FINITURA: NON RIFLETTENTE | GOFFRATA; GEOMETRIA/FORMA: QUADRATA; LATO (X) [CM] = 32 | LATO (Y) [CM] = 32 | SPESSORE [MM] = 3. 
RM2 PIASTRELLA PER RIVESTIMENTO DI PLASTICA POLIVINCLORURO PLASTIFICATO (PVC); IMPIEGO: INTERNO; DIMENSIONE (X) [CM] = 32 | DIMENSIONE (Y) [CM] = 32 | SPESSORE [MM] = 3 
SPECIFICHE TECNICHE: PLASTICA POLIVINCLORURO PLASTIFICATO (PVC) RINFORZATO E STABILIZZATO DA DOPPIA FIBRA DI VETRO, MINERALI E PIGMENTI, A BORDI BISELLATI E SMUSSATI 
RM2 ADESIVO DI RESINA SINTETICA ACRILICA; FUNZIONE: INCOLLAGGIO; IMPIEGO: RIVESTIMENTI MURALI IN PVC | RIVESTIMENTI MURALI IN PVC ESPANSO | RIVESTIMENTI DI SUGHERO CON SUPPORTO IN PVC 
SPECIFICHE TECNICHE: IN DISPERSIONE ACQUOSA 
RM2 SIGILLANTE POLIURETANICO AUTOLIVELLANTE DI RESINA SINTETICA GENERICO; GEOMETRIA/FORMA: BICOMPONENTE; IMPIEGO: GIUNTI ORIZZONTALI; ALLUNGAMENTO ESERCIZIO [%] &lt; 5 
SPECIFICHE TECNICHE: APPLICAZIONE A COLATURA 
RM2 FONDO BASE DI RESINA SINTETICA ACRILICA; FUNZIONE: PREPARATORE; IMPIEGO: RIVESTIMENTI PLASTICI | PITTURE; PESO SPECIFICO [KG/L] = 1 
SPECIFICHE TECNICHE: FONDI BASE PER RIVESTIMENTI PLASTICI E PITTURE MURALI; ACRILICO ALL'ACQUA 
LV1 LAVORO: POSA. INCLUSO: LISCIATURA FONDO; ASSISTENZE MURARIE; POSA GIUNTI ACCOSTATI E STUCCATI.</t>
        </is>
      </c>
      <c r="M75" s="4" t="inlineStr">
        <is>
          <t>M²</t>
        </is>
      </c>
      <c r="N75" s="5" t="n">
        <v>54.73</v>
      </c>
      <c r="O75" s="45" t="n">
        <v>35.27</v>
      </c>
      <c r="P75" s="45" t="n">
        <v>1930.3271</v>
      </c>
      <c r="Q75" s="5" t="n"/>
      <c r="R75" s="6" t="n"/>
      <c r="S75" s="6">
        <f>IF(AND(Q75&lt;&gt;"",R75&lt;&gt;""),Q75*R75,"")</f>
        <v/>
      </c>
      <c r="T75" s="45">
        <f>IF(S75="",P75,S75)</f>
        <v/>
      </c>
      <c r="U75" s="7" t="n">
        <v>0</v>
      </c>
      <c r="V75" s="6">
        <f>$T75*U75</f>
        <v/>
      </c>
      <c r="W75" s="7" t="n">
        <v>0</v>
      </c>
      <c r="X75" s="6">
        <f>$T75*W75</f>
        <v/>
      </c>
      <c r="Y75" s="7" t="n">
        <v>0</v>
      </c>
      <c r="Z75" s="6">
        <f>$T75*Y75</f>
        <v/>
      </c>
      <c r="AA75" s="7" t="n">
        <v>0</v>
      </c>
      <c r="AB75" s="6">
        <f>$T75*AA75</f>
        <v/>
      </c>
      <c r="AC75" s="7" t="n">
        <v>0</v>
      </c>
      <c r="AD75" s="6">
        <f>$T75*AC75</f>
        <v/>
      </c>
      <c r="AE75" s="7" t="n">
        <v>0</v>
      </c>
      <c r="AF75" s="6">
        <f>$T75*AE75</f>
        <v/>
      </c>
      <c r="AG75" s="7" t="n">
        <v>0</v>
      </c>
      <c r="AH75" s="6">
        <f>$T75*AG75</f>
        <v/>
      </c>
      <c r="AI75" s="7">
        <f>U75+W75+Y75+AA75+AC75+AE75+AG75</f>
        <v/>
      </c>
      <c r="AJ75" s="6">
        <f>V75+X75+Z75+AB75+AD75+AF75+AH75</f>
        <v/>
      </c>
    </row>
    <row r="76" hidden="1" ht="60" customHeight="1" s="46">
      <c r="A76" s="3" t="inlineStr">
        <is>
          <t>LOM241.OC.EEA.A02.C3354.MB012.0000</t>
        </is>
      </c>
      <c r="B76" s="4" t="inlineStr">
        <is>
          <t>1/1</t>
        </is>
      </c>
      <c r="C76" s="3" t="inlineStr">
        <is>
          <t>EDILE</t>
        </is>
      </c>
      <c r="D76" s="4" t="inlineStr">
        <is>
          <t>NON SPECIALE</t>
        </is>
      </c>
      <c r="E76" s="4" t="inlineStr">
        <is>
          <t>EDILI</t>
        </is>
      </c>
      <c r="F76" s="3" t="inlineStr">
        <is>
          <t>1_2025.11.20_CME REV07.PDF</t>
        </is>
      </c>
      <c r="G76" s="4" t="inlineStr">
        <is>
          <t>103</t>
        </is>
      </c>
      <c r="H76" s="3" t="inlineStr">
        <is>
          <t>30 - STRUTTURALE</t>
        </is>
      </c>
      <c r="I76" s="3" t="inlineStr">
        <is>
          <t>NUOVI LABORATORI</t>
        </is>
      </c>
      <c r="J76" s="3" t="inlineStr">
        <is>
          <t>OPERE IN C.A.</t>
        </is>
      </c>
      <c r="K76" s="3" t="inlineStr">
        <is>
          <t xml:space="preserve">OPERA: SOGLIA DAVANZALE DI ROCCIA NATURALE MARMO BIANCO DI CARRARA; IMPIEGO: FINESTRE | PORTE FINESTRE. INCLUSO: MALTA/COLLANTI; GOCCIOLATOIO; LISTELLI IN PVC PER FORMAZIONE VASCHETTA. </t>
        </is>
      </c>
      <c r="L76" s="3" t="inlineStr">
        <is>
          <t>OPERA: SOGLIA DAVANZALE DI ROCCIA NATURALE MARMO BIANCO DI CARRARA; IMPIEGO: FINESTRE | PORTE FINESTRE. INCLUSO: MALTA/COLLANTI; GOCCIOLATOIO; LISTELLI IN PVC PER FORMAZIONE VASCHETTA. 
LAVORO: POSA. INCLUSO: ASSISTENZE MURARIE; PULIZIA FINALE. ESCLUSO: PROTEZIONE IN CORSO LAVORI. 
COMPONENTI: 
OP1 OPERA: SOGLIA DAVANZALE DI ROCCIA NATURALE MARMO BIANCO DI CARRARA; IMPIEGO: FINESTRE | PORTE FINESTRE. INCLUSO: MALTA/COLLANTI; GOCCIOLATOIO; LISTELLI IN PVC PER FORMAZIONE VASCHETTA. 
RM2 LASTRA DI ROCCIA NATURALE MARMO BIANCO DI CARRARA; FINITURA: LEVIGATURA MEDIA; SPESSORE [CM] = 2 
SPECIFICHE TECNICHE: QUALITÀ BUONA C, FACCIA VISTA A LEVIGATURA MEDIA E ALTRA FACCIA GREZZA DI SEGA, COSTE FRESATE A GIUNTO 
RM2 LASTRA DI ROCCIA NATURALE MARMO BIANCO DI CARRARA; FINITURA: LEVIGATURA MEDIA; SPESSORE OGNI [CM] = 1. SOVRAPPREZZO 
SPECIFICHE TECNICHE: QUALITÀ BUONA C, FACCIA VISTA A LEVIGATURA MEDIA E ALTRA FACCIA GREZZA DI SEGA, COSTE FRESATE A GIUNTO 
RM2 LASTRA DI ROCCIA NATURALE MARMO GENERICO; GEOMETRIA/FORMA/ASPETTO: COSTA VISTA LEVIGATA. SOVRAPPREZZO 
SPECIFICHE TECNICHE: SOVRAPPREZZO RISPETTO ALLE COSTE REFILATE A GIUNTO 
RM2 LASTRA DI ROCCIA NATURALE MARMO GENERICO; IMPIEGO: DAVANZALI | SOGLIE. SOVRAPPREZZO 
SPECIFICHE TECNICHE: BATTUTA CON LISTELLI IN PVC INCASTRATI  
RM2 LASTRA DI ROCCIA NATURALE GRANITO GENERICO; FINITURA: LISCIATA DI MOLA; GEOMETRIA/FORMA/ASPETTO: SCURETTO | GOCCIOLATOIO | RIBASSO PASSANTE; DIMENSIONE (X) [CM] = 1 | DIMENSIONE (Y) [CM] = 1. SOVRAPPREZZO 
PO2 PRODOTTO SEMILAVORATO: MALTA, BASTARDA IN CEMENTO GENERICO. 
LAVORO: FORMAZIONE, CON MEZZO MECCANICO. 
SPECIFICHE TECNICHE: CONFEZIONATA IN BETONIERA; DOSAGGIO PER M³: CEMENTO [KG] = 100 | CALCE EMINENTEMENTE IDRAULICA [KG] = 350. 
LV1 LAVORO: POSA. INCLUSO: ASSISTENZE MURARIE; PULIZIA FINALE. ESCLUSO: PROTEZIONE IN CORSO LAVORI.</t>
        </is>
      </c>
      <c r="M76" s="4" t="inlineStr">
        <is>
          <t>M</t>
        </is>
      </c>
      <c r="N76" s="5" t="n">
        <v>13.24</v>
      </c>
      <c r="O76" s="45" t="n">
        <v>58.78</v>
      </c>
      <c r="P76" s="45" t="n">
        <v>778.2472</v>
      </c>
      <c r="Q76" s="5" t="n"/>
      <c r="R76" s="6" t="n"/>
      <c r="S76" s="6">
        <f>IF(AND(Q76&lt;&gt;"",R76&lt;&gt;""),Q76*R76,"")</f>
        <v/>
      </c>
      <c r="T76" s="45">
        <f>IF(S76="",P76,S76)</f>
        <v/>
      </c>
      <c r="U76" s="7" t="n">
        <v>0</v>
      </c>
      <c r="V76" s="6">
        <f>$T76*U76</f>
        <v/>
      </c>
      <c r="W76" s="7" t="n">
        <v>0</v>
      </c>
      <c r="X76" s="6">
        <f>$T76*W76</f>
        <v/>
      </c>
      <c r="Y76" s="7" t="n">
        <v>0</v>
      </c>
      <c r="Z76" s="6">
        <f>$T76*Y76</f>
        <v/>
      </c>
      <c r="AA76" s="7" t="n">
        <v>0</v>
      </c>
      <c r="AB76" s="6">
        <f>$T76*AA76</f>
        <v/>
      </c>
      <c r="AC76" s="7" t="n">
        <v>0</v>
      </c>
      <c r="AD76" s="6">
        <f>$T76*AC76</f>
        <v/>
      </c>
      <c r="AE76" s="7" t="n">
        <v>0</v>
      </c>
      <c r="AF76" s="6">
        <f>$T76*AE76</f>
        <v/>
      </c>
      <c r="AG76" s="7" t="n">
        <v>0</v>
      </c>
      <c r="AH76" s="6">
        <f>$T76*AG76</f>
        <v/>
      </c>
      <c r="AI76" s="7">
        <f>U76+W76+Y76+AA76+AC76+AE76+AG76</f>
        <v/>
      </c>
      <c r="AJ76" s="6">
        <f>V76+X76+Z76+AB76+AD76+AF76+AH76</f>
        <v/>
      </c>
    </row>
    <row r="77" ht="60" customHeight="1" s="46">
      <c r="A77" s="3" t="inlineStr">
        <is>
          <t>LOM241.OC.EEA.A02.C0915.G0000.1000.A</t>
        </is>
      </c>
      <c r="B77" s="4" t="inlineStr">
        <is>
          <t>1/4</t>
        </is>
      </c>
      <c r="C77" s="3" t="inlineStr">
        <is>
          <t>EDILE</t>
        </is>
      </c>
      <c r="D77" s="4" t="inlineStr">
        <is>
          <t>NON SPECIALE</t>
        </is>
      </c>
      <c r="E77" s="4" t="inlineStr">
        <is>
          <t>EDILI</t>
        </is>
      </c>
      <c r="F77" s="3" t="inlineStr">
        <is>
          <t>1_2025.11.20_CME REV07.PDF</t>
        </is>
      </c>
      <c r="G77" s="4" t="inlineStr">
        <is>
          <t>106</t>
        </is>
      </c>
      <c r="H77" s="3" t="inlineStr">
        <is>
          <t>30 - STRUTTURALE</t>
        </is>
      </c>
      <c r="I77" s="3" t="inlineStr">
        <is>
          <t>NUOVI LABORATORI</t>
        </is>
      </c>
      <c r="J77" s="3" t="inlineStr">
        <is>
          <t>OPERE IN C.A.</t>
        </is>
      </c>
      <c r="K77" s="3" t="inlineStr">
        <is>
          <t xml:space="preserve">OPERA: STRATO DI MASSETTO DI CEMENTO GENERICO; FUNZIONE: FORMAZIONE PENDENZE; IMPIEGO: LASTRICI; SPESSORE MEDIO [CM] = 6. INCLUSO: IMPASTO. </t>
        </is>
      </c>
      <c r="L77" s="3" t="inlineStr">
        <is>
          <t>OPERA: STRATO DI MASSETTO DI CEMENTO GENERICO; FUNZIONE: FORMAZIONE PENDENZE; IMPIEGO: LASTRICI; SPESSORE MEDIO [CM] = 6. INCLUSO: IMPASTO. 
LAVORO: POSA. 
SPECIFICHE TECNICHE: SUPERFICIE TIRATA A FRATTAZZO FINE. 
COMPONENTI: 
OP1 OPERA: STRATO DI MASSETTO DI CEMENTO GENERICO; FUNZIONE: FORMAZIONE PENDENZE; IMPIEGO: LASTRICI; SPESSORE MEDIO [CM] = 6. INCLUSO: IMPASTO. 
PO2 PRODOTTO SEMILAVORATO: IMPASTO IN OPERA DI CONGLOMERATO CEMENTIZIO; DOSAGGIO [KG/M³] = 250. 
LAVORO: FORMAZIONE CON MEZZO MECCANICO. 
SPECIFICHE TECNICHE: CONFEZIONATO IN CANTIERE. 
LV1 LAVORO: POSA. 
SPECIFICHE TECNICHE: SUPERFICIE TIRATA A FRATTAZZO FINE. 
RP2 POMPA AUTOCARRATA 
SPECIFICHE TECNICHE: PER QUANTITÀ DI CALCESTRUZZO [M³] ≤ 30 ; CRITERIO DI MISURAZIONE: PER METRO CUBO POMPATO DI CALCESTRUZZO</t>
        </is>
      </c>
      <c r="M77" s="4" t="inlineStr">
        <is>
          <t>M²</t>
        </is>
      </c>
      <c r="N77" s="5" t="n">
        <v>872.4299999999999</v>
      </c>
      <c r="O77" s="45" t="n">
        <v>19.75</v>
      </c>
      <c r="P77" s="45" t="n">
        <v>17230.4925</v>
      </c>
      <c r="Q77" s="5" t="n"/>
      <c r="R77" s="6" t="n"/>
      <c r="S77" s="6">
        <f>IF(AND(Q77&lt;&gt;"",R77&lt;&gt;""),Q77*R77,"")</f>
        <v/>
      </c>
      <c r="T77" s="45">
        <f>IF(S77="",P77,S77)</f>
        <v/>
      </c>
      <c r="U77" s="7" t="n">
        <v>0</v>
      </c>
      <c r="V77" s="6">
        <f>$T77*U77</f>
        <v/>
      </c>
      <c r="W77" s="7" t="n">
        <v>0.5</v>
      </c>
      <c r="X77" s="6">
        <f>$T77*W77</f>
        <v/>
      </c>
      <c r="Y77" s="7" t="n">
        <v>0</v>
      </c>
      <c r="Z77" s="6">
        <f>$T77*Y77</f>
        <v/>
      </c>
      <c r="AA77" s="7" t="n">
        <v>0</v>
      </c>
      <c r="AB77" s="6">
        <f>$T77*AA77</f>
        <v/>
      </c>
      <c r="AC77" s="7" t="n">
        <v>0</v>
      </c>
      <c r="AD77" s="6">
        <f>$T77*AC77</f>
        <v/>
      </c>
      <c r="AE77" s="7" t="n">
        <v>0</v>
      </c>
      <c r="AF77" s="6">
        <f>$T77*AE77</f>
        <v/>
      </c>
      <c r="AG77" s="7" t="n">
        <v>0</v>
      </c>
      <c r="AH77" s="6">
        <f>$T77*AG77</f>
        <v/>
      </c>
      <c r="AI77" s="7">
        <f>U77+W77+Y77+AA77+AC77+AE77+AG77</f>
        <v/>
      </c>
      <c r="AJ77" s="6">
        <f>V77+X77+Z77+AB77+AD77+AF77+AH77</f>
        <v/>
      </c>
    </row>
    <row r="78" ht="60" customHeight="1" s="46">
      <c r="A78" s="3" t="inlineStr">
        <is>
          <t>LOM241.OC.EEA.A02.C1515.D0005.0210</t>
        </is>
      </c>
      <c r="B78" s="4" t="inlineStr">
        <is>
          <t>1/5</t>
        </is>
      </c>
      <c r="C78" s="3" t="inlineStr">
        <is>
          <t>EDILE</t>
        </is>
      </c>
      <c r="D78" s="4" t="inlineStr">
        <is>
          <t>NON SPECIALE</t>
        </is>
      </c>
      <c r="E78" s="4" t="inlineStr">
        <is>
          <t>EDILI</t>
        </is>
      </c>
      <c r="F78" s="3" t="inlineStr">
        <is>
          <t>1_2025.11.20_CME REV07.PDF</t>
        </is>
      </c>
      <c r="G78" s="4" t="inlineStr">
        <is>
          <t>107</t>
        </is>
      </c>
      <c r="H78" s="3" t="inlineStr">
        <is>
          <t>30 - STRUTTURALE</t>
        </is>
      </c>
      <c r="I78" s="3" t="inlineStr">
        <is>
          <t>NUOVI LABORATORI</t>
        </is>
      </c>
      <c r="J78" s="3" t="inlineStr">
        <is>
          <t>OPERE IN C.A.</t>
        </is>
      </c>
      <c r="K78" s="3" t="inlineStr">
        <is>
          <t xml:space="preserve">OPERA: STRATO DI ISOLAMENTO, TERMICO DI PLASTICA POLISTIRENE ESPANSO (EPS); IMPIEGO: COPERTURA PIANA CARRABILE; SPESSORE [MM] = 30. </t>
        </is>
      </c>
      <c r="L78" s="3" t="inlineStr">
        <is>
          <t>OPERA: STRATO DI ISOLAMENTO, TERMICO DI PLASTICA POLISTIRENE ESPANSO (EPS); IMPIEGO: COPERTURA PIANA CARRABILE; SPESSORE [MM] = 30. 
LAVORO: POSA. INCLUSO: TAGLI; SIGILLATURE; ADATTAMENTI; FISSAGGI GENERICI; RACCORDI; ASSISTENZE MURARIE. 
SPECIFICHE TECNICHE: REALIZZATO A TETTO CALDO. 
COMPONENTI: 
OP1 OPERA: STRATO DI ISOLAMENTO, TERMICO DI PLASTICA POLISTIRENE ESPANSO (EPS); IMPIEGO: COPERTURA PIANA CARRABILE; SPESSORE [MM] = 30. 
RM2 LASTRA TERMICO DI PLASTICA POLISTIRENE ESTRUSO (XPS); FINITURA: PELLE SUPERFICIALE LISCIA; GEOMETRIA/FORMA/ASPETTO: PANNELLI | BORDI BATTENTATI/INCASTRO; IMPIEGO: COPERTURE PIANE; SPESSORE [MM] ≤ 40; CONDUTTIVITÀ TERMICA [W/MK] = 0,034 | RESISTENZA A COMPRESSIONE [KPA] = 350 | REAZIONE AL FUOCO [EUROCLASSE] = E 
SPECIFICHE TECNICHE: PRODOTTE CON GAS SENZA CFC E HCFC 
RM2 PREMISCELATO DI CEMENTO GENERICO; FUNZIONE: RASATURA | INCOLLAGGIO; IMPIEGO: SISTEMI DI ISOLAMENTO A CAPPOTTO 
SPECIFICHE TECNICHE: MONOCOMPONENTE 
LV1 LAVORO: POSA. INCLUSO: TAGLI; SIGILLATURE; ADATTAMENTI; FISSAGGI GENERICI; RACCORDI; ASSISTENZE MURARIE. 
SPECIFICHE TECNICHE: REALIZZATO A TETTO CALDO.</t>
        </is>
      </c>
      <c r="M78" s="4" t="inlineStr">
        <is>
          <t>M²</t>
        </is>
      </c>
      <c r="N78" s="5" t="n">
        <v>705.76</v>
      </c>
      <c r="O78" s="45" t="n">
        <v>5.83</v>
      </c>
      <c r="P78" s="45" t="n">
        <v>4114.5808</v>
      </c>
      <c r="Q78" s="5" t="n"/>
      <c r="R78" s="6" t="n"/>
      <c r="S78" s="6">
        <f>IF(AND(Q78&lt;&gt;"",R78&lt;&gt;""),Q78*R78,"")</f>
        <v/>
      </c>
      <c r="T78" s="45">
        <f>IF(S78="",P78,S78)</f>
        <v/>
      </c>
      <c r="U78" s="7" t="n">
        <v>0</v>
      </c>
      <c r="V78" s="6">
        <f>$T78*U78</f>
        <v/>
      </c>
      <c r="W78" s="7" t="n">
        <v>0.7</v>
      </c>
      <c r="X78" s="6">
        <f>$T78*W78</f>
        <v/>
      </c>
      <c r="Y78" s="7" t="n">
        <v>0</v>
      </c>
      <c r="Z78" s="6">
        <f>$T78*Y78</f>
        <v/>
      </c>
      <c r="AA78" s="7" t="n">
        <v>0</v>
      </c>
      <c r="AB78" s="6">
        <f>$T78*AA78</f>
        <v/>
      </c>
      <c r="AC78" s="7" t="n">
        <v>0</v>
      </c>
      <c r="AD78" s="6">
        <f>$T78*AC78</f>
        <v/>
      </c>
      <c r="AE78" s="7" t="n">
        <v>0</v>
      </c>
      <c r="AF78" s="6">
        <f>$T78*AE78</f>
        <v/>
      </c>
      <c r="AG78" s="7" t="n">
        <v>0</v>
      </c>
      <c r="AH78" s="6">
        <f>$T78*AG78</f>
        <v/>
      </c>
      <c r="AI78" s="7">
        <f>U78+W78+Y78+AA78+AC78+AE78+AG78</f>
        <v/>
      </c>
      <c r="AJ78" s="6">
        <f>V78+X78+Z78+AB78+AD78+AF78+AH78</f>
        <v/>
      </c>
    </row>
    <row r="79" ht="60" customHeight="1" s="46">
      <c r="A79" s="3" t="inlineStr">
        <is>
          <t>LOM241.OC.EEA.A02.C1215.R0000.0895</t>
        </is>
      </c>
      <c r="B79" s="4" t="inlineStr">
        <is>
          <t>1/1</t>
        </is>
      </c>
      <c r="C79" s="3" t="inlineStr">
        <is>
          <t>EDILE</t>
        </is>
      </c>
      <c r="D79" s="4" t="inlineStr">
        <is>
          <t>NON SPECIALE</t>
        </is>
      </c>
      <c r="E79" s="4" t="inlineStr">
        <is>
          <t>EDILI</t>
        </is>
      </c>
      <c r="F79" s="3" t="inlineStr">
        <is>
          <t>1_2025.11.20_CME REV07.PDF</t>
        </is>
      </c>
      <c r="G79" s="4" t="inlineStr">
        <is>
          <t>108</t>
        </is>
      </c>
      <c r="H79" s="3" t="inlineStr">
        <is>
          <t>30 - STRUTTURALE</t>
        </is>
      </c>
      <c r="I79" s="3" t="inlineStr">
        <is>
          <t>NUOVI LABORATORI</t>
        </is>
      </c>
      <c r="J79" s="3" t="inlineStr">
        <is>
          <t>OPERE IN C.A.</t>
        </is>
      </c>
      <c r="K79" s="3" t="inlineStr">
        <is>
          <t xml:space="preserve">OPERA: STRATO DI COPERTURA, PANNELLI COIBENTATI DI METALLO GENERICO; FINITURA: PREVERNICIATA. ESCLUSO: LATTONERIA ACCESSORIA; ELEMENTI DI RACCORDO PER COPERTURA IN LASTRE. </t>
        </is>
      </c>
      <c r="L79" s="3" t="inlineStr">
        <is>
          <t>OPERA: STRATO DI COPERTURA, PANNELLI COIBENTATI DI METALLO GENERICO; FINITURA: PREVERNICIATA. ESCLUSO: LATTONERIA ACCESSORIA; ELEMENTI DI RACCORDO PER COPERTURA IN LASTRE. 
LAVORO: POSA. INCLUSO: TAGLI; ADATTAMENTI; SFRIDI; SORMONTI; FISSAGGI ALLA SOTTOSTANTE STRUTTURA; ASSISTENZE EDILI. 
SPECIFICHE TECNICHE: PANNELLI METALLICI AUTOPORTANTI POSATI CON FISSAGGIO NASCOSTO. 
COMPONENTI: 
OP1 OPERA: STRATO DI COPERTURA, PANNELLI COIBENTATI DI METALLO GENERICO; FINITURA: PREVERNICIATA. ESCLUSO: LATTONERIA ACCESSORIA; ELEMENTI DI RACCORDO PER COPERTURA IN LASTRE. 
SPECIFICHE TECNICHE:PANNELLI METALLICI AUTOPORTANTI POSATI CON FISSAGGIO NASCOSTO. 
RM2 PANNELLO COIBENTATO DI METALLO GENERICO; FINITURA: LEGA ALLUMINIO GENERICO PREVERNICIATA; GEOMETRIA/FORMA/ASPETTO: GRECATO; IMPIEGO: COPERTURE 
SPECIFICHE TECNICHE: PANNELLO AUTOPORTANTE COMPOSTO DA: SUPPORTO INFERIORE | STRATO INTERMEDIO DI ISOLAMENTO | SUPPORTO ESTERNO  
RM2 FERRAMENTA VITE DI METALLO FERRO; GEOMETRIA/FORMA/ASPETTO: AUTOPERFORANTI; FUNZIONE: FISSAGGIO; IMPIEGO: LASTRE 
LV1 LAVORO: POSA. INCLUSO: TAGLI; ADATTAMENTI; SFRIDI; SORMONTI; FISSAGGI ALLA SOTTOSTANTE STRUTTURA; ASSISTENZE EDILI.</t>
        </is>
      </c>
      <c r="M79" s="4" t="inlineStr">
        <is>
          <t>M²</t>
        </is>
      </c>
      <c r="N79" s="5" t="n">
        <v>32.28</v>
      </c>
      <c r="O79" s="45" t="n">
        <v>446.71</v>
      </c>
      <c r="P79" s="45" t="n">
        <v>14419.7988</v>
      </c>
      <c r="Q79" s="5" t="n"/>
      <c r="R79" s="6" t="n"/>
      <c r="S79" s="6">
        <f>IF(AND(Q79&lt;&gt;"",R79&lt;&gt;""),Q79*R79,"")</f>
        <v/>
      </c>
      <c r="T79" s="45">
        <f>IF(S79="",P79,S79)</f>
        <v/>
      </c>
      <c r="U79" s="7" t="n">
        <v>0</v>
      </c>
      <c r="V79" s="6">
        <f>$T79*U79</f>
        <v/>
      </c>
      <c r="W79" s="7" t="n">
        <v>0.7</v>
      </c>
      <c r="X79" s="6">
        <f>$T79*W79</f>
        <v/>
      </c>
      <c r="Y79" s="7" t="n">
        <v>0</v>
      </c>
      <c r="Z79" s="6">
        <f>$T79*Y79</f>
        <v/>
      </c>
      <c r="AA79" s="7" t="n">
        <v>0</v>
      </c>
      <c r="AB79" s="6">
        <f>$T79*AA79</f>
        <v/>
      </c>
      <c r="AC79" s="7" t="n">
        <v>0</v>
      </c>
      <c r="AD79" s="6">
        <f>$T79*AC79</f>
        <v/>
      </c>
      <c r="AE79" s="7" t="n">
        <v>0</v>
      </c>
      <c r="AF79" s="6">
        <f>$T79*AE79</f>
        <v/>
      </c>
      <c r="AG79" s="7" t="n">
        <v>0</v>
      </c>
      <c r="AH79" s="6">
        <f>$T79*AG79</f>
        <v/>
      </c>
      <c r="AI79" s="7">
        <f>U79+W79+Y79+AA79+AC79+AE79+AG79</f>
        <v/>
      </c>
      <c r="AJ79" s="6">
        <f>V79+X79+Z79+AB79+AD79+AF79+AH79</f>
        <v/>
      </c>
    </row>
    <row r="80" ht="60" customHeight="1" s="46">
      <c r="A80" s="3" t="inlineStr">
        <is>
          <t>LOM241.OC.EEA.A02.C1515.D0005.0210</t>
        </is>
      </c>
      <c r="B80" s="4" t="inlineStr">
        <is>
          <t>2/5</t>
        </is>
      </c>
      <c r="C80" s="3" t="inlineStr">
        <is>
          <t>EDILE</t>
        </is>
      </c>
      <c r="D80" s="4" t="inlineStr">
        <is>
          <t>NON SPECIALE</t>
        </is>
      </c>
      <c r="E80" s="4" t="inlineStr">
        <is>
          <t>EDILI</t>
        </is>
      </c>
      <c r="F80" s="3" t="inlineStr">
        <is>
          <t>1_2025.11.20_CME REV07.PDF</t>
        </is>
      </c>
      <c r="G80" s="4" t="inlineStr">
        <is>
          <t>109</t>
        </is>
      </c>
      <c r="H80" s="3" t="inlineStr">
        <is>
          <t>30 - STRUTTURALE</t>
        </is>
      </c>
      <c r="I80" s="3" t="inlineStr">
        <is>
          <t>NUOVI LABORATORI</t>
        </is>
      </c>
      <c r="J80" s="3" t="inlineStr">
        <is>
          <t>OPERE IN C.A.</t>
        </is>
      </c>
      <c r="K80" s="3" t="inlineStr">
        <is>
          <t xml:space="preserve">OPERA: STRATO DI ISOLAMENTO, TERMICO DI PLASTICA POLISTIRENE ESPANSO (EPS); IMPIEGO: COPERTURA PIANA CARRABILE; SPESSORE [MM] = 30. </t>
        </is>
      </c>
      <c r="L80" s="3" t="inlineStr">
        <is>
          <t>OPERA: STRATO DI ISOLAMENTO, TERMICO DI PLASTICA POLISTIRENE ESPANSO (EPS); IMPIEGO: COPERTURA PIANA CARRABILE; SPESSORE [MM] = 30. 
LAVORO: POSA. INCLUSO: TAGLI; SIGILLATURE; ADATTAMENTI; FISSAGGI GENERICI; RACCORDI; ASSISTENZE MURARIE. 
SPECIFICHE TECNICHE: REALIZZATO A TETTO CALDO. 
COMPONENTI: 
OP1 OPERA: STRATO DI ISOLAMENTO, TERMICO DI PLASTICA POLISTIRENE ESPANSO (EPS); IMPIEGO: COPERTURA PIANA CARRABILE; SPESSORE [MM] = 30. 
RM2 LASTRA TERMICO DI PLASTICA POLISTIRENE ESTRUSO (XPS); FINITURA: PELLE SUPERFICIALE LISCIA; GEOMETRIA/FORMA/ASPETTO: PANNELLI | BORDI BATTENTATI/INCASTRO; IMPIEGO: COPERTURE PIANE; SPESSORE [MM] ≤ 40; CONDUTTIVITÀ TERMICA [W/MK] = 0,034 | RESISTENZA A COMPRESSIONE [KPA] = 350 | REAZIONE AL FUOCO [EUROCLASSE] = E 
SPECIFICHE TECNICHE: PRODOTTE CON GAS SENZA CFC E HCFC 
RM2 PREMISCELATO DI CEMENTO GENERICO; FUNZIONE: RASATURA | INCOLLAGGIO; IMPIEGO: SISTEMI DI ISOLAMENTO A CAPPOTTO 
SPECIFICHE TECNICHE: MONOCOMPONENTE 
LV1 LAVORO: POSA. INCLUSO: TAGLI; SIGILLATURE; ADATTAMENTI; FISSAGGI GENERICI; RACCORDI; ASSISTENZE MURARIE. 
SPECIFICHE TECNICHE: REALIZZATO A TETTO CALDO.</t>
        </is>
      </c>
      <c r="M80" s="4" t="inlineStr">
        <is>
          <t>M²</t>
        </is>
      </c>
      <c r="N80" s="5" t="n">
        <v>674.1</v>
      </c>
      <c r="O80" s="45" t="n">
        <v>5.24</v>
      </c>
      <c r="P80" s="45" t="n">
        <v>3532.284</v>
      </c>
      <c r="Q80" s="5" t="n"/>
      <c r="R80" s="6" t="n"/>
      <c r="S80" s="6">
        <f>IF(AND(Q80&lt;&gt;"",R80&lt;&gt;""),Q80*R80,"")</f>
        <v/>
      </c>
      <c r="T80" s="45">
        <f>IF(S80="",P80,S80)</f>
        <v/>
      </c>
      <c r="U80" s="7" t="n">
        <v>0</v>
      </c>
      <c r="V80" s="6">
        <f>$T80*U80</f>
        <v/>
      </c>
      <c r="W80" s="7" t="n">
        <v>0.5</v>
      </c>
      <c r="X80" s="6">
        <f>$T80*W80</f>
        <v/>
      </c>
      <c r="Y80" s="7" t="n">
        <v>0</v>
      </c>
      <c r="Z80" s="6">
        <f>$T80*Y80</f>
        <v/>
      </c>
      <c r="AA80" s="7" t="n">
        <v>0</v>
      </c>
      <c r="AB80" s="6">
        <f>$T80*AA80</f>
        <v/>
      </c>
      <c r="AC80" s="7" t="n">
        <v>0</v>
      </c>
      <c r="AD80" s="6">
        <f>$T80*AC80</f>
        <v/>
      </c>
      <c r="AE80" s="7" t="n">
        <v>0</v>
      </c>
      <c r="AF80" s="6">
        <f>$T80*AE80</f>
        <v/>
      </c>
      <c r="AG80" s="7" t="n">
        <v>0</v>
      </c>
      <c r="AH80" s="6">
        <f>$T80*AG80</f>
        <v/>
      </c>
      <c r="AI80" s="7">
        <f>U80+W80+Y80+AA80+AC80+AE80+AG80</f>
        <v/>
      </c>
      <c r="AJ80" s="6">
        <f>V80+X80+Z80+AB80+AD80+AF80+AH80</f>
        <v/>
      </c>
    </row>
    <row r="81" ht="60" customHeight="1" s="46">
      <c r="A81" s="3" t="inlineStr">
        <is>
          <t>LOM241.OC.EEA.A02.C0915.G0000.1000.A</t>
        </is>
      </c>
      <c r="B81" s="4" t="inlineStr">
        <is>
          <t>2/4</t>
        </is>
      </c>
      <c r="C81" s="3" t="inlineStr">
        <is>
          <t>EDILE</t>
        </is>
      </c>
      <c r="D81" s="4" t="inlineStr">
        <is>
          <t>NON SPECIALE</t>
        </is>
      </c>
      <c r="E81" s="4" t="inlineStr">
        <is>
          <t>EDILI</t>
        </is>
      </c>
      <c r="F81" s="3" t="inlineStr">
        <is>
          <t>1_2025.11.20_CME REV07.PDF</t>
        </is>
      </c>
      <c r="G81" s="4" t="inlineStr">
        <is>
          <t>111</t>
        </is>
      </c>
      <c r="H81" s="3" t="inlineStr">
        <is>
          <t>30 - STRUTTURALE</t>
        </is>
      </c>
      <c r="I81" s="3" t="inlineStr">
        <is>
          <t>NUOVI LABORATORI</t>
        </is>
      </c>
      <c r="J81" s="3" t="inlineStr">
        <is>
          <t>OPERE IN C.A.</t>
        </is>
      </c>
      <c r="K81" s="3" t="inlineStr">
        <is>
          <t xml:space="preserve">OPERA: STRATO DI MASSETTO DI CEMENTO GENERICO; FUNZIONE: FORMAZIONE PENDENZE; IMPIEGO: LASTRICI; SPESSORE MEDIO [CM] = 6. INCLUSO: IMPASTO. </t>
        </is>
      </c>
      <c r="L81" s="3" t="inlineStr">
        <is>
          <t>OPERA: STRATO DI MASSETTO DI CEMENTO GENERICO; FUNZIONE: FORMAZIONE PENDENZE; IMPIEGO: LASTRICI; SPESSORE MEDIO [CM] = 6. INCLUSO: IMPASTO. 
LAVORO: POSA. 
SPECIFICHE TECNICHE: SUPERFICIE TIRATA A FRATTAZZO FINE. 
COMPONENTI: 
OP1 OPERA: STRATO DI MASSETTO DI CEMENTO GENERICO; FUNZIONE: FORMAZIONE PENDENZE; IMPIEGO: LASTRICI; SPESSORE MEDIO [CM] = 6. INCLUSO: IMPASTO. 
PO2 PRODOTTO SEMILAVORATO: IMPASTO IN OPERA DI CONGLOMERATO CEMENTIZIO; DOSAGGIO [KG/M³] = 250. 
LAVORO: FORMAZIONE CON MEZZO MECCANICO. 
SPECIFICHE TECNICHE: CONFEZIONATO IN CANTIERE. 
LV1 LAVORO: POSA. 
SPECIFICHE TECNICHE: SUPERFICIE TIRATA A FRATTAZZO FINE. 
RP2 POMPA AUTOCARRATA 
SPECIFICHE TECNICHE: PER QUANTITÀ DI CALCESTRUZZO [M³] ≤ 30 ; CRITERIO DI MISURAZIONE: PER METRO CUBO POMPATO DI CALCESTRUZZO</t>
        </is>
      </c>
      <c r="M81" s="4" t="inlineStr">
        <is>
          <t>M²</t>
        </is>
      </c>
      <c r="N81" s="5" t="n">
        <v>356.43</v>
      </c>
      <c r="O81" s="45" t="n">
        <v>19.75</v>
      </c>
      <c r="P81" s="45" t="n">
        <v>7039.4925</v>
      </c>
      <c r="Q81" s="5" t="n"/>
      <c r="R81" s="6" t="n"/>
      <c r="S81" s="6">
        <f>IF(AND(Q81&lt;&gt;"",R81&lt;&gt;""),Q81*R81,"")</f>
        <v/>
      </c>
      <c r="T81" s="45">
        <f>IF(S81="",P81,S81)</f>
        <v/>
      </c>
      <c r="U81" s="7" t="n">
        <v>0</v>
      </c>
      <c r="V81" s="6">
        <f>$T81*U81</f>
        <v/>
      </c>
      <c r="W81" s="7" t="n">
        <v>0.5</v>
      </c>
      <c r="X81" s="6">
        <f>$T81*W81</f>
        <v/>
      </c>
      <c r="Y81" s="7" t="n">
        <v>0</v>
      </c>
      <c r="Z81" s="6">
        <f>$T81*Y81</f>
        <v/>
      </c>
      <c r="AA81" s="7" t="n">
        <v>0</v>
      </c>
      <c r="AB81" s="6">
        <f>$T81*AA81</f>
        <v/>
      </c>
      <c r="AC81" s="7" t="n">
        <v>0</v>
      </c>
      <c r="AD81" s="6">
        <f>$T81*AC81</f>
        <v/>
      </c>
      <c r="AE81" s="7" t="n">
        <v>0</v>
      </c>
      <c r="AF81" s="6">
        <f>$T81*AE81</f>
        <v/>
      </c>
      <c r="AG81" s="7" t="n">
        <v>0</v>
      </c>
      <c r="AH81" s="6">
        <f>$T81*AG81</f>
        <v/>
      </c>
      <c r="AI81" s="7">
        <f>U81+W81+Y81+AA81+AC81+AE81+AG81</f>
        <v/>
      </c>
      <c r="AJ81" s="6">
        <f>V81+X81+Z81+AB81+AD81+AF81+AH81</f>
        <v/>
      </c>
    </row>
    <row r="82" ht="60" customHeight="1" s="46">
      <c r="A82" s="3" t="inlineStr">
        <is>
          <t>LOM241.OC.EEA.A02.C1515.D0005.0210</t>
        </is>
      </c>
      <c r="B82" s="4" t="inlineStr">
        <is>
          <t>3/5</t>
        </is>
      </c>
      <c r="C82" s="3" t="inlineStr">
        <is>
          <t>EDILE</t>
        </is>
      </c>
      <c r="D82" s="4" t="inlineStr">
        <is>
          <t>NON SPECIALE</t>
        </is>
      </c>
      <c r="E82" s="4" t="inlineStr">
        <is>
          <t>EDILI</t>
        </is>
      </c>
      <c r="F82" s="3" t="inlineStr">
        <is>
          <t>1_2025.11.20_CME REV07.PDF</t>
        </is>
      </c>
      <c r="G82" s="4" t="inlineStr">
        <is>
          <t>112</t>
        </is>
      </c>
      <c r="H82" s="3" t="inlineStr">
        <is>
          <t>30 - STRUTTURALE</t>
        </is>
      </c>
      <c r="I82" s="3" t="inlineStr">
        <is>
          <t>NUOVI LABORATORI</t>
        </is>
      </c>
      <c r="J82" s="3" t="inlineStr">
        <is>
          <t>OPERE IN C.A.</t>
        </is>
      </c>
      <c r="K82" s="3" t="inlineStr">
        <is>
          <t xml:space="preserve">OPERA: STRATO DI ISOLAMENTO, TERMICO DI PLASTICA POLISTIRENE ESPANSO (EPS); IMPIEGO: COPERTURA PIANA CARRABILE; SPESSORE [MM] = 30. </t>
        </is>
      </c>
      <c r="L82" s="3" t="inlineStr">
        <is>
          <t>OPERA: STRATO DI ISOLAMENTO, TERMICO DI PLASTICA POLISTIRENE ESPANSO (EPS); IMPIEGO: COPERTURA PIANA CARRABILE; SPESSORE [MM] = 30. 
LAVORO: POSA. INCLUSO: TAGLI; SIGILLATURE; ADATTAMENTI; FISSAGGI GENERICI; RACCORDI; ASSISTENZE MURARIE. 
SPECIFICHE TECNICHE: REALIZZATO A TETTO CALDO. 
COMPONENTI: 
OP1 OPERA: STRATO DI ISOLAMENTO, TERMICO DI PLASTICA POLISTIRENE ESPANSO (EPS); IMPIEGO: COPERTURA PIANA CARRABILE; SPESSORE [MM] = 30. 
RM2 LASTRA TERMICO DI PLASTICA POLISTIRENE ESTRUSO (XPS); FINITURA: PELLE SUPERFICIALE LISCIA; GEOMETRIA/FORMA/ASPETTO: PANNELLI | BORDI BATTENTATI/INCASTRO; IMPIEGO: COPERTURE PIANE; SPESSORE [MM] ≤ 40; CONDUTTIVITÀ TERMICA [W/MK] = 0,034 | RESISTENZA A COMPRESSIONE [KPA] = 350 | REAZIONE AL FUOCO [EUROCLASSE] = E 
SPECIFICHE TECNICHE: PRODOTTE CON GAS SENZA CFC E HCFC 
RM2 PREMISCELATO DI CEMENTO GENERICO; FUNZIONE: RASATURA | INCOLLAGGIO; IMPIEGO: SISTEMI DI ISOLAMENTO A CAPPOTTO 
SPECIFICHE TECNICHE: MONOCOMPONENTE 
LV1 LAVORO: POSA. INCLUSO: TAGLI; SIGILLATURE; ADATTAMENTI; FISSAGGI GENERICI; RACCORDI; ASSISTENZE MURARIE. 
SPECIFICHE TECNICHE: REALIZZATO A TETTO CALDO.</t>
        </is>
      </c>
      <c r="M82" s="4" t="inlineStr">
        <is>
          <t>M²</t>
        </is>
      </c>
      <c r="N82" s="5" t="n">
        <v>1303.87</v>
      </c>
      <c r="O82" s="45" t="n">
        <v>5.43</v>
      </c>
      <c r="P82" s="45" t="n">
        <v>7080.0141</v>
      </c>
      <c r="Q82" s="5" t="n"/>
      <c r="R82" s="6" t="n"/>
      <c r="S82" s="6">
        <f>IF(AND(Q82&lt;&gt;"",R82&lt;&gt;""),Q82*R82,"")</f>
        <v/>
      </c>
      <c r="T82" s="45">
        <f>IF(S82="",P82,S82)</f>
        <v/>
      </c>
      <c r="U82" s="7" t="n">
        <v>0</v>
      </c>
      <c r="V82" s="6">
        <f>$T82*U82</f>
        <v/>
      </c>
      <c r="W82" s="7" t="n">
        <v>0.5</v>
      </c>
      <c r="X82" s="6">
        <f>$T82*W82</f>
        <v/>
      </c>
      <c r="Y82" s="7" t="n">
        <v>0</v>
      </c>
      <c r="Z82" s="6">
        <f>$T82*Y82</f>
        <v/>
      </c>
      <c r="AA82" s="7" t="n">
        <v>0</v>
      </c>
      <c r="AB82" s="6">
        <f>$T82*AA82</f>
        <v/>
      </c>
      <c r="AC82" s="7" t="n">
        <v>0</v>
      </c>
      <c r="AD82" s="6">
        <f>$T82*AC82</f>
        <v/>
      </c>
      <c r="AE82" s="7" t="n">
        <v>0</v>
      </c>
      <c r="AF82" s="6">
        <f>$T82*AE82</f>
        <v/>
      </c>
      <c r="AG82" s="7" t="n">
        <v>0</v>
      </c>
      <c r="AH82" s="6">
        <f>$T82*AG82</f>
        <v/>
      </c>
      <c r="AI82" s="7">
        <f>U82+W82+Y82+AA82+AC82+AE82+AG82</f>
        <v/>
      </c>
      <c r="AJ82" s="6">
        <f>V82+X82+Z82+AB82+AD82+AF82+AH82</f>
        <v/>
      </c>
    </row>
    <row r="83" ht="60" customHeight="1" s="46">
      <c r="A83" s="3" t="inlineStr">
        <is>
          <t>LOM241.OC.EEA.A02.C1515.E0000.0000</t>
        </is>
      </c>
      <c r="B83" s="4" t="inlineStr">
        <is>
          <t>1/2</t>
        </is>
      </c>
      <c r="C83" s="3" t="inlineStr">
        <is>
          <t>EDILE</t>
        </is>
      </c>
      <c r="D83" s="4" t="inlineStr">
        <is>
          <t>NON SPECIALE</t>
        </is>
      </c>
      <c r="E83" s="4" t="inlineStr">
        <is>
          <t>EDILI</t>
        </is>
      </c>
      <c r="F83" s="3" t="inlineStr">
        <is>
          <t>1_2025.11.20_CME REV07.PDF</t>
        </is>
      </c>
      <c r="G83" s="4" t="inlineStr">
        <is>
          <t>115</t>
        </is>
      </c>
      <c r="H83" s="3" t="inlineStr">
        <is>
          <t>30 - STRUTTURALE</t>
        </is>
      </c>
      <c r="I83" s="3" t="inlineStr">
        <is>
          <t>NUOVI LABORATORI</t>
        </is>
      </c>
      <c r="J83" s="3" t="inlineStr">
        <is>
          <t>OPERE IN C.A.</t>
        </is>
      </c>
      <c r="K83" s="3" t="inlineStr">
        <is>
          <t xml:space="preserve">OPERA: STRATO DI ISOLAMENTO, ACUSTICO DI GOMMA GENERICO; IMPIEGO: SOTTOPAVIMENTI; SPESSORE [MM] = 5. INCLUSO: RACCORDI. </t>
        </is>
      </c>
      <c r="L83" s="3" t="inlineStr">
        <is>
          <t>OPERA: STRATO DI ISOLAMENTO, ACUSTICO DI GOMMA GENERICO; IMPIEGO: SOTTOPAVIMENTI; SPESSORE [MM] = 5. INCLUSO: RACCORDI. 
LAVORO: POSA. INCLUSO: TAGLI; SIGILLATURA; SOVRAPPOSIZIONI; ADATTAMENTI; FISSAGGI; ASSISTENZE MURARIE. 
COMPONENTI: 
OP1 OPERA: STRATO DI ISOLAMENTO, ACUSTICO DI GOMMA GENERICO; IMPIEGO: SOTTOPAVIMENTI; SPESSORE [MM] = 5. INCLUSO: RACCORDI. 
RM2 ROTOLO ACUSTICO DI GOMMA GENERICO; FINITURA: GRANULATA; GEOMETRIA/FORMA/ASPETTO: ROTOLI; FUNZIONE: ISOLAMENTO ACUSTICO; IMPIEGO: SOLAI INTERMEDI; SPESSORE [MM] = 5; DENSITÀ [KG/M³] = 3 
SPECIFICHE TECNICHE: COMPOSTO DA GOMMA GENERICO CON LATTICE PURE E ROCCIA NATURALE PERLITE ESPANSA, APPLICATO SU SUPPORTO IN CARTA POLITENATA 
RM2 ADESIVO DI GESSO GENERICO; GEOMETRIA/FORMA/ASPETTO: POLVERE; FUNZIONE: SIGILLANTE; IMPIEGO: LASTRE 
LV1 LAVORO: POSA. INCLUSO: TAGLI; SIGILLATURA; SOVRAPPOSIZIONI; ADATTAMENTI; FISSAGGI; ASSISTENZE MURARIE.</t>
        </is>
      </c>
      <c r="M83" s="4" t="inlineStr">
        <is>
          <t>M²</t>
        </is>
      </c>
      <c r="N83" s="5" t="n">
        <v>422.37</v>
      </c>
      <c r="O83" s="45" t="n">
        <v>12.85</v>
      </c>
      <c r="P83" s="45" t="n">
        <v>5427.4545</v>
      </c>
      <c r="Q83" s="5" t="n"/>
      <c r="R83" s="6" t="n"/>
      <c r="S83" s="6">
        <f>IF(AND(Q83&lt;&gt;"",R83&lt;&gt;""),Q83*R83,"")</f>
        <v/>
      </c>
      <c r="T83" s="45">
        <f>IF(S83="",P83,S83)</f>
        <v/>
      </c>
      <c r="U83" s="7" t="n">
        <v>0</v>
      </c>
      <c r="V83" s="6">
        <f>$T83*U83</f>
        <v/>
      </c>
      <c r="W83" s="7" t="n">
        <v>0.5</v>
      </c>
      <c r="X83" s="6">
        <f>$T83*W83</f>
        <v/>
      </c>
      <c r="Y83" s="7" t="n">
        <v>0</v>
      </c>
      <c r="Z83" s="6">
        <f>$T83*Y83</f>
        <v/>
      </c>
      <c r="AA83" s="7" t="n">
        <v>0</v>
      </c>
      <c r="AB83" s="6">
        <f>$T83*AA83</f>
        <v/>
      </c>
      <c r="AC83" s="7" t="n">
        <v>0</v>
      </c>
      <c r="AD83" s="6">
        <f>$T83*AC83</f>
        <v/>
      </c>
      <c r="AE83" s="7" t="n">
        <v>0</v>
      </c>
      <c r="AF83" s="6">
        <f>$T83*AE83</f>
        <v/>
      </c>
      <c r="AG83" s="7" t="n">
        <v>0</v>
      </c>
      <c r="AH83" s="6">
        <f>$T83*AG83</f>
        <v/>
      </c>
      <c r="AI83" s="7">
        <f>U83+W83+Y83+AA83+AC83+AE83+AG83</f>
        <v/>
      </c>
      <c r="AJ83" s="6">
        <f>V83+X83+Z83+AB83+AD83+AF83+AH83</f>
        <v/>
      </c>
    </row>
    <row r="84" ht="60" customHeight="1" s="46">
      <c r="A84" s="3" t="inlineStr">
        <is>
          <t>LOM241.OC.EEA.A04.C1505.D0000.0025</t>
        </is>
      </c>
      <c r="B84" s="4" t="inlineStr">
        <is>
          <t>2/2</t>
        </is>
      </c>
      <c r="C84" s="3" t="inlineStr">
        <is>
          <t>EDILE</t>
        </is>
      </c>
      <c r="D84" s="4" t="inlineStr">
        <is>
          <t>NON SPECIALE</t>
        </is>
      </c>
      <c r="E84" s="4" t="inlineStr">
        <is>
          <t>EDILI</t>
        </is>
      </c>
      <c r="F84" s="3" t="inlineStr">
        <is>
          <t>1_2025.11.20_CME REV07.PDF</t>
        </is>
      </c>
      <c r="G84" s="4" t="inlineStr">
        <is>
          <t>116</t>
        </is>
      </c>
      <c r="H84" s="3" t="inlineStr">
        <is>
          <t>30 - STRUTTURALE</t>
        </is>
      </c>
      <c r="I84" s="3" t="inlineStr">
        <is>
          <t>NUOVI LABORATORI</t>
        </is>
      </c>
      <c r="J84" s="3" t="inlineStr">
        <is>
          <t>OPERE IN C.A.</t>
        </is>
      </c>
      <c r="K84" s="3" t="inlineStr">
        <is>
          <t xml:space="preserve">OPERA: STRATO DI VESPAIO DI PLASTICA GENERICO; ALTEZZA TOT [CM] = 26 ÷ 31. ESCLUSO: ARMATURA IN FERRO; BORDI DI CONTENIMENTO SE NECESSARI. </t>
        </is>
      </c>
      <c r="L84" s="3" t="inlineStr">
        <is>
          <t>OPERA: STRATO DI VESPAIO DI PLASTICA GENERICO; ALTEZZA TOT [CM] = 26 ÷ 31. ESCLUSO: ARMATURA IN FERRO; BORDI DI CONTENIMENTO SE NECESSARI. 
LAVORO: FORMAZIONE. 
SPECIFICHE TECNICHE: COMPOSTO DA: STRATO DI SOTTOFONDO, ALTEZZA [CM] = 8; CASSERO A PERDERE, ALTEZZA [CM] = 15 ÷ 20; STRATO DI IRRIGIDIMENTO, ALTEZZA [CM] = 5. 
COMPONENTI: 
OP1 OPERA: STRATO DI VESPAIO DI PLASTICA GENERICO; ALTEZZA TOT [CM] = 26 ÷ 31. ESCLUSO: ARMATURA IN FERRO; BORDI DI CONTENIMENTO SE NECESSARI. 
SPECIFICHE TECNICHE: COMPOSTO DA: STRATO DI SOTTOFONDO, ALTEZZA [CM] = 8; CASSERO A PERDERE, ALTEZZA [CM] = 15 ÷ 20; STRATO DI IRRIGIDIMENTO, ALTEZZA [CM] = 5. 
RM2 CASSERO A PERDERE MODULO DI PLASTICA GENERICO; FUNZIONE: AUTOPORTANTE; IMPIEGO: VESPAIO AERATO; ALTEZZA [CM] = 15 ÷ 20 
OC2 OPERA: STRATO DI IRRIGIDIMENTO DI CONGLOMERATO CEMENTIZIO; IMPIEGO: SOLAIO | VESPAIO AERATO; SPESSORE [CM] = 5. ESCLUSO: ARMATURA; BORDI DI CONTENIMENTO. 
LAVORO: GETTO CON POMPA. INCLUSO: VIBRATURA. 
SPECIFICHE TECNICHE: RESISTENZA CALCESTRUZZO [CLASSE] = C20/25, QUANTITÀ DI CALCESTRUZZO GETTATO [MC] ≤ 30. 
OC2 OPERA: STRATO DI SOTTOFONDO, DI RIEMPIMENTO ALLEGGERITO DI CONGLOMERATO CEMENTIZIO; FUNZIONE: FONOASSORBENTE | TERMOISOLANTE; IMPIEGO: A BASE CEMENTIZIA; SPESSORE [CM] = 8. 
LAVORO: GETTO. 
SPECIFICHE TECNICHE: COSTIPATO E LIVELLATO A FRATTAZZO LUNGO; QUANTITÀ DI CALCESTRUZZO GETTATO [MC] ≤ 30. 
LV1 LAVORO: FORMAZIONE.</t>
        </is>
      </c>
      <c r="M84" s="4" t="inlineStr">
        <is>
          <t>M²</t>
        </is>
      </c>
      <c r="N84" s="5" t="n">
        <v>299.18</v>
      </c>
      <c r="O84" s="45" t="n">
        <v>43.73</v>
      </c>
      <c r="P84" s="45" t="n">
        <v>13083.1414</v>
      </c>
      <c r="Q84" s="5" t="n"/>
      <c r="R84" s="6" t="n"/>
      <c r="S84" s="6">
        <f>IF(AND(Q84&lt;&gt;"",R84&lt;&gt;""),Q84*R84,"")</f>
        <v/>
      </c>
      <c r="T84" s="45">
        <f>IF(S84="",P84,S84)</f>
        <v/>
      </c>
      <c r="U84" s="7" t="n">
        <v>0</v>
      </c>
      <c r="V84" s="6">
        <f>$T84*U84</f>
        <v/>
      </c>
      <c r="W84" s="7" t="n">
        <v>0.8</v>
      </c>
      <c r="X84" s="6">
        <f>$T84*W84</f>
        <v/>
      </c>
      <c r="Y84" s="7" t="n">
        <v>0</v>
      </c>
      <c r="Z84" s="6">
        <f>$T84*Y84</f>
        <v/>
      </c>
      <c r="AA84" s="7" t="n">
        <v>0</v>
      </c>
      <c r="AB84" s="6">
        <f>$T84*AA84</f>
        <v/>
      </c>
      <c r="AC84" s="7" t="n">
        <v>0</v>
      </c>
      <c r="AD84" s="6">
        <f>$T84*AC84</f>
        <v/>
      </c>
      <c r="AE84" s="7" t="n">
        <v>0</v>
      </c>
      <c r="AF84" s="6">
        <f>$T84*AE84</f>
        <v/>
      </c>
      <c r="AG84" s="7" t="n">
        <v>0</v>
      </c>
      <c r="AH84" s="6">
        <f>$T84*AG84</f>
        <v/>
      </c>
      <c r="AI84" s="7">
        <f>U84+W84+Y84+AA84+AC84+AE84+AG84</f>
        <v/>
      </c>
      <c r="AJ84" s="6">
        <f>V84+X84+Z84+AB84+AD84+AF84+AH84</f>
        <v/>
      </c>
    </row>
    <row r="85" ht="60" customHeight="1" s="46">
      <c r="A85" s="3" t="inlineStr">
        <is>
          <t>LOM241.OC.EEA.A02.E9700.SB016.0000</t>
        </is>
      </c>
      <c r="B85" s="4" t="inlineStr">
        <is>
          <t>3/3</t>
        </is>
      </c>
      <c r="C85" s="3" t="inlineStr">
        <is>
          <t>EDILE</t>
        </is>
      </c>
      <c r="D85" s="4" t="inlineStr">
        <is>
          <t>NON SPECIALE</t>
        </is>
      </c>
      <c r="E85" s="4" t="inlineStr">
        <is>
          <t>EDILI</t>
        </is>
      </c>
      <c r="F85" s="3" t="inlineStr">
        <is>
          <t>1_2025.11.20_CME REV07.PDF</t>
        </is>
      </c>
      <c r="G85" s="4" t="inlineStr">
        <is>
          <t>117</t>
        </is>
      </c>
      <c r="H85" s="3" t="inlineStr">
        <is>
          <t>30 - STRUTTURALE</t>
        </is>
      </c>
      <c r="I85" s="3" t="inlineStr">
        <is>
          <t>NUOVI LABORATORI</t>
        </is>
      </c>
      <c r="J85" s="3" t="inlineStr">
        <is>
          <t>OPERE IN C.A.</t>
        </is>
      </c>
      <c r="K85" s="3" t="inlineStr">
        <is>
          <t xml:space="preserve">OPERA: ARMATURA, RETE ELETTROSALDATA DI LEGA FERROSA ACCIAIO B450A; IMPIEGO: STRUTTURE IN CEMENTO ARMATO. </t>
        </is>
      </c>
      <c r="L85" s="3" t="inlineStr">
        <is>
          <t>OPERA: ARMATURA, RETE ELETTROSALDATA DI LEGA FERROSA ACCIAIO B450A; IMPIEGO: STRUTTURE IN CEMENTO ARMATO. 
LAVORO: POSA. INCLUSO: SORMONTI, TAGLI, SFRIDI, LEGATURE. 
SPECIFICHE TECNICHE: PRODOTTO CON SISTEMI DI CONTROLLO DI PRODUZIONE IN STABILIMENTO DI CUI AL D.M.17/01/2018. 
COMPONENTI: 
OP1 OPERA: ARMATURA, RETE ELETTROSALDATA DI LEGA FERROSA ACCIAIO B450A; IMPIEGO: STRUTTURE IN CEMENTO ARMATO. 
SPECIFICHE TECNICHE: PRODOTTO CON SISTEMI DI CONTROLLO DI PRODUZIONE IN STABILIMENTO DI CUI AL D.M.17/01/2018. 
RM2 RETE ELETTROSALDATA DI LEGA FERROSA ACCIAIO B450A; FINITURA: NERVATA; FUNZIONE: STRUTTURALE; IMPIEGO: ARMATURE 
LV1 LAVORO: POSA. INCLUSO: SORMONTI, TAGLI, SFRIDI, LEGATURE.</t>
        </is>
      </c>
      <c r="M85" s="4" t="inlineStr">
        <is>
          <t>KG</t>
        </is>
      </c>
      <c r="N85" s="5" t="n">
        <v>664.1799999999999</v>
      </c>
      <c r="O85" s="45" t="n">
        <v>1.39</v>
      </c>
      <c r="P85" s="45" t="n">
        <v>923.2102</v>
      </c>
      <c r="Q85" s="5" t="n"/>
      <c r="R85" s="6" t="n"/>
      <c r="S85" s="6">
        <f>IF(AND(Q85&lt;&gt;"",R85&lt;&gt;""),Q85*R85,"")</f>
        <v/>
      </c>
      <c r="T85" s="45">
        <f>IF(S85="",P85,S85)</f>
        <v/>
      </c>
      <c r="U85" s="7" t="n">
        <v>0</v>
      </c>
      <c r="V85" s="6">
        <f>$T85*U85</f>
        <v/>
      </c>
      <c r="W85" s="7" t="n">
        <v>0.8</v>
      </c>
      <c r="X85" s="6">
        <f>$T85*W85</f>
        <v/>
      </c>
      <c r="Y85" s="7" t="n">
        <v>0</v>
      </c>
      <c r="Z85" s="6">
        <f>$T85*Y85</f>
        <v/>
      </c>
      <c r="AA85" s="7" t="n">
        <v>0</v>
      </c>
      <c r="AB85" s="6">
        <f>$T85*AA85</f>
        <v/>
      </c>
      <c r="AC85" s="7" t="n">
        <v>0</v>
      </c>
      <c r="AD85" s="6">
        <f>$T85*AC85</f>
        <v/>
      </c>
      <c r="AE85" s="7" t="n">
        <v>0</v>
      </c>
      <c r="AF85" s="6">
        <f>$T85*AE85</f>
        <v/>
      </c>
      <c r="AG85" s="7" t="n">
        <v>0</v>
      </c>
      <c r="AH85" s="6">
        <f>$T85*AG85</f>
        <v/>
      </c>
      <c r="AI85" s="7">
        <f>U85+W85+Y85+AA85+AC85+AE85+AG85</f>
        <v/>
      </c>
      <c r="AJ85" s="6">
        <f>V85+X85+Z85+AB85+AD85+AF85+AH85</f>
        <v/>
      </c>
    </row>
    <row r="86" hidden="1" ht="60" customHeight="1" s="46">
      <c r="A86" s="3" t="inlineStr">
        <is>
          <t>LOM241.OC.EEA.A02.C0102.ZB009.0075</t>
        </is>
      </c>
      <c r="B86" s="4" t="inlineStr">
        <is>
          <t>2/2</t>
        </is>
      </c>
      <c r="C86" s="3" t="inlineStr">
        <is>
          <t>EDILE</t>
        </is>
      </c>
      <c r="D86" s="4" t="inlineStr">
        <is>
          <t>NON SPECIALE</t>
        </is>
      </c>
      <c r="E86" s="4" t="inlineStr">
        <is>
          <t>EDILI</t>
        </is>
      </c>
      <c r="F86" s="3" t="inlineStr">
        <is>
          <t>1_2025.11.20_CME REV07.PDF</t>
        </is>
      </c>
      <c r="G86" s="4" t="inlineStr">
        <is>
          <t>118</t>
        </is>
      </c>
      <c r="H86" s="3" t="inlineStr">
        <is>
          <t>30 - STRUTTURALE</t>
        </is>
      </c>
      <c r="I86" s="3" t="inlineStr">
        <is>
          <t>NUOVI LABORATORI</t>
        </is>
      </c>
      <c r="J86" s="3" t="inlineStr">
        <is>
          <t>OPERE IN C.A.</t>
        </is>
      </c>
      <c r="K86" s="3" t="inlineStr">
        <is>
          <t>OPERA: STRATO DI MURATURA, LASTRE DI MATERIALE MIX GESSO-CARTONE; FUNZIONE: CONTROPARETE. LAVORO: POSA. INCLUSO: RASATURA GIUNTI; ASSISTENZA MURARIA FORNITA DA IMPRESA. COMPONENTI: OP1 OPERA: STRATO D</t>
        </is>
      </c>
      <c r="L86" s="3" t="inlineStr">
        <is>
          <t>OPERA: STRATO DI MURATURA, LASTRE DI MATERIALE MIX GESSO-CARTONE; FUNZIONE: CONTROPARETE. LAVORO: POSA. INCLUSO: RASATURA GIUNTI; ASSISTENZA MURARIA FORNITA DA IMPRESA. COMPONENTI: OP1 OPERA: STRATO DI MURATURA, LASTRE DI MATERIALE MIX GESSO-CARTONE; FUNZIONE: CONTROPARETE. RM2 LASTRA DI GESSO GENERICO; FINITURA: CARTONE SPECIALE; GEOMETRIA/FORMA/ASPETTO: BORDI ASSOTTIGLIATI; FUNZIONE: DIVISORIA; IMPIEGO: MURATURE; LARGHEZZA [CM] = 120 | SPESSORE [MM] = 13 SPECIFICHE TECNICHE: LASTRA RIVESTITA SULLE DUE FACCE CON CARTONE RM2 PROFILO MONTANTE DI LEGA FERROSA ACCIAIO ZINCATO Z140; FINITURA: ORGANICA PRIVA DI CROMO; SPESSORE [MM] = 0,6 | LARGHEZZA [MM] = 75 RM2 PROFILO GUIDA DI LEGA FERROSA ACCIAIO ZINCATO Z141; FINITURA: ORGANICA PRIVA DI CROMO; SPESSORE [MM] = 0,6 | LARGHEZZA [MM] = 75 RM2 FERRAMENTA VITE DI METALLO FERRO; GEOMETRIA/FORMA/ASPETTO: AUTOPERFORANTI; FUNZIONE: FISSAGGIO; IMPIEGO: LASTRE RM2 PREMISCELATO DI MATERIALE GENERICO; GEOMETRIA/FORMA/ASPETTO: PASTA; FUNZIONE: STUCCATURA; IMPIEGO: MURATURE INTERNE | LEGNO; PESO SPECIFICO [KG/L] = 1,75 SPECIFICHE TECNICHE: RESINE IN DISPERSIONE ACQUOSA RM2 NASTRO DI FIBRA SINTETICA DI VETRO; FUNZIONE: COPRIGIUNTI; IMPIEGO: MURATURE | PARETI DIVISORIE LV1 LAVORO: POSA. INCLUSO: RASATURA GIUNTI; ASSISTENZA MURARIA FORNITA DA IMPRESA.</t>
        </is>
      </c>
      <c r="M86" s="4" t="inlineStr">
        <is>
          <t>M²</t>
        </is>
      </c>
      <c r="N86" s="5" t="n">
        <v>28.54</v>
      </c>
      <c r="O86" s="45" t="n">
        <v>33.4</v>
      </c>
      <c r="P86" s="45" t="n">
        <v>953.236</v>
      </c>
      <c r="Q86" s="5" t="n"/>
      <c r="R86" s="6" t="n"/>
      <c r="S86" s="6">
        <f>IF(AND(Q86&lt;&gt;"",R86&lt;&gt;""),Q86*R86,"")</f>
        <v/>
      </c>
      <c r="T86" s="45">
        <f>IF(S86="",P86,S86)</f>
        <v/>
      </c>
      <c r="U86" s="7" t="n">
        <v>0</v>
      </c>
      <c r="V86" s="6">
        <f>$T86*U86</f>
        <v/>
      </c>
      <c r="W86" s="7" t="n">
        <v>0</v>
      </c>
      <c r="X86" s="6">
        <f>$T86*W86</f>
        <v/>
      </c>
      <c r="Y86" s="7" t="n">
        <v>0</v>
      </c>
      <c r="Z86" s="6">
        <f>$T86*Y86</f>
        <v/>
      </c>
      <c r="AA86" s="7" t="n">
        <v>0</v>
      </c>
      <c r="AB86" s="6">
        <f>$T86*AA86</f>
        <v/>
      </c>
      <c r="AC86" s="7" t="n">
        <v>0</v>
      </c>
      <c r="AD86" s="6">
        <f>$T86*AC86</f>
        <v/>
      </c>
      <c r="AE86" s="7" t="n">
        <v>0</v>
      </c>
      <c r="AF86" s="6">
        <f>$T86*AE86</f>
        <v/>
      </c>
      <c r="AG86" s="7" t="n">
        <v>0</v>
      </c>
      <c r="AH86" s="6">
        <f>$T86*AG86</f>
        <v/>
      </c>
      <c r="AI86" s="7">
        <f>U86+W86+Y86+AA86+AC86+AE86+AG86</f>
        <v/>
      </c>
      <c r="AJ86" s="6">
        <f>V86+X86+Z86+AB86+AD86+AF86+AH86</f>
        <v/>
      </c>
    </row>
    <row r="87" ht="60" customHeight="1" s="46">
      <c r="A87" s="3" t="inlineStr">
        <is>
          <t>LOM241.OC.EEA.A02.C0102.L0011.0255</t>
        </is>
      </c>
      <c r="B87" s="4" t="inlineStr">
        <is>
          <t>2/2</t>
        </is>
      </c>
      <c r="C87" s="3" t="inlineStr">
        <is>
          <t>EDILE</t>
        </is>
      </c>
      <c r="D87" s="4" t="inlineStr">
        <is>
          <t>NON SPECIALE</t>
        </is>
      </c>
      <c r="E87" s="4" t="inlineStr">
        <is>
          <t>EDILI</t>
        </is>
      </c>
      <c r="F87" s="3" t="inlineStr">
        <is>
          <t>1_2025.11.20_CME REV07.PDF</t>
        </is>
      </c>
      <c r="G87" s="4" t="inlineStr">
        <is>
          <t>119</t>
        </is>
      </c>
      <c r="H87" s="3" t="inlineStr">
        <is>
          <t>30 - STRUTTURALE</t>
        </is>
      </c>
      <c r="I87" s="3" t="inlineStr">
        <is>
          <t>NUOVI LABORATORI</t>
        </is>
      </c>
      <c r="J87" s="3" t="inlineStr">
        <is>
          <t>OPERE IN C.A.</t>
        </is>
      </c>
      <c r="K87" s="3" t="inlineStr">
        <is>
          <t xml:space="preserve">OPERA: STRATO DI MURATURA, BLOCCHI FORATI DI CERAMICA TERRACOTTA/LATERIZIO. INCLUSO: SPALLE, VOLTINI, SPIGOLI, LESENE. </t>
        </is>
      </c>
      <c r="L87" s="3" t="inlineStr">
        <is>
          <t>OPERA: STRATO DI MURATURA, BLOCCHI FORATI DI CERAMICA TERRACOTTA/LATERIZIO. INCLUSO: SPALLE, VOLTINI, SPIGOLI, LESENE. 
LAVORO: POSA. 
COMPONENTI: 
OP1 OPERA: STRATO DI MURATURA, BLOCCHI FORATI DI CERAMICA TERRACOTTA/LATERIZIO. INCLUSO: SPALLE, VOLTINI, SPIGOLI, LESENE. 
RM2 BLOCCO FORATO DI CERAMICA TERRACOTTA/LATERIZIO; GEOMETRIA/FORMA/ASPETTO: MATTONI; LUNGHEZZA [CM] = 24 | LARGHEZZA [CM] = 8 | ALTEZZA [CM] = 12 
PO2 PRODOTTO SEMILAVORATO: MALTA, IDRAULICA IN MATERIA MIX GENERICO. 
LAVORO: FORMAZIONE, CON MEZZO MECCANICO. 
SPECIFICHE TECNICHE: CONFEZIONATA IN BETONIERA; DOSAGGIO PER M³: CALCE EMINENTEMENTE IDRAULICA [KG] = 350. 
LV1 LAVORO: POSA.</t>
        </is>
      </c>
      <c r="M87" s="4" t="inlineStr">
        <is>
          <t>M³</t>
        </is>
      </c>
      <c r="N87" s="5" t="n">
        <v>10.85</v>
      </c>
      <c r="O87" s="45" t="n">
        <v>360.08</v>
      </c>
      <c r="P87" s="45" t="n">
        <v>3906.868</v>
      </c>
      <c r="Q87" s="5" t="n"/>
      <c r="R87" s="6" t="n"/>
      <c r="S87" s="6">
        <f>IF(AND(Q87&lt;&gt;"",R87&lt;&gt;""),Q87*R87,"")</f>
        <v/>
      </c>
      <c r="T87" s="45">
        <f>IF(S87="",P87,S87)</f>
        <v/>
      </c>
      <c r="U87" s="7" t="n">
        <v>0</v>
      </c>
      <c r="V87" s="6">
        <f>$T87*U87</f>
        <v/>
      </c>
      <c r="W87" s="7" t="n">
        <v>0.75</v>
      </c>
      <c r="X87" s="6">
        <f>$T87*W87</f>
        <v/>
      </c>
      <c r="Y87" s="7" t="n">
        <v>0</v>
      </c>
      <c r="Z87" s="6">
        <f>$T87*Y87</f>
        <v/>
      </c>
      <c r="AA87" s="7" t="n">
        <v>0</v>
      </c>
      <c r="AB87" s="6">
        <f>$T87*AA87</f>
        <v/>
      </c>
      <c r="AC87" s="7" t="n">
        <v>0</v>
      </c>
      <c r="AD87" s="6">
        <f>$T87*AC87</f>
        <v/>
      </c>
      <c r="AE87" s="7" t="n">
        <v>0</v>
      </c>
      <c r="AF87" s="6">
        <f>$T87*AE87</f>
        <v/>
      </c>
      <c r="AG87" s="7" t="n">
        <v>0</v>
      </c>
      <c r="AH87" s="6">
        <f>$T87*AG87</f>
        <v/>
      </c>
      <c r="AI87" s="7">
        <f>U87+W87+Y87+AA87+AC87+AE87+AG87</f>
        <v/>
      </c>
      <c r="AJ87" s="6">
        <f>V87+X87+Z87+AB87+AD87+AF87+AH87</f>
        <v/>
      </c>
    </row>
    <row r="88" hidden="1" ht="30" customHeight="1" s="46">
      <c r="A88" s="3" t="inlineStr">
        <is>
          <t>C02.025.015.B</t>
        </is>
      </c>
      <c r="B88" s="4" t="inlineStr">
        <is>
          <t>1/1</t>
        </is>
      </c>
      <c r="C88" s="3" t="inlineStr">
        <is>
          <t>EDILE</t>
        </is>
      </c>
      <c r="D88" s="4" t="inlineStr">
        <is>
          <t>NON SPECIALE</t>
        </is>
      </c>
      <c r="E88" s="4" t="inlineStr">
        <is>
          <t>EDILI</t>
        </is>
      </c>
      <c r="F88" s="3" t="inlineStr">
        <is>
          <t>1_2025.11.20_CME REV07.PDF</t>
        </is>
      </c>
      <c r="G88" s="4" t="inlineStr">
        <is>
          <t>V167</t>
        </is>
      </c>
      <c r="H88" s="3" t="inlineStr">
        <is>
          <t>30 - STRUTTURALE</t>
        </is>
      </c>
      <c r="I88" s="3" t="inlineStr">
        <is>
          <t>NUOVI LABORATORI</t>
        </is>
      </c>
      <c r="J88" s="3" t="inlineStr">
        <is>
          <t>VOCI NUOVE PER VASCA PICCOLA</t>
        </is>
      </c>
      <c r="K88" s="3" t="inlineStr">
        <is>
          <t>VARIANTE VASCA PICCOLA - SERBATOIO IN MONOBLOCCO CORRUGATO DI POLIETILENE</t>
        </is>
      </c>
      <c r="L88" s="3" t="inlineStr">
        <is>
          <t>VARIANTE VASCA PICCOLA - SERBATOIO IN MONOBLOCCO CORRUGATO DI POLIETILENE</t>
        </is>
      </c>
      <c r="M88" s="4" t="inlineStr">
        <is>
          <t>CAD</t>
        </is>
      </c>
      <c r="N88" s="5" t="n">
        <v>1</v>
      </c>
      <c r="O88" s="45" t="n">
        <v>9602.51</v>
      </c>
      <c r="P88" s="45" t="n">
        <v>9602.51</v>
      </c>
      <c r="Q88" s="5" t="n"/>
      <c r="R88" s="6" t="n"/>
      <c r="S88" s="6">
        <f>IF(AND(Q88&lt;&gt;"",R88&lt;&gt;""),Q88*R88,"")</f>
        <v/>
      </c>
      <c r="T88" s="45">
        <f>IF(S88="",P88,S88)</f>
        <v/>
      </c>
      <c r="U88" s="7" t="n">
        <v>0</v>
      </c>
      <c r="V88" s="6">
        <f>$T88*U88</f>
        <v/>
      </c>
      <c r="W88" s="7" t="n">
        <v>0.75</v>
      </c>
      <c r="X88" s="6">
        <f>$T88*W88</f>
        <v/>
      </c>
      <c r="Y88" s="7" t="n">
        <v>0</v>
      </c>
      <c r="Z88" s="6">
        <f>$T88*Y88</f>
        <v/>
      </c>
      <c r="AA88" s="7" t="n">
        <v>0</v>
      </c>
      <c r="AB88" s="6">
        <f>$T88*AA88</f>
        <v/>
      </c>
      <c r="AC88" s="7" t="n">
        <v>0</v>
      </c>
      <c r="AD88" s="6">
        <f>$T88*AC88</f>
        <v/>
      </c>
      <c r="AE88" s="7" t="n">
        <v>0</v>
      </c>
      <c r="AF88" s="6">
        <f>$T88*AE88</f>
        <v/>
      </c>
      <c r="AG88" s="7" t="n">
        <v>0</v>
      </c>
      <c r="AH88" s="6">
        <f>$T88*AG88</f>
        <v/>
      </c>
      <c r="AI88" s="7">
        <f>U88+W88+Y88+AA88+AC88+AE88+AG88</f>
        <v/>
      </c>
      <c r="AJ88" s="6">
        <f>V88+X88+Z88+AB88+AD88+AF88+AH88</f>
        <v/>
      </c>
    </row>
    <row r="89" hidden="1" ht="18" customHeight="1" s="46">
      <c r="A89" s="3" t="inlineStr">
        <is>
          <t>RM.06.10.40.D0000.0000</t>
        </is>
      </c>
      <c r="B89" s="4" t="inlineStr">
        <is>
          <t>1/1</t>
        </is>
      </c>
      <c r="C89" s="3" t="inlineStr">
        <is>
          <t>EDILE</t>
        </is>
      </c>
      <c r="D89" s="4" t="inlineStr">
        <is>
          <t>NON SPECIALE</t>
        </is>
      </c>
      <c r="E89" s="4" t="inlineStr">
        <is>
          <t>EDILI</t>
        </is>
      </c>
      <c r="F89" s="3" t="inlineStr">
        <is>
          <t>1_2025.11.20_CME REV07.PDF</t>
        </is>
      </c>
      <c r="G89" s="4" t="inlineStr">
        <is>
          <t>V168</t>
        </is>
      </c>
      <c r="H89" s="3" t="inlineStr">
        <is>
          <t>30 - STRUTTURALE</t>
        </is>
      </c>
      <c r="I89" s="3" t="inlineStr">
        <is>
          <t>NUOVI LABORATORI</t>
        </is>
      </c>
      <c r="J89" s="3" t="inlineStr">
        <is>
          <t>VOCI NUOVE PER VASCA PICCOLA</t>
        </is>
      </c>
      <c r="K89" s="3" t="inlineStr">
        <is>
          <t>VARIANTE VASCA PICCOLA - GRIGLIA AD INCASTRO DI PLASTICA</t>
        </is>
      </c>
      <c r="L89" s="3" t="inlineStr">
        <is>
          <t>VARIANTE VASCA PICCOLA - GRIGLIA AD INCASTRO DI PLASTICA</t>
        </is>
      </c>
      <c r="M89" s="4" t="inlineStr">
        <is>
          <t>MQ</t>
        </is>
      </c>
      <c r="N89" s="5" t="n">
        <v>550</v>
      </c>
      <c r="O89" s="45" t="n">
        <v>31.98</v>
      </c>
      <c r="P89" s="45" t="n">
        <v>17589</v>
      </c>
      <c r="Q89" s="5" t="n"/>
      <c r="R89" s="6" t="n"/>
      <c r="S89" s="6">
        <f>IF(AND(Q89&lt;&gt;"",R89&lt;&gt;""),Q89*R89,"")</f>
        <v/>
      </c>
      <c r="T89" s="45">
        <f>IF(S89="",P89,S89)</f>
        <v/>
      </c>
      <c r="U89" s="7" t="n">
        <v>0</v>
      </c>
      <c r="V89" s="6">
        <f>$T89*U89</f>
        <v/>
      </c>
      <c r="W89" s="7" t="n">
        <v>0</v>
      </c>
      <c r="X89" s="6">
        <f>$T89*W89</f>
        <v/>
      </c>
      <c r="Y89" s="7" t="n">
        <v>0</v>
      </c>
      <c r="Z89" s="6">
        <f>$T89*Y89</f>
        <v/>
      </c>
      <c r="AA89" s="7" t="n">
        <v>0</v>
      </c>
      <c r="AB89" s="6">
        <f>$T89*AA89</f>
        <v/>
      </c>
      <c r="AC89" s="7" t="n">
        <v>0</v>
      </c>
      <c r="AD89" s="6">
        <f>$T89*AC89</f>
        <v/>
      </c>
      <c r="AE89" s="7" t="n">
        <v>0</v>
      </c>
      <c r="AF89" s="6">
        <f>$T89*AE89</f>
        <v/>
      </c>
      <c r="AG89" s="7" t="n">
        <v>0</v>
      </c>
      <c r="AH89" s="6">
        <f>$T89*AG89</f>
        <v/>
      </c>
      <c r="AI89" s="7">
        <f>U89+W89+Y89+AA89+AC89+AE89+AG89</f>
        <v/>
      </c>
      <c r="AJ89" s="6">
        <f>V89+X89+Z89+AB89+AD89+AF89+AH89</f>
        <v/>
      </c>
    </row>
    <row r="90" ht="60" customHeight="1" s="46">
      <c r="A90" s="3" t="inlineStr">
        <is>
          <t>PA.ARC.17</t>
        </is>
      </c>
      <c r="B90" s="4" t="inlineStr">
        <is>
          <t>1/1</t>
        </is>
      </c>
      <c r="C90" s="3" t="inlineStr">
        <is>
          <t>EDILE</t>
        </is>
      </c>
      <c r="D90" s="4" t="inlineStr">
        <is>
          <t>NON SPECIALE</t>
        </is>
      </c>
      <c r="E90" s="4" t="inlineStr">
        <is>
          <t>EDILI</t>
        </is>
      </c>
      <c r="F90" s="3" t="inlineStr">
        <is>
          <t>1_2025.11.20_CME REV07.PDF</t>
        </is>
      </c>
      <c r="G90" s="4" t="inlineStr">
        <is>
          <t>66</t>
        </is>
      </c>
      <c r="H90" s="3" t="inlineStr">
        <is>
          <t>50 - INSTALLAZIONE</t>
        </is>
      </c>
      <c r="I90" s="3" t="inlineStr">
        <is>
          <t>NUOVI LABORATORI</t>
        </is>
      </c>
      <c r="J90" s="3" t="inlineStr">
        <is>
          <t>IMP. ELEVATORE</t>
        </is>
      </c>
      <c r="K90" s="3" t="inlineStr">
        <is>
          <t>FORNITURA E POSA IN OPERA DI ASCENSORE ELETTRICO PER PASSEGGERI TIPO KONE MONOSPACE 500 DX, MODELLO R23.2-1, CONFORME ALLA DIRETTIVA 2014/33/UE E ALLE NORME TECNICHE VIGENTI (EN 81-20, EN 81-50, EN 81</t>
        </is>
      </c>
      <c r="L90" s="3" t="inlineStr">
        <is>
          <t>FORNITURA E POSA IN OPERA DI ASCENSORE ELETTRICO PER PASSEGGERI TIPO KONE MONOSPACE 500 DX, MODELLO R23.2-1, CONFORME ALLA DIRETTIVA 2014/33/UE E ALLE NORME TECNICHE VIGENTI (EN 81-20, EN 81-50, EN 81-28, UNI EN 12015:2014, UNI EN 12016:2013, DM 236/89), COMPLETO IN OGNI SUA PARTE E PRONTO ALL’USO. L’IMPIANTO, AD AZIONAMENTO ELETTRICO SENZA LOCALE MACCHINARIO (MRL), CON MACCHINARIO TIPO KONE ECODISC GEARLESS INSTALLATO NEL VANO CORSA, ÈCARATTERIZZATO DA: ·PORTATA: 630 KG (8 PERSONE) ·VELOCITÀ NOMINALE: 1,0 M/S ·CORSA VERTICALE: 4,5 M ·FERMATE: N. 2 ·ACCESSI: N. 2 LATO A ·ALIMENTAZIONE: 3 X 400V 50HZ (MOTORE) E 230V 50HZ (ILLUMINAZIONE CABINA) ·VANO CORSA: IN CEMENTO ARMATO, DIMENSIONI 1570 X 1740 MM ·CABINA: DIMENSIONI 1100 X 1400 X 2100 MM (LXPXH), PARETI IN ACCIAIO SATINATO TIPO F - ASTURIA, CIELINO TIPO CL80 CON FARETTI LED, PAVIMENTO IN GOMMA TIPO RC33 MARRONE SCREZIATO, CORRIMANO TIPO HR64, SPECCHIO PARZIALE A TUTTA ALTEZZA PORTE AUTOMATICHE TELESCOPICHE TIPO KONE KES202 A DUE ANTE LATERALI, APERTURA DESTRA, DIMENSIONI 800 X 2000 MM, IN ACCIAIO SATINATO TIPO F - ASTURIA. COMANDO E SEGNALAZIONI: BOTTONIERA DI CABINA TIPO KONE INTERACT 10 A TUTTA ALTEZZA, CON DISPLAY TFT DA 7", PULSANTI TATTILI RETROILLUMINATI E IN RILIEVO PER NON VEDENTI; PULSANTIERE DI PIANO TIPO KSL280. DOTAZIONI DI SICUREZZA E ACCESSIBILITÀ: CORTINA LUMINOSA IN CABINA, LUCE DI EMERGENZA, ALLARME SONORO PER DISABILI, CITOFONO TIPO ISE M, RITORNO AUTOMATICO AL PIANO IN CASO DI BLACKOUT, SISTEMA DI PURIFICAZIONE ARIA TIPO KONE AIRPURIFIER. EFFICIENZA ENERGETICA GARANTITA DA: DRIVE RIGENERATIVO, SPEGNIMENTO AUTOMATICO ILLUMINAZIONE IN STAND-BY, MODALITÀ DI RISPARMIO ENERGETICO. COMPRESI NEL PREZZO: TRASPORTO, SCARICO E MOVIMENTAZIONE MATERIALI IN CANTIERE; INTERRUTTORE DIFFERENZIALE TIPO B DA 300MA; DOCUMENTAZIONE TECNICA (LIBRETTO IMPIANTO, DICHIARAZIONE DI CONFORMITÀ, MANUALI); STRUTTURA PORTANTE METALLICA TIPO DISCOVERY CON PROFILI DA 52 MM E TAMPONAMENTI A SCELTA (LAMIERA, SANDWICH O VETRO).</t>
        </is>
      </c>
      <c r="M90" s="4" t="inlineStr">
        <is>
          <t>CAD</t>
        </is>
      </c>
      <c r="N90" s="5" t="n">
        <v>1</v>
      </c>
      <c r="O90" s="45" t="n">
        <v>36794.71</v>
      </c>
      <c r="P90" s="45" t="n">
        <v>36794.71</v>
      </c>
      <c r="Q90" s="5" t="n"/>
      <c r="R90" s="6" t="n"/>
      <c r="S90" s="6">
        <f>IF(AND(Q90&lt;&gt;"",R90&lt;&gt;""),Q90*R90,"")</f>
        <v/>
      </c>
      <c r="T90" s="45">
        <f>IF(S90="",P90,S90)</f>
        <v/>
      </c>
      <c r="U90" s="7" t="n">
        <v>0.4</v>
      </c>
      <c r="V90" s="6">
        <f>$T90*U90</f>
        <v/>
      </c>
      <c r="W90" s="7" t="n">
        <v>0.4</v>
      </c>
      <c r="X90" s="6">
        <f>$T90*W90</f>
        <v/>
      </c>
      <c r="Y90" s="7" t="n">
        <v>0</v>
      </c>
      <c r="Z90" s="6">
        <f>$T90*Y90</f>
        <v/>
      </c>
      <c r="AA90" s="7" t="n">
        <v>0</v>
      </c>
      <c r="AB90" s="6">
        <f>$T90*AA90</f>
        <v/>
      </c>
      <c r="AC90" s="7" t="n">
        <v>0</v>
      </c>
      <c r="AD90" s="6">
        <f>$T90*AC90</f>
        <v/>
      </c>
      <c r="AE90" s="7" t="n">
        <v>0</v>
      </c>
      <c r="AF90" s="6">
        <f>$T90*AE90</f>
        <v/>
      </c>
      <c r="AG90" s="7" t="n">
        <v>0</v>
      </c>
      <c r="AH90" s="6">
        <f>$T90*AG90</f>
        <v/>
      </c>
      <c r="AI90" s="7">
        <f>U90+W90+Y90+AA90+AC90+AE90+AG90</f>
        <v/>
      </c>
      <c r="AJ90" s="6">
        <f>V90+X90+Z90+AB90+AD90+AF90+AH90</f>
        <v/>
      </c>
    </row>
    <row r="91" hidden="1" ht="60" customHeight="1" s="46">
      <c r="A91" s="3" t="inlineStr">
        <is>
          <t>LOM241.OC.ITA.A04.D0201.MB002.0250</t>
        </is>
      </c>
      <c r="B91" s="4" t="inlineStr">
        <is>
          <t>1/2</t>
        </is>
      </c>
      <c r="C91" s="3" t="inlineStr">
        <is>
          <t>EDILE</t>
        </is>
      </c>
      <c r="D91" s="4" t="inlineStr">
        <is>
          <t>NON SPECIALE</t>
        </is>
      </c>
      <c r="E91" s="4" t="inlineStr">
        <is>
          <t>EDILI</t>
        </is>
      </c>
      <c r="F91" s="3" t="inlineStr">
        <is>
          <t>1_2025.11.20_CME REV07.PDF</t>
        </is>
      </c>
      <c r="G91" s="4" t="inlineStr">
        <is>
          <t>29</t>
        </is>
      </c>
      <c r="H91" s="3" t="inlineStr">
        <is>
          <t>60 - FINITURE</t>
        </is>
      </c>
      <c r="I91" s="3" t="inlineStr">
        <is>
          <t>NUOVI LABORATORI</t>
        </is>
      </c>
      <c r="J91" s="3" t="inlineStr">
        <is>
          <t>OPERE GENERICHE</t>
        </is>
      </c>
      <c r="K91" s="3" t="inlineStr">
        <is>
          <t xml:space="preserve">OPERA: STRATO DI FONDAZIONE STRADALE, IN MISTO GRANULARE DI ROCCIA NATURALE CALCAREA/DOLOMITICA; IMPIEGO: STRADA EXTRAURBANA. INCLUSO: MATERIALI DI APPORTO O VAGLIATURA. </t>
        </is>
      </c>
      <c r="L91" s="3" t="inlineStr">
        <is>
          <t>OPERA: STRATO DI FONDAZIONE STRADALE, IN MISTO GRANULARE DI ROCCIA NATURALE CALCAREA/DOLOMITICA; IMPIEGO: STRADA EXTRAURBANA. INCLUSO: MATERIALI DI APPORTO O VAGLIATURA. 
LAVORO: FORMAZIONE. INCLUSO: COSTIPAMENTO GETTO. 
SPECIFICHE TECNICHE: IN MISTO GRANULARE STABILIZZATO CON LEGANTE NATURALE. 
COMPONENTI: 
OP1 OPERA: STRATO DI FONDAZIONE STRADALE, IN MISTO GRANULARE DI ROCCIA NATURALE CALCAREA/DOLOMITICA; IMPIEGO: STRADA EXTRAURBANA. INCLUSO: MATERIALI DI APPORTO O VAGLIATURA. 
SPECIFICHE TECNICHE: IN MISTO GRANULARE STABILIZZATO CON LEGANTE NATURALE. 
RM2 AGGREGATO MISTO GRANULARE DI ROCCIA NATURALE MINERALE; PESO SPECIFICO MEDIO [KG/M³] = 1800 
SPECIFICHE TECNICHE: DI SABBIA E GHIAIA 
RM2 LEGANTE IDRAULICI DI CALCE GENERICO; GEOMETRIA/FORMA/ASPETTO: SFUSO; FORNITURA: SACCHI 
LV1 LAVORO: FORMAZIONE. INCLUSO: COSTIPAMENTO GETTO. 
RP2 MOTOLIVELLATRICE (GRADER); POTENZA [KW] &gt; 50 
SPECIFICHE TECNICHE: CRITERIO DI MISURAZIONE: ORE DI PRESENZA IN CANTIERE 
RP2 RULLO COMPRESSORE; PESO [T] ≤ 9,0 
SPECIFICHE TECNICHE: MONOTAMBURO; CRITERIO DI MISURAZIONE: ORE DI PRESENZA IN CANTIERE 
RP2 AUTOBETONIERA; PORTATA [M³] ≤ 12,0 
SPECIFICHE TECNICHE: CRITERIO DI MISURAZIONE: ORE DI PRESENZA IN CANTIERE</t>
        </is>
      </c>
      <c r="M91" s="4" t="inlineStr">
        <is>
          <t>M³</t>
        </is>
      </c>
      <c r="N91" s="5" t="n">
        <v>192.6</v>
      </c>
      <c r="O91" s="45" t="n">
        <v>35.27</v>
      </c>
      <c r="P91" s="45" t="n">
        <v>6793.002</v>
      </c>
      <c r="Q91" s="5" t="n"/>
      <c r="R91" s="6" t="n"/>
      <c r="S91" s="6">
        <f>IF(AND(Q91&lt;&gt;"",R91&lt;&gt;""),Q91*R91,"")</f>
        <v/>
      </c>
      <c r="T91" s="45">
        <f>IF(S91="",P91,S91)</f>
        <v/>
      </c>
      <c r="U91" s="7" t="n">
        <v>0</v>
      </c>
      <c r="V91" s="6">
        <f>$T91*U91</f>
        <v/>
      </c>
      <c r="W91" s="7" t="n">
        <v>0</v>
      </c>
      <c r="X91" s="6">
        <f>$T91*W91</f>
        <v/>
      </c>
      <c r="Y91" s="7" t="n">
        <v>0</v>
      </c>
      <c r="Z91" s="6">
        <f>$T91*Y91</f>
        <v/>
      </c>
      <c r="AA91" s="7" t="n">
        <v>0</v>
      </c>
      <c r="AB91" s="6">
        <f>$T91*AA91</f>
        <v/>
      </c>
      <c r="AC91" s="7" t="n">
        <v>0</v>
      </c>
      <c r="AD91" s="6">
        <f>$T91*AC91</f>
        <v/>
      </c>
      <c r="AE91" s="7" t="n">
        <v>0</v>
      </c>
      <c r="AF91" s="6">
        <f>$T91*AE91</f>
        <v/>
      </c>
      <c r="AG91" s="7" t="n">
        <v>0</v>
      </c>
      <c r="AH91" s="6">
        <f>$T91*AG91</f>
        <v/>
      </c>
      <c r="AI91" s="7">
        <f>U91+W91+Y91+AA91+AC91+AE91+AG91</f>
        <v/>
      </c>
      <c r="AJ91" s="6">
        <f>V91+X91+Z91+AB91+AD91+AF91+AH91</f>
        <v/>
      </c>
    </row>
    <row r="92" hidden="1" ht="60" customHeight="1" s="46">
      <c r="A92" s="3" t="inlineStr">
        <is>
          <t>LOM241.OC.ITA.A04.D0901.J0009.0270</t>
        </is>
      </c>
      <c r="B92" s="4" t="inlineStr">
        <is>
          <t>1/1</t>
        </is>
      </c>
      <c r="C92" s="3" t="inlineStr">
        <is>
          <t>EDILE</t>
        </is>
      </c>
      <c r="D92" s="4" t="inlineStr">
        <is>
          <t>NON SPECIALE</t>
        </is>
      </c>
      <c r="E92" s="4" t="inlineStr">
        <is>
          <t>EDILI</t>
        </is>
      </c>
      <c r="F92" s="3" t="inlineStr">
        <is>
          <t>1_2025.11.20_CME REV07.PDF</t>
        </is>
      </c>
      <c r="G92" s="4" t="inlineStr">
        <is>
          <t>31</t>
        </is>
      </c>
      <c r="H92" s="3" t="inlineStr">
        <is>
          <t>60 - FINITURE</t>
        </is>
      </c>
      <c r="I92" s="3" t="inlineStr">
        <is>
          <t>NUOVI LABORATORI</t>
        </is>
      </c>
      <c r="J92" s="3" t="inlineStr">
        <is>
          <t>OPERE GENERICHE</t>
        </is>
      </c>
      <c r="K92" s="3" t="inlineStr">
        <is>
          <t xml:space="preserve">OPERA: STRATO DI BINDER DI CONGLOMERATO BITUMINOSO; IMPIEGO: OPERE STRADALI | SEDE TRAM; SPESSORE [CM] = 5. </t>
        </is>
      </c>
      <c r="L92" s="3" t="inlineStr">
        <is>
          <t>OPERA: STRATO DI BINDER DI CONGLOMERATO BITUMINOSO; IMPIEGO: OPERE STRADALI | SEDE TRAM; SPESSORE [CM] = 5. 
LAVORO: FORMAZIONE. INCLUSO: PULIZIA SEDE; STESA; COSTIPAZIONE. 
SPECIFICHE TECNICHE: DOSAGGIO EMULSIONE BITUMINOSA [KG/M²] = 0,60 ÷ 0,80 . 
COMPONENTI: 
OP1 OPERA: STRATO DI BINDER DI CONGLOMERATO BITUMINOSO; IMPIEGO: OPERE STRADALI | SEDE TRAM; SPESSORE [CM] = 5. 
SPECIFICHE TECNICHE: DOSAGGIO EMULSIONE BITUMINOSA [KG/M²] = 0,60 ÷ 0,80 . 
RM2 IMPASTO PRECONFEZIONATO DI BITUME GENERICO; IMPIEGO: OPERE STRADALI | CONGLOMERATO BITUMINOSO; RESISTENZA ALLA FRAMMENTAZIONE (LA) [%] ≤ 25 
SPECIFICHE TECNICHE: PER STRATO DI COLLEGAMENTO (BINDER); FINO AD UN MASSIMO DI 30% DI FRESATO RIGENERATO CON ATTIVANTI CHIMICI FUNZIONALI (RIGENERANTI), DOSAGGIO MINIMO DI BITUME GENERICO TOTALE DEL 4,2% SU MISCELA CON L'AGGIUNTA DI ADDITIVO ATTIVANTE L'ADESIONE ("DOPES" DI ADESIVITÀ); CON PERCENTUALE DEI VUOTI IN OPERA COMPRESO TRA IL 3% E 6%. 
RM2 EMULSIONE DI BITUME GENERICO; IMPIEGO: STRADE 
SPECIFICHE TECNICHE: 55% DI BITUME 
LV1 LAVORO: FORMAZIONE. INCLUSO: PULIZIA SEDE; STESA; COSTIPAZIONE. 
RP2 VIBROFINITRICE 
SPECIFICHE TECNICHE: CINGOLATA; CRITERIO DI MISURAZIONE: ORE DI PRESENZA IN CANTIERE 
RP2 RULLO COMPRESSORE; PESO [T] ≤ 7,0 
SPECIFICHE TECNICHE: MONOTAMBURO; CRITERIO DI MISURAZIONE: ORE DI PRESENZA IN CANTIERE 
RP2 SPAZZATRICE 
SPECIFICHE TECNICHE: CAPACITÀ CONTENITORE RIFIUTI [M³] = 3, RESA [M³/H] = 87000; CRITERIO DI MISURAZIONE: ORE DI PRESENZA IN CANTIERE</t>
        </is>
      </c>
      <c r="M92" s="4" t="inlineStr">
        <is>
          <t>M²</t>
        </is>
      </c>
      <c r="N92" s="5" t="n">
        <v>362.6</v>
      </c>
      <c r="O92" s="45" t="n">
        <v>22.57</v>
      </c>
      <c r="P92" s="45" t="n">
        <v>8183.882</v>
      </c>
      <c r="Q92" s="5" t="n"/>
      <c r="R92" s="6" t="n"/>
      <c r="S92" s="6">
        <f>IF(AND(Q92&lt;&gt;"",R92&lt;&gt;""),Q92*R92,"")</f>
        <v/>
      </c>
      <c r="T92" s="45">
        <f>IF(S92="",P92,S92)</f>
        <v/>
      </c>
      <c r="U92" s="7" t="n">
        <v>0</v>
      </c>
      <c r="V92" s="6">
        <f>$T92*U92</f>
        <v/>
      </c>
      <c r="W92" s="7" t="n">
        <v>0</v>
      </c>
      <c r="X92" s="6">
        <f>$T92*W92</f>
        <v/>
      </c>
      <c r="Y92" s="7" t="n">
        <v>0</v>
      </c>
      <c r="Z92" s="6">
        <f>$T92*Y92</f>
        <v/>
      </c>
      <c r="AA92" s="7" t="n">
        <v>0</v>
      </c>
      <c r="AB92" s="6">
        <f>$T92*AA92</f>
        <v/>
      </c>
      <c r="AC92" s="7" t="n">
        <v>0</v>
      </c>
      <c r="AD92" s="6">
        <f>$T92*AC92</f>
        <v/>
      </c>
      <c r="AE92" s="7" t="n">
        <v>0</v>
      </c>
      <c r="AF92" s="6">
        <f>$T92*AE92</f>
        <v/>
      </c>
      <c r="AG92" s="7" t="n">
        <v>0</v>
      </c>
      <c r="AH92" s="6">
        <f>$T92*AG92</f>
        <v/>
      </c>
      <c r="AI92" s="7">
        <f>U92+W92+Y92+AA92+AC92+AE92+AG92</f>
        <v/>
      </c>
      <c r="AJ92" s="6">
        <f>V92+X92+Z92+AB92+AD92+AF92+AH92</f>
        <v/>
      </c>
    </row>
    <row r="93" hidden="1" ht="60" customHeight="1" s="46">
      <c r="A93" s="3" t="inlineStr">
        <is>
          <t>LOM241.OC.ITA.A02.D1201.J0009.0885</t>
        </is>
      </c>
      <c r="B93" s="4" t="inlineStr">
        <is>
          <t>1/1</t>
        </is>
      </c>
      <c r="C93" s="3" t="inlineStr">
        <is>
          <t>EDILE</t>
        </is>
      </c>
      <c r="D93" s="4" t="inlineStr">
        <is>
          <t>NON SPECIALE</t>
        </is>
      </c>
      <c r="E93" s="4" t="inlineStr">
        <is>
          <t>EDILI</t>
        </is>
      </c>
      <c r="F93" s="3" t="inlineStr">
        <is>
          <t>1_2025.11.20_CME REV07.PDF</t>
        </is>
      </c>
      <c r="G93" s="4" t="inlineStr">
        <is>
          <t>32</t>
        </is>
      </c>
      <c r="H93" s="3" t="inlineStr">
        <is>
          <t>60 - FINITURE</t>
        </is>
      </c>
      <c r="I93" s="3" t="inlineStr">
        <is>
          <t>NUOVI LABORATORI</t>
        </is>
      </c>
      <c r="J93" s="3" t="inlineStr">
        <is>
          <t>OPERE GENERICHE</t>
        </is>
      </c>
      <c r="K93" s="3" t="inlineStr">
        <is>
          <t xml:space="preserve">OPERA: STRATO DI USURA STRADALE DI CONGLOMERATO BITUMINOSO; IMPIEGO: OPERE STRADALI | SEDE TRAM; SPESSORE MEDIO [MM] = 30; ADERENZA SUPERFICIALE BPN [-] ≥ 62. </t>
        </is>
      </c>
      <c r="L93" s="3" t="inlineStr">
        <is>
          <t>OPERA: STRATO DI USURA STRADALE DI CONGLOMERATO BITUMINOSO; IMPIEGO: OPERE STRADALI | SEDE TRAM; SPESSORE MEDIO [MM] = 30; ADERENZA SUPERFICIALE BPN [-] ≥ 62. 
LAVORO: POSA. INCLUSO: PULIZIA SEDE; STESA MEDIANTE FINITRICE MECCANICA; COSTIPAZIONE A MEZZO DI RULLI. 
SPECIFICHE TECNICHE: DOSAGGIO EMULSIONE BITUMINOSA [KG/M²] = 0,60 ÷ 0,80. 
COMPONENTI: 
OP1 OPERA: STRATO DI USURA STRADALE DI CONGLOMERATO BITUMINOSO; IMPIEGO: OPERE STRADALI | SEDE TRAM; SPESSORE MEDIO [MM] = 30; ADERENZA SUPERFICIALE BPN [-] ≥ 62. 
SPECIFICHE TECNICHE: DOSAGGIO EMULSIONE BITUMINOSA [KG/M²] = 0,60 ÷ 0,80. 
RM2 IMPASTO PRECONFEZIONATO DI BITUME GENERICO; IMPIEGO: OPERE STRADALI | CONGLOMERATO BITUMINOSO; RESISTENZA ALLA FRAMMENTAZIONE (LA) [%] ≤ 20 | RESISTENZA ALLA LEVIGAZIONE (PSV) [-] ≥ 44 | VALORE DI ADERENZA SUPERFICIALE (BPN) [-] ≥ 55 
SPECIFICHE TECNICHE: PER STRATO DI USURA; DOSAGGIO MINIMO DI BITUME GENERICO TOTALE DEL 4,80% SU MISCELA; DOSAGGIO ADDITIVO ATTIVANTE L'ADESIONE (DOPES); CON PERCENTUALE DEI VUOTI IN OPERA COMPRESO TRA IL 3% E 6%.  
RM2 EMULSIONE DI BITUME GENERICO; IMPIEGO: STRADE 
SPECIFICHE TECNICHE: 55% DI BITUME 
LV1 LAVORO: POSA. INCLUSO: PULIZIA SEDE; STESA MEDIANTE FINITRICE MECCANICA; COSTIPAZIONE A MEZZO DI RULLI. 
RP2 VIBROFINITRICE 
SPECIFICHE TECNICHE: CINGOLATA; CRITERIO DI MISURAZIONE: ORE DI PRESENZA IN CANTIERE 
RP2 RULLO COMPRESSORE; PESO [T] ≤ 7,0 
SPECIFICHE TECNICHE: MONOTAMBURO; CRITERIO DI MISURAZIONE: ORE DI PRESENZA IN CANTIERE 
RP2 SPAZZATRICE 
SPECIFICHE TECNICHE: CAPACITÀ CONTENITORE RIFIUTI [M³] = 3, RESA [M³/H] = 87000; CRITERIO DI MISURAZIONE: ORE DI PRESENZA IN CANTIERE</t>
        </is>
      </c>
      <c r="M93" s="4" t="inlineStr">
        <is>
          <t>M²</t>
        </is>
      </c>
      <c r="N93" s="5" t="n">
        <v>362.6</v>
      </c>
      <c r="O93" s="45" t="n">
        <v>16.93</v>
      </c>
      <c r="P93" s="45" t="n">
        <v>6138.818</v>
      </c>
      <c r="Q93" s="5" t="n"/>
      <c r="R93" s="6" t="n"/>
      <c r="S93" s="6">
        <f>IF(AND(Q93&lt;&gt;"",R93&lt;&gt;""),Q93*R93,"")</f>
        <v/>
      </c>
      <c r="T93" s="45">
        <f>IF(S93="",P93,S93)</f>
        <v/>
      </c>
      <c r="U93" s="7" t="n">
        <v>0</v>
      </c>
      <c r="V93" s="6">
        <f>$T93*U93</f>
        <v/>
      </c>
      <c r="W93" s="7" t="n">
        <v>0</v>
      </c>
      <c r="X93" s="6">
        <f>$T93*W93</f>
        <v/>
      </c>
      <c r="Y93" s="7" t="n">
        <v>0</v>
      </c>
      <c r="Z93" s="6">
        <f>$T93*Y93</f>
        <v/>
      </c>
      <c r="AA93" s="7" t="n">
        <v>0</v>
      </c>
      <c r="AB93" s="6">
        <f>$T93*AA93</f>
        <v/>
      </c>
      <c r="AC93" s="7" t="n">
        <v>0</v>
      </c>
      <c r="AD93" s="6">
        <f>$T93*AC93</f>
        <v/>
      </c>
      <c r="AE93" s="7" t="n">
        <v>0</v>
      </c>
      <c r="AF93" s="6">
        <f>$T93*AE93</f>
        <v/>
      </c>
      <c r="AG93" s="7" t="n">
        <v>0</v>
      </c>
      <c r="AH93" s="6">
        <f>$T93*AG93</f>
        <v/>
      </c>
      <c r="AI93" s="7">
        <f>U93+W93+Y93+AA93+AC93+AE93+AG93</f>
        <v/>
      </c>
      <c r="AJ93" s="6">
        <f>V93+X93+Z93+AB93+AD93+AF93+AH93</f>
        <v/>
      </c>
    </row>
    <row r="94" hidden="1" ht="60" customHeight="1" s="46">
      <c r="A94" s="3" t="inlineStr">
        <is>
          <t>LOM241.OC.ITA.A04.D0201.MB002.0250</t>
        </is>
      </c>
      <c r="B94" s="4" t="inlineStr">
        <is>
          <t>2/2</t>
        </is>
      </c>
      <c r="C94" s="3" t="inlineStr">
        <is>
          <t>EDILE</t>
        </is>
      </c>
      <c r="D94" s="4" t="inlineStr">
        <is>
          <t>NON SPECIALE</t>
        </is>
      </c>
      <c r="E94" s="4" t="inlineStr">
        <is>
          <t>EDILI</t>
        </is>
      </c>
      <c r="F94" s="3" t="inlineStr">
        <is>
          <t>1_2025.11.20_CME REV07.PDF</t>
        </is>
      </c>
      <c r="G94" s="4" t="inlineStr">
        <is>
          <t>34</t>
        </is>
      </c>
      <c r="H94" s="3" t="inlineStr">
        <is>
          <t>60 - FINITURE</t>
        </is>
      </c>
      <c r="I94" s="3" t="inlineStr">
        <is>
          <t>NUOVI LABORATORI</t>
        </is>
      </c>
      <c r="J94" s="3" t="inlineStr">
        <is>
          <t>OPERE GENERICHE</t>
        </is>
      </c>
      <c r="K94" s="3" t="inlineStr">
        <is>
          <t xml:space="preserve">OPERA: STRATO DI FONDAZIONE STRADALE, IN MISTO GRANULARE DI ROCCIA NATURALE CALCAREA/DOLOMITICA; IMPIEGO: STRADA EXTRAURBANA. INCLUSO: MATERIALI DI APPORTO O VAGLIATURA. </t>
        </is>
      </c>
      <c r="L94" s="3" t="inlineStr">
        <is>
          <t>OPERA: STRATO DI FONDAZIONE STRADALE, IN MISTO GRANULARE DI ROCCIA NATURALE CALCAREA/DOLOMITICA; IMPIEGO: STRADA EXTRAURBANA. INCLUSO: MATERIALI DI APPORTO O VAGLIATURA. 
LAVORO: FORMAZIONE. INCLUSO: COSTIPAMENTO GETTO. 
SPECIFICHE TECNICHE: IN MISTO GRANULARE STABILIZZATO CON LEGANTE NATURALE. 
COMPONENTI: 
OP1 OPERA: STRATO DI FONDAZIONE STRADALE, IN MISTO GRANULARE DI ROCCIA NATURALE CALCAREA/DOLOMITICA; IMPIEGO: STRADA EXTRAURBANA. INCLUSO: MATERIALI DI APPORTO O VAGLIATURA. 
SPECIFICHE TECNICHE: IN MISTO GRANULARE STABILIZZATO CON LEGANTE NATURALE. 
RM2 AGGREGATO MISTO GRANULARE DI ROCCIA NATURALE MINERALE; PESO SPECIFICO MEDIO [KG/M³] = 1800 
SPECIFICHE TECNICHE: DI SABBIA E GHIAIA 
RM2 LEGANTE IDRAULICI DI CALCE GENERICO; GEOMETRIA/FORMA/ASPETTO: SFUSO; FORNITURA: SACCHI 
LV1 LAVORO: FORMAZIONE. INCLUSO: COSTIPAMENTO GETTO. 
RP2 MOTOLIVELLATRICE (GRADER); POTENZA [KW] &gt; 50 
SPECIFICHE TECNICHE: CRITERIO DI MISURAZIONE: ORE DI PRESENZA IN CANTIERE 
RP2 RULLO COMPRESSORE; PESO [T] ≤ 9,0 
SPECIFICHE TECNICHE: MONOTAMBURO; CRITERIO DI MISURAZIONE: ORE DI PRESENZA IN CANTIERE 
RP2 AUTOBETONIERA; PORTATA [M³] ≤ 12,0 
SPECIFICHE TECNICHE: CRITERIO DI MISURAZIONE: ORE DI PRESENZA IN CANTIERE</t>
        </is>
      </c>
      <c r="M94" s="4" t="inlineStr">
        <is>
          <t>M³</t>
        </is>
      </c>
      <c r="N94" s="5" t="n">
        <v>48</v>
      </c>
      <c r="O94" s="45" t="n">
        <v>35.27</v>
      </c>
      <c r="P94" s="45" t="n">
        <v>1692.96</v>
      </c>
      <c r="Q94" s="5" t="n"/>
      <c r="R94" s="6" t="n"/>
      <c r="S94" s="6">
        <f>IF(AND(Q94&lt;&gt;"",R94&lt;&gt;""),Q94*R94,"")</f>
        <v/>
      </c>
      <c r="T94" s="45">
        <f>IF(S94="",P94,S94)</f>
        <v/>
      </c>
      <c r="U94" s="7" t="n">
        <v>0</v>
      </c>
      <c r="V94" s="6">
        <f>$T94*U94</f>
        <v/>
      </c>
      <c r="W94" s="7" t="n">
        <v>0</v>
      </c>
      <c r="X94" s="6">
        <f>$T94*W94</f>
        <v/>
      </c>
      <c r="Y94" s="7" t="n">
        <v>0</v>
      </c>
      <c r="Z94" s="6">
        <f>$T94*Y94</f>
        <v/>
      </c>
      <c r="AA94" s="7" t="n">
        <v>0</v>
      </c>
      <c r="AB94" s="6">
        <f>$T94*AA94</f>
        <v/>
      </c>
      <c r="AC94" s="7" t="n">
        <v>0</v>
      </c>
      <c r="AD94" s="6">
        <f>$T94*AC94</f>
        <v/>
      </c>
      <c r="AE94" s="7" t="n">
        <v>0</v>
      </c>
      <c r="AF94" s="6">
        <f>$T94*AE94</f>
        <v/>
      </c>
      <c r="AG94" s="7" t="n">
        <v>0</v>
      </c>
      <c r="AH94" s="6">
        <f>$T94*AG94</f>
        <v/>
      </c>
      <c r="AI94" s="7">
        <f>U94+W94+Y94+AA94+AC94+AE94+AG94</f>
        <v/>
      </c>
      <c r="AJ94" s="6">
        <f>V94+X94+Z94+AB94+AD94+AF94+AH94</f>
        <v/>
      </c>
    </row>
    <row r="95" ht="60" customHeight="1" s="46">
      <c r="A95" s="3" t="inlineStr">
        <is>
          <t>LOM241.OC.EEA.A16.C0900.ZB005.0005</t>
        </is>
      </c>
      <c r="B95" s="4" t="inlineStr">
        <is>
          <t>1/2</t>
        </is>
      </c>
      <c r="C95" s="3" t="inlineStr">
        <is>
          <t>EDILE</t>
        </is>
      </c>
      <c r="D95" s="4" t="inlineStr">
        <is>
          <t>NON SPECIALE</t>
        </is>
      </c>
      <c r="E95" s="4" t="inlineStr">
        <is>
          <t>EDILI</t>
        </is>
      </c>
      <c r="F95" s="3" t="inlineStr">
        <is>
          <t>1_2025.11.20_CME REV07.PDF</t>
        </is>
      </c>
      <c r="G95" s="4" t="inlineStr">
        <is>
          <t>42</t>
        </is>
      </c>
      <c r="H95" s="3" t="inlineStr">
        <is>
          <t>60 - FINITURE</t>
        </is>
      </c>
      <c r="I95" s="3" t="inlineStr">
        <is>
          <t>NUOVI LABORATORI</t>
        </is>
      </c>
      <c r="J95" s="3" t="inlineStr">
        <is>
          <t>OPERE GENERICHE</t>
        </is>
      </c>
      <c r="K95" s="3" t="inlineStr">
        <is>
          <t xml:space="preserve">OPERA: STRATO DI INTONACATURA, CIVILE DI MATERIA MIX CALCE-CEMENTO; IMPIEGO: SUPERFICI VERTICALI | SUPERFICI ESTERNE. </t>
        </is>
      </c>
      <c r="L95" s="3" t="inlineStr">
        <is>
          <t>OPERA: STRATO DI INTONACATURA, CIVILE DI MATERIA MIX CALCE-CEMENTO; IMPIEGO: SUPERFICI VERTICALI | SUPERFICI ESTERNE. 
LAVORO: STESURA. INCLUSO: RINZAFFO, ARRICCIATURA . ESCLUSO: PONTEGGI ESTERNI. 
SPECIFICHE TECNICHE: RINZAFFO RUSTICO IN MALTA BASTARDA O A BASE DI LEGANTI AEREI O IDRAULICI, ARRICCIATURA IN STABILITURA DI CALCE IDRATA O DI CEMENTO; SU SUPERFICIE INTERNE VERTICALI. 
COMPONENTI: 
OP1 OPERA: STRATO DI INTONACATURA, CIVILE DI MATERIA MIX CALCE-CEMENTO; IMPIEGO: SUPERFICI VERTICALI | SUPERFICI ESTERNE. 
RM2 IMPASTO PRECONFEZIONATO DI CALCE GRASSELLO; IMPIEGO: CONGLOMERATO CEMENTIZIO; FORNITURA: SACCHI; DENSITÀ [KG/M³] = 1350 
SPECIFICHE TECNICHE: IMPASTO DI CALCESTRUZZO A PRESTAZIONE CONFEZIONATO IN IMPIANTO DI BETONAGGIO 
PO2 PRODOTTO SEMILAVORATO: MALTA, BASTARDA IN CEMENTO GENERICO. 
LAVORO: FORMAZIONE, CON MEZZO MECCANICO. 
SPECIFICHE TECNICHE: CONFEZIONATA IN BETONIERA; DOSAGGIO PER M³: CEMENTO [KG] = 100 | CALCE EMINENTEMENTE IDRAULICA [KG] = 350. 
LV1 LAVORO: STESURA. INCLUSO: RINZAFFO, ARRICCIATURA . ESCLUSO: PONTEGGI ESTERNI. 
SPECIFICHE TECNICHE: RINZAFFO RUSTICO IN MALTA BASTARDA O A BASE DI LEGANTI AEREI O IDRAULICI, ARRICCIATURA IN STABILITURA DI CALCE IDRATA O DI CEMENTO; SU SUPERFICIE INTERNE VERTICALI.</t>
        </is>
      </c>
      <c r="M95" s="4" t="inlineStr">
        <is>
          <t>M²</t>
        </is>
      </c>
      <c r="N95" s="5" t="n">
        <v>549.16</v>
      </c>
      <c r="O95" s="45" t="n">
        <v>16.46</v>
      </c>
      <c r="P95" s="45" t="n">
        <v>9039.1736</v>
      </c>
      <c r="Q95" s="5" t="n"/>
      <c r="R95" s="6" t="n"/>
      <c r="S95" s="6">
        <f>IF(AND(Q95&lt;&gt;"",R95&lt;&gt;""),Q95*R95,"")</f>
        <v/>
      </c>
      <c r="T95" s="45">
        <f>IF(S95="",P95,S95)</f>
        <v/>
      </c>
      <c r="U95" s="7" t="n">
        <v>0</v>
      </c>
      <c r="V95" s="6">
        <f>$T95*U95</f>
        <v/>
      </c>
      <c r="W95" s="7" t="n">
        <v>1</v>
      </c>
      <c r="X95" s="6">
        <f>$T95*W95</f>
        <v/>
      </c>
      <c r="Y95" s="7" t="n">
        <v>0</v>
      </c>
      <c r="Z95" s="6">
        <f>$T95*Y95</f>
        <v/>
      </c>
      <c r="AA95" s="7" t="n">
        <v>0</v>
      </c>
      <c r="AB95" s="6">
        <f>$T95*AA95</f>
        <v/>
      </c>
      <c r="AC95" s="7" t="n">
        <v>0</v>
      </c>
      <c r="AD95" s="6">
        <f>$T95*AC95</f>
        <v/>
      </c>
      <c r="AE95" s="7" t="n">
        <v>0</v>
      </c>
      <c r="AF95" s="6">
        <f>$T95*AE95</f>
        <v/>
      </c>
      <c r="AG95" s="7" t="n">
        <v>0</v>
      </c>
      <c r="AH95" s="6">
        <f>$T95*AG95</f>
        <v/>
      </c>
      <c r="AI95" s="7">
        <f>U95+W95+Y95+AA95+AC95+AE95+AG95</f>
        <v/>
      </c>
      <c r="AJ95" s="6">
        <f>V95+X95+Z95+AB95+AD95+AF95+AH95</f>
        <v/>
      </c>
    </row>
    <row r="96" ht="60" customHeight="1" s="46">
      <c r="A96" s="3" t="inlineStr">
        <is>
          <t>PA.ARC.01</t>
        </is>
      </c>
      <c r="B96" s="4" t="inlineStr">
        <is>
          <t>1/4</t>
        </is>
      </c>
      <c r="C96" s="3" t="inlineStr">
        <is>
          <t>EDILE</t>
        </is>
      </c>
      <c r="D96" s="4" t="inlineStr">
        <is>
          <t>NON SPECIALE</t>
        </is>
      </c>
      <c r="E96" s="4" t="inlineStr">
        <is>
          <t>EDILI</t>
        </is>
      </c>
      <c r="F96" s="3" t="inlineStr">
        <is>
          <t>1_2025.11.20_CME REV07.PDF</t>
        </is>
      </c>
      <c r="G96" s="4" t="inlineStr">
        <is>
          <t>43</t>
        </is>
      </c>
      <c r="H96" s="3" t="inlineStr">
        <is>
          <t>60 - FINITURE</t>
        </is>
      </c>
      <c r="I96" s="3" t="inlineStr">
        <is>
          <t>NUOVI LABORATORI</t>
        </is>
      </c>
      <c r="J96" s="3" t="inlineStr">
        <is>
          <t>OPERE GENERICHE</t>
        </is>
      </c>
      <c r="K96" s="3" t="inlineStr">
        <is>
          <t>STRUTTURA METALLICA PER PARETI DIVISORIE INTERNE E TAMPONATURE ESTERNE. STRUTTURA METALLICA PER PARETI DIVISORIE, CONTROPARETI E TAMPONATURE A SECCO, FORNITA E POSTA IN OPERA, DI SPESSORE VARIABILE DI</t>
        </is>
      </c>
      <c r="L96" s="3" t="inlineStr">
        <is>
          <t>STRUTTURA METALLICA PER PARETI DIVISORIE INTERNE E TAMPONATURE ESTERNE. STRUTTURA METALLICA PER PARETI DIVISORIE, CONTROPARETI E TAMPONATURE A SECCO, FORNITA E POSTA IN OPERA, DI SPESSORE VARIABILE DI CM. 5/7,5/10/15 (OLTRE LO SPESSORE DELLE LASTRE) COSTITUITA DA PROFILATI METALLICI A C ZINCATI DELLO SPESSORE DI 0,6 O 0,8 MM. POSTI IN VERTICALE CON UN INTERASSE VARIABILE DI CM. 30/40/60 IN FUNZIONE DELL'ALTEZZA DELLA PARETE E DELLE CARATTERISTICHE DI RESISTENZA RICHIESTE E POSTI IN ORIZZONTALE A PAVIMENTO E SOFFITTO ANCORATI CON FISSAGGI MECCANICI, COMPLETI DELL' APPLICAZIONE SU TUTTO IL PERIMETRO DI NASTRI ADESIVI DI IDONEO MATERIALE ATTO AD ELIMINARE EVENTUALI PONTI ACUSTICI. E' COMPRESO IL TAGLIO E LO SFRIDO, IL MATERIALE DI FISSAGGIO, IL TRASPORTO IN CANTIERE, LO SMISTAMENTO AL PIANO, L'ONERE PER LA SAGOMATURA DELLE APERTURE, LA FORNITURA E POSA IN OPERA DI MORALETTI IN LEGNO POSTI SUI LATI DELL'APERTURA PER GARANTIRE IL FISSAGGIO DEI SERRAMENTI. E' INOLTRE COMPRESO QUANTO ALTRO OCCORRE PER DARE L'OPERA FINITA.  STRUTTURA METALLICA DELLO SPESSORE DI CM. 7,5 COSTITUITA DA PROFILATI A C DELLE DIMENSIONI ASSIMILABILI A MM 50X75X50 SPESSORE 0,6 MM. INTERASSE 60 CM. RIFERIMENTO PREZZARIO UMBRIA 2024. TARIFFA: 07.04.0010.004</t>
        </is>
      </c>
      <c r="M96" s="4" t="inlineStr">
        <is>
          <t>MQ</t>
        </is>
      </c>
      <c r="N96" s="5" t="n">
        <v>156.47</v>
      </c>
      <c r="O96" s="45" t="n">
        <v>11.54</v>
      </c>
      <c r="P96" s="45" t="n">
        <v>1805.6638</v>
      </c>
      <c r="Q96" s="5" t="n"/>
      <c r="R96" s="6" t="n"/>
      <c r="S96" s="6">
        <f>IF(AND(Q96&lt;&gt;"",R96&lt;&gt;""),Q96*R96,"")</f>
        <v/>
      </c>
      <c r="T96" s="45">
        <f>IF(S96="",P96,S96)</f>
        <v/>
      </c>
      <c r="U96" s="7" t="n">
        <v>0</v>
      </c>
      <c r="V96" s="6">
        <f>$T96*U96</f>
        <v/>
      </c>
      <c r="W96" s="7" t="n">
        <v>0.3</v>
      </c>
      <c r="X96" s="6">
        <f>$T96*W96</f>
        <v/>
      </c>
      <c r="Y96" s="7" t="n">
        <v>0</v>
      </c>
      <c r="Z96" s="6">
        <f>$T96*Y96</f>
        <v/>
      </c>
      <c r="AA96" s="7" t="n">
        <v>0</v>
      </c>
      <c r="AB96" s="6">
        <f>$T96*AA96</f>
        <v/>
      </c>
      <c r="AC96" s="7" t="n">
        <v>0</v>
      </c>
      <c r="AD96" s="6">
        <f>$T96*AC96</f>
        <v/>
      </c>
      <c r="AE96" s="7" t="n">
        <v>0</v>
      </c>
      <c r="AF96" s="6">
        <f>$T96*AE96</f>
        <v/>
      </c>
      <c r="AG96" s="7" t="n">
        <v>0</v>
      </c>
      <c r="AH96" s="6">
        <f>$T96*AG96</f>
        <v/>
      </c>
      <c r="AI96" s="7">
        <f>U96+W96+Y96+AA96+AC96+AE96+AG96</f>
        <v/>
      </c>
      <c r="AJ96" s="6">
        <f>V96+X96+Z96+AB96+AD96+AF96+AH96</f>
        <v/>
      </c>
    </row>
    <row r="97" ht="60" customHeight="1" s="46">
      <c r="A97" s="3" t="inlineStr">
        <is>
          <t>PA.ARC.01</t>
        </is>
      </c>
      <c r="B97" s="4" t="inlineStr">
        <is>
          <t>2/4</t>
        </is>
      </c>
      <c r="C97" s="3" t="inlineStr">
        <is>
          <t>EDILE</t>
        </is>
      </c>
      <c r="D97" s="4" t="inlineStr">
        <is>
          <t>NON SPECIALE</t>
        </is>
      </c>
      <c r="E97" s="4" t="inlineStr">
        <is>
          <t>EDILI</t>
        </is>
      </c>
      <c r="F97" s="3" t="inlineStr">
        <is>
          <t>1_2025.11.20_CME REV07.PDF</t>
        </is>
      </c>
      <c r="G97" s="4" t="inlineStr">
        <is>
          <t>47</t>
        </is>
      </c>
      <c r="H97" s="3" t="inlineStr">
        <is>
          <t>60 - FINITURE</t>
        </is>
      </c>
      <c r="I97" s="3" t="inlineStr">
        <is>
          <t>NUOVI LABORATORI</t>
        </is>
      </c>
      <c r="J97" s="3" t="inlineStr">
        <is>
          <t>OPERE GENERICHE</t>
        </is>
      </c>
      <c r="K97" s="3" t="inlineStr">
        <is>
          <t>STRUTTURA METALLICA PER PARETI DIVISORIE INTERNE E TAMPONATURE ESTERNE. STRUTTURA METALLICA PER PARETI DIVISORIE, CONTROPARETI E TAMPONATURE A SECCO, FORNITA E POSTA IN OPERA, DI SPESSORE VARIABILE DI</t>
        </is>
      </c>
      <c r="L97" s="3" t="inlineStr">
        <is>
          <t>STRUTTURA METALLICA PER PARETI DIVISORIE INTERNE E TAMPONATURE ESTERNE. STRUTTURA METALLICA PER PARETI DIVISORIE, CONTROPARETI E TAMPONATURE A SECCO, FORNITA E POSTA IN OPERA, DI SPESSORE VARIABILE DI CM. 5/7,5/10/15 (OLTRE LO SPESSORE DELLE LASTRE) COSTITUITA DA PROFILATI METALLICI A C ZINCATI DELLO SPESSORE DI 0,6 O 0,8 MM. POSTI IN VERTICALE CON UN INTERASSE VARIABILE DI CM. 30/40/60 IN FUNZIONE DELL'ALTEZZA DELLA PARETE E DELLE CARATTERISTICHE DI RESISTENZA RICHIESTE E POSTI IN ORIZZONTALE A PAVIMENTO E SOFFITTO ANCORATI CON FISSAGGI MECCANICI, COMPLETI DELL' APPLICAZIONE SU TUTTO IL PERIMETRO DI NASTRI ADESIVI DI IDONEO MATERIALE ATTO AD ELIMINARE EVENTUALI PONTI ACUSTICI. E' COMPRESO IL TAGLIO E LO SFRIDO, IL MATERIALE DI FISSAGGIO, IL TRASPORTO IN CANTIERE, LO SMISTAMENTO AL PIANO, L'ONERE PER LA SAGOMATURA DELLE APERTURE, LA FORNITURA E POSA IN OPERA DI MORALETTI IN LEGNO POSTI SUI LATI DELL'APERTURA PER GARANTIRE IL FISSAGGIO DEI SERRAMENTI. E' INOLTRE COMPRESO QUANTO ALTRO OCCORRE PER DARE L'OPERA FINITA.  STRUTTURA METALLICA DELLO SPESSORE DI CM. 7,5 COSTITUITA DA PROFILATI A C DELLE DIMENSIONI ASSIMILABILI A MM 50X75X50 SPESSORE 0,6 MM. INTERASSE 60 CM. RIFERIMENTO PREZZARIO UMBRIA 2024. TARIFFA: 07.04.0010.004</t>
        </is>
      </c>
      <c r="M97" s="4" t="inlineStr">
        <is>
          <t>MQ</t>
        </is>
      </c>
      <c r="N97" s="5" t="n">
        <v>86.72</v>
      </c>
      <c r="O97" s="45" t="n">
        <v>11.54</v>
      </c>
      <c r="P97" s="45" t="n">
        <v>1000.7488</v>
      </c>
      <c r="Q97" s="5" t="n"/>
      <c r="R97" s="6" t="n"/>
      <c r="S97" s="6">
        <f>IF(AND(Q97&lt;&gt;"",R97&lt;&gt;""),Q97*R97,"")</f>
        <v/>
      </c>
      <c r="T97" s="45">
        <f>IF(S97="",P97,S97)</f>
        <v/>
      </c>
      <c r="U97" s="7" t="n">
        <v>0</v>
      </c>
      <c r="V97" s="6">
        <f>$T97*U97</f>
        <v/>
      </c>
      <c r="W97" s="7" t="n">
        <v>0.3</v>
      </c>
      <c r="X97" s="6">
        <f>$T97*W97</f>
        <v/>
      </c>
      <c r="Y97" s="7" t="n">
        <v>0</v>
      </c>
      <c r="Z97" s="6">
        <f>$T97*Y97</f>
        <v/>
      </c>
      <c r="AA97" s="7" t="n">
        <v>0</v>
      </c>
      <c r="AB97" s="6">
        <f>$T97*AA97</f>
        <v/>
      </c>
      <c r="AC97" s="7" t="n">
        <v>0</v>
      </c>
      <c r="AD97" s="6">
        <f>$T97*AC97</f>
        <v/>
      </c>
      <c r="AE97" s="7" t="n">
        <v>0</v>
      </c>
      <c r="AF97" s="6">
        <f>$T97*AE97</f>
        <v/>
      </c>
      <c r="AG97" s="7" t="n">
        <v>0</v>
      </c>
      <c r="AH97" s="6">
        <f>$T97*AG97</f>
        <v/>
      </c>
      <c r="AI97" s="7">
        <f>U97+W97+Y97+AA97+AC97+AE97+AG97</f>
        <v/>
      </c>
      <c r="AJ97" s="6">
        <f>V97+X97+Z97+AB97+AD97+AF97+AH97</f>
        <v/>
      </c>
    </row>
    <row r="98" ht="60" customHeight="1" s="46">
      <c r="A98" s="3" t="inlineStr">
        <is>
          <t>PA.ARC.01</t>
        </is>
      </c>
      <c r="B98" s="4" t="inlineStr">
        <is>
          <t>3/4</t>
        </is>
      </c>
      <c r="C98" s="3" t="inlineStr">
        <is>
          <t>EDILE</t>
        </is>
      </c>
      <c r="D98" s="4" t="inlineStr">
        <is>
          <t>NON SPECIALE</t>
        </is>
      </c>
      <c r="E98" s="4" t="inlineStr">
        <is>
          <t>EDILI</t>
        </is>
      </c>
      <c r="F98" s="3" t="inlineStr">
        <is>
          <t>1_2025.11.20_CME REV07.PDF</t>
        </is>
      </c>
      <c r="G98" s="4" t="inlineStr">
        <is>
          <t>53</t>
        </is>
      </c>
      <c r="H98" s="3" t="inlineStr">
        <is>
          <t>60 - FINITURE</t>
        </is>
      </c>
      <c r="I98" s="3" t="inlineStr">
        <is>
          <t>NUOVI LABORATORI</t>
        </is>
      </c>
      <c r="J98" s="3" t="inlineStr">
        <is>
          <t>OPERE GENERICHE</t>
        </is>
      </c>
      <c r="K98" s="3" t="inlineStr">
        <is>
          <t>STRUTTURA METALLICA PER PARETI DIVISORIE INTERNE E TAMPONATURE ESTERNE. STRUTTURA METALLICA PER PARETI DIVISORIE, CONTROPARETI E TAMPONATURE A SECCO, FORNITA E POSTA IN OPERA, DI SPESSORE VARIABILE DI</t>
        </is>
      </c>
      <c r="L98" s="3" t="inlineStr">
        <is>
          <t>STRUTTURA METALLICA PER PARETI DIVISORIE INTERNE E TAMPONATURE ESTERNE. STRUTTURA METALLICA PER PARETI DIVISORIE, CONTROPARETI E TAMPONATURE A SECCO, FORNITA E POSTA IN OPERA, DI SPESSORE VARIABILE DI CM. 5/7,5/10/15 (OLTRE LO SPESSORE DELLE LASTRE) COSTITUITA DA PROFILATI METALLICI A C ZINCATI DELLO SPESSORE DI 0,6 O 0,8 MM. POSTI IN VERTICALE CON UN INTERASSE VARIABILE DI CM. 30/40/60 IN FUNZIONE DELL'ALTEZZA DELLA PARETE E DELLE CARATTERISTICHE DI RESISTENZA RICHIESTE E POSTI IN ORIZZONTALE A PAVIMENTO E SOFFITTO ANCORATI CON FISSAGGI MECCANICI, COMPLETI DELL' APPLICAZIONE SU TUTTO IL PERIMETRO DI NASTRI ADESIVI DI IDONEO MATERIALE ATTO AD ELIMINARE EVENTUALI PONTI ACUSTICI. E' COMPRESO IL TAGLIO E LO SFRIDO, IL MATERIALE DI FISSAGGIO, IL TRASPORTO IN CANTIERE, LO SMISTAMENTO AL PIANO, L'ONERE PER LA SAGOMATURA DELLE APERTURE, LA FORNITURA E POSA IN OPERA DI MORALETTI IN LEGNO POSTI SUI LATI DELL'APERTURA PER GARANTIRE IL FISSAGGIO DEI SERRAMENTI. E' INOLTRE COMPRESO QUANTO ALTRO OCCORRE PER DARE L'OPERA FINITA.  STRUTTURA METALLICA DELLO SPESSORE DI CM. 7,5 COSTITUITA DA PROFILATI A C DELLE DIMENSIONI ASSIMILABILI A MM 50X75X50 SPESSORE 0,6 MM. INTERASSE 60 CM. RIFERIMENTO PREZZARIO UMBRIA 2024. TARIFFA: 07.04.0010.004</t>
        </is>
      </c>
      <c r="M98" s="4" t="inlineStr">
        <is>
          <t>MQ</t>
        </is>
      </c>
      <c r="N98" s="5" t="n">
        <v>25.12</v>
      </c>
      <c r="O98" s="45" t="n">
        <v>11.54</v>
      </c>
      <c r="P98" s="45" t="n">
        <v>289.8848</v>
      </c>
      <c r="Q98" s="5" t="n"/>
      <c r="R98" s="6" t="n"/>
      <c r="S98" s="6">
        <f>IF(AND(Q98&lt;&gt;"",R98&lt;&gt;""),Q98*R98,"")</f>
        <v/>
      </c>
      <c r="T98" s="45">
        <f>IF(S98="",P98,S98)</f>
        <v/>
      </c>
      <c r="U98" s="7" t="n">
        <v>0</v>
      </c>
      <c r="V98" s="6">
        <f>$T98*U98</f>
        <v/>
      </c>
      <c r="W98" s="7" t="n">
        <v>0.3</v>
      </c>
      <c r="X98" s="6">
        <f>$T98*W98</f>
        <v/>
      </c>
      <c r="Y98" s="7" t="n">
        <v>0</v>
      </c>
      <c r="Z98" s="6">
        <f>$T98*Y98</f>
        <v/>
      </c>
      <c r="AA98" s="7" t="n">
        <v>0</v>
      </c>
      <c r="AB98" s="6">
        <f>$T98*AA98</f>
        <v/>
      </c>
      <c r="AC98" s="7" t="n">
        <v>0</v>
      </c>
      <c r="AD98" s="6">
        <f>$T98*AC98</f>
        <v/>
      </c>
      <c r="AE98" s="7" t="n">
        <v>0</v>
      </c>
      <c r="AF98" s="6">
        <f>$T98*AE98</f>
        <v/>
      </c>
      <c r="AG98" s="7" t="n">
        <v>0</v>
      </c>
      <c r="AH98" s="6">
        <f>$T98*AG98</f>
        <v/>
      </c>
      <c r="AI98" s="7">
        <f>U98+W98+Y98+AA98+AC98+AE98+AG98</f>
        <v/>
      </c>
      <c r="AJ98" s="6">
        <f>V98+X98+Z98+AB98+AD98+AF98+AH98</f>
        <v/>
      </c>
    </row>
    <row r="99" ht="60" customHeight="1" s="46">
      <c r="A99" s="3" t="inlineStr">
        <is>
          <t>PA.ARC.02</t>
        </is>
      </c>
      <c r="B99" s="4" t="inlineStr">
        <is>
          <t>1/2</t>
        </is>
      </c>
      <c r="C99" s="3" t="inlineStr">
        <is>
          <t>EDILE</t>
        </is>
      </c>
      <c r="D99" s="4" t="inlineStr">
        <is>
          <t>NON SPECIALE</t>
        </is>
      </c>
      <c r="E99" s="4" t="inlineStr">
        <is>
          <t>EDILI</t>
        </is>
      </c>
      <c r="F99" s="3" t="inlineStr">
        <is>
          <t>1_2025.11.20_CME REV07.PDF</t>
        </is>
      </c>
      <c r="G99" s="4" t="inlineStr">
        <is>
          <t>56</t>
        </is>
      </c>
      <c r="H99" s="3" t="inlineStr">
        <is>
          <t>60 - FINITURE</t>
        </is>
      </c>
      <c r="I99" s="3" t="inlineStr">
        <is>
          <t>NUOVI LABORATORI</t>
        </is>
      </c>
      <c r="J99" s="3" t="inlineStr">
        <is>
          <t>OPERE GENERICHE</t>
        </is>
      </c>
      <c r="K99" s="3" t="inlineStr">
        <is>
          <t>STRUTTURA METALLICA PER PARETI DIVISORIE INTERNE E TAMPONATURE ESTERNE. STRUTTURA METALLICA PER PARETI DIVISORIE, CONTROPARETI E TAMPONATURE A SECCO, FORNITA E POSTA IN OPERA, DI SPESSORE VARIABILE DI</t>
        </is>
      </c>
      <c r="L99" s="3" t="inlineStr">
        <is>
          <t>STRUTTURA METALLICA PER PARETI DIVISORIE INTERNE E TAMPONATURE ESTERNE. STRUTTURA METALLICA PER PARETI DIVISORIE, CONTROPARETI E TAMPONATURE A SECCO, FORNITA E POSTA IN OPERA, DI SPESSORE VARIABILE DI CM. 5/7,5/10/15 (OLTRE LO SPESSORE DELLE LASTRE) COSTITUITA DA PROFILATI METALLICI A C ZINCATI DELLO SPESSORE DI 0,6 O 0,8 MM. POSTI IN VERTICALE CON UN INTERASSE VARIABILE DI CM. 30/40/60 IN FUNZIONE DELL'ALTEZZA DELLA PARETE E DELLE CARATTERISTICHE DI RESISTENZA RICHIESTE E POSTI IN ORIZZONTALE A PAVIMENTO E SOFFITTO ANCORATI CON FISSAGGI MECCANICI, COMPLETI DELL' APPLICAZIONE SU TUTTO IL PERIMETRO DI NASTRI ADESIVI DI IDONEO MATERIALE ATTO AD ELIMINARE EVENTUALI PONTI ACUSTICI. E' COMPRESO IL TAGLIO E LO SFRIDO, IL MATERIALE DI FISSAGGIO, IL TRASPORTO IN CANTIERE, LO SMISTAMENTO AL PIANO, L'ONERE PER LA SAGOMATURA DELLE APERTURE, LA FORNITURA E POSA IN OPERA DI MORALETTI IN LEGNO POSTI SUI LATI DELL'APERTURA PER GARANTIRE IL FISSAGGIO DEI SERRAMENTI. E' INOLTRE COMPRESO QUANTO ALTRO OCCORRE PER DARE L'OPERA FINITA.  STRUTTURA METALLICA DELLO SPESSORE DI CM. 10 COSTITUITA DA PROFILATI A C DELLE DIMENSIONI ASSIMILABILI A MM 50X100X50 SPESSORE 0,6 MM. INTERASSE 60 CM. CON ORDITURA VERTICALE DOPPIA TIPO SCHIENA-SCHIENA O DORSO-DORSO. RIFERIMENTO PREZZARIO UMBRIA 2024. TARIFFA: 07.04.0010.018</t>
        </is>
      </c>
      <c r="M99" s="4" t="inlineStr">
        <is>
          <t>MQ</t>
        </is>
      </c>
      <c r="N99" s="5" t="n">
        <v>12.75</v>
      </c>
      <c r="O99" s="45" t="n">
        <v>14.81</v>
      </c>
      <c r="P99" s="45" t="n">
        <v>188.8275</v>
      </c>
      <c r="Q99" s="5" t="n"/>
      <c r="R99" s="6" t="n"/>
      <c r="S99" s="6">
        <f>IF(AND(Q99&lt;&gt;"",R99&lt;&gt;""),Q99*R99,"")</f>
        <v/>
      </c>
      <c r="T99" s="45">
        <f>IF(S99="",P99,S99)</f>
        <v/>
      </c>
      <c r="U99" s="7" t="n">
        <v>0</v>
      </c>
      <c r="V99" s="6">
        <f>$T99*U99</f>
        <v/>
      </c>
      <c r="W99" s="7" t="n">
        <v>0.3</v>
      </c>
      <c r="X99" s="6">
        <f>$T99*W99</f>
        <v/>
      </c>
      <c r="Y99" s="7" t="n">
        <v>0</v>
      </c>
      <c r="Z99" s="6">
        <f>$T99*Y99</f>
        <v/>
      </c>
      <c r="AA99" s="7" t="n">
        <v>0</v>
      </c>
      <c r="AB99" s="6">
        <f>$T99*AA99</f>
        <v/>
      </c>
      <c r="AC99" s="7" t="n">
        <v>0</v>
      </c>
      <c r="AD99" s="6">
        <f>$T99*AC99</f>
        <v/>
      </c>
      <c r="AE99" s="7" t="n">
        <v>0</v>
      </c>
      <c r="AF99" s="6">
        <f>$T99*AE99</f>
        <v/>
      </c>
      <c r="AG99" s="7" t="n">
        <v>0</v>
      </c>
      <c r="AH99" s="6">
        <f>$T99*AG99</f>
        <v/>
      </c>
      <c r="AI99" s="7">
        <f>U99+W99+Y99+AA99+AC99+AE99+AG99</f>
        <v/>
      </c>
      <c r="AJ99" s="6">
        <f>V99+X99+Z99+AB99+AD99+AF99+AH99</f>
        <v/>
      </c>
    </row>
    <row r="100" ht="60" customHeight="1" s="46">
      <c r="A100" s="3" t="inlineStr">
        <is>
          <t>PA.ARC.02</t>
        </is>
      </c>
      <c r="B100" s="4" t="inlineStr">
        <is>
          <t>2/2</t>
        </is>
      </c>
      <c r="C100" s="3" t="inlineStr">
        <is>
          <t>EDILE</t>
        </is>
      </c>
      <c r="D100" s="4" t="inlineStr">
        <is>
          <t>NON SPECIALE</t>
        </is>
      </c>
      <c r="E100" s="4" t="inlineStr">
        <is>
          <t>EDILI</t>
        </is>
      </c>
      <c r="F100" s="3" t="inlineStr">
        <is>
          <t>1_2025.11.20_CME REV07.PDF</t>
        </is>
      </c>
      <c r="G100" s="4" t="inlineStr">
        <is>
          <t>62</t>
        </is>
      </c>
      <c r="H100" s="3" t="inlineStr">
        <is>
          <t>60 - FINITURE</t>
        </is>
      </c>
      <c r="I100" s="3" t="inlineStr">
        <is>
          <t>NUOVI LABORATORI</t>
        </is>
      </c>
      <c r="J100" s="3" t="inlineStr">
        <is>
          <t>OPERE GENERICHE</t>
        </is>
      </c>
      <c r="K100" s="3" t="inlineStr">
        <is>
          <t>STRUTTURA METALLICA PER PARETI DIVISORIE INTERNE E TAMPONATURE ESTERNE. STRUTTURA METALLICA PER PARETI DIVISORIE, CONTROPARETI E TAMPONATURE A SECCO, FORNITA E POSTA IN OPERA, DI SPESSORE VARIABILE DI</t>
        </is>
      </c>
      <c r="L100" s="3" t="inlineStr">
        <is>
          <t>STRUTTURA METALLICA PER PARETI DIVISORIE INTERNE E TAMPONATURE ESTERNE. STRUTTURA METALLICA PER PARETI DIVISORIE, CONTROPARETI E TAMPONATURE A SECCO, FORNITA E POSTA IN OPERA, DI SPESSORE VARIABILE DI CM. 5/7,5/10/15 (OLTRE LO SPESSORE DELLE LASTRE) COSTITUITA DA PROFILATI METALLICI A C ZINCATI DELLO SPESSORE DI 0,6 O 0,8 MM. POSTI IN VERTICALE CON UN INTERASSE VARIABILE DI CM. 30/40/60 IN FUNZIONE DELL'ALTEZZA DELLA PARETE E DELLE CARATTERISTICHE DI RESISTENZA RICHIESTE E POSTI IN ORIZZONTALE A PAVIMENTO E SOFFITTO ANCORATI CON FISSAGGI MECCANICI, COMPLETI DELL' APPLICAZIONE SU TUTTO IL PERIMETRO DI NASTRI ADESIVI DI IDONEO MATERIALE ATTO AD ELIMINARE EVENTUALI PONTI ACUSTICI. E' COMPRESO IL TAGLIO E LO SFRIDO, IL MATERIALE DI FISSAGGIO, IL TRASPORTO IN CANTIERE, LO SMISTAMENTO AL PIANO, L'ONERE PER LA SAGOMATURA DELLE APERTURE, LA FORNITURA E POSA IN OPERA DI MORALETTI IN LEGNO POSTI SUI LATI DELL'APERTURA PER GARANTIRE IL FISSAGGIO DEI SERRAMENTI. E' INOLTRE COMPRESO QUANTO ALTRO OCCORRE PER DARE L'OPERA FINITA.  STRUTTURA METALLICA DELLO SPESSORE DI CM. 10 COSTITUITA DA PROFILATI A C DELLE DIMENSIONI ASSIMILABILI A MM 50X100X50 SPESSORE 0,6 MM. INTERASSE 60 CM. CON ORDITURA VERTICALE DOPPIA TIPO SCHIENA-SCHIENA O DORSO-DORSO. RIFERIMENTO PREZZARIO UMBRIA 2024. TARIFFA: 07.04.0010.018</t>
        </is>
      </c>
      <c r="M100" s="4" t="inlineStr">
        <is>
          <t>MQ</t>
        </is>
      </c>
      <c r="N100" s="5" t="n">
        <v>9.880000000000001</v>
      </c>
      <c r="O100" s="45" t="n">
        <v>14.81</v>
      </c>
      <c r="P100" s="45" t="n">
        <v>146.3228</v>
      </c>
      <c r="Q100" s="5" t="n"/>
      <c r="R100" s="6" t="n"/>
      <c r="S100" s="6">
        <f>IF(AND(Q100&lt;&gt;"",R100&lt;&gt;""),Q100*R100,"")</f>
        <v/>
      </c>
      <c r="T100" s="45">
        <f>IF(S100="",P100,S100)</f>
        <v/>
      </c>
      <c r="U100" s="7" t="n">
        <v>0</v>
      </c>
      <c r="V100" s="6">
        <f>$T100*U100</f>
        <v/>
      </c>
      <c r="W100" s="7" t="n">
        <v>0.3</v>
      </c>
      <c r="X100" s="6">
        <f>$T100*W100</f>
        <v/>
      </c>
      <c r="Y100" s="7" t="n">
        <v>0</v>
      </c>
      <c r="Z100" s="6">
        <f>$T100*Y100</f>
        <v/>
      </c>
      <c r="AA100" s="7" t="n">
        <v>0</v>
      </c>
      <c r="AB100" s="6">
        <f>$T100*AA100</f>
        <v/>
      </c>
      <c r="AC100" s="7" t="n">
        <v>0</v>
      </c>
      <c r="AD100" s="6">
        <f>$T100*AC100</f>
        <v/>
      </c>
      <c r="AE100" s="7" t="n">
        <v>0</v>
      </c>
      <c r="AF100" s="6">
        <f>$T100*AE100</f>
        <v/>
      </c>
      <c r="AG100" s="7" t="n">
        <v>0</v>
      </c>
      <c r="AH100" s="6">
        <f>$T100*AG100</f>
        <v/>
      </c>
      <c r="AI100" s="7">
        <f>U100+W100+Y100+AA100+AC100+AE100+AG100</f>
        <v/>
      </c>
      <c r="AJ100" s="6">
        <f>V100+X100+Z100+AB100+AD100+AF100+AH100</f>
        <v/>
      </c>
    </row>
    <row r="101" ht="60" customHeight="1" s="46">
      <c r="A101" s="3" t="inlineStr">
        <is>
          <t>PA.ARC.10</t>
        </is>
      </c>
      <c r="B101" s="4" t="inlineStr">
        <is>
          <t>1/1</t>
        </is>
      </c>
      <c r="C101" s="3" t="inlineStr">
        <is>
          <t>EDILE</t>
        </is>
      </c>
      <c r="D101" s="4" t="inlineStr">
        <is>
          <t>NON SPECIALE</t>
        </is>
      </c>
      <c r="E101" s="4" t="inlineStr">
        <is>
          <t>EDILI</t>
        </is>
      </c>
      <c r="F101" s="3" t="inlineStr">
        <is>
          <t>1_2025.11.20_CME REV07.PDF</t>
        </is>
      </c>
      <c r="G101" s="4" t="inlineStr">
        <is>
          <t>67</t>
        </is>
      </c>
      <c r="H101" s="3" t="inlineStr">
        <is>
          <t>60 - FINITURE</t>
        </is>
      </c>
      <c r="I101" s="3" t="inlineStr">
        <is>
          <t>NUOVI LABORATORI</t>
        </is>
      </c>
      <c r="J101" s="3" t="inlineStr">
        <is>
          <t>OPERE GENERICHE</t>
        </is>
      </c>
      <c r="K101" s="3" t="inlineStr">
        <is>
          <t>PORTA A DUE ANTE SCORREVOLI CONTRAPPOSTE CON LATE-RALI FISSI COSTUITA DA:PROFILI IN ALLUMINIO ISOLATI A TAGLIO TERMICO CON FINI-TURA RAL STANDARD DA SCEGLIERE FRA LA NS. GAMMA;TRAVERSA PORTANTE CON LO</t>
        </is>
      </c>
      <c r="L101" s="3" t="inlineStr">
        <is>
          <t>PORTA A DUE ANTE SCORREVOLI CONTRAPPOSTE CON LATE-RALI FISSI COSTUITA DA:PROFILI IN ALLUMINIO ISOLATI A TAGLIO TERMICO CON FINI-TURA RAL STANDARD DA SCEGLIERE FRA LA NS. GAMMA;TRAVERSA PORTANTE CON LOGICA A MICROPROCESSORE;CARTER DI COPERTURA DELLA TRAVERSA IN ALLUMINIO;BATTERIA 24V;DOPPIO MOTORE PER SISTEMA RIDONDANTE CONFORMEALLA NORMA EN16005;SELETTORE DI PROGRAMMA OMS STANDARD CON CHIAVE;SCHEDA PER FUNZIONALITÀ AGGIUNTIVE;SENSORE DI IMPULSO E PRESENZA;SENSORE DI IMPULSO E PRESENZA;PULSANTE DI APERTURA D'EMERGENZA VERDE CON SCA-TOLA A MURO;ELETTROBLOCCO CHIUSO CON CORRENTE;SBLOCCO MECCANICO ESCLUSO;POSA IN OPERA, ALLACCIAMENTO E COLLAUDO; TAMPONAMENTO CON VETRI ISOLANTI COMPOSTI DA:ESTERNO: STRATIFICATO 44.1;INTERCAPEDINE: "WARM EDGE" CON ARGON;INTERNO: STRATIFICATO 44.1 BASSO EMISSIVO;ISOLAMENTO TERMICO VETRO: UG 1,1 W/MQ.K  PORTA DA INSERIRE IN FACCIATA CONTINUA;L 2700 X H 2650</t>
        </is>
      </c>
      <c r="M101" s="4" t="inlineStr">
        <is>
          <t>CAD</t>
        </is>
      </c>
      <c r="N101" s="5" t="n">
        <v>1</v>
      </c>
      <c r="O101" s="45" t="n">
        <v>11520.39</v>
      </c>
      <c r="P101" s="45" t="n">
        <v>11520.39</v>
      </c>
      <c r="Q101" s="5" t="n"/>
      <c r="R101" s="6" t="n"/>
      <c r="S101" s="6">
        <f>IF(AND(Q101&lt;&gt;"",R101&lt;&gt;""),Q101*R101,"")</f>
        <v/>
      </c>
      <c r="T101" s="45">
        <f>IF(S101="",P101,S101)</f>
        <v/>
      </c>
      <c r="U101" s="7" t="n">
        <v>0</v>
      </c>
      <c r="V101" s="6">
        <f>$T101*U101</f>
        <v/>
      </c>
      <c r="W101" s="7" t="n">
        <v>0.7</v>
      </c>
      <c r="X101" s="6">
        <f>$T101*W101</f>
        <v/>
      </c>
      <c r="Y101" s="7" t="n">
        <v>0</v>
      </c>
      <c r="Z101" s="6">
        <f>$T101*Y101</f>
        <v/>
      </c>
      <c r="AA101" s="7" t="n">
        <v>0</v>
      </c>
      <c r="AB101" s="6">
        <f>$T101*AA101</f>
        <v/>
      </c>
      <c r="AC101" s="7" t="n">
        <v>0</v>
      </c>
      <c r="AD101" s="6">
        <f>$T101*AC101</f>
        <v/>
      </c>
      <c r="AE101" s="7" t="n">
        <v>0</v>
      </c>
      <c r="AF101" s="6">
        <f>$T101*AE101</f>
        <v/>
      </c>
      <c r="AG101" s="7" t="n">
        <v>0</v>
      </c>
      <c r="AH101" s="6">
        <f>$T101*AG101</f>
        <v/>
      </c>
      <c r="AI101" s="7">
        <f>U101+W101+Y101+AA101+AC101+AE101+AG101</f>
        <v/>
      </c>
      <c r="AJ101" s="6">
        <f>V101+X101+Z101+AB101+AD101+AF101+AH101</f>
        <v/>
      </c>
    </row>
    <row r="102" hidden="1" ht="60" customHeight="1" s="46">
      <c r="A102" s="3" t="inlineStr">
        <is>
          <t>PA.ARC.12</t>
        </is>
      </c>
      <c r="B102" s="4" t="inlineStr">
        <is>
          <t>1/1</t>
        </is>
      </c>
      <c r="C102" s="3" t="inlineStr">
        <is>
          <t>EDILE</t>
        </is>
      </c>
      <c r="D102" s="4" t="inlineStr">
        <is>
          <t>NON SPECIALE</t>
        </is>
      </c>
      <c r="E102" s="4" t="inlineStr">
        <is>
          <t>EDILI</t>
        </is>
      </c>
      <c r="F102" s="3" t="inlineStr">
        <is>
          <t>1_2025.11.20_CME REV07.PDF</t>
        </is>
      </c>
      <c r="G102" s="4" t="inlineStr">
        <is>
          <t>68</t>
        </is>
      </c>
      <c r="H102" s="3" t="inlineStr">
        <is>
          <t>60 - FINITURE</t>
        </is>
      </c>
      <c r="I102" s="3" t="inlineStr">
        <is>
          <t>NUOVI LABORATORI</t>
        </is>
      </c>
      <c r="J102" s="3" t="inlineStr">
        <is>
          <t>OPERE GENERICHE</t>
        </is>
      </c>
      <c r="K102" s="3" t="inlineStr">
        <is>
          <t>FORNITURA E POSA IN OPERA DI SERRAMENTI IN ALLUMINIO A TAGLIO TERMICO SERIE SCHÜCO ADS/AWS 75.SI, REALIZZATI CON PROFILATI ESTRUSI IN LEGA PRIMARIA DI ALLUMINIO 6060, CONFORMI ALLE NORMATIVE UNI EN 57</t>
        </is>
      </c>
      <c r="L102" s="3" t="inlineStr">
        <is>
          <t>FORNITURA E POSA IN OPERA DI SERRAMENTI IN ALLUMINIO A TAGLIO TERMICO SERIE SCHÜCO ADS/AWS 75.SI, REALIZZATI CON PROFILATI ESTRUSI IN LEGA PRIMARIA DI ALLUMINIO 6060, CONFORMI ALLE NORMATIVE UNI EN 573 E UNI EN 515, CON TOLLERANZE SECONDO UNI EN 12020-2 E/O UNI EN 755-9. IL SISTEMA PREVEDE TELAIO-ANTA COMPLANARI ESTERNAMENTE E A SORMONTO INTERNAMENTE, CON SPESSORI: TELAIO 75 MM, ANTA FINESTRE/PORTEFINESTRE 85 MM, ANTA PORTE 75 MM. TENUTA ARIA-ACQUA-VENTO A GIUNTO APERTO CON GUARNIZIONI IN GOMMA SINTETICA TIPO EPDM; ACCESSORI ORIGINALI SCHÜCO IN MATERIALE INOSSIDABILE. TRATTAMENTI SUPERFICIALI CONFORMI ALLE DIRETTIVE QUALICOAT (VERNICIATI) O EURAS-EWAA (OSSIDATI). FINITURE: COLORI INTERNO/ESTERNO E ACCESSORI STANDARD DA GAMMA; FERMAVETRO SQUADRATO.  VETRAGGIO BASSO EMISSIVO COMPOSTO DA: LASTRA ESTERNA STRATIFICATA 55.1, INTERCAPEDINE DA 16 MM CON CANALINA “WARM EDGE” E ARGON, LASTRA INTERNA STRATIFICATA 55.2. PRESTAZIONI DEL VETRO: UG = 1,0 W/M²K; RW = 40 DB (±2). INCLUSA POSA SU CONTROTELAI IN FERRO ZINCATO PREDISPOSTI DALL’IMPRESA EDILE. FINESTRA AD UN'ANTA APRIBILE A BATTENTE CON ANTA RIBALTA; SERRAMENTO DA INSERIRE IN FACCIATA CONTINUA: L 1140 X H 1640</t>
        </is>
      </c>
      <c r="M102" s="4" t="inlineStr">
        <is>
          <t>CADAUNO</t>
        </is>
      </c>
      <c r="N102" s="5" t="n">
        <v>8</v>
      </c>
      <c r="O102" s="45" t="n">
        <v>0</v>
      </c>
      <c r="P102" s="45" t="n">
        <v>0</v>
      </c>
      <c r="Q102" s="5" t="n"/>
      <c r="R102" s="6" t="n"/>
      <c r="S102" s="6">
        <f>IF(AND(Q102&lt;&gt;"",R102&lt;&gt;""),Q102*R102,"")</f>
        <v/>
      </c>
      <c r="T102" s="45">
        <f>IF(S102="",P102,S102)</f>
        <v/>
      </c>
      <c r="U102" s="7" t="n">
        <v>0</v>
      </c>
      <c r="V102" s="6">
        <f>$T102*U102</f>
        <v/>
      </c>
      <c r="W102" s="7" t="n">
        <v>0</v>
      </c>
      <c r="X102" s="6">
        <f>$T102*W102</f>
        <v/>
      </c>
      <c r="Y102" s="7" t="n">
        <v>0</v>
      </c>
      <c r="Z102" s="6">
        <f>$T102*Y102</f>
        <v/>
      </c>
      <c r="AA102" s="7" t="n">
        <v>0</v>
      </c>
      <c r="AB102" s="6">
        <f>$T102*AA102</f>
        <v/>
      </c>
      <c r="AC102" s="7" t="n">
        <v>0</v>
      </c>
      <c r="AD102" s="6">
        <f>$T102*AC102</f>
        <v/>
      </c>
      <c r="AE102" s="7" t="n">
        <v>0</v>
      </c>
      <c r="AF102" s="6">
        <f>$T102*AE102</f>
        <v/>
      </c>
      <c r="AG102" s="7" t="n">
        <v>0</v>
      </c>
      <c r="AH102" s="6">
        <f>$T102*AG102</f>
        <v/>
      </c>
      <c r="AI102" s="7">
        <f>U102+W102+Y102+AA102+AC102+AE102+AG102</f>
        <v/>
      </c>
      <c r="AJ102" s="6">
        <f>V102+X102+Z102+AB102+AD102+AF102+AH102</f>
        <v/>
      </c>
    </row>
    <row r="103" hidden="1" ht="60" customHeight="1" s="46">
      <c r="A103" s="3" t="inlineStr">
        <is>
          <t>PA.ARC.13</t>
        </is>
      </c>
      <c r="B103" s="4" t="inlineStr">
        <is>
          <t>1/1</t>
        </is>
      </c>
      <c r="C103" s="3" t="inlineStr">
        <is>
          <t>EDILE</t>
        </is>
      </c>
      <c r="D103" s="4" t="inlineStr">
        <is>
          <t>NON SPECIALE</t>
        </is>
      </c>
      <c r="E103" s="4" t="inlineStr">
        <is>
          <t>EDILI</t>
        </is>
      </c>
      <c r="F103" s="3" t="inlineStr">
        <is>
          <t>1_2025.11.20_CME REV07.PDF</t>
        </is>
      </c>
      <c r="G103" s="4" t="inlineStr">
        <is>
          <t>69</t>
        </is>
      </c>
      <c r="H103" s="3" t="inlineStr">
        <is>
          <t>60 - FINITURE</t>
        </is>
      </c>
      <c r="I103" s="3" t="inlineStr">
        <is>
          <t>NUOVI LABORATORI</t>
        </is>
      </c>
      <c r="J103" s="3" t="inlineStr">
        <is>
          <t>OPERE GENERICHE</t>
        </is>
      </c>
      <c r="K103" s="3" t="inlineStr">
        <is>
          <t>FORNITURA E POSA IN OPERA DI SERRAMENTI IN ALLUMINIO A TAGLIO TERMICO SERIE SCHÜCO ADS/AWS 75.SI, REALIZZATI CON PROFILATI ESTRUSI IN LEGA PRIMARIA DI ALLUMINIO 6060, CONFORMI ALLE NORMATIVE UNI EN 57</t>
        </is>
      </c>
      <c r="L103" s="3" t="inlineStr">
        <is>
          <t>FORNITURA E POSA IN OPERA DI SERRAMENTI IN ALLUMINIO A TAGLIO TERMICO SERIE SCHÜCO ADS/AWS 75.SI, REALIZZATI CON PROFILATI ESTRUSI IN LEGA PRIMARIA DI ALLUMINIO 6060, CONFORMI ALLE NORMATIVE UNI EN 573 E UNI EN 515, CON TOLLERANZE SECONDO UNI EN 12020-2 E/O UNI EN 755-9. IL SISTEMA PREVEDE TELAIO-ANTA COMPLANARI ESTERNAMENTE E A SORMONTO INTERNAMENTE, CON SPESSORI: TELAIO 75 MM, ANTA FINESTRE/PORTEFINESTRE 85 MM, ANTA PORTE 75 MM. TENUTA ARIA-ACQUA-VENTO A GIUNTO APERTO CON GUARNIZIONI IN GOMMA SINTETICA TIPO EPDM; ACCESSORI ORIGINALI SCHÜCO IN MATERIALE INOSSIDABILE. TRATTAMENTI SUPERFICIALI CONFORMI ALLE DIRETTIVE QUALICOAT (VERNICIATI) O EURAS-EWAA (OSSIDATI). FINITURE: COLORI INTERNO/ESTERNO E ACCESSORI STANDARD DA GAMMA; FERMAVETRO SQUADRATO.  VETRAGGIO BASSO EMISSIVO COMPOSTO DA: LASTRA ESTERNA STRATIFICATA 55.1, INTERCAPEDINE DA 16 MM CON CANALINA “WARM EDGE” E ARGON, LASTRA INTERNA STRATIFICATA 55.2. PRESTAZIONI DEL VETRO: UG = 1,0 W/M²K; RW = 40 DB (±2). INCLUSA POSA SU CONTROTELAI IN FERRO ZINCATO PREDISPOSTI DALL’IMPRESA EDILE. PORTA A DUE ANTE APRIBILI A BATTENTE VERSO L'ESTERNO; PORTA ACCESSORIATA CON CERNIERE CILINDRICHE, MANIGLIONE ANTIPANICO STANDARD CON BARRA ROSSA SU ENTRAMBE LE ANTE E MANGLIA ESTERNA CON CHIAVE; PORTA DA INSERIRE IN FACCIATA CONTINUA; L 1200 X H 2100</t>
        </is>
      </c>
      <c r="M103" s="4" t="inlineStr">
        <is>
          <t>CADAUNO</t>
        </is>
      </c>
      <c r="N103" s="5" t="n">
        <v>2</v>
      </c>
      <c r="O103" s="45" t="n">
        <v>0</v>
      </c>
      <c r="P103" s="45" t="n">
        <v>0</v>
      </c>
      <c r="Q103" s="5" t="n"/>
      <c r="R103" s="6" t="n"/>
      <c r="S103" s="6">
        <f>IF(AND(Q103&lt;&gt;"",R103&lt;&gt;""),Q103*R103,"")</f>
        <v/>
      </c>
      <c r="T103" s="45">
        <f>IF(S103="",P103,S103)</f>
        <v/>
      </c>
      <c r="U103" s="7" t="n">
        <v>0</v>
      </c>
      <c r="V103" s="6">
        <f>$T103*U103</f>
        <v/>
      </c>
      <c r="W103" s="7" t="n">
        <v>0</v>
      </c>
      <c r="X103" s="6">
        <f>$T103*W103</f>
        <v/>
      </c>
      <c r="Y103" s="7" t="n">
        <v>0</v>
      </c>
      <c r="Z103" s="6">
        <f>$T103*Y103</f>
        <v/>
      </c>
      <c r="AA103" s="7" t="n">
        <v>0</v>
      </c>
      <c r="AB103" s="6">
        <f>$T103*AA103</f>
        <v/>
      </c>
      <c r="AC103" s="7" t="n">
        <v>0</v>
      </c>
      <c r="AD103" s="6">
        <f>$T103*AC103</f>
        <v/>
      </c>
      <c r="AE103" s="7" t="n">
        <v>0</v>
      </c>
      <c r="AF103" s="6">
        <f>$T103*AE103</f>
        <v/>
      </c>
      <c r="AG103" s="7" t="n">
        <v>0</v>
      </c>
      <c r="AH103" s="6">
        <f>$T103*AG103</f>
        <v/>
      </c>
      <c r="AI103" s="7">
        <f>U103+W103+Y103+AA103+AC103+AE103+AG103</f>
        <v/>
      </c>
      <c r="AJ103" s="6">
        <f>V103+X103+Z103+AB103+AD103+AF103+AH103</f>
        <v/>
      </c>
    </row>
    <row r="104" ht="60" customHeight="1" s="46">
      <c r="A104" s="3" t="inlineStr">
        <is>
          <t>PA.ARC.14</t>
        </is>
      </c>
      <c r="B104" s="4" t="inlineStr">
        <is>
          <t>1/1</t>
        </is>
      </c>
      <c r="C104" s="3" t="inlineStr">
        <is>
          <t>EDILE</t>
        </is>
      </c>
      <c r="D104" s="4" t="inlineStr">
        <is>
          <t>NON SPECIALE</t>
        </is>
      </c>
      <c r="E104" s="4" t="inlineStr">
        <is>
          <t>EDILI</t>
        </is>
      </c>
      <c r="F104" s="3" t="inlineStr">
        <is>
          <t>1_2025.11.20_CME REV07.PDF</t>
        </is>
      </c>
      <c r="G104" s="4" t="inlineStr">
        <is>
          <t>70</t>
        </is>
      </c>
      <c r="H104" s="3" t="inlineStr">
        <is>
          <t>60 - FINITURE</t>
        </is>
      </c>
      <c r="I104" s="3" t="inlineStr">
        <is>
          <t>NUOVI LABORATORI</t>
        </is>
      </c>
      <c r="J104" s="3" t="inlineStr">
        <is>
          <t>OPERE GENERICHE</t>
        </is>
      </c>
      <c r="K104" s="3" t="inlineStr">
        <is>
          <t>FORNITURA E POSA IN OPERA DI SERRAMENTI IN ALLUMINIO A TAGLIO TERMICO SERIE SCHÜCO ADS/AWS 75.SI, REALIZZATI CON PROFILATI ESTRUSI IN LEGA PRIMARIA DI ALLUMINIO 6060, CONFORMI ALLE NORMATIVE UNI EN 57</t>
        </is>
      </c>
      <c r="L104" s="3" t="inlineStr">
        <is>
          <t>FORNITURA E POSA IN OPERA DI SERRAMENTI IN ALLUMINIO A TAGLIO TERMICO SERIE SCHÜCO ADS/AWS 75.SI, REALIZZATI CON PROFILATI ESTRUSI IN LEGA PRIMARIA DI ALLUMINIO 6060, CONFORMI ALLE NORMATIVE UNI EN 573 E UNI EN 515, CON TOLLERANZE SECONDO UNI EN 12020-2 E/O UNI EN 755-9. IL SISTEMA PREVEDE TELAIO-ANTA COMPLANARI ESTERNAMENTE E A SORMONTO INTERNAMENTE, CON SPESSORI: TELAIO 75 MM, ANTA FINESTRE/PORTEFINESTRE 85 MM, ANTA PORTE 75 MM. TENUTA ARIA-ACQUA-VENTO A GIUNTO APERTO CON GUARNIZIONI IN GOMMA SINTETICA TIPO EPDM; ACCESSORI ORIGINALI SCHÜCO IN MATERIALE INOSSIDABILE. TRATTAMENTI SUPERFICIALI CONFORMI ALLE DIRETTIVE QUALICOAT (VERNICIATI) O EURAS-EWAA (OSSIDATI). FINITURE: COLORI INTERNO/ESTERNO E ACCESSORI STANDARD DA GAMMA; FERMAVETRO SQUADRATO. PORTA A DUE ANTE APRIBILI A BATTENTE VERSO L'ESTERNO; PORTA ACCESSORIATA CON CERNIERE CILINDRICHE, MANIGLIONE ANTIPANICO STANDARD CON BARRA ROSSA SU ENTRAMBE LE ANTE E MANGLIA ESTERNA CON CHIAVE; TAMPONAMENTO CON PANNELLO "CIECO"; L 1200 X H 2100</t>
        </is>
      </c>
      <c r="M104" s="4" t="inlineStr">
        <is>
          <t>CADAUNO</t>
        </is>
      </c>
      <c r="N104" s="5" t="n">
        <v>3</v>
      </c>
      <c r="O104" s="45" t="n">
        <v>3395.88</v>
      </c>
      <c r="P104" s="45" t="n">
        <v>10187.64</v>
      </c>
      <c r="Q104" s="5" t="n"/>
      <c r="R104" s="6" t="n"/>
      <c r="S104" s="6">
        <f>IF(AND(Q104&lt;&gt;"",R104&lt;&gt;""),Q104*R104,"")</f>
        <v/>
      </c>
      <c r="T104" s="45">
        <f>IF(S104="",P104,S104)</f>
        <v/>
      </c>
      <c r="U104" s="7" t="n">
        <v>0.2</v>
      </c>
      <c r="V104" s="6">
        <f>$T104*U104</f>
        <v/>
      </c>
      <c r="W104" s="7" t="n">
        <v>0.5</v>
      </c>
      <c r="X104" s="6">
        <f>$T104*W104</f>
        <v/>
      </c>
      <c r="Y104" s="7" t="n">
        <v>0</v>
      </c>
      <c r="Z104" s="6">
        <f>$T104*Y104</f>
        <v/>
      </c>
      <c r="AA104" s="7" t="n">
        <v>0</v>
      </c>
      <c r="AB104" s="6">
        <f>$T104*AA104</f>
        <v/>
      </c>
      <c r="AC104" s="7" t="n">
        <v>0</v>
      </c>
      <c r="AD104" s="6">
        <f>$T104*AC104</f>
        <v/>
      </c>
      <c r="AE104" s="7" t="n">
        <v>0</v>
      </c>
      <c r="AF104" s="6">
        <f>$T104*AE104</f>
        <v/>
      </c>
      <c r="AG104" s="7" t="n">
        <v>0</v>
      </c>
      <c r="AH104" s="6">
        <f>$T104*AG104</f>
        <v/>
      </c>
      <c r="AI104" s="7">
        <f>U104+W104+Y104+AA104+AC104+AE104+AG104</f>
        <v/>
      </c>
      <c r="AJ104" s="6">
        <f>V104+X104+Z104+AB104+AD104+AF104+AH104</f>
        <v/>
      </c>
    </row>
    <row r="105" ht="60" customHeight="1" s="46">
      <c r="A105" s="3" t="inlineStr">
        <is>
          <t>LOM241.OC.EEA.A01.C3330.SA000.1000</t>
        </is>
      </c>
      <c r="B105" s="4" t="inlineStr">
        <is>
          <t>1/2</t>
        </is>
      </c>
      <c r="C105" s="3" t="inlineStr">
        <is>
          <t>EDILE</t>
        </is>
      </c>
      <c r="D105" s="4" t="inlineStr">
        <is>
          <t>NON SPECIALE</t>
        </is>
      </c>
      <c r="E105" s="4" t="inlineStr">
        <is>
          <t>EDILI</t>
        </is>
      </c>
      <c r="F105" s="3" t="inlineStr">
        <is>
          <t>1_2025.11.20_CME REV07.PDF</t>
        </is>
      </c>
      <c r="G105" s="4" t="inlineStr">
        <is>
          <t>74</t>
        </is>
      </c>
      <c r="H105" s="3" t="inlineStr">
        <is>
          <t>60 - FINITURE</t>
        </is>
      </c>
      <c r="I105" s="3" t="inlineStr">
        <is>
          <t>NUOVI LABORATORI</t>
        </is>
      </c>
      <c r="J105" s="3" t="inlineStr">
        <is>
          <t>OPERE GENERICHE</t>
        </is>
      </c>
      <c r="K105" s="3" t="inlineStr">
        <is>
          <t>OPERA: FINESTRA, TELAIO FISSO DI LEGA ALLUMINIO GENERICO; FINITURA: VERNICIATO A POLVERE; GEOMETRIA/FORMA/ASPETTO: GIUNTO APERTO | UN'ANTA; POTERE FONOISOLANTE (RW) [DB] = 36 | TRASMITTANZA TERMICA (U</t>
        </is>
      </c>
      <c r="L105" s="3" t="inlineStr">
        <is>
          <t>OPERA: FINESTRA, TELAIO FISSO DI LEGA ALLUMINIO GENERICO; FINITURA: VERNICIATO A POLVERE; GEOMETRIA/FORMA/ASPETTO: GIUNTO APERTO | UN'ANTA; POTERE FONOISOLANTE (RW) [DB] = 36 | TRASMITTANZA TERMICA (UW) [W/M²K] = 1. ESCLUSO: CONTROTELAIO. 
LAVORO: INSTALLAZIONE. 
SPECIFICHE TECNICHE: VERNICIATA A POLVERE DI POLIESTERE (PPC) COLORE A GAMMA RAL STANDARD, SPESSORE MINIMO VERNICIATURA [Μ] = 60, OPPURE OSSIDATO ARGENTO NATURALE, SPESSORE DELL'OSSIDO MEDIO [Μ] = 15; PER ZONA CLIMATICA E. 
COMPONENTI: 
OP1 OPERA: FINESTRA, TELAIO FISSO DI LEGA ALLUMINIO GENERICO; FINITURA: VERNICIATO A POLVERE; GEOMETRIA/FORMA/ASPETTO: GIUNTO APERTO | UN'ANTA; POTERE FONOISOLANTE (RW) [DB] = 36 | TRASMITTANZA TERMICA (UW) [W/M²K] = 1. ESCLUSO: CONTROTELAIO. 
SPECIFICHE TECNICHE: VERNICIATA A POLVERE DI POLIESTERE (PPC) COLORE A GAMMA RAL STANDARD, SPESSORE MINIMO VERNICIATURA [Μ] = 60, OPPURE OSSIDATO ARGENTO NATURALE, SPESSORE DELL'OSSIDO MEDIO [Μ] = 15; PER ZONA CLIMATICA E. 
RM2 FINESTRA TELAIO FISSO DI LEGA ALLUMINIO GENERICO; FINITURA: VERNICIATO A POLVERE; GEOMETRIA/FORMA/ASPETTO: GIUNTO APERTO | UN'ANTA; PERMEABILITÀ ALL'ARIA [CLASSE] = 4 | TENUTA ALL'ACQUA [CLASSE] = 7A | RESISTENZA AL VENTO [CLASSE] = C3 | TRASMITTANZA TERMICA (UW) [W/M²K] = 1 | POTERE FONOISOLANTE (RW) [DB] = 36; SUPERFICIE [M²] = 1,68. INCLUSO: FERRAMENTA; GUARNIZIONE IN EPDM / NEOPRENE. ESCLUSO: CONTROTELAIO 
SPECIFICHE TECNICHE: VERNICIATA A POLVERE DI POLIESTERE (PPC) COLORE A GAMMA RAL STANDARD; SPESSORE MINIMO VERNICIATURA [Μ] = 60, OPPURE OSSIDATO ARGENTO NATURALE, SPESSORE DELL'OSSIDO MEDIO [Μ] = 15; ZONA CLIMATICA E (UCW [W/M²K] ≤ 1,4) 
LV1 LAVORO: INSTALLAZIONE.</t>
        </is>
      </c>
      <c r="M105" s="4" t="inlineStr">
        <is>
          <t>M²</t>
        </is>
      </c>
      <c r="N105" s="5" t="n">
        <v>15</v>
      </c>
      <c r="O105" s="45" t="n">
        <v>554.47</v>
      </c>
      <c r="P105" s="45" t="n">
        <v>8317.049999999999</v>
      </c>
      <c r="Q105" s="5" t="n"/>
      <c r="R105" s="6" t="n"/>
      <c r="S105" s="6">
        <f>IF(AND(Q105&lt;&gt;"",R105&lt;&gt;""),Q105*R105,"")</f>
        <v/>
      </c>
      <c r="T105" s="45">
        <f>IF(S105="",P105,S105)</f>
        <v/>
      </c>
      <c r="U105" s="7" t="n">
        <v>0</v>
      </c>
      <c r="V105" s="6">
        <f>$T105*U105</f>
        <v/>
      </c>
      <c r="W105" s="7" t="n">
        <v>0.6</v>
      </c>
      <c r="X105" s="6">
        <f>$T105*W105</f>
        <v/>
      </c>
      <c r="Y105" s="7" t="n">
        <v>0</v>
      </c>
      <c r="Z105" s="6">
        <f>$T105*Y105</f>
        <v/>
      </c>
      <c r="AA105" s="7" t="n">
        <v>0</v>
      </c>
      <c r="AB105" s="6">
        <f>$T105*AA105</f>
        <v/>
      </c>
      <c r="AC105" s="7" t="n">
        <v>0</v>
      </c>
      <c r="AD105" s="6">
        <f>$T105*AC105</f>
        <v/>
      </c>
      <c r="AE105" s="7" t="n">
        <v>0</v>
      </c>
      <c r="AF105" s="6">
        <f>$T105*AE105</f>
        <v/>
      </c>
      <c r="AG105" s="7" t="n">
        <v>0</v>
      </c>
      <c r="AH105" s="6">
        <f>$T105*AG105</f>
        <v/>
      </c>
      <c r="AI105" s="7">
        <f>U105+W105+Y105+AA105+AC105+AE105+AG105</f>
        <v/>
      </c>
      <c r="AJ105" s="6">
        <f>V105+X105+Z105+AB105+AD105+AF105+AH105</f>
        <v/>
      </c>
    </row>
    <row r="106" ht="60" customHeight="1" s="46">
      <c r="A106" s="3" t="inlineStr">
        <is>
          <t>LOM241.OC.EEA.A01.C3330.SA000.0005</t>
        </is>
      </c>
      <c r="B106" s="4" t="inlineStr">
        <is>
          <t>1/2</t>
        </is>
      </c>
      <c r="C106" s="3" t="inlineStr">
        <is>
          <t>EDILE</t>
        </is>
      </c>
      <c r="D106" s="4" t="inlineStr">
        <is>
          <t>NON SPECIALE</t>
        </is>
      </c>
      <c r="E106" s="4" t="inlineStr">
        <is>
          <t>EDILI</t>
        </is>
      </c>
      <c r="F106" s="3" t="inlineStr">
        <is>
          <t>1_2025.11.20_CME REV07.PDF</t>
        </is>
      </c>
      <c r="G106" s="4" t="inlineStr">
        <is>
          <t>75</t>
        </is>
      </c>
      <c r="H106" s="3" t="inlineStr">
        <is>
          <t>60 - FINITURE</t>
        </is>
      </c>
      <c r="I106" s="3" t="inlineStr">
        <is>
          <t>NUOVI LABORATORI</t>
        </is>
      </c>
      <c r="J106" s="3" t="inlineStr">
        <is>
          <t>OPERE GENERICHE</t>
        </is>
      </c>
      <c r="K106" s="3" t="inlineStr">
        <is>
          <t>OPERA: FINESTRA, BATTENTE DI LEGA ALLUMINIO GENERICO; FINITURA: VERNICIATO A POLVERE; GEOMETRIA/FORMA/ASPETTO: GIUNTO APERTO | UN'ANTA; POTERE FONOISOLANTE (RW) [DB] = 36 | TRASMITTANZA TERMICA (UW) [</t>
        </is>
      </c>
      <c r="L106" s="3" t="inlineStr">
        <is>
          <t>OPERA: FINESTRA, BATTENTE DI LEGA ALLUMINIO GENERICO; FINITURA: VERNICIATO A POLVERE; GEOMETRIA/FORMA/ASPETTO: GIUNTO APERTO | UN'ANTA; POTERE FONOISOLANTE (RW) [DB] = 36 | TRASMITTANZA TERMICA (UW) [W/M²K] = 1. ESCLUSO: CONTROTELAIO. 
LAVORO: INSTALLAZIONE. 
SPECIFICHE TECNICHE: VERNICIATA A POLVERE DI POLIESTERE (PPC) COLORE A GAMMA RAL STANDARD, SPESSORE MINIMO VERNICIATURA [Μ] = 60, OPPURE OSSIDATO ARGENTO NATURALE, SPESSORE DELL'OSSIDO MEDIO [Μ] = 15; PER ZONA CLIMATICA E. 
COMPONENTI: 
OP1 OPERA: FINESTRA, BATTENTE DI LEGA ALLUMINIO GENERICO; FINITURA: VERNICIATO A POLVERE; GEOMETRIA/FORMA/ASPETTO: GIUNTO APERTO | UN'ANTA; POTERE FONOISOLANTE (RW) [DB] = 36 | TRASMITTANZA TERMICA (UW) [W/M²K] = 1. ESCLUSO: CONTROTELAIO. 
SPECIFICHE TECNICHE: VERNICIATA A POLVERE DI POLIESTERE (PPC) COLORE A GAMMA RAL STANDARD, SPESSORE MINIMO VERNICIATURA [Μ] = 60, OPPURE OSSIDATO ARGENTO NATURALE, SPESSORE DELL'OSSIDO MEDIO [Μ] = 15; PER ZONA CLIMATICA E. 
RM2 FINESTRA BATTENTE DI LEGA ALLUMINIO GENERICO; FINITURA: VERNICIATO A POLVERE; GEOMETRIA/FORMA/ASPETTO: GIUNTO APERTO | UN'ANTA; PERMEABILITÀ ALL'ARIA [CLASSE] = 4 | TENUTA ALL'ACQUA [CLASSE] = 7A | RESISTENZA AL VENTO [CLASSE] = C3 | TRASMITTANZA TERMICA (UW) [W/M²K] = 1 | POTERE FONOISOLANTE (RW) [DB] = 36; SUPERFICIE [M²] = 2,52. INCLUSO: FERRAMENTA; GUARNIZIONE IN EPDM / NEOPRENE. ESCLUSO: CONTROTELAIO 
SPECIFICHE TECNICHE: VERNICIATA A POLVERE DI POLIESTERE (PPC) COLORE A GAMMA RAL STANDARD; SPESSORE MINIMO VERNICIATURA [Μ] = 60, OPPURE OSSIDATO ARGENTO NATURALE, SPESSORE DELL'OSSIDO MEDIO [Μ] = 15; ZONA CLIMATICA E (UCW [W/M²K] ≤ 1,4) 
LV1 LAVORO: INSTALLAZIONE.</t>
        </is>
      </c>
      <c r="M106" s="4" t="inlineStr">
        <is>
          <t>M²</t>
        </is>
      </c>
      <c r="N106" s="5" t="n">
        <v>2.52</v>
      </c>
      <c r="O106" s="45" t="n">
        <v>2220.48</v>
      </c>
      <c r="P106" s="45" t="n">
        <v>5595.6096</v>
      </c>
      <c r="Q106" s="5" t="n"/>
      <c r="R106" s="6" t="n"/>
      <c r="S106" s="6">
        <f>IF(AND(Q106&lt;&gt;"",R106&lt;&gt;""),Q106*R106,"")</f>
        <v/>
      </c>
      <c r="T106" s="45">
        <f>IF(S106="",P106,S106)</f>
        <v/>
      </c>
      <c r="U106" s="7" t="n">
        <v>0</v>
      </c>
      <c r="V106" s="6">
        <f>$T106*U106</f>
        <v/>
      </c>
      <c r="W106" s="7" t="n">
        <v>0.6</v>
      </c>
      <c r="X106" s="6">
        <f>$T106*W106</f>
        <v/>
      </c>
      <c r="Y106" s="7" t="n">
        <v>0</v>
      </c>
      <c r="Z106" s="6">
        <f>$T106*Y106</f>
        <v/>
      </c>
      <c r="AA106" s="7" t="n">
        <v>0</v>
      </c>
      <c r="AB106" s="6">
        <f>$T106*AA106</f>
        <v/>
      </c>
      <c r="AC106" s="7" t="n">
        <v>0</v>
      </c>
      <c r="AD106" s="6">
        <f>$T106*AC106</f>
        <v/>
      </c>
      <c r="AE106" s="7" t="n">
        <v>0</v>
      </c>
      <c r="AF106" s="6">
        <f>$T106*AE106</f>
        <v/>
      </c>
      <c r="AG106" s="7" t="n">
        <v>0</v>
      </c>
      <c r="AH106" s="6">
        <f>$T106*AG106</f>
        <v/>
      </c>
      <c r="AI106" s="7">
        <f>U106+W106+Y106+AA106+AC106+AE106+AG106</f>
        <v/>
      </c>
      <c r="AJ106" s="6">
        <f>V106+X106+Z106+AB106+AD106+AF106+AH106</f>
        <v/>
      </c>
    </row>
    <row r="107" hidden="1" ht="60" customHeight="1" s="46">
      <c r="A107" s="3" t="inlineStr">
        <is>
          <t>LOM241.OC.EEA.A03.C3335.T0006.1000</t>
        </is>
      </c>
      <c r="B107" s="4" t="inlineStr">
        <is>
          <t>1/2</t>
        </is>
      </c>
      <c r="C107" s="3" t="inlineStr">
        <is>
          <t>EDILE</t>
        </is>
      </c>
      <c r="D107" s="4" t="inlineStr">
        <is>
          <t>NON SPECIALE</t>
        </is>
      </c>
      <c r="E107" s="4" t="inlineStr">
        <is>
          <t>EDILI</t>
        </is>
      </c>
      <c r="F107" s="3" t="inlineStr">
        <is>
          <t>1_2025.11.20_CME REV07.PDF</t>
        </is>
      </c>
      <c r="G107" s="4" t="inlineStr">
        <is>
          <t>77</t>
        </is>
      </c>
      <c r="H107" s="3" t="inlineStr">
        <is>
          <t>60 - FINITURE</t>
        </is>
      </c>
      <c r="I107" s="3" t="inlineStr">
        <is>
          <t>NUOVI LABORATORI</t>
        </is>
      </c>
      <c r="J107" s="3" t="inlineStr">
        <is>
          <t>INFISSI</t>
        </is>
      </c>
      <c r="K107" s="3" t="inlineStr">
        <is>
          <t xml:space="preserve">OPERA: VETRATURA, ISOLANTE TERMOACUSTICA DI VETRO CRISTALLO; GEOMETRIA/FORMA/ASPETTO: DOPPIA. ESCLUSO: VETRI I CUI PREZZI SARANNO DESUNTI E CONTABILIZZATI DAL VOLUME 2.1. </t>
        </is>
      </c>
      <c r="L107" s="3" t="inlineStr">
        <is>
          <t>OPERA: VETRATURA, ISOLANTE TERMOACUSTICA DI VETRO CRISTALLO; GEOMETRIA/FORMA/ASPETTO: DOPPIA. ESCLUSO: VETRI I CUI PREZZI SARANNO DESUNTI E CONTABILIZZATI DAL VOLUME 2.1. 
LAVORO: ASSEMBLAGGIO. INCLUSO: POSA. 
SPECIFICHE TECNICHE: COSTRUZIONE VETRATA ISOLANTE IN LABORATORIO; POSA SU SERRAMENTO GENERICO. 
COMPONENTI: 
OP1 OPERA: VETRATURA, ISOLANTE TERMOACUSTICA DI VETRO CRISTALLO; GEOMETRIA/FORMA/ASPETTO: DOPPIA. ESCLUSO: VETRI I CUI PREZZI SARANNO DESUNTI E CONTABILIZZATI DAL VOLUME 2.1. 
RM2 VETRATURA ISOLANTE TERMOACUSTICA DI VETRO GENERICO 
RM2 ADESIVO MASTICE PLASTICO DI MATERIALE GENERICO 
SPECIFICHE TECNICHE: TRAFILATO 
RM2 GIUNTO DI RESINA SINTETICA POLIVINILCLORURO (PVC); GEOMETRIA/FORMA/ASPETTO: PROFILATO; FUNZIONE: DILATAZIONE; IMPIEGO: GETTI IN C.A.; TENUTA IDRAULICA [ATM] ≤ 3 
SPECIFICHE TECNICHE: PER GIUNTI DI DILATAZIONE DI 2/4 CM 
LV1 LAVORO: ASSEMBLAGGIO. INCLUSO: POSA. 
SPECIFICHE TECNICHE: COSTRUZIONE VETRATA ISOLANTE IN LABORATORIO; POSA SU SERRAMENTO GENERICO.</t>
        </is>
      </c>
      <c r="M107" s="4" t="inlineStr">
        <is>
          <t>M²</t>
        </is>
      </c>
      <c r="N107" s="5" t="n">
        <v>15.77</v>
      </c>
      <c r="O107" s="45" t="n">
        <v>0</v>
      </c>
      <c r="P107" s="45" t="n">
        <v>0</v>
      </c>
      <c r="Q107" s="5" t="n"/>
      <c r="R107" s="6" t="n"/>
      <c r="S107" s="6">
        <f>IF(AND(Q107&lt;&gt;"",R107&lt;&gt;""),Q107*R107,"")</f>
        <v/>
      </c>
      <c r="T107" s="45">
        <f>IF(S107="",P107,S107)</f>
        <v/>
      </c>
      <c r="U107" s="7" t="n">
        <v>0</v>
      </c>
      <c r="V107" s="6">
        <f>$T107*U107</f>
        <v/>
      </c>
      <c r="W107" s="7" t="n">
        <v>0</v>
      </c>
      <c r="X107" s="6">
        <f>$T107*W107</f>
        <v/>
      </c>
      <c r="Y107" s="7" t="n">
        <v>0</v>
      </c>
      <c r="Z107" s="6">
        <f>$T107*Y107</f>
        <v/>
      </c>
      <c r="AA107" s="7" t="n">
        <v>0</v>
      </c>
      <c r="AB107" s="6">
        <f>$T107*AA107</f>
        <v/>
      </c>
      <c r="AC107" s="7" t="n">
        <v>0</v>
      </c>
      <c r="AD107" s="6">
        <f>$T107*AC107</f>
        <v/>
      </c>
      <c r="AE107" s="7" t="n">
        <v>0</v>
      </c>
      <c r="AF107" s="6">
        <f>$T107*AE107</f>
        <v/>
      </c>
      <c r="AG107" s="7" t="n">
        <v>0</v>
      </c>
      <c r="AH107" s="6">
        <f>$T107*AG107</f>
        <v/>
      </c>
      <c r="AI107" s="7">
        <f>U107+W107+Y107+AA107+AC107+AE107+AG107</f>
        <v/>
      </c>
      <c r="AJ107" s="6">
        <f>V107+X107+Z107+AB107+AD107+AF107+AH107</f>
        <v/>
      </c>
    </row>
    <row r="108" ht="60" customHeight="1" s="46">
      <c r="A108" s="3" t="inlineStr">
        <is>
          <t>PA.ARC.09</t>
        </is>
      </c>
      <c r="B108" s="4" t="inlineStr">
        <is>
          <t>1/1</t>
        </is>
      </c>
      <c r="C108" s="3" t="inlineStr">
        <is>
          <t>EDILE</t>
        </is>
      </c>
      <c r="D108" s="4" t="inlineStr">
        <is>
          <t>NON SPECIALE</t>
        </is>
      </c>
      <c r="E108" s="4" t="inlineStr">
        <is>
          <t>EDILI</t>
        </is>
      </c>
      <c r="F108" s="3" t="inlineStr">
        <is>
          <t>1_2025.11.20_CME REV07.PDF</t>
        </is>
      </c>
      <c r="G108" s="4" t="inlineStr">
        <is>
          <t>80</t>
        </is>
      </c>
      <c r="H108" s="3" t="inlineStr">
        <is>
          <t>60 - FINITURE</t>
        </is>
      </c>
      <c r="I108" s="3" t="inlineStr">
        <is>
          <t>NUOVI LABORATORI</t>
        </is>
      </c>
      <c r="J108" s="3" t="inlineStr">
        <is>
          <t>OPERE IN FACCIATA</t>
        </is>
      </c>
      <c r="K108" s="3" t="inlineStr">
        <is>
          <t>FACCIATA CONTINUA SCHÜCO FWS 50.SI AVENTE LE SEGUENTI CARATTERISTICHE: STRUTTURA PORTANTE A MONTANTI E TRAVERSI, COSTITUITA DA PROFILATI METALLICI ESTRUSI IN LEGA PRIMARIA DI ALLUMINIO (EN AW-6060). T</t>
        </is>
      </c>
      <c r="L108" s="3" t="inlineStr">
        <is>
          <t>FACCIATA CONTINUA SCHÜCO FWS 50.SI AVENTE LE SEGUENTI CARATTERISTICHE: STRUTTURA PORTANTE A MONTANTI E TRAVERSI, COSTITUITA DA PROFILATI METALLICI ESTRUSI IN LEGA PRIMARIA DI ALLUMINIO (EN AW-6060). TRATTAMENTO SUPERFICIALE EFFETTUATO SECONDO LE DIRETTIVE TECNICHE DEL MARCHIO DI QUALITÀ QUALICOAT PER LA VERNICIATURA E QUALANOD PER L'OSSIDAZIONE ANODICA.  LA PROFONDITÀ DEI PROFILATI, DISPONIBILI IN DIVERSE DIMENSIONI, DOVRÀ ESSERE SCELTA IN CONFORMITÀ AL CALCOLO STATICO, A LARGHEZZA SARÀ DI 50 MM.  ISOLAMENTO TERMICO AVVIENE ATTRAVERSO L'INTERRUZIONE DEL PONTE TERMICO FRA LA PARTE STRUTTURALE INTERNA E LE COPERTINE DI CHIUSURA ESTERNE, MEDIANTE L'INTERPOSIZIONE DI UN LISTELLO ESTRUSO DI MATERIALE SINTETICO TERMICAMENTE ISOLANTE.  IL DRENAGGIO E LA VENTILAZIONE AVVENGONO ATTRAVERSO APPOSITE CANALINE AD ALTEZZE DIFFERENZIATE ALLA BASE DELLE SEDI DI ALLOGGIAMENTO DEI VETRI. L'EVENTUALE ACQUA DI INFILTRAZIONE O CONDENSA VIENE DRENATA DAL PIANO DI RACCOLTA DEL TRAVERSO SU QUELLO PIÙ BASSO DEL MONTANTE E DA QUI GUIDATA FINO ALLA BASE DELLA COSTRUZIONE.  IL COLLEGAMENTO DEI TRAVERSI AI MONTANTI È REALIZZATO MEDIANTE VITI E CAVALLOTTI ED È SCELTO IN FUNZIONE DEL PESO DEI TAMPONAMENTI, DELLE NECESSITÀ STATICHE E DEL TIPO DI MONTAGGIO IN CONFORMITÀ A QUANTO PREVISTO DAL FORNITORE DEL SISTEMA. ALL'ESTREMITÀ DEI TRAVERSI SONO PREVISTE MASCHERINE IN MATERIALE SINTETICO LA CUI FUNZIONE È DI ASSORBIRE LE VARIAZIONI DIMENSIONALI E CONTEMPORANEAMENTE DI GARANTIRE UN COLLEGAMENTO PIACEVOLE DAL PUNTO DI VISTA ESTETICO.  GLI ACCESSORI DEL SISTEMA SONO REALIZZATI, IN FUNZIONE DELLE NECESSITÀ, CON MATERIALI PERFETTAMENTE COMPATIBILI CON LE LEGHE DI ALLUMINIO UTILIZZATE PER L'ESTRUSIONE DEI PROFILI QUALI: ACCIAIO INOSSIDABILE, ALLUMINIO (PRESSOFUSO O ESTRUSO), MATERIALI SINTETICI, ZAMA (PARTICOLARI PRESSOFUSI).  LE GUARNIZIONI CINGIVETRO INTERNE IN EPDM, HANNO ALTEZZE DIVERSE PER COMPENSARE IL DIVERSO POSIZIONAMENTO DELLE SEDI DATO DALLA SOVRAPPOSIZIONE DEL TRAVERSO SUL MONTANTE.  LE DILATAZIONI TERMICHE ORIZZONTALI VENGONO ASSORBITE DAL GIUNTO MONTANTE-TRAVERSO.  LE LASTRE DI VETRO SONO POSATE SU SUPPORTI IN MATERIALE PLASTICO DI 10 CM DI LUNGHEZZA. IL PESO DELLE LASTRE DI TAMPONAMENTO È SUPPORTATO DA APPOSITI PUNTI DI FORZA METALLICI (ACCESSORI DEL SISTEMA) CHE LO TRASMETTONO ALLA STRUTTURA.  PERMEABILITA' ALL'ARIA PER LE PARTI FISSE: CLASSE AE SECONDO NORMA EN 12152.  TENUTA ALLA PIOGGIA BATTENTE: CLASSE RE 1200 SECONDO NORMA EN 12154.  RESISTENZA AL CARICO DEL VENTO: CARICO AMMESSO 2,0 KN/MQ SECONDO NORMA EN 12179. RETICOLO IN ALLUMINIO PREDIMENSIONATO CONSIDERANDO INTERASSE MASSIMO DEI FISSAGGI PER I MONTANTI PARI A 4500 MM CIRCA (SU SOLAI O TRAVI DI BORDO DEBITAMENTE DIMENSIONATI);  • ESCLUSI EVENTUALI SETTI TAGLIAFUOCO/TAGLIAFUMO DI INTERPIANO;  • ESCLUSE TUTTE LE FINESTRE E LE PORTE APRIBILI;    ISOLAMENTO TERMICO STIMATO UCW 1,2 W/MQ.K</t>
        </is>
      </c>
      <c r="M108" s="4" t="inlineStr">
        <is>
          <t>MQ</t>
        </is>
      </c>
      <c r="N108" s="5" t="n">
        <v>206.9</v>
      </c>
      <c r="O108" s="45" t="n">
        <v>827.87</v>
      </c>
      <c r="P108" s="45" t="n">
        <v>171286.303</v>
      </c>
      <c r="Q108" s="5" t="n"/>
      <c r="R108" s="6" t="n"/>
      <c r="S108" s="6">
        <f>IF(AND(Q108&lt;&gt;"",R108&lt;&gt;""),Q108*R108,"")</f>
        <v/>
      </c>
      <c r="T108" s="45">
        <f>IF(S108="",P108,S108)</f>
        <v/>
      </c>
      <c r="U108" s="7" t="n">
        <v>0.2</v>
      </c>
      <c r="V108" s="6">
        <f>$T108*U108</f>
        <v/>
      </c>
      <c r="W108" s="7" t="n">
        <v>0.5</v>
      </c>
      <c r="X108" s="6">
        <f>$T108*W108</f>
        <v/>
      </c>
      <c r="Y108" s="7" t="n">
        <v>0</v>
      </c>
      <c r="Z108" s="6">
        <f>$T108*Y108</f>
        <v/>
      </c>
      <c r="AA108" s="7" t="n">
        <v>0</v>
      </c>
      <c r="AB108" s="6">
        <f>$T108*AA108</f>
        <v/>
      </c>
      <c r="AC108" s="7" t="n">
        <v>0</v>
      </c>
      <c r="AD108" s="6">
        <f>$T108*AC108</f>
        <v/>
      </c>
      <c r="AE108" s="7" t="n">
        <v>0</v>
      </c>
      <c r="AF108" s="6">
        <f>$T108*AE108</f>
        <v/>
      </c>
      <c r="AG108" s="7" t="n">
        <v>0</v>
      </c>
      <c r="AH108" s="6">
        <f>$T108*AG108</f>
        <v/>
      </c>
      <c r="AI108" s="7">
        <f>U108+W108+Y108+AA108+AC108+AE108+AG108</f>
        <v/>
      </c>
      <c r="AJ108" s="6">
        <f>V108+X108+Z108+AB108+AD108+AF108+AH108</f>
        <v/>
      </c>
    </row>
    <row r="109" ht="60" customHeight="1" s="46">
      <c r="A109" s="3" t="inlineStr">
        <is>
          <t>PA.ARC.07</t>
        </is>
      </c>
      <c r="B109" s="4" t="inlineStr">
        <is>
          <t>1/2</t>
        </is>
      </c>
      <c r="C109" s="3" t="inlineStr">
        <is>
          <t>EDILE</t>
        </is>
      </c>
      <c r="D109" s="4" t="inlineStr">
        <is>
          <t>NON SPECIALE</t>
        </is>
      </c>
      <c r="E109" s="4" t="inlineStr">
        <is>
          <t>EDILI</t>
        </is>
      </c>
      <c r="F109" s="3" t="inlineStr">
        <is>
          <t>1_2025.11.20_CME REV07.PDF</t>
        </is>
      </c>
      <c r="G109" s="4" t="inlineStr">
        <is>
          <t>81</t>
        </is>
      </c>
      <c r="H109" s="3" t="inlineStr">
        <is>
          <t>60 - FINITURE</t>
        </is>
      </c>
      <c r="I109" s="3" t="inlineStr">
        <is>
          <t>NUOVI LABORATORI</t>
        </is>
      </c>
      <c r="J109" s="3" t="inlineStr">
        <is>
          <t>PAVIMENTI E RIVESTIMENTI</t>
        </is>
      </c>
      <c r="K109" s="3" t="inlineStr">
        <is>
          <t>RIVESTIMENTO ESTERNO "VENTILATO" COMPOSTO DA:- DOGHE DISPOSTE IN ORIZZONTALE CON ALTEZZA 120 MM CIRCA, REALIZZATE IN ALLUMINIO ESTRUSO SAGOMA-TO, FISSAGGIO MEDIANTE RIVETTATURA/AVVITATURA SU SPE-CIFIC</t>
        </is>
      </c>
      <c r="L109" s="3" t="inlineStr">
        <is>
          <t>RIVESTIMENTO ESTERNO "VENTILATO" COMPOSTO DA:- DOGHE DISPOSTE IN ORIZZONTALE CON ALTEZZA 120 MM CIRCA, REALIZZATE IN ALLUMINIO ESTRUSO SAGOMA-TO, FISSAGGIO MEDIANTE RIVETTATURA/AVVITATURA SU SPE-CIFICA SOTTOSTRUTTURA;DOGHE CON FINITURA MEDIANTE VERNICIATURA A POLVE-RE IN TINTA RAL DA NS. GAMMA STANDARD;- SOTTOSTRUTTURA VERTICALE (NON AUTOPORTANTE) PERIL FISSAGGIO DELLE DOGHE COMPOSTA DA APPOSITI PRO-FILI METALLICI FISSATI ALLA RETROSTANTE PARETE/STRUTTURAPORTANTE MEDIANTE STAFFE METALLICHE DOTATE DI ASO-LE DI FISSAGGIO PER PERMETTERE REGOLAZIONI E COM-PENSAZIONE DI EVENTUALI FUORI PIOMBO;IL FISSAGGIO DELLE STAFFE ALLA RETROSTANTE PARETE/STUT-TURA PORTANTE È FETTUATA CON TASSELLI METALLICI AD ESPANSIONE, DIMENSIONATI IN FUNZIONE DEI CARICHI;- DISTANZA MASSIMA TRA PARETE PORTANTE DI SUPPOR-TO E FILO ESTERNO RIVESTIMENTO PARI A 120 MM;ESCLUSO ISOLAMENTO A "CAPPOTTO";ESCLUSO CAPPELLO SUPERIORE DI RACCORDO/CHIUSURA,BARRIERE TAGLIAFUOCO, IMBOTTI DI RACCODO CON SERRA-MENTI E ALTRI MANUFATTI, EVENTUALI SOTTOSTRUTTUREPORTANTI IN CASO LA POSA NON SIA PREVISTA SU PARE-ETE PORTANTE CONTINUA, DEBITAMENTE PREDISPOSTAE DIMENSIONATA; ESCLUSE EVENTUALI PREDISPOSIZIONI E/O RINFORZIPER FISSAGGIO INSEGNE E/O ALTRI ELEMENTI (ILLUMINA-ZIONE, TELECAMERE, ECC..);</t>
        </is>
      </c>
      <c r="M109" s="4" t="inlineStr">
        <is>
          <t>M²</t>
        </is>
      </c>
      <c r="N109" s="5" t="n">
        <v>298.92</v>
      </c>
      <c r="O109" s="45" t="n">
        <v>420.44</v>
      </c>
      <c r="P109" s="45" t="n">
        <v>125677.9248</v>
      </c>
      <c r="Q109" s="5" t="n"/>
      <c r="R109" s="6" t="n"/>
      <c r="S109" s="6">
        <f>IF(AND(Q109&lt;&gt;"",R109&lt;&gt;""),Q109*R109,"")</f>
        <v/>
      </c>
      <c r="T109" s="45">
        <f>IF(S109="",P109,S109)</f>
        <v/>
      </c>
      <c r="U109" s="7" t="n">
        <v>0.25</v>
      </c>
      <c r="V109" s="6">
        <f>$T109*U109</f>
        <v/>
      </c>
      <c r="W109" s="7" t="n">
        <v>0.25</v>
      </c>
      <c r="X109" s="6">
        <f>$T109*W109</f>
        <v/>
      </c>
      <c r="Y109" s="7" t="n">
        <v>0</v>
      </c>
      <c r="Z109" s="6">
        <f>$T109*Y109</f>
        <v/>
      </c>
      <c r="AA109" s="7" t="n">
        <v>0</v>
      </c>
      <c r="AB109" s="6">
        <f>$T109*AA109</f>
        <v/>
      </c>
      <c r="AC109" s="7" t="n">
        <v>0</v>
      </c>
      <c r="AD109" s="6">
        <f>$T109*AC109</f>
        <v/>
      </c>
      <c r="AE109" s="7" t="n">
        <v>0</v>
      </c>
      <c r="AF109" s="6">
        <f>$T109*AE109</f>
        <v/>
      </c>
      <c r="AG109" s="7" t="n">
        <v>0</v>
      </c>
      <c r="AH109" s="6">
        <f>$T109*AG109</f>
        <v/>
      </c>
      <c r="AI109" s="7">
        <f>U109+W109+Y109+AA109+AC109+AE109+AG109</f>
        <v/>
      </c>
      <c r="AJ109" s="6">
        <f>V109+X109+Z109+AB109+AD109+AF109+AH109</f>
        <v/>
      </c>
    </row>
    <row r="110" ht="54" customHeight="1" s="46">
      <c r="A110" s="3" t="inlineStr">
        <is>
          <t>PA.ARC.15</t>
        </is>
      </c>
      <c r="B110" s="4" t="inlineStr">
        <is>
          <t>1/1</t>
        </is>
      </c>
      <c r="C110" s="3" t="inlineStr">
        <is>
          <t>EDILE</t>
        </is>
      </c>
      <c r="D110" s="4" t="inlineStr">
        <is>
          <t>NON SPECIALE</t>
        </is>
      </c>
      <c r="E110" s="4" t="inlineStr">
        <is>
          <t>EDILI</t>
        </is>
      </c>
      <c r="F110" s="3" t="inlineStr">
        <is>
          <t>1_2025.11.20_CME REV07.PDF</t>
        </is>
      </c>
      <c r="G110" s="4" t="inlineStr">
        <is>
          <t>83</t>
        </is>
      </c>
      <c r="H110" s="3" t="inlineStr">
        <is>
          <t>60 - FINITURE</t>
        </is>
      </c>
      <c r="I110" s="3" t="inlineStr">
        <is>
          <t>NUOVI LABORATORI</t>
        </is>
      </c>
      <c r="J110" s="3" t="inlineStr">
        <is>
          <t>OPERE GENERICHE</t>
        </is>
      </c>
      <c r="K110" s="3" t="inlineStr">
        <is>
          <t>CAPPELLO SUPERIORE PER CHIUSURA E RACCORDO TRA CORDOLO IN COPERTURA E FILO ESTERNO RIVESTIMENTO, REALIZZAZIONE IN LAMIERA DI ALLUMINIO SPESSORE 12/10 PREVERNICIATA RAL STANDARD, PRESSOPIEGATA E ISOLAT</t>
        </is>
      </c>
      <c r="L110" s="3" t="inlineStr">
        <is>
          <t>CAPPELLO SUPERIORE PER CHIUSURA E RACCORDO TRA CORDOLO IN COPERTURA E FILO ESTERNO RIVESTIMENTO, REALIZZAZIONE IN LAMIERA DI ALLUMINIO SPESSORE 12/10 PREVERNICIATA RAL STANDARD, PRESSOPIEGATA E ISOLATA;  SVILUPPO MASSIMO 700 MM CIRCA;</t>
        </is>
      </c>
      <c r="M110" s="4" t="inlineStr">
        <is>
          <t>MT</t>
        </is>
      </c>
      <c r="N110" s="5" t="n">
        <v>99.5</v>
      </c>
      <c r="O110" s="45" t="n">
        <v>75.23999999999999</v>
      </c>
      <c r="P110" s="45" t="n">
        <v>7486.38</v>
      </c>
      <c r="Q110" s="5" t="n"/>
      <c r="R110" s="6" t="n"/>
      <c r="S110" s="6">
        <f>IF(AND(Q110&lt;&gt;"",R110&lt;&gt;""),Q110*R110,"")</f>
        <v/>
      </c>
      <c r="T110" s="45">
        <f>IF(S110="",P110,S110)</f>
        <v/>
      </c>
      <c r="U110" s="7" t="n">
        <v>0</v>
      </c>
      <c r="V110" s="6">
        <f>$T110*U110</f>
        <v/>
      </c>
      <c r="W110" s="7" t="n">
        <v>0.2</v>
      </c>
      <c r="X110" s="6">
        <f>$T110*W110</f>
        <v/>
      </c>
      <c r="Y110" s="7" t="n">
        <v>0</v>
      </c>
      <c r="Z110" s="6">
        <f>$T110*Y110</f>
        <v/>
      </c>
      <c r="AA110" s="7" t="n">
        <v>0</v>
      </c>
      <c r="AB110" s="6">
        <f>$T110*AA110</f>
        <v/>
      </c>
      <c r="AC110" s="7" t="n">
        <v>0</v>
      </c>
      <c r="AD110" s="6">
        <f>$T110*AC110</f>
        <v/>
      </c>
      <c r="AE110" s="7" t="n">
        <v>0</v>
      </c>
      <c r="AF110" s="6">
        <f>$T110*AE110</f>
        <v/>
      </c>
      <c r="AG110" s="7" t="n">
        <v>0</v>
      </c>
      <c r="AH110" s="6">
        <f>$T110*AG110</f>
        <v/>
      </c>
      <c r="AI110" s="7">
        <f>U110+W110+Y110+AA110+AC110+AE110+AG110</f>
        <v/>
      </c>
      <c r="AJ110" s="6">
        <f>V110+X110+Z110+AB110+AD110+AF110+AH110</f>
        <v/>
      </c>
    </row>
    <row r="111" ht="54" customHeight="1" s="46">
      <c r="A111" s="3" t="inlineStr">
        <is>
          <t>PA.ARC.16</t>
        </is>
      </c>
      <c r="B111" s="4" t="inlineStr">
        <is>
          <t>1/1</t>
        </is>
      </c>
      <c r="C111" s="3" t="inlineStr">
        <is>
          <t>EDILE</t>
        </is>
      </c>
      <c r="D111" s="4" t="inlineStr">
        <is>
          <t>NON SPECIALE</t>
        </is>
      </c>
      <c r="E111" s="4" t="inlineStr">
        <is>
          <t>EDILI</t>
        </is>
      </c>
      <c r="F111" s="3" t="inlineStr">
        <is>
          <t>1_2025.11.20_CME REV07.PDF</t>
        </is>
      </c>
      <c r="G111" s="4" t="inlineStr">
        <is>
          <t>84</t>
        </is>
      </c>
      <c r="H111" s="3" t="inlineStr">
        <is>
          <t>60 - FINITURE</t>
        </is>
      </c>
      <c r="I111" s="3" t="inlineStr">
        <is>
          <t>NUOVI LABORATORI</t>
        </is>
      </c>
      <c r="J111" s="3" t="inlineStr">
        <is>
          <t>SISTEMAZIONI ESTERNE</t>
        </is>
      </c>
      <c r="K111" s="3" t="inlineStr">
        <is>
          <t>IMBOTTE ESTERNO PER RACCORDO TRA TELAIO SERRAMENTO E FILO ESTERNO RIVESTIMENTO, REALIZZAZIONE IN LAMIERA DI ALLUMINIO SPESSORE 12/10 PREVERNICIATA RAL STANDARD, PRESSOPIEGATA E ISOLATA;  SVILUPPO MASS</t>
        </is>
      </c>
      <c r="L111" s="3" t="inlineStr">
        <is>
          <t>IMBOTTE ESTERNO PER RACCORDO TRA TELAIO SERRAMENTO E FILO ESTERNO RIVESTIMENTO, REALIZZAZIONE IN LAMIERA DI ALLUMINIO SPESSORE 12/10 PREVERNICIATA RAL STANDARD, PRESSOPIEGATA E ISOLATA;  SVILUPPO MASSIMO 450 MM CIRCA;</t>
        </is>
      </c>
      <c r="M111" s="4" t="inlineStr">
        <is>
          <t>MT</t>
        </is>
      </c>
      <c r="N111" s="5" t="n">
        <v>45</v>
      </c>
      <c r="O111" s="45" t="n">
        <v>51.72</v>
      </c>
      <c r="P111" s="45" t="n">
        <v>2327.4</v>
      </c>
      <c r="Q111" s="5" t="n"/>
      <c r="R111" s="6" t="n"/>
      <c r="S111" s="6">
        <f>IF(AND(Q111&lt;&gt;"",R111&lt;&gt;""),Q111*R111,"")</f>
        <v/>
      </c>
      <c r="T111" s="45">
        <f>IF(S111="",P111,S111)</f>
        <v/>
      </c>
      <c r="U111" s="7" t="n">
        <v>0</v>
      </c>
      <c r="V111" s="6">
        <f>$T111*U111</f>
        <v/>
      </c>
      <c r="W111" s="7" t="n">
        <v>0.2</v>
      </c>
      <c r="X111" s="6">
        <f>$T111*W111</f>
        <v/>
      </c>
      <c r="Y111" s="7" t="n">
        <v>0</v>
      </c>
      <c r="Z111" s="6">
        <f>$T111*Y111</f>
        <v/>
      </c>
      <c r="AA111" s="7" t="n">
        <v>0</v>
      </c>
      <c r="AB111" s="6">
        <f>$T111*AA111</f>
        <v/>
      </c>
      <c r="AC111" s="7" t="n">
        <v>0</v>
      </c>
      <c r="AD111" s="6">
        <f>$T111*AC111</f>
        <v/>
      </c>
      <c r="AE111" s="7" t="n">
        <v>0</v>
      </c>
      <c r="AF111" s="6">
        <f>$T111*AE111</f>
        <v/>
      </c>
      <c r="AG111" s="7" t="n">
        <v>0</v>
      </c>
      <c r="AH111" s="6">
        <f>$T111*AG111</f>
        <v/>
      </c>
      <c r="AI111" s="7">
        <f>U111+W111+Y111+AA111+AC111+AE111+AG111</f>
        <v/>
      </c>
      <c r="AJ111" s="6">
        <f>V111+X111+Z111+AB111+AD111+AF111+AH111</f>
        <v/>
      </c>
    </row>
    <row r="112" hidden="1" ht="60" customHeight="1" s="46">
      <c r="A112" s="3" t="inlineStr">
        <is>
          <t>LOM241.1C.24.400.0400</t>
        </is>
      </c>
      <c r="B112" s="4" t="inlineStr">
        <is>
          <t>1/1</t>
        </is>
      </c>
      <c r="C112" s="3" t="inlineStr">
        <is>
          <t>EDILE</t>
        </is>
      </c>
      <c r="D112" s="4" t="inlineStr">
        <is>
          <t>NON SPECIALE</t>
        </is>
      </c>
      <c r="E112" s="4" t="inlineStr">
        <is>
          <t>EDILI</t>
        </is>
      </c>
      <c r="F112" s="3" t="inlineStr">
        <is>
          <t>1_2025.11.20_CME REV07.PDF</t>
        </is>
      </c>
      <c r="G112" s="4" t="inlineStr">
        <is>
          <t>87</t>
        </is>
      </c>
      <c r="H112" s="3" t="inlineStr">
        <is>
          <t>60 - FINITURE</t>
        </is>
      </c>
      <c r="I112" s="3" t="inlineStr">
        <is>
          <t>NUOVI LABORATORI</t>
        </is>
      </c>
      <c r="J112" s="3" t="inlineStr">
        <is>
          <t>OPERE DA FABBRO</t>
        </is>
      </c>
      <c r="K112" s="3" t="inlineStr">
        <is>
          <t>VERNICIATURA OPERE IN METALLO NUOVE, COSTITUITA DA: - RIMOZIONE DI RUGGINE SALTUARIA E SPORCO CON SCARTAVETRATURA - PROTEZIONE CON UNA MANO DI ANTIRUGGINE SINTETICA AL FOSFATO DI ZINCO; - CARTEGGIATUR</t>
        </is>
      </c>
      <c r="L112" s="3" t="inlineStr">
        <is>
          <t>VERNICIATURA OPERE IN METALLO NUOVE, COSTITUITA DA: - RIMOZIONE DI RUGGINE SALTUARIA E SPORCO CON SCARTAVETRATURA - PROTEZIONE CON UNA MANO DI ANTIRUGGINE SINTETICA AL FOSFATO DI ZINCO; - CARTEGGIATURA LEGGERA PER UNIFORMARE LA SUPERFICIE - FINITURA CON DUE MANI DI SMALTO A BASE DI RESINE SINTETICHE  COMPRESI PIANI DI LAVORO ED ASSISTENZE MURARIE.</t>
        </is>
      </c>
      <c r="M112" s="4" t="inlineStr">
        <is>
          <t>M²</t>
        </is>
      </c>
      <c r="N112" s="5" t="n">
        <v>48.04</v>
      </c>
      <c r="O112" s="45" t="n">
        <v>35.27</v>
      </c>
      <c r="P112" s="45" t="n">
        <v>1694.3708</v>
      </c>
      <c r="Q112" s="5" t="n"/>
      <c r="R112" s="6" t="n"/>
      <c r="S112" s="6">
        <f>IF(AND(Q112&lt;&gt;"",R112&lt;&gt;""),Q112*R112,"")</f>
        <v/>
      </c>
      <c r="T112" s="45">
        <f>IF(S112="",P112,S112)</f>
        <v/>
      </c>
      <c r="U112" s="7" t="n">
        <v>0</v>
      </c>
      <c r="V112" s="6">
        <f>$T112*U112</f>
        <v/>
      </c>
      <c r="W112" s="7" t="n">
        <v>0</v>
      </c>
      <c r="X112" s="6">
        <f>$T112*W112</f>
        <v/>
      </c>
      <c r="Y112" s="7" t="n">
        <v>0</v>
      </c>
      <c r="Z112" s="6">
        <f>$T112*Y112</f>
        <v/>
      </c>
      <c r="AA112" s="7" t="n">
        <v>0</v>
      </c>
      <c r="AB112" s="6">
        <f>$T112*AA112</f>
        <v/>
      </c>
      <c r="AC112" s="7" t="n">
        <v>0</v>
      </c>
      <c r="AD112" s="6">
        <f>$T112*AC112</f>
        <v/>
      </c>
      <c r="AE112" s="7" t="n">
        <v>0</v>
      </c>
      <c r="AF112" s="6">
        <f>$T112*AE112</f>
        <v/>
      </c>
      <c r="AG112" s="7" t="n">
        <v>0</v>
      </c>
      <c r="AH112" s="6">
        <f>$T112*AG112</f>
        <v/>
      </c>
      <c r="AI112" s="7">
        <f>U112+W112+Y112+AA112+AC112+AE112+AG112</f>
        <v/>
      </c>
      <c r="AJ112" s="6">
        <f>V112+X112+Z112+AB112+AD112+AF112+AH112</f>
        <v/>
      </c>
    </row>
    <row r="113" ht="60" customHeight="1" s="46">
      <c r="A113" s="3" t="inlineStr">
        <is>
          <t>LOM241.OC.EEA.A16.C0900.ZB005.0270</t>
        </is>
      </c>
      <c r="B113" s="4" t="inlineStr">
        <is>
          <t>1/1</t>
        </is>
      </c>
      <c r="C113" s="3" t="inlineStr">
        <is>
          <t>EDILE</t>
        </is>
      </c>
      <c r="D113" s="4" t="inlineStr">
        <is>
          <t>NON SPECIALE</t>
        </is>
      </c>
      <c r="E113" s="4" t="inlineStr">
        <is>
          <t>EDILI</t>
        </is>
      </c>
      <c r="F113" s="3" t="inlineStr">
        <is>
          <t>1_2025.11.20_CME REV07.PDF</t>
        </is>
      </c>
      <c r="G113" s="4" t="inlineStr">
        <is>
          <t>90</t>
        </is>
      </c>
      <c r="H113" s="3" t="inlineStr">
        <is>
          <t>60 - FINITURE</t>
        </is>
      </c>
      <c r="I113" s="3" t="inlineStr">
        <is>
          <t>NUOVI LABORATORI</t>
        </is>
      </c>
      <c r="J113" s="3" t="inlineStr">
        <is>
          <t>OPERE GENERICHE</t>
        </is>
      </c>
      <c r="K113" s="3" t="inlineStr">
        <is>
          <t xml:space="preserve">OPERA: STRATO DI INTONACATURA, COMPLETO DI MATERIA MIX CALCE-CEMENTO; FINITURA: A CIVILE FINE; IMPIEGO: SUPERFICI VERTICALI | SUPERFICI INTERNE. </t>
        </is>
      </c>
      <c r="L113" s="3" t="inlineStr">
        <is>
          <t>OPERA: STRATO DI INTONACATURA, COMPLETO DI MATERIA MIX CALCE-CEMENTO; FINITURA: A CIVILE FINE; IMPIEGO: SUPERFICI VERTICALI | SUPERFICI INTERNE. 
LAVORO: STESURA. INCLUSO: RINZAFFO, INTONACO RUSTICO, ARRICCIATURA. ESCLUSO: PIANI DI LAVORO. 
SPECIFICHE TECNICHE: IN AMBIENTI DI QUALSIASI DIMENSIONE, INTONACO RUSTICO CON PREMISCELATO A BASE DI LEGANTI AEREI ED IDRAULICI, ARRICCIATURA CON RASANTE A BASE DI CEMENTO, CALCE, INERTI SELEZIONATI, ADDITIVI SOTTO STAGGIA, AD ESECUZIONE MANUALE; SU SUPERFICIE INTERNE VERTICALI. 
COMPONENTI: 
OP1 OPERA: STRATO DI INTONACATURA, COMPLETO DI MATERIA MIX CALCE-CEMENTO; FINITURA: A CIVILE FINE; IMPIEGO: SUPERFICI VERTICALI | SUPERFICI INTERNE. 
SPECIFICHE TECNICHE: IN AMBIENTI DI QUALSIASI DIMENSIONE, INTONACO RUSTICO CON PREMISCELATO A BASE DI LEGANTI AEREI ED IDRAULICI, ARRICCIATURA CON RASANTE A BASE DI CEMENTO, CALCE, INERTI SELEZIONATI, ADDITIVI SOTTO STAGGIA. 
RM2 PREMISCELATO DI MATERIALE GENERICO; IMPIEGO: MALTA PER INTONACO PER SOTTOFONDO INTERNO; DENSITÀ [KG/M³] = 1100 
SPECIFICHE TECNICHE: A BASE DI CALCE E ANIDRITE, AD APPLICAZIONE MECCANICA, SU MURATURE NUOVE ED ESISTENTI 
RM2 PREMISCELATO DI MATERIALE GENERICO; FUNZIONE: FINITURA A CIVILE; IMPIEGO: MALTA PER INTONACI INTERNI/ESTERNI; DENSITÀ [KG/M³] = 1500 
SPECIFICHE TECNICHE: AD APPLICAZIONE MANUALE O MECCANICA 
LV1 LAVORO: STESURA. INCLUSO: RINZAFFO, INTONACO RUSTICO, ARRICCIATURA. ESCLUSO: PIANI DI LAVORO. 
SPECIFICHE TECNICHE: AD ESECUZIONE MANUALE; SU SUPERFICIE INTERNE VERTICALI.</t>
        </is>
      </c>
      <c r="M113" s="4" t="inlineStr">
        <is>
          <t>M²</t>
        </is>
      </c>
      <c r="N113" s="5" t="n">
        <v>818.5700000000001</v>
      </c>
      <c r="O113" s="45" t="n">
        <v>14.11</v>
      </c>
      <c r="P113" s="45" t="n">
        <v>11550.0227</v>
      </c>
      <c r="Q113" s="5" t="n"/>
      <c r="R113" s="6" t="n"/>
      <c r="S113" s="6">
        <f>IF(AND(Q113&lt;&gt;"",R113&lt;&gt;""),Q113*R113,"")</f>
        <v/>
      </c>
      <c r="T113" s="45">
        <f>IF(S113="",P113,S113)</f>
        <v/>
      </c>
      <c r="U113" s="7" t="n">
        <v>0</v>
      </c>
      <c r="V113" s="6">
        <f>$T113*U113</f>
        <v/>
      </c>
      <c r="W113" s="7" t="n">
        <v>0.75</v>
      </c>
      <c r="X113" s="6">
        <f>$T113*W113</f>
        <v/>
      </c>
      <c r="Y113" s="7" t="n">
        <v>0</v>
      </c>
      <c r="Z113" s="6">
        <f>$T113*Y113</f>
        <v/>
      </c>
      <c r="AA113" s="7" t="n">
        <v>0</v>
      </c>
      <c r="AB113" s="6">
        <f>$T113*AA113</f>
        <v/>
      </c>
      <c r="AC113" s="7" t="n">
        <v>0</v>
      </c>
      <c r="AD113" s="6">
        <f>$T113*AC113</f>
        <v/>
      </c>
      <c r="AE113" s="7" t="n">
        <v>0</v>
      </c>
      <c r="AF113" s="6">
        <f>$T113*AE113</f>
        <v/>
      </c>
      <c r="AG113" s="7" t="n">
        <v>0</v>
      </c>
      <c r="AH113" s="6">
        <f>$T113*AG113</f>
        <v/>
      </c>
      <c r="AI113" s="7">
        <f>U113+W113+Y113+AA113+AC113+AE113+AG113</f>
        <v/>
      </c>
      <c r="AJ113" s="6">
        <f>V113+X113+Z113+AB113+AD113+AF113+AH113</f>
        <v/>
      </c>
    </row>
    <row r="114" ht="60" customHeight="1" s="46">
      <c r="A114" s="3" t="inlineStr">
        <is>
          <t>LOM241.OC.EEA.A16.C0900.I0000.0250</t>
        </is>
      </c>
      <c r="B114" s="4" t="inlineStr">
        <is>
          <t>1/1</t>
        </is>
      </c>
      <c r="C114" s="3" t="inlineStr">
        <is>
          <t>EDILE</t>
        </is>
      </c>
      <c r="D114" s="4" t="inlineStr">
        <is>
          <t>NON SPECIALE</t>
        </is>
      </c>
      <c r="E114" s="4" t="inlineStr">
        <is>
          <t>EDILI</t>
        </is>
      </c>
      <c r="F114" s="3" t="inlineStr">
        <is>
          <t>1_2025.11.20_CME REV07.PDF</t>
        </is>
      </c>
      <c r="G114" s="4" t="inlineStr">
        <is>
          <t>91</t>
        </is>
      </c>
      <c r="H114" s="3" t="inlineStr">
        <is>
          <t>60 - FINITURE</t>
        </is>
      </c>
      <c r="I114" s="3" t="inlineStr">
        <is>
          <t>NUOVI LABORATORI</t>
        </is>
      </c>
      <c r="J114" s="3" t="inlineStr">
        <is>
          <t>INTONACI - RASATURE</t>
        </is>
      </c>
      <c r="K114" s="3" t="inlineStr">
        <is>
          <t xml:space="preserve">OPERA: STRATO DI INTONACATURA, RASATURA A CIVILE FINE DI CALCE GENERICO; GEOMETRIA/FORMA/ASPETTO: VERTICALE-ORIZZONTALE; IMPIEGO: SUPERFICI INTERNE. </t>
        </is>
      </c>
      <c r="L114" s="3" t="inlineStr">
        <is>
          <t>OPERA: STRATO DI INTONACATURA, RASATURA A CIVILE FINE DI CALCE GENERICO; GEOMETRIA/FORMA/ASPETTO: VERTICALE-ORIZZONTALE; IMPIEGO: SUPERFICI INTERNE. 
LAVORO: STESURA. ESCLUSO: PIANI DI LAVORO. 
SPECIFICHE TECNICHE: IN AMBIENTI DI DIMENSIONE GENERICA, SU SUPERFICIE INTERNE VERTICALI/ORIZZONTALI. 
COMPONENTI: 
OP1 OPERA: STRATO DI INTONACATURA, RASATURA A CIVILE FINE DI CALCE GENERICO; GEOMETRIA/FORMA/ASPETTO: VERTICALE-ORIZZONTALE; IMPIEGO: SUPERFICI INTERNE. 
SPECIFICHE TECNICHE: IN AMBIENTI DI DIMENSIONE GENERICA. 
RM2 PREMISCELATO DI MATERIALE GENERICO; FUNZIONE: FINITURA A CIVILE; IMPIEGO: MALTA PER INTONACI INTERNI/ESTERNI; DENSITÀ [KG/M³] = 1500 
SPECIFICHE TECNICHE: AD APPLICAZIONE MANUALE O MECCANICA 
LV1 LAVORO: STESURA. ESCLUSO: PIANI DI LAVORO. 
SPECIFICHE TECNICHE: SU SUPERFICIE INTERNE VERTICALI/ORIZZONTALI.</t>
        </is>
      </c>
      <c r="M114" s="4" t="inlineStr">
        <is>
          <t>M²</t>
        </is>
      </c>
      <c r="N114" s="5" t="n">
        <v>2917.97</v>
      </c>
      <c r="O114" s="45" t="n">
        <v>8.23</v>
      </c>
      <c r="P114" s="45" t="n">
        <v>24014.8931</v>
      </c>
      <c r="Q114" s="5" t="n"/>
      <c r="R114" s="6" t="n"/>
      <c r="S114" s="6">
        <f>IF(AND(Q114&lt;&gt;"",R114&lt;&gt;""),Q114*R114,"")</f>
        <v/>
      </c>
      <c r="T114" s="45">
        <f>IF(S114="",P114,S114)</f>
        <v/>
      </c>
      <c r="U114" s="7" t="n">
        <v>0</v>
      </c>
      <c r="V114" s="6">
        <f>$T114*U114</f>
        <v/>
      </c>
      <c r="W114" s="7" t="n">
        <v>0.25</v>
      </c>
      <c r="X114" s="6">
        <f>$T114*W114</f>
        <v/>
      </c>
      <c r="Y114" s="7" t="n">
        <v>0</v>
      </c>
      <c r="Z114" s="6">
        <f>$T114*Y114</f>
        <v/>
      </c>
      <c r="AA114" s="7" t="n">
        <v>0</v>
      </c>
      <c r="AB114" s="6">
        <f>$T114*AA114</f>
        <v/>
      </c>
      <c r="AC114" s="7" t="n">
        <v>0</v>
      </c>
      <c r="AD114" s="6">
        <f>$T114*AC114</f>
        <v/>
      </c>
      <c r="AE114" s="7" t="n">
        <v>0</v>
      </c>
      <c r="AF114" s="6">
        <f>$T114*AE114</f>
        <v/>
      </c>
      <c r="AG114" s="7" t="n">
        <v>0</v>
      </c>
      <c r="AH114" s="6">
        <f>$T114*AG114</f>
        <v/>
      </c>
      <c r="AI114" s="7">
        <f>U114+W114+Y114+AA114+AC114+AE114+AG114</f>
        <v/>
      </c>
      <c r="AJ114" s="6">
        <f>V114+X114+Z114+AB114+AD114+AF114+AH114</f>
        <v/>
      </c>
    </row>
    <row r="115" hidden="1" ht="60" customHeight="1" s="46">
      <c r="A115" s="3" t="inlineStr">
        <is>
          <t>LOM241.OC.EEA.A06.C1234.CA012.0005</t>
        </is>
      </c>
      <c r="B115" s="4" t="inlineStr">
        <is>
          <t>1/1</t>
        </is>
      </c>
      <c r="C115" s="3" t="inlineStr">
        <is>
          <t>EDILE</t>
        </is>
      </c>
      <c r="D115" s="4" t="inlineStr">
        <is>
          <t>NON SPECIALE</t>
        </is>
      </c>
      <c r="E115" s="4" t="inlineStr">
        <is>
          <t>EDILI</t>
        </is>
      </c>
      <c r="F115" s="3" t="inlineStr">
        <is>
          <t>1_2025.11.20_CME REV07.PDF</t>
        </is>
      </c>
      <c r="G115" s="4" t="inlineStr">
        <is>
          <t>92</t>
        </is>
      </c>
      <c r="H115" s="3" t="inlineStr">
        <is>
          <t>60 - FINITURE</t>
        </is>
      </c>
      <c r="I115" s="3" t="inlineStr">
        <is>
          <t>NUOVI LABORATORI</t>
        </is>
      </c>
      <c r="J115" s="3" t="inlineStr">
        <is>
          <t>OPERE GENERICHE</t>
        </is>
      </c>
      <c r="K115" s="3" t="inlineStr">
        <is>
          <t xml:space="preserve">OPERA: STRATO DI PITTURAZIONE, IDROPITTURA DI RESINA SINTETICA ACRILICA; IMPIEGO: SUPERFICI INTERNE | INTONACO CIVILE | LISCIATE A GESSO. </t>
        </is>
      </c>
      <c r="L115" s="3" t="inlineStr">
        <is>
          <t>OPERA: STRATO DI PITTURAZIONE, IDROPITTURA DI RESINA SINTETICA ACRILICA; IMPIEGO: SUPERFICI INTERNE | INTONACO CIVILE | LISCIATE A GESSO. 
LAVORO: APPLICAZIONE DUE RIPRESE. INCLUSO: PIANI DI LAVORO INTERNI, ASSISTENZE MURARIE. 
SPECIFICHE TECNICHE: PER SUPERFICI GIÀ PREPARATE ED ISOLATE, IDROPITTURA CON CARICHE MICRONIZZATE, ADDITIVI, BATTERICIDI, FUNGICIDI. 
COMPONENTI: 
OP1 OPERA: STRATO DI PITTURAZIONE, IDROPITTURA DI RESINA SINTETICA ACRILICA; IMPIEGO: SUPERFICI INTERNE | INTONACO CIVILE | LISCIATE A GESSO. 
SPECIFICHE TECNICHE: PER SUPERFICI GIÀ PREPARATE ED ISOLATE, IDROPITTURA CON CARICHE MICRONIZZATE, ADDITIVI, BATTERICIDI, FUNGICIDI. 
RM2 PITTURA IDROPITTURA DI RESINA SINTETICA ACRILICA; IMPIEGO: MURATURE INTERNE; LAVABILITÀ [COLPI DI SPAZZOLA] &gt; 10000; PESO SPECIFICO [KG/L] = 1,31 
SPECIFICHE TECNICHE: TRASPIRANTE, LAVABILE CON SAPONE 
LV1 LAVORO: APPLICAZIONE DUE RIPRESE. INCLUSO: PIANI DI LAVORO INTERNI, ASSISTENZE MURARIE.</t>
        </is>
      </c>
      <c r="M115" s="4" t="inlineStr">
        <is>
          <t>M²</t>
        </is>
      </c>
      <c r="N115" s="5" t="n">
        <v>1641.88</v>
      </c>
      <c r="O115" s="45" t="n">
        <v>6.47</v>
      </c>
      <c r="P115" s="45" t="n">
        <v>10622.9636</v>
      </c>
      <c r="Q115" s="5" t="n"/>
      <c r="R115" s="6" t="n"/>
      <c r="S115" s="6">
        <f>IF(AND(Q115&lt;&gt;"",R115&lt;&gt;""),Q115*R115,"")</f>
        <v/>
      </c>
      <c r="T115" s="45">
        <f>IF(S115="",P115,S115)</f>
        <v/>
      </c>
      <c r="U115" s="7" t="n">
        <v>0</v>
      </c>
      <c r="V115" s="6">
        <f>$T115*U115</f>
        <v/>
      </c>
      <c r="W115" s="7" t="n">
        <v>0</v>
      </c>
      <c r="X115" s="6">
        <f>$T115*W115</f>
        <v/>
      </c>
      <c r="Y115" s="7" t="n">
        <v>0</v>
      </c>
      <c r="Z115" s="6">
        <f>$T115*Y115</f>
        <v/>
      </c>
      <c r="AA115" s="7" t="n">
        <v>0</v>
      </c>
      <c r="AB115" s="6">
        <f>$T115*AA115</f>
        <v/>
      </c>
      <c r="AC115" s="7" t="n">
        <v>0</v>
      </c>
      <c r="AD115" s="6">
        <f>$T115*AC115</f>
        <v/>
      </c>
      <c r="AE115" s="7" t="n">
        <v>0</v>
      </c>
      <c r="AF115" s="6">
        <f>$T115*AE115</f>
        <v/>
      </c>
      <c r="AG115" s="7" t="n">
        <v>0</v>
      </c>
      <c r="AH115" s="6">
        <f>$T115*AG115</f>
        <v/>
      </c>
      <c r="AI115" s="7">
        <f>U115+W115+Y115+AA115+AC115+AE115+AG115</f>
        <v/>
      </c>
      <c r="AJ115" s="6">
        <f>V115+X115+Z115+AB115+AD115+AF115+AH115</f>
        <v/>
      </c>
    </row>
    <row r="116" ht="60" customHeight="1" s="46">
      <c r="A116" s="3" t="inlineStr">
        <is>
          <t>LOM241.1C.18.020.0080</t>
        </is>
      </c>
      <c r="B116" s="4" t="inlineStr">
        <is>
          <t>1/1</t>
        </is>
      </c>
      <c r="C116" s="3" t="inlineStr">
        <is>
          <t>EDILE</t>
        </is>
      </c>
      <c r="D116" s="4" t="inlineStr">
        <is>
          <t>NON SPECIALE</t>
        </is>
      </c>
      <c r="E116" s="4" t="inlineStr">
        <is>
          <t>EDILI</t>
        </is>
      </c>
      <c r="F116" s="3" t="inlineStr">
        <is>
          <t>1_2025.11.20_CME REV07.PDF</t>
        </is>
      </c>
      <c r="G116" s="4" t="inlineStr">
        <is>
          <t>96</t>
        </is>
      </c>
      <c r="H116" s="3" t="inlineStr">
        <is>
          <t>60 - FINITURE</t>
        </is>
      </c>
      <c r="I116" s="3" t="inlineStr">
        <is>
          <t>NUOVI LABORATORI</t>
        </is>
      </c>
      <c r="J116" s="3" t="inlineStr">
        <is>
          <t>PAVIMENTI E RIVESTIMENTI</t>
        </is>
      </c>
      <c r="K116" s="3" t="inlineStr">
        <is>
          <t>PAVIMENTO AD ALTA RESISTENZA MECCANICA, ESEGUITO CON MALTA SINTETICA EPOSSIDICA E SPECIALI CARICHE QUARZIFERE SU MASSETTO CEMENTIZIO ESISTENTE E MECCANICAMENTE SOLIDO, SPESSORE MINIMO 7 MM, SPIANATO C</t>
        </is>
      </c>
      <c r="L116" s="3" t="inlineStr">
        <is>
          <t>PAVIMENTO AD ALTA RESISTENZA MECCANICA, ESEGUITO CON MALTA SINTETICA EPOSSIDICA E SPECIALI CARICHE QUARZIFERE SU MASSETTO CEMENTIZIO ESISTENTE E MECCANICAMENTE SOLIDO, SPESSORE MINIMO 7 MM, SPIANATO CON FRATTAZZATRICE MECCANICA; RESISTENZA ALLA COMPRESSIONE DI 800 KG/CM² CON CARATTERISTICHE DI ANTIVIBRAZIONE, ELASTICITÀ, ANTIABRASIONE, RESISTENZA AGLI ACIDI, AI SALI, AGLI OLI, AI CARBURANTI. COMPRESA LA FORMAZIONE DEI GIUNTI E L'ASSISTENZA MURARIA.</t>
        </is>
      </c>
      <c r="M116" s="4" t="inlineStr">
        <is>
          <t>M²</t>
        </is>
      </c>
      <c r="N116" s="5" t="n">
        <v>285.94</v>
      </c>
      <c r="O116" s="45" t="n">
        <v>68.18000000000001</v>
      </c>
      <c r="P116" s="45" t="n">
        <v>19495.3892</v>
      </c>
      <c r="Q116" s="5" t="n"/>
      <c r="R116" s="6" t="n"/>
      <c r="S116" s="6">
        <f>IF(AND(Q116&lt;&gt;"",R116&lt;&gt;""),Q116*R116,"")</f>
        <v/>
      </c>
      <c r="T116" s="45">
        <f>IF(S116="",P116,S116)</f>
        <v/>
      </c>
      <c r="U116" s="7" t="n">
        <v>0</v>
      </c>
      <c r="V116" s="6">
        <f>$T116*U116</f>
        <v/>
      </c>
      <c r="W116" s="7" t="n">
        <v>0.3</v>
      </c>
      <c r="X116" s="6">
        <f>$T116*W116</f>
        <v/>
      </c>
      <c r="Y116" s="7" t="n">
        <v>0</v>
      </c>
      <c r="Z116" s="6">
        <f>$T116*Y116</f>
        <v/>
      </c>
      <c r="AA116" s="7" t="n">
        <v>0</v>
      </c>
      <c r="AB116" s="6">
        <f>$T116*AA116</f>
        <v/>
      </c>
      <c r="AC116" s="7" t="n">
        <v>0</v>
      </c>
      <c r="AD116" s="6">
        <f>$T116*AC116</f>
        <v/>
      </c>
      <c r="AE116" s="7" t="n">
        <v>0</v>
      </c>
      <c r="AF116" s="6">
        <f>$T116*AE116</f>
        <v/>
      </c>
      <c r="AG116" s="7" t="n">
        <v>0</v>
      </c>
      <c r="AH116" s="6">
        <f>$T116*AG116</f>
        <v/>
      </c>
      <c r="AI116" s="7">
        <f>U116+W116+Y116+AA116+AC116+AE116+AG116</f>
        <v/>
      </c>
      <c r="AJ116" s="6">
        <f>V116+X116+Z116+AB116+AD116+AF116+AH116</f>
        <v/>
      </c>
    </row>
    <row r="117" hidden="1" ht="60" customHeight="1" s="46">
      <c r="A117" s="3" t="inlineStr">
        <is>
          <t>LOM241.1C.18.450.0010.B</t>
        </is>
      </c>
      <c r="B117" s="4" t="inlineStr">
        <is>
          <t>1/2</t>
        </is>
      </c>
      <c r="C117" s="3" t="inlineStr">
        <is>
          <t>EDILE</t>
        </is>
      </c>
      <c r="D117" s="4" t="inlineStr">
        <is>
          <t>NON SPECIALE</t>
        </is>
      </c>
      <c r="E117" s="4" t="inlineStr">
        <is>
          <t>EDILI</t>
        </is>
      </c>
      <c r="F117" s="3" t="inlineStr">
        <is>
          <t>1_2025.11.20_CME REV07.PDF</t>
        </is>
      </c>
      <c r="G117" s="4" t="inlineStr">
        <is>
          <t>98</t>
        </is>
      </c>
      <c r="H117" s="3" t="inlineStr">
        <is>
          <t>60 - FINITURE</t>
        </is>
      </c>
      <c r="I117" s="3" t="inlineStr">
        <is>
          <t>NUOVI LABORATORI</t>
        </is>
      </c>
      <c r="J117" s="3" t="inlineStr">
        <is>
          <t>PAVIMENTI E RIVESTIMENTI</t>
        </is>
      </c>
      <c r="K117" s="3" t="inlineStr">
        <is>
          <t xml:space="preserve">PAVIMENTO IN PIASTRELLE SEMIFLESSIBILI DI PVC AD ELEVATE CARICHE MINERALI, OMOGENEO PLASTIFICATO E STABILIZZATO, DA CM 30X30, PESO 5,0 ÷ 7,0 KG/M², POSATO CON ADESIVO, COMPRESA LA NORMALE RASATURA DI </t>
        </is>
      </c>
      <c r="L117" s="3" t="inlineStr">
        <is>
          <t>PAVIMENTO IN PIASTRELLE SEMIFLESSIBILI DI PVC AD ELEVATE CARICHE MINERALI, OMOGENEO PLASTIFICATO E STABILIZZATO, DA CM 30X30, PESO 5,0 ÷ 7,0 KG/M², POSATO CON ADESIVO, COMPRESA LA NORMALE RASATURA DI IDONEO MASSETTO E LE ASSISTENZE MURARIE; SPESSORE: - 3,2 MM - CLASSE EN685 34/43 , CLASSE DI REAZIONE AL FUOCO UNO (D.M. 15.03.2005) = BFL S1 (EN13501-1) ;</t>
        </is>
      </c>
      <c r="M117" s="4" t="inlineStr">
        <is>
          <t>M²</t>
        </is>
      </c>
      <c r="N117" s="5" t="n">
        <v>28.74</v>
      </c>
      <c r="O117" s="45" t="n">
        <v>49.37</v>
      </c>
      <c r="P117" s="45" t="n">
        <v>1418.8938</v>
      </c>
      <c r="Q117" s="5" t="n"/>
      <c r="R117" s="6" t="n"/>
      <c r="S117" s="6">
        <f>IF(AND(Q117&lt;&gt;"",R117&lt;&gt;""),Q117*R117,"")</f>
        <v/>
      </c>
      <c r="T117" s="45">
        <f>IF(S117="",P117,S117)</f>
        <v/>
      </c>
      <c r="U117" s="7" t="n">
        <v>0</v>
      </c>
      <c r="V117" s="6">
        <f>$T117*U117</f>
        <v/>
      </c>
      <c r="W117" s="7" t="n">
        <v>0</v>
      </c>
      <c r="X117" s="6">
        <f>$T117*W117</f>
        <v/>
      </c>
      <c r="Y117" s="7" t="n">
        <v>0</v>
      </c>
      <c r="Z117" s="6">
        <f>$T117*Y117</f>
        <v/>
      </c>
      <c r="AA117" s="7" t="n">
        <v>0</v>
      </c>
      <c r="AB117" s="6">
        <f>$T117*AA117</f>
        <v/>
      </c>
      <c r="AC117" s="7" t="n">
        <v>0</v>
      </c>
      <c r="AD117" s="6">
        <f>$T117*AC117</f>
        <v/>
      </c>
      <c r="AE117" s="7" t="n">
        <v>0</v>
      </c>
      <c r="AF117" s="6">
        <f>$T117*AE117</f>
        <v/>
      </c>
      <c r="AG117" s="7" t="n">
        <v>0</v>
      </c>
      <c r="AH117" s="6">
        <f>$T117*AG117</f>
        <v/>
      </c>
      <c r="AI117" s="7">
        <f>U117+W117+Y117+AA117+AC117+AE117+AG117</f>
        <v/>
      </c>
      <c r="AJ117" s="6">
        <f>V117+X117+Z117+AB117+AD117+AF117+AH117</f>
        <v/>
      </c>
    </row>
    <row r="118" hidden="1" ht="54" customHeight="1" s="46">
      <c r="A118" s="3" t="inlineStr">
        <is>
          <t>LOM241.1C.18.450.0250.B</t>
        </is>
      </c>
      <c r="B118" s="4" t="inlineStr">
        <is>
          <t>1/2</t>
        </is>
      </c>
      <c r="C118" s="3" t="inlineStr">
        <is>
          <t>EDILE</t>
        </is>
      </c>
      <c r="D118" s="4" t="inlineStr">
        <is>
          <t>NON SPECIALE</t>
        </is>
      </c>
      <c r="E118" s="4" t="inlineStr">
        <is>
          <t>EDILI</t>
        </is>
      </c>
      <c r="F118" s="3" t="inlineStr">
        <is>
          <t>1_2025.11.20_CME REV07.PDF</t>
        </is>
      </c>
      <c r="G118" s="4" t="inlineStr">
        <is>
          <t>99</t>
        </is>
      </c>
      <c r="H118" s="3" t="inlineStr">
        <is>
          <t>60 - FINITURE</t>
        </is>
      </c>
      <c r="I118" s="3" t="inlineStr">
        <is>
          <t>NUOVI LABORATORI</t>
        </is>
      </c>
      <c r="J118" s="3" t="inlineStr">
        <is>
          <t>PAVIMENTI E RIVESTIMENTI</t>
        </is>
      </c>
      <c r="K118" s="3" t="inlineStr">
        <is>
          <t xml:space="preserve">SALDATURA A CALDO, PREVIA PREPARAZIONE, DEI GIUNTI DI PIASTRELLE O TELI VINILICI PER PAVIMENTI, CON INTERPOSIZIONE DI FILETTO IN PVC E REFILATURA FINALE, COMPRESA PULIZIA FINALE E ASSISTENZA MURARIA. </t>
        </is>
      </c>
      <c r="L118" s="3" t="inlineStr">
        <is>
          <t>SALDATURA A CALDO, PREVIA PREPARAZIONE, DEI GIUNTI DI PIASTRELLE O TELI VINILICI PER PAVIMENTI, CON INTERPOSIZIONE DI FILETTO IN PVC E REFILATURA FINALE, COMPRESA PULIZIA FINALE E ASSISTENZA MURARIA. - IN PIASTRELLE</t>
        </is>
      </c>
      <c r="M118" s="4" t="inlineStr">
        <is>
          <t>M²</t>
        </is>
      </c>
      <c r="N118" s="5" t="n">
        <v>28.74</v>
      </c>
      <c r="O118" s="45" t="n">
        <v>0</v>
      </c>
      <c r="P118" s="45" t="n">
        <v>0</v>
      </c>
      <c r="Q118" s="5" t="n"/>
      <c r="R118" s="6" t="n"/>
      <c r="S118" s="6">
        <f>IF(AND(Q118&lt;&gt;"",R118&lt;&gt;""),Q118*R118,"")</f>
        <v/>
      </c>
      <c r="T118" s="45">
        <f>IF(S118="",P118,S118)</f>
        <v/>
      </c>
      <c r="U118" s="7" t="n">
        <v>0</v>
      </c>
      <c r="V118" s="6">
        <f>$T118*U118</f>
        <v/>
      </c>
      <c r="W118" s="7" t="n">
        <v>0</v>
      </c>
      <c r="X118" s="6">
        <f>$T118*W118</f>
        <v/>
      </c>
      <c r="Y118" s="7" t="n">
        <v>0</v>
      </c>
      <c r="Z118" s="6">
        <f>$T118*Y118</f>
        <v/>
      </c>
      <c r="AA118" s="7" t="n">
        <v>0</v>
      </c>
      <c r="AB118" s="6">
        <f>$T118*AA118</f>
        <v/>
      </c>
      <c r="AC118" s="7" t="n">
        <v>0</v>
      </c>
      <c r="AD118" s="6">
        <f>$T118*AC118</f>
        <v/>
      </c>
      <c r="AE118" s="7" t="n">
        <v>0</v>
      </c>
      <c r="AF118" s="6">
        <f>$T118*AE118</f>
        <v/>
      </c>
      <c r="AG118" s="7" t="n">
        <v>0</v>
      </c>
      <c r="AH118" s="6">
        <f>$T118*AG118</f>
        <v/>
      </c>
      <c r="AI118" s="7">
        <f>U118+W118+Y118+AA118+AC118+AE118+AG118</f>
        <v/>
      </c>
      <c r="AJ118" s="6">
        <f>V118+X118+Z118+AB118+AD118+AF118+AH118</f>
        <v/>
      </c>
    </row>
    <row r="119" hidden="1" ht="54" customHeight="1" s="46">
      <c r="A119" s="3" t="inlineStr">
        <is>
          <t>LOM241.1C.18.450.0300</t>
        </is>
      </c>
      <c r="B119" s="4" t="inlineStr">
        <is>
          <t>1/2</t>
        </is>
      </c>
      <c r="C119" s="3" t="inlineStr">
        <is>
          <t>EDILE</t>
        </is>
      </c>
      <c r="D119" s="4" t="inlineStr">
        <is>
          <t>NON SPECIALE</t>
        </is>
      </c>
      <c r="E119" s="4" t="inlineStr">
        <is>
          <t>EDILI</t>
        </is>
      </c>
      <c r="F119" s="3" t="inlineStr">
        <is>
          <t>1_2025.11.20_CME REV07.PDF</t>
        </is>
      </c>
      <c r="G119" s="4" t="inlineStr">
        <is>
          <t>101</t>
        </is>
      </c>
      <c r="H119" s="3" t="inlineStr">
        <is>
          <t>60 - FINITURE</t>
        </is>
      </c>
      <c r="I119" s="3" t="inlineStr">
        <is>
          <t>NUOVI LABORATORI</t>
        </is>
      </c>
      <c r="J119" s="3" t="inlineStr">
        <is>
          <t>PAVIMENTI E RIVESTIMENTI</t>
        </is>
      </c>
      <c r="K119" s="3" t="inlineStr">
        <is>
          <t>FORMAZIONE DI GUSCIA CONTRO PARETE PER I PAVIMENTI VINILICI E SIMILARI, COMPRESA FORNITURA E POSA DELL'ELEMENTO SOTTOGUSCIA ARROTONDATO PREFORMATO D'ANGOLO ED OGNI ASSISTENZA MURARIA</t>
        </is>
      </c>
      <c r="L119" s="3" t="inlineStr">
        <is>
          <t>FORMAZIONE DI GUSCIA CONTRO PARETE PER I PAVIMENTI VINILICI E SIMILARI, COMPRESA FORNITURA E POSA DELL'ELEMENTO SOTTOGUSCIA ARROTONDATO PREFORMATO D'ANGOLO ED OGNI ASSISTENZA MURARIA</t>
        </is>
      </c>
      <c r="M119" s="4" t="inlineStr">
        <is>
          <t>M</t>
        </is>
      </c>
      <c r="N119" s="5" t="n">
        <v>48.79</v>
      </c>
      <c r="O119" s="45" t="n">
        <v>22.34</v>
      </c>
      <c r="P119" s="45" t="n">
        <v>1089.9686</v>
      </c>
      <c r="Q119" s="5" t="n"/>
      <c r="R119" s="6" t="n"/>
      <c r="S119" s="6">
        <f>IF(AND(Q119&lt;&gt;"",R119&lt;&gt;""),Q119*R119,"")</f>
        <v/>
      </c>
      <c r="T119" s="45">
        <f>IF(S119="",P119,S119)</f>
        <v/>
      </c>
      <c r="U119" s="7" t="n">
        <v>0</v>
      </c>
      <c r="V119" s="6">
        <f>$T119*U119</f>
        <v/>
      </c>
      <c r="W119" s="7" t="n">
        <v>0</v>
      </c>
      <c r="X119" s="6">
        <f>$T119*W119</f>
        <v/>
      </c>
      <c r="Y119" s="7" t="n">
        <v>0</v>
      </c>
      <c r="Z119" s="6">
        <f>$T119*Y119</f>
        <v/>
      </c>
      <c r="AA119" s="7" t="n">
        <v>0</v>
      </c>
      <c r="AB119" s="6">
        <f>$T119*AA119</f>
        <v/>
      </c>
      <c r="AC119" s="7" t="n">
        <v>0</v>
      </c>
      <c r="AD119" s="6">
        <f>$T119*AC119</f>
        <v/>
      </c>
      <c r="AE119" s="7" t="n">
        <v>0</v>
      </c>
      <c r="AF119" s="6">
        <f>$T119*AE119</f>
        <v/>
      </c>
      <c r="AG119" s="7" t="n">
        <v>0</v>
      </c>
      <c r="AH119" s="6">
        <f>$T119*AG119</f>
        <v/>
      </c>
      <c r="AI119" s="7">
        <f>U119+W119+Y119+AA119+AC119+AE119+AG119</f>
        <v/>
      </c>
      <c r="AJ119" s="6">
        <f>V119+X119+Z119+AB119+AD119+AF119+AH119</f>
        <v/>
      </c>
    </row>
    <row r="120" ht="60" customHeight="1" s="46">
      <c r="A120" s="3" t="inlineStr">
        <is>
          <t>LOM241.RM.02.10.00.F0004.0010</t>
        </is>
      </c>
      <c r="B120" s="4" t="inlineStr">
        <is>
          <t>1/2</t>
        </is>
      </c>
      <c r="C120" s="3" t="inlineStr">
        <is>
          <t>EDILE</t>
        </is>
      </c>
      <c r="D120" s="4" t="inlineStr">
        <is>
          <t>NON SPECIALE</t>
        </is>
      </c>
      <c r="E120" s="4" t="inlineStr">
        <is>
          <t>EDILI</t>
        </is>
      </c>
      <c r="F120" s="3" t="inlineStr">
        <is>
          <t>1_2025.11.20_CME REV07.PDF</t>
        </is>
      </c>
      <c r="G120" s="4" t="inlineStr">
        <is>
          <t>104</t>
        </is>
      </c>
      <c r="H120" s="3" t="inlineStr">
        <is>
          <t>60 - FINITURE</t>
        </is>
      </c>
      <c r="I120" s="3" t="inlineStr">
        <is>
          <t>NUOVI LABORATORI</t>
        </is>
      </c>
      <c r="J120" s="3" t="inlineStr">
        <is>
          <t>OPERE GENERICHE</t>
        </is>
      </c>
      <c r="K120" s="3" t="inlineStr">
        <is>
          <t xml:space="preserve">MEMBRANA ARMATA DI BITUME ELASTOMERICO (BPE); FINITURA: LISCIA; FUNZIONE: IMPERMEABILIZZANTE; IMPIEGO: COPERTURA; SPESSORE [MM] = 4; FLESSIBILITÀ A FREDDO [°C] ≤ -20 | STABILITÀ DI FORMA A CALDO [°C] </t>
        </is>
      </c>
      <c r="L120" s="3" t="inlineStr">
        <is>
          <t>MEMBRANA ARMATA DI BITUME ELASTOMERICO (BPE); FINITURA: LISCIA; FUNZIONE: IMPERMEABILIZZANTE; IMPIEGO: COPERTURA; SPESSORE [MM] = 4; FLESSIBILITÀ A FREDDO [°C] ≤ -20 | STABILITÀ DI FORMA A CALDO [°C] ≥ 100 | RESISTENZA A TRAZIONE A ROTTURA L/T (-20%) [N/50 MM] = 450/300 
SPECIFICHE TECNICHE: DICHIARAZIONE DI PRESTAZIONE DOP 
COMPONENTI: 
RM1 MEMBRANA DI BITUME ELASTOMERICO (BPE) 
RM1 MEMBRANA DI FIBRA SINTETICA POLIESTERE; FUNZIONE: ARMATURA</t>
        </is>
      </c>
      <c r="M120" s="4" t="inlineStr">
        <is>
          <t>M²</t>
        </is>
      </c>
      <c r="N120" s="5" t="n">
        <v>409.28</v>
      </c>
      <c r="O120" s="45" t="n">
        <v>27.39</v>
      </c>
      <c r="P120" s="45" t="n">
        <v>11210.1792</v>
      </c>
      <c r="Q120" s="5" t="n"/>
      <c r="R120" s="6" t="n"/>
      <c r="S120" s="6">
        <f>IF(AND(Q120&lt;&gt;"",R120&lt;&gt;""),Q120*R120,"")</f>
        <v/>
      </c>
      <c r="T120" s="45">
        <f>IF(S120="",P120,S120)</f>
        <v/>
      </c>
      <c r="U120" s="7" t="n">
        <v>0</v>
      </c>
      <c r="V120" s="6">
        <f>$T120*U120</f>
        <v/>
      </c>
      <c r="W120" s="7" t="n">
        <v>0.75</v>
      </c>
      <c r="X120" s="6">
        <f>$T120*W120</f>
        <v/>
      </c>
      <c r="Y120" s="7" t="n">
        <v>0</v>
      </c>
      <c r="Z120" s="6">
        <f>$T120*Y120</f>
        <v/>
      </c>
      <c r="AA120" s="7" t="n">
        <v>0</v>
      </c>
      <c r="AB120" s="6">
        <f>$T120*AA120</f>
        <v/>
      </c>
      <c r="AC120" s="7" t="n">
        <v>0</v>
      </c>
      <c r="AD120" s="6">
        <f>$T120*AC120</f>
        <v/>
      </c>
      <c r="AE120" s="7" t="n">
        <v>0</v>
      </c>
      <c r="AF120" s="6">
        <f>$T120*AE120</f>
        <v/>
      </c>
      <c r="AG120" s="7" t="n">
        <v>0</v>
      </c>
      <c r="AH120" s="6">
        <f>$T120*AG120</f>
        <v/>
      </c>
      <c r="AI120" s="7">
        <f>U120+W120+Y120+AA120+AC120+AE120+AG120</f>
        <v/>
      </c>
      <c r="AJ120" s="6">
        <f>V120+X120+Z120+AB120+AD120+AF120+AH120</f>
        <v/>
      </c>
    </row>
    <row r="121" ht="60" customHeight="1" s="46">
      <c r="A121" s="3" t="inlineStr">
        <is>
          <t>LOM241.RM.02.10.00.F0004.0000.B</t>
        </is>
      </c>
      <c r="B121" s="4" t="inlineStr">
        <is>
          <t>1/2</t>
        </is>
      </c>
      <c r="C121" s="3" t="inlineStr">
        <is>
          <t>EDILE</t>
        </is>
      </c>
      <c r="D121" s="4" t="inlineStr">
        <is>
          <t>NON SPECIALE</t>
        </is>
      </c>
      <c r="E121" s="4" t="inlineStr">
        <is>
          <t>EDILI</t>
        </is>
      </c>
      <c r="F121" s="3" t="inlineStr">
        <is>
          <t>1_2025.11.20_CME REV07.PDF</t>
        </is>
      </c>
      <c r="G121" s="4" t="inlineStr">
        <is>
          <t>105</t>
        </is>
      </c>
      <c r="H121" s="3" t="inlineStr">
        <is>
          <t>60 - FINITURE</t>
        </is>
      </c>
      <c r="I121" s="3" t="inlineStr">
        <is>
          <t>NUOVI LABORATORI</t>
        </is>
      </c>
      <c r="J121" s="3" t="inlineStr">
        <is>
          <t>OPERE GENERICHE</t>
        </is>
      </c>
      <c r="K121" s="3" t="inlineStr">
        <is>
          <t>MEMBRANA ARMATA DI BITUME ELASTOMERICO (BPE); FINITURA: ARDESIATA; FUNZIONE: IMPERMEABILIZZANTE; IMPIEGO: COPERTURA; FLESSIBILITÀ A FREDDO [°C] ≤ -20 | STABILITÀ DI FORMA A CALDO [°C] ≥ 100 | RESISTEN</t>
        </is>
      </c>
      <c r="L121" s="3" t="inlineStr">
        <is>
          <t>MEMBRANA ARMATA DI BITUME ELASTOMERICO (BPE); FINITURA: ARDESIATA; FUNZIONE: IMPERMEABILIZZANTE; IMPIEGO: COPERTURA; FLESSIBILITÀ A FREDDO [°C] ≤ -20 | STABILITÀ DI FORMA A CALDO [°C] ≥ 100 | RESISTENZA A TRAZIONE A ROTTURA L/T (-20%) [N/50 MM] = 550/300; PESO [KG/M²] = 4,5 
SPECIFICHE TECNICHE: DICHIARAZIONE DI PRESTAZIONE DOP 
COMPONENTI: 
RM1 MEMBRANA DI BITUME ELASTOMERICO (BPE); FINITURA: SCAGLIE DI ARDESIA 
RM1 MEMBRANA DI FIBRA SINTETICA POLIESTERE; FUNZIONE: ARMATURA</t>
        </is>
      </c>
      <c r="M121" s="4" t="inlineStr">
        <is>
          <t>M²</t>
        </is>
      </c>
      <c r="N121" s="5" t="n">
        <v>409.28</v>
      </c>
      <c r="O121" s="45" t="n">
        <v>24.1</v>
      </c>
      <c r="P121" s="45" t="n">
        <v>9863.647999999999</v>
      </c>
      <c r="Q121" s="5" t="n"/>
      <c r="R121" s="6" t="n"/>
      <c r="S121" s="6">
        <f>IF(AND(Q121&lt;&gt;"",R121&lt;&gt;""),Q121*R121,"")</f>
        <v/>
      </c>
      <c r="T121" s="45">
        <f>IF(S121="",P121,S121)</f>
        <v/>
      </c>
      <c r="U121" s="7" t="n">
        <v>0</v>
      </c>
      <c r="V121" s="6">
        <f>$T121*U121</f>
        <v/>
      </c>
      <c r="W121" s="7" t="n">
        <v>0.75</v>
      </c>
      <c r="X121" s="6">
        <f>$T121*W121</f>
        <v/>
      </c>
      <c r="Y121" s="7" t="n">
        <v>0</v>
      </c>
      <c r="Z121" s="6">
        <f>$T121*Y121</f>
        <v/>
      </c>
      <c r="AA121" s="7" t="n">
        <v>0</v>
      </c>
      <c r="AB121" s="6">
        <f>$T121*AA121</f>
        <v/>
      </c>
      <c r="AC121" s="7" t="n">
        <v>0</v>
      </c>
      <c r="AD121" s="6">
        <f>$T121*AC121</f>
        <v/>
      </c>
      <c r="AE121" s="7" t="n">
        <v>0</v>
      </c>
      <c r="AF121" s="6">
        <f>$T121*AE121</f>
        <v/>
      </c>
      <c r="AG121" s="7" t="n">
        <v>0</v>
      </c>
      <c r="AH121" s="6">
        <f>$T121*AG121</f>
        <v/>
      </c>
      <c r="AI121" s="7">
        <f>U121+W121+Y121+AA121+AC121+AE121+AG121</f>
        <v/>
      </c>
      <c r="AJ121" s="6">
        <f>V121+X121+Z121+AB121+AD121+AF121+AH121</f>
        <v/>
      </c>
    </row>
    <row r="122" ht="60" customHeight="1" s="46">
      <c r="A122" s="3" t="inlineStr">
        <is>
          <t>LOM241.PO.EEA.A04.D0001.K0002.0005.B</t>
        </is>
      </c>
      <c r="B122" s="4" t="inlineStr">
        <is>
          <t>1/4</t>
        </is>
      </c>
      <c r="C122" s="3" t="inlineStr">
        <is>
          <t>EDILE</t>
        </is>
      </c>
      <c r="D122" s="4" t="inlineStr">
        <is>
          <t>NON SPECIALE</t>
        </is>
      </c>
      <c r="E122" s="4" t="inlineStr">
        <is>
          <t>EDILI</t>
        </is>
      </c>
      <c r="F122" s="3" t="inlineStr">
        <is>
          <t>1_2025.11.20_CME REV07.PDF</t>
        </is>
      </c>
      <c r="G122" s="4" t="inlineStr">
        <is>
          <t>110</t>
        </is>
      </c>
      <c r="H122" s="3" t="inlineStr">
        <is>
          <t>60 - FINITURE</t>
        </is>
      </c>
      <c r="I122" s="3" t="inlineStr">
        <is>
          <t>NUOVI LABORATORI</t>
        </is>
      </c>
      <c r="J122" s="3" t="inlineStr">
        <is>
          <t>OPERE GENERICHE</t>
        </is>
      </c>
      <c r="K122" s="3" t="inlineStr">
        <is>
          <t xml:space="preserve">PRODOTTO SEMILAVORATO: IMPASTO IN OPERA DI ARGILLA ESPANSA; IMPIEGO: MASSETTI DI FINITURA/MONOSTRATO. </t>
        </is>
      </c>
      <c r="L122" s="3" t="inlineStr">
        <is>
          <t>PRODOTTO SEMILAVORATO: IMPASTO IN OPERA DI ARGILLA ESPANSA; IMPIEGO: MASSETTI DI FINITURA/MONOSTRATO. 
LAVORO: FORMAZIONE CON MEZZO MECCANICO. 
SPECIFICHE TECNICHE: DOSAGGIO PER M³ DI IMPASTO: CEMENTO [KG] = 300. 
COMPONENTI: 
PS1 PRODOTTO SEMILAVORATO: IMPASTO IN OPERA DI ARGILLA ESPANSA; IMPIEGO: MASSETTI DI FINITURA/MONOSTRATO. 
SPECIFICHE TECNICHE: DOSAGGIO PER M³ DI IMPASTO: CEMENTO [KG] = 300. 
RM2 LEGANTE IDRAULICO DI CEMENTO GENERICO; GEOMETRIA/FORMA/ASPETTO: SFUSO | TIPO ELEVATA RESISTENZA 32.5R; FORNITURA: SILOS 
RM2 AGGREGATO DI ARGILLA ESPANSA; GEOMETRIA/FORMA/ASPETTO: SCIOLTA | TONDO; FUNZIONE: TERMOISOLANTE | ALLEGGERIMENTO | MISCELE ALLEGGERITE; IMPIEGO: RIEMPIMENTI | ISOLAMENTI TERMICI | CALCESTRUZZI LEGGERI | IMPASTI | SOTTOFONDI; FORNITURA: SFUSO; DIAMETRO (Ø) [MM] = 3 ÷ 8; MASSA VOLUMICA IN MUCCHIO [KG/M³] &lt; 380 | RESISTENZA A SCHIACCIAMENTO [MPA] &gt; 1 | CONDUCIBILITÀ TERMICA [W/MK] &gt; 0,095 | REAZIONE AL FUOCO [EUROCLASSE] = A1 
SPECIFICHE TECNICHE: LEGGERA; GRANULARE; CLINKERIZZATA; INERTE; INCOMBUSTIBILE; RESISTENTE; A BASSO ASSORBIMENTO DI UMIDITÀ 
LV1 LAVORO: FORMAZIONE CON MEZZO MECCANICO. 
RP2 BETONIERA A BICCHIERE; CAPACITÀ [M³] ≤ 0,35 
SPECIFICHE TECNICHE: AD AZIONAMENTO ELETTRICO; CRITERIO DI MISURAZIONE: ORE DI PRESENZA IN CANTIERE</t>
        </is>
      </c>
      <c r="M122" s="4" t="inlineStr">
        <is>
          <t>M³</t>
        </is>
      </c>
      <c r="N122" s="5" t="n">
        <v>24.25</v>
      </c>
      <c r="O122" s="45" t="n">
        <v>300.94</v>
      </c>
      <c r="P122" s="45" t="n">
        <v>7297.795</v>
      </c>
      <c r="Q122" s="5" t="n"/>
      <c r="R122" s="6" t="n"/>
      <c r="S122" s="6">
        <f>IF(AND(Q122&lt;&gt;"",R122&lt;&gt;""),Q122*R122,"")</f>
        <v/>
      </c>
      <c r="T122" s="45">
        <f>IF(S122="",P122,S122)</f>
        <v/>
      </c>
      <c r="U122" s="7" t="n">
        <v>0</v>
      </c>
      <c r="V122" s="6">
        <f>$T122*U122</f>
        <v/>
      </c>
      <c r="W122" s="7" t="n">
        <v>0.5</v>
      </c>
      <c r="X122" s="6">
        <f>$T122*W122</f>
        <v/>
      </c>
      <c r="Y122" s="7" t="n">
        <v>0</v>
      </c>
      <c r="Z122" s="6">
        <f>$T122*Y122</f>
        <v/>
      </c>
      <c r="AA122" s="7" t="n">
        <v>0</v>
      </c>
      <c r="AB122" s="6">
        <f>$T122*AA122</f>
        <v/>
      </c>
      <c r="AC122" s="7" t="n">
        <v>0</v>
      </c>
      <c r="AD122" s="6">
        <f>$T122*AC122</f>
        <v/>
      </c>
      <c r="AE122" s="7" t="n">
        <v>0</v>
      </c>
      <c r="AF122" s="6">
        <f>$T122*AE122</f>
        <v/>
      </c>
      <c r="AG122" s="7" t="n">
        <v>0</v>
      </c>
      <c r="AH122" s="6">
        <f>$T122*AG122</f>
        <v/>
      </c>
      <c r="AI122" s="7">
        <f>U122+W122+Y122+AA122+AC122+AE122+AG122</f>
        <v/>
      </c>
      <c r="AJ122" s="6">
        <f>V122+X122+Z122+AB122+AD122+AF122+AH122</f>
        <v/>
      </c>
    </row>
    <row r="123" ht="60" customHeight="1" s="46">
      <c r="A123" s="3" t="inlineStr">
        <is>
          <t>LOM241.PO.EEA.A04.D0001.K0002.0005.B</t>
        </is>
      </c>
      <c r="B123" s="4" t="inlineStr">
        <is>
          <t>2/4</t>
        </is>
      </c>
      <c r="C123" s="3" t="inlineStr">
        <is>
          <t>EDILE</t>
        </is>
      </c>
      <c r="D123" s="4" t="inlineStr">
        <is>
          <t>NON SPECIALE</t>
        </is>
      </c>
      <c r="E123" s="4" t="inlineStr">
        <is>
          <t>EDILI</t>
        </is>
      </c>
      <c r="F123" s="3" t="inlineStr">
        <is>
          <t>1_2025.11.20_CME REV07.PDF</t>
        </is>
      </c>
      <c r="G123" s="4" t="inlineStr">
        <is>
          <t>113</t>
        </is>
      </c>
      <c r="H123" s="3" t="inlineStr">
        <is>
          <t>60 - FINITURE</t>
        </is>
      </c>
      <c r="I123" s="3" t="inlineStr">
        <is>
          <t>NUOVI LABORATORI</t>
        </is>
      </c>
      <c r="J123" s="3" t="inlineStr">
        <is>
          <t>OPERE GENERICHE</t>
        </is>
      </c>
      <c r="K123" s="3" t="inlineStr">
        <is>
          <t xml:space="preserve">PRODOTTO SEMILAVORATO: IMPASTO IN OPERA DI ARGILLA ESPANSA; IMPIEGO: MASSETTI DI FINITURA/MONOSTRATO. </t>
        </is>
      </c>
      <c r="L123" s="3" t="inlineStr">
        <is>
          <t>PRODOTTO SEMILAVORATO: IMPASTO IN OPERA DI ARGILLA ESPANSA; IMPIEGO: MASSETTI DI FINITURA/MONOSTRATO. 
LAVORO: FORMAZIONE CON MEZZO MECCANICO. 
SPECIFICHE TECNICHE: DOSAGGIO PER M³ DI IMPASTO: CEMENTO [KG] = 300. 
COMPONENTI: 
PS1 PRODOTTO SEMILAVORATO: IMPASTO IN OPERA DI ARGILLA ESPANSA; IMPIEGO: MASSETTI DI FINITURA/MONOSTRATO. 
SPECIFICHE TECNICHE: DOSAGGIO PER M³ DI IMPASTO: CEMENTO [KG] = 300. 
RM2 LEGANTE IDRAULICO DI CEMENTO GENERICO; GEOMETRIA/FORMA/ASPETTO: SFUSO | TIPO ELEVATA RESISTENZA 32.5R; FORNITURA: SILOS 
RM2 AGGREGATO DI ARGILLA ESPANSA; GEOMETRIA/FORMA/ASPETTO: SCIOLTA | TONDO; FUNZIONE: TERMOISOLANTE | ALLEGGERIMENTO | MISCELE ALLEGGERITE; IMPIEGO: RIEMPIMENTI | ISOLAMENTI TERMICI | CALCESTRUZZI LEGGERI | IMPASTI | SOTTOFONDI; FORNITURA: SFUSO; DIAMETRO (Ø) [MM] = 3 ÷ 8; MASSA VOLUMICA IN MUCCHIO [KG/M³] &lt; 380 | RESISTENZA A SCHIACCIAMENTO [MPA] &gt; 1 | CONDUCIBILITÀ TERMICA [W/MK] &gt; 0,095 | REAZIONE AL FUOCO [EUROCLASSE] = A1 
SPECIFICHE TECNICHE: LEGGERA; GRANULARE; CLINKERIZZATA; INERTE; INCOMBUSTIBILE; RESISTENTE; A BASSO ASSORBIMENTO DI UMIDITÀ 
LV1 LAVORO: FORMAZIONE CON MEZZO MECCANICO. 
RP2 BETONIERA A BICCHIERE; CAPACITÀ [M³] ≤ 0,35 
SPECIFICHE TECNICHE: AD AZIONAMENTO ELETTRICO; CRITERIO DI MISURAZIONE: ORE DI PRESENZA IN CANTIERE</t>
        </is>
      </c>
      <c r="M123" s="4" t="inlineStr">
        <is>
          <t>M³</t>
        </is>
      </c>
      <c r="N123" s="5" t="n">
        <v>33.58</v>
      </c>
      <c r="O123" s="45" t="n">
        <v>300.94</v>
      </c>
      <c r="P123" s="45" t="n">
        <v>10105.5652</v>
      </c>
      <c r="Q123" s="5" t="n"/>
      <c r="R123" s="6" t="n"/>
      <c r="S123" s="6">
        <f>IF(AND(Q123&lt;&gt;"",R123&lt;&gt;""),Q123*R123,"")</f>
        <v/>
      </c>
      <c r="T123" s="45">
        <f>IF(S123="",P123,S123)</f>
        <v/>
      </c>
      <c r="U123" s="7" t="n">
        <v>0</v>
      </c>
      <c r="V123" s="6">
        <f>$T123*U123</f>
        <v/>
      </c>
      <c r="W123" s="7" t="n">
        <v>0.5</v>
      </c>
      <c r="X123" s="6">
        <f>$T123*W123</f>
        <v/>
      </c>
      <c r="Y123" s="7" t="n">
        <v>0</v>
      </c>
      <c r="Z123" s="6">
        <f>$T123*Y123</f>
        <v/>
      </c>
      <c r="AA123" s="7" t="n">
        <v>0</v>
      </c>
      <c r="AB123" s="6">
        <f>$T123*AA123</f>
        <v/>
      </c>
      <c r="AC123" s="7" t="n">
        <v>0</v>
      </c>
      <c r="AD123" s="6">
        <f>$T123*AC123</f>
        <v/>
      </c>
      <c r="AE123" s="7" t="n">
        <v>0</v>
      </c>
      <c r="AF123" s="6">
        <f>$T123*AE123</f>
        <v/>
      </c>
      <c r="AG123" s="7" t="n">
        <v>0</v>
      </c>
      <c r="AH123" s="6">
        <f>$T123*AG123</f>
        <v/>
      </c>
      <c r="AI123" s="7">
        <f>U123+W123+Y123+AA123+AC123+AE123+AG123</f>
        <v/>
      </c>
      <c r="AJ123" s="6">
        <f>V123+X123+Z123+AB123+AD123+AF123+AH123</f>
        <v/>
      </c>
    </row>
    <row r="124" hidden="1" ht="60" customHeight="1" s="46">
      <c r="A124" s="3" t="inlineStr">
        <is>
          <t>LOM241.1C.18.020.0010.A</t>
        </is>
      </c>
      <c r="B124" s="4" t="inlineStr">
        <is>
          <t>1/2</t>
        </is>
      </c>
      <c r="C124" s="3" t="inlineStr">
        <is>
          <t>EDILE</t>
        </is>
      </c>
      <c r="D124" s="4" t="inlineStr">
        <is>
          <t>NON SPECIALE</t>
        </is>
      </c>
      <c r="E124" s="4" t="inlineStr">
        <is>
          <t>EDILI</t>
        </is>
      </c>
      <c r="F124" s="3" t="inlineStr">
        <is>
          <t>1_2025.11.20_CME REV07.PDF</t>
        </is>
      </c>
      <c r="G124" s="4" t="inlineStr">
        <is>
          <t>114</t>
        </is>
      </c>
      <c r="H124" s="3" t="inlineStr">
        <is>
          <t>60 - FINITURE</t>
        </is>
      </c>
      <c r="I124" s="3" t="inlineStr">
        <is>
          <t>NUOVI LABORATORI</t>
        </is>
      </c>
      <c r="J124" s="3" t="inlineStr">
        <is>
          <t>PAVIMENTI E RIVESTIMENTI</t>
        </is>
      </c>
      <c r="K124" s="3" t="inlineStr">
        <is>
          <t>PAVIMENTO IN GRANULATO SFEROIDALE DI QUARZO A RIPORTO COSTITUITO DA STRATO DI USURA DI 1 CM CIRCA CON PASTINA A 12 KG/M² DI GRANULATO DI QUARZO E 6 KG/M² DI CEMENTO; COMPRESA LA FORNITURA DEL CALCESTR</t>
        </is>
      </c>
      <c r="L124" s="3" t="inlineStr">
        <is>
          <t>PAVIMENTO IN GRANULATO SFEROIDALE DI QUARZO A RIPORTO COSTITUITO DA STRATO DI USURA DI 1 CM CIRCA CON PASTINA A 12 KG/M² DI GRANULATO DI QUARZO E 6 KG/M² DI CEMENTO; COMPRESA LA FORNITURA DEL CALCESTRUZZO DEL MASSETTO, LA LISCIATURA, LA FORMAZIONE DEI GIUNTI E L'ASSISTENZA MURARIA. - MASSETTO SPESSORE 15 CM DI CALCESTRUZZO C20/25, CON SUPERFICIE COMPATTA E LISCIATA</t>
        </is>
      </c>
      <c r="M124" s="4" t="inlineStr">
        <is>
          <t>M²</t>
        </is>
      </c>
      <c r="N124" s="5" t="n">
        <v>279.8</v>
      </c>
      <c r="O124" s="45" t="n">
        <v>23.51</v>
      </c>
      <c r="P124" s="45" t="n">
        <v>6578.098</v>
      </c>
      <c r="Q124" s="5" t="n"/>
      <c r="R124" s="6" t="n"/>
      <c r="S124" s="6">
        <f>IF(AND(Q124&lt;&gt;"",R124&lt;&gt;""),Q124*R124,"")</f>
        <v/>
      </c>
      <c r="T124" s="45">
        <f>IF(S124="",P124,S124)</f>
        <v/>
      </c>
      <c r="U124" s="7" t="n">
        <v>0</v>
      </c>
      <c r="V124" s="6">
        <f>$T124*U124</f>
        <v/>
      </c>
      <c r="W124" s="7" t="n">
        <v>0</v>
      </c>
      <c r="X124" s="6">
        <f>$T124*W124</f>
        <v/>
      </c>
      <c r="Y124" s="7" t="n">
        <v>0</v>
      </c>
      <c r="Z124" s="6">
        <f>$T124*Y124</f>
        <v/>
      </c>
      <c r="AA124" s="7" t="n">
        <v>0</v>
      </c>
      <c r="AB124" s="6">
        <f>$T124*AA124</f>
        <v/>
      </c>
      <c r="AC124" s="7" t="n">
        <v>0</v>
      </c>
      <c r="AD124" s="6">
        <f>$T124*AC124</f>
        <v/>
      </c>
      <c r="AE124" s="7" t="n">
        <v>0</v>
      </c>
      <c r="AF124" s="6">
        <f>$T124*AE124</f>
        <v/>
      </c>
      <c r="AG124" s="7" t="n">
        <v>0</v>
      </c>
      <c r="AH124" s="6">
        <f>$T124*AG124</f>
        <v/>
      </c>
      <c r="AI124" s="7">
        <f>U124+W124+Y124+AA124+AC124+AE124+AG124</f>
        <v/>
      </c>
      <c r="AJ124" s="6">
        <f>V124+X124+Z124+AB124+AD124+AF124+AH124</f>
        <v/>
      </c>
    </row>
    <row r="125" ht="60" customHeight="1" s="46">
      <c r="A125" s="3" t="inlineStr">
        <is>
          <t>LOM241.OC.EEA.A02.C1515.OD001.0020</t>
        </is>
      </c>
      <c r="B125" s="4" t="inlineStr">
        <is>
          <t>4/4</t>
        </is>
      </c>
      <c r="C125" s="3" t="inlineStr">
        <is>
          <t>EDILE</t>
        </is>
      </c>
      <c r="D125" s="4" t="inlineStr">
        <is>
          <t>SPECIALE</t>
        </is>
      </c>
      <c r="E125" s="4" t="inlineStr">
        <is>
          <t>EDILI SPECIALI</t>
        </is>
      </c>
      <c r="F125" s="3" t="inlineStr">
        <is>
          <t>1_2025.11.20_CME REV07.PDF</t>
        </is>
      </c>
      <c r="G125" s="4" t="inlineStr">
        <is>
          <t>122</t>
        </is>
      </c>
      <c r="H125" s="3" t="inlineStr">
        <is>
          <t>30 - STRUTTURALE</t>
        </is>
      </c>
      <c r="I125" s="3" t="inlineStr">
        <is>
          <t>NUOVI LABORATORI</t>
        </is>
      </c>
      <c r="J125" s="3" t="inlineStr">
        <is>
          <t>OPERE IN C.A.</t>
        </is>
      </c>
      <c r="K125" s="3" t="inlineStr">
        <is>
          <t xml:space="preserve">OPERA: STRATO DI ISOLAMENTO, ACUSTICO DI FIBRA MINERALE LANA DI ROCCIA; FINITURA: LANA DI LEGNO; IMPIEGO: STRATO DI MURATURA; SPESSORE [MM] = 75. </t>
        </is>
      </c>
      <c r="L125" s="3" t="inlineStr">
        <is>
          <t>OPERA: STRATO DI ISOLAMENTO, ACUSTICO DI FIBRA MINERALE LANA DI ROCCIA; FINITURA: LANA DI LEGNO; IMPIEGO: STRATO DI MURATURA; SPESSORE [MM] = 75. 
LAVORO: POSA. INCLUSO: TAGLI; SIGILLATURE; ADATTAMENTI; FISSAGGIO GENERICO; ASSISTENZE MURARIE. ESCLUSO: PIANI DI LAVORO. 
SPECIFICHE TECNICHE: PER PARETI DIVISORIE INTERNE IN TAVOLATO E CARTONGESSO; PANNELLI CON LANA DI ROCCIA AD ALTA DENSITÀ A FIBRE ORIENTATE SPESSORE [MM] = 65, RIVESTITO SUI DUE LATI DA PANNELLI IN LANA DI LEGNO MINERALIZZATA SPESSORE [MM] = 5 E LEGATA CON CEMENTO. 
COMPONENTI: 
OP1 OPERA: STRATO DI ISOLAMENTO, ACUSTICO DI FIBRA MINERALE LANA DI ROCCIA; FINITURA: LANA DI LEGNO; IMPIEGO: STRATO DI MURATURA; SPESSORE [MM] = 75. 
SPECIFICHE TECNICHE: PER PARETI DIVISORIE INTERNE IN TAVOLATO E CARTONGESSO; PANNELLI CON LANA DI ROCCIA AD ALTA DENSITÀ A FIBRE ORIENTATE SPESSORE [MM] = 65, RIVESTITO SUI DUE LATI DA PANNELLI IN LANA DI LEGNO MINERALIZZATA SPESSORE [MM] = 5 E LEGATA CON CEMENTO. 
RM2 PANNELLO ACUSTICO DI FIBRA MINERALE LANA DI ROCCIA; FINITURA: LANA DI ABETE; GEOMETRIA/FORMA/ASPETTO: PANNELLI MULTISTRATO; FUNZIONE: ISOLAMENTO ACUSTICO; IMPIEGO: PARETI DIVISORIE INTERNE | COPERTURE PIANE; SPESSORE [MM] = 75 
SPECIFICHE TECNICHE: RIVESTITO SULLE DUE FACCE 
RM2 ADESIVO DI GESSO GENERICO; GEOMETRIA/FORMA/ASPETTO: POLVERE; FUNZIONE: SIGILLANTE; IMPIEGO: LASTRE 
LV1 LAVORO: POSA. INCLUSO: TAGLI; SIGILLATURE; ADATTAMENTI; FISSAGGIO GENERICO; ASSISTENZE MURARIE. ESCLUSO: PIANI DI LAVORO.</t>
        </is>
      </c>
      <c r="M125" s="4" t="inlineStr">
        <is>
          <t>M²</t>
        </is>
      </c>
      <c r="N125" s="5" t="n">
        <v>54.67</v>
      </c>
      <c r="O125" s="45" t="n">
        <v>47.15</v>
      </c>
      <c r="P125" s="45" t="n">
        <v>2577.6905</v>
      </c>
      <c r="Q125" s="5" t="n"/>
      <c r="R125" s="6" t="n"/>
      <c r="S125" s="6">
        <f>IF(AND(Q125&lt;&gt;"",R125&lt;&gt;""),Q125*R125,"")</f>
        <v/>
      </c>
      <c r="T125" s="45">
        <f>IF(S125="",P125,S125)</f>
        <v/>
      </c>
      <c r="U125" s="7" t="n">
        <v>0</v>
      </c>
      <c r="V125" s="6">
        <f>$T125*U125</f>
        <v/>
      </c>
      <c r="W125" s="7" t="n">
        <v>0.5</v>
      </c>
      <c r="X125" s="6">
        <f>$T125*W125</f>
        <v/>
      </c>
      <c r="Y125" s="7" t="n">
        <v>0</v>
      </c>
      <c r="Z125" s="6">
        <f>$T125*Y125</f>
        <v/>
      </c>
      <c r="AA125" s="7" t="n">
        <v>0</v>
      </c>
      <c r="AB125" s="6">
        <f>$T125*AA125</f>
        <v/>
      </c>
      <c r="AC125" s="7" t="n">
        <v>0</v>
      </c>
      <c r="AD125" s="6">
        <f>$T125*AC125</f>
        <v/>
      </c>
      <c r="AE125" s="7" t="n">
        <v>0</v>
      </c>
      <c r="AF125" s="6">
        <f>$T125*AE125</f>
        <v/>
      </c>
      <c r="AG125" s="7" t="n">
        <v>0</v>
      </c>
      <c r="AH125" s="6">
        <f>$T125*AG125</f>
        <v/>
      </c>
      <c r="AI125" s="7">
        <f>U125+W125+Y125+AA125+AC125+AE125+AG125</f>
        <v/>
      </c>
      <c r="AJ125" s="6">
        <f>V125+X125+Z125+AB125+AD125+AF125+AH125</f>
        <v/>
      </c>
    </row>
    <row r="126" hidden="1" ht="60" customHeight="1" s="46">
      <c r="A126" s="3" t="inlineStr">
        <is>
          <t>PA.ARC.03</t>
        </is>
      </c>
      <c r="B126" s="4" t="inlineStr">
        <is>
          <t>4/4</t>
        </is>
      </c>
      <c r="C126" s="3" t="inlineStr">
        <is>
          <t>EDILE</t>
        </is>
      </c>
      <c r="D126" s="4" t="inlineStr">
        <is>
          <t>SPECIALE</t>
        </is>
      </c>
      <c r="E126" s="4" t="inlineStr">
        <is>
          <t>EDILI SPECIALI</t>
        </is>
      </c>
      <c r="F126" s="3" t="inlineStr">
        <is>
          <t>1_2025.11.20_CME REV07.PDF</t>
        </is>
      </c>
      <c r="G126" s="4" t="inlineStr">
        <is>
          <t>123</t>
        </is>
      </c>
      <c r="H126" s="3" t="inlineStr">
        <is>
          <t>30 - STRUTTURALE</t>
        </is>
      </c>
      <c r="I126" s="3" t="inlineStr">
        <is>
          <t>NUOVI LABORATORI</t>
        </is>
      </c>
      <c r="J126" s="3" t="inlineStr">
        <is>
          <t>OPERE PREFABBRICATE</t>
        </is>
      </c>
      <c r="K126" s="3" t="inlineStr">
        <is>
          <t xml:space="preserve">LASTRA PREFABBRICATA IN GESSO CARTONATO. FORNITURA E POSA IN OPERA DI LASTRA PREFABBRICATA IN GESSO CARTONATO DI SPESSORE VARIABILE, PER LA REALIZZAZIONE DI PARETI, CONTROPARETI E CONTROSOFFITTI ALL' </t>
        </is>
      </c>
      <c r="L126"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STANDARD SPESSORE 12,5 MM. RIFERIMENTO PREZZARIO UMBRIA 2024. TARIFFA: 07.04.0050.005</t>
        </is>
      </c>
      <c r="M126" s="4" t="inlineStr">
        <is>
          <t>MQ</t>
        </is>
      </c>
      <c r="N126" s="5" t="n">
        <v>109.34</v>
      </c>
      <c r="O126" s="45" t="n">
        <v>7.9</v>
      </c>
      <c r="P126" s="45" t="n">
        <v>863.7859999999999</v>
      </c>
      <c r="Q126" s="5" t="n"/>
      <c r="R126" s="6" t="n"/>
      <c r="S126" s="6">
        <f>IF(AND(Q126&lt;&gt;"",R126&lt;&gt;""),Q126*R126,"")</f>
        <v/>
      </c>
      <c r="T126" s="45">
        <f>IF(S126="",P126,S126)</f>
        <v/>
      </c>
      <c r="U126" s="7" t="n">
        <v>0</v>
      </c>
      <c r="V126" s="6">
        <f>$T126*U126</f>
        <v/>
      </c>
      <c r="W126" s="7" t="n">
        <v>0</v>
      </c>
      <c r="X126" s="6">
        <f>$T126*W126</f>
        <v/>
      </c>
      <c r="Y126" s="7" t="n">
        <v>0</v>
      </c>
      <c r="Z126" s="6">
        <f>$T126*Y126</f>
        <v/>
      </c>
      <c r="AA126" s="7" t="n">
        <v>0</v>
      </c>
      <c r="AB126" s="6">
        <f>$T126*AA126</f>
        <v/>
      </c>
      <c r="AC126" s="7" t="n">
        <v>0</v>
      </c>
      <c r="AD126" s="6">
        <f>$T126*AC126</f>
        <v/>
      </c>
      <c r="AE126" s="7" t="n">
        <v>0</v>
      </c>
      <c r="AF126" s="6">
        <f>$T126*AE126</f>
        <v/>
      </c>
      <c r="AG126" s="7" t="n">
        <v>0</v>
      </c>
      <c r="AH126" s="6">
        <f>$T126*AG126</f>
        <v/>
      </c>
      <c r="AI126" s="7">
        <f>U126+W126+Y126+AA126+AC126+AE126+AG126</f>
        <v/>
      </c>
      <c r="AJ126" s="6">
        <f>V126+X126+Z126+AB126+AD126+AF126+AH126</f>
        <v/>
      </c>
    </row>
    <row r="127" hidden="1" ht="60" customHeight="1" s="46">
      <c r="A127" s="3" t="inlineStr">
        <is>
          <t>PA.ARC.04</t>
        </is>
      </c>
      <c r="B127" s="4" t="inlineStr">
        <is>
          <t>4/4</t>
        </is>
      </c>
      <c r="C127" s="3" t="inlineStr">
        <is>
          <t>EDILE</t>
        </is>
      </c>
      <c r="D127" s="4" t="inlineStr">
        <is>
          <t>SPECIALE</t>
        </is>
      </c>
      <c r="E127" s="4" t="inlineStr">
        <is>
          <t>EDILI SPECIALI</t>
        </is>
      </c>
      <c r="F127" s="3" t="inlineStr">
        <is>
          <t>1_2025.11.20_CME REV07.PDF</t>
        </is>
      </c>
      <c r="G127" s="4" t="inlineStr">
        <is>
          <t>124</t>
        </is>
      </c>
      <c r="H127" s="3" t="inlineStr">
        <is>
          <t>30 - STRUTTURALE</t>
        </is>
      </c>
      <c r="I127" s="3" t="inlineStr">
        <is>
          <t>NUOVI LABORATORI</t>
        </is>
      </c>
      <c r="J127" s="3" t="inlineStr">
        <is>
          <t>OPERE PREFABBRICATE</t>
        </is>
      </c>
      <c r="K127" s="3" t="inlineStr">
        <is>
          <t xml:space="preserve">LASTRA PREFABBRICATA IN GESSO CARTONATO. FORNITURA E POSA IN OPERA DI LASTRA PREFABBRICATA IN GESSO CARTONATO DI SPESSORE VARIABILE, PER LA REALIZZAZIONE DI PARETI, CONTROPARETI E CONTROSOFFITTI ALL' </t>
        </is>
      </c>
      <c r="L127"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STANDARD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07.04.0050.006</t>
        </is>
      </c>
      <c r="M127" s="4" t="inlineStr">
        <is>
          <t>MQ</t>
        </is>
      </c>
      <c r="N127" s="5" t="n">
        <v>109.34</v>
      </c>
      <c r="O127" s="45" t="n">
        <v>7.9</v>
      </c>
      <c r="P127" s="45" t="n">
        <v>863.7859999999999</v>
      </c>
      <c r="Q127" s="5" t="n"/>
      <c r="R127" s="6" t="n"/>
      <c r="S127" s="6">
        <f>IF(AND(Q127&lt;&gt;"",R127&lt;&gt;""),Q127*R127,"")</f>
        <v/>
      </c>
      <c r="T127" s="45">
        <f>IF(S127="",P127,S127)</f>
        <v/>
      </c>
      <c r="U127" s="7" t="n">
        <v>0</v>
      </c>
      <c r="V127" s="6">
        <f>$T127*U127</f>
        <v/>
      </c>
      <c r="W127" s="7" t="n">
        <v>0</v>
      </c>
      <c r="X127" s="6">
        <f>$T127*W127</f>
        <v/>
      </c>
      <c r="Y127" s="7" t="n">
        <v>0</v>
      </c>
      <c r="Z127" s="6">
        <f>$T127*Y127</f>
        <v/>
      </c>
      <c r="AA127" s="7" t="n">
        <v>0</v>
      </c>
      <c r="AB127" s="6">
        <f>$T127*AA127</f>
        <v/>
      </c>
      <c r="AC127" s="7" t="n">
        <v>0</v>
      </c>
      <c r="AD127" s="6">
        <f>$T127*AC127</f>
        <v/>
      </c>
      <c r="AE127" s="7" t="n">
        <v>0</v>
      </c>
      <c r="AF127" s="6">
        <f>$T127*AE127</f>
        <v/>
      </c>
      <c r="AG127" s="7" t="n">
        <v>0</v>
      </c>
      <c r="AH127" s="6">
        <f>$T127*AG127</f>
        <v/>
      </c>
      <c r="AI127" s="7">
        <f>U127+W127+Y127+AA127+AC127+AE127+AG127</f>
        <v/>
      </c>
      <c r="AJ127" s="6">
        <f>V127+X127+Z127+AB127+AD127+AF127+AH127</f>
        <v/>
      </c>
    </row>
    <row r="128" ht="60" customHeight="1" s="46">
      <c r="A128" s="3" t="inlineStr">
        <is>
          <t>LOM241.OC.EEA.A02.C0100.ZB009.0500</t>
        </is>
      </c>
      <c r="B128" s="4" t="inlineStr">
        <is>
          <t>1/1</t>
        </is>
      </c>
      <c r="C128" s="3" t="inlineStr">
        <is>
          <t>EDILE</t>
        </is>
      </c>
      <c r="D128" s="4" t="inlineStr">
        <is>
          <t>SPECIALE</t>
        </is>
      </c>
      <c r="E128" s="4" t="inlineStr">
        <is>
          <t>EDILI SPECIALI</t>
        </is>
      </c>
      <c r="F128" s="3" t="inlineStr">
        <is>
          <t>1_2025.11.20_CME REV07.PDF</t>
        </is>
      </c>
      <c r="G128" s="4" t="inlineStr">
        <is>
          <t>125</t>
        </is>
      </c>
      <c r="H128" s="3" t="inlineStr">
        <is>
          <t>30 - STRUTTURALE</t>
        </is>
      </c>
      <c r="I128" s="3" t="inlineStr">
        <is>
          <t>NUOVI LABORATORI</t>
        </is>
      </c>
      <c r="J128" s="3" t="inlineStr">
        <is>
          <t>OPERE IN C.A.</t>
        </is>
      </c>
      <c r="K128" s="3" t="inlineStr">
        <is>
          <t xml:space="preserve">OPERA: SISTEMA DI MURATURA, LASTRE DI MATERIALE MIX GESSO-CARTONE; GEOMETRIA/FORMA/ASPETTO: DOPPIE LASTRE; FUNZIONE: PARTIZIONE INTERNA; INTERASSE MONTANTE [CM] = 60. </t>
        </is>
      </c>
      <c r="L128" s="3" t="inlineStr">
        <is>
          <t>OPERA: SISTEMA DI MURATURA, LASTRE DI MATERIALE MIX GESSO-CARTONE; GEOMETRIA/FORMA/ASPETTO: DOPPIE LASTRE; FUNZIONE: PARTIZIONE INTERNA; INTERASSE MONTANTE [CM] = 60. 
LAVORO: POSA. INCLUSO: FISSAGGI; RASATURA GIUNTI; ASSISTENZA MURARIA. 
SPECIFICHE TECNICHE: DOPPIA LASTRA PER FACCIA. 
COMPONENTI: 
OP1 OPERA: SISTEMA DI MURATURA, LASTRE DI MATERIALE MIX GESSO-CARTONE; GEOMETRIA/FORMA/ASPETTO: DOPPIE LASTRE; FUNZIONE: PARTIZIONE INTERNA; INTERASSE MONTANTE [CM] = 60. 
SPECIFICHE TECNICHE: DOPPIA LASTRA PER FACCIA. 
RM2 LASTRA DI GESSO GENERICO; FINITURA: CARTONE SPECIALE; GEOMETRIA/FORMA/ASPETTO: BORDI ASSOTTIGLIATI; FUNZIONE: DIVISORIA; IMPIEGO: MURATURE; LARGHEZZA [CM] = 120 | SPESSORE [MM] = 13 
SPECIFICHE TECNICHE: LASTRA RIVESTITA SULLE DUE FACCE CON CARTONE 
RM2 PROFILO MONTANTE DI LEGA FERROSA ACCIAIO ZINCATO Z140; FINITURA: ORGANICA PRIVA DI CROMO; SPESSORE [MM] = 0,6 | LARGHEZZA [MM] = 75 
RM2 PROFILO GUIDA DI LEGA FERROSA ACCIAIO ZINCATO Z141; FINITURA: ORGANICA PRIVA DI CROMO; SPESSORE [MM] = 0,6 | LARGHEZZA [MM] = 75 
RM2 FERRAMENTA VITE DI METALLO FERRO; GEOMETRIA/FORMA/ASPETTO: AUTOPERFORANTI; FUNZIONE: FISSAGGIO; IMPIEGO: LASTRE 
RM2 PREMISCELATO DI MATERIALE GENERICO; GEOMETRIA/FORMA/ASPETTO: PASTA; FUNZIONE: STUCCATURA; IMPIEGO: MURATURE INTERNE | LEGNO; PESO SPECIFICO [KG/L] = 1,75 
SPECIFICHE TECNICHE: RESINE IN DISPERSIONE ACQUOSA 
RM2 NASTRO DI FIBRA SINTETICA DI VETRO; FUNZIONE: COPRIGIUNTI; IMPIEGO: MURATURE | PARETI DIVISORIE 
LV1 LAVORO: POSA. INCLUSO: FISSAGGI; RASATURA GIUNTI; ASSISTENZA MURARIA.</t>
        </is>
      </c>
      <c r="M128" s="4" t="inlineStr">
        <is>
          <t>M²</t>
        </is>
      </c>
      <c r="N128" s="5" t="n">
        <v>333.84</v>
      </c>
      <c r="O128" s="45" t="n">
        <v>43.14</v>
      </c>
      <c r="P128" s="45" t="n">
        <v>14401.8576</v>
      </c>
      <c r="Q128" s="5" t="n"/>
      <c r="R128" s="6" t="n"/>
      <c r="S128" s="6">
        <f>IF(AND(Q128&lt;&gt;"",R128&lt;&gt;""),Q128*R128,"")</f>
        <v/>
      </c>
      <c r="T128" s="45">
        <f>IF(S128="",P128,S128)</f>
        <v/>
      </c>
      <c r="U128" s="7" t="n">
        <v>0</v>
      </c>
      <c r="V128" s="6">
        <f>$T128*U128</f>
        <v/>
      </c>
      <c r="W128" s="7" t="n">
        <v>0.5</v>
      </c>
      <c r="X128" s="6">
        <f>$T128*W128</f>
        <v/>
      </c>
      <c r="Y128" s="7" t="n">
        <v>0</v>
      </c>
      <c r="Z128" s="6">
        <f>$T128*Y128</f>
        <v/>
      </c>
      <c r="AA128" s="7" t="n">
        <v>0</v>
      </c>
      <c r="AB128" s="6">
        <f>$T128*AA128</f>
        <v/>
      </c>
      <c r="AC128" s="7" t="n">
        <v>0</v>
      </c>
      <c r="AD128" s="6">
        <f>$T128*AC128</f>
        <v/>
      </c>
      <c r="AE128" s="7" t="n">
        <v>0</v>
      </c>
      <c r="AF128" s="6">
        <f>$T128*AE128</f>
        <v/>
      </c>
      <c r="AG128" s="7" t="n">
        <v>0</v>
      </c>
      <c r="AH128" s="6">
        <f>$T128*AG128</f>
        <v/>
      </c>
      <c r="AI128" s="7">
        <f>U128+W128+Y128+AA128+AC128+AE128+AG128</f>
        <v/>
      </c>
      <c r="AJ128" s="6">
        <f>V128+X128+Z128+AB128+AD128+AF128+AH128</f>
        <v/>
      </c>
    </row>
    <row r="129" ht="60" customHeight="1" s="46">
      <c r="A129" s="3" t="inlineStr">
        <is>
          <t>LOM241.OC.EEA.A02.C1515.OD001.0015</t>
        </is>
      </c>
      <c r="B129" s="4" t="inlineStr">
        <is>
          <t>1/1</t>
        </is>
      </c>
      <c r="C129" s="3" t="inlineStr">
        <is>
          <t>EDILE</t>
        </is>
      </c>
      <c r="D129" s="4" t="inlineStr">
        <is>
          <t>SPECIALE</t>
        </is>
      </c>
      <c r="E129" s="4" t="inlineStr">
        <is>
          <t>EDILI SPECIALI</t>
        </is>
      </c>
      <c r="F129" s="3" t="inlineStr">
        <is>
          <t>1_2025.11.20_CME REV07.PDF</t>
        </is>
      </c>
      <c r="G129" s="4" t="inlineStr">
        <is>
          <t>126</t>
        </is>
      </c>
      <c r="H129" s="3" t="inlineStr">
        <is>
          <t>30 - STRUTTURALE</t>
        </is>
      </c>
      <c r="I129" s="3" t="inlineStr">
        <is>
          <t>NUOVI LABORATORI</t>
        </is>
      </c>
      <c r="J129" s="3" t="inlineStr">
        <is>
          <t>OPERE IN C.A.</t>
        </is>
      </c>
      <c r="K129" s="3" t="inlineStr">
        <is>
          <t xml:space="preserve">OPERA: STRATO DI ISOLAMENTO, ACUSTICO DI FIBRA MINERALE LANA DI ROCCIA; FINITURA: LANA DI LEGNO; IMPIEGO: STRATO DI MURATURA; SPESSORE [MM] = 50. INCLUSO: RACCORDI. </t>
        </is>
      </c>
      <c r="L129" s="3" t="inlineStr">
        <is>
          <t>OPERA: STRATO DI ISOLAMENTO, ACUSTICO DI FIBRA MINERALE LANA DI ROCCIA; FINITURA: LANA DI LEGNO; IMPIEGO: STRATO DI MURATURA; SPESSORE [MM] = 50. INCLUSO: RACCORDI. 
LAVORO: POSA. INCLUSO: TAGLI; SIGILLATURE; ADATTAMENTI; FISSAGGIO GENERICO; ASSISTENZE MURARIE. ESCLUSO: PIANI DI LAVORO. 
SPECIFICHE TECNICHE: PER PARETI DIVISORIE INTERNE IN TAVOLATO E CARTONGESSO; PANNELLI CON LANA DI ROCCIA SPESSORE [MM] = 40, RIVESTITO SUI DUE LATI DA PANNELLI IN LANA DI LEGNO MINERALIZZATA SPESSORE [MM] = 5 AD ALTA TEMPERATURA CON MAGNESITE. 
COMPONENTI: 
OP1 OPERA: STRATO DI ISOLAMENTO, ACUSTICO DI FIBRA MINERALE LANA DI ROCCIA; FINITURA: LANA DI LEGNO; IMPIEGO: STRATO DI MURATURA; SPESSORE [MM] = 50. INCLUSO: RACCORDI. 
SPECIFICHE TECNICHE: PER PARETI DIVISORIE INTERNE IN TAVOLATO E CARTONGESSO; PANNELLI CON LANA DI ROCCIA SPESSORE [MM] = 40, RIVESTITO SUI DUE LATI DA PANNELLI IN LANA DI LEGNO MINERALIZZATA SPESSORE [MM] = 5 AD ALTA TEMPERATURA CON MAGNESITE. 
RM2 PANNELLO ACUSTICO DI FIBRA MINERALE LANA DI ROCCIA; FINITURA: LANA DI ABETE; GEOMETRIA/FORMA/ASPETTO: PANNELLI MULTISTRATO; FUNZIONE: ISOLAMENTO ACUSTICO; IMPIEGO: PARETI DIVISORIE INTERNE | COPERTURE PIANE; SPESSORE [MM] = 50 
SPECIFICHE TECNICHE: RIVESTITO SULLE DUE FACCE 
RM2 ADESIVO DI GESSO GENERICO; GEOMETRIA/FORMA/ASPETTO: POLVERE; FUNZIONE: SIGILLANTE; IMPIEGO: LASTRE 
LV1 LAVORO: POSA. INCLUSO: TAGLI; SIGILLATURE; ADATTAMENTI; FISSAGGIO GENERICO; ASSISTENZE MURARIE. ESCLUSO: PIANI DI LAVORO.</t>
        </is>
      </c>
      <c r="M129" s="4" t="inlineStr">
        <is>
          <t>M²</t>
        </is>
      </c>
      <c r="N129" s="5" t="n">
        <v>333.84</v>
      </c>
      <c r="O129" s="45" t="n">
        <v>21.4</v>
      </c>
      <c r="P129" s="45" t="n">
        <v>7144.176</v>
      </c>
      <c r="Q129" s="5" t="n"/>
      <c r="R129" s="6" t="n"/>
      <c r="S129" s="6">
        <f>IF(AND(Q129&lt;&gt;"",R129&lt;&gt;""),Q129*R129,"")</f>
        <v/>
      </c>
      <c r="T129" s="45">
        <f>IF(S129="",P129,S129)</f>
        <v/>
      </c>
      <c r="U129" s="7" t="n">
        <v>0</v>
      </c>
      <c r="V129" s="6">
        <f>$T129*U129</f>
        <v/>
      </c>
      <c r="W129" s="7" t="n">
        <v>0.5</v>
      </c>
      <c r="X129" s="6">
        <f>$T129*W129</f>
        <v/>
      </c>
      <c r="Y129" s="7" t="n">
        <v>0</v>
      </c>
      <c r="Z129" s="6">
        <f>$T129*Y129</f>
        <v/>
      </c>
      <c r="AA129" s="7" t="n">
        <v>0</v>
      </c>
      <c r="AB129" s="6">
        <f>$T129*AA129</f>
        <v/>
      </c>
      <c r="AC129" s="7" t="n">
        <v>0</v>
      </c>
      <c r="AD129" s="6">
        <f>$T129*AC129</f>
        <v/>
      </c>
      <c r="AE129" s="7" t="n">
        <v>0</v>
      </c>
      <c r="AF129" s="6">
        <f>$T129*AE129</f>
        <v/>
      </c>
      <c r="AG129" s="7" t="n">
        <v>0</v>
      </c>
      <c r="AH129" s="6">
        <f>$T129*AG129</f>
        <v/>
      </c>
      <c r="AI129" s="7">
        <f>U129+W129+Y129+AA129+AC129+AE129+AG129</f>
        <v/>
      </c>
      <c r="AJ129" s="6">
        <f>V129+X129+Z129+AB129+AD129+AF129+AH129</f>
        <v/>
      </c>
    </row>
    <row r="130" ht="60" customHeight="1" s="46">
      <c r="A130" s="3" t="inlineStr">
        <is>
          <t>LOM241.OC.EEA.A02.C0102.ZB009.0090</t>
        </is>
      </c>
      <c r="B130" s="4" t="inlineStr">
        <is>
          <t>2/2</t>
        </is>
      </c>
      <c r="C130" s="3" t="inlineStr">
        <is>
          <t>EDILE</t>
        </is>
      </c>
      <c r="D130" s="4" t="inlineStr">
        <is>
          <t>SPECIALE</t>
        </is>
      </c>
      <c r="E130" s="4" t="inlineStr">
        <is>
          <t>EDILI SPECIALI</t>
        </is>
      </c>
      <c r="F130" s="3" t="inlineStr">
        <is>
          <t>1_2025.11.20_CME REV07.PDF</t>
        </is>
      </c>
      <c r="G130" s="4" t="inlineStr">
        <is>
          <t>127</t>
        </is>
      </c>
      <c r="H130" s="3" t="inlineStr">
        <is>
          <t>30 - STRUTTURALE</t>
        </is>
      </c>
      <c r="I130" s="3" t="inlineStr">
        <is>
          <t>NUOVI LABORATORI</t>
        </is>
      </c>
      <c r="J130" s="3" t="inlineStr">
        <is>
          <t>OPERE IN C.A.</t>
        </is>
      </c>
      <c r="K130" s="3" t="inlineStr">
        <is>
          <t xml:space="preserve">OPERA: STRATO DI MURATURA, LASTRE DI MATERIALE MIX GESSO-CARTONE; FINITURA: RIVESTITO; FUNZIONE: CONTROPARETE. </t>
        </is>
      </c>
      <c r="L130" s="3" t="inlineStr">
        <is>
          <t>OPERA: STRATO DI MURATURA, LASTRE DI MATERIALE MIX GESSO-CARTONE; FINITURA: RIVESTITO; FUNZIONE: CONTROPARETE. 
LAVORO: POSA. INCLUSO: RASATURA GIUNTI; ASSISTENZA MURARIA FORNITA DA IMPRESA. 
SPECIFICHE TECNICHE: LASTRA APPLICATA DIRETTAMENTE A PARETE CON INCOLLAGGI IN GESSO. 
COMPONENTI: 
OP1 OPERA: STRATO DI MURATURA, LASTRE DI MATERIALE MIX GESSO-CARTONE; FINITURA: RIVESTITO; FUNZIONE: CONTROPARETE. 
RM2 LASTRA DI GESSO GENERICO; FINITURA: RIVESTITO; FUNZIONE: DIVISORIA; IMPIEGO: MURATURE; SPESSORE [MM] = 13; REAZIONE AL FUOCO [CLASSE] = 1 
RM2 ADESIVO DI GESSO GENERICO; GEOMETRIA/FORMA/ASPETTO: POLVERE; FUNZIONE: SIGILLANTE; IMPIEGO: LASTRE 
RM2 PREMISCELATO DI MATERIALE GENERICO; GEOMETRIA/FORMA/ASPETTO: PASTA; FUNZIONE: STUCCATURA; IMPIEGO: MURATURE INTERNE | LEGNO; PESO SPECIFICO [KG/L] = 1,75 
SPECIFICHE TECNICHE: RESINE IN DISPERSIONE ACQUOSA 
RM2 NASTRO DI FIBRA SINTETICA DI VETRO; FUNZIONE: COPRIGIUNTI; IMPIEGO: MURATURE | PARETI DIVISORIE 
LV1 LAVORO: POSA. INCLUSO: RASATURA GIUNTI; ASSISTENZA MURARIA FORNITA DA IMPRESA. 
SPECIFICHE TECNICHE: LASTRA APPLICATA DIRETTAMENTE A PARETE CON INCOLLAGGI IN GESSO.</t>
        </is>
      </c>
      <c r="M130" s="4" t="inlineStr">
        <is>
          <t>M²</t>
        </is>
      </c>
      <c r="N130" s="5" t="n">
        <v>68.08</v>
      </c>
      <c r="O130" s="45" t="n">
        <v>25.82</v>
      </c>
      <c r="P130" s="45" t="n">
        <v>1757.8256</v>
      </c>
      <c r="Q130" s="5" t="n"/>
      <c r="R130" s="6" t="n"/>
      <c r="S130" s="6">
        <f>IF(AND(Q130&lt;&gt;"",R130&lt;&gt;""),Q130*R130,"")</f>
        <v/>
      </c>
      <c r="T130" s="45">
        <f>IF(S130="",P130,S130)</f>
        <v/>
      </c>
      <c r="U130" s="7" t="n">
        <v>0</v>
      </c>
      <c r="V130" s="6">
        <f>$T130*U130</f>
        <v/>
      </c>
      <c r="W130" s="7" t="n">
        <v>0.5</v>
      </c>
      <c r="X130" s="6">
        <f>$T130*W130</f>
        <v/>
      </c>
      <c r="Y130" s="7" t="n">
        <v>0</v>
      </c>
      <c r="Z130" s="6">
        <f>$T130*Y130</f>
        <v/>
      </c>
      <c r="AA130" s="7" t="n">
        <v>0</v>
      </c>
      <c r="AB130" s="6">
        <f>$T130*AA130</f>
        <v/>
      </c>
      <c r="AC130" s="7" t="n">
        <v>0</v>
      </c>
      <c r="AD130" s="6">
        <f>$T130*AC130</f>
        <v/>
      </c>
      <c r="AE130" s="7" t="n">
        <v>0</v>
      </c>
      <c r="AF130" s="6">
        <f>$T130*AE130</f>
        <v/>
      </c>
      <c r="AG130" s="7" t="n">
        <v>0</v>
      </c>
      <c r="AH130" s="6">
        <f>$T130*AG130</f>
        <v/>
      </c>
      <c r="AI130" s="7">
        <f>U130+W130+Y130+AA130+AC130+AE130+AG130</f>
        <v/>
      </c>
      <c r="AJ130" s="6">
        <f>V130+X130+Z130+AB130+AD130+AF130+AH130</f>
        <v/>
      </c>
    </row>
    <row r="131" hidden="1" ht="60" customHeight="1" s="46">
      <c r="A131" s="3" t="inlineStr">
        <is>
          <t>LOM241.OC.EEA.A02.C0915.G0000.1000.A</t>
        </is>
      </c>
      <c r="B131" s="4" t="inlineStr">
        <is>
          <t>3/4</t>
        </is>
      </c>
      <c r="C131" s="3" t="inlineStr">
        <is>
          <t>EDILE</t>
        </is>
      </c>
      <c r="D131" s="4" t="inlineStr">
        <is>
          <t>SPECIALE</t>
        </is>
      </c>
      <c r="E131" s="4" t="inlineStr">
        <is>
          <t>EDILI SPECIALI</t>
        </is>
      </c>
      <c r="F131" s="3" t="inlineStr">
        <is>
          <t>1_2025.11.20_CME REV07.PDF</t>
        </is>
      </c>
      <c r="G131" s="4" t="inlineStr">
        <is>
          <t>132</t>
        </is>
      </c>
      <c r="H131" s="3" t="inlineStr">
        <is>
          <t>30 - STRUTTURALE</t>
        </is>
      </c>
      <c r="I131" s="3" t="inlineStr">
        <is>
          <t>NUOVI LABORATORI</t>
        </is>
      </c>
      <c r="J131" s="3" t="inlineStr">
        <is>
          <t>OPERE IN C.A.</t>
        </is>
      </c>
      <c r="K131" s="3" t="inlineStr">
        <is>
          <t xml:space="preserve">OPERA: STRATO DI MASSETTO DI CEMENTO GENERICO; FUNZIONE: FORMAZIONE PENDENZE; IMPIEGO: LASTRICI; SPESSORE MEDIO [CM] = 6. INCLUSO: IMPASTO. </t>
        </is>
      </c>
      <c r="L131" s="3" t="inlineStr">
        <is>
          <t>OPERA: STRATO DI MASSETTO DI CEMENTO GENERICO; FUNZIONE: FORMAZIONE PENDENZE; IMPIEGO: LASTRICI; SPESSORE MEDIO [CM] = 6. INCLUSO: IMPASTO. 
LAVORO: POSA. 
SPECIFICHE TECNICHE: SUPERFICIE TIRATA A FRATTAZZO FINE. 
COMPONENTI: 
OP1 OPERA: STRATO DI MASSETTO DI CEMENTO GENERICO; FUNZIONE: FORMAZIONE PENDENZE; IMPIEGO: LASTRICI; SPESSORE MEDIO [CM] = 6. INCLUSO: IMPASTO. 
PO2 PRODOTTO SEMILAVORATO: IMPASTO IN OPERA DI CONGLOMERATO CEMENTIZIO; DOSAGGIO [KG/M³] = 250. 
LAVORO: FORMAZIONE CON MEZZO MECCANICO. 
SPECIFICHE TECNICHE: CONFEZIONATO IN CANTIERE. 
LV1 LAVORO: POSA. 
SPECIFICHE TECNICHE: SUPERFICIE TIRATA A FRATTAZZO FINE. 
RP2 POMPA AUTOCARRATA 
SPECIFICHE TECNICHE: PER QUANTITÀ DI CALCESTRUZZO [M³] ≤ 30 ; CRITERIO DI MISURAZIONE: PER METRO CUBO POMPATO DI CALCESTRUZZO</t>
        </is>
      </c>
      <c r="M131" s="4" t="inlineStr">
        <is>
          <t>M²</t>
        </is>
      </c>
      <c r="N131" s="5" t="n">
        <v>106</v>
      </c>
      <c r="O131" s="45" t="n">
        <v>19.75</v>
      </c>
      <c r="P131" s="45" t="n">
        <v>2093.5</v>
      </c>
      <c r="Q131" s="5" t="n"/>
      <c r="R131" s="6" t="n"/>
      <c r="S131" s="6">
        <f>IF(AND(Q131&lt;&gt;"",R131&lt;&gt;""),Q131*R131,"")</f>
        <v/>
      </c>
      <c r="T131" s="45">
        <f>IF(S131="",P131,S131)</f>
        <v/>
      </c>
      <c r="U131" s="7" t="n">
        <v>0</v>
      </c>
      <c r="V131" s="6">
        <f>$T131*U131</f>
        <v/>
      </c>
      <c r="W131" s="7" t="n">
        <v>0</v>
      </c>
      <c r="X131" s="6">
        <f>$T131*W131</f>
        <v/>
      </c>
      <c r="Y131" s="7" t="n">
        <v>0</v>
      </c>
      <c r="Z131" s="6">
        <f>$T131*Y131</f>
        <v/>
      </c>
      <c r="AA131" s="7" t="n">
        <v>0</v>
      </c>
      <c r="AB131" s="6">
        <f>$T131*AA131</f>
        <v/>
      </c>
      <c r="AC131" s="7" t="n">
        <v>0</v>
      </c>
      <c r="AD131" s="6">
        <f>$T131*AC131</f>
        <v/>
      </c>
      <c r="AE131" s="7" t="n">
        <v>0</v>
      </c>
      <c r="AF131" s="6">
        <f>$T131*AE131</f>
        <v/>
      </c>
      <c r="AG131" s="7" t="n">
        <v>0</v>
      </c>
      <c r="AH131" s="6">
        <f>$T131*AG131</f>
        <v/>
      </c>
      <c r="AI131" s="7">
        <f>U131+W131+Y131+AA131+AC131+AE131+AG131</f>
        <v/>
      </c>
      <c r="AJ131" s="6">
        <f>V131+X131+Z131+AB131+AD131+AF131+AH131</f>
        <v/>
      </c>
    </row>
    <row r="132" ht="60" customHeight="1" s="46">
      <c r="A132" s="3" t="inlineStr">
        <is>
          <t>LOM241.OC.EEA.A02.C1515.D0005.0210</t>
        </is>
      </c>
      <c r="B132" s="4" t="inlineStr">
        <is>
          <t>4/5</t>
        </is>
      </c>
      <c r="C132" s="3" t="inlineStr">
        <is>
          <t>EDILE</t>
        </is>
      </c>
      <c r="D132" s="4" t="inlineStr">
        <is>
          <t>SPECIALE</t>
        </is>
      </c>
      <c r="E132" s="4" t="inlineStr">
        <is>
          <t>EDILI SPECIALI</t>
        </is>
      </c>
      <c r="F132" s="3" t="inlineStr">
        <is>
          <t>1_2025.11.20_CME REV07.PDF</t>
        </is>
      </c>
      <c r="G132" s="4" t="inlineStr">
        <is>
          <t>133</t>
        </is>
      </c>
      <c r="H132" s="3" t="inlineStr">
        <is>
          <t>30 - STRUTTURALE</t>
        </is>
      </c>
      <c r="I132" s="3" t="inlineStr">
        <is>
          <t>NUOVI LABORATORI</t>
        </is>
      </c>
      <c r="J132" s="3" t="inlineStr">
        <is>
          <t>OPERE IN C.A.</t>
        </is>
      </c>
      <c r="K132" s="3" t="inlineStr">
        <is>
          <t xml:space="preserve">OPERA: STRATO DI ISOLAMENTO, TERMICO DI PLASTICA POLISTIRENE ESPANSO (EPS); IMPIEGO: COPERTURA PIANA CARRABILE; SPESSORE [MM] = 30. </t>
        </is>
      </c>
      <c r="L132" s="3" t="inlineStr">
        <is>
          <t>OPERA: STRATO DI ISOLAMENTO, TERMICO DI PLASTICA POLISTIRENE ESPANSO (EPS); IMPIEGO: COPERTURA PIANA CARRABILE; SPESSORE [MM] = 30. 
LAVORO: POSA. INCLUSO: TAGLI; SIGILLATURE; ADATTAMENTI; FISSAGGI GENERICI; RACCORDI; ASSISTENZE MURARIE. 
SPECIFICHE TECNICHE: REALIZZATO A TETTO CALDO. 
COMPONENTI: 
OP1 OPERA: STRATO DI ISOLAMENTO, TERMICO DI PLASTICA POLISTIRENE ESPANSO (EPS); IMPIEGO: COPERTURA PIANA CARRABILE; SPESSORE [MM] = 30. 
RM2 LASTRA TERMICO DI PLASTICA POLISTIRENE ESTRUSO (XPS); FINITURA: PELLE SUPERFICIALE LISCIA; GEOMETRIA/FORMA/ASPETTO: PANNELLI | BORDI BATTENTATI/INCASTRO; IMPIEGO: COPERTURE PIANE; SPESSORE [MM] ≤ 40; CONDUTTIVITÀ TERMICA [W/MK] = 0,034 | RESISTENZA A COMPRESSIONE [KPA] = 350 | REAZIONE AL FUOCO [EUROCLASSE] = E 
SPECIFICHE TECNICHE: PRODOTTE CON GAS SENZA CFC E HCFC 
RM2 PREMISCELATO DI CEMENTO GENERICO; FUNZIONE: RASATURA | INCOLLAGGIO; IMPIEGO: SISTEMI DI ISOLAMENTO A CAPPOTTO 
SPECIFICHE TECNICHE: MONOCOMPONENTE 
LV1 LAVORO: POSA. INCLUSO: TAGLI; SIGILLATURE; ADATTAMENTI; FISSAGGI GENERICI; RACCORDI; ASSISTENZE MURARIE. 
SPECIFICHE TECNICHE: REALIZZATO A TETTO CALDO.</t>
        </is>
      </c>
      <c r="M132" s="4" t="inlineStr">
        <is>
          <t>M²</t>
        </is>
      </c>
      <c r="N132" s="5" t="n">
        <v>212</v>
      </c>
      <c r="O132" s="45" t="n">
        <v>5.83</v>
      </c>
      <c r="P132" s="45" t="n">
        <v>1235.96</v>
      </c>
      <c r="Q132" s="5" t="n"/>
      <c r="R132" s="6" t="n"/>
      <c r="S132" s="6">
        <f>IF(AND(Q132&lt;&gt;"",R132&lt;&gt;""),Q132*R132,"")</f>
        <v/>
      </c>
      <c r="T132" s="45">
        <f>IF(S132="",P132,S132)</f>
        <v/>
      </c>
      <c r="U132" s="7" t="n">
        <v>0</v>
      </c>
      <c r="V132" s="6">
        <f>$T132*U132</f>
        <v/>
      </c>
      <c r="W132" s="7" t="n">
        <v>0.75</v>
      </c>
      <c r="X132" s="6">
        <f>$T132*W132</f>
        <v/>
      </c>
      <c r="Y132" s="7" t="n">
        <v>0</v>
      </c>
      <c r="Z132" s="6">
        <f>$T132*Y132</f>
        <v/>
      </c>
      <c r="AA132" s="7" t="n">
        <v>0</v>
      </c>
      <c r="AB132" s="6">
        <f>$T132*AA132</f>
        <v/>
      </c>
      <c r="AC132" s="7" t="n">
        <v>0</v>
      </c>
      <c r="AD132" s="6">
        <f>$T132*AC132</f>
        <v/>
      </c>
      <c r="AE132" s="7" t="n">
        <v>0</v>
      </c>
      <c r="AF132" s="6">
        <f>$T132*AE132</f>
        <v/>
      </c>
      <c r="AG132" s="7" t="n">
        <v>0</v>
      </c>
      <c r="AH132" s="6">
        <f>$T132*AG132</f>
        <v/>
      </c>
      <c r="AI132" s="7">
        <f>U132+W132+Y132+AA132+AC132+AE132+AG132</f>
        <v/>
      </c>
      <c r="AJ132" s="6">
        <f>V132+X132+Z132+AB132+AD132+AF132+AH132</f>
        <v/>
      </c>
    </row>
    <row r="133" hidden="1" ht="60" customHeight="1" s="46">
      <c r="A133" s="3" t="inlineStr">
        <is>
          <t>LOM241.OC.EEA.A02.C0915.G0000.1000.A</t>
        </is>
      </c>
      <c r="B133" s="4" t="inlineStr">
        <is>
          <t>4/4</t>
        </is>
      </c>
      <c r="C133" s="3" t="inlineStr">
        <is>
          <t>EDILE</t>
        </is>
      </c>
      <c r="D133" s="4" t="inlineStr">
        <is>
          <t>SPECIALE</t>
        </is>
      </c>
      <c r="E133" s="4" t="inlineStr">
        <is>
          <t>EDILI SPECIALI</t>
        </is>
      </c>
      <c r="F133" s="3" t="inlineStr">
        <is>
          <t>1_2025.11.20_CME REV07.PDF</t>
        </is>
      </c>
      <c r="G133" s="4" t="inlineStr">
        <is>
          <t>134</t>
        </is>
      </c>
      <c r="H133" s="3" t="inlineStr">
        <is>
          <t>30 - STRUTTURALE</t>
        </is>
      </c>
      <c r="I133" s="3" t="inlineStr">
        <is>
          <t>NUOVI LABORATORI</t>
        </is>
      </c>
      <c r="J133" s="3" t="inlineStr">
        <is>
          <t>OPERE IN C.A.</t>
        </is>
      </c>
      <c r="K133" s="3" t="inlineStr">
        <is>
          <t xml:space="preserve">OPERA: STRATO DI MASSETTO DI CEMENTO GENERICO; FUNZIONE: FORMAZIONE PENDENZE; IMPIEGO: LASTRICI; SPESSORE MEDIO [CM] = 6. INCLUSO: IMPASTO. </t>
        </is>
      </c>
      <c r="L133" s="3" t="inlineStr">
        <is>
          <t>OPERA: STRATO DI MASSETTO DI CEMENTO GENERICO; FUNZIONE: FORMAZIONE PENDENZE; IMPIEGO: LASTRICI; SPESSORE MEDIO [CM] = 6. INCLUSO: IMPASTO. 
LAVORO: POSA. 
SPECIFICHE TECNICHE: SUPERFICIE TIRATA A FRATTAZZO FINE. 
COMPONENTI: 
OP1 OPERA: STRATO DI MASSETTO DI CEMENTO GENERICO; FUNZIONE: FORMAZIONE PENDENZE; IMPIEGO: LASTRICI; SPESSORE MEDIO [CM] = 6. INCLUSO: IMPASTO. 
PO2 PRODOTTO SEMILAVORATO: IMPASTO IN OPERA DI CONGLOMERATO CEMENTIZIO; DOSAGGIO [KG/M³] = 250. 
LAVORO: FORMAZIONE CON MEZZO MECCANICO. 
SPECIFICHE TECNICHE: CONFEZIONATO IN CANTIERE. 
LV1 LAVORO: POSA. 
SPECIFICHE TECNICHE: SUPERFICIE TIRATA A FRATTAZZO FINE. 
RP2 POMPA AUTOCARRATA 
SPECIFICHE TECNICHE: PER QUANTITÀ DI CALCESTRUZZO [M³] ≤ 30 ; CRITERIO DI MISURAZIONE: PER METRO CUBO POMPATO DI CALCESTRUZZO</t>
        </is>
      </c>
      <c r="M133" s="4" t="inlineStr">
        <is>
          <t>M²</t>
        </is>
      </c>
      <c r="N133" s="5" t="n">
        <v>122.5</v>
      </c>
      <c r="O133" s="45" t="n">
        <v>19.75</v>
      </c>
      <c r="P133" s="45" t="n">
        <v>2419.375</v>
      </c>
      <c r="Q133" s="5" t="n"/>
      <c r="R133" s="6" t="n"/>
      <c r="S133" s="6">
        <f>IF(AND(Q133&lt;&gt;"",R133&lt;&gt;""),Q133*R133,"")</f>
        <v/>
      </c>
      <c r="T133" s="45">
        <f>IF(S133="",P133,S133)</f>
        <v/>
      </c>
      <c r="U133" s="7" t="n">
        <v>0</v>
      </c>
      <c r="V133" s="6">
        <f>$T133*U133</f>
        <v/>
      </c>
      <c r="W133" s="7" t="n">
        <v>0</v>
      </c>
      <c r="X133" s="6">
        <f>$T133*W133</f>
        <v/>
      </c>
      <c r="Y133" s="7" t="n">
        <v>0</v>
      </c>
      <c r="Z133" s="6">
        <f>$T133*Y133</f>
        <v/>
      </c>
      <c r="AA133" s="7" t="n">
        <v>0</v>
      </c>
      <c r="AB133" s="6">
        <f>$T133*AA133</f>
        <v/>
      </c>
      <c r="AC133" s="7" t="n">
        <v>0</v>
      </c>
      <c r="AD133" s="6">
        <f>$T133*AC133</f>
        <v/>
      </c>
      <c r="AE133" s="7" t="n">
        <v>0</v>
      </c>
      <c r="AF133" s="6">
        <f>$T133*AE133</f>
        <v/>
      </c>
      <c r="AG133" s="7" t="n">
        <v>0</v>
      </c>
      <c r="AH133" s="6">
        <f>$T133*AG133</f>
        <v/>
      </c>
      <c r="AI133" s="7">
        <f>U133+W133+Y133+AA133+AC133+AE133+AG133</f>
        <v/>
      </c>
      <c r="AJ133" s="6">
        <f>V133+X133+Z133+AB133+AD133+AF133+AH133</f>
        <v/>
      </c>
    </row>
    <row r="134" ht="60" customHeight="1" s="46">
      <c r="A134" s="3" t="inlineStr">
        <is>
          <t>LOM241.OC.EEA.A02.C1515.E0000.0000</t>
        </is>
      </c>
      <c r="B134" s="4" t="inlineStr">
        <is>
          <t>2/2</t>
        </is>
      </c>
      <c r="C134" s="3" t="inlineStr">
        <is>
          <t>EDILE</t>
        </is>
      </c>
      <c r="D134" s="4" t="inlineStr">
        <is>
          <t>SPECIALE</t>
        </is>
      </c>
      <c r="E134" s="4" t="inlineStr">
        <is>
          <t>EDILI SPECIALI</t>
        </is>
      </c>
      <c r="F134" s="3" t="inlineStr">
        <is>
          <t>1_2025.11.20_CME REV07.PDF</t>
        </is>
      </c>
      <c r="G134" s="4" t="inlineStr">
        <is>
          <t>135</t>
        </is>
      </c>
      <c r="H134" s="3" t="inlineStr">
        <is>
          <t>30 - STRUTTURALE</t>
        </is>
      </c>
      <c r="I134" s="3" t="inlineStr">
        <is>
          <t>NUOVI LABORATORI</t>
        </is>
      </c>
      <c r="J134" s="3" t="inlineStr">
        <is>
          <t>OPERE IN C.A.</t>
        </is>
      </c>
      <c r="K134" s="3" t="inlineStr">
        <is>
          <t xml:space="preserve">OPERA: STRATO DI ISOLAMENTO, ACUSTICO DI GOMMA GENERICO; IMPIEGO: SOTTOPAVIMENTI; SPESSORE [MM] = 5. INCLUSO: RACCORDI. </t>
        </is>
      </c>
      <c r="L134" s="3" t="inlineStr">
        <is>
          <t>OPERA: STRATO DI ISOLAMENTO, ACUSTICO DI GOMMA GENERICO; IMPIEGO: SOTTOPAVIMENTI; SPESSORE [MM] = 5. INCLUSO: RACCORDI. 
LAVORO: POSA. INCLUSO: TAGLI; SIGILLATURA; SOVRAPPOSIZIONI; ADATTAMENTI; FISSAGGI; ASSISTENZE MURARIE. 
COMPONENTI: 
OP1 OPERA: STRATO DI ISOLAMENTO, ACUSTICO DI GOMMA GENERICO; IMPIEGO: SOTTOPAVIMENTI; SPESSORE [MM] = 5. INCLUSO: RACCORDI. 
RM2 ROTOLO ACUSTICO DI GOMMA GENERICO; FINITURA: GRANULATA; GEOMETRIA/FORMA/ASPETTO: ROTOLI; FUNZIONE: ISOLAMENTO ACUSTICO; IMPIEGO: SOLAI INTERMEDI; SPESSORE [MM] = 5; DENSITÀ [KG/M³] = 3 
SPECIFICHE TECNICHE: COMPOSTO DA GOMMA GENERICO CON LATTICE PURE E ROCCIA NATURALE PERLITE ESPANSA, APPLICATO SU SUPPORTO IN CARTA POLITENATA 
RM2 ADESIVO DI GESSO GENERICO; GEOMETRIA/FORMA/ASPETTO: POLVERE; FUNZIONE: SIGILLANTE; IMPIEGO: LASTRE 
LV1 LAVORO: POSA. INCLUSO: TAGLI; SIGILLATURA; SOVRAPPOSIZIONI; ADATTAMENTI; FISSAGGI; ASSISTENZE MURARIE.</t>
        </is>
      </c>
      <c r="M134" s="4" t="inlineStr">
        <is>
          <t>M²</t>
        </is>
      </c>
      <c r="N134" s="5" t="n">
        <v>49</v>
      </c>
      <c r="O134" s="45" t="n">
        <v>12.85</v>
      </c>
      <c r="P134" s="45" t="n">
        <v>629.65</v>
      </c>
      <c r="Q134" s="5" t="n"/>
      <c r="R134" s="6" t="n"/>
      <c r="S134" s="6">
        <f>IF(AND(Q134&lt;&gt;"",R134&lt;&gt;""),Q134*R134,"")</f>
        <v/>
      </c>
      <c r="T134" s="45">
        <f>IF(S134="",P134,S134)</f>
        <v/>
      </c>
      <c r="U134" s="7" t="n">
        <v>0</v>
      </c>
      <c r="V134" s="6">
        <f>$T134*U134</f>
        <v/>
      </c>
      <c r="W134" s="7" t="n">
        <v>0.75</v>
      </c>
      <c r="X134" s="6">
        <f>$T134*W134</f>
        <v/>
      </c>
      <c r="Y134" s="7" t="n">
        <v>0</v>
      </c>
      <c r="Z134" s="6">
        <f>$T134*Y134</f>
        <v/>
      </c>
      <c r="AA134" s="7" t="n">
        <v>0</v>
      </c>
      <c r="AB134" s="6">
        <f>$T134*AA134</f>
        <v/>
      </c>
      <c r="AC134" s="7" t="n">
        <v>0</v>
      </c>
      <c r="AD134" s="6">
        <f>$T134*AC134</f>
        <v/>
      </c>
      <c r="AE134" s="7" t="n">
        <v>0</v>
      </c>
      <c r="AF134" s="6">
        <f>$T134*AE134</f>
        <v/>
      </c>
      <c r="AG134" s="7" t="n">
        <v>0</v>
      </c>
      <c r="AH134" s="6">
        <f>$T134*AG134</f>
        <v/>
      </c>
      <c r="AI134" s="7">
        <f>U134+W134+Y134+AA134+AC134+AE134+AG134</f>
        <v/>
      </c>
      <c r="AJ134" s="6">
        <f>V134+X134+Z134+AB134+AD134+AF134+AH134</f>
        <v/>
      </c>
    </row>
    <row r="135" ht="60" customHeight="1" s="46">
      <c r="A135" s="3" t="inlineStr">
        <is>
          <t>LOM241.OC.EEA.A02.C1515.D0005.0210</t>
        </is>
      </c>
      <c r="B135" s="4" t="inlineStr">
        <is>
          <t>5/5</t>
        </is>
      </c>
      <c r="C135" s="3" t="inlineStr">
        <is>
          <t>EDILE</t>
        </is>
      </c>
      <c r="D135" s="4" t="inlineStr">
        <is>
          <t>SPECIALE</t>
        </is>
      </c>
      <c r="E135" s="4" t="inlineStr">
        <is>
          <t>EDILI SPECIALI</t>
        </is>
      </c>
      <c r="F135" s="3" t="inlineStr">
        <is>
          <t>1_2025.11.20_CME REV07.PDF</t>
        </is>
      </c>
      <c r="G135" s="4" t="inlineStr">
        <is>
          <t>136</t>
        </is>
      </c>
      <c r="H135" s="3" t="inlineStr">
        <is>
          <t>30 - STRUTTURALE</t>
        </is>
      </c>
      <c r="I135" s="3" t="inlineStr">
        <is>
          <t>NUOVI LABORATORI</t>
        </is>
      </c>
      <c r="J135" s="3" t="inlineStr">
        <is>
          <t>OPERE IN C.A.</t>
        </is>
      </c>
      <c r="K135" s="3" t="inlineStr">
        <is>
          <t xml:space="preserve">OPERA: STRATO DI ISOLAMENTO, TERMICO DI PLASTICA POLISTIRENE ESPANSO (EPS); IMPIEGO: COPERTURA PIANA CARRABILE; SPESSORE [MM] = 30. </t>
        </is>
      </c>
      <c r="L135" s="3" t="inlineStr">
        <is>
          <t>OPERA: STRATO DI ISOLAMENTO, TERMICO DI PLASTICA POLISTIRENE ESPANSO (EPS); IMPIEGO: COPERTURA PIANA CARRABILE; SPESSORE [MM] = 30. 
LAVORO: POSA. INCLUSO: TAGLI; SIGILLATURE; ADATTAMENTI; FISSAGGI GENERICI; RACCORDI; ASSISTENZE MURARIE. 
SPECIFICHE TECNICHE: REALIZZATO A TETTO CALDO. 
COMPONENTI: 
OP1 OPERA: STRATO DI ISOLAMENTO, TERMICO DI PLASTICA POLISTIRENE ESPANSO (EPS); IMPIEGO: COPERTURA PIANA CARRABILE; SPESSORE [MM] = 30. 
RM2 LASTRA TERMICO DI PLASTICA POLISTIRENE ESTRUSO (XPS); FINITURA: PELLE SUPERFICIALE LISCIA; GEOMETRIA/FORMA/ASPETTO: PANNELLI | BORDI BATTENTATI/INCASTRO; IMPIEGO: COPERTURE PIANE; SPESSORE [MM] ≤ 40; CONDUTTIVITÀ TERMICA [W/MK] = 0,034 | RESISTENZA A COMPRESSIONE [KPA] = 350 | REAZIONE AL FUOCO [EUROCLASSE] = E 
SPECIFICHE TECNICHE: PRODOTTE CON GAS SENZA CFC E HCFC 
RM2 PREMISCELATO DI CEMENTO GENERICO; FUNZIONE: RASATURA | INCOLLAGGIO; IMPIEGO: SISTEMI DI ISOLAMENTO A CAPPOTTO 
SPECIFICHE TECNICHE: MONOCOMPONENTE 
LV1 LAVORO: POSA. INCLUSO: TAGLI; SIGILLATURE; ADATTAMENTI; FISSAGGI GENERICI; RACCORDI; ASSISTENZE MURARIE. 
SPECIFICHE TECNICHE: REALIZZATO A TETTO CALDO.</t>
        </is>
      </c>
      <c r="M135" s="4" t="inlineStr">
        <is>
          <t>M²</t>
        </is>
      </c>
      <c r="N135" s="5" t="n">
        <v>1352.2</v>
      </c>
      <c r="O135" s="45" t="n">
        <v>5.83</v>
      </c>
      <c r="P135" s="45" t="n">
        <v>7883.326</v>
      </c>
      <c r="Q135" s="5" t="n"/>
      <c r="R135" s="6" t="n"/>
      <c r="S135" s="6">
        <f>IF(AND(Q135&lt;&gt;"",R135&lt;&gt;""),Q135*R135,"")</f>
        <v/>
      </c>
      <c r="T135" s="45">
        <f>IF(S135="",P135,S135)</f>
        <v/>
      </c>
      <c r="U135" s="7" t="n">
        <v>0</v>
      </c>
      <c r="V135" s="6">
        <f>$T135*U135</f>
        <v/>
      </c>
      <c r="W135" s="7" t="n">
        <v>0.75</v>
      </c>
      <c r="X135" s="6">
        <f>$T135*W135</f>
        <v/>
      </c>
      <c r="Y135" s="7" t="n">
        <v>0</v>
      </c>
      <c r="Z135" s="6">
        <f>$T135*Y135</f>
        <v/>
      </c>
      <c r="AA135" s="7" t="n">
        <v>0</v>
      </c>
      <c r="AB135" s="6">
        <f>$T135*AA135</f>
        <v/>
      </c>
      <c r="AC135" s="7" t="n">
        <v>0</v>
      </c>
      <c r="AD135" s="6">
        <f>$T135*AC135</f>
        <v/>
      </c>
      <c r="AE135" s="7" t="n">
        <v>0</v>
      </c>
      <c r="AF135" s="6">
        <f>$T135*AE135</f>
        <v/>
      </c>
      <c r="AG135" s="7" t="n">
        <v>0</v>
      </c>
      <c r="AH135" s="6">
        <f>$T135*AG135</f>
        <v/>
      </c>
      <c r="AI135" s="7">
        <f>U135+W135+Y135+AA135+AC135+AE135+AG135</f>
        <v/>
      </c>
      <c r="AJ135" s="6">
        <f>V135+X135+Z135+AB135+AD135+AF135+AH135</f>
        <v/>
      </c>
    </row>
    <row r="136" hidden="1" ht="60" customHeight="1" s="46">
      <c r="A136" s="3" t="inlineStr">
        <is>
          <t>LOM241.OC.EEA.A02.C1206.L0005.0260</t>
        </is>
      </c>
      <c r="B136" s="4" t="inlineStr">
        <is>
          <t>2/2</t>
        </is>
      </c>
      <c r="C136" s="3" t="inlineStr">
        <is>
          <t>EDILE</t>
        </is>
      </c>
      <c r="D136" s="4" t="inlineStr">
        <is>
          <t>SPECIALE</t>
        </is>
      </c>
      <c r="E136" s="4" t="inlineStr">
        <is>
          <t>EDILI SPECIALI</t>
        </is>
      </c>
      <c r="F136" s="3" t="inlineStr">
        <is>
          <t>1_2025.11.20_CME REV07.PDF</t>
        </is>
      </c>
      <c r="G136" s="4" t="inlineStr">
        <is>
          <t>138</t>
        </is>
      </c>
      <c r="H136" s="3" t="inlineStr">
        <is>
          <t>30 - STRUTTURALE</t>
        </is>
      </c>
      <c r="I136" s="3" t="inlineStr">
        <is>
          <t>NUOVI LABORATORI</t>
        </is>
      </c>
      <c r="J136" s="3" t="inlineStr">
        <is>
          <t>OPERE IN C.A.</t>
        </is>
      </c>
      <c r="K136" s="3" t="inlineStr">
        <is>
          <t xml:space="preserve">OPERA: STRATO DI PAVIMENTAZIONE, PIASTRELLE DI CERAMICA GRES PORCELLANATO; FINITURA: SMALTATA | COLORI CHIARI. </t>
        </is>
      </c>
      <c r="L136" s="3" t="inlineStr">
        <is>
          <t>OPERA: STRATO DI PAVIMENTAZIONE, PIASTRELLE DI CERAMICA GRES PORCELLANATO; FINITURA: SMALTATA | COLORI CHIARI. 
LAVORO: POSA. INCLUSO: ASSISTENZE MURARIE. ESCLUSO: SOTTOFONDO, PREPARAZIONE MASSETTO. 
SPECIFICHE TECNICHE: POSATO CON BOIACCA DI PURO CEMENTO SU LETTO DI MALTA DI LEGANTE IDRAULICO, O INCOLLATO SU IDONEO SOTTOFONDO. 
COMPONENTI: 
OP1 OPERA: STRATO DI PAVIMENTAZIONE, PIASTRELLE DI CERAMICA GRES PORCELLANATO; FINITURA: SMALTATA | COLORI CHIARI. 
RM2 PIASTRELLA PER PAVIMENTO DI CERAMICA GRES PORCELLANATO; FINITURA: SMALTATA | CHIARA; IMPIEGO: INTERNO; DIMENSIONE (X) [CM] = 30 | DIMENSIONE (Y) [CM] = 30 | SPESSORE [CM] = 0,8 ÷ 1 
PO2 PRODOTTO SEMILAVORATO: MALTA IN CEMENTO GENERICO. 
LAVORO: FORMAZIONEIN CON MEZZO MECCANICO. 
SPECIFICHE TECNICHE: CONFEZIONATA IN BETONIERA; 300 KG DI CEMENTO PER M³. 
LV1 LAVORO: POSA. INCLUSO: ASSISTENZE MURARIE. ESCLUSO: SOTTOFONDO, PREPARAZIONE MASSETTO. 
SPECIFICHE TECNICHE: POSATO CON BOIACCA DI PURO CEMENTO SU LETTO DI MALTA DI LEGANTE IDRAULICO, O INCOLLATO SU IDONEO SOTTOFONDO.</t>
        </is>
      </c>
      <c r="M136" s="4" t="inlineStr">
        <is>
          <t>M²</t>
        </is>
      </c>
      <c r="N136" s="5" t="n">
        <v>49</v>
      </c>
      <c r="O136" s="45" t="n">
        <v>53.49</v>
      </c>
      <c r="P136" s="45" t="n">
        <v>2621.01</v>
      </c>
      <c r="Q136" s="5" t="n"/>
      <c r="R136" s="6" t="n"/>
      <c r="S136" s="6">
        <f>IF(AND(Q136&lt;&gt;"",R136&lt;&gt;""),Q136*R136,"")</f>
        <v/>
      </c>
      <c r="T136" s="45">
        <f>IF(S136="",P136,S136)</f>
        <v/>
      </c>
      <c r="U136" s="7" t="n">
        <v>0</v>
      </c>
      <c r="V136" s="6">
        <f>$T136*U136</f>
        <v/>
      </c>
      <c r="W136" s="7" t="n">
        <v>0</v>
      </c>
      <c r="X136" s="6">
        <f>$T136*W136</f>
        <v/>
      </c>
      <c r="Y136" s="7" t="n">
        <v>0</v>
      </c>
      <c r="Z136" s="6">
        <f>$T136*Y136</f>
        <v/>
      </c>
      <c r="AA136" s="7" t="n">
        <v>0</v>
      </c>
      <c r="AB136" s="6">
        <f>$T136*AA136</f>
        <v/>
      </c>
      <c r="AC136" s="7" t="n">
        <v>0</v>
      </c>
      <c r="AD136" s="6">
        <f>$T136*AC136</f>
        <v/>
      </c>
      <c r="AE136" s="7" t="n">
        <v>0</v>
      </c>
      <c r="AF136" s="6">
        <f>$T136*AE136</f>
        <v/>
      </c>
      <c r="AG136" s="7" t="n">
        <v>0</v>
      </c>
      <c r="AH136" s="6">
        <f>$T136*AG136</f>
        <v/>
      </c>
      <c r="AI136" s="7">
        <f>U136+W136+Y136+AA136+AC136+AE136+AG136</f>
        <v/>
      </c>
      <c r="AJ136" s="6">
        <f>V136+X136+Z136+AB136+AD136+AF136+AH136</f>
        <v/>
      </c>
    </row>
    <row r="137" hidden="1" ht="60" customHeight="1" s="46">
      <c r="A137" s="3" t="inlineStr">
        <is>
          <t>LOM241.OC.EEA.A02.C1240.L0005.0000.B</t>
        </is>
      </c>
      <c r="B137" s="4" t="inlineStr">
        <is>
          <t>2/2</t>
        </is>
      </c>
      <c r="C137" s="3" t="inlineStr">
        <is>
          <t>EDILE</t>
        </is>
      </c>
      <c r="D137" s="4" t="inlineStr">
        <is>
          <t>SPECIALE</t>
        </is>
      </c>
      <c r="E137" s="4" t="inlineStr">
        <is>
          <t>EDILI SPECIALI</t>
        </is>
      </c>
      <c r="F137" s="3" t="inlineStr">
        <is>
          <t>1_2025.11.20_CME REV07.PDF</t>
        </is>
      </c>
      <c r="G137" s="4" t="inlineStr">
        <is>
          <t>141</t>
        </is>
      </c>
      <c r="H137" s="3" t="inlineStr">
        <is>
          <t>30 - STRUTTURALE</t>
        </is>
      </c>
      <c r="I137" s="3" t="inlineStr">
        <is>
          <t>NUOVI LABORATORI</t>
        </is>
      </c>
      <c r="J137" s="3" t="inlineStr">
        <is>
          <t>OPERE IN C.A.</t>
        </is>
      </c>
      <c r="K137" s="3" t="inlineStr">
        <is>
          <t xml:space="preserve">OPERA: STRATO DI ZOCCOLATURA DI CERAMICA GRES PORCELLANATO; IMPIEGO: STRATO DI PAVIMENTAZIONE. </t>
        </is>
      </c>
      <c r="L137" s="3" t="inlineStr">
        <is>
          <t>OPERA: STRATO DI ZOCCOLATURA DI CERAMICA GRES PORCELLANATO; IMPIEGO: STRATO DI PAVIMENTAZIONE. 
LAVORO: POSA. INCLUSO: ASSISTENZE MURARIE. 
COMPONENTI: 
OP1 OPERA: STRATO DI ZOCCOLATURA DI CERAMICA GRES PORCELLANATO; IMPIEGO: STRATO DI PAVIMENTAZIONE. 
RM2 ZOCCOLINO DI CERAMICA GRES PORCELLANATO; GEOMETRIA/FORMA/ASPETTO: CON GOLA; IMPIEGO: BATTISCOPA; ALTEZZA [CM] = 10 
PO2 PRODOTTO SEMILAVORATO: MALTA, BASTARDA IN CEMENTO GENERICO. 
LAVORO: FORMAZIONE, CON MEZZO MECCANICO. 
SPECIFICHE TECNICHE: CONFEZIONATA IN BETONIERA; DOSAGGIO PER M³: CEMENTO [KG] = 100 | CALCE EMINENTEMENTE IDRAULICA [KG] = 350. 
LV1 LAVORO: POSA. INCLUSO: ASSISTENZE MURARIE.</t>
        </is>
      </c>
      <c r="M137" s="4" t="inlineStr">
        <is>
          <t>M</t>
        </is>
      </c>
      <c r="N137" s="5" t="n">
        <v>61.25</v>
      </c>
      <c r="O137" s="45" t="n">
        <v>16.46</v>
      </c>
      <c r="P137" s="45" t="n">
        <v>1008.175</v>
      </c>
      <c r="Q137" s="5" t="n"/>
      <c r="R137" s="6" t="n"/>
      <c r="S137" s="6">
        <f>IF(AND(Q137&lt;&gt;"",R137&lt;&gt;""),Q137*R137,"")</f>
        <v/>
      </c>
      <c r="T137" s="45">
        <f>IF(S137="",P137,S137)</f>
        <v/>
      </c>
      <c r="U137" s="7" t="n">
        <v>0</v>
      </c>
      <c r="V137" s="6">
        <f>$T137*U137</f>
        <v/>
      </c>
      <c r="W137" s="7" t="n">
        <v>0</v>
      </c>
      <c r="X137" s="6">
        <f>$T137*W137</f>
        <v/>
      </c>
      <c r="Y137" s="7" t="n">
        <v>0</v>
      </c>
      <c r="Z137" s="6">
        <f>$T137*Y137</f>
        <v/>
      </c>
      <c r="AA137" s="7" t="n">
        <v>0</v>
      </c>
      <c r="AB137" s="6">
        <f>$T137*AA137</f>
        <v/>
      </c>
      <c r="AC137" s="7" t="n">
        <v>0</v>
      </c>
      <c r="AD137" s="6">
        <f>$T137*AC137</f>
        <v/>
      </c>
      <c r="AE137" s="7" t="n">
        <v>0</v>
      </c>
      <c r="AF137" s="6">
        <f>$T137*AE137</f>
        <v/>
      </c>
      <c r="AG137" s="7" t="n">
        <v>0</v>
      </c>
      <c r="AH137" s="6">
        <f>$T137*AG137</f>
        <v/>
      </c>
      <c r="AI137" s="7">
        <f>U137+W137+Y137+AA137+AC137+AE137+AG137</f>
        <v/>
      </c>
      <c r="AJ137" s="6">
        <f>V137+X137+Z137+AB137+AD137+AF137+AH137</f>
        <v/>
      </c>
    </row>
    <row r="138" ht="60" customHeight="1" s="46">
      <c r="A138" s="3" t="inlineStr">
        <is>
          <t>LOM241.OC.EEA.A02.C1220.CA017.0000</t>
        </is>
      </c>
      <c r="B138" s="4" t="inlineStr">
        <is>
          <t>2/2</t>
        </is>
      </c>
      <c r="C138" s="3" t="inlineStr">
        <is>
          <t>EDILE</t>
        </is>
      </c>
      <c r="D138" s="4" t="inlineStr">
        <is>
          <t>SPECIALE</t>
        </is>
      </c>
      <c r="E138" s="4" t="inlineStr">
        <is>
          <t>EDILI SPECIALI</t>
        </is>
      </c>
      <c r="F138" s="3" t="inlineStr">
        <is>
          <t>1_2025.11.20_CME REV07.PDF</t>
        </is>
      </c>
      <c r="G138" s="4" t="inlineStr">
        <is>
          <t>143</t>
        </is>
      </c>
      <c r="H138" s="3" t="inlineStr">
        <is>
          <t>30 - STRUTTURALE</t>
        </is>
      </c>
      <c r="I138" s="3" t="inlineStr">
        <is>
          <t>NUOVI LABORATORI</t>
        </is>
      </c>
      <c r="J138" s="3" t="inlineStr">
        <is>
          <t>OPERE IN C.A.</t>
        </is>
      </c>
      <c r="K138" s="3" t="inlineStr">
        <is>
          <t>OPERA: STRATO DI RIVESTIMENTO, PIASTRELLE DI RESINA SINTETICA POLIVINILCLORURO (PVC); FINITURA: NON RIFLETTENTE | GOFFRATA; GEOMETRIA/FORMA: QUADRATA; LATO (X) [CM] = 32 | LATO (Y) [CM] = 32 | SPESSOR</t>
        </is>
      </c>
      <c r="L138" s="3" t="inlineStr">
        <is>
          <t>OPERA: STRATO DI RIVESTIMENTO, PIASTRELLE DI RESINA SINTETICA POLIVINILCLORURO (PVC); FINITURA: NON RIFLETTENTE | GOFFRATA; GEOMETRIA/FORMA: QUADRATA; LATO (X) [CM] = 32 | LATO (Y) [CM] = 32 | SPESSORE [MM] = 3. 
LAVORO: POSA. INCLUSO: LISCIATURA FONDO; ASSISTENZE MURARIE; POSA GIUNTI ACCOSTATI E STUCCATI. 
COMPONENTI: 
OP1 OPERA: STRATO DI RIVESTIMENTO, PIASTRELLE DI RESINA SINTETICA POLIVINILCLORURO (PVC); FINITURA: NON RIFLETTENTE | GOFFRATA; GEOMETRIA/FORMA: QUADRATA; LATO (X) [CM] = 32 | LATO (Y) [CM] = 32 | SPESSORE [MM] = 3. 
RM2 PIASTRELLA PER RIVESTIMENTO DI PLASTICA POLIVINCLORURO PLASTIFICATO (PVC); IMPIEGO: INTERNO; DIMENSIONE (X) [CM] = 32 | DIMENSIONE (Y) [CM] = 32 | SPESSORE [MM] = 3 
SPECIFICHE TECNICHE: PLASTICA POLIVINCLORURO PLASTIFICATO (PVC) RINFORZATO E STABILIZZATO DA DOPPIA FIBRA DI VETRO, MINERALI E PIGMENTI, A BORDI BISELLATI E SMUSSATI 
RM2 ADESIVO DI RESINA SINTETICA ACRILICA; FUNZIONE: INCOLLAGGIO; IMPIEGO: RIVESTIMENTI MURALI IN PVC | RIVESTIMENTI MURALI IN PVC ESPANSO | RIVESTIMENTI DI SUGHERO CON SUPPORTO IN PVC 
SPECIFICHE TECNICHE: IN DISPERSIONE ACQUOSA 
RM2 SIGILLANTE POLIURETANICO AUTOLIVELLANTE DI RESINA SINTETICA GENERICO; GEOMETRIA/FORMA: BICOMPONENTE; IMPIEGO: GIUNTI ORIZZONTALI; ALLUNGAMENTO ESERCIZIO [%] &lt; 5 
SPECIFICHE TECNICHE: APPLICAZIONE A COLATURA 
RM2 FONDO BASE DI RESINA SINTETICA ACRILICA; FUNZIONE: PREPARATORE; IMPIEGO: RIVESTIMENTI PLASTICI | PITTURE; PESO SPECIFICO [KG/L] = 1 
SPECIFICHE TECNICHE: FONDI BASE PER RIVESTIMENTI PLASTICI E PITTURE MURALI; ACRILICO ALL'ACQUA 
LV1 LAVORO: POSA. INCLUSO: LISCIATURA FONDO; ASSISTENZE MURARIE; POSA GIUNTI ACCOSTATI E STUCCATI.</t>
        </is>
      </c>
      <c r="M138" s="4" t="inlineStr">
        <is>
          <t>M²</t>
        </is>
      </c>
      <c r="N138" s="5" t="n">
        <v>279.81</v>
      </c>
      <c r="O138" s="45" t="n">
        <v>35.27</v>
      </c>
      <c r="P138" s="45" t="n">
        <v>9868.8987</v>
      </c>
      <c r="Q138" s="5" t="n"/>
      <c r="R138" s="6" t="n"/>
      <c r="S138" s="6">
        <f>IF(AND(Q138&lt;&gt;"",R138&lt;&gt;""),Q138*R138,"")</f>
        <v/>
      </c>
      <c r="T138" s="45">
        <f>IF(S138="",P138,S138)</f>
        <v/>
      </c>
      <c r="U138" s="7" t="n">
        <v>0</v>
      </c>
      <c r="V138" s="6">
        <f>$T138*U138</f>
        <v/>
      </c>
      <c r="W138" s="7" t="n">
        <v>0.4</v>
      </c>
      <c r="X138" s="6">
        <f>$T138*W138</f>
        <v/>
      </c>
      <c r="Y138" s="7" t="n">
        <v>0</v>
      </c>
      <c r="Z138" s="6">
        <f>$T138*Y138</f>
        <v/>
      </c>
      <c r="AA138" s="7" t="n">
        <v>0</v>
      </c>
      <c r="AB138" s="6">
        <f>$T138*AA138</f>
        <v/>
      </c>
      <c r="AC138" s="7" t="n">
        <v>0</v>
      </c>
      <c r="AD138" s="6">
        <f>$T138*AC138</f>
        <v/>
      </c>
      <c r="AE138" s="7" t="n">
        <v>0</v>
      </c>
      <c r="AF138" s="6">
        <f>$T138*AE138</f>
        <v/>
      </c>
      <c r="AG138" s="7" t="n">
        <v>0</v>
      </c>
      <c r="AH138" s="6">
        <f>$T138*AG138</f>
        <v/>
      </c>
      <c r="AI138" s="7">
        <f>U138+W138+Y138+AA138+AC138+AE138+AG138</f>
        <v/>
      </c>
      <c r="AJ138" s="6">
        <f>V138+X138+Z138+AB138+AD138+AF138+AH138</f>
        <v/>
      </c>
    </row>
    <row r="139" hidden="1" ht="60" customHeight="1" s="46">
      <c r="A139" s="3" t="inlineStr">
        <is>
          <t>LOM241.OC.EEA.A02.C1220.L0005.0010</t>
        </is>
      </c>
      <c r="B139" s="4" t="inlineStr">
        <is>
          <t>1/1</t>
        </is>
      </c>
      <c r="C139" s="3" t="inlineStr">
        <is>
          <t>EDILE</t>
        </is>
      </c>
      <c r="D139" s="4" t="inlineStr">
        <is>
          <t>SPECIALE</t>
        </is>
      </c>
      <c r="E139" s="4" t="inlineStr">
        <is>
          <t>EDILI SPECIALI</t>
        </is>
      </c>
      <c r="F139" s="3" t="inlineStr">
        <is>
          <t>1_2025.11.20_CME REV07.PDF</t>
        </is>
      </c>
      <c r="G139" s="4" t="inlineStr">
        <is>
          <t>144</t>
        </is>
      </c>
      <c r="H139" s="3" t="inlineStr">
        <is>
          <t>30 - STRUTTURALE</t>
        </is>
      </c>
      <c r="I139" s="3" t="inlineStr">
        <is>
          <t>NUOVI LABORATORI</t>
        </is>
      </c>
      <c r="J139" s="3" t="inlineStr">
        <is>
          <t>OPERE IN C.A.</t>
        </is>
      </c>
      <c r="K139" s="3" t="inlineStr">
        <is>
          <t xml:space="preserve">OPERA: STRATO DI RIVESTIMENTO, PIASTRELLE DI CERAMICA GRES PORCELLANATO; FINITURA: LISCIA | COLORE CHIARO; GEOMETRIA/FORMA/ASPETTO: QUADRATA; LATO (X) [CM] = 20 | LATO (Y) [CM] = 20 | SPESSORE [MM] = </t>
        </is>
      </c>
      <c r="L139" s="3" t="inlineStr">
        <is>
          <t>OPERA: STRATO DI RIVESTIMENTO, PIASTRELLE DI CERAMICA GRES PORCELLANATO; FINITURA: LISCIA | COLORE CHIARO; GEOMETRIA/FORMA/ASPETTO: QUADRATA; LATO (X) [CM] = 20 | LATO (Y) [CM] = 20 | SPESSORE [MM] = 8 ÷ 10. INCLUSO: PEZZI SPECIALI. 
LAVORO: POSA. INCLUSO: STUCCATURA GIUNTI CON CEMENTO; PULITURA; ASSISTENZE MURARIE. 
SPECIFICHE TECNICHE: POSA SU IDONEO INTONACO. 
COMPONENTI: 
OP1 OPERA: STRATO DI RIVESTIMENTO, PIASTRELLE DI CERAMICA GRES PORCELLANATO; FINITURA: LISCIA | COLORE CHIARO; GEOMETRIA/FORMA/ASPETTO: QUADRATA; LATO (X) [CM] = 20 | LATO (Y) [CM] = 20 | SPESSORE [MM] = 8 ÷ 10. INCLUSO: PEZZI SPECIALI. 
RM2 PIASTRELLA PER PAVIMENTO DI CERAMICA GRES PORCELLANATO; FINITURA: LISCIA | CHIARA; IMPIEGO: INTERNO; DIMENSIONE (X) [CM] = 20 | DIMENSIONE (Y) [CM] = 20 | SPESSORE [CM] = 0,8 ÷ 1 
RM2 COLLANTE DI CEMENTO GENERICO; FUNZIONE: INSTALLAZIONE; IMPIEGO: RIVESTIMENTI; FORNITURA: IN POLVERE 
SPECIFICHE TECNICHE: AD ELEVATE PRESTAZIONI; COSTITUITO DA CEMENTI AD ALTA RESISTENZA, RESINE RIDISPERDIBILI, INERTI SELEZIONATI E ADDITIVI  
RM2 LEGANTE IDRAULICO DI CEMENTO BIANCO; GEOMETRIA/FORMA/ASPETTO: SFUSO | TIPO ELEVATA RESISTENZA 32.5R; FORNITURA: SACCHI 
SPECIFICHE TECNICHE: SACCHI DA 25KG 
LV1 LAVORO: POSA. INCLUSO: STUCCATURA GIUNTI CON CEMENTO; PULITURA; ASSISTENZE MURARIE. 
SPECIFICHE TECNICHE: POSA SU IDONEO INTONACO.</t>
        </is>
      </c>
      <c r="M139" s="4" t="inlineStr">
        <is>
          <t>M²</t>
        </is>
      </c>
      <c r="N139" s="5" t="n">
        <v>24.15</v>
      </c>
      <c r="O139" s="45" t="n">
        <v>48.79</v>
      </c>
      <c r="P139" s="45" t="n">
        <v>1178.2785</v>
      </c>
      <c r="Q139" s="5" t="n"/>
      <c r="R139" s="6" t="n"/>
      <c r="S139" s="6">
        <f>IF(AND(Q139&lt;&gt;"",R139&lt;&gt;""),Q139*R139,"")</f>
        <v/>
      </c>
      <c r="T139" s="45">
        <f>IF(S139="",P139,S139)</f>
        <v/>
      </c>
      <c r="U139" s="7" t="n">
        <v>0</v>
      </c>
      <c r="V139" s="6">
        <f>$T139*U139</f>
        <v/>
      </c>
      <c r="W139" s="7" t="n">
        <v>0</v>
      </c>
      <c r="X139" s="6">
        <f>$T139*W139</f>
        <v/>
      </c>
      <c r="Y139" s="7" t="n">
        <v>0</v>
      </c>
      <c r="Z139" s="6">
        <f>$T139*Y139</f>
        <v/>
      </c>
      <c r="AA139" s="7" t="n">
        <v>0</v>
      </c>
      <c r="AB139" s="6">
        <f>$T139*AA139</f>
        <v/>
      </c>
      <c r="AC139" s="7" t="n">
        <v>0</v>
      </c>
      <c r="AD139" s="6">
        <f>$T139*AC139</f>
        <v/>
      </c>
      <c r="AE139" s="7" t="n">
        <v>0</v>
      </c>
      <c r="AF139" s="6">
        <f>$T139*AE139</f>
        <v/>
      </c>
      <c r="AG139" s="7" t="n">
        <v>0</v>
      </c>
      <c r="AH139" s="6">
        <f>$T139*AG139</f>
        <v/>
      </c>
      <c r="AI139" s="7">
        <f>U139+W139+Y139+AA139+AC139+AE139+AG139</f>
        <v/>
      </c>
      <c r="AJ139" s="6">
        <f>V139+X139+Z139+AB139+AD139+AF139+AH139</f>
        <v/>
      </c>
    </row>
    <row r="140" ht="60" customHeight="1" s="46">
      <c r="A140" s="3" t="inlineStr">
        <is>
          <t>LOM241.OC.EEA.A02.C1210.OD000.0005</t>
        </is>
      </c>
      <c r="B140" s="4" t="inlineStr">
        <is>
          <t>2/2</t>
        </is>
      </c>
      <c r="C140" s="3" t="inlineStr">
        <is>
          <t>EDILE</t>
        </is>
      </c>
      <c r="D140" s="4" t="inlineStr">
        <is>
          <t>SPECIALE</t>
        </is>
      </c>
      <c r="E140" s="4" t="inlineStr">
        <is>
          <t>EDILI SPECIALI</t>
        </is>
      </c>
      <c r="F140" s="3" t="inlineStr">
        <is>
          <t>1_2025.11.20_CME REV07.PDF</t>
        </is>
      </c>
      <c r="G140" s="4" t="inlineStr">
        <is>
          <t>145</t>
        </is>
      </c>
      <c r="H140" s="3" t="inlineStr">
        <is>
          <t>30 - STRUTTURALE</t>
        </is>
      </c>
      <c r="I140" s="3" t="inlineStr">
        <is>
          <t>NUOVI LABORATORI</t>
        </is>
      </c>
      <c r="J140" s="3" t="inlineStr">
        <is>
          <t>OPERE IN C.A.</t>
        </is>
      </c>
      <c r="K140" s="3" t="inlineStr">
        <is>
          <t>OPERA: SISTEMA DI CONTROSOFFITTATURA, LASTRA DI FIBRA MINERALE GENERICO; FINITURA: COLORE BIANCO | SUPERFICIE DECORATA FESSURATA; GEOMETRIA/FORMA/ASPETTO: ORDITURA SEMINASCOSTA | BORDI DISEGNATI; DIME</t>
        </is>
      </c>
      <c r="L140" s="3" t="inlineStr">
        <is>
          <t>OPERA: SISTEMA DI CONTROSOFFITTATURA, LASTRA DI FIBRA MINERALE GENERICO; FINITURA: COLORE BIANCO | SUPERFICIE DECORATA FESSURATA; GEOMETRIA/FORMA/ASPETTO: ORDITURA SEMINASCOSTA | BORDI DISEGNATI; DIMENSIONE (X) [MM] = 600 | DIMENSIONE (Y) [MM] = 600. INCLUSO: CORNICE PERIMETRALE DI FINITURA. 
LAVORO: POSA. INCLUSO: PULIZIA FINALE; ALLONTAMENTO DEI MATERIALI DI RISULTA; ASSISTENZE MURARIE. 
SPECIFICHE TECNICHE: ORDITURA CON PROFILI PORTANTI, INTERMEDI E ACCESSORI DI SOSPENSIONE. 
COMPONENTI: 
OP1 OPERA: SISTEMA DI CONTROSOFFITTATURA, LASTRA DI FIBRA MINERALE GENERICO; FINITURA: COLORE BIANCO | SUPERFICIE DECORATA FESSURATA; GEOMETRIA/FORMA/ASPETTO: ORDITURA SEMINASCOSTA | BORDI DISEGNATI; DIMENSIONE (X) [MM] = 600 | DIMENSIONE (Y) [MM] = 600. INCLUSO: CORNICE PERIMETRALE DI FINITURA. 
SPECIFICHE TECNICHE: ORDITURA CON PROFILI PORTANTI, INTERMEDI E ACCESSORI DI SOSPENSIONE. 
RM2 LASTRA ACUSTICO DI FIBRA MINERALE GENERICO; FINITURA: COLORE BIANCO; GEOMETRIA/FORMA/ASPETTO: PANNELLI A BORDI RISEGATI; IMPIEGO: CONTROSOFFITTI; SPESSORE [MM] = 15 ÷ 17 | LUNGHEZZA [MM] = 600 | LARGHEZZA [MM] = 600 
SPECIFICHE TECNICHE: A DECORO FESSURATO 
RM2 ORDITURA DI LEGA FERROSA ACCIAIO ZINCATO; FINITURA: COLORE BIANCO; IMPIEGO: CONTROSOFFITTI. INCLUSO: PENDINI; ACCESSORI 
SPECIFICHE TECNICHE: PER CONTROSOFFITTO CON MODULO [MM] = 600 X 1200 
RM2 TASSELLO DI PLASTICA POLIAMMIDE - NYLON (PA); IMPIEGO: CONTROSOFFITTI; DIAMETRO ESTERNO (Ø) [MM] = 6 | LUNGHEZZA [MM] = 40 
RM2 PROFILO PERIMETRALE DI LEGA FERROSA ACCIAIO GENERICO; GEOMETRIA/FORMA/ASPETTO: A FORMA DI "L"; IMPIEGO: ORDITURE CONTROSOFFITTI; DIMENSIONE (X) [MM] = 19 | DIMENSIONE (Y) [MM] = 24 
LV1 LAVORO: POSA. INCLUSO: PULIZIA FINALE; ALLONTAMENTO DEI MATERIALI DI RISULTA; ASSISTENZE MURARIE.</t>
        </is>
      </c>
      <c r="M140" s="4" t="inlineStr">
        <is>
          <t>M²</t>
        </is>
      </c>
      <c r="N140" s="5" t="n">
        <v>313</v>
      </c>
      <c r="O140" s="45" t="n">
        <v>38.31</v>
      </c>
      <c r="P140" s="45" t="n">
        <v>11991.03</v>
      </c>
      <c r="Q140" s="5" t="n"/>
      <c r="R140" s="6" t="n"/>
      <c r="S140" s="6">
        <f>IF(AND(Q140&lt;&gt;"",R140&lt;&gt;""),Q140*R140,"")</f>
        <v/>
      </c>
      <c r="T140" s="45">
        <f>IF(S140="",P140,S140)</f>
        <v/>
      </c>
      <c r="U140" s="7" t="n">
        <v>0</v>
      </c>
      <c r="V140" s="6">
        <f>$T140*U140</f>
        <v/>
      </c>
      <c r="W140" s="7" t="n">
        <v>0.2</v>
      </c>
      <c r="X140" s="6">
        <f>$T140*W140</f>
        <v/>
      </c>
      <c r="Y140" s="7" t="n">
        <v>0</v>
      </c>
      <c r="Z140" s="6">
        <f>$T140*Y140</f>
        <v/>
      </c>
      <c r="AA140" s="7" t="n">
        <v>0</v>
      </c>
      <c r="AB140" s="6">
        <f>$T140*AA140</f>
        <v/>
      </c>
      <c r="AC140" s="7" t="n">
        <v>0</v>
      </c>
      <c r="AD140" s="6">
        <f>$T140*AC140</f>
        <v/>
      </c>
      <c r="AE140" s="7" t="n">
        <v>0</v>
      </c>
      <c r="AF140" s="6">
        <f>$T140*AE140</f>
        <v/>
      </c>
      <c r="AG140" s="7" t="n">
        <v>0</v>
      </c>
      <c r="AH140" s="6">
        <f>$T140*AG140</f>
        <v/>
      </c>
      <c r="AI140" s="7">
        <f>U140+W140+Y140+AA140+AC140+AE140+AG140</f>
        <v/>
      </c>
      <c r="AJ140" s="6">
        <f>V140+X140+Z140+AB140+AD140+AF140+AH140</f>
        <v/>
      </c>
    </row>
    <row r="141" hidden="1" ht="60" customHeight="1" s="46">
      <c r="A141" s="3" t="inlineStr">
        <is>
          <t>LOM241.OC.EEA.A02.C3305.QA000.0015</t>
        </is>
      </c>
      <c r="B141" s="4" t="inlineStr">
        <is>
          <t>1/1</t>
        </is>
      </c>
      <c r="C141" s="3" t="inlineStr">
        <is>
          <t>EDILE</t>
        </is>
      </c>
      <c r="D141" s="4" t="inlineStr">
        <is>
          <t>SPECIALE</t>
        </is>
      </c>
      <c r="E141" s="4" t="inlineStr">
        <is>
          <t>EDILI SPECIALI</t>
        </is>
      </c>
      <c r="F141" s="3" t="inlineStr">
        <is>
          <t>1_2025.11.20_CME REV07.PDF</t>
        </is>
      </c>
      <c r="G141" s="4" t="inlineStr">
        <is>
          <t>148</t>
        </is>
      </c>
      <c r="H141" s="3" t="inlineStr">
        <is>
          <t>30 - STRUTTURALE</t>
        </is>
      </c>
      <c r="I141" s="3" t="inlineStr">
        <is>
          <t>NUOVI LABORATORI</t>
        </is>
      </c>
      <c r="J141" s="3" t="inlineStr">
        <is>
          <t>OPERE IN C.A.</t>
        </is>
      </c>
      <c r="K141" s="3" t="inlineStr">
        <is>
          <t xml:space="preserve">OPERA: SISTEMA PORTA, A BATTENTE DI LEGNO NATURALE GENERICO; FINITURA: VERNICIATA | MEDIUM DENSITY | LACCATO; GEOMETRIA/FORMA/ASPETTO: UN BATTENTE; FUNZIONE: CHIUSURA INTERNA. </t>
        </is>
      </c>
      <c r="L141" s="3" t="inlineStr">
        <is>
          <t>OPERA: SISTEMA PORTA, A BATTENTE DI LEGNO NATURALE GENERICO; FINITURA: VERNICIATA | MEDIUM DENSITY | LACCATO; GEOMETRIA/FORMA/ASPETTO: UN BATTENTE; FUNZIONE: CHIUSURA INTERNA. 
LAVORO: POSA. INCLUSO: PULIZIA; ALLONTANAMENTO MATERIALI DI RISULTA. ESCLUSO: ASSISTENZA MURARIA PER MOVIMENTAZIONI. 
SPECIFICHE TECNICHE: FINITURA CON MANO DI FONDO E VERNICIATURA CON LACCHE POLIURETANICHE; RIVESTITO CON MEDIUM DENSITY; LACCATO. 
COMPONENTI: 
OP1 OPERA: SISTEMA PORTA, A BATTENTE DI LEGNO NATURALE GENERICO; FINITURA: VERNICIATA | MEDIUM DENSITY | LACCATO; GEOMETRIA/FORMA/ASPETTO: UN BATTENTE; FUNZIONE: CHIUSURA INTERNA. 
SPECIFICHE TECNICHE: FINITURA CON MANO DI FONDO E VERNICIATURA CON LACCHE POLIURETANICHE; RIVESTITO CON MEDIUM DENSITY; LACCATO. 
RM2 PORTA A BATTENTE DI LEGNO NATURALE GENERICO; FINITURA: LACCATA CON COLORI BASE LUCIDI/OPACHI; GEOMETRIA/FORMA/ASPETTO: SINGOLA ANTA; FUNZIONE: DISTRIBUZIONE; IMPIEGO: INTERNO 
SPECIFICHE TECNICHE: FINITURA CON MANO DI FONDO E VERNICIATURA CON LACCHE POLIURETANICHE 
LV1 LAVORO: POSA. INCLUSO: PULIZIA; ALLONTANAMENTO MATERIALI DI RISULTA. ESCLUSO: ASSISTENZA MURARIA PER MOVIMENTAZIONI.</t>
        </is>
      </c>
      <c r="M141" s="4" t="inlineStr">
        <is>
          <t>M²</t>
        </is>
      </c>
      <c r="N141" s="5" t="n">
        <v>13.02</v>
      </c>
      <c r="O141" s="45" t="n">
        <v>351.4</v>
      </c>
      <c r="P141" s="45" t="n">
        <v>4575.228</v>
      </c>
      <c r="Q141" s="5" t="n"/>
      <c r="R141" s="6" t="n"/>
      <c r="S141" s="6">
        <f>IF(AND(Q141&lt;&gt;"",R141&lt;&gt;""),Q141*R141,"")</f>
        <v/>
      </c>
      <c r="T141" s="45">
        <f>IF(S141="",P141,S141)</f>
        <v/>
      </c>
      <c r="U141" s="7" t="n">
        <v>0</v>
      </c>
      <c r="V141" s="6">
        <f>$T141*U141</f>
        <v/>
      </c>
      <c r="W141" s="7" t="n">
        <v>0</v>
      </c>
      <c r="X141" s="6">
        <f>$T141*W141</f>
        <v/>
      </c>
      <c r="Y141" s="7" t="n">
        <v>0</v>
      </c>
      <c r="Z141" s="6">
        <f>$T141*Y141</f>
        <v/>
      </c>
      <c r="AA141" s="7" t="n">
        <v>0</v>
      </c>
      <c r="AB141" s="6">
        <f>$T141*AA141</f>
        <v/>
      </c>
      <c r="AC141" s="7" t="n">
        <v>0</v>
      </c>
      <c r="AD141" s="6">
        <f>$T141*AC141</f>
        <v/>
      </c>
      <c r="AE141" s="7" t="n">
        <v>0</v>
      </c>
      <c r="AF141" s="6">
        <f>$T141*AE141</f>
        <v/>
      </c>
      <c r="AG141" s="7" t="n">
        <v>0</v>
      </c>
      <c r="AH141" s="6">
        <f>$T141*AG141</f>
        <v/>
      </c>
      <c r="AI141" s="7">
        <f>U141+W141+Y141+AA141+AC141+AE141+AG141</f>
        <v/>
      </c>
      <c r="AJ141" s="6">
        <f>V141+X141+Z141+AB141+AD141+AF141+AH141</f>
        <v/>
      </c>
    </row>
    <row r="142" hidden="1" ht="60" customHeight="1" s="46">
      <c r="A142" s="3" t="inlineStr">
        <is>
          <t>LOM241.OC.EEA.A02.C3305.SB001.0055</t>
        </is>
      </c>
      <c r="B142" s="4" t="inlineStr">
        <is>
          <t>1/1</t>
        </is>
      </c>
      <c r="C142" s="3" t="inlineStr">
        <is>
          <t>EDILE</t>
        </is>
      </c>
      <c r="D142" s="4" t="inlineStr">
        <is>
          <t>SPECIALE</t>
        </is>
      </c>
      <c r="E142" s="4" t="inlineStr">
        <is>
          <t>EDILI SPECIALI</t>
        </is>
      </c>
      <c r="F142" s="3" t="inlineStr">
        <is>
          <t>1_2025.11.20_CME REV07.PDF</t>
        </is>
      </c>
      <c r="G142" s="4" t="inlineStr">
        <is>
          <t>149</t>
        </is>
      </c>
      <c r="H142" s="3" t="inlineStr">
        <is>
          <t>30 - STRUTTURALE</t>
        </is>
      </c>
      <c r="I142" s="3" t="inlineStr">
        <is>
          <t>NUOVI LABORATORI</t>
        </is>
      </c>
      <c r="J142" s="3" t="inlineStr">
        <is>
          <t>OPERE IN C.A.</t>
        </is>
      </c>
      <c r="K142" s="3" t="inlineStr">
        <is>
          <t xml:space="preserve">OPERA: SISTEMA PORTA, A BATTENTE DI LEGA FERROSA ACCIAIO GENERICO; GEOMETRIA/FORMA/ASPETTO: UN BATTENTE; FUNZIONE: TAGLIAFUOCO; LARGHEZZA PASSAGGIO [CM] = 120; RESISTENZA AL FUOCO [CLASSE] = REI 120. </t>
        </is>
      </c>
      <c r="L142" s="3" t="inlineStr">
        <is>
          <t>OPERA: SISTEMA PORTA, A BATTENTE DI LEGA FERROSA ACCIAIO GENERICO; GEOMETRIA/FORMA/ASPETTO: UN BATTENTE; FUNZIONE: TAGLIAFUOCO; LARGHEZZA PASSAGGIO [CM] = 120; RESISTENZA AL FUOCO [CLASSE] = REI 120. 
LAVORO: POSA. 
COMPONENTI: 
OP1 OPERA: SISTEMA PORTA, A BATTENTE DI LEGA FERROSA ACCIAIO GENERICO; GEOMETRIA/FORMA/ASPETTO: UN BATTENTE; FUNZIONE: TAGLIAFUOCO; LARGHEZZA PASSAGGIO [CM] = 120; RESISTENZA AL FUOCO [CLASSE] = REI 120. 
RM2 PORTA A BATTENTE DI LEGA FERROSA ACCIAIO ZINCATO; FINITURA: VERNICIATA; GEOMETRIA/FORMA/ASPETTO: SINGOLA ANTA; FUNZIONE: ANTINCENDIO; LARGHEZZA [CM] = 120 | ALTEZZA [CM] = 200 ÷ 210; RESISTENZA AL FUOCO [CLASSE] = REI 120 
SPECIFICHE TECNICHE: MISURE INDICATIVE SECONDO PRODUZIONE DI SERIE CON POSSIBILITA DI PRODUZIONE DI MISURE SPECIALI A RICHIESTA 
LV1 LAVORO: POSA.</t>
        </is>
      </c>
      <c r="M142" s="4" t="inlineStr">
        <is>
          <t>CAD</t>
        </is>
      </c>
      <c r="N142" s="5" t="n">
        <v>2.31</v>
      </c>
      <c r="O142" s="45" t="n">
        <v>231.56</v>
      </c>
      <c r="P142" s="45" t="n">
        <v>534.9036</v>
      </c>
      <c r="Q142" s="5" t="n"/>
      <c r="R142" s="6" t="n"/>
      <c r="S142" s="6">
        <f>IF(AND(Q142&lt;&gt;"",R142&lt;&gt;""),Q142*R142,"")</f>
        <v/>
      </c>
      <c r="T142" s="45">
        <f>IF(S142="",P142,S142)</f>
        <v/>
      </c>
      <c r="U142" s="7" t="n">
        <v>0</v>
      </c>
      <c r="V142" s="6">
        <f>$T142*U142</f>
        <v/>
      </c>
      <c r="W142" s="7" t="n">
        <v>0</v>
      </c>
      <c r="X142" s="6">
        <f>$T142*W142</f>
        <v/>
      </c>
      <c r="Y142" s="7" t="n">
        <v>0</v>
      </c>
      <c r="Z142" s="6">
        <f>$T142*Y142</f>
        <v/>
      </c>
      <c r="AA142" s="7" t="n">
        <v>0</v>
      </c>
      <c r="AB142" s="6">
        <f>$T142*AA142</f>
        <v/>
      </c>
      <c r="AC142" s="7" t="n">
        <v>0</v>
      </c>
      <c r="AD142" s="6">
        <f>$T142*AC142</f>
        <v/>
      </c>
      <c r="AE142" s="7" t="n">
        <v>0</v>
      </c>
      <c r="AF142" s="6">
        <f>$T142*AE142</f>
        <v/>
      </c>
      <c r="AG142" s="7" t="n">
        <v>0</v>
      </c>
      <c r="AH142" s="6">
        <f>$T142*AG142</f>
        <v/>
      </c>
      <c r="AI142" s="7">
        <f>U142+W142+Y142+AA142+AC142+AE142+AG142</f>
        <v/>
      </c>
      <c r="AJ142" s="6">
        <f>V142+X142+Z142+AB142+AD142+AF142+AH142</f>
        <v/>
      </c>
    </row>
    <row r="143" hidden="1" ht="60" customHeight="1" s="46">
      <c r="A143" s="3" t="inlineStr">
        <is>
          <t>LOM241.OC.EEA.A02.C3305.SB001.0080</t>
        </is>
      </c>
      <c r="B143" s="4" t="inlineStr">
        <is>
          <t>1/1</t>
        </is>
      </c>
      <c r="C143" s="3" t="inlineStr">
        <is>
          <t>EDILE</t>
        </is>
      </c>
      <c r="D143" s="4" t="inlineStr">
        <is>
          <t>SPECIALE</t>
        </is>
      </c>
      <c r="E143" s="4" t="inlineStr">
        <is>
          <t>EDILI SPECIALI</t>
        </is>
      </c>
      <c r="F143" s="3" t="inlineStr">
        <is>
          <t>1_2025.11.20_CME REV07.PDF</t>
        </is>
      </c>
      <c r="G143" s="4" t="inlineStr">
        <is>
          <t>150</t>
        </is>
      </c>
      <c r="H143" s="3" t="inlineStr">
        <is>
          <t>30 - STRUTTURALE</t>
        </is>
      </c>
      <c r="I143" s="3" t="inlineStr">
        <is>
          <t>NUOVI LABORATORI</t>
        </is>
      </c>
      <c r="J143" s="3" t="inlineStr">
        <is>
          <t>OPERE IN C.A.</t>
        </is>
      </c>
      <c r="K143" s="3" t="inlineStr">
        <is>
          <t xml:space="preserve">OPERA: SISTEMA PORTA, A BATTENTE DI LEGA FERROSA ACCIAIO GENERICO; GEOMETRIA/FORMA/ASPETTO: UN BATTENTE; FUNZIONE: TAGLIAFUOCO; LARGHEZZA PASSAGGIO [CM] = 80; RESISTENZA AL FUOCO [CLASSE] = REI 60. </t>
        </is>
      </c>
      <c r="L143" s="3" t="inlineStr">
        <is>
          <t>OPERA: SISTEMA PORTA, A BATTENTE DI LEGA FERROSA ACCIAIO GENERICO; GEOMETRIA/FORMA/ASPETTO: UN BATTENTE; FUNZIONE: TAGLIAFUOCO; LARGHEZZA PASSAGGIO [CM] = 80; RESISTENZA AL FUOCO [CLASSE] = REI 60. 
LAVORO: POSA. 
COMPONENTI: 
OP1 OPERA: SISTEMA PORTA, A BATTENTE DI LEGA FERROSA ACCIAIO GENERICO; GEOMETRIA/FORMA/ASPETTO: UN BATTENTE; FUNZIONE: TAGLIAFUOCO; LARGHEZZA PASSAGGIO [CM] = 80; RESISTENZA AL FUOCO [CLASSE] = REI 60. 
RM2 PORTA A BATTENTE DI LEGA FERROSA ACCIAIO ZINCATO; FINITURA: VERNICIATA; GEOMETRIA/FORMA/ASPETTO: SINGOLA ANTA; FUNZIONE: ANTINCENDIO; LARGHEZZA [CM] = 80 | ALTEZZA [CM] = 200 ÷ 210; RESISTENZA AL FUOCO [CLASSE] = REI 60 
SPECIFICHE TECNICHE: MISURE INDICATIVE SECONDO PRODUZIONE DI SERIE CON POSSIBILITA DI PRODUZIONE DI MISURE SPECIALI A RICHIESTA 
LV1 LAVORO: POSA.</t>
        </is>
      </c>
      <c r="M143" s="4" t="inlineStr">
        <is>
          <t>CAD</t>
        </is>
      </c>
      <c r="N143" s="5" t="n">
        <v>8.4</v>
      </c>
      <c r="O143" s="45" t="n">
        <v>226.02</v>
      </c>
      <c r="P143" s="45" t="n">
        <v>1898.568</v>
      </c>
      <c r="Q143" s="5" t="n"/>
      <c r="R143" s="6" t="n"/>
      <c r="S143" s="6">
        <f>IF(AND(Q143&lt;&gt;"",R143&lt;&gt;""),Q143*R143,"")</f>
        <v/>
      </c>
      <c r="T143" s="45">
        <f>IF(S143="",P143,S143)</f>
        <v/>
      </c>
      <c r="U143" s="7" t="n">
        <v>0</v>
      </c>
      <c r="V143" s="6">
        <f>$T143*U143</f>
        <v/>
      </c>
      <c r="W143" s="7" t="n">
        <v>0</v>
      </c>
      <c r="X143" s="6">
        <f>$T143*W143</f>
        <v/>
      </c>
      <c r="Y143" s="7" t="n">
        <v>0</v>
      </c>
      <c r="Z143" s="6">
        <f>$T143*Y143</f>
        <v/>
      </c>
      <c r="AA143" s="7" t="n">
        <v>0</v>
      </c>
      <c r="AB143" s="6">
        <f>$T143*AA143</f>
        <v/>
      </c>
      <c r="AC143" s="7" t="n">
        <v>0</v>
      </c>
      <c r="AD143" s="6">
        <f>$T143*AC143</f>
        <v/>
      </c>
      <c r="AE143" s="7" t="n">
        <v>0</v>
      </c>
      <c r="AF143" s="6">
        <f>$T143*AE143</f>
        <v/>
      </c>
      <c r="AG143" s="7" t="n">
        <v>0</v>
      </c>
      <c r="AH143" s="6">
        <f>$T143*AG143</f>
        <v/>
      </c>
      <c r="AI143" s="7">
        <f>U143+W143+Y143+AA143+AC143+AE143+AG143</f>
        <v/>
      </c>
      <c r="AJ143" s="6">
        <f>V143+X143+Z143+AB143+AD143+AF143+AH143</f>
        <v/>
      </c>
    </row>
    <row r="144" hidden="1" ht="60" customHeight="1" s="46">
      <c r="A144" s="3" t="inlineStr">
        <is>
          <t>LOM241.OC.EEA.A02.C3305.SB001.0085</t>
        </is>
      </c>
      <c r="B144" s="4" t="inlineStr">
        <is>
          <t>1/1</t>
        </is>
      </c>
      <c r="C144" s="3" t="inlineStr">
        <is>
          <t>EDILE</t>
        </is>
      </c>
      <c r="D144" s="4" t="inlineStr">
        <is>
          <t>SPECIALE</t>
        </is>
      </c>
      <c r="E144" s="4" t="inlineStr">
        <is>
          <t>EDILI SPECIALI</t>
        </is>
      </c>
      <c r="F144" s="3" t="inlineStr">
        <is>
          <t>1_2025.11.20_CME REV07.PDF</t>
        </is>
      </c>
      <c r="G144" s="4" t="inlineStr">
        <is>
          <t>151</t>
        </is>
      </c>
      <c r="H144" s="3" t="inlineStr">
        <is>
          <t>30 - STRUTTURALE</t>
        </is>
      </c>
      <c r="I144" s="3" t="inlineStr">
        <is>
          <t>NUOVI LABORATORI</t>
        </is>
      </c>
      <c r="J144" s="3" t="inlineStr">
        <is>
          <t>OPERE IN C.A.</t>
        </is>
      </c>
      <c r="K144" s="3" t="inlineStr">
        <is>
          <t xml:space="preserve">OPERA: SISTEMA PORTA, A BATTENTE DI LEGA FERROSA ACCIAIO GENERICO; GEOMETRIA/FORMA/ASPETTO: UN BATTENTE; FUNZIONE: TAGLIAFUOCO; LARGHEZZA PASSAGGIO [CM] = 90; RESISTENZA AL FUOCO [CLASSE] = REI 120. </t>
        </is>
      </c>
      <c r="L144" s="3" t="inlineStr">
        <is>
          <t>OPERA: SISTEMA PORTA, A BATTENTE DI LEGA FERROSA ACCIAIO GENERICO; GEOMETRIA/FORMA/ASPETTO: UN BATTENTE; FUNZIONE: TAGLIAFUOCO; LARGHEZZA PASSAGGIO [CM] = 90; RESISTENZA AL FUOCO [CLASSE] = REI 120. 
LAVORO: POSA. 
COMPONENTI: 
OP1 OPERA: SISTEMA PORTA, A BATTENTE DI LEGA FERROSA ACCIAIO GENERICO; GEOMETRIA/FORMA/ASPETTO: UN BATTENTE; FUNZIONE: TAGLIAFUOCO; LARGHEZZA PASSAGGIO [CM] = 90; RESISTENZA AL FUOCO [CLASSE] = REI 120. 
RM2 PORTA A BATTENTE DI LEGA FERROSA ACCIAIO ZINCATO; FINITURA: VERNICIATA; GEOMETRIA/FORMA/ASPETTO: SINGOLA ANTA; FUNZIONE: ANTINCENDIO; LARGHEZZA [CM] = 90 | ALTEZZA [CM] = 200 ÷ 210; RESISTENZA AL FUOCO [CLASSE] = REI 120 
SPECIFICHE TECNICHE: MISURE INDICATIVE SECONDO PRODUZIONE DI SERIE CON POSSIBILITA DI PRODUZIONE DI MISURE SPECIALI A RICHIESTA 
LV1 LAVORO: POSA.</t>
        </is>
      </c>
      <c r="M144" s="4" t="inlineStr">
        <is>
          <t>CAD</t>
        </is>
      </c>
      <c r="N144" s="5" t="n">
        <v>15.12</v>
      </c>
      <c r="O144" s="45" t="n">
        <v>228.56</v>
      </c>
      <c r="P144" s="45" t="n">
        <v>3455.8272</v>
      </c>
      <c r="Q144" s="5" t="n"/>
      <c r="R144" s="6" t="n"/>
      <c r="S144" s="6">
        <f>IF(AND(Q144&lt;&gt;"",R144&lt;&gt;""),Q144*R144,"")</f>
        <v/>
      </c>
      <c r="T144" s="45">
        <f>IF(S144="",P144,S144)</f>
        <v/>
      </c>
      <c r="U144" s="7" t="n">
        <v>0</v>
      </c>
      <c r="V144" s="6">
        <f>$T144*U144</f>
        <v/>
      </c>
      <c r="W144" s="7" t="n">
        <v>0</v>
      </c>
      <c r="X144" s="6">
        <f>$T144*W144</f>
        <v/>
      </c>
      <c r="Y144" s="7" t="n">
        <v>0</v>
      </c>
      <c r="Z144" s="6">
        <f>$T144*Y144</f>
        <v/>
      </c>
      <c r="AA144" s="7" t="n">
        <v>0</v>
      </c>
      <c r="AB144" s="6">
        <f>$T144*AA144</f>
        <v/>
      </c>
      <c r="AC144" s="7" t="n">
        <v>0</v>
      </c>
      <c r="AD144" s="6">
        <f>$T144*AC144</f>
        <v/>
      </c>
      <c r="AE144" s="7" t="n">
        <v>0</v>
      </c>
      <c r="AF144" s="6">
        <f>$T144*AE144</f>
        <v/>
      </c>
      <c r="AG144" s="7" t="n">
        <v>0</v>
      </c>
      <c r="AH144" s="6">
        <f>$T144*AG144</f>
        <v/>
      </c>
      <c r="AI144" s="7">
        <f>U144+W144+Y144+AA144+AC144+AE144+AG144</f>
        <v/>
      </c>
      <c r="AJ144" s="6">
        <f>V144+X144+Z144+AB144+AD144+AF144+AH144</f>
        <v/>
      </c>
    </row>
    <row r="145" ht="60" customHeight="1" s="46">
      <c r="A145" s="3" t="inlineStr">
        <is>
          <t>LOM241.OC.EEA.A02.C3336.T0000.0025</t>
        </is>
      </c>
      <c r="B145" s="4" t="inlineStr">
        <is>
          <t>1/1</t>
        </is>
      </c>
      <c r="C145" s="3" t="inlineStr">
        <is>
          <t>EDILE</t>
        </is>
      </c>
      <c r="D145" s="4" t="inlineStr">
        <is>
          <t>SPECIALE</t>
        </is>
      </c>
      <c r="E145" s="4" t="inlineStr">
        <is>
          <t>EDILI SPECIALI</t>
        </is>
      </c>
      <c r="F145" s="3" t="inlineStr">
        <is>
          <t>1_2025.11.20_CME REV07.PDF</t>
        </is>
      </c>
      <c r="G145" s="4" t="inlineStr">
        <is>
          <t>152</t>
        </is>
      </c>
      <c r="H145" s="3" t="inlineStr">
        <is>
          <t>30 - STRUTTURALE</t>
        </is>
      </c>
      <c r="I145" s="3" t="inlineStr">
        <is>
          <t>NUOVI LABORATORI</t>
        </is>
      </c>
      <c r="J145" s="3" t="inlineStr">
        <is>
          <t>OPERE IN C.A.</t>
        </is>
      </c>
      <c r="K145" s="3" t="inlineStr">
        <is>
          <t xml:space="preserve">OPERA: LASTRA DI VETRO, MONOCOMPONENTE DI VETRO GENERICO; GEOMETRIA/FORMA/ASPETTO: QUADRATA | RETTANGOLARE; FUNZIONE: TAGLIAFUOCO; IMPIEGO: VISIVE | PORTE TAGLIAFUOCO. </t>
        </is>
      </c>
      <c r="L145" s="3" t="inlineStr">
        <is>
          <t>OPERA: LASTRA DI VETRO, MONOCOMPONENTE DI VETRO GENERICO; GEOMETRIA/FORMA/ASPETTO: QUADRATA | RETTANGOLARE; FUNZIONE: TAGLIAFUOCO; IMPIEGO: VISIVE | PORTE TAGLIAFUOCO. 
LAVORO: POSA. ESCLUSO: ASSISTENZE MURARIE. 
SPECIFICHE TECNICHE: SU PORTE TAGLIAFUOCO REI 120. 
COMPONENTI: 
OP1 OPERA: LASTRA DI VETRO, MONOCOMPONENTE DI VETRO GENERICO; GEOMETRIA/FORMA/ASPETTO: QUADRATA | RETTANGOLARE; FUNZIONE: TAGLIAFUOCO; IMPIEGO: VISIVE | PORTE TAGLIAFUOCO. 
SPECIFICHE TECNICHE: SU PORTE TAGLIAFUOCO REI 120. 
RM2 VETRATURA STRATIFICATO DI VETRO GENERICO; GEOMETRIA/FORMA/ASPETTO: QUADRATA | RETTANGOLARE; IMPIEGO: PORTA TAGLIAFUOCO; SPESSORE [MM] = 52 | DIMENSIONE (X) [CM] = 40 | DIMENSIONE (Y) [CM] = 120; RESISTENZA AL FUOCO [CLASSE] = REI120 
SPECIFICHE TECNICHE: CONTRO FIAMMA, FUMI E CALORE 
LV1 LAVORO: POSA. ESCLUSO: ASSISTENZE MURARIE.</t>
        </is>
      </c>
      <c r="M145" s="4" t="inlineStr">
        <is>
          <t>CAD</t>
        </is>
      </c>
      <c r="N145" s="5" t="n">
        <v>14</v>
      </c>
      <c r="O145" s="45" t="n">
        <v>295.4</v>
      </c>
      <c r="P145" s="45" t="n">
        <v>4135.6</v>
      </c>
      <c r="Q145" s="5" t="n"/>
      <c r="R145" s="6" t="n"/>
      <c r="S145" s="6">
        <f>IF(AND(Q145&lt;&gt;"",R145&lt;&gt;""),Q145*R145,"")</f>
        <v/>
      </c>
      <c r="T145" s="45">
        <f>IF(S145="",P145,S145)</f>
        <v/>
      </c>
      <c r="U145" s="7" t="n">
        <v>0</v>
      </c>
      <c r="V145" s="6">
        <f>$T145*U145</f>
        <v/>
      </c>
      <c r="W145" s="7" t="n">
        <v>0.75</v>
      </c>
      <c r="X145" s="6">
        <f>$T145*W145</f>
        <v/>
      </c>
      <c r="Y145" s="7" t="n">
        <v>0</v>
      </c>
      <c r="Z145" s="6">
        <f>$T145*Y145</f>
        <v/>
      </c>
      <c r="AA145" s="7" t="n">
        <v>0</v>
      </c>
      <c r="AB145" s="6">
        <f>$T145*AA145</f>
        <v/>
      </c>
      <c r="AC145" s="7" t="n">
        <v>0</v>
      </c>
      <c r="AD145" s="6">
        <f>$T145*AC145</f>
        <v/>
      </c>
      <c r="AE145" s="7" t="n">
        <v>0</v>
      </c>
      <c r="AF145" s="6">
        <f>$T145*AE145</f>
        <v/>
      </c>
      <c r="AG145" s="7" t="n">
        <v>0</v>
      </c>
      <c r="AH145" s="6">
        <f>$T145*AG145</f>
        <v/>
      </c>
      <c r="AI145" s="7">
        <f>U145+W145+Y145+AA145+AC145+AE145+AG145</f>
        <v/>
      </c>
      <c r="AJ145" s="6">
        <f>V145+X145+Z145+AB145+AD145+AF145+AH145</f>
        <v/>
      </c>
    </row>
    <row r="146" ht="60" customHeight="1" s="46">
      <c r="A146" s="3" t="inlineStr">
        <is>
          <t>LOM241.OC.EEA.A02.C3325.SB003.0000</t>
        </is>
      </c>
      <c r="B146" s="4" t="inlineStr">
        <is>
          <t>2/3</t>
        </is>
      </c>
      <c r="C146" s="3" t="inlineStr">
        <is>
          <t>EDILE</t>
        </is>
      </c>
      <c r="D146" s="4" t="inlineStr">
        <is>
          <t>SPECIALE</t>
        </is>
      </c>
      <c r="E146" s="4" t="inlineStr">
        <is>
          <t>EDILI SPECIALI</t>
        </is>
      </c>
      <c r="F146" s="3" t="inlineStr">
        <is>
          <t>1_2025.11.20_CME REV07.PDF</t>
        </is>
      </c>
      <c r="G146" s="4" t="inlineStr">
        <is>
          <t>153</t>
        </is>
      </c>
      <c r="H146" s="3" t="inlineStr">
        <is>
          <t>30 - STRUTTURALE</t>
        </is>
      </c>
      <c r="I146" s="3" t="inlineStr">
        <is>
          <t>NUOVI LABORATORI</t>
        </is>
      </c>
      <c r="J146" s="3" t="inlineStr">
        <is>
          <t>OPERE IN C.A.</t>
        </is>
      </c>
      <c r="K146" s="3" t="inlineStr">
        <is>
          <t xml:space="preserve">OPERA: FALSO TELAIO DI LEGA FERROSA ACCIAIO ZINCATO; IMPIEGO: SERRAMENTI IN GENERE. </t>
        </is>
      </c>
      <c r="L146" s="3" t="inlineStr">
        <is>
          <t>OPERA: FALSO TELAIO DI LEGA FERROSA ACCIAIO ZINCATO; IMPIEGO: SERRAMENTI IN GENERE. 
LAVORO: POSA. INCLUSO: ASSISTENZA MURARIA. 
COMPONENTI: 
OP1 OPERA: FALSO TELAIO DI LEGA FERROSA ACCIAIO ZINCATO; IMPIEGO: SERRAMENTI IN GENERE. 
RM2 FALSO TELAIO DI LEGA FERROSA ACCIAIO ZINCATO; IMPIEGO: SERRAMENTI GENERICI. INCLUSO: ZANCHE 
PO2 PRODOTTO SEMILAVORATO: MALTA, BASTARDA IN CEMENTO GENERICO. 
LAVORO: FORMAZIONE, CON MEZZO MECCANICO. 
SPECIFICHE TECNICHE: CONFEZIONATA IN BETONIERA; DOSAGGIO PER M³: CEMENTO [KG] = 100 | CALCE EMINENTEMENTE IDRAULICA [KG] = 350. 
LV1 LAVORO: POSA. INCLUSO: ASSISTENZA MURARIA.</t>
        </is>
      </c>
      <c r="M146" s="4" t="inlineStr">
        <is>
          <t>M</t>
        </is>
      </c>
      <c r="N146" s="5" t="n">
        <v>41.6</v>
      </c>
      <c r="O146" s="45" t="n">
        <v>17.63</v>
      </c>
      <c r="P146" s="45" t="n">
        <v>733.408</v>
      </c>
      <c r="Q146" s="5" t="n"/>
      <c r="R146" s="6" t="n"/>
      <c r="S146" s="6">
        <f>IF(AND(Q146&lt;&gt;"",R146&lt;&gt;""),Q146*R146,"")</f>
        <v/>
      </c>
      <c r="T146" s="45">
        <f>IF(S146="",P146,S146)</f>
        <v/>
      </c>
      <c r="U146" s="7" t="n">
        <v>0</v>
      </c>
      <c r="V146" s="6">
        <f>$T146*U146</f>
        <v/>
      </c>
      <c r="W146" s="7" t="n">
        <v>0.75</v>
      </c>
      <c r="X146" s="6">
        <f>$T146*W146</f>
        <v/>
      </c>
      <c r="Y146" s="7" t="n">
        <v>0</v>
      </c>
      <c r="Z146" s="6">
        <f>$T146*Y146</f>
        <v/>
      </c>
      <c r="AA146" s="7" t="n">
        <v>0</v>
      </c>
      <c r="AB146" s="6">
        <f>$T146*AA146</f>
        <v/>
      </c>
      <c r="AC146" s="7" t="n">
        <v>0</v>
      </c>
      <c r="AD146" s="6">
        <f>$T146*AC146</f>
        <v/>
      </c>
      <c r="AE146" s="7" t="n">
        <v>0</v>
      </c>
      <c r="AF146" s="6">
        <f>$T146*AE146</f>
        <v/>
      </c>
      <c r="AG146" s="7" t="n">
        <v>0</v>
      </c>
      <c r="AH146" s="6">
        <f>$T146*AG146</f>
        <v/>
      </c>
      <c r="AI146" s="7">
        <f>U146+W146+Y146+AA146+AC146+AE146+AG146</f>
        <v/>
      </c>
      <c r="AJ146" s="6">
        <f>V146+X146+Z146+AB146+AD146+AF146+AH146</f>
        <v/>
      </c>
    </row>
    <row r="147" hidden="1" ht="60" customHeight="1" s="46">
      <c r="A147" s="3" t="inlineStr">
        <is>
          <t>LOM241.OC.EEA.A02.C3335.T0006.0255</t>
        </is>
      </c>
      <c r="B147" s="4" t="inlineStr">
        <is>
          <t>2/2</t>
        </is>
      </c>
      <c r="C147" s="3" t="inlineStr">
        <is>
          <t>EDILE</t>
        </is>
      </c>
      <c r="D147" s="4" t="inlineStr">
        <is>
          <t>SPECIALE</t>
        </is>
      </c>
      <c r="E147" s="4" t="inlineStr">
        <is>
          <t>EDILI SPECIALI</t>
        </is>
      </c>
      <c r="F147" s="3" t="inlineStr">
        <is>
          <t>1_2025.11.20_CME REV07.PDF</t>
        </is>
      </c>
      <c r="G147" s="4" t="inlineStr">
        <is>
          <t>156</t>
        </is>
      </c>
      <c r="H147" s="3" t="inlineStr">
        <is>
          <t>30 - STRUTTURALE</t>
        </is>
      </c>
      <c r="I147" s="3" t="inlineStr">
        <is>
          <t>NUOVI LABORATORI</t>
        </is>
      </c>
      <c r="J147" s="3" t="inlineStr">
        <is>
          <t>OPERE IN C.A.</t>
        </is>
      </c>
      <c r="K147" s="3" t="inlineStr">
        <is>
          <t xml:space="preserve">OPERA: VETRATURA, CRISTALLI STRATIFICATI DI VETRO CRISTALLO; FUNZIONE: SICUREZZA. </t>
        </is>
      </c>
      <c r="L147" s="3" t="inlineStr">
        <is>
          <t>OPERA: VETRATURA, CRISTALLI STRATIFICATI DI VETRO CRISTALLO; FUNZIONE: SICUREZZA. 
LAVORO: POSA. 
COMPONENTI: 
OP1 OPERA: VETRATURA, CRISTALLI STRATIFICATI DI VETRO CRISTALLO; FUNZIONE: SICUREZZA. 
RM2 VETRATURA FLOAT STRATIFICATO DI VETRO CRISTALLO; FUNZIONE: SICUREZZA; SPESSORE [MM] = 44,1. INCLUSO: STRATO DI PVB 0,38 
RM2 SIGILLANTE DI RESINA SINTETICA SILICONICA; FUNZIONE: SIGILLATURA; FORNITURA: CARTUCCE 
SPECIFICHE TECNICHE: CARTUCCE DA 310 ML 
LV1 LAVORO: POSA.</t>
        </is>
      </c>
      <c r="M147" s="4" t="inlineStr">
        <is>
          <t>M²</t>
        </is>
      </c>
      <c r="N147" s="5" t="n">
        <v>31.54</v>
      </c>
      <c r="O147" s="45" t="n">
        <v>0</v>
      </c>
      <c r="P147" s="45" t="n">
        <v>0</v>
      </c>
      <c r="Q147" s="5" t="n"/>
      <c r="R147" s="6" t="n"/>
      <c r="S147" s="6">
        <f>IF(AND(Q147&lt;&gt;"",R147&lt;&gt;""),Q147*R147,"")</f>
        <v/>
      </c>
      <c r="T147" s="45">
        <f>IF(S147="",P147,S147)</f>
        <v/>
      </c>
      <c r="U147" s="7" t="n">
        <v>0</v>
      </c>
      <c r="V147" s="6">
        <f>$T147*U147</f>
        <v/>
      </c>
      <c r="W147" s="7" t="n">
        <v>0</v>
      </c>
      <c r="X147" s="6">
        <f>$T147*W147</f>
        <v/>
      </c>
      <c r="Y147" s="7" t="n">
        <v>0</v>
      </c>
      <c r="Z147" s="6">
        <f>$T147*Y147</f>
        <v/>
      </c>
      <c r="AA147" s="7" t="n">
        <v>0</v>
      </c>
      <c r="AB147" s="6">
        <f>$T147*AA147</f>
        <v/>
      </c>
      <c r="AC147" s="7" t="n">
        <v>0</v>
      </c>
      <c r="AD147" s="6">
        <f>$T147*AC147</f>
        <v/>
      </c>
      <c r="AE147" s="7" t="n">
        <v>0</v>
      </c>
      <c r="AF147" s="6">
        <f>$T147*AE147</f>
        <v/>
      </c>
      <c r="AG147" s="7" t="n">
        <v>0</v>
      </c>
      <c r="AH147" s="6">
        <f>$T147*AG147</f>
        <v/>
      </c>
      <c r="AI147" s="7">
        <f>U147+W147+Y147+AA147+AC147+AE147+AG147</f>
        <v/>
      </c>
      <c r="AJ147" s="6">
        <f>V147+X147+Z147+AB147+AD147+AF147+AH147</f>
        <v/>
      </c>
    </row>
    <row r="148" ht="60" customHeight="1" s="46">
      <c r="A148" s="3" t="inlineStr">
        <is>
          <t>LOM241.OC.EEA.A02.C3340.D0000.0165</t>
        </is>
      </c>
      <c r="B148" s="4" t="inlineStr">
        <is>
          <t>2/2</t>
        </is>
      </c>
      <c r="C148" s="3" t="inlineStr">
        <is>
          <t>EDILE</t>
        </is>
      </c>
      <c r="D148" s="4" t="inlineStr">
        <is>
          <t>SPECIALE</t>
        </is>
      </c>
      <c r="E148" s="4" t="inlineStr">
        <is>
          <t>EDILI SPECIALI</t>
        </is>
      </c>
      <c r="F148" s="3" t="inlineStr">
        <is>
          <t>1_2025.11.20_CME REV07.PDF</t>
        </is>
      </c>
      <c r="G148" s="4" t="inlineStr">
        <is>
          <t>158</t>
        </is>
      </c>
      <c r="H148" s="3" t="inlineStr">
        <is>
          <t>30 - STRUTTURALE</t>
        </is>
      </c>
      <c r="I148" s="3" t="inlineStr">
        <is>
          <t>NUOVI LABORATORI</t>
        </is>
      </c>
      <c r="J148" s="3" t="inlineStr">
        <is>
          <t>OPERE IN C.A.</t>
        </is>
      </c>
      <c r="K148" s="3" t="inlineStr">
        <is>
          <t xml:space="preserve">OPERA: LUCERNARIO, AUTOPORTANTE DI PLASTICA GENERICO; FINITURA: TRASPARENTE | OPALE; IMPIEGO: STRATO DI COPERTURA; LATO INTERNO X [CM] = 160 | LATO INTERNO Y [CM] = 160 | SPESSORE VETRO [MM] = 7. </t>
        </is>
      </c>
      <c r="L148" s="3" t="inlineStr">
        <is>
          <t>OPERA: LUCERNARIO, AUTOPORTANTE DI PLASTICA GENERICO; FINITURA: TRASPARENTE | OPALE; IMPIEGO: STRATO DI COPERTURA; LATO INTERNO X [CM] = 160 | LATO INTERNO Y [CM] = 160 | SPESSORE VETRO [MM] = 7. 
LAVORO: POSA. ESCLUSO: PREDISPOSIZIONE BASE; ASSISTENZE MURARIE. 
SPECIFICHE TECNICHE: SPESSORE LASTRE [MM] = 4 + 3 CON VETROCAMERA, POSA IN POSTAZIONE NON APRIBILE; FISSAGGIO ALLA BASE IN MURATURA, METALLICA O PREFABBRICATA VTR, CON MORSETTI E GUARNIZIONE DI TENUTA. 
COMPONENTI: 
OP1 OPERA: LUCERNARIO, AUTOPORTANTE DI PLASTICA GENERICO; FINITURA: TRASPARENTE | OPALE; IMPIEGO: STRATO DI COPERTURA; LATO INTERNO X [CM] = 160 | LATO INTERNO Y [CM] = 160 | SPESSORE VETRO [MM] = 7. 
SPECIFICHE TECNICHE: SPESSORE LASTRE [MM] = 4 + 3 CON VETROCAMERA. 
RM2 MONOBLOCCO LUCERNARIO FISSO DI PLASTICA GENERICO; FINITURA: TRASPARENTE | OPALE; GEOMETRIA/FORMA/ASPETTO: CUPOLA QUADRATA | A PARETE DOPPIA; IMPIEGO: COPERTURA; DIMENSIONE (X) [CM] = 160 | DIMENSIONE (Y) [CM] = 160 | SPESSORE [MM] = 4+3. INCLUSO: ACCESSORI DI FISSAGGIO (MORSETTI | GUARNIZIONI) 
SPECIFICHE TECNICHE: MORSETTI E GUARNIZIONI DI TENUTA PER FISSARE L'ELEMENTO SENZA FORARLO 
LV1 LAVORO: POSA. ESCLUSO: PREDISPOSIZIONE BASE; ASSISTENZE MURARIE. 
SPECIFICHE TECNICHE: POSA IN POSTAZIONE NON APRIBILE; FISSAGGIO ALLA BASE IN MURATURA, METALLICA O PREFABBRICATA VTR, CON MORSETTI E GUARNIZIONE DI TENUTA.</t>
        </is>
      </c>
      <c r="M148" s="4" t="inlineStr">
        <is>
          <t>CAD</t>
        </is>
      </c>
      <c r="N148" s="5" t="n">
        <v>1</v>
      </c>
      <c r="O148" s="45" t="n">
        <v>3526.65</v>
      </c>
      <c r="P148" s="45" t="n">
        <v>3526.65</v>
      </c>
      <c r="Q148" s="5" t="n"/>
      <c r="R148" s="6" t="n"/>
      <c r="S148" s="6">
        <f>IF(AND(Q148&lt;&gt;"",R148&lt;&gt;""),Q148*R148,"")</f>
        <v/>
      </c>
      <c r="T148" s="45">
        <f>IF(S148="",P148,S148)</f>
        <v/>
      </c>
      <c r="U148" s="7" t="n">
        <v>0</v>
      </c>
      <c r="V148" s="6">
        <f>$T148*U148</f>
        <v/>
      </c>
      <c r="W148" s="7" t="n">
        <v>0.75</v>
      </c>
      <c r="X148" s="6">
        <f>$T148*W148</f>
        <v/>
      </c>
      <c r="Y148" s="7" t="n">
        <v>0</v>
      </c>
      <c r="Z148" s="6">
        <f>$T148*Y148</f>
        <v/>
      </c>
      <c r="AA148" s="7" t="n">
        <v>0</v>
      </c>
      <c r="AB148" s="6">
        <f>$T148*AA148</f>
        <v/>
      </c>
      <c r="AC148" s="7" t="n">
        <v>0</v>
      </c>
      <c r="AD148" s="6">
        <f>$T148*AC148</f>
        <v/>
      </c>
      <c r="AE148" s="7" t="n">
        <v>0</v>
      </c>
      <c r="AF148" s="6">
        <f>$T148*AE148</f>
        <v/>
      </c>
      <c r="AG148" s="7" t="n">
        <v>0</v>
      </c>
      <c r="AH148" s="6">
        <f>$T148*AG148</f>
        <v/>
      </c>
      <c r="AI148" s="7">
        <f>U148+W148+Y148+AA148+AC148+AE148+AG148</f>
        <v/>
      </c>
      <c r="AJ148" s="6">
        <f>V148+X148+Z148+AB148+AD148+AF148+AH148</f>
        <v/>
      </c>
    </row>
    <row r="149" hidden="1" ht="60" customHeight="1" s="46">
      <c r="A149" s="3" t="inlineStr">
        <is>
          <t>LOM241.OC.EEA.A02.C3325.SB003.0000</t>
        </is>
      </c>
      <c r="B149" s="4" t="inlineStr">
        <is>
          <t>3/3</t>
        </is>
      </c>
      <c r="C149" s="3" t="inlineStr">
        <is>
          <t>EDILE</t>
        </is>
      </c>
      <c r="D149" s="4" t="inlineStr">
        <is>
          <t>SPECIALE</t>
        </is>
      </c>
      <c r="E149" s="4" t="inlineStr">
        <is>
          <t>EDILI SPECIALI</t>
        </is>
      </c>
      <c r="F149" s="3" t="inlineStr">
        <is>
          <t>1_2025.11.20_CME REV07.PDF</t>
        </is>
      </c>
      <c r="G149" s="4" t="inlineStr">
        <is>
          <t>159</t>
        </is>
      </c>
      <c r="H149" s="3" t="inlineStr">
        <is>
          <t>30 - STRUTTURALE</t>
        </is>
      </c>
      <c r="I149" s="3" t="inlineStr">
        <is>
          <t>NUOVI LABORATORI</t>
        </is>
      </c>
      <c r="J149" s="3" t="inlineStr">
        <is>
          <t>OPERE IN C.A.</t>
        </is>
      </c>
      <c r="K149" s="3" t="inlineStr">
        <is>
          <t xml:space="preserve">OPERA: FALSO TELAIO DI LEGA FERROSA ACCIAIO ZINCATO; IMPIEGO: SERRAMENTI IN GENERE. </t>
        </is>
      </c>
      <c r="L149" s="3" t="inlineStr">
        <is>
          <t>OPERA: FALSO TELAIO DI LEGA FERROSA ACCIAIO ZINCATO; IMPIEGO: SERRAMENTI IN GENERE. 
LAVORO: POSA. INCLUSO: ASSISTENZA MURARIA. 
COMPONENTI: 
OP1 OPERA: FALSO TELAIO DI LEGA FERROSA ACCIAIO ZINCATO; IMPIEGO: SERRAMENTI IN GENERE. 
RM2 FALSO TELAIO DI LEGA FERROSA ACCIAIO ZINCATO; IMPIEGO: SERRAMENTI GENERICI. INCLUSO: ZANCHE 
PO2 PRODOTTO SEMILAVORATO: MALTA, BASTARDA IN CEMENTO GENERICO. 
LAVORO: FORMAZIONE, CON MEZZO MECCANICO. 
SPECIFICHE TECNICHE: CONFEZIONATA IN BETONIERA; DOSAGGIO PER M³: CEMENTO [KG] = 100 | CALCE EMINENTEMENTE IDRAULICA [KG] = 350. 
LV1 LAVORO: POSA. INCLUSO: ASSISTENZA MURARIA.</t>
        </is>
      </c>
      <c r="M149" s="4" t="inlineStr">
        <is>
          <t>M</t>
        </is>
      </c>
      <c r="N149" s="5" t="n">
        <v>7.6</v>
      </c>
      <c r="O149" s="45" t="n">
        <v>17.63</v>
      </c>
      <c r="P149" s="45" t="n">
        <v>133.988</v>
      </c>
      <c r="Q149" s="5" t="n"/>
      <c r="R149" s="6" t="n"/>
      <c r="S149" s="6">
        <f>IF(AND(Q149&lt;&gt;"",R149&lt;&gt;""),Q149*R149,"")</f>
        <v/>
      </c>
      <c r="T149" s="45">
        <f>IF(S149="",P149,S149)</f>
        <v/>
      </c>
      <c r="U149" s="7" t="n">
        <v>0</v>
      </c>
      <c r="V149" s="6">
        <f>$T149*U149</f>
        <v/>
      </c>
      <c r="W149" s="7" t="n">
        <v>0</v>
      </c>
      <c r="X149" s="6">
        <f>$T149*W149</f>
        <v/>
      </c>
      <c r="Y149" s="7" t="n">
        <v>0</v>
      </c>
      <c r="Z149" s="6">
        <f>$T149*Y149</f>
        <v/>
      </c>
      <c r="AA149" s="7" t="n">
        <v>0</v>
      </c>
      <c r="AB149" s="6">
        <f>$T149*AA149</f>
        <v/>
      </c>
      <c r="AC149" s="7" t="n">
        <v>0</v>
      </c>
      <c r="AD149" s="6">
        <f>$T149*AC149</f>
        <v/>
      </c>
      <c r="AE149" s="7" t="n">
        <v>0</v>
      </c>
      <c r="AF149" s="6">
        <f>$T149*AE149</f>
        <v/>
      </c>
      <c r="AG149" s="7" t="n">
        <v>0</v>
      </c>
      <c r="AH149" s="6">
        <f>$T149*AG149</f>
        <v/>
      </c>
      <c r="AI149" s="7">
        <f>U149+W149+Y149+AA149+AC149+AE149+AG149</f>
        <v/>
      </c>
      <c r="AJ149" s="6">
        <f>V149+X149+Z149+AB149+AD149+AF149+AH149</f>
        <v/>
      </c>
    </row>
    <row r="150" hidden="1" ht="60" customHeight="1" s="46">
      <c r="A150" s="3" t="inlineStr">
        <is>
          <t>LOM241.OC.EEA.A16.C0900.ZB005.0005</t>
        </is>
      </c>
      <c r="B150" s="4" t="inlineStr">
        <is>
          <t>2/2</t>
        </is>
      </c>
      <c r="C150" s="3" t="inlineStr">
        <is>
          <t>EDILE</t>
        </is>
      </c>
      <c r="D150" s="4" t="inlineStr">
        <is>
          <t>SPECIALE</t>
        </is>
      </c>
      <c r="E150" s="4" t="inlineStr">
        <is>
          <t>EDILI SPECIALI</t>
        </is>
      </c>
      <c r="F150" s="3" t="inlineStr">
        <is>
          <t>1_2025.11.20_CME REV07.PDF</t>
        </is>
      </c>
      <c r="G150" s="4" t="inlineStr">
        <is>
          <t>120</t>
        </is>
      </c>
      <c r="H150" s="3" t="inlineStr">
        <is>
          <t>60 - FINITURE</t>
        </is>
      </c>
      <c r="I150" s="3" t="inlineStr">
        <is>
          <t>NUOVI LABORATORI</t>
        </is>
      </c>
      <c r="J150" s="3" t="inlineStr">
        <is>
          <t>OPERE EDILI</t>
        </is>
      </c>
      <c r="K150" s="3" t="inlineStr">
        <is>
          <t xml:space="preserve">OPERA: STRATO DI INTONACATURA, CIVILE DI MATERIA MIX CALCE-CEMENTO; IMPIEGO: SUPERFICI VERTICALI | SUPERFICI ESTERNE. </t>
        </is>
      </c>
      <c r="L150" s="3" t="inlineStr">
        <is>
          <t>OPERA: STRATO DI INTONACATURA, CIVILE DI MATERIA MIX CALCE-CEMENTO; IMPIEGO: SUPERFICI VERTICALI | SUPERFICI ESTERNE. 
LAVORO: STESURA. INCLUSO: RINZAFFO, ARRICCIATURA . ESCLUSO: PONTEGGI ESTERNI. 
SPECIFICHE TECNICHE: RINZAFFO RUSTICO IN MALTA BASTARDA O A BASE DI LEGANTI AEREI O IDRAULICI, ARRICCIATURA IN STABILITURA DI CALCE IDRATA O DI CEMENTO; SU SUPERFICIE INTERNE VERTICALI. 
COMPONENTI: 
OP1 OPERA: STRATO DI INTONACATURA, CIVILE DI MATERIA MIX CALCE-CEMENTO; IMPIEGO: SUPERFICI VERTICALI | SUPERFICI ESTERNE. 
RM2 IMPASTO PRECONFEZIONATO DI CALCE GRASSELLO; IMPIEGO: CONGLOMERATO CEMENTIZIO; FORNITURA: SACCHI; DENSITÀ [KG/M³] = 1350 
SPECIFICHE TECNICHE: IMPASTO DI CALCESTRUZZO A PRESTAZIONE CONFEZIONATO IN IMPIANTO DI BETONAGGIO 
PO2 PRODOTTO SEMILAVORATO: MALTA, BASTARDA IN CEMENTO GENERICO. 
LAVORO: FORMAZIONE, CON MEZZO MECCANICO. 
SPECIFICHE TECNICHE: CONFEZIONATA IN BETONIERA; DOSAGGIO PER M³: CEMENTO [KG] = 100 | CALCE EMINENTEMENTE IDRAULICA [KG] = 350. 
LV1 LAVORO: STESURA. INCLUSO: RINZAFFO, ARRICCIATURA . ESCLUSO: PONTEGGI ESTERNI. 
SPECIFICHE TECNICHE: RINZAFFO RUSTICO IN MALTA BASTARDA O A BASE DI LEGANTI AEREI O IDRAULICI, ARRICCIATURA IN STABILITURA DI CALCE IDRATA O DI CEMENTO; SU SUPERFICIE INTERNE VERTICALI.</t>
        </is>
      </c>
      <c r="M150" s="4" t="inlineStr">
        <is>
          <t>M²</t>
        </is>
      </c>
      <c r="N150" s="5" t="n">
        <v>28.54</v>
      </c>
      <c r="O150" s="45" t="n">
        <v>16.46</v>
      </c>
      <c r="P150" s="45" t="n">
        <v>469.7684</v>
      </c>
      <c r="Q150" s="5" t="n"/>
      <c r="R150" s="6" t="n"/>
      <c r="S150" s="6">
        <f>IF(AND(Q150&lt;&gt;"",R150&lt;&gt;""),Q150*R150,"")</f>
        <v/>
      </c>
      <c r="T150" s="45">
        <f>IF(S150="",P150,S150)</f>
        <v/>
      </c>
      <c r="U150" s="7" t="n">
        <v>0</v>
      </c>
      <c r="V150" s="6">
        <f>$T150*U150</f>
        <v/>
      </c>
      <c r="W150" s="7" t="n">
        <v>0</v>
      </c>
      <c r="X150" s="6">
        <f>$T150*W150</f>
        <v/>
      </c>
      <c r="Y150" s="7" t="n">
        <v>0</v>
      </c>
      <c r="Z150" s="6">
        <f>$T150*Y150</f>
        <v/>
      </c>
      <c r="AA150" s="7" t="n">
        <v>0</v>
      </c>
      <c r="AB150" s="6">
        <f>$T150*AA150</f>
        <v/>
      </c>
      <c r="AC150" s="7" t="n">
        <v>0</v>
      </c>
      <c r="AD150" s="6">
        <f>$T150*AC150</f>
        <v/>
      </c>
      <c r="AE150" s="7" t="n">
        <v>0</v>
      </c>
      <c r="AF150" s="6">
        <f>$T150*AE150</f>
        <v/>
      </c>
      <c r="AG150" s="7" t="n">
        <v>0</v>
      </c>
      <c r="AH150" s="6">
        <f>$T150*AG150</f>
        <v/>
      </c>
      <c r="AI150" s="7">
        <f>U150+W150+Y150+AA150+AC150+AE150+AG150</f>
        <v/>
      </c>
      <c r="AJ150" s="6">
        <f>V150+X150+Z150+AB150+AD150+AF150+AH150</f>
        <v/>
      </c>
    </row>
    <row r="151" hidden="1" ht="60" customHeight="1" s="46">
      <c r="A151" s="3" t="inlineStr">
        <is>
          <t>PA.ARC.01</t>
        </is>
      </c>
      <c r="B151" s="4" t="inlineStr">
        <is>
          <t>4/4</t>
        </is>
      </c>
      <c r="C151" s="3" t="inlineStr">
        <is>
          <t>EDILE</t>
        </is>
      </c>
      <c r="D151" s="4" t="inlineStr">
        <is>
          <t>SPECIALE</t>
        </is>
      </c>
      <c r="E151" s="4" t="inlineStr">
        <is>
          <t>EDILI SPECIALI</t>
        </is>
      </c>
      <c r="F151" s="3" t="inlineStr">
        <is>
          <t>1_2025.11.20_CME REV07.PDF</t>
        </is>
      </c>
      <c r="G151" s="4" t="inlineStr">
        <is>
          <t>121</t>
        </is>
      </c>
      <c r="H151" s="3" t="inlineStr">
        <is>
          <t>60 - FINITURE</t>
        </is>
      </c>
      <c r="I151" s="3" t="inlineStr">
        <is>
          <t>NUOVI LABORATORI</t>
        </is>
      </c>
      <c r="J151" s="3" t="inlineStr">
        <is>
          <t>OPERE EDILI</t>
        </is>
      </c>
      <c r="K151" s="3" t="inlineStr">
        <is>
          <t>STRUTTURA METALLICA PER PARETI DIVISORIE INTERNE E TAMPONATURE ESTERNE. STRUTTURA METALLICA PER PARETI DIVISORIE, CONTROPARETI E TAMPONATURE A SECCO, FORNITA E POSTA IN OPERA, DI SPESSORE VARIABILE DI</t>
        </is>
      </c>
      <c r="L151" s="3" t="inlineStr">
        <is>
          <t>STRUTTURA METALLICA PER PARETI DIVISORIE INTERNE E TAMPONATURE ESTERNE. STRUTTURA METALLICA PER PARETI DIVISORIE, CONTROPARETI E TAMPONATURE A SECCO, FORNITA E POSTA IN OPERA, DI SPESSORE VARIABILE DI CM. 5/7,5/10/15 (OLTRE LO SPESSORE DELLE LASTRE) COSTITUITA DA PROFILATI METALLICI A C ZINCATI DELLO SPESSORE DI 0,6 O 0,8 MM. POSTI IN VERTICALE CON UN INTERASSE VARIABILE DI CM. 30/40/60 IN FUNZIONE DELL'ALTEZZA DELLA PARETE E DELLE CARATTERISTICHE DI RESISTENZA RICHIESTE E POSTI IN ORIZZONTALE A PAVIMENTO E SOFFITTO ANCORATI CON FISSAGGI MECCANICI, COMPLETI DELL' APPLICAZIONE SU TUTTO IL PERIMETRO DI NASTRI ADESIVI DI IDONEO MATERIALE ATTO AD ELIMINARE EVENTUALI PONTI ACUSTICI. E' COMPRESO IL TAGLIO E LO SFRIDO, IL MATERIALE DI FISSAGGIO, IL TRASPORTO IN CANTIERE, LO SMISTAMENTO AL PIANO, L'ONERE PER LA SAGOMATURA DELLE APERTURE, LA FORNITURA E POSA IN OPERA DI MORALETTI IN LEGNO POSTI SUI LATI DELL'APERTURA PER GARANTIRE IL FISSAGGIO DEI SERRAMENTI. E' INOLTRE COMPRESO QUANTO ALTRO OCCORRE PER DARE L'OPERA FINITA.  STRUTTURA METALLICA DELLO SPESSORE DI CM. 7,5 COSTITUITA DA PROFILATI A C DELLE DIMENSIONI ASSIMILABILI A MM 50X75X50 SPESSORE 0,6 MM. INTERASSE 60 CM. RIFERIMENTO PREZZARIO UMBRIA 2024. TARIFFA: 07.04.0010.004</t>
        </is>
      </c>
      <c r="M151" s="4" t="inlineStr">
        <is>
          <t>MQ</t>
        </is>
      </c>
      <c r="N151" s="5" t="n">
        <v>54.67</v>
      </c>
      <c r="O151" s="45" t="n">
        <v>11.54</v>
      </c>
      <c r="P151" s="45" t="n">
        <v>630.8918</v>
      </c>
      <c r="Q151" s="5" t="n"/>
      <c r="R151" s="6" t="n"/>
      <c r="S151" s="6">
        <f>IF(AND(Q151&lt;&gt;"",R151&lt;&gt;""),Q151*R151,"")</f>
        <v/>
      </c>
      <c r="T151" s="45">
        <f>IF(S151="",P151,S151)</f>
        <v/>
      </c>
      <c r="U151" s="7" t="n">
        <v>0</v>
      </c>
      <c r="V151" s="6">
        <f>$T151*U151</f>
        <v/>
      </c>
      <c r="W151" s="7" t="n">
        <v>0</v>
      </c>
      <c r="X151" s="6">
        <f>$T151*W151</f>
        <v/>
      </c>
      <c r="Y151" s="7" t="n">
        <v>0</v>
      </c>
      <c r="Z151" s="6">
        <f>$T151*Y151</f>
        <v/>
      </c>
      <c r="AA151" s="7" t="n">
        <v>0</v>
      </c>
      <c r="AB151" s="6">
        <f>$T151*AA151</f>
        <v/>
      </c>
      <c r="AC151" s="7" t="n">
        <v>0</v>
      </c>
      <c r="AD151" s="6">
        <f>$T151*AC151</f>
        <v/>
      </c>
      <c r="AE151" s="7" t="n">
        <v>0</v>
      </c>
      <c r="AF151" s="6">
        <f>$T151*AE151</f>
        <v/>
      </c>
      <c r="AG151" s="7" t="n">
        <v>0</v>
      </c>
      <c r="AH151" s="6">
        <f>$T151*AG151</f>
        <v/>
      </c>
      <c r="AI151" s="7">
        <f>U151+W151+Y151+AA151+AC151+AE151+AG151</f>
        <v/>
      </c>
      <c r="AJ151" s="6">
        <f>V151+X151+Z151+AB151+AD151+AF151+AH151</f>
        <v/>
      </c>
    </row>
    <row r="152" ht="60" customHeight="1" s="46">
      <c r="A152" s="3" t="inlineStr">
        <is>
          <t>LOM241.PO.EEA.A04.D0001.K0002.0005.B</t>
        </is>
      </c>
      <c r="B152" s="4" t="inlineStr">
        <is>
          <t>3/4</t>
        </is>
      </c>
      <c r="C152" s="3" t="inlineStr">
        <is>
          <t>EDILE</t>
        </is>
      </c>
      <c r="D152" s="4" t="inlineStr">
        <is>
          <t>SPECIALE</t>
        </is>
      </c>
      <c r="E152" s="4" t="inlineStr">
        <is>
          <t>EDILI SPECIALI</t>
        </is>
      </c>
      <c r="F152" s="3" t="inlineStr">
        <is>
          <t>1_2025.11.20_CME REV07.PDF</t>
        </is>
      </c>
      <c r="G152" s="4" t="inlineStr">
        <is>
          <t>128</t>
        </is>
      </c>
      <c r="H152" s="3" t="inlineStr">
        <is>
          <t>60 - FINITURE</t>
        </is>
      </c>
      <c r="I152" s="3" t="inlineStr">
        <is>
          <t>NUOVI LABORATORI</t>
        </is>
      </c>
      <c r="J152" s="3" t="inlineStr">
        <is>
          <t>OPERE EDILI</t>
        </is>
      </c>
      <c r="K152" s="3" t="inlineStr">
        <is>
          <t xml:space="preserve">PRODOTTO SEMILAVORATO: IMPASTO IN OPERA DI ARGILLA ESPANSA; IMPIEGO: MASSETTI DI FINITURA/MONOSTRATO. </t>
        </is>
      </c>
      <c r="L152" s="3" t="inlineStr">
        <is>
          <t>PRODOTTO SEMILAVORATO: IMPASTO IN OPERA DI ARGILLA ESPANSA; IMPIEGO: MASSETTI DI FINITURA/MONOSTRATO. 
LAVORO: FORMAZIONE CON MEZZO MECCANICO. 
SPECIFICHE TECNICHE: DOSAGGIO PER M³ DI IMPASTO: CEMENTO [KG] = 300. 
COMPONENTI: 
PS1 PRODOTTO SEMILAVORATO: IMPASTO IN OPERA DI ARGILLA ESPANSA; IMPIEGO: MASSETTI DI FINITURA/MONOSTRATO. 
SPECIFICHE TECNICHE: DOSAGGIO PER M³ DI IMPASTO: CEMENTO [KG] = 300. 
RM2 LEGANTE IDRAULICO DI CEMENTO GENERICO; GEOMETRIA/FORMA/ASPETTO: SFUSO | TIPO ELEVATA RESISTENZA 32.5R; FORNITURA: SILOS 
RM2 AGGREGATO DI ARGILLA ESPANSA; GEOMETRIA/FORMA/ASPETTO: SCIOLTA | TONDO; FUNZIONE: TERMOISOLANTE | ALLEGGERIMENTO | MISCELE ALLEGGERITE; IMPIEGO: RIEMPIMENTI | ISOLAMENTI TERMICI | CALCESTRUZZI LEGGERI | IMPASTI | SOTTOFONDI; FORNITURA: SFUSO; DIAMETRO (Ø) [MM] = 3 ÷ 8; MASSA VOLUMICA IN MUCCHIO [KG/M³] &lt; 380 | RESISTENZA A SCHIACCIAMENTO [MPA] &gt; 1 | CONDUCIBILITÀ TERMICA [W/MK] &gt; 0,095 | REAZIONE AL FUOCO [EUROCLASSE] = A1 
SPECIFICHE TECNICHE: LEGGERA; GRANULARE; CLINKERIZZATA; INERTE; INCOMBUSTIBILE; RESISTENTE; A BASSO ASSORBIMENTO DI UMIDITÀ 
LV1 LAVORO: FORMAZIONE CON MEZZO MECCANICO. 
RP2 BETONIERA A BICCHIERE; CAPACITÀ [M³] ≤ 0,35 
SPECIFICHE TECNICHE: AD AZIONAMENTO ELETTRICO; CRITERIO DI MISURAZIONE: ORE DI PRESENZA IN CANTIERE</t>
        </is>
      </c>
      <c r="M152" s="4" t="inlineStr">
        <is>
          <t>M³</t>
        </is>
      </c>
      <c r="N152" s="5" t="n">
        <v>44.3</v>
      </c>
      <c r="O152" s="45" t="n">
        <v>434.95</v>
      </c>
      <c r="P152" s="45" t="n">
        <v>19268.285</v>
      </c>
      <c r="Q152" s="5" t="n"/>
      <c r="R152" s="6" t="n"/>
      <c r="S152" s="6">
        <f>IF(AND(Q152&lt;&gt;"",R152&lt;&gt;""),Q152*R152,"")</f>
        <v/>
      </c>
      <c r="T152" s="45">
        <f>IF(S152="",P152,S152)</f>
        <v/>
      </c>
      <c r="U152" s="7" t="n">
        <v>0</v>
      </c>
      <c r="V152" s="6">
        <f>$T152*U152</f>
        <v/>
      </c>
      <c r="W152" s="7" t="n">
        <v>0.4</v>
      </c>
      <c r="X152" s="6">
        <f>$T152*W152</f>
        <v/>
      </c>
      <c r="Y152" s="7" t="n">
        <v>0</v>
      </c>
      <c r="Z152" s="6">
        <f>$T152*Y152</f>
        <v/>
      </c>
      <c r="AA152" s="7" t="n">
        <v>0</v>
      </c>
      <c r="AB152" s="6">
        <f>$T152*AA152</f>
        <v/>
      </c>
      <c r="AC152" s="7" t="n">
        <v>0</v>
      </c>
      <c r="AD152" s="6">
        <f>$T152*AC152</f>
        <v/>
      </c>
      <c r="AE152" s="7" t="n">
        <v>0</v>
      </c>
      <c r="AF152" s="6">
        <f>$T152*AE152</f>
        <v/>
      </c>
      <c r="AG152" s="7" t="n">
        <v>0</v>
      </c>
      <c r="AH152" s="6">
        <f>$T152*AG152</f>
        <v/>
      </c>
      <c r="AI152" s="7">
        <f>U152+W152+Y152+AA152+AC152+AE152+AG152</f>
        <v/>
      </c>
      <c r="AJ152" s="6">
        <f>V152+X152+Z152+AB152+AD152+AF152+AH152</f>
        <v/>
      </c>
    </row>
    <row r="153" hidden="1" ht="60" customHeight="1" s="46">
      <c r="A153" s="3" t="inlineStr">
        <is>
          <t>LOM241.1C.18.020.0010.A</t>
        </is>
      </c>
      <c r="B153" s="4" t="inlineStr">
        <is>
          <t>2/2</t>
        </is>
      </c>
      <c r="C153" s="3" t="inlineStr">
        <is>
          <t>EDILE</t>
        </is>
      </c>
      <c r="D153" s="4" t="inlineStr">
        <is>
          <t>SPECIALE</t>
        </is>
      </c>
      <c r="E153" s="4" t="inlineStr">
        <is>
          <t>EDILI SPECIALI</t>
        </is>
      </c>
      <c r="F153" s="3" t="inlineStr">
        <is>
          <t>1_2025.11.20_CME REV07.PDF</t>
        </is>
      </c>
      <c r="G153" s="4" t="inlineStr">
        <is>
          <t>129</t>
        </is>
      </c>
      <c r="H153" s="3" t="inlineStr">
        <is>
          <t>60 - FINITURE</t>
        </is>
      </c>
      <c r="I153" s="3" t="inlineStr">
        <is>
          <t>NUOVI LABORATORI</t>
        </is>
      </c>
      <c r="J153" s="3" t="inlineStr">
        <is>
          <t>PAVIMENTI E RIVESTIMENTI</t>
        </is>
      </c>
      <c r="K153" s="3" t="inlineStr">
        <is>
          <t>PAVIMENTO IN GRANULATO SFEROIDALE DI QUARZO A RIPORTO COSTITUITO DA STRATO DI USURA DI 1 CM CIRCA CON PASTINA A 12 KG/M² DI GRANULATO DI QUARZO E 6 KG/M² DI CEMENTO; COMPRESA LA FORNITURA DEL CALCESTR</t>
        </is>
      </c>
      <c r="L153" s="3" t="inlineStr">
        <is>
          <t>PAVIMENTO IN GRANULATO SFEROIDALE DI QUARZO A RIPORTO COSTITUITO DA STRATO DI USURA DI 1 CM CIRCA CON PASTINA A 12 KG/M² DI GRANULATO DI QUARZO E 6 KG/M² DI CEMENTO; COMPRESA LA FORNITURA DEL CALCESTRUZZO DEL MASSETTO, LA LISCIATURA, LA FORMAZIONE DEI GIUNTI E L'ASSISTENZA MURARIA. - MASSETTO SPESSORE 15 CM DI CALCESTRUZZO C20/25, CON SUPERFICIE COMPATTA E LISCIATA</t>
        </is>
      </c>
      <c r="M153" s="4" t="inlineStr">
        <is>
          <t>M²</t>
        </is>
      </c>
      <c r="N153" s="5" t="n">
        <v>62.4</v>
      </c>
      <c r="O153" s="45" t="n">
        <v>23.51</v>
      </c>
      <c r="P153" s="45" t="n">
        <v>1467.024</v>
      </c>
      <c r="Q153" s="5" t="n"/>
      <c r="R153" s="6" t="n"/>
      <c r="S153" s="6">
        <f>IF(AND(Q153&lt;&gt;"",R153&lt;&gt;""),Q153*R153,"")</f>
        <v/>
      </c>
      <c r="T153" s="45">
        <f>IF(S153="",P153,S153)</f>
        <v/>
      </c>
      <c r="U153" s="7" t="n">
        <v>0</v>
      </c>
      <c r="V153" s="6">
        <f>$T153*U153</f>
        <v/>
      </c>
      <c r="W153" s="7" t="n">
        <v>0</v>
      </c>
      <c r="X153" s="6">
        <f>$T153*W153</f>
        <v/>
      </c>
      <c r="Y153" s="7" t="n">
        <v>0</v>
      </c>
      <c r="Z153" s="6">
        <f>$T153*Y153</f>
        <v/>
      </c>
      <c r="AA153" s="7" t="n">
        <v>0</v>
      </c>
      <c r="AB153" s="6">
        <f>$T153*AA153</f>
        <v/>
      </c>
      <c r="AC153" s="7" t="n">
        <v>0</v>
      </c>
      <c r="AD153" s="6">
        <f>$T153*AC153</f>
        <v/>
      </c>
      <c r="AE153" s="7" t="n">
        <v>0</v>
      </c>
      <c r="AF153" s="6">
        <f>$T153*AE153</f>
        <v/>
      </c>
      <c r="AG153" s="7" t="n">
        <v>0</v>
      </c>
      <c r="AH153" s="6">
        <f>$T153*AG153</f>
        <v/>
      </c>
      <c r="AI153" s="7">
        <f>U153+W153+Y153+AA153+AC153+AE153+AG153</f>
        <v/>
      </c>
      <c r="AJ153" s="6">
        <f>V153+X153+Z153+AB153+AD153+AF153+AH153</f>
        <v/>
      </c>
    </row>
    <row r="154" ht="60" customHeight="1" s="46">
      <c r="A154" s="3" t="inlineStr">
        <is>
          <t>LOM241.RM.02.10.00.F0004.0010</t>
        </is>
      </c>
      <c r="B154" s="4" t="inlineStr">
        <is>
          <t>2/2</t>
        </is>
      </c>
      <c r="C154" s="3" t="inlineStr">
        <is>
          <t>EDILE</t>
        </is>
      </c>
      <c r="D154" s="4" t="inlineStr">
        <is>
          <t>SPECIALE</t>
        </is>
      </c>
      <c r="E154" s="4" t="inlineStr">
        <is>
          <t>EDILI SPECIALI</t>
        </is>
      </c>
      <c r="F154" s="3" t="inlineStr">
        <is>
          <t>1_2025.11.20_CME REV07.PDF</t>
        </is>
      </c>
      <c r="G154" s="4" t="inlineStr">
        <is>
          <t>130</t>
        </is>
      </c>
      <c r="H154" s="3" t="inlineStr">
        <is>
          <t>60 - FINITURE</t>
        </is>
      </c>
      <c r="I154" s="3" t="inlineStr">
        <is>
          <t>NUOVI LABORATORI</t>
        </is>
      </c>
      <c r="J154" s="3" t="inlineStr">
        <is>
          <t>OPERE EDILI</t>
        </is>
      </c>
      <c r="K154" s="3" t="inlineStr">
        <is>
          <t xml:space="preserve">MEMBRANA ARMATA DI BITUME ELASTOMERICO (BPE); FINITURA: LISCIA; FUNZIONE: IMPERMEABILIZZANTE; IMPIEGO: COPERTURA; SPESSORE [MM] = 4; FLESSIBILITÀ A FREDDO [°C] ≤ -20 | STABILITÀ DI FORMA A CALDO [°C] </t>
        </is>
      </c>
      <c r="L154" s="3" t="inlineStr">
        <is>
          <t>MEMBRANA ARMATA DI BITUME ELASTOMERICO (BPE); FINITURA: LISCIA; FUNZIONE: IMPERMEABILIZZANTE; IMPIEGO: COPERTURA; SPESSORE [MM] = 4; FLESSIBILITÀ A FREDDO [°C] ≤ -20 | STABILITÀ DI FORMA A CALDO [°C] ≥ 100 | RESISTENZA A TRAZIONE A ROTTURA L/T (-20%) [N/50 MM] = 450/300 
SPECIFICHE TECNICHE: DICHIARAZIONE DI PRESTAZIONE DOP 
COMPONENTI: 
RM1 MEMBRANA DI BITUME ELASTOMERICO (BPE) 
RM1 MEMBRANA DI FIBRA SINTETICA POLIESTERE; FUNZIONE: ARMATURA</t>
        </is>
      </c>
      <c r="M154" s="4" t="inlineStr">
        <is>
          <t>M²</t>
        </is>
      </c>
      <c r="N154" s="5" t="n">
        <v>53</v>
      </c>
      <c r="O154" s="45" t="n">
        <v>27.39</v>
      </c>
      <c r="P154" s="45" t="n">
        <v>1451.67</v>
      </c>
      <c r="Q154" s="5" t="n"/>
      <c r="R154" s="6" t="n"/>
      <c r="S154" s="6">
        <f>IF(AND(Q154&lt;&gt;"",R154&lt;&gt;""),Q154*R154,"")</f>
        <v/>
      </c>
      <c r="T154" s="45">
        <f>IF(S154="",P154,S154)</f>
        <v/>
      </c>
      <c r="U154" s="7" t="n">
        <v>0</v>
      </c>
      <c r="V154" s="6">
        <f>$T154*U154</f>
        <v/>
      </c>
      <c r="W154" s="7" t="n">
        <v>0.75</v>
      </c>
      <c r="X154" s="6">
        <f>$T154*W154</f>
        <v/>
      </c>
      <c r="Y154" s="7" t="n">
        <v>0</v>
      </c>
      <c r="Z154" s="6">
        <f>$T154*Y154</f>
        <v/>
      </c>
      <c r="AA154" s="7" t="n">
        <v>0</v>
      </c>
      <c r="AB154" s="6">
        <f>$T154*AA154</f>
        <v/>
      </c>
      <c r="AC154" s="7" t="n">
        <v>0</v>
      </c>
      <c r="AD154" s="6">
        <f>$T154*AC154</f>
        <v/>
      </c>
      <c r="AE154" s="7" t="n">
        <v>0</v>
      </c>
      <c r="AF154" s="6">
        <f>$T154*AE154</f>
        <v/>
      </c>
      <c r="AG154" s="7" t="n">
        <v>0</v>
      </c>
      <c r="AH154" s="6">
        <f>$T154*AG154</f>
        <v/>
      </c>
      <c r="AI154" s="7">
        <f>U154+W154+Y154+AA154+AC154+AE154+AG154</f>
        <v/>
      </c>
      <c r="AJ154" s="6">
        <f>V154+X154+Z154+AB154+AD154+AF154+AH154</f>
        <v/>
      </c>
    </row>
    <row r="155" ht="60" customHeight="1" s="46">
      <c r="A155" s="3" t="inlineStr">
        <is>
          <t>LOM241.RM.02.10.00.F0004.0000.B</t>
        </is>
      </c>
      <c r="B155" s="4" t="inlineStr">
        <is>
          <t>2/2</t>
        </is>
      </c>
      <c r="C155" s="3" t="inlineStr">
        <is>
          <t>EDILE</t>
        </is>
      </c>
      <c r="D155" s="4" t="inlineStr">
        <is>
          <t>SPECIALE</t>
        </is>
      </c>
      <c r="E155" s="4" t="inlineStr">
        <is>
          <t>EDILI SPECIALI</t>
        </is>
      </c>
      <c r="F155" s="3" t="inlineStr">
        <is>
          <t>1_2025.11.20_CME REV07.PDF</t>
        </is>
      </c>
      <c r="G155" s="4" t="inlineStr">
        <is>
          <t>131</t>
        </is>
      </c>
      <c r="H155" s="3" t="inlineStr">
        <is>
          <t>60 - FINITURE</t>
        </is>
      </c>
      <c r="I155" s="3" t="inlineStr">
        <is>
          <t>NUOVI LABORATORI</t>
        </is>
      </c>
      <c r="J155" s="3" t="inlineStr">
        <is>
          <t>OPERE EDILI</t>
        </is>
      </c>
      <c r="K155" s="3" t="inlineStr">
        <is>
          <t>MEMBRANA ARMATA DI BITUME ELASTOMERICO (BPE); FINITURA: ARDESIATA; FUNZIONE: IMPERMEABILIZZANTE; IMPIEGO: COPERTURA; FLESSIBILITÀ A FREDDO [°C] ≤ -20 | STABILITÀ DI FORMA A CALDO [°C] ≥ 100 | RESISTEN</t>
        </is>
      </c>
      <c r="L155" s="3" t="inlineStr">
        <is>
          <t>MEMBRANA ARMATA DI BITUME ELASTOMERICO (BPE); FINITURA: ARDESIATA; FUNZIONE: IMPERMEABILIZZANTE; IMPIEGO: COPERTURA; FLESSIBILITÀ A FREDDO [°C] ≤ -20 | STABILITÀ DI FORMA A CALDO [°C] ≥ 100 | RESISTENZA A TRAZIONE A ROTTURA L/T (-20%) [N/50 MM] = 550/300; PESO [KG/M²] = 4,5 
SPECIFICHE TECNICHE: DICHIARAZIONE DI PRESTAZIONE DOP 
COMPONENTI: 
RM1 MEMBRANA DI BITUME ELASTOMERICO (BPE); FINITURA: SCAGLIE DI ARDESIA 
RM1 MEMBRANA DI FIBRA SINTETICA POLIESTERE; FUNZIONE: ARMATURA</t>
        </is>
      </c>
      <c r="M155" s="4" t="inlineStr">
        <is>
          <t>M²</t>
        </is>
      </c>
      <c r="N155" s="5" t="n">
        <v>53</v>
      </c>
      <c r="O155" s="45" t="n">
        <v>24.1</v>
      </c>
      <c r="P155" s="45" t="n">
        <v>1277.3</v>
      </c>
      <c r="Q155" s="5" t="n"/>
      <c r="R155" s="6" t="n"/>
      <c r="S155" s="6">
        <f>IF(AND(Q155&lt;&gt;"",R155&lt;&gt;""),Q155*R155,"")</f>
        <v/>
      </c>
      <c r="T155" s="45">
        <f>IF(S155="",P155,S155)</f>
        <v/>
      </c>
      <c r="U155" s="7" t="n">
        <v>0</v>
      </c>
      <c r="V155" s="6">
        <f>$T155*U155</f>
        <v/>
      </c>
      <c r="W155" s="7" t="n">
        <v>0.75</v>
      </c>
      <c r="X155" s="6">
        <f>$T155*W155</f>
        <v/>
      </c>
      <c r="Y155" s="7" t="n">
        <v>0</v>
      </c>
      <c r="Z155" s="6">
        <f>$T155*Y155</f>
        <v/>
      </c>
      <c r="AA155" s="7" t="n">
        <v>0</v>
      </c>
      <c r="AB155" s="6">
        <f>$T155*AA155</f>
        <v/>
      </c>
      <c r="AC155" s="7" t="n">
        <v>0</v>
      </c>
      <c r="AD155" s="6">
        <f>$T155*AC155</f>
        <v/>
      </c>
      <c r="AE155" s="7" t="n">
        <v>0</v>
      </c>
      <c r="AF155" s="6">
        <f>$T155*AE155</f>
        <v/>
      </c>
      <c r="AG155" s="7" t="n">
        <v>0</v>
      </c>
      <c r="AH155" s="6">
        <f>$T155*AG155</f>
        <v/>
      </c>
      <c r="AI155" s="7">
        <f>U155+W155+Y155+AA155+AC155+AE155+AG155</f>
        <v/>
      </c>
      <c r="AJ155" s="6">
        <f>V155+X155+Z155+AB155+AD155+AF155+AH155</f>
        <v/>
      </c>
    </row>
    <row r="156" hidden="1" ht="60" customHeight="1" s="46">
      <c r="A156" s="3" t="inlineStr">
        <is>
          <t>LOM241.PO.EEA.A04.D0001.K0002.0005.B</t>
        </is>
      </c>
      <c r="B156" s="4" t="inlineStr">
        <is>
          <t>4/4</t>
        </is>
      </c>
      <c r="C156" s="3" t="inlineStr">
        <is>
          <t>EDILE</t>
        </is>
      </c>
      <c r="D156" s="4" t="inlineStr">
        <is>
          <t>SPECIALE</t>
        </is>
      </c>
      <c r="E156" s="4" t="inlineStr">
        <is>
          <t>EDILI SPECIALI</t>
        </is>
      </c>
      <c r="F156" s="3" t="inlineStr">
        <is>
          <t>1_2025.11.20_CME REV07.PDF</t>
        </is>
      </c>
      <c r="G156" s="4" t="inlineStr">
        <is>
          <t>137</t>
        </is>
      </c>
      <c r="H156" s="3" t="inlineStr">
        <is>
          <t>60 - FINITURE</t>
        </is>
      </c>
      <c r="I156" s="3" t="inlineStr">
        <is>
          <t>NUOVI LABORATORI</t>
        </is>
      </c>
      <c r="J156" s="3" t="inlineStr">
        <is>
          <t>OPERE EDILI</t>
        </is>
      </c>
      <c r="K156" s="3" t="inlineStr">
        <is>
          <t xml:space="preserve">PRODOTTO SEMILAVORATO: IMPASTO IN OPERA DI ARGILLA ESPANSA; IMPIEGO: MASSETTI DI FINITURA/MONOSTRATO. </t>
        </is>
      </c>
      <c r="L156" s="3" t="inlineStr">
        <is>
          <t>PRODOTTO SEMILAVORATO: IMPASTO IN OPERA DI ARGILLA ESPANSA; IMPIEGO: MASSETTI DI FINITURA/MONOSTRATO. 
LAVORO: FORMAZIONE CON MEZZO MECCANICO. 
SPECIFICHE TECNICHE: DOSAGGIO PER M³ DI IMPASTO: CEMENTO [KG] = 300. 
COMPONENTI: 
PS1 PRODOTTO SEMILAVORATO: IMPASTO IN OPERA DI ARGILLA ESPANSA; IMPIEGO: MASSETTI DI FINITURA/MONOSTRATO. 
SPECIFICHE TECNICHE: DOSAGGIO PER M³ DI IMPASTO: CEMENTO [KG] = 300. 
RM2 LEGANTE IDRAULICO DI CEMENTO GENERICO; GEOMETRIA/FORMA/ASPETTO: SFUSO | TIPO ELEVATA RESISTENZA 32.5R; FORNITURA: SILOS 
RM2 AGGREGATO DI ARGILLA ESPANSA; GEOMETRIA/FORMA/ASPETTO: SCIOLTA | TONDO; FUNZIONE: TERMOISOLANTE | ALLEGGERIMENTO | MISCELE ALLEGGERITE; IMPIEGO: RIEMPIMENTI | ISOLAMENTI TERMICI | CALCESTRUZZI LEGGERI | IMPASTI | SOTTOFONDI; FORNITURA: SFUSO; DIAMETRO (Ø) [MM] = 3 ÷ 8; MASSA VOLUMICA IN MUCCHIO [KG/M³] &lt; 380 | RESISTENZA A SCHIACCIAMENTO [MPA] &gt; 1 | CONDUCIBILITÀ TERMICA [W/MK] &gt; 0,095 | REAZIONE AL FUOCO [EUROCLASSE] = A1 
SPECIFICHE TECNICHE: LEGGERA; GRANULARE; CLINKERIZZATA; INERTE; INCOMBUSTIBILE; RESISTENTE; A BASSO ASSORBIMENTO DI UMIDITÀ 
LV1 LAVORO: FORMAZIONE CON MEZZO MECCANICO. 
RP2 BETONIERA A BICCHIERE; CAPACITÀ [M³] ≤ 0,35 
SPECIFICHE TECNICHE: AD AZIONAMENTO ELETTRICO; CRITERIO DI MISURAZIONE: ORE DI PRESENZA IN CANTIERE</t>
        </is>
      </c>
      <c r="M156" s="4" t="inlineStr">
        <is>
          <t>M³</t>
        </is>
      </c>
      <c r="N156" s="5" t="n">
        <v>48.68</v>
      </c>
      <c r="O156" s="45" t="n">
        <v>434.95</v>
      </c>
      <c r="P156" s="45" t="n">
        <v>21173.366</v>
      </c>
      <c r="Q156" s="5" t="n"/>
      <c r="R156" s="6" t="n"/>
      <c r="S156" s="6">
        <f>IF(AND(Q156&lt;&gt;"",R156&lt;&gt;""),Q156*R156,"")</f>
        <v/>
      </c>
      <c r="T156" s="45">
        <f>IF(S156="",P156,S156)</f>
        <v/>
      </c>
      <c r="U156" s="7" t="n">
        <v>0</v>
      </c>
      <c r="V156" s="6">
        <f>$T156*U156</f>
        <v/>
      </c>
      <c r="W156" s="7" t="n">
        <v>0</v>
      </c>
      <c r="X156" s="6">
        <f>$T156*W156</f>
        <v/>
      </c>
      <c r="Y156" s="7" t="n">
        <v>0</v>
      </c>
      <c r="Z156" s="6">
        <f>$T156*Y156</f>
        <v/>
      </c>
      <c r="AA156" s="7" t="n">
        <v>0</v>
      </c>
      <c r="AB156" s="6">
        <f>$T156*AA156</f>
        <v/>
      </c>
      <c r="AC156" s="7" t="n">
        <v>0</v>
      </c>
      <c r="AD156" s="6">
        <f>$T156*AC156</f>
        <v/>
      </c>
      <c r="AE156" s="7" t="n">
        <v>0</v>
      </c>
      <c r="AF156" s="6">
        <f>$T156*AE156</f>
        <v/>
      </c>
      <c r="AG156" s="7" t="n">
        <v>0</v>
      </c>
      <c r="AH156" s="6">
        <f>$T156*AG156</f>
        <v/>
      </c>
      <c r="AI156" s="7">
        <f>U156+W156+Y156+AA156+AC156+AE156+AG156</f>
        <v/>
      </c>
      <c r="AJ156" s="6">
        <f>V156+X156+Z156+AB156+AD156+AF156+AH156</f>
        <v/>
      </c>
    </row>
    <row r="157" ht="60" customHeight="1" s="46">
      <c r="A157" s="3" t="inlineStr">
        <is>
          <t>LOM241.1C.18.450.0010.B</t>
        </is>
      </c>
      <c r="B157" s="4" t="inlineStr">
        <is>
          <t>2/2</t>
        </is>
      </c>
      <c r="C157" s="3" t="inlineStr">
        <is>
          <t>EDILE</t>
        </is>
      </c>
      <c r="D157" s="4" t="inlineStr">
        <is>
          <t>SPECIALE</t>
        </is>
      </c>
      <c r="E157" s="4" t="inlineStr">
        <is>
          <t>EDILI SPECIALI</t>
        </is>
      </c>
      <c r="F157" s="3" t="inlineStr">
        <is>
          <t>1_2025.11.20_CME REV07.PDF</t>
        </is>
      </c>
      <c r="G157" s="4" t="inlineStr">
        <is>
          <t>139</t>
        </is>
      </c>
      <c r="H157" s="3" t="inlineStr">
        <is>
          <t>60 - FINITURE</t>
        </is>
      </c>
      <c r="I157" s="3" t="inlineStr">
        <is>
          <t>NUOVI LABORATORI</t>
        </is>
      </c>
      <c r="J157" s="3" t="inlineStr">
        <is>
          <t>PAVIMENTI E RIVESTIMENTI</t>
        </is>
      </c>
      <c r="K157" s="3" t="inlineStr">
        <is>
          <t xml:space="preserve">PAVIMENTO IN PIASTRELLE SEMIFLESSIBILI DI PVC AD ELEVATE CARICHE MINERALI, OMOGENEO PLASTIFICATO E STABILIZZATO, DA CM 30X30, PESO 5,0 ÷ 7,0 KG/M², POSATO CON ADESIVO, COMPRESA LA NORMALE RASATURA DI </t>
        </is>
      </c>
      <c r="L157" s="3" t="inlineStr">
        <is>
          <t>PAVIMENTO IN PIASTRELLE SEMIFLESSIBILI DI PVC AD ELEVATE CARICHE MINERALI, OMOGENEO PLASTIFICATO E STABILIZZATO, DA CM 30X30, PESO 5,0 ÷ 7,0 KG/M², POSATO CON ADESIVO, COMPRESA LA NORMALE RASATURA DI IDONEO MASSETTO E LE ASSISTENZE MURARIE; SPESSORE: - 3,2 MM - CLASSE EN685 34/43 , CLASSE DI REAZIONE AL FUOCO UNO (D.M. 15.03.2005) = BFL S1 (EN13501-1) ;</t>
        </is>
      </c>
      <c r="M157" s="4" t="inlineStr">
        <is>
          <t>M²</t>
        </is>
      </c>
      <c r="N157" s="5" t="n">
        <v>270.44</v>
      </c>
      <c r="O157" s="45" t="n">
        <v>49.37</v>
      </c>
      <c r="P157" s="45" t="n">
        <v>13351.6228</v>
      </c>
      <c r="Q157" s="5" t="n"/>
      <c r="R157" s="6" t="n"/>
      <c r="S157" s="6">
        <f>IF(AND(Q157&lt;&gt;"",R157&lt;&gt;""),Q157*R157,"")</f>
        <v/>
      </c>
      <c r="T157" s="45">
        <f>IF(S157="",P157,S157)</f>
        <v/>
      </c>
      <c r="U157" s="7" t="n">
        <v>0</v>
      </c>
      <c r="V157" s="6">
        <f>$T157*U157</f>
        <v/>
      </c>
      <c r="W157" s="7" t="n">
        <v>0.5</v>
      </c>
      <c r="X157" s="6">
        <f>$T157*W157</f>
        <v/>
      </c>
      <c r="Y157" s="7" t="n">
        <v>0</v>
      </c>
      <c r="Z157" s="6">
        <f>$T157*Y157</f>
        <v/>
      </c>
      <c r="AA157" s="7" t="n">
        <v>0</v>
      </c>
      <c r="AB157" s="6">
        <f>$T157*AA157</f>
        <v/>
      </c>
      <c r="AC157" s="7" t="n">
        <v>0</v>
      </c>
      <c r="AD157" s="6">
        <f>$T157*AC157</f>
        <v/>
      </c>
      <c r="AE157" s="7" t="n">
        <v>0</v>
      </c>
      <c r="AF157" s="6">
        <f>$T157*AE157</f>
        <v/>
      </c>
      <c r="AG157" s="7" t="n">
        <v>0</v>
      </c>
      <c r="AH157" s="6">
        <f>$T157*AG157</f>
        <v/>
      </c>
      <c r="AI157" s="7">
        <f>U157+W157+Y157+AA157+AC157+AE157+AG157</f>
        <v/>
      </c>
      <c r="AJ157" s="6">
        <f>V157+X157+Z157+AB157+AD157+AF157+AH157</f>
        <v/>
      </c>
    </row>
    <row r="158" hidden="1" ht="54" customHeight="1" s="46">
      <c r="A158" s="3" t="inlineStr">
        <is>
          <t>LOM241.1C.18.450.0250.B</t>
        </is>
      </c>
      <c r="B158" s="4" t="inlineStr">
        <is>
          <t>2/2</t>
        </is>
      </c>
      <c r="C158" s="3" t="inlineStr">
        <is>
          <t>EDILE</t>
        </is>
      </c>
      <c r="D158" s="4" t="inlineStr">
        <is>
          <t>SPECIALE</t>
        </is>
      </c>
      <c r="E158" s="4" t="inlineStr">
        <is>
          <t>EDILI SPECIALI</t>
        </is>
      </c>
      <c r="F158" s="3" t="inlineStr">
        <is>
          <t>1_2025.11.20_CME REV07.PDF</t>
        </is>
      </c>
      <c r="G158" s="4" t="inlineStr">
        <is>
          <t>140</t>
        </is>
      </c>
      <c r="H158" s="3" t="inlineStr">
        <is>
          <t>60 - FINITURE</t>
        </is>
      </c>
      <c r="I158" s="3" t="inlineStr">
        <is>
          <t>NUOVI LABORATORI</t>
        </is>
      </c>
      <c r="J158" s="3" t="inlineStr">
        <is>
          <t>PAVIMENTI E RIVESTIMENTI</t>
        </is>
      </c>
      <c r="K158" s="3" t="inlineStr">
        <is>
          <t xml:space="preserve">SALDATURA A CALDO, PREVIA PREPARAZIONE, DEI GIUNTI DI PIASTRELLE O TELI VINILICI PER PAVIMENTI, CON INTERPOSIZIONE DI FILETTO IN PVC E REFILATURA FINALE, COMPRESA PULIZIA FINALE E ASSISTENZA MURARIA. </t>
        </is>
      </c>
      <c r="L158" s="3" t="inlineStr">
        <is>
          <t>SALDATURA A CALDO, PREVIA PREPARAZIONE, DEI GIUNTI DI PIASTRELLE O TELI VINILICI PER PAVIMENTI, CON INTERPOSIZIONE DI FILETTO IN PVC E REFILATURA FINALE, COMPRESA PULIZIA FINALE E ASSISTENZA MURARIA. - IN PIASTRELLE</t>
        </is>
      </c>
      <c r="M158" s="4" t="inlineStr">
        <is>
          <t>M²</t>
        </is>
      </c>
      <c r="N158" s="5" t="n">
        <v>270.44</v>
      </c>
      <c r="O158" s="45" t="n">
        <v>0</v>
      </c>
      <c r="P158" s="45" t="n">
        <v>0</v>
      </c>
      <c r="Q158" s="5" t="n"/>
      <c r="R158" s="6" t="n"/>
      <c r="S158" s="6">
        <f>IF(AND(Q158&lt;&gt;"",R158&lt;&gt;""),Q158*R158,"")</f>
        <v/>
      </c>
      <c r="T158" s="45">
        <f>IF(S158="",P158,S158)</f>
        <v/>
      </c>
      <c r="U158" s="7" t="n">
        <v>0</v>
      </c>
      <c r="V158" s="6">
        <f>$T158*U158</f>
        <v/>
      </c>
      <c r="W158" s="7" t="n">
        <v>0</v>
      </c>
      <c r="X158" s="6">
        <f>$T158*W158</f>
        <v/>
      </c>
      <c r="Y158" s="7" t="n">
        <v>0</v>
      </c>
      <c r="Z158" s="6">
        <f>$T158*Y158</f>
        <v/>
      </c>
      <c r="AA158" s="7" t="n">
        <v>0</v>
      </c>
      <c r="AB158" s="6">
        <f>$T158*AA158</f>
        <v/>
      </c>
      <c r="AC158" s="7" t="n">
        <v>0</v>
      </c>
      <c r="AD158" s="6">
        <f>$T158*AC158</f>
        <v/>
      </c>
      <c r="AE158" s="7" t="n">
        <v>0</v>
      </c>
      <c r="AF158" s="6">
        <f>$T158*AE158</f>
        <v/>
      </c>
      <c r="AG158" s="7" t="n">
        <v>0</v>
      </c>
      <c r="AH158" s="6">
        <f>$T158*AG158</f>
        <v/>
      </c>
      <c r="AI158" s="7">
        <f>U158+W158+Y158+AA158+AC158+AE158+AG158</f>
        <v/>
      </c>
      <c r="AJ158" s="6">
        <f>V158+X158+Z158+AB158+AD158+AF158+AH158</f>
        <v/>
      </c>
    </row>
    <row r="159" ht="54" customHeight="1" s="46">
      <c r="A159" s="3" t="inlineStr">
        <is>
          <t>LOM241.1C.18.450.0300</t>
        </is>
      </c>
      <c r="B159" s="4" t="inlineStr">
        <is>
          <t>2/2</t>
        </is>
      </c>
      <c r="C159" s="3" t="inlineStr">
        <is>
          <t>EDILE</t>
        </is>
      </c>
      <c r="D159" s="4" t="inlineStr">
        <is>
          <t>SPECIALE</t>
        </is>
      </c>
      <c r="E159" s="4" t="inlineStr">
        <is>
          <t>EDILI SPECIALI</t>
        </is>
      </c>
      <c r="F159" s="3" t="inlineStr">
        <is>
          <t>1_2025.11.20_CME REV07.PDF</t>
        </is>
      </c>
      <c r="G159" s="4" t="inlineStr">
        <is>
          <t>142</t>
        </is>
      </c>
      <c r="H159" s="3" t="inlineStr">
        <is>
          <t>60 - FINITURE</t>
        </is>
      </c>
      <c r="I159" s="3" t="inlineStr">
        <is>
          <t>NUOVI LABORATORI</t>
        </is>
      </c>
      <c r="J159" s="3" t="inlineStr">
        <is>
          <t>PAVIMENTI E RIVESTIMENTI</t>
        </is>
      </c>
      <c r="K159" s="3" t="inlineStr">
        <is>
          <t>FORMAZIONE DI GUSCIA CONTRO PARETE PER I PAVIMENTI VINILICI E SIMILARI, COMPRESA FORNITURA E POSA DELL'ELEMENTO SOTTOGUSCIA ARROTONDATO PREFORMATO D'ANGOLO ED OGNI ASSISTENZA MURARIA</t>
        </is>
      </c>
      <c r="L159" s="3" t="inlineStr">
        <is>
          <t>FORMAZIONE DI GUSCIA CONTRO PARETE PER I PAVIMENTI VINILICI E SIMILARI, COMPRESA FORNITURA E POSA DELL'ELEMENTO SOTTOGUSCIA ARROTONDATO PREFORMATO D'ANGOLO ED OGNI ASSISTENZA MURARIA</t>
        </is>
      </c>
      <c r="M159" s="4" t="inlineStr">
        <is>
          <t>M</t>
        </is>
      </c>
      <c r="N159" s="5" t="n">
        <v>416.56</v>
      </c>
      <c r="O159" s="45" t="n">
        <v>22.34</v>
      </c>
      <c r="P159" s="45" t="n">
        <v>9305.9504</v>
      </c>
      <c r="Q159" s="5" t="n"/>
      <c r="R159" s="6" t="n"/>
      <c r="S159" s="6">
        <f>IF(AND(Q159&lt;&gt;"",R159&lt;&gt;""),Q159*R159,"")</f>
        <v/>
      </c>
      <c r="T159" s="45">
        <f>IF(S159="",P159,S159)</f>
        <v/>
      </c>
      <c r="U159" s="7" t="n">
        <v>0</v>
      </c>
      <c r="V159" s="6">
        <f>$T159*U159</f>
        <v/>
      </c>
      <c r="W159" s="7" t="n">
        <v>0.4</v>
      </c>
      <c r="X159" s="6">
        <f>$T159*W159</f>
        <v/>
      </c>
      <c r="Y159" s="7" t="n">
        <v>0</v>
      </c>
      <c r="Z159" s="6">
        <f>$T159*Y159</f>
        <v/>
      </c>
      <c r="AA159" s="7" t="n">
        <v>0</v>
      </c>
      <c r="AB159" s="6">
        <f>$T159*AA159</f>
        <v/>
      </c>
      <c r="AC159" s="7" t="n">
        <v>0</v>
      </c>
      <c r="AD159" s="6">
        <f>$T159*AC159</f>
        <v/>
      </c>
      <c r="AE159" s="7" t="n">
        <v>0</v>
      </c>
      <c r="AF159" s="6">
        <f>$T159*AE159</f>
        <v/>
      </c>
      <c r="AG159" s="7" t="n">
        <v>0</v>
      </c>
      <c r="AH159" s="6">
        <f>$T159*AG159</f>
        <v/>
      </c>
      <c r="AI159" s="7">
        <f>U159+W159+Y159+AA159+AC159+AE159+AG159</f>
        <v/>
      </c>
      <c r="AJ159" s="6">
        <f>V159+X159+Z159+AB159+AD159+AF159+AH159</f>
        <v/>
      </c>
    </row>
    <row r="160" ht="60" customHeight="1" s="46">
      <c r="A160" s="3" t="inlineStr">
        <is>
          <t>PA.ARC.07</t>
        </is>
      </c>
      <c r="B160" s="4" t="inlineStr">
        <is>
          <t>2/2</t>
        </is>
      </c>
      <c r="C160" s="3" t="inlineStr">
        <is>
          <t>EDILE</t>
        </is>
      </c>
      <c r="D160" s="4" t="inlineStr">
        <is>
          <t>SPECIALE</t>
        </is>
      </c>
      <c r="E160" s="4" t="inlineStr">
        <is>
          <t>EDILI SPECIALI</t>
        </is>
      </c>
      <c r="F160" s="3" t="inlineStr">
        <is>
          <t>1_2025.11.20_CME REV07.PDF</t>
        </is>
      </c>
      <c r="G160" s="4" t="inlineStr">
        <is>
          <t>146</t>
        </is>
      </c>
      <c r="H160" s="3" t="inlineStr">
        <is>
          <t>60 - FINITURE</t>
        </is>
      </c>
      <c r="I160" s="3" t="inlineStr">
        <is>
          <t>NUOVI LABORATORI</t>
        </is>
      </c>
      <c r="J160" s="3" t="inlineStr">
        <is>
          <t>PAVIMENTI E RIVESTIMENTI</t>
        </is>
      </c>
      <c r="K160" s="3" t="inlineStr">
        <is>
          <t>RIVESTIMENTO ESTERNO "VENTILATO" COMPOSTO DA:- DOGHE DISPOSTE IN ORIZZONTALE CON ALTEZZA 120 MM CIRCA, REALIZZATE IN ALLUMINIO ESTRUSO SAGOMA-TO, FISSAGGIO MEDIANTE RIVETTATURA/AVVITATURA SU SPE-CIFIC</t>
        </is>
      </c>
      <c r="L160" s="3" t="inlineStr">
        <is>
          <t>RIVESTIMENTO ESTERNO "VENTILATO" COMPOSTO DA:- DOGHE DISPOSTE IN ORIZZONTALE CON ALTEZZA 120 MM CIRCA, REALIZZATE IN ALLUMINIO ESTRUSO SAGOMA-TO, FISSAGGIO MEDIANTE RIVETTATURA/AVVITATURA SU SPE-CIFICA SOTTOSTRUTTURA;DOGHE CON FINITURA MEDIANTE VERNICIATURA A POLVE-RE IN TINTA RAL DA NS. GAMMA STANDARD;- SOTTOSTRUTTURA VERTICALE (NON AUTOPORTANTE) PERIL FISSAGGIO DELLE DOGHE COMPOSTA DA APPOSITI PRO-FILI METALLICI FISSATI ALLA RETROSTANTE PARETE/STRUTTURAPORTANTE MEDIANTE STAFFE METALLICHE DOTATE DI ASO-LE DI FISSAGGIO PER PERMETTERE REGOLAZIONI E COM-PENSAZIONE DI EVENTUALI FUORI PIOMBO;IL FISSAGGIO DELLE STAFFE ALLA RETROSTANTE PARETE/STUT-TURA PORTANTE È FETTUATA CON TASSELLI METALLICI AD ESPANSIONE, DIMENSIONATI IN FUNZIONE DEI CARICHI;- DISTANZA MASSIMA TRA PARETE PORTANTE DI SUPPOR-TO E FILO ESTERNO RIVESTIMENTO PARI A 120 MM;ESCLUSO ISOLAMENTO A "CAPPOTTO";ESCLUSO CAPPELLO SUPERIORE DI RACCORDO/CHIUSURA,BARRIERE TAGLIAFUOCO, IMBOTTI DI RACCODO CON SERRA-MENTI E ALTRI MANUFATTI, EVENTUALI SOTTOSTRUTTUREPORTANTI IN CASO LA POSA NON SIA PREVISTA SU PARE-ETE PORTANTE CONTINUA, DEBITAMENTE PREDISPOSTAE DIMENSIONATA; ESCLUSE EVENTUALI PREDISPOSIZIONI E/O RINFORZIPER FISSAGGIO INSEGNE E/O ALTRI ELEMENTI (ILLUMINA-ZIONE, TELECAMERE, ECC..);</t>
        </is>
      </c>
      <c r="M160" s="4" t="inlineStr">
        <is>
          <t>M²</t>
        </is>
      </c>
      <c r="N160" s="5" t="n">
        <v>387</v>
      </c>
      <c r="O160" s="45" t="n">
        <v>420.44</v>
      </c>
      <c r="P160" s="45" t="n">
        <v>162710.28</v>
      </c>
      <c r="Q160" s="5" t="n"/>
      <c r="R160" s="6" t="n"/>
      <c r="S160" s="6">
        <f>IF(AND(Q160&lt;&gt;"",R160&lt;&gt;""),Q160*R160,"")</f>
        <v/>
      </c>
      <c r="T160" s="45">
        <f>IF(S160="",P160,S160)</f>
        <v/>
      </c>
      <c r="U160" s="7" t="n">
        <v>0</v>
      </c>
      <c r="V160" s="6">
        <f>$T160*U160</f>
        <v/>
      </c>
      <c r="W160" s="7" t="n">
        <v>0.6</v>
      </c>
      <c r="X160" s="6">
        <f>$T160*W160</f>
        <v/>
      </c>
      <c r="Y160" s="7" t="n">
        <v>0</v>
      </c>
      <c r="Z160" s="6">
        <f>$T160*Y160</f>
        <v/>
      </c>
      <c r="AA160" s="7" t="n">
        <v>0</v>
      </c>
      <c r="AB160" s="6">
        <f>$T160*AA160</f>
        <v/>
      </c>
      <c r="AC160" s="7" t="n">
        <v>0</v>
      </c>
      <c r="AD160" s="6">
        <f>$T160*AC160</f>
        <v/>
      </c>
      <c r="AE160" s="7" t="n">
        <v>0</v>
      </c>
      <c r="AF160" s="6">
        <f>$T160*AE160</f>
        <v/>
      </c>
      <c r="AG160" s="7" t="n">
        <v>0</v>
      </c>
      <c r="AH160" s="6">
        <f>$T160*AG160</f>
        <v/>
      </c>
      <c r="AI160" s="7">
        <f>U160+W160+Y160+AA160+AC160+AE160+AG160</f>
        <v/>
      </c>
      <c r="AJ160" s="6">
        <f>V160+X160+Z160+AB160+AD160+AF160+AH160</f>
        <v/>
      </c>
    </row>
    <row r="161" ht="60" customHeight="1" s="46">
      <c r="A161" s="3" t="inlineStr">
        <is>
          <t>PA.ARC.11</t>
        </is>
      </c>
      <c r="B161" s="4" t="inlineStr">
        <is>
          <t>1/1</t>
        </is>
      </c>
      <c r="C161" s="3" t="inlineStr">
        <is>
          <t>EDILE</t>
        </is>
      </c>
      <c r="D161" s="4" t="inlineStr">
        <is>
          <t>SPECIALE</t>
        </is>
      </c>
      <c r="E161" s="4" t="inlineStr">
        <is>
          <t>EDILI SPECIALI</t>
        </is>
      </c>
      <c r="F161" s="3" t="inlineStr">
        <is>
          <t>1_2025.11.20_CME REV07.PDF</t>
        </is>
      </c>
      <c r="G161" s="4" t="inlineStr">
        <is>
          <t>147</t>
        </is>
      </c>
      <c r="H161" s="3" t="inlineStr">
        <is>
          <t>60 - FINITURE</t>
        </is>
      </c>
      <c r="I161" s="3" t="inlineStr">
        <is>
          <t>NUOVI LABORATORI</t>
        </is>
      </c>
      <c r="J161" s="3" t="inlineStr">
        <is>
          <t>OPERE EDILI</t>
        </is>
      </c>
      <c r="K161" s="3" t="inlineStr">
        <is>
          <t>FORNITURA E POSA IN OPERA DI SERRAMENTI IN ALLUMINIO A TAGLIO TERMICO SERIE SCHÜCO ADS/AWS 75.SI, REALIZZATI CON PROFILATI ESTRUSI IN LEGA PRIMARIA DI ALLUMINIO 6060, CONFORMI ALLE NORMATIVE UNI EN 57</t>
        </is>
      </c>
      <c r="L161" s="3" t="inlineStr">
        <is>
          <t>FORNITURA E POSA IN OPERA DI SERRAMENTI IN ALLUMINIO A TAGLIO TERMICO SERIE SCHÜCO ADS/AWS 75.SI, REALIZZATI CON PROFILATI ESTRUSI IN LEGA PRIMARIA DI ALLUMINIO 6060, CONFORMI ALLE NORMATIVE UNI EN 573 E UNI EN 515, CON TOLLERANZE SECONDO UNI EN 12020-2 E/O UNI EN 755-9. IL SISTEMA PREVEDE TELAIO-ANTA COMPLANARI ESTERNAMENTE E A SORMONTO INTERNAMENTE, CON SPESSORI: TELAIO 75 MM, ANTA FINESTRE/PORTEFINESTRE 85 MM, ANTA PORTE 75 MM. TENUTA ARIA-ACQUA-VENTO A GIUNTO APERTO CON GUARNIZIONI IN GOMMA SINTETICA TIPO EPDM; ACCESSORI ORIGINALI SCHÜCO IN MATERIALE INOSSIDABILE. TRATTAMENTI SUPERFICIALI CONFORMI ALLE DIRETTIVE QUALICOAT (VERNICIATI) O EURAS-EWAA (OSSIDATI). FINITURE: COLORI INTERNO/ESTERNO E ACCESSORI STANDARD DA GAMMA; FERMAVETRO SQUADRATO.  VETRAGGIO BASSO EMISSIVO COMPOSTO DA: LASTRA ESTERNA STRATIFICATA 55.1, INTERCAPEDINE DA 16 MM CON CANALINA “WARM EDGE” E ARGON, LASTRA INTERNA STRATIFICATA 55.2. PRESTAZIONI DEL VETRO: UG = 1,0 W/M²K; RW = 40 DB (±2). INCLUSA POSA SU CONTROTELAI IN FERRO ZINCATO PREDISPOSTI DALL’IMPRESA EDILE. SERRAMENTO AD UNA SPECCHIATURA FISSA : L 1800 X H 1000</t>
        </is>
      </c>
      <c r="M161" s="4" t="inlineStr">
        <is>
          <t>CADAUNO</t>
        </is>
      </c>
      <c r="N161" s="5" t="n">
        <v>2</v>
      </c>
      <c r="O161" s="45" t="n">
        <v>1181.43</v>
      </c>
      <c r="P161" s="45" t="n">
        <v>2362.86</v>
      </c>
      <c r="Q161" s="5" t="n"/>
      <c r="R161" s="6" t="n"/>
      <c r="S161" s="6">
        <f>IF(AND(Q161&lt;&gt;"",R161&lt;&gt;""),Q161*R161,"")</f>
        <v/>
      </c>
      <c r="T161" s="45">
        <f>IF(S161="",P161,S161)</f>
        <v/>
      </c>
      <c r="U161" s="7" t="n">
        <v>0</v>
      </c>
      <c r="V161" s="6">
        <f>$T161*U161</f>
        <v/>
      </c>
      <c r="W161" s="7" t="n">
        <v>0.6</v>
      </c>
      <c r="X161" s="6">
        <f>$T161*W161</f>
        <v/>
      </c>
      <c r="Y161" s="7" t="n">
        <v>0</v>
      </c>
      <c r="Z161" s="6">
        <f>$T161*Y161</f>
        <v/>
      </c>
      <c r="AA161" s="7" t="n">
        <v>0</v>
      </c>
      <c r="AB161" s="6">
        <f>$T161*AA161</f>
        <v/>
      </c>
      <c r="AC161" s="7" t="n">
        <v>0</v>
      </c>
      <c r="AD161" s="6">
        <f>$T161*AC161</f>
        <v/>
      </c>
      <c r="AE161" s="7" t="n">
        <v>0</v>
      </c>
      <c r="AF161" s="6">
        <f>$T161*AE161</f>
        <v/>
      </c>
      <c r="AG161" s="7" t="n">
        <v>0</v>
      </c>
      <c r="AH161" s="6">
        <f>$T161*AG161</f>
        <v/>
      </c>
      <c r="AI161" s="7">
        <f>U161+W161+Y161+AA161+AC161+AE161+AG161</f>
        <v/>
      </c>
      <c r="AJ161" s="6">
        <f>V161+X161+Z161+AB161+AD161+AF161+AH161</f>
        <v/>
      </c>
    </row>
    <row r="162" ht="60" customHeight="1" s="46">
      <c r="A162" s="3" t="inlineStr">
        <is>
          <t>LOM241.OC.EEA.A01.C3330.SA000.1000</t>
        </is>
      </c>
      <c r="B162" s="4" t="inlineStr">
        <is>
          <t>2/2</t>
        </is>
      </c>
      <c r="C162" s="3" t="inlineStr">
        <is>
          <t>EDILE</t>
        </is>
      </c>
      <c r="D162" s="4" t="inlineStr">
        <is>
          <t>SPECIALE</t>
        </is>
      </c>
      <c r="E162" s="4" t="inlineStr">
        <is>
          <t>EDILI SPECIALI</t>
        </is>
      </c>
      <c r="F162" s="3" t="inlineStr">
        <is>
          <t>1_2025.11.20_CME REV07.PDF</t>
        </is>
      </c>
      <c r="G162" s="4" t="inlineStr">
        <is>
          <t>154</t>
        </is>
      </c>
      <c r="H162" s="3" t="inlineStr">
        <is>
          <t>60 - FINITURE</t>
        </is>
      </c>
      <c r="I162" s="3" t="inlineStr">
        <is>
          <t>NUOVI LABORATORI</t>
        </is>
      </c>
      <c r="J162" s="3" t="inlineStr">
        <is>
          <t>OPERE EDILI</t>
        </is>
      </c>
      <c r="K162" s="3" t="inlineStr">
        <is>
          <t>OPERA: FINESTRA, TELAIO FISSO DI LEGA ALLUMINIO GENERICO; FINITURA: VERNICIATO A POLVERE; GEOMETRIA/FORMA/ASPETTO: GIUNTO APERTO | UN'ANTA; POTERE FONOISOLANTE (RW) [DB] = 36 | TRASMITTANZA TERMICA (U</t>
        </is>
      </c>
      <c r="L162" s="3" t="inlineStr">
        <is>
          <t>OPERA: FINESTRA, TELAIO FISSO DI LEGA ALLUMINIO GENERICO; FINITURA: VERNICIATO A POLVERE; GEOMETRIA/FORMA/ASPETTO: GIUNTO APERTO | UN'ANTA; POTERE FONOISOLANTE (RW) [DB] = 36 | TRASMITTANZA TERMICA (UW) [W/M²K] = 1. ESCLUSO: CONTROTELAIO. 
LAVORO: INSTALLAZIONE. 
SPECIFICHE TECNICHE: VERNICIATA A POLVERE DI POLIESTERE (PPC) COLORE A GAMMA RAL STANDARD, SPESSORE MINIMO VERNICIATURA [Μ] = 60, OPPURE OSSIDATO ARGENTO NATURALE, SPESSORE DELL'OSSIDO MEDIO [Μ] = 15; PER ZONA CLIMATICA E. 
COMPONENTI: 
OP1 OPERA: FINESTRA, TELAIO FISSO DI LEGA ALLUMINIO GENERICO; FINITURA: VERNICIATO A POLVERE; GEOMETRIA/FORMA/ASPETTO: GIUNTO APERTO | UN'ANTA; POTERE FONOISOLANTE (RW) [DB] = 36 | TRASMITTANZA TERMICA (UW) [W/M²K] = 1. ESCLUSO: CONTROTELAIO. 
SPECIFICHE TECNICHE: VERNICIATA A POLVERE DI POLIESTERE (PPC) COLORE A GAMMA RAL STANDARD, SPESSORE MINIMO VERNICIATURA [Μ] = 60, OPPURE OSSIDATO ARGENTO NATURALE, SPESSORE DELL'OSSIDO MEDIO [Μ] = 15; PER ZONA CLIMATICA E. 
RM2 FINESTRA TELAIO FISSO DI LEGA ALLUMINIO GENERICO; FINITURA: VERNICIATO A POLVERE; GEOMETRIA/FORMA/ASPETTO: GIUNTO APERTO | UN'ANTA; PERMEABILITÀ ALL'ARIA [CLASSE] = 4 | TENUTA ALL'ACQUA [CLASSE] = 7A | RESISTENZA AL VENTO [CLASSE] = C3 | TRASMITTANZA TERMICA (UW) [W/M²K] = 1 | POTERE FONOISOLANTE (RW) [DB] = 36; SUPERFICIE [M²] = 1,68. INCLUSO: FERRAMENTA; GUARNIZIONE IN EPDM / NEOPRENE. ESCLUSO: CONTROTELAIO 
SPECIFICHE TECNICHE: VERNICIATA A POLVERE DI POLIESTERE (PPC) COLORE A GAMMA RAL STANDARD; SPESSORE MINIMO VERNICIATURA [Μ] = 60, OPPURE OSSIDATO ARGENTO NATURALE, SPESSORE DELL'OSSIDO MEDIO [Μ] = 15; ZONA CLIMATICA E (UCW [W/M²K] ≤ 1,4) 
LV1 LAVORO: INSTALLAZIONE.</t>
        </is>
      </c>
      <c r="M162" s="4" t="inlineStr">
        <is>
          <t>M²</t>
        </is>
      </c>
      <c r="N162" s="5" t="n">
        <v>15</v>
      </c>
      <c r="O162" s="45" t="n">
        <v>554.47</v>
      </c>
      <c r="P162" s="45" t="n">
        <v>8317.049999999999</v>
      </c>
      <c r="Q162" s="5" t="n"/>
      <c r="R162" s="6" t="n"/>
      <c r="S162" s="6">
        <f>IF(AND(Q162&lt;&gt;"",R162&lt;&gt;""),Q162*R162,"")</f>
        <v/>
      </c>
      <c r="T162" s="45">
        <f>IF(S162="",P162,S162)</f>
        <v/>
      </c>
      <c r="U162" s="7" t="n">
        <v>0</v>
      </c>
      <c r="V162" s="6">
        <f>$T162*U162</f>
        <v/>
      </c>
      <c r="W162" s="7" t="n">
        <v>0.75</v>
      </c>
      <c r="X162" s="6">
        <f>$T162*W162</f>
        <v/>
      </c>
      <c r="Y162" s="7" t="n">
        <v>0</v>
      </c>
      <c r="Z162" s="6">
        <f>$T162*Y162</f>
        <v/>
      </c>
      <c r="AA162" s="7" t="n">
        <v>0</v>
      </c>
      <c r="AB162" s="6">
        <f>$T162*AA162</f>
        <v/>
      </c>
      <c r="AC162" s="7" t="n">
        <v>0</v>
      </c>
      <c r="AD162" s="6">
        <f>$T162*AC162</f>
        <v/>
      </c>
      <c r="AE162" s="7" t="n">
        <v>0</v>
      </c>
      <c r="AF162" s="6">
        <f>$T162*AE162</f>
        <v/>
      </c>
      <c r="AG162" s="7" t="n">
        <v>0</v>
      </c>
      <c r="AH162" s="6">
        <f>$T162*AG162</f>
        <v/>
      </c>
      <c r="AI162" s="7">
        <f>U162+W162+Y162+AA162+AC162+AE162+AG162</f>
        <v/>
      </c>
      <c r="AJ162" s="6">
        <f>V162+X162+Z162+AB162+AD162+AF162+AH162</f>
        <v/>
      </c>
    </row>
    <row r="163" ht="60" customHeight="1" s="46">
      <c r="A163" s="3" t="inlineStr">
        <is>
          <t>LOM241.OC.EEA.A01.C3330.SA000.0005</t>
        </is>
      </c>
      <c r="B163" s="4" t="inlineStr">
        <is>
          <t>2/2</t>
        </is>
      </c>
      <c r="C163" s="3" t="inlineStr">
        <is>
          <t>EDILE</t>
        </is>
      </c>
      <c r="D163" s="4" t="inlineStr">
        <is>
          <t>SPECIALE</t>
        </is>
      </c>
      <c r="E163" s="4" t="inlineStr">
        <is>
          <t>EDILI SPECIALI</t>
        </is>
      </c>
      <c r="F163" s="3" t="inlineStr">
        <is>
          <t>1_2025.11.20_CME REV07.PDF</t>
        </is>
      </c>
      <c r="G163" s="4" t="inlineStr">
        <is>
          <t>155</t>
        </is>
      </c>
      <c r="H163" s="3" t="inlineStr">
        <is>
          <t>60 - FINITURE</t>
        </is>
      </c>
      <c r="I163" s="3" t="inlineStr">
        <is>
          <t>NUOVI LABORATORI</t>
        </is>
      </c>
      <c r="J163" s="3" t="inlineStr">
        <is>
          <t>OPERE EDILI</t>
        </is>
      </c>
      <c r="K163" s="3" t="inlineStr">
        <is>
          <t>OPERA: FINESTRA, BATTENTE DI LEGA ALLUMINIO GENERICO; FINITURA: VERNICIATO A POLVERE; GEOMETRIA/FORMA/ASPETTO: GIUNTO APERTO | UN'ANTA; POTERE FONOISOLANTE (RW) [DB] = 36 | TRASMITTANZA TERMICA (UW) [</t>
        </is>
      </c>
      <c r="L163" s="3" t="inlineStr">
        <is>
          <t>OPERA: FINESTRA, BATTENTE DI LEGA ALLUMINIO GENERICO; FINITURA: VERNICIATO A POLVERE; GEOMETRIA/FORMA/ASPETTO: GIUNTO APERTO | UN'ANTA; POTERE FONOISOLANTE (RW) [DB] = 36 | TRASMITTANZA TERMICA (UW) [W/M²K] = 1. ESCLUSO: CONTROTELAIO. 
LAVORO: INSTALLAZIONE. 
SPECIFICHE TECNICHE: VERNICIATA A POLVERE DI POLIESTERE (PPC) COLORE A GAMMA RAL STANDARD, SPESSORE MINIMO VERNICIATURA [Μ] = 60, OPPURE OSSIDATO ARGENTO NATURALE, SPESSORE DELL'OSSIDO MEDIO [Μ] = 15; PER ZONA CLIMATICA E. 
COMPONENTI: 
OP1 OPERA: FINESTRA, BATTENTE DI LEGA ALLUMINIO GENERICO; FINITURA: VERNICIATO A POLVERE; GEOMETRIA/FORMA/ASPETTO: GIUNTO APERTO | UN'ANTA; POTERE FONOISOLANTE (RW) [DB] = 36 | TRASMITTANZA TERMICA (UW) [W/M²K] = 1. ESCLUSO: CONTROTELAIO. 
SPECIFICHE TECNICHE: VERNICIATA A POLVERE DI POLIESTERE (PPC) COLORE A GAMMA RAL STANDARD, SPESSORE MINIMO VERNICIATURA [Μ] = 60, OPPURE OSSIDATO ARGENTO NATURALE, SPESSORE DELL'OSSIDO MEDIO [Μ] = 15; PER ZONA CLIMATICA E. 
RM2 FINESTRA BATTENTE DI LEGA ALLUMINIO GENERICO; FINITURA: VERNICIATO A POLVERE; GEOMETRIA/FORMA/ASPETTO: GIUNTO APERTO | UN'ANTA; PERMEABILITÀ ALL'ARIA [CLASSE] = 4 | TENUTA ALL'ACQUA [CLASSE] = 7A | RESISTENZA AL VENTO [CLASSE] = C3 | TRASMITTANZA TERMICA (UW) [W/M²K] = 1 | POTERE FONOISOLANTE (RW) [DB] = 36; SUPERFICIE [M²] = 2,52. INCLUSO: FERRAMENTA; GUARNIZIONE IN EPDM / NEOPRENE. ESCLUSO: CONTROTELAIO 
SPECIFICHE TECNICHE: VERNICIATA A POLVERE DI POLIESTERE (PPC) COLORE A GAMMA RAL STANDARD; SPESSORE MINIMO VERNICIATURA [Μ] = 60, OPPURE OSSIDATO ARGENTO NATURALE, SPESSORE DELL'OSSIDO MEDIO [Μ] = 15; ZONA CLIMATICA E (UCW [W/M²K] ≤ 1,4) 
LV1 LAVORO: INSTALLAZIONE.</t>
        </is>
      </c>
      <c r="M163" s="4" t="inlineStr">
        <is>
          <t>M²</t>
        </is>
      </c>
      <c r="N163" s="5" t="n">
        <v>2.52</v>
      </c>
      <c r="O163" s="45" t="n">
        <v>2220.48</v>
      </c>
      <c r="P163" s="45" t="n">
        <v>5595.6096</v>
      </c>
      <c r="Q163" s="5" t="n"/>
      <c r="R163" s="6" t="n"/>
      <c r="S163" s="6">
        <f>IF(AND(Q163&lt;&gt;"",R163&lt;&gt;""),Q163*R163,"")</f>
        <v/>
      </c>
      <c r="T163" s="45">
        <f>IF(S163="",P163,S163)</f>
        <v/>
      </c>
      <c r="U163" s="7" t="n">
        <v>0</v>
      </c>
      <c r="V163" s="6">
        <f>$T163*U163</f>
        <v/>
      </c>
      <c r="W163" s="7" t="n">
        <v>0.75</v>
      </c>
      <c r="X163" s="6">
        <f>$T163*W163</f>
        <v/>
      </c>
      <c r="Y163" s="7" t="n">
        <v>0</v>
      </c>
      <c r="Z163" s="6">
        <f>$T163*Y163</f>
        <v/>
      </c>
      <c r="AA163" s="7" t="n">
        <v>0</v>
      </c>
      <c r="AB163" s="6">
        <f>$T163*AA163</f>
        <v/>
      </c>
      <c r="AC163" s="7" t="n">
        <v>0</v>
      </c>
      <c r="AD163" s="6">
        <f>$T163*AC163</f>
        <v/>
      </c>
      <c r="AE163" s="7" t="n">
        <v>0</v>
      </c>
      <c r="AF163" s="6">
        <f>$T163*AE163</f>
        <v/>
      </c>
      <c r="AG163" s="7" t="n">
        <v>0</v>
      </c>
      <c r="AH163" s="6">
        <f>$T163*AG163</f>
        <v/>
      </c>
      <c r="AI163" s="7">
        <f>U163+W163+Y163+AA163+AC163+AE163+AG163</f>
        <v/>
      </c>
      <c r="AJ163" s="6">
        <f>V163+X163+Z163+AB163+AD163+AF163+AH163</f>
        <v/>
      </c>
    </row>
    <row r="164" hidden="1" ht="60" customHeight="1" s="46">
      <c r="A164" s="3" t="inlineStr">
        <is>
          <t>LOM241.OC.EEA.A03.C3335.T0006.1000</t>
        </is>
      </c>
      <c r="B164" s="4" t="inlineStr">
        <is>
          <t>2/2</t>
        </is>
      </c>
      <c r="C164" s="3" t="inlineStr">
        <is>
          <t>EDILE</t>
        </is>
      </c>
      <c r="D164" s="4" t="inlineStr">
        <is>
          <t>SPECIALE</t>
        </is>
      </c>
      <c r="E164" s="4" t="inlineStr">
        <is>
          <t>EDILI SPECIALI</t>
        </is>
      </c>
      <c r="F164" s="3" t="inlineStr">
        <is>
          <t>1_2025.11.20_CME REV07.PDF</t>
        </is>
      </c>
      <c r="G164" s="4" t="inlineStr">
        <is>
          <t>157</t>
        </is>
      </c>
      <c r="H164" s="3" t="inlineStr">
        <is>
          <t>60 - FINITURE</t>
        </is>
      </c>
      <c r="I164" s="3" t="inlineStr">
        <is>
          <t>NUOVI LABORATORI</t>
        </is>
      </c>
      <c r="J164" s="3" t="inlineStr">
        <is>
          <t>INFISSI</t>
        </is>
      </c>
      <c r="K164" s="3" t="inlineStr">
        <is>
          <t xml:space="preserve">OPERA: VETRATURA, ISOLANTE TERMOACUSTICA DI VETRO CRISTALLO; GEOMETRIA/FORMA/ASPETTO: DOPPIA. ESCLUSO: VETRI I CUI PREZZI SARANNO DESUNTI E CONTABILIZZATI DAL VOLUME 2.1. </t>
        </is>
      </c>
      <c r="L164" s="3" t="inlineStr">
        <is>
          <t>OPERA: VETRATURA, ISOLANTE TERMOACUSTICA DI VETRO CRISTALLO; GEOMETRIA/FORMA/ASPETTO: DOPPIA. ESCLUSO: VETRI I CUI PREZZI SARANNO DESUNTI E CONTABILIZZATI DAL VOLUME 2.1. 
LAVORO: ASSEMBLAGGIO. INCLUSO: POSA. 
SPECIFICHE TECNICHE: COSTRUZIONE VETRATA ISOLANTE IN LABORATORIO; POSA SU SERRAMENTO GENERICO. 
COMPONENTI: 
OP1 OPERA: VETRATURA, ISOLANTE TERMOACUSTICA DI VETRO CRISTALLO; GEOMETRIA/FORMA/ASPETTO: DOPPIA. ESCLUSO: VETRI I CUI PREZZI SARANNO DESUNTI E CONTABILIZZATI DAL VOLUME 2.1. 
RM2 VETRATURA ISOLANTE TERMOACUSTICA DI VETRO GENERICO 
RM2 ADESIVO MASTICE PLASTICO DI MATERIALE GENERICO 
SPECIFICHE TECNICHE: TRAFILATO 
RM2 GIUNTO DI RESINA SINTETICA POLIVINILCLORURO (PVC); GEOMETRIA/FORMA/ASPETTO: PROFILATO; FUNZIONE: DILATAZIONE; IMPIEGO: GETTI IN C.A.; TENUTA IDRAULICA [ATM] ≤ 3 
SPECIFICHE TECNICHE: PER GIUNTI DI DILATAZIONE DI 2/4 CM 
LV1 LAVORO: ASSEMBLAGGIO. INCLUSO: POSA. 
SPECIFICHE TECNICHE: COSTRUZIONE VETRATA ISOLANTE IN LABORATORIO; POSA SU SERRAMENTO GENERICO.</t>
        </is>
      </c>
      <c r="M164" s="4" t="inlineStr">
        <is>
          <t>M²</t>
        </is>
      </c>
      <c r="N164" s="5" t="n">
        <v>15.77</v>
      </c>
      <c r="O164" s="45" t="n">
        <v>0</v>
      </c>
      <c r="P164" s="45" t="n">
        <v>0</v>
      </c>
      <c r="Q164" s="5" t="n"/>
      <c r="R164" s="6" t="n"/>
      <c r="S164" s="6">
        <f>IF(AND(Q164&lt;&gt;"",R164&lt;&gt;""),Q164*R164,"")</f>
        <v/>
      </c>
      <c r="T164" s="45">
        <f>IF(S164="",P164,S164)</f>
        <v/>
      </c>
      <c r="U164" s="7" t="n">
        <v>0</v>
      </c>
      <c r="V164" s="6">
        <f>$T164*U164</f>
        <v/>
      </c>
      <c r="W164" s="7" t="n">
        <v>0</v>
      </c>
      <c r="X164" s="6">
        <f>$T164*W164</f>
        <v/>
      </c>
      <c r="Y164" s="7" t="n">
        <v>0</v>
      </c>
      <c r="Z164" s="6">
        <f>$T164*Y164</f>
        <v/>
      </c>
      <c r="AA164" s="7" t="n">
        <v>0</v>
      </c>
      <c r="AB164" s="6">
        <f>$T164*AA164</f>
        <v/>
      </c>
      <c r="AC164" s="7" t="n">
        <v>0</v>
      </c>
      <c r="AD164" s="6">
        <f>$T164*AC164</f>
        <v/>
      </c>
      <c r="AE164" s="7" t="n">
        <v>0</v>
      </c>
      <c r="AF164" s="6">
        <f>$T164*AE164</f>
        <v/>
      </c>
      <c r="AG164" s="7" t="n">
        <v>0</v>
      </c>
      <c r="AH164" s="6">
        <f>$T164*AG164</f>
        <v/>
      </c>
      <c r="AI164" s="7">
        <f>U164+W164+Y164+AA164+AC164+AE164+AG164</f>
        <v/>
      </c>
      <c r="AJ164" s="6">
        <f>V164+X164+Z164+AB164+AD164+AF164+AH164</f>
        <v/>
      </c>
    </row>
    <row r="165" hidden="1" ht="18" customHeight="1" s="46">
      <c r="A165" s="3" t="inlineStr">
        <is>
          <t>LOM241.1M.11.050.0010.C</t>
        </is>
      </c>
      <c r="B165" s="4" t="inlineStr">
        <is>
          <t>1/1</t>
        </is>
      </c>
      <c r="C165" s="3" t="inlineStr">
        <is>
          <t>EDILE</t>
        </is>
      </c>
      <c r="D165" s="4" t="inlineStr">
        <is>
          <t>SPECIALE</t>
        </is>
      </c>
      <c r="E165" s="4" t="inlineStr">
        <is>
          <t>EDILI SPECIALI</t>
        </is>
      </c>
      <c r="F165" s="3" t="inlineStr">
        <is>
          <t>1_2025.11.20_CME REV07.PDF</t>
        </is>
      </c>
      <c r="G165" s="4" t="inlineStr">
        <is>
          <t>160</t>
        </is>
      </c>
      <c r="H165" s="3" t="inlineStr">
        <is>
          <t>60 - FINITURE</t>
        </is>
      </c>
      <c r="I165" s="3" t="inlineStr">
        <is>
          <t>NUOVI LABORATORI</t>
        </is>
      </c>
      <c r="J165" s="3" t="inlineStr">
        <is>
          <t>SANITARI</t>
        </is>
      </c>
      <c r="K165" s="3" t="inlineStr">
        <is>
          <t>PIATTI DOCCIA COLORE BIANCO: - IN ACRILICO, DA 80 X 80 CM</t>
        </is>
      </c>
      <c r="L165" s="3" t="inlineStr">
        <is>
          <t>PIATTI DOCCIA COLORE BIANCO: - IN ACRILICO, DA 80 X 80 CM</t>
        </is>
      </c>
      <c r="M165" s="4" t="inlineStr">
        <is>
          <t>CAD</t>
        </is>
      </c>
      <c r="N165" s="5" t="n">
        <v>1</v>
      </c>
      <c r="O165" s="45" t="n">
        <v>764.3099999999999</v>
      </c>
      <c r="P165" s="45" t="n">
        <v>764.3099999999999</v>
      </c>
      <c r="Q165" s="5" t="n"/>
      <c r="R165" s="6" t="n"/>
      <c r="S165" s="6">
        <f>IF(AND(Q165&lt;&gt;"",R165&lt;&gt;""),Q165*R165,"")</f>
        <v/>
      </c>
      <c r="T165" s="45">
        <f>IF(S165="",P165,S165)</f>
        <v/>
      </c>
      <c r="U165" s="7" t="n">
        <v>0</v>
      </c>
      <c r="V165" s="6">
        <f>$T165*U165</f>
        <v/>
      </c>
      <c r="W165" s="7" t="n">
        <v>0</v>
      </c>
      <c r="X165" s="6">
        <f>$T165*W165</f>
        <v/>
      </c>
      <c r="Y165" s="7" t="n">
        <v>0</v>
      </c>
      <c r="Z165" s="6">
        <f>$T165*Y165</f>
        <v/>
      </c>
      <c r="AA165" s="7" t="n">
        <v>0</v>
      </c>
      <c r="AB165" s="6">
        <f>$T165*AA165</f>
        <v/>
      </c>
      <c r="AC165" s="7" t="n">
        <v>0</v>
      </c>
      <c r="AD165" s="6">
        <f>$T165*AC165</f>
        <v/>
      </c>
      <c r="AE165" s="7" t="n">
        <v>0</v>
      </c>
      <c r="AF165" s="6">
        <f>$T165*AE165</f>
        <v/>
      </c>
      <c r="AG165" s="7" t="n">
        <v>0</v>
      </c>
      <c r="AH165" s="6">
        <f>$T165*AG165</f>
        <v/>
      </c>
      <c r="AI165" s="7">
        <f>U165+W165+Y165+AA165+AC165+AE165+AG165</f>
        <v/>
      </c>
      <c r="AJ165" s="6">
        <f>V165+X165+Z165+AB165+AD165+AF165+AH165</f>
        <v/>
      </c>
    </row>
    <row r="166" hidden="1" ht="42" customHeight="1" s="46">
      <c r="A166" s="3" t="inlineStr">
        <is>
          <t>LOM241.1M.11.030.0010.B</t>
        </is>
      </c>
      <c r="B166" s="4" t="inlineStr">
        <is>
          <t>1/1</t>
        </is>
      </c>
      <c r="C166" s="3" t="inlineStr">
        <is>
          <t>EDILE</t>
        </is>
      </c>
      <c r="D166" s="4" t="inlineStr">
        <is>
          <t>SPECIALE</t>
        </is>
      </c>
      <c r="E166" s="4" t="inlineStr">
        <is>
          <t>EDILI SPECIALI</t>
        </is>
      </c>
      <c r="F166" s="3" t="inlineStr">
        <is>
          <t>1_2025.11.20_CME REV07.PDF</t>
        </is>
      </c>
      <c r="G166" s="4" t="inlineStr">
        <is>
          <t>161</t>
        </is>
      </c>
      <c r="H166" s="3" t="inlineStr">
        <is>
          <t>60 - FINITURE</t>
        </is>
      </c>
      <c r="I166" s="3" t="inlineStr">
        <is>
          <t>NUOVI LABORATORI</t>
        </is>
      </c>
      <c r="J166" s="3" t="inlineStr">
        <is>
          <t>SANITARI</t>
        </is>
      </c>
      <c r="K166" s="3" t="inlineStr">
        <is>
          <t>BIDET IN VETROCHINA COLORE BIANCO: - SOSPESO IN VETROCHINA COLORE BIANCO, COMPLETO DI TELAIO METALLICO DA INCASSO E MENSOLE</t>
        </is>
      </c>
      <c r="L166" s="3" t="inlineStr">
        <is>
          <t>BIDET IN VETROCHINA COLORE BIANCO: - SOSPESO IN VETROCHINA COLORE BIANCO, COMPLETO DI TELAIO METALLICO DA INCASSO E MENSOLE</t>
        </is>
      </c>
      <c r="M166" s="4" t="inlineStr">
        <is>
          <t>CAD</t>
        </is>
      </c>
      <c r="N166" s="5" t="n">
        <v>2</v>
      </c>
      <c r="O166" s="45" t="n">
        <v>342.51</v>
      </c>
      <c r="P166" s="45" t="n">
        <v>685.02</v>
      </c>
      <c r="Q166" s="5" t="n"/>
      <c r="R166" s="6" t="n"/>
      <c r="S166" s="6">
        <f>IF(AND(Q166&lt;&gt;"",R166&lt;&gt;""),Q166*R166,"")</f>
        <v/>
      </c>
      <c r="T166" s="45">
        <f>IF(S166="",P166,S166)</f>
        <v/>
      </c>
      <c r="U166" s="7" t="n">
        <v>0</v>
      </c>
      <c r="V166" s="6">
        <f>$T166*U166</f>
        <v/>
      </c>
      <c r="W166" s="7" t="n">
        <v>0</v>
      </c>
      <c r="X166" s="6">
        <f>$T166*W166</f>
        <v/>
      </c>
      <c r="Y166" s="7" t="n">
        <v>0</v>
      </c>
      <c r="Z166" s="6">
        <f>$T166*Y166</f>
        <v/>
      </c>
      <c r="AA166" s="7" t="n">
        <v>0</v>
      </c>
      <c r="AB166" s="6">
        <f>$T166*AA166</f>
        <v/>
      </c>
      <c r="AC166" s="7" t="n">
        <v>0</v>
      </c>
      <c r="AD166" s="6">
        <f>$T166*AC166</f>
        <v/>
      </c>
      <c r="AE166" s="7" t="n">
        <v>0</v>
      </c>
      <c r="AF166" s="6">
        <f>$T166*AE166</f>
        <v/>
      </c>
      <c r="AG166" s="7" t="n">
        <v>0</v>
      </c>
      <c r="AH166" s="6">
        <f>$T166*AG166</f>
        <v/>
      </c>
      <c r="AI166" s="7">
        <f>U166+W166+Y166+AA166+AC166+AE166+AG166</f>
        <v/>
      </c>
      <c r="AJ166" s="6">
        <f>V166+X166+Z166+AB166+AD166+AF166+AH166</f>
        <v/>
      </c>
    </row>
    <row r="167" hidden="1" ht="30" customHeight="1" s="46">
      <c r="A167" s="3" t="inlineStr">
        <is>
          <t>LOM241.1M.11.020.0020.A</t>
        </is>
      </c>
      <c r="B167" s="4" t="inlineStr">
        <is>
          <t>1/1</t>
        </is>
      </c>
      <c r="C167" s="3" t="inlineStr">
        <is>
          <t>EDILE</t>
        </is>
      </c>
      <c r="D167" s="4" t="inlineStr">
        <is>
          <t>SPECIALE</t>
        </is>
      </c>
      <c r="E167" s="4" t="inlineStr">
        <is>
          <t>EDILI SPECIALI</t>
        </is>
      </c>
      <c r="F167" s="3" t="inlineStr">
        <is>
          <t>1_2025.11.20_CME REV07.PDF</t>
        </is>
      </c>
      <c r="G167" s="4" t="inlineStr">
        <is>
          <t>162</t>
        </is>
      </c>
      <c r="H167" s="3" t="inlineStr">
        <is>
          <t>60 - FINITURE</t>
        </is>
      </c>
      <c r="I167" s="3" t="inlineStr">
        <is>
          <t>NUOVI LABORATORI</t>
        </is>
      </c>
      <c r="J167" s="3" t="inlineStr">
        <is>
          <t>SANITARI</t>
        </is>
      </c>
      <c r="K167" s="3" t="inlineStr">
        <is>
          <t>LAVABI A CANALE IN FIRE-CLAY COLORE BIANCO: - DA 90 X 45 CM CIRCA, COMPLETO DI MENSOLE</t>
        </is>
      </c>
      <c r="L167" s="3" t="inlineStr">
        <is>
          <t>LAVABI A CANALE IN FIRE-CLAY COLORE BIANCO: - DA 90 X 45 CM CIRCA, COMPLETO DI MENSOLE</t>
        </is>
      </c>
      <c r="M167" s="4" t="inlineStr">
        <is>
          <t>CAD</t>
        </is>
      </c>
      <c r="N167" s="5" t="n">
        <v>4</v>
      </c>
      <c r="O167" s="45" t="n">
        <v>483.1</v>
      </c>
      <c r="P167" s="45" t="n">
        <v>1932.4</v>
      </c>
      <c r="Q167" s="5" t="n"/>
      <c r="R167" s="6" t="n"/>
      <c r="S167" s="6">
        <f>IF(AND(Q167&lt;&gt;"",R167&lt;&gt;""),Q167*R167,"")</f>
        <v/>
      </c>
      <c r="T167" s="45">
        <f>IF(S167="",P167,S167)</f>
        <v/>
      </c>
      <c r="U167" s="7" t="n">
        <v>0</v>
      </c>
      <c r="V167" s="6">
        <f>$T167*U167</f>
        <v/>
      </c>
      <c r="W167" s="7" t="n">
        <v>0</v>
      </c>
      <c r="X167" s="6">
        <f>$T167*W167</f>
        <v/>
      </c>
      <c r="Y167" s="7" t="n">
        <v>0</v>
      </c>
      <c r="Z167" s="6">
        <f>$T167*Y167</f>
        <v/>
      </c>
      <c r="AA167" s="7" t="n">
        <v>0</v>
      </c>
      <c r="AB167" s="6">
        <f>$T167*AA167</f>
        <v/>
      </c>
      <c r="AC167" s="7" t="n">
        <v>0</v>
      </c>
      <c r="AD167" s="6">
        <f>$T167*AC167</f>
        <v/>
      </c>
      <c r="AE167" s="7" t="n">
        <v>0</v>
      </c>
      <c r="AF167" s="6">
        <f>$T167*AE167</f>
        <v/>
      </c>
      <c r="AG167" s="7" t="n">
        <v>0</v>
      </c>
      <c r="AH167" s="6">
        <f>$T167*AG167</f>
        <v/>
      </c>
      <c r="AI167" s="7">
        <f>U167+W167+Y167+AA167+AC167+AE167+AG167</f>
        <v/>
      </c>
      <c r="AJ167" s="6">
        <f>V167+X167+Z167+AB167+AD167+AF167+AH167</f>
        <v/>
      </c>
    </row>
    <row r="168" ht="42" customHeight="1" s="46">
      <c r="A168" s="3" t="inlineStr">
        <is>
          <t>LOM241.1M.11.010.0010.D</t>
        </is>
      </c>
      <c r="B168" s="4" t="inlineStr">
        <is>
          <t>1/1</t>
        </is>
      </c>
      <c r="C168" s="3" t="inlineStr">
        <is>
          <t>EDILE</t>
        </is>
      </c>
      <c r="D168" s="4" t="inlineStr">
        <is>
          <t>SPECIALE</t>
        </is>
      </c>
      <c r="E168" s="4" t="inlineStr">
        <is>
          <t>EDILI SPECIALI</t>
        </is>
      </c>
      <c r="F168" s="3" t="inlineStr">
        <is>
          <t>1_2025.11.20_CME REV07.PDF</t>
        </is>
      </c>
      <c r="G168" s="4" t="inlineStr">
        <is>
          <t>163</t>
        </is>
      </c>
      <c r="H168" s="3" t="inlineStr">
        <is>
          <t>60 - FINITURE</t>
        </is>
      </c>
      <c r="I168" s="3" t="inlineStr">
        <is>
          <t>NUOVI LABORATORI</t>
        </is>
      </c>
      <c r="J168" s="3" t="inlineStr">
        <is>
          <t>SANITARI</t>
        </is>
      </c>
      <c r="K168" s="3" t="inlineStr">
        <is>
          <t>VASI IGIENICI A SEDERE IN VETROCHINA COLORE BIANCO: - SOSPESO, COMPLETO DI TELAIO METALLICO DA INCASSO, MENSOLE, RACCORDO DI SCARICO E GUARNIZIONI</t>
        </is>
      </c>
      <c r="L168" s="3" t="inlineStr">
        <is>
          <t>VASI IGIENICI A SEDERE IN VETROCHINA COLORE BIANCO: - SOSPESO, COMPLETO DI TELAIO METALLICO DA INCASSO, MENSOLE, RACCORDO DI SCARICO E GUARNIZIONI</t>
        </is>
      </c>
      <c r="M168" s="4" t="inlineStr">
        <is>
          <t>CAD</t>
        </is>
      </c>
      <c r="N168" s="5" t="n">
        <v>4</v>
      </c>
      <c r="O168" s="45" t="n">
        <v>693.65</v>
      </c>
      <c r="P168" s="45" t="n">
        <v>2774.6</v>
      </c>
      <c r="Q168" s="5" t="n"/>
      <c r="R168" s="6" t="n"/>
      <c r="S168" s="6">
        <f>IF(AND(Q168&lt;&gt;"",R168&lt;&gt;""),Q168*R168,"")</f>
        <v/>
      </c>
      <c r="T168" s="45">
        <f>IF(S168="",P168,S168)</f>
        <v/>
      </c>
      <c r="U168" s="7" t="n">
        <v>0</v>
      </c>
      <c r="V168" s="6">
        <f>$T168*U168</f>
        <v/>
      </c>
      <c r="W168" s="7" t="n">
        <v>0.25</v>
      </c>
      <c r="X168" s="6">
        <f>$T168*W168</f>
        <v/>
      </c>
      <c r="Y168" s="7" t="n">
        <v>0</v>
      </c>
      <c r="Z168" s="6">
        <f>$T168*Y168</f>
        <v/>
      </c>
      <c r="AA168" s="7" t="n">
        <v>0</v>
      </c>
      <c r="AB168" s="6">
        <f>$T168*AA168</f>
        <v/>
      </c>
      <c r="AC168" s="7" t="n">
        <v>0</v>
      </c>
      <c r="AD168" s="6">
        <f>$T168*AC168</f>
        <v/>
      </c>
      <c r="AE168" s="7" t="n">
        <v>0</v>
      </c>
      <c r="AF168" s="6">
        <f>$T168*AE168</f>
        <v/>
      </c>
      <c r="AG168" s="7" t="n">
        <v>0</v>
      </c>
      <c r="AH168" s="6">
        <f>$T168*AG168</f>
        <v/>
      </c>
      <c r="AI168" s="7">
        <f>U168+W168+Y168+AA168+AC168+AE168+AG168</f>
        <v/>
      </c>
      <c r="AJ168" s="6">
        <f>V168+X168+Z168+AB168+AD168+AF168+AH168</f>
        <v/>
      </c>
    </row>
    <row r="169" hidden="1" ht="60" customHeight="1" s="46">
      <c r="A169" s="3" t="inlineStr">
        <is>
          <t>LOM241.1M.11.080.0020.B</t>
        </is>
      </c>
      <c r="B169" s="4" t="inlineStr">
        <is>
          <t>1/1</t>
        </is>
      </c>
      <c r="C169" s="3" t="inlineStr">
        <is>
          <t>EDILE</t>
        </is>
      </c>
      <c r="D169" s="4" t="inlineStr">
        <is>
          <t>SPECIALE</t>
        </is>
      </c>
      <c r="E169" s="4" t="inlineStr">
        <is>
          <t>EDILI SPECIALI</t>
        </is>
      </c>
      <c r="F169" s="3" t="inlineStr">
        <is>
          <t>1_2025.11.20_CME REV07.PDF</t>
        </is>
      </c>
      <c r="G169" s="4" t="inlineStr">
        <is>
          <t>164</t>
        </is>
      </c>
      <c r="H169" s="3" t="inlineStr">
        <is>
          <t>60 - FINITURE</t>
        </is>
      </c>
      <c r="I169" s="3" t="inlineStr">
        <is>
          <t>NUOVI LABORATORI</t>
        </is>
      </c>
      <c r="J169" s="3" t="inlineStr">
        <is>
          <t>SANITARI</t>
        </is>
      </c>
      <c r="K169" s="3" t="inlineStr">
        <is>
          <t>LAVABI PER DISABILI CON BORDI ARROTONDATI, POGGIAGOMITI E PARASPRUZZI, IN CERAMICA COLORE BIANCO, FRONTE CONCAVO PER AGEVOLARE L'AVVICINAMENTO ALLE PERSONE CHE UTILIZZANO LA CARROZZINA, COMPLETO DI RU</t>
        </is>
      </c>
      <c r="L169" s="3" t="inlineStr">
        <is>
          <t>LAVABI PER DISABILI CON BORDI ARROTONDATI, POGGIAGOMITI E PARASPRUZZI, IN CERAMICA COLORE BIANCO, FRONTE CONCAVO PER AGEVOLARE L'AVVICINAMENTO ALLE PERSONE CHE UTILIZZANO LA CARROZZINA, COMPLETO DI RUBINETTO MISCELATORE MONOCOMANDO A LEVA LUNGA A BOCCHELLO ESTRAIBILE, 2 RACCORDI FLESSIBILI CON ROSETTA, PILETTA CON GRIGLIA, SIFONE A SCARICO FLESSIBILE, GUARNIZIONI E MENSOLE: - RECLINABILE CON DISPOSITIVO MECCANICO</t>
        </is>
      </c>
      <c r="M169" s="4" t="inlineStr">
        <is>
          <t>CAD</t>
        </is>
      </c>
      <c r="N169" s="5" t="n">
        <v>1</v>
      </c>
      <c r="O169" s="45" t="n">
        <v>385.77</v>
      </c>
      <c r="P169" s="45" t="n">
        <v>385.77</v>
      </c>
      <c r="Q169" s="5" t="n"/>
      <c r="R169" s="6" t="n"/>
      <c r="S169" s="6">
        <f>IF(AND(Q169&lt;&gt;"",R169&lt;&gt;""),Q169*R169,"")</f>
        <v/>
      </c>
      <c r="T169" s="45">
        <f>IF(S169="",P169,S169)</f>
        <v/>
      </c>
      <c r="U169" s="7" t="n">
        <v>0</v>
      </c>
      <c r="V169" s="6">
        <f>$T169*U169</f>
        <v/>
      </c>
      <c r="W169" s="7" t="n">
        <v>0</v>
      </c>
      <c r="X169" s="6">
        <f>$T169*W169</f>
        <v/>
      </c>
      <c r="Y169" s="7" t="n">
        <v>0</v>
      </c>
      <c r="Z169" s="6">
        <f>$T169*Y169</f>
        <v/>
      </c>
      <c r="AA169" s="7" t="n">
        <v>0</v>
      </c>
      <c r="AB169" s="6">
        <f>$T169*AA169</f>
        <v/>
      </c>
      <c r="AC169" s="7" t="n">
        <v>0</v>
      </c>
      <c r="AD169" s="6">
        <f>$T169*AC169</f>
        <v/>
      </c>
      <c r="AE169" s="7" t="n">
        <v>0</v>
      </c>
      <c r="AF169" s="6">
        <f>$T169*AE169</f>
        <v/>
      </c>
      <c r="AG169" s="7" t="n">
        <v>0</v>
      </c>
      <c r="AH169" s="6">
        <f>$T169*AG169</f>
        <v/>
      </c>
      <c r="AI169" s="7">
        <f>U169+W169+Y169+AA169+AC169+AE169+AG169</f>
        <v/>
      </c>
      <c r="AJ169" s="6">
        <f>V169+X169+Z169+AB169+AD169+AF169+AH169</f>
        <v/>
      </c>
    </row>
    <row r="170" hidden="1" ht="54" customHeight="1" s="46">
      <c r="A170" s="3" t="inlineStr">
        <is>
          <t>LOM241.1M.11.080.0040.A</t>
        </is>
      </c>
      <c r="B170" s="4" t="inlineStr">
        <is>
          <t>1/1</t>
        </is>
      </c>
      <c r="C170" s="3" t="inlineStr">
        <is>
          <t>EDILE</t>
        </is>
      </c>
      <c r="D170" s="4" t="inlineStr">
        <is>
          <t>SPECIALE</t>
        </is>
      </c>
      <c r="E170" s="4" t="inlineStr">
        <is>
          <t>EDILI SPECIALI</t>
        </is>
      </c>
      <c r="F170" s="3" t="inlineStr">
        <is>
          <t>1_2025.11.20_CME REV07.PDF</t>
        </is>
      </c>
      <c r="G170" s="4" t="inlineStr">
        <is>
          <t>165</t>
        </is>
      </c>
      <c r="H170" s="3" t="inlineStr">
        <is>
          <t>60 - FINITURE</t>
        </is>
      </c>
      <c r="I170" s="3" t="inlineStr">
        <is>
          <t>NUOVI LABORATORI</t>
        </is>
      </c>
      <c r="J170" s="3" t="inlineStr">
        <is>
          <t>SANITARI</t>
        </is>
      </c>
      <c r="K170" s="3" t="inlineStr">
        <is>
          <t>COMPLETAMENTI VARI PER LOCALI IGIENICI DISABILI: - SERIE COMPLETA DI MANIGLIONI ORIZZONTALI E VERTICALI PER LOCALE IGIENICO TIPO IN MATERIALE ANTI-SCIVOLO E ANTI-SCOSSA, COMPLETI DI TASSELLI DI FISSAG</t>
        </is>
      </c>
      <c r="L170" s="3" t="inlineStr">
        <is>
          <t>COMPLETAMENTI VARI PER LOCALI IGIENICI DISABILI: - SERIE COMPLETA DI MANIGLIONI ORIZZONTALI E VERTICALI PER LOCALE IGIENICO TIPO IN MATERIALE ANTI-SCIVOLO E ANTI-SCOSSA, COMPLETI DI TASSELLI DI FISSAGGIO.</t>
        </is>
      </c>
      <c r="M170" s="4" t="inlineStr">
        <is>
          <t>CAD</t>
        </is>
      </c>
      <c r="N170" s="5" t="n">
        <v>1</v>
      </c>
      <c r="O170" s="45" t="n">
        <v>331.68</v>
      </c>
      <c r="P170" s="45" t="n">
        <v>331.68</v>
      </c>
      <c r="Q170" s="5" t="n"/>
      <c r="R170" s="6" t="n"/>
      <c r="S170" s="6">
        <f>IF(AND(Q170&lt;&gt;"",R170&lt;&gt;""),Q170*R170,"")</f>
        <v/>
      </c>
      <c r="T170" s="45">
        <f>IF(S170="",P170,S170)</f>
        <v/>
      </c>
      <c r="U170" s="7" t="n">
        <v>0</v>
      </c>
      <c r="V170" s="6">
        <f>$T170*U170</f>
        <v/>
      </c>
      <c r="W170" s="7" t="n">
        <v>0</v>
      </c>
      <c r="X170" s="6">
        <f>$T170*W170</f>
        <v/>
      </c>
      <c r="Y170" s="7" t="n">
        <v>0</v>
      </c>
      <c r="Z170" s="6">
        <f>$T170*Y170</f>
        <v/>
      </c>
      <c r="AA170" s="7" t="n">
        <v>0</v>
      </c>
      <c r="AB170" s="6">
        <f>$T170*AA170</f>
        <v/>
      </c>
      <c r="AC170" s="7" t="n">
        <v>0</v>
      </c>
      <c r="AD170" s="6">
        <f>$T170*AC170</f>
        <v/>
      </c>
      <c r="AE170" s="7" t="n">
        <v>0</v>
      </c>
      <c r="AF170" s="6">
        <f>$T170*AE170</f>
        <v/>
      </c>
      <c r="AG170" s="7" t="n">
        <v>0</v>
      </c>
      <c r="AH170" s="6">
        <f>$T170*AG170</f>
        <v/>
      </c>
      <c r="AI170" s="7">
        <f>U170+W170+Y170+AA170+AC170+AE170+AG170</f>
        <v/>
      </c>
      <c r="AJ170" s="6">
        <f>V170+X170+Z170+AB170+AD170+AF170+AH170</f>
        <v/>
      </c>
    </row>
    <row r="171" hidden="1" ht="60" customHeight="1" s="46">
      <c r="A171" s="3" t="inlineStr">
        <is>
          <t>LOM241.1M.11.080.0005.D</t>
        </is>
      </c>
      <c r="B171" s="4" t="inlineStr">
        <is>
          <t>1/1</t>
        </is>
      </c>
      <c r="C171" s="3" t="inlineStr">
        <is>
          <t>EDILE</t>
        </is>
      </c>
      <c r="D171" s="4" t="inlineStr">
        <is>
          <t>SPECIALE</t>
        </is>
      </c>
      <c r="E171" s="4" t="inlineStr">
        <is>
          <t>EDILI SPECIALI</t>
        </is>
      </c>
      <c r="F171" s="3" t="inlineStr">
        <is>
          <t>1_2025.11.20_CME REV07.PDF</t>
        </is>
      </c>
      <c r="G171" s="4" t="inlineStr">
        <is>
          <t>166</t>
        </is>
      </c>
      <c r="H171" s="3" t="inlineStr">
        <is>
          <t>60 - FINITURE</t>
        </is>
      </c>
      <c r="I171" s="3" t="inlineStr">
        <is>
          <t>NUOVI LABORATORI</t>
        </is>
      </c>
      <c r="J171" s="3" t="inlineStr">
        <is>
          <t>SANITARI</t>
        </is>
      </c>
      <c r="K171" s="3" t="inlineStr">
        <is>
          <t>VASO-BIDET PER DISABILI, PRODOTTI A NORMA D.P.R. 503/96.: - SOSPESO IN CERAMICA BIANCA, CON CATINO ALLUNGATO, APERTURA ANTERIORE PER CONSENTIRE UN AGEVOLE PASSAGGIO DELLA MANO E DELLA DOCCETTA ESTERNA</t>
        </is>
      </c>
      <c r="L171" s="3" t="inlineStr">
        <is>
          <t>VASO-BIDET PER DISABILI, PRODOTTI A NORMA D.P.R. 503/96.: - SOSPESO IN CERAMICA BIANCA, CON CATINO ALLUNGATO, APERTURA ANTERIORE PER CONSENTIRE UN AGEVOLE PASSAGGIO DELLA MANO E DELLA DOCCETTA ESTERNA PER USO BIDET, COMPLETO DI: TELAIO METALLICO DA INCASSO, MENSOLE, VITI DI FISSAGGIO, RACCORDO DI SCARICO/CARICO, GUARNIZIONI.</t>
        </is>
      </c>
      <c r="M171" s="4" t="inlineStr">
        <is>
          <t>CAD</t>
        </is>
      </c>
      <c r="N171" s="5" t="n">
        <v>1</v>
      </c>
      <c r="O171" s="45" t="n">
        <v>796.77</v>
      </c>
      <c r="P171" s="45" t="n">
        <v>796.77</v>
      </c>
      <c r="Q171" s="5" t="n"/>
      <c r="R171" s="6" t="n"/>
      <c r="S171" s="6">
        <f>IF(AND(Q171&lt;&gt;"",R171&lt;&gt;""),Q171*R171,"")</f>
        <v/>
      </c>
      <c r="T171" s="45">
        <f>IF(S171="",P171,S171)</f>
        <v/>
      </c>
      <c r="U171" s="7" t="n">
        <v>0</v>
      </c>
      <c r="V171" s="6">
        <f>$T171*U171</f>
        <v/>
      </c>
      <c r="W171" s="7" t="n">
        <v>0</v>
      </c>
      <c r="X171" s="6">
        <f>$T171*W171</f>
        <v/>
      </c>
      <c r="Y171" s="7" t="n">
        <v>0</v>
      </c>
      <c r="Z171" s="6">
        <f>$T171*Y171</f>
        <v/>
      </c>
      <c r="AA171" s="7" t="n">
        <v>0</v>
      </c>
      <c r="AB171" s="6">
        <f>$T171*AA171</f>
        <v/>
      </c>
      <c r="AC171" s="7" t="n">
        <v>0</v>
      </c>
      <c r="AD171" s="6">
        <f>$T171*AC171</f>
        <v/>
      </c>
      <c r="AE171" s="7" t="n">
        <v>0</v>
      </c>
      <c r="AF171" s="6">
        <f>$T171*AE171</f>
        <v/>
      </c>
      <c r="AG171" s="7" t="n">
        <v>0</v>
      </c>
      <c r="AH171" s="6">
        <f>$T171*AG171</f>
        <v/>
      </c>
      <c r="AI171" s="7">
        <f>U171+W171+Y171+AA171+AC171+AE171+AG171</f>
        <v/>
      </c>
      <c r="AJ171" s="6">
        <f>V171+X171+Z171+AB171+AD171+AF171+AH171</f>
        <v/>
      </c>
    </row>
    <row r="172" ht="60" customHeight="1" s="46">
      <c r="A172" s="3" t="inlineStr">
        <is>
          <t>DEI_IT_035187B</t>
        </is>
      </c>
      <c r="B172" s="4" t="inlineStr">
        <is>
          <t>1/2</t>
        </is>
      </c>
      <c r="C172" s="3" t="inlineStr">
        <is>
          <t>IMPIANTO MECCANICO</t>
        </is>
      </c>
      <c r="D172" s="4" t="inlineStr">
        <is>
          <t>NON SPECIALE</t>
        </is>
      </c>
      <c r="E172" s="4" t="inlineStr">
        <is>
          <t>MECCANICHE</t>
        </is>
      </c>
      <c r="F172" s="3" t="inlineStr">
        <is>
          <t>2_CME_TOTALE MECCANICI RADIOFARMACIA PAVIA.PDF</t>
        </is>
      </c>
      <c r="G172" s="4" t="inlineStr">
        <is>
          <t>122/122</t>
        </is>
      </c>
      <c r="H172" s="3" t="inlineStr">
        <is>
          <t>40 - IMPIANTISTICO</t>
        </is>
      </c>
      <c r="I172" s="3" t="inlineStr">
        <is>
          <t>P. TERRA - UFFICI</t>
        </is>
      </c>
      <c r="J172" s="3" t="inlineStr">
        <is>
          <t>IMPIANTO HVAC</t>
        </is>
      </c>
      <c r="K172" s="3" t="inlineStr">
        <is>
          <t>CONDOTTA PER LA TERMOVENTILAZIONE E IL CONDIZIONAMENTO DELL'ARIA, REALIZZATA CON PANNELLI SANDWICH DI SPESSORE 20,5 MM, CON TRATTAMENTO AUTOPULENTE E ANTIMICROBICO, AD EFFETTO LOTO, CHE AGEVOLA LA RIM</t>
        </is>
      </c>
      <c r="L172" s="3" t="inlineStr">
        <is>
          <t>CONDOTTA PER LA TERMOVENTILAZIONE E IL CONDIZIONAMENTO DELL'ARIA, REALIZZATA CON PANNELLI SANDWICH DI SPESSORE 20,5 MM, CON TRATTAMENTO AUTOPULENTE E ANTIMICROBICO, AD EFFETTO LOTO, CHE AGEVOLA LA RIMOZIONE DEL PARTICOLATO SOLIDO DEPOSITATO SULLA SUPERFICIE INTERNA DEL CANALE MIGLIORANDO NEL CONTEMPO L'EFFICACIA ANTIMICROBICA, COSTITUITI DA UN'ANIMA DI SCHIUMA POLIURETANICA ESPANSA AD ACQUA, SENZA USO DI CFC, HCFC, HFC E HC, ESPANDENTE DELL'ISOLANTE CON ODP (OZONE DEPLETION POTENTIAL) = 0 E GWP (GLOBAL WARMING POTENTIAL) = 0, RIVESTITA SUL LATO INTERNO CON UNA LAMINA DI ALLUMINIO LISCIO CON TRATTAMENTO AUTOPULENTE E ANTIMICROBICO E ALL'ESTERNO CON UNA LAMINA DI ALLUMINIO GOFFRATO, CONDUTTIVITÀ TERMICA INIZIALE 0,022 W/MK, CLASSE DI REAZIONE AL FUOCO 0-1, CLASSIFICAZIONE DEI FUMI DI COMBUSTIONE F1 SECONDO NF F 16 101, COMPLETA DI ACCESSORI PER IL CORRETTO MONTAGGIO E SFRIDO DI LAVORAZIONE, POSTA IN OPERA AD UN'ALTEZZA MASSIMA DI 4,00 M DAL PIANO DI CALPESTIO: PER AMBIENTI INTERNI, DENSITÀ 50 ÷ 54 KG/MC, SPESSORE PANNELLO 20,5 MM: SPESSORE ALLUMINIO INTERNO 80 MICRON ED ESTERNO 80 MICRON</t>
        </is>
      </c>
      <c r="M172" s="4" t="inlineStr">
        <is>
          <t>MQ</t>
        </is>
      </c>
      <c r="N172" s="5" t="n">
        <v>75</v>
      </c>
      <c r="O172" s="45" t="n">
        <v>70.56</v>
      </c>
      <c r="P172" s="45" t="n">
        <v>5292</v>
      </c>
      <c r="Q172" s="5" t="n"/>
      <c r="R172" s="6" t="n"/>
      <c r="S172" s="6">
        <f>IF(AND(Q172&lt;&gt;"",R172&lt;&gt;""),Q172*R172,"")</f>
        <v/>
      </c>
      <c r="T172" s="45">
        <f>IF(S172="",P172,S172)</f>
        <v/>
      </c>
      <c r="U172" s="7" t="n">
        <v>0</v>
      </c>
      <c r="V172" s="6">
        <f>$T172*U172</f>
        <v/>
      </c>
      <c r="W172" s="7" t="n">
        <v>0.4</v>
      </c>
      <c r="X172" s="6">
        <f>$T172*W172</f>
        <v/>
      </c>
      <c r="Y172" s="7" t="n">
        <v>0</v>
      </c>
      <c r="Z172" s="6">
        <f>$T172*Y172</f>
        <v/>
      </c>
      <c r="AA172" s="7" t="n">
        <v>0</v>
      </c>
      <c r="AB172" s="6">
        <f>$T172*AA172</f>
        <v/>
      </c>
      <c r="AC172" s="7" t="n">
        <v>0</v>
      </c>
      <c r="AD172" s="6">
        <f>$T172*AC172</f>
        <v/>
      </c>
      <c r="AE172" s="7" t="n">
        <v>0</v>
      </c>
      <c r="AF172" s="6">
        <f>$T172*AE172</f>
        <v/>
      </c>
      <c r="AG172" s="7" t="n">
        <v>0</v>
      </c>
      <c r="AH172" s="6">
        <f>$T172*AG172</f>
        <v/>
      </c>
      <c r="AI172" s="7">
        <f>U172+W172+Y172+AA172+AC172+AE172+AG172</f>
        <v/>
      </c>
      <c r="AJ172" s="6">
        <f>V172+X172+Z172+AB172+AD172+AF172+AH172</f>
        <v/>
      </c>
    </row>
    <row r="173" hidden="1" ht="60" customHeight="1" s="46">
      <c r="A173" s="3" t="inlineStr">
        <is>
          <t>LOM251.OC.EEA.PA29.F8210.SA000.0005</t>
        </is>
      </c>
      <c r="B173" s="4" t="inlineStr">
        <is>
          <t>1/1</t>
        </is>
      </c>
      <c r="C173" s="3" t="inlineStr">
        <is>
          <t>IMPIANTO MECCANICO</t>
        </is>
      </c>
      <c r="D173" s="4" t="inlineStr">
        <is>
          <t>NON SPECIALE</t>
        </is>
      </c>
      <c r="E173" s="4" t="inlineStr">
        <is>
          <t>MECCANICHE</t>
        </is>
      </c>
      <c r="F173" s="3" t="inlineStr">
        <is>
          <t>2_CME_TOTALE MECCANICI RADIOFARMACIA PAVIA.PDF</t>
        </is>
      </c>
      <c r="G173" s="4" t="inlineStr">
        <is>
          <t>123/123</t>
        </is>
      </c>
      <c r="H173" s="3" t="inlineStr">
        <is>
          <t>40 - IMPIANTISTICO</t>
        </is>
      </c>
      <c r="I173" s="3" t="inlineStr">
        <is>
          <t>P. TERRA - UFFICI</t>
        </is>
      </c>
      <c r="J173" s="3" t="inlineStr">
        <is>
          <t>IMPIANTO HVAC</t>
        </is>
      </c>
      <c r="K173" s="3" t="inlineStr">
        <is>
          <t>OPERA: DIFFUSORE, A CONI REGOLABILI DI LEGA ALLUMINIO GENERICO; GEOMETRIA: CIRCOLARE; FUNZIONE: DIFFUSIONE ARIA; IMPIEGO: IMPIANTO DI CONDIZIONAMENTO; DIAMETRO (Ø) [MM] = 200. INCLUSO: SERRANDA DI REG</t>
        </is>
      </c>
      <c r="L173" s="3" t="inlineStr">
        <is>
          <t>OPERA: DIFFUSORE, A CONI REGOLABILI DI LEGA ALLUMINIO GENERICO; GEOMETRIA: CIRCOLARE; FUNZIONE: DIFFUSIONE ARIA; IMPIEGO: IMPIANTO DI CONDIZIONAMENTO; DIAMETRO (Ø) [MM] = 200. INCLUSO: SERRANDA DI REGOLAZIONE. 
LAVORO: MONTAGGIO. 
SPECIFICHE TECNICHE: MONTAGGIO A SOFFITTO O SU CANALI A VISTA; REGOLAZIONE DELLA PORTATA D'ARIA: ORIZZONTALE IN RAFFREDDAMENTO, VERTICALE IN RISCALDAMENTO. OP DIFFUSORE, A CONI REGOLABILI DI LEGA ALLUMINIO GENERICO; GEOMETRIA: CIRCOLARE; FUNZIONE: DIFFUSIONE ARIA; IMPIEGO: IMPIANTO DI CONDIZIONAMENTO; DIAMETRO (Ø) [MM] = 200. INCLUSO: SERRANDA DI REGOLAZIONE. 
SPECIFICHE TECNICHE: MONTAGGIO A SOFFITTO O SU CANALI A VISTA; REGOLAZIONE DELLA PORTATA D'ARIA: ORIZZONTALE IN RAFFREDDAMENTO, VERTICALE IN RISCALDAMENTO. 
RM DIFFUSORE A CONI REGOLABILI DI LEGA ALLUMINIO GENERICO; GEOMETRIA: CIRCOLARE; FUNZIONE: DIFFUSIONE ARIA; IMPIEGO: IMPIANTO DI CONDIZIONAMENTO; DIAMETRO (Ø) [MM] = 200. INCLUSO: SERRANDA DI REGOLAZIONE 
SPECIFICHE TECNICHE: MONTAGGIO A SOFFITTO O SU CANALI A VISTA; REGOLAZIONE DELLA PORTATA D'ARIA: ORIZZONTALE IN RAFFREDDAMENTO, VERTICALE IN RISCALDAMENTO 
LV MONTAGGIO.</t>
        </is>
      </c>
      <c r="M173" s="4" t="inlineStr">
        <is>
          <t>CAD</t>
        </is>
      </c>
      <c r="N173" s="5" t="n">
        <v>3</v>
      </c>
      <c r="O173" s="45" t="n">
        <v>213.46</v>
      </c>
      <c r="P173" s="45" t="n">
        <v>640.38</v>
      </c>
      <c r="Q173" s="5" t="n"/>
      <c r="R173" s="6" t="n"/>
      <c r="S173" s="6">
        <f>IF(AND(Q173&lt;&gt;"",R173&lt;&gt;""),Q173*R173,"")</f>
        <v/>
      </c>
      <c r="T173" s="45">
        <f>IF(S173="",P173,S173)</f>
        <v/>
      </c>
      <c r="U173" s="7" t="n">
        <v>0</v>
      </c>
      <c r="V173" s="6">
        <f>$T173*U173</f>
        <v/>
      </c>
      <c r="W173" s="7" t="n">
        <v>0</v>
      </c>
      <c r="X173" s="6">
        <f>$T173*W173</f>
        <v/>
      </c>
      <c r="Y173" s="7" t="n">
        <v>0</v>
      </c>
      <c r="Z173" s="6">
        <f>$T173*Y173</f>
        <v/>
      </c>
      <c r="AA173" s="7" t="n">
        <v>0</v>
      </c>
      <c r="AB173" s="6">
        <f>$T173*AA173</f>
        <v/>
      </c>
      <c r="AC173" s="7" t="n">
        <v>0</v>
      </c>
      <c r="AD173" s="6">
        <f>$T173*AC173</f>
        <v/>
      </c>
      <c r="AE173" s="7" t="n">
        <v>0</v>
      </c>
      <c r="AF173" s="6">
        <f>$T173*AE173</f>
        <v/>
      </c>
      <c r="AG173" s="7" t="n">
        <v>0</v>
      </c>
      <c r="AH173" s="6">
        <f>$T173*AG173</f>
        <v/>
      </c>
      <c r="AI173" s="7">
        <f>U173+W173+Y173+AA173+AC173+AE173+AG173</f>
        <v/>
      </c>
      <c r="AJ173" s="6">
        <f>V173+X173+Z173+AB173+AD173+AF173+AH173</f>
        <v/>
      </c>
    </row>
    <row r="174" hidden="1" ht="60" customHeight="1" s="46">
      <c r="A174" s="3" t="inlineStr">
        <is>
          <t>LOM251.OC.EEA.PA29.F8210.SA000.0010</t>
        </is>
      </c>
      <c r="B174" s="4" t="inlineStr">
        <is>
          <t>1/2</t>
        </is>
      </c>
      <c r="C174" s="3" t="inlineStr">
        <is>
          <t>IMPIANTO MECCANICO</t>
        </is>
      </c>
      <c r="D174" s="4" t="inlineStr">
        <is>
          <t>NON SPECIALE</t>
        </is>
      </c>
      <c r="E174" s="4" t="inlineStr">
        <is>
          <t>MECCANICHE</t>
        </is>
      </c>
      <c r="F174" s="3" t="inlineStr">
        <is>
          <t>2_CME_TOTALE MECCANICI RADIOFARMACIA PAVIA.PDF</t>
        </is>
      </c>
      <c r="G174" s="4" t="inlineStr">
        <is>
          <t>124/124</t>
        </is>
      </c>
      <c r="H174" s="3" t="inlineStr">
        <is>
          <t>40 - IMPIANTISTICO</t>
        </is>
      </c>
      <c r="I174" s="3" t="inlineStr">
        <is>
          <t>P. TERRA - UFFICI</t>
        </is>
      </c>
      <c r="J174" s="3" t="inlineStr">
        <is>
          <t>IMPIANTO HVAC</t>
        </is>
      </c>
      <c r="K174" s="3" t="inlineStr">
        <is>
          <t>OPERA: DIFFUSORE, A CONI REGOLABILI DI LEGA ALLUMINIO GENERICO; GEOMETRIA: CIRCOLARE; FUNZIONE: DIFFUSIONE ARIA; IMPIEGO: IMPIANTO DI CONDIZIONAMENTO; DIAMETRO (Ø) [MM] = 250. INCLUSO: SERRANDA DI REG</t>
        </is>
      </c>
      <c r="L174" s="3" t="inlineStr">
        <is>
          <t>OPERA: DIFFUSORE, A CONI REGOLABILI DI LEGA ALLUMINIO GENERICO; GEOMETRIA: CIRCOLARE; FUNZIONE: DIFFUSIONE ARIA; IMPIEGO: IMPIANTO DI CONDIZIONAMENTO; DIAMETRO (Ø) [MM] = 250. INCLUSO: SERRANDA DI REGOLAZIONE. 
LAVORO: MONTAGGIO. 
SPECIFICHE TECNICHE: MONTAGGIO A SOFFITTO O SU CANALI A VISTA; REGOLAZIONE DELLA PORTATA D'ARIA: ORIZZONTALE IN RAFFREDDAMENTO, VERTICALE IN RISCALDAMENTO. OP DIFFUSORE, A CONI REGOLABILI DI LEGA ALLUMINIO GENERICO; GEOMETRIA: CIRCOLARE; FUNZIONE: DIFFUSIONE ARIA; IMPIEGO: IMPIANTO DI CONDIZIONAMENTO; DIAMETRO (Ø) [MM] = 250. INCLUSO: SERRANDA DI REGOLAZIONE. 
SPECIFICHE TECNICHE: MONTAGGIO A SOFFITTO O SU CANALI A VISTA; REGOLAZIONE DELLA PORTATA D'ARIA: ORIZZONTALE IN RAFFREDDAMENTO, VERTICALE IN RISCALDAMENTO. 
RM DIFFUSORE A CONI REGOLABILI DI LEGA ALLUMINIO GENERICO; GEOMETRIA: CIRCOLARE; FUNZIONE: DIFFUSIONE ARIA; IMPIEGO: IMPIANTO DI CONDIZIONAMENTO; DIAMETRO (Ø) [MM] = 250. INCLUSO: SERRANDA DI REGOLAZIONE 
SPECIFICHE TECNICHE: MONTAGGIO A SOFFITTO O SU CANALI A VISTA; REGOLAZIONE DELLA PORTATA D'ARIA: ORIZZONTALE IN RAFFREDDAMENTO, VERTICALE IN RISCALDAMENTO 
LV MONTAGGIO.</t>
        </is>
      </c>
      <c r="M174" s="4" t="inlineStr">
        <is>
          <t>CAD</t>
        </is>
      </c>
      <c r="N174" s="5" t="n">
        <v>1</v>
      </c>
      <c r="O174" s="45" t="n">
        <v>225.31</v>
      </c>
      <c r="P174" s="45" t="n">
        <v>225.31</v>
      </c>
      <c r="Q174" s="5" t="n"/>
      <c r="R174" s="6" t="n"/>
      <c r="S174" s="6">
        <f>IF(AND(Q174&lt;&gt;"",R174&lt;&gt;""),Q174*R174,"")</f>
        <v/>
      </c>
      <c r="T174" s="45">
        <f>IF(S174="",P174,S174)</f>
        <v/>
      </c>
      <c r="U174" s="7" t="n">
        <v>0</v>
      </c>
      <c r="V174" s="6">
        <f>$T174*U174</f>
        <v/>
      </c>
      <c r="W174" s="7" t="n">
        <v>0</v>
      </c>
      <c r="X174" s="6">
        <f>$T174*W174</f>
        <v/>
      </c>
      <c r="Y174" s="7" t="n">
        <v>0</v>
      </c>
      <c r="Z174" s="6">
        <f>$T174*Y174</f>
        <v/>
      </c>
      <c r="AA174" s="7" t="n">
        <v>0</v>
      </c>
      <c r="AB174" s="6">
        <f>$T174*AA174</f>
        <v/>
      </c>
      <c r="AC174" s="7" t="n">
        <v>0</v>
      </c>
      <c r="AD174" s="6">
        <f>$T174*AC174</f>
        <v/>
      </c>
      <c r="AE174" s="7" t="n">
        <v>0</v>
      </c>
      <c r="AF174" s="6">
        <f>$T174*AE174</f>
        <v/>
      </c>
      <c r="AG174" s="7" t="n">
        <v>0</v>
      </c>
      <c r="AH174" s="6">
        <f>$T174*AG174</f>
        <v/>
      </c>
      <c r="AI174" s="7">
        <f>U174+W174+Y174+AA174+AC174+AE174+AG174</f>
        <v/>
      </c>
      <c r="AJ174" s="6">
        <f>V174+X174+Z174+AB174+AD174+AF174+AH174</f>
        <v/>
      </c>
    </row>
    <row r="175" hidden="1" ht="42" customHeight="1" s="46">
      <c r="A175" s="3" t="inlineStr">
        <is>
          <t>DEI_IT_035257C</t>
        </is>
      </c>
      <c r="B175" s="4" t="inlineStr">
        <is>
          <t>1/2</t>
        </is>
      </c>
      <c r="C175" s="3" t="inlineStr">
        <is>
          <t>IMPIANTO MECCANICO</t>
        </is>
      </c>
      <c r="D175" s="4" t="inlineStr">
        <is>
          <t>NON SPECIALE</t>
        </is>
      </c>
      <c r="E175" s="4" t="inlineStr">
        <is>
          <t>MECCANICHE</t>
        </is>
      </c>
      <c r="F175" s="3" t="inlineStr">
        <is>
          <t>2_CME_TOTALE MECCANICI RADIOFARMACIA PAVIA.PDF</t>
        </is>
      </c>
      <c r="G175" s="4" t="inlineStr">
        <is>
          <t>125/125</t>
        </is>
      </c>
      <c r="H175" s="3" t="inlineStr">
        <is>
          <t>40 - IMPIANTISTICO</t>
        </is>
      </c>
      <c r="I175" s="3" t="inlineStr">
        <is>
          <t>P. TERRA - UFFICI</t>
        </is>
      </c>
      <c r="J175" s="3" t="inlineStr">
        <is>
          <t>IMPIANTO HVAC</t>
        </is>
      </c>
      <c r="K175" s="3" t="inlineStr">
        <is>
          <t>VALVOLA DI VENTILAZIONE IN ACCIAIO PER MANDATA E RIPRESA ARIA AMBIENTE PER DIFFUSORE CIRCOLARE, DATA IN OPERA A PERFETTA REGOLA D'ARTE, DEL Ø DI: 200 MM</t>
        </is>
      </c>
      <c r="L175" s="3" t="inlineStr">
        <is>
          <t>VALVOLA DI VENTILAZIONE IN ACCIAIO PER MANDATA E RIPRESA ARIA AMBIENTE PER DIFFUSORE CIRCOLARE, DATA IN OPERA A PERFETTA REGOLA D'ARTE, DEL Ø DI: 200 MM</t>
        </is>
      </c>
      <c r="M175" s="4" t="inlineStr">
        <is>
          <t>CAD</t>
        </is>
      </c>
      <c r="N175" s="5" t="n">
        <v>3</v>
      </c>
      <c r="O175" s="45" t="n">
        <v>30.24</v>
      </c>
      <c r="P175" s="45" t="n">
        <v>90.72</v>
      </c>
      <c r="Q175" s="5" t="n"/>
      <c r="R175" s="6" t="n"/>
      <c r="S175" s="6">
        <f>IF(AND(Q175&lt;&gt;"",R175&lt;&gt;""),Q175*R175,"")</f>
        <v/>
      </c>
      <c r="T175" s="45">
        <f>IF(S175="",P175,S175)</f>
        <v/>
      </c>
      <c r="U175" s="7" t="n">
        <v>0</v>
      </c>
      <c r="V175" s="6">
        <f>$T175*U175</f>
        <v/>
      </c>
      <c r="W175" s="7" t="n">
        <v>0</v>
      </c>
      <c r="X175" s="6">
        <f>$T175*W175</f>
        <v/>
      </c>
      <c r="Y175" s="7" t="n">
        <v>0</v>
      </c>
      <c r="Z175" s="6">
        <f>$T175*Y175</f>
        <v/>
      </c>
      <c r="AA175" s="7" t="n">
        <v>0</v>
      </c>
      <c r="AB175" s="6">
        <f>$T175*AA175</f>
        <v/>
      </c>
      <c r="AC175" s="7" t="n">
        <v>0</v>
      </c>
      <c r="AD175" s="6">
        <f>$T175*AC175</f>
        <v/>
      </c>
      <c r="AE175" s="7" t="n">
        <v>0</v>
      </c>
      <c r="AF175" s="6">
        <f>$T175*AE175</f>
        <v/>
      </c>
      <c r="AG175" s="7" t="n">
        <v>0</v>
      </c>
      <c r="AH175" s="6">
        <f>$T175*AG175</f>
        <v/>
      </c>
      <c r="AI175" s="7">
        <f>U175+W175+Y175+AA175+AC175+AE175+AG175</f>
        <v/>
      </c>
      <c r="AJ175" s="6">
        <f>V175+X175+Z175+AB175+AD175+AF175+AH175</f>
        <v/>
      </c>
    </row>
    <row r="176" hidden="1" ht="60" customHeight="1" s="46">
      <c r="A176" s="3" t="inlineStr">
        <is>
          <t>LOM251.OC.EEA.PA02.F7410.OA015.0285</t>
        </is>
      </c>
      <c r="B176" s="4" t="inlineStr">
        <is>
          <t>1/4</t>
        </is>
      </c>
      <c r="C176" s="3" t="inlineStr">
        <is>
          <t>IMPIANTO MECCANICO</t>
        </is>
      </c>
      <c r="D176" s="4" t="inlineStr">
        <is>
          <t>NON SPECIALE</t>
        </is>
      </c>
      <c r="E176" s="4" t="inlineStr">
        <is>
          <t>MECCANICHE</t>
        </is>
      </c>
      <c r="F176" s="3" t="inlineStr">
        <is>
          <t>2_CME_TOTALE MECCANICI RADIOFARMACIA PAVIA.PDF</t>
        </is>
      </c>
      <c r="G176" s="4" t="inlineStr">
        <is>
          <t>126/126</t>
        </is>
      </c>
      <c r="H176" s="3" t="inlineStr">
        <is>
          <t>40 - IMPIANTISTICO</t>
        </is>
      </c>
      <c r="I176" s="3" t="inlineStr">
        <is>
          <t>P. TERRA - UFFICI</t>
        </is>
      </c>
      <c r="J176" s="3" t="inlineStr">
        <is>
          <t>IMPIANTO HVAC</t>
        </is>
      </c>
      <c r="K176" s="3" t="inlineStr">
        <is>
          <t xml:space="preserve">OPERA: CONDOTTO DI FIBRA SINTETICA TESSILE; GEOMETRIA: FLESSIBILE; FUNZIONE: DISTRIBUZIONE ARIA; IMPIEGO: IMPIANTO DI CLIMATIZZAZIONE; DIAMETRO (Ø) [MM] = 200. </t>
        </is>
      </c>
      <c r="L176" s="3" t="inlineStr">
        <is>
          <t>OPERA: CONDOTTO DI FIBRA SINTETICA TESSILE; GEOMETRIA: FLESSIBILE; FUNZIONE: DISTRIBUZIONE ARIA; IMPIEGO: IMPIANTO DI CLIMATIZZAZIONE; DIAMETRO (Ø) [MM] = 200. 
LAVORO: POSA. 
SPECIFICHE TECNICHE: NON ISOLATO; IMPREGNATO IN RESINA SINTETICA POLIVINILCLORURO (PVC). OP CONDOTTO DI FIBRA SINTETICA TESSILE; GEOMETRIA: FLESSIBILE; FUNZIONE: DISTRIBUZIONE ARIA; IMPIEGO: IMPIANTO DI CLIMATIZZAZIONE; DIAMETRO (Ø) [MM] = 200. 
SPECIFICHE TECNICHE: NON ISOLATO; IMPREGNATO IN RESINA SINTETICA POLIVINILCLORURO (PVC). 
RM CONDOTTO DI FIBRA SINTETICA TESSILE; GEOMETRIA: FLESSIBILE; FUNZIONE: DISTRIBUZIONE ARIA; IMPIEGO: IMPIANTO DI CLIMATIZZAZIONE; DIAMETRO (Ø) [MM] = 200 
SPECIFICHE TECNICHE: NON ISOLATO; IMPREGNATO IN RESINA SINTETICA POLIVINILCLORURO (PVC) 
LV POSA.</t>
        </is>
      </c>
      <c r="M176" s="4" t="inlineStr">
        <is>
          <t>M</t>
        </is>
      </c>
      <c r="N176" s="5" t="n">
        <v>15</v>
      </c>
      <c r="O176" s="45" t="n">
        <v>14.12</v>
      </c>
      <c r="P176" s="45" t="n">
        <v>211.8</v>
      </c>
      <c r="Q176" s="5" t="n"/>
      <c r="R176" s="6" t="n"/>
      <c r="S176" s="6">
        <f>IF(AND(Q176&lt;&gt;"",R176&lt;&gt;""),Q176*R176,"")</f>
        <v/>
      </c>
      <c r="T176" s="45">
        <f>IF(S176="",P176,S176)</f>
        <v/>
      </c>
      <c r="U176" s="7" t="n">
        <v>0</v>
      </c>
      <c r="V176" s="6">
        <f>$T176*U176</f>
        <v/>
      </c>
      <c r="W176" s="7" t="n">
        <v>0</v>
      </c>
      <c r="X176" s="6">
        <f>$T176*W176</f>
        <v/>
      </c>
      <c r="Y176" s="7" t="n">
        <v>0</v>
      </c>
      <c r="Z176" s="6">
        <f>$T176*Y176</f>
        <v/>
      </c>
      <c r="AA176" s="7" t="n">
        <v>0</v>
      </c>
      <c r="AB176" s="6">
        <f>$T176*AA176</f>
        <v/>
      </c>
      <c r="AC176" s="7" t="n">
        <v>0</v>
      </c>
      <c r="AD176" s="6">
        <f>$T176*AC176</f>
        <v/>
      </c>
      <c r="AE176" s="7" t="n">
        <v>0</v>
      </c>
      <c r="AF176" s="6">
        <f>$T176*AE176</f>
        <v/>
      </c>
      <c r="AG176" s="7" t="n">
        <v>0</v>
      </c>
      <c r="AH176" s="6">
        <f>$T176*AG176</f>
        <v/>
      </c>
      <c r="AI176" s="7">
        <f>U176+W176+Y176+AA176+AC176+AE176+AG176</f>
        <v/>
      </c>
      <c r="AJ176" s="6">
        <f>V176+X176+Z176+AB176+AD176+AF176+AH176</f>
        <v/>
      </c>
    </row>
    <row r="177" hidden="1" ht="60" customHeight="1" s="46">
      <c r="A177" s="3" t="inlineStr">
        <is>
          <t>DEI_IT_035249A</t>
        </is>
      </c>
      <c r="B177" s="4" t="inlineStr">
        <is>
          <t>1/2</t>
        </is>
      </c>
      <c r="C177" s="3" t="inlineStr">
        <is>
          <t>IMPIANTO MECCANICO</t>
        </is>
      </c>
      <c r="D177" s="4" t="inlineStr">
        <is>
          <t>NON SPECIALE</t>
        </is>
      </c>
      <c r="E177" s="4" t="inlineStr">
        <is>
          <t>MECCANICHE</t>
        </is>
      </c>
      <c r="F177" s="3" t="inlineStr">
        <is>
          <t>2_CME_TOTALE MECCANICI RADIOFARMACIA PAVIA.PDF</t>
        </is>
      </c>
      <c r="G177" s="4" t="inlineStr">
        <is>
          <t>127/127</t>
        </is>
      </c>
      <c r="H177" s="3" t="inlineStr">
        <is>
          <t>40 - IMPIANTISTICO</t>
        </is>
      </c>
      <c r="I177" s="3" t="inlineStr">
        <is>
          <t>P. TERRA - UFFICI</t>
        </is>
      </c>
      <c r="J177" s="3" t="inlineStr">
        <is>
          <t>IMPIANTO HVAC</t>
        </is>
      </c>
      <c r="K177" s="3" t="inlineStr">
        <is>
          <t>GRIGLIA DI ASPIRAZIONE/ESPULSIONE IN ALLUMINIO CON RETE DI PROTEZIONE, ALETTE ORIZZONTALI IN ALLUMINIO, COMPLETA DI CONTROTELAIO, DATA IN OPERA A PERFETTA REGOLA D'ARTE CON ESCLUSIONE DELLE OPERE MURA</t>
        </is>
      </c>
      <c r="L177" s="3" t="inlineStr">
        <is>
          <t>GRIGLIA DI ASPIRAZIONE/ESPULSIONE IN ALLUMINIO CON RETE DI PROTEZIONE, ALETTE ORIZZONTALI IN ALLUMINIO, COMPLETA DI CONTROTELAIO, DATA IN OPERA A PERFETTA REGOLA D'ARTE CON ESCLUSIONE DELLE OPERE MURARIE, DELLE DIMENSIONI DI: ALTEZZA 650 MM: BASE 600 MM</t>
        </is>
      </c>
      <c r="M177" s="4" t="inlineStr">
        <is>
          <t>CAD</t>
        </is>
      </c>
      <c r="N177" s="5" t="n">
        <v>2</v>
      </c>
      <c r="O177" s="45" t="n">
        <v>166.02</v>
      </c>
      <c r="P177" s="45" t="n">
        <v>332.04</v>
      </c>
      <c r="Q177" s="5" t="n"/>
      <c r="R177" s="6" t="n"/>
      <c r="S177" s="6">
        <f>IF(AND(Q177&lt;&gt;"",R177&lt;&gt;""),Q177*R177,"")</f>
        <v/>
      </c>
      <c r="T177" s="45">
        <f>IF(S177="",P177,S177)</f>
        <v/>
      </c>
      <c r="U177" s="7" t="n">
        <v>0</v>
      </c>
      <c r="V177" s="6">
        <f>$T177*U177</f>
        <v/>
      </c>
      <c r="W177" s="7" t="n">
        <v>0</v>
      </c>
      <c r="X177" s="6">
        <f>$T177*W177</f>
        <v/>
      </c>
      <c r="Y177" s="7" t="n">
        <v>0</v>
      </c>
      <c r="Z177" s="6">
        <f>$T177*Y177</f>
        <v/>
      </c>
      <c r="AA177" s="7" t="n">
        <v>0</v>
      </c>
      <c r="AB177" s="6">
        <f>$T177*AA177</f>
        <v/>
      </c>
      <c r="AC177" s="7" t="n">
        <v>0</v>
      </c>
      <c r="AD177" s="6">
        <f>$T177*AC177</f>
        <v/>
      </c>
      <c r="AE177" s="7" t="n">
        <v>0</v>
      </c>
      <c r="AF177" s="6">
        <f>$T177*AE177</f>
        <v/>
      </c>
      <c r="AG177" s="7" t="n">
        <v>0</v>
      </c>
      <c r="AH177" s="6">
        <f>$T177*AG177</f>
        <v/>
      </c>
      <c r="AI177" s="7">
        <f>U177+W177+Y177+AA177+AC177+AE177+AG177</f>
        <v/>
      </c>
      <c r="AJ177" s="6">
        <f>V177+X177+Z177+AB177+AD177+AF177+AH177</f>
        <v/>
      </c>
    </row>
    <row r="178" ht="60" customHeight="1" s="46">
      <c r="A178" s="3" t="inlineStr">
        <is>
          <t>LOM251.OC.EEA.PA02.I7407.SB038.0255</t>
        </is>
      </c>
      <c r="B178" s="4" t="inlineStr">
        <is>
          <t>1/3</t>
        </is>
      </c>
      <c r="C178" s="3" t="inlineStr">
        <is>
          <t>IMPIANTO MECCANICO</t>
        </is>
      </c>
      <c r="D178" s="4" t="inlineStr">
        <is>
          <t>NON SPECIALE</t>
        </is>
      </c>
      <c r="E178" s="4" t="inlineStr">
        <is>
          <t>MECCANICHE</t>
        </is>
      </c>
      <c r="F178" s="3" t="inlineStr">
        <is>
          <t>2_CME_TOTALE MECCANICI RADIOFARMACIA PAVIA.PDF</t>
        </is>
      </c>
      <c r="G178" s="4" t="inlineStr">
        <is>
          <t>128/128</t>
        </is>
      </c>
      <c r="H178" s="3" t="inlineStr">
        <is>
          <t>40 - IMPIANTISTICO</t>
        </is>
      </c>
      <c r="I178" s="3" t="inlineStr">
        <is>
          <t>P. TERRA - UFFICI</t>
        </is>
      </c>
      <c r="J178" s="3" t="inlineStr">
        <is>
          <t>IMPIANTO HVAC</t>
        </is>
      </c>
      <c r="K178" s="3" t="inlineStr">
        <is>
          <t xml:space="preserve">OPERA: TUBAZIONE DI LEGA FERROSA ACCIAIO NERO; GEOMETRIA: FILETTATO | SERIE LEGGERA; FUNZIONE: DISTRIBUZIONE ACQUA; IMPIEGO: RETE IDRICA; DIAMETRO NOMINALE (Ø) [MM] = 20 | SPESSORE [MM] = 2,3. </t>
        </is>
      </c>
      <c r="L178" s="3" t="inlineStr">
        <is>
          <t>OPERA: TUBAZIONE DI LEGA FERROSA ACCIAIO NERO; GEOMETRIA: FILETTATO | SERIE LEGGERA; FUNZIONE: DISTRIBUZIONE ACQUA; IMPIEGO: RETE IDRICA; DIAMETRO NOMINALE (Ø) [MM] = 20 | SPESSORE [MM] = 2,3. 
LAVORO: POSA. 
SPECIFICHE TECNICHE: TUBO SENZA SALDATURA. OP TUBAZIONE DI LEGA FERROSA ACCIAIO NERO; GEOMETRIA: FILETTATO | SERIE LEGGERA; FUNZIONE: DISTRIBUZIONE ACQUA; IMPIEGO: RETE IDRICA; DIAMETRO NOMINALE (Ø) [MM] = 20 | SPESSORE [MM] = 2,3. 
SPECIFICHE TECNICHE: TUBO SENZA SALDATURA. 
RM TUBO DI LEGA FERROSA ACCIAIO NERO; GEOMETRIA: FILETTATO | SERIE LEGGERA; FUNZIONE: DISTRIBUZIONE ACQUA; IMPIEGO: RETE IDRICA; DIAMETRO NOMINALE (Ø) [MM] = 20 | SPESSORE [MM] = 2,3 
SPECIFICHE TECNICHE: TUBO SENZA SALDATURA 
LV POSA.</t>
        </is>
      </c>
      <c r="M178" s="4" t="inlineStr">
        <is>
          <t>M</t>
        </is>
      </c>
      <c r="N178" s="5" t="n">
        <v>45</v>
      </c>
      <c r="O178" s="45" t="n">
        <v>24.52</v>
      </c>
      <c r="P178" s="45" t="n">
        <v>1103.4</v>
      </c>
      <c r="Q178" s="5" t="n"/>
      <c r="R178" s="6" t="n"/>
      <c r="S178" s="6">
        <f>IF(AND(Q178&lt;&gt;"",R178&lt;&gt;""),Q178*R178,"")</f>
        <v/>
      </c>
      <c r="T178" s="45">
        <f>IF(S178="",P178,S178)</f>
        <v/>
      </c>
      <c r="U178" s="7" t="n">
        <v>0</v>
      </c>
      <c r="V178" s="6">
        <f>$T178*U178</f>
        <v/>
      </c>
      <c r="W178" s="7" t="n">
        <v>0.1</v>
      </c>
      <c r="X178" s="6">
        <f>$T178*W178</f>
        <v/>
      </c>
      <c r="Y178" s="7" t="n">
        <v>0</v>
      </c>
      <c r="Z178" s="6">
        <f>$T178*Y178</f>
        <v/>
      </c>
      <c r="AA178" s="7" t="n">
        <v>0</v>
      </c>
      <c r="AB178" s="6">
        <f>$T178*AA178</f>
        <v/>
      </c>
      <c r="AC178" s="7" t="n">
        <v>0</v>
      </c>
      <c r="AD178" s="6">
        <f>$T178*AC178</f>
        <v/>
      </c>
      <c r="AE178" s="7" t="n">
        <v>0</v>
      </c>
      <c r="AF178" s="6">
        <f>$T178*AE178</f>
        <v/>
      </c>
      <c r="AG178" s="7" t="n">
        <v>0</v>
      </c>
      <c r="AH178" s="6">
        <f>$T178*AG178</f>
        <v/>
      </c>
      <c r="AI178" s="7">
        <f>U178+W178+Y178+AA178+AC178+AE178+AG178</f>
        <v/>
      </c>
      <c r="AJ178" s="6">
        <f>V178+X178+Z178+AB178+AD178+AF178+AH178</f>
        <v/>
      </c>
    </row>
    <row r="179" ht="60" customHeight="1" s="46">
      <c r="A179" s="3" t="inlineStr">
        <is>
          <t>LOM251.OC.EEA.PA02.I7407.SB038.0295</t>
        </is>
      </c>
      <c r="B179" s="4" t="inlineStr">
        <is>
          <t>1/2</t>
        </is>
      </c>
      <c r="C179" s="3" t="inlineStr">
        <is>
          <t>IMPIANTO MECCANICO</t>
        </is>
      </c>
      <c r="D179" s="4" t="inlineStr">
        <is>
          <t>NON SPECIALE</t>
        </is>
      </c>
      <c r="E179" s="4" t="inlineStr">
        <is>
          <t>MECCANICHE</t>
        </is>
      </c>
      <c r="F179" s="3" t="inlineStr">
        <is>
          <t>2_CME_TOTALE MECCANICI RADIOFARMACIA PAVIA.PDF</t>
        </is>
      </c>
      <c r="G179" s="4" t="inlineStr">
        <is>
          <t>129/129</t>
        </is>
      </c>
      <c r="H179" s="3" t="inlineStr">
        <is>
          <t>40 - IMPIANTISTICO</t>
        </is>
      </c>
      <c r="I179" s="3" t="inlineStr">
        <is>
          <t>P. TERRA - UFFICI</t>
        </is>
      </c>
      <c r="J179" s="3" t="inlineStr">
        <is>
          <t>IMPIANTO HVAC</t>
        </is>
      </c>
      <c r="K179" s="3" t="inlineStr">
        <is>
          <t xml:space="preserve">OPERA: TUBAZIONE DI LEGA FERROSA ACCIAIO NERO; FUNZIONE: DISTRIBUZIONE ACQUA; IMPIEGO: RETE IDRICA; DIAMETRO NOMINALE (Ø) [MM] = 25 | SPESSORE [MM] = 2,3. </t>
        </is>
      </c>
      <c r="L179" s="3" t="inlineStr">
        <is>
          <t>OPERA: TUBAZIONE DI LEGA FERROSA ACCIAIO NERO; FUNZIONE: DISTRIBUZIONE ACQUA; IMPIEGO: RETE IDRICA; DIAMETRO NOMINALE (Ø) [MM] = 25 | SPESSORE [MM] = 2,3. 
LAVORO: POSA. 
SPECIFICHE TECNICHE: TUBO SENZA SALDATURA. OP TUBAZIONE DI LEGA FERROSA ACCIAIO NERO; FUNZIONE: DISTRIBUZIONE ACQUA; IMPIEGO: RETE IDRICA; DIAMETRO NOMINALE (Ø) [MM] = 25 | SPESSORE [MM] = 2,3. 
SPECIFICHE TECNICHE: TUBO SENZA SALDATURA. 
RM TUBO DI LEGA FERROSA ACCIAIO NERO; FUNZIONE: DISTRIBUZIONE ACQUA; IMPIEGO: RETE IDRICA; DIAMETRO NOMINALE (Ø) [MM] = 25 | SPESSORE [MM] = 2,3 
SPECIFICHE TECNICHE: TUBO SENZA SALDATURA 
LV POSA.</t>
        </is>
      </c>
      <c r="M179" s="4" t="inlineStr">
        <is>
          <t>M</t>
        </is>
      </c>
      <c r="N179" s="5" t="n">
        <v>20</v>
      </c>
      <c r="O179" s="45" t="n">
        <v>27.97</v>
      </c>
      <c r="P179" s="45" t="n">
        <v>559.4</v>
      </c>
      <c r="Q179" s="5" t="n"/>
      <c r="R179" s="6" t="n"/>
      <c r="S179" s="6">
        <f>IF(AND(Q179&lt;&gt;"",R179&lt;&gt;""),Q179*R179,"")</f>
        <v/>
      </c>
      <c r="T179" s="45">
        <f>IF(S179="",P179,S179)</f>
        <v/>
      </c>
      <c r="U179" s="7" t="n">
        <v>0</v>
      </c>
      <c r="V179" s="6">
        <f>$T179*U179</f>
        <v/>
      </c>
      <c r="W179" s="7" t="n">
        <v>0.1</v>
      </c>
      <c r="X179" s="6">
        <f>$T179*W179</f>
        <v/>
      </c>
      <c r="Y179" s="7" t="n">
        <v>0</v>
      </c>
      <c r="Z179" s="6">
        <f>$T179*Y179</f>
        <v/>
      </c>
      <c r="AA179" s="7" t="n">
        <v>0</v>
      </c>
      <c r="AB179" s="6">
        <f>$T179*AA179</f>
        <v/>
      </c>
      <c r="AC179" s="7" t="n">
        <v>0</v>
      </c>
      <c r="AD179" s="6">
        <f>$T179*AC179</f>
        <v/>
      </c>
      <c r="AE179" s="7" t="n">
        <v>0</v>
      </c>
      <c r="AF179" s="6">
        <f>$T179*AE179</f>
        <v/>
      </c>
      <c r="AG179" s="7" t="n">
        <v>0</v>
      </c>
      <c r="AH179" s="6">
        <f>$T179*AG179</f>
        <v/>
      </c>
      <c r="AI179" s="7">
        <f>U179+W179+Y179+AA179+AC179+AE179+AG179</f>
        <v/>
      </c>
      <c r="AJ179" s="6">
        <f>V179+X179+Z179+AB179+AD179+AF179+AH179</f>
        <v/>
      </c>
    </row>
    <row r="180" hidden="1" ht="60" customHeight="1" s="46">
      <c r="A180" s="3" t="inlineStr">
        <is>
          <t>LOM251.OC.EEA.PA02.I1500.E0011.0135</t>
        </is>
      </c>
      <c r="B180" s="4" t="inlineStr">
        <is>
          <t>1/3</t>
        </is>
      </c>
      <c r="C180" s="3" t="inlineStr">
        <is>
          <t>IMPIANTO MECCANICO</t>
        </is>
      </c>
      <c r="D180" s="4" t="inlineStr">
        <is>
          <t>NON SPECIALE</t>
        </is>
      </c>
      <c r="E180" s="4" t="inlineStr">
        <is>
          <t>MECCANICHE</t>
        </is>
      </c>
      <c r="F180" s="3" t="inlineStr">
        <is>
          <t>2_CME_TOTALE MECCANICI RADIOFARMACIA PAVIA.PDF</t>
        </is>
      </c>
      <c r="G180" s="4" t="inlineStr">
        <is>
          <t>130/130</t>
        </is>
      </c>
      <c r="H180" s="3" t="inlineStr">
        <is>
          <t>40 - IMPIANTISTICO</t>
        </is>
      </c>
      <c r="I180" s="3" t="inlineStr">
        <is>
          <t>P. TERRA - UFFICI</t>
        </is>
      </c>
      <c r="J180" s="3" t="inlineStr">
        <is>
          <t>IMPIANTO HVAC</t>
        </is>
      </c>
      <c r="K180" s="3" t="inlineStr">
        <is>
          <t>OPERA: LASTRA DI GOMMA ELASTOMERICA ESPANSA A CELLULE CHIUSE; FUNZIONE: COIBENTAZIONE; IMPIEGO: TUBAZIONE; SPESSORE MINIMO LASTRA [MM] = 19 | SPESSORE MINIMO ELASTOMERO PER IL DIAMETRO ESTERNO TUBO [M</t>
        </is>
      </c>
      <c r="L180" s="3" t="inlineStr">
        <is>
          <t>OPERA: LASTRA DI GOMMA ELASTOMERICA ESPANSA A CELLULE CHIUSE; FUNZIONE: COIBENTAZIONE; IMPIEGO: TUBAZIONE; SPESSORE MINIMO LASTRA [MM] = 19 | SPESSORE MINIMO ELASTOMERO PER IL DIAMETRO ESTERNO TUBO [MM] = 28 | DIAMETRO NOMINALE TUBAZIONE [MM] = 20;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28 | DIAMETRO NOMINALE TUBAZIONE [MM] = 20;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28 | DIAMETRO NOMINALE TUBAZIONE [MM] = 20; RESISTENZA ALLA FIAMMA [CLASSE] = 1; FATTORE DI PERMEABILITÀ (Μ) MINIMO [-] = 4000 
SPECIFICHE TECNICHE: GOMMA ELASTOMERICA ESPANSA A CELLULE CHIUSE SENZA ALOGENI NÉ PVC 
LV POSA.</t>
        </is>
      </c>
      <c r="M180" s="4" t="inlineStr">
        <is>
          <t>M</t>
        </is>
      </c>
      <c r="N180" s="5" t="n">
        <v>45</v>
      </c>
      <c r="O180" s="45" t="n">
        <v>24.79</v>
      </c>
      <c r="P180" s="45" t="n">
        <v>1115.55</v>
      </c>
      <c r="Q180" s="5" t="n"/>
      <c r="R180" s="6" t="n"/>
      <c r="S180" s="6">
        <f>IF(AND(Q180&lt;&gt;"",R180&lt;&gt;""),Q180*R180,"")</f>
        <v/>
      </c>
      <c r="T180" s="45">
        <f>IF(S180="",P180,S180)</f>
        <v/>
      </c>
      <c r="U180" s="7" t="n">
        <v>0</v>
      </c>
      <c r="V180" s="6">
        <f>$T180*U180</f>
        <v/>
      </c>
      <c r="W180" s="7" t="n">
        <v>0</v>
      </c>
      <c r="X180" s="6">
        <f>$T180*W180</f>
        <v/>
      </c>
      <c r="Y180" s="7" t="n">
        <v>0</v>
      </c>
      <c r="Z180" s="6">
        <f>$T180*Y180</f>
        <v/>
      </c>
      <c r="AA180" s="7" t="n">
        <v>0</v>
      </c>
      <c r="AB180" s="6">
        <f>$T180*AA180</f>
        <v/>
      </c>
      <c r="AC180" s="7" t="n">
        <v>0</v>
      </c>
      <c r="AD180" s="6">
        <f>$T180*AC180</f>
        <v/>
      </c>
      <c r="AE180" s="7" t="n">
        <v>0</v>
      </c>
      <c r="AF180" s="6">
        <f>$T180*AE180</f>
        <v/>
      </c>
      <c r="AG180" s="7" t="n">
        <v>0</v>
      </c>
      <c r="AH180" s="6">
        <f>$T180*AG180</f>
        <v/>
      </c>
      <c r="AI180" s="7">
        <f>U180+W180+Y180+AA180+AC180+AE180+AG180</f>
        <v/>
      </c>
      <c r="AJ180" s="6">
        <f>V180+X180+Z180+AB180+AD180+AF180+AH180</f>
        <v/>
      </c>
    </row>
    <row r="181" hidden="1" ht="60" customHeight="1" s="46">
      <c r="A181" s="3" t="inlineStr">
        <is>
          <t>LOM251.OC.EEA.PA02.I1500.E0011.0140</t>
        </is>
      </c>
      <c r="B181" s="4" t="inlineStr">
        <is>
          <t>1/3</t>
        </is>
      </c>
      <c r="C181" s="3" t="inlineStr">
        <is>
          <t>IMPIANTO MECCANICO</t>
        </is>
      </c>
      <c r="D181" s="4" t="inlineStr">
        <is>
          <t>NON SPECIALE</t>
        </is>
      </c>
      <c r="E181" s="4" t="inlineStr">
        <is>
          <t>MECCANICHE</t>
        </is>
      </c>
      <c r="F181" s="3" t="inlineStr">
        <is>
          <t>2_CME_TOTALE MECCANICI RADIOFARMACIA PAVIA.PDF</t>
        </is>
      </c>
      <c r="G181" s="4" t="inlineStr">
        <is>
          <t>131/131</t>
        </is>
      </c>
      <c r="H181" s="3" t="inlineStr">
        <is>
          <t>40 - IMPIANTISTICO</t>
        </is>
      </c>
      <c r="I181" s="3" t="inlineStr">
        <is>
          <t>P. TERRA - UFFICI</t>
        </is>
      </c>
      <c r="J181" s="3" t="inlineStr">
        <is>
          <t>IMPIANTO HVAC</t>
        </is>
      </c>
      <c r="K181" s="3" t="inlineStr">
        <is>
          <t>OPERA: LASTRA DI GOMMA ELASTOMERICA ESPANSA A CELLULE CHIUSE; FUNZIONE: COIBENTAZIONE; IMPIEGO: TUBAZIONE; SPESSORE MINIMO LASTRA [MM] = 19 | SPESSORE MINIMO ELASTOMERO PER IL DIAMETRO ESTERNO TUBO [M</t>
        </is>
      </c>
      <c r="L181" s="3" t="inlineStr">
        <is>
          <t>OPERA: LASTRA DI GOMMA ELASTOMERICA ESPANSA A CELLULE CHIUSE; FUNZIONE: COIBENTAZIONE; IMPIEGO: TUBAZIONE; SPESSORE MINIMO LASTRA [MM] = 19 | SPESSORE MINIMO ELASTOMERO PER IL DIAMETRO ESTERNO TUBO [MM] = 35 | DIAMETRO NOMINALE TUBAZIONE [MM] = 25;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35 | DIAMETRO NOMINALE TUBAZIONE [MM] = 25;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35 | DIAMETRO NOMINALE TUBAZIONE [MM] = 25; RESISTENZA ALLA FIAMMA [CLASSE] = 1; FATTORE DI PERMEABILITÀ (Μ) MINIMO [-] = 4000 
SPECIFICHE TECNICHE: GOMMA ELASTOMERICA ESPANSA A CELLULE CHIUSE SENZA ALOGENI NÉ PVC 
LV POSA.</t>
        </is>
      </c>
      <c r="M181" s="4" t="inlineStr">
        <is>
          <t>M</t>
        </is>
      </c>
      <c r="N181" s="5" t="n">
        <v>20</v>
      </c>
      <c r="O181" s="45" t="n">
        <v>24.79</v>
      </c>
      <c r="P181" s="45" t="n">
        <v>495.8</v>
      </c>
      <c r="Q181" s="5" t="n"/>
      <c r="R181" s="6" t="n"/>
      <c r="S181" s="6">
        <f>IF(AND(Q181&lt;&gt;"",R181&lt;&gt;""),Q181*R181,"")</f>
        <v/>
      </c>
      <c r="T181" s="45">
        <f>IF(S181="",P181,S181)</f>
        <v/>
      </c>
      <c r="U181" s="7" t="n">
        <v>0</v>
      </c>
      <c r="V181" s="6">
        <f>$T181*U181</f>
        <v/>
      </c>
      <c r="W181" s="7" t="n">
        <v>0</v>
      </c>
      <c r="X181" s="6">
        <f>$T181*W181</f>
        <v/>
      </c>
      <c r="Y181" s="7" t="n">
        <v>0</v>
      </c>
      <c r="Z181" s="6">
        <f>$T181*Y181</f>
        <v/>
      </c>
      <c r="AA181" s="7" t="n">
        <v>0</v>
      </c>
      <c r="AB181" s="6">
        <f>$T181*AA181</f>
        <v/>
      </c>
      <c r="AC181" s="7" t="n">
        <v>0</v>
      </c>
      <c r="AD181" s="6">
        <f>$T181*AC181</f>
        <v/>
      </c>
      <c r="AE181" s="7" t="n">
        <v>0</v>
      </c>
      <c r="AF181" s="6">
        <f>$T181*AE181</f>
        <v/>
      </c>
      <c r="AG181" s="7" t="n">
        <v>0</v>
      </c>
      <c r="AH181" s="6">
        <f>$T181*AG181</f>
        <v/>
      </c>
      <c r="AI181" s="7">
        <f>U181+W181+Y181+AA181+AC181+AE181+AG181</f>
        <v/>
      </c>
      <c r="AJ181" s="6">
        <f>V181+X181+Z181+AB181+AD181+AF181+AH181</f>
        <v/>
      </c>
    </row>
    <row r="182" ht="60" customHeight="1" s="46">
      <c r="A182" s="3" t="inlineStr">
        <is>
          <t>LOM251.OC.EEA.PA01.F8220.ZA001.0140</t>
        </is>
      </c>
      <c r="B182" s="4" t="inlineStr">
        <is>
          <t>1/2</t>
        </is>
      </c>
      <c r="C182" s="3" t="inlineStr">
        <is>
          <t>IMPIANTO MECCANICO</t>
        </is>
      </c>
      <c r="D182" s="4" t="inlineStr">
        <is>
          <t>NON SPECIALE</t>
        </is>
      </c>
      <c r="E182" s="4" t="inlineStr">
        <is>
          <t>MECCANICHE</t>
        </is>
      </c>
      <c r="F182" s="3" t="inlineStr">
        <is>
          <t>2_CME_TOTALE MECCANICI RADIOFARMACIA PAVIA.PDF</t>
        </is>
      </c>
      <c r="G182" s="4" t="inlineStr">
        <is>
          <t>132/132</t>
        </is>
      </c>
      <c r="H182" s="3" t="inlineStr">
        <is>
          <t>40 - IMPIANTISTICO</t>
        </is>
      </c>
      <c r="I182" s="3" t="inlineStr">
        <is>
          <t>P. TERRA - UFFICI</t>
        </is>
      </c>
      <c r="J182" s="3" t="inlineStr">
        <is>
          <t>IMPIANTO HVAC</t>
        </is>
      </c>
      <c r="K182" s="3" t="inlineStr">
        <is>
          <t xml:space="preserve">OPERA: VENTILCONVETTORE, A 1 BATTERIA; GEOMETRIA: INCASSO TIPO CASSETTE; FUNZIONE: RAFFRESCAMENTO ARIA; IMPIEGO: IMPIANTO DI CLIMATIZZAZIONE; POTENZA DI RAFFRESCAMENTO [W] ≤ 2800. </t>
        </is>
      </c>
      <c r="L182" s="3" t="inlineStr">
        <is>
          <t>OPERA: VENTILCONVETTORE, A 1 BATTERIA; GEOMETRIA: INCASSO TIPO CASSETTE; FUNZIONE: RAFFRESCAMENTO ARIA; IMPIEGO: IMPIANTO DI CLIMATIZZAZIONE; POTENZA DI RAFFRESCAMENTO [W] ≤ 2800. 
LAVORO: INSTALLAZIONE. 
SPECIFICHE TECNICHE: POTENZA DI RAFFRESCAMENTO SENSIBILE MISURATA CON TEMPERATURA ARIA [°C] = 26, UMIDITÀ RELATIVA (UR) [%] = 50 E TEMPERATURA ACQUA [°C] = 7 ÷ 12. OP VENTILCONVETTORE, A 1 BATTERIA; GEOMETRIA: INCASSO TIPO CASSETTE; FUNZIONE: RAFFRESCAMENTO ARIA; IMPIEGO: IMPIANTO DI CLIMATIZZAZIONE; POTENZA DI RAFFRESCAMENTO [W] ≤ 2800. 
SPECIFICHE TECNICHE: POTENZA DI RAFFRESCAMENTO SENSIBILE MISURATA CON TEMPERATURA ARIA [°C] = 26, UMIDITÀ RELATIVA (UR) [%] = 50 E TEMPERATURA ACQUA [°C] = 7 ÷ 12. 
RM VENTILCONVETTORE A 1 BATTERIA; GEOMETRIA: INCASSO TIPO CASSETTE; FUNZIONE: RAFFRESCAMENTO ARIA; IMPIEGO: IMPIANTO DI CLIMATIZZAZIONE; POTENZA DI RAFFRESCAMENTO [W] ≤ 2800. COMPONENTI: VENTILATORE CENTRIFUGO, DISPOSITIVO ELETTRONICO BATTERIA, COMANDO A 3 VELOCITÀ, STRUTTURA, FILTRO RIGENERABILE, BACINELLA, PIEDINO, MENSOLA 
SPECIFICHE TECNICHE: POTENZA DI RAFFRESCAMENTO SENSIBILE MISURATA CON TEMPERATURA ARIA [°C] = 26, UMIDITÀ RELATIVA (UR) [%] = 50 E TEMPERATURA ACQUA [°C] = 7 ÷ 12 
LV INSTALLAZIONE.</t>
        </is>
      </c>
      <c r="M182" s="4" t="inlineStr">
        <is>
          <t>CAD</t>
        </is>
      </c>
      <c r="N182" s="5" t="n">
        <v>5</v>
      </c>
      <c r="O182" s="45" t="n">
        <v>1108.78</v>
      </c>
      <c r="P182" s="45" t="n">
        <v>5543.9</v>
      </c>
      <c r="Q182" s="5" t="n"/>
      <c r="R182" s="6" t="n"/>
      <c r="S182" s="6">
        <f>IF(AND(Q182&lt;&gt;"",R182&lt;&gt;""),Q182*R182,"")</f>
        <v/>
      </c>
      <c r="T182" s="45">
        <f>IF(S182="",P182,S182)</f>
        <v/>
      </c>
      <c r="U182" s="7" t="n">
        <v>0.5</v>
      </c>
      <c r="V182" s="6">
        <f>$T182*U182</f>
        <v/>
      </c>
      <c r="W182" s="7" t="n">
        <v>0.2</v>
      </c>
      <c r="X182" s="6">
        <f>$T182*W182</f>
        <v/>
      </c>
      <c r="Y182" s="7" t="n">
        <v>0</v>
      </c>
      <c r="Z182" s="6">
        <f>$T182*Y182</f>
        <v/>
      </c>
      <c r="AA182" s="7" t="n">
        <v>0</v>
      </c>
      <c r="AB182" s="6">
        <f>$T182*AA182</f>
        <v/>
      </c>
      <c r="AC182" s="7" t="n">
        <v>0</v>
      </c>
      <c r="AD182" s="6">
        <f>$T182*AC182</f>
        <v/>
      </c>
      <c r="AE182" s="7" t="n">
        <v>0</v>
      </c>
      <c r="AF182" s="6">
        <f>$T182*AE182</f>
        <v/>
      </c>
      <c r="AG182" s="7" t="n">
        <v>0</v>
      </c>
      <c r="AH182" s="6">
        <f>$T182*AG182</f>
        <v/>
      </c>
      <c r="AI182" s="7">
        <f>U182+W182+Y182+AA182+AC182+AE182+AG182</f>
        <v/>
      </c>
      <c r="AJ182" s="6">
        <f>V182+X182+Z182+AB182+AD182+AF182+AH182</f>
        <v/>
      </c>
    </row>
    <row r="183" hidden="1" ht="60" customHeight="1" s="46">
      <c r="A183" s="3" t="inlineStr">
        <is>
          <t>DEI_IT_015011A</t>
        </is>
      </c>
      <c r="B183" s="4" t="inlineStr">
        <is>
          <t>1/2</t>
        </is>
      </c>
      <c r="C183" s="3" t="inlineStr">
        <is>
          <t>IMPIANTO MECCANICO</t>
        </is>
      </c>
      <c r="D183" s="4" t="inlineStr">
        <is>
          <t>NON SPECIALE</t>
        </is>
      </c>
      <c r="E183" s="4" t="inlineStr">
        <is>
          <t>MECCANICHE</t>
        </is>
      </c>
      <c r="F183" s="3" t="inlineStr">
        <is>
          <t>2_CME_TOTALE MECCANICI RADIOFARMACIA PAVIA.PDF</t>
        </is>
      </c>
      <c r="G183" s="4" t="inlineStr">
        <is>
          <t>133/133</t>
        </is>
      </c>
      <c r="H183" s="3" t="inlineStr">
        <is>
          <t>40 - IMPIANTISTICO</t>
        </is>
      </c>
      <c r="I183" s="3" t="inlineStr">
        <is>
          <t>P. TERRA - UFFICI</t>
        </is>
      </c>
      <c r="J183" s="3" t="inlineStr">
        <is>
          <t>IMPIANTO HVAC</t>
        </is>
      </c>
      <c r="K183" s="3" t="inlineStr">
        <is>
          <t>TUBO IN POLIETILENE ALTA DENSITÀ, CONFORME ALLA NORMA UNI EN 1519, PER IMPIANTI DI SCARICO DI ACQUE CALDE E FREDDE E PER COLONNE DI VENTILAZIONE SIA ALL'INTERNO CHE ALL'ESTERNO DI FABBRICATI, IN OPERA</t>
        </is>
      </c>
      <c r="L183" s="3" t="inlineStr">
        <is>
          <t>TUBO IN POLIETILENE ALTA DENSITÀ, CONFORME ALLA NORMA UNI EN 1519, PER IMPIANTI DI SCARICO DI ACQUE CALDE E FREDDE E PER COLONNE DI VENTILAZIONE SIA ALL'INTERNO CHE ALL'ESTERNO DI FABBRICATI, IN OPERA COMPRESA QUOTA PARTE DI RACCORDERIA E MATERIALI ACCESSORI PER IL MONTAGGIO, ESCLUSI EVENTUALI PEZZI SPECIALI, OPERE MURARIE, SCAVI E RINTERRI: Ø 32 MM</t>
        </is>
      </c>
      <c r="M183" s="4" t="inlineStr">
        <is>
          <t>M</t>
        </is>
      </c>
      <c r="N183" s="5" t="n">
        <v>15</v>
      </c>
      <c r="O183" s="45" t="n">
        <v>13.34</v>
      </c>
      <c r="P183" s="45" t="n">
        <v>200.1</v>
      </c>
      <c r="Q183" s="5" t="n"/>
      <c r="R183" s="6" t="n"/>
      <c r="S183" s="6">
        <f>IF(AND(Q183&lt;&gt;"",R183&lt;&gt;""),Q183*R183,"")</f>
        <v/>
      </c>
      <c r="T183" s="45">
        <f>IF(S183="",P183,S183)</f>
        <v/>
      </c>
      <c r="U183" s="7" t="n">
        <v>0</v>
      </c>
      <c r="V183" s="6">
        <f>$T183*U183</f>
        <v/>
      </c>
      <c r="W183" s="7" t="n">
        <v>0</v>
      </c>
      <c r="X183" s="6">
        <f>$T183*W183</f>
        <v/>
      </c>
      <c r="Y183" s="7" t="n">
        <v>0</v>
      </c>
      <c r="Z183" s="6">
        <f>$T183*Y183</f>
        <v/>
      </c>
      <c r="AA183" s="7" t="n">
        <v>0</v>
      </c>
      <c r="AB183" s="6">
        <f>$T183*AA183</f>
        <v/>
      </c>
      <c r="AC183" s="7" t="n">
        <v>0</v>
      </c>
      <c r="AD183" s="6">
        <f>$T183*AC183</f>
        <v/>
      </c>
      <c r="AE183" s="7" t="n">
        <v>0</v>
      </c>
      <c r="AF183" s="6">
        <f>$T183*AE183</f>
        <v/>
      </c>
      <c r="AG183" s="7" t="n">
        <v>0</v>
      </c>
      <c r="AH183" s="6">
        <f>$T183*AG183</f>
        <v/>
      </c>
      <c r="AI183" s="7">
        <f>U183+W183+Y183+AA183+AC183+AE183+AG183</f>
        <v/>
      </c>
      <c r="AJ183" s="6">
        <f>V183+X183+Z183+AB183+AD183+AF183+AH183</f>
        <v/>
      </c>
    </row>
    <row r="184" hidden="1" ht="60" customHeight="1" s="46">
      <c r="A184" s="3" t="inlineStr">
        <is>
          <t>DEI_IT_015011B</t>
        </is>
      </c>
      <c r="B184" s="4" t="inlineStr">
        <is>
          <t>1/2</t>
        </is>
      </c>
      <c r="C184" s="3" t="inlineStr">
        <is>
          <t>IMPIANTO MECCANICO</t>
        </is>
      </c>
      <c r="D184" s="4" t="inlineStr">
        <is>
          <t>NON SPECIALE</t>
        </is>
      </c>
      <c r="E184" s="4" t="inlineStr">
        <is>
          <t>MECCANICHE</t>
        </is>
      </c>
      <c r="F184" s="3" t="inlineStr">
        <is>
          <t>2_CME_TOTALE MECCANICI RADIOFARMACIA PAVIA.PDF</t>
        </is>
      </c>
      <c r="G184" s="4" t="inlineStr">
        <is>
          <t>134/134</t>
        </is>
      </c>
      <c r="H184" s="3" t="inlineStr">
        <is>
          <t>40 - IMPIANTISTICO</t>
        </is>
      </c>
      <c r="I184" s="3" t="inlineStr">
        <is>
          <t>P. TERRA - UFFICI</t>
        </is>
      </c>
      <c r="J184" s="3" t="inlineStr">
        <is>
          <t>IMPIANTO HVAC</t>
        </is>
      </c>
      <c r="K184" s="3" t="inlineStr">
        <is>
          <t>TUBO IN POLIETILENE ALTA DENSITÀ, CONFORME ALLA NORMA UNI EN 1519, PER IMPIANTI DI SCARICO DI ACQUE CALDE E FREDDE E PER COLONNE DI VENTILAZIONE SIA ALL'INTERNO CHE ALL'ESTERNO DI FABBRICATI, IN OPERA</t>
        </is>
      </c>
      <c r="L184" s="3" t="inlineStr">
        <is>
          <t>TUBO IN POLIETILENE ALTA DENSITÀ, CONFORME ALLA NORMA UNI EN 1519, PER IMPIANTI DI SCARICO DI ACQUE CALDE E FREDDE E PER COLONNE DI VENTILAZIONE SIA ALL'INTERNO CHE ALL'ESTERNO DI FABBRICATI, IN OPERA COMPRESA QUOTA PARTE DI RACCORDERIA E MATERIALI ACCESSORI PER IL MONTAGGIO, ESCLUSI EVENTUALI PEZZI SPECIALI, OPERE MURARIE, SCAVI E RINTERRI: Ø 40 MM</t>
        </is>
      </c>
      <c r="M184" s="4" t="inlineStr">
        <is>
          <t>M</t>
        </is>
      </c>
      <c r="N184" s="5" t="n">
        <v>5</v>
      </c>
      <c r="O184" s="45" t="n">
        <v>13.94</v>
      </c>
      <c r="P184" s="45" t="n">
        <v>69.7</v>
      </c>
      <c r="Q184" s="5" t="n"/>
      <c r="R184" s="6" t="n"/>
      <c r="S184" s="6">
        <f>IF(AND(Q184&lt;&gt;"",R184&lt;&gt;""),Q184*R184,"")</f>
        <v/>
      </c>
      <c r="T184" s="45">
        <f>IF(S184="",P184,S184)</f>
        <v/>
      </c>
      <c r="U184" s="7" t="n">
        <v>0</v>
      </c>
      <c r="V184" s="6">
        <f>$T184*U184</f>
        <v/>
      </c>
      <c r="W184" s="7" t="n">
        <v>0</v>
      </c>
      <c r="X184" s="6">
        <f>$T184*W184</f>
        <v/>
      </c>
      <c r="Y184" s="7" t="n">
        <v>0</v>
      </c>
      <c r="Z184" s="6">
        <f>$T184*Y184</f>
        <v/>
      </c>
      <c r="AA184" s="7" t="n">
        <v>0</v>
      </c>
      <c r="AB184" s="6">
        <f>$T184*AA184</f>
        <v/>
      </c>
      <c r="AC184" s="7" t="n">
        <v>0</v>
      </c>
      <c r="AD184" s="6">
        <f>$T184*AC184</f>
        <v/>
      </c>
      <c r="AE184" s="7" t="n">
        <v>0</v>
      </c>
      <c r="AF184" s="6">
        <f>$T184*AE184</f>
        <v/>
      </c>
      <c r="AG184" s="7" t="n">
        <v>0</v>
      </c>
      <c r="AH184" s="6">
        <f>$T184*AG184</f>
        <v/>
      </c>
      <c r="AI184" s="7">
        <f>U184+W184+Y184+AA184+AC184+AE184+AG184</f>
        <v/>
      </c>
      <c r="AJ184" s="6">
        <f>V184+X184+Z184+AB184+AD184+AF184+AH184</f>
        <v/>
      </c>
    </row>
    <row r="185" hidden="1" ht="60" customHeight="1" s="46">
      <c r="A185" s="3" t="inlineStr">
        <is>
          <t>DEI_IT_035187B</t>
        </is>
      </c>
      <c r="B185" s="4" t="inlineStr">
        <is>
          <t>2/2</t>
        </is>
      </c>
      <c r="C185" s="3" t="inlineStr">
        <is>
          <t>IMPIANTO MECCANICO</t>
        </is>
      </c>
      <c r="D185" s="4" t="inlineStr">
        <is>
          <t>NON SPECIALE</t>
        </is>
      </c>
      <c r="E185" s="4" t="inlineStr">
        <is>
          <t>MECCANICHE</t>
        </is>
      </c>
      <c r="F185" s="3" t="inlineStr">
        <is>
          <t>2_CME_TOTALE MECCANICI RADIOFARMACIA PAVIA.PDF</t>
        </is>
      </c>
      <c r="G185" s="4" t="inlineStr">
        <is>
          <t>136/136</t>
        </is>
      </c>
      <c r="H185" s="3" t="inlineStr">
        <is>
          <t>40 - IMPIANTISTICO</t>
        </is>
      </c>
      <c r="I185" s="3" t="inlineStr">
        <is>
          <t>P. PRIMO - UFFICI</t>
        </is>
      </c>
      <c r="J185" s="3" t="inlineStr">
        <is>
          <t>IMPIANTO HVAC</t>
        </is>
      </c>
      <c r="K185" s="3" t="inlineStr">
        <is>
          <t>CONDOTTA PER LA TERMOVENTILAZIONE E IL CONDIZIONAMENTO DELL'ARIA, REALIZZATA CON PANNELLI SANDWICH DI SPESSORE 20,5 MM, CON TRATTAMENTO AUTOPULENTE E ANTIMICROBICO, AD EFFETTO LOTO, CHE AGEVOLA LA RIM</t>
        </is>
      </c>
      <c r="L185" s="3" t="inlineStr">
        <is>
          <t>CONDOTTA PER LA TERMOVENTILAZIONE E IL CONDIZIONAMENTO DELL'ARIA, REALIZZATA CON PANNELLI SANDWICH DI SPESSORE 20,5 MM, CON TRATTAMENTO AUTOPULENTE E ANTIMICROBICO, AD EFFETTO LOTO, CHE AGEVOLA LA RIMOZIONE DEL PARTICOLATO SOLIDO DEPOSITATO SULLA SUPERFICIE INTERNA DEL CANALE MIGLIORANDO NEL CONTEMPO L'EFFICACIA ANTIMICROBICA, COSTITUITI DA UN'ANIMA DI SCHIUMA POLIURETANICA ESPANSA AD ACQUA, SENZA USO DI CFC, HCFC, HFC E HC, ESPANDENTE DELL'ISOLANTE CON ODP (OZONE DEPLETION POTENTIAL) = 0 E GWP (GLOBAL WARMING POTENTIAL) = 0, RIVESTITA SUL LATO INTERNO CON UNA LAMINA DI ALLUMINIO LISCIO CON TRATTAMENTO AUTOPULENTE E ANTIMICROBICO E ALL'ESTERNO CON UNA LAMINA DI ALLUMINIO GOFFRATO, CONDUTTIVITÀ TERMICA INIZIALE 0,022 W/MK, CLASSE DI REAZIONE AL FUOCO 0-1, CLASSIFICAZIONE DEI FUMI DI COMBUSTIONE F1 SECONDO NF F 16 101, COMPLETA DI ACCESSORI PER IL CORRETTO MONTAGGIO E SFRIDO DI LAVORAZIONE, POSTA IN OPERA AD UN'ALTEZZA MASSIMA DI 4,00 M DAL PIANO DI CALPESTIO: PER AMBIENTI INTERNI, DENSITÀ 50 ÷ 54 KG/MC, SPESSORE PANNELLO 20,5 MM: SPESSORE ALLUMINIO INTERNO 80 MICRON ED ESTERNO 80 MICRON</t>
        </is>
      </c>
      <c r="M185" s="4" t="inlineStr">
        <is>
          <t>MQ</t>
        </is>
      </c>
      <c r="N185" s="5" t="n">
        <v>70</v>
      </c>
      <c r="O185" s="45" t="n">
        <v>70.56</v>
      </c>
      <c r="P185" s="45" t="n">
        <v>4939.2</v>
      </c>
      <c r="Q185" s="5" t="n"/>
      <c r="R185" s="6" t="n"/>
      <c r="S185" s="6">
        <f>IF(AND(Q185&lt;&gt;"",R185&lt;&gt;""),Q185*R185,"")</f>
        <v/>
      </c>
      <c r="T185" s="45">
        <f>IF(S185="",P185,S185)</f>
        <v/>
      </c>
      <c r="U185" s="7" t="n">
        <v>0</v>
      </c>
      <c r="V185" s="6">
        <f>$T185*U185</f>
        <v/>
      </c>
      <c r="W185" s="7" t="n">
        <v>0</v>
      </c>
      <c r="X185" s="6">
        <f>$T185*W185</f>
        <v/>
      </c>
      <c r="Y185" s="7" t="n">
        <v>0</v>
      </c>
      <c r="Z185" s="6">
        <f>$T185*Y185</f>
        <v/>
      </c>
      <c r="AA185" s="7" t="n">
        <v>0</v>
      </c>
      <c r="AB185" s="6">
        <f>$T185*AA185</f>
        <v/>
      </c>
      <c r="AC185" s="7" t="n">
        <v>0</v>
      </c>
      <c r="AD185" s="6">
        <f>$T185*AC185</f>
        <v/>
      </c>
      <c r="AE185" s="7" t="n">
        <v>0</v>
      </c>
      <c r="AF185" s="6">
        <f>$T185*AE185</f>
        <v/>
      </c>
      <c r="AG185" s="7" t="n">
        <v>0</v>
      </c>
      <c r="AH185" s="6">
        <f>$T185*AG185</f>
        <v/>
      </c>
      <c r="AI185" s="7">
        <f>U185+W185+Y185+AA185+AC185+AE185+AG185</f>
        <v/>
      </c>
      <c r="AJ185" s="6">
        <f>V185+X185+Z185+AB185+AD185+AF185+AH185</f>
        <v/>
      </c>
    </row>
    <row r="186" hidden="1" ht="60" customHeight="1" s="46">
      <c r="A186" s="3" t="inlineStr">
        <is>
          <t>LOM251.OC.EEA.PA29.F8210.SA000.0010</t>
        </is>
      </c>
      <c r="B186" s="4" t="inlineStr">
        <is>
          <t>2/2</t>
        </is>
      </c>
      <c r="C186" s="3" t="inlineStr">
        <is>
          <t>IMPIANTO MECCANICO</t>
        </is>
      </c>
      <c r="D186" s="4" t="inlineStr">
        <is>
          <t>NON SPECIALE</t>
        </is>
      </c>
      <c r="E186" s="4" t="inlineStr">
        <is>
          <t>MECCANICHE</t>
        </is>
      </c>
      <c r="F186" s="3" t="inlineStr">
        <is>
          <t>2_CME_TOTALE MECCANICI RADIOFARMACIA PAVIA.PDF</t>
        </is>
      </c>
      <c r="G186" s="4" t="inlineStr">
        <is>
          <t>137/137</t>
        </is>
      </c>
      <c r="H186" s="3" t="inlineStr">
        <is>
          <t>40 - IMPIANTISTICO</t>
        </is>
      </c>
      <c r="I186" s="3" t="inlineStr">
        <is>
          <t>P. PRIMO - UFFICI</t>
        </is>
      </c>
      <c r="J186" s="3" t="inlineStr">
        <is>
          <t>IMPIANTO HVAC</t>
        </is>
      </c>
      <c r="K186" s="3" t="inlineStr">
        <is>
          <t>OPERA: DIFFUSORE, A CONI REGOLABILI DI LEGA ALLUMINIO GENERICO; GEOMETRIA: CIRCOLARE; FUNZIONE: DIFFUSIONE ARIA; IMPIEGO: IMPIANTO DI CONDIZIONAMENTO; DIAMETRO (Ø) [MM] = 250. INCLUSO: SERRANDA DI REG</t>
        </is>
      </c>
      <c r="L186" s="3" t="inlineStr">
        <is>
          <t>OPERA: DIFFUSORE, A CONI REGOLABILI DI LEGA ALLUMINIO GENERICO; GEOMETRIA: CIRCOLARE; FUNZIONE: DIFFUSIONE ARIA; IMPIEGO: IMPIANTO DI CONDIZIONAMENTO; DIAMETRO (Ø) [MM] = 250. INCLUSO: SERRANDA DI REGOLAZIONE. 
LAVORO: MONTAGGIO. 
SPECIFICHE TECNICHE: MONTAGGIO A SOFFITTO O SU CANALI A VISTA; REGOLAZIONE DELLA PORTATA D'ARIA: ORIZZONTALE IN RAFFREDDAMENTO, VERTICALE IN RISCALDAMENTO. OP DIFFUSORE, A CONI REGOLABILI DI LEGA ALLUMINIO GENERICO; GEOMETRIA: CIRCOLARE; FUNZIONE: DIFFUSIONE ARIA; IMPIEGO: IMPIANTO DI CONDIZIONAMENTO; DIAMETRO (Ø) [MM] = 250. INCLUSO: SERRANDA DI REGOLAZIONE. 
SPECIFICHE TECNICHE: MONTAGGIO A SOFFITTO O SU CANALI A VISTA; REGOLAZIONE DELLA PORTATA D'ARIA: ORIZZONTALE IN RAFFREDDAMENTO, VERTICALE IN RISCALDAMENTO. 
RM DIFFUSORE A CONI REGOLABILI DI LEGA ALLUMINIO GENERICO; GEOMETRIA: CIRCOLARE; FUNZIONE: DIFFUSIONE ARIA; IMPIEGO: IMPIANTO DI CONDIZIONAMENTO; DIAMETRO (Ø) [MM] = 250. INCLUSO: SERRANDA DI REGOLAZIONE 
SPECIFICHE TECNICHE: MONTAGGIO A SOFFITTO O SU CANALI A VISTA; REGOLAZIONE DELLA PORTATA D'ARIA: ORIZZONTALE IN RAFFREDDAMENTO, VERTICALE IN RISCALDAMENTO 
LV MONTAGGIO.</t>
        </is>
      </c>
      <c r="M186" s="4" t="inlineStr">
        <is>
          <t>CAD</t>
        </is>
      </c>
      <c r="N186" s="5" t="n">
        <v>5</v>
      </c>
      <c r="O186" s="45" t="n">
        <v>213.46</v>
      </c>
      <c r="P186" s="45" t="n">
        <v>1067.3</v>
      </c>
      <c r="Q186" s="5" t="n"/>
      <c r="R186" s="6" t="n"/>
      <c r="S186" s="6">
        <f>IF(AND(Q186&lt;&gt;"",R186&lt;&gt;""),Q186*R186,"")</f>
        <v/>
      </c>
      <c r="T186" s="45">
        <f>IF(S186="",P186,S186)</f>
        <v/>
      </c>
      <c r="U186" s="7" t="n">
        <v>0</v>
      </c>
      <c r="V186" s="6">
        <f>$T186*U186</f>
        <v/>
      </c>
      <c r="W186" s="7" t="n">
        <v>0</v>
      </c>
      <c r="X186" s="6">
        <f>$T186*W186</f>
        <v/>
      </c>
      <c r="Y186" s="7" t="n">
        <v>0</v>
      </c>
      <c r="Z186" s="6">
        <f>$T186*Y186</f>
        <v/>
      </c>
      <c r="AA186" s="7" t="n">
        <v>0</v>
      </c>
      <c r="AB186" s="6">
        <f>$T186*AA186</f>
        <v/>
      </c>
      <c r="AC186" s="7" t="n">
        <v>0</v>
      </c>
      <c r="AD186" s="6">
        <f>$T186*AC186</f>
        <v/>
      </c>
      <c r="AE186" s="7" t="n">
        <v>0</v>
      </c>
      <c r="AF186" s="6">
        <f>$T186*AE186</f>
        <v/>
      </c>
      <c r="AG186" s="7" t="n">
        <v>0</v>
      </c>
      <c r="AH186" s="6">
        <f>$T186*AG186</f>
        <v/>
      </c>
      <c r="AI186" s="7">
        <f>U186+W186+Y186+AA186+AC186+AE186+AG186</f>
        <v/>
      </c>
      <c r="AJ186" s="6">
        <f>V186+X186+Z186+AB186+AD186+AF186+AH186</f>
        <v/>
      </c>
    </row>
    <row r="187" hidden="1" ht="42" customHeight="1" s="46">
      <c r="A187" s="3" t="inlineStr">
        <is>
          <t>DEI_IT_035257C</t>
        </is>
      </c>
      <c r="B187" s="4" t="inlineStr">
        <is>
          <t>2/2</t>
        </is>
      </c>
      <c r="C187" s="3" t="inlineStr">
        <is>
          <t>IMPIANTO MECCANICO</t>
        </is>
      </c>
      <c r="D187" s="4" t="inlineStr">
        <is>
          <t>NON SPECIALE</t>
        </is>
      </c>
      <c r="E187" s="4" t="inlineStr">
        <is>
          <t>MECCANICHE</t>
        </is>
      </c>
      <c r="F187" s="3" t="inlineStr">
        <is>
          <t>2_CME_TOTALE MECCANICI RADIOFARMACIA PAVIA.PDF</t>
        </is>
      </c>
      <c r="G187" s="4" t="inlineStr">
        <is>
          <t>138/138</t>
        </is>
      </c>
      <c r="H187" s="3" t="inlineStr">
        <is>
          <t>40 - IMPIANTISTICO</t>
        </is>
      </c>
      <c r="I187" s="3" t="inlineStr">
        <is>
          <t>P. PRIMO - UFFICI</t>
        </is>
      </c>
      <c r="J187" s="3" t="inlineStr">
        <is>
          <t>IMPIANTO HVAC</t>
        </is>
      </c>
      <c r="K187" s="3" t="inlineStr">
        <is>
          <t>VALVOLA DI VENTILAZIONE IN ACCIAIO PER MANDATA E RIPRESA ARIA AMBIENTE PER DIFFUSORE CIRCOLARE, DATA IN OPERA A PERFETTA REGOLA D'ARTE, DEL Ø DI: 200 MM</t>
        </is>
      </c>
      <c r="L187" s="3" t="inlineStr">
        <is>
          <t>VALVOLA DI VENTILAZIONE IN ACCIAIO PER MANDATA E RIPRESA ARIA AMBIENTE PER DIFFUSORE CIRCOLARE, DATA IN OPERA A PERFETTA REGOLA D'ARTE, DEL Ø DI: 200 MM</t>
        </is>
      </c>
      <c r="M187" s="4" t="inlineStr">
        <is>
          <t>CAD</t>
        </is>
      </c>
      <c r="N187" s="5" t="n">
        <v>2</v>
      </c>
      <c r="O187" s="45" t="n">
        <v>30.24</v>
      </c>
      <c r="P187" s="45" t="n">
        <v>60.48</v>
      </c>
      <c r="Q187" s="5" t="n"/>
      <c r="R187" s="6" t="n"/>
      <c r="S187" s="6">
        <f>IF(AND(Q187&lt;&gt;"",R187&lt;&gt;""),Q187*R187,"")</f>
        <v/>
      </c>
      <c r="T187" s="45">
        <f>IF(S187="",P187,S187)</f>
        <v/>
      </c>
      <c r="U187" s="7" t="n">
        <v>0</v>
      </c>
      <c r="V187" s="6">
        <f>$T187*U187</f>
        <v/>
      </c>
      <c r="W187" s="7" t="n">
        <v>0</v>
      </c>
      <c r="X187" s="6">
        <f>$T187*W187</f>
        <v/>
      </c>
      <c r="Y187" s="7" t="n">
        <v>0</v>
      </c>
      <c r="Z187" s="6">
        <f>$T187*Y187</f>
        <v/>
      </c>
      <c r="AA187" s="7" t="n">
        <v>0</v>
      </c>
      <c r="AB187" s="6">
        <f>$T187*AA187</f>
        <v/>
      </c>
      <c r="AC187" s="7" t="n">
        <v>0</v>
      </c>
      <c r="AD187" s="6">
        <f>$T187*AC187</f>
        <v/>
      </c>
      <c r="AE187" s="7" t="n">
        <v>0</v>
      </c>
      <c r="AF187" s="6">
        <f>$T187*AE187</f>
        <v/>
      </c>
      <c r="AG187" s="7" t="n">
        <v>0</v>
      </c>
      <c r="AH187" s="6">
        <f>$T187*AG187</f>
        <v/>
      </c>
      <c r="AI187" s="7">
        <f>U187+W187+Y187+AA187+AC187+AE187+AG187</f>
        <v/>
      </c>
      <c r="AJ187" s="6">
        <f>V187+X187+Z187+AB187+AD187+AF187+AH187</f>
        <v/>
      </c>
    </row>
    <row r="188" hidden="1" ht="60" customHeight="1" s="46">
      <c r="A188" s="3" t="inlineStr">
        <is>
          <t>LOM251.OC.EEA.PA29.F8215.SA000.0260</t>
        </is>
      </c>
      <c r="B188" s="4" t="inlineStr">
        <is>
          <t>1/2</t>
        </is>
      </c>
      <c r="C188" s="3" t="inlineStr">
        <is>
          <t>IMPIANTO MECCANICO</t>
        </is>
      </c>
      <c r="D188" s="4" t="inlineStr">
        <is>
          <t>NON SPECIALE</t>
        </is>
      </c>
      <c r="E188" s="4" t="inlineStr">
        <is>
          <t>MECCANICHE</t>
        </is>
      </c>
      <c r="F188" s="3" t="inlineStr">
        <is>
          <t>2_CME_TOTALE MECCANICI RADIOFARMACIA PAVIA.PDF</t>
        </is>
      </c>
      <c r="G188" s="4" t="inlineStr">
        <is>
          <t>139/139</t>
        </is>
      </c>
      <c r="H188" s="3" t="inlineStr">
        <is>
          <t>40 - IMPIANTISTICO</t>
        </is>
      </c>
      <c r="I188" s="3" t="inlineStr">
        <is>
          <t>P. PRIMO - UFFICI</t>
        </is>
      </c>
      <c r="J188" s="3" t="inlineStr">
        <is>
          <t>IMPIANTO HVAC</t>
        </is>
      </c>
      <c r="K188" s="3" t="inlineStr">
        <is>
          <t>OPERA: GRIGLIA, DI RIPRESA DI LEGA ALLUMINIO GENERICO; GEOMETRIA: 1 FILARE DI ALETTE FISSE; FUNZIONE: DIFFUSIONE ARIA; IMPIEGO: IMPIANTO DI CLIMATIZZAZIONE; SUPERFICIE FRONTALE [M²] = 0,06 ÷ 0,08. INC</t>
        </is>
      </c>
      <c r="L188" s="3" t="inlineStr">
        <is>
          <t>OPERA: GRIGLIA, DI RIPRESA DI LEGA ALLUMINIO GENERICO; GEOMETRIA: 1 FILARE DI ALETTE FISSE; FUNZIONE: DIFFUSIONE ARIA; IMPIEGO: IMPIANTO DI CLIMATIZZAZIONE; SUPERFICIE FRONTALE [M²] = 0,06 ÷ 0,08. INCLUSO: SERRANDA DI REGOLAZIONE. 
LAVORO: MONTAGGIO. OP GRIGLIA, DI RIPRESA DI LEGA ALLUMINIO GENERICO; GEOMETRIA: 1 FILARE DI ALETTE FISSE; FUNZIONE: DIFFUSIONE ARIA; IMPIEGO: IMPIANTO DI CLIMATIZZAZIONE; SUPERFICIE FRONTALE [M²] = 0,06 ÷ 0,08. INCLUSO: SERRANDA DI REGOLAZIONE. 
RM GRIGLIA DI RIPRESA DI LEGA ALLUMINIO GENERICO; GEOMETRIA: 1 FILARE DI ALETTE FISSE; FUNZIONE: DIFFUSIONE ARIA; IMPIEGO: IMPIANTO DI CLIMATIZZAZIONE; SUPERFICIE FRONTALE [M²] = 0,06 ÷ 0,08. INCLUSO: SERRANDA DI REGOLAZIONE 
LV MONTAGGIO.</t>
        </is>
      </c>
      <c r="M188" s="4" t="inlineStr">
        <is>
          <t>M²</t>
        </is>
      </c>
      <c r="N188" s="5" t="n">
        <v>0.08</v>
      </c>
      <c r="O188" s="45" t="n">
        <v>1085.06</v>
      </c>
      <c r="P188" s="45" t="n">
        <v>86.8</v>
      </c>
      <c r="Q188" s="5" t="n"/>
      <c r="R188" s="6" t="n"/>
      <c r="S188" s="6">
        <f>IF(AND(Q188&lt;&gt;"",R188&lt;&gt;""),Q188*R188,"")</f>
        <v/>
      </c>
      <c r="T188" s="45">
        <f>IF(S188="",P188,S188)</f>
        <v/>
      </c>
      <c r="U188" s="7" t="n">
        <v>0</v>
      </c>
      <c r="V188" s="6">
        <f>$T188*U188</f>
        <v/>
      </c>
      <c r="W188" s="7" t="n">
        <v>0</v>
      </c>
      <c r="X188" s="6">
        <f>$T188*W188</f>
        <v/>
      </c>
      <c r="Y188" s="7" t="n">
        <v>0</v>
      </c>
      <c r="Z188" s="6">
        <f>$T188*Y188</f>
        <v/>
      </c>
      <c r="AA188" s="7" t="n">
        <v>0</v>
      </c>
      <c r="AB188" s="6">
        <f>$T188*AA188</f>
        <v/>
      </c>
      <c r="AC188" s="7" t="n">
        <v>0</v>
      </c>
      <c r="AD188" s="6">
        <f>$T188*AC188</f>
        <v/>
      </c>
      <c r="AE188" s="7" t="n">
        <v>0</v>
      </c>
      <c r="AF188" s="6">
        <f>$T188*AE188</f>
        <v/>
      </c>
      <c r="AG188" s="7" t="n">
        <v>0</v>
      </c>
      <c r="AH188" s="6">
        <f>$T188*AG188</f>
        <v/>
      </c>
      <c r="AI188" s="7">
        <f>U188+W188+Y188+AA188+AC188+AE188+AG188</f>
        <v/>
      </c>
      <c r="AJ188" s="6">
        <f>V188+X188+Z188+AB188+AD188+AF188+AH188</f>
        <v/>
      </c>
    </row>
    <row r="189" hidden="1" ht="60" customHeight="1" s="46">
      <c r="A189" s="3" t="inlineStr">
        <is>
          <t>LOM251.OC.EEA.PA02.F7410.OA015.0285</t>
        </is>
      </c>
      <c r="B189" s="4" t="inlineStr">
        <is>
          <t>2/4</t>
        </is>
      </c>
      <c r="C189" s="3" t="inlineStr">
        <is>
          <t>IMPIANTO MECCANICO</t>
        </is>
      </c>
      <c r="D189" s="4" t="inlineStr">
        <is>
          <t>NON SPECIALE</t>
        </is>
      </c>
      <c r="E189" s="4" t="inlineStr">
        <is>
          <t>MECCANICHE</t>
        </is>
      </c>
      <c r="F189" s="3" t="inlineStr">
        <is>
          <t>2_CME_TOTALE MECCANICI RADIOFARMACIA PAVIA.PDF</t>
        </is>
      </c>
      <c r="G189" s="4" t="inlineStr">
        <is>
          <t>140/140</t>
        </is>
      </c>
      <c r="H189" s="3" t="inlineStr">
        <is>
          <t>40 - IMPIANTISTICO</t>
        </is>
      </c>
      <c r="I189" s="3" t="inlineStr">
        <is>
          <t>P. PRIMO - UFFICI</t>
        </is>
      </c>
      <c r="J189" s="3" t="inlineStr">
        <is>
          <t>IMPIANTO HVAC</t>
        </is>
      </c>
      <c r="K189" s="3" t="inlineStr">
        <is>
          <t xml:space="preserve">OPERA: CONDOTTO DI FIBRA SINTETICA TESSILE; GEOMETRIA: FLESSIBILE; FUNZIONE: DISTRIBUZIONE ARIA; IMPIEGO: IMPIANTO DI CLIMATIZZAZIONE; DIAMETRO (Ø) [MM] = 200. </t>
        </is>
      </c>
      <c r="L189" s="3" t="inlineStr">
        <is>
          <t>OPERA: CONDOTTO DI FIBRA SINTETICA TESSILE; GEOMETRIA: FLESSIBILE; FUNZIONE: DISTRIBUZIONE ARIA; IMPIEGO: IMPIANTO DI CLIMATIZZAZIONE; DIAMETRO (Ø) [MM] = 200. 
LAVORO: POSA. 
SPECIFICHE TECNICHE: NON ISOLATO; IMPREGNATO IN RESINA SINTETICA POLIVINILCLORURO (PVC). OP CONDOTTO DI FIBRA SINTETICA TESSILE; GEOMETRIA: FLESSIBILE; FUNZIONE: DISTRIBUZIONE ARIA; IMPIEGO: IMPIANTO DI CLIMATIZZAZIONE; DIAMETRO (Ø) [MM] = 200. 
SPECIFICHE TECNICHE: NON ISOLATO; IMPREGNATO IN RESINA SINTETICA POLIVINILCLORURO (PVC). 
RM CONDOTTO DI FIBRA SINTETICA TESSILE; GEOMETRIA: FLESSIBILE; FUNZIONE: DISTRIBUZIONE ARIA; IMPIEGO: IMPIANTO DI CLIMATIZZAZIONE; DIAMETRO (Ø) [MM] = 200 
SPECIFICHE TECNICHE: NON ISOLATO; IMPREGNATO IN RESINA SINTETICA POLIVINILCLORURO (PVC) 
LV POSA.</t>
        </is>
      </c>
      <c r="M189" s="4" t="inlineStr">
        <is>
          <t>M</t>
        </is>
      </c>
      <c r="N189" s="5" t="n">
        <v>10</v>
      </c>
      <c r="O189" s="45" t="n">
        <v>14.12</v>
      </c>
      <c r="P189" s="45" t="n">
        <v>141.2</v>
      </c>
      <c r="Q189" s="5" t="n"/>
      <c r="R189" s="6" t="n"/>
      <c r="S189" s="6">
        <f>IF(AND(Q189&lt;&gt;"",R189&lt;&gt;""),Q189*R189,"")</f>
        <v/>
      </c>
      <c r="T189" s="45">
        <f>IF(S189="",P189,S189)</f>
        <v/>
      </c>
      <c r="U189" s="7" t="n">
        <v>0</v>
      </c>
      <c r="V189" s="6">
        <f>$T189*U189</f>
        <v/>
      </c>
      <c r="W189" s="7" t="n">
        <v>0</v>
      </c>
      <c r="X189" s="6">
        <f>$T189*W189</f>
        <v/>
      </c>
      <c r="Y189" s="7" t="n">
        <v>0</v>
      </c>
      <c r="Z189" s="6">
        <f>$T189*Y189</f>
        <v/>
      </c>
      <c r="AA189" s="7" t="n">
        <v>0</v>
      </c>
      <c r="AB189" s="6">
        <f>$T189*AA189</f>
        <v/>
      </c>
      <c r="AC189" s="7" t="n">
        <v>0</v>
      </c>
      <c r="AD189" s="6">
        <f>$T189*AC189</f>
        <v/>
      </c>
      <c r="AE189" s="7" t="n">
        <v>0</v>
      </c>
      <c r="AF189" s="6">
        <f>$T189*AE189</f>
        <v/>
      </c>
      <c r="AG189" s="7" t="n">
        <v>0</v>
      </c>
      <c r="AH189" s="6">
        <f>$T189*AG189</f>
        <v/>
      </c>
      <c r="AI189" s="7">
        <f>U189+W189+Y189+AA189+AC189+AE189+AG189</f>
        <v/>
      </c>
      <c r="AJ189" s="6">
        <f>V189+X189+Z189+AB189+AD189+AF189+AH189</f>
        <v/>
      </c>
    </row>
    <row r="190" hidden="1" ht="60" customHeight="1" s="46">
      <c r="A190" s="3" t="inlineStr">
        <is>
          <t>DEI_IT_035249A</t>
        </is>
      </c>
      <c r="B190" s="4" t="inlineStr">
        <is>
          <t>2/2</t>
        </is>
      </c>
      <c r="C190" s="3" t="inlineStr">
        <is>
          <t>IMPIANTO MECCANICO</t>
        </is>
      </c>
      <c r="D190" s="4" t="inlineStr">
        <is>
          <t>NON SPECIALE</t>
        </is>
      </c>
      <c r="E190" s="4" t="inlineStr">
        <is>
          <t>MECCANICHE</t>
        </is>
      </c>
      <c r="F190" s="3" t="inlineStr">
        <is>
          <t>2_CME_TOTALE MECCANICI RADIOFARMACIA PAVIA.PDF</t>
        </is>
      </c>
      <c r="G190" s="4" t="inlineStr">
        <is>
          <t>141/141</t>
        </is>
      </c>
      <c r="H190" s="3" t="inlineStr">
        <is>
          <t>40 - IMPIANTISTICO</t>
        </is>
      </c>
      <c r="I190" s="3" t="inlineStr">
        <is>
          <t>P. PRIMO - UFFICI</t>
        </is>
      </c>
      <c r="J190" s="3" t="inlineStr">
        <is>
          <t>IMPIANTO HVAC</t>
        </is>
      </c>
      <c r="K190" s="3" t="inlineStr">
        <is>
          <t>GRIGLIA DI ASPIRAZIONE/ESPULSIONE IN ALLUMINIO CON RETE DI PROTEZIONE, ALETTE ORIZZONTALI IN ALLUMINIO, COMPLETA DI CONTROTELAIO, DATA IN OPERA A PERFETTA REGOLA D'ARTE CON ESCLUSIONE DELLE OPERE MURA</t>
        </is>
      </c>
      <c r="L190" s="3" t="inlineStr">
        <is>
          <t>GRIGLIA DI ASPIRAZIONE/ESPULSIONE IN ALLUMINIO CON RETE DI PROTEZIONE, ALETTE ORIZZONTALI IN ALLUMINIO, COMPLETA DI CONTROTELAIO, DATA IN OPERA A PERFETTA REGOLA D'ARTE CON ESCLUSIONE DELLE OPERE MURARIE, DELLE DIMENSIONI DI: ALTEZZA 650 MM: BASE 600 MM</t>
        </is>
      </c>
      <c r="M190" s="4" t="inlineStr">
        <is>
          <t>CAD</t>
        </is>
      </c>
      <c r="N190" s="5" t="n">
        <v>2</v>
      </c>
      <c r="O190" s="45" t="n">
        <v>166.02</v>
      </c>
      <c r="P190" s="45" t="n">
        <v>332.04</v>
      </c>
      <c r="Q190" s="5" t="n"/>
      <c r="R190" s="6" t="n"/>
      <c r="S190" s="6">
        <f>IF(AND(Q190&lt;&gt;"",R190&lt;&gt;""),Q190*R190,"")</f>
        <v/>
      </c>
      <c r="T190" s="45">
        <f>IF(S190="",P190,S190)</f>
        <v/>
      </c>
      <c r="U190" s="7" t="n">
        <v>0</v>
      </c>
      <c r="V190" s="6">
        <f>$T190*U190</f>
        <v/>
      </c>
      <c r="W190" s="7" t="n">
        <v>0</v>
      </c>
      <c r="X190" s="6">
        <f>$T190*W190</f>
        <v/>
      </c>
      <c r="Y190" s="7" t="n">
        <v>0</v>
      </c>
      <c r="Z190" s="6">
        <f>$T190*Y190</f>
        <v/>
      </c>
      <c r="AA190" s="7" t="n">
        <v>0</v>
      </c>
      <c r="AB190" s="6">
        <f>$T190*AA190</f>
        <v/>
      </c>
      <c r="AC190" s="7" t="n">
        <v>0</v>
      </c>
      <c r="AD190" s="6">
        <f>$T190*AC190</f>
        <v/>
      </c>
      <c r="AE190" s="7" t="n">
        <v>0</v>
      </c>
      <c r="AF190" s="6">
        <f>$T190*AE190</f>
        <v/>
      </c>
      <c r="AG190" s="7" t="n">
        <v>0</v>
      </c>
      <c r="AH190" s="6">
        <f>$T190*AG190</f>
        <v/>
      </c>
      <c r="AI190" s="7">
        <f>U190+W190+Y190+AA190+AC190+AE190+AG190</f>
        <v/>
      </c>
      <c r="AJ190" s="6">
        <f>V190+X190+Z190+AB190+AD190+AF190+AH190</f>
        <v/>
      </c>
    </row>
    <row r="191" hidden="1" ht="60" customHeight="1" s="46">
      <c r="A191" s="3" t="inlineStr">
        <is>
          <t>LOM251.OC.EEA.PA02.I7407.SB038.0255</t>
        </is>
      </c>
      <c r="B191" s="4" t="inlineStr">
        <is>
          <t>2/3</t>
        </is>
      </c>
      <c r="C191" s="3" t="inlineStr">
        <is>
          <t>IMPIANTO MECCANICO</t>
        </is>
      </c>
      <c r="D191" s="4" t="inlineStr">
        <is>
          <t>NON SPECIALE</t>
        </is>
      </c>
      <c r="E191" s="4" t="inlineStr">
        <is>
          <t>MECCANICHE</t>
        </is>
      </c>
      <c r="F191" s="3" t="inlineStr">
        <is>
          <t>2_CME_TOTALE MECCANICI RADIOFARMACIA PAVIA.PDF</t>
        </is>
      </c>
      <c r="G191" s="4" t="inlineStr">
        <is>
          <t>142/142</t>
        </is>
      </c>
      <c r="H191" s="3" t="inlineStr">
        <is>
          <t>40 - IMPIANTISTICO</t>
        </is>
      </c>
      <c r="I191" s="3" t="inlineStr">
        <is>
          <t>P. PRIMO - UFFICI</t>
        </is>
      </c>
      <c r="J191" s="3" t="inlineStr">
        <is>
          <t>IMPIANTO HVAC</t>
        </is>
      </c>
      <c r="K191" s="3" t="inlineStr">
        <is>
          <t xml:space="preserve">OPERA: TUBAZIONE DI LEGA FERROSA ACCIAIO NERO; GEOMETRIA: FILETTATO | SERIE LEGGERA; FUNZIONE: DISTRIBUZIONE ACQUA; IMPIEGO: RETE IDRICA; DIAMETRO NOMINALE (Ø) [MM] = 20 | SPESSORE [MM] = 2,3. </t>
        </is>
      </c>
      <c r="L191" s="3" t="inlineStr">
        <is>
          <t>OPERA: TUBAZIONE DI LEGA FERROSA ACCIAIO NERO; GEOMETRIA: FILETTATO | SERIE LEGGERA; FUNZIONE: DISTRIBUZIONE ACQUA; IMPIEGO: RETE IDRICA; DIAMETRO NOMINALE (Ø) [MM] = 20 | SPESSORE [MM] = 2,3. 
LAVORO: POSA. 
SPECIFICHE TECNICHE: TUBO SENZA SALDATURA. OP TUBAZIONE DI LEGA FERROSA ACCIAIO NERO; GEOMETRIA: FILETTATO | SERIE LEGGERA; FUNZIONE: DISTRIBUZIONE ACQUA; IMPIEGO: RETE IDRICA; DIAMETRO NOMINALE (Ø) [MM] = 20 | SPESSORE [MM] = 2,3. 
SPECIFICHE TECNICHE: TUBO SENZA SALDATURA. 
RM TUBO DI LEGA FERROSA ACCIAIO NERO; GEOMETRIA: FILETTATO | SERIE LEGGERA; FUNZIONE: DISTRIBUZIONE ACQUA; IMPIEGO: RETE IDRICA; DIAMETRO NOMINALE (Ø) [MM] = 20 | SPESSORE [MM] = 2,3 
SPECIFICHE TECNICHE: TUBO SENZA SALDATURA 
LV POSA.</t>
        </is>
      </c>
      <c r="M191" s="4" t="inlineStr">
        <is>
          <t>M</t>
        </is>
      </c>
      <c r="N191" s="5" t="n">
        <v>15</v>
      </c>
      <c r="O191" s="45" t="n">
        <v>24.52</v>
      </c>
      <c r="P191" s="45" t="n">
        <v>367.8</v>
      </c>
      <c r="Q191" s="5" t="n"/>
      <c r="R191" s="6" t="n"/>
      <c r="S191" s="6">
        <f>IF(AND(Q191&lt;&gt;"",R191&lt;&gt;""),Q191*R191,"")</f>
        <v/>
      </c>
      <c r="T191" s="45">
        <f>IF(S191="",P191,S191)</f>
        <v/>
      </c>
      <c r="U191" s="7" t="n">
        <v>0</v>
      </c>
      <c r="V191" s="6">
        <f>$T191*U191</f>
        <v/>
      </c>
      <c r="W191" s="7" t="n">
        <v>0</v>
      </c>
      <c r="X191" s="6">
        <f>$T191*W191</f>
        <v/>
      </c>
      <c r="Y191" s="7" t="n">
        <v>0</v>
      </c>
      <c r="Z191" s="6">
        <f>$T191*Y191</f>
        <v/>
      </c>
      <c r="AA191" s="7" t="n">
        <v>0</v>
      </c>
      <c r="AB191" s="6">
        <f>$T191*AA191</f>
        <v/>
      </c>
      <c r="AC191" s="7" t="n">
        <v>0</v>
      </c>
      <c r="AD191" s="6">
        <f>$T191*AC191</f>
        <v/>
      </c>
      <c r="AE191" s="7" t="n">
        <v>0</v>
      </c>
      <c r="AF191" s="6">
        <f>$T191*AE191</f>
        <v/>
      </c>
      <c r="AG191" s="7" t="n">
        <v>0</v>
      </c>
      <c r="AH191" s="6">
        <f>$T191*AG191</f>
        <v/>
      </c>
      <c r="AI191" s="7">
        <f>U191+W191+Y191+AA191+AC191+AE191+AG191</f>
        <v/>
      </c>
      <c r="AJ191" s="6">
        <f>V191+X191+Z191+AB191+AD191+AF191+AH191</f>
        <v/>
      </c>
    </row>
    <row r="192" hidden="1" ht="60" customHeight="1" s="46">
      <c r="A192" s="3" t="inlineStr">
        <is>
          <t>LOM251.OC.EEA.PA02.I7407.SB038.0260</t>
        </is>
      </c>
      <c r="B192" s="4" t="inlineStr">
        <is>
          <t>1/1</t>
        </is>
      </c>
      <c r="C192" s="3" t="inlineStr">
        <is>
          <t>IMPIANTO MECCANICO</t>
        </is>
      </c>
      <c r="D192" s="4" t="inlineStr">
        <is>
          <t>NON SPECIALE</t>
        </is>
      </c>
      <c r="E192" s="4" t="inlineStr">
        <is>
          <t>MECCANICHE</t>
        </is>
      </c>
      <c r="F192" s="3" t="inlineStr">
        <is>
          <t>2_CME_TOTALE MECCANICI RADIOFARMACIA PAVIA.PDF</t>
        </is>
      </c>
      <c r="G192" s="4" t="inlineStr">
        <is>
          <t>143/143</t>
        </is>
      </c>
      <c r="H192" s="3" t="inlineStr">
        <is>
          <t>40 - IMPIANTISTICO</t>
        </is>
      </c>
      <c r="I192" s="3" t="inlineStr">
        <is>
          <t>P. PRIMO - UFFICI</t>
        </is>
      </c>
      <c r="J192" s="3" t="inlineStr">
        <is>
          <t>IMPIANTO HVAC</t>
        </is>
      </c>
      <c r="K192" s="3" t="inlineStr">
        <is>
          <t xml:space="preserve">OPERA: TUBAZIONE DI LEGA FERROSA ACCIAIO NERO; GEOMETRIA: FILETTATO | SERIE LEGGERA; FUNZIONE: DISTRIBUZIONE ACQUA; IMPIEGO: RETE IDRICA; DIAMETRO NOMINALE (Ø) [MM] = 25 | SPESSORE [MM] = 2,9. </t>
        </is>
      </c>
      <c r="L192" s="3" t="inlineStr">
        <is>
          <t>OPERA: TUBAZIONE DI LEGA FERROSA ACCIAIO NERO; GEOMETRIA: FILETTATO | SERIE LEGGERA; FUNZIONE: DISTRIBUZIONE ACQUA; IMPIEGO: RETE IDRICA; DIAMETRO NOMINALE (Ø) [MM] = 25 | SPESSORE [MM] = 2,9. 
LAVORO: POSA. 
SPECIFICHE TECNICHE: TUBO SENZA SALDATURA. OP TUBAZIONE DI LEGA FERROSA ACCIAIO NERO; GEOMETRIA: FILETTATO | SERIE LEGGERA; FUNZIONE: DISTRIBUZIONE ACQUA; IMPIEGO: RETE IDRICA; DIAMETRO NOMINALE (Ø) [MM] = 25 | SPESSORE [MM] = 2,9. 
SPECIFICHE TECNICHE: TUBO SENZA SALDATURA. 
RM TUBO DI LEGA FERROSA ACCIAIO NERO; GEOMETRIA: FILETTATO | SERIE LEGGERA; FUNZIONE: DISTRIBUZIONE ACQUA; IMPIEGO: RETE IDRICA; DIAMETRO NOMINALE (Ø) [MM] = 25 | SPESSORE [MM] = 2,9 
SPECIFICHE TECNICHE: TUBO SENZA SALDATURA 
LV POSA.</t>
        </is>
      </c>
      <c r="M192" s="4" t="inlineStr">
        <is>
          <t>M</t>
        </is>
      </c>
      <c r="N192" s="5" t="n">
        <v>10</v>
      </c>
      <c r="O192" s="45" t="n">
        <v>27.97</v>
      </c>
      <c r="P192" s="45" t="n">
        <v>279.7</v>
      </c>
      <c r="Q192" s="5" t="n"/>
      <c r="R192" s="6" t="n"/>
      <c r="S192" s="6">
        <f>IF(AND(Q192&lt;&gt;"",R192&lt;&gt;""),Q192*R192,"")</f>
        <v/>
      </c>
      <c r="T192" s="45">
        <f>IF(S192="",P192,S192)</f>
        <v/>
      </c>
      <c r="U192" s="7" t="n">
        <v>0</v>
      </c>
      <c r="V192" s="6">
        <f>$T192*U192</f>
        <v/>
      </c>
      <c r="W192" s="7" t="n">
        <v>0</v>
      </c>
      <c r="X192" s="6">
        <f>$T192*W192</f>
        <v/>
      </c>
      <c r="Y192" s="7" t="n">
        <v>0</v>
      </c>
      <c r="Z192" s="6">
        <f>$T192*Y192</f>
        <v/>
      </c>
      <c r="AA192" s="7" t="n">
        <v>0</v>
      </c>
      <c r="AB192" s="6">
        <f>$T192*AA192</f>
        <v/>
      </c>
      <c r="AC192" s="7" t="n">
        <v>0</v>
      </c>
      <c r="AD192" s="6">
        <f>$T192*AC192</f>
        <v/>
      </c>
      <c r="AE192" s="7" t="n">
        <v>0</v>
      </c>
      <c r="AF192" s="6">
        <f>$T192*AE192</f>
        <v/>
      </c>
      <c r="AG192" s="7" t="n">
        <v>0</v>
      </c>
      <c r="AH192" s="6">
        <f>$T192*AG192</f>
        <v/>
      </c>
      <c r="AI192" s="7">
        <f>U192+W192+Y192+AA192+AC192+AE192+AG192</f>
        <v/>
      </c>
      <c r="AJ192" s="6">
        <f>V192+X192+Z192+AB192+AD192+AF192+AH192</f>
        <v/>
      </c>
    </row>
    <row r="193" hidden="1" ht="60" customHeight="1" s="46">
      <c r="A193" s="3" t="inlineStr">
        <is>
          <t>LOM251.OC.EEA.PA02.I7407.SB038.0265</t>
        </is>
      </c>
      <c r="B193" s="4" t="inlineStr">
        <is>
          <t>1/1</t>
        </is>
      </c>
      <c r="C193" s="3" t="inlineStr">
        <is>
          <t>IMPIANTO MECCANICO</t>
        </is>
      </c>
      <c r="D193" s="4" t="inlineStr">
        <is>
          <t>NON SPECIALE</t>
        </is>
      </c>
      <c r="E193" s="4" t="inlineStr">
        <is>
          <t>MECCANICHE</t>
        </is>
      </c>
      <c r="F193" s="3" t="inlineStr">
        <is>
          <t>2_CME_TOTALE MECCANICI RADIOFARMACIA PAVIA.PDF</t>
        </is>
      </c>
      <c r="G193" s="4" t="inlineStr">
        <is>
          <t>144/144</t>
        </is>
      </c>
      <c r="H193" s="3" t="inlineStr">
        <is>
          <t>40 - IMPIANTISTICO</t>
        </is>
      </c>
      <c r="I193" s="3" t="inlineStr">
        <is>
          <t>P. PRIMO - UFFICI</t>
        </is>
      </c>
      <c r="J193" s="3" t="inlineStr">
        <is>
          <t>IMPIANTO HVAC</t>
        </is>
      </c>
      <c r="K193" s="3" t="inlineStr">
        <is>
          <t xml:space="preserve">OPERA: TUBAZIONE DI LEGA FERROSA ACCIAIO NERO; GEOMETRIA: FILETTATO | SERIE LEGGERA; FUNZIONE: DISTRIBUZIONE ACQUA; IMPIEGO: RETE IDRICA; DIAMETRO NOMINALE (Ø) [MM] = 32 | SPESSORE [MM] = 2,9. </t>
        </is>
      </c>
      <c r="L193" s="3" t="inlineStr">
        <is>
          <t>OPERA: TUBAZIONE DI LEGA FERROSA ACCIAIO NERO; GEOMETRIA: FILETTATO | SERIE LEGGERA; FUNZIONE: DISTRIBUZIONE ACQUA; IMPIEGO: RETE IDRICA; DIAMETRO NOMINALE (Ø) [MM] = 32 | SPESSORE [MM] = 2,9. 
LAVORO: POSA. 
SPECIFICHE TECNICHE: TUBO SENZA SALDATURA. OP TUBAZIONE DI LEGA FERROSA ACCIAIO NERO; GEOMETRIA: FILETTATO | SERIE LEGGERA; FUNZIONE: DISTRIBUZIONE ACQUA; IMPIEGO: RETE IDRICA; DIAMETRO NOMINALE (Ø) [MM] = 32 | SPESSORE [MM] = 2,9. 
SPECIFICHE TECNICHE: TUBO SENZA SALDATURA. 
RM TUBO DI LEGA FERROSA ACCIAIO NERO; GEOMETRIA: FILETTATO | SERIE LEGGERA; FUNZIONE: DISTRIBUZIONE ACQUA; IMPIEGO: RETE IDRICA; DIAMETRO NOMINALE (Ø) [MM] = 32 | SPESSORE [MM] = 2,9 
SPECIFICHE TECNICHE: TUBO SENZA SALDATURA 
LV POSA.</t>
        </is>
      </c>
      <c r="M193" s="4" t="inlineStr">
        <is>
          <t>M</t>
        </is>
      </c>
      <c r="N193" s="5" t="n">
        <v>10</v>
      </c>
      <c r="O193" s="45" t="n">
        <v>31.42</v>
      </c>
      <c r="P193" s="45" t="n">
        <v>314.2</v>
      </c>
      <c r="Q193" s="5" t="n"/>
      <c r="R193" s="6" t="n"/>
      <c r="S193" s="6">
        <f>IF(AND(Q193&lt;&gt;"",R193&lt;&gt;""),Q193*R193,"")</f>
        <v/>
      </c>
      <c r="T193" s="45">
        <f>IF(S193="",P193,S193)</f>
        <v/>
      </c>
      <c r="U193" s="7" t="n">
        <v>0</v>
      </c>
      <c r="V193" s="6">
        <f>$T193*U193</f>
        <v/>
      </c>
      <c r="W193" s="7" t="n">
        <v>0</v>
      </c>
      <c r="X193" s="6">
        <f>$T193*W193</f>
        <v/>
      </c>
      <c r="Y193" s="7" t="n">
        <v>0</v>
      </c>
      <c r="Z193" s="6">
        <f>$T193*Y193</f>
        <v/>
      </c>
      <c r="AA193" s="7" t="n">
        <v>0</v>
      </c>
      <c r="AB193" s="6">
        <f>$T193*AA193</f>
        <v/>
      </c>
      <c r="AC193" s="7" t="n">
        <v>0</v>
      </c>
      <c r="AD193" s="6">
        <f>$T193*AC193</f>
        <v/>
      </c>
      <c r="AE193" s="7" t="n">
        <v>0</v>
      </c>
      <c r="AF193" s="6">
        <f>$T193*AE193</f>
        <v/>
      </c>
      <c r="AG193" s="7" t="n">
        <v>0</v>
      </c>
      <c r="AH193" s="6">
        <f>$T193*AG193</f>
        <v/>
      </c>
      <c r="AI193" s="7">
        <f>U193+W193+Y193+AA193+AC193+AE193+AG193</f>
        <v/>
      </c>
      <c r="AJ193" s="6">
        <f>V193+X193+Z193+AB193+AD193+AF193+AH193</f>
        <v/>
      </c>
    </row>
    <row r="194" ht="60" customHeight="1" s="46">
      <c r="A194" s="3" t="inlineStr">
        <is>
          <t>LOM251.OC.EEA.PA01.F8220.ZA001.0140</t>
        </is>
      </c>
      <c r="B194" s="4" t="inlineStr">
        <is>
          <t>2/2</t>
        </is>
      </c>
      <c r="C194" s="3" t="inlineStr">
        <is>
          <t>IMPIANTO MECCANICO</t>
        </is>
      </c>
      <c r="D194" s="4" t="inlineStr">
        <is>
          <t>NON SPECIALE</t>
        </is>
      </c>
      <c r="E194" s="4" t="inlineStr">
        <is>
          <t>MECCANICHE</t>
        </is>
      </c>
      <c r="F194" s="3" t="inlineStr">
        <is>
          <t>2_CME_TOTALE MECCANICI RADIOFARMACIA PAVIA.PDF</t>
        </is>
      </c>
      <c r="G194" s="4" t="inlineStr">
        <is>
          <t>145/145</t>
        </is>
      </c>
      <c r="H194" s="3" t="inlineStr">
        <is>
          <t>40 - IMPIANTISTICO</t>
        </is>
      </c>
      <c r="I194" s="3" t="inlineStr">
        <is>
          <t>P. PRIMO - UFFICI</t>
        </is>
      </c>
      <c r="J194" s="3" t="inlineStr">
        <is>
          <t>IMPIANTO HVAC</t>
        </is>
      </c>
      <c r="K194" s="3" t="inlineStr">
        <is>
          <t xml:space="preserve">OPERA: VENTILCONVETTORE, A 1 BATTERIA; GEOMETRIA: INCASSO TIPO CASSETTE; FUNZIONE: RAFFRESCAMENTO ARIA; IMPIEGO: IMPIANTO DI CLIMATIZZAZIONE; POTENZA DI RAFFRESCAMENTO [W] ≤ 2800. </t>
        </is>
      </c>
      <c r="L194" s="3" t="inlineStr">
        <is>
          <t>OPERA: VENTILCONVETTORE, A 1 BATTERIA; GEOMETRIA: INCASSO TIPO CASSETTE; FUNZIONE: RAFFRESCAMENTO ARIA; IMPIEGO: IMPIANTO DI CLIMATIZZAZIONE; POTENZA DI RAFFRESCAMENTO [W] ≤ 2800. 
LAVORO: INSTALLAZIONE. 
SPECIFICHE TECNICHE: POTENZA DI RAFFRESCAMENTO SENSIBILE MISURATA CON TEMPERATURA ARIA [°C] = 26, UMIDITÀ RELATIVA (UR) [%] = 50 E TEMPERATURA ACQUA [°C] = 7 ÷ 12. OP VENTILCONVETTORE, A 1 BATTERIA; GEOMETRIA: INCASSO TIPO CASSETTE; FUNZIONE: RAFFRESCAMENTO ARIA; IMPIEGO: IMPIANTO DI CLIMATIZZAZIONE; POTENZA DI RAFFRESCAMENTO [W] ≤ 2800. 
SPECIFICHE TECNICHE: POTENZA DI RAFFRESCAMENTO SENSIBILE MISURATA CON TEMPERATURA ARIA [°C] = 26, UMIDITÀ RELATIVA (UR) [%] = 50 E TEMPERATURA ACQUA [°C] = 7 ÷ 12. 
RM VENTILCONVETTORE A 1 BATTERIA; GEOMETRIA: INCASSO TIPO CASSETTE; FUNZIONE: RAFFRESCAMENTO ARIA; IMPIEGO: IMPIANTO DI CLIMATIZZAZIONE; POTENZA DI RAFFRESCAMENTO [W] ≤ 2800. COMPONENTI: VENTILATORE CENTRIFUGO, DISPOSITIVO ELETTRONICO BATTERIA, COMANDO A 3 VELOCITÀ, STRUTTURA, FILTRO RIGENERABILE, BACINELLA, PIEDINO, MENSOLA 
SPECIFICHE TECNICHE: POTENZA DI RAFFRESCAMENTO SENSIBILE MISURATA CON TEMPERATURA ARIA [°C] = 26, UMIDITÀ RELATIVA (UR) [%] = 50 E TEMPERATURA ACQUA [°C] = 7 ÷ 12 
LV INSTALLAZIONE.</t>
        </is>
      </c>
      <c r="M194" s="4" t="inlineStr">
        <is>
          <t>CAD</t>
        </is>
      </c>
      <c r="N194" s="5" t="n">
        <v>4</v>
      </c>
      <c r="O194" s="45" t="n">
        <v>1108.78</v>
      </c>
      <c r="P194" s="45" t="n">
        <v>4435.12</v>
      </c>
      <c r="Q194" s="5" t="n"/>
      <c r="R194" s="6" t="n"/>
      <c r="S194" s="6">
        <f>IF(AND(Q194&lt;&gt;"",R194&lt;&gt;""),Q194*R194,"")</f>
        <v/>
      </c>
      <c r="T194" s="45">
        <f>IF(S194="",P194,S194)</f>
        <v/>
      </c>
      <c r="U194" s="7" t="n">
        <v>0.5</v>
      </c>
      <c r="V194" s="6">
        <f>$T194*U194</f>
        <v/>
      </c>
      <c r="W194" s="7" t="n">
        <v>0.1</v>
      </c>
      <c r="X194" s="6">
        <f>$T194*W194</f>
        <v/>
      </c>
      <c r="Y194" s="7" t="n">
        <v>0</v>
      </c>
      <c r="Z194" s="6">
        <f>$T194*Y194</f>
        <v/>
      </c>
      <c r="AA194" s="7" t="n">
        <v>0</v>
      </c>
      <c r="AB194" s="6">
        <f>$T194*AA194</f>
        <v/>
      </c>
      <c r="AC194" s="7" t="n">
        <v>0</v>
      </c>
      <c r="AD194" s="6">
        <f>$T194*AC194</f>
        <v/>
      </c>
      <c r="AE194" s="7" t="n">
        <v>0</v>
      </c>
      <c r="AF194" s="6">
        <f>$T194*AE194</f>
        <v/>
      </c>
      <c r="AG194" s="7" t="n">
        <v>0</v>
      </c>
      <c r="AH194" s="6">
        <f>$T194*AG194</f>
        <v/>
      </c>
      <c r="AI194" s="7">
        <f>U194+W194+Y194+AA194+AC194+AE194+AG194</f>
        <v/>
      </c>
      <c r="AJ194" s="6">
        <f>V194+X194+Z194+AB194+AD194+AF194+AH194</f>
        <v/>
      </c>
    </row>
    <row r="195" hidden="1" ht="60" customHeight="1" s="46">
      <c r="A195" s="3" t="inlineStr">
        <is>
          <t>DEI_IT_015011A</t>
        </is>
      </c>
      <c r="B195" s="4" t="inlineStr">
        <is>
          <t>2/2</t>
        </is>
      </c>
      <c r="C195" s="3" t="inlineStr">
        <is>
          <t>IMPIANTO MECCANICO</t>
        </is>
      </c>
      <c r="D195" s="4" t="inlineStr">
        <is>
          <t>NON SPECIALE</t>
        </is>
      </c>
      <c r="E195" s="4" t="inlineStr">
        <is>
          <t>MECCANICHE</t>
        </is>
      </c>
      <c r="F195" s="3" t="inlineStr">
        <is>
          <t>2_CME_TOTALE MECCANICI RADIOFARMACIA PAVIA.PDF</t>
        </is>
      </c>
      <c r="G195" s="4" t="inlineStr">
        <is>
          <t>146/146</t>
        </is>
      </c>
      <c r="H195" s="3" t="inlineStr">
        <is>
          <t>40 - IMPIANTISTICO</t>
        </is>
      </c>
      <c r="I195" s="3" t="inlineStr">
        <is>
          <t>P. PRIMO - UFFICI</t>
        </is>
      </c>
      <c r="J195" s="3" t="inlineStr">
        <is>
          <t>IMPIANTO HVAC</t>
        </is>
      </c>
      <c r="K195" s="3" t="inlineStr">
        <is>
          <t>TUBO IN POLIETILENE ALTA DENSITÀ, CONFORME ALLA NORMA UNI EN 1519, PER IMPIANTI DI SCARICO DI ACQUE CALDE E FREDDE E PER COLONNE DI VENTILAZIONE SIA ALL'INTERNO CHE ALL'ESTERNO DI FABBRICATI, IN OPERA</t>
        </is>
      </c>
      <c r="L195" s="3" t="inlineStr">
        <is>
          <t>TUBO IN POLIETILENE ALTA DENSITÀ, CONFORME ALLA NORMA UNI EN 1519, PER IMPIANTI DI SCARICO DI ACQUE CALDE E FREDDE E PER COLONNE DI VENTILAZIONE SIA ALL'INTERNO CHE ALL'ESTERNO DI FABBRICATI, IN OPERA COMPRESA QUOTA PARTE DI RACCORDERIA E MATERIALI ACCESSORI PER IL MONTAGGIO, ESCLUSI EVENTUALI PEZZI SPECIALI, OPERE MURARIE, SCAVI E RINTERRI: Ø 32 MM</t>
        </is>
      </c>
      <c r="M195" s="4" t="inlineStr">
        <is>
          <t>M</t>
        </is>
      </c>
      <c r="N195" s="5" t="n">
        <v>10</v>
      </c>
      <c r="O195" s="45" t="n">
        <v>13.34</v>
      </c>
      <c r="P195" s="45" t="n">
        <v>133.4</v>
      </c>
      <c r="Q195" s="5" t="n"/>
      <c r="R195" s="6" t="n"/>
      <c r="S195" s="6">
        <f>IF(AND(Q195&lt;&gt;"",R195&lt;&gt;""),Q195*R195,"")</f>
        <v/>
      </c>
      <c r="T195" s="45">
        <f>IF(S195="",P195,S195)</f>
        <v/>
      </c>
      <c r="U195" s="7" t="n">
        <v>0</v>
      </c>
      <c r="V195" s="6">
        <f>$T195*U195</f>
        <v/>
      </c>
      <c r="W195" s="7" t="n">
        <v>0</v>
      </c>
      <c r="X195" s="6">
        <f>$T195*W195</f>
        <v/>
      </c>
      <c r="Y195" s="7" t="n">
        <v>0</v>
      </c>
      <c r="Z195" s="6">
        <f>$T195*Y195</f>
        <v/>
      </c>
      <c r="AA195" s="7" t="n">
        <v>0</v>
      </c>
      <c r="AB195" s="6">
        <f>$T195*AA195</f>
        <v/>
      </c>
      <c r="AC195" s="7" t="n">
        <v>0</v>
      </c>
      <c r="AD195" s="6">
        <f>$T195*AC195</f>
        <v/>
      </c>
      <c r="AE195" s="7" t="n">
        <v>0</v>
      </c>
      <c r="AF195" s="6">
        <f>$T195*AE195</f>
        <v/>
      </c>
      <c r="AG195" s="7" t="n">
        <v>0</v>
      </c>
      <c r="AH195" s="6">
        <f>$T195*AG195</f>
        <v/>
      </c>
      <c r="AI195" s="7">
        <f>U195+W195+Y195+AA195+AC195+AE195+AG195</f>
        <v/>
      </c>
      <c r="AJ195" s="6">
        <f>V195+X195+Z195+AB195+AD195+AF195+AH195</f>
        <v/>
      </c>
    </row>
    <row r="196" hidden="1" ht="60" customHeight="1" s="46">
      <c r="A196" s="3" t="inlineStr">
        <is>
          <t>DEI_IT_015011B</t>
        </is>
      </c>
      <c r="B196" s="4" t="inlineStr">
        <is>
          <t>2/2</t>
        </is>
      </c>
      <c r="C196" s="3" t="inlineStr">
        <is>
          <t>IMPIANTO MECCANICO</t>
        </is>
      </c>
      <c r="D196" s="4" t="inlineStr">
        <is>
          <t>NON SPECIALE</t>
        </is>
      </c>
      <c r="E196" s="4" t="inlineStr">
        <is>
          <t>MECCANICHE</t>
        </is>
      </c>
      <c r="F196" s="3" t="inlineStr">
        <is>
          <t>2_CME_TOTALE MECCANICI RADIOFARMACIA PAVIA.PDF</t>
        </is>
      </c>
      <c r="G196" s="4" t="inlineStr">
        <is>
          <t>147/147</t>
        </is>
      </c>
      <c r="H196" s="3" t="inlineStr">
        <is>
          <t>40 - IMPIANTISTICO</t>
        </is>
      </c>
      <c r="I196" s="3" t="inlineStr">
        <is>
          <t>P. PRIMO - UFFICI</t>
        </is>
      </c>
      <c r="J196" s="3" t="inlineStr">
        <is>
          <t>IMPIANTO HVAC</t>
        </is>
      </c>
      <c r="K196" s="3" t="inlineStr">
        <is>
          <t>TUBO IN POLIETILENE ALTA DENSITÀ, CONFORME ALLA NORMA UNI EN 1519, PER IMPIANTI DI SCARICO DI ACQUE CALDE E FREDDE E PER COLONNE DI VENTILAZIONE SIA ALL'INTERNO CHE ALL'ESTERNO DI FABBRICATI, IN OPERA</t>
        </is>
      </c>
      <c r="L196" s="3" t="inlineStr">
        <is>
          <t>TUBO IN POLIETILENE ALTA DENSITÀ, CONFORME ALLA NORMA UNI EN 1519, PER IMPIANTI DI SCARICO DI ACQUE CALDE E FREDDE E PER COLONNE DI VENTILAZIONE SIA ALL'INTERNO CHE ALL'ESTERNO DI FABBRICATI, IN OPERA COMPRESA QUOTA PARTE DI RACCORDERIA E MATERIALI ACCESSORI PER IL MONTAGGIO, ESCLUSI EVENTUALI PEZZI SPECIALI, OPERE MURARIE, SCAVI E RINTERRI: Ø 40 MM</t>
        </is>
      </c>
      <c r="M196" s="4" t="inlineStr">
        <is>
          <t>M</t>
        </is>
      </c>
      <c r="N196" s="5" t="n">
        <v>5</v>
      </c>
      <c r="O196" s="45" t="n">
        <v>13.94</v>
      </c>
      <c r="P196" s="45" t="n">
        <v>69.7</v>
      </c>
      <c r="Q196" s="5" t="n"/>
      <c r="R196" s="6" t="n"/>
      <c r="S196" s="6">
        <f>IF(AND(Q196&lt;&gt;"",R196&lt;&gt;""),Q196*R196,"")</f>
        <v/>
      </c>
      <c r="T196" s="45">
        <f>IF(S196="",P196,S196)</f>
        <v/>
      </c>
      <c r="U196" s="7" t="n">
        <v>0</v>
      </c>
      <c r="V196" s="6">
        <f>$T196*U196</f>
        <v/>
      </c>
      <c r="W196" s="7" t="n">
        <v>0</v>
      </c>
      <c r="X196" s="6">
        <f>$T196*W196</f>
        <v/>
      </c>
      <c r="Y196" s="7" t="n">
        <v>0</v>
      </c>
      <c r="Z196" s="6">
        <f>$T196*Y196</f>
        <v/>
      </c>
      <c r="AA196" s="7" t="n">
        <v>0</v>
      </c>
      <c r="AB196" s="6">
        <f>$T196*AA196</f>
        <v/>
      </c>
      <c r="AC196" s="7" t="n">
        <v>0</v>
      </c>
      <c r="AD196" s="6">
        <f>$T196*AC196</f>
        <v/>
      </c>
      <c r="AE196" s="7" t="n">
        <v>0</v>
      </c>
      <c r="AF196" s="6">
        <f>$T196*AE196</f>
        <v/>
      </c>
      <c r="AG196" s="7" t="n">
        <v>0</v>
      </c>
      <c r="AH196" s="6">
        <f>$T196*AG196</f>
        <v/>
      </c>
      <c r="AI196" s="7">
        <f>U196+W196+Y196+AA196+AC196+AE196+AG196</f>
        <v/>
      </c>
      <c r="AJ196" s="6">
        <f>V196+X196+Z196+AB196+AD196+AF196+AH196</f>
        <v/>
      </c>
    </row>
    <row r="197" hidden="1" ht="60" customHeight="1" s="46">
      <c r="A197" s="3" t="inlineStr">
        <is>
          <t>DEI_IT_015002B</t>
        </is>
      </c>
      <c r="B197" s="4" t="inlineStr">
        <is>
          <t>1/5</t>
        </is>
      </c>
      <c r="C197" s="3" t="inlineStr">
        <is>
          <t>IMPIANTO MECCANICO</t>
        </is>
      </c>
      <c r="D197" s="4" t="inlineStr">
        <is>
          <t>NON SPECIALE</t>
        </is>
      </c>
      <c r="E197" s="4" t="inlineStr">
        <is>
          <t>MECCANICHE</t>
        </is>
      </c>
      <c r="F197" s="3" t="inlineStr">
        <is>
          <t>2_CME_TOTALE MECCANICI RADIOFARMACIA PAVIA.PDF</t>
        </is>
      </c>
      <c r="G197" s="4" t="inlineStr">
        <is>
          <t>159/159</t>
        </is>
      </c>
      <c r="H197" s="3" t="inlineStr">
        <is>
          <t>40 - IMPIANTISTICO</t>
        </is>
      </c>
      <c r="I197" s="3" t="inlineStr">
        <is>
          <t>P. PRIMO</t>
        </is>
      </c>
      <c r="J197" s="3" t="inlineStr">
        <is>
          <t>IMPIANTO IDRICO E FOGNA</t>
        </is>
      </c>
      <c r="K197" s="3" t="inlineStr">
        <is>
          <t>TUBO IN ACCIAIO SENZA SALDATURA A NORMA UNI EN 10255, ZINCATO A CALDO A NORMA EN 10240-A1 ED AL DM MINISTERO DELLA SALUTE 6/4/2004 N. 174, FILETTATO E CON MANICOTTO, LAVORATO E POSTO IN OPERA (SINO AD</t>
        </is>
      </c>
      <c r="L197"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1/2", SPESSORE 2,6 MM</t>
        </is>
      </c>
      <c r="M197" s="4" t="inlineStr">
        <is>
          <t>M</t>
        </is>
      </c>
      <c r="N197" s="5" t="n">
        <v>35</v>
      </c>
      <c r="O197" s="45" t="n">
        <v>24.52</v>
      </c>
      <c r="P197" s="45" t="n">
        <v>858.2</v>
      </c>
      <c r="Q197" s="5" t="n"/>
      <c r="R197" s="6" t="n"/>
      <c r="S197" s="6">
        <f>IF(AND(Q197&lt;&gt;"",R197&lt;&gt;""),Q197*R197,"")</f>
        <v/>
      </c>
      <c r="T197" s="45">
        <f>IF(S197="",P197,S197)</f>
        <v/>
      </c>
      <c r="U197" s="7" t="n">
        <v>0</v>
      </c>
      <c r="V197" s="6">
        <f>$T197*U197</f>
        <v/>
      </c>
      <c r="W197" s="7" t="n">
        <v>0</v>
      </c>
      <c r="X197" s="6">
        <f>$T197*W197</f>
        <v/>
      </c>
      <c r="Y197" s="7" t="n">
        <v>0</v>
      </c>
      <c r="Z197" s="6">
        <f>$T197*Y197</f>
        <v/>
      </c>
      <c r="AA197" s="7" t="n">
        <v>0</v>
      </c>
      <c r="AB197" s="6">
        <f>$T197*AA197</f>
        <v/>
      </c>
      <c r="AC197" s="7" t="n">
        <v>0</v>
      </c>
      <c r="AD197" s="6">
        <f>$T197*AC197</f>
        <v/>
      </c>
      <c r="AE197" s="7" t="n">
        <v>0</v>
      </c>
      <c r="AF197" s="6">
        <f>$T197*AE197</f>
        <v/>
      </c>
      <c r="AG197" s="7" t="n">
        <v>0</v>
      </c>
      <c r="AH197" s="6">
        <f>$T197*AG197</f>
        <v/>
      </c>
      <c r="AI197" s="7">
        <f>U197+W197+Y197+AA197+AC197+AE197+AG197</f>
        <v/>
      </c>
      <c r="AJ197" s="6">
        <f>V197+X197+Z197+AB197+AD197+AF197+AH197</f>
        <v/>
      </c>
    </row>
    <row r="198" hidden="1" ht="60" customHeight="1" s="46">
      <c r="A198" s="3" t="inlineStr">
        <is>
          <t>LOM251.OC.EEA.PA02.I1500.E0011.0010</t>
        </is>
      </c>
      <c r="B198" s="4" t="inlineStr">
        <is>
          <t>1/1</t>
        </is>
      </c>
      <c r="C198" s="3" t="inlineStr">
        <is>
          <t>IMPIANTO MECCANICO</t>
        </is>
      </c>
      <c r="D198" s="4" t="inlineStr">
        <is>
          <t>NON SPECIALE</t>
        </is>
      </c>
      <c r="E198" s="4" t="inlineStr">
        <is>
          <t>MECCANICHE</t>
        </is>
      </c>
      <c r="F198" s="3" t="inlineStr">
        <is>
          <t>2_CME_TOTALE MECCANICI RADIOFARMACIA PAVIA.PDF</t>
        </is>
      </c>
      <c r="G198" s="4" t="inlineStr">
        <is>
          <t>160/160</t>
        </is>
      </c>
      <c r="H198" s="3" t="inlineStr">
        <is>
          <t>40 - IMPIANTISTICO</t>
        </is>
      </c>
      <c r="I198" s="3" t="inlineStr">
        <is>
          <t>P. PRIMO</t>
        </is>
      </c>
      <c r="J198" s="3" t="inlineStr">
        <is>
          <t>IMPIANTO IDRICO E FOGNA</t>
        </is>
      </c>
      <c r="K198" s="3" t="inlineStr">
        <is>
          <t>OPERA: LASTRA DI GOMMA ELASTOMERICA ESPANSA A CELLULE CHIUSE; FUNZIONE: COIBENTAZIONE; IMPIEGO: CONDOTTO; SPESSORE [MM] = 25; RESISTENZA ALLA FIAMMA [CLASSE] = 1; FATTORE DI PERMEABILITÀ (Μ) MINIMO [-</t>
        </is>
      </c>
      <c r="L198" s="3" t="inlineStr">
        <is>
          <t>OPERA: LASTRA DI GOMMA ELASTOMERICA ESPANSA A CELLULE CHIUSE; FUNZIONE: COIBENTAZIONE; IMPIEGO: CONDOTTO; SPESSORE [MM] = 25; RESISTENZA ALLA FIAMMA [CLASSE] = 1; FATTORE DI PERMEABILITÀ (Μ) MINIMO [-] = 4000. 
LAVORO: POSA. 
SPECIFICHE TECNICHE: LASTRA INCOLLATA; GOMMA ELASTOMERICA ESPANSA A CELLULE CHIUSE SENZA ALOGENI NÉ PVC. OP LASTRA DI GOMMA ELASTOMERICA ESPANSA A CELLULE CHIUSE; FUNZIONE: COIBENTAZIONE; IMPIEGO: CONDOTTO; SPESSORE [MM] = 25; RESISTENZA ALLA FIAMMA [CLASSE] = 1; FATTORE DI PERMEABILITÀ (Μ) MINIMO [-] = 4000. 
SPECIFICHE TECNICHE: LASTRA INCOLLATA; GOMMA ELASTOMERICA ESPANSA A CELLULE CHIUSE SENZA ALOGENI NÉ PVC. 
RM LASTRA DI GOMMA ESPANSA A CELLULE CHIUSE; FUNZIONE: COIBENTAZIONE; IMPIEGO: CONDOTTO; SPESSORE [MM] = 25; RESISTENZA ALLA FIAMMA [CLASSE] = 1; FATTORE DI PERMEABILITÀ (Μ) MINIMO [-] = 4000 
SPECIFICHE TECNICHE: LASTRA INCOLLATA; GOMMA ELASTOMERICA ESPANSA A CELLULE CHIUSE SENZA ALOGENI NÉ PVC 
LV POSA.</t>
        </is>
      </c>
      <c r="M198" s="4" t="inlineStr">
        <is>
          <t>M²</t>
        </is>
      </c>
      <c r="N198" s="5" t="n">
        <v>7</v>
      </c>
      <c r="O198" s="45" t="n">
        <v>12.98</v>
      </c>
      <c r="P198" s="45" t="n">
        <v>90.86</v>
      </c>
      <c r="Q198" s="5" t="n"/>
      <c r="R198" s="6" t="n"/>
      <c r="S198" s="6">
        <f>IF(AND(Q198&lt;&gt;"",R198&lt;&gt;""),Q198*R198,"")</f>
        <v/>
      </c>
      <c r="T198" s="45">
        <f>IF(S198="",P198,S198)</f>
        <v/>
      </c>
      <c r="U198" s="7" t="n">
        <v>0</v>
      </c>
      <c r="V198" s="6">
        <f>$T198*U198</f>
        <v/>
      </c>
      <c r="W198" s="7" t="n">
        <v>0</v>
      </c>
      <c r="X198" s="6">
        <f>$T198*W198</f>
        <v/>
      </c>
      <c r="Y198" s="7" t="n">
        <v>0</v>
      </c>
      <c r="Z198" s="6">
        <f>$T198*Y198</f>
        <v/>
      </c>
      <c r="AA198" s="7" t="n">
        <v>0</v>
      </c>
      <c r="AB198" s="6">
        <f>$T198*AA198</f>
        <v/>
      </c>
      <c r="AC198" s="7" t="n">
        <v>0</v>
      </c>
      <c r="AD198" s="6">
        <f>$T198*AC198</f>
        <v/>
      </c>
      <c r="AE198" s="7" t="n">
        <v>0</v>
      </c>
      <c r="AF198" s="6">
        <f>$T198*AE198</f>
        <v/>
      </c>
      <c r="AG198" s="7" t="n">
        <v>0</v>
      </c>
      <c r="AH198" s="6">
        <f>$T198*AG198</f>
        <v/>
      </c>
      <c r="AI198" s="7">
        <f>U198+W198+Y198+AA198+AC198+AE198+AG198</f>
        <v/>
      </c>
      <c r="AJ198" s="6">
        <f>V198+X198+Z198+AB198+AD198+AF198+AH198</f>
        <v/>
      </c>
    </row>
    <row r="199" hidden="1" ht="60" customHeight="1" s="46">
      <c r="A199" s="3" t="inlineStr">
        <is>
          <t>DEI_IT_025110C</t>
        </is>
      </c>
      <c r="B199" s="4" t="inlineStr">
        <is>
          <t>1/2</t>
        </is>
      </c>
      <c r="C199" s="3" t="inlineStr">
        <is>
          <t>IMPIANTO MECCANICO</t>
        </is>
      </c>
      <c r="D199" s="4" t="inlineStr">
        <is>
          <t>NON SPECIALE</t>
        </is>
      </c>
      <c r="E199" s="4" t="inlineStr">
        <is>
          <t>MECCANICHE</t>
        </is>
      </c>
      <c r="F199" s="3" t="inlineStr">
        <is>
          <t>2_CME_TOTALE MECCANICI RADIOFARMACIA PAVIA.PDF</t>
        </is>
      </c>
      <c r="G199" s="4" t="inlineStr">
        <is>
          <t>161/161</t>
        </is>
      </c>
      <c r="H199" s="3" t="inlineStr">
        <is>
          <t>40 - IMPIANTISTICO</t>
        </is>
      </c>
      <c r="I199" s="3" t="inlineStr">
        <is>
          <t>P. PRIMO</t>
        </is>
      </c>
      <c r="J199" s="3" t="inlineStr">
        <is>
          <t>IMPIANTO IDRICO E FOGNA</t>
        </is>
      </c>
      <c r="K199" s="3" t="inlineStr">
        <is>
          <t>COLLETTORE COMPLANARE COSTITUITO DA MODULI IN OTTONE STAMPATO CON ATTACCHI PER ADATTATORE TUBI DI RAME, PLASTICA O MULTISTRATO, POSTO IN OPERA CON DUE SARACINESCHE, DUE VALVOLE DI SFOGO ARIA, CASSETTA</t>
        </is>
      </c>
      <c r="L199" s="3" t="inlineStr">
        <is>
          <t>COLLETTORE COMPLANARE COSTITUITO DA MODULI IN OTTONE STAMPATO CON ATTACCHI PER ADATTATORE TUBI DI RAME, PLASTICA O MULTISTRATO, POSTO IN OPERA CON DUE SARACINESCHE, DUE VALVOLE DI SFOGO ARIA, CASSETTA DI CONTENIMENTO IN LAMIERA VERNICIATA RAL 9010, CON ESCLUSIONE DELLE OPERE MURARIE: 3/4"X 16 MM: LUNGHEZZA 210 MM, ATTACCHI N. 6 + 6</t>
        </is>
      </c>
      <c r="M199" s="4" t="inlineStr">
        <is>
          <t>CAD</t>
        </is>
      </c>
      <c r="N199" s="5" t="n">
        <v>1</v>
      </c>
      <c r="O199" s="45" t="n">
        <v>355.76</v>
      </c>
      <c r="P199" s="45" t="n">
        <v>355.76</v>
      </c>
      <c r="Q199" s="5" t="n"/>
      <c r="R199" s="6" t="n"/>
      <c r="S199" s="6">
        <f>IF(AND(Q199&lt;&gt;"",R199&lt;&gt;""),Q199*R199,"")</f>
        <v/>
      </c>
      <c r="T199" s="45">
        <f>IF(S199="",P199,S199)</f>
        <v/>
      </c>
      <c r="U199" s="7" t="n">
        <v>0</v>
      </c>
      <c r="V199" s="6">
        <f>$T199*U199</f>
        <v/>
      </c>
      <c r="W199" s="7" t="n">
        <v>0</v>
      </c>
      <c r="X199" s="6">
        <f>$T199*W199</f>
        <v/>
      </c>
      <c r="Y199" s="7" t="n">
        <v>0</v>
      </c>
      <c r="Z199" s="6">
        <f>$T199*Y199</f>
        <v/>
      </c>
      <c r="AA199" s="7" t="n">
        <v>0</v>
      </c>
      <c r="AB199" s="6">
        <f>$T199*AA199</f>
        <v/>
      </c>
      <c r="AC199" s="7" t="n">
        <v>0</v>
      </c>
      <c r="AD199" s="6">
        <f>$T199*AC199</f>
        <v/>
      </c>
      <c r="AE199" s="7" t="n">
        <v>0</v>
      </c>
      <c r="AF199" s="6">
        <f>$T199*AE199</f>
        <v/>
      </c>
      <c r="AG199" s="7" t="n">
        <v>0</v>
      </c>
      <c r="AH199" s="6">
        <f>$T199*AG199</f>
        <v/>
      </c>
      <c r="AI199" s="7">
        <f>U199+W199+Y199+AA199+AC199+AE199+AG199</f>
        <v/>
      </c>
      <c r="AJ199" s="6">
        <f>V199+X199+Z199+AB199+AD199+AF199+AH199</f>
        <v/>
      </c>
    </row>
    <row r="200" hidden="1" ht="60" customHeight="1" s="46">
      <c r="A200" s="3" t="inlineStr">
        <is>
          <t>DEI_IT_015023A</t>
        </is>
      </c>
      <c r="B200" s="4" t="inlineStr">
        <is>
          <t>1/2</t>
        </is>
      </c>
      <c r="C200" s="3" t="inlineStr">
        <is>
          <t>IMPIANTO MECCANICO</t>
        </is>
      </c>
      <c r="D200" s="4" t="inlineStr">
        <is>
          <t>NON SPECIALE</t>
        </is>
      </c>
      <c r="E200" s="4" t="inlineStr">
        <is>
          <t>MECCANICHE</t>
        </is>
      </c>
      <c r="F200" s="3" t="inlineStr">
        <is>
          <t>2_CME_TOTALE MECCANICI RADIOFARMACIA PAVIA.PDF</t>
        </is>
      </c>
      <c r="G200" s="4" t="inlineStr">
        <is>
          <t>162/162</t>
        </is>
      </c>
      <c r="H200" s="3" t="inlineStr">
        <is>
          <t>40 - IMPIANTISTICO</t>
        </is>
      </c>
      <c r="I200" s="3" t="inlineStr">
        <is>
          <t>P. PRIMO</t>
        </is>
      </c>
      <c r="J200" s="3" t="inlineStr">
        <is>
          <t>IMPIANTO IDRICO E FOGNA</t>
        </is>
      </c>
      <c r="K200" s="3" t="inlineStr">
        <is>
          <t>TUBO MULTISTRATO IN POLIETILENE RETICOLATO TIPO C, CON STRATO INTERMEDIO IN ALLUMINIO, FORNITO NUDO IN ROTOLI O IN BARRE DA 5 M, STABILE NELLA FORMA, CON BARRIERA ALL'OSSIGENO, CLASSE 1, 2, 4, 5 SECON</t>
        </is>
      </c>
      <c r="L200" s="3" t="inlineStr">
        <is>
          <t>TUBO MULTISTRATO IN POLIETILENE RETICOLATO TIPO C, CON STRATO INTERMEDIO IN ALLUMINIO, FORNITO NUDO IN ROTOLI O IN BARRE DA 5 M, STABILE NELLA FORMA, CON BARRIERA ALL'OSSIGENO, CLASSE 1, 2, 4, 5 SECONDO UNI EN ISO 21003, PER IMPIANTI DI ACQUA SANITARIA SECONDO DIRETTIVA UE 2020/2184 E RISCALDAMENTO, CON RACCORDI A PRESSARE IN BRONZO O ACCIAIO INOX, A PASSAGGIO TOTALE O A FLUSSO OTTIMIZZATO, A TENUTA SENZA O-RING, CON DICHIARAZIONE DA PARTE DEL FABBRICANTE DEL COEFFICIENTE K DI ACCIDENTALITÀ COME PREVISTO DALLA UNI TS 11589, TAGLIATO A MISURA E POSTO IN OPERA SU STAFFAGGI, ALL'INTERNO DI CAVEDI O IN TRACCIA, COMPRESA QUOTA PARTE DI RACCORDERIA, LA PRESSATURA DEI RACCORDI CON IDONEI ELETTROUTENSILI, ESCLUSI VALVOLAME, PEZZI SPECIALI, STAFFAGGI E OPERE MURARIE: 16 X 2,0 MM</t>
        </is>
      </c>
      <c r="M200" s="4" t="inlineStr">
        <is>
          <t>M</t>
        </is>
      </c>
      <c r="N200" s="5" t="n">
        <v>60</v>
      </c>
      <c r="O200" s="45" t="n">
        <v>12.1</v>
      </c>
      <c r="P200" s="45" t="n">
        <v>726</v>
      </c>
      <c r="Q200" s="5" t="n"/>
      <c r="R200" s="6" t="n"/>
      <c r="S200" s="6">
        <f>IF(AND(Q200&lt;&gt;"",R200&lt;&gt;""),Q200*R200,"")</f>
        <v/>
      </c>
      <c r="T200" s="45">
        <f>IF(S200="",P200,S200)</f>
        <v/>
      </c>
      <c r="U200" s="7" t="n">
        <v>0</v>
      </c>
      <c r="V200" s="6">
        <f>$T200*U200</f>
        <v/>
      </c>
      <c r="W200" s="7" t="n">
        <v>0</v>
      </c>
      <c r="X200" s="6">
        <f>$T200*W200</f>
        <v/>
      </c>
      <c r="Y200" s="7" t="n">
        <v>0</v>
      </c>
      <c r="Z200" s="6">
        <f>$T200*Y200</f>
        <v/>
      </c>
      <c r="AA200" s="7" t="n">
        <v>0</v>
      </c>
      <c r="AB200" s="6">
        <f>$T200*AA200</f>
        <v/>
      </c>
      <c r="AC200" s="7" t="n">
        <v>0</v>
      </c>
      <c r="AD200" s="6">
        <f>$T200*AC200</f>
        <v/>
      </c>
      <c r="AE200" s="7" t="n">
        <v>0</v>
      </c>
      <c r="AF200" s="6">
        <f>$T200*AE200</f>
        <v/>
      </c>
      <c r="AG200" s="7" t="n">
        <v>0</v>
      </c>
      <c r="AH200" s="6">
        <f>$T200*AG200</f>
        <v/>
      </c>
      <c r="AI200" s="7">
        <f>U200+W200+Y200+AA200+AC200+AE200+AG200</f>
        <v/>
      </c>
      <c r="AJ200" s="6">
        <f>V200+X200+Z200+AB200+AD200+AF200+AH200</f>
        <v/>
      </c>
    </row>
    <row r="201" hidden="1" ht="60" customHeight="1" s="46">
      <c r="A201" s="3" t="inlineStr">
        <is>
          <t>LOM251.OC.EEA.PA15.I7822.D0010.0750.E</t>
        </is>
      </c>
      <c r="B201" s="4" t="inlineStr">
        <is>
          <t>1/3</t>
        </is>
      </c>
      <c r="C201" s="3" t="inlineStr">
        <is>
          <t>IMPIANTO MECCANICO</t>
        </is>
      </c>
      <c r="D201" s="4" t="inlineStr">
        <is>
          <t>NON SPECIALE</t>
        </is>
      </c>
      <c r="E201" s="4" t="inlineStr">
        <is>
          <t>MECCANICHE</t>
        </is>
      </c>
      <c r="F201" s="3" t="inlineStr">
        <is>
          <t>2_CME_TOTALE MECCANICI RADIOFARMACIA PAVIA.PDF</t>
        </is>
      </c>
      <c r="G201" s="4" t="inlineStr">
        <is>
          <t>163/163</t>
        </is>
      </c>
      <c r="H201" s="3" t="inlineStr">
        <is>
          <t>40 - IMPIANTISTICO</t>
        </is>
      </c>
      <c r="I201" s="3" t="inlineStr">
        <is>
          <t>P. PRIMO</t>
        </is>
      </c>
      <c r="J201" s="3" t="inlineStr">
        <is>
          <t>IMPIANTO IDRICO E FOGNA</t>
        </is>
      </c>
      <c r="K201" s="3" t="inlineStr">
        <is>
          <t xml:space="preserve">OPERA: TUBAZIONE DI SCARICO DI PLASTICA POLIETILENE AD ALTA DENSITÀ (HDPE/PEAD); FUNZIONE: SCARICO; DIAMETRO ESTERNO (Ø) [MM] = 63. </t>
        </is>
      </c>
      <c r="L201" s="3" t="inlineStr">
        <is>
          <t>OPERA: TUBAZIONE DI SCARICO DI PLASTICA POLIETILENE AD ALTA DENSITÀ (HDPE/PEAD); FUNZIONE: SCARICO; DIAMETRO ESTERNO (Ø) [MM] = 63. 
LAVORO: SALDATURA DI TESTA. INCLUSO: OPERAZIONI DI PREPARAZIONE DI ELEMENTI DA SALDARE; NOLO SALDATRICE; CONSUMI. 
SPECIFICHE TECNICHE: PEAD MALLEABILIZZATO. OP TUBAZIONE DI SCARICO DI PLASTICA POLIETILENE AD ALTA DENSITÀ (HDPE/PEAD); FUNZIONE: SCARICO; DIAMETRO ESTERNO (Ø) [MM] = 63. 
SPECIFICHE TECNICHE: PEAD MALLEABILIZZATO. 
RM TUBO DI PLASTICA POLIETILENE (PE); FINITURA: COLORE NERO; GEOMETRIA: MALLEABILIZZATO; FUNZIONE: SCARICO ACQUE; IMPIEGO: IMPIANTO CIVILE | INDUSTRIALE; DIAMETRO ESTERNO (Ø) [MM] = 63 | SPESSORE [MM] = 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201" s="4" t="inlineStr">
        <is>
          <t>M</t>
        </is>
      </c>
      <c r="N201" s="5" t="n">
        <v>5</v>
      </c>
      <c r="O201" s="45" t="n">
        <v>22.23</v>
      </c>
      <c r="P201" s="45" t="n">
        <v>111.15</v>
      </c>
      <c r="Q201" s="5" t="n"/>
      <c r="R201" s="6" t="n"/>
      <c r="S201" s="6">
        <f>IF(AND(Q201&lt;&gt;"",R201&lt;&gt;""),Q201*R201,"")</f>
        <v/>
      </c>
      <c r="T201" s="45">
        <f>IF(S201="",P201,S201)</f>
        <v/>
      </c>
      <c r="U201" s="7" t="n">
        <v>0</v>
      </c>
      <c r="V201" s="6">
        <f>$T201*U201</f>
        <v/>
      </c>
      <c r="W201" s="7" t="n">
        <v>0</v>
      </c>
      <c r="X201" s="6">
        <f>$T201*W201</f>
        <v/>
      </c>
      <c r="Y201" s="7" t="n">
        <v>0</v>
      </c>
      <c r="Z201" s="6">
        <f>$T201*Y201</f>
        <v/>
      </c>
      <c r="AA201" s="7" t="n">
        <v>0</v>
      </c>
      <c r="AB201" s="6">
        <f>$T201*AA201</f>
        <v/>
      </c>
      <c r="AC201" s="7" t="n">
        <v>0</v>
      </c>
      <c r="AD201" s="6">
        <f>$T201*AC201</f>
        <v/>
      </c>
      <c r="AE201" s="7" t="n">
        <v>0</v>
      </c>
      <c r="AF201" s="6">
        <f>$T201*AE201</f>
        <v/>
      </c>
      <c r="AG201" s="7" t="n">
        <v>0</v>
      </c>
      <c r="AH201" s="6">
        <f>$T201*AG201</f>
        <v/>
      </c>
      <c r="AI201" s="7">
        <f>U201+W201+Y201+AA201+AC201+AE201+AG201</f>
        <v/>
      </c>
      <c r="AJ201" s="6">
        <f>V201+X201+Z201+AB201+AD201+AF201+AH201</f>
        <v/>
      </c>
    </row>
    <row r="202" hidden="1" ht="60" customHeight="1" s="46">
      <c r="A202" s="3" t="inlineStr">
        <is>
          <t>LOM251.OC.EEA.PA15.I7822.D0010.0750.H</t>
        </is>
      </c>
      <c r="B202" s="4" t="inlineStr">
        <is>
          <t>1/3</t>
        </is>
      </c>
      <c r="C202" s="3" t="inlineStr">
        <is>
          <t>IMPIANTO MECCANICO</t>
        </is>
      </c>
      <c r="D202" s="4" t="inlineStr">
        <is>
          <t>NON SPECIALE</t>
        </is>
      </c>
      <c r="E202" s="4" t="inlineStr">
        <is>
          <t>MECCANICHE</t>
        </is>
      </c>
      <c r="F202" s="3" t="inlineStr">
        <is>
          <t>2_CME_TOTALE MECCANICI RADIOFARMACIA PAVIA.PDF</t>
        </is>
      </c>
      <c r="G202" s="4" t="inlineStr">
        <is>
          <t>164/164</t>
        </is>
      </c>
      <c r="H202" s="3" t="inlineStr">
        <is>
          <t>40 - IMPIANTISTICO</t>
        </is>
      </c>
      <c r="I202" s="3" t="inlineStr">
        <is>
          <t>P. PRIMO</t>
        </is>
      </c>
      <c r="J202" s="3" t="inlineStr">
        <is>
          <t>IMPIANTO IDRICO E FOGNA</t>
        </is>
      </c>
      <c r="K202" s="3" t="inlineStr">
        <is>
          <t xml:space="preserve">OPERA: TUBAZIONE DI SCARICO DI PLASTICA POLIETILENE AD ALTA DENSITÀ (HDPE/PEAD); FUNZIONE: SCARICO; DIAMETRO ESTERNO (Ø) [MM] = 110. </t>
        </is>
      </c>
      <c r="L202" s="3" t="inlineStr">
        <is>
          <t>OPERA: TUBAZIONE DI SCARICO DI PLASTICA POLIETILENE AD ALTA DENSITÀ (HDPE/PEAD); FUNZIONE: SCARICO; DIAMETRO ESTERNO (Ø) [MM] = 110. 
LAVORO: SALDATURA DI TESTA. INCLUSO: OPERAZIONI DI PREPARAZIONE DI ELEMENTI DA SALDARE; NOLO SALDATRICE; CONSUMI. 
SPECIFICHE TECNICHE: PEAD MALLEABILIZZATO. OP TUBAZIONE DI SCARICO DI PLASTICA POLIETILENE AD ALTA DENSITÀ (HDPE/PEAD); FUNZIONE: SCARICO; DIAMETRO ESTERNO (Ø) [MM] = 110. 
SPECIFICHE TECNICHE: PEAD MALLEABILIZZATO. 
RM TUBO DI PLASTICA POLIETILENE (PE); FINITURA: COLORE NERO; GEOMETRIA: MALLEABILIZZATO; FUNZIONE: SCARICO ACQUE; IMPIEGO: IMPIANTO CIVILE | INDUSTRIALE; DIAMETRO ESTERNO (Ø) [MM] = 110 | SPESSORE [MM] = 4,3.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202" s="4" t="inlineStr">
        <is>
          <t>M</t>
        </is>
      </c>
      <c r="N202" s="5" t="n">
        <v>5</v>
      </c>
      <c r="O202" s="45" t="n">
        <v>39.73</v>
      </c>
      <c r="P202" s="45" t="n">
        <v>198.65</v>
      </c>
      <c r="Q202" s="5" t="n"/>
      <c r="R202" s="6" t="n"/>
      <c r="S202" s="6">
        <f>IF(AND(Q202&lt;&gt;"",R202&lt;&gt;""),Q202*R202,"")</f>
        <v/>
      </c>
      <c r="T202" s="45">
        <f>IF(S202="",P202,S202)</f>
        <v/>
      </c>
      <c r="U202" s="7" t="n">
        <v>0</v>
      </c>
      <c r="V202" s="6">
        <f>$T202*U202</f>
        <v/>
      </c>
      <c r="W202" s="7" t="n">
        <v>0</v>
      </c>
      <c r="X202" s="6">
        <f>$T202*W202</f>
        <v/>
      </c>
      <c r="Y202" s="7" t="n">
        <v>0</v>
      </c>
      <c r="Z202" s="6">
        <f>$T202*Y202</f>
        <v/>
      </c>
      <c r="AA202" s="7" t="n">
        <v>0</v>
      </c>
      <c r="AB202" s="6">
        <f>$T202*AA202</f>
        <v/>
      </c>
      <c r="AC202" s="7" t="n">
        <v>0</v>
      </c>
      <c r="AD202" s="6">
        <f>$T202*AC202</f>
        <v/>
      </c>
      <c r="AE202" s="7" t="n">
        <v>0</v>
      </c>
      <c r="AF202" s="6">
        <f>$T202*AE202</f>
        <v/>
      </c>
      <c r="AG202" s="7" t="n">
        <v>0</v>
      </c>
      <c r="AH202" s="6">
        <f>$T202*AG202</f>
        <v/>
      </c>
      <c r="AI202" s="7">
        <f>U202+W202+Y202+AA202+AC202+AE202+AG202</f>
        <v/>
      </c>
      <c r="AJ202" s="6">
        <f>V202+X202+Z202+AB202+AD202+AF202+AH202</f>
        <v/>
      </c>
    </row>
    <row r="203" hidden="1" ht="60" customHeight="1" s="46">
      <c r="A203" s="3" t="inlineStr">
        <is>
          <t>LOM251.OC.EEA.PA15.I7822.D0010.0750.I</t>
        </is>
      </c>
      <c r="B203" s="4" t="inlineStr">
        <is>
          <t>1/3</t>
        </is>
      </c>
      <c r="C203" s="3" t="inlineStr">
        <is>
          <t>IMPIANTO MECCANICO</t>
        </is>
      </c>
      <c r="D203" s="4" t="inlineStr">
        <is>
          <t>NON SPECIALE</t>
        </is>
      </c>
      <c r="E203" s="4" t="inlineStr">
        <is>
          <t>MECCANICHE</t>
        </is>
      </c>
      <c r="F203" s="3" t="inlineStr">
        <is>
          <t>2_CME_TOTALE MECCANICI RADIOFARMACIA PAVIA.PDF</t>
        </is>
      </c>
      <c r="G203" s="4" t="inlineStr">
        <is>
          <t>165/165</t>
        </is>
      </c>
      <c r="H203" s="3" t="inlineStr">
        <is>
          <t>40 - IMPIANTISTICO</t>
        </is>
      </c>
      <c r="I203" s="3" t="inlineStr">
        <is>
          <t>P. PRIMO</t>
        </is>
      </c>
      <c r="J203" s="3" t="inlineStr">
        <is>
          <t>IMPIANTO IDRICO E FOGNA</t>
        </is>
      </c>
      <c r="K203" s="3" t="inlineStr">
        <is>
          <t xml:space="preserve">OPERA: TUBAZIONE DI SCARICO DI PLASTICA POLIETILENE AD ALTA DENSITÀ (HDPE/PEAD); FUNZIONE: SCARICO; DIAMETRO ESTERNO (Ø) [MM] = 125. </t>
        </is>
      </c>
      <c r="L203" s="3" t="inlineStr">
        <is>
          <t>OPERA: TUBAZIONE DI SCARICO DI PLASTICA POLIETILENE AD ALTA DENSITÀ (HDPE/PEAD); FUNZIONE: SCARICO; DIAMETRO ESTERNO (Ø) [MM] = 125. 
LAVORO: SALDATURA DI TESTA. INCLUSO: OPERAZIONI DI PREPARAZIONE DI ELEMENTI DA SALDARE; NOLO SALDATRICE; CONSUMI. 
SPECIFICHE TECNICHE: PEAD MALLEABILIZZATO. OP TUBAZIONE DI SCARICO DI PLASTICA POLIETILENE AD ALTA DENSITÀ (HDPE/PEAD); FUNZIONE: SCARICO; DIAMETRO ESTERNO (Ø) [MM] = 125. 
SPECIFICHE TECNICHE: PEAD MALLEABILIZZATO. 
RM TUBO DI PLASTICA POLIETILENE (PE); FINITURA: COLORE NERO; GEOMETRIA: MALLEABILIZZATO; FUNZIONE: SCARICO ACQUE; IMPIEGO: IMPIANTO CIVILE | INDUSTRIALE; DIAMETRO ESTERNO (Ø) [MM] = 125 | SPESSORE [MM] = 4,9. ESCLUSO: RACCORDI 
SPECIFICHE TECNICHE: DA GIUNTARE CON: SALDATURA DI TESTA, MANICOTTO ELETTRICO O MANICOTTO DI DILATAZIONE 
LV SALDATURA DI TESTA. INCLUSO: OPERAZIONI DI PREPARAZIONE DI ELEMENTI DA SALDARE; NOLO SALDATRICE; CONSUMI. 
RP SALDATRICE TESTA-TESTA; DIAMETRO OPERATIVO [MM] = 75 ÷ 250. INCLUSO: ACCESSORI (ES. FRESA SPIANATRICE, TERMOELEMENTO, CENTRALINA, TERMOSTATO, ANELLI DI RIDUZIONE). DA CONTEGGIARE A PARTE: SPESE DI ESERCIZIO (RP.01.20.00.1020.B)</t>
        </is>
      </c>
      <c r="M203" s="4" t="inlineStr">
        <is>
          <t>M</t>
        </is>
      </c>
      <c r="N203" s="5" t="n">
        <v>6</v>
      </c>
      <c r="O203" s="45" t="n">
        <v>53.36</v>
      </c>
      <c r="P203" s="45" t="n">
        <v>320.16</v>
      </c>
      <c r="Q203" s="5" t="n"/>
      <c r="R203" s="6" t="n"/>
      <c r="S203" s="6">
        <f>IF(AND(Q203&lt;&gt;"",R203&lt;&gt;""),Q203*R203,"")</f>
        <v/>
      </c>
      <c r="T203" s="45">
        <f>IF(S203="",P203,S203)</f>
        <v/>
      </c>
      <c r="U203" s="7" t="n">
        <v>0</v>
      </c>
      <c r="V203" s="6">
        <f>$T203*U203</f>
        <v/>
      </c>
      <c r="W203" s="7" t="n">
        <v>0</v>
      </c>
      <c r="X203" s="6">
        <f>$T203*W203</f>
        <v/>
      </c>
      <c r="Y203" s="7" t="n">
        <v>0</v>
      </c>
      <c r="Z203" s="6">
        <f>$T203*Y203</f>
        <v/>
      </c>
      <c r="AA203" s="7" t="n">
        <v>0</v>
      </c>
      <c r="AB203" s="6">
        <f>$T203*AA203</f>
        <v/>
      </c>
      <c r="AC203" s="7" t="n">
        <v>0</v>
      </c>
      <c r="AD203" s="6">
        <f>$T203*AC203</f>
        <v/>
      </c>
      <c r="AE203" s="7" t="n">
        <v>0</v>
      </c>
      <c r="AF203" s="6">
        <f>$T203*AE203</f>
        <v/>
      </c>
      <c r="AG203" s="7" t="n">
        <v>0</v>
      </c>
      <c r="AH203" s="6">
        <f>$T203*AG203</f>
        <v/>
      </c>
      <c r="AI203" s="7">
        <f>U203+W203+Y203+AA203+AC203+AE203+AG203</f>
        <v/>
      </c>
      <c r="AJ203" s="6">
        <f>V203+X203+Z203+AB203+AD203+AF203+AH203</f>
        <v/>
      </c>
    </row>
    <row r="204" ht="60" customHeight="1" s="46">
      <c r="A204" s="3" t="inlineStr">
        <is>
          <t>LOM251.OC.EEA.PA02.I7407.SB038.0320</t>
        </is>
      </c>
      <c r="B204" s="4" t="inlineStr">
        <is>
          <t>1/2</t>
        </is>
      </c>
      <c r="C204" s="3" t="inlineStr">
        <is>
          <t>IMPIANTO MECCANICO</t>
        </is>
      </c>
      <c r="D204" s="4" t="inlineStr">
        <is>
          <t>NON SPECIALE</t>
        </is>
      </c>
      <c r="E204" s="4" t="inlineStr">
        <is>
          <t>MECCANICHE</t>
        </is>
      </c>
      <c r="F204" s="3" t="inlineStr">
        <is>
          <t>2_CME_TOTALE MECCANICI RADIOFARMACIA PAVIA.PDF</t>
        </is>
      </c>
      <c r="G204" s="4" t="inlineStr">
        <is>
          <t>180/180</t>
        </is>
      </c>
      <c r="H204" s="3" t="inlineStr">
        <is>
          <t>40 - IMPIANTISTICO</t>
        </is>
      </c>
      <c r="I204" s="3" t="inlineStr">
        <is>
          <t>CENTRALE</t>
        </is>
      </c>
      <c r="J204" s="3" t="inlineStr">
        <is>
          <t>IMPIANTO HVAC</t>
        </is>
      </c>
      <c r="K204" s="3" t="inlineStr">
        <is>
          <t xml:space="preserve">OPERA: TUBAZIONE DI LEGA FERROSA ACCIAIO NERO; FUNZIONE: DISTRIBUZIONE ACQUA; IMPIEGO: RETE IDRICA; DIAMETRO NOMINALE (Ø) [MM] = 80 | SPESSORE [MM] = 3,2. </t>
        </is>
      </c>
      <c r="L204" s="3" t="inlineStr">
        <is>
          <t>OPERA: TUBAZIONE DI LEGA FERROSA ACCIAIO NERO; FUNZIONE: DISTRIBUZIONE ACQUA; IMPIEGO: RETE IDRICA; DIAMETRO NOMINALE (Ø) [MM] = 80 | SPESSORE [MM] = 3,2. 
LAVORO: POSA. 
SPECIFICHE TECNICHE: TUBO SENZA SALDATURA. OP TUBAZIONE DI LEGA FERROSA ACCIAIO NERO; FUNZIONE: DISTRIBUZIONE ACQUA; IMPIEGO: RETE IDRICA; DIAMETRO NOMINALE (Ø) [MM] = 80 | SPESSORE [MM] = 3,2. 
SPECIFICHE TECNICHE: TUBO SENZA SALDATURA. 
RM TUBO DI LEGA FERROSA ACCIAIO NERO; FUNZIONE: DISTRIBUZIONE ACQUA; IMPIEGO: RETE IDRICA; DIAMETRO NOMINALE (Ø) [MM] = 80 | SPESSORE [MM] = 3,2 
SPECIFICHE TECNICHE: TUBO SENZA SALDATURA 
LV POSA.</t>
        </is>
      </c>
      <c r="M204" s="4" t="inlineStr">
        <is>
          <t>M</t>
        </is>
      </c>
      <c r="N204" s="5" t="n">
        <v>37.5</v>
      </c>
      <c r="O204" s="45" t="n">
        <v>57.96</v>
      </c>
      <c r="P204" s="45" t="n">
        <v>2173.5</v>
      </c>
      <c r="Q204" s="5" t="n"/>
      <c r="R204" s="6" t="n"/>
      <c r="S204" s="6">
        <f>IF(AND(Q204&lt;&gt;"",R204&lt;&gt;""),Q204*R204,"")</f>
        <v/>
      </c>
      <c r="T204" s="45">
        <f>IF(S204="",P204,S204)</f>
        <v/>
      </c>
      <c r="U204" s="7" t="n">
        <v>0</v>
      </c>
      <c r="V204" s="6">
        <f>$T204*U204</f>
        <v/>
      </c>
      <c r="W204" s="7" t="n">
        <v>0.5</v>
      </c>
      <c r="X204" s="6">
        <f>$T204*W204</f>
        <v/>
      </c>
      <c r="Y204" s="7" t="n">
        <v>0</v>
      </c>
      <c r="Z204" s="6">
        <f>$T204*Y204</f>
        <v/>
      </c>
      <c r="AA204" s="7" t="n">
        <v>0</v>
      </c>
      <c r="AB204" s="6">
        <f>$T204*AA204</f>
        <v/>
      </c>
      <c r="AC204" s="7" t="n">
        <v>0</v>
      </c>
      <c r="AD204" s="6">
        <f>$T204*AC204</f>
        <v/>
      </c>
      <c r="AE204" s="7" t="n">
        <v>0</v>
      </c>
      <c r="AF204" s="6">
        <f>$T204*AE204</f>
        <v/>
      </c>
      <c r="AG204" s="7" t="n">
        <v>0</v>
      </c>
      <c r="AH204" s="6">
        <f>$T204*AG204</f>
        <v/>
      </c>
      <c r="AI204" s="7">
        <f>U204+W204+Y204+AA204+AC204+AE204+AG204</f>
        <v/>
      </c>
      <c r="AJ204" s="6">
        <f>V204+X204+Z204+AB204+AD204+AF204+AH204</f>
        <v/>
      </c>
    </row>
    <row r="205" hidden="1" ht="60" customHeight="1" s="46">
      <c r="A205" s="3" t="inlineStr">
        <is>
          <t>LOM251.OC.EEA.PA02.I1500.E0011.0160</t>
        </is>
      </c>
      <c r="B205" s="4" t="inlineStr">
        <is>
          <t>1/3</t>
        </is>
      </c>
      <c r="C205" s="3" t="inlineStr">
        <is>
          <t>IMPIANTO MECCANICO</t>
        </is>
      </c>
      <c r="D205" s="4" t="inlineStr">
        <is>
          <t>NON SPECIALE</t>
        </is>
      </c>
      <c r="E205" s="4" t="inlineStr">
        <is>
          <t>MECCANICHE</t>
        </is>
      </c>
      <c r="F205" s="3" t="inlineStr">
        <is>
          <t>2_CME_TOTALE MECCANICI RADIOFARMACIA PAVIA.PDF</t>
        </is>
      </c>
      <c r="G205" s="4" t="inlineStr">
        <is>
          <t>181/181</t>
        </is>
      </c>
      <c r="H205" s="3" t="inlineStr">
        <is>
          <t>40 - IMPIANTISTICO</t>
        </is>
      </c>
      <c r="I205" s="3" t="inlineStr">
        <is>
          <t>CENTRALE</t>
        </is>
      </c>
      <c r="J205" s="3" t="inlineStr">
        <is>
          <t>IMPIANTO HVAC</t>
        </is>
      </c>
      <c r="K205" s="3" t="inlineStr">
        <is>
          <t>OPERA: LASTRA DI GOMMA ELASTOMERICA ESPANSA A CELLULE CHIUSE; FUNZIONE: COIBENTAZIONE; IMPIEGO: TUBAZIONE; SPESSORE MINIMO LASTRA [MM] = 19 | SPESSORE MINIMO ELASTOMERO PER IL DIAMETRO ESTERNO TUBO [M</t>
        </is>
      </c>
      <c r="L205" s="3" t="inlineStr">
        <is>
          <t>OPERA: LASTRA DI GOMMA ELASTOMERICA ESPANSA A CELLULE CHIUSE; FUNZIONE: COIBENTAZIONE; IMPIEGO: TUBAZIONE; SPESSORE MINIMO LASTRA [MM] = 19 | SPESSORE MINIMO ELASTOMERO PER IL DIAMETRO ESTERNO TUBO [MM] = 76 | DIAMETRO NOMINALE TUBAZIONE [MM] = 65;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76 | DIAMETRO NOMINALE TUBAZIONE [MM] = 65;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76 | DIAMETRO NOMINALE TUBAZIONE [MM] = 65; RESISTENZA ALLA FIAMMA [CLASSE] = 1; FATTORE DI PERMEABILITÀ (Μ) MINIMO [-] = 4000 
SPECIFICHE TECNICHE: GOMMA ELASTOMERICA ESPANSA A CELLULE CHIUSE SENZA ALOGENI NÉ PVC 
LV POSA.</t>
        </is>
      </c>
      <c r="M205" s="4" t="inlineStr">
        <is>
          <t>M</t>
        </is>
      </c>
      <c r="N205" s="5" t="n">
        <v>15</v>
      </c>
      <c r="O205" s="45" t="n">
        <v>12.56</v>
      </c>
      <c r="P205" s="45" t="n">
        <v>188.4</v>
      </c>
      <c r="Q205" s="5" t="n"/>
      <c r="R205" s="6" t="n"/>
      <c r="S205" s="6">
        <f>IF(AND(Q205&lt;&gt;"",R205&lt;&gt;""),Q205*R205,"")</f>
        <v/>
      </c>
      <c r="T205" s="45">
        <f>IF(S205="",P205,S205)</f>
        <v/>
      </c>
      <c r="U205" s="7" t="n">
        <v>0</v>
      </c>
      <c r="V205" s="6">
        <f>$T205*U205</f>
        <v/>
      </c>
      <c r="W205" s="7" t="n">
        <v>0</v>
      </c>
      <c r="X205" s="6">
        <f>$T205*W205</f>
        <v/>
      </c>
      <c r="Y205" s="7" t="n">
        <v>0</v>
      </c>
      <c r="Z205" s="6">
        <f>$T205*Y205</f>
        <v/>
      </c>
      <c r="AA205" s="7" t="n">
        <v>0</v>
      </c>
      <c r="AB205" s="6">
        <f>$T205*AA205</f>
        <v/>
      </c>
      <c r="AC205" s="7" t="n">
        <v>0</v>
      </c>
      <c r="AD205" s="6">
        <f>$T205*AC205</f>
        <v/>
      </c>
      <c r="AE205" s="7" t="n">
        <v>0</v>
      </c>
      <c r="AF205" s="6">
        <f>$T205*AE205</f>
        <v/>
      </c>
      <c r="AG205" s="7" t="n">
        <v>0</v>
      </c>
      <c r="AH205" s="6">
        <f>$T205*AG205</f>
        <v/>
      </c>
      <c r="AI205" s="7">
        <f>U205+W205+Y205+AA205+AC205+AE205+AG205</f>
        <v/>
      </c>
      <c r="AJ205" s="6">
        <f>V205+X205+Z205+AB205+AD205+AF205+AH205</f>
        <v/>
      </c>
    </row>
    <row r="206" hidden="1" ht="60" customHeight="1" s="46">
      <c r="A206" s="3" t="inlineStr">
        <is>
          <t>LOM251.OC.EEA.PA02.I1500.SA000.0010</t>
        </is>
      </c>
      <c r="B206" s="4" t="inlineStr">
        <is>
          <t>1/2</t>
        </is>
      </c>
      <c r="C206" s="3" t="inlineStr">
        <is>
          <t>IMPIANTO MECCANICO</t>
        </is>
      </c>
      <c r="D206" s="4" t="inlineStr">
        <is>
          <t>NON SPECIALE</t>
        </is>
      </c>
      <c r="E206" s="4" t="inlineStr">
        <is>
          <t>MECCANICHE</t>
        </is>
      </c>
      <c r="F206" s="3" t="inlineStr">
        <is>
          <t>2_CME_TOTALE MECCANICI RADIOFARMACIA PAVIA.PDF</t>
        </is>
      </c>
      <c r="G206" s="4" t="inlineStr">
        <is>
          <t>182/182</t>
        </is>
      </c>
      <c r="H206" s="3" t="inlineStr">
        <is>
          <t>40 - IMPIANTISTICO</t>
        </is>
      </c>
      <c r="I206" s="3" t="inlineStr">
        <is>
          <t>CENTRALE</t>
        </is>
      </c>
      <c r="J206" s="3" t="inlineStr">
        <is>
          <t>IMPIANTO HVAC</t>
        </is>
      </c>
      <c r="K206" s="3" t="inlineStr">
        <is>
          <t xml:space="preserve">OPERA: LASTRA, DI FINITURA DI LEGA ALLUMINIO GENERICO; GEOMETRIA: LAMIERINO; FUNZIONE: COIBENTAZIONE; IMPIEGO: CONDOTTO; SPESSORE [MM] = 0,8. </t>
        </is>
      </c>
      <c r="L206" s="3" t="inlineStr">
        <is>
          <t>OPERA: LASTRA, DI FINITURA DI LEGA ALLUMINIO GENERICO; GEOMETRIA: LAMIERINO; FUNZIONE: COIBENTAZIONE; IMPIEGO: CONDOTTO; SPESSORE [MM] = 0,8. 
LAVORO: POSA. OP LASTRA, DI FINITURA DI LEGA ALLUMINIO GENERICO; GEOMETRIA: LAMIERINO; FUNZIONE: COIBENTAZIONE; IMPIEGO: CONDOTTO; SPESSORE [MM] = 0,8. 
RM LASTRA DI FINITURA DI LEGA ALLUMINIO GENERICO; GEOMETRIA: LAMIERINO; FUNZIONE: COIBENTAZIONE; IMPIEGO: CONDOTTO; SPESSORE [MM] = 0,8 
LV POSA.</t>
        </is>
      </c>
      <c r="M206" s="4" t="inlineStr">
        <is>
          <t>M²</t>
        </is>
      </c>
      <c r="N206" s="5" t="n">
        <v>42</v>
      </c>
      <c r="O206" s="45" t="n">
        <v>37.95</v>
      </c>
      <c r="P206" s="45" t="n">
        <v>1593.9</v>
      </c>
      <c r="Q206" s="5" t="n"/>
      <c r="R206" s="6" t="n"/>
      <c r="S206" s="6">
        <f>IF(AND(Q206&lt;&gt;"",R206&lt;&gt;""),Q206*R206,"")</f>
        <v/>
      </c>
      <c r="T206" s="45">
        <f>IF(S206="",P206,S206)</f>
        <v/>
      </c>
      <c r="U206" s="7" t="n">
        <v>0</v>
      </c>
      <c r="V206" s="6">
        <f>$T206*U206</f>
        <v/>
      </c>
      <c r="W206" s="7" t="n">
        <v>0</v>
      </c>
      <c r="X206" s="6">
        <f>$T206*W206</f>
        <v/>
      </c>
      <c r="Y206" s="7" t="n">
        <v>0</v>
      </c>
      <c r="Z206" s="6">
        <f>$T206*Y206</f>
        <v/>
      </c>
      <c r="AA206" s="7" t="n">
        <v>0</v>
      </c>
      <c r="AB206" s="6">
        <f>$T206*AA206</f>
        <v/>
      </c>
      <c r="AC206" s="7" t="n">
        <v>0</v>
      </c>
      <c r="AD206" s="6">
        <f>$T206*AC206</f>
        <v/>
      </c>
      <c r="AE206" s="7" t="n">
        <v>0</v>
      </c>
      <c r="AF206" s="6">
        <f>$T206*AE206</f>
        <v/>
      </c>
      <c r="AG206" s="7" t="n">
        <v>0</v>
      </c>
      <c r="AH206" s="6">
        <f>$T206*AG206</f>
        <v/>
      </c>
      <c r="AI206" s="7">
        <f>U206+W206+Y206+AA206+AC206+AE206+AG206</f>
        <v/>
      </c>
      <c r="AJ206" s="6">
        <f>V206+X206+Z206+AB206+AD206+AF206+AH206</f>
        <v/>
      </c>
    </row>
    <row r="207" hidden="1" ht="60" customHeight="1" s="46">
      <c r="A207" s="3" t="inlineStr">
        <is>
          <t>LOM251.OC.EEA.PA02.I9762.ZB015.0110</t>
        </is>
      </c>
      <c r="B207" s="4" t="inlineStr">
        <is>
          <t>1/2</t>
        </is>
      </c>
      <c r="C207" s="3" t="inlineStr">
        <is>
          <t>IMPIANTO MECCANICO</t>
        </is>
      </c>
      <c r="D207" s="4" t="inlineStr">
        <is>
          <t>NON SPECIALE</t>
        </is>
      </c>
      <c r="E207" s="4" t="inlineStr">
        <is>
          <t>MECCANICHE</t>
        </is>
      </c>
      <c r="F207" s="3" t="inlineStr">
        <is>
          <t>2_CME_TOTALE MECCANICI RADIOFARMACIA PAVIA.PDF</t>
        </is>
      </c>
      <c r="G207" s="4" t="inlineStr">
        <is>
          <t>183/183</t>
        </is>
      </c>
      <c r="H207" s="3" t="inlineStr">
        <is>
          <t>40 - IMPIANTISTICO</t>
        </is>
      </c>
      <c r="I207" s="3" t="inlineStr">
        <is>
          <t>CENTRALE</t>
        </is>
      </c>
      <c r="J207" s="3" t="inlineStr">
        <is>
          <t>IMPIANTO HVAC</t>
        </is>
      </c>
      <c r="K207" s="3" t="inlineStr">
        <is>
          <t>OPERA: VALVOLA, A COMANDO MANUALE A LEVA DI MATERIALE MIX ACCIAIO AL CARBONIO-ACCIAIO INOX; GEOMETRIA: A CORPO PIATTO | TIPO WAFER | A PASSAGGIO TOTALE | A SFERA; DIAMETRO NOMINALE (Ø) [MM] = 40; PRES</t>
        </is>
      </c>
      <c r="L207" s="3" t="inlineStr">
        <is>
          <t>OPERA: VALVOLA, A COMANDO MANUALE A LEVA DI MATERIALE MIX ACCIAIO AL CARBONIO-ACCIAIO INOX; GEOMETRIA: A CORPO PIATTO | TIPO WAFER | A PASSAGGIO TOTALE | A SFERA; DIAMETRO NOMINALE (Ø) [MM] = 40;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40;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40;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07" s="4" t="inlineStr">
        <is>
          <t>CAD</t>
        </is>
      </c>
      <c r="N207" s="5" t="n">
        <v>2</v>
      </c>
      <c r="O207" s="45" t="n">
        <v>80.95999999999999</v>
      </c>
      <c r="P207" s="45" t="n">
        <v>161.92</v>
      </c>
      <c r="Q207" s="5" t="n"/>
      <c r="R207" s="6" t="n"/>
      <c r="S207" s="6">
        <f>IF(AND(Q207&lt;&gt;"",R207&lt;&gt;""),Q207*R207,"")</f>
        <v/>
      </c>
      <c r="T207" s="45">
        <f>IF(S207="",P207,S207)</f>
        <v/>
      </c>
      <c r="U207" s="7" t="n">
        <v>0</v>
      </c>
      <c r="V207" s="6">
        <f>$T207*U207</f>
        <v/>
      </c>
      <c r="W207" s="7" t="n">
        <v>0</v>
      </c>
      <c r="X207" s="6">
        <f>$T207*W207</f>
        <v/>
      </c>
      <c r="Y207" s="7" t="n">
        <v>0</v>
      </c>
      <c r="Z207" s="6">
        <f>$T207*Y207</f>
        <v/>
      </c>
      <c r="AA207" s="7" t="n">
        <v>0</v>
      </c>
      <c r="AB207" s="6">
        <f>$T207*AA207</f>
        <v/>
      </c>
      <c r="AC207" s="7" t="n">
        <v>0</v>
      </c>
      <c r="AD207" s="6">
        <f>$T207*AC207</f>
        <v/>
      </c>
      <c r="AE207" s="7" t="n">
        <v>0</v>
      </c>
      <c r="AF207" s="6">
        <f>$T207*AE207</f>
        <v/>
      </c>
      <c r="AG207" s="7" t="n">
        <v>0</v>
      </c>
      <c r="AH207" s="6">
        <f>$T207*AG207</f>
        <v/>
      </c>
      <c r="AI207" s="7">
        <f>U207+W207+Y207+AA207+AC207+AE207+AG207</f>
        <v/>
      </c>
      <c r="AJ207" s="6">
        <f>V207+X207+Z207+AB207+AD207+AF207+AH207</f>
        <v/>
      </c>
    </row>
    <row r="208" hidden="1" ht="60" customHeight="1" s="46">
      <c r="A208" s="3" t="inlineStr">
        <is>
          <t>LOM251.OC.EEA.PA02.I7425.E0004.0015</t>
        </is>
      </c>
      <c r="B208" s="4" t="inlineStr">
        <is>
          <t>1/2</t>
        </is>
      </c>
      <c r="C208" s="3" t="inlineStr">
        <is>
          <t>IMPIANTO MECCANICO</t>
        </is>
      </c>
      <c r="D208" s="4" t="inlineStr">
        <is>
          <t>NON SPECIALE</t>
        </is>
      </c>
      <c r="E208" s="4" t="inlineStr">
        <is>
          <t>MECCANICHE</t>
        </is>
      </c>
      <c r="F208" s="3" t="inlineStr">
        <is>
          <t>2_CME_TOTALE MECCANICI RADIOFARMACIA PAVIA.PDF</t>
        </is>
      </c>
      <c r="G208" s="4" t="inlineStr">
        <is>
          <t>184/184</t>
        </is>
      </c>
      <c r="H208" s="3" t="inlineStr">
        <is>
          <t>40 - IMPIANTISTICO</t>
        </is>
      </c>
      <c r="I208" s="3" t="inlineStr">
        <is>
          <t>CENTRALE</t>
        </is>
      </c>
      <c r="J208" s="3" t="inlineStr">
        <is>
          <t>IMPIANTO HVAC</t>
        </is>
      </c>
      <c r="K208" s="3" t="inlineStr">
        <is>
          <t xml:space="preserve">OPERA: GIUNTO ANTIVIBRANTE DI GOMMA EPDM; GEOMETRIA: ATTACCHI FLANGIATI; FUNZIONE: SMORZAMENTO VIBRAZIONI; IMPIEGO: TUBAZIONE; DIAMETRO NOMINALE (Ø) [MM] = 40; PRESSIONE NOMINALE [BAR] ≤ 10. </t>
        </is>
      </c>
      <c r="L208" s="3" t="inlineStr">
        <is>
          <t>OPERA: GIUNTO ANTIVIBRANTE DI GOMMA EPDM; GEOMETRIA: ATTACCHI FLANGIATI; FUNZIONE: SMORZAMENTO VIBRAZIONI; IMPIEGO: TUBAZIONE; DIAMETRO NOMINALE (Ø) [MM] = 40;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40;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40; PRESSIONE NOMINALE [BAR] ≤ 10 
SPECIFICHE TECNICHE: CORPO DI GOMMA EPDM; ANIMA DI LEGA FERROSA ACCIAIO GENERICO; BULLONI DI LEGA FERROSA ACCIAIO GENERICO 
LV POSA.</t>
        </is>
      </c>
      <c r="M208" s="4" t="inlineStr">
        <is>
          <t>CAD</t>
        </is>
      </c>
      <c r="N208" s="5" t="n">
        <v>2</v>
      </c>
      <c r="O208" s="45" t="n">
        <v>73.37</v>
      </c>
      <c r="P208" s="45" t="n">
        <v>146.74</v>
      </c>
      <c r="Q208" s="5" t="n"/>
      <c r="R208" s="6" t="n"/>
      <c r="S208" s="6">
        <f>IF(AND(Q208&lt;&gt;"",R208&lt;&gt;""),Q208*R208,"")</f>
        <v/>
      </c>
      <c r="T208" s="45">
        <f>IF(S208="",P208,S208)</f>
        <v/>
      </c>
      <c r="U208" s="7" t="n">
        <v>0</v>
      </c>
      <c r="V208" s="6">
        <f>$T208*U208</f>
        <v/>
      </c>
      <c r="W208" s="7" t="n">
        <v>0</v>
      </c>
      <c r="X208" s="6">
        <f>$T208*W208</f>
        <v/>
      </c>
      <c r="Y208" s="7" t="n">
        <v>0</v>
      </c>
      <c r="Z208" s="6">
        <f>$T208*Y208</f>
        <v/>
      </c>
      <c r="AA208" s="7" t="n">
        <v>0</v>
      </c>
      <c r="AB208" s="6">
        <f>$T208*AA208</f>
        <v/>
      </c>
      <c r="AC208" s="7" t="n">
        <v>0</v>
      </c>
      <c r="AD208" s="6">
        <f>$T208*AC208</f>
        <v/>
      </c>
      <c r="AE208" s="7" t="n">
        <v>0</v>
      </c>
      <c r="AF208" s="6">
        <f>$T208*AE208</f>
        <v/>
      </c>
      <c r="AG208" s="7" t="n">
        <v>0</v>
      </c>
      <c r="AH208" s="6">
        <f>$T208*AG208</f>
        <v/>
      </c>
      <c r="AI208" s="7">
        <f>U208+W208+Y208+AA208+AC208+AE208+AG208</f>
        <v/>
      </c>
      <c r="AJ208" s="6">
        <f>V208+X208+Z208+AB208+AD208+AF208+AH208</f>
        <v/>
      </c>
    </row>
    <row r="209" hidden="1" ht="60" customHeight="1" s="46">
      <c r="A209" s="3" t="inlineStr">
        <is>
          <t>LOM251.OC.EEA.PA01.I9766.SB030.0020</t>
        </is>
      </c>
      <c r="B209" s="4" t="inlineStr">
        <is>
          <t>1/2</t>
        </is>
      </c>
      <c r="C209" s="3" t="inlineStr">
        <is>
          <t>IMPIANTO MECCANICO</t>
        </is>
      </c>
      <c r="D209" s="4" t="inlineStr">
        <is>
          <t>NON SPECIALE</t>
        </is>
      </c>
      <c r="E209" s="4" t="inlineStr">
        <is>
          <t>MECCANICHE</t>
        </is>
      </c>
      <c r="F209" s="3" t="inlineStr">
        <is>
          <t>2_CME_TOTALE MECCANICI RADIOFARMACIA PAVIA.PDF</t>
        </is>
      </c>
      <c r="G209" s="4" t="inlineStr">
        <is>
          <t>186/186</t>
        </is>
      </c>
      <c r="H209" s="3" t="inlineStr">
        <is>
          <t>40 - IMPIANTISTICO</t>
        </is>
      </c>
      <c r="I209" s="3" t="inlineStr">
        <is>
          <t>CENTRALE</t>
        </is>
      </c>
      <c r="J209" s="3" t="inlineStr">
        <is>
          <t>IMPIANTO HVAC</t>
        </is>
      </c>
      <c r="K209" s="3" t="inlineStr">
        <is>
          <t>OPERA: FILTRO, RACCOGLITORE DI IMPURITÀ DI LEGA FERROSA GHISA GENERICO; FUNZIONE: RACCOLTA IMPURITÀ; IMPIEGO: RETE IDRICA; DIAMETRO NOMINALE (Ø) [MM] = 40; PRESSIONE NOMINALE [BAR] ≤ 16. INCLUSO: CORP</t>
        </is>
      </c>
      <c r="L209" s="3" t="inlineStr">
        <is>
          <t>OPERA: FILTRO, RACCOGLITORE DI IMPURITÀ DI LEGA FERROSA GHISA GENERICO; FUNZIONE: RACCOLTA IMPURITÀ; IMPIEGO: RETE IDRICA; DIAMETRO NOMINALE (Ø) [MM] = 40;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40;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40;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209" s="4" t="inlineStr">
        <is>
          <t>CAD</t>
        </is>
      </c>
      <c r="N209" s="5" t="n">
        <v>1</v>
      </c>
      <c r="O209" s="45" t="n">
        <v>84.13</v>
      </c>
      <c r="P209" s="45" t="n">
        <v>84.13</v>
      </c>
      <c r="Q209" s="5" t="n"/>
      <c r="R209" s="6" t="n"/>
      <c r="S209" s="6">
        <f>IF(AND(Q209&lt;&gt;"",R209&lt;&gt;""),Q209*R209,"")</f>
        <v/>
      </c>
      <c r="T209" s="45">
        <f>IF(S209="",P209,S209)</f>
        <v/>
      </c>
      <c r="U209" s="7" t="n">
        <v>0</v>
      </c>
      <c r="V209" s="6">
        <f>$T209*U209</f>
        <v/>
      </c>
      <c r="W209" s="7" t="n">
        <v>0</v>
      </c>
      <c r="X209" s="6">
        <f>$T209*W209</f>
        <v/>
      </c>
      <c r="Y209" s="7" t="n">
        <v>0</v>
      </c>
      <c r="Z209" s="6">
        <f>$T209*Y209</f>
        <v/>
      </c>
      <c r="AA209" s="7" t="n">
        <v>0</v>
      </c>
      <c r="AB209" s="6">
        <f>$T209*AA209</f>
        <v/>
      </c>
      <c r="AC209" s="7" t="n">
        <v>0</v>
      </c>
      <c r="AD209" s="6">
        <f>$T209*AC209</f>
        <v/>
      </c>
      <c r="AE209" s="7" t="n">
        <v>0</v>
      </c>
      <c r="AF209" s="6">
        <f>$T209*AE209</f>
        <v/>
      </c>
      <c r="AG209" s="7" t="n">
        <v>0</v>
      </c>
      <c r="AH209" s="6">
        <f>$T209*AG209</f>
        <v/>
      </c>
      <c r="AI209" s="7">
        <f>U209+W209+Y209+AA209+AC209+AE209+AG209</f>
        <v/>
      </c>
      <c r="AJ209" s="6">
        <f>V209+X209+Z209+AB209+AD209+AF209+AH209</f>
        <v/>
      </c>
    </row>
    <row r="210" hidden="1" ht="60" customHeight="1" s="46">
      <c r="A210" s="3" t="inlineStr">
        <is>
          <t>LOM251.OC.EEA.PA01.I9766.SB030.0015</t>
        </is>
      </c>
      <c r="B210" s="4" t="inlineStr">
        <is>
          <t>1/1</t>
        </is>
      </c>
      <c r="C210" s="3" t="inlineStr">
        <is>
          <t>IMPIANTO MECCANICO</t>
        </is>
      </c>
      <c r="D210" s="4" t="inlineStr">
        <is>
          <t>NON SPECIALE</t>
        </is>
      </c>
      <c r="E210" s="4" t="inlineStr">
        <is>
          <t>MECCANICHE</t>
        </is>
      </c>
      <c r="F210" s="3" t="inlineStr">
        <is>
          <t>2_CME_TOTALE MECCANICI RADIOFARMACIA PAVIA.PDF</t>
        </is>
      </c>
      <c r="G210" s="4" t="inlineStr">
        <is>
          <t>187/187</t>
        </is>
      </c>
      <c r="H210" s="3" t="inlineStr">
        <is>
          <t>40 - IMPIANTISTICO</t>
        </is>
      </c>
      <c r="I210" s="3" t="inlineStr">
        <is>
          <t>CENTRALE</t>
        </is>
      </c>
      <c r="J210" s="3" t="inlineStr">
        <is>
          <t>IMPIANTO HVAC</t>
        </is>
      </c>
      <c r="K210" s="3" t="inlineStr">
        <is>
          <t>OPERA: FILTRO, RACCOGLITORE DI IMPURITÀ DI LEGA FERROSA GHISA GENERICO; FUNZIONE: RACCOLTA IMPURITÀ; IMPIEGO: RETE IDRICA; DIAMETRO NOMINALE (Ø) [MM] = 32; PRESSIONE NOMINALE [BAR] ≤ 16. INCLUSO: CORP</t>
        </is>
      </c>
      <c r="L210" s="3" t="inlineStr">
        <is>
          <t>OPERA: FILTRO, RACCOGLITORE DI IMPURITÀ DI LEGA FERROSA GHISA GENERICO; FUNZIONE: RACCOLTA IMPURITÀ; IMPIEGO: RETE IDRICA; DIAMETRO NOMINALE (Ø) [MM] = 32;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32;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32;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210" s="4" t="inlineStr">
        <is>
          <t>CAD</t>
        </is>
      </c>
      <c r="N210" s="5" t="n">
        <v>1</v>
      </c>
      <c r="O210" s="45" t="n">
        <v>68.31</v>
      </c>
      <c r="P210" s="45" t="n">
        <v>68.31</v>
      </c>
      <c r="Q210" s="5" t="n"/>
      <c r="R210" s="6" t="n"/>
      <c r="S210" s="6">
        <f>IF(AND(Q210&lt;&gt;"",R210&lt;&gt;""),Q210*R210,"")</f>
        <v/>
      </c>
      <c r="T210" s="45">
        <f>IF(S210="",P210,S210)</f>
        <v/>
      </c>
      <c r="U210" s="7" t="n">
        <v>0</v>
      </c>
      <c r="V210" s="6">
        <f>$T210*U210</f>
        <v/>
      </c>
      <c r="W210" s="7" t="n">
        <v>0</v>
      </c>
      <c r="X210" s="6">
        <f>$T210*W210</f>
        <v/>
      </c>
      <c r="Y210" s="7" t="n">
        <v>0</v>
      </c>
      <c r="Z210" s="6">
        <f>$T210*Y210</f>
        <v/>
      </c>
      <c r="AA210" s="7" t="n">
        <v>0</v>
      </c>
      <c r="AB210" s="6">
        <f>$T210*AA210</f>
        <v/>
      </c>
      <c r="AC210" s="7" t="n">
        <v>0</v>
      </c>
      <c r="AD210" s="6">
        <f>$T210*AC210</f>
        <v/>
      </c>
      <c r="AE210" s="7" t="n">
        <v>0</v>
      </c>
      <c r="AF210" s="6">
        <f>$T210*AE210</f>
        <v/>
      </c>
      <c r="AG210" s="7" t="n">
        <v>0</v>
      </c>
      <c r="AH210" s="6">
        <f>$T210*AG210</f>
        <v/>
      </c>
      <c r="AI210" s="7">
        <f>U210+W210+Y210+AA210+AC210+AE210+AG210</f>
        <v/>
      </c>
      <c r="AJ210" s="6">
        <f>V210+X210+Z210+AB210+AD210+AF210+AH210</f>
        <v/>
      </c>
    </row>
    <row r="211" hidden="1" ht="60" customHeight="1" s="46">
      <c r="A211" s="3" t="inlineStr">
        <is>
          <t>LOM251.OC.EEA.PA01.F9740.ZA001.0250</t>
        </is>
      </c>
      <c r="B211" s="4" t="inlineStr">
        <is>
          <t>1/2</t>
        </is>
      </c>
      <c r="C211" s="3" t="inlineStr">
        <is>
          <t>IMPIANTO MECCANICO</t>
        </is>
      </c>
      <c r="D211" s="4" t="inlineStr">
        <is>
          <t>NON SPECIALE</t>
        </is>
      </c>
      <c r="E211" s="4" t="inlineStr">
        <is>
          <t>MECCANICHE</t>
        </is>
      </c>
      <c r="F211" s="3" t="inlineStr">
        <is>
          <t>2_CME_TOTALE MECCANICI RADIOFARMACIA PAVIA.PDF</t>
        </is>
      </c>
      <c r="G211" s="4" t="inlineStr">
        <is>
          <t>188/188</t>
        </is>
      </c>
      <c r="H211" s="3" t="inlineStr">
        <is>
          <t>40 - IMPIANTISTICO</t>
        </is>
      </c>
      <c r="I211" s="3" t="inlineStr">
        <is>
          <t>CENTRALE</t>
        </is>
      </c>
      <c r="J211" s="3" t="inlineStr">
        <is>
          <t>IMPIANTO HVAC</t>
        </is>
      </c>
      <c r="K211" s="3" t="inlineStr">
        <is>
          <t xml:space="preserve">OPERA: TERMOMETRO, A COLONNA; GEOMETRIA: DRITTO; FUNZIONE: MISURAZIONE TEMPERATURA; IMPIEGO: TUBAZIONE. INCLUSO: CUSTODIA; POZZETTO. </t>
        </is>
      </c>
      <c r="L211" s="3" t="inlineStr">
        <is>
          <t>OPERA: TERMOMETRO, A COLONNA; GEOMETRIA: DRITTO; FUNZIONE: MISURAZIONE TEMPERATURA; IMPIEGO: TUBAZIONE. INCLUSO: CUSTODIA; POZZETTO. 
LAVORO: INSTALLAZIONE. OP TERMOMETRO, A COLONNA; GEOMETRIA: DRITTO; FUNZIONE: MISURAZIONE TEMPERATURA; IMPIEGO: TUBAZIONE. INCLUSO: CUSTODIA; POZZETTO. 
RM TERMOMETRO A COLONNA; GEOMETRIA: DRITTO; FUNZIONE: MISURAZIONE TEMPERATURA; IMPIEGO: TUBAZIONE. INCLUSO: CUSTODIA; POZZETTO 
LV INSTALLAZIONE.</t>
        </is>
      </c>
      <c r="M211" s="4" t="inlineStr">
        <is>
          <t>CAD</t>
        </is>
      </c>
      <c r="N211" s="5" t="n">
        <v>2</v>
      </c>
      <c r="O211" s="45" t="n">
        <v>18.35</v>
      </c>
      <c r="P211" s="45" t="n">
        <v>36.7</v>
      </c>
      <c r="Q211" s="5" t="n"/>
      <c r="R211" s="6" t="n"/>
      <c r="S211" s="6">
        <f>IF(AND(Q211&lt;&gt;"",R211&lt;&gt;""),Q211*R211,"")</f>
        <v/>
      </c>
      <c r="T211" s="45">
        <f>IF(S211="",P211,S211)</f>
        <v/>
      </c>
      <c r="U211" s="7" t="n">
        <v>0</v>
      </c>
      <c r="V211" s="6">
        <f>$T211*U211</f>
        <v/>
      </c>
      <c r="W211" s="7" t="n">
        <v>0</v>
      </c>
      <c r="X211" s="6">
        <f>$T211*W211</f>
        <v/>
      </c>
      <c r="Y211" s="7" t="n">
        <v>0</v>
      </c>
      <c r="Z211" s="6">
        <f>$T211*Y211</f>
        <v/>
      </c>
      <c r="AA211" s="7" t="n">
        <v>0</v>
      </c>
      <c r="AB211" s="6">
        <f>$T211*AA211</f>
        <v/>
      </c>
      <c r="AC211" s="7" t="n">
        <v>0</v>
      </c>
      <c r="AD211" s="6">
        <f>$T211*AC211</f>
        <v/>
      </c>
      <c r="AE211" s="7" t="n">
        <v>0</v>
      </c>
      <c r="AF211" s="6">
        <f>$T211*AE211</f>
        <v/>
      </c>
      <c r="AG211" s="7" t="n">
        <v>0</v>
      </c>
      <c r="AH211" s="6">
        <f>$T211*AG211</f>
        <v/>
      </c>
      <c r="AI211" s="7">
        <f>U211+W211+Y211+AA211+AC211+AE211+AG211</f>
        <v/>
      </c>
      <c r="AJ211" s="6">
        <f>V211+X211+Z211+AB211+AD211+AF211+AH211</f>
        <v/>
      </c>
    </row>
    <row r="212" hidden="1" ht="60" customHeight="1" s="46">
      <c r="A212" s="3" t="inlineStr">
        <is>
          <t>LOM251.OC.EEA.PA01.F9742.ZA001.0005</t>
        </is>
      </c>
      <c r="B212" s="4" t="inlineStr">
        <is>
          <t>1/2</t>
        </is>
      </c>
      <c r="C212" s="3" t="inlineStr">
        <is>
          <t>IMPIANTO MECCANICO</t>
        </is>
      </c>
      <c r="D212" s="4" t="inlineStr">
        <is>
          <t>NON SPECIALE</t>
        </is>
      </c>
      <c r="E212" s="4" t="inlineStr">
        <is>
          <t>MECCANICHE</t>
        </is>
      </c>
      <c r="F212" s="3" t="inlineStr">
        <is>
          <t>2_CME_TOTALE MECCANICI RADIOFARMACIA PAVIA.PDF</t>
        </is>
      </c>
      <c r="G212" s="4" t="inlineStr">
        <is>
          <t>189/189</t>
        </is>
      </c>
      <c r="H212" s="3" t="inlineStr">
        <is>
          <t>40 - IMPIANTISTICO</t>
        </is>
      </c>
      <c r="I212" s="3" t="inlineStr">
        <is>
          <t>CENTRALE</t>
        </is>
      </c>
      <c r="J212" s="3" t="inlineStr">
        <is>
          <t>IMPIANTO HVAC</t>
        </is>
      </c>
      <c r="K212" s="3" t="inlineStr">
        <is>
          <t xml:space="preserve">OPERA: MANOMETRO, PER ACQUA; GEOMETRIA: QUADRANTE AD ATTACCO CENTRALE; FUNZIONE: MISURAZIONE PRESSIONE; IMPIEGO: CENTRALE IDRICA; DIAMETRO QUADRANTE (Ø) [MM] = 80. INCLUSO: INDICE DI RIFERIMENTO. </t>
        </is>
      </c>
      <c r="L212" s="3" t="inlineStr">
        <is>
          <t>OPERA: MANOMETRO, PER ACQUA; GEOMETRIA: QUADRANTE AD ATTACCO CENTRALE; FUNZIONE: MISURAZIONE PRESSIONE; IMPIEGO: CENTRALE IDRICA; DIAMETRO QUADRANTE (Ø) [MM] = 80. INCLUSO: INDICE DI RIFERIMENTO. 
LAVORO: INSTALLAZIONE. OP MANOMETRO, PER ACQUA; GEOMETRIA: QUADRANTE AD ATTACCO CENTRALE; FUNZIONE: MISURAZIONE PRESSIONE; IMPIEGO: CENTRALE IDRICA; DIAMETRO QUADRANTE (Ø) [MM] = 80. INCLUSO: INDICE DI RIFERIMENTO. 
RM MANOMETRO PER ACQUA; GEOMETRIA: QUADRANTE AD ATTACCO CENTRALE; FUNZIONE: MISURAZIONE PRESSIONE; IMPIEGO: CENTRALE IDRICA; DIAMETRO QUADRANTE (Ø) [MM] = 80. INCLUSO: INDICE DI RIFERIMENTO 
LV INSTALLAZIONE.</t>
        </is>
      </c>
      <c r="M212" s="4" t="inlineStr">
        <is>
          <t>CAD</t>
        </is>
      </c>
      <c r="N212" s="5" t="n">
        <v>2</v>
      </c>
      <c r="O212" s="45" t="n">
        <v>49.02</v>
      </c>
      <c r="P212" s="45" t="n">
        <v>98.04000000000001</v>
      </c>
      <c r="Q212" s="5" t="n"/>
      <c r="R212" s="6" t="n"/>
      <c r="S212" s="6">
        <f>IF(AND(Q212&lt;&gt;"",R212&lt;&gt;""),Q212*R212,"")</f>
        <v/>
      </c>
      <c r="T212" s="45">
        <f>IF(S212="",P212,S212)</f>
        <v/>
      </c>
      <c r="U212" s="7" t="n">
        <v>0</v>
      </c>
      <c r="V212" s="6">
        <f>$T212*U212</f>
        <v/>
      </c>
      <c r="W212" s="7" t="n">
        <v>0</v>
      </c>
      <c r="X212" s="6">
        <f>$T212*W212</f>
        <v/>
      </c>
      <c r="Y212" s="7" t="n">
        <v>0</v>
      </c>
      <c r="Z212" s="6">
        <f>$T212*Y212</f>
        <v/>
      </c>
      <c r="AA212" s="7" t="n">
        <v>0</v>
      </c>
      <c r="AB212" s="6">
        <f>$T212*AA212</f>
        <v/>
      </c>
      <c r="AC212" s="7" t="n">
        <v>0</v>
      </c>
      <c r="AD212" s="6">
        <f>$T212*AC212</f>
        <v/>
      </c>
      <c r="AE212" s="7" t="n">
        <v>0</v>
      </c>
      <c r="AF212" s="6">
        <f>$T212*AE212</f>
        <v/>
      </c>
      <c r="AG212" s="7" t="n">
        <v>0</v>
      </c>
      <c r="AH212" s="6">
        <f>$T212*AG212</f>
        <v/>
      </c>
      <c r="AI212" s="7">
        <f>U212+W212+Y212+AA212+AC212+AE212+AG212</f>
        <v/>
      </c>
      <c r="AJ212" s="6">
        <f>V212+X212+Z212+AB212+AD212+AF212+AH212</f>
        <v/>
      </c>
    </row>
    <row r="213" hidden="1" ht="60" customHeight="1" s="46">
      <c r="A213" s="3" t="inlineStr">
        <is>
          <t>LOM251.OC.EEA.PA02.F9730.ZA000.0755</t>
        </is>
      </c>
      <c r="B213" s="4" t="inlineStr">
        <is>
          <t>1/2</t>
        </is>
      </c>
      <c r="C213" s="3" t="inlineStr">
        <is>
          <t>IMPIANTO MECCANICO</t>
        </is>
      </c>
      <c r="D213" s="4" t="inlineStr">
        <is>
          <t>NON SPECIALE</t>
        </is>
      </c>
      <c r="E213" s="4" t="inlineStr">
        <is>
          <t>MECCANICHE</t>
        </is>
      </c>
      <c r="F213" s="3" t="inlineStr">
        <is>
          <t>2_CME_TOTALE MECCANICI RADIOFARMACIA PAVIA.PDF</t>
        </is>
      </c>
      <c r="G213" s="4" t="inlineStr">
        <is>
          <t>190/190</t>
        </is>
      </c>
      <c r="H213" s="3" t="inlineStr">
        <is>
          <t>40 - IMPIANTISTICO</t>
        </is>
      </c>
      <c r="I213" s="3" t="inlineStr">
        <is>
          <t>CENTRALE</t>
        </is>
      </c>
      <c r="J213" s="3" t="inlineStr">
        <is>
          <t>IMPIANTO HVAC</t>
        </is>
      </c>
      <c r="K213" s="3" t="inlineStr">
        <is>
          <t>OPERA: VALVOLA, AUTOMATICA DI MATERIALE GENERICO; GEOMETRIA: ATTACCHI A SQUADRA | ATTACCHI A SQUADRA | SFOGO ARIA; DIAMETRO NOMINALE (Ø) [MM] = 20; PRESSIONE MASSIMA DI ESERCIZIO [BAR] = 10 | TEMPERAT</t>
        </is>
      </c>
      <c r="L213" s="3" t="inlineStr">
        <is>
          <t>OPERA: VALVOLA, AUTOMATICA DI MATERIALE GENERICO; GEOMETRIA: ATTACCHI A SQUADRA | ATTACCHI A SQUADRA | SFOGO ARIA; DIAMETRO NOMINALE (Ø) [MM] = 20; PRESSIONE MASSIMA DI ESERCIZIO [BAR] = 10 | TEMPERATURA DI ESERCIZIO [°C] = 110. 
LAVORO: POSA. OP VALVOLA, AUTOMATICA DI MATERIALE GENERICO; GEOMETRIA: ATTACCHI A SQUADRA | ATTACCHI A SQUADRA | SFOGO ARIA; DIAMETRO NOMINALE (Ø) [MM] = 20; PRESSIONE MASSIMA DI ESERCIZIO [BAR] = 10 | TEMPERATURA DI ESERCIZIO [°C] = 110. 
RM VALVOLA AUTOMATICA DI MATERIALE GENERICO; GEOMETRIA: ATTACCHI A SQUADRA | ATTACCHI A SQUADRA | SFOGO ARIA; DIAMETRO NOMINALE (Ø) [MM] = 20; PRESSIONE MASSIMA DI ESERCIZIO [BAR] = 10 | TEMPERATURA DI ESERCIZIO [°C] = 110 
LV POSA.</t>
        </is>
      </c>
      <c r="M213" s="4" t="inlineStr">
        <is>
          <t>CAD</t>
        </is>
      </c>
      <c r="N213" s="5" t="n">
        <v>2</v>
      </c>
      <c r="O213" s="45" t="n">
        <v>36.31</v>
      </c>
      <c r="P213" s="45" t="n">
        <v>72.62</v>
      </c>
      <c r="Q213" s="5" t="n"/>
      <c r="R213" s="6" t="n"/>
      <c r="S213" s="6">
        <f>IF(AND(Q213&lt;&gt;"",R213&lt;&gt;""),Q213*R213,"")</f>
        <v/>
      </c>
      <c r="T213" s="45">
        <f>IF(S213="",P213,S213)</f>
        <v/>
      </c>
      <c r="U213" s="7" t="n">
        <v>0</v>
      </c>
      <c r="V213" s="6">
        <f>$T213*U213</f>
        <v/>
      </c>
      <c r="W213" s="7" t="n">
        <v>0</v>
      </c>
      <c r="X213" s="6">
        <f>$T213*W213</f>
        <v/>
      </c>
      <c r="Y213" s="7" t="n">
        <v>0</v>
      </c>
      <c r="Z213" s="6">
        <f>$T213*Y213</f>
        <v/>
      </c>
      <c r="AA213" s="7" t="n">
        <v>0</v>
      </c>
      <c r="AB213" s="6">
        <f>$T213*AA213</f>
        <v/>
      </c>
      <c r="AC213" s="7" t="n">
        <v>0</v>
      </c>
      <c r="AD213" s="6">
        <f>$T213*AC213</f>
        <v/>
      </c>
      <c r="AE213" s="7" t="n">
        <v>0</v>
      </c>
      <c r="AF213" s="6">
        <f>$T213*AE213</f>
        <v/>
      </c>
      <c r="AG213" s="7" t="n">
        <v>0</v>
      </c>
      <c r="AH213" s="6">
        <f>$T213*AG213</f>
        <v/>
      </c>
      <c r="AI213" s="7">
        <f>U213+W213+Y213+AA213+AC213+AE213+AG213</f>
        <v/>
      </c>
      <c r="AJ213" s="6">
        <f>V213+X213+Z213+AB213+AD213+AF213+AH213</f>
        <v/>
      </c>
    </row>
    <row r="214" hidden="1" ht="60" customHeight="1" s="46">
      <c r="A214" s="3" t="inlineStr">
        <is>
          <t>LOM251.OC.EEA.PA01.I0005.ZA001.0000</t>
        </is>
      </c>
      <c r="B214" s="4" t="inlineStr">
        <is>
          <t>1/2</t>
        </is>
      </c>
      <c r="C214" s="3" t="inlineStr">
        <is>
          <t>IMPIANTO MECCANICO</t>
        </is>
      </c>
      <c r="D214" s="4" t="inlineStr">
        <is>
          <t>NON SPECIALE</t>
        </is>
      </c>
      <c r="E214" s="4" t="inlineStr">
        <is>
          <t>MECCANICHE</t>
        </is>
      </c>
      <c r="F214" s="3" t="inlineStr">
        <is>
          <t>2_CME_TOTALE MECCANICI RADIOFARMACIA PAVIA.PDF</t>
        </is>
      </c>
      <c r="G214" s="4" t="inlineStr">
        <is>
          <t>191/191</t>
        </is>
      </c>
      <c r="H214" s="3" t="inlineStr">
        <is>
          <t>40 - IMPIANTISTICO</t>
        </is>
      </c>
      <c r="I214" s="3" t="inlineStr">
        <is>
          <t>CENTRALE</t>
        </is>
      </c>
      <c r="J214" s="3" t="inlineStr">
        <is>
          <t>IMPIANTO HVAC</t>
        </is>
      </c>
      <c r="K214" s="3" t="inlineStr">
        <is>
          <t xml:space="preserve">OPERA: GRUPPO DI RIEMPIMENTO; FUNZIONE: STABILIZZAZIONE DELLA PRESSIONE; IMPIEGO: IMPIANTO DI RISCALDAMENTO A CIRCUITO CHIUSO; DIAMETRO NOMINALE (Ø) [MM] = 15; PRESSIONE MASSIMA IN ENTRATA [BAR] = 16 </t>
        </is>
      </c>
      <c r="L214" s="3" t="inlineStr">
        <is>
          <t>OPERA: GRUPPO DI RIEMPIMENTO; FUNZIONE: STABILIZZAZIONE DELLA PRESSIONE; IMPIEGO: IMPIANTO DI RISCALDAMENTO A CIRCUITO CHIUSO; DIAMETRO NOMINALE (Ø) [MM] = 15; PRESSIONE MASSIMA IN ENTRATA [BAR] = 16 | CAMPO DI REGOLAZIONE [BAR] = 0,3 ÷ 0,4 | ERRORE VALORE MAX. INCLUSO: RUBINETTO; FILTRO; VALVOLA DI NON RITORNO; MANOMETRO. 
LAVORO: INSTALLAZIONE. OP GRUPPO DI RIEMPIMENTO; FUNZIONE: STABILIZZAZIONE DELLA PRESSIONE; IMPIEGO: IMPIANTO DI RISCALDAMENTO A CIRCUITO CHIUSO; DIAMETRO NOMINALE (Ø) [MM] = 15; PRESSIONE MASSIMA IN ENTRATA [BAR] = 16 | CAMPO DI REGOLAZIONE [BAR] = 0,3 ÷ 0,4 | ERRORE VALORE MAX. INCLUSO: RUBINETTO; FILTRO; VALVOLA DI NON RITORNO; MANOMETRO. 
RM GRUPPO DI RIEMPIMENTO; FUNZIONE: STABILIZZAZIONE DELLA PRESSIONE; IMPIEGO: IMPIANTO DI RISCALDAMENTO A CIRCUITO CHIUSO; DIAMETRO NOMINALE (Ø) [MM] = 15; PRESSIONE MASSIMA IN ENTRATA [BAR] = 16 | CAMPO DI REGOLAZIONE [BAR] = 0,3 ÷ 0,4 | TEMPERATURA MASSIMA DI ESERCIZIO [°C] = 70. INCLUSO: RUBINETTO; FILTRO; VALVOLA DI NON RITORNO; MANOMETRO 
LV INSTALLAZIONE.</t>
        </is>
      </c>
      <c r="M214" s="4" t="inlineStr">
        <is>
          <t>CAD</t>
        </is>
      </c>
      <c r="N214" s="5" t="n">
        <v>0.2</v>
      </c>
      <c r="O214" s="45" t="n">
        <v>121.44</v>
      </c>
      <c r="P214" s="45" t="n">
        <v>24.29</v>
      </c>
      <c r="Q214" s="5" t="n"/>
      <c r="R214" s="6" t="n"/>
      <c r="S214" s="6">
        <f>IF(AND(Q214&lt;&gt;"",R214&lt;&gt;""),Q214*R214,"")</f>
        <v/>
      </c>
      <c r="T214" s="45">
        <f>IF(S214="",P214,S214)</f>
        <v/>
      </c>
      <c r="U214" s="7" t="n">
        <v>0</v>
      </c>
      <c r="V214" s="6">
        <f>$T214*U214</f>
        <v/>
      </c>
      <c r="W214" s="7" t="n">
        <v>0</v>
      </c>
      <c r="X214" s="6">
        <f>$T214*W214</f>
        <v/>
      </c>
      <c r="Y214" s="7" t="n">
        <v>0</v>
      </c>
      <c r="Z214" s="6">
        <f>$T214*Y214</f>
        <v/>
      </c>
      <c r="AA214" s="7" t="n">
        <v>0</v>
      </c>
      <c r="AB214" s="6">
        <f>$T214*AA214</f>
        <v/>
      </c>
      <c r="AC214" s="7" t="n">
        <v>0</v>
      </c>
      <c r="AD214" s="6">
        <f>$T214*AC214</f>
        <v/>
      </c>
      <c r="AE214" s="7" t="n">
        <v>0</v>
      </c>
      <c r="AF214" s="6">
        <f>$T214*AE214</f>
        <v/>
      </c>
      <c r="AG214" s="7" t="n">
        <v>0</v>
      </c>
      <c r="AH214" s="6">
        <f>$T214*AG214</f>
        <v/>
      </c>
      <c r="AI214" s="7">
        <f>U214+W214+Y214+AA214+AC214+AE214+AG214</f>
        <v/>
      </c>
      <c r="AJ214" s="6">
        <f>V214+X214+Z214+AB214+AD214+AF214+AH214</f>
        <v/>
      </c>
    </row>
    <row r="215" hidden="1" ht="60" customHeight="1" s="46">
      <c r="A215" s="3" t="inlineStr">
        <is>
          <t>LOM251.OC.EEA.PA01.F9736.ZA001.0005</t>
        </is>
      </c>
      <c r="B215" s="4" t="inlineStr">
        <is>
          <t>1/2</t>
        </is>
      </c>
      <c r="C215" s="3" t="inlineStr">
        <is>
          <t>IMPIANTO MECCANICO</t>
        </is>
      </c>
      <c r="D215" s="4" t="inlineStr">
        <is>
          <t>NON SPECIALE</t>
        </is>
      </c>
      <c r="E215" s="4" t="inlineStr">
        <is>
          <t>MECCANICHE</t>
        </is>
      </c>
      <c r="F215" s="3" t="inlineStr">
        <is>
          <t>2_CME_TOTALE MECCANICI RADIOFARMACIA PAVIA.PDF</t>
        </is>
      </c>
      <c r="G215" s="4" t="inlineStr">
        <is>
          <t>192/192</t>
        </is>
      </c>
      <c r="H215" s="3" t="inlineStr">
        <is>
          <t>40 - IMPIANTISTICO</t>
        </is>
      </c>
      <c r="I215" s="3" t="inlineStr">
        <is>
          <t>CENTRALE</t>
        </is>
      </c>
      <c r="J215" s="3" t="inlineStr">
        <is>
          <t>IMPIANTO HVAC</t>
        </is>
      </c>
      <c r="K215" s="3" t="inlineStr">
        <is>
          <t xml:space="preserve">OPERA: ADDOLCITORE D'ACQUA, RIGENERAZIONE A TEMPO; GEOMETRIA: 1 COLONNA; FUNZIONE: TRATTAMENTO ACQUA; PORTATA MASSIMA [M³/H] = 3,5 | CAPACITÀ DI SCAMBIO MINIMA [M³*°F] = 350. INCLUSO: DISPOSITIVO PER </t>
        </is>
      </c>
      <c r="L215" s="3" t="inlineStr">
        <is>
          <t>OPERA: ADDOLCITORE D'ACQUA, RIGENERAZIONE A TEMPO; GEOMETRIA: 1 COLONNA; FUNZIONE: TRATTAMENTO ACQUA; PORTATA MASSIMA [M³/H] = 3,5 | CAPACITÀ DI SCAMBIO MINIMA [M³*°F] = 350. INCLUSO: DISPOSITIVO PER RIGENERAZIONE AUTOMATICA A TEMPO; SERBATOIO SALAMOIA CON ACCESSORI, RESINE E SALE PER PRIMA RIGENERAZIONE. 
LAVORO: INSTALLAZIONE. 
SPECIFICHE TECNICHE: A SCAMBIO DI IONI; COSTRUITO IN MATERIALI RESISTENTI ALLA CORROSIONE E ADATTI PER USO ALIMENTARE. OP ADDOLCITORE D'ACQUA, RIGENERAZIONE A TEMPO; GEOMETRIA: 1 COLONNA; FUNZIONE: TRATTAMENTO ACQUA; PORTATA MASSIMA [M³/H] = 3,5 | CAPACITÀ DI SCAMBIO MINIMA [M³*°F] = 350. INCLUSO: DISPOSITIVO PER RIGENERAZIONE AUTOMATICA A TEMPO; SERBATOIO SALAMOIA CON ACCESSORI, RESINE E SALE PER PRIMA RIGENERAZIONE. 
SPECIFICHE TECNICHE: A SCAMBIO DI IONI; COSTRUITO IN MATERIALI RESISTENTI ALLA CORROSIONE E ADATTI PER USO ALIMENTARE. 
RM ADDOLCITORE D'ACQUA RIGENERAZIONE A TEMPO; GEOMETRIA: 1 COLONNA; FUNZIONE: TRATTAMENTO ACQUA; IMPIEGO: CENTRALE IDRICA; PORTATA MASSIMA [M³/H] = 3,5 | CAPACITÀ DI SCAMBIO MINIMA [M³*°F] = 350. INCLUSO: DISPOSITIVO PER RIGENERAZIONE AUTOMATICA A TEMPO; SERBATOIO SALAMOIA CON ACCESSORI, RESINE E SALE PER PRIMA RIGENERAZIONE 
SPECIFICHE TECNICHE: A SCAMBIO DI IONI; COSTRUITO IN MATERIALI RESISTENTI ALLA CORROSIONE E ADATTI PER USO ALIMENTARE 
LV INSTALLAZIONE.</t>
        </is>
      </c>
      <c r="M215" s="4" t="inlineStr">
        <is>
          <t>CAD</t>
        </is>
      </c>
      <c r="N215" s="5" t="n">
        <v>0.2</v>
      </c>
      <c r="O215" s="45" t="n">
        <v>6856.3</v>
      </c>
      <c r="P215" s="45" t="n">
        <v>1371.26</v>
      </c>
      <c r="Q215" s="5" t="n"/>
      <c r="R215" s="6" t="n"/>
      <c r="S215" s="6">
        <f>IF(AND(Q215&lt;&gt;"",R215&lt;&gt;""),Q215*R215,"")</f>
        <v/>
      </c>
      <c r="T215" s="45">
        <f>IF(S215="",P215,S215)</f>
        <v/>
      </c>
      <c r="U215" s="7" t="n">
        <v>0</v>
      </c>
      <c r="V215" s="6">
        <f>$T215*U215</f>
        <v/>
      </c>
      <c r="W215" s="7" t="n">
        <v>0</v>
      </c>
      <c r="X215" s="6">
        <f>$T215*W215</f>
        <v/>
      </c>
      <c r="Y215" s="7" t="n">
        <v>0</v>
      </c>
      <c r="Z215" s="6">
        <f>$T215*Y215</f>
        <v/>
      </c>
      <c r="AA215" s="7" t="n">
        <v>0</v>
      </c>
      <c r="AB215" s="6">
        <f>$T215*AA215</f>
        <v/>
      </c>
      <c r="AC215" s="7" t="n">
        <v>0</v>
      </c>
      <c r="AD215" s="6">
        <f>$T215*AC215</f>
        <v/>
      </c>
      <c r="AE215" s="7" t="n">
        <v>0</v>
      </c>
      <c r="AF215" s="6">
        <f>$T215*AE215</f>
        <v/>
      </c>
      <c r="AG215" s="7" t="n">
        <v>0</v>
      </c>
      <c r="AH215" s="6">
        <f>$T215*AG215</f>
        <v/>
      </c>
      <c r="AI215" s="7">
        <f>U215+W215+Y215+AA215+AC215+AE215+AG215</f>
        <v/>
      </c>
      <c r="AJ215" s="6">
        <f>V215+X215+Z215+AB215+AD215+AF215+AH215</f>
        <v/>
      </c>
    </row>
    <row r="216" hidden="1" ht="60" customHeight="1" s="46">
      <c r="A216" s="3" t="inlineStr">
        <is>
          <t>DEI_IT_025255B</t>
        </is>
      </c>
      <c r="B216" s="4" t="inlineStr">
        <is>
          <t>1/1</t>
        </is>
      </c>
      <c r="C216" s="3" t="inlineStr">
        <is>
          <t>IMPIANTO MECCANICO</t>
        </is>
      </c>
      <c r="D216" s="4" t="inlineStr">
        <is>
          <t>NON SPECIALE</t>
        </is>
      </c>
      <c r="E216" s="4" t="inlineStr">
        <is>
          <t>MECCANICHE</t>
        </is>
      </c>
      <c r="F216" s="3" t="inlineStr">
        <is>
          <t>2_CME_TOTALE MECCANICI RADIOFARMACIA PAVIA.PDF</t>
        </is>
      </c>
      <c r="G216" s="4" t="inlineStr">
        <is>
          <t>194/194</t>
        </is>
      </c>
      <c r="H216" s="3" t="inlineStr">
        <is>
          <t>40 - IMPIANTISTICO</t>
        </is>
      </c>
      <c r="I216" s="3" t="inlineStr">
        <is>
          <t>CENTRALE</t>
        </is>
      </c>
      <c r="J216" s="3" t="inlineStr">
        <is>
          <t>IMPIANTO IIS E FOGNA</t>
        </is>
      </c>
      <c r="K216" s="3" t="inlineStr">
        <is>
          <t>CIRCOLATORE AD ALTA EFFICIENZA (EEI &lt;0,2) REGOLATA ELETTRONICAMENTE A ROTORE BAGNATO CON ATTACCO A BOCCHETTONI, CORPO IN GHISA GRIGIA, ALIMENTAZIONE ELETTRICA MONOFASE, IDONEO PER IMPIANTI DI RISCALDA</t>
        </is>
      </c>
      <c r="L216" s="3" t="inlineStr">
        <is>
          <t>CIRCOLATORE AD ALTA EFFICIENZA (EEI &lt;0,2) REGOLATA ELETTRONICAMENTE A ROTORE BAGNATO CON ATTACCO A BOCCHETTONI, CORPO IN GHISA GRIGIA, ALIMENTAZIONE ELETTRICA MONOFASE, IDONEO PER IMPIANTI DI RISCALDAMENTO E CONDIZIONAMENTO (TEMPERATURA LIQUIDO -10 °C ÷ +110 °C) PRESSIONE DI ESERCIZIO 6 BAR, GRADO DI PROTEZIONE IP 44, CLASSE DI ISOLAMENTO F, COMPRESI ACCESSORI DI MONTAGGIO, ESCLUSO IL COLLEGAMENTO ELETTRICO: INTERASSE 130 MM, Ø ATTACCHI 1/2", PORTATA 0 ÷ 3,5 MC/H, PREVALENZA 1 ÷ 6 M</t>
        </is>
      </c>
      <c r="M216" s="4" t="inlineStr">
        <is>
          <t>CAD</t>
        </is>
      </c>
      <c r="N216" s="5" t="n">
        <v>1</v>
      </c>
      <c r="O216" s="45" t="n">
        <v>598.86</v>
      </c>
      <c r="P216" s="45" t="n">
        <v>598.86</v>
      </c>
      <c r="Q216" s="5" t="n"/>
      <c r="R216" s="6" t="n"/>
      <c r="S216" s="6">
        <f>IF(AND(Q216&lt;&gt;"",R216&lt;&gt;""),Q216*R216,"")</f>
        <v/>
      </c>
      <c r="T216" s="45">
        <f>IF(S216="",P216,S216)</f>
        <v/>
      </c>
      <c r="U216" s="7" t="n">
        <v>0</v>
      </c>
      <c r="V216" s="6">
        <f>$T216*U216</f>
        <v/>
      </c>
      <c r="W216" s="7" t="n">
        <v>0</v>
      </c>
      <c r="X216" s="6">
        <f>$T216*W216</f>
        <v/>
      </c>
      <c r="Y216" s="7" t="n">
        <v>0</v>
      </c>
      <c r="Z216" s="6">
        <f>$T216*Y216</f>
        <v/>
      </c>
      <c r="AA216" s="7" t="n">
        <v>0</v>
      </c>
      <c r="AB216" s="6">
        <f>$T216*AA216</f>
        <v/>
      </c>
      <c r="AC216" s="7" t="n">
        <v>0</v>
      </c>
      <c r="AD216" s="6">
        <f>$T216*AC216</f>
        <v/>
      </c>
      <c r="AE216" s="7" t="n">
        <v>0</v>
      </c>
      <c r="AF216" s="6">
        <f>$T216*AE216</f>
        <v/>
      </c>
      <c r="AG216" s="7" t="n">
        <v>0</v>
      </c>
      <c r="AH216" s="6">
        <f>$T216*AG216</f>
        <v/>
      </c>
      <c r="AI216" s="7">
        <f>U216+W216+Y216+AA216+AC216+AE216+AG216</f>
        <v/>
      </c>
      <c r="AJ216" s="6">
        <f>V216+X216+Z216+AB216+AD216+AF216+AH216</f>
        <v/>
      </c>
    </row>
    <row r="217" hidden="1" ht="60" customHeight="1" s="46">
      <c r="A217" s="3" t="inlineStr">
        <is>
          <t>DEI_IT_015002B</t>
        </is>
      </c>
      <c r="B217" s="4" t="inlineStr">
        <is>
          <t>2/5</t>
        </is>
      </c>
      <c r="C217" s="3" t="inlineStr">
        <is>
          <t>IMPIANTO MECCANICO</t>
        </is>
      </c>
      <c r="D217" s="4" t="inlineStr">
        <is>
          <t>NON SPECIALE</t>
        </is>
      </c>
      <c r="E217" s="4" t="inlineStr">
        <is>
          <t>MECCANICHE</t>
        </is>
      </c>
      <c r="F217" s="3" t="inlineStr">
        <is>
          <t>2_CME_TOTALE MECCANICI RADIOFARMACIA PAVIA.PDF</t>
        </is>
      </c>
      <c r="G217" s="4" t="inlineStr">
        <is>
          <t>195/195</t>
        </is>
      </c>
      <c r="H217" s="3" t="inlineStr">
        <is>
          <t>40 - IMPIANTISTICO</t>
        </is>
      </c>
      <c r="I217" s="3" t="inlineStr">
        <is>
          <t>CENTRALE</t>
        </is>
      </c>
      <c r="J217" s="3" t="inlineStr">
        <is>
          <t>IMPIANTO IIS E FOGNA</t>
        </is>
      </c>
      <c r="K217" s="3" t="inlineStr">
        <is>
          <t>TUBO IN ACCIAIO SENZA SALDATURA A NORMA UNI EN 10255, ZINCATO A CALDO A NORMA EN 10240-A1 ED AL DM MINISTERO DELLA SALUTE 6/4/2004 N. 174, FILETTATO E CON MANICOTTO, LAVORATO E POSTO IN OPERA (SINO AD</t>
        </is>
      </c>
      <c r="L217"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1/2", SPESSORE 2,6 MM</t>
        </is>
      </c>
      <c r="M217" s="4" t="inlineStr">
        <is>
          <t>M</t>
        </is>
      </c>
      <c r="N217" s="5" t="n">
        <v>36</v>
      </c>
      <c r="O217" s="45" t="n">
        <v>26.16</v>
      </c>
      <c r="P217" s="45" t="n">
        <v>941.76</v>
      </c>
      <c r="Q217" s="5" t="n"/>
      <c r="R217" s="6" t="n"/>
      <c r="S217" s="6">
        <f>IF(AND(Q217&lt;&gt;"",R217&lt;&gt;""),Q217*R217,"")</f>
        <v/>
      </c>
      <c r="T217" s="45">
        <f>IF(S217="",P217,S217)</f>
        <v/>
      </c>
      <c r="U217" s="7" t="n">
        <v>0</v>
      </c>
      <c r="V217" s="6">
        <f>$T217*U217</f>
        <v/>
      </c>
      <c r="W217" s="7" t="n">
        <v>0</v>
      </c>
      <c r="X217" s="6">
        <f>$T217*W217</f>
        <v/>
      </c>
      <c r="Y217" s="7" t="n">
        <v>0</v>
      </c>
      <c r="Z217" s="6">
        <f>$T217*Y217</f>
        <v/>
      </c>
      <c r="AA217" s="7" t="n">
        <v>0</v>
      </c>
      <c r="AB217" s="6">
        <f>$T217*AA217</f>
        <v/>
      </c>
      <c r="AC217" s="7" t="n">
        <v>0</v>
      </c>
      <c r="AD217" s="6">
        <f>$T217*AC217</f>
        <v/>
      </c>
      <c r="AE217" s="7" t="n">
        <v>0</v>
      </c>
      <c r="AF217" s="6">
        <f>$T217*AE217</f>
        <v/>
      </c>
      <c r="AG217" s="7" t="n">
        <v>0</v>
      </c>
      <c r="AH217" s="6">
        <f>$T217*AG217</f>
        <v/>
      </c>
      <c r="AI217" s="7">
        <f>U217+W217+Y217+AA217+AC217+AE217+AG217</f>
        <v/>
      </c>
      <c r="AJ217" s="6">
        <f>V217+X217+Z217+AB217+AD217+AF217+AH217</f>
        <v/>
      </c>
    </row>
    <row r="218" hidden="1" ht="60" customHeight="1" s="46">
      <c r="A218" s="3" t="inlineStr">
        <is>
          <t>DEI_IT_015002C</t>
        </is>
      </c>
      <c r="B218" s="4" t="inlineStr">
        <is>
          <t>1/4</t>
        </is>
      </c>
      <c r="C218" s="3" t="inlineStr">
        <is>
          <t>IMPIANTO MECCANICO</t>
        </is>
      </c>
      <c r="D218" s="4" t="inlineStr">
        <is>
          <t>NON SPECIALE</t>
        </is>
      </c>
      <c r="E218" s="4" t="inlineStr">
        <is>
          <t>MECCANICHE</t>
        </is>
      </c>
      <c r="F218" s="3" t="inlineStr">
        <is>
          <t>2_CME_TOTALE MECCANICI RADIOFARMACIA PAVIA.PDF</t>
        </is>
      </c>
      <c r="G218" s="4" t="inlineStr">
        <is>
          <t>196/196</t>
        </is>
      </c>
      <c r="H218" s="3" t="inlineStr">
        <is>
          <t>40 - IMPIANTISTICO</t>
        </is>
      </c>
      <c r="I218" s="3" t="inlineStr">
        <is>
          <t>CENTRALE</t>
        </is>
      </c>
      <c r="J218" s="3" t="inlineStr">
        <is>
          <t>IMPIANTO IIS E FOGNA</t>
        </is>
      </c>
      <c r="K218" s="3" t="inlineStr">
        <is>
          <t>TUBO IN ACCIAIO SENZA SALDATURA A NORMA UNI EN 10255, ZINCATO A CALDO A NORMA EN 10240-A1 ED AL DM MINISTERO DELLA SALUTE 6/4/2004 N. 174, FILETTATO E CON MANICOTTO, LAVORATO E POSTO IN OPERA (SINO AD</t>
        </is>
      </c>
      <c r="L218"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3/4", SPESSORE 2,6 MM</t>
        </is>
      </c>
      <c r="M218" s="4" t="inlineStr">
        <is>
          <t>M</t>
        </is>
      </c>
      <c r="N218" s="5" t="n">
        <v>8</v>
      </c>
      <c r="O218" s="45" t="n">
        <v>29.83</v>
      </c>
      <c r="P218" s="45" t="n">
        <v>238.64</v>
      </c>
      <c r="Q218" s="5" t="n"/>
      <c r="R218" s="6" t="n"/>
      <c r="S218" s="6">
        <f>IF(AND(Q218&lt;&gt;"",R218&lt;&gt;""),Q218*R218,"")</f>
        <v/>
      </c>
      <c r="T218" s="45">
        <f>IF(S218="",P218,S218)</f>
        <v/>
      </c>
      <c r="U218" s="7" t="n">
        <v>0</v>
      </c>
      <c r="V218" s="6">
        <f>$T218*U218</f>
        <v/>
      </c>
      <c r="W218" s="7" t="n">
        <v>0</v>
      </c>
      <c r="X218" s="6">
        <f>$T218*W218</f>
        <v/>
      </c>
      <c r="Y218" s="7" t="n">
        <v>0</v>
      </c>
      <c r="Z218" s="6">
        <f>$T218*Y218</f>
        <v/>
      </c>
      <c r="AA218" s="7" t="n">
        <v>0</v>
      </c>
      <c r="AB218" s="6">
        <f>$T218*AA218</f>
        <v/>
      </c>
      <c r="AC218" s="7" t="n">
        <v>0</v>
      </c>
      <c r="AD218" s="6">
        <f>$T218*AC218</f>
        <v/>
      </c>
      <c r="AE218" s="7" t="n">
        <v>0</v>
      </c>
      <c r="AF218" s="6">
        <f>$T218*AE218</f>
        <v/>
      </c>
      <c r="AG218" s="7" t="n">
        <v>0</v>
      </c>
      <c r="AH218" s="6">
        <f>$T218*AG218</f>
        <v/>
      </c>
      <c r="AI218" s="7">
        <f>U218+W218+Y218+AA218+AC218+AE218+AG218</f>
        <v/>
      </c>
      <c r="AJ218" s="6">
        <f>V218+X218+Z218+AB218+AD218+AF218+AH218</f>
        <v/>
      </c>
    </row>
    <row r="219" hidden="1" ht="60" customHeight="1" s="46">
      <c r="A219" s="3" t="inlineStr">
        <is>
          <t>DEI_IT_015002D</t>
        </is>
      </c>
      <c r="B219" s="4" t="inlineStr">
        <is>
          <t>1/4</t>
        </is>
      </c>
      <c r="C219" s="3" t="inlineStr">
        <is>
          <t>IMPIANTO MECCANICO</t>
        </is>
      </c>
      <c r="D219" s="4" t="inlineStr">
        <is>
          <t>NON SPECIALE</t>
        </is>
      </c>
      <c r="E219" s="4" t="inlineStr">
        <is>
          <t>MECCANICHE</t>
        </is>
      </c>
      <c r="F219" s="3" t="inlineStr">
        <is>
          <t>2_CME_TOTALE MECCANICI RADIOFARMACIA PAVIA.PDF</t>
        </is>
      </c>
      <c r="G219" s="4" t="inlineStr">
        <is>
          <t>197/197</t>
        </is>
      </c>
      <c r="H219" s="3" t="inlineStr">
        <is>
          <t>40 - IMPIANTISTICO</t>
        </is>
      </c>
      <c r="I219" s="3" t="inlineStr">
        <is>
          <t>CENTRALE</t>
        </is>
      </c>
      <c r="J219" s="3" t="inlineStr">
        <is>
          <t>IMPIANTO IIS E FOGNA</t>
        </is>
      </c>
      <c r="K219" s="3" t="inlineStr">
        <is>
          <t>TUBO IN ACCIAIO SENZA SALDATURA A NORMA UNI EN 10255, ZINCATO A CALDO A NORMA EN 10240-A1 ED AL DM MINISTERO DELLA SALUTE 6/4/2004 N. 174, FILETTATO E CON MANICOTTO, LAVORATO E POSTO IN OPERA (SINO AD</t>
        </is>
      </c>
      <c r="L219"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 SPESSORE 3,2 MM</t>
        </is>
      </c>
      <c r="M219" s="4" t="inlineStr">
        <is>
          <t>M</t>
        </is>
      </c>
      <c r="N219" s="5" t="n">
        <v>4</v>
      </c>
      <c r="O219" s="45" t="n">
        <v>33.52</v>
      </c>
      <c r="P219" s="45" t="n">
        <v>134.08</v>
      </c>
      <c r="Q219" s="5" t="n"/>
      <c r="R219" s="6" t="n"/>
      <c r="S219" s="6">
        <f>IF(AND(Q219&lt;&gt;"",R219&lt;&gt;""),Q219*R219,"")</f>
        <v/>
      </c>
      <c r="T219" s="45">
        <f>IF(S219="",P219,S219)</f>
        <v/>
      </c>
      <c r="U219" s="7" t="n">
        <v>0</v>
      </c>
      <c r="V219" s="6">
        <f>$T219*U219</f>
        <v/>
      </c>
      <c r="W219" s="7" t="n">
        <v>0</v>
      </c>
      <c r="X219" s="6">
        <f>$T219*W219</f>
        <v/>
      </c>
      <c r="Y219" s="7" t="n">
        <v>0</v>
      </c>
      <c r="Z219" s="6">
        <f>$T219*Y219</f>
        <v/>
      </c>
      <c r="AA219" s="7" t="n">
        <v>0</v>
      </c>
      <c r="AB219" s="6">
        <f>$T219*AA219</f>
        <v/>
      </c>
      <c r="AC219" s="7" t="n">
        <v>0</v>
      </c>
      <c r="AD219" s="6">
        <f>$T219*AC219</f>
        <v/>
      </c>
      <c r="AE219" s="7" t="n">
        <v>0</v>
      </c>
      <c r="AF219" s="6">
        <f>$T219*AE219</f>
        <v/>
      </c>
      <c r="AG219" s="7" t="n">
        <v>0</v>
      </c>
      <c r="AH219" s="6">
        <f>$T219*AG219</f>
        <v/>
      </c>
      <c r="AI219" s="7">
        <f>U219+W219+Y219+AA219+AC219+AE219+AG219</f>
        <v/>
      </c>
      <c r="AJ219" s="6">
        <f>V219+X219+Z219+AB219+AD219+AF219+AH219</f>
        <v/>
      </c>
    </row>
    <row r="220" hidden="1" ht="60" customHeight="1" s="46">
      <c r="A220" s="3" t="inlineStr">
        <is>
          <t>LOM251.OC.EEA.PA02.I1500.E0011.0135</t>
        </is>
      </c>
      <c r="B220" s="4" t="inlineStr">
        <is>
          <t>2/3</t>
        </is>
      </c>
      <c r="C220" s="3" t="inlineStr">
        <is>
          <t>IMPIANTO MECCANICO</t>
        </is>
      </c>
      <c r="D220" s="4" t="inlineStr">
        <is>
          <t>NON SPECIALE</t>
        </is>
      </c>
      <c r="E220" s="4" t="inlineStr">
        <is>
          <t>MECCANICHE</t>
        </is>
      </c>
      <c r="F220" s="3" t="inlineStr">
        <is>
          <t>2_CME_TOTALE MECCANICI RADIOFARMACIA PAVIA.PDF</t>
        </is>
      </c>
      <c r="G220" s="4" t="inlineStr">
        <is>
          <t>198/198</t>
        </is>
      </c>
      <c r="H220" s="3" t="inlineStr">
        <is>
          <t>40 - IMPIANTISTICO</t>
        </is>
      </c>
      <c r="I220" s="3" t="inlineStr">
        <is>
          <t>CENTRALE</t>
        </is>
      </c>
      <c r="J220" s="3" t="inlineStr">
        <is>
          <t>IMPIANTO IIS E FOGNA</t>
        </is>
      </c>
      <c r="K220" s="3" t="inlineStr">
        <is>
          <t>OPERA: LASTRA DI GOMMA ELASTOMERICA ESPANSA A CELLULE CHIUSE; FUNZIONE: COIBENTAZIONE; IMPIEGO: TUBAZIONE; SPESSORE MINIMO LASTRA [MM] = 19 | SPESSORE MINIMO ELASTOMERO PER IL DIAMETRO ESTERNO TUBO [M</t>
        </is>
      </c>
      <c r="L220" s="3" t="inlineStr">
        <is>
          <t>OPERA: LASTRA DI GOMMA ELASTOMERICA ESPANSA A CELLULE CHIUSE; FUNZIONE: COIBENTAZIONE; IMPIEGO: TUBAZIONE; SPESSORE MINIMO LASTRA [MM] = 19 | SPESSORE MINIMO ELASTOMERO PER IL DIAMETRO ESTERNO TUBO [MM] = 28 | DIAMETRO NOMINALE TUBAZIONE [MM] = 20;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28 | DIAMETRO NOMINALE TUBAZIONE [MM] = 20;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28 | DIAMETRO NOMINALE TUBAZIONE [MM] = 20; RESISTENZA ALLA FIAMMA [CLASSE] = 1; FATTORE DI PERMEABILITÀ (Μ) MINIMO [-] = 4000 
SPECIFICHE TECNICHE: GOMMA ELASTOMERICA ESPANSA A CELLULE CHIUSE SENZA ALOGENI NÉ PVC 
LV POSA.</t>
        </is>
      </c>
      <c r="M220" s="4" t="inlineStr">
        <is>
          <t>M</t>
        </is>
      </c>
      <c r="N220" s="5" t="n">
        <v>36</v>
      </c>
      <c r="O220" s="45" t="n">
        <v>9.58</v>
      </c>
      <c r="P220" s="45" t="n">
        <v>344.88</v>
      </c>
      <c r="Q220" s="5" t="n"/>
      <c r="R220" s="6" t="n"/>
      <c r="S220" s="6">
        <f>IF(AND(Q220&lt;&gt;"",R220&lt;&gt;""),Q220*R220,"")</f>
        <v/>
      </c>
      <c r="T220" s="45">
        <f>IF(S220="",P220,S220)</f>
        <v/>
      </c>
      <c r="U220" s="7" t="n">
        <v>0</v>
      </c>
      <c r="V220" s="6">
        <f>$T220*U220</f>
        <v/>
      </c>
      <c r="W220" s="7" t="n">
        <v>0</v>
      </c>
      <c r="X220" s="6">
        <f>$T220*W220</f>
        <v/>
      </c>
      <c r="Y220" s="7" t="n">
        <v>0</v>
      </c>
      <c r="Z220" s="6">
        <f>$T220*Y220</f>
        <v/>
      </c>
      <c r="AA220" s="7" t="n">
        <v>0</v>
      </c>
      <c r="AB220" s="6">
        <f>$T220*AA220</f>
        <v/>
      </c>
      <c r="AC220" s="7" t="n">
        <v>0</v>
      </c>
      <c r="AD220" s="6">
        <f>$T220*AC220</f>
        <v/>
      </c>
      <c r="AE220" s="7" t="n">
        <v>0</v>
      </c>
      <c r="AF220" s="6">
        <f>$T220*AE220</f>
        <v/>
      </c>
      <c r="AG220" s="7" t="n">
        <v>0</v>
      </c>
      <c r="AH220" s="6">
        <f>$T220*AG220</f>
        <v/>
      </c>
      <c r="AI220" s="7">
        <f>U220+W220+Y220+AA220+AC220+AE220+AG220</f>
        <v/>
      </c>
      <c r="AJ220" s="6">
        <f>V220+X220+Z220+AB220+AD220+AF220+AH220</f>
        <v/>
      </c>
    </row>
    <row r="221" hidden="1" ht="60" customHeight="1" s="46">
      <c r="A221" s="3" t="inlineStr">
        <is>
          <t>LOM251.OC.EEA.PA02.I1500.E0011.0140</t>
        </is>
      </c>
      <c r="B221" s="4" t="inlineStr">
        <is>
          <t>2/3</t>
        </is>
      </c>
      <c r="C221" s="3" t="inlineStr">
        <is>
          <t>IMPIANTO MECCANICO</t>
        </is>
      </c>
      <c r="D221" s="4" t="inlineStr">
        <is>
          <t>NON SPECIALE</t>
        </is>
      </c>
      <c r="E221" s="4" t="inlineStr">
        <is>
          <t>MECCANICHE</t>
        </is>
      </c>
      <c r="F221" s="3" t="inlineStr">
        <is>
          <t>2_CME_TOTALE MECCANICI RADIOFARMACIA PAVIA.PDF</t>
        </is>
      </c>
      <c r="G221" s="4" t="inlineStr">
        <is>
          <t>199/199</t>
        </is>
      </c>
      <c r="H221" s="3" t="inlineStr">
        <is>
          <t>40 - IMPIANTISTICO</t>
        </is>
      </c>
      <c r="I221" s="3" t="inlineStr">
        <is>
          <t>CENTRALE</t>
        </is>
      </c>
      <c r="J221" s="3" t="inlineStr">
        <is>
          <t>IMPIANTO IIS E FOGNA</t>
        </is>
      </c>
      <c r="K221" s="3" t="inlineStr">
        <is>
          <t>OPERA: LASTRA DI GOMMA ELASTOMERICA ESPANSA A CELLULE CHIUSE; FUNZIONE: COIBENTAZIONE; IMPIEGO: TUBAZIONE; SPESSORE MINIMO LASTRA [MM] = 19 | SPESSORE MINIMO ELASTOMERO PER IL DIAMETRO ESTERNO TUBO [M</t>
        </is>
      </c>
      <c r="L221" s="3" t="inlineStr">
        <is>
          <t>OPERA: LASTRA DI GOMMA ELASTOMERICA ESPANSA A CELLULE CHIUSE; FUNZIONE: COIBENTAZIONE; IMPIEGO: TUBAZIONE; SPESSORE MINIMO LASTRA [MM] = 19 | SPESSORE MINIMO ELASTOMERO PER IL DIAMETRO ESTERNO TUBO [MM] = 35 | DIAMETRO NOMINALE TUBAZIONE [MM] = 25;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35 | DIAMETRO NOMINALE TUBAZIONE [MM] = 25;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35 | DIAMETRO NOMINALE TUBAZIONE [MM] = 25; RESISTENZA ALLA FIAMMA [CLASSE] = 1; FATTORE DI PERMEABILITÀ (Μ) MINIMO [-] = 4000 
SPECIFICHE TECNICHE: GOMMA ELASTOMERICA ESPANSA A CELLULE CHIUSE SENZA ALOGENI NÉ PVC 
LV POSA.</t>
        </is>
      </c>
      <c r="M221" s="4" t="inlineStr">
        <is>
          <t>M</t>
        </is>
      </c>
      <c r="N221" s="5" t="n">
        <v>8</v>
      </c>
      <c r="O221" s="45" t="n">
        <v>9.58</v>
      </c>
      <c r="P221" s="45" t="n">
        <v>76.64</v>
      </c>
      <c r="Q221" s="5" t="n"/>
      <c r="R221" s="6" t="n"/>
      <c r="S221" s="6">
        <f>IF(AND(Q221&lt;&gt;"",R221&lt;&gt;""),Q221*R221,"")</f>
        <v/>
      </c>
      <c r="T221" s="45">
        <f>IF(S221="",P221,S221)</f>
        <v/>
      </c>
      <c r="U221" s="7" t="n">
        <v>0</v>
      </c>
      <c r="V221" s="6">
        <f>$T221*U221</f>
        <v/>
      </c>
      <c r="W221" s="7" t="n">
        <v>0</v>
      </c>
      <c r="X221" s="6">
        <f>$T221*W221</f>
        <v/>
      </c>
      <c r="Y221" s="7" t="n">
        <v>0</v>
      </c>
      <c r="Z221" s="6">
        <f>$T221*Y221</f>
        <v/>
      </c>
      <c r="AA221" s="7" t="n">
        <v>0</v>
      </c>
      <c r="AB221" s="6">
        <f>$T221*AA221</f>
        <v/>
      </c>
      <c r="AC221" s="7" t="n">
        <v>0</v>
      </c>
      <c r="AD221" s="6">
        <f>$T221*AC221</f>
        <v/>
      </c>
      <c r="AE221" s="7" t="n">
        <v>0</v>
      </c>
      <c r="AF221" s="6">
        <f>$T221*AE221</f>
        <v/>
      </c>
      <c r="AG221" s="7" t="n">
        <v>0</v>
      </c>
      <c r="AH221" s="6">
        <f>$T221*AG221</f>
        <v/>
      </c>
      <c r="AI221" s="7">
        <f>U221+W221+Y221+AA221+AC221+AE221+AG221</f>
        <v/>
      </c>
      <c r="AJ221" s="6">
        <f>V221+X221+Z221+AB221+AD221+AF221+AH221</f>
        <v/>
      </c>
    </row>
    <row r="222" hidden="1" ht="60" customHeight="1" s="46">
      <c r="A222" s="3" t="inlineStr">
        <is>
          <t>LOM251.OC.EEA.PA02.I1500.E0011.0145</t>
        </is>
      </c>
      <c r="B222" s="4" t="inlineStr">
        <is>
          <t>1/3</t>
        </is>
      </c>
      <c r="C222" s="3" t="inlineStr">
        <is>
          <t>IMPIANTO MECCANICO</t>
        </is>
      </c>
      <c r="D222" s="4" t="inlineStr">
        <is>
          <t>NON SPECIALE</t>
        </is>
      </c>
      <c r="E222" s="4" t="inlineStr">
        <is>
          <t>MECCANICHE</t>
        </is>
      </c>
      <c r="F222" s="3" t="inlineStr">
        <is>
          <t>2_CME_TOTALE MECCANICI RADIOFARMACIA PAVIA.PDF</t>
        </is>
      </c>
      <c r="G222" s="4" t="inlineStr">
        <is>
          <t>200/200</t>
        </is>
      </c>
      <c r="H222" s="3" t="inlineStr">
        <is>
          <t>40 - IMPIANTISTICO</t>
        </is>
      </c>
      <c r="I222" s="3" t="inlineStr">
        <is>
          <t>CENTRALE</t>
        </is>
      </c>
      <c r="J222" s="3" t="inlineStr">
        <is>
          <t>IMPIANTO IIS E FOGNA</t>
        </is>
      </c>
      <c r="K222" s="3" t="inlineStr">
        <is>
          <t>OPERA: LASTRA DI GOMMA ELASTOMERICA ESPANSA A CELLULE CHIUSE; FUNZIONE: COIBENTAZIONE; IMPIEGO: TUBAZIONE; SPESSORE MINIMO LASTRA [MM] = 19 | SPESSORE MINIMO ELASTOMERO PER IL DIAMETRO ESTERNO TUBO [M</t>
        </is>
      </c>
      <c r="L222" s="3" t="inlineStr">
        <is>
          <t>OPERA: LASTRA DI GOMMA ELASTOMERICA ESPANSA A CELLULE CHIUSE; FUNZIONE: COIBENTAZIONE; IMPIEGO: TUBAZIONE; SPESSORE MINIMO LASTRA [MM] = 19 | SPESSORE MINIMO ELASTOMERO PER IL DIAMETRO ESTERNO TUBO [MM] = 42 | DIAMETRO NOMINALE TUBAZIONE [MM] = 32;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42 | DIAMETRO NOMINALE TUBAZIONE [MM] = 32;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42 | DIAMETRO NOMINALE TUBAZIONE [MM] = 32; RESISTENZA ALLA FIAMMA [CLASSE] = 1; FATTORE DI PERMEABILITÀ (Μ) MINIMO [-] = 4000 
SPECIFICHE TECNICHE: GOMMA ELASTOMERICA ESPANSA A CELLULE CHIUSE SENZA ALOGENI NÉ PVC 
LV POSA.</t>
        </is>
      </c>
      <c r="M222" s="4" t="inlineStr">
        <is>
          <t>M</t>
        </is>
      </c>
      <c r="N222" s="5" t="n">
        <v>4</v>
      </c>
      <c r="O222" s="45" t="n">
        <v>9.58</v>
      </c>
      <c r="P222" s="45" t="n">
        <v>38.32</v>
      </c>
      <c r="Q222" s="5" t="n"/>
      <c r="R222" s="6" t="n"/>
      <c r="S222" s="6">
        <f>IF(AND(Q222&lt;&gt;"",R222&lt;&gt;""),Q222*R222,"")</f>
        <v/>
      </c>
      <c r="T222" s="45">
        <f>IF(S222="",P222,S222)</f>
        <v/>
      </c>
      <c r="U222" s="7" t="n">
        <v>0</v>
      </c>
      <c r="V222" s="6">
        <f>$T222*U222</f>
        <v/>
      </c>
      <c r="W222" s="7" t="n">
        <v>0</v>
      </c>
      <c r="X222" s="6">
        <f>$T222*W222</f>
        <v/>
      </c>
      <c r="Y222" s="7" t="n">
        <v>0</v>
      </c>
      <c r="Z222" s="6">
        <f>$T222*Y222</f>
        <v/>
      </c>
      <c r="AA222" s="7" t="n">
        <v>0</v>
      </c>
      <c r="AB222" s="6">
        <f>$T222*AA222</f>
        <v/>
      </c>
      <c r="AC222" s="7" t="n">
        <v>0</v>
      </c>
      <c r="AD222" s="6">
        <f>$T222*AC222</f>
        <v/>
      </c>
      <c r="AE222" s="7" t="n">
        <v>0</v>
      </c>
      <c r="AF222" s="6">
        <f>$T222*AE222</f>
        <v/>
      </c>
      <c r="AG222" s="7" t="n">
        <v>0</v>
      </c>
      <c r="AH222" s="6">
        <f>$T222*AG222</f>
        <v/>
      </c>
      <c r="AI222" s="7">
        <f>U222+W222+Y222+AA222+AC222+AE222+AG222</f>
        <v/>
      </c>
      <c r="AJ222" s="6">
        <f>V222+X222+Z222+AB222+AD222+AF222+AH222</f>
        <v/>
      </c>
    </row>
    <row r="223" hidden="1" ht="60" customHeight="1" s="46">
      <c r="A223" s="3" t="inlineStr">
        <is>
          <t>LOM251.OC.EEA.PA02.I9762.ZB015.0000</t>
        </is>
      </c>
      <c r="B223" s="4" t="inlineStr">
        <is>
          <t>1/2</t>
        </is>
      </c>
      <c r="C223" s="3" t="inlineStr">
        <is>
          <t>IMPIANTO MECCANICO</t>
        </is>
      </c>
      <c r="D223" s="4" t="inlineStr">
        <is>
          <t>NON SPECIALE</t>
        </is>
      </c>
      <c r="E223" s="4" t="inlineStr">
        <is>
          <t>MECCANICHE</t>
        </is>
      </c>
      <c r="F223" s="3" t="inlineStr">
        <is>
          <t>2_CME_TOTALE MECCANICI RADIOFARMACIA PAVIA.PDF</t>
        </is>
      </c>
      <c r="G223" s="4" t="inlineStr">
        <is>
          <t>201/201</t>
        </is>
      </c>
      <c r="H223" s="3" t="inlineStr">
        <is>
          <t>40 - IMPIANTISTICO</t>
        </is>
      </c>
      <c r="I223" s="3" t="inlineStr">
        <is>
          <t>CENTRALE</t>
        </is>
      </c>
      <c r="J223" s="3" t="inlineStr">
        <is>
          <t>IMPIANTO IIS E FOGNA</t>
        </is>
      </c>
      <c r="K223" s="3" t="inlineStr">
        <is>
          <t xml:space="preserve">OPERA: VALVOLA, A COMANDO MANUALE A LEVA DI MATERIALE MIX ACCIAIO AL CARBONIO-ACCIAIO INOX; GEOMETRIA: ATTACCHI FILETTATI TIPO GAS | A SFERA; DIAMETRO NOMINALE (Ø) [MM] = 15; PRESSIONE NOMINALE [BAR] </t>
        </is>
      </c>
      <c r="L223" s="3" t="inlineStr">
        <is>
          <t>OPERA: VALVOLA, A COMANDO MANUALE A LEVA DI MATERIALE MIX ACCIAIO AL CARBONIO-ACCIAIO INOX; GEOMETRIA: ATTACCHI FILETTATI TIPO GAS | A SFERA; DIAMETRO NOMINALE (Ø) [MM] = 15; PRESSIONE NOMINALE [BAR] = 40. INCLUSO: MANICOTTO DI LEGA FERROSA ACCIAIO AL CARBONIO. 
LAVORO: POSA. 
SPECIFICHE TECNICHE: VALVOLA CON: CORPO DI LEGA FERROSA ACCIAIO AL CARBONIO, STELO DI LEGA FERROSA ACCIAIO INOX, SFERA DI LEGA FERROSA ACCIAIO INOX, LEVA DI MANOVRA DI LEGA FERROSA ACCIAIO AL CARBONIO CON FINITURA DI GOMMA GENERICA. OP VALVOLA, A COMANDO MANUALE A LEVA DI MATERIALE MIX ACCIAIO AL CARBONIO-ACCIAIO INOX; GEOMETRIA: ATTACCHI FILETTATI TIPO GAS | A SFERA; DIAMETRO NOMINALE (Ø) [MM] = 15;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RM VALVOLA A COMANDO MANUALE A LEVA DI MATERIALE MIX ACCIAIO AL CARBONIO-ACCIAIO INOX; GEOMETRIA: ATTACCHI FILETTATI TIPO GAS | A SFERA; DIAMETRO NOMINALE (Ø) [MM] = 15;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LV POSA.</t>
        </is>
      </c>
      <c r="M223" s="4" t="inlineStr">
        <is>
          <t>CAD</t>
        </is>
      </c>
      <c r="N223" s="5" t="n">
        <v>4</v>
      </c>
      <c r="O223" s="45" t="n">
        <v>27.75</v>
      </c>
      <c r="P223" s="45" t="n">
        <v>111</v>
      </c>
      <c r="Q223" s="5" t="n"/>
      <c r="R223" s="6" t="n"/>
      <c r="S223" s="6">
        <f>IF(AND(Q223&lt;&gt;"",R223&lt;&gt;""),Q223*R223,"")</f>
        <v/>
      </c>
      <c r="T223" s="45">
        <f>IF(S223="",P223,S223)</f>
        <v/>
      </c>
      <c r="U223" s="7" t="n">
        <v>0</v>
      </c>
      <c r="V223" s="6">
        <f>$T223*U223</f>
        <v/>
      </c>
      <c r="W223" s="7" t="n">
        <v>0</v>
      </c>
      <c r="X223" s="6">
        <f>$T223*W223</f>
        <v/>
      </c>
      <c r="Y223" s="7" t="n">
        <v>0</v>
      </c>
      <c r="Z223" s="6">
        <f>$T223*Y223</f>
        <v/>
      </c>
      <c r="AA223" s="7" t="n">
        <v>0</v>
      </c>
      <c r="AB223" s="6">
        <f>$T223*AA223</f>
        <v/>
      </c>
      <c r="AC223" s="7" t="n">
        <v>0</v>
      </c>
      <c r="AD223" s="6">
        <f>$T223*AC223</f>
        <v/>
      </c>
      <c r="AE223" s="7" t="n">
        <v>0</v>
      </c>
      <c r="AF223" s="6">
        <f>$T223*AE223</f>
        <v/>
      </c>
      <c r="AG223" s="7" t="n">
        <v>0</v>
      </c>
      <c r="AH223" s="6">
        <f>$T223*AG223</f>
        <v/>
      </c>
      <c r="AI223" s="7">
        <f>U223+W223+Y223+AA223+AC223+AE223+AG223</f>
        <v/>
      </c>
      <c r="AJ223" s="6">
        <f>V223+X223+Z223+AB223+AD223+AF223+AH223</f>
        <v/>
      </c>
    </row>
    <row r="224" hidden="1" ht="60" customHeight="1" s="46">
      <c r="A224" s="3" t="inlineStr">
        <is>
          <t>LOM251.OC.EEA.PA02.I9762.ZB015.0005</t>
        </is>
      </c>
      <c r="B224" s="4" t="inlineStr">
        <is>
          <t>1/2</t>
        </is>
      </c>
      <c r="C224" s="3" t="inlineStr">
        <is>
          <t>IMPIANTO MECCANICO</t>
        </is>
      </c>
      <c r="D224" s="4" t="inlineStr">
        <is>
          <t>NON SPECIALE</t>
        </is>
      </c>
      <c r="E224" s="4" t="inlineStr">
        <is>
          <t>MECCANICHE</t>
        </is>
      </c>
      <c r="F224" s="3" t="inlineStr">
        <is>
          <t>2_CME_TOTALE MECCANICI RADIOFARMACIA PAVIA.PDF</t>
        </is>
      </c>
      <c r="G224" s="4" t="inlineStr">
        <is>
          <t>202/202</t>
        </is>
      </c>
      <c r="H224" s="3" t="inlineStr">
        <is>
          <t>40 - IMPIANTISTICO</t>
        </is>
      </c>
      <c r="I224" s="3" t="inlineStr">
        <is>
          <t>CENTRALE</t>
        </is>
      </c>
      <c r="J224" s="3" t="inlineStr">
        <is>
          <t>IMPIANTO IIS E FOGNA</t>
        </is>
      </c>
      <c r="K224" s="3" t="inlineStr">
        <is>
          <t xml:space="preserve">OPERA: VALVOLA, A COMANDO MANUALE A LEVA DI MATERIALE MIX ACCIAIO AL CARBONIO-ACCIAIO INOX; GEOMETRIA: ATTACCHI FILETTATI TIPO GAS | A SFERA; DIAMETRO NOMINALE (Ø) [MM] = 20; PRESSIONE NOMINALE [BAR] </t>
        </is>
      </c>
      <c r="L224" s="3" t="inlineStr">
        <is>
          <t>OPERA: VALVOLA, A COMANDO MANUALE A LEVA DI MATERIALE MIX ACCIAIO AL CARBONIO-ACCIAIO INOX; GEOMETRIA: ATTACCHI FILETTATI TIPO GAS | A SFERA; DIAMETRO NOMINALE (Ø) [MM] = 20; PRESSIONE NOMINALE [BAR] = 40. INCLUSO: MANICOTTO DI LEGA FERROSA ACCIAIO AL CARBONIO. 
LAVORO: POSA. 
SPECIFICHE TECNICHE: VALVOLA CON: CORPO DI LEGA FERROSA ACCIAIO AL CARBONIO, STELO DI LEGA FERROSA ACCIAIO INOX, SFERA DI LEGA FERROSA ACCIAIO INOX, LEVA DI MANOVRA DI LEGA FERROSA ACCIAIO AL CARBONIO CON FINITURA DI GOMMA GENERICA. OP VALVOLA, A COMANDO MANUALE A LEVA DI MATERIALE MIX ACCIAIO AL CARBONIO-ACCIAIO INOX; GEOMETRIA: ATTACCHI FILETTATI TIPO GAS | A SFERA; DIAMETRO NOMINALE (Ø) [MM] = 20;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RM VALVOLA A COMANDO MANUALE A LEVA DI MATERIALE MIX ACCIAIO AL CARBONIO-ACCIAIO INOX; GEOMETRIA: ATTACCHI FILETTATI TIPO GAS | A SFERA; DIAMETRO NOMINALE (Ø) [MM] = 20;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LV POSA.</t>
        </is>
      </c>
      <c r="M224" s="4" t="inlineStr">
        <is>
          <t>CAD</t>
        </is>
      </c>
      <c r="N224" s="5" t="n">
        <v>2</v>
      </c>
      <c r="O224" s="45" t="n">
        <v>29.48</v>
      </c>
      <c r="P224" s="45" t="n">
        <v>58.96</v>
      </c>
      <c r="Q224" s="5" t="n"/>
      <c r="R224" s="6" t="n"/>
      <c r="S224" s="6">
        <f>IF(AND(Q224&lt;&gt;"",R224&lt;&gt;""),Q224*R224,"")</f>
        <v/>
      </c>
      <c r="T224" s="45">
        <f>IF(S224="",P224,S224)</f>
        <v/>
      </c>
      <c r="U224" s="7" t="n">
        <v>0</v>
      </c>
      <c r="V224" s="6">
        <f>$T224*U224</f>
        <v/>
      </c>
      <c r="W224" s="7" t="n">
        <v>0</v>
      </c>
      <c r="X224" s="6">
        <f>$T224*W224</f>
        <v/>
      </c>
      <c r="Y224" s="7" t="n">
        <v>0</v>
      </c>
      <c r="Z224" s="6">
        <f>$T224*Y224</f>
        <v/>
      </c>
      <c r="AA224" s="7" t="n">
        <v>0</v>
      </c>
      <c r="AB224" s="6">
        <f>$T224*AA224</f>
        <v/>
      </c>
      <c r="AC224" s="7" t="n">
        <v>0</v>
      </c>
      <c r="AD224" s="6">
        <f>$T224*AC224</f>
        <v/>
      </c>
      <c r="AE224" s="7" t="n">
        <v>0</v>
      </c>
      <c r="AF224" s="6">
        <f>$T224*AE224</f>
        <v/>
      </c>
      <c r="AG224" s="7" t="n">
        <v>0</v>
      </c>
      <c r="AH224" s="6">
        <f>$T224*AG224</f>
        <v/>
      </c>
      <c r="AI224" s="7">
        <f>U224+W224+Y224+AA224+AC224+AE224+AG224</f>
        <v/>
      </c>
      <c r="AJ224" s="6">
        <f>V224+X224+Z224+AB224+AD224+AF224+AH224</f>
        <v/>
      </c>
    </row>
    <row r="225" hidden="1" ht="60" customHeight="1" s="46">
      <c r="A225" s="3" t="inlineStr">
        <is>
          <t>LOM251.OC.EEA.PA02.I9762.ZB015.0010</t>
        </is>
      </c>
      <c r="B225" s="4" t="inlineStr">
        <is>
          <t>1/2</t>
        </is>
      </c>
      <c r="C225" s="3" t="inlineStr">
        <is>
          <t>IMPIANTO MECCANICO</t>
        </is>
      </c>
      <c r="D225" s="4" t="inlineStr">
        <is>
          <t>NON SPECIALE</t>
        </is>
      </c>
      <c r="E225" s="4" t="inlineStr">
        <is>
          <t>MECCANICHE</t>
        </is>
      </c>
      <c r="F225" s="3" t="inlineStr">
        <is>
          <t>2_CME_TOTALE MECCANICI RADIOFARMACIA PAVIA.PDF</t>
        </is>
      </c>
      <c r="G225" s="4" t="inlineStr">
        <is>
          <t>203/203</t>
        </is>
      </c>
      <c r="H225" s="3" t="inlineStr">
        <is>
          <t>40 - IMPIANTISTICO</t>
        </is>
      </c>
      <c r="I225" s="3" t="inlineStr">
        <is>
          <t>CENTRALE</t>
        </is>
      </c>
      <c r="J225" s="3" t="inlineStr">
        <is>
          <t>IMPIANTO IIS E FOGNA</t>
        </is>
      </c>
      <c r="K225" s="3" t="inlineStr">
        <is>
          <t xml:space="preserve">OPERA: VALVOLA, A COMANDO MANUALE A LEVA DI MATERIALE MIX ACCIAIO AL CARBONIO-ACCIAIO INOX; GEOMETRIA: ATTACCHI FILETTATI TIPO GAS | A SFERA; DIAMETRO NOMINALE (Ø) [MM] = 25; PRESSIONE NOMINALE [BAR] </t>
        </is>
      </c>
      <c r="L225" s="3" t="inlineStr">
        <is>
          <t>OPERA: VALVOLA, A COMANDO MANUALE A LEVA DI MATERIALE MIX ACCIAIO AL CARBONIO-ACCIAIO INOX; GEOMETRIA: ATTACCHI FILETTATI TIPO GAS | A SFERA; DIAMETRO NOMINALE (Ø) [MM] = 25; PRESSIONE NOMINALE [BAR] = 40. INCLUSO: MANICOTTO DI LEGA FERROSA ACCIAIO AL CARBONIO. 
LAVORO: POSA. 
SPECIFICHE TECNICHE: VALVOLA CON: CORPO DI LEGA FERROSA ACCIAIO AL CARBONIO, STELO DI LEGA FERROSA ACCIAIO INOX, SFERA DI LEGA FERROSA ACCIAIO INOX, LEVA DI MANOVRA DI LEGA FERROSA ACCIAIO AL CARBONIO CON FINITURA DI GOMMA GENERICA. OP VALVOLA, A COMANDO MANUALE A LEVA DI MATERIALE MIX ACCIAIO AL CARBONIO-ACCIAIO INOX; GEOMETRIA: ATTACCHI FILETTATI TIPO GAS | A SFERA; DIAMETRO NOMINALE (Ø) [MM] = 25;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RM VALVOLA A COMANDO MANUALE A LEVA DI MATERIALE MIX ACCIAIO AL CARBONIO-ACCIAIO INOX; GEOMETRIA: ATTACCHI FILETTATI TIPO GAS | A SFERA; DIAMETRO NOMINALE (Ø) [MM] = 25;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LV POSA.</t>
        </is>
      </c>
      <c r="M225" s="4" t="inlineStr">
        <is>
          <t>CAD</t>
        </is>
      </c>
      <c r="N225" s="5" t="n">
        <v>2</v>
      </c>
      <c r="O225" s="45" t="n">
        <v>44.91</v>
      </c>
      <c r="P225" s="45" t="n">
        <v>89.81999999999999</v>
      </c>
      <c r="Q225" s="5" t="n"/>
      <c r="R225" s="6" t="n"/>
      <c r="S225" s="6">
        <f>IF(AND(Q225&lt;&gt;"",R225&lt;&gt;""),Q225*R225,"")</f>
        <v/>
      </c>
      <c r="T225" s="45">
        <f>IF(S225="",P225,S225)</f>
        <v/>
      </c>
      <c r="U225" s="7" t="n">
        <v>0</v>
      </c>
      <c r="V225" s="6">
        <f>$T225*U225</f>
        <v/>
      </c>
      <c r="W225" s="7" t="n">
        <v>0</v>
      </c>
      <c r="X225" s="6">
        <f>$T225*W225</f>
        <v/>
      </c>
      <c r="Y225" s="7" t="n">
        <v>0</v>
      </c>
      <c r="Z225" s="6">
        <f>$T225*Y225</f>
        <v/>
      </c>
      <c r="AA225" s="7" t="n">
        <v>0</v>
      </c>
      <c r="AB225" s="6">
        <f>$T225*AA225</f>
        <v/>
      </c>
      <c r="AC225" s="7" t="n">
        <v>0</v>
      </c>
      <c r="AD225" s="6">
        <f>$T225*AC225</f>
        <v/>
      </c>
      <c r="AE225" s="7" t="n">
        <v>0</v>
      </c>
      <c r="AF225" s="6">
        <f>$T225*AE225</f>
        <v/>
      </c>
      <c r="AG225" s="7" t="n">
        <v>0</v>
      </c>
      <c r="AH225" s="6">
        <f>$T225*AG225</f>
        <v/>
      </c>
      <c r="AI225" s="7">
        <f>U225+W225+Y225+AA225+AC225+AE225+AG225</f>
        <v/>
      </c>
      <c r="AJ225" s="6">
        <f>V225+X225+Z225+AB225+AD225+AF225+AH225</f>
        <v/>
      </c>
    </row>
    <row r="226" hidden="1" ht="60" customHeight="1" s="46">
      <c r="A226" s="3" t="inlineStr">
        <is>
          <t>LOM251.OC.EEA.PA02.F9730.SC007.0260</t>
        </is>
      </c>
      <c r="B226" s="4" t="inlineStr">
        <is>
          <t>1/2</t>
        </is>
      </c>
      <c r="C226" s="3" t="inlineStr">
        <is>
          <t>IMPIANTO MECCANICO</t>
        </is>
      </c>
      <c r="D226" s="4" t="inlineStr">
        <is>
          <t>NON SPECIALE</t>
        </is>
      </c>
      <c r="E226" s="4" t="inlineStr">
        <is>
          <t>MECCANICHE</t>
        </is>
      </c>
      <c r="F226" s="3" t="inlineStr">
        <is>
          <t>2_CME_TOTALE MECCANICI RADIOFARMACIA PAVIA.PDF</t>
        </is>
      </c>
      <c r="G226" s="4" t="inlineStr">
        <is>
          <t>204/204</t>
        </is>
      </c>
      <c r="H226" s="3" t="inlineStr">
        <is>
          <t>40 - IMPIANTISTICO</t>
        </is>
      </c>
      <c r="I226" s="3" t="inlineStr">
        <is>
          <t>CENTRALE</t>
        </is>
      </c>
      <c r="J226" s="3" t="inlineStr">
        <is>
          <t>IMPIANTO IIS E FOGNA</t>
        </is>
      </c>
      <c r="K226" s="3" t="inlineStr">
        <is>
          <t>OPERA: VALVOLA DI LEGA RAME BRONZO; GEOMETRIA: A GLOBO | ATTACCHI FILETTATI TIPO GAS; FUNZIONE: DI RITEGNO; DIAMETRO NOMINALE (Ø) [MM] = 25; PRESSIONE NOMINALE [BAR] = 16. INCLUSO: GUARNIZIONI DEL TIP</t>
        </is>
      </c>
      <c r="L226" s="3" t="inlineStr">
        <is>
          <t>OPERA: VALVOLA DI LEGA RAME BRONZO; GEOMETRIA: A GLOBO | ATTACCHI FILETTATI TIPO GAS; FUNZIONE: DI RITEGNO; DIAMETRO NOMINALE (Ø) [MM] = 25; PRESSIONE NOMINALE [BAR] = 16. INCLUSO: GUARNIZIONI DEL TIPO SENZA AMIANTO; CAPPELLO DI LEGA RAME OTTONE. 
LAVORO: POSA. 
SPECIFICHE TECNICHE: VALVOLA CON: CORPO DI LEGA RAME OTTONE, OTTURATORE DI LEGA RAME OTTONE. OP VALVOLA DI LEGA RAME BRONZO; GEOMETRIA: A GLOBO | ATTACCHI FILETTATI TIPO GAS; FUNZIONE: DI RITEGNO; DIAMETRO NOMINALE (Ø) [MM] = 25; PRESSIONE NOMINALE [BAR] = 16. INCLUSO: GUARNIZIONI DEL TIPO SENZA AMIANTO; CAPPELLO DI LEGA RAME OTTONE. 
SPECIFICHE TECNICHE: VALVOLA CON: CORPO DI LEGA RAME OTTONE, OTTURATORE DI LEGA RAME OTTONE. 
RM VALVOLA DI LEGA RAME BRONZO; GEOMETRIA: A GLOBO | ATTACCHI FILETTATI TIPO GAS; FUNZIONE: DI RITEGNO; DIAMETRO NOMINALE (Ø) [MM] = 25; PRESSIONE NOMINALE [BAR] = 16. INCLUSO: GUARNIZIONI DEL TIPO SENZA AMIANTO; CAPPELLO DI LEGA RAME OTTONE 
SPECIFICHE TECNICHE: VALVOLA CON: CORPO DI LEGA RAME OTTONE, OTTURATORE DI LEGA RAME OTTONE 
LV POSA.</t>
        </is>
      </c>
      <c r="M226" s="4" t="inlineStr">
        <is>
          <t>CAD</t>
        </is>
      </c>
      <c r="N226" s="5" t="n">
        <v>2</v>
      </c>
      <c r="O226" s="45" t="n">
        <v>25.94</v>
      </c>
      <c r="P226" s="45" t="n">
        <v>51.88</v>
      </c>
      <c r="Q226" s="5" t="n"/>
      <c r="R226" s="6" t="n"/>
      <c r="S226" s="6">
        <f>IF(AND(Q226&lt;&gt;"",R226&lt;&gt;""),Q226*R226,"")</f>
        <v/>
      </c>
      <c r="T226" s="45">
        <f>IF(S226="",P226,S226)</f>
        <v/>
      </c>
      <c r="U226" s="7" t="n">
        <v>0</v>
      </c>
      <c r="V226" s="6">
        <f>$T226*U226</f>
        <v/>
      </c>
      <c r="W226" s="7" t="n">
        <v>0</v>
      </c>
      <c r="X226" s="6">
        <f>$T226*W226</f>
        <v/>
      </c>
      <c r="Y226" s="7" t="n">
        <v>0</v>
      </c>
      <c r="Z226" s="6">
        <f>$T226*Y226</f>
        <v/>
      </c>
      <c r="AA226" s="7" t="n">
        <v>0</v>
      </c>
      <c r="AB226" s="6">
        <f>$T226*AA226</f>
        <v/>
      </c>
      <c r="AC226" s="7" t="n">
        <v>0</v>
      </c>
      <c r="AD226" s="6">
        <f>$T226*AC226</f>
        <v/>
      </c>
      <c r="AE226" s="7" t="n">
        <v>0</v>
      </c>
      <c r="AF226" s="6">
        <f>$T226*AE226</f>
        <v/>
      </c>
      <c r="AG226" s="7" t="n">
        <v>0</v>
      </c>
      <c r="AH226" s="6">
        <f>$T226*AG226</f>
        <v/>
      </c>
      <c r="AI226" s="7">
        <f>U226+W226+Y226+AA226+AC226+AE226+AG226</f>
        <v/>
      </c>
      <c r="AJ226" s="6">
        <f>V226+X226+Z226+AB226+AD226+AF226+AH226</f>
        <v/>
      </c>
    </row>
    <row r="227" ht="60" customHeight="1" s="46">
      <c r="A227" s="3" t="inlineStr">
        <is>
          <t>DEI_IT_015002B</t>
        </is>
      </c>
      <c r="B227" s="4" t="inlineStr">
        <is>
          <t>3/5</t>
        </is>
      </c>
      <c r="C227" s="3" t="inlineStr">
        <is>
          <t>IMPIANTO MECCANICO</t>
        </is>
      </c>
      <c r="D227" s="4" t="inlineStr">
        <is>
          <t>NON SPECIALE</t>
        </is>
      </c>
      <c r="E227" s="4" t="inlineStr">
        <is>
          <t>MECCANICHE</t>
        </is>
      </c>
      <c r="F227" s="3" t="inlineStr">
        <is>
          <t>2_CME_TOTALE MECCANICI RADIOFARMACIA PAVIA.PDF</t>
        </is>
      </c>
      <c r="G227" s="4" t="inlineStr">
        <is>
          <t>205/205</t>
        </is>
      </c>
      <c r="H227" s="3" t="inlineStr">
        <is>
          <t>40 - IMPIANTISTICO</t>
        </is>
      </c>
      <c r="I227" s="3" t="inlineStr">
        <is>
          <t>PIANO TERRA</t>
        </is>
      </c>
      <c r="J227" s="3" t="inlineStr">
        <is>
          <t>IMPIANTO IIS E FOGNA</t>
        </is>
      </c>
      <c r="K227" s="3" t="inlineStr">
        <is>
          <t>TUBO IN ACCIAIO SENZA SALDATURA A NORMA UNI EN 10255, ZINCATO A CALDO A NORMA EN 10240-A1 ED AL DM MINISTERO DELLA SALUTE 6/4/2004 N. 174, FILETTATO E CON MANICOTTO, LAVORATO E POSTO IN OPERA (SINO AD</t>
        </is>
      </c>
      <c r="L227"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1/2", SPESSORE 2,6 MM</t>
        </is>
      </c>
      <c r="M227" s="4" t="inlineStr">
        <is>
          <t>M</t>
        </is>
      </c>
      <c r="N227" s="5" t="n">
        <v>68</v>
      </c>
      <c r="O227" s="45" t="n">
        <v>26.16</v>
      </c>
      <c r="P227" s="45" t="n">
        <v>1778.88</v>
      </c>
      <c r="Q227" s="5" t="n"/>
      <c r="R227" s="6" t="n"/>
      <c r="S227" s="6">
        <f>IF(AND(Q227&lt;&gt;"",R227&lt;&gt;""),Q227*R227,"")</f>
        <v/>
      </c>
      <c r="T227" s="45">
        <f>IF(S227="",P227,S227)</f>
        <v/>
      </c>
      <c r="U227" s="7" t="n">
        <v>0</v>
      </c>
      <c r="V227" s="6">
        <f>$T227*U227</f>
        <v/>
      </c>
      <c r="W227" s="7" t="n">
        <v>0.25</v>
      </c>
      <c r="X227" s="6">
        <f>$T227*W227</f>
        <v/>
      </c>
      <c r="Y227" s="7" t="n">
        <v>0</v>
      </c>
      <c r="Z227" s="6">
        <f>$T227*Y227</f>
        <v/>
      </c>
      <c r="AA227" s="7" t="n">
        <v>0</v>
      </c>
      <c r="AB227" s="6">
        <f>$T227*AA227</f>
        <v/>
      </c>
      <c r="AC227" s="7" t="n">
        <v>0</v>
      </c>
      <c r="AD227" s="6">
        <f>$T227*AC227</f>
        <v/>
      </c>
      <c r="AE227" s="7" t="n">
        <v>0</v>
      </c>
      <c r="AF227" s="6">
        <f>$T227*AE227</f>
        <v/>
      </c>
      <c r="AG227" s="7" t="n">
        <v>0</v>
      </c>
      <c r="AH227" s="6">
        <f>$T227*AG227</f>
        <v/>
      </c>
      <c r="AI227" s="7">
        <f>U227+W227+Y227+AA227+AC227+AE227+AG227</f>
        <v/>
      </c>
      <c r="AJ227" s="6">
        <f>V227+X227+Z227+AB227+AD227+AF227+AH227</f>
        <v/>
      </c>
    </row>
    <row r="228" ht="60" customHeight="1" s="46">
      <c r="A228" s="3" t="inlineStr">
        <is>
          <t>DEI_IT_015002C</t>
        </is>
      </c>
      <c r="B228" s="4" t="inlineStr">
        <is>
          <t>2/4</t>
        </is>
      </c>
      <c r="C228" s="3" t="inlineStr">
        <is>
          <t>IMPIANTO MECCANICO</t>
        </is>
      </c>
      <c r="D228" s="4" t="inlineStr">
        <is>
          <t>NON SPECIALE</t>
        </is>
      </c>
      <c r="E228" s="4" t="inlineStr">
        <is>
          <t>MECCANICHE</t>
        </is>
      </c>
      <c r="F228" s="3" t="inlineStr">
        <is>
          <t>2_CME_TOTALE MECCANICI RADIOFARMACIA PAVIA.PDF</t>
        </is>
      </c>
      <c r="G228" s="4" t="inlineStr">
        <is>
          <t>206/206</t>
        </is>
      </c>
      <c r="H228" s="3" t="inlineStr">
        <is>
          <t>40 - IMPIANTISTICO</t>
        </is>
      </c>
      <c r="I228" s="3" t="inlineStr">
        <is>
          <t>PIANO TERRA</t>
        </is>
      </c>
      <c r="J228" s="3" t="inlineStr">
        <is>
          <t>IMPIANTO IIS E FOGNA</t>
        </is>
      </c>
      <c r="K228" s="3" t="inlineStr">
        <is>
          <t>TUBO IN ACCIAIO SENZA SALDATURA A NORMA UNI EN 10255, ZINCATO A CALDO A NORMA EN 10240-A1 ED AL DM MINISTERO DELLA SALUTE 6/4/2004 N. 174, FILETTATO E CON MANICOTTO, LAVORATO E POSTO IN OPERA (SINO AD</t>
        </is>
      </c>
      <c r="L228"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3/4", SPESSORE 2,6 MM</t>
        </is>
      </c>
      <c r="M228" s="4" t="inlineStr">
        <is>
          <t>M</t>
        </is>
      </c>
      <c r="N228" s="5" t="n">
        <v>16</v>
      </c>
      <c r="O228" s="45" t="n">
        <v>29.83</v>
      </c>
      <c r="P228" s="45" t="n">
        <v>477.28</v>
      </c>
      <c r="Q228" s="5" t="n"/>
      <c r="R228" s="6" t="n"/>
      <c r="S228" s="6">
        <f>IF(AND(Q228&lt;&gt;"",R228&lt;&gt;""),Q228*R228,"")</f>
        <v/>
      </c>
      <c r="T228" s="45">
        <f>IF(S228="",P228,S228)</f>
        <v/>
      </c>
      <c r="U228" s="7" t="n">
        <v>0</v>
      </c>
      <c r="V228" s="6">
        <f>$T228*U228</f>
        <v/>
      </c>
      <c r="W228" s="7" t="n">
        <v>0.25</v>
      </c>
      <c r="X228" s="6">
        <f>$T228*W228</f>
        <v/>
      </c>
      <c r="Y228" s="7" t="n">
        <v>0</v>
      </c>
      <c r="Z228" s="6">
        <f>$T228*Y228</f>
        <v/>
      </c>
      <c r="AA228" s="7" t="n">
        <v>0</v>
      </c>
      <c r="AB228" s="6">
        <f>$T228*AA228</f>
        <v/>
      </c>
      <c r="AC228" s="7" t="n">
        <v>0</v>
      </c>
      <c r="AD228" s="6">
        <f>$T228*AC228</f>
        <v/>
      </c>
      <c r="AE228" s="7" t="n">
        <v>0</v>
      </c>
      <c r="AF228" s="6">
        <f>$T228*AE228</f>
        <v/>
      </c>
      <c r="AG228" s="7" t="n">
        <v>0</v>
      </c>
      <c r="AH228" s="6">
        <f>$T228*AG228</f>
        <v/>
      </c>
      <c r="AI228" s="7">
        <f>U228+W228+Y228+AA228+AC228+AE228+AG228</f>
        <v/>
      </c>
      <c r="AJ228" s="6">
        <f>V228+X228+Z228+AB228+AD228+AF228+AH228</f>
        <v/>
      </c>
    </row>
    <row r="229" ht="60" customHeight="1" s="46">
      <c r="A229" s="3" t="inlineStr">
        <is>
          <t>DEI_IT_015002D</t>
        </is>
      </c>
      <c r="B229" s="4" t="inlineStr">
        <is>
          <t>2/4</t>
        </is>
      </c>
      <c r="C229" s="3" t="inlineStr">
        <is>
          <t>IMPIANTO MECCANICO</t>
        </is>
      </c>
      <c r="D229" s="4" t="inlineStr">
        <is>
          <t>NON SPECIALE</t>
        </is>
      </c>
      <c r="E229" s="4" t="inlineStr">
        <is>
          <t>MECCANICHE</t>
        </is>
      </c>
      <c r="F229" s="3" t="inlineStr">
        <is>
          <t>2_CME_TOTALE MECCANICI RADIOFARMACIA PAVIA.PDF</t>
        </is>
      </c>
      <c r="G229" s="4" t="inlineStr">
        <is>
          <t>207/207</t>
        </is>
      </c>
      <c r="H229" s="3" t="inlineStr">
        <is>
          <t>40 - IMPIANTISTICO</t>
        </is>
      </c>
      <c r="I229" s="3" t="inlineStr">
        <is>
          <t>PIANO TERRA</t>
        </is>
      </c>
      <c r="J229" s="3" t="inlineStr">
        <is>
          <t>IMPIANTO IIS E FOGNA</t>
        </is>
      </c>
      <c r="K229" s="3" t="inlineStr">
        <is>
          <t>TUBO IN ACCIAIO SENZA SALDATURA A NORMA UNI EN 10255, ZINCATO A CALDO A NORMA EN 10240-A1 ED AL DM MINISTERO DELLA SALUTE 6/4/2004 N. 174, FILETTATO E CON MANICOTTO, LAVORATO E POSTO IN OPERA (SINO AD</t>
        </is>
      </c>
      <c r="L229"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 SPESSORE 3,2 MM</t>
        </is>
      </c>
      <c r="M229" s="4" t="inlineStr">
        <is>
          <t>M</t>
        </is>
      </c>
      <c r="N229" s="5" t="n">
        <v>20</v>
      </c>
      <c r="O229" s="45" t="n">
        <v>33.52</v>
      </c>
      <c r="P229" s="45" t="n">
        <v>670.4</v>
      </c>
      <c r="Q229" s="5" t="n"/>
      <c r="R229" s="6" t="n"/>
      <c r="S229" s="6">
        <f>IF(AND(Q229&lt;&gt;"",R229&lt;&gt;""),Q229*R229,"")</f>
        <v/>
      </c>
      <c r="T229" s="45">
        <f>IF(S229="",P229,S229)</f>
        <v/>
      </c>
      <c r="U229" s="7" t="n">
        <v>0</v>
      </c>
      <c r="V229" s="6">
        <f>$T229*U229</f>
        <v/>
      </c>
      <c r="W229" s="7" t="n">
        <v>0.25</v>
      </c>
      <c r="X229" s="6">
        <f>$T229*W229</f>
        <v/>
      </c>
      <c r="Y229" s="7" t="n">
        <v>0</v>
      </c>
      <c r="Z229" s="6">
        <f>$T229*Y229</f>
        <v/>
      </c>
      <c r="AA229" s="7" t="n">
        <v>0</v>
      </c>
      <c r="AB229" s="6">
        <f>$T229*AA229</f>
        <v/>
      </c>
      <c r="AC229" s="7" t="n">
        <v>0</v>
      </c>
      <c r="AD229" s="6">
        <f>$T229*AC229</f>
        <v/>
      </c>
      <c r="AE229" s="7" t="n">
        <v>0</v>
      </c>
      <c r="AF229" s="6">
        <f>$T229*AE229</f>
        <v/>
      </c>
      <c r="AG229" s="7" t="n">
        <v>0</v>
      </c>
      <c r="AH229" s="6">
        <f>$T229*AG229</f>
        <v/>
      </c>
      <c r="AI229" s="7">
        <f>U229+W229+Y229+AA229+AC229+AE229+AG229</f>
        <v/>
      </c>
      <c r="AJ229" s="6">
        <f>V229+X229+Z229+AB229+AD229+AF229+AH229</f>
        <v/>
      </c>
    </row>
    <row r="230" hidden="1" ht="60" customHeight="1" s="46">
      <c r="A230" s="3" t="inlineStr">
        <is>
          <t>LOM251.OC.EEA.PA02.I1500.E0011.0005</t>
        </is>
      </c>
      <c r="B230" s="4" t="inlineStr">
        <is>
          <t>1/2</t>
        </is>
      </c>
      <c r="C230" s="3" t="inlineStr">
        <is>
          <t>IMPIANTO MECCANICO</t>
        </is>
      </c>
      <c r="D230" s="4" t="inlineStr">
        <is>
          <t>NON SPECIALE</t>
        </is>
      </c>
      <c r="E230" s="4" t="inlineStr">
        <is>
          <t>MECCANICHE</t>
        </is>
      </c>
      <c r="F230" s="3" t="inlineStr">
        <is>
          <t>2_CME_TOTALE MECCANICI RADIOFARMACIA PAVIA.PDF</t>
        </is>
      </c>
      <c r="G230" s="4" t="inlineStr">
        <is>
          <t>208/208</t>
        </is>
      </c>
      <c r="H230" s="3" t="inlineStr">
        <is>
          <t>40 - IMPIANTISTICO</t>
        </is>
      </c>
      <c r="I230" s="3" t="inlineStr">
        <is>
          <t>PIANO TERRA</t>
        </is>
      </c>
      <c r="J230" s="3" t="inlineStr">
        <is>
          <t>IMPIANTO IIS E FOGNA</t>
        </is>
      </c>
      <c r="K230" s="3" t="inlineStr">
        <is>
          <t>OPERA: LASTRA DI GOMMA ELASTOMERICA ESPANSA A CELLULE CHIUSE; FUNZIONE: COIBENTAZIONE; IMPIEGO: CONDOTTO; SPESSORE [MM] = 19; RESISTENZA ALLA FIAMMA [CLASSE] = 1; FATTORE DI PERMEABILITÀ (Μ) MINIMO [-</t>
        </is>
      </c>
      <c r="L230" s="3" t="inlineStr">
        <is>
          <t>OPERA: LASTRA DI GOMMA ELASTOMERICA ESPANSA A CELLULE CHIUSE; FUNZIONE: COIBENTAZIONE; IMPIEGO: CONDOTTO; SPESSORE [MM] = 19; RESISTENZA ALLA FIAMMA [CLASSE] = 1; FATTORE DI PERMEABILITÀ (Μ) MINIMO [-] = 4000. 
LAVORO: POSA. 
SPECIFICHE TECNICHE: LASTRA INCOLLATA; GOMMA ELASTOMERICA ESPANSA A CELLULE CHIUSE SENZA ALOGENI NÉ PVC. OP LASTRA DI GOMMA ELASTOMERICA ESPANSA A CELLULE CHIUSE; FUNZIONE: COIBENTAZIONE; IMPIEGO: CONDOTTO; SPESSORE [MM] = 19; RESISTENZA ALLA FIAMMA [CLASSE] = 1; FATTORE DI PERMEABILITÀ (Μ) MINIMO [-] = 4000. 
SPECIFICHE TECNICHE: LASTRA INCOLLATA; GOMMA ELASTOMERICA ESPANSA A CELLULE CHIUSE SENZA ALOGENI NÉ PVC. 
RM LASTRA DI GOMMA ESPANSA A CELLULE CHIUSE; FUNZIONE: COIBENTAZIONE; IMPIEGO: CONDOTTO; SPESSORE [MM] = 19; RESISTENZA ALLA FIAMMA [CLASSE] = 1; FATTORE DI PERMEABILITÀ (Μ) MINIMO [-] = 4000 
SPECIFICHE TECNICHE: LASTRA INCOLLATA; GOMMA ELASTOMERICA ESPANSA A CELLULE CHIUSE SENZA ALOGENI NÉ PVC 
LV POSA.</t>
        </is>
      </c>
      <c r="M230" s="4" t="inlineStr">
        <is>
          <t>M²</t>
        </is>
      </c>
      <c r="N230" s="5" t="n">
        <v>21</v>
      </c>
      <c r="O230" s="45" t="n">
        <v>9.58</v>
      </c>
      <c r="P230" s="45" t="n">
        <v>201.18</v>
      </c>
      <c r="Q230" s="5" t="n"/>
      <c r="R230" s="6" t="n"/>
      <c r="S230" s="6">
        <f>IF(AND(Q230&lt;&gt;"",R230&lt;&gt;""),Q230*R230,"")</f>
        <v/>
      </c>
      <c r="T230" s="45">
        <f>IF(S230="",P230,S230)</f>
        <v/>
      </c>
      <c r="U230" s="7" t="n">
        <v>0</v>
      </c>
      <c r="V230" s="6">
        <f>$T230*U230</f>
        <v/>
      </c>
      <c r="W230" s="7" t="n">
        <v>0</v>
      </c>
      <c r="X230" s="6">
        <f>$T230*W230</f>
        <v/>
      </c>
      <c r="Y230" s="7" t="n">
        <v>0</v>
      </c>
      <c r="Z230" s="6">
        <f>$T230*Y230</f>
        <v/>
      </c>
      <c r="AA230" s="7" t="n">
        <v>0</v>
      </c>
      <c r="AB230" s="6">
        <f>$T230*AA230</f>
        <v/>
      </c>
      <c r="AC230" s="7" t="n">
        <v>0</v>
      </c>
      <c r="AD230" s="6">
        <f>$T230*AC230</f>
        <v/>
      </c>
      <c r="AE230" s="7" t="n">
        <v>0</v>
      </c>
      <c r="AF230" s="6">
        <f>$T230*AE230</f>
        <v/>
      </c>
      <c r="AG230" s="7" t="n">
        <v>0</v>
      </c>
      <c r="AH230" s="6">
        <f>$T230*AG230</f>
        <v/>
      </c>
      <c r="AI230" s="7">
        <f>U230+W230+Y230+AA230+AC230+AE230+AG230</f>
        <v/>
      </c>
      <c r="AJ230" s="6">
        <f>V230+X230+Z230+AB230+AD230+AF230+AH230</f>
        <v/>
      </c>
    </row>
    <row r="231" hidden="1" ht="60" customHeight="1" s="46">
      <c r="A231" s="3" t="inlineStr">
        <is>
          <t>DEI_IT_025110A</t>
        </is>
      </c>
      <c r="B231" s="4" t="inlineStr">
        <is>
          <t>1/1</t>
        </is>
      </c>
      <c r="C231" s="3" t="inlineStr">
        <is>
          <t>IMPIANTO MECCANICO</t>
        </is>
      </c>
      <c r="D231" s="4" t="inlineStr">
        <is>
          <t>NON SPECIALE</t>
        </is>
      </c>
      <c r="E231" s="4" t="inlineStr">
        <is>
          <t>MECCANICHE</t>
        </is>
      </c>
      <c r="F231" s="3" t="inlineStr">
        <is>
          <t>2_CME_TOTALE MECCANICI RADIOFARMACIA PAVIA.PDF</t>
        </is>
      </c>
      <c r="G231" s="4" t="inlineStr">
        <is>
          <t>209/209</t>
        </is>
      </c>
      <c r="H231" s="3" t="inlineStr">
        <is>
          <t>40 - IMPIANTISTICO</t>
        </is>
      </c>
      <c r="I231" s="3" t="inlineStr">
        <is>
          <t>PIANO TERRA</t>
        </is>
      </c>
      <c r="J231" s="3" t="inlineStr">
        <is>
          <t>IMPIANTO IIS E FOGNA</t>
        </is>
      </c>
      <c r="K231" s="3" t="inlineStr">
        <is>
          <t>COLLETTORE COMPLANARE COSTITUITO DA MODULI IN OTTONE STAMPATO CON ATTACCHI PER ADATTATORE TUBI DI RAME, PLASTICA O MULTISTRATO, POSTO IN OPERA CON DUE SARACINESCHE, DUE VALVOLE DI SFOGO ARIA, CASSETTA</t>
        </is>
      </c>
      <c r="L231" s="3" t="inlineStr">
        <is>
          <t>COLLETTORE COMPLANARE COSTITUITO DA MODULI IN OTTONE STAMPATO CON ATTACCHI PER ADATTATORE TUBI DI RAME, PLASTICA O MULTISTRATO, POSTO IN OPERA CON DUE SARACINESCHE, DUE VALVOLE DI SFOGO ARIA, CASSETTA DI CONTENIMENTO IN LAMIERA VERNICIATA RAL 9010, CON ESCLUSIONE DELLE OPERE MURARIE: 3/4"X 16 MM: LUNGHEZZA 70 MM, ATTACCHI N. 2 + 2</t>
        </is>
      </c>
      <c r="M231" s="4" t="inlineStr">
        <is>
          <t>CAD</t>
        </is>
      </c>
      <c r="N231" s="5" t="n">
        <v>1</v>
      </c>
      <c r="O231" s="45" t="n">
        <v>260.89</v>
      </c>
      <c r="P231" s="45" t="n">
        <v>260.89</v>
      </c>
      <c r="Q231" s="5" t="n"/>
      <c r="R231" s="6" t="n"/>
      <c r="S231" s="6">
        <f>IF(AND(Q231&lt;&gt;"",R231&lt;&gt;""),Q231*R231,"")</f>
        <v/>
      </c>
      <c r="T231" s="45">
        <f>IF(S231="",P231,S231)</f>
        <v/>
      </c>
      <c r="U231" s="7" t="n">
        <v>0</v>
      </c>
      <c r="V231" s="6">
        <f>$T231*U231</f>
        <v/>
      </c>
      <c r="W231" s="7" t="n">
        <v>0</v>
      </c>
      <c r="X231" s="6">
        <f>$T231*W231</f>
        <v/>
      </c>
      <c r="Y231" s="7" t="n">
        <v>0</v>
      </c>
      <c r="Z231" s="6">
        <f>$T231*Y231</f>
        <v/>
      </c>
      <c r="AA231" s="7" t="n">
        <v>0</v>
      </c>
      <c r="AB231" s="6">
        <f>$T231*AA231</f>
        <v/>
      </c>
      <c r="AC231" s="7" t="n">
        <v>0</v>
      </c>
      <c r="AD231" s="6">
        <f>$T231*AC231</f>
        <v/>
      </c>
      <c r="AE231" s="7" t="n">
        <v>0</v>
      </c>
      <c r="AF231" s="6">
        <f>$T231*AE231</f>
        <v/>
      </c>
      <c r="AG231" s="7" t="n">
        <v>0</v>
      </c>
      <c r="AH231" s="6">
        <f>$T231*AG231</f>
        <v/>
      </c>
      <c r="AI231" s="7">
        <f>U231+W231+Y231+AA231+AC231+AE231+AG231</f>
        <v/>
      </c>
      <c r="AJ231" s="6">
        <f>V231+X231+Z231+AB231+AD231+AF231+AH231</f>
        <v/>
      </c>
    </row>
    <row r="232" hidden="1" ht="60" customHeight="1" s="46">
      <c r="A232" s="3" t="inlineStr">
        <is>
          <t>DEI_IT_025110C</t>
        </is>
      </c>
      <c r="B232" s="4" t="inlineStr">
        <is>
          <t>2/2</t>
        </is>
      </c>
      <c r="C232" s="3" t="inlineStr">
        <is>
          <t>IMPIANTO MECCANICO</t>
        </is>
      </c>
      <c r="D232" s="4" t="inlineStr">
        <is>
          <t>NON SPECIALE</t>
        </is>
      </c>
      <c r="E232" s="4" t="inlineStr">
        <is>
          <t>MECCANICHE</t>
        </is>
      </c>
      <c r="F232" s="3" t="inlineStr">
        <is>
          <t>2_CME_TOTALE MECCANICI RADIOFARMACIA PAVIA.PDF</t>
        </is>
      </c>
      <c r="G232" s="4" t="inlineStr">
        <is>
          <t>210/210</t>
        </is>
      </c>
      <c r="H232" s="3" t="inlineStr">
        <is>
          <t>40 - IMPIANTISTICO</t>
        </is>
      </c>
      <c r="I232" s="3" t="inlineStr">
        <is>
          <t>PIANO TERRA</t>
        </is>
      </c>
      <c r="J232" s="3" t="inlineStr">
        <is>
          <t>IMPIANTO IIS E FOGNA</t>
        </is>
      </c>
      <c r="K232" s="3" t="inlineStr">
        <is>
          <t>COLLETTORE COMPLANARE COSTITUITO DA MODULI IN OTTONE STAMPATO CON ATTACCHI PER ADATTATORE TUBI DI RAME, PLASTICA O MULTISTRATO, POSTO IN OPERA CON DUE SARACINESCHE, DUE VALVOLE DI SFOGO ARIA, CASSETTA</t>
        </is>
      </c>
      <c r="L232" s="3" t="inlineStr">
        <is>
          <t>COLLETTORE COMPLANARE COSTITUITO DA MODULI IN OTTONE STAMPATO CON ATTACCHI PER ADATTATORE TUBI DI RAME, PLASTICA O MULTISTRATO, POSTO IN OPERA CON DUE SARACINESCHE, DUE VALVOLE DI SFOGO ARIA, CASSETTA DI CONTENIMENTO IN LAMIERA VERNICIATA RAL 9010, CON ESCLUSIONE DELLE OPERE MURARIE: 3/4"X 16 MM: LUNGHEZZA 210 MM, ATTACCHI N. 6 + 6</t>
        </is>
      </c>
      <c r="M232" s="4" t="inlineStr">
        <is>
          <t>CAD</t>
        </is>
      </c>
      <c r="N232" s="5" t="n">
        <v>1</v>
      </c>
      <c r="O232" s="45" t="n">
        <v>355.76</v>
      </c>
      <c r="P232" s="45" t="n">
        <v>355.76</v>
      </c>
      <c r="Q232" s="5" t="n"/>
      <c r="R232" s="6" t="n"/>
      <c r="S232" s="6">
        <f>IF(AND(Q232&lt;&gt;"",R232&lt;&gt;""),Q232*R232,"")</f>
        <v/>
      </c>
      <c r="T232" s="45">
        <f>IF(S232="",P232,S232)</f>
        <v/>
      </c>
      <c r="U232" s="7" t="n">
        <v>0</v>
      </c>
      <c r="V232" s="6">
        <f>$T232*U232</f>
        <v/>
      </c>
      <c r="W232" s="7" t="n">
        <v>0</v>
      </c>
      <c r="X232" s="6">
        <f>$T232*W232</f>
        <v/>
      </c>
      <c r="Y232" s="7" t="n">
        <v>0</v>
      </c>
      <c r="Z232" s="6">
        <f>$T232*Y232</f>
        <v/>
      </c>
      <c r="AA232" s="7" t="n">
        <v>0</v>
      </c>
      <c r="AB232" s="6">
        <f>$T232*AA232</f>
        <v/>
      </c>
      <c r="AC232" s="7" t="n">
        <v>0</v>
      </c>
      <c r="AD232" s="6">
        <f>$T232*AC232</f>
        <v/>
      </c>
      <c r="AE232" s="7" t="n">
        <v>0</v>
      </c>
      <c r="AF232" s="6">
        <f>$T232*AE232</f>
        <v/>
      </c>
      <c r="AG232" s="7" t="n">
        <v>0</v>
      </c>
      <c r="AH232" s="6">
        <f>$T232*AG232</f>
        <v/>
      </c>
      <c r="AI232" s="7">
        <f>U232+W232+Y232+AA232+AC232+AE232+AG232</f>
        <v/>
      </c>
      <c r="AJ232" s="6">
        <f>V232+X232+Z232+AB232+AD232+AF232+AH232</f>
        <v/>
      </c>
    </row>
    <row r="233" hidden="1" ht="60" customHeight="1" s="46">
      <c r="A233" s="3" t="inlineStr">
        <is>
          <t>DEI_IT_015023A</t>
        </is>
      </c>
      <c r="B233" s="4" t="inlineStr">
        <is>
          <t>2/2</t>
        </is>
      </c>
      <c r="C233" s="3" t="inlineStr">
        <is>
          <t>IMPIANTO MECCANICO</t>
        </is>
      </c>
      <c r="D233" s="4" t="inlineStr">
        <is>
          <t>NON SPECIALE</t>
        </is>
      </c>
      <c r="E233" s="4" t="inlineStr">
        <is>
          <t>MECCANICHE</t>
        </is>
      </c>
      <c r="F233" s="3" t="inlineStr">
        <is>
          <t>2_CME_TOTALE MECCANICI RADIOFARMACIA PAVIA.PDF</t>
        </is>
      </c>
      <c r="G233" s="4" t="inlineStr">
        <is>
          <t>211/211</t>
        </is>
      </c>
      <c r="H233" s="3" t="inlineStr">
        <is>
          <t>40 - IMPIANTISTICO</t>
        </is>
      </c>
      <c r="I233" s="3" t="inlineStr">
        <is>
          <t>PIANO TERRA</t>
        </is>
      </c>
      <c r="J233" s="3" t="inlineStr">
        <is>
          <t>IMPIANTO IIS E FOGNA</t>
        </is>
      </c>
      <c r="K233" s="3" t="inlineStr">
        <is>
          <t>TUBO MULTISTRATO IN POLIETILENE RETICOLATO TIPO C, CON STRATO INTERMEDIO IN ALLUMINIO, FORNITO NUDO IN ROTOLI O IN BARRE DA 5 M, STABILE NELLA FORMA, CON BARRIERA ALL'OSSIGENO, CLASSE 1, 2, 4, 5 SECON</t>
        </is>
      </c>
      <c r="L233" s="3" t="inlineStr">
        <is>
          <t>TUBO MULTISTRATO IN POLIETILENE RETICOLATO TIPO C, CON STRATO INTERMEDIO IN ALLUMINIO, FORNITO NUDO IN ROTOLI O IN BARRE DA 5 M, STABILE NELLA FORMA, CON BARRIERA ALL'OSSIGENO, CLASSE 1, 2, 4, 5 SECONDO UNI EN ISO 21003, PER IMPIANTI DI ACQUA SANITARIA SECONDO DIRETTIVA UE 2020/2184 E RISCALDAMENTO, CON RACCORDI A PRESSARE IN BRONZO O ACCIAIO INOX, A PASSAGGIO TOTALE O A FLUSSO OTTIMIZZATO, A TENUTA SENZA O-RING, CON DICHIARAZIONE DA PARTE DEL FABBRICANTE DEL COEFFICIENTE K DI ACCIDENTALITÀ COME PREVISTO DALLA UNI TS 11589, TAGLIATO A MISURA E POSTO IN OPERA SU STAFFAGGI, ALL'INTERNO DI CAVEDI O IN TRACCIA, COMPRESA QUOTA PARTE DI RACCORDERIA, LA PRESSATURA DEI RACCORDI CON IDONEI ELETTROUTENSILI, ESCLUSI VALVOLAME, PEZZI SPECIALI, STAFFAGGI E OPERE MURARIE: 16 X 2,0 MM</t>
        </is>
      </c>
      <c r="M233" s="4" t="inlineStr">
        <is>
          <t>M</t>
        </is>
      </c>
      <c r="N233" s="5" t="n">
        <v>100</v>
      </c>
      <c r="O233" s="45" t="n">
        <v>12.1</v>
      </c>
      <c r="P233" s="45" t="n">
        <v>1210</v>
      </c>
      <c r="Q233" s="5" t="n"/>
      <c r="R233" s="6" t="n"/>
      <c r="S233" s="6">
        <f>IF(AND(Q233&lt;&gt;"",R233&lt;&gt;""),Q233*R233,"")</f>
        <v/>
      </c>
      <c r="T233" s="45">
        <f>IF(S233="",P233,S233)</f>
        <v/>
      </c>
      <c r="U233" s="7" t="n">
        <v>0</v>
      </c>
      <c r="V233" s="6">
        <f>$T233*U233</f>
        <v/>
      </c>
      <c r="W233" s="7" t="n">
        <v>0</v>
      </c>
      <c r="X233" s="6">
        <f>$T233*W233</f>
        <v/>
      </c>
      <c r="Y233" s="7" t="n">
        <v>0</v>
      </c>
      <c r="Z233" s="6">
        <f>$T233*Y233</f>
        <v/>
      </c>
      <c r="AA233" s="7" t="n">
        <v>0</v>
      </c>
      <c r="AB233" s="6">
        <f>$T233*AA233</f>
        <v/>
      </c>
      <c r="AC233" s="7" t="n">
        <v>0</v>
      </c>
      <c r="AD233" s="6">
        <f>$T233*AC233</f>
        <v/>
      </c>
      <c r="AE233" s="7" t="n">
        <v>0</v>
      </c>
      <c r="AF233" s="6">
        <f>$T233*AE233</f>
        <v/>
      </c>
      <c r="AG233" s="7" t="n">
        <v>0</v>
      </c>
      <c r="AH233" s="6">
        <f>$T233*AG233</f>
        <v/>
      </c>
      <c r="AI233" s="7">
        <f>U233+W233+Y233+AA233+AC233+AE233+AG233</f>
        <v/>
      </c>
      <c r="AJ233" s="6">
        <f>V233+X233+Z233+AB233+AD233+AF233+AH233</f>
        <v/>
      </c>
    </row>
    <row r="234" hidden="1" ht="60" customHeight="1" s="46">
      <c r="A234" s="3" t="inlineStr">
        <is>
          <t>LOM251.OC.EEA.PA15.I7822.D0010.0750.C</t>
        </is>
      </c>
      <c r="B234" s="4" t="inlineStr">
        <is>
          <t>1/2</t>
        </is>
      </c>
      <c r="C234" s="3" t="inlineStr">
        <is>
          <t>IMPIANTO MECCANICO</t>
        </is>
      </c>
      <c r="D234" s="4" t="inlineStr">
        <is>
          <t>NON SPECIALE</t>
        </is>
      </c>
      <c r="E234" s="4" t="inlineStr">
        <is>
          <t>MECCANICHE</t>
        </is>
      </c>
      <c r="F234" s="3" t="inlineStr">
        <is>
          <t>2_CME_TOTALE MECCANICI RADIOFARMACIA PAVIA.PDF</t>
        </is>
      </c>
      <c r="G234" s="4" t="inlineStr">
        <is>
          <t>212/212</t>
        </is>
      </c>
      <c r="H234" s="3" t="inlineStr">
        <is>
          <t>40 - IMPIANTISTICO</t>
        </is>
      </c>
      <c r="I234" s="3" t="inlineStr">
        <is>
          <t>PIANO TERRA</t>
        </is>
      </c>
      <c r="J234" s="3" t="inlineStr">
        <is>
          <t>IMPIANTO IIS E FOGNA</t>
        </is>
      </c>
      <c r="K234" s="3" t="inlineStr">
        <is>
          <t xml:space="preserve">OPERA: TUBAZIONE DI SCARICO DI PLASTICA POLIETILENE AD ALTA DENSITÀ (HDPE/PEAD); FUNZIONE: SCARICO; DIAMETRO ESTERNO (Ø) [MM] = 50. </t>
        </is>
      </c>
      <c r="L234" s="3" t="inlineStr">
        <is>
          <t>OPERA: TUBAZIONE DI SCARICO DI PLASTICA POLIETILENE AD ALTA DENSITÀ (HDPE/PEAD); FUNZIONE: SCARICO; DIAMETRO ESTERNO (Ø) [MM] = 50. 
LAVORO: SALDATURA DI TESTA. INCLUSO: OPERAZIONI DI PREPARAZIONE DI ELEMENTI DA SALDARE; NOLO SALDATRICE; CONSUMI. 
SPECIFICHE TECNICHE: PEAD MALLEABILIZZATO. OP TUBAZIONE DI SCARICO DI PLASTICA POLIETILENE AD ALTA DENSITÀ (HDPE/PEAD); FUNZIONE: SCARICO; DIAMETRO ESTERNO (Ø) [MM] = 50. 
SPECIFICHE TECNICHE: PEAD MALLEABILIZZATO. 
RM TUBO DI PLASTICA POLIETILENE (PE); FINITURA: COLORE NERO; GEOMETRIA: MALLEABILIZZATO; FUNZIONE: SCARICO ACQUE; IMPIEGO: IMPIANTO CIVILE | INDUSTRIALE; DIAMETRO ESTERNO (Ø) [MM] = 50 | SPESSORE [MM] = 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234" s="4" t="inlineStr">
        <is>
          <t>M</t>
        </is>
      </c>
      <c r="N234" s="5" t="n">
        <v>24</v>
      </c>
      <c r="O234" s="45" t="n">
        <v>16.45</v>
      </c>
      <c r="P234" s="45" t="n">
        <v>394.8</v>
      </c>
      <c r="Q234" s="5" t="n"/>
      <c r="R234" s="6" t="n"/>
      <c r="S234" s="6">
        <f>IF(AND(Q234&lt;&gt;"",R234&lt;&gt;""),Q234*R234,"")</f>
        <v/>
      </c>
      <c r="T234" s="45">
        <f>IF(S234="",P234,S234)</f>
        <v/>
      </c>
      <c r="U234" s="7" t="n">
        <v>0</v>
      </c>
      <c r="V234" s="6">
        <f>$T234*U234</f>
        <v/>
      </c>
      <c r="W234" s="7" t="n">
        <v>0</v>
      </c>
      <c r="X234" s="6">
        <f>$T234*W234</f>
        <v/>
      </c>
      <c r="Y234" s="7" t="n">
        <v>0</v>
      </c>
      <c r="Z234" s="6">
        <f>$T234*Y234</f>
        <v/>
      </c>
      <c r="AA234" s="7" t="n">
        <v>0</v>
      </c>
      <c r="AB234" s="6">
        <f>$T234*AA234</f>
        <v/>
      </c>
      <c r="AC234" s="7" t="n">
        <v>0</v>
      </c>
      <c r="AD234" s="6">
        <f>$T234*AC234</f>
        <v/>
      </c>
      <c r="AE234" s="7" t="n">
        <v>0</v>
      </c>
      <c r="AF234" s="6">
        <f>$T234*AE234</f>
        <v/>
      </c>
      <c r="AG234" s="7" t="n">
        <v>0</v>
      </c>
      <c r="AH234" s="6">
        <f>$T234*AG234</f>
        <v/>
      </c>
      <c r="AI234" s="7">
        <f>U234+W234+Y234+AA234+AC234+AE234+AG234</f>
        <v/>
      </c>
      <c r="AJ234" s="6">
        <f>V234+X234+Z234+AB234+AD234+AF234+AH234</f>
        <v/>
      </c>
    </row>
    <row r="235" hidden="1" ht="60" customHeight="1" s="46">
      <c r="A235" s="3" t="inlineStr">
        <is>
          <t>LOM251.OC.EEA.PA15.I7822.D0010.0750.E</t>
        </is>
      </c>
      <c r="B235" s="4" t="inlineStr">
        <is>
          <t>2/3</t>
        </is>
      </c>
      <c r="C235" s="3" t="inlineStr">
        <is>
          <t>IMPIANTO MECCANICO</t>
        </is>
      </c>
      <c r="D235" s="4" t="inlineStr">
        <is>
          <t>NON SPECIALE</t>
        </is>
      </c>
      <c r="E235" s="4" t="inlineStr">
        <is>
          <t>MECCANICHE</t>
        </is>
      </c>
      <c r="F235" s="3" t="inlineStr">
        <is>
          <t>2_CME_TOTALE MECCANICI RADIOFARMACIA PAVIA.PDF</t>
        </is>
      </c>
      <c r="G235" s="4" t="inlineStr">
        <is>
          <t>213/213</t>
        </is>
      </c>
      <c r="H235" s="3" t="inlineStr">
        <is>
          <t>40 - IMPIANTISTICO</t>
        </is>
      </c>
      <c r="I235" s="3" t="inlineStr">
        <is>
          <t>PIANO TERRA</t>
        </is>
      </c>
      <c r="J235" s="3" t="inlineStr">
        <is>
          <t>IMPIANTO IIS E FOGNA</t>
        </is>
      </c>
      <c r="K235" s="3" t="inlineStr">
        <is>
          <t xml:space="preserve">OPERA: TUBAZIONE DI SCARICO DI PLASTICA POLIETILENE AD ALTA DENSITÀ (HDPE/PEAD); FUNZIONE: SCARICO; DIAMETRO ESTERNO (Ø) [MM] = 63. </t>
        </is>
      </c>
      <c r="L235" s="3" t="inlineStr">
        <is>
          <t>OPERA: TUBAZIONE DI SCARICO DI PLASTICA POLIETILENE AD ALTA DENSITÀ (HDPE/PEAD); FUNZIONE: SCARICO; DIAMETRO ESTERNO (Ø) [MM] = 63. 
LAVORO: SALDATURA DI TESTA. INCLUSO: OPERAZIONI DI PREPARAZIONE DI ELEMENTI DA SALDARE; NOLO SALDATRICE; CONSUMI. 
SPECIFICHE TECNICHE: PEAD MALLEABILIZZATO. OP TUBAZIONE DI SCARICO DI PLASTICA POLIETILENE AD ALTA DENSITÀ (HDPE/PEAD); FUNZIONE: SCARICO; DIAMETRO ESTERNO (Ø) [MM] = 63. 
SPECIFICHE TECNICHE: PEAD MALLEABILIZZATO. 
RM TUBO DI PLASTICA POLIETILENE (PE); FINITURA: COLORE NERO; GEOMETRIA: MALLEABILIZZATO; FUNZIONE: SCARICO ACQUE; IMPIEGO: IMPIANTO CIVILE | INDUSTRIALE; DIAMETRO ESTERNO (Ø) [MM] = 63 | SPESSORE [MM] = 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235" s="4" t="inlineStr">
        <is>
          <t>M</t>
        </is>
      </c>
      <c r="N235" s="5" t="n">
        <v>24</v>
      </c>
      <c r="O235" s="45" t="n">
        <v>23.72</v>
      </c>
      <c r="P235" s="45" t="n">
        <v>569.28</v>
      </c>
      <c r="Q235" s="5" t="n"/>
      <c r="R235" s="6" t="n"/>
      <c r="S235" s="6">
        <f>IF(AND(Q235&lt;&gt;"",R235&lt;&gt;""),Q235*R235,"")</f>
        <v/>
      </c>
      <c r="T235" s="45">
        <f>IF(S235="",P235,S235)</f>
        <v/>
      </c>
      <c r="U235" s="7" t="n">
        <v>0</v>
      </c>
      <c r="V235" s="6">
        <f>$T235*U235</f>
        <v/>
      </c>
      <c r="W235" s="7" t="n">
        <v>0</v>
      </c>
      <c r="X235" s="6">
        <f>$T235*W235</f>
        <v/>
      </c>
      <c r="Y235" s="7" t="n">
        <v>0</v>
      </c>
      <c r="Z235" s="6">
        <f>$T235*Y235</f>
        <v/>
      </c>
      <c r="AA235" s="7" t="n">
        <v>0</v>
      </c>
      <c r="AB235" s="6">
        <f>$T235*AA235</f>
        <v/>
      </c>
      <c r="AC235" s="7" t="n">
        <v>0</v>
      </c>
      <c r="AD235" s="6">
        <f>$T235*AC235</f>
        <v/>
      </c>
      <c r="AE235" s="7" t="n">
        <v>0</v>
      </c>
      <c r="AF235" s="6">
        <f>$T235*AE235</f>
        <v/>
      </c>
      <c r="AG235" s="7" t="n">
        <v>0</v>
      </c>
      <c r="AH235" s="6">
        <f>$T235*AG235</f>
        <v/>
      </c>
      <c r="AI235" s="7">
        <f>U235+W235+Y235+AA235+AC235+AE235+AG235</f>
        <v/>
      </c>
      <c r="AJ235" s="6">
        <f>V235+X235+Z235+AB235+AD235+AF235+AH235</f>
        <v/>
      </c>
    </row>
    <row r="236" ht="60" customHeight="1" s="46">
      <c r="A236" s="3" t="inlineStr">
        <is>
          <t>LOM251.OC.EEA.PA15.I7822.D0010.0750.H</t>
        </is>
      </c>
      <c r="B236" s="4" t="inlineStr">
        <is>
          <t>2/3</t>
        </is>
      </c>
      <c r="C236" s="3" t="inlineStr">
        <is>
          <t>IMPIANTO MECCANICO</t>
        </is>
      </c>
      <c r="D236" s="4" t="inlineStr">
        <is>
          <t>NON SPECIALE</t>
        </is>
      </c>
      <c r="E236" s="4" t="inlineStr">
        <is>
          <t>MECCANICHE</t>
        </is>
      </c>
      <c r="F236" s="3" t="inlineStr">
        <is>
          <t>2_CME_TOTALE MECCANICI RADIOFARMACIA PAVIA.PDF</t>
        </is>
      </c>
      <c r="G236" s="4" t="inlineStr">
        <is>
          <t>214/214</t>
        </is>
      </c>
      <c r="H236" s="3" t="inlineStr">
        <is>
          <t>40 - IMPIANTISTICO</t>
        </is>
      </c>
      <c r="I236" s="3" t="inlineStr">
        <is>
          <t>PIANO TERRA</t>
        </is>
      </c>
      <c r="J236" s="3" t="inlineStr">
        <is>
          <t>IMPIANTO IIS E FOGNA</t>
        </is>
      </c>
      <c r="K236" s="3" t="inlineStr">
        <is>
          <t xml:space="preserve">OPERA: TUBAZIONE DI SCARICO DI PLASTICA POLIETILENE AD ALTA DENSITÀ (HDPE/PEAD); FUNZIONE: SCARICO; DIAMETRO ESTERNO (Ø) [MM] = 110. </t>
        </is>
      </c>
      <c r="L236" s="3" t="inlineStr">
        <is>
          <t>OPERA: TUBAZIONE DI SCARICO DI PLASTICA POLIETILENE AD ALTA DENSITÀ (HDPE/PEAD); FUNZIONE: SCARICO; DIAMETRO ESTERNO (Ø) [MM] = 110. 
LAVORO: SALDATURA DI TESTA. INCLUSO: OPERAZIONI DI PREPARAZIONE DI ELEMENTI DA SALDARE; NOLO SALDATRICE; CONSUMI. 
SPECIFICHE TECNICHE: PEAD MALLEABILIZZATO. OP TUBAZIONE DI SCARICO DI PLASTICA POLIETILENE AD ALTA DENSITÀ (HDPE/PEAD); FUNZIONE: SCARICO; DIAMETRO ESTERNO (Ø) [MM] = 110. 
SPECIFICHE TECNICHE: PEAD MALLEABILIZZATO. 
RM TUBO DI PLASTICA POLIETILENE (PE); FINITURA: COLORE NERO; GEOMETRIA: MALLEABILIZZATO; FUNZIONE: SCARICO ACQUE; IMPIEGO: IMPIANTO CIVILE | INDUSTRIALE; DIAMETRO ESTERNO (Ø) [MM] = 110 | SPESSORE [MM] = 4,3.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236" s="4" t="inlineStr">
        <is>
          <t>M</t>
        </is>
      </c>
      <c r="N236" s="5" t="n">
        <v>24</v>
      </c>
      <c r="O236" s="45" t="n">
        <v>42.38</v>
      </c>
      <c r="P236" s="45" t="n">
        <v>1017.12</v>
      </c>
      <c r="Q236" s="5" t="n"/>
      <c r="R236" s="6" t="n"/>
      <c r="S236" s="6">
        <f>IF(AND(Q236&lt;&gt;"",R236&lt;&gt;""),Q236*R236,"")</f>
        <v/>
      </c>
      <c r="T236" s="45">
        <f>IF(S236="",P236,S236)</f>
        <v/>
      </c>
      <c r="U236" s="7" t="n">
        <v>0</v>
      </c>
      <c r="V236" s="6">
        <f>$T236*U236</f>
        <v/>
      </c>
      <c r="W236" s="7" t="n">
        <v>0.75</v>
      </c>
      <c r="X236" s="6">
        <f>$T236*W236</f>
        <v/>
      </c>
      <c r="Y236" s="7" t="n">
        <v>0</v>
      </c>
      <c r="Z236" s="6">
        <f>$T236*Y236</f>
        <v/>
      </c>
      <c r="AA236" s="7" t="n">
        <v>0</v>
      </c>
      <c r="AB236" s="6">
        <f>$T236*AA236</f>
        <v/>
      </c>
      <c r="AC236" s="7" t="n">
        <v>0</v>
      </c>
      <c r="AD236" s="6">
        <f>$T236*AC236</f>
        <v/>
      </c>
      <c r="AE236" s="7" t="n">
        <v>0</v>
      </c>
      <c r="AF236" s="6">
        <f>$T236*AE236</f>
        <v/>
      </c>
      <c r="AG236" s="7" t="n">
        <v>0</v>
      </c>
      <c r="AH236" s="6">
        <f>$T236*AG236</f>
        <v/>
      </c>
      <c r="AI236" s="7">
        <f>U236+W236+Y236+AA236+AC236+AE236+AG236</f>
        <v/>
      </c>
      <c r="AJ236" s="6">
        <f>V236+X236+Z236+AB236+AD236+AF236+AH236</f>
        <v/>
      </c>
    </row>
    <row r="237" ht="60" customHeight="1" s="46">
      <c r="A237" s="3" t="inlineStr">
        <is>
          <t>LOM251.OC.EEA.PA15.I7822.D0010.0750.I</t>
        </is>
      </c>
      <c r="B237" s="4" t="inlineStr">
        <is>
          <t>2/3</t>
        </is>
      </c>
      <c r="C237" s="3" t="inlineStr">
        <is>
          <t>IMPIANTO MECCANICO</t>
        </is>
      </c>
      <c r="D237" s="4" t="inlineStr">
        <is>
          <t>NON SPECIALE</t>
        </is>
      </c>
      <c r="E237" s="4" t="inlineStr">
        <is>
          <t>MECCANICHE</t>
        </is>
      </c>
      <c r="F237" s="3" t="inlineStr">
        <is>
          <t>2_CME_TOTALE MECCANICI RADIOFARMACIA PAVIA.PDF</t>
        </is>
      </c>
      <c r="G237" s="4" t="inlineStr">
        <is>
          <t>215/215</t>
        </is>
      </c>
      <c r="H237" s="3" t="inlineStr">
        <is>
          <t>40 - IMPIANTISTICO</t>
        </is>
      </c>
      <c r="I237" s="3" t="inlineStr">
        <is>
          <t>PIANO TERRA</t>
        </is>
      </c>
      <c r="J237" s="3" t="inlineStr">
        <is>
          <t>IMPIANTO IIS E FOGNA</t>
        </is>
      </c>
      <c r="K237" s="3" t="inlineStr">
        <is>
          <t xml:space="preserve">OPERA: TUBAZIONE DI SCARICO DI PLASTICA POLIETILENE AD ALTA DENSITÀ (HDPE/PEAD); FUNZIONE: SCARICO; DIAMETRO ESTERNO (Ø) [MM] = 125. </t>
        </is>
      </c>
      <c r="L237" s="3" t="inlineStr">
        <is>
          <t>OPERA: TUBAZIONE DI SCARICO DI PLASTICA POLIETILENE AD ALTA DENSITÀ (HDPE/PEAD); FUNZIONE: SCARICO; DIAMETRO ESTERNO (Ø) [MM] = 125. 
LAVORO: SALDATURA DI TESTA. INCLUSO: OPERAZIONI DI PREPARAZIONE DI ELEMENTI DA SALDARE; NOLO SALDATRICE; CONSUMI. 
SPECIFICHE TECNICHE: PEAD MALLEABILIZZATO. OP TUBAZIONE DI SCARICO DI PLASTICA POLIETILENE AD ALTA DENSITÀ (HDPE/PEAD); FUNZIONE: SCARICO; DIAMETRO ESTERNO (Ø) [MM] = 125. 
SPECIFICHE TECNICHE: PEAD MALLEABILIZZATO. 
RM TUBO DI PLASTICA POLIETILENE (PE); FINITURA: COLORE NERO; GEOMETRIA: MALLEABILIZZATO; FUNZIONE: SCARICO ACQUE; IMPIEGO: IMPIANTO CIVILE | INDUSTRIALE; DIAMETRO ESTERNO (Ø) [MM] = 125 | SPESSORE [MM] = 4,9. ESCLUSO: RACCORDI 
SPECIFICHE TECNICHE: DA GIUNTARE CON: SALDATURA DI TESTA, MANICOTTO ELETTRICO O MANICOTTO DI DILATAZIONE 
LV SALDATURA DI TESTA. INCLUSO: OPERAZIONI DI PREPARAZIONE DI ELEMENTI DA SALDARE; NOLO SALDATRICE; CONSUMI. 
RP SALDATRICE TESTA-TESTA; DIAMETRO OPERATIVO [MM] = 75 ÷ 250. INCLUSO: ACCESSORI (ES. FRESA SPIANATRICE, TERMOELEMENTO, CENTRALINA, TERMOSTATO, ANELLI DI RIDUZIONE). DA CONTEGGIARE A PARTE: SPESE DI ESERCIZIO (RP.01.20.00.1020.B)</t>
        </is>
      </c>
      <c r="M237" s="4" t="inlineStr">
        <is>
          <t>M</t>
        </is>
      </c>
      <c r="N237" s="5" t="n">
        <v>16</v>
      </c>
      <c r="O237" s="45" t="n">
        <v>56.93</v>
      </c>
      <c r="P237" s="45" t="n">
        <v>910.88</v>
      </c>
      <c r="Q237" s="5" t="n"/>
      <c r="R237" s="6" t="n"/>
      <c r="S237" s="6">
        <f>IF(AND(Q237&lt;&gt;"",R237&lt;&gt;""),Q237*R237,"")</f>
        <v/>
      </c>
      <c r="T237" s="45">
        <f>IF(S237="",P237,S237)</f>
        <v/>
      </c>
      <c r="U237" s="7" t="n">
        <v>0</v>
      </c>
      <c r="V237" s="6">
        <f>$T237*U237</f>
        <v/>
      </c>
      <c r="W237" s="7" t="n">
        <v>0.75</v>
      </c>
      <c r="X237" s="6">
        <f>$T237*W237</f>
        <v/>
      </c>
      <c r="Y237" s="7" t="n">
        <v>0</v>
      </c>
      <c r="Z237" s="6">
        <f>$T237*Y237</f>
        <v/>
      </c>
      <c r="AA237" s="7" t="n">
        <v>0</v>
      </c>
      <c r="AB237" s="6">
        <f>$T237*AA237</f>
        <v/>
      </c>
      <c r="AC237" s="7" t="n">
        <v>0</v>
      </c>
      <c r="AD237" s="6">
        <f>$T237*AC237</f>
        <v/>
      </c>
      <c r="AE237" s="7" t="n">
        <v>0</v>
      </c>
      <c r="AF237" s="6">
        <f>$T237*AE237</f>
        <v/>
      </c>
      <c r="AG237" s="7" t="n">
        <v>0</v>
      </c>
      <c r="AH237" s="6">
        <f>$T237*AG237</f>
        <v/>
      </c>
      <c r="AI237" s="7">
        <f>U237+W237+Y237+AA237+AC237+AE237+AG237</f>
        <v/>
      </c>
      <c r="AJ237" s="6">
        <f>V237+X237+Z237+AB237+AD237+AF237+AH237</f>
        <v/>
      </c>
    </row>
    <row r="238" ht="60" customHeight="1" s="46">
      <c r="A238" s="3" t="inlineStr">
        <is>
          <t>LOM251.OC.EEA.PA15.I7822.D0010.0750.J</t>
        </is>
      </c>
      <c r="B238" s="4" t="inlineStr">
        <is>
          <t>1/2</t>
        </is>
      </c>
      <c r="C238" s="3" t="inlineStr">
        <is>
          <t>IMPIANTO MECCANICO</t>
        </is>
      </c>
      <c r="D238" s="4" t="inlineStr">
        <is>
          <t>NON SPECIALE</t>
        </is>
      </c>
      <c r="E238" s="4" t="inlineStr">
        <is>
          <t>MECCANICHE</t>
        </is>
      </c>
      <c r="F238" s="3" t="inlineStr">
        <is>
          <t>2_CME_TOTALE MECCANICI RADIOFARMACIA PAVIA.PDF</t>
        </is>
      </c>
      <c r="G238" s="4" t="inlineStr">
        <is>
          <t>216/216</t>
        </is>
      </c>
      <c r="H238" s="3" t="inlineStr">
        <is>
          <t>40 - IMPIANTISTICO</t>
        </is>
      </c>
      <c r="I238" s="3" t="inlineStr">
        <is>
          <t>PIANO TERRA</t>
        </is>
      </c>
      <c r="J238" s="3" t="inlineStr">
        <is>
          <t>IMPIANTO IIS E FOGNA</t>
        </is>
      </c>
      <c r="K238" s="3" t="inlineStr">
        <is>
          <t xml:space="preserve">OPERA: TUBAZIONE DI SCARICO DI PLASTICA POLIETILENE AD ALTA DENSITÀ (HDPE/PEAD); FUNZIONE: SCARICO; DIAMETRO ESTERNO (Ø) [MM] = 160. </t>
        </is>
      </c>
      <c r="L238" s="3" t="inlineStr">
        <is>
          <t>OPERA: TUBAZIONE DI SCARICO DI PLASTICA POLIETILENE AD ALTA DENSITÀ (HDPE/PEAD); FUNZIONE: SCARICO; DIAMETRO ESTERNO (Ø) [MM] = 160. 
LAVORO: SALDATURA DI TESTA. INCLUSO: OPERAZIONI DI PREPARAZIONE DI ELEMENTI DA SALDARE; NOLO SALDATRICE; CONSUMI. 
SPECIFICHE TECNICHE: PEAD MALLEABILIZZATO. OP TUBAZIONE DI SCARICO DI PLASTICA POLIETILENE AD ALTA DENSITÀ (HDPE/PEAD); FUNZIONE: SCARICO; DIAMETRO ESTERNO (Ø) [MM] = 160. 
SPECIFICHE TECNICHE: PEAD MALLEABILIZZATO. 
RM TUBO DI PLASTICA POLIETILENE (PE); FINITURA: COLORE NERO; GEOMETRIA: MALLEABILIZZATO; FUNZIONE: SCARICO ACQUE; IMPIEGO: IMPIANTO CIVILE | INDUSTRIALE; DIAMETRO ESTERNO (Ø) [MM] = 160 | SPESSORE [MM] = 6,2. ESCLUSO: RACCORDI 
SPECIFICHE TECNICHE: DA GIUNTARE CON: SALDATURA DI TESTA, MANICOTTO ELETTRICO O MANICOTTO DI DILATAZIONE 
LV SALDATURA DI TESTA. INCLUSO: OPERAZIONI DI PREPARAZIONE DI ELEMENTI DA SALDARE; NOLO SALDATRICE; CONSUMI. 
RP SALDATRICE TESTA-TESTA; DIAMETRO OPERATIVO [MM] = 75 ÷ 250. INCLUSO: ACCESSORI (ES. FRESA SPIANATRICE, TERMOELEMENTO, CENTRALINA, TERMOSTATO, ANELLI DI RIDUZIONE). DA CONTEGGIARE A PARTE: SPESE DI ESERCIZIO (RP.01.20.00.1020.B)</t>
        </is>
      </c>
      <c r="M238" s="4" t="inlineStr">
        <is>
          <t>M</t>
        </is>
      </c>
      <c r="N238" s="5" t="n">
        <v>8</v>
      </c>
      <c r="O238" s="45" t="n">
        <v>67.68000000000001</v>
      </c>
      <c r="P238" s="45" t="n">
        <v>541.4400000000001</v>
      </c>
      <c r="Q238" s="5" t="n"/>
      <c r="R238" s="6" t="n"/>
      <c r="S238" s="6">
        <f>IF(AND(Q238&lt;&gt;"",R238&lt;&gt;""),Q238*R238,"")</f>
        <v/>
      </c>
      <c r="T238" s="45">
        <f>IF(S238="",P238,S238)</f>
        <v/>
      </c>
      <c r="U238" s="7" t="n">
        <v>0</v>
      </c>
      <c r="V238" s="6">
        <f>$T238*U238</f>
        <v/>
      </c>
      <c r="W238" s="7" t="n">
        <v>0.75</v>
      </c>
      <c r="X238" s="6">
        <f>$T238*W238</f>
        <v/>
      </c>
      <c r="Y238" s="7" t="n">
        <v>0</v>
      </c>
      <c r="Z238" s="6">
        <f>$T238*Y238</f>
        <v/>
      </c>
      <c r="AA238" s="7" t="n">
        <v>0</v>
      </c>
      <c r="AB238" s="6">
        <f>$T238*AA238</f>
        <v/>
      </c>
      <c r="AC238" s="7" t="n">
        <v>0</v>
      </c>
      <c r="AD238" s="6">
        <f>$T238*AC238</f>
        <v/>
      </c>
      <c r="AE238" s="7" t="n">
        <v>0</v>
      </c>
      <c r="AF238" s="6">
        <f>$T238*AE238</f>
        <v/>
      </c>
      <c r="AG238" s="7" t="n">
        <v>0</v>
      </c>
      <c r="AH238" s="6">
        <f>$T238*AG238</f>
        <v/>
      </c>
      <c r="AI238" s="7">
        <f>U238+W238+Y238+AA238+AC238+AE238+AG238</f>
        <v/>
      </c>
      <c r="AJ238" s="6">
        <f>V238+X238+Z238+AB238+AD238+AF238+AH238</f>
        <v/>
      </c>
    </row>
    <row r="239" ht="60" customHeight="1" s="46">
      <c r="A239" s="3" t="inlineStr">
        <is>
          <t>LOM251.OC.EEA.PA02.I7816.SB030.0000</t>
        </is>
      </c>
      <c r="B239" s="4" t="inlineStr">
        <is>
          <t>1/1</t>
        </is>
      </c>
      <c r="C239" s="3" t="inlineStr">
        <is>
          <t>IMPIANTO MECCANICO</t>
        </is>
      </c>
      <c r="D239" s="4" t="inlineStr">
        <is>
          <t>NON SPECIALE</t>
        </is>
      </c>
      <c r="E239" s="4" t="inlineStr">
        <is>
          <t>MECCANICHE</t>
        </is>
      </c>
      <c r="F239" s="3" t="inlineStr">
        <is>
          <t>2_CME_TOTALE MECCANICI RADIOFARMACIA PAVIA.PDF</t>
        </is>
      </c>
      <c r="G239" s="4" t="inlineStr">
        <is>
          <t>217/217</t>
        </is>
      </c>
      <c r="H239" s="3" t="inlineStr">
        <is>
          <t>40 - IMPIANTISTICO</t>
        </is>
      </c>
      <c r="I239" s="3" t="n"/>
      <c r="J239" s="3" t="inlineStr">
        <is>
          <t>IMPIANTO ACQUE METEORICHE</t>
        </is>
      </c>
      <c r="K239" s="3" t="inlineStr">
        <is>
          <t xml:space="preserve">OPERA: PLUVIALE, TERMINALE DI LEGA FERROSA GHISA GENERICO. INCLUSO: ACCESSORI DI FISSAGGIO. </t>
        </is>
      </c>
      <c r="L239" s="3" t="inlineStr">
        <is>
          <t>OPERA: PLUVIALE, TERMINALE DI LEGA FERROSA GHISA GENERICO. INCLUSO: ACCESSORI DI FISSAGGIO. 
LAVORO: POSA. INCLUSO: ASSISTENZE MURARIE. OP PLUVIALE, TERMINALE DI LEGA FERROSA GHISA GENERICO. INCLUSO: ACCESSORI DI FISSAGGIO. 
RM TUBO TERMINALE PLUVIALE DI LEGA FERROSA GHISA GENERICO; GEOMETRIA: DRITTO; IMPIEGO: PLUVIALI; DIAMETRO (Ø) [MM] = 80 | LUNGHEZZA [M] = 1,5 
LV POSA. INCLUSO: ASSISTENZE MURARIE.</t>
        </is>
      </c>
      <c r="M239" s="4" t="inlineStr">
        <is>
          <t>CAD</t>
        </is>
      </c>
      <c r="N239" s="5" t="n">
        <v>9</v>
      </c>
      <c r="O239" s="45" t="n">
        <v>147.84</v>
      </c>
      <c r="P239" s="45" t="n">
        <v>1330.56</v>
      </c>
      <c r="Q239" s="5" t="n"/>
      <c r="R239" s="6" t="n"/>
      <c r="S239" s="6">
        <f>IF(AND(Q239&lt;&gt;"",R239&lt;&gt;""),Q239*R239,"")</f>
        <v/>
      </c>
      <c r="T239" s="45">
        <f>IF(S239="",P239,S239)</f>
        <v/>
      </c>
      <c r="U239" s="7" t="n">
        <v>0</v>
      </c>
      <c r="V239" s="6">
        <f>$T239*U239</f>
        <v/>
      </c>
      <c r="W239" s="7" t="n">
        <v>0.5</v>
      </c>
      <c r="X239" s="6">
        <f>$T239*W239</f>
        <v/>
      </c>
      <c r="Y239" s="7" t="n">
        <v>0</v>
      </c>
      <c r="Z239" s="6">
        <f>$T239*Y239</f>
        <v/>
      </c>
      <c r="AA239" s="7" t="n">
        <v>0</v>
      </c>
      <c r="AB239" s="6">
        <f>$T239*AA239</f>
        <v/>
      </c>
      <c r="AC239" s="7" t="n">
        <v>0</v>
      </c>
      <c r="AD239" s="6">
        <f>$T239*AC239</f>
        <v/>
      </c>
      <c r="AE239" s="7" t="n">
        <v>0</v>
      </c>
      <c r="AF239" s="6">
        <f>$T239*AE239</f>
        <v/>
      </c>
      <c r="AG239" s="7" t="n">
        <v>0</v>
      </c>
      <c r="AH239" s="6">
        <f>$T239*AG239</f>
        <v/>
      </c>
      <c r="AI239" s="7">
        <f>U239+W239+Y239+AA239+AC239+AE239+AG239</f>
        <v/>
      </c>
      <c r="AJ239" s="6">
        <f>V239+X239+Z239+AB239+AD239+AF239+AH239</f>
        <v/>
      </c>
    </row>
    <row r="240" ht="60" customHeight="1" s="46">
      <c r="A240" s="3" t="inlineStr">
        <is>
          <t>LOM251.OC.EEA.PA02.I7836.D0019.0020</t>
        </is>
      </c>
      <c r="B240" s="4" t="inlineStr">
        <is>
          <t>1/1</t>
        </is>
      </c>
      <c r="C240" s="3" t="inlineStr">
        <is>
          <t>IMPIANTO MECCANICO</t>
        </is>
      </c>
      <c r="D240" s="4" t="inlineStr">
        <is>
          <t>NON SPECIALE</t>
        </is>
      </c>
      <c r="E240" s="4" t="inlineStr">
        <is>
          <t>MECCANICHE</t>
        </is>
      </c>
      <c r="F240" s="3" t="inlineStr">
        <is>
          <t>2_CME_TOTALE MECCANICI RADIOFARMACIA PAVIA.PDF</t>
        </is>
      </c>
      <c r="G240" s="4" t="inlineStr">
        <is>
          <t>218/218</t>
        </is>
      </c>
      <c r="H240" s="3" t="inlineStr">
        <is>
          <t>40 - IMPIANTISTICO</t>
        </is>
      </c>
      <c r="I240" s="3" t="n"/>
      <c r="J240" s="3" t="inlineStr">
        <is>
          <t>IMPIANTO ACQUE METEORICHE</t>
        </is>
      </c>
      <c r="K240" s="3" t="inlineStr">
        <is>
          <t>OPERA: TUBAZIONE DI VENTILAZIONE, A BICCHIERE AD INCOLLAGGIO DI PLASTICA POLIVINCLORURO NON PLASTIFICATO (PVC-U); FINITURA: COLORE AVORIO | COLORE GRIGIO | COLORE MARRONE; IMPIEGO: VENTILAZIONE E PLUV</t>
        </is>
      </c>
      <c r="L240" s="3" t="inlineStr">
        <is>
          <t>OPERA: TUBAZIONE DI VENTILAZIONE, A BICCHIERE AD INCOLLAGGIO DI PLASTICA POLIVINCLORURO NON PLASTIFICATO (PVC-U); FINITURA: COLORE AVORIO | COLORE GRIGIO | COLORE MARRONE; IMPIEGO: VENTILAZIONE E PLUVIALI; DIAMETRO ESTERNO (Ø) [MM] = 80 | SPESSORE [MM] = 1,5. 
LAVORO: POSA. INCLUSO: ONERI DI FISSAGGIO A PARETE; ONERI DI FISSAGGIO A SOFFITTI; ONERI ATTRAVERSAMENTI DELLE STRUTTURE. 
SPECIFICHE TECNICHE: COLORE GRIGIO (RAL 7037); COLORE MARRONE (RAL 8017). OP TUBAZIONE DI VENTILAZIONE, A BICCHIERE AD INCOLLAGGIO DI PLASTICA POLIVINCLORURO NON PLASTIFICATO (PVC-U); FINITURA: COLORE AVORIO | COLORE GRIGIO | COLORE MARRONE; IMPIEGO: VENTILAZIONE E PLUVIALI; DIAMETRO ESTERNO (Ø) [MM] = 80 | SPESSORE [MM] = 1,5. 
SPECIFICHE TECNICHE: COLORE GRIGIO (RAL 7037); COLORE MARRONE (RAL 8017). 
RM TUBO A BICCHIERE AD INCOLLAGGIO DI PLASTICA POLIVINCLORURO NON PLASTIFICATO (PVC-U); FINITURA: COLORE AVORIO | COLORE GRIGIO | COLORE MARRONE; IMPIEGO: CONDOTTE DI VENTILAZIONE | PLUVIALI; DIAMETRO ESTERNO (Ø) [MM] = 80 | SPESSORE [MM] = 1,5 
SPECIFICHE TECNICHE: COLORI RAL 7037 E RAL 8017 
RM SISTEMA DI FISSAGGIO DI PLASTICA POLIVINILCLORURO (PVC); FUNZIONE: VENTILAZIONE | PLUVIALI; IMPIEGO: TUBO DI DIAMETRO ESTERNO [MM] = 80; SPESSORE [MM] = 1,5 
LV POSA. INCLUSO: ONERI DI FISSAGGIO A PARETE; ONERI DI FISSAGGIO A SOFFITTI; ONERI ATTRAVERSAMENTI DELLE STRUTTURE.</t>
        </is>
      </c>
      <c r="M240" s="4" t="inlineStr">
        <is>
          <t>M</t>
        </is>
      </c>
      <c r="N240" s="5" t="n">
        <v>55</v>
      </c>
      <c r="O240" s="45" t="n">
        <v>30.36</v>
      </c>
      <c r="P240" s="45" t="n">
        <v>1669.8</v>
      </c>
      <c r="Q240" s="5" t="n"/>
      <c r="R240" s="6" t="n"/>
      <c r="S240" s="6">
        <f>IF(AND(Q240&lt;&gt;"",R240&lt;&gt;""),Q240*R240,"")</f>
        <v/>
      </c>
      <c r="T240" s="45">
        <f>IF(S240="",P240,S240)</f>
        <v/>
      </c>
      <c r="U240" s="7" t="n">
        <v>0</v>
      </c>
      <c r="V240" s="6">
        <f>$T240*U240</f>
        <v/>
      </c>
      <c r="W240" s="7" t="n">
        <v>0.5</v>
      </c>
      <c r="X240" s="6">
        <f>$T240*W240</f>
        <v/>
      </c>
      <c r="Y240" s="7" t="n">
        <v>0</v>
      </c>
      <c r="Z240" s="6">
        <f>$T240*Y240</f>
        <v/>
      </c>
      <c r="AA240" s="7" t="n">
        <v>0</v>
      </c>
      <c r="AB240" s="6">
        <f>$T240*AA240</f>
        <v/>
      </c>
      <c r="AC240" s="7" t="n">
        <v>0</v>
      </c>
      <c r="AD240" s="6">
        <f>$T240*AC240</f>
        <v/>
      </c>
      <c r="AE240" s="7" t="n">
        <v>0</v>
      </c>
      <c r="AF240" s="6">
        <f>$T240*AE240</f>
        <v/>
      </c>
      <c r="AG240" s="7" t="n">
        <v>0</v>
      </c>
      <c r="AH240" s="6">
        <f>$T240*AG240</f>
        <v/>
      </c>
      <c r="AI240" s="7">
        <f>U240+W240+Y240+AA240+AC240+AE240+AG240</f>
        <v/>
      </c>
      <c r="AJ240" s="6">
        <f>V240+X240+Z240+AB240+AD240+AF240+AH240</f>
        <v/>
      </c>
    </row>
    <row r="241" ht="60" customHeight="1" s="46">
      <c r="A241" s="3" t="inlineStr">
        <is>
          <t>LOM251.OC.EEA.PA02.I7836.D0019.0025</t>
        </is>
      </c>
      <c r="B241" s="4" t="inlineStr">
        <is>
          <t>1/1</t>
        </is>
      </c>
      <c r="C241" s="3" t="inlineStr">
        <is>
          <t>IMPIANTO MECCANICO</t>
        </is>
      </c>
      <c r="D241" s="4" t="inlineStr">
        <is>
          <t>NON SPECIALE</t>
        </is>
      </c>
      <c r="E241" s="4" t="inlineStr">
        <is>
          <t>MECCANICHE</t>
        </is>
      </c>
      <c r="F241" s="3" t="inlineStr">
        <is>
          <t>2_CME_TOTALE MECCANICI RADIOFARMACIA PAVIA.PDF</t>
        </is>
      </c>
      <c r="G241" s="4" t="inlineStr">
        <is>
          <t>219/219</t>
        </is>
      </c>
      <c r="H241" s="3" t="inlineStr">
        <is>
          <t>40 - IMPIANTISTICO</t>
        </is>
      </c>
      <c r="I241" s="3" t="n"/>
      <c r="J241" s="3" t="inlineStr">
        <is>
          <t>IMPIANTO ACQUE METEORICHE</t>
        </is>
      </c>
      <c r="K241" s="3" t="inlineStr">
        <is>
          <t>OPERA: TUBAZIONE DI VENTILAZIONE, A BICCHIERE AD INCOLLAGGIO DI PLASTICA POLIVINCLORURO NON PLASTIFICATO (PVC-U); FINITURA: COLORE AVORIO | COLORE GRIGIO | COLORE MARRONE; IMPIEGO: VENTILAZIONE E PLUV</t>
        </is>
      </c>
      <c r="L241" s="3" t="inlineStr">
        <is>
          <t>OPERA: TUBAZIONE DI VENTILAZIONE, A BICCHIERE AD INCOLLAGGIO DI PLASTICA POLIVINCLORURO NON PLASTIFICATO (PVC-U); FINITURA: COLORE AVORIO | COLORE GRIGIO | COLORE MARRONE; IMPIEGO: VENTILAZIONE E PLUVIALI; DIAMETRO ESTERNO (Ø) [MM] = 100 | SPESSORE [MM] = 1,7. 
LAVORO: POSA. INCLUSO: ONERI DI FISSAGGIO A PARETE; ONERI DI FISSAGGIO A SOFFITTI; ONERI ATTRAVERSAMENTI DELLE STRUTTURE. 
SPECIFICHE TECNICHE: COLORE GRIGIO (RAL 7037); COLORE MARRONE (RAL 8017). OP TUBAZIONE DI VENTILAZIONE, A BICCHIERE AD INCOLLAGGIO DI PLASTICA POLIVINCLORURO NON PLASTIFICATO (PVC-U); FINITURA: COLORE AVORIO | COLORE GRIGIO | COLORE MARRONE; IMPIEGO: VENTILAZIONE E PLUVIALI; DIAMETRO ESTERNO (Ø) [MM] = 100 | SPESSORE [MM] = 1,7. 
SPECIFICHE TECNICHE: COLORE GRIGIO (RAL 7037); COLORE MARRONE (RAL 8017). 
RM TUBO A BICCHIERE AD INCOLLAGGIO DI PLASTICA POLIVINCLORURO NON PLASTIFICATO (PVC-U); FINITURA: COLORE AVORIO | COLORE GRIGIO | COLORE MARRONE; IMPIEGO: CONDOTTE DI VENTILAZIONE | PLUVIALI; DIAMETRO ESTERNO (Ø) [MM] = 100 | SPESSORE [MM] = 1,7 
SPECIFICHE TECNICHE: COLORI RAL 7037 E RAL 8017 
RM SISTEMA DI FISSAGGIO DI PLASTICA POLIVINILCLORURO (PVC); FUNZIONE: VENTILAZIONE | PLUVIALI; IMPIEGO: TUBO DI DIAMETRO ESTERNO [MM] = 100; SPESSORE [MM] = 1,7 
LV POSA. INCLUSO: ONERI DI FISSAGGIO A PARETE; ONERI DI FISSAGGIO A SOFFITTI; ONERI ATTRAVERSAMENTI DELLE STRUTTURE.</t>
        </is>
      </c>
      <c r="M241" s="4" t="inlineStr">
        <is>
          <t>M</t>
        </is>
      </c>
      <c r="N241" s="5" t="n">
        <v>15</v>
      </c>
      <c r="O241" s="45" t="n">
        <v>36.37</v>
      </c>
      <c r="P241" s="45" t="n">
        <v>545.55</v>
      </c>
      <c r="Q241" s="5" t="n"/>
      <c r="R241" s="6" t="n"/>
      <c r="S241" s="6">
        <f>IF(AND(Q241&lt;&gt;"",R241&lt;&gt;""),Q241*R241,"")</f>
        <v/>
      </c>
      <c r="T241" s="45">
        <f>IF(S241="",P241,S241)</f>
        <v/>
      </c>
      <c r="U241" s="7" t="n">
        <v>0</v>
      </c>
      <c r="V241" s="6">
        <f>$T241*U241</f>
        <v/>
      </c>
      <c r="W241" s="7" t="n">
        <v>0.5</v>
      </c>
      <c r="X241" s="6">
        <f>$T241*W241</f>
        <v/>
      </c>
      <c r="Y241" s="7" t="n">
        <v>0</v>
      </c>
      <c r="Z241" s="6">
        <f>$T241*Y241</f>
        <v/>
      </c>
      <c r="AA241" s="7" t="n">
        <v>0</v>
      </c>
      <c r="AB241" s="6">
        <f>$T241*AA241</f>
        <v/>
      </c>
      <c r="AC241" s="7" t="n">
        <v>0</v>
      </c>
      <c r="AD241" s="6">
        <f>$T241*AC241</f>
        <v/>
      </c>
      <c r="AE241" s="7" t="n">
        <v>0</v>
      </c>
      <c r="AF241" s="6">
        <f>$T241*AE241</f>
        <v/>
      </c>
      <c r="AG241" s="7" t="n">
        <v>0</v>
      </c>
      <c r="AH241" s="6">
        <f>$T241*AG241</f>
        <v/>
      </c>
      <c r="AI241" s="7">
        <f>U241+W241+Y241+AA241+AC241+AE241+AG241</f>
        <v/>
      </c>
      <c r="AJ241" s="6">
        <f>V241+X241+Z241+AB241+AD241+AF241+AH241</f>
        <v/>
      </c>
    </row>
    <row r="242" ht="60" customHeight="1" s="46">
      <c r="A242" s="3" t="inlineStr">
        <is>
          <t>LOM251.OC.EEA.PA02.I7836.D0019.0030</t>
        </is>
      </c>
      <c r="B242" s="4" t="inlineStr">
        <is>
          <t>1/1</t>
        </is>
      </c>
      <c r="C242" s="3" t="inlineStr">
        <is>
          <t>IMPIANTO MECCANICO</t>
        </is>
      </c>
      <c r="D242" s="4" t="inlineStr">
        <is>
          <t>NON SPECIALE</t>
        </is>
      </c>
      <c r="E242" s="4" t="inlineStr">
        <is>
          <t>MECCANICHE</t>
        </is>
      </c>
      <c r="F242" s="3" t="inlineStr">
        <is>
          <t>2_CME_TOTALE MECCANICI RADIOFARMACIA PAVIA.PDF</t>
        </is>
      </c>
      <c r="G242" s="4" t="inlineStr">
        <is>
          <t>220/220</t>
        </is>
      </c>
      <c r="H242" s="3" t="inlineStr">
        <is>
          <t>40 - IMPIANTISTICO</t>
        </is>
      </c>
      <c r="I242" s="3" t="n"/>
      <c r="J242" s="3" t="inlineStr">
        <is>
          <t>IMPIANTO ACQUE METEORICHE</t>
        </is>
      </c>
      <c r="K242" s="3" t="inlineStr">
        <is>
          <t>OPERA: TUBAZIONE DI VENTILAZIONE, A BICCHIERE AD INCOLLAGGIO DI PLASTICA POLIVINCLORURO NON PLASTIFICATO (PVC-U); FINITURA: COLORE AVORIO | COLORE GRIGIO | COLORE MARRONE; IMPIEGO: VENTILAZIONE E PLUV</t>
        </is>
      </c>
      <c r="L242" s="3" t="inlineStr">
        <is>
          <t>OPERA: TUBAZIONE DI VENTILAZIONE, A BICCHIERE AD INCOLLAGGIO DI PLASTICA POLIVINCLORURO NON PLASTIFICATO (PVC-U); FINITURA: COLORE AVORIO | COLORE GRIGIO | COLORE MARRONE; IMPIEGO: VENTILAZIONE E PLUVIALI; DIAMETRO ESTERNO (Ø) [MM] = 125 | SPESSORE [MM] = 2. 
LAVORO: POSA. INCLUSO: ONERI DI FISSAGGIO A PARETE; ONERI DI FISSAGGIO A SOFFITTI; ONERI ATTRAVERSAMENTI DELLE STRUTTURE. 
SPECIFICHE TECNICHE: COLORE GRIGIO (RAL 7037); COLORE MARRONE (RAL 8017). OP TUBAZIONE DI VENTILAZIONE, A BICCHIERE AD INCOLLAGGIO DI PLASTICA POLIVINCLORURO NON PLASTIFICATO (PVC-U); FINITURA: COLORE AVORIO | COLORE GRIGIO | COLORE MARRONE; IMPIEGO: VENTILAZIONE E PLUVIALI; DIAMETRO ESTERNO (Ø) [MM] = 125 | SPESSORE [MM] = 2. 
SPECIFICHE TECNICHE: COLORE GRIGIO (RAL 7037); COLORE MARRONE (RAL 8017). 
RM TUBO A BICCHIERE AD INCOLLAGGIO DI PLASTICA POLIVINCLORURO NON PLASTIFICATO (PVC-U); FINITURA: COLORE AVORIO | COLORE GRIGIO | COLORE MARRONE; IMPIEGO: CONDOTTE DI VENTILAZIONE | PLUVIALI; DIAMETRO ESTERNO (Ø) [MM] = 110 | SPESSORE [MM] = 2 
SPECIFICHE TECNICHE: COLORI RAL 7037 E RAL 8017 
RM SISTEMA DI FISSAGGIO DI PLASTICA POLIVINILCLORURO (PVC); FUNZIONE: VENTILAZIONE | PLUVIALI; IMPIEGO: TUBO DI DIAMETRO ESTERNO [MM] = 125; SPESSORE [MM] = 2 
LV POSA. INCLUSO: ONERI DI FISSAGGIO A PARETE; ONERI DI FISSAGGIO A SOFFITTI; ONERI ATTRAVERSAMENTI DELLE STRUTTURE.</t>
        </is>
      </c>
      <c r="M242" s="4" t="inlineStr">
        <is>
          <t>M</t>
        </is>
      </c>
      <c r="N242" s="5" t="n">
        <v>25</v>
      </c>
      <c r="O242" s="45" t="n">
        <v>44.41</v>
      </c>
      <c r="P242" s="45" t="n">
        <v>1110.25</v>
      </c>
      <c r="Q242" s="5" t="n"/>
      <c r="R242" s="6" t="n"/>
      <c r="S242" s="6">
        <f>IF(AND(Q242&lt;&gt;"",R242&lt;&gt;""),Q242*R242,"")</f>
        <v/>
      </c>
      <c r="T242" s="45">
        <f>IF(S242="",P242,S242)</f>
        <v/>
      </c>
      <c r="U242" s="7" t="n">
        <v>0</v>
      </c>
      <c r="V242" s="6">
        <f>$T242*U242</f>
        <v/>
      </c>
      <c r="W242" s="7" t="n">
        <v>0.5</v>
      </c>
      <c r="X242" s="6">
        <f>$T242*W242</f>
        <v/>
      </c>
      <c r="Y242" s="7" t="n">
        <v>0</v>
      </c>
      <c r="Z242" s="6">
        <f>$T242*Y242</f>
        <v/>
      </c>
      <c r="AA242" s="7" t="n">
        <v>0</v>
      </c>
      <c r="AB242" s="6">
        <f>$T242*AA242</f>
        <v/>
      </c>
      <c r="AC242" s="7" t="n">
        <v>0</v>
      </c>
      <c r="AD242" s="6">
        <f>$T242*AC242</f>
        <v/>
      </c>
      <c r="AE242" s="7" t="n">
        <v>0</v>
      </c>
      <c r="AF242" s="6">
        <f>$T242*AE242</f>
        <v/>
      </c>
      <c r="AG242" s="7" t="n">
        <v>0</v>
      </c>
      <c r="AH242" s="6">
        <f>$T242*AG242</f>
        <v/>
      </c>
      <c r="AI242" s="7">
        <f>U242+W242+Y242+AA242+AC242+AE242+AG242</f>
        <v/>
      </c>
      <c r="AJ242" s="6">
        <f>V242+X242+Z242+AB242+AD242+AF242+AH242</f>
        <v/>
      </c>
    </row>
    <row r="243" ht="60" customHeight="1" s="46">
      <c r="A243" s="3" t="inlineStr">
        <is>
          <t>LOM251.OC.EEA.PA02.I7836.D0019.0035</t>
        </is>
      </c>
      <c r="B243" s="4" t="inlineStr">
        <is>
          <t>1/1</t>
        </is>
      </c>
      <c r="C243" s="3" t="inlineStr">
        <is>
          <t>IMPIANTO MECCANICO</t>
        </is>
      </c>
      <c r="D243" s="4" t="inlineStr">
        <is>
          <t>NON SPECIALE</t>
        </is>
      </c>
      <c r="E243" s="4" t="inlineStr">
        <is>
          <t>MECCANICHE</t>
        </is>
      </c>
      <c r="F243" s="3" t="inlineStr">
        <is>
          <t>2_CME_TOTALE MECCANICI RADIOFARMACIA PAVIA.PDF</t>
        </is>
      </c>
      <c r="G243" s="4" t="inlineStr">
        <is>
          <t>221/221</t>
        </is>
      </c>
      <c r="H243" s="3" t="inlineStr">
        <is>
          <t>40 - IMPIANTISTICO</t>
        </is>
      </c>
      <c r="I243" s="3" t="n"/>
      <c r="J243" s="3" t="inlineStr">
        <is>
          <t>IMPIANTO ACQUE METEORICHE</t>
        </is>
      </c>
      <c r="K243" s="3" t="inlineStr">
        <is>
          <t>OPERA: TUBAZIONE DI VENTILAZIONE, A BICCHIERE AD INCOLLAGGIO DI PLASTICA POLIVINCLORURO NON PLASTIFICATO (PVC-U); FINITURA: COLORE AVORIO | COLORE GRIGIO | COLORE MARRONE; IMPIEGO: VENTILAZIONE E PLUV</t>
        </is>
      </c>
      <c r="L243" s="3" t="inlineStr">
        <is>
          <t>OPERA: TUBAZIONE DI VENTILAZIONE, A BICCHIERE AD INCOLLAGGIO DI PLASTICA POLIVINCLORURO NON PLASTIFICATO (PVC-U); FINITURA: COLORE AVORIO | COLORE GRIGIO | COLORE MARRONE; IMPIEGO: VENTILAZIONE E PLUVIALI; DIAMETRO ESTERNO (Ø) [MM] = 140 | SPESSORE [MM] = 2,3. 
LAVORO: POSA. INCLUSO: ONERI DI FISSAGGIO A PARETE; ONERI DI FISSAGGIO A SOFFITTI; ONERI ATTRAVERSAMENTI DELLE STRUTTURE. 
SPECIFICHE TECNICHE: COLORE GRIGIO (RAL 7037); COLORE MARRONE (RAL 8017). OP TUBAZIONE DI VENTILAZIONE, A BICCHIERE AD INCOLLAGGIO DI PLASTICA POLIVINCLORURO NON PLASTIFICATO (PVC-U); FINITURA: COLORE AVORIO | COLORE GRIGIO | COLORE MARRONE; IMPIEGO: VENTILAZIONE E PLUVIALI; DIAMETRO ESTERNO (Ø) [MM] = 140 | SPESSORE [MM] = 2,3. 
SPECIFICHE TECNICHE: COLORE GRIGIO (RAL 7037); COLORE MARRONE (RAL 8017). 
RM TUBO A BICCHIERE AD INCOLLAGGIO DI PLASTICA POLIVINCLORURO NON PLASTIFICATO (PVC-U); FINITURA: COLORE AVORIO | COLORE GRIGIO | COLORE MARRONE; IMPIEGO: CONDOTTE DI VENTILAZIONE | PLUVIALI; DIAMETRO ESTERNO (Ø) [MM] = 140 | SPESSORE [MM] = 2,3 
SPECIFICHE TECNICHE: COLORI RAL 7037 E RAL 8017 
RM SISTEMA DI FISSAGGIO DI PLASTICA POLIVINILCLORURO (PVC); FUNZIONE: VENTILAZIONE | PLUVIALI; IMPIEGO: TUBO DI DIAMETRO ESTERNO [MM] = 140; SPESSORE [MM] = 2,3 
LV POSA. INCLUSO: ONERI DI FISSAGGIO A PARETE; ONERI DI FISSAGGIO A SOFFITTI; ONERI ATTRAVERSAMENTI DELLE STRUTTURE.</t>
        </is>
      </c>
      <c r="M243" s="4" t="inlineStr">
        <is>
          <t>M</t>
        </is>
      </c>
      <c r="N243" s="5" t="n">
        <v>40</v>
      </c>
      <c r="O243" s="45" t="n">
        <v>58.76</v>
      </c>
      <c r="P243" s="45" t="n">
        <v>2350.4</v>
      </c>
      <c r="Q243" s="5" t="n"/>
      <c r="R243" s="6" t="n"/>
      <c r="S243" s="6">
        <f>IF(AND(Q243&lt;&gt;"",R243&lt;&gt;""),Q243*R243,"")</f>
        <v/>
      </c>
      <c r="T243" s="45">
        <f>IF(S243="",P243,S243)</f>
        <v/>
      </c>
      <c r="U243" s="7" t="n">
        <v>0</v>
      </c>
      <c r="V243" s="6">
        <f>$T243*U243</f>
        <v/>
      </c>
      <c r="W243" s="7" t="n">
        <v>0.5</v>
      </c>
      <c r="X243" s="6">
        <f>$T243*W243</f>
        <v/>
      </c>
      <c r="Y243" s="7" t="n">
        <v>0</v>
      </c>
      <c r="Z243" s="6">
        <f>$T243*Y243</f>
        <v/>
      </c>
      <c r="AA243" s="7" t="n">
        <v>0</v>
      </c>
      <c r="AB243" s="6">
        <f>$T243*AA243</f>
        <v/>
      </c>
      <c r="AC243" s="7" t="n">
        <v>0</v>
      </c>
      <c r="AD243" s="6">
        <f>$T243*AC243</f>
        <v/>
      </c>
      <c r="AE243" s="7" t="n">
        <v>0</v>
      </c>
      <c r="AF243" s="6">
        <f>$T243*AE243</f>
        <v/>
      </c>
      <c r="AG243" s="7" t="n">
        <v>0</v>
      </c>
      <c r="AH243" s="6">
        <f>$T243*AG243</f>
        <v/>
      </c>
      <c r="AI243" s="7">
        <f>U243+W243+Y243+AA243+AC243+AE243+AG243</f>
        <v/>
      </c>
      <c r="AJ243" s="6">
        <f>V243+X243+Z243+AB243+AD243+AF243+AH243</f>
        <v/>
      </c>
    </row>
    <row r="244" ht="60" customHeight="1" s="46">
      <c r="A244" s="3" t="inlineStr">
        <is>
          <t>LOM251.OC.EEA.PA02.I7836.D0019.0045</t>
        </is>
      </c>
      <c r="B244" s="4" t="inlineStr">
        <is>
          <t>1/1</t>
        </is>
      </c>
      <c r="C244" s="3" t="inlineStr">
        <is>
          <t>IMPIANTO MECCANICO</t>
        </is>
      </c>
      <c r="D244" s="4" t="inlineStr">
        <is>
          <t>NON SPECIALE</t>
        </is>
      </c>
      <c r="E244" s="4" t="inlineStr">
        <is>
          <t>MECCANICHE</t>
        </is>
      </c>
      <c r="F244" s="3" t="inlineStr">
        <is>
          <t>2_CME_TOTALE MECCANICI RADIOFARMACIA PAVIA.PDF</t>
        </is>
      </c>
      <c r="G244" s="4" t="inlineStr">
        <is>
          <t>222/222</t>
        </is>
      </c>
      <c r="H244" s="3" t="inlineStr">
        <is>
          <t>40 - IMPIANTISTICO</t>
        </is>
      </c>
      <c r="I244" s="3" t="n"/>
      <c r="J244" s="3" t="inlineStr">
        <is>
          <t>IMPIANTO ACQUE METEORICHE</t>
        </is>
      </c>
      <c r="K244" s="3" t="inlineStr">
        <is>
          <t>OPERA: TUBAZIONE DI VENTILAZIONE, A BICCHIERE AD INCOLLAGGIO DI PLASTICA POLIVINCLORURO NON PLASTIFICATO (PVC-U); FINITURA: COLORE AVORIO | COLORE GRIGIO | COLORE MARRONE; IMPIEGO: VENTILAZIONE E PLUV</t>
        </is>
      </c>
      <c r="L244" s="3" t="inlineStr">
        <is>
          <t>OPERA: TUBAZIONE DI VENTILAZIONE, A BICCHIERE AD INCOLLAGGIO DI PLASTICA POLIVINCLORURO NON PLASTIFICATO (PVC-U); FINITURA: COLORE AVORIO | COLORE GRIGIO | COLORE MARRONE; IMPIEGO: VENTILAZIONE E PLUVIALI; DIAMETRO ESTERNO (Ø) [MM] = 200 | SPESSORE [MM] = 3,2. 
LAVORO: POSA. INCLUSO: ONERI DI FISSAGGIO A PARETE; ONERI DI FISSAGGIO A SOFFITTI; ONERI ATTRAVERSAMENTI DELLE STRUTTURE. 
SPECIFICHE TECNICHE: COLORE GRIGIO (RAL 7037); COLORE MARRONE (RAL 8017). OP TUBAZIONE DI VENTILAZIONE, A BICCHIERE AD INCOLLAGGIO DI PLASTICA POLIVINCLORURO NON PLASTIFICATO (PVC-U); FINITURA: COLORE AVORIO | COLORE GRIGIO | COLORE MARRONE; IMPIEGO: VENTILAZIONE E PLUVIALI; DIAMETRO ESTERNO (Ø) [MM] = 200 | SPESSORE [MM] = 3,2. 
SPECIFICHE TECNICHE: COLORE GRIGIO (RAL 7037); COLORE MARRONE (RAL 8017). 
RM TUBO A BICCHIERE AD INCOLLAGGIO DI PLASTICA POLIVINCLORURO NON PLASTIFICATO (PVC-U); FINITURA: COLORE AVORIO | COLORE GRIGIO | COLORE MARRONE; IMPIEGO: CONDOTTE DI VENTILAZIONE | PLUVIALI; DIAMETRO ESTERNO (Ø) [MM] = 200 | SPESSORE [MM] = 3,2 
SPECIFICHE TECNICHE: COLORI RAL 7037 E RAL 8017 
RM SISTEMA DI FISSAGGIO DI PLASTICA POLIVINILCLORURO (PVC); FUNZIONE: VENTILAZIONE | PLUVIALI; IMPIEGO: TUBO DI DIAMETRO ESTERNO [MM] = 200; SPESSORE [MM] = 3,2 
LV POSA. INCLUSO: ONERI DI FISSAGGIO A PARETE; ONERI DI FISSAGGIO A SOFFITTI; ONERI ATTRAVERSAMENTI DELLE STRUTTURE.</t>
        </is>
      </c>
      <c r="M244" s="4" t="inlineStr">
        <is>
          <t>M</t>
        </is>
      </c>
      <c r="N244" s="5" t="n">
        <v>150</v>
      </c>
      <c r="O244" s="45" t="n">
        <v>73.5</v>
      </c>
      <c r="P244" s="45" t="n">
        <v>11025</v>
      </c>
      <c r="Q244" s="5" t="n"/>
      <c r="R244" s="6" t="n"/>
      <c r="S244" s="6">
        <f>IF(AND(Q244&lt;&gt;"",R244&lt;&gt;""),Q244*R244,"")</f>
        <v/>
      </c>
      <c r="T244" s="45">
        <f>IF(S244="",P244,S244)</f>
        <v/>
      </c>
      <c r="U244" s="7" t="n">
        <v>0</v>
      </c>
      <c r="V244" s="6">
        <f>$T244*U244</f>
        <v/>
      </c>
      <c r="W244" s="7" t="n">
        <v>0.5</v>
      </c>
      <c r="X244" s="6">
        <f>$T244*W244</f>
        <v/>
      </c>
      <c r="Y244" s="7" t="n">
        <v>0</v>
      </c>
      <c r="Z244" s="6">
        <f>$T244*Y244</f>
        <v/>
      </c>
      <c r="AA244" s="7" t="n">
        <v>0</v>
      </c>
      <c r="AB244" s="6">
        <f>$T244*AA244</f>
        <v/>
      </c>
      <c r="AC244" s="7" t="n">
        <v>0</v>
      </c>
      <c r="AD244" s="6">
        <f>$T244*AC244</f>
        <v/>
      </c>
      <c r="AE244" s="7" t="n">
        <v>0</v>
      </c>
      <c r="AF244" s="6">
        <f>$T244*AE244</f>
        <v/>
      </c>
      <c r="AG244" s="7" t="n">
        <v>0</v>
      </c>
      <c r="AH244" s="6">
        <f>$T244*AG244</f>
        <v/>
      </c>
      <c r="AI244" s="7">
        <f>U244+W244+Y244+AA244+AC244+AE244+AG244</f>
        <v/>
      </c>
      <c r="AJ244" s="6">
        <f>V244+X244+Z244+AB244+AD244+AF244+AH244</f>
        <v/>
      </c>
    </row>
    <row r="245" ht="60" customHeight="1" s="46">
      <c r="A245" s="3" t="inlineStr">
        <is>
          <t>LOM251.OC.EEA.PA02.I9730.J0001.0010</t>
        </is>
      </c>
      <c r="B245" s="4" t="inlineStr">
        <is>
          <t>1/1</t>
        </is>
      </c>
      <c r="C245" s="3" t="inlineStr">
        <is>
          <t>IMPIANTO MECCANICO</t>
        </is>
      </c>
      <c r="D245" s="4" t="inlineStr">
        <is>
          <t>NON SPECIALE</t>
        </is>
      </c>
      <c r="E245" s="4" t="inlineStr">
        <is>
          <t>MECCANICHE</t>
        </is>
      </c>
      <c r="F245" s="3" t="inlineStr">
        <is>
          <t>2_CME_TOTALE MECCANICI RADIOFARMACIA PAVIA.PDF</t>
        </is>
      </c>
      <c r="G245" s="4" t="inlineStr">
        <is>
          <t>223/223</t>
        </is>
      </c>
      <c r="H245" s="3" t="inlineStr">
        <is>
          <t>40 - IMPIANTISTICO</t>
        </is>
      </c>
      <c r="I245" s="3" t="n"/>
      <c r="J245" s="3" t="inlineStr">
        <is>
          <t>IMPIANTO ACQUE METEORICHE</t>
        </is>
      </c>
      <c r="K245" s="3" t="inlineStr">
        <is>
          <t xml:space="preserve">OPERA: POZZETTO DI CONGLOMERATO CEMENTIZIO; FUNZIONE: PER IMMISSIONE PLUVIALI; IMPIEGO: POZZETTO. INCLUSO: CALCESTRUZZO DI SOTTOFONDO, RACCORDO DELLE TUBAZIONI. </t>
        </is>
      </c>
      <c r="L245" s="3" t="inlineStr">
        <is>
          <t>OPERA: POZZETTO DI CONGLOMERATO CEMENTIZIO; FUNZIONE: PER IMMISSIONE PLUVIALI; IMPIEGO: POZZETTO. INCLUSO: CALCESTRUZZO DI SOTTOFONDO, RACCORDO DELLE TUBAZIONI. 
LAVORO: POSA. ESCLUSO: SCAVO; REINTERRO. OP POZZETTO DI CONGLOMERATO CEMENTIZIO; FUNZIONE: PER IMMISSIONE PLUVIALI; IMPIEGO: POZZETTO. INCLUSO: CALCESTRUZZO DI SOTTOFONDO, RACCORDO DELLE TUBAZIONI. 
RM POZZETTO DI CONGLOMERATO CEMENTIZIO; FUNZIONE: IMMISSIONE PLUVIALI; DIMENSIONE INTERNA X [CM] = 30 | DIMENSIONE INTERNA Y [CM] = 30 | DIMENSIONE ESTERNA X [CM] = 38 | DIMENSIONE ESTERNA Y [CM] = 54 | ALTEZZA [CM] = 40; PESO [KG] = 63 
SPECIFICHE TECNICHE: POZZETTO CON CHIUSURA 
RM IMPASTO PRECONFEZIONATO DI CONGLOMERATO CEMENTIZIO; GEOMETRIA: SFUSO; FUNZIONE: STRUTTURALE | NON STRUTTURALE | DRENANTE; CLASSE DI CONSISTENZA [CLASSE] = S3 | CLASSE DI RESISTENZA [CLASSE] = C12/15 | CLASSE DI ESPOSIZIONE [CLASSE] = X0. COMPONENTI: LEGANTE IDRAULICO, AGGREGATO, LEGANTE IDRAULICO RICICLATO 
SPECIFICHE TECNICHE: UTILIZZATO IN STRUTTURE ORDINARIE E MANUFATTI NON STRUTTURALI 
LV POSA. ESCLUSO: SCAVO; REINTERRO.</t>
        </is>
      </c>
      <c r="M245" s="4" t="inlineStr">
        <is>
          <t>CAD</t>
        </is>
      </c>
      <c r="N245" s="5" t="n">
        <v>9</v>
      </c>
      <c r="O245" s="45" t="n">
        <v>308</v>
      </c>
      <c r="P245" s="45" t="n">
        <v>2772</v>
      </c>
      <c r="Q245" s="5" t="n"/>
      <c r="R245" s="6" t="n"/>
      <c r="S245" s="6">
        <f>IF(AND(Q245&lt;&gt;"",R245&lt;&gt;""),Q245*R245,"")</f>
        <v/>
      </c>
      <c r="T245" s="45">
        <f>IF(S245="",P245,S245)</f>
        <v/>
      </c>
      <c r="U245" s="7" t="n">
        <v>0</v>
      </c>
      <c r="V245" s="6">
        <f>$T245*U245</f>
        <v/>
      </c>
      <c r="W245" s="7" t="n">
        <v>0.5</v>
      </c>
      <c r="X245" s="6">
        <f>$T245*W245</f>
        <v/>
      </c>
      <c r="Y245" s="7" t="n">
        <v>0</v>
      </c>
      <c r="Z245" s="6">
        <f>$T245*Y245</f>
        <v/>
      </c>
      <c r="AA245" s="7" t="n">
        <v>0</v>
      </c>
      <c r="AB245" s="6">
        <f>$T245*AA245</f>
        <v/>
      </c>
      <c r="AC245" s="7" t="n">
        <v>0</v>
      </c>
      <c r="AD245" s="6">
        <f>$T245*AC245</f>
        <v/>
      </c>
      <c r="AE245" s="7" t="n">
        <v>0</v>
      </c>
      <c r="AF245" s="6">
        <f>$T245*AE245</f>
        <v/>
      </c>
      <c r="AG245" s="7" t="n">
        <v>0</v>
      </c>
      <c r="AH245" s="6">
        <f>$T245*AG245</f>
        <v/>
      </c>
      <c r="AI245" s="7">
        <f>U245+W245+Y245+AA245+AC245+AE245+AG245</f>
        <v/>
      </c>
      <c r="AJ245" s="6">
        <f>V245+X245+Z245+AB245+AD245+AF245+AH245</f>
        <v/>
      </c>
    </row>
    <row r="246" hidden="1" ht="60" customHeight="1" s="46">
      <c r="A246" s="3" t="inlineStr">
        <is>
          <t>LOM251.OC.EEA.PA02.I9740.J0001.0010</t>
        </is>
      </c>
      <c r="B246" s="4" t="inlineStr">
        <is>
          <t>1/1</t>
        </is>
      </c>
      <c r="C246" s="3" t="inlineStr">
        <is>
          <t>IMPIANTO MECCANICO</t>
        </is>
      </c>
      <c r="D246" s="4" t="inlineStr">
        <is>
          <t>NON SPECIALE</t>
        </is>
      </c>
      <c r="E246" s="4" t="inlineStr">
        <is>
          <t>MECCANICHE</t>
        </is>
      </c>
      <c r="F246" s="3" t="inlineStr">
        <is>
          <t>2_CME_TOTALE MECCANICI RADIOFARMACIA PAVIA.PDF</t>
        </is>
      </c>
      <c r="G246" s="4" t="inlineStr">
        <is>
          <t>224/224</t>
        </is>
      </c>
      <c r="H246" s="3" t="inlineStr">
        <is>
          <t>40 - IMPIANTISTICO</t>
        </is>
      </c>
      <c r="I246" s="3" t="n"/>
      <c r="J246" s="3" t="inlineStr">
        <is>
          <t>IMPIANTO ACQUE METEORICHE</t>
        </is>
      </c>
      <c r="K246" s="3" t="inlineStr">
        <is>
          <t xml:space="preserve">OPERA: CHIUSINO DI CONGLOMERATO CEMENTIZIO; IMPIEGO: POZZETTI; LUCE INTERNA X [CM] = 45 | LUCE INTERNA Y [CM] = 45 | SPESSORE [CM] = 12; PESO [KG] = 50. </t>
        </is>
      </c>
      <c r="L246" s="3" t="inlineStr">
        <is>
          <t>OPERA: CHIUSINO DI CONGLOMERATO CEMENTIZIO; IMPIEGO: POZZETTI; LUCE INTERNA X [CM] = 45 | LUCE INTERNA Y [CM] = 45 | SPESSORE [CM] = 12; PESO [KG] = 50. 
LAVORO: POSA. OP CHIUSINO DI CONGLOMERATO CEMENTIZIO; IMPIEGO: POZZETTI; LUCE INTERNA X [CM] = 45 | LUCE INTERNA Y [CM] = 45 | SPESSORE [CM] = 12; PESO [KG] = 50. 
RM CHIUSINO DI CONGLOMERATO CEMENTIZIO; FUNZIONE: CHIUSURA; IMPIEGO: POZZETTI; LUCE INTERNA X [CM] = 45 | LUCE INTERNA Y [CM] = 45 | SPESSORE [CM] = 12; PESO [KG] = 90 
SPECIFICHE TECNICHE: COMPLETO DI TELAIO 
RM PREMISCELATO MALTA DA INGHISAGGIO; FUNZIONE: ANTIRITIRO | PRESA RAPIDA | FISSAGGIO; IMPIEGO: ZANCHE | CHIUSINI | INFISSI | INFERRIATE; DENSITÀ [KG/M³] = 2000 
SPECIFICHE TECNICHE: A BASE DI CEMENTO, INERTI SELEZIONATI, ADDITIVI; UTILIZZABILE SU TUTTI I SUPPORTI RESISTENTI 
LV POSA. 
RP AUTOCARRO CON GRU; PORTATA [T] ≤ 3. INCLUSO: ACCESSORI DI SOLLEVAMENTO. DA CONTEGGIARE A PARTE: SPESE DI ESERCIZIO (RP.00.40.15.1020.A)</t>
        </is>
      </c>
      <c r="M246" s="4" t="inlineStr">
        <is>
          <t>CAD</t>
        </is>
      </c>
      <c r="N246" s="5" t="n">
        <v>9</v>
      </c>
      <c r="O246" s="45" t="n">
        <v>61.6</v>
      </c>
      <c r="P246" s="45" t="n">
        <v>554.4</v>
      </c>
      <c r="Q246" s="5" t="n"/>
      <c r="R246" s="6" t="n"/>
      <c r="S246" s="6">
        <f>IF(AND(Q246&lt;&gt;"",R246&lt;&gt;""),Q246*R246,"")</f>
        <v/>
      </c>
      <c r="T246" s="45">
        <f>IF(S246="",P246,S246)</f>
        <v/>
      </c>
      <c r="U246" s="7" t="n">
        <v>0</v>
      </c>
      <c r="V246" s="6">
        <f>$T246*U246</f>
        <v/>
      </c>
      <c r="W246" s="7" t="n">
        <v>0</v>
      </c>
      <c r="X246" s="6">
        <f>$T246*W246</f>
        <v/>
      </c>
      <c r="Y246" s="7" t="n">
        <v>0</v>
      </c>
      <c r="Z246" s="6">
        <f>$T246*Y246</f>
        <v/>
      </c>
      <c r="AA246" s="7" t="n">
        <v>0</v>
      </c>
      <c r="AB246" s="6">
        <f>$T246*AA246</f>
        <v/>
      </c>
      <c r="AC246" s="7" t="n">
        <v>0</v>
      </c>
      <c r="AD246" s="6">
        <f>$T246*AC246</f>
        <v/>
      </c>
      <c r="AE246" s="7" t="n">
        <v>0</v>
      </c>
      <c r="AF246" s="6">
        <f>$T246*AE246</f>
        <v/>
      </c>
      <c r="AG246" s="7" t="n">
        <v>0</v>
      </c>
      <c r="AH246" s="6">
        <f>$T246*AG246</f>
        <v/>
      </c>
      <c r="AI246" s="7">
        <f>U246+W246+Y246+AA246+AC246+AE246+AG246</f>
        <v/>
      </c>
      <c r="AJ246" s="6">
        <f>V246+X246+Z246+AB246+AD246+AF246+AH246</f>
        <v/>
      </c>
    </row>
    <row r="247" hidden="1" ht="60" customHeight="1" s="46">
      <c r="A247" s="3" t="inlineStr">
        <is>
          <t>LOM251.OC.EEA.MC09.A6401.NA000.0000.A</t>
        </is>
      </c>
      <c r="B247" s="4" t="inlineStr">
        <is>
          <t>1/1</t>
        </is>
      </c>
      <c r="C247" s="3" t="inlineStr">
        <is>
          <t>IMPIANTO MECCANICO</t>
        </is>
      </c>
      <c r="D247" s="4" t="inlineStr">
        <is>
          <t>NON SPECIALE</t>
        </is>
      </c>
      <c r="E247" s="4" t="inlineStr">
        <is>
          <t>MECCANICHE</t>
        </is>
      </c>
      <c r="F247" s="3" t="inlineStr">
        <is>
          <t>2_CME_TOTALE MECCANICI RADIOFARMACIA PAVIA.PDF</t>
        </is>
      </c>
      <c r="G247" s="4" t="inlineStr">
        <is>
          <t>225/225</t>
        </is>
      </c>
      <c r="H247" s="3" t="inlineStr">
        <is>
          <t>40 - IMPIANTISTICO</t>
        </is>
      </c>
      <c r="I247" s="3" t="n"/>
      <c r="J247" s="3" t="inlineStr">
        <is>
          <t>IMPIANTO ACQUE METEORICHE</t>
        </is>
      </c>
      <c r="K247" s="3" t="inlineStr">
        <is>
          <t xml:space="preserve">OPERA: TRINCEA DI TERRA GENERICO; IMPIEGO: TUBAZIONI | COLLETTORI; PROFONDITÀ [M] ≤ 1,5. </t>
        </is>
      </c>
      <c r="L247" s="3" t="inlineStr">
        <is>
          <t>OPERA: TRINCEA DI TERRA GENERICO; IMPIEGO: TUBAZIONI | COLLETTORI; PROFONDITÀ [M] ≤ 1,5. 
LAVORO: SCAVO CON MEZZO MECCANICO. INCLUSO: DEPOSITO MATERIALE A BORDO SCAVO. ESCLUSO: ARMO DI SCAVO; OPERE PROVVISIONALI DI SEGNALETICA E PROTEZIONE; CARICO E TRASPORTO; ONERI DI SMALTIMENTO. 
SPECIFICHE TECNICHE: NON ARMATO. OP TRINCEA DI TERRA GENERICO; IMPIEGO: TUBAZIONI | COLLETTORI; PROFONDITÀ [M] ≤ 1,5. 
SPECIFICHE TECNICHE: NON ARMATO. 
RM TERRENO DI TERRA GENERICO 
LV SCAVO CON MEZZO MECCANICO. INCLUSO: DEPOSITO MATERIALE A BORDO SCAVO. ESCLUSO: ARMO DI SCAVO; OPERE PROVVISIONALI DI SEGNALETICA E PROTEZIONE; CARICO E TRASPORTO; ONERI DI SMALTIMENTO. 
RP ESCAVATORE CINGOLATO; POTENZA [KW] ≤ 90; PESO [T] = 19. DA CONTEGGIARE A PARTE: SPESE DI ESERCIZIO (RP.00.00.00.1020.D)</t>
        </is>
      </c>
      <c r="M247" s="4" t="inlineStr">
        <is>
          <t>M³</t>
        </is>
      </c>
      <c r="N247" s="5" t="n">
        <v>60</v>
      </c>
      <c r="O247" s="45" t="n">
        <v>18.48</v>
      </c>
      <c r="P247" s="45" t="n">
        <v>1108.8</v>
      </c>
      <c r="Q247" s="5" t="n"/>
      <c r="R247" s="6" t="n"/>
      <c r="S247" s="6">
        <f>IF(AND(Q247&lt;&gt;"",R247&lt;&gt;""),Q247*R247,"")</f>
        <v/>
      </c>
      <c r="T247" s="45">
        <f>IF(S247="",P247,S247)</f>
        <v/>
      </c>
      <c r="U247" s="7" t="n">
        <v>0</v>
      </c>
      <c r="V247" s="6">
        <f>$T247*U247</f>
        <v/>
      </c>
      <c r="W247" s="7" t="n">
        <v>0</v>
      </c>
      <c r="X247" s="6">
        <f>$T247*W247</f>
        <v/>
      </c>
      <c r="Y247" s="7" t="n">
        <v>0</v>
      </c>
      <c r="Z247" s="6">
        <f>$T247*Y247</f>
        <v/>
      </c>
      <c r="AA247" s="7" t="n">
        <v>0</v>
      </c>
      <c r="AB247" s="6">
        <f>$T247*AA247</f>
        <v/>
      </c>
      <c r="AC247" s="7" t="n">
        <v>0</v>
      </c>
      <c r="AD247" s="6">
        <f>$T247*AC247</f>
        <v/>
      </c>
      <c r="AE247" s="7" t="n">
        <v>0</v>
      </c>
      <c r="AF247" s="6">
        <f>$T247*AE247</f>
        <v/>
      </c>
      <c r="AG247" s="7" t="n">
        <v>0</v>
      </c>
      <c r="AH247" s="6">
        <f>$T247*AG247</f>
        <v/>
      </c>
      <c r="AI247" s="7">
        <f>U247+W247+Y247+AA247+AC247+AE247+AG247</f>
        <v/>
      </c>
      <c r="AJ247" s="6">
        <f>V247+X247+Z247+AB247+AD247+AF247+AH247</f>
        <v/>
      </c>
    </row>
    <row r="248" hidden="1" ht="60" customHeight="1" s="46">
      <c r="A248" s="3" t="inlineStr">
        <is>
          <t>LOM251.OC.EEA.PA04.A6600.NA000.0015</t>
        </is>
      </c>
      <c r="B248" s="4" t="inlineStr">
        <is>
          <t>1/1</t>
        </is>
      </c>
      <c r="C248" s="3" t="inlineStr">
        <is>
          <t>IMPIANTO MECCANICO</t>
        </is>
      </c>
      <c r="D248" s="4" t="inlineStr">
        <is>
          <t>NON SPECIALE</t>
        </is>
      </c>
      <c r="E248" s="4" t="inlineStr">
        <is>
          <t>MECCANICHE</t>
        </is>
      </c>
      <c r="F248" s="3" t="inlineStr">
        <is>
          <t>2_CME_TOTALE MECCANICI RADIOFARMACIA PAVIA.PDF</t>
        </is>
      </c>
      <c r="G248" s="4" t="inlineStr">
        <is>
          <t>226/226</t>
        </is>
      </c>
      <c r="H248" s="3" t="inlineStr">
        <is>
          <t>40 - IMPIANTISTICO</t>
        </is>
      </c>
      <c r="I248" s="3" t="n"/>
      <c r="J248" s="3" t="inlineStr">
        <is>
          <t>IMPIANTO ACQUE METEORICHE</t>
        </is>
      </c>
      <c r="K248" s="3" t="inlineStr">
        <is>
          <t xml:space="preserve">OPERA: REINTERRO DI TERRA GENERICO. </t>
        </is>
      </c>
      <c r="L248" s="3" t="inlineStr">
        <is>
          <t>OPERA: REINTERRO DI TERRA GENERICO. 
LAVORO: FORMAZIONE. INCLUSO: CARICO, TRASPORTO E SCARICO A LUOGO D'IMPIEGO; SPIANAMENTI E COSTIPAZIONE A STRATI NON SUPERIORI A 50 CM; BAGNATURA; RICARICHI. OP REINTERRO DI TERRA GENERICO. 
RM AGGREGATO MISTO GRANULARE DI ROCCIA NATURALE MINERALE; PESO SPECIFICO MEDIO [KG/M³] = 1800 
SPECIFICHE TECNICHE: DI SABBIA E GHIAIA 
LV FORMAZIONE. INCLUSO: CARICO, TRASPORTO E SCARICO A LUOGO D'IMPIEGO; SPIANAMENTI E COSTIPAZIONE A STRATI NON SUPERIORI A 50 CM; BAGNATURA; RICARICHI. 
RP MINI ESCAVATORE CINGOLATO; POTENZA [KW] ≤ 50; PESO [T] = 9. DA CONTEGGIARE A PARTE: SPESE DI ESERCIZIO (RP.00.00.00.1010.G) 
RP PALA CINGOLATA; POTENZA [KW] ≤ 55. DA CONTEGGIARE A PARTE: SPESE DI ESERCIZIO (RP.00.00.05.1030.A) 
RP RULLO COMPRESSORE; PESO [T] = 6. ESCLUSO: TRATTORE. DA CONTEGGIARE A PARTE: SPESE DI ESERCIZIO (RP.00.10.05.1010.D) 
SPECIFICHE TECNICHE: TRAINATO. 
RP AUTOCARRO A CASSONE RIBALTABILE; PORTATA [T] = 5,01 ÷ 13,5. DA CONTEGGIARE A PARTE: SPESE DI ESERCIZIO (RP.00.50.00.1030.D)</t>
        </is>
      </c>
      <c r="M248" s="4" t="inlineStr">
        <is>
          <t>M³</t>
        </is>
      </c>
      <c r="N248" s="5" t="n">
        <v>60</v>
      </c>
      <c r="O248" s="45" t="n">
        <v>9.859999999999999</v>
      </c>
      <c r="P248" s="45" t="n">
        <v>591.6</v>
      </c>
      <c r="Q248" s="5" t="n"/>
      <c r="R248" s="6" t="n"/>
      <c r="S248" s="6">
        <f>IF(AND(Q248&lt;&gt;"",R248&lt;&gt;""),Q248*R248,"")</f>
        <v/>
      </c>
      <c r="T248" s="45">
        <f>IF(S248="",P248,S248)</f>
        <v/>
      </c>
      <c r="U248" s="7" t="n">
        <v>0</v>
      </c>
      <c r="V248" s="6">
        <f>$T248*U248</f>
        <v/>
      </c>
      <c r="W248" s="7" t="n">
        <v>0</v>
      </c>
      <c r="X248" s="6">
        <f>$T248*W248</f>
        <v/>
      </c>
      <c r="Y248" s="7" t="n">
        <v>0</v>
      </c>
      <c r="Z248" s="6">
        <f>$T248*Y248</f>
        <v/>
      </c>
      <c r="AA248" s="7" t="n">
        <v>0</v>
      </c>
      <c r="AB248" s="6">
        <f>$T248*AA248</f>
        <v/>
      </c>
      <c r="AC248" s="7" t="n">
        <v>0</v>
      </c>
      <c r="AD248" s="6">
        <f>$T248*AC248</f>
        <v/>
      </c>
      <c r="AE248" s="7" t="n">
        <v>0</v>
      </c>
      <c r="AF248" s="6">
        <f>$T248*AE248</f>
        <v/>
      </c>
      <c r="AG248" s="7" t="n">
        <v>0</v>
      </c>
      <c r="AH248" s="6">
        <f>$T248*AG248</f>
        <v/>
      </c>
      <c r="AI248" s="7">
        <f>U248+W248+Y248+AA248+AC248+AE248+AG248</f>
        <v/>
      </c>
      <c r="AJ248" s="6">
        <f>V248+X248+Z248+AB248+AD248+AF248+AH248</f>
        <v/>
      </c>
    </row>
    <row r="249" ht="60" customHeight="1" s="46">
      <c r="A249" s="3" t="inlineStr">
        <is>
          <t>DEI_IT_035316F</t>
        </is>
      </c>
      <c r="B249" s="4" t="inlineStr">
        <is>
          <t>1/2</t>
        </is>
      </c>
      <c r="C249" s="3" t="inlineStr">
        <is>
          <t>IMPIANTO MECCANICO</t>
        </is>
      </c>
      <c r="D249" s="4" t="inlineStr">
        <is>
          <t>NON SPECIALE</t>
        </is>
      </c>
      <c r="E249" s="4" t="inlineStr">
        <is>
          <t>MECCANICHE</t>
        </is>
      </c>
      <c r="F249" s="3" t="inlineStr">
        <is>
          <t>2_CME_TOTALE MECCANICI RADIOFARMACIA PAVIA.PDF</t>
        </is>
      </c>
      <c r="G249" s="4" t="inlineStr">
        <is>
          <t>121/121</t>
        </is>
      </c>
      <c r="H249" s="3" t="inlineStr">
        <is>
          <t>50 - INSTALLAZIONE</t>
        </is>
      </c>
      <c r="I249" s="3" t="inlineStr">
        <is>
          <t>P. TERRA - UFFICI</t>
        </is>
      </c>
      <c r="J249" s="3" t="inlineStr">
        <is>
          <t>IMPIANTO HVAC</t>
        </is>
      </c>
      <c r="K249" s="3" t="inlineStr">
        <is>
          <t xml:space="preserve">RECUPERATORE DI CALORE CENTRALIZZATO INSTALLATO A PARETE INTERNA O SOFFITTO, CON SCAMBIATORE A FLUSSI INCROCIATI IN CONTROCORRENTE, COMPLETO DI FILTRI SINTETICI POSIZIONATI SULL'ASPIRAZIONE DELL'ARIA </t>
        </is>
      </c>
      <c r="L249" s="3" t="inlineStr">
        <is>
          <t>RECUPERATORE DI CALORE CENTRALIZZATO INSTALLATO A PARETE INTERNA O SOFFITTO, CON SCAMBIATORE A FLUSSI INCROCIATI IN CONTROCORRENTE, COMPLETO DI FILTRI SINTETICI POSIZIONATI SULL'ASPIRAZIONE DELL'ARIA ESPULSA E SULLA PRESA D'ARIA ESTERNA, MOTORE CON ALIMENTAZIONE ELETTRICA 230 V-1-50 HZ, IN OPERA COMPRESI ACCESSORI ED ESCLUSI COLLEGAMENTI ELETTRICI: SCAMBIATORE DI CALORE SENSIBILE, DELLE SEGUENTI PORTATE NOMINALI: 600 MC/H</t>
        </is>
      </c>
      <c r="M249" s="4" t="inlineStr">
        <is>
          <t>CAD</t>
        </is>
      </c>
      <c r="N249" s="5" t="n">
        <v>1</v>
      </c>
      <c r="O249" s="45" t="n">
        <v>2703.76</v>
      </c>
      <c r="P249" s="45" t="n">
        <v>2703.76</v>
      </c>
      <c r="Q249" s="5" t="n"/>
      <c r="R249" s="6" t="n"/>
      <c r="S249" s="6">
        <f>IF(AND(Q249&lt;&gt;"",R249&lt;&gt;""),Q249*R249,"")</f>
        <v/>
      </c>
      <c r="T249" s="45">
        <f>IF(S249="",P249,S249)</f>
        <v/>
      </c>
      <c r="U249" s="7" t="n">
        <v>0.5</v>
      </c>
      <c r="V249" s="6">
        <f>$T249*U249</f>
        <v/>
      </c>
      <c r="W249" s="7" t="n">
        <v>0.2</v>
      </c>
      <c r="X249" s="6">
        <f>$T249*W249</f>
        <v/>
      </c>
      <c r="Y249" s="7" t="n">
        <v>0</v>
      </c>
      <c r="Z249" s="6">
        <f>$T249*Y249</f>
        <v/>
      </c>
      <c r="AA249" s="7" t="n">
        <v>0</v>
      </c>
      <c r="AB249" s="6">
        <f>$T249*AA249</f>
        <v/>
      </c>
      <c r="AC249" s="7" t="n">
        <v>0</v>
      </c>
      <c r="AD249" s="6">
        <f>$T249*AC249</f>
        <v/>
      </c>
      <c r="AE249" s="7" t="n">
        <v>0</v>
      </c>
      <c r="AF249" s="6">
        <f>$T249*AE249</f>
        <v/>
      </c>
      <c r="AG249" s="7" t="n">
        <v>0</v>
      </c>
      <c r="AH249" s="6">
        <f>$T249*AG249</f>
        <v/>
      </c>
      <c r="AI249" s="7">
        <f>U249+W249+Y249+AA249+AC249+AE249+AG249</f>
        <v/>
      </c>
      <c r="AJ249" s="6">
        <f>V249+X249+Z249+AB249+AD249+AF249+AH249</f>
        <v/>
      </c>
    </row>
    <row r="250" ht="60" customHeight="1" s="46">
      <c r="A250" s="3" t="inlineStr">
        <is>
          <t>DEI_IT_035316F</t>
        </is>
      </c>
      <c r="B250" s="4" t="inlineStr">
        <is>
          <t>2/2</t>
        </is>
      </c>
      <c r="C250" s="3" t="inlineStr">
        <is>
          <t>IMPIANTO MECCANICO</t>
        </is>
      </c>
      <c r="D250" s="4" t="inlineStr">
        <is>
          <t>NON SPECIALE</t>
        </is>
      </c>
      <c r="E250" s="4" t="inlineStr">
        <is>
          <t>MECCANICHE</t>
        </is>
      </c>
      <c r="F250" s="3" t="inlineStr">
        <is>
          <t>2_CME_TOTALE MECCANICI RADIOFARMACIA PAVIA.PDF</t>
        </is>
      </c>
      <c r="G250" s="4" t="inlineStr">
        <is>
          <t>135/135</t>
        </is>
      </c>
      <c r="H250" s="3" t="inlineStr">
        <is>
          <t>50 - INSTALLAZIONE</t>
        </is>
      </c>
      <c r="I250" s="3" t="inlineStr">
        <is>
          <t>P. PRIMO - UFFICI</t>
        </is>
      </c>
      <c r="J250" s="3" t="inlineStr">
        <is>
          <t>IMPIANTO HVAC</t>
        </is>
      </c>
      <c r="K250" s="3" t="inlineStr">
        <is>
          <t xml:space="preserve">RECUPERATORE DI CALORE CENTRALIZZATO INSTALLATO A PARETE INTERNA O SOFFITTO, CON SCAMBIATORE A FLUSSI INCROCIATI IN CONTROCORRENTE, COMPLETO DI FILTRI SINTETICI POSIZIONATI SULL'ASPIRAZIONE DELL'ARIA </t>
        </is>
      </c>
      <c r="L250" s="3" t="inlineStr">
        <is>
          <t>RECUPERATORE DI CALORE CENTRALIZZATO INSTALLATO A PARETE INTERNA O SOFFITTO, CON SCAMBIATORE A FLUSSI INCROCIATI IN CONTROCORRENTE, COMPLETO DI FILTRI SINTETICI POSIZIONATI SULL'ASPIRAZIONE DELL'ARIA ESPULSA E SULLA PRESA D'ARIA ESTERNA, MOTORE CON ALIMENTAZIONE ELETTRICA 230 V-1-50 HZ, IN OPERA COMPRESI ACCESSORI ED ESCLUSI COLLEGAMENTI ELETTRICI: SCAMBIATORE DI CALORE SENSIBILE, DELLE SEGUENTI PORTATE NOMINALI: 600 MC/H</t>
        </is>
      </c>
      <c r="M250" s="4" t="inlineStr">
        <is>
          <t>CAD</t>
        </is>
      </c>
      <c r="N250" s="5" t="n">
        <v>1</v>
      </c>
      <c r="O250" s="45" t="n">
        <v>2745.01</v>
      </c>
      <c r="P250" s="45" t="n">
        <v>2745.01</v>
      </c>
      <c r="Q250" s="5" t="n"/>
      <c r="R250" s="6" t="n"/>
      <c r="S250" s="6">
        <f>IF(AND(Q250&lt;&gt;"",R250&lt;&gt;""),Q250*R250,"")</f>
        <v/>
      </c>
      <c r="T250" s="45">
        <f>IF(S250="",P250,S250)</f>
        <v/>
      </c>
      <c r="U250" s="7" t="n">
        <v>0</v>
      </c>
      <c r="V250" s="6">
        <f>$T250*U250</f>
        <v/>
      </c>
      <c r="W250" s="7" t="n">
        <v>0.7</v>
      </c>
      <c r="X250" s="6">
        <f>$T250*W250</f>
        <v/>
      </c>
      <c r="Y250" s="7" t="n">
        <v>0</v>
      </c>
      <c r="Z250" s="6">
        <f>$T250*Y250</f>
        <v/>
      </c>
      <c r="AA250" s="7" t="n">
        <v>0</v>
      </c>
      <c r="AB250" s="6">
        <f>$T250*AA250</f>
        <v/>
      </c>
      <c r="AC250" s="7" t="n">
        <v>0</v>
      </c>
      <c r="AD250" s="6">
        <f>$T250*AC250</f>
        <v/>
      </c>
      <c r="AE250" s="7" t="n">
        <v>0</v>
      </c>
      <c r="AF250" s="6">
        <f>$T250*AE250</f>
        <v/>
      </c>
      <c r="AG250" s="7" t="n">
        <v>0</v>
      </c>
      <c r="AH250" s="6">
        <f>$T250*AG250</f>
        <v/>
      </c>
      <c r="AI250" s="7">
        <f>U250+W250+Y250+AA250+AC250+AE250+AG250</f>
        <v/>
      </c>
      <c r="AJ250" s="6">
        <f>V250+X250+Z250+AB250+AD250+AF250+AH250</f>
        <v/>
      </c>
    </row>
    <row r="251" ht="60" customHeight="1" s="46">
      <c r="A251" s="3" t="inlineStr">
        <is>
          <t>NP.IM.01</t>
        </is>
      </c>
      <c r="B251" s="4" t="inlineStr">
        <is>
          <t>1/2</t>
        </is>
      </c>
      <c r="C251" s="3" t="inlineStr">
        <is>
          <t>IMPIANTO MECCANICO</t>
        </is>
      </c>
      <c r="D251" s="4" t="inlineStr">
        <is>
          <t>NON SPECIALE</t>
        </is>
      </c>
      <c r="E251" s="4" t="inlineStr">
        <is>
          <t>MECCANICHE</t>
        </is>
      </c>
      <c r="F251" s="3" t="inlineStr">
        <is>
          <t>2_CME_TOTALE MECCANICI RADIOFARMACIA PAVIA.PDF</t>
        </is>
      </c>
      <c r="G251" s="4" t="inlineStr">
        <is>
          <t>176/176</t>
        </is>
      </c>
      <c r="H251" s="3" t="inlineStr">
        <is>
          <t>50 - INSTALLAZIONE</t>
        </is>
      </c>
      <c r="I251" s="3" t="inlineStr">
        <is>
          <t>CENTRALE</t>
        </is>
      </c>
      <c r="J251" s="3" t="inlineStr">
        <is>
          <t>IMPIANTO HVAC</t>
        </is>
      </c>
      <c r="K251" s="3" t="inlineStr">
        <is>
          <t xml:space="preserve">FORNITURA E POSA IN OPERA DI POMPS DI CALORE POLIVALENTE CON CONDENSAZIONE AD ARIA, CERTIFICATO EUROVENT, COSTRUITO SECONDO STANDARD DI QUALITÀ ISO 9001, PER INSTALLAZIONE ESTERNA </t>
        </is>
      </c>
      <c r="L251" s="3" t="inlineStr">
        <is>
          <t>FORNITURA E POSA IN OPERA DI POMPS DI CALORE POLIVALENTE CON CONDENSAZIONE AD ARIA, CERTIFICATO EUROVENT, COSTRUITO SECONDO STANDARD DI QUALITÀ ISO 9001, PER INSTALLAZIONE ESTERNA 
CONDIZIONI DI LAVORO: 
ARIA INGRESSO SCAMBIATORE ESTERNO: +35°C -  
ACQUA: +7°/+12°C 
POTENZIALITÀ FRIGORIFERA: 250 KW 
ARIA INGRESSO SCAMBIATORE ESTERNO: +7°C -  
ACQUA: +45°/+40°C 
POTENZIALITÀ TERMICA: 250 KW</t>
        </is>
      </c>
      <c r="M251" s="4" t="inlineStr">
        <is>
          <t>CADAUNO</t>
        </is>
      </c>
      <c r="N251" s="5" t="n">
        <v>0.1</v>
      </c>
      <c r="O251" s="45" t="n">
        <v>95343.27</v>
      </c>
      <c r="P251" s="45" t="n">
        <v>9534.33</v>
      </c>
      <c r="Q251" s="5" t="n"/>
      <c r="R251" s="6" t="n"/>
      <c r="S251" s="6">
        <f>IF(AND(Q251&lt;&gt;"",R251&lt;&gt;""),Q251*R251,"")</f>
        <v/>
      </c>
      <c r="T251" s="45">
        <f>IF(S251="",P251,S251)</f>
        <v/>
      </c>
      <c r="U251" s="7" t="n">
        <v>0</v>
      </c>
      <c r="V251" s="6">
        <f>$T251*U251</f>
        <v/>
      </c>
      <c r="W251" s="7" t="n">
        <v>0.5</v>
      </c>
      <c r="X251" s="6">
        <f>$T251*W251</f>
        <v/>
      </c>
      <c r="Y251" s="7" t="n">
        <v>0</v>
      </c>
      <c r="Z251" s="6">
        <f>$T251*Y251</f>
        <v/>
      </c>
      <c r="AA251" s="7" t="n">
        <v>0</v>
      </c>
      <c r="AB251" s="6">
        <f>$T251*AA251</f>
        <v/>
      </c>
      <c r="AC251" s="7" t="n">
        <v>0</v>
      </c>
      <c r="AD251" s="6">
        <f>$T251*AC251</f>
        <v/>
      </c>
      <c r="AE251" s="7" t="n">
        <v>0</v>
      </c>
      <c r="AF251" s="6">
        <f>$T251*AE251</f>
        <v/>
      </c>
      <c r="AG251" s="7" t="n">
        <v>0</v>
      </c>
      <c r="AH251" s="6">
        <f>$T251*AG251</f>
        <v/>
      </c>
      <c r="AI251" s="7">
        <f>U251+W251+Y251+AA251+AC251+AE251+AG251</f>
        <v/>
      </c>
      <c r="AJ251" s="6">
        <f>V251+X251+Z251+AB251+AD251+AF251+AH251</f>
        <v/>
      </c>
    </row>
    <row r="252" ht="60" customHeight="1" s="46">
      <c r="A252" s="3" t="inlineStr">
        <is>
          <t>DEI_IT_025264B</t>
        </is>
      </c>
      <c r="B252" s="4" t="inlineStr">
        <is>
          <t>1/2</t>
        </is>
      </c>
      <c r="C252" s="3" t="inlineStr">
        <is>
          <t>IMPIANTO MECCANICO</t>
        </is>
      </c>
      <c r="D252" s="4" t="inlineStr">
        <is>
          <t>NON SPECIALE</t>
        </is>
      </c>
      <c r="E252" s="4" t="inlineStr">
        <is>
          <t>MECCANICHE</t>
        </is>
      </c>
      <c r="F252" s="3" t="inlineStr">
        <is>
          <t>2_CME_TOTALE MECCANICI RADIOFARMACIA PAVIA.PDF</t>
        </is>
      </c>
      <c r="G252" s="4" t="inlineStr">
        <is>
          <t>177/177</t>
        </is>
      </c>
      <c r="H252" s="3" t="inlineStr">
        <is>
          <t>50 - INSTALLAZIONE</t>
        </is>
      </c>
      <c r="I252" s="3" t="inlineStr">
        <is>
          <t>CENTRALE</t>
        </is>
      </c>
      <c r="J252" s="3" t="inlineStr">
        <is>
          <t>IMPIANTO HVAC</t>
        </is>
      </c>
      <c r="K252" s="3" t="inlineStr">
        <is>
          <t>POMPA DI CIRCOLAZIONE IN-LINE A MOTORE VENTILATO A 4 POLI AD ALTO RENDIMENTO (IE3), ATTACCHI FLANGIATI, CORPO IN GHISA, PER IL CONVOGLIAMENTO DI ACQUA FREDDA E CALDA (TEMPERATURA LIQUIDO -20 °C ÷ +120</t>
        </is>
      </c>
      <c r="L252" s="3" t="inlineStr">
        <is>
          <t>POMPA DI CIRCOLAZIONE IN-LINE A MOTORE VENTILATO A 4 POLI AD ALTO RENDIMENTO (IE3), ATTACCHI FLANGIATI, CORPO IN GHISA, PER IL CONVOGLIAMENTO DI ACQUA FREDDA E CALDA (TEMPERATURA LIQUIDO -20 °C ÷ +120 °C), PN 10, GRADO DI PROTEZIONE IP 55, CLASSE DI ISOLAMENTO F, ALIMENTAZIONE ELETTRICA 230/400 V, COMPRESI ACCESSORI DI MONTAGGIO, ESCLUSO IL COLLEGAMENTO ELETTRICO: POTENZA ELETTRICA 1,1 KW, Ø ATTACCO 80 MM</t>
        </is>
      </c>
      <c r="M252" s="4" t="inlineStr">
        <is>
          <t>CAD</t>
        </is>
      </c>
      <c r="N252" s="5" t="n">
        <v>4</v>
      </c>
      <c r="O252" s="45" t="n">
        <v>2669.15</v>
      </c>
      <c r="P252" s="45" t="n">
        <v>10676.6</v>
      </c>
      <c r="Q252" s="5" t="n"/>
      <c r="R252" s="6" t="n"/>
      <c r="S252" s="6">
        <f>IF(AND(Q252&lt;&gt;"",R252&lt;&gt;""),Q252*R252,"")</f>
        <v/>
      </c>
      <c r="T252" s="45">
        <f>IF(S252="",P252,S252)</f>
        <v/>
      </c>
      <c r="U252" s="7" t="n">
        <v>0.5</v>
      </c>
      <c r="V252" s="6">
        <f>$T252*U252</f>
        <v/>
      </c>
      <c r="W252" s="7" t="n">
        <v>0.1</v>
      </c>
      <c r="X252" s="6">
        <f>$T252*W252</f>
        <v/>
      </c>
      <c r="Y252" s="7" t="n">
        <v>0</v>
      </c>
      <c r="Z252" s="6">
        <f>$T252*Y252</f>
        <v/>
      </c>
      <c r="AA252" s="7" t="n">
        <v>0</v>
      </c>
      <c r="AB252" s="6">
        <f>$T252*AA252</f>
        <v/>
      </c>
      <c r="AC252" s="7" t="n">
        <v>0</v>
      </c>
      <c r="AD252" s="6">
        <f>$T252*AC252</f>
        <v/>
      </c>
      <c r="AE252" s="7" t="n">
        <v>0</v>
      </c>
      <c r="AF252" s="6">
        <f>$T252*AE252</f>
        <v/>
      </c>
      <c r="AG252" s="7" t="n">
        <v>0</v>
      </c>
      <c r="AH252" s="6">
        <f>$T252*AG252</f>
        <v/>
      </c>
      <c r="AI252" s="7">
        <f>U252+W252+Y252+AA252+AC252+AE252+AG252</f>
        <v/>
      </c>
      <c r="AJ252" s="6">
        <f>V252+X252+Z252+AB252+AD252+AF252+AH252</f>
        <v/>
      </c>
    </row>
    <row r="253" ht="60" customHeight="1" s="46">
      <c r="A253" s="3" t="inlineStr">
        <is>
          <t>LOM251.OC.EEA.PA01.I8000.SB038.0055</t>
        </is>
      </c>
      <c r="B253" s="4" t="inlineStr">
        <is>
          <t>1/2</t>
        </is>
      </c>
      <c r="C253" s="3" t="inlineStr">
        <is>
          <t>IMPIANTO MECCANICO</t>
        </is>
      </c>
      <c r="D253" s="4" t="inlineStr">
        <is>
          <t>NON SPECIALE</t>
        </is>
      </c>
      <c r="E253" s="4" t="inlineStr">
        <is>
          <t>MECCANICHE</t>
        </is>
      </c>
      <c r="F253" s="3" t="inlineStr">
        <is>
          <t>2_CME_TOTALE MECCANICI RADIOFARMACIA PAVIA.PDF</t>
        </is>
      </c>
      <c r="G253" s="4" t="inlineStr">
        <is>
          <t>178/178</t>
        </is>
      </c>
      <c r="H253" s="3" t="inlineStr">
        <is>
          <t>50 - INSTALLAZIONE</t>
        </is>
      </c>
      <c r="I253" s="3" t="inlineStr">
        <is>
          <t>CENTRALE</t>
        </is>
      </c>
      <c r="J253" s="3" t="inlineStr">
        <is>
          <t>IMPIANTO HVAC</t>
        </is>
      </c>
      <c r="K253" s="3" t="inlineStr">
        <is>
          <t>OPERA: SERBATOIO, INERZIALE DI LEGA FERROSA ACCIAIO NERO; FINITURA: VERNICIATO | ANTIRUGGINE; GEOMETRIA: VERTICALE; FUNZIONE: ACCUMULO ACQUA REFRIGERATA; IMPIEGO: CENTRALE IDRICA; PRESSIONE MASSIMA DI</t>
        </is>
      </c>
      <c r="L253" s="3" t="inlineStr">
        <is>
          <t>OPERA: SERBATOIO, INERZIALE DI LEGA FERROSA ACCIAIO NERO; FINITURA: VERNICIATO | ANTIRUGGINE; GEOMETRIA: VERTICALE; FUNZIONE: ACCUMULO ACQUA REFRIGERATA; IMPIEGO: CENTRALE IDRICA; PRESSIONE MASSIMA DI ESERCIZIO [BAR] = 6; CAPACITÀ [L] = 1500. 
LAVORO: INSTALLAZIONE. 
SPECIFICHE TECNICHE: SERBATOIO CON VERNICIATURA ESTERNA ANTIRUGGINE. OP SERBATOIO, INERZIALE DI LEGA FERROSA ACCIAIO NERO; FINITURA: VERNICIATO | ANTIRUGGINE; GEOMETRIA: VERTICALE; FUNZIONE: ACCUMULO ACQUA REFRIGERATA; IMPIEGO: CENTRALE IDRICA; PRESSIONE MASSIMA DI ESERCIZIO [BAR] = 6; CAPACITÀ [L] = 1500. 
SPECIFICHE TECNICHE: SERBATOIO CON VERNICIATURA ESTERNA ANTIRUGGINE. 
RM SERBATOIO INERZIALE DI LEGA FERROSA ACCIAIO NERO; FINITURA: VERNICIATO | ANTIRUGGINE; GEOMETRIA: VERTICALE; FUNZIONE: ACCUMULO ACQUA REFRIGERATA; IMPIEGO: CENTRALE IDRICA; PRESSIONE MASSIMA DI ESERCIZIO [BAR] = 6; CAPACITÀ [L] = 1500. COMPONENTE: LASTRA,  
SPECIFICHE TECNICHE: SERBATOIO CON VERNICIATURA ESTERNA ANTIRUGGINE 
LV INSTALLAZIONE.</t>
        </is>
      </c>
      <c r="M253" s="4" t="inlineStr">
        <is>
          <t>CAD</t>
        </is>
      </c>
      <c r="N253" s="5" t="n">
        <v>0.2</v>
      </c>
      <c r="O253" s="45" t="n">
        <v>1897.38</v>
      </c>
      <c r="P253" s="45" t="n">
        <v>379.48</v>
      </c>
      <c r="Q253" s="5" t="n"/>
      <c r="R253" s="6" t="n"/>
      <c r="S253" s="6">
        <f>IF(AND(Q253&lt;&gt;"",R253&lt;&gt;""),Q253*R253,"")</f>
        <v/>
      </c>
      <c r="T253" s="45">
        <f>IF(S253="",P253,S253)</f>
        <v/>
      </c>
      <c r="U253" s="7" t="n">
        <v>0</v>
      </c>
      <c r="V253" s="6">
        <f>$T253*U253</f>
        <v/>
      </c>
      <c r="W253" s="7" t="n">
        <v>0.5</v>
      </c>
      <c r="X253" s="6">
        <f>$T253*W253</f>
        <v/>
      </c>
      <c r="Y253" s="7" t="n">
        <v>0</v>
      </c>
      <c r="Z253" s="6">
        <f>$T253*Y253</f>
        <v/>
      </c>
      <c r="AA253" s="7" t="n">
        <v>0</v>
      </c>
      <c r="AB253" s="6">
        <f>$T253*AA253</f>
        <v/>
      </c>
      <c r="AC253" s="7" t="n">
        <v>0</v>
      </c>
      <c r="AD253" s="6">
        <f>$T253*AC253</f>
        <v/>
      </c>
      <c r="AE253" s="7" t="n">
        <v>0</v>
      </c>
      <c r="AF253" s="6">
        <f>$T253*AE253</f>
        <v/>
      </c>
      <c r="AG253" s="7" t="n">
        <v>0</v>
      </c>
      <c r="AH253" s="6">
        <f>$T253*AG253</f>
        <v/>
      </c>
      <c r="AI253" s="7">
        <f>U253+W253+Y253+AA253+AC253+AE253+AG253</f>
        <v/>
      </c>
      <c r="AJ253" s="6">
        <f>V253+X253+Z253+AB253+AD253+AF253+AH253</f>
        <v/>
      </c>
    </row>
    <row r="254" ht="60" customHeight="1" s="46">
      <c r="A254" s="3" t="inlineStr">
        <is>
          <t>LOM251.OC.EEA.PA01.I8000.SB038.0015</t>
        </is>
      </c>
      <c r="B254" s="4" t="inlineStr">
        <is>
          <t>1/2</t>
        </is>
      </c>
      <c r="C254" s="3" t="inlineStr">
        <is>
          <t>IMPIANTO MECCANICO</t>
        </is>
      </c>
      <c r="D254" s="4" t="inlineStr">
        <is>
          <t>NON SPECIALE</t>
        </is>
      </c>
      <c r="E254" s="4" t="inlineStr">
        <is>
          <t>MECCANICHE</t>
        </is>
      </c>
      <c r="F254" s="3" t="inlineStr">
        <is>
          <t>2_CME_TOTALE MECCANICI RADIOFARMACIA PAVIA.PDF</t>
        </is>
      </c>
      <c r="G254" s="4" t="inlineStr">
        <is>
          <t>179/179</t>
        </is>
      </c>
      <c r="H254" s="3" t="inlineStr">
        <is>
          <t>50 - INSTALLAZIONE</t>
        </is>
      </c>
      <c r="I254" s="3" t="inlineStr">
        <is>
          <t>CENTRALE</t>
        </is>
      </c>
      <c r="J254" s="3" t="inlineStr">
        <is>
          <t>IMPIANTO HVAC</t>
        </is>
      </c>
      <c r="K254" s="3" t="inlineStr">
        <is>
          <t>OPERA: SERBATOIO, INERZIALE DI LEGA FERROSA ACCIAIO NERO; FINITURA: VERNICIATO | ANTIRUGGINE; GEOMETRIA: VERTICALE; FUNZIONE: ACCUMULO ACQUA CALDA; IMPIEGO: CENTRALE IDRICA; PRESSIONE DI BOLLO [BAR] =</t>
        </is>
      </c>
      <c r="L254" s="3" t="inlineStr">
        <is>
          <t>OPERA: SERBATOIO, INERZIALE DI LEGA FERROSA ACCIAIO NERO; FINITURA: VERNICIATO | ANTIRUGGINE; GEOMETRIA: VERTICALE; FUNZIONE: ACCUMULO ACQUA CALDA; IMPIEGO: CENTRALE IDRICA; PRESSIONE DI BOLLO [BAR] = 12; CAPACITÀ [L] = 1500. 
LAVORO: INSTALLAZIONE. 
SPECIFICHE TECNICHE: SERBATOIO CON VERNICIATURA ESTERNA ANTIRUGGINE; TEMPERATURA MASSIMA DI ESERCIZIO [°C] = 99. OP SERBATOIO, INERZIALE DI LEGA FERROSA ACCIAIO NERO; FINITURA: VERNICIATO | ANTIRUGGINE; GEOMETRIA: VERTICALE; FUNZIONE: ACCUMULO ACQUA CALDA; IMPIEGO: CENTRALE IDRICA; PRESSIONE DI BOLLO [BAR] = 12; CAPACITÀ [L] = 1500. 
SPECIFICHE TECNICHE: SERBATOIO CON VERNICIATURA ESTERNA ANTIRUGGINE; TEMPERATURA MASSIMA DI ESERCIZIO [°C] = 99. 
RM SERBATOIO INERZIALE DI LEGA FERROSA ACCIAIO NERO; FINITURA: VERNICIATO | ANTIRUGGINE; GEOMETRIA: VERTICALE; FUNZIONE: ACCUMULO ACQUA CALDA; IMPIEGO: CENTRALE IDRICA; PRESSIONE MASSIMA DI ESERCIZIO [BAR] = 6; CAPACITÀ [L] = 1500. COMPONENTE: LASTRA,  
SPECIFICHE TECNICHE: SERBATOIO CON VERNICIATURA ESTERNA ANTIRUGGINE; TEMPERATURA MASSIMA DI ESERCIZIO [°C] = 99 
LV INSTALLAZIONE.</t>
        </is>
      </c>
      <c r="M254" s="4" t="inlineStr">
        <is>
          <t>CAD</t>
        </is>
      </c>
      <c r="N254" s="5" t="n">
        <v>0.2</v>
      </c>
      <c r="O254" s="45" t="n">
        <v>1897.38</v>
      </c>
      <c r="P254" s="45" t="n">
        <v>379.48</v>
      </c>
      <c r="Q254" s="5" t="n"/>
      <c r="R254" s="6" t="n"/>
      <c r="S254" s="6">
        <f>IF(AND(Q254&lt;&gt;"",R254&lt;&gt;""),Q254*R254,"")</f>
        <v/>
      </c>
      <c r="T254" s="45">
        <f>IF(S254="",P254,S254)</f>
        <v/>
      </c>
      <c r="U254" s="7" t="n">
        <v>0</v>
      </c>
      <c r="V254" s="6">
        <f>$T254*U254</f>
        <v/>
      </c>
      <c r="W254" s="7" t="n">
        <v>0.5</v>
      </c>
      <c r="X254" s="6">
        <f>$T254*W254</f>
        <v/>
      </c>
      <c r="Y254" s="7" t="n">
        <v>0</v>
      </c>
      <c r="Z254" s="6">
        <f>$T254*Y254</f>
        <v/>
      </c>
      <c r="AA254" s="7" t="n">
        <v>0</v>
      </c>
      <c r="AB254" s="6">
        <f>$T254*AA254</f>
        <v/>
      </c>
      <c r="AC254" s="7" t="n">
        <v>0</v>
      </c>
      <c r="AD254" s="6">
        <f>$T254*AC254</f>
        <v/>
      </c>
      <c r="AE254" s="7" t="n">
        <v>0</v>
      </c>
      <c r="AF254" s="6">
        <f>$T254*AE254</f>
        <v/>
      </c>
      <c r="AG254" s="7" t="n">
        <v>0</v>
      </c>
      <c r="AH254" s="6">
        <f>$T254*AG254</f>
        <v/>
      </c>
      <c r="AI254" s="7">
        <f>U254+W254+Y254+AA254+AC254+AE254+AG254</f>
        <v/>
      </c>
      <c r="AJ254" s="6">
        <f>V254+X254+Z254+AB254+AD254+AF254+AH254</f>
        <v/>
      </c>
    </row>
    <row r="255" hidden="1" ht="60" customHeight="1" s="46">
      <c r="A255" s="3" t="inlineStr">
        <is>
          <t>LOM251.OC.EEA.PA02.I9762.SB001.0965</t>
        </is>
      </c>
      <c r="B255" s="4" t="inlineStr">
        <is>
          <t>1/2</t>
        </is>
      </c>
      <c r="C255" s="3" t="inlineStr">
        <is>
          <t>IMPIANTO MECCANICO</t>
        </is>
      </c>
      <c r="D255" s="4" t="inlineStr">
        <is>
          <t>NON SPECIALE</t>
        </is>
      </c>
      <c r="E255" s="4" t="inlineStr">
        <is>
          <t>MECCANICHE</t>
        </is>
      </c>
      <c r="F255" s="3" t="inlineStr">
        <is>
          <t>2_CME_TOTALE MECCANICI RADIOFARMACIA PAVIA.PDF</t>
        </is>
      </c>
      <c r="G255" s="4" t="inlineStr">
        <is>
          <t>185/185</t>
        </is>
      </c>
      <c r="H255" s="3" t="inlineStr">
        <is>
          <t>50 - INSTALLAZIONE</t>
        </is>
      </c>
      <c r="I255" s="3" t="inlineStr">
        <is>
          <t>CENTRALE</t>
        </is>
      </c>
      <c r="J255" s="3" t="inlineStr">
        <is>
          <t>IMPIANTO HVAC</t>
        </is>
      </c>
      <c r="K255" s="3" t="inlineStr">
        <is>
          <t>OPERA: VALVOLA DI LEGA FERROSA ACCIAIO GENERICO; GEOMETRIA: A DISCO | TIPO WAFER; FUNZIONE: DI RITEGNO; DIAMETRO NOMINALE (Ø) [MM] = 40; PRESSIONE NOMINALE [BAR] = 10 ÷ 40. INCLUSO: MOLLA DI LEGA FERR</t>
        </is>
      </c>
      <c r="L255" s="3" t="inlineStr">
        <is>
          <t>OPERA: VALVOLA DI LEGA FERROSA ACCIAIO GENERICO; GEOMETRIA: A DISCO | TIPO WAFER; FUNZIONE: DI RITEGNO; DIAMETRO NOMINALE (Ø) [MM] = 40; PRESSIONE NOMINALE [BAR] = 10 ÷ 40. INCLUSO: MOLLA DI LEGA FERROSA ACCIAIO INOX;. 
LAVORO: POSA. 
SPECIFICHE TECNICHE: VALVOLA CON: CORPO DI LEGA FERROSA ACCIAIO GALVANIZZATO, DISCO DI LEGA FERROSA ACCIAIO INOX, ANELLO SEDE DI TENUTA VALVOLA DI LEGA FERROSA ACCIAIO INOX. OP VALVOLA DI LEGA FERROSA ACCIAIO GENERICO; GEOMETRIA: A DISCO | TIPO WAFER; FUNZIONE: DI RITEGNO; DIAMETRO NOMINALE (Ø) [MM] = 40; PRESSIONE NOMINALE [BAR] = 10 ÷ 40. INCLUSO: MOLLA DI LEGA FERROSA ACCIAIO INOX;. 
SPECIFICHE TECNICHE: VALVOLA CON: CORPO DI LEGA FERROSA ACCIAIO GALVANIZZATO, DISCO DI LEGA FERROSA ACCIAIO INOX, ANELLO SEDE DI TENUTA VALVOLA DI LEGA FERROSA ACCIAIO INOX. 
RM VALVOLA DI LEGA FERROSA ACCIAIO GENERICO; GEOMETRIA: A DISCO | TIPO WAFER; FUNZIONE: DI RITEGNO; DIAMETRO NOMINALE (Ø) [MM] = 40; PRESSIONE NOMINALE [BAR] = 10 ÷ 40. INCLUSO: MOLLA DI LEGA FERROSA ACCIAIO INOX; 
SPECIFICHE TECNICHE: VALVOLA CON: CORPO DI LEGA FERROSA ACCIAIO GALVANIZZATO, DISCO DI LEGA FERROSA ACCIAIO INOX, ANELLO SEDE DI TENUTA VALVOLA DI LEGA FERROSA ACCIAIO INOX 
LV POSA.</t>
        </is>
      </c>
      <c r="M255" s="4" t="inlineStr">
        <is>
          <t>CAD</t>
        </is>
      </c>
      <c r="N255" s="5" t="n">
        <v>1</v>
      </c>
      <c r="O255" s="45" t="n">
        <v>82.86</v>
      </c>
      <c r="P255" s="45" t="n">
        <v>82.86</v>
      </c>
      <c r="Q255" s="5" t="n"/>
      <c r="R255" s="6" t="n"/>
      <c r="S255" s="6">
        <f>IF(AND(Q255&lt;&gt;"",R255&lt;&gt;""),Q255*R255,"")</f>
        <v/>
      </c>
      <c r="T255" s="45">
        <f>IF(S255="",P255,S255)</f>
        <v/>
      </c>
      <c r="U255" s="7" t="n">
        <v>0</v>
      </c>
      <c r="V255" s="6">
        <f>$T255*U255</f>
        <v/>
      </c>
      <c r="W255" s="7" t="n">
        <v>0</v>
      </c>
      <c r="X255" s="6">
        <f>$T255*W255</f>
        <v/>
      </c>
      <c r="Y255" s="7" t="n">
        <v>0</v>
      </c>
      <c r="Z255" s="6">
        <f>$T255*Y255</f>
        <v/>
      </c>
      <c r="AA255" s="7" t="n">
        <v>0</v>
      </c>
      <c r="AB255" s="6">
        <f>$T255*AA255</f>
        <v/>
      </c>
      <c r="AC255" s="7" t="n">
        <v>0</v>
      </c>
      <c r="AD255" s="6">
        <f>$T255*AC255</f>
        <v/>
      </c>
      <c r="AE255" s="7" t="n">
        <v>0</v>
      </c>
      <c r="AF255" s="6">
        <f>$T255*AE255</f>
        <v/>
      </c>
      <c r="AG255" s="7" t="n">
        <v>0</v>
      </c>
      <c r="AH255" s="6">
        <f>$T255*AG255</f>
        <v/>
      </c>
      <c r="AI255" s="7">
        <f>U255+W255+Y255+AA255+AC255+AE255+AG255</f>
        <v/>
      </c>
      <c r="AJ255" s="6">
        <f>V255+X255+Z255+AB255+AD255+AF255+AH255</f>
        <v/>
      </c>
    </row>
    <row r="256" ht="60" customHeight="1" s="46">
      <c r="A256" s="3" t="inlineStr">
        <is>
          <t>DEI_IT_015091A</t>
        </is>
      </c>
      <c r="B256" s="4" t="inlineStr">
        <is>
          <t>1/1</t>
        </is>
      </c>
      <c r="C256" s="3" t="inlineStr">
        <is>
          <t>IMPIANTO MECCANICO</t>
        </is>
      </c>
      <c r="D256" s="4" t="inlineStr">
        <is>
          <t>NON SPECIALE</t>
        </is>
      </c>
      <c r="E256" s="4" t="inlineStr">
        <is>
          <t>MECCANICHE</t>
        </is>
      </c>
      <c r="F256" s="3" t="inlineStr">
        <is>
          <t>2_CME_TOTALE MECCANICI RADIOFARMACIA PAVIA.PDF</t>
        </is>
      </c>
      <c r="G256" s="4" t="inlineStr">
        <is>
          <t>193/193</t>
        </is>
      </c>
      <c r="H256" s="3" t="inlineStr">
        <is>
          <t>50 - INSTALLAZIONE</t>
        </is>
      </c>
      <c r="I256" s="3" t="inlineStr">
        <is>
          <t>CENTRALE</t>
        </is>
      </c>
      <c r="J256" s="3" t="inlineStr">
        <is>
          <t>IMPIANTO IIS E FOGNA</t>
        </is>
      </c>
      <c r="K256" s="3" t="inlineStr">
        <is>
          <t>SCALDA ACQUA A POMPA DI CALORE ARIA-ACQUA PER LA PRODUZIONE DI ACQUA CALDA SANITARIA, IN ACCIAIO INOX, PER INSTALLAZIONE A BASAMENTO (CLASSE A+ DI EFFICIENZA ENERGETICA SECONDO ERP), CON COIBENTAZIONE</t>
        </is>
      </c>
      <c r="L256" s="3" t="inlineStr">
        <is>
          <t>SCALDA ACQUA A POMPA DI CALORE ARIA-ACQUA PER LA PRODUZIONE DI ACQUA CALDA SANITARIA, IN ACCIAIO INOX, PER INSTALLAZIONE A BASAMENTO (CLASSE A+ DI EFFICIENZA ENERGETICA SECONDO ERP), CON COIBENTAZIONE IN POLIURETANO ESPANSO, ALIMENTAZIONE ELETTRICA 230 V - 50 HZ, POSTO IN OPERA ALLACCIATO ALLA RETE IDRICA CON ESCLUSIONE DEI COLLEGAMENTI ELETTRICI: SENZA SERPENTINO DI INTEGRAZIONE, DELLA CAPACITÀ DI: 200 L</t>
        </is>
      </c>
      <c r="M256" s="4" t="inlineStr">
        <is>
          <t>CAD</t>
        </is>
      </c>
      <c r="N256" s="5" t="n">
        <v>1</v>
      </c>
      <c r="O256" s="45" t="n">
        <v>2229.42</v>
      </c>
      <c r="P256" s="45" t="n">
        <v>2229.42</v>
      </c>
      <c r="Q256" s="5" t="n"/>
      <c r="R256" s="6" t="n"/>
      <c r="S256" s="6">
        <f>IF(AND(Q256&lt;&gt;"",R256&lt;&gt;""),Q256*R256,"")</f>
        <v/>
      </c>
      <c r="T256" s="45">
        <f>IF(S256="",P256,S256)</f>
        <v/>
      </c>
      <c r="U256" s="7" t="n">
        <v>0.5</v>
      </c>
      <c r="V256" s="6">
        <f>$T256*U256</f>
        <v/>
      </c>
      <c r="W256" s="7" t="n">
        <v>0.1</v>
      </c>
      <c r="X256" s="6">
        <f>$T256*W256</f>
        <v/>
      </c>
      <c r="Y256" s="7" t="n">
        <v>0</v>
      </c>
      <c r="Z256" s="6">
        <f>$T256*Y256</f>
        <v/>
      </c>
      <c r="AA256" s="7" t="n">
        <v>0</v>
      </c>
      <c r="AB256" s="6">
        <f>$T256*AA256</f>
        <v/>
      </c>
      <c r="AC256" s="7" t="n">
        <v>0</v>
      </c>
      <c r="AD256" s="6">
        <f>$T256*AC256</f>
        <v/>
      </c>
      <c r="AE256" s="7" t="n">
        <v>0</v>
      </c>
      <c r="AF256" s="6">
        <f>$T256*AE256</f>
        <v/>
      </c>
      <c r="AG256" s="7" t="n">
        <v>0</v>
      </c>
      <c r="AH256" s="6">
        <f>$T256*AG256</f>
        <v/>
      </c>
      <c r="AI256" s="7">
        <f>U256+W256+Y256+AA256+AC256+AE256+AG256</f>
        <v/>
      </c>
      <c r="AJ256" s="6">
        <f>V256+X256+Z256+AB256+AD256+AF256+AH256</f>
        <v/>
      </c>
    </row>
    <row r="257" ht="60" customHeight="1" s="46">
      <c r="A257" s="3" t="inlineStr">
        <is>
          <t>LOM251.OC.EEA.PA01.I7450.ZA001.0010</t>
        </is>
      </c>
      <c r="B257" s="4" t="inlineStr">
        <is>
          <t>1/1</t>
        </is>
      </c>
      <c r="C257" s="3" t="inlineStr">
        <is>
          <t>IMPIANTO MECCANICO</t>
        </is>
      </c>
      <c r="D257" s="4" t="inlineStr">
        <is>
          <t>SPECIALE</t>
        </is>
      </c>
      <c r="E257" s="4" t="inlineStr">
        <is>
          <t>MECCANICHE SPECIALI</t>
        </is>
      </c>
      <c r="F257" s="3" t="inlineStr">
        <is>
          <t>2_CME_TOTALE MECCANICI RADIOFARMACIA PAVIA.PDF</t>
        </is>
      </c>
      <c r="G257" s="4" t="inlineStr">
        <is>
          <t>6/6</t>
        </is>
      </c>
      <c r="H257" s="3" t="inlineStr">
        <is>
          <t>40 - IMPIANTISTICO</t>
        </is>
      </c>
      <c r="I257" s="3" t="inlineStr">
        <is>
          <t>CENTRALE</t>
        </is>
      </c>
      <c r="J257" s="3" t="inlineStr">
        <is>
          <t>IMPIANTO HVAC</t>
        </is>
      </c>
      <c r="K257" s="3" t="inlineStr">
        <is>
          <t xml:space="preserve">OPERA: CIRCOLATORE, GEMELLARE; FUNZIONE: DISTRIBUZIONE ACQUA; IMPIEGO: CENTRALE IDRICA; PRESSIONE NOMINALE [BAR] = 6 | PREVALENZA [KPA] = 40,1 ÷ 80 | PORTATA [M³/H] ≤ 4. </t>
        </is>
      </c>
      <c r="L257" s="3" t="inlineStr">
        <is>
          <t>OPERA: CIRCOLATORE, GEMELLARE; FUNZIONE: DISTRIBUZIONE ACQUA; IMPIEGO: CENTRALE IDRICA; PRESSIONE NOMINALE [BAR] = 6 | PREVALENZA [KPA] = 40,1 ÷ 80 | PORTATA [M³/H] ≤ 4. 
LAVORO: INSTALLAZIONE. 
SPECIFICHE TECNICHE: PRESTAZIONI MISURATE A VELOCITÀ MASSIMA. OP CIRCOLATORE, GEMELLARE; FUNZIONE: DISTRIBUZIONE ACQUA; IMPIEGO: CENTRALE IDRICA; PRESSIONE NOMINALE [BAR] = 6 | PREVALENZA [KPA] = 40,1 ÷ 80 | PORTATA [M³/H] ≤ 4. 
SPECIFICHE TECNICHE: PRESTAZIONI MISURATE A VELOCITÀ MASSIMA. 
RM CIRCOLATORE GEMELLARE; FUNZIONE: DISTRIBUZIONE ACQUA; IMPIEGO: CENTRALE IDRICA; PRESSIONE NOMINALE [BAR] = 6 | PREVALENZA [KPA] = 40,1 ÷ 80 | PORTATA [M³/H] ≤ 4. COMPONENTE: MOTORE TRIFASE (3F),  
SPECIFICHE TECNICHE: PRESTAZIONI MISURATE A VELOCITÀ MASSIMA 
LV INSTALLAZIONE.</t>
        </is>
      </c>
      <c r="M257" s="4" t="inlineStr">
        <is>
          <t>CAD</t>
        </is>
      </c>
      <c r="N257" s="5" t="n">
        <v>1</v>
      </c>
      <c r="O257" s="45" t="n">
        <v>2146.41</v>
      </c>
      <c r="P257" s="45" t="n">
        <v>2146.41</v>
      </c>
      <c r="Q257" s="5" t="n"/>
      <c r="R257" s="6" t="n"/>
      <c r="S257" s="6">
        <f>IF(AND(Q257&lt;&gt;"",R257&lt;&gt;""),Q257*R257,"")</f>
        <v/>
      </c>
      <c r="T257" s="45">
        <f>IF(S257="",P257,S257)</f>
        <v/>
      </c>
      <c r="U257" s="7" t="n">
        <v>0</v>
      </c>
      <c r="V257" s="6">
        <f>$T257*U257</f>
        <v/>
      </c>
      <c r="W257" s="7" t="n">
        <v>0.7</v>
      </c>
      <c r="X257" s="6">
        <f>$T257*W257</f>
        <v/>
      </c>
      <c r="Y257" s="7" t="n">
        <v>0</v>
      </c>
      <c r="Z257" s="6">
        <f>$T257*Y257</f>
        <v/>
      </c>
      <c r="AA257" s="7" t="n">
        <v>0</v>
      </c>
      <c r="AB257" s="6">
        <f>$T257*AA257</f>
        <v/>
      </c>
      <c r="AC257" s="7" t="n">
        <v>0</v>
      </c>
      <c r="AD257" s="6">
        <f>$T257*AC257</f>
        <v/>
      </c>
      <c r="AE257" s="7" t="n">
        <v>0</v>
      </c>
      <c r="AF257" s="6">
        <f>$T257*AE257</f>
        <v/>
      </c>
      <c r="AG257" s="7" t="n">
        <v>0</v>
      </c>
      <c r="AH257" s="6">
        <f>$T257*AG257</f>
        <v/>
      </c>
      <c r="AI257" s="7">
        <f>U257+W257+Y257+AA257+AC257+AE257+AG257</f>
        <v/>
      </c>
      <c r="AJ257" s="6">
        <f>V257+X257+Z257+AB257+AD257+AF257+AH257</f>
        <v/>
      </c>
    </row>
    <row r="258" ht="60" customHeight="1" s="46">
      <c r="A258" s="3" t="inlineStr">
        <is>
          <t>LOM251.OC.EEA.PA02.I7407.SB038.0255</t>
        </is>
      </c>
      <c r="B258" s="4" t="inlineStr">
        <is>
          <t>3/3</t>
        </is>
      </c>
      <c r="C258" s="3" t="inlineStr">
        <is>
          <t>IMPIANTO MECCANICO</t>
        </is>
      </c>
      <c r="D258" s="4" t="inlineStr">
        <is>
          <t>SPECIALE</t>
        </is>
      </c>
      <c r="E258" s="4" t="inlineStr">
        <is>
          <t>MECCANICHE SPECIALI</t>
        </is>
      </c>
      <c r="F258" s="3" t="inlineStr">
        <is>
          <t>2_CME_TOTALE MECCANICI RADIOFARMACIA PAVIA.PDF</t>
        </is>
      </c>
      <c r="G258" s="4" t="inlineStr">
        <is>
          <t>10/10</t>
        </is>
      </c>
      <c r="H258" s="3" t="inlineStr">
        <is>
          <t>40 - IMPIANTISTICO</t>
        </is>
      </c>
      <c r="I258" s="3" t="inlineStr">
        <is>
          <t>CENTRALE</t>
        </is>
      </c>
      <c r="J258" s="3" t="inlineStr">
        <is>
          <t>IMPIANTO HVAC</t>
        </is>
      </c>
      <c r="K258" s="3" t="inlineStr">
        <is>
          <t xml:space="preserve">OPERA: TUBAZIONE DI LEGA FERROSA ACCIAIO NERO; GEOMETRIA: FILETTATO | SERIE LEGGERA; FUNZIONE: DISTRIBUZIONE ACQUA; IMPIEGO: RETE IDRICA; DIAMETRO NOMINALE (Ø) [MM] = 20 | SPESSORE [MM] = 2,3. </t>
        </is>
      </c>
      <c r="L258" s="3" t="inlineStr">
        <is>
          <t>OPERA: TUBAZIONE DI LEGA FERROSA ACCIAIO NERO; GEOMETRIA: FILETTATO | SERIE LEGGERA; FUNZIONE: DISTRIBUZIONE ACQUA; IMPIEGO: RETE IDRICA; DIAMETRO NOMINALE (Ø) [MM] = 20 | SPESSORE [MM] = 2,3. 
LAVORO: POSA. 
SPECIFICHE TECNICHE: TUBO SENZA SALDATURA. OP TUBAZIONE DI LEGA FERROSA ACCIAIO NERO; GEOMETRIA: FILETTATO | SERIE LEGGERA; FUNZIONE: DISTRIBUZIONE ACQUA; IMPIEGO: RETE IDRICA; DIAMETRO NOMINALE (Ø) [MM] = 20 | SPESSORE [MM] = 2,3. 
SPECIFICHE TECNICHE: TUBO SENZA SALDATURA. 
RM TUBO DI LEGA FERROSA ACCIAIO NERO; GEOMETRIA: FILETTATO | SERIE LEGGERA; FUNZIONE: DISTRIBUZIONE ACQUA; IMPIEGO: RETE IDRICA; DIAMETRO NOMINALE (Ø) [MM] = 20 | SPESSORE [MM] = 2,3 
SPECIFICHE TECNICHE: TUBO SENZA SALDATURA 
LV POSA.</t>
        </is>
      </c>
      <c r="M258" s="4" t="inlineStr">
        <is>
          <t>M</t>
        </is>
      </c>
      <c r="N258" s="5" t="n">
        <v>45</v>
      </c>
      <c r="O258" s="45" t="n">
        <v>24.52</v>
      </c>
      <c r="P258" s="45" t="n">
        <v>1103.4</v>
      </c>
      <c r="Q258" s="5" t="n"/>
      <c r="R258" s="6" t="n"/>
      <c r="S258" s="6">
        <f>IF(AND(Q258&lt;&gt;"",R258&lt;&gt;""),Q258*R258,"")</f>
        <v/>
      </c>
      <c r="T258" s="45">
        <f>IF(S258="",P258,S258)</f>
        <v/>
      </c>
      <c r="U258" s="7" t="n">
        <v>0</v>
      </c>
      <c r="V258" s="6">
        <f>$T258*U258</f>
        <v/>
      </c>
      <c r="W258" s="7" t="n">
        <v>0.25</v>
      </c>
      <c r="X258" s="6">
        <f>$T258*W258</f>
        <v/>
      </c>
      <c r="Y258" s="7" t="n">
        <v>0</v>
      </c>
      <c r="Z258" s="6">
        <f>$T258*Y258</f>
        <v/>
      </c>
      <c r="AA258" s="7" t="n">
        <v>0</v>
      </c>
      <c r="AB258" s="6">
        <f>$T258*AA258</f>
        <v/>
      </c>
      <c r="AC258" s="7" t="n">
        <v>0</v>
      </c>
      <c r="AD258" s="6">
        <f>$T258*AC258</f>
        <v/>
      </c>
      <c r="AE258" s="7" t="n">
        <v>0</v>
      </c>
      <c r="AF258" s="6">
        <f>$T258*AE258</f>
        <v/>
      </c>
      <c r="AG258" s="7" t="n">
        <v>0</v>
      </c>
      <c r="AH258" s="6">
        <f>$T258*AG258</f>
        <v/>
      </c>
      <c r="AI258" s="7">
        <f>U258+W258+Y258+AA258+AC258+AE258+AG258</f>
        <v/>
      </c>
      <c r="AJ258" s="6">
        <f>V258+X258+Z258+AB258+AD258+AF258+AH258</f>
        <v/>
      </c>
    </row>
    <row r="259" ht="60" customHeight="1" s="46">
      <c r="A259" s="3" t="inlineStr">
        <is>
          <t>LOM251.OC.EEA.PA02.I7407.SB038.0295</t>
        </is>
      </c>
      <c r="B259" s="4" t="inlineStr">
        <is>
          <t>2/2</t>
        </is>
      </c>
      <c r="C259" s="3" t="inlineStr">
        <is>
          <t>IMPIANTO MECCANICO</t>
        </is>
      </c>
      <c r="D259" s="4" t="inlineStr">
        <is>
          <t>SPECIALE</t>
        </is>
      </c>
      <c r="E259" s="4" t="inlineStr">
        <is>
          <t>MECCANICHE SPECIALI</t>
        </is>
      </c>
      <c r="F259" s="3" t="inlineStr">
        <is>
          <t>2_CME_TOTALE MECCANICI RADIOFARMACIA PAVIA.PDF</t>
        </is>
      </c>
      <c r="G259" s="4" t="inlineStr">
        <is>
          <t>11/11</t>
        </is>
      </c>
      <c r="H259" s="3" t="inlineStr">
        <is>
          <t>40 - IMPIANTISTICO</t>
        </is>
      </c>
      <c r="I259" s="3" t="inlineStr">
        <is>
          <t>CENTRALE</t>
        </is>
      </c>
      <c r="J259" s="3" t="inlineStr">
        <is>
          <t>IMPIANTO HVAC</t>
        </is>
      </c>
      <c r="K259" s="3" t="inlineStr">
        <is>
          <t xml:space="preserve">OPERA: TUBAZIONE DI LEGA FERROSA ACCIAIO NERO; FUNZIONE: DISTRIBUZIONE ACQUA; IMPIEGO: RETE IDRICA; DIAMETRO NOMINALE (Ø) [MM] = 25 | SPESSORE [MM] = 2,3. </t>
        </is>
      </c>
      <c r="L259" s="3" t="inlineStr">
        <is>
          <t>OPERA: TUBAZIONE DI LEGA FERROSA ACCIAIO NERO; FUNZIONE: DISTRIBUZIONE ACQUA; IMPIEGO: RETE IDRICA; DIAMETRO NOMINALE (Ø) [MM] = 25 | SPESSORE [MM] = 2,3. 
LAVORO: POSA. 
SPECIFICHE TECNICHE: TUBO SENZA SALDATURA. OP TUBAZIONE DI LEGA FERROSA ACCIAIO NERO; FUNZIONE: DISTRIBUZIONE ACQUA; IMPIEGO: RETE IDRICA; DIAMETRO NOMINALE (Ø) [MM] = 25 | SPESSORE [MM] = 2,3. 
SPECIFICHE TECNICHE: TUBO SENZA SALDATURA. 
RM TUBO DI LEGA FERROSA ACCIAIO NERO; FUNZIONE: DISTRIBUZIONE ACQUA; IMPIEGO: RETE IDRICA; DIAMETRO NOMINALE (Ø) [MM] = 25 | SPESSORE [MM] = 2,3 
SPECIFICHE TECNICHE: TUBO SENZA SALDATURA 
LV POSA.</t>
        </is>
      </c>
      <c r="M259" s="4" t="inlineStr">
        <is>
          <t>M</t>
        </is>
      </c>
      <c r="N259" s="5" t="n">
        <v>15</v>
      </c>
      <c r="O259" s="45" t="n">
        <v>27.97</v>
      </c>
      <c r="P259" s="45" t="n">
        <v>419.55</v>
      </c>
      <c r="Q259" s="5" t="n"/>
      <c r="R259" s="6" t="n"/>
      <c r="S259" s="6">
        <f>IF(AND(Q259&lt;&gt;"",R259&lt;&gt;""),Q259*R259,"")</f>
        <v/>
      </c>
      <c r="T259" s="45">
        <f>IF(S259="",P259,S259)</f>
        <v/>
      </c>
      <c r="U259" s="7" t="n">
        <v>0</v>
      </c>
      <c r="V259" s="6">
        <f>$T259*U259</f>
        <v/>
      </c>
      <c r="W259" s="7" t="n">
        <v>0.25</v>
      </c>
      <c r="X259" s="6">
        <f>$T259*W259</f>
        <v/>
      </c>
      <c r="Y259" s="7" t="n">
        <v>0</v>
      </c>
      <c r="Z259" s="6">
        <f>$T259*Y259</f>
        <v/>
      </c>
      <c r="AA259" s="7" t="n">
        <v>0</v>
      </c>
      <c r="AB259" s="6">
        <f>$T259*AA259</f>
        <v/>
      </c>
      <c r="AC259" s="7" t="n">
        <v>0</v>
      </c>
      <c r="AD259" s="6">
        <f>$T259*AC259</f>
        <v/>
      </c>
      <c r="AE259" s="7" t="n">
        <v>0</v>
      </c>
      <c r="AF259" s="6">
        <f>$T259*AE259</f>
        <v/>
      </c>
      <c r="AG259" s="7" t="n">
        <v>0</v>
      </c>
      <c r="AH259" s="6">
        <f>$T259*AG259</f>
        <v/>
      </c>
      <c r="AI259" s="7">
        <f>U259+W259+Y259+AA259+AC259+AE259+AG259</f>
        <v/>
      </c>
      <c r="AJ259" s="6">
        <f>V259+X259+Z259+AB259+AD259+AF259+AH259</f>
        <v/>
      </c>
    </row>
    <row r="260" ht="60" customHeight="1" s="46">
      <c r="A260" s="3" t="inlineStr">
        <is>
          <t>LOM251.OC.EEA.PA02.I7407.SB038.0300</t>
        </is>
      </c>
      <c r="B260" s="4" t="inlineStr">
        <is>
          <t>1/1</t>
        </is>
      </c>
      <c r="C260" s="3" t="inlineStr">
        <is>
          <t>IMPIANTO MECCANICO</t>
        </is>
      </c>
      <c r="D260" s="4" t="inlineStr">
        <is>
          <t>SPECIALE</t>
        </is>
      </c>
      <c r="E260" s="4" t="inlineStr">
        <is>
          <t>MECCANICHE SPECIALI</t>
        </is>
      </c>
      <c r="F260" s="3" t="inlineStr">
        <is>
          <t>2_CME_TOTALE MECCANICI RADIOFARMACIA PAVIA.PDF</t>
        </is>
      </c>
      <c r="G260" s="4" t="inlineStr">
        <is>
          <t>12/12</t>
        </is>
      </c>
      <c r="H260" s="3" t="inlineStr">
        <is>
          <t>40 - IMPIANTISTICO</t>
        </is>
      </c>
      <c r="I260" s="3" t="inlineStr">
        <is>
          <t>CENTRALE</t>
        </is>
      </c>
      <c r="J260" s="3" t="inlineStr">
        <is>
          <t>IMPIANTO HVAC</t>
        </is>
      </c>
      <c r="K260" s="3" t="inlineStr">
        <is>
          <t xml:space="preserve">OPERA: TUBAZIONE DI LEGA FERROSA ACCIAIO NERO; FUNZIONE: DISTRIBUZIONE ACQUA; IMPIEGO: RETE IDRICA; DIAMETRO NOMINALE (Ø) [MM] = 32 | SPESSORE [MM] = 2,6. </t>
        </is>
      </c>
      <c r="L260" s="3" t="inlineStr">
        <is>
          <t>OPERA: TUBAZIONE DI LEGA FERROSA ACCIAIO NERO; FUNZIONE: DISTRIBUZIONE ACQUA; IMPIEGO: RETE IDRICA; DIAMETRO NOMINALE (Ø) [MM] = 32 | SPESSORE [MM] = 2,6. 
LAVORO: POSA. 
SPECIFICHE TECNICHE: TUBO SENZA SALDATURA. OP TUBAZIONE DI LEGA FERROSA ACCIAIO NERO; FUNZIONE: DISTRIBUZIONE ACQUA; IMPIEGO: RETE IDRICA; DIAMETRO NOMINALE (Ø) [MM] = 32 | SPESSORE [MM] = 2,6. 
SPECIFICHE TECNICHE: TUBO SENZA SALDATURA. 
RM TUBO DI LEGA FERROSA ACCIAIO NERO; FUNZIONE: DISTRIBUZIONE ACQUA; IMPIEGO: RETE IDRICA; DIAMETRO NOMINALE (Ø) [MM] = 32 | SPESSORE [MM] = 2,6 
SPECIFICHE TECNICHE: TUBO SENZA SALDATURA 
LV POSA.</t>
        </is>
      </c>
      <c r="M260" s="4" t="inlineStr">
        <is>
          <t>M</t>
        </is>
      </c>
      <c r="N260" s="5" t="n">
        <v>50</v>
      </c>
      <c r="O260" s="45" t="n">
        <v>31.42</v>
      </c>
      <c r="P260" s="45" t="n">
        <v>1571</v>
      </c>
      <c r="Q260" s="5" t="n"/>
      <c r="R260" s="6" t="n"/>
      <c r="S260" s="6">
        <f>IF(AND(Q260&lt;&gt;"",R260&lt;&gt;""),Q260*R260,"")</f>
        <v/>
      </c>
      <c r="T260" s="45">
        <f>IF(S260="",P260,S260)</f>
        <v/>
      </c>
      <c r="U260" s="7" t="n">
        <v>0</v>
      </c>
      <c r="V260" s="6">
        <f>$T260*U260</f>
        <v/>
      </c>
      <c r="W260" s="7" t="n">
        <v>0.25</v>
      </c>
      <c r="X260" s="6">
        <f>$T260*W260</f>
        <v/>
      </c>
      <c r="Y260" s="7" t="n">
        <v>0</v>
      </c>
      <c r="Z260" s="6">
        <f>$T260*Y260</f>
        <v/>
      </c>
      <c r="AA260" s="7" t="n">
        <v>0</v>
      </c>
      <c r="AB260" s="6">
        <f>$T260*AA260</f>
        <v/>
      </c>
      <c r="AC260" s="7" t="n">
        <v>0</v>
      </c>
      <c r="AD260" s="6">
        <f>$T260*AC260</f>
        <v/>
      </c>
      <c r="AE260" s="7" t="n">
        <v>0</v>
      </c>
      <c r="AF260" s="6">
        <f>$T260*AE260</f>
        <v/>
      </c>
      <c r="AG260" s="7" t="n">
        <v>0</v>
      </c>
      <c r="AH260" s="6">
        <f>$T260*AG260</f>
        <v/>
      </c>
      <c r="AI260" s="7">
        <f>U260+W260+Y260+AA260+AC260+AE260+AG260</f>
        <v/>
      </c>
      <c r="AJ260" s="6">
        <f>V260+X260+Z260+AB260+AD260+AF260+AH260</f>
        <v/>
      </c>
    </row>
    <row r="261" ht="60" customHeight="1" s="46">
      <c r="A261" s="3" t="inlineStr">
        <is>
          <t>LOM251.OC.EEA.PA02.I7407.SB038.0305</t>
        </is>
      </c>
      <c r="B261" s="4" t="inlineStr">
        <is>
          <t>1/2</t>
        </is>
      </c>
      <c r="C261" s="3" t="inlineStr">
        <is>
          <t>IMPIANTO MECCANICO</t>
        </is>
      </c>
      <c r="D261" s="4" t="inlineStr">
        <is>
          <t>SPECIALE</t>
        </is>
      </c>
      <c r="E261" s="4" t="inlineStr">
        <is>
          <t>MECCANICHE SPECIALI</t>
        </is>
      </c>
      <c r="F261" s="3" t="inlineStr">
        <is>
          <t>2_CME_TOTALE MECCANICI RADIOFARMACIA PAVIA.PDF</t>
        </is>
      </c>
      <c r="G261" s="4" t="inlineStr">
        <is>
          <t>13/13</t>
        </is>
      </c>
      <c r="H261" s="3" t="inlineStr">
        <is>
          <t>40 - IMPIANTISTICO</t>
        </is>
      </c>
      <c r="I261" s="3" t="inlineStr">
        <is>
          <t>CENTRALE</t>
        </is>
      </c>
      <c r="J261" s="3" t="inlineStr">
        <is>
          <t>IMPIANTO HVAC</t>
        </is>
      </c>
      <c r="K261" s="3" t="inlineStr">
        <is>
          <t xml:space="preserve">OPERA: TUBAZIONE DI LEGA FERROSA ACCIAIO NERO; FUNZIONE: DISTRIBUZIONE ACQUA; IMPIEGO: RETE IDRICA; DIAMETRO NOMINALE (Ø) [MM] = 40 | SPESSORE [MM] = 2,6. </t>
        </is>
      </c>
      <c r="L261" s="3" t="inlineStr">
        <is>
          <t>OPERA: TUBAZIONE DI LEGA FERROSA ACCIAIO NERO; FUNZIONE: DISTRIBUZIONE ACQUA; IMPIEGO: RETE IDRICA; DIAMETRO NOMINALE (Ø) [MM] = 40 | SPESSORE [MM] = 2,6. 
LAVORO: POSA. 
SPECIFICHE TECNICHE: TUBO SENZA SALDATURA. OP TUBAZIONE DI LEGA FERROSA ACCIAIO NERO; FUNZIONE: DISTRIBUZIONE ACQUA; IMPIEGO: RETE IDRICA; DIAMETRO NOMINALE (Ø) [MM] = 40 | SPESSORE [MM] = 2,6. 
SPECIFICHE TECNICHE: TUBO SENZA SALDATURA. 
RM TUBO DI LEGA FERROSA ACCIAIO NERO; FUNZIONE: DISTRIBUZIONE ACQUA; IMPIEGO: RETE IDRICA; DIAMETRO NOMINALE (Ø) [MM] = 40 | SPESSORE [MM] = 2,6 
SPECIFICHE TECNICHE: TUBO SENZA SALDATURA 
LV POSA.</t>
        </is>
      </c>
      <c r="M261" s="4" t="inlineStr">
        <is>
          <t>M</t>
        </is>
      </c>
      <c r="N261" s="5" t="n">
        <v>55</v>
      </c>
      <c r="O261" s="45" t="n">
        <v>36.2</v>
      </c>
      <c r="P261" s="45" t="n">
        <v>1991</v>
      </c>
      <c r="Q261" s="5" t="n"/>
      <c r="R261" s="6" t="n"/>
      <c r="S261" s="6">
        <f>IF(AND(Q261&lt;&gt;"",R261&lt;&gt;""),Q261*R261,"")</f>
        <v/>
      </c>
      <c r="T261" s="45">
        <f>IF(S261="",P261,S261)</f>
        <v/>
      </c>
      <c r="U261" s="7" t="n">
        <v>0</v>
      </c>
      <c r="V261" s="6">
        <f>$T261*U261</f>
        <v/>
      </c>
      <c r="W261" s="7" t="n">
        <v>0.25</v>
      </c>
      <c r="X261" s="6">
        <f>$T261*W261</f>
        <v/>
      </c>
      <c r="Y261" s="7" t="n">
        <v>0</v>
      </c>
      <c r="Z261" s="6">
        <f>$T261*Y261</f>
        <v/>
      </c>
      <c r="AA261" s="7" t="n">
        <v>0</v>
      </c>
      <c r="AB261" s="6">
        <f>$T261*AA261</f>
        <v/>
      </c>
      <c r="AC261" s="7" t="n">
        <v>0</v>
      </c>
      <c r="AD261" s="6">
        <f>$T261*AC261</f>
        <v/>
      </c>
      <c r="AE261" s="7" t="n">
        <v>0</v>
      </c>
      <c r="AF261" s="6">
        <f>$T261*AE261</f>
        <v/>
      </c>
      <c r="AG261" s="7" t="n">
        <v>0</v>
      </c>
      <c r="AH261" s="6">
        <f>$T261*AG261</f>
        <v/>
      </c>
      <c r="AI261" s="7">
        <f>U261+W261+Y261+AA261+AC261+AE261+AG261</f>
        <v/>
      </c>
      <c r="AJ261" s="6">
        <f>V261+X261+Z261+AB261+AD261+AF261+AH261</f>
        <v/>
      </c>
    </row>
    <row r="262" ht="60" customHeight="1" s="46">
      <c r="A262" s="3" t="inlineStr">
        <is>
          <t>LOM251.OC.EEA.PA02.I7407.SB038.0310</t>
        </is>
      </c>
      <c r="B262" s="4" t="inlineStr">
        <is>
          <t>1/1</t>
        </is>
      </c>
      <c r="C262" s="3" t="inlineStr">
        <is>
          <t>IMPIANTO MECCANICO</t>
        </is>
      </c>
      <c r="D262" s="4" t="inlineStr">
        <is>
          <t>SPECIALE</t>
        </is>
      </c>
      <c r="E262" s="4" t="inlineStr">
        <is>
          <t>MECCANICHE SPECIALI</t>
        </is>
      </c>
      <c r="F262" s="3" t="inlineStr">
        <is>
          <t>2_CME_TOTALE MECCANICI RADIOFARMACIA PAVIA.PDF</t>
        </is>
      </c>
      <c r="G262" s="4" t="inlineStr">
        <is>
          <t>14/14</t>
        </is>
      </c>
      <c r="H262" s="3" t="inlineStr">
        <is>
          <t>40 - IMPIANTISTICO</t>
        </is>
      </c>
      <c r="I262" s="3" t="inlineStr">
        <is>
          <t>CENTRALE</t>
        </is>
      </c>
      <c r="J262" s="3" t="inlineStr">
        <is>
          <t>IMPIANTO HVAC</t>
        </is>
      </c>
      <c r="K262" s="3" t="inlineStr">
        <is>
          <t xml:space="preserve">OPERA: TUBAZIONE DI LEGA FERROSA ACCIAIO NERO; FUNZIONE: DISTRIBUZIONE ACQUA; IMPIEGO: RETE IDRICA; DIAMETRO NOMINALE (Ø) [MM] = 50 | SPESSORE [MM] = 2,9. </t>
        </is>
      </c>
      <c r="L262" s="3" t="inlineStr">
        <is>
          <t>OPERA: TUBAZIONE DI LEGA FERROSA ACCIAIO NERO; FUNZIONE: DISTRIBUZIONE ACQUA; IMPIEGO: RETE IDRICA; DIAMETRO NOMINALE (Ø) [MM] = 50 | SPESSORE [MM] = 2,9. 
LAVORO: POSA. 
SPECIFICHE TECNICHE: TUBO SENZA SALDATURA. OP TUBAZIONE DI LEGA FERROSA ACCIAIO NERO; FUNZIONE: DISTRIBUZIONE ACQUA; IMPIEGO: RETE IDRICA; DIAMETRO NOMINALE (Ø) [MM] = 50 | SPESSORE [MM] = 2,9. 
SPECIFICHE TECNICHE: TUBO SENZA SALDATURA. 
RM TUBO DI LEGA FERROSA ACCIAIO NERO; FUNZIONE: DISTRIBUZIONE ACQUA; IMPIEGO: RETE IDRICA; DIAMETRO NOMINALE (Ø) [MM] = 50 | SPESSORE [MM] = 2,9 
SPECIFICHE TECNICHE: TUBO SENZA SALDATURA 
LV POSA.</t>
        </is>
      </c>
      <c r="M262" s="4" t="inlineStr">
        <is>
          <t>M</t>
        </is>
      </c>
      <c r="N262" s="5" t="n">
        <v>40</v>
      </c>
      <c r="O262" s="45" t="n">
        <v>38.07</v>
      </c>
      <c r="P262" s="45" t="n">
        <v>1522.8</v>
      </c>
      <c r="Q262" s="5" t="n"/>
      <c r="R262" s="6" t="n"/>
      <c r="S262" s="6">
        <f>IF(AND(Q262&lt;&gt;"",R262&lt;&gt;""),Q262*R262,"")</f>
        <v/>
      </c>
      <c r="T262" s="45">
        <f>IF(S262="",P262,S262)</f>
        <v/>
      </c>
      <c r="U262" s="7" t="n">
        <v>0</v>
      </c>
      <c r="V262" s="6">
        <f>$T262*U262</f>
        <v/>
      </c>
      <c r="W262" s="7" t="n">
        <v>0.25</v>
      </c>
      <c r="X262" s="6">
        <f>$T262*W262</f>
        <v/>
      </c>
      <c r="Y262" s="7" t="n">
        <v>0</v>
      </c>
      <c r="Z262" s="6">
        <f>$T262*Y262</f>
        <v/>
      </c>
      <c r="AA262" s="7" t="n">
        <v>0</v>
      </c>
      <c r="AB262" s="6">
        <f>$T262*AA262</f>
        <v/>
      </c>
      <c r="AC262" s="7" t="n">
        <v>0</v>
      </c>
      <c r="AD262" s="6">
        <f>$T262*AC262</f>
        <v/>
      </c>
      <c r="AE262" s="7" t="n">
        <v>0</v>
      </c>
      <c r="AF262" s="6">
        <f>$T262*AE262</f>
        <v/>
      </c>
      <c r="AG262" s="7" t="n">
        <v>0</v>
      </c>
      <c r="AH262" s="6">
        <f>$T262*AG262</f>
        <v/>
      </c>
      <c r="AI262" s="7">
        <f>U262+W262+Y262+AA262+AC262+AE262+AG262</f>
        <v/>
      </c>
      <c r="AJ262" s="6">
        <f>V262+X262+Z262+AB262+AD262+AF262+AH262</f>
        <v/>
      </c>
    </row>
    <row r="263" ht="60" customHeight="1" s="46">
      <c r="A263" s="3" t="inlineStr">
        <is>
          <t>LOM251.OC.EEA.PA02.I7407.SB038.0315</t>
        </is>
      </c>
      <c r="B263" s="4" t="inlineStr">
        <is>
          <t>1/2</t>
        </is>
      </c>
      <c r="C263" s="3" t="inlineStr">
        <is>
          <t>IMPIANTO MECCANICO</t>
        </is>
      </c>
      <c r="D263" s="4" t="inlineStr">
        <is>
          <t>SPECIALE</t>
        </is>
      </c>
      <c r="E263" s="4" t="inlineStr">
        <is>
          <t>MECCANICHE SPECIALI</t>
        </is>
      </c>
      <c r="F263" s="3" t="inlineStr">
        <is>
          <t>2_CME_TOTALE MECCANICI RADIOFARMACIA PAVIA.PDF</t>
        </is>
      </c>
      <c r="G263" s="4" t="inlineStr">
        <is>
          <t>15/15</t>
        </is>
      </c>
      <c r="H263" s="3" t="inlineStr">
        <is>
          <t>40 - IMPIANTISTICO</t>
        </is>
      </c>
      <c r="I263" s="3" t="inlineStr">
        <is>
          <t>CENTRALE</t>
        </is>
      </c>
      <c r="J263" s="3" t="inlineStr">
        <is>
          <t>IMPIANTO HVAC</t>
        </is>
      </c>
      <c r="K263" s="3" t="inlineStr">
        <is>
          <t xml:space="preserve">OPERA: TUBAZIONE DI LEGA FERROSA ACCIAIO NERO; FUNZIONE: DISTRIBUZIONE ACQUA; IMPIEGO: RETE IDRICA; DIAMETRO NOMINALE (Ø) [MM] = 65 | SPESSORE [MM] = 2,9. </t>
        </is>
      </c>
      <c r="L263" s="3" t="inlineStr">
        <is>
          <t>OPERA: TUBAZIONE DI LEGA FERROSA ACCIAIO NERO; FUNZIONE: DISTRIBUZIONE ACQUA; IMPIEGO: RETE IDRICA; DIAMETRO NOMINALE (Ø) [MM] = 65 | SPESSORE [MM] = 2,9. 
LAVORO: POSA. 
SPECIFICHE TECNICHE: TUBO SENZA SALDATURA. OP TUBAZIONE DI LEGA FERROSA ACCIAIO NERO; FUNZIONE: DISTRIBUZIONE ACQUA; IMPIEGO: RETE IDRICA; DIAMETRO NOMINALE (Ø) [MM] = 65 | SPESSORE [MM] = 2,9. 
SPECIFICHE TECNICHE: TUBO SENZA SALDATURA. 
RM TUBO DI LEGA FERROSA ACCIAIO NERO; FUNZIONE: DISTRIBUZIONE ACQUA; IMPIEGO: RETE IDRICA; DIAMETRO NOMINALE (Ø) [MM] = 65 | SPESSORE [MM] = 2,9 
SPECIFICHE TECNICHE: TUBO SENZA SALDATURA 
LV POSA.</t>
        </is>
      </c>
      <c r="M263" s="4" t="inlineStr">
        <is>
          <t>M</t>
        </is>
      </c>
      <c r="N263" s="5" t="n">
        <v>20</v>
      </c>
      <c r="O263" s="45" t="n">
        <v>46.47</v>
      </c>
      <c r="P263" s="45" t="n">
        <v>929.4</v>
      </c>
      <c r="Q263" s="5" t="n"/>
      <c r="R263" s="6" t="n"/>
      <c r="S263" s="6">
        <f>IF(AND(Q263&lt;&gt;"",R263&lt;&gt;""),Q263*R263,"")</f>
        <v/>
      </c>
      <c r="T263" s="45">
        <f>IF(S263="",P263,S263)</f>
        <v/>
      </c>
      <c r="U263" s="7" t="n">
        <v>0</v>
      </c>
      <c r="V263" s="6">
        <f>$T263*U263</f>
        <v/>
      </c>
      <c r="W263" s="7" t="n">
        <v>0.25</v>
      </c>
      <c r="X263" s="6">
        <f>$T263*W263</f>
        <v/>
      </c>
      <c r="Y263" s="7" t="n">
        <v>0</v>
      </c>
      <c r="Z263" s="6">
        <f>$T263*Y263</f>
        <v/>
      </c>
      <c r="AA263" s="7" t="n">
        <v>0</v>
      </c>
      <c r="AB263" s="6">
        <f>$T263*AA263</f>
        <v/>
      </c>
      <c r="AC263" s="7" t="n">
        <v>0</v>
      </c>
      <c r="AD263" s="6">
        <f>$T263*AC263</f>
        <v/>
      </c>
      <c r="AE263" s="7" t="n">
        <v>0</v>
      </c>
      <c r="AF263" s="6">
        <f>$T263*AE263</f>
        <v/>
      </c>
      <c r="AG263" s="7" t="n">
        <v>0</v>
      </c>
      <c r="AH263" s="6">
        <f>$T263*AG263</f>
        <v/>
      </c>
      <c r="AI263" s="7">
        <f>U263+W263+Y263+AA263+AC263+AE263+AG263</f>
        <v/>
      </c>
      <c r="AJ263" s="6">
        <f>V263+X263+Z263+AB263+AD263+AF263+AH263</f>
        <v/>
      </c>
    </row>
    <row r="264" ht="60" customHeight="1" s="46">
      <c r="A264" s="3" t="inlineStr">
        <is>
          <t>LOM251.OC.EEA.PA02.I7407.SB038.0320</t>
        </is>
      </c>
      <c r="B264" s="4" t="inlineStr">
        <is>
          <t>2/2</t>
        </is>
      </c>
      <c r="C264" s="3" t="inlineStr">
        <is>
          <t>IMPIANTO MECCANICO</t>
        </is>
      </c>
      <c r="D264" s="4" t="inlineStr">
        <is>
          <t>SPECIALE</t>
        </is>
      </c>
      <c r="E264" s="4" t="inlineStr">
        <is>
          <t>MECCANICHE SPECIALI</t>
        </is>
      </c>
      <c r="F264" s="3" t="inlineStr">
        <is>
          <t>2_CME_TOTALE MECCANICI RADIOFARMACIA PAVIA.PDF</t>
        </is>
      </c>
      <c r="G264" s="4" t="inlineStr">
        <is>
          <t>16/16</t>
        </is>
      </c>
      <c r="H264" s="3" t="inlineStr">
        <is>
          <t>40 - IMPIANTISTICO</t>
        </is>
      </c>
      <c r="I264" s="3" t="inlineStr">
        <is>
          <t>CENTRALE</t>
        </is>
      </c>
      <c r="J264" s="3" t="inlineStr">
        <is>
          <t>IMPIANTO HVAC</t>
        </is>
      </c>
      <c r="K264" s="3" t="inlineStr">
        <is>
          <t xml:space="preserve">OPERA: TUBAZIONE DI LEGA FERROSA ACCIAIO NERO; FUNZIONE: DISTRIBUZIONE ACQUA; IMPIEGO: RETE IDRICA; DIAMETRO NOMINALE (Ø) [MM] = 80 | SPESSORE [MM] = 3,2. </t>
        </is>
      </c>
      <c r="L264" s="3" t="inlineStr">
        <is>
          <t>OPERA: TUBAZIONE DI LEGA FERROSA ACCIAIO NERO; FUNZIONE: DISTRIBUZIONE ACQUA; IMPIEGO: RETE IDRICA; DIAMETRO NOMINALE (Ø) [MM] = 80 | SPESSORE [MM] = 3,2. 
LAVORO: POSA. 
SPECIFICHE TECNICHE: TUBO SENZA SALDATURA. OP TUBAZIONE DI LEGA FERROSA ACCIAIO NERO; FUNZIONE: DISTRIBUZIONE ACQUA; IMPIEGO: RETE IDRICA; DIAMETRO NOMINALE (Ø) [MM] = 80 | SPESSORE [MM] = 3,2. 
SPECIFICHE TECNICHE: TUBO SENZA SALDATURA. 
RM TUBO DI LEGA FERROSA ACCIAIO NERO; FUNZIONE: DISTRIBUZIONE ACQUA; IMPIEGO: RETE IDRICA; DIAMETRO NOMINALE (Ø) [MM] = 80 | SPESSORE [MM] = 3,2 
SPECIFICHE TECNICHE: TUBO SENZA SALDATURA 
LV POSA.</t>
        </is>
      </c>
      <c r="M264" s="4" t="inlineStr">
        <is>
          <t>M</t>
        </is>
      </c>
      <c r="N264" s="5" t="n">
        <v>37.5</v>
      </c>
      <c r="O264" s="45" t="n">
        <v>54.33</v>
      </c>
      <c r="P264" s="45" t="n">
        <v>2037.38</v>
      </c>
      <c r="Q264" s="5" t="n"/>
      <c r="R264" s="6" t="n"/>
      <c r="S264" s="6">
        <f>IF(AND(Q264&lt;&gt;"",R264&lt;&gt;""),Q264*R264,"")</f>
        <v/>
      </c>
      <c r="T264" s="45">
        <f>IF(S264="",P264,S264)</f>
        <v/>
      </c>
      <c r="U264" s="7" t="n">
        <v>0</v>
      </c>
      <c r="V264" s="6">
        <f>$T264*U264</f>
        <v/>
      </c>
      <c r="W264" s="7" t="n">
        <v>0.25</v>
      </c>
      <c r="X264" s="6">
        <f>$T264*W264</f>
        <v/>
      </c>
      <c r="Y264" s="7" t="n">
        <v>0</v>
      </c>
      <c r="Z264" s="6">
        <f>$T264*Y264</f>
        <v/>
      </c>
      <c r="AA264" s="7" t="n">
        <v>0</v>
      </c>
      <c r="AB264" s="6">
        <f>$T264*AA264</f>
        <v/>
      </c>
      <c r="AC264" s="7" t="n">
        <v>0</v>
      </c>
      <c r="AD264" s="6">
        <f>$T264*AC264</f>
        <v/>
      </c>
      <c r="AE264" s="7" t="n">
        <v>0</v>
      </c>
      <c r="AF264" s="6">
        <f>$T264*AE264</f>
        <v/>
      </c>
      <c r="AG264" s="7" t="n">
        <v>0</v>
      </c>
      <c r="AH264" s="6">
        <f>$T264*AG264</f>
        <v/>
      </c>
      <c r="AI264" s="7">
        <f>U264+W264+Y264+AA264+AC264+AE264+AG264</f>
        <v/>
      </c>
      <c r="AJ264" s="6">
        <f>V264+X264+Z264+AB264+AD264+AF264+AH264</f>
        <v/>
      </c>
    </row>
    <row r="265" ht="60" customHeight="1" s="46">
      <c r="A265" s="3" t="inlineStr">
        <is>
          <t>LOM251.OC.EEA.PA02.I7407.SB038.0325</t>
        </is>
      </c>
      <c r="B265" s="4" t="inlineStr">
        <is>
          <t>1/1</t>
        </is>
      </c>
      <c r="C265" s="3" t="inlineStr">
        <is>
          <t>IMPIANTO MECCANICO</t>
        </is>
      </c>
      <c r="D265" s="4" t="inlineStr">
        <is>
          <t>SPECIALE</t>
        </is>
      </c>
      <c r="E265" s="4" t="inlineStr">
        <is>
          <t>MECCANICHE SPECIALI</t>
        </is>
      </c>
      <c r="F265" s="3" t="inlineStr">
        <is>
          <t>2_CME_TOTALE MECCANICI RADIOFARMACIA PAVIA.PDF</t>
        </is>
      </c>
      <c r="G265" s="4" t="inlineStr">
        <is>
          <t>17/17</t>
        </is>
      </c>
      <c r="H265" s="3" t="inlineStr">
        <is>
          <t>40 - IMPIANTISTICO</t>
        </is>
      </c>
      <c r="I265" s="3" t="inlineStr">
        <is>
          <t>CENTRALE</t>
        </is>
      </c>
      <c r="J265" s="3" t="inlineStr">
        <is>
          <t>IMPIANTO HVAC</t>
        </is>
      </c>
      <c r="K265" s="3" t="inlineStr">
        <is>
          <t xml:space="preserve">OPERA: TUBAZIONE DI LEGA FERROSA ACCIAIO NERO; FUNZIONE: DISTRIBUZIONE ACQUA; IMPIEGO: RETE IDRICA; DIAMETRO NOMINALE (Ø) [MM] = 100 | SPESSORE [MM] = 3,6. </t>
        </is>
      </c>
      <c r="L265" s="3" t="inlineStr">
        <is>
          <t>OPERA: TUBAZIONE DI LEGA FERROSA ACCIAIO NERO; FUNZIONE: DISTRIBUZIONE ACQUA; IMPIEGO: RETE IDRICA; DIAMETRO NOMINALE (Ø) [MM] = 100 | SPESSORE [MM] = 3,6. 
LAVORO: POSA. 
SPECIFICHE TECNICHE: TUBO SENZA SALDATURA. OP TUBAZIONE DI LEGA FERROSA ACCIAIO NERO; FUNZIONE: DISTRIBUZIONE ACQUA; IMPIEGO: RETE IDRICA; DIAMETRO NOMINALE (Ø) [MM] = 100 | SPESSORE [MM] = 3,6. 
SPECIFICHE TECNICHE: TUBO SENZA SALDATURA. 
RM TUBO DI LEGA FERROSA ACCIAIO NERO; FUNZIONE: DISTRIBUZIONE ACQUA; IMPIEGO: RETE IDRICA; DIAMETRO NOMINALE (Ø) [MM] = 100 | SPESSORE [MM] = 3,6 
SPECIFICHE TECNICHE: TUBO SENZA SALDATURA 
LV POSA.</t>
        </is>
      </c>
      <c r="M265" s="4" t="inlineStr">
        <is>
          <t>M</t>
        </is>
      </c>
      <c r="N265" s="5" t="n">
        <v>75</v>
      </c>
      <c r="O265" s="45" t="n">
        <v>64.84999999999999</v>
      </c>
      <c r="P265" s="45" t="n">
        <v>4863.75</v>
      </c>
      <c r="Q265" s="5" t="n"/>
      <c r="R265" s="6" t="n"/>
      <c r="S265" s="6">
        <f>IF(AND(Q265&lt;&gt;"",R265&lt;&gt;""),Q265*R265,"")</f>
        <v/>
      </c>
      <c r="T265" s="45">
        <f>IF(S265="",P265,S265)</f>
        <v/>
      </c>
      <c r="U265" s="7" t="n">
        <v>0</v>
      </c>
      <c r="V265" s="6">
        <f>$T265*U265</f>
        <v/>
      </c>
      <c r="W265" s="7" t="n">
        <v>0.25</v>
      </c>
      <c r="X265" s="6">
        <f>$T265*W265</f>
        <v/>
      </c>
      <c r="Y265" s="7" t="n">
        <v>0</v>
      </c>
      <c r="Z265" s="6">
        <f>$T265*Y265</f>
        <v/>
      </c>
      <c r="AA265" s="7" t="n">
        <v>0</v>
      </c>
      <c r="AB265" s="6">
        <f>$T265*AA265</f>
        <v/>
      </c>
      <c r="AC265" s="7" t="n">
        <v>0</v>
      </c>
      <c r="AD265" s="6">
        <f>$T265*AC265</f>
        <v/>
      </c>
      <c r="AE265" s="7" t="n">
        <v>0</v>
      </c>
      <c r="AF265" s="6">
        <f>$T265*AE265</f>
        <v/>
      </c>
      <c r="AG265" s="7" t="n">
        <v>0</v>
      </c>
      <c r="AH265" s="6">
        <f>$T265*AG265</f>
        <v/>
      </c>
      <c r="AI265" s="7">
        <f>U265+W265+Y265+AA265+AC265+AE265+AG265</f>
        <v/>
      </c>
      <c r="AJ265" s="6">
        <f>V265+X265+Z265+AB265+AD265+AF265+AH265</f>
        <v/>
      </c>
    </row>
    <row r="266" ht="60" customHeight="1" s="46">
      <c r="A266" s="3" t="inlineStr">
        <is>
          <t>LOM251.OC.EEA.PA02.I7407.SB038.0330</t>
        </is>
      </c>
      <c r="B266" s="4" t="inlineStr">
        <is>
          <t>1/2</t>
        </is>
      </c>
      <c r="C266" s="3" t="inlineStr">
        <is>
          <t>IMPIANTO MECCANICO</t>
        </is>
      </c>
      <c r="D266" s="4" t="inlineStr">
        <is>
          <t>SPECIALE</t>
        </is>
      </c>
      <c r="E266" s="4" t="inlineStr">
        <is>
          <t>MECCANICHE SPECIALI</t>
        </is>
      </c>
      <c r="F266" s="3" t="inlineStr">
        <is>
          <t>2_CME_TOTALE MECCANICI RADIOFARMACIA PAVIA.PDF</t>
        </is>
      </c>
      <c r="G266" s="4" t="inlineStr">
        <is>
          <t>18/18</t>
        </is>
      </c>
      <c r="H266" s="3" t="inlineStr">
        <is>
          <t>40 - IMPIANTISTICO</t>
        </is>
      </c>
      <c r="I266" s="3" t="inlineStr">
        <is>
          <t>CENTRALE</t>
        </is>
      </c>
      <c r="J266" s="3" t="inlineStr">
        <is>
          <t>IMPIANTO HVAC</t>
        </is>
      </c>
      <c r="K266" s="3" t="inlineStr">
        <is>
          <t xml:space="preserve">OPERA: TUBAZIONE DI LEGA FERROSA ACCIAIO NERO; FUNZIONE: DISTRIBUZIONE ACQUA; IMPIEGO: RETE IDRICA; DIAMETRO NOMINALE (Ø) [MM] = 125 | SPESSORE [MM] = 4. </t>
        </is>
      </c>
      <c r="L266" s="3" t="inlineStr">
        <is>
          <t>OPERA: TUBAZIONE DI LEGA FERROSA ACCIAIO NERO; FUNZIONE: DISTRIBUZIONE ACQUA; IMPIEGO: RETE IDRICA; DIAMETRO NOMINALE (Ø) [MM] = 125 | SPESSORE [MM] = 4. 
LAVORO: POSA. 
SPECIFICHE TECNICHE: TUBO SENZA SALDATURA. OP TUBAZIONE DI LEGA FERROSA ACCIAIO NERO; FUNZIONE: DISTRIBUZIONE ACQUA; IMPIEGO: RETE IDRICA; DIAMETRO NOMINALE (Ø) [MM] = 125 | SPESSORE [MM] = 4. 
SPECIFICHE TECNICHE: TUBO SENZA SALDATURA. 
RM TUBO DI LEGA FERROSA ACCIAIO NERO; FUNZIONE: DISTRIBUZIONE ACQUA; IMPIEGO: RETE IDRICA; DIAMETRO NOMINALE (Ø) [MM] = 125 | SPESSORE [MM] = 4 
SPECIFICHE TECNICHE: TUBO SENZA SALDATURA 
LV POSA.</t>
        </is>
      </c>
      <c r="M266" s="4" t="inlineStr">
        <is>
          <t>M</t>
        </is>
      </c>
      <c r="N266" s="5" t="n">
        <v>155</v>
      </c>
      <c r="O266" s="45" t="n">
        <v>85.23</v>
      </c>
      <c r="P266" s="45" t="n">
        <v>13210.65</v>
      </c>
      <c r="Q266" s="5" t="n"/>
      <c r="R266" s="6" t="n"/>
      <c r="S266" s="6">
        <f>IF(AND(Q266&lt;&gt;"",R266&lt;&gt;""),Q266*R266,"")</f>
        <v/>
      </c>
      <c r="T266" s="45">
        <f>IF(S266="",P266,S266)</f>
        <v/>
      </c>
      <c r="U266" s="7" t="n">
        <v>0</v>
      </c>
      <c r="V266" s="6">
        <f>$T266*U266</f>
        <v/>
      </c>
      <c r="W266" s="7" t="n">
        <v>0.25</v>
      </c>
      <c r="X266" s="6">
        <f>$T266*W266</f>
        <v/>
      </c>
      <c r="Y266" s="7" t="n">
        <v>0</v>
      </c>
      <c r="Z266" s="6">
        <f>$T266*Y266</f>
        <v/>
      </c>
      <c r="AA266" s="7" t="n">
        <v>0</v>
      </c>
      <c r="AB266" s="6">
        <f>$T266*AA266</f>
        <v/>
      </c>
      <c r="AC266" s="7" t="n">
        <v>0</v>
      </c>
      <c r="AD266" s="6">
        <f>$T266*AC266</f>
        <v/>
      </c>
      <c r="AE266" s="7" t="n">
        <v>0</v>
      </c>
      <c r="AF266" s="6">
        <f>$T266*AE266</f>
        <v/>
      </c>
      <c r="AG266" s="7" t="n">
        <v>0</v>
      </c>
      <c r="AH266" s="6">
        <f>$T266*AG266</f>
        <v/>
      </c>
      <c r="AI266" s="7">
        <f>U266+W266+Y266+AA266+AC266+AE266+AG266</f>
        <v/>
      </c>
      <c r="AJ266" s="6">
        <f>V266+X266+Z266+AB266+AD266+AF266+AH266</f>
        <v/>
      </c>
    </row>
    <row r="267" ht="60" customHeight="1" s="46">
      <c r="A267" s="3" t="inlineStr">
        <is>
          <t>LOM251.OC.EEA.PA02.I7407.SB038.0330</t>
        </is>
      </c>
      <c r="B267" s="4" t="inlineStr">
        <is>
          <t>2/2</t>
        </is>
      </c>
      <c r="C267" s="3" t="inlineStr">
        <is>
          <t>IMPIANTO MECCANICO</t>
        </is>
      </c>
      <c r="D267" s="4" t="inlineStr">
        <is>
          <t>SPECIALE</t>
        </is>
      </c>
      <c r="E267" s="4" t="inlineStr">
        <is>
          <t>MECCANICHE SPECIALI</t>
        </is>
      </c>
      <c r="F267" s="3" t="inlineStr">
        <is>
          <t>2_CME_TOTALE MECCANICI RADIOFARMACIA PAVIA.PDF</t>
        </is>
      </c>
      <c r="G267" s="4" t="inlineStr">
        <is>
          <t>19/19</t>
        </is>
      </c>
      <c r="H267" s="3" t="inlineStr">
        <is>
          <t>40 - IMPIANTISTICO</t>
        </is>
      </c>
      <c r="I267" s="3" t="inlineStr">
        <is>
          <t>CENTRALE</t>
        </is>
      </c>
      <c r="J267" s="3" t="inlineStr">
        <is>
          <t>IMPIANTO HVAC</t>
        </is>
      </c>
      <c r="K267" s="3" t="inlineStr">
        <is>
          <t xml:space="preserve">OPERA: TUBAZIONE DI LEGA FERROSA ACCIAIO NERO; FUNZIONE: DISTRIBUZIONE ACQUA; IMPIEGO: RETE IDRICA; DIAMETRO NOMINALE (Ø) [MM] = 125 | SPESSORE [MM] = 4. </t>
        </is>
      </c>
      <c r="L267" s="3" t="inlineStr">
        <is>
          <t>OPERA: TUBAZIONE DI LEGA FERROSA ACCIAIO NERO; FUNZIONE: DISTRIBUZIONE ACQUA; IMPIEGO: RETE IDRICA; DIAMETRO NOMINALE (Ø) [MM] = 125 | SPESSORE [MM] = 4. 
LAVORO: POSA. 
SPECIFICHE TECNICHE: TUBO SENZA SALDATURA. OP TUBAZIONE DI LEGA FERROSA ACCIAIO NERO; FUNZIONE: DISTRIBUZIONE ACQUA; IMPIEGO: RETE IDRICA; DIAMETRO NOMINALE (Ø) [MM] = 125 | SPESSORE [MM] = 4. 
SPECIFICHE TECNICHE: TUBO SENZA SALDATURA. 
RM TUBO DI LEGA FERROSA ACCIAIO NERO; FUNZIONE: DISTRIBUZIONE ACQUA; IMPIEGO: RETE IDRICA; DIAMETRO NOMINALE (Ø) [MM] = 125 | SPESSORE [MM] = 4 
SPECIFICHE TECNICHE: TUBO SENZA SALDATURA 
LV POSA.</t>
        </is>
      </c>
      <c r="M267" s="4" t="inlineStr">
        <is>
          <t>M</t>
        </is>
      </c>
      <c r="N267" s="5" t="n">
        <v>10</v>
      </c>
      <c r="O267" s="45" t="n">
        <v>85.23</v>
      </c>
      <c r="P267" s="45" t="n">
        <v>852.3</v>
      </c>
      <c r="Q267" s="5" t="n"/>
      <c r="R267" s="6" t="n"/>
      <c r="S267" s="6">
        <f>IF(AND(Q267&lt;&gt;"",R267&lt;&gt;""),Q267*R267,"")</f>
        <v/>
      </c>
      <c r="T267" s="45">
        <f>IF(S267="",P267,S267)</f>
        <v/>
      </c>
      <c r="U267" s="7" t="n">
        <v>0</v>
      </c>
      <c r="V267" s="6">
        <f>$T267*U267</f>
        <v/>
      </c>
      <c r="W267" s="7" t="n">
        <v>0.25</v>
      </c>
      <c r="X267" s="6">
        <f>$T267*W267</f>
        <v/>
      </c>
      <c r="Y267" s="7" t="n">
        <v>0</v>
      </c>
      <c r="Z267" s="6">
        <f>$T267*Y267</f>
        <v/>
      </c>
      <c r="AA267" s="7" t="n">
        <v>0</v>
      </c>
      <c r="AB267" s="6">
        <f>$T267*AA267</f>
        <v/>
      </c>
      <c r="AC267" s="7" t="n">
        <v>0</v>
      </c>
      <c r="AD267" s="6">
        <f>$T267*AC267</f>
        <v/>
      </c>
      <c r="AE267" s="7" t="n">
        <v>0</v>
      </c>
      <c r="AF267" s="6">
        <f>$T267*AE267</f>
        <v/>
      </c>
      <c r="AG267" s="7" t="n">
        <v>0</v>
      </c>
      <c r="AH267" s="6">
        <f>$T267*AG267</f>
        <v/>
      </c>
      <c r="AI267" s="7">
        <f>U267+W267+Y267+AA267+AC267+AE267+AG267</f>
        <v/>
      </c>
      <c r="AJ267" s="6">
        <f>V267+X267+Z267+AB267+AD267+AF267+AH267</f>
        <v/>
      </c>
    </row>
    <row r="268" ht="60" customHeight="1" s="46">
      <c r="A268" s="3" t="inlineStr">
        <is>
          <t>LOM251.OC.EEA.PA02.I7407.SB038.0335</t>
        </is>
      </c>
      <c r="B268" s="4" t="inlineStr">
        <is>
          <t>1/1</t>
        </is>
      </c>
      <c r="C268" s="3" t="inlineStr">
        <is>
          <t>IMPIANTO MECCANICO</t>
        </is>
      </c>
      <c r="D268" s="4" t="inlineStr">
        <is>
          <t>SPECIALE</t>
        </is>
      </c>
      <c r="E268" s="4" t="inlineStr">
        <is>
          <t>MECCANICHE SPECIALI</t>
        </is>
      </c>
      <c r="F268" s="3" t="inlineStr">
        <is>
          <t>2_CME_TOTALE MECCANICI RADIOFARMACIA PAVIA.PDF</t>
        </is>
      </c>
      <c r="G268" s="4" t="inlineStr">
        <is>
          <t>20/20</t>
        </is>
      </c>
      <c r="H268" s="3" t="inlineStr">
        <is>
          <t>40 - IMPIANTISTICO</t>
        </is>
      </c>
      <c r="I268" s="3" t="inlineStr">
        <is>
          <t>CENTRALE</t>
        </is>
      </c>
      <c r="J268" s="3" t="inlineStr">
        <is>
          <t>IMPIANTO HVAC</t>
        </is>
      </c>
      <c r="K268" s="3" t="inlineStr">
        <is>
          <t xml:space="preserve">OPERA: TUBAZIONE DI LEGA FERROSA ACCIAIO NERO; FUNZIONE: DISTRIBUZIONE ACQUA; IMPIEGO: RETE IDRICA; DIAMETRO NOMINALE (Ø) [MM] = 150 | SPESSORE [MM] = 4,5. </t>
        </is>
      </c>
      <c r="L268" s="3" t="inlineStr">
        <is>
          <t>OPERA: TUBAZIONE DI LEGA FERROSA ACCIAIO NERO; FUNZIONE: DISTRIBUZIONE ACQUA; IMPIEGO: RETE IDRICA; DIAMETRO NOMINALE (Ø) [MM] = 150 | SPESSORE [MM] = 4,5. 
LAVORO: POSA. 
SPECIFICHE TECNICHE: TUBO SENZA SALDATURA. OP TUBAZIONE DI LEGA FERROSA ACCIAIO NERO; FUNZIONE: DISTRIBUZIONE ACQUA; IMPIEGO: RETE IDRICA; DIAMETRO NOMINALE (Ø) [MM] = 150 | SPESSORE [MM] = 4,5. 
SPECIFICHE TECNICHE: TUBO SENZA SALDATURA. 
RM TUBO DI LEGA FERROSA ACCIAIO NERO; FUNZIONE: DISTRIBUZIONE ACQUA; IMPIEGO: RETE IDRICA; DIAMETRO NOMINALE (Ø) [MM] = 150 | SPESSORE [MM] = 4,5 
SPECIFICHE TECNICHE: TUBO SENZA SALDATURA 
LV POSA.</t>
        </is>
      </c>
      <c r="M268" s="4" t="inlineStr">
        <is>
          <t>M</t>
        </is>
      </c>
      <c r="N268" s="5" t="n">
        <v>6</v>
      </c>
      <c r="O268" s="45" t="n">
        <v>101.74</v>
      </c>
      <c r="P268" s="45" t="n">
        <v>610.4400000000001</v>
      </c>
      <c r="Q268" s="5" t="n"/>
      <c r="R268" s="6" t="n"/>
      <c r="S268" s="6">
        <f>IF(AND(Q268&lt;&gt;"",R268&lt;&gt;""),Q268*R268,"")</f>
        <v/>
      </c>
      <c r="T268" s="45">
        <f>IF(S268="",P268,S268)</f>
        <v/>
      </c>
      <c r="U268" s="7" t="n">
        <v>0</v>
      </c>
      <c r="V268" s="6">
        <f>$T268*U268</f>
        <v/>
      </c>
      <c r="W268" s="7" t="n">
        <v>0.25</v>
      </c>
      <c r="X268" s="6">
        <f>$T268*W268</f>
        <v/>
      </c>
      <c r="Y268" s="7" t="n">
        <v>0</v>
      </c>
      <c r="Z268" s="6">
        <f>$T268*Y268</f>
        <v/>
      </c>
      <c r="AA268" s="7" t="n">
        <v>0</v>
      </c>
      <c r="AB268" s="6">
        <f>$T268*AA268</f>
        <v/>
      </c>
      <c r="AC268" s="7" t="n">
        <v>0</v>
      </c>
      <c r="AD268" s="6">
        <f>$T268*AC268</f>
        <v/>
      </c>
      <c r="AE268" s="7" t="n">
        <v>0</v>
      </c>
      <c r="AF268" s="6">
        <f>$T268*AE268</f>
        <v/>
      </c>
      <c r="AG268" s="7" t="n">
        <v>0</v>
      </c>
      <c r="AH268" s="6">
        <f>$T268*AG268</f>
        <v/>
      </c>
      <c r="AI268" s="7">
        <f>U268+W268+Y268+AA268+AC268+AE268+AG268</f>
        <v/>
      </c>
      <c r="AJ268" s="6">
        <f>V268+X268+Z268+AB268+AD268+AF268+AH268</f>
        <v/>
      </c>
    </row>
    <row r="269" hidden="1" ht="60" customHeight="1" s="46">
      <c r="A269" s="3" t="inlineStr">
        <is>
          <t>LOM251.OC.EEA.PA02.I1500.E0011.0150</t>
        </is>
      </c>
      <c r="B269" s="4" t="inlineStr">
        <is>
          <t>1/1</t>
        </is>
      </c>
      <c r="C269" s="3" t="inlineStr">
        <is>
          <t>IMPIANTO MECCANICO</t>
        </is>
      </c>
      <c r="D269" s="4" t="inlineStr">
        <is>
          <t>SPECIALE</t>
        </is>
      </c>
      <c r="E269" s="4" t="inlineStr">
        <is>
          <t>MECCANICHE SPECIALI</t>
        </is>
      </c>
      <c r="F269" s="3" t="inlineStr">
        <is>
          <t>2_CME_TOTALE MECCANICI RADIOFARMACIA PAVIA.PDF</t>
        </is>
      </c>
      <c r="G269" s="4" t="inlineStr">
        <is>
          <t>21/21</t>
        </is>
      </c>
      <c r="H269" s="3" t="inlineStr">
        <is>
          <t>40 - IMPIANTISTICO</t>
        </is>
      </c>
      <c r="I269" s="3" t="inlineStr">
        <is>
          <t>CENTRALE</t>
        </is>
      </c>
      <c r="J269" s="3" t="inlineStr">
        <is>
          <t>IMPIANTO HVAC</t>
        </is>
      </c>
      <c r="K269" s="3" t="inlineStr">
        <is>
          <t>OPERA: LASTRA DI GOMMA ELASTOMERICA ESPANSA A CELLULE CHIUSE; FUNZIONE: COIBENTAZIONE; IMPIEGO: TUBAZIONE; SPESSORE MINIMO LASTRA [MM] = 19 | SPESSORE MINIMO ELASTOMERO PER IL DIAMETRO ESTERNO TUBO [M</t>
        </is>
      </c>
      <c r="L269" s="3" t="inlineStr">
        <is>
          <t>OPERA: LASTRA DI GOMMA ELASTOMERICA ESPANSA A CELLULE CHIUSE; FUNZIONE: COIBENTAZIONE; IMPIEGO: TUBAZIONE; SPESSORE MINIMO LASTRA [MM] = 19 | SPESSORE MINIMO ELASTOMERO PER IL DIAMETRO ESTERNO TUBO [MM] = 48 | DIAMETRO NOMINALE TUBAZIONE [MM] = 40;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48 | DIAMETRO NOMINALE TUBAZIONE [MM] = 40;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48 | DIAMETRO NOMINALE TUBAZIONE [MM] = 40; RESISTENZA ALLA FIAMMA [CLASSE] = 1; FATTORE DI PERMEABILITÀ (Μ) MINIMO [-] = 4000 
SPECIFICHE TECNICHE: GOMMA ELASTOMERICA ESPANSA A CELLULE CHIUSE SENZA ALOGENI NÉ PVC 
LV POSA.</t>
        </is>
      </c>
      <c r="M269" s="4" t="inlineStr">
        <is>
          <t>M</t>
        </is>
      </c>
      <c r="N269" s="5" t="n">
        <v>25</v>
      </c>
      <c r="O269" s="45" t="n">
        <v>8.960000000000001</v>
      </c>
      <c r="P269" s="45" t="n">
        <v>224</v>
      </c>
      <c r="Q269" s="5" t="n"/>
      <c r="R269" s="6" t="n"/>
      <c r="S269" s="6">
        <f>IF(AND(Q269&lt;&gt;"",R269&lt;&gt;""),Q269*R269,"")</f>
        <v/>
      </c>
      <c r="T269" s="45">
        <f>IF(S269="",P269,S269)</f>
        <v/>
      </c>
      <c r="U269" s="7" t="n">
        <v>0</v>
      </c>
      <c r="V269" s="6">
        <f>$T269*U269</f>
        <v/>
      </c>
      <c r="W269" s="7" t="n">
        <v>0</v>
      </c>
      <c r="X269" s="6">
        <f>$T269*W269</f>
        <v/>
      </c>
      <c r="Y269" s="7" t="n">
        <v>0</v>
      </c>
      <c r="Z269" s="6">
        <f>$T269*Y269</f>
        <v/>
      </c>
      <c r="AA269" s="7" t="n">
        <v>0</v>
      </c>
      <c r="AB269" s="6">
        <f>$T269*AA269</f>
        <v/>
      </c>
      <c r="AC269" s="7" t="n">
        <v>0</v>
      </c>
      <c r="AD269" s="6">
        <f>$T269*AC269</f>
        <v/>
      </c>
      <c r="AE269" s="7" t="n">
        <v>0</v>
      </c>
      <c r="AF269" s="6">
        <f>$T269*AE269</f>
        <v/>
      </c>
      <c r="AG269" s="7" t="n">
        <v>0</v>
      </c>
      <c r="AH269" s="6">
        <f>$T269*AG269</f>
        <v/>
      </c>
      <c r="AI269" s="7">
        <f>U269+W269+Y269+AA269+AC269+AE269+AG269</f>
        <v/>
      </c>
      <c r="AJ269" s="6">
        <f>V269+X269+Z269+AB269+AD269+AF269+AH269</f>
        <v/>
      </c>
    </row>
    <row r="270" hidden="1" ht="60" customHeight="1" s="46">
      <c r="A270" s="3" t="inlineStr">
        <is>
          <t>LOM251.OC.EEA.PA02.I1500.E0011.0160</t>
        </is>
      </c>
      <c r="B270" s="4" t="inlineStr">
        <is>
          <t>2/3</t>
        </is>
      </c>
      <c r="C270" s="3" t="inlineStr">
        <is>
          <t>IMPIANTO MECCANICO</t>
        </is>
      </c>
      <c r="D270" s="4" t="inlineStr">
        <is>
          <t>SPECIALE</t>
        </is>
      </c>
      <c r="E270" s="4" t="inlineStr">
        <is>
          <t>MECCANICHE SPECIALI</t>
        </is>
      </c>
      <c r="F270" s="3" t="inlineStr">
        <is>
          <t>2_CME_TOTALE MECCANICI RADIOFARMACIA PAVIA.PDF</t>
        </is>
      </c>
      <c r="G270" s="4" t="inlineStr">
        <is>
          <t>22/22</t>
        </is>
      </c>
      <c r="H270" s="3" t="inlineStr">
        <is>
          <t>40 - IMPIANTISTICO</t>
        </is>
      </c>
      <c r="I270" s="3" t="inlineStr">
        <is>
          <t>CENTRALE</t>
        </is>
      </c>
      <c r="J270" s="3" t="inlineStr">
        <is>
          <t>IMPIANTO HVAC</t>
        </is>
      </c>
      <c r="K270" s="3" t="inlineStr">
        <is>
          <t>OPERA: LASTRA DI GOMMA ELASTOMERICA ESPANSA A CELLULE CHIUSE; FUNZIONE: COIBENTAZIONE; IMPIEGO: TUBAZIONE; SPESSORE MINIMO LASTRA [MM] = 19 | SPESSORE MINIMO ELASTOMERO PER IL DIAMETRO ESTERNO TUBO [M</t>
        </is>
      </c>
      <c r="L270" s="3" t="inlineStr">
        <is>
          <t>OPERA: LASTRA DI GOMMA ELASTOMERICA ESPANSA A CELLULE CHIUSE; FUNZIONE: COIBENTAZIONE; IMPIEGO: TUBAZIONE; SPESSORE MINIMO LASTRA [MM] = 19 | SPESSORE MINIMO ELASTOMERO PER IL DIAMETRO ESTERNO TUBO [MM] = 76 | DIAMETRO NOMINALE TUBAZIONE [MM] = 65;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76 | DIAMETRO NOMINALE TUBAZIONE [MM] = 65;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76 | DIAMETRO NOMINALE TUBAZIONE [MM] = 65; RESISTENZA ALLA FIAMMA [CLASSE] = 1; FATTORE DI PERMEABILITÀ (Μ) MINIMO [-] = 4000 
SPECIFICHE TECNICHE: GOMMA ELASTOMERICA ESPANSA A CELLULE CHIUSE SENZA ALOGENI NÉ PVC 
LV POSA.</t>
        </is>
      </c>
      <c r="M270" s="4" t="inlineStr">
        <is>
          <t>M</t>
        </is>
      </c>
      <c r="N270" s="5" t="n">
        <v>15</v>
      </c>
      <c r="O270" s="45" t="n">
        <v>11.78</v>
      </c>
      <c r="P270" s="45" t="n">
        <v>176.7</v>
      </c>
      <c r="Q270" s="5" t="n"/>
      <c r="R270" s="6" t="n"/>
      <c r="S270" s="6">
        <f>IF(AND(Q270&lt;&gt;"",R270&lt;&gt;""),Q270*R270,"")</f>
        <v/>
      </c>
      <c r="T270" s="45">
        <f>IF(S270="",P270,S270)</f>
        <v/>
      </c>
      <c r="U270" s="7" t="n">
        <v>0</v>
      </c>
      <c r="V270" s="6">
        <f>$T270*U270</f>
        <v/>
      </c>
      <c r="W270" s="7" t="n">
        <v>0</v>
      </c>
      <c r="X270" s="6">
        <f>$T270*W270</f>
        <v/>
      </c>
      <c r="Y270" s="7" t="n">
        <v>0</v>
      </c>
      <c r="Z270" s="6">
        <f>$T270*Y270</f>
        <v/>
      </c>
      <c r="AA270" s="7" t="n">
        <v>0</v>
      </c>
      <c r="AB270" s="6">
        <f>$T270*AA270</f>
        <v/>
      </c>
      <c r="AC270" s="7" t="n">
        <v>0</v>
      </c>
      <c r="AD270" s="6">
        <f>$T270*AC270</f>
        <v/>
      </c>
      <c r="AE270" s="7" t="n">
        <v>0</v>
      </c>
      <c r="AF270" s="6">
        <f>$T270*AE270</f>
        <v/>
      </c>
      <c r="AG270" s="7" t="n">
        <v>0</v>
      </c>
      <c r="AH270" s="6">
        <f>$T270*AG270</f>
        <v/>
      </c>
      <c r="AI270" s="7">
        <f>U270+W270+Y270+AA270+AC270+AE270+AG270</f>
        <v/>
      </c>
      <c r="AJ270" s="6">
        <f>V270+X270+Z270+AB270+AD270+AF270+AH270</f>
        <v/>
      </c>
    </row>
    <row r="271" hidden="1" ht="60" customHeight="1" s="46">
      <c r="A271" s="3" t="inlineStr">
        <is>
          <t>LOM251.OC.EEA.PA02.I1500.E0011.0165</t>
        </is>
      </c>
      <c r="B271" s="4" t="inlineStr">
        <is>
          <t>1/1</t>
        </is>
      </c>
      <c r="C271" s="3" t="inlineStr">
        <is>
          <t>IMPIANTO MECCANICO</t>
        </is>
      </c>
      <c r="D271" s="4" t="inlineStr">
        <is>
          <t>SPECIALE</t>
        </is>
      </c>
      <c r="E271" s="4" t="inlineStr">
        <is>
          <t>MECCANICHE SPECIALI</t>
        </is>
      </c>
      <c r="F271" s="3" t="inlineStr">
        <is>
          <t>2_CME_TOTALE MECCANICI RADIOFARMACIA PAVIA.PDF</t>
        </is>
      </c>
      <c r="G271" s="4" t="inlineStr">
        <is>
          <t>23/23</t>
        </is>
      </c>
      <c r="H271" s="3" t="inlineStr">
        <is>
          <t>40 - IMPIANTISTICO</t>
        </is>
      </c>
      <c r="I271" s="3" t="inlineStr">
        <is>
          <t>CENTRALE</t>
        </is>
      </c>
      <c r="J271" s="3" t="inlineStr">
        <is>
          <t>IMPIANTO HVAC</t>
        </is>
      </c>
      <c r="K271" s="3" t="inlineStr">
        <is>
          <t>OPERA: LASTRA DI GOMMA ELASTOMERICA ESPANSA A CELLULE CHIUSE; FUNZIONE: COIBENTAZIONE; IMPIEGO: TUBAZIONE; SPESSORE MINIMO LASTRA [MM] = 19 | SPESSORE MINIMO ELASTOMERO PER IL DIAMETRO ESTERNO TUBO [M</t>
        </is>
      </c>
      <c r="L271" s="3" t="inlineStr">
        <is>
          <t>OPERA: LASTRA DI GOMMA ELASTOMERICA ESPANSA A CELLULE CHIUSE; FUNZIONE: COIBENTAZIONE; IMPIEGO: TUBAZIONE; SPESSORE MINIMO LASTRA [MM] = 19 | SPESSORE MINIMO ELASTOMERO PER IL DIAMETRO ESTERNO TUBO [MM] = 89 | DIAMETRO NOMINALE TUBAZIONE [MM] = 80;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89 | DIAMETRO NOMINALE TUBAZIONE [MM] = 80;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89 | DIAMETRO NOMINALE TUBAZIONE [MM] = 80; RESISTENZA ALLA FIAMMA [CLASSE] = 1; FATTORE DI PERMEABILITÀ (Μ) MINIMO [-] = 4000 
SPECIFICHE TECNICHE: GOMMA ELASTOMERICA ESPANSA A CELLULE CHIUSE SENZA ALOGENI NÉ PVC 
LV POSA.</t>
        </is>
      </c>
      <c r="M271" s="4" t="inlineStr">
        <is>
          <t>M</t>
        </is>
      </c>
      <c r="N271" s="5" t="n">
        <v>45</v>
      </c>
      <c r="O271" s="45" t="n">
        <v>13.13</v>
      </c>
      <c r="P271" s="45" t="n">
        <v>590.85</v>
      </c>
      <c r="Q271" s="5" t="n"/>
      <c r="R271" s="6" t="n"/>
      <c r="S271" s="6">
        <f>IF(AND(Q271&lt;&gt;"",R271&lt;&gt;""),Q271*R271,"")</f>
        <v/>
      </c>
      <c r="T271" s="45">
        <f>IF(S271="",P271,S271)</f>
        <v/>
      </c>
      <c r="U271" s="7" t="n">
        <v>0</v>
      </c>
      <c r="V271" s="6">
        <f>$T271*U271</f>
        <v/>
      </c>
      <c r="W271" s="7" t="n">
        <v>0</v>
      </c>
      <c r="X271" s="6">
        <f>$T271*W271</f>
        <v/>
      </c>
      <c r="Y271" s="7" t="n">
        <v>0</v>
      </c>
      <c r="Z271" s="6">
        <f>$T271*Y271</f>
        <v/>
      </c>
      <c r="AA271" s="7" t="n">
        <v>0</v>
      </c>
      <c r="AB271" s="6">
        <f>$T271*AA271</f>
        <v/>
      </c>
      <c r="AC271" s="7" t="n">
        <v>0</v>
      </c>
      <c r="AD271" s="6">
        <f>$T271*AC271</f>
        <v/>
      </c>
      <c r="AE271" s="7" t="n">
        <v>0</v>
      </c>
      <c r="AF271" s="6">
        <f>$T271*AE271</f>
        <v/>
      </c>
      <c r="AG271" s="7" t="n">
        <v>0</v>
      </c>
      <c r="AH271" s="6">
        <f>$T271*AG271</f>
        <v/>
      </c>
      <c r="AI271" s="7">
        <f>U271+W271+Y271+AA271+AC271+AE271+AG271</f>
        <v/>
      </c>
      <c r="AJ271" s="6">
        <f>V271+X271+Z271+AB271+AD271+AF271+AH271</f>
        <v/>
      </c>
    </row>
    <row r="272" hidden="1" ht="60" customHeight="1" s="46">
      <c r="A272" s="3" t="inlineStr">
        <is>
          <t>LOM251.OC.EEA.PA02.I1500.E0011.0425</t>
        </is>
      </c>
      <c r="B272" s="4" t="inlineStr">
        <is>
          <t>1/1</t>
        </is>
      </c>
      <c r="C272" s="3" t="inlineStr">
        <is>
          <t>IMPIANTO MECCANICO</t>
        </is>
      </c>
      <c r="D272" s="4" t="inlineStr">
        <is>
          <t>SPECIALE</t>
        </is>
      </c>
      <c r="E272" s="4" t="inlineStr">
        <is>
          <t>MECCANICHE SPECIALI</t>
        </is>
      </c>
      <c r="F272" s="3" t="inlineStr">
        <is>
          <t>2_CME_TOTALE MECCANICI RADIOFARMACIA PAVIA.PDF</t>
        </is>
      </c>
      <c r="G272" s="4" t="inlineStr">
        <is>
          <t>24/24</t>
        </is>
      </c>
      <c r="H272" s="3" t="inlineStr">
        <is>
          <t>40 - IMPIANTISTICO</t>
        </is>
      </c>
      <c r="I272" s="3" t="inlineStr">
        <is>
          <t>CENTRALE</t>
        </is>
      </c>
      <c r="J272" s="3" t="inlineStr">
        <is>
          <t>IMPIANTO HVAC</t>
        </is>
      </c>
      <c r="K272" s="3" t="inlineStr">
        <is>
          <t>OPERA: LASTRA DI GOMMA ELASTOMERICA ESPANSA A CELLULE CHIUSE; FUNZIONE: COIBENTAZIONE; IMPIEGO: TUBAZIONE; SPESSORE MINIMO LASTRA [MM] = 19 | SPESSORE MINIMO ELASTOMERO PER IL DIAMETRO ESTERNO TUBO [M</t>
        </is>
      </c>
      <c r="L272" s="3" t="inlineStr">
        <is>
          <t>OPERA: LASTRA DI GOMMA ELASTOMERICA ESPANSA A CELLULE CHIUSE; FUNZIONE: COIBENTAZIONE; IMPIEGO: TUBAZIONE; SPESSORE MINIMO LASTRA [MM] = 19 | SPESSORE MINIMO ELASTOMERO PER IL DIAMETRO ESTERNO TUBO [MM] = 114 | DIAMETRO NOMINALE TUBAZIONE [MM] = 100; RESISTENZA ALLA FIAMMA [CLASSE] = 1; FATTORE DI PERMEABILITÀ (Μ) MINIMO [-] = 3000. 
LAVORO: POSA. OP LASTRA DI GOMMA ELASTOMERICA ESPANSA A CELLULE CHIUSE; FUNZIONE: COIBENTAZIONE; IMPIEGO: TUBAZIONE; SPESSORE MINIMO LASTRA [MM] = 19 | SPESSORE MINIMO ELASTOMERO PER IL DIAMETRO ESTERNO TUBO [MM] = 114 | DIAMETRO NOMINALE TUBAZIONE [MM] = 100; RESISTENZA ALLA FIAMMA [CLASSE] = 1; FATTORE DI PERMEABILITÀ (Μ) MINIMO [-] = 3000. 
RM LASTRA DI GOMMA ESPANSA A CELLULE CHIUSE; FUNZIONE: COIBENTAZIONE; IMPIEGO: TUBAZIONE; SPESSORE MINIMO LASTRA [MM] = 19 | SPESSORE MINIMO ELASTOMERO PER IL DIAMETRO ESTERNO TUBO [MM] = 114 | DIAMETRO NOMINALE TUBAZIONE [MM] = 100; RESISTENZA ALLA FIAMMA [CLASSE] = 1; FATTORE DI PERMEABILITÀ (Μ) MINIMO [-] = 3000 
LV POSA.</t>
        </is>
      </c>
      <c r="M272" s="4" t="inlineStr">
        <is>
          <t>M</t>
        </is>
      </c>
      <c r="N272" s="5" t="n">
        <v>90</v>
      </c>
      <c r="O272" s="45" t="n">
        <v>15.72</v>
      </c>
      <c r="P272" s="45" t="n">
        <v>1414.8</v>
      </c>
      <c r="Q272" s="5" t="n"/>
      <c r="R272" s="6" t="n"/>
      <c r="S272" s="6">
        <f>IF(AND(Q272&lt;&gt;"",R272&lt;&gt;""),Q272*R272,"")</f>
        <v/>
      </c>
      <c r="T272" s="45">
        <f>IF(S272="",P272,S272)</f>
        <v/>
      </c>
      <c r="U272" s="7" t="n">
        <v>0</v>
      </c>
      <c r="V272" s="6">
        <f>$T272*U272</f>
        <v/>
      </c>
      <c r="W272" s="7" t="n">
        <v>0</v>
      </c>
      <c r="X272" s="6">
        <f>$T272*W272</f>
        <v/>
      </c>
      <c r="Y272" s="7" t="n">
        <v>0</v>
      </c>
      <c r="Z272" s="6">
        <f>$T272*Y272</f>
        <v/>
      </c>
      <c r="AA272" s="7" t="n">
        <v>0</v>
      </c>
      <c r="AB272" s="6">
        <f>$T272*AA272</f>
        <v/>
      </c>
      <c r="AC272" s="7" t="n">
        <v>0</v>
      </c>
      <c r="AD272" s="6">
        <f>$T272*AC272</f>
        <v/>
      </c>
      <c r="AE272" s="7" t="n">
        <v>0</v>
      </c>
      <c r="AF272" s="6">
        <f>$T272*AE272</f>
        <v/>
      </c>
      <c r="AG272" s="7" t="n">
        <v>0</v>
      </c>
      <c r="AH272" s="6">
        <f>$T272*AG272</f>
        <v/>
      </c>
      <c r="AI272" s="7">
        <f>U272+W272+Y272+AA272+AC272+AE272+AG272</f>
        <v/>
      </c>
      <c r="AJ272" s="6">
        <f>V272+X272+Z272+AB272+AD272+AF272+AH272</f>
        <v/>
      </c>
    </row>
    <row r="273" hidden="1" ht="60" customHeight="1" s="46">
      <c r="A273" s="3" t="inlineStr">
        <is>
          <t>LOM251.OC.EEA.PA02.I1500.E0011.0220</t>
        </is>
      </c>
      <c r="B273" s="4" t="inlineStr">
        <is>
          <t>1/1</t>
        </is>
      </c>
      <c r="C273" s="3" t="inlineStr">
        <is>
          <t>IMPIANTO MECCANICO</t>
        </is>
      </c>
      <c r="D273" s="4" t="inlineStr">
        <is>
          <t>SPECIALE</t>
        </is>
      </c>
      <c r="E273" s="4" t="inlineStr">
        <is>
          <t>MECCANICHE SPECIALI</t>
        </is>
      </c>
      <c r="F273" s="3" t="inlineStr">
        <is>
          <t>2_CME_TOTALE MECCANICI RADIOFARMACIA PAVIA.PDF</t>
        </is>
      </c>
      <c r="G273" s="4" t="inlineStr">
        <is>
          <t>25/25</t>
        </is>
      </c>
      <c r="H273" s="3" t="inlineStr">
        <is>
          <t>40 - IMPIANTISTICO</t>
        </is>
      </c>
      <c r="I273" s="3" t="inlineStr">
        <is>
          <t>CENTRALE</t>
        </is>
      </c>
      <c r="J273" s="3" t="inlineStr">
        <is>
          <t>IMPIANTO HVAC</t>
        </is>
      </c>
      <c r="K273" s="3" t="inlineStr">
        <is>
          <t>OPERA: LASTRA DI GOMMA ELASTOMERICA ESPANSA A CELLULE CHIUSE; FUNZIONE: COIBENTAZIONE; IMPIEGO: TUBAZIONE; SPESSORE MINIMO LASTRA [MM] = 32 | SPESSORE MINIMO ELASTOMERO PER IL DIAMETRO ESTERNO TUBO [M</t>
        </is>
      </c>
      <c r="L273" s="3" t="inlineStr">
        <is>
          <t>OPERA: LASTRA DI GOMMA ELASTOMERICA ESPANSA A CELLULE CHIUSE; FUNZIONE: COIBENTAZIONE; IMPIEGO: TUBAZIONE; SPESSORE MINIMO LASTRA [MM] = 32 | SPESSORE MINIMO ELASTOMERO PER IL DIAMETRO ESTERNO TUBO [MM] = 22 | DIAMETRO NOMINALE TUBAZIONE [MM] = 15;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22 | DIAMETRO NOMINALE TUBAZIONE [MM] = 15;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22 | DIAMETRO NOMINALE TUBAZIONE [MM] = 15; RESISTENZA ALLA FIAMMA [CLASSE] = 1; FATTORE DI PERMEABILITÀ (Μ) MINIMO [-] = 4000 
SPECIFICHE TECNICHE: GOMMA ELASTOMERICA ESPANSA A CELLULE CHIUSE SENZA ALOGENI NÉ PVC 
LV POSA.</t>
        </is>
      </c>
      <c r="M273" s="4" t="inlineStr">
        <is>
          <t>M</t>
        </is>
      </c>
      <c r="N273" s="5" t="n">
        <v>45</v>
      </c>
      <c r="O273" s="45" t="n">
        <v>16.11</v>
      </c>
      <c r="P273" s="45" t="n">
        <v>724.95</v>
      </c>
      <c r="Q273" s="5" t="n"/>
      <c r="R273" s="6" t="n"/>
      <c r="S273" s="6">
        <f>IF(AND(Q273&lt;&gt;"",R273&lt;&gt;""),Q273*R273,"")</f>
        <v/>
      </c>
      <c r="T273" s="45">
        <f>IF(S273="",P273,S273)</f>
        <v/>
      </c>
      <c r="U273" s="7" t="n">
        <v>0</v>
      </c>
      <c r="V273" s="6">
        <f>$T273*U273</f>
        <v/>
      </c>
      <c r="W273" s="7" t="n">
        <v>0</v>
      </c>
      <c r="X273" s="6">
        <f>$T273*W273</f>
        <v/>
      </c>
      <c r="Y273" s="7" t="n">
        <v>0</v>
      </c>
      <c r="Z273" s="6">
        <f>$T273*Y273</f>
        <v/>
      </c>
      <c r="AA273" s="7" t="n">
        <v>0</v>
      </c>
      <c r="AB273" s="6">
        <f>$T273*AA273</f>
        <v/>
      </c>
      <c r="AC273" s="7" t="n">
        <v>0</v>
      </c>
      <c r="AD273" s="6">
        <f>$T273*AC273</f>
        <v/>
      </c>
      <c r="AE273" s="7" t="n">
        <v>0</v>
      </c>
      <c r="AF273" s="6">
        <f>$T273*AE273</f>
        <v/>
      </c>
      <c r="AG273" s="7" t="n">
        <v>0</v>
      </c>
      <c r="AH273" s="6">
        <f>$T273*AG273</f>
        <v/>
      </c>
      <c r="AI273" s="7">
        <f>U273+W273+Y273+AA273+AC273+AE273+AG273</f>
        <v/>
      </c>
      <c r="AJ273" s="6">
        <f>V273+X273+Z273+AB273+AD273+AF273+AH273</f>
        <v/>
      </c>
    </row>
    <row r="274" hidden="1" ht="60" customHeight="1" s="46">
      <c r="A274" s="3" t="inlineStr">
        <is>
          <t>LOM251.OC.EEA.PA02.I1500.E0011.0225</t>
        </is>
      </c>
      <c r="B274" s="4" t="inlineStr">
        <is>
          <t>1/1</t>
        </is>
      </c>
      <c r="C274" s="3" t="inlineStr">
        <is>
          <t>IMPIANTO MECCANICO</t>
        </is>
      </c>
      <c r="D274" s="4" t="inlineStr">
        <is>
          <t>SPECIALE</t>
        </is>
      </c>
      <c r="E274" s="4" t="inlineStr">
        <is>
          <t>MECCANICHE SPECIALI</t>
        </is>
      </c>
      <c r="F274" s="3" t="inlineStr">
        <is>
          <t>2_CME_TOTALE MECCANICI RADIOFARMACIA PAVIA.PDF</t>
        </is>
      </c>
      <c r="G274" s="4" t="inlineStr">
        <is>
          <t>26/26</t>
        </is>
      </c>
      <c r="H274" s="3" t="inlineStr">
        <is>
          <t>40 - IMPIANTISTICO</t>
        </is>
      </c>
      <c r="I274" s="3" t="inlineStr">
        <is>
          <t>CENTRALE</t>
        </is>
      </c>
      <c r="J274" s="3" t="inlineStr">
        <is>
          <t>IMPIANTO HVAC</t>
        </is>
      </c>
      <c r="K274" s="3" t="inlineStr">
        <is>
          <t>OPERA: LASTRA DI GOMMA ELASTOMERICA ESPANSA A CELLULE CHIUSE; FUNZIONE: COIBENTAZIONE; IMPIEGO: TUBAZIONE; SPESSORE MINIMO LASTRA [MM] = 32 | SPESSORE MINIMO ELASTOMERO PER IL DIAMETRO ESTERNO TUBO [M</t>
        </is>
      </c>
      <c r="L274" s="3" t="inlineStr">
        <is>
          <t>OPERA: LASTRA DI GOMMA ELASTOMERICA ESPANSA A CELLULE CHIUSE; FUNZIONE: COIBENTAZIONE; IMPIEGO: TUBAZIONE; SPESSORE MINIMO LASTRA [MM] = 32 | SPESSORE MINIMO ELASTOMERO PER IL DIAMETRO ESTERNO TUBO [MM] = 28 | DIAMETRO NOMINALE TUBAZIONE [MM] = 20;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28 | DIAMETRO NOMINALE TUBAZIONE [MM] = 20;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28 | DIAMETRO NOMINALE TUBAZIONE [MM] = 20; RESISTENZA ALLA FIAMMA [CLASSE] = 1; FATTORE DI PERMEABILITÀ (Μ) MINIMO [-] = 4000 
SPECIFICHE TECNICHE: GOMMA ELASTOMERICA ESPANSA A CELLULE CHIUSE SENZA ALOGENI NÉ PVC 
LV POSA.</t>
        </is>
      </c>
      <c r="M274" s="4" t="inlineStr">
        <is>
          <t>M</t>
        </is>
      </c>
      <c r="N274" s="5" t="n">
        <v>15</v>
      </c>
      <c r="O274" s="45" t="n">
        <v>16.11</v>
      </c>
      <c r="P274" s="45" t="n">
        <v>241.65</v>
      </c>
      <c r="Q274" s="5" t="n"/>
      <c r="R274" s="6" t="n"/>
      <c r="S274" s="6">
        <f>IF(AND(Q274&lt;&gt;"",R274&lt;&gt;""),Q274*R274,"")</f>
        <v/>
      </c>
      <c r="T274" s="45">
        <f>IF(S274="",P274,S274)</f>
        <v/>
      </c>
      <c r="U274" s="7" t="n">
        <v>0</v>
      </c>
      <c r="V274" s="6">
        <f>$T274*U274</f>
        <v/>
      </c>
      <c r="W274" s="7" t="n">
        <v>0</v>
      </c>
      <c r="X274" s="6">
        <f>$T274*W274</f>
        <v/>
      </c>
      <c r="Y274" s="7" t="n">
        <v>0</v>
      </c>
      <c r="Z274" s="6">
        <f>$T274*Y274</f>
        <v/>
      </c>
      <c r="AA274" s="7" t="n">
        <v>0</v>
      </c>
      <c r="AB274" s="6">
        <f>$T274*AA274</f>
        <v/>
      </c>
      <c r="AC274" s="7" t="n">
        <v>0</v>
      </c>
      <c r="AD274" s="6">
        <f>$T274*AC274</f>
        <v/>
      </c>
      <c r="AE274" s="7" t="n">
        <v>0</v>
      </c>
      <c r="AF274" s="6">
        <f>$T274*AE274</f>
        <v/>
      </c>
      <c r="AG274" s="7" t="n">
        <v>0</v>
      </c>
      <c r="AH274" s="6">
        <f>$T274*AG274</f>
        <v/>
      </c>
      <c r="AI274" s="7">
        <f>U274+W274+Y274+AA274+AC274+AE274+AG274</f>
        <v/>
      </c>
      <c r="AJ274" s="6">
        <f>V274+X274+Z274+AB274+AD274+AF274+AH274</f>
        <v/>
      </c>
    </row>
    <row r="275" hidden="1" ht="60" customHeight="1" s="46">
      <c r="A275" s="3" t="inlineStr">
        <is>
          <t>LOM251.OC.EEA.PA02.I1500.E0011.0230</t>
        </is>
      </c>
      <c r="B275" s="4" t="inlineStr">
        <is>
          <t>1/1</t>
        </is>
      </c>
      <c r="C275" s="3" t="inlineStr">
        <is>
          <t>IMPIANTO MECCANICO</t>
        </is>
      </c>
      <c r="D275" s="4" t="inlineStr">
        <is>
          <t>SPECIALE</t>
        </is>
      </c>
      <c r="E275" s="4" t="inlineStr">
        <is>
          <t>MECCANICHE SPECIALI</t>
        </is>
      </c>
      <c r="F275" s="3" t="inlineStr">
        <is>
          <t>2_CME_TOTALE MECCANICI RADIOFARMACIA PAVIA.PDF</t>
        </is>
      </c>
      <c r="G275" s="4" t="inlineStr">
        <is>
          <t>27/27</t>
        </is>
      </c>
      <c r="H275" s="3" t="inlineStr">
        <is>
          <t>40 - IMPIANTISTICO</t>
        </is>
      </c>
      <c r="I275" s="3" t="inlineStr">
        <is>
          <t>CENTRALE</t>
        </is>
      </c>
      <c r="J275" s="3" t="inlineStr">
        <is>
          <t>IMPIANTO HVAC</t>
        </is>
      </c>
      <c r="K275" s="3" t="inlineStr">
        <is>
          <t>OPERA: LASTRA DI GOMMA ELASTOMERICA ESPANSA A CELLULE CHIUSE; FUNZIONE: COIBENTAZIONE; IMPIEGO: TUBAZIONE; SPESSORE MINIMO LASTRA [MM] = 32 | SPESSORE MINIMO ELASTOMERO PER IL DIAMETRO ESTERNO TUBO [M</t>
        </is>
      </c>
      <c r="L275" s="3" t="inlineStr">
        <is>
          <t>OPERA: LASTRA DI GOMMA ELASTOMERICA ESPANSA A CELLULE CHIUSE; FUNZIONE: COIBENTAZIONE; IMPIEGO: TUBAZIONE; SPESSORE MINIMO LASTRA [MM] = 32 | SPESSORE MINIMO ELASTOMERO PER IL DIAMETRO ESTERNO TUBO [MM] = 35 | DIAMETRO NOMINALE TUBAZIONE [MM] = 25;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35 | DIAMETRO NOMINALE TUBAZIONE [MM] = 25;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35 | DIAMETRO NOMINALE TUBAZIONE [MM] = 25; RESISTENZA ALLA FIAMMA [CLASSE] = 1; FATTORE DI PERMEABILITÀ (Μ) MINIMO [-] = 4000 
SPECIFICHE TECNICHE: GOMMA ELASTOMERICA ESPANSA A CELLULE CHIUSE SENZA ALOGENI NÉ PVC 
LV POSA.</t>
        </is>
      </c>
      <c r="M275" s="4" t="inlineStr">
        <is>
          <t>M</t>
        </is>
      </c>
      <c r="N275" s="5" t="n">
        <v>50</v>
      </c>
      <c r="O275" s="45" t="n">
        <v>16.11</v>
      </c>
      <c r="P275" s="45" t="n">
        <v>805.5</v>
      </c>
      <c r="Q275" s="5" t="n"/>
      <c r="R275" s="6" t="n"/>
      <c r="S275" s="6">
        <f>IF(AND(Q275&lt;&gt;"",R275&lt;&gt;""),Q275*R275,"")</f>
        <v/>
      </c>
      <c r="T275" s="45">
        <f>IF(S275="",P275,S275)</f>
        <v/>
      </c>
      <c r="U275" s="7" t="n">
        <v>0</v>
      </c>
      <c r="V275" s="6">
        <f>$T275*U275</f>
        <v/>
      </c>
      <c r="W275" s="7" t="n">
        <v>0</v>
      </c>
      <c r="X275" s="6">
        <f>$T275*W275</f>
        <v/>
      </c>
      <c r="Y275" s="7" t="n">
        <v>0</v>
      </c>
      <c r="Z275" s="6">
        <f>$T275*Y275</f>
        <v/>
      </c>
      <c r="AA275" s="7" t="n">
        <v>0</v>
      </c>
      <c r="AB275" s="6">
        <f>$T275*AA275</f>
        <v/>
      </c>
      <c r="AC275" s="7" t="n">
        <v>0</v>
      </c>
      <c r="AD275" s="6">
        <f>$T275*AC275</f>
        <v/>
      </c>
      <c r="AE275" s="7" t="n">
        <v>0</v>
      </c>
      <c r="AF275" s="6">
        <f>$T275*AE275</f>
        <v/>
      </c>
      <c r="AG275" s="7" t="n">
        <v>0</v>
      </c>
      <c r="AH275" s="6">
        <f>$T275*AG275</f>
        <v/>
      </c>
      <c r="AI275" s="7">
        <f>U275+W275+Y275+AA275+AC275+AE275+AG275</f>
        <v/>
      </c>
      <c r="AJ275" s="6">
        <f>V275+X275+Z275+AB275+AD275+AF275+AH275</f>
        <v/>
      </c>
    </row>
    <row r="276" hidden="1" ht="60" customHeight="1" s="46">
      <c r="A276" s="3" t="inlineStr">
        <is>
          <t>LOM251.OC.EEA.PA02.I1500.E0011.0235</t>
        </is>
      </c>
      <c r="B276" s="4" t="inlineStr">
        <is>
          <t>1/1</t>
        </is>
      </c>
      <c r="C276" s="3" t="inlineStr">
        <is>
          <t>IMPIANTO MECCANICO</t>
        </is>
      </c>
      <c r="D276" s="4" t="inlineStr">
        <is>
          <t>SPECIALE</t>
        </is>
      </c>
      <c r="E276" s="4" t="inlineStr">
        <is>
          <t>MECCANICHE SPECIALI</t>
        </is>
      </c>
      <c r="F276" s="3" t="inlineStr">
        <is>
          <t>2_CME_TOTALE MECCANICI RADIOFARMACIA PAVIA.PDF</t>
        </is>
      </c>
      <c r="G276" s="4" t="inlineStr">
        <is>
          <t>28/28</t>
        </is>
      </c>
      <c r="H276" s="3" t="inlineStr">
        <is>
          <t>40 - IMPIANTISTICO</t>
        </is>
      </c>
      <c r="I276" s="3" t="inlineStr">
        <is>
          <t>CENTRALE</t>
        </is>
      </c>
      <c r="J276" s="3" t="inlineStr">
        <is>
          <t>IMPIANTO HVAC</t>
        </is>
      </c>
      <c r="K276" s="3" t="inlineStr">
        <is>
          <t>OPERA: LASTRA DI GOMMA ELASTOMERICA ESPANSA A CELLULE CHIUSE; FUNZIONE: COIBENTAZIONE; IMPIEGO: TUBAZIONE; SPESSORE MINIMO LASTRA [MM] = 32 | SPESSORE MINIMO ELASTOMERO PER IL DIAMETRO ESTERNO TUBO [M</t>
        </is>
      </c>
      <c r="L276" s="3" t="inlineStr">
        <is>
          <t>OPERA: LASTRA DI GOMMA ELASTOMERICA ESPANSA A CELLULE CHIUSE; FUNZIONE: COIBENTAZIONE; IMPIEGO: TUBAZIONE; SPESSORE MINIMO LASTRA [MM] = 32 | SPESSORE MINIMO ELASTOMERO PER IL DIAMETRO ESTERNO TUBO [MM] = 42 | DIAMETRO NOMINALE TUBAZIONE [MM] = 32;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42 | DIAMETRO NOMINALE TUBAZIONE [MM] = 32;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42 | DIAMETRO NOMINALE TUBAZIONE [MM] = 32; RESISTENZA ALLA FIAMMA [CLASSE] = 1; FATTORE DI PERMEABILITÀ (Μ) MINIMO [-] = 4000 
SPECIFICHE TECNICHE: GOMMA ELASTOMERICA ESPANSA A CELLULE CHIUSE SENZA ALOGENI NÉ PVC 
LV POSA.</t>
        </is>
      </c>
      <c r="M276" s="4" t="inlineStr">
        <is>
          <t>M</t>
        </is>
      </c>
      <c r="N276" s="5" t="n">
        <v>40</v>
      </c>
      <c r="O276" s="45" t="n">
        <v>16.11</v>
      </c>
      <c r="P276" s="45" t="n">
        <v>644.4</v>
      </c>
      <c r="Q276" s="5" t="n"/>
      <c r="R276" s="6" t="n"/>
      <c r="S276" s="6">
        <f>IF(AND(Q276&lt;&gt;"",R276&lt;&gt;""),Q276*R276,"")</f>
        <v/>
      </c>
      <c r="T276" s="45">
        <f>IF(S276="",P276,S276)</f>
        <v/>
      </c>
      <c r="U276" s="7" t="n">
        <v>0</v>
      </c>
      <c r="V276" s="6">
        <f>$T276*U276</f>
        <v/>
      </c>
      <c r="W276" s="7" t="n">
        <v>0</v>
      </c>
      <c r="X276" s="6">
        <f>$T276*W276</f>
        <v/>
      </c>
      <c r="Y276" s="7" t="n">
        <v>0</v>
      </c>
      <c r="Z276" s="6">
        <f>$T276*Y276</f>
        <v/>
      </c>
      <c r="AA276" s="7" t="n">
        <v>0</v>
      </c>
      <c r="AB276" s="6">
        <f>$T276*AA276</f>
        <v/>
      </c>
      <c r="AC276" s="7" t="n">
        <v>0</v>
      </c>
      <c r="AD276" s="6">
        <f>$T276*AC276</f>
        <v/>
      </c>
      <c r="AE276" s="7" t="n">
        <v>0</v>
      </c>
      <c r="AF276" s="6">
        <f>$T276*AE276</f>
        <v/>
      </c>
      <c r="AG276" s="7" t="n">
        <v>0</v>
      </c>
      <c r="AH276" s="6">
        <f>$T276*AG276</f>
        <v/>
      </c>
      <c r="AI276" s="7">
        <f>U276+W276+Y276+AA276+AC276+AE276+AG276</f>
        <v/>
      </c>
      <c r="AJ276" s="6">
        <f>V276+X276+Z276+AB276+AD276+AF276+AH276</f>
        <v/>
      </c>
    </row>
    <row r="277" hidden="1" ht="60" customHeight="1" s="46">
      <c r="A277" s="3" t="inlineStr">
        <is>
          <t>LOM251.OC.EEA.PA02.I1500.E0011.0240</t>
        </is>
      </c>
      <c r="B277" s="4" t="inlineStr">
        <is>
          <t>1/1</t>
        </is>
      </c>
      <c r="C277" s="3" t="inlineStr">
        <is>
          <t>IMPIANTO MECCANICO</t>
        </is>
      </c>
      <c r="D277" s="4" t="inlineStr">
        <is>
          <t>SPECIALE</t>
        </is>
      </c>
      <c r="E277" s="4" t="inlineStr">
        <is>
          <t>MECCANICHE SPECIALI</t>
        </is>
      </c>
      <c r="F277" s="3" t="inlineStr">
        <is>
          <t>2_CME_TOTALE MECCANICI RADIOFARMACIA PAVIA.PDF</t>
        </is>
      </c>
      <c r="G277" s="4" t="inlineStr">
        <is>
          <t>29/29</t>
        </is>
      </c>
      <c r="H277" s="3" t="inlineStr">
        <is>
          <t>40 - IMPIANTISTICO</t>
        </is>
      </c>
      <c r="I277" s="3" t="inlineStr">
        <is>
          <t>CENTRALE</t>
        </is>
      </c>
      <c r="J277" s="3" t="inlineStr">
        <is>
          <t>IMPIANTO HVAC</t>
        </is>
      </c>
      <c r="K277" s="3" t="inlineStr">
        <is>
          <t>OPERA: LASTRA DI GOMMA ELASTOMERICA ESPANSA A CELLULE CHIUSE; FUNZIONE: COIBENTAZIONE; IMPIEGO: TUBAZIONE; SPESSORE MINIMO LASTRA [MM] = 32 | SPESSORE MINIMO ELASTOMERO PER IL DIAMETRO ESTERNO TUBO [M</t>
        </is>
      </c>
      <c r="L277" s="3" t="inlineStr">
        <is>
          <t>OPERA: LASTRA DI GOMMA ELASTOMERICA ESPANSA A CELLULE CHIUSE; FUNZIONE: COIBENTAZIONE; IMPIEGO: TUBAZIONE; SPESSORE MINIMO LASTRA [MM] = 32 | SPESSORE MINIMO ELASTOMERO PER IL DIAMETRO ESTERNO TUBO [MM] = 48 | DIAMETRO NOMINALE TUBAZIONE [MM] = 40;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48 | DIAMETRO NOMINALE TUBAZIONE [MM] = 40;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48 | DIAMETRO NOMINALE TUBAZIONE [MM] = 40; RESISTENZA ALLA FIAMMA [CLASSE] = 1; FATTORE DI PERMEABILITÀ (Μ) MINIMO [-] = 4000 
SPECIFICHE TECNICHE: GOMMA ELASTOMERICA ESPANSA A CELLULE CHIUSE SENZA ALOGENI NÉ PVC 
LV POSA.</t>
        </is>
      </c>
      <c r="M277" s="4" t="inlineStr">
        <is>
          <t>M</t>
        </is>
      </c>
      <c r="N277" s="5" t="n">
        <v>15</v>
      </c>
      <c r="O277" s="45" t="n">
        <v>16.11</v>
      </c>
      <c r="P277" s="45" t="n">
        <v>241.65</v>
      </c>
      <c r="Q277" s="5" t="n"/>
      <c r="R277" s="6" t="n"/>
      <c r="S277" s="6">
        <f>IF(AND(Q277&lt;&gt;"",R277&lt;&gt;""),Q277*R277,"")</f>
        <v/>
      </c>
      <c r="T277" s="45">
        <f>IF(S277="",P277,S277)</f>
        <v/>
      </c>
      <c r="U277" s="7" t="n">
        <v>0</v>
      </c>
      <c r="V277" s="6">
        <f>$T277*U277</f>
        <v/>
      </c>
      <c r="W277" s="7" t="n">
        <v>0</v>
      </c>
      <c r="X277" s="6">
        <f>$T277*W277</f>
        <v/>
      </c>
      <c r="Y277" s="7" t="n">
        <v>0</v>
      </c>
      <c r="Z277" s="6">
        <f>$T277*Y277</f>
        <v/>
      </c>
      <c r="AA277" s="7" t="n">
        <v>0</v>
      </c>
      <c r="AB277" s="6">
        <f>$T277*AA277</f>
        <v/>
      </c>
      <c r="AC277" s="7" t="n">
        <v>0</v>
      </c>
      <c r="AD277" s="6">
        <f>$T277*AC277</f>
        <v/>
      </c>
      <c r="AE277" s="7" t="n">
        <v>0</v>
      </c>
      <c r="AF277" s="6">
        <f>$T277*AE277</f>
        <v/>
      </c>
      <c r="AG277" s="7" t="n">
        <v>0</v>
      </c>
      <c r="AH277" s="6">
        <f>$T277*AG277</f>
        <v/>
      </c>
      <c r="AI277" s="7">
        <f>U277+W277+Y277+AA277+AC277+AE277+AG277</f>
        <v/>
      </c>
      <c r="AJ277" s="6">
        <f>V277+X277+Z277+AB277+AD277+AF277+AH277</f>
        <v/>
      </c>
    </row>
    <row r="278" hidden="1" ht="60" customHeight="1" s="46">
      <c r="A278" s="3" t="inlineStr">
        <is>
          <t>LOM251.OC.EEA.PA02.I1500.E0011.0245</t>
        </is>
      </c>
      <c r="B278" s="4" t="inlineStr">
        <is>
          <t>1/1</t>
        </is>
      </c>
      <c r="C278" s="3" t="inlineStr">
        <is>
          <t>IMPIANTO MECCANICO</t>
        </is>
      </c>
      <c r="D278" s="4" t="inlineStr">
        <is>
          <t>SPECIALE</t>
        </is>
      </c>
      <c r="E278" s="4" t="inlineStr">
        <is>
          <t>MECCANICHE SPECIALI</t>
        </is>
      </c>
      <c r="F278" s="3" t="inlineStr">
        <is>
          <t>2_CME_TOTALE MECCANICI RADIOFARMACIA PAVIA.PDF</t>
        </is>
      </c>
      <c r="G278" s="4" t="inlineStr">
        <is>
          <t>30/30</t>
        </is>
      </c>
      <c r="H278" s="3" t="inlineStr">
        <is>
          <t>40 - IMPIANTISTICO</t>
        </is>
      </c>
      <c r="I278" s="3" t="inlineStr">
        <is>
          <t>CENTRALE</t>
        </is>
      </c>
      <c r="J278" s="3" t="inlineStr">
        <is>
          <t>IMPIANTO HVAC</t>
        </is>
      </c>
      <c r="K278" s="3" t="inlineStr">
        <is>
          <t>OPERA: LASTRA DI GOMMA ELASTOMERICA ESPANSA A CELLULE CHIUSE; FUNZIONE: COIBENTAZIONE; IMPIEGO: TUBAZIONE; SPESSORE MINIMO LASTRA [MM] = 32 | SPESSORE MINIMO ELASTOMERO PER IL DIAMETRO ESTERNO TUBO [M</t>
        </is>
      </c>
      <c r="L278" s="3" t="inlineStr">
        <is>
          <t>OPERA: LASTRA DI GOMMA ELASTOMERICA ESPANSA A CELLULE CHIUSE; FUNZIONE: COIBENTAZIONE; IMPIEGO: TUBAZIONE; SPESSORE MINIMO LASTRA [MM] = 32 | SPESSORE MINIMO ELASTOMERO PER IL DIAMETRO ESTERNO TUBO [MM] = 60 | DIAMETRO NOMINALE TUBAZIONE [MM] = 50;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60 | DIAMETRO NOMINALE TUBAZIONE [MM] = 50;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60 | DIAMETRO NOMINALE TUBAZIONE [MM] = 50; RESISTENZA ALLA FIAMMA [CLASSE] = 1; FATTORE DI PERMEABILITÀ (Μ) MINIMO [-] = 4000 
SPECIFICHE TECNICHE: GOMMA ELASTOMERICA ESPANSA A CELLULE CHIUSE SENZA ALOGENI NÉ PVC 
LV POSA.</t>
        </is>
      </c>
      <c r="M278" s="4" t="inlineStr">
        <is>
          <t>M</t>
        </is>
      </c>
      <c r="N278" s="5" t="n">
        <v>20</v>
      </c>
      <c r="O278" s="45" t="n">
        <v>17.81</v>
      </c>
      <c r="P278" s="45" t="n">
        <v>356.2</v>
      </c>
      <c r="Q278" s="5" t="n"/>
      <c r="R278" s="6" t="n"/>
      <c r="S278" s="6">
        <f>IF(AND(Q278&lt;&gt;"",R278&lt;&gt;""),Q278*R278,"")</f>
        <v/>
      </c>
      <c r="T278" s="45">
        <f>IF(S278="",P278,S278)</f>
        <v/>
      </c>
      <c r="U278" s="7" t="n">
        <v>0</v>
      </c>
      <c r="V278" s="6">
        <f>$T278*U278</f>
        <v/>
      </c>
      <c r="W278" s="7" t="n">
        <v>0</v>
      </c>
      <c r="X278" s="6">
        <f>$T278*W278</f>
        <v/>
      </c>
      <c r="Y278" s="7" t="n">
        <v>0</v>
      </c>
      <c r="Z278" s="6">
        <f>$T278*Y278</f>
        <v/>
      </c>
      <c r="AA278" s="7" t="n">
        <v>0</v>
      </c>
      <c r="AB278" s="6">
        <f>$T278*AA278</f>
        <v/>
      </c>
      <c r="AC278" s="7" t="n">
        <v>0</v>
      </c>
      <c r="AD278" s="6">
        <f>$T278*AC278</f>
        <v/>
      </c>
      <c r="AE278" s="7" t="n">
        <v>0</v>
      </c>
      <c r="AF278" s="6">
        <f>$T278*AE278</f>
        <v/>
      </c>
      <c r="AG278" s="7" t="n">
        <v>0</v>
      </c>
      <c r="AH278" s="6">
        <f>$T278*AG278</f>
        <v/>
      </c>
      <c r="AI278" s="7">
        <f>U278+W278+Y278+AA278+AC278+AE278+AG278</f>
        <v/>
      </c>
      <c r="AJ278" s="6">
        <f>V278+X278+Z278+AB278+AD278+AF278+AH278</f>
        <v/>
      </c>
    </row>
    <row r="279" hidden="1" ht="60" customHeight="1" s="46">
      <c r="A279" s="3" t="inlineStr">
        <is>
          <t>LOM251.OC.EEA.PA02.I1500.E0011.0250</t>
        </is>
      </c>
      <c r="B279" s="4" t="inlineStr">
        <is>
          <t>1/1</t>
        </is>
      </c>
      <c r="C279" s="3" t="inlineStr">
        <is>
          <t>IMPIANTO MECCANICO</t>
        </is>
      </c>
      <c r="D279" s="4" t="inlineStr">
        <is>
          <t>SPECIALE</t>
        </is>
      </c>
      <c r="E279" s="4" t="inlineStr">
        <is>
          <t>MECCANICHE SPECIALI</t>
        </is>
      </c>
      <c r="F279" s="3" t="inlineStr">
        <is>
          <t>2_CME_TOTALE MECCANICI RADIOFARMACIA PAVIA.PDF</t>
        </is>
      </c>
      <c r="G279" s="4" t="inlineStr">
        <is>
          <t>31/31</t>
        </is>
      </c>
      <c r="H279" s="3" t="inlineStr">
        <is>
          <t>40 - IMPIANTISTICO</t>
        </is>
      </c>
      <c r="I279" s="3" t="inlineStr">
        <is>
          <t>CENTRALE</t>
        </is>
      </c>
      <c r="J279" s="3" t="inlineStr">
        <is>
          <t>IMPIANTO HVAC</t>
        </is>
      </c>
      <c r="K279" s="3" t="inlineStr">
        <is>
          <t>OPERA: LASTRA DI GOMMA ELASTOMERICA ESPANSA A CELLULE CHIUSE; FUNZIONE: COIBENTAZIONE; IMPIEGO: TUBAZIONE; SPESSORE MINIMO LASTRA [MM] = 32 | SPESSORE MINIMO ELASTOMERO PER IL DIAMETRO ESTERNO TUBO [M</t>
        </is>
      </c>
      <c r="L279" s="3" t="inlineStr">
        <is>
          <t>OPERA: LASTRA DI GOMMA ELASTOMERICA ESPANSA A CELLULE CHIUSE; FUNZIONE: COIBENTAZIONE; IMPIEGO: TUBAZIONE; SPESSORE MINIMO LASTRA [MM] = 32 | SPESSORE MINIMO ELASTOMERO PER IL DIAMETRO ESTERNO TUBO [MM] = 76 | DIAMETRO NOMINALE TUBAZIONE [MM] = 65;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76 | DIAMETRO NOMINALE TUBAZIONE [MM] = 65;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76 | DIAMETRO NOMINALE TUBAZIONE [MM] = 65; RESISTENZA ALLA FIAMMA [CLASSE] = 1; FATTORE DI PERMEABILITÀ (Μ) MINIMO [-] = 4000 
SPECIFICHE TECNICHE: GOMMA ELASTOMERICA ESPANSA A CELLULE CHIUSE SENZA ALOGENI NÉ PVC 
LV POSA.</t>
        </is>
      </c>
      <c r="M279" s="4" t="inlineStr">
        <is>
          <t>M</t>
        </is>
      </c>
      <c r="N279" s="5" t="n">
        <v>45</v>
      </c>
      <c r="O279" s="45" t="n">
        <v>19.94</v>
      </c>
      <c r="P279" s="45" t="n">
        <v>897.3</v>
      </c>
      <c r="Q279" s="5" t="n"/>
      <c r="R279" s="6" t="n"/>
      <c r="S279" s="6">
        <f>IF(AND(Q279&lt;&gt;"",R279&lt;&gt;""),Q279*R279,"")</f>
        <v/>
      </c>
      <c r="T279" s="45">
        <f>IF(S279="",P279,S279)</f>
        <v/>
      </c>
      <c r="U279" s="7" t="n">
        <v>0</v>
      </c>
      <c r="V279" s="6">
        <f>$T279*U279</f>
        <v/>
      </c>
      <c r="W279" s="7" t="n">
        <v>0</v>
      </c>
      <c r="X279" s="6">
        <f>$T279*W279</f>
        <v/>
      </c>
      <c r="Y279" s="7" t="n">
        <v>0</v>
      </c>
      <c r="Z279" s="6">
        <f>$T279*Y279</f>
        <v/>
      </c>
      <c r="AA279" s="7" t="n">
        <v>0</v>
      </c>
      <c r="AB279" s="6">
        <f>$T279*AA279</f>
        <v/>
      </c>
      <c r="AC279" s="7" t="n">
        <v>0</v>
      </c>
      <c r="AD279" s="6">
        <f>$T279*AC279</f>
        <v/>
      </c>
      <c r="AE279" s="7" t="n">
        <v>0</v>
      </c>
      <c r="AF279" s="6">
        <f>$T279*AE279</f>
        <v/>
      </c>
      <c r="AG279" s="7" t="n">
        <v>0</v>
      </c>
      <c r="AH279" s="6">
        <f>$T279*AG279</f>
        <v/>
      </c>
      <c r="AI279" s="7">
        <f>U279+W279+Y279+AA279+AC279+AE279+AG279</f>
        <v/>
      </c>
      <c r="AJ279" s="6">
        <f>V279+X279+Z279+AB279+AD279+AF279+AH279</f>
        <v/>
      </c>
    </row>
    <row r="280" hidden="1" ht="60" customHeight="1" s="46">
      <c r="A280" s="3" t="inlineStr">
        <is>
          <t>LOM251.OC.EEA.PA02.I1500.E0011.0255</t>
        </is>
      </c>
      <c r="B280" s="4" t="inlineStr">
        <is>
          <t>1/1</t>
        </is>
      </c>
      <c r="C280" s="3" t="inlineStr">
        <is>
          <t>IMPIANTO MECCANICO</t>
        </is>
      </c>
      <c r="D280" s="4" t="inlineStr">
        <is>
          <t>SPECIALE</t>
        </is>
      </c>
      <c r="E280" s="4" t="inlineStr">
        <is>
          <t>MECCANICHE SPECIALI</t>
        </is>
      </c>
      <c r="F280" s="3" t="inlineStr">
        <is>
          <t>2_CME_TOTALE MECCANICI RADIOFARMACIA PAVIA.PDF</t>
        </is>
      </c>
      <c r="G280" s="4" t="inlineStr">
        <is>
          <t>32/32</t>
        </is>
      </c>
      <c r="H280" s="3" t="inlineStr">
        <is>
          <t>40 - IMPIANTISTICO</t>
        </is>
      </c>
      <c r="I280" s="3" t="inlineStr">
        <is>
          <t>CENTRALE</t>
        </is>
      </c>
      <c r="J280" s="3" t="inlineStr">
        <is>
          <t>IMPIANTO HVAC</t>
        </is>
      </c>
      <c r="K280" s="3" t="inlineStr">
        <is>
          <t>OPERA: LASTRA DI GOMMA ELASTOMERICA ESPANSA A CELLULE CHIUSE; FUNZIONE: COIBENTAZIONE; IMPIEGO: TUBAZIONE; SPESSORE MINIMO LASTRA [MM] = 32 | SPESSORE MINIMO ELASTOMERO PER IL DIAMETRO ESTERNO TUBO [M</t>
        </is>
      </c>
      <c r="L280" s="3" t="inlineStr">
        <is>
          <t>OPERA: LASTRA DI GOMMA ELASTOMERICA ESPANSA A CELLULE CHIUSE; FUNZIONE: COIBENTAZIONE; IMPIEGO: TUBAZIONE; SPESSORE MINIMO LASTRA [MM] = 32 | SPESSORE MINIMO ELASTOMERO PER IL DIAMETRO ESTERNO TUBO [MM] = 89 | DIAMETRO NOMINALE TUBAZIONE [MM] = 80;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89 | DIAMETRO NOMINALE TUBAZIONE [MM] = 80;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89 | DIAMETRO NOMINALE TUBAZIONE [MM] = 80; RESISTENZA ALLA FIAMMA [CLASSE] = 1; FATTORE DI PERMEABILITÀ (Μ) MINIMO [-] = 4000 
SPECIFICHE TECNICHE: GOMMA ELASTOMERICA ESPANSA A CELLULE CHIUSE SENZA ALOGENI NÉ PVC 
LV POSA.</t>
        </is>
      </c>
      <c r="M280" s="4" t="inlineStr">
        <is>
          <t>M</t>
        </is>
      </c>
      <c r="N280" s="5" t="n">
        <v>30</v>
      </c>
      <c r="O280" s="45" t="n">
        <v>21.8</v>
      </c>
      <c r="P280" s="45" t="n">
        <v>654</v>
      </c>
      <c r="Q280" s="5" t="n"/>
      <c r="R280" s="6" t="n"/>
      <c r="S280" s="6">
        <f>IF(AND(Q280&lt;&gt;"",R280&lt;&gt;""),Q280*R280,"")</f>
        <v/>
      </c>
      <c r="T280" s="45">
        <f>IF(S280="",P280,S280)</f>
        <v/>
      </c>
      <c r="U280" s="7" t="n">
        <v>0</v>
      </c>
      <c r="V280" s="6">
        <f>$T280*U280</f>
        <v/>
      </c>
      <c r="W280" s="7" t="n">
        <v>0</v>
      </c>
      <c r="X280" s="6">
        <f>$T280*W280</f>
        <v/>
      </c>
      <c r="Y280" s="7" t="n">
        <v>0</v>
      </c>
      <c r="Z280" s="6">
        <f>$T280*Y280</f>
        <v/>
      </c>
      <c r="AA280" s="7" t="n">
        <v>0</v>
      </c>
      <c r="AB280" s="6">
        <f>$T280*AA280</f>
        <v/>
      </c>
      <c r="AC280" s="7" t="n">
        <v>0</v>
      </c>
      <c r="AD280" s="6">
        <f>$T280*AC280</f>
        <v/>
      </c>
      <c r="AE280" s="7" t="n">
        <v>0</v>
      </c>
      <c r="AF280" s="6">
        <f>$T280*AE280</f>
        <v/>
      </c>
      <c r="AG280" s="7" t="n">
        <v>0</v>
      </c>
      <c r="AH280" s="6">
        <f>$T280*AG280</f>
        <v/>
      </c>
      <c r="AI280" s="7">
        <f>U280+W280+Y280+AA280+AC280+AE280+AG280</f>
        <v/>
      </c>
      <c r="AJ280" s="6">
        <f>V280+X280+Z280+AB280+AD280+AF280+AH280</f>
        <v/>
      </c>
    </row>
    <row r="281" hidden="1" ht="60" customHeight="1" s="46">
      <c r="A281" s="3" t="inlineStr">
        <is>
          <t>LOM251.OC.EEA.PA02.I1500.E0011.0325</t>
        </is>
      </c>
      <c r="B281" s="4" t="inlineStr">
        <is>
          <t>1/1</t>
        </is>
      </c>
      <c r="C281" s="3" t="inlineStr">
        <is>
          <t>IMPIANTO MECCANICO</t>
        </is>
      </c>
      <c r="D281" s="4" t="inlineStr">
        <is>
          <t>SPECIALE</t>
        </is>
      </c>
      <c r="E281" s="4" t="inlineStr">
        <is>
          <t>MECCANICHE SPECIALI</t>
        </is>
      </c>
      <c r="F281" s="3" t="inlineStr">
        <is>
          <t>2_CME_TOTALE MECCANICI RADIOFARMACIA PAVIA.PDF</t>
        </is>
      </c>
      <c r="G281" s="4" t="inlineStr">
        <is>
          <t>33/33</t>
        </is>
      </c>
      <c r="H281" s="3" t="inlineStr">
        <is>
          <t>40 - IMPIANTISTICO</t>
        </is>
      </c>
      <c r="I281" s="3" t="inlineStr">
        <is>
          <t>CENTRALE</t>
        </is>
      </c>
      <c r="J281" s="3" t="inlineStr">
        <is>
          <t>IMPIANTO HVAC</t>
        </is>
      </c>
      <c r="K281" s="3" t="inlineStr">
        <is>
          <t>OPERA: LASTRA DI GOMMA ELASTOMERICA ESPANSA A CELLULE CHIUSE; FUNZIONE: COIBENTAZIONE; IMPIEGO: TUBAZIONE; SPESSORE MINIMO LASTRA [MM] = 9 | SPESSORE MINIMO ELASTOMERO PER IL DIAMETRO ESTERNO TUBO [MM</t>
        </is>
      </c>
      <c r="L281" s="3" t="inlineStr">
        <is>
          <t>OPERA: LASTRA DI GOMMA ELASTOMERICA ESPANSA A CELLULE CHIUSE; FUNZIONE: COIBENTAZIONE; IMPIEGO: TUBAZIONE; SPESSORE MINIMO LASTRA [MM] = 9 | SPESSORE MINIMO ELASTOMERO PER IL DIAMETRO ESTERNO TUBO [MM] = 114 | DIAMETRO NOMINALE TUBAZIONE [MM] = 100; RESISTENZA ALLA FIAMMA [CLASSE] = 1; FATTORE DI PERMEABILITÀ (Μ) MINIMO [-] = 3000. 
LAVORO: POSA. OP LASTRA DI GOMMA ELASTOMERICA ESPANSA A CELLULE CHIUSE; FUNZIONE: COIBENTAZIONE; IMPIEGO: TUBAZIONE; SPESSORE MINIMO LASTRA [MM] = 9 | SPESSORE MINIMO ELASTOMERO PER IL DIAMETRO ESTERNO TUBO [MM] = 114 | DIAMETRO NOMINALE TUBAZIONE [MM] = 100; RESISTENZA ALLA FIAMMA [CLASSE] = 1; FATTORE DI PERMEABILITÀ (Μ) MINIMO [-] = 3000. 
RM LASTRA DI GOMMA ESPANSA A CELLULE CHIUSE; FUNZIONE: COIBENTAZIONE; IMPIEGO: TUBAZIONE; SPESSORE MINIMO LASTRA [MM] = 9 | SPESSORE MINIMO ELASTOMERO PER IL DIAMETRO ESTERNO TUBO [MM] = 114 | DIAMETRO NOMINALE TUBAZIONE [MM] = 100; RESISTENZA ALLA FIAMMA [CLASSE] = 1; FATTORE DI PERMEABILITÀ (Μ) MINIMO [-] = 3000 
LV POSA.</t>
        </is>
      </c>
      <c r="M281" s="4" t="inlineStr">
        <is>
          <t>M</t>
        </is>
      </c>
      <c r="N281" s="5" t="n">
        <v>65</v>
      </c>
      <c r="O281" s="45" t="n">
        <v>10.69</v>
      </c>
      <c r="P281" s="45" t="n">
        <v>694.85</v>
      </c>
      <c r="Q281" s="5" t="n"/>
      <c r="R281" s="6" t="n"/>
      <c r="S281" s="6">
        <f>IF(AND(Q281&lt;&gt;"",R281&lt;&gt;""),Q281*R281,"")</f>
        <v/>
      </c>
      <c r="T281" s="45">
        <f>IF(S281="",P281,S281)</f>
        <v/>
      </c>
      <c r="U281" s="7" t="n">
        <v>0</v>
      </c>
      <c r="V281" s="6">
        <f>$T281*U281</f>
        <v/>
      </c>
      <c r="W281" s="7" t="n">
        <v>0</v>
      </c>
      <c r="X281" s="6">
        <f>$T281*W281</f>
        <v/>
      </c>
      <c r="Y281" s="7" t="n">
        <v>0</v>
      </c>
      <c r="Z281" s="6">
        <f>$T281*Y281</f>
        <v/>
      </c>
      <c r="AA281" s="7" t="n">
        <v>0</v>
      </c>
      <c r="AB281" s="6">
        <f>$T281*AA281</f>
        <v/>
      </c>
      <c r="AC281" s="7" t="n">
        <v>0</v>
      </c>
      <c r="AD281" s="6">
        <f>$T281*AC281</f>
        <v/>
      </c>
      <c r="AE281" s="7" t="n">
        <v>0</v>
      </c>
      <c r="AF281" s="6">
        <f>$T281*AE281</f>
        <v/>
      </c>
      <c r="AG281" s="7" t="n">
        <v>0</v>
      </c>
      <c r="AH281" s="6">
        <f>$T281*AG281</f>
        <v/>
      </c>
      <c r="AI281" s="7">
        <f>U281+W281+Y281+AA281+AC281+AE281+AG281</f>
        <v/>
      </c>
      <c r="AJ281" s="6">
        <f>V281+X281+Z281+AB281+AD281+AF281+AH281</f>
        <v/>
      </c>
    </row>
    <row r="282" hidden="1" ht="60" customHeight="1" s="46">
      <c r="A282" s="3" t="inlineStr">
        <is>
          <t>LOM251.OC.EEA.PA02.I1500.SA000.0010</t>
        </is>
      </c>
      <c r="B282" s="4" t="inlineStr">
        <is>
          <t>2/2</t>
        </is>
      </c>
      <c r="C282" s="3" t="inlineStr">
        <is>
          <t>IMPIANTO MECCANICO</t>
        </is>
      </c>
      <c r="D282" s="4" t="inlineStr">
        <is>
          <t>SPECIALE</t>
        </is>
      </c>
      <c r="E282" s="4" t="inlineStr">
        <is>
          <t>MECCANICHE SPECIALI</t>
        </is>
      </c>
      <c r="F282" s="3" t="inlineStr">
        <is>
          <t>2_CME_TOTALE MECCANICI RADIOFARMACIA PAVIA.PDF</t>
        </is>
      </c>
      <c r="G282" s="4" t="inlineStr">
        <is>
          <t>34/34</t>
        </is>
      </c>
      <c r="H282" s="3" t="inlineStr">
        <is>
          <t>40 - IMPIANTISTICO</t>
        </is>
      </c>
      <c r="I282" s="3" t="inlineStr">
        <is>
          <t>CENTRALE</t>
        </is>
      </c>
      <c r="J282" s="3" t="inlineStr">
        <is>
          <t>IMPIANTO HVAC</t>
        </is>
      </c>
      <c r="K282" s="3" t="inlineStr">
        <is>
          <t xml:space="preserve">OPERA: LASTRA, DI FINITURA DI LEGA ALLUMINIO GENERICO; GEOMETRIA: LAMIERINO; FUNZIONE: COIBENTAZIONE; IMPIEGO: CONDOTTO; SPESSORE [MM] = 0,8. </t>
        </is>
      </c>
      <c r="L282" s="3" t="inlineStr">
        <is>
          <t>OPERA: LASTRA, DI FINITURA DI LEGA ALLUMINIO GENERICO; GEOMETRIA: LAMIERINO; FUNZIONE: COIBENTAZIONE; IMPIEGO: CONDOTTO; SPESSORE [MM] = 0,8. 
LAVORO: POSA. OP LASTRA, DI FINITURA DI LEGA ALLUMINIO GENERICO; GEOMETRIA: LAMIERINO; FUNZIONE: COIBENTAZIONE; IMPIEGO: CONDOTTO; SPESSORE [MM] = 0,8. 
RM LASTRA DI FINITURA DI LEGA ALLUMINIO GENERICO; GEOMETRIA: LAMIERINO; FUNZIONE: COIBENTAZIONE; IMPIEGO: CONDOTTO; SPESSORE [MM] = 0,8 
LV POSA.</t>
        </is>
      </c>
      <c r="M282" s="4" t="inlineStr">
        <is>
          <t>M²</t>
        </is>
      </c>
      <c r="N282" s="5" t="n">
        <v>168</v>
      </c>
      <c r="O282" s="45" t="n">
        <v>37.95</v>
      </c>
      <c r="P282" s="45" t="n">
        <v>6375.6</v>
      </c>
      <c r="Q282" s="5" t="n"/>
      <c r="R282" s="6" t="n"/>
      <c r="S282" s="6">
        <f>IF(AND(Q282&lt;&gt;"",R282&lt;&gt;""),Q282*R282,"")</f>
        <v/>
      </c>
      <c r="T282" s="45">
        <f>IF(S282="",P282,S282)</f>
        <v/>
      </c>
      <c r="U282" s="7" t="n">
        <v>0</v>
      </c>
      <c r="V282" s="6">
        <f>$T282*U282</f>
        <v/>
      </c>
      <c r="W282" s="7" t="n">
        <v>0</v>
      </c>
      <c r="X282" s="6">
        <f>$T282*W282</f>
        <v/>
      </c>
      <c r="Y282" s="7" t="n">
        <v>0</v>
      </c>
      <c r="Z282" s="6">
        <f>$T282*Y282</f>
        <v/>
      </c>
      <c r="AA282" s="7" t="n">
        <v>0</v>
      </c>
      <c r="AB282" s="6">
        <f>$T282*AA282</f>
        <v/>
      </c>
      <c r="AC282" s="7" t="n">
        <v>0</v>
      </c>
      <c r="AD282" s="6">
        <f>$T282*AC282</f>
        <v/>
      </c>
      <c r="AE282" s="7" t="n">
        <v>0</v>
      </c>
      <c r="AF282" s="6">
        <f>$T282*AE282</f>
        <v/>
      </c>
      <c r="AG282" s="7" t="n">
        <v>0</v>
      </c>
      <c r="AH282" s="6">
        <f>$T282*AG282</f>
        <v/>
      </c>
      <c r="AI282" s="7">
        <f>U282+W282+Y282+AA282+AC282+AE282+AG282</f>
        <v/>
      </c>
      <c r="AJ282" s="6">
        <f>V282+X282+Z282+AB282+AD282+AF282+AH282</f>
        <v/>
      </c>
    </row>
    <row r="283" ht="60" customHeight="1" s="46">
      <c r="A283" s="3" t="inlineStr">
        <is>
          <t>LOM251.OC.EEA.PA02.I9762.SB030.0530</t>
        </is>
      </c>
      <c r="B283" s="4" t="inlineStr">
        <is>
          <t>1/1</t>
        </is>
      </c>
      <c r="C283" s="3" t="inlineStr">
        <is>
          <t>IMPIANTO MECCANICO</t>
        </is>
      </c>
      <c r="D283" s="4" t="inlineStr">
        <is>
          <t>SPECIALE</t>
        </is>
      </c>
      <c r="E283" s="4" t="inlineStr">
        <is>
          <t>MECCANICHE SPECIALI</t>
        </is>
      </c>
      <c r="F283" s="3" t="inlineStr">
        <is>
          <t>2_CME_TOTALE MECCANICI RADIOFARMACIA PAVIA.PDF</t>
        </is>
      </c>
      <c r="G283" s="4" t="inlineStr">
        <is>
          <t>35/35</t>
        </is>
      </c>
      <c r="H283" s="3" t="inlineStr">
        <is>
          <t>40 - IMPIANTISTICO</t>
        </is>
      </c>
      <c r="I283" s="3" t="inlineStr">
        <is>
          <t>CENTRALE</t>
        </is>
      </c>
      <c r="J283" s="3" t="inlineStr">
        <is>
          <t>IMPIANTO HVAC</t>
        </is>
      </c>
      <c r="K283" s="3" t="inlineStr">
        <is>
          <t>OPERA: VALVOLA, A COMANDO MANUALE A LEVA DI LEGA FERROSA GHISA GENERICO; GEOMETRIA: TIPO WAFER | TIPO SEMILUG | A FARFALLA; DIAMETRO NOMINALE (Ø) [MM] = 100; PRESSIONE NOMINALE [BAR] = 16. INCLUSO: GU</t>
        </is>
      </c>
      <c r="L283" s="3" t="inlineStr">
        <is>
          <t>OPERA: VALVOLA, A COMANDO MANUALE A LEVA DI LEGA FERROSA GHISA GENERICO; GEOMETRIA: TIPO WAFER | TIPO SEMILUG | A FARFALLA; DIAMETRO NOMINALE (Ø) [MM] = 100; PRESSIONE NOMINALE [BAR] = 16. INCLUSO: GUARNIZIONE DI GOMMA EPDM; FARFALLA DI LEGA FERROSA GHISA SFEROIDALE CON FINITURA DI PLASTICA POLIAMMIDE - NYLON (PA) (RILSAN). 
LAVORO: POSA. 
SPECIFICHE TECNICHE: VALVOLA CON: CORPO DI LEGA FERROSA GHISA SFEROIDALE, STELO DI LEGA FERROSA ACCIAIO INOX, LEVA DI LEGA ALLUMINIO GENERICO. OP VALVOLA, A COMANDO MANUALE A LEVA DI LEGA FERROSA GHISA GENERICO; GEOMETRIA: TIPO WAFER | TIPO SEMILUG | A FARFALLA; DIAMETRO NOMINALE (Ø) [MM] = 100; PRESSIONE NOMINALE [BAR] = 16. INCLUSO: GUARNIZIONE DI GOMMA EPDM; FARFALLA DI LEGA FERROSA GHISA SFEROIDALE CON FINITURA DI PLASTICA POLIAMMIDE - NYLON (PA) (RILSAN). 
SPECIFICHE TECNICHE: VALVOLA CON: CORPO DI LEGA FERROSA GHISA SFEROIDALE, STELO DI LEGA FERROSA ACCIAIO INOX, LEVA DI LEGA ALLUMINIO GENERICO. 
RM VALVOLA A COMANDO MANUALE A LEVA DI LEGA FERROSA GHISA GENERICO; GEOMETRIA: TIPO WAFER | TIPO SEMILUG | A FARFALLA; DIAMETRO NOMINALE (Ø) [MM] = 100; PRESSIONE NOMINALE [BAR] = 16. INCLUSO: GUARNIZIONE DI GOMMA EPDM; FARFALLA DI LEGA FERROSA GHISA SFEROIDALE CON FINITURA DI PLASTICA POLIAMMIDE - NYLON (PA) (RILSAN) 
SPECIFICHE TECNICHE: VALVOLA CON: CORPO DI LEGA FERROSA GHISA SFEROIDALE, STELO DI LEGA FERROSA ACCIAIO INOX, LEVA DI LEGA ALLUMINIO GENERICO 
LV POSA.</t>
        </is>
      </c>
      <c r="M283" s="4" t="inlineStr">
        <is>
          <t>CAD</t>
        </is>
      </c>
      <c r="N283" s="5" t="n">
        <v>25</v>
      </c>
      <c r="O283" s="45" t="n">
        <v>139.93</v>
      </c>
      <c r="P283" s="45" t="n">
        <v>3498.25</v>
      </c>
      <c r="Q283" s="5" t="n"/>
      <c r="R283" s="6" t="n"/>
      <c r="S283" s="6">
        <f>IF(AND(Q283&lt;&gt;"",R283&lt;&gt;""),Q283*R283,"")</f>
        <v/>
      </c>
      <c r="T283" s="45">
        <f>IF(S283="",P283,S283)</f>
        <v/>
      </c>
      <c r="U283" s="7" t="n">
        <v>0</v>
      </c>
      <c r="V283" s="6">
        <f>$T283*U283</f>
        <v/>
      </c>
      <c r="W283" s="7" t="n">
        <v>0.4</v>
      </c>
      <c r="X283" s="6">
        <f>$T283*W283</f>
        <v/>
      </c>
      <c r="Y283" s="7" t="n">
        <v>0</v>
      </c>
      <c r="Z283" s="6">
        <f>$T283*Y283</f>
        <v/>
      </c>
      <c r="AA283" s="7" t="n">
        <v>0</v>
      </c>
      <c r="AB283" s="6">
        <f>$T283*AA283</f>
        <v/>
      </c>
      <c r="AC283" s="7" t="n">
        <v>0</v>
      </c>
      <c r="AD283" s="6">
        <f>$T283*AC283</f>
        <v/>
      </c>
      <c r="AE283" s="7" t="n">
        <v>0</v>
      </c>
      <c r="AF283" s="6">
        <f>$T283*AE283</f>
        <v/>
      </c>
      <c r="AG283" s="7" t="n">
        <v>0</v>
      </c>
      <c r="AH283" s="6">
        <f>$T283*AG283</f>
        <v/>
      </c>
      <c r="AI283" s="7">
        <f>U283+W283+Y283+AA283+AC283+AE283+AG283</f>
        <v/>
      </c>
      <c r="AJ283" s="6">
        <f>V283+X283+Z283+AB283+AD283+AF283+AH283</f>
        <v/>
      </c>
    </row>
    <row r="284" ht="60" customHeight="1" s="46">
      <c r="A284" s="3" t="inlineStr">
        <is>
          <t>LOM251.OC.EEA.PA02.I9762.SB030.0525</t>
        </is>
      </c>
      <c r="B284" s="4" t="inlineStr">
        <is>
          <t>1/1</t>
        </is>
      </c>
      <c r="C284" s="3" t="inlineStr">
        <is>
          <t>IMPIANTO MECCANICO</t>
        </is>
      </c>
      <c r="D284" s="4" t="inlineStr">
        <is>
          <t>SPECIALE</t>
        </is>
      </c>
      <c r="E284" s="4" t="inlineStr">
        <is>
          <t>MECCANICHE SPECIALI</t>
        </is>
      </c>
      <c r="F284" s="3" t="inlineStr">
        <is>
          <t>2_CME_TOTALE MECCANICI RADIOFARMACIA PAVIA.PDF</t>
        </is>
      </c>
      <c r="G284" s="4" t="inlineStr">
        <is>
          <t>36/36</t>
        </is>
      </c>
      <c r="H284" s="3" t="inlineStr">
        <is>
          <t>40 - IMPIANTISTICO</t>
        </is>
      </c>
      <c r="I284" s="3" t="inlineStr">
        <is>
          <t>CENTRALE</t>
        </is>
      </c>
      <c r="J284" s="3" t="inlineStr">
        <is>
          <t>IMPIANTO HVAC</t>
        </is>
      </c>
      <c r="K284" s="3" t="inlineStr">
        <is>
          <t>OPERA: VALVOLA, A COMANDO MANUALE A LEVA DI LEGA FERROSA GHISA GENERICO; GEOMETRIA: TIPO WAFER | TIPO SEMILUG | A FARFALLA; DIAMETRO NOMINALE (Ø) [MM] = 80; PRESSIONE NOMINALE [BAR] = 16. INCLUSO: GUA</t>
        </is>
      </c>
      <c r="L284" s="3" t="inlineStr">
        <is>
          <t>OPERA: VALVOLA, A COMANDO MANUALE A LEVA DI LEGA FERROSA GHISA GENERICO; GEOMETRIA: TIPO WAFER | TIPO SEMILUG | A FARFALLA; DIAMETRO NOMINALE (Ø) [MM] = 80; PRESSIONE NOMINALE [BAR] = 16. INCLUSO: GUARNIZIONE DI GOMMA EPDM; FARFALLA DI LEGA FERROSA GHISA SFEROIDALE CON FINITURA DI PLASTICA POLIAMMIDE - NYLON (PA) (RILSAN). 
LAVORO: POSA. 
SPECIFICHE TECNICHE: VALVOLA CON: CORPO DI LEGA FERROSA GHISA SFEROIDALE, STELO DI LEGA FERROSA ACCIAIO INOX, LEVA DI LEGA ALLUMINIO GENERICO. OP VALVOLA, A COMANDO MANUALE A LEVA DI LEGA FERROSA GHISA GENERICO; GEOMETRIA: TIPO WAFER | TIPO SEMILUG | A FARFALLA; DIAMETRO NOMINALE (Ø) [MM] = 80; PRESSIONE NOMINALE [BAR] = 16. INCLUSO: GUARNIZIONE DI GOMMA EPDM; FARFALLA DI LEGA FERROSA GHISA SFEROIDALE CON FINITURA DI PLASTICA POLIAMMIDE - NYLON (PA) (RILSAN). 
SPECIFICHE TECNICHE: VALVOLA CON: CORPO DI LEGA FERROSA GHISA SFEROIDALE, STELO DI LEGA FERROSA ACCIAIO INOX, LEVA DI LEGA ALLUMINIO GENERICO. 
RM VALVOLA A COMANDO MANUALE A LEVA DI LEGA FERROSA GHISA GENERICO; GEOMETRIA: TIPO WAFER | TIPO SEMILUG | A FARFALLA; DIAMETRO NOMINALE (Ø) [MM] = 80; PRESSIONE NOMINALE [BAR] = 16. INCLUSO: GUARNIZIONE DI GOMMA EPDM; FARFALLA DI LEGA FERROSA GHISA SFEROIDALE CON FINITURA DI PLASTICA POLIAMMIDE - NYLON (PA) (RILSAN) 
SPECIFICHE TECNICHE: VALVOLA CON: CORPO DI LEGA FERROSA GHISA SFEROIDALE, STELO DI LEGA FERROSA ACCIAIO INOX, LEVA DI LEGA ALLUMINIO GENERICO 
LV POSA.</t>
        </is>
      </c>
      <c r="M284" s="4" t="inlineStr">
        <is>
          <t>CAD</t>
        </is>
      </c>
      <c r="N284" s="5" t="n">
        <v>14</v>
      </c>
      <c r="O284" s="45" t="n">
        <v>124.52</v>
      </c>
      <c r="P284" s="45" t="n">
        <v>1743.28</v>
      </c>
      <c r="Q284" s="5" t="n"/>
      <c r="R284" s="6" t="n"/>
      <c r="S284" s="6">
        <f>IF(AND(Q284&lt;&gt;"",R284&lt;&gt;""),Q284*R284,"")</f>
        <v/>
      </c>
      <c r="T284" s="45">
        <f>IF(S284="",P284,S284)</f>
        <v/>
      </c>
      <c r="U284" s="7" t="n">
        <v>0</v>
      </c>
      <c r="V284" s="6">
        <f>$T284*U284</f>
        <v/>
      </c>
      <c r="W284" s="7" t="n">
        <v>0.4</v>
      </c>
      <c r="X284" s="6">
        <f>$T284*W284</f>
        <v/>
      </c>
      <c r="Y284" s="7" t="n">
        <v>0</v>
      </c>
      <c r="Z284" s="6">
        <f>$T284*Y284</f>
        <v/>
      </c>
      <c r="AA284" s="7" t="n">
        <v>0</v>
      </c>
      <c r="AB284" s="6">
        <f>$T284*AA284</f>
        <v/>
      </c>
      <c r="AC284" s="7" t="n">
        <v>0</v>
      </c>
      <c r="AD284" s="6">
        <f>$T284*AC284</f>
        <v/>
      </c>
      <c r="AE284" s="7" t="n">
        <v>0</v>
      </c>
      <c r="AF284" s="6">
        <f>$T284*AE284</f>
        <v/>
      </c>
      <c r="AG284" s="7" t="n">
        <v>0</v>
      </c>
      <c r="AH284" s="6">
        <f>$T284*AG284</f>
        <v/>
      </c>
      <c r="AI284" s="7">
        <f>U284+W284+Y284+AA284+AC284+AE284+AG284</f>
        <v/>
      </c>
      <c r="AJ284" s="6">
        <f>V284+X284+Z284+AB284+AD284+AF284+AH284</f>
        <v/>
      </c>
    </row>
    <row r="285" ht="60" customHeight="1" s="46">
      <c r="A285" s="3" t="inlineStr">
        <is>
          <t>LOM251.OC.EEA.PA02.I9762.SB030.0520</t>
        </is>
      </c>
      <c r="B285" s="4" t="inlineStr">
        <is>
          <t>1/1</t>
        </is>
      </c>
      <c r="C285" s="3" t="inlineStr">
        <is>
          <t>IMPIANTO MECCANICO</t>
        </is>
      </c>
      <c r="D285" s="4" t="inlineStr">
        <is>
          <t>SPECIALE</t>
        </is>
      </c>
      <c r="E285" s="4" t="inlineStr">
        <is>
          <t>MECCANICHE SPECIALI</t>
        </is>
      </c>
      <c r="F285" s="3" t="inlineStr">
        <is>
          <t>2_CME_TOTALE MECCANICI RADIOFARMACIA PAVIA.PDF</t>
        </is>
      </c>
      <c r="G285" s="4" t="inlineStr">
        <is>
          <t>37/37</t>
        </is>
      </c>
      <c r="H285" s="3" t="inlineStr">
        <is>
          <t>40 - IMPIANTISTICO</t>
        </is>
      </c>
      <c r="I285" s="3" t="inlineStr">
        <is>
          <t>CENTRALE</t>
        </is>
      </c>
      <c r="J285" s="3" t="inlineStr">
        <is>
          <t>IMPIANTO HVAC</t>
        </is>
      </c>
      <c r="K285" s="3" t="inlineStr">
        <is>
          <t>OPERA: VALVOLA, A COMANDO MANUALE A LEVA DI LEGA FERROSA GHISA GENERICO; GEOMETRIA: TIPO WAFER | TIPO SEMILUG | A FARFALLA; DIAMETRO NOMINALE (Ø) [MM] = 65; PRESSIONE NOMINALE [BAR] = 16. INCLUSO: GUA</t>
        </is>
      </c>
      <c r="L285" s="3" t="inlineStr">
        <is>
          <t>OPERA: VALVOLA, A COMANDO MANUALE A LEVA DI LEGA FERROSA GHISA GENERICO; GEOMETRIA: TIPO WAFER | TIPO SEMILUG | A FARFALLA; DIAMETRO NOMINALE (Ø) [MM] = 65; PRESSIONE NOMINALE [BAR] = 16. INCLUSO: GUARNIZIONE DI GOMMA EPDM; FARFALLA DI LEGA FERROSA GHISA SFEROIDALE CON FINITURA DI PLASTICA POLIAMMIDE - NYLON (PA) (RILSAN). 
LAVORO: POSA. 
SPECIFICHE TECNICHE: VALVOLA CON: CORPO DI LEGA FERROSA GHISA SFEROIDALE, STELO DI LEGA FERROSA ACCIAIO INOX, LEVA DI LEGA ALLUMINIO GENERICO. OP VALVOLA, A COMANDO MANUALE A LEVA DI LEGA FERROSA GHISA GENERICO; GEOMETRIA: TIPO WAFER | TIPO SEMILUG | A FARFALLA; DIAMETRO NOMINALE (Ø) [MM] = 65; PRESSIONE NOMINALE [BAR] = 16. INCLUSO: GUARNIZIONE DI GOMMA EPDM; FARFALLA DI LEGA FERROSA GHISA SFEROIDALE CON FINITURA DI PLASTICA POLIAMMIDE - NYLON (PA) (RILSAN). 
SPECIFICHE TECNICHE: VALVOLA CON: CORPO DI LEGA FERROSA GHISA SFEROIDALE, STELO DI LEGA FERROSA ACCIAIO INOX, LEVA DI LEGA ALLUMINIO GENERICO. 
RM VALVOLA A COMANDO MANUALE A LEVA DI LEGA FERROSA GHISA GENERICO; GEOMETRIA: TIPO WAFER | TIPO SEMILUG | A FARFALLA; DIAMETRO NOMINALE (Ø) [MM] = 65; PRESSIONE NOMINALE [BAR] = 16. INCLUSO: GUARNIZIONE DI GOMMA EPDM; FARFALLA DI LEGA FERROSA GHISA SFEROIDALE CON FINITURA DI PLASTICA POLIAMMIDE - NYLON (PA) (RILSAN) 
SPECIFICHE TECNICHE: VALVOLA CON: CORPO DI LEGA FERROSA GHISA SFEROIDALE, STELO DI LEGA FERROSA ACCIAIO INOX, LEVA DI LEGA ALLUMINIO GENERICO 
LV POSA.</t>
        </is>
      </c>
      <c r="M285" s="4" t="inlineStr">
        <is>
          <t>CAD</t>
        </is>
      </c>
      <c r="N285" s="5" t="n">
        <v>19</v>
      </c>
      <c r="O285" s="45" t="n">
        <v>110.29</v>
      </c>
      <c r="P285" s="45" t="n">
        <v>2095.51</v>
      </c>
      <c r="Q285" s="5" t="n"/>
      <c r="R285" s="6" t="n"/>
      <c r="S285" s="6">
        <f>IF(AND(Q285&lt;&gt;"",R285&lt;&gt;""),Q285*R285,"")</f>
        <v/>
      </c>
      <c r="T285" s="45">
        <f>IF(S285="",P285,S285)</f>
        <v/>
      </c>
      <c r="U285" s="7" t="n">
        <v>0</v>
      </c>
      <c r="V285" s="6">
        <f>$T285*U285</f>
        <v/>
      </c>
      <c r="W285" s="7" t="n">
        <v>0.4</v>
      </c>
      <c r="X285" s="6">
        <f>$T285*W285</f>
        <v/>
      </c>
      <c r="Y285" s="7" t="n">
        <v>0</v>
      </c>
      <c r="Z285" s="6">
        <f>$T285*Y285</f>
        <v/>
      </c>
      <c r="AA285" s="7" t="n">
        <v>0</v>
      </c>
      <c r="AB285" s="6">
        <f>$T285*AA285</f>
        <v/>
      </c>
      <c r="AC285" s="7" t="n">
        <v>0</v>
      </c>
      <c r="AD285" s="6">
        <f>$T285*AC285</f>
        <v/>
      </c>
      <c r="AE285" s="7" t="n">
        <v>0</v>
      </c>
      <c r="AF285" s="6">
        <f>$T285*AE285</f>
        <v/>
      </c>
      <c r="AG285" s="7" t="n">
        <v>0</v>
      </c>
      <c r="AH285" s="6">
        <f>$T285*AG285</f>
        <v/>
      </c>
      <c r="AI285" s="7">
        <f>U285+W285+Y285+AA285+AC285+AE285+AG285</f>
        <v/>
      </c>
      <c r="AJ285" s="6">
        <f>V285+X285+Z285+AB285+AD285+AF285+AH285</f>
        <v/>
      </c>
    </row>
    <row r="286" ht="60" customHeight="1" s="46">
      <c r="A286" s="3" t="inlineStr">
        <is>
          <t>LOM251.OC.EEA.PA02.I9762.ZB015.0090</t>
        </is>
      </c>
      <c r="B286" s="4" t="inlineStr">
        <is>
          <t>1/1</t>
        </is>
      </c>
      <c r="C286" s="3" t="inlineStr">
        <is>
          <t>IMPIANTO MECCANICO</t>
        </is>
      </c>
      <c r="D286" s="4" t="inlineStr">
        <is>
          <t>SPECIALE</t>
        </is>
      </c>
      <c r="E286" s="4" t="inlineStr">
        <is>
          <t>MECCANICHE SPECIALI</t>
        </is>
      </c>
      <c r="F286" s="3" t="inlineStr">
        <is>
          <t>2_CME_TOTALE MECCANICI RADIOFARMACIA PAVIA.PDF</t>
        </is>
      </c>
      <c r="G286" s="4" t="inlineStr">
        <is>
          <t>38/38</t>
        </is>
      </c>
      <c r="H286" s="3" t="inlineStr">
        <is>
          <t>40 - IMPIANTISTICO</t>
        </is>
      </c>
      <c r="I286" s="3" t="inlineStr">
        <is>
          <t>CENTRALE</t>
        </is>
      </c>
      <c r="J286" s="3" t="inlineStr">
        <is>
          <t>IMPIANTO HVAC</t>
        </is>
      </c>
      <c r="K286" s="3" t="inlineStr">
        <is>
          <t>OPERA: VALVOLA, A COMANDO MANUALE A LEVA DI MATERIALE MIX ACCIAIO AL CARBONIO-ACCIAIO INOX; GEOMETRIA: A CORPO PIATTO | TIPO WAFER | A PASSAGGIO TOTALE | A SFERA; DIAMETRO NOMINALE (Ø) [MM] = 15; PRES</t>
        </is>
      </c>
      <c r="L286" s="3" t="inlineStr">
        <is>
          <t>OPERA: VALVOLA, A COMANDO MANUALE A LEVA DI MATERIALE MIX ACCIAIO AL CARBONIO-ACCIAIO INOX; GEOMETRIA: A CORPO PIATTO | TIPO WAFER | A PASSAGGIO TOTALE | A SFERA; DIAMETRO NOMINALE (Ø) [MM] = 15;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15;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15;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86" s="4" t="inlineStr">
        <is>
          <t>CAD</t>
        </is>
      </c>
      <c r="N286" s="5" t="n">
        <v>60</v>
      </c>
      <c r="O286" s="45" t="n">
        <v>26.09</v>
      </c>
      <c r="P286" s="45" t="n">
        <v>1565.4</v>
      </c>
      <c r="Q286" s="5" t="n"/>
      <c r="R286" s="6" t="n"/>
      <c r="S286" s="6">
        <f>IF(AND(Q286&lt;&gt;"",R286&lt;&gt;""),Q286*R286,"")</f>
        <v/>
      </c>
      <c r="T286" s="45">
        <f>IF(S286="",P286,S286)</f>
        <v/>
      </c>
      <c r="U286" s="7" t="n">
        <v>0</v>
      </c>
      <c r="V286" s="6">
        <f>$T286*U286</f>
        <v/>
      </c>
      <c r="W286" s="7" t="n">
        <v>0.4</v>
      </c>
      <c r="X286" s="6">
        <f>$T286*W286</f>
        <v/>
      </c>
      <c r="Y286" s="7" t="n">
        <v>0</v>
      </c>
      <c r="Z286" s="6">
        <f>$T286*Y286</f>
        <v/>
      </c>
      <c r="AA286" s="7" t="n">
        <v>0</v>
      </c>
      <c r="AB286" s="6">
        <f>$T286*AA286</f>
        <v/>
      </c>
      <c r="AC286" s="7" t="n">
        <v>0</v>
      </c>
      <c r="AD286" s="6">
        <f>$T286*AC286</f>
        <v/>
      </c>
      <c r="AE286" s="7" t="n">
        <v>0</v>
      </c>
      <c r="AF286" s="6">
        <f>$T286*AE286</f>
        <v/>
      </c>
      <c r="AG286" s="7" t="n">
        <v>0</v>
      </c>
      <c r="AH286" s="6">
        <f>$T286*AG286</f>
        <v/>
      </c>
      <c r="AI286" s="7">
        <f>U286+W286+Y286+AA286+AC286+AE286+AG286</f>
        <v/>
      </c>
      <c r="AJ286" s="6">
        <f>V286+X286+Z286+AB286+AD286+AF286+AH286</f>
        <v/>
      </c>
    </row>
    <row r="287" ht="60" customHeight="1" s="46">
      <c r="A287" s="3" t="inlineStr">
        <is>
          <t>LOM251.OC.EEA.PA02.I9762.ZB015.0095</t>
        </is>
      </c>
      <c r="B287" s="4" t="inlineStr">
        <is>
          <t>1/1</t>
        </is>
      </c>
      <c r="C287" s="3" t="inlineStr">
        <is>
          <t>IMPIANTO MECCANICO</t>
        </is>
      </c>
      <c r="D287" s="4" t="inlineStr">
        <is>
          <t>SPECIALE</t>
        </is>
      </c>
      <c r="E287" s="4" t="inlineStr">
        <is>
          <t>MECCANICHE SPECIALI</t>
        </is>
      </c>
      <c r="F287" s="3" t="inlineStr">
        <is>
          <t>2_CME_TOTALE MECCANICI RADIOFARMACIA PAVIA.PDF</t>
        </is>
      </c>
      <c r="G287" s="4" t="inlineStr">
        <is>
          <t>39/39</t>
        </is>
      </c>
      <c r="H287" s="3" t="inlineStr">
        <is>
          <t>40 - IMPIANTISTICO</t>
        </is>
      </c>
      <c r="I287" s="3" t="inlineStr">
        <is>
          <t>CENTRALE</t>
        </is>
      </c>
      <c r="J287" s="3" t="inlineStr">
        <is>
          <t>IMPIANTO HVAC</t>
        </is>
      </c>
      <c r="K287" s="3" t="inlineStr">
        <is>
          <t>OPERA: VALVOLA, A COMANDO MANUALE A LEVA DI MATERIALE MIX ACCIAIO AL CARBONIO-ACCIAIO INOX; GEOMETRIA: A CORPO PIATTO | TIPO WAFER | A PASSAGGIO TOTALE | A SFERA; DIAMETRO NOMINALE (Ø) [MM] = 20; PRES</t>
        </is>
      </c>
      <c r="L287" s="3" t="inlineStr">
        <is>
          <t>OPERA: VALVOLA, A COMANDO MANUALE A LEVA DI MATERIALE MIX ACCIAIO AL CARBONIO-ACCIAIO INOX; GEOMETRIA: A CORPO PIATTO | TIPO WAFER | A PASSAGGIO TOTALE | A SFERA; DIAMETRO NOMINALE (Ø) [MM] = 20;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20;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20;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87" s="4" t="inlineStr">
        <is>
          <t>CAD</t>
        </is>
      </c>
      <c r="N287" s="5" t="n">
        <v>10</v>
      </c>
      <c r="O287" s="45" t="n">
        <v>27.64</v>
      </c>
      <c r="P287" s="45" t="n">
        <v>276.4</v>
      </c>
      <c r="Q287" s="5" t="n"/>
      <c r="R287" s="6" t="n"/>
      <c r="S287" s="6">
        <f>IF(AND(Q287&lt;&gt;"",R287&lt;&gt;""),Q287*R287,"")</f>
        <v/>
      </c>
      <c r="T287" s="45">
        <f>IF(S287="",P287,S287)</f>
        <v/>
      </c>
      <c r="U287" s="7" t="n">
        <v>0</v>
      </c>
      <c r="V287" s="6">
        <f>$T287*U287</f>
        <v/>
      </c>
      <c r="W287" s="7" t="n">
        <v>0.4</v>
      </c>
      <c r="X287" s="6">
        <f>$T287*W287</f>
        <v/>
      </c>
      <c r="Y287" s="7" t="n">
        <v>0</v>
      </c>
      <c r="Z287" s="6">
        <f>$T287*Y287</f>
        <v/>
      </c>
      <c r="AA287" s="7" t="n">
        <v>0</v>
      </c>
      <c r="AB287" s="6">
        <f>$T287*AA287</f>
        <v/>
      </c>
      <c r="AC287" s="7" t="n">
        <v>0</v>
      </c>
      <c r="AD287" s="6">
        <f>$T287*AC287</f>
        <v/>
      </c>
      <c r="AE287" s="7" t="n">
        <v>0</v>
      </c>
      <c r="AF287" s="6">
        <f>$T287*AE287</f>
        <v/>
      </c>
      <c r="AG287" s="7" t="n">
        <v>0</v>
      </c>
      <c r="AH287" s="6">
        <f>$T287*AG287</f>
        <v/>
      </c>
      <c r="AI287" s="7">
        <f>U287+W287+Y287+AA287+AC287+AE287+AG287</f>
        <v/>
      </c>
      <c r="AJ287" s="6">
        <f>V287+X287+Z287+AB287+AD287+AF287+AH287</f>
        <v/>
      </c>
    </row>
    <row r="288" ht="60" customHeight="1" s="46">
      <c r="A288" s="3" t="inlineStr">
        <is>
          <t>LOM251.OC.EEA.PA02.I9762.ZB015.0100</t>
        </is>
      </c>
      <c r="B288" s="4" t="inlineStr">
        <is>
          <t>1/1</t>
        </is>
      </c>
      <c r="C288" s="3" t="inlineStr">
        <is>
          <t>IMPIANTO MECCANICO</t>
        </is>
      </c>
      <c r="D288" s="4" t="inlineStr">
        <is>
          <t>SPECIALE</t>
        </is>
      </c>
      <c r="E288" s="4" t="inlineStr">
        <is>
          <t>MECCANICHE SPECIALI</t>
        </is>
      </c>
      <c r="F288" s="3" t="inlineStr">
        <is>
          <t>2_CME_TOTALE MECCANICI RADIOFARMACIA PAVIA.PDF</t>
        </is>
      </c>
      <c r="G288" s="4" t="inlineStr">
        <is>
          <t>40/40</t>
        </is>
      </c>
      <c r="H288" s="3" t="inlineStr">
        <is>
          <t>40 - IMPIANTISTICO</t>
        </is>
      </c>
      <c r="I288" s="3" t="inlineStr">
        <is>
          <t>CENTRALE</t>
        </is>
      </c>
      <c r="J288" s="3" t="inlineStr">
        <is>
          <t>IMPIANTO HVAC</t>
        </is>
      </c>
      <c r="K288" s="3" t="inlineStr">
        <is>
          <t>OPERA: VALVOLA, A COMANDO MANUALE A LEVA DI MATERIALE MIX ACCIAIO AL CARBONIO-ACCIAIO INOX; GEOMETRIA: A CORPO PIATTO | TIPO WAFER | A PASSAGGIO TOTALE | A SFERA; DIAMETRO NOMINALE (Ø) [MM] = 25; PRES</t>
        </is>
      </c>
      <c r="L288" s="3" t="inlineStr">
        <is>
          <t>OPERA: VALVOLA, A COMANDO MANUALE A LEVA DI MATERIALE MIX ACCIAIO AL CARBONIO-ACCIAIO INOX; GEOMETRIA: A CORPO PIATTO | TIPO WAFER | A PASSAGGIO TOTALE | A SFERA; DIAMETRO NOMINALE (Ø) [MM] = 25;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25;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25;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88" s="4" t="inlineStr">
        <is>
          <t>CAD</t>
        </is>
      </c>
      <c r="N288" s="5" t="n">
        <v>20</v>
      </c>
      <c r="O288" s="45" t="n">
        <v>42.1</v>
      </c>
      <c r="P288" s="45" t="n">
        <v>842</v>
      </c>
      <c r="Q288" s="5" t="n"/>
      <c r="R288" s="6" t="n"/>
      <c r="S288" s="6">
        <f>IF(AND(Q288&lt;&gt;"",R288&lt;&gt;""),Q288*R288,"")</f>
        <v/>
      </c>
      <c r="T288" s="45">
        <f>IF(S288="",P288,S288)</f>
        <v/>
      </c>
      <c r="U288" s="7" t="n">
        <v>0</v>
      </c>
      <c r="V288" s="6">
        <f>$T288*U288</f>
        <v/>
      </c>
      <c r="W288" s="7" t="n">
        <v>0.4</v>
      </c>
      <c r="X288" s="6">
        <f>$T288*W288</f>
        <v/>
      </c>
      <c r="Y288" s="7" t="n">
        <v>0</v>
      </c>
      <c r="Z288" s="6">
        <f>$T288*Y288</f>
        <v/>
      </c>
      <c r="AA288" s="7" t="n">
        <v>0</v>
      </c>
      <c r="AB288" s="6">
        <f>$T288*AA288</f>
        <v/>
      </c>
      <c r="AC288" s="7" t="n">
        <v>0</v>
      </c>
      <c r="AD288" s="6">
        <f>$T288*AC288</f>
        <v/>
      </c>
      <c r="AE288" s="7" t="n">
        <v>0</v>
      </c>
      <c r="AF288" s="6">
        <f>$T288*AE288</f>
        <v/>
      </c>
      <c r="AG288" s="7" t="n">
        <v>0</v>
      </c>
      <c r="AH288" s="6">
        <f>$T288*AG288</f>
        <v/>
      </c>
      <c r="AI288" s="7">
        <f>U288+W288+Y288+AA288+AC288+AE288+AG288</f>
        <v/>
      </c>
      <c r="AJ288" s="6">
        <f>V288+X288+Z288+AB288+AD288+AF288+AH288</f>
        <v/>
      </c>
    </row>
    <row r="289" ht="60" customHeight="1" s="46">
      <c r="A289" s="3" t="inlineStr">
        <is>
          <t>LOM251.OC.EEA.PA02.I9762.ZB015.0105</t>
        </is>
      </c>
      <c r="B289" s="4" t="inlineStr">
        <is>
          <t>1/1</t>
        </is>
      </c>
      <c r="C289" s="3" t="inlineStr">
        <is>
          <t>IMPIANTO MECCANICO</t>
        </is>
      </c>
      <c r="D289" s="4" t="inlineStr">
        <is>
          <t>SPECIALE</t>
        </is>
      </c>
      <c r="E289" s="4" t="inlineStr">
        <is>
          <t>MECCANICHE SPECIALI</t>
        </is>
      </c>
      <c r="F289" s="3" t="inlineStr">
        <is>
          <t>2_CME_TOTALE MECCANICI RADIOFARMACIA PAVIA.PDF</t>
        </is>
      </c>
      <c r="G289" s="4" t="inlineStr">
        <is>
          <t>41/41</t>
        </is>
      </c>
      <c r="H289" s="3" t="inlineStr">
        <is>
          <t>40 - IMPIANTISTICO</t>
        </is>
      </c>
      <c r="I289" s="3" t="inlineStr">
        <is>
          <t>CENTRALE</t>
        </is>
      </c>
      <c r="J289" s="3" t="inlineStr">
        <is>
          <t>IMPIANTO HVAC</t>
        </is>
      </c>
      <c r="K289" s="3" t="inlineStr">
        <is>
          <t>OPERA: VALVOLA, A COMANDO MANUALE A LEVA DI MATERIALE MIX ACCIAIO AL CARBONIO-ACCIAIO INOX; GEOMETRIA: A CORPO PIATTO | TIPO WAFER | A PASSAGGIO TOTALE | A SFERA; DIAMETRO NOMINALE (Ø) [MM] = 32; PRES</t>
        </is>
      </c>
      <c r="L289" s="3" t="inlineStr">
        <is>
          <t>OPERA: VALVOLA, A COMANDO MANUALE A LEVA DI MATERIALE MIX ACCIAIO AL CARBONIO-ACCIAIO INOX; GEOMETRIA: A CORPO PIATTO | TIPO WAFER | A PASSAGGIO TOTALE | A SFERA; DIAMETRO NOMINALE (Ø) [MM] = 32;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32;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32;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89" s="4" t="inlineStr">
        <is>
          <t>CAD</t>
        </is>
      </c>
      <c r="N289" s="5" t="n">
        <v>5</v>
      </c>
      <c r="O289" s="45" t="n">
        <v>53.96</v>
      </c>
      <c r="P289" s="45" t="n">
        <v>269.8</v>
      </c>
      <c r="Q289" s="5" t="n"/>
      <c r="R289" s="6" t="n"/>
      <c r="S289" s="6">
        <f>IF(AND(Q289&lt;&gt;"",R289&lt;&gt;""),Q289*R289,"")</f>
        <v/>
      </c>
      <c r="T289" s="45">
        <f>IF(S289="",P289,S289)</f>
        <v/>
      </c>
      <c r="U289" s="7" t="n">
        <v>0</v>
      </c>
      <c r="V289" s="6">
        <f>$T289*U289</f>
        <v/>
      </c>
      <c r="W289" s="7" t="n">
        <v>0.4</v>
      </c>
      <c r="X289" s="6">
        <f>$T289*W289</f>
        <v/>
      </c>
      <c r="Y289" s="7" t="n">
        <v>0</v>
      </c>
      <c r="Z289" s="6">
        <f>$T289*Y289</f>
        <v/>
      </c>
      <c r="AA289" s="7" t="n">
        <v>0</v>
      </c>
      <c r="AB289" s="6">
        <f>$T289*AA289</f>
        <v/>
      </c>
      <c r="AC289" s="7" t="n">
        <v>0</v>
      </c>
      <c r="AD289" s="6">
        <f>$T289*AC289</f>
        <v/>
      </c>
      <c r="AE289" s="7" t="n">
        <v>0</v>
      </c>
      <c r="AF289" s="6">
        <f>$T289*AE289</f>
        <v/>
      </c>
      <c r="AG289" s="7" t="n">
        <v>0</v>
      </c>
      <c r="AH289" s="6">
        <f>$T289*AG289</f>
        <v/>
      </c>
      <c r="AI289" s="7">
        <f>U289+W289+Y289+AA289+AC289+AE289+AG289</f>
        <v/>
      </c>
      <c r="AJ289" s="6">
        <f>V289+X289+Z289+AB289+AD289+AF289+AH289</f>
        <v/>
      </c>
    </row>
    <row r="290" ht="60" customHeight="1" s="46">
      <c r="A290" s="3" t="inlineStr">
        <is>
          <t>LOM251.OC.EEA.PA02.I9762.ZB015.0110</t>
        </is>
      </c>
      <c r="B290" s="4" t="inlineStr">
        <is>
          <t>2/2</t>
        </is>
      </c>
      <c r="C290" s="3" t="inlineStr">
        <is>
          <t>IMPIANTO MECCANICO</t>
        </is>
      </c>
      <c r="D290" s="4" t="inlineStr">
        <is>
          <t>SPECIALE</t>
        </is>
      </c>
      <c r="E290" s="4" t="inlineStr">
        <is>
          <t>MECCANICHE SPECIALI</t>
        </is>
      </c>
      <c r="F290" s="3" t="inlineStr">
        <is>
          <t>2_CME_TOTALE MECCANICI RADIOFARMACIA PAVIA.PDF</t>
        </is>
      </c>
      <c r="G290" s="4" t="inlineStr">
        <is>
          <t>42/42</t>
        </is>
      </c>
      <c r="H290" s="3" t="inlineStr">
        <is>
          <t>40 - IMPIANTISTICO</t>
        </is>
      </c>
      <c r="I290" s="3" t="inlineStr">
        <is>
          <t>CENTRALE</t>
        </is>
      </c>
      <c r="J290" s="3" t="inlineStr">
        <is>
          <t>IMPIANTO HVAC</t>
        </is>
      </c>
      <c r="K290" s="3" t="inlineStr">
        <is>
          <t>OPERA: VALVOLA, A COMANDO MANUALE A LEVA DI MATERIALE MIX ACCIAIO AL CARBONIO-ACCIAIO INOX; GEOMETRIA: A CORPO PIATTO | TIPO WAFER | A PASSAGGIO TOTALE | A SFERA; DIAMETRO NOMINALE (Ø) [MM] = 40; PRES</t>
        </is>
      </c>
      <c r="L290" s="3" t="inlineStr">
        <is>
          <t>OPERA: VALVOLA, A COMANDO MANUALE A LEVA DI MATERIALE MIX ACCIAIO AL CARBONIO-ACCIAIO INOX; GEOMETRIA: A CORPO PIATTO | TIPO WAFER | A PASSAGGIO TOTALE | A SFERA; DIAMETRO NOMINALE (Ø) [MM] = 40;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40;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40;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90" s="4" t="inlineStr">
        <is>
          <t>CAD</t>
        </is>
      </c>
      <c r="N290" s="5" t="n">
        <v>13</v>
      </c>
      <c r="O290" s="45" t="n">
        <v>75.90000000000001</v>
      </c>
      <c r="P290" s="45" t="n">
        <v>986.7</v>
      </c>
      <c r="Q290" s="5" t="n"/>
      <c r="R290" s="6" t="n"/>
      <c r="S290" s="6">
        <f>IF(AND(Q290&lt;&gt;"",R290&lt;&gt;""),Q290*R290,"")</f>
        <v/>
      </c>
      <c r="T290" s="45">
        <f>IF(S290="",P290,S290)</f>
        <v/>
      </c>
      <c r="U290" s="7" t="n">
        <v>0</v>
      </c>
      <c r="V290" s="6">
        <f>$T290*U290</f>
        <v/>
      </c>
      <c r="W290" s="7" t="n">
        <v>0.4</v>
      </c>
      <c r="X290" s="6">
        <f>$T290*W290</f>
        <v/>
      </c>
      <c r="Y290" s="7" t="n">
        <v>0</v>
      </c>
      <c r="Z290" s="6">
        <f>$T290*Y290</f>
        <v/>
      </c>
      <c r="AA290" s="7" t="n">
        <v>0</v>
      </c>
      <c r="AB290" s="6">
        <f>$T290*AA290</f>
        <v/>
      </c>
      <c r="AC290" s="7" t="n">
        <v>0</v>
      </c>
      <c r="AD290" s="6">
        <f>$T290*AC290</f>
        <v/>
      </c>
      <c r="AE290" s="7" t="n">
        <v>0</v>
      </c>
      <c r="AF290" s="6">
        <f>$T290*AE290</f>
        <v/>
      </c>
      <c r="AG290" s="7" t="n">
        <v>0</v>
      </c>
      <c r="AH290" s="6">
        <f>$T290*AG290</f>
        <v/>
      </c>
      <c r="AI290" s="7">
        <f>U290+W290+Y290+AA290+AC290+AE290+AG290</f>
        <v/>
      </c>
      <c r="AJ290" s="6">
        <f>V290+X290+Z290+AB290+AD290+AF290+AH290</f>
        <v/>
      </c>
    </row>
    <row r="291" ht="60" customHeight="1" s="46">
      <c r="A291" s="3" t="inlineStr">
        <is>
          <t>LOM251.OC.EEA.PA02.I9762.ZB015.0115</t>
        </is>
      </c>
      <c r="B291" s="4" t="inlineStr">
        <is>
          <t>1/1</t>
        </is>
      </c>
      <c r="C291" s="3" t="inlineStr">
        <is>
          <t>IMPIANTO MECCANICO</t>
        </is>
      </c>
      <c r="D291" s="4" t="inlineStr">
        <is>
          <t>SPECIALE</t>
        </is>
      </c>
      <c r="E291" s="4" t="inlineStr">
        <is>
          <t>MECCANICHE SPECIALI</t>
        </is>
      </c>
      <c r="F291" s="3" t="inlineStr">
        <is>
          <t>2_CME_TOTALE MECCANICI RADIOFARMACIA PAVIA.PDF</t>
        </is>
      </c>
      <c r="G291" s="4" t="inlineStr">
        <is>
          <t>43/43</t>
        </is>
      </c>
      <c r="H291" s="3" t="inlineStr">
        <is>
          <t>40 - IMPIANTISTICO</t>
        </is>
      </c>
      <c r="I291" s="3" t="inlineStr">
        <is>
          <t>CENTRALE</t>
        </is>
      </c>
      <c r="J291" s="3" t="inlineStr">
        <is>
          <t>IMPIANTO HVAC</t>
        </is>
      </c>
      <c r="K291" s="3" t="inlineStr">
        <is>
          <t>OPERA: VALVOLA, A COMANDO MANUALE A LEVA DI MATERIALE MIX ACCIAIO AL CARBONIO-ACCIAIO INOX; GEOMETRIA: A CORPO PIATTO | TIPO WAFER | A PASSAGGIO TOTALE | A SFERA; DIAMETRO NOMINALE (Ø) [MM] = 50; PRES</t>
        </is>
      </c>
      <c r="L291" s="3" t="inlineStr">
        <is>
          <t>OPERA: VALVOLA, A COMANDO MANUALE A LEVA DI MATERIALE MIX ACCIAIO AL CARBONIO-ACCIAIO INOX; GEOMETRIA: A CORPO PIATTO | TIPO WAFER | A PASSAGGIO TOTALE | A SFERA; DIAMETRO NOMINALE (Ø) [MM] = 50;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50;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50;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91" s="4" t="inlineStr">
        <is>
          <t>CAD</t>
        </is>
      </c>
      <c r="N291" s="5" t="n">
        <v>16</v>
      </c>
      <c r="O291" s="45" t="n">
        <v>103.77</v>
      </c>
      <c r="P291" s="45" t="n">
        <v>1660.32</v>
      </c>
      <c r="Q291" s="5" t="n"/>
      <c r="R291" s="6" t="n"/>
      <c r="S291" s="6">
        <f>IF(AND(Q291&lt;&gt;"",R291&lt;&gt;""),Q291*R291,"")</f>
        <v/>
      </c>
      <c r="T291" s="45">
        <f>IF(S291="",P291,S291)</f>
        <v/>
      </c>
      <c r="U291" s="7" t="n">
        <v>0</v>
      </c>
      <c r="V291" s="6">
        <f>$T291*U291</f>
        <v/>
      </c>
      <c r="W291" s="7" t="n">
        <v>0.4</v>
      </c>
      <c r="X291" s="6">
        <f>$T291*W291</f>
        <v/>
      </c>
      <c r="Y291" s="7" t="n">
        <v>0</v>
      </c>
      <c r="Z291" s="6">
        <f>$T291*Y291</f>
        <v/>
      </c>
      <c r="AA291" s="7" t="n">
        <v>0</v>
      </c>
      <c r="AB291" s="6">
        <f>$T291*AA291</f>
        <v/>
      </c>
      <c r="AC291" s="7" t="n">
        <v>0</v>
      </c>
      <c r="AD291" s="6">
        <f>$T291*AC291</f>
        <v/>
      </c>
      <c r="AE291" s="7" t="n">
        <v>0</v>
      </c>
      <c r="AF291" s="6">
        <f>$T291*AE291</f>
        <v/>
      </c>
      <c r="AG291" s="7" t="n">
        <v>0</v>
      </c>
      <c r="AH291" s="6">
        <f>$T291*AG291</f>
        <v/>
      </c>
      <c r="AI291" s="7">
        <f>U291+W291+Y291+AA291+AC291+AE291+AG291</f>
        <v/>
      </c>
      <c r="AJ291" s="6">
        <f>V291+X291+Z291+AB291+AD291+AF291+AH291</f>
        <v/>
      </c>
    </row>
    <row r="292" ht="60" customHeight="1" s="46">
      <c r="A292" s="3" t="inlineStr">
        <is>
          <t>LOM251.OC.EEA.PA02.I7425.E0004.0035</t>
        </is>
      </c>
      <c r="B292" s="4" t="inlineStr">
        <is>
          <t>1/1</t>
        </is>
      </c>
      <c r="C292" s="3" t="inlineStr">
        <is>
          <t>IMPIANTO MECCANICO</t>
        </is>
      </c>
      <c r="D292" s="4" t="inlineStr">
        <is>
          <t>SPECIALE</t>
        </is>
      </c>
      <c r="E292" s="4" t="inlineStr">
        <is>
          <t>MECCANICHE SPECIALI</t>
        </is>
      </c>
      <c r="F292" s="3" t="inlineStr">
        <is>
          <t>2_CME_TOTALE MECCANICI RADIOFARMACIA PAVIA.PDF</t>
        </is>
      </c>
      <c r="G292" s="4" t="inlineStr">
        <is>
          <t>44/44</t>
        </is>
      </c>
      <c r="H292" s="3" t="inlineStr">
        <is>
          <t>40 - IMPIANTISTICO</t>
        </is>
      </c>
      <c r="I292" s="3" t="inlineStr">
        <is>
          <t>CENTRALE</t>
        </is>
      </c>
      <c r="J292" s="3" t="inlineStr">
        <is>
          <t>IMPIANTO HVAC</t>
        </is>
      </c>
      <c r="K292" s="3" t="inlineStr">
        <is>
          <t xml:space="preserve">OPERA: GIUNTO ANTIVIBRANTE DI GOMMA EPDM; GEOMETRIA: ATTACCHI FLANGIATI; FUNZIONE: SMORZAMENTO VIBRAZIONI; IMPIEGO: TUBAZIONE; DIAMETRO NOMINALE (Ø) [MM] = 100; PRESSIONE NOMINALE [BAR] ≤ 10. </t>
        </is>
      </c>
      <c r="L292" s="3" t="inlineStr">
        <is>
          <t>OPERA: GIUNTO ANTIVIBRANTE DI GOMMA EPDM; GEOMETRIA: ATTACCHI FLANGIATI; FUNZIONE: SMORZAMENTO VIBRAZIONI; IMPIEGO: TUBAZIONE; DIAMETRO NOMINALE (Ø) [MM] = 100;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100;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100; PRESSIONE NOMINALE [BAR] ≤ 10 
SPECIFICHE TECNICHE: CORPO DI GOMMA EPDM; ANIMA DI LEGA FERROSA ACCIAIO GENERICO; BULLONI DI LEGA FERROSA ACCIAIO GENERICO 
LV POSA.</t>
        </is>
      </c>
      <c r="M292" s="4" t="inlineStr">
        <is>
          <t>CAD</t>
        </is>
      </c>
      <c r="N292" s="5" t="n">
        <v>6</v>
      </c>
      <c r="O292" s="45" t="n">
        <v>154.16</v>
      </c>
      <c r="P292" s="45" t="n">
        <v>924.96</v>
      </c>
      <c r="Q292" s="5" t="n"/>
      <c r="R292" s="6" t="n"/>
      <c r="S292" s="6">
        <f>IF(AND(Q292&lt;&gt;"",R292&lt;&gt;""),Q292*R292,"")</f>
        <v/>
      </c>
      <c r="T292" s="45">
        <f>IF(S292="",P292,S292)</f>
        <v/>
      </c>
      <c r="U292" s="7" t="n">
        <v>0</v>
      </c>
      <c r="V292" s="6">
        <f>$T292*U292</f>
        <v/>
      </c>
      <c r="W292" s="7" t="n">
        <v>0.4</v>
      </c>
      <c r="X292" s="6">
        <f>$T292*W292</f>
        <v/>
      </c>
      <c r="Y292" s="7" t="n">
        <v>0</v>
      </c>
      <c r="Z292" s="6">
        <f>$T292*Y292</f>
        <v/>
      </c>
      <c r="AA292" s="7" t="n">
        <v>0</v>
      </c>
      <c r="AB292" s="6">
        <f>$T292*AA292</f>
        <v/>
      </c>
      <c r="AC292" s="7" t="n">
        <v>0</v>
      </c>
      <c r="AD292" s="6">
        <f>$T292*AC292</f>
        <v/>
      </c>
      <c r="AE292" s="7" t="n">
        <v>0</v>
      </c>
      <c r="AF292" s="6">
        <f>$T292*AE292</f>
        <v/>
      </c>
      <c r="AG292" s="7" t="n">
        <v>0</v>
      </c>
      <c r="AH292" s="6">
        <f>$T292*AG292</f>
        <v/>
      </c>
      <c r="AI292" s="7">
        <f>U292+W292+Y292+AA292+AC292+AE292+AG292</f>
        <v/>
      </c>
      <c r="AJ292" s="6">
        <f>V292+X292+Z292+AB292+AD292+AF292+AH292</f>
        <v/>
      </c>
    </row>
    <row r="293" ht="60" customHeight="1" s="46">
      <c r="A293" s="3" t="inlineStr">
        <is>
          <t>LOM251.OC.EEA.PA02.I7425.E0004.0030</t>
        </is>
      </c>
      <c r="B293" s="4" t="inlineStr">
        <is>
          <t>1/1</t>
        </is>
      </c>
      <c r="C293" s="3" t="inlineStr">
        <is>
          <t>IMPIANTO MECCANICO</t>
        </is>
      </c>
      <c r="D293" s="4" t="inlineStr">
        <is>
          <t>SPECIALE</t>
        </is>
      </c>
      <c r="E293" s="4" t="inlineStr">
        <is>
          <t>MECCANICHE SPECIALI</t>
        </is>
      </c>
      <c r="F293" s="3" t="inlineStr">
        <is>
          <t>2_CME_TOTALE MECCANICI RADIOFARMACIA PAVIA.PDF</t>
        </is>
      </c>
      <c r="G293" s="4" t="inlineStr">
        <is>
          <t>45/45</t>
        </is>
      </c>
      <c r="H293" s="3" t="inlineStr">
        <is>
          <t>40 - IMPIANTISTICO</t>
        </is>
      </c>
      <c r="I293" s="3" t="inlineStr">
        <is>
          <t>CENTRALE</t>
        </is>
      </c>
      <c r="J293" s="3" t="inlineStr">
        <is>
          <t>IMPIANTO HVAC</t>
        </is>
      </c>
      <c r="K293" s="3" t="inlineStr">
        <is>
          <t xml:space="preserve">OPERA: GIUNTO ANTIVIBRANTE DI GOMMA EPDM; GEOMETRIA: ATTACCHI FLANGIATI; FUNZIONE: SMORZAMENTO VIBRAZIONI; IMPIEGO: TUBAZIONE; DIAMETRO NOMINALE (Ø) [MM] = 80; PRESSIONE NOMINALE [BAR] ≤ 10. </t>
        </is>
      </c>
      <c r="L293" s="3" t="inlineStr">
        <is>
          <t>OPERA: GIUNTO ANTIVIBRANTE DI GOMMA EPDM; GEOMETRIA: ATTACCHI FLANGIATI; FUNZIONE: SMORZAMENTO VIBRAZIONI; IMPIEGO: TUBAZIONE; DIAMETRO NOMINALE (Ø) [MM] = 80;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80;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80; PRESSIONE NOMINALE [BAR] ≤ 10 
SPECIFICHE TECNICHE: CORPO DI GOMMA EPDM; ANIMA DI LEGA FERROSA ACCIAIO GENERICO; BULLONI DI LEGA FERROSA ACCIAIO GENERICO 
LV POSA.</t>
        </is>
      </c>
      <c r="M293" s="4" t="inlineStr">
        <is>
          <t>CAD</t>
        </is>
      </c>
      <c r="N293" s="5" t="n">
        <v>4</v>
      </c>
      <c r="O293" s="45" t="n">
        <v>144.09</v>
      </c>
      <c r="P293" s="45" t="n">
        <v>576.36</v>
      </c>
      <c r="Q293" s="5" t="n"/>
      <c r="R293" s="6" t="n"/>
      <c r="S293" s="6">
        <f>IF(AND(Q293&lt;&gt;"",R293&lt;&gt;""),Q293*R293,"")</f>
        <v/>
      </c>
      <c r="T293" s="45">
        <f>IF(S293="",P293,S293)</f>
        <v/>
      </c>
      <c r="U293" s="7" t="n">
        <v>0</v>
      </c>
      <c r="V293" s="6">
        <f>$T293*U293</f>
        <v/>
      </c>
      <c r="W293" s="7" t="n">
        <v>0.4</v>
      </c>
      <c r="X293" s="6">
        <f>$T293*W293</f>
        <v/>
      </c>
      <c r="Y293" s="7" t="n">
        <v>0</v>
      </c>
      <c r="Z293" s="6">
        <f>$T293*Y293</f>
        <v/>
      </c>
      <c r="AA293" s="7" t="n">
        <v>0</v>
      </c>
      <c r="AB293" s="6">
        <f>$T293*AA293</f>
        <v/>
      </c>
      <c r="AC293" s="7" t="n">
        <v>0</v>
      </c>
      <c r="AD293" s="6">
        <f>$T293*AC293</f>
        <v/>
      </c>
      <c r="AE293" s="7" t="n">
        <v>0</v>
      </c>
      <c r="AF293" s="6">
        <f>$T293*AE293</f>
        <v/>
      </c>
      <c r="AG293" s="7" t="n">
        <v>0</v>
      </c>
      <c r="AH293" s="6">
        <f>$T293*AG293</f>
        <v/>
      </c>
      <c r="AI293" s="7">
        <f>U293+W293+Y293+AA293+AC293+AE293+AG293</f>
        <v/>
      </c>
      <c r="AJ293" s="6">
        <f>V293+X293+Z293+AB293+AD293+AF293+AH293</f>
        <v/>
      </c>
    </row>
    <row r="294" ht="60" customHeight="1" s="46">
      <c r="A294" s="3" t="inlineStr">
        <is>
          <t>LOM251.OC.EEA.PA02.I7425.E0004.0025</t>
        </is>
      </c>
      <c r="B294" s="4" t="inlineStr">
        <is>
          <t>1/1</t>
        </is>
      </c>
      <c r="C294" s="3" t="inlineStr">
        <is>
          <t>IMPIANTO MECCANICO</t>
        </is>
      </c>
      <c r="D294" s="4" t="inlineStr">
        <is>
          <t>SPECIALE</t>
        </is>
      </c>
      <c r="E294" s="4" t="inlineStr">
        <is>
          <t>MECCANICHE SPECIALI</t>
        </is>
      </c>
      <c r="F294" s="3" t="inlineStr">
        <is>
          <t>2_CME_TOTALE MECCANICI RADIOFARMACIA PAVIA.PDF</t>
        </is>
      </c>
      <c r="G294" s="4" t="inlineStr">
        <is>
          <t>46/46</t>
        </is>
      </c>
      <c r="H294" s="3" t="inlineStr">
        <is>
          <t>40 - IMPIANTISTICO</t>
        </is>
      </c>
      <c r="I294" s="3" t="inlineStr">
        <is>
          <t>CENTRALE</t>
        </is>
      </c>
      <c r="J294" s="3" t="inlineStr">
        <is>
          <t>IMPIANTO HVAC</t>
        </is>
      </c>
      <c r="K294" s="3" t="inlineStr">
        <is>
          <t xml:space="preserve">OPERA: GIUNTO ANTIVIBRANTE DI GOMMA EPDM; GEOMETRIA: ATTACCHI FLANGIATI; FUNZIONE: SMORZAMENTO VIBRAZIONI; IMPIEGO: TUBAZIONE; DIAMETRO NOMINALE (Ø) [MM] = 65; PRESSIONE NOMINALE [BAR] ≤ 10. </t>
        </is>
      </c>
      <c r="L294" s="3" t="inlineStr">
        <is>
          <t>OPERA: GIUNTO ANTIVIBRANTE DI GOMMA EPDM; GEOMETRIA: ATTACCHI FLANGIATI; FUNZIONE: SMORZAMENTO VIBRAZIONI; IMPIEGO: TUBAZIONE; DIAMETRO NOMINALE (Ø) [MM] = 65;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65;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65; PRESSIONE NOMINALE [BAR] ≤ 10 
SPECIFICHE TECNICHE: CORPO DI GOMMA EPDM; ANIMA DI LEGA FERROSA ACCIAIO GENERICO; BULLONI DI LEGA FERROSA ACCIAIO GENERICO 
LV POSA.</t>
        </is>
      </c>
      <c r="M294" s="4" t="inlineStr">
        <is>
          <t>CAD</t>
        </is>
      </c>
      <c r="N294" s="5" t="n">
        <v>6</v>
      </c>
      <c r="O294" s="45" t="n">
        <v>116.21</v>
      </c>
      <c r="P294" s="45" t="n">
        <v>697.26</v>
      </c>
      <c r="Q294" s="5" t="n"/>
      <c r="R294" s="6" t="n"/>
      <c r="S294" s="6">
        <f>IF(AND(Q294&lt;&gt;"",R294&lt;&gt;""),Q294*R294,"")</f>
        <v/>
      </c>
      <c r="T294" s="45">
        <f>IF(S294="",P294,S294)</f>
        <v/>
      </c>
      <c r="U294" s="7" t="n">
        <v>0</v>
      </c>
      <c r="V294" s="6">
        <f>$T294*U294</f>
        <v/>
      </c>
      <c r="W294" s="7" t="n">
        <v>0.4</v>
      </c>
      <c r="X294" s="6">
        <f>$T294*W294</f>
        <v/>
      </c>
      <c r="Y294" s="7" t="n">
        <v>0</v>
      </c>
      <c r="Z294" s="6">
        <f>$T294*Y294</f>
        <v/>
      </c>
      <c r="AA294" s="7" t="n">
        <v>0</v>
      </c>
      <c r="AB294" s="6">
        <f>$T294*AA294</f>
        <v/>
      </c>
      <c r="AC294" s="7" t="n">
        <v>0</v>
      </c>
      <c r="AD294" s="6">
        <f>$T294*AC294</f>
        <v/>
      </c>
      <c r="AE294" s="7" t="n">
        <v>0</v>
      </c>
      <c r="AF294" s="6">
        <f>$T294*AE294</f>
        <v/>
      </c>
      <c r="AG294" s="7" t="n">
        <v>0</v>
      </c>
      <c r="AH294" s="6">
        <f>$T294*AG294</f>
        <v/>
      </c>
      <c r="AI294" s="7">
        <f>U294+W294+Y294+AA294+AC294+AE294+AG294</f>
        <v/>
      </c>
      <c r="AJ294" s="6">
        <f>V294+X294+Z294+AB294+AD294+AF294+AH294</f>
        <v/>
      </c>
    </row>
    <row r="295" ht="60" customHeight="1" s="46">
      <c r="A295" s="3" t="inlineStr">
        <is>
          <t>LOM251.OC.EEA.PA02.I7425.E0004.0020</t>
        </is>
      </c>
      <c r="B295" s="4" t="inlineStr">
        <is>
          <t>1/1</t>
        </is>
      </c>
      <c r="C295" s="3" t="inlineStr">
        <is>
          <t>IMPIANTO MECCANICO</t>
        </is>
      </c>
      <c r="D295" s="4" t="inlineStr">
        <is>
          <t>SPECIALE</t>
        </is>
      </c>
      <c r="E295" s="4" t="inlineStr">
        <is>
          <t>MECCANICHE SPECIALI</t>
        </is>
      </c>
      <c r="F295" s="3" t="inlineStr">
        <is>
          <t>2_CME_TOTALE MECCANICI RADIOFARMACIA PAVIA.PDF</t>
        </is>
      </c>
      <c r="G295" s="4" t="inlineStr">
        <is>
          <t>47/47</t>
        </is>
      </c>
      <c r="H295" s="3" t="inlineStr">
        <is>
          <t>40 - IMPIANTISTICO</t>
        </is>
      </c>
      <c r="I295" s="3" t="inlineStr">
        <is>
          <t>CENTRALE</t>
        </is>
      </c>
      <c r="J295" s="3" t="inlineStr">
        <is>
          <t>IMPIANTO HVAC</t>
        </is>
      </c>
      <c r="K295" s="3" t="inlineStr">
        <is>
          <t xml:space="preserve">OPERA: GIUNTO ANTIVIBRANTE DI GOMMA EPDM; GEOMETRIA: ATTACCHI FLANGIATI; FUNZIONE: SMORZAMENTO VIBRAZIONI; IMPIEGO: TUBAZIONE; DIAMETRO NOMINALE (Ø) [MM] = 50; PRESSIONE NOMINALE [BAR] ≤ 10. </t>
        </is>
      </c>
      <c r="L295" s="3" t="inlineStr">
        <is>
          <t>OPERA: GIUNTO ANTIVIBRANTE DI GOMMA EPDM; GEOMETRIA: ATTACCHI FLANGIATI; FUNZIONE: SMORZAMENTO VIBRAZIONI; IMPIEGO: TUBAZIONE; DIAMETRO NOMINALE (Ø) [MM] = 50;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50;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50; PRESSIONE NOMINALE [BAR] ≤ 10 
SPECIFICHE TECNICHE: CORPO DI GOMMA EPDM; ANIMA DI LEGA FERROSA ACCIAIO GENERICO; BULLONI DI LEGA FERROSA ACCIAIO GENERICO 
LV POSA.</t>
        </is>
      </c>
      <c r="M295" s="4" t="inlineStr">
        <is>
          <t>CAD</t>
        </is>
      </c>
      <c r="N295" s="5" t="n">
        <v>4</v>
      </c>
      <c r="O295" s="45" t="n">
        <v>83.61</v>
      </c>
      <c r="P295" s="45" t="n">
        <v>334.44</v>
      </c>
      <c r="Q295" s="5" t="n"/>
      <c r="R295" s="6" t="n"/>
      <c r="S295" s="6">
        <f>IF(AND(Q295&lt;&gt;"",R295&lt;&gt;""),Q295*R295,"")</f>
        <v/>
      </c>
      <c r="T295" s="45">
        <f>IF(S295="",P295,S295)</f>
        <v/>
      </c>
      <c r="U295" s="7" t="n">
        <v>0</v>
      </c>
      <c r="V295" s="6">
        <f>$T295*U295</f>
        <v/>
      </c>
      <c r="W295" s="7" t="n">
        <v>0.4</v>
      </c>
      <c r="X295" s="6">
        <f>$T295*W295</f>
        <v/>
      </c>
      <c r="Y295" s="7" t="n">
        <v>0</v>
      </c>
      <c r="Z295" s="6">
        <f>$T295*Y295</f>
        <v/>
      </c>
      <c r="AA295" s="7" t="n">
        <v>0</v>
      </c>
      <c r="AB295" s="6">
        <f>$T295*AA295</f>
        <v/>
      </c>
      <c r="AC295" s="7" t="n">
        <v>0</v>
      </c>
      <c r="AD295" s="6">
        <f>$T295*AC295</f>
        <v/>
      </c>
      <c r="AE295" s="7" t="n">
        <v>0</v>
      </c>
      <c r="AF295" s="6">
        <f>$T295*AE295</f>
        <v/>
      </c>
      <c r="AG295" s="7" t="n">
        <v>0</v>
      </c>
      <c r="AH295" s="6">
        <f>$T295*AG295</f>
        <v/>
      </c>
      <c r="AI295" s="7">
        <f>U295+W295+Y295+AA295+AC295+AE295+AG295</f>
        <v/>
      </c>
      <c r="AJ295" s="6">
        <f>V295+X295+Z295+AB295+AD295+AF295+AH295</f>
        <v/>
      </c>
    </row>
    <row r="296" ht="60" customHeight="1" s="46">
      <c r="A296" s="3" t="inlineStr">
        <is>
          <t>LOM251.OC.EEA.PA02.I7425.E0004.0015</t>
        </is>
      </c>
      <c r="B296" s="4" t="inlineStr">
        <is>
          <t>2/2</t>
        </is>
      </c>
      <c r="C296" s="3" t="inlineStr">
        <is>
          <t>IMPIANTO MECCANICO</t>
        </is>
      </c>
      <c r="D296" s="4" t="inlineStr">
        <is>
          <t>SPECIALE</t>
        </is>
      </c>
      <c r="E296" s="4" t="inlineStr">
        <is>
          <t>MECCANICHE SPECIALI</t>
        </is>
      </c>
      <c r="F296" s="3" t="inlineStr">
        <is>
          <t>2_CME_TOTALE MECCANICI RADIOFARMACIA PAVIA.PDF</t>
        </is>
      </c>
      <c r="G296" s="4" t="inlineStr">
        <is>
          <t>48/48</t>
        </is>
      </c>
      <c r="H296" s="3" t="inlineStr">
        <is>
          <t>40 - IMPIANTISTICO</t>
        </is>
      </c>
      <c r="I296" s="3" t="inlineStr">
        <is>
          <t>CENTRALE</t>
        </is>
      </c>
      <c r="J296" s="3" t="inlineStr">
        <is>
          <t>IMPIANTO HVAC</t>
        </is>
      </c>
      <c r="K296" s="3" t="inlineStr">
        <is>
          <t xml:space="preserve">OPERA: GIUNTO ANTIVIBRANTE DI GOMMA EPDM; GEOMETRIA: ATTACCHI FLANGIATI; FUNZIONE: SMORZAMENTO VIBRAZIONI; IMPIEGO: TUBAZIONE; DIAMETRO NOMINALE (Ø) [MM] = 40; PRESSIONE NOMINALE [BAR] ≤ 10. </t>
        </is>
      </c>
      <c r="L296" s="3" t="inlineStr">
        <is>
          <t>OPERA: GIUNTO ANTIVIBRANTE DI GOMMA EPDM; GEOMETRIA: ATTACCHI FLANGIATI; FUNZIONE: SMORZAMENTO VIBRAZIONI; IMPIEGO: TUBAZIONE; DIAMETRO NOMINALE (Ø) [MM] = 40;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40;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40; PRESSIONE NOMINALE [BAR] ≤ 10 
SPECIFICHE TECNICHE: CORPO DI GOMMA EPDM; ANIMA DI LEGA FERROSA ACCIAIO GENERICO; BULLONI DI LEGA FERROSA ACCIAIO GENERICO 
LV POSA.</t>
        </is>
      </c>
      <c r="M296" s="4" t="inlineStr">
        <is>
          <t>CAD</t>
        </is>
      </c>
      <c r="N296" s="5" t="n">
        <v>4</v>
      </c>
      <c r="O296" s="45" t="n">
        <v>68.78</v>
      </c>
      <c r="P296" s="45" t="n">
        <v>275.12</v>
      </c>
      <c r="Q296" s="5" t="n"/>
      <c r="R296" s="6" t="n"/>
      <c r="S296" s="6">
        <f>IF(AND(Q296&lt;&gt;"",R296&lt;&gt;""),Q296*R296,"")</f>
        <v/>
      </c>
      <c r="T296" s="45">
        <f>IF(S296="",P296,S296)</f>
        <v/>
      </c>
      <c r="U296" s="7" t="n">
        <v>0</v>
      </c>
      <c r="V296" s="6">
        <f>$T296*U296</f>
        <v/>
      </c>
      <c r="W296" s="7" t="n">
        <v>0.4</v>
      </c>
      <c r="X296" s="6">
        <f>$T296*W296</f>
        <v/>
      </c>
      <c r="Y296" s="7" t="n">
        <v>0</v>
      </c>
      <c r="Z296" s="6">
        <f>$T296*Y296</f>
        <v/>
      </c>
      <c r="AA296" s="7" t="n">
        <v>0</v>
      </c>
      <c r="AB296" s="6">
        <f>$T296*AA296</f>
        <v/>
      </c>
      <c r="AC296" s="7" t="n">
        <v>0</v>
      </c>
      <c r="AD296" s="6">
        <f>$T296*AC296</f>
        <v/>
      </c>
      <c r="AE296" s="7" t="n">
        <v>0</v>
      </c>
      <c r="AF296" s="6">
        <f>$T296*AE296</f>
        <v/>
      </c>
      <c r="AG296" s="7" t="n">
        <v>0</v>
      </c>
      <c r="AH296" s="6">
        <f>$T296*AG296</f>
        <v/>
      </c>
      <c r="AI296" s="7">
        <f>U296+W296+Y296+AA296+AC296+AE296+AG296</f>
        <v/>
      </c>
      <c r="AJ296" s="6">
        <f>V296+X296+Z296+AB296+AD296+AF296+AH296</f>
        <v/>
      </c>
    </row>
    <row r="297" ht="60" customHeight="1" s="46">
      <c r="A297" s="3" t="inlineStr">
        <is>
          <t>LOM251.OC.EEA.PA02.I7425.E0004.0010</t>
        </is>
      </c>
      <c r="B297" s="4" t="inlineStr">
        <is>
          <t>1/1</t>
        </is>
      </c>
      <c r="C297" s="3" t="inlineStr">
        <is>
          <t>IMPIANTO MECCANICO</t>
        </is>
      </c>
      <c r="D297" s="4" t="inlineStr">
        <is>
          <t>SPECIALE</t>
        </is>
      </c>
      <c r="E297" s="4" t="inlineStr">
        <is>
          <t>MECCANICHE SPECIALI</t>
        </is>
      </c>
      <c r="F297" s="3" t="inlineStr">
        <is>
          <t>2_CME_TOTALE MECCANICI RADIOFARMACIA PAVIA.PDF</t>
        </is>
      </c>
      <c r="G297" s="4" t="inlineStr">
        <is>
          <t>49/49</t>
        </is>
      </c>
      <c r="H297" s="3" t="inlineStr">
        <is>
          <t>40 - IMPIANTISTICO</t>
        </is>
      </c>
      <c r="I297" s="3" t="inlineStr">
        <is>
          <t>CENTRALE</t>
        </is>
      </c>
      <c r="J297" s="3" t="inlineStr">
        <is>
          <t>IMPIANTO HVAC</t>
        </is>
      </c>
      <c r="K297" s="3" t="inlineStr">
        <is>
          <t xml:space="preserve">OPERA: GIUNTO ANTIVIBRANTE DI GOMMA EPDM; GEOMETRIA: ATTACCHI FLANGIATI; FUNZIONE: SMORZAMENTO VIBRAZIONI; IMPIEGO: TUBAZIONE; DIAMETRO NOMINALE (Ø) [MM] = 32; PRESSIONE NOMINALE [BAR] ≤ 10. </t>
        </is>
      </c>
      <c r="L297" s="3" t="inlineStr">
        <is>
          <t>OPERA: GIUNTO ANTIVIBRANTE DI GOMMA EPDM; GEOMETRIA: ATTACCHI FLANGIATI; FUNZIONE: SMORZAMENTO VIBRAZIONI; IMPIEGO: TUBAZIONE; DIAMETRO NOMINALE (Ø) [MM] = 32;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32;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32; PRESSIONE NOMINALE [BAR] ≤ 10 
SPECIFICHE TECNICHE: CORPO DI GOMMA EPDM; ANIMA DI LEGA FERROSA ACCIAIO GENERICO; BULLONI DI LEGA FERROSA ACCIAIO GENERICO 
LV POSA.</t>
        </is>
      </c>
      <c r="M297" s="4" t="inlineStr">
        <is>
          <t>CAD</t>
        </is>
      </c>
      <c r="N297" s="5" t="n">
        <v>2</v>
      </c>
      <c r="O297" s="45" t="n">
        <v>61.08</v>
      </c>
      <c r="P297" s="45" t="n">
        <v>122.16</v>
      </c>
      <c r="Q297" s="5" t="n"/>
      <c r="R297" s="6" t="n"/>
      <c r="S297" s="6">
        <f>IF(AND(Q297&lt;&gt;"",R297&lt;&gt;""),Q297*R297,"")</f>
        <v/>
      </c>
      <c r="T297" s="45">
        <f>IF(S297="",P297,S297)</f>
        <v/>
      </c>
      <c r="U297" s="7" t="n">
        <v>0</v>
      </c>
      <c r="V297" s="6">
        <f>$T297*U297</f>
        <v/>
      </c>
      <c r="W297" s="7" t="n">
        <v>0.4</v>
      </c>
      <c r="X297" s="6">
        <f>$T297*W297</f>
        <v/>
      </c>
      <c r="Y297" s="7" t="n">
        <v>0</v>
      </c>
      <c r="Z297" s="6">
        <f>$T297*Y297</f>
        <v/>
      </c>
      <c r="AA297" s="7" t="n">
        <v>0</v>
      </c>
      <c r="AB297" s="6">
        <f>$T297*AA297</f>
        <v/>
      </c>
      <c r="AC297" s="7" t="n">
        <v>0</v>
      </c>
      <c r="AD297" s="6">
        <f>$T297*AC297</f>
        <v/>
      </c>
      <c r="AE297" s="7" t="n">
        <v>0</v>
      </c>
      <c r="AF297" s="6">
        <f>$T297*AE297</f>
        <v/>
      </c>
      <c r="AG297" s="7" t="n">
        <v>0</v>
      </c>
      <c r="AH297" s="6">
        <f>$T297*AG297</f>
        <v/>
      </c>
      <c r="AI297" s="7">
        <f>U297+W297+Y297+AA297+AC297+AE297+AG297</f>
        <v/>
      </c>
      <c r="AJ297" s="6">
        <f>V297+X297+Z297+AB297+AD297+AF297+AH297</f>
        <v/>
      </c>
    </row>
    <row r="298" ht="60" customHeight="1" s="46">
      <c r="A298" s="3" t="inlineStr">
        <is>
          <t>LOM251.OC.EEA.PA01.I9766.SB030.0040</t>
        </is>
      </c>
      <c r="B298" s="4" t="inlineStr">
        <is>
          <t>1/1</t>
        </is>
      </c>
      <c r="C298" s="3" t="inlineStr">
        <is>
          <t>IMPIANTO MECCANICO</t>
        </is>
      </c>
      <c r="D298" s="4" t="inlineStr">
        <is>
          <t>SPECIALE</t>
        </is>
      </c>
      <c r="E298" s="4" t="inlineStr">
        <is>
          <t>MECCANICHE SPECIALI</t>
        </is>
      </c>
      <c r="F298" s="3" t="inlineStr">
        <is>
          <t>2_CME_TOTALE MECCANICI RADIOFARMACIA PAVIA.PDF</t>
        </is>
      </c>
      <c r="G298" s="4" t="inlineStr">
        <is>
          <t>55/55</t>
        </is>
      </c>
      <c r="H298" s="3" t="inlineStr">
        <is>
          <t>40 - IMPIANTISTICO</t>
        </is>
      </c>
      <c r="I298" s="3" t="inlineStr">
        <is>
          <t>CENTRALE</t>
        </is>
      </c>
      <c r="J298" s="3" t="inlineStr">
        <is>
          <t>IMPIANTO HVAC</t>
        </is>
      </c>
      <c r="K298" s="3" t="inlineStr">
        <is>
          <t>OPERA: FILTRO, RACCOGLITORE DI IMPURITÀ DI LEGA FERROSA GHISA GENERICO; FUNZIONE: RACCOLTA IMPURITÀ; IMPIEGO: RETE IDRICA; DIAMETRO NOMINALE (Ø) [MM] = 100; PRESSIONE NOMINALE [BAR] ≤ 16. INCLUSO: COR</t>
        </is>
      </c>
      <c r="L298" s="3" t="inlineStr">
        <is>
          <t>OPERA: FILTRO, RACCOGLITORE DI IMPURITÀ DI LEGA FERROSA GHISA GENERICO; FUNZIONE: RACCOLTA IMPURITÀ; IMPIEGO: RETE IDRICA; DIAMETRO NOMINALE (Ø) [MM] = 100;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100;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100;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298" s="4" t="inlineStr">
        <is>
          <t>CAD</t>
        </is>
      </c>
      <c r="N298" s="5" t="n">
        <v>3</v>
      </c>
      <c r="O298" s="45" t="n">
        <v>361.69</v>
      </c>
      <c r="P298" s="45" t="n">
        <v>1085.07</v>
      </c>
      <c r="Q298" s="5" t="n"/>
      <c r="R298" s="6" t="n"/>
      <c r="S298" s="6">
        <f>IF(AND(Q298&lt;&gt;"",R298&lt;&gt;""),Q298*R298,"")</f>
        <v/>
      </c>
      <c r="T298" s="45">
        <f>IF(S298="",P298,S298)</f>
        <v/>
      </c>
      <c r="U298" s="7" t="n">
        <v>0</v>
      </c>
      <c r="V298" s="6">
        <f>$T298*U298</f>
        <v/>
      </c>
      <c r="W298" s="7" t="n">
        <v>0.4</v>
      </c>
      <c r="X298" s="6">
        <f>$T298*W298</f>
        <v/>
      </c>
      <c r="Y298" s="7" t="n">
        <v>0</v>
      </c>
      <c r="Z298" s="6">
        <f>$T298*Y298</f>
        <v/>
      </c>
      <c r="AA298" s="7" t="n">
        <v>0</v>
      </c>
      <c r="AB298" s="6">
        <f>$T298*AA298</f>
        <v/>
      </c>
      <c r="AC298" s="7" t="n">
        <v>0</v>
      </c>
      <c r="AD298" s="6">
        <f>$T298*AC298</f>
        <v/>
      </c>
      <c r="AE298" s="7" t="n">
        <v>0</v>
      </c>
      <c r="AF298" s="6">
        <f>$T298*AE298</f>
        <v/>
      </c>
      <c r="AG298" s="7" t="n">
        <v>0</v>
      </c>
      <c r="AH298" s="6">
        <f>$T298*AG298</f>
        <v/>
      </c>
      <c r="AI298" s="7">
        <f>U298+W298+Y298+AA298+AC298+AE298+AG298</f>
        <v/>
      </c>
      <c r="AJ298" s="6">
        <f>V298+X298+Z298+AB298+AD298+AF298+AH298</f>
        <v/>
      </c>
    </row>
    <row r="299" ht="60" customHeight="1" s="46">
      <c r="A299" s="3" t="inlineStr">
        <is>
          <t>LOM251.OC.EEA.PA01.I9766.SB030.0035</t>
        </is>
      </c>
      <c r="B299" s="4" t="inlineStr">
        <is>
          <t>1/1</t>
        </is>
      </c>
      <c r="C299" s="3" t="inlineStr">
        <is>
          <t>IMPIANTO MECCANICO</t>
        </is>
      </c>
      <c r="D299" s="4" t="inlineStr">
        <is>
          <t>SPECIALE</t>
        </is>
      </c>
      <c r="E299" s="4" t="inlineStr">
        <is>
          <t>MECCANICHE SPECIALI</t>
        </is>
      </c>
      <c r="F299" s="3" t="inlineStr">
        <is>
          <t>2_CME_TOTALE MECCANICI RADIOFARMACIA PAVIA.PDF</t>
        </is>
      </c>
      <c r="G299" s="4" t="inlineStr">
        <is>
          <t>56/56</t>
        </is>
      </c>
      <c r="H299" s="3" t="inlineStr">
        <is>
          <t>40 - IMPIANTISTICO</t>
        </is>
      </c>
      <c r="I299" s="3" t="inlineStr">
        <is>
          <t>CENTRALE</t>
        </is>
      </c>
      <c r="J299" s="3" t="inlineStr">
        <is>
          <t>IMPIANTO HVAC</t>
        </is>
      </c>
      <c r="K299" s="3" t="inlineStr">
        <is>
          <t>OPERA: FILTRO, RACCOGLITORE DI IMPURITÀ DI LEGA FERROSA GHISA GENERICO; FUNZIONE: RACCOLTA IMPURITÀ; IMPIEGO: RETE IDRICA; DIAMETRO NOMINALE (Ø) [MM] = 80; PRESSIONE NOMINALE [BAR] ≤ 16. INCLUSO: CORP</t>
        </is>
      </c>
      <c r="L299" s="3" t="inlineStr">
        <is>
          <t>OPERA: FILTRO, RACCOGLITORE DI IMPURITÀ DI LEGA FERROSA GHISA GENERICO; FUNZIONE: RACCOLTA IMPURITÀ; IMPIEGO: RETE IDRICA; DIAMETRO NOMINALE (Ø) [MM] = 80;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80;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80;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299" s="4" t="inlineStr">
        <is>
          <t>CAD</t>
        </is>
      </c>
      <c r="N299" s="5" t="n">
        <v>2</v>
      </c>
      <c r="O299" s="45" t="n">
        <v>263.26</v>
      </c>
      <c r="P299" s="45" t="n">
        <v>526.52</v>
      </c>
      <c r="Q299" s="5" t="n"/>
      <c r="R299" s="6" t="n"/>
      <c r="S299" s="6">
        <f>IF(AND(Q299&lt;&gt;"",R299&lt;&gt;""),Q299*R299,"")</f>
        <v/>
      </c>
      <c r="T299" s="45">
        <f>IF(S299="",P299,S299)</f>
        <v/>
      </c>
      <c r="U299" s="7" t="n">
        <v>0</v>
      </c>
      <c r="V299" s="6">
        <f>$T299*U299</f>
        <v/>
      </c>
      <c r="W299" s="7" t="n">
        <v>0.4</v>
      </c>
      <c r="X299" s="6">
        <f>$T299*W299</f>
        <v/>
      </c>
      <c r="Y299" s="7" t="n">
        <v>0</v>
      </c>
      <c r="Z299" s="6">
        <f>$T299*Y299</f>
        <v/>
      </c>
      <c r="AA299" s="7" t="n">
        <v>0</v>
      </c>
      <c r="AB299" s="6">
        <f>$T299*AA299</f>
        <v/>
      </c>
      <c r="AC299" s="7" t="n">
        <v>0</v>
      </c>
      <c r="AD299" s="6">
        <f>$T299*AC299</f>
        <v/>
      </c>
      <c r="AE299" s="7" t="n">
        <v>0</v>
      </c>
      <c r="AF299" s="6">
        <f>$T299*AE299</f>
        <v/>
      </c>
      <c r="AG299" s="7" t="n">
        <v>0</v>
      </c>
      <c r="AH299" s="6">
        <f>$T299*AG299</f>
        <v/>
      </c>
      <c r="AI299" s="7">
        <f>U299+W299+Y299+AA299+AC299+AE299+AG299</f>
        <v/>
      </c>
      <c r="AJ299" s="6">
        <f>V299+X299+Z299+AB299+AD299+AF299+AH299</f>
        <v/>
      </c>
    </row>
    <row r="300" ht="60" customHeight="1" s="46">
      <c r="A300" s="3" t="inlineStr">
        <is>
          <t>LOM251.OC.EEA.PA01.I9766.SB030.0030</t>
        </is>
      </c>
      <c r="B300" s="4" t="inlineStr">
        <is>
          <t>1/1</t>
        </is>
      </c>
      <c r="C300" s="3" t="inlineStr">
        <is>
          <t>IMPIANTO MECCANICO</t>
        </is>
      </c>
      <c r="D300" s="4" t="inlineStr">
        <is>
          <t>SPECIALE</t>
        </is>
      </c>
      <c r="E300" s="4" t="inlineStr">
        <is>
          <t>MECCANICHE SPECIALI</t>
        </is>
      </c>
      <c r="F300" s="3" t="inlineStr">
        <is>
          <t>2_CME_TOTALE MECCANICI RADIOFARMACIA PAVIA.PDF</t>
        </is>
      </c>
      <c r="G300" s="4" t="inlineStr">
        <is>
          <t>57/57</t>
        </is>
      </c>
      <c r="H300" s="3" t="inlineStr">
        <is>
          <t>40 - IMPIANTISTICO</t>
        </is>
      </c>
      <c r="I300" s="3" t="inlineStr">
        <is>
          <t>CENTRALE</t>
        </is>
      </c>
      <c r="J300" s="3" t="inlineStr">
        <is>
          <t>IMPIANTO HVAC</t>
        </is>
      </c>
      <c r="K300" s="3" t="inlineStr">
        <is>
          <t>OPERA: FILTRO, RACCOGLITORE DI IMPURITÀ DI LEGA FERROSA GHISA GENERICO; FUNZIONE: RACCOLTA IMPURITÀ; IMPIEGO: RETE IDRICA; DIAMETRO NOMINALE (Ø) [MM] = 65; PRESSIONE NOMINALE [BAR] ≤ 16. INCLUSO: CORP</t>
        </is>
      </c>
      <c r="L300" s="3" t="inlineStr">
        <is>
          <t>OPERA: FILTRO, RACCOGLITORE DI IMPURITÀ DI LEGA FERROSA GHISA GENERICO; FUNZIONE: RACCOLTA IMPURITÀ; IMPIEGO: RETE IDRICA; DIAMETRO NOMINALE (Ø) [MM] = 65;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65;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65;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300" s="4" t="inlineStr">
        <is>
          <t>CAD</t>
        </is>
      </c>
      <c r="N300" s="5" t="n">
        <v>3</v>
      </c>
      <c r="O300" s="45" t="n">
        <v>196.85</v>
      </c>
      <c r="P300" s="45" t="n">
        <v>590.55</v>
      </c>
      <c r="Q300" s="5" t="n"/>
      <c r="R300" s="6" t="n"/>
      <c r="S300" s="6">
        <f>IF(AND(Q300&lt;&gt;"",R300&lt;&gt;""),Q300*R300,"")</f>
        <v/>
      </c>
      <c r="T300" s="45">
        <f>IF(S300="",P300,S300)</f>
        <v/>
      </c>
      <c r="U300" s="7" t="n">
        <v>0</v>
      </c>
      <c r="V300" s="6">
        <f>$T300*U300</f>
        <v/>
      </c>
      <c r="W300" s="7" t="n">
        <v>0.4</v>
      </c>
      <c r="X300" s="6">
        <f>$T300*W300</f>
        <v/>
      </c>
      <c r="Y300" s="7" t="n">
        <v>0</v>
      </c>
      <c r="Z300" s="6">
        <f>$T300*Y300</f>
        <v/>
      </c>
      <c r="AA300" s="7" t="n">
        <v>0</v>
      </c>
      <c r="AB300" s="6">
        <f>$T300*AA300</f>
        <v/>
      </c>
      <c r="AC300" s="7" t="n">
        <v>0</v>
      </c>
      <c r="AD300" s="6">
        <f>$T300*AC300</f>
        <v/>
      </c>
      <c r="AE300" s="7" t="n">
        <v>0</v>
      </c>
      <c r="AF300" s="6">
        <f>$T300*AE300</f>
        <v/>
      </c>
      <c r="AG300" s="7" t="n">
        <v>0</v>
      </c>
      <c r="AH300" s="6">
        <f>$T300*AG300</f>
        <v/>
      </c>
      <c r="AI300" s="7">
        <f>U300+W300+Y300+AA300+AC300+AE300+AG300</f>
        <v/>
      </c>
      <c r="AJ300" s="6">
        <f>V300+X300+Z300+AB300+AD300+AF300+AH300</f>
        <v/>
      </c>
    </row>
    <row r="301" ht="60" customHeight="1" s="46">
      <c r="A301" s="3" t="inlineStr">
        <is>
          <t>LOM251.OC.EEA.PA01.I9766.SB030.0025</t>
        </is>
      </c>
      <c r="B301" s="4" t="inlineStr">
        <is>
          <t>1/1</t>
        </is>
      </c>
      <c r="C301" s="3" t="inlineStr">
        <is>
          <t>IMPIANTO MECCANICO</t>
        </is>
      </c>
      <c r="D301" s="4" t="inlineStr">
        <is>
          <t>SPECIALE</t>
        </is>
      </c>
      <c r="E301" s="4" t="inlineStr">
        <is>
          <t>MECCANICHE SPECIALI</t>
        </is>
      </c>
      <c r="F301" s="3" t="inlineStr">
        <is>
          <t>2_CME_TOTALE MECCANICI RADIOFARMACIA PAVIA.PDF</t>
        </is>
      </c>
      <c r="G301" s="4" t="inlineStr">
        <is>
          <t>58/58</t>
        </is>
      </c>
      <c r="H301" s="3" t="inlineStr">
        <is>
          <t>40 - IMPIANTISTICO</t>
        </is>
      </c>
      <c r="I301" s="3" t="inlineStr">
        <is>
          <t>CENTRALE</t>
        </is>
      </c>
      <c r="J301" s="3" t="inlineStr">
        <is>
          <t>IMPIANTO HVAC</t>
        </is>
      </c>
      <c r="K301" s="3" t="inlineStr">
        <is>
          <t>OPERA: FILTRO, RACCOGLITORE DI IMPURITÀ DI LEGA FERROSA GHISA GENERICO; FUNZIONE: RACCOLTA IMPURITÀ; IMPIEGO: RETE IDRICA; DIAMETRO NOMINALE (Ø) [MM] = 50; PRESSIONE NOMINALE [BAR] ≤ 16. INCLUSO: CORP</t>
        </is>
      </c>
      <c r="L301" s="3" t="inlineStr">
        <is>
          <t>OPERA: FILTRO, RACCOGLITORE DI IMPURITÀ DI LEGA FERROSA GHISA GENERICO; FUNZIONE: RACCOLTA IMPURITÀ; IMPIEGO: RETE IDRICA; DIAMETRO NOMINALE (Ø) [MM] = 50;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50;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50;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301" s="4" t="inlineStr">
        <is>
          <t>CAD</t>
        </is>
      </c>
      <c r="N301" s="5" t="n">
        <v>2</v>
      </c>
      <c r="O301" s="45" t="n">
        <v>136.37</v>
      </c>
      <c r="P301" s="45" t="n">
        <v>272.74</v>
      </c>
      <c r="Q301" s="5" t="n"/>
      <c r="R301" s="6" t="n"/>
      <c r="S301" s="6">
        <f>IF(AND(Q301&lt;&gt;"",R301&lt;&gt;""),Q301*R301,"")</f>
        <v/>
      </c>
      <c r="T301" s="45">
        <f>IF(S301="",P301,S301)</f>
        <v/>
      </c>
      <c r="U301" s="7" t="n">
        <v>0</v>
      </c>
      <c r="V301" s="6">
        <f>$T301*U301</f>
        <v/>
      </c>
      <c r="W301" s="7" t="n">
        <v>0.4</v>
      </c>
      <c r="X301" s="6">
        <f>$T301*W301</f>
        <v/>
      </c>
      <c r="Y301" s="7" t="n">
        <v>0</v>
      </c>
      <c r="Z301" s="6">
        <f>$T301*Y301</f>
        <v/>
      </c>
      <c r="AA301" s="7" t="n">
        <v>0</v>
      </c>
      <c r="AB301" s="6">
        <f>$T301*AA301</f>
        <v/>
      </c>
      <c r="AC301" s="7" t="n">
        <v>0</v>
      </c>
      <c r="AD301" s="6">
        <f>$T301*AC301</f>
        <v/>
      </c>
      <c r="AE301" s="7" t="n">
        <v>0</v>
      </c>
      <c r="AF301" s="6">
        <f>$T301*AE301</f>
        <v/>
      </c>
      <c r="AG301" s="7" t="n">
        <v>0</v>
      </c>
      <c r="AH301" s="6">
        <f>$T301*AG301</f>
        <v/>
      </c>
      <c r="AI301" s="7">
        <f>U301+W301+Y301+AA301+AC301+AE301+AG301</f>
        <v/>
      </c>
      <c r="AJ301" s="6">
        <f>V301+X301+Z301+AB301+AD301+AF301+AH301</f>
        <v/>
      </c>
    </row>
    <row r="302" ht="60" customHeight="1" s="46">
      <c r="A302" s="3" t="inlineStr">
        <is>
          <t>LOM251.OC.EEA.PA01.I9766.SB030.0020</t>
        </is>
      </c>
      <c r="B302" s="4" t="inlineStr">
        <is>
          <t>2/2</t>
        </is>
      </c>
      <c r="C302" s="3" t="inlineStr">
        <is>
          <t>IMPIANTO MECCANICO</t>
        </is>
      </c>
      <c r="D302" s="4" t="inlineStr">
        <is>
          <t>SPECIALE</t>
        </is>
      </c>
      <c r="E302" s="4" t="inlineStr">
        <is>
          <t>MECCANICHE SPECIALI</t>
        </is>
      </c>
      <c r="F302" s="3" t="inlineStr">
        <is>
          <t>2_CME_TOTALE MECCANICI RADIOFARMACIA PAVIA.PDF</t>
        </is>
      </c>
      <c r="G302" s="4" t="inlineStr">
        <is>
          <t>59/59</t>
        </is>
      </c>
      <c r="H302" s="3" t="inlineStr">
        <is>
          <t>40 - IMPIANTISTICO</t>
        </is>
      </c>
      <c r="I302" s="3" t="inlineStr">
        <is>
          <t>CENTRALE</t>
        </is>
      </c>
      <c r="J302" s="3" t="inlineStr">
        <is>
          <t>IMPIANTO HVAC</t>
        </is>
      </c>
      <c r="K302" s="3" t="inlineStr">
        <is>
          <t>OPERA: FILTRO, RACCOGLITORE DI IMPURITÀ DI LEGA FERROSA GHISA GENERICO; FUNZIONE: RACCOLTA IMPURITÀ; IMPIEGO: RETE IDRICA; DIAMETRO NOMINALE (Ø) [MM] = 40; PRESSIONE NOMINALE [BAR] ≤ 16. INCLUSO: CORP</t>
        </is>
      </c>
      <c r="L302" s="3" t="inlineStr">
        <is>
          <t>OPERA: FILTRO, RACCOGLITORE DI IMPURITÀ DI LEGA FERROSA GHISA GENERICO; FUNZIONE: RACCOLTA IMPURITÀ; IMPIEGO: RETE IDRICA; DIAMETRO NOMINALE (Ø) [MM] = 40;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40;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40;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302" s="4" t="inlineStr">
        <is>
          <t>CAD</t>
        </is>
      </c>
      <c r="N302" s="5" t="n">
        <v>2</v>
      </c>
      <c r="O302" s="45" t="n">
        <v>78.86</v>
      </c>
      <c r="P302" s="45" t="n">
        <v>157.72</v>
      </c>
      <c r="Q302" s="5" t="n"/>
      <c r="R302" s="6" t="n"/>
      <c r="S302" s="6">
        <f>IF(AND(Q302&lt;&gt;"",R302&lt;&gt;""),Q302*R302,"")</f>
        <v/>
      </c>
      <c r="T302" s="45">
        <f>IF(S302="",P302,S302)</f>
        <v/>
      </c>
      <c r="U302" s="7" t="n">
        <v>0</v>
      </c>
      <c r="V302" s="6">
        <f>$T302*U302</f>
        <v/>
      </c>
      <c r="W302" s="7" t="n">
        <v>0.4</v>
      </c>
      <c r="X302" s="6">
        <f>$T302*W302</f>
        <v/>
      </c>
      <c r="Y302" s="7" t="n">
        <v>0</v>
      </c>
      <c r="Z302" s="6">
        <f>$T302*Y302</f>
        <v/>
      </c>
      <c r="AA302" s="7" t="n">
        <v>0</v>
      </c>
      <c r="AB302" s="6">
        <f>$T302*AA302</f>
        <v/>
      </c>
      <c r="AC302" s="7" t="n">
        <v>0</v>
      </c>
      <c r="AD302" s="6">
        <f>$T302*AC302</f>
        <v/>
      </c>
      <c r="AE302" s="7" t="n">
        <v>0</v>
      </c>
      <c r="AF302" s="6">
        <f>$T302*AE302</f>
        <v/>
      </c>
      <c r="AG302" s="7" t="n">
        <v>0</v>
      </c>
      <c r="AH302" s="6">
        <f>$T302*AG302</f>
        <v/>
      </c>
      <c r="AI302" s="7">
        <f>U302+W302+Y302+AA302+AC302+AE302+AG302</f>
        <v/>
      </c>
      <c r="AJ302" s="6">
        <f>V302+X302+Z302+AB302+AD302+AF302+AH302</f>
        <v/>
      </c>
    </row>
    <row r="303" hidden="1" ht="60" customHeight="1" s="46">
      <c r="A303" s="3" t="inlineStr">
        <is>
          <t>LOM251.OC.EEA.PA01.F9740.ZA001.0250</t>
        </is>
      </c>
      <c r="B303" s="4" t="inlineStr">
        <is>
          <t>2/2</t>
        </is>
      </c>
      <c r="C303" s="3" t="inlineStr">
        <is>
          <t>IMPIANTO MECCANICO</t>
        </is>
      </c>
      <c r="D303" s="4" t="inlineStr">
        <is>
          <t>SPECIALE</t>
        </is>
      </c>
      <c r="E303" s="4" t="inlineStr">
        <is>
          <t>MECCANICHE SPECIALI</t>
        </is>
      </c>
      <c r="F303" s="3" t="inlineStr">
        <is>
          <t>2_CME_TOTALE MECCANICI RADIOFARMACIA PAVIA.PDF</t>
        </is>
      </c>
      <c r="G303" s="4" t="inlineStr">
        <is>
          <t>60/60</t>
        </is>
      </c>
      <c r="H303" s="3" t="inlineStr">
        <is>
          <t>40 - IMPIANTISTICO</t>
        </is>
      </c>
      <c r="I303" s="3" t="inlineStr">
        <is>
          <t>CENTRALE</t>
        </is>
      </c>
      <c r="J303" s="3" t="inlineStr">
        <is>
          <t>IMPIANTO HVAC</t>
        </is>
      </c>
      <c r="K303" s="3" t="inlineStr">
        <is>
          <t xml:space="preserve">OPERA: TERMOMETRO, A COLONNA; GEOMETRIA: DRITTO; FUNZIONE: MISURAZIONE TEMPERATURA; IMPIEGO: TUBAZIONE. INCLUSO: CUSTODIA; POZZETTO. </t>
        </is>
      </c>
      <c r="L303" s="3" t="inlineStr">
        <is>
          <t>OPERA: TERMOMETRO, A COLONNA; GEOMETRIA: DRITTO; FUNZIONE: MISURAZIONE TEMPERATURA; IMPIEGO: TUBAZIONE. INCLUSO: CUSTODIA; POZZETTO. 
LAVORO: INSTALLAZIONE. OP TERMOMETRO, A COLONNA; GEOMETRIA: DRITTO; FUNZIONE: MISURAZIONE TEMPERATURA; IMPIEGO: TUBAZIONE. INCLUSO: CUSTODIA; POZZETTO. 
RM TERMOMETRO A COLONNA; GEOMETRIA: DRITTO; FUNZIONE: MISURAZIONE TEMPERATURA; IMPIEGO: TUBAZIONE. INCLUSO: CUSTODIA; POZZETTO 
LV INSTALLAZIONE.</t>
        </is>
      </c>
      <c r="M303" s="4" t="inlineStr">
        <is>
          <t>CAD</t>
        </is>
      </c>
      <c r="N303" s="5" t="n">
        <v>48</v>
      </c>
      <c r="O303" s="45" t="n">
        <v>17.2</v>
      </c>
      <c r="P303" s="45" t="n">
        <v>825.6</v>
      </c>
      <c r="Q303" s="5" t="n"/>
      <c r="R303" s="6" t="n"/>
      <c r="S303" s="6">
        <f>IF(AND(Q303&lt;&gt;"",R303&lt;&gt;""),Q303*R303,"")</f>
        <v/>
      </c>
      <c r="T303" s="45">
        <f>IF(S303="",P303,S303)</f>
        <v/>
      </c>
      <c r="U303" s="7" t="n">
        <v>0</v>
      </c>
      <c r="V303" s="6">
        <f>$T303*U303</f>
        <v/>
      </c>
      <c r="W303" s="7" t="n">
        <v>0</v>
      </c>
      <c r="X303" s="6">
        <f>$T303*W303</f>
        <v/>
      </c>
      <c r="Y303" s="7" t="n">
        <v>0</v>
      </c>
      <c r="Z303" s="6">
        <f>$T303*Y303</f>
        <v/>
      </c>
      <c r="AA303" s="7" t="n">
        <v>0</v>
      </c>
      <c r="AB303" s="6">
        <f>$T303*AA303</f>
        <v/>
      </c>
      <c r="AC303" s="7" t="n">
        <v>0</v>
      </c>
      <c r="AD303" s="6">
        <f>$T303*AC303</f>
        <v/>
      </c>
      <c r="AE303" s="7" t="n">
        <v>0</v>
      </c>
      <c r="AF303" s="6">
        <f>$T303*AE303</f>
        <v/>
      </c>
      <c r="AG303" s="7" t="n">
        <v>0</v>
      </c>
      <c r="AH303" s="6">
        <f>$T303*AG303</f>
        <v/>
      </c>
      <c r="AI303" s="7">
        <f>U303+W303+Y303+AA303+AC303+AE303+AG303</f>
        <v/>
      </c>
      <c r="AJ303" s="6">
        <f>V303+X303+Z303+AB303+AD303+AF303+AH303</f>
        <v/>
      </c>
    </row>
    <row r="304" hidden="1" ht="60" customHeight="1" s="46">
      <c r="A304" s="3" t="inlineStr">
        <is>
          <t>LOM251.OC.EEA.PA01.F9742.ZA001.0005</t>
        </is>
      </c>
      <c r="B304" s="4" t="inlineStr">
        <is>
          <t>2/2</t>
        </is>
      </c>
      <c r="C304" s="3" t="inlineStr">
        <is>
          <t>IMPIANTO MECCANICO</t>
        </is>
      </c>
      <c r="D304" s="4" t="inlineStr">
        <is>
          <t>SPECIALE</t>
        </is>
      </c>
      <c r="E304" s="4" t="inlineStr">
        <is>
          <t>MECCANICHE SPECIALI</t>
        </is>
      </c>
      <c r="F304" s="3" t="inlineStr">
        <is>
          <t>2_CME_TOTALE MECCANICI RADIOFARMACIA PAVIA.PDF</t>
        </is>
      </c>
      <c r="G304" s="4" t="inlineStr">
        <is>
          <t>61/61</t>
        </is>
      </c>
      <c r="H304" s="3" t="inlineStr">
        <is>
          <t>40 - IMPIANTISTICO</t>
        </is>
      </c>
      <c r="I304" s="3" t="inlineStr">
        <is>
          <t>CENTRALE</t>
        </is>
      </c>
      <c r="J304" s="3" t="inlineStr">
        <is>
          <t>IMPIANTO HVAC</t>
        </is>
      </c>
      <c r="K304" s="3" t="inlineStr">
        <is>
          <t xml:space="preserve">OPERA: MANOMETRO, PER ACQUA; GEOMETRIA: QUADRANTE AD ATTACCO CENTRALE; FUNZIONE: MISURAZIONE PRESSIONE; IMPIEGO: CENTRALE IDRICA; DIAMETRO QUADRANTE (Ø) [MM] = 80. INCLUSO: INDICE DI RIFERIMENTO. </t>
        </is>
      </c>
      <c r="L304" s="3" t="inlineStr">
        <is>
          <t>OPERA: MANOMETRO, PER ACQUA; GEOMETRIA: QUADRANTE AD ATTACCO CENTRALE; FUNZIONE: MISURAZIONE PRESSIONE; IMPIEGO: CENTRALE IDRICA; DIAMETRO QUADRANTE (Ø) [MM] = 80. INCLUSO: INDICE DI RIFERIMENTO. 
LAVORO: INSTALLAZIONE. OP MANOMETRO, PER ACQUA; GEOMETRIA: QUADRANTE AD ATTACCO CENTRALE; FUNZIONE: MISURAZIONE PRESSIONE; IMPIEGO: CENTRALE IDRICA; DIAMETRO QUADRANTE (Ø) [MM] = 80. INCLUSO: INDICE DI RIFERIMENTO. 
RM MANOMETRO PER ACQUA; GEOMETRIA: QUADRANTE AD ATTACCO CENTRALE; FUNZIONE: MISURAZIONE PRESSIONE; IMPIEGO: CENTRALE IDRICA; DIAMETRO QUADRANTE (Ø) [MM] = 80. INCLUSO: INDICE DI RIFERIMENTO 
LV INSTALLAZIONE.</t>
        </is>
      </c>
      <c r="M304" s="4" t="inlineStr">
        <is>
          <t>CAD</t>
        </is>
      </c>
      <c r="N304" s="5" t="n">
        <v>18</v>
      </c>
      <c r="O304" s="45" t="n">
        <v>45.95</v>
      </c>
      <c r="P304" s="45" t="n">
        <v>827.1</v>
      </c>
      <c r="Q304" s="5" t="n"/>
      <c r="R304" s="6" t="n"/>
      <c r="S304" s="6">
        <f>IF(AND(Q304&lt;&gt;"",R304&lt;&gt;""),Q304*R304,"")</f>
        <v/>
      </c>
      <c r="T304" s="45">
        <f>IF(S304="",P304,S304)</f>
        <v/>
      </c>
      <c r="U304" s="7" t="n">
        <v>0</v>
      </c>
      <c r="V304" s="6">
        <f>$T304*U304</f>
        <v/>
      </c>
      <c r="W304" s="7" t="n">
        <v>0</v>
      </c>
      <c r="X304" s="6">
        <f>$T304*W304</f>
        <v/>
      </c>
      <c r="Y304" s="7" t="n">
        <v>0</v>
      </c>
      <c r="Z304" s="6">
        <f>$T304*Y304</f>
        <v/>
      </c>
      <c r="AA304" s="7" t="n">
        <v>0</v>
      </c>
      <c r="AB304" s="6">
        <f>$T304*AA304</f>
        <v/>
      </c>
      <c r="AC304" s="7" t="n">
        <v>0</v>
      </c>
      <c r="AD304" s="6">
        <f>$T304*AC304</f>
        <v/>
      </c>
      <c r="AE304" s="7" t="n">
        <v>0</v>
      </c>
      <c r="AF304" s="6">
        <f>$T304*AE304</f>
        <v/>
      </c>
      <c r="AG304" s="7" t="n">
        <v>0</v>
      </c>
      <c r="AH304" s="6">
        <f>$T304*AG304</f>
        <v/>
      </c>
      <c r="AI304" s="7">
        <f>U304+W304+Y304+AA304+AC304+AE304+AG304</f>
        <v/>
      </c>
      <c r="AJ304" s="6">
        <f>V304+X304+Z304+AB304+AD304+AF304+AH304</f>
        <v/>
      </c>
    </row>
    <row r="305" hidden="1" ht="60" customHeight="1" s="46">
      <c r="A305" s="3" t="inlineStr">
        <is>
          <t>LOM251.OC.EEA.PA02.F9730.ZA000.0755</t>
        </is>
      </c>
      <c r="B305" s="4" t="inlineStr">
        <is>
          <t>2/2</t>
        </is>
      </c>
      <c r="C305" s="3" t="inlineStr">
        <is>
          <t>IMPIANTO MECCANICO</t>
        </is>
      </c>
      <c r="D305" s="4" t="inlineStr">
        <is>
          <t>SPECIALE</t>
        </is>
      </c>
      <c r="E305" s="4" t="inlineStr">
        <is>
          <t>MECCANICHE SPECIALI</t>
        </is>
      </c>
      <c r="F305" s="3" t="inlineStr">
        <is>
          <t>2_CME_TOTALE MECCANICI RADIOFARMACIA PAVIA.PDF</t>
        </is>
      </c>
      <c r="G305" s="4" t="inlineStr">
        <is>
          <t>62/62</t>
        </is>
      </c>
      <c r="H305" s="3" t="inlineStr">
        <is>
          <t>40 - IMPIANTISTICO</t>
        </is>
      </c>
      <c r="I305" s="3" t="inlineStr">
        <is>
          <t>CENTRALE</t>
        </is>
      </c>
      <c r="J305" s="3" t="inlineStr">
        <is>
          <t>IMPIANTO HVAC</t>
        </is>
      </c>
      <c r="K305" s="3" t="inlineStr">
        <is>
          <t>OPERA: VALVOLA, AUTOMATICA DI MATERIALE GENERICO; GEOMETRIA: ATTACCHI A SQUADRA | ATTACCHI A SQUADRA | SFOGO ARIA; DIAMETRO NOMINALE (Ø) [MM] = 20; PRESSIONE MASSIMA DI ESERCIZIO [BAR] = 10 | TEMPERAT</t>
        </is>
      </c>
      <c r="L305" s="3" t="inlineStr">
        <is>
          <t>OPERA: VALVOLA, AUTOMATICA DI MATERIALE GENERICO; GEOMETRIA: ATTACCHI A SQUADRA | ATTACCHI A SQUADRA | SFOGO ARIA; DIAMETRO NOMINALE (Ø) [MM] = 20; PRESSIONE MASSIMA DI ESERCIZIO [BAR] = 10 | TEMPERATURA DI ESERCIZIO [°C] = 110. 
LAVORO: POSA. OP VALVOLA, AUTOMATICA DI MATERIALE GENERICO; GEOMETRIA: ATTACCHI A SQUADRA | ATTACCHI A SQUADRA | SFOGO ARIA; DIAMETRO NOMINALE (Ø) [MM] = 20; PRESSIONE MASSIMA DI ESERCIZIO [BAR] = 10 | TEMPERATURA DI ESERCIZIO [°C] = 110. 
RM VALVOLA AUTOMATICA DI MATERIALE GENERICO; GEOMETRIA: ATTACCHI A SQUADRA | ATTACCHI A SQUADRA | SFOGO ARIA; DIAMETRO NOMINALE (Ø) [MM] = 20; PRESSIONE MASSIMA DI ESERCIZIO [BAR] = 10 | TEMPERATURA DI ESERCIZIO [°C] = 110 
LV POSA.</t>
        </is>
      </c>
      <c r="M305" s="4" t="inlineStr">
        <is>
          <t>CAD</t>
        </is>
      </c>
      <c r="N305" s="5" t="n">
        <v>18</v>
      </c>
      <c r="O305" s="45" t="n">
        <v>34.04</v>
      </c>
      <c r="P305" s="45" t="n">
        <v>612.72</v>
      </c>
      <c r="Q305" s="5" t="n"/>
      <c r="R305" s="6" t="n"/>
      <c r="S305" s="6">
        <f>IF(AND(Q305&lt;&gt;"",R305&lt;&gt;""),Q305*R305,"")</f>
        <v/>
      </c>
      <c r="T305" s="45">
        <f>IF(S305="",P305,S305)</f>
        <v/>
      </c>
      <c r="U305" s="7" t="n">
        <v>0</v>
      </c>
      <c r="V305" s="6">
        <f>$T305*U305</f>
        <v/>
      </c>
      <c r="W305" s="7" t="n">
        <v>0</v>
      </c>
      <c r="X305" s="6">
        <f>$T305*W305</f>
        <v/>
      </c>
      <c r="Y305" s="7" t="n">
        <v>0</v>
      </c>
      <c r="Z305" s="6">
        <f>$T305*Y305</f>
        <v/>
      </c>
      <c r="AA305" s="7" t="n">
        <v>0</v>
      </c>
      <c r="AB305" s="6">
        <f>$T305*AA305</f>
        <v/>
      </c>
      <c r="AC305" s="7" t="n">
        <v>0</v>
      </c>
      <c r="AD305" s="6">
        <f>$T305*AC305</f>
        <v/>
      </c>
      <c r="AE305" s="7" t="n">
        <v>0</v>
      </c>
      <c r="AF305" s="6">
        <f>$T305*AE305</f>
        <v/>
      </c>
      <c r="AG305" s="7" t="n">
        <v>0</v>
      </c>
      <c r="AH305" s="6">
        <f>$T305*AG305</f>
        <v/>
      </c>
      <c r="AI305" s="7">
        <f>U305+W305+Y305+AA305+AC305+AE305+AG305</f>
        <v/>
      </c>
      <c r="AJ305" s="6">
        <f>V305+X305+Z305+AB305+AD305+AF305+AH305</f>
        <v/>
      </c>
    </row>
    <row r="306" hidden="1" ht="60" customHeight="1" s="46">
      <c r="A306" s="3" t="inlineStr">
        <is>
          <t>LOM251.OC.EEA.PA01.I0005.ZA001.0000</t>
        </is>
      </c>
      <c r="B306" s="4" t="inlineStr">
        <is>
          <t>2/2</t>
        </is>
      </c>
      <c r="C306" s="3" t="inlineStr">
        <is>
          <t>IMPIANTO MECCANICO</t>
        </is>
      </c>
      <c r="D306" s="4" t="inlineStr">
        <is>
          <t>SPECIALE</t>
        </is>
      </c>
      <c r="E306" s="4" t="inlineStr">
        <is>
          <t>MECCANICHE SPECIALI</t>
        </is>
      </c>
      <c r="F306" s="3" t="inlineStr">
        <is>
          <t>2_CME_TOTALE MECCANICI RADIOFARMACIA PAVIA.PDF</t>
        </is>
      </c>
      <c r="G306" s="4" t="inlineStr">
        <is>
          <t>65/65</t>
        </is>
      </c>
      <c r="H306" s="3" t="inlineStr">
        <is>
          <t>40 - IMPIANTISTICO</t>
        </is>
      </c>
      <c r="I306" s="3" t="inlineStr">
        <is>
          <t>CENTRALE</t>
        </is>
      </c>
      <c r="J306" s="3" t="inlineStr">
        <is>
          <t>IMPIANTO HVAC</t>
        </is>
      </c>
      <c r="K306" s="3" t="inlineStr">
        <is>
          <t xml:space="preserve">OPERA: GRUPPO DI RIEMPIMENTO; FUNZIONE: STABILIZZAZIONE DELLA PRESSIONE; IMPIEGO: IMPIANTO DI RISCALDAMENTO A CIRCUITO CHIUSO; DIAMETRO NOMINALE (Ø) [MM] = 15; PRESSIONE MASSIMA IN ENTRATA [BAR] = 16 </t>
        </is>
      </c>
      <c r="L306" s="3" t="inlineStr">
        <is>
          <t>OPERA: GRUPPO DI RIEMPIMENTO; FUNZIONE: STABILIZZAZIONE DELLA PRESSIONE; IMPIEGO: IMPIANTO DI RISCALDAMENTO A CIRCUITO CHIUSO; DIAMETRO NOMINALE (Ø) [MM] = 15; PRESSIONE MASSIMA IN ENTRATA [BAR] = 16 | CAMPO DI REGOLAZIONE [BAR] = 0,3 ÷ 0,4 | ERRORE VALORE MAX. INCLUSO: RUBINETTO; FILTRO; VALVOLA DI NON RITORNO; MANOMETRO. 
LAVORO: INSTALLAZIONE. OP GRUPPO DI RIEMPIMENTO; FUNZIONE: STABILIZZAZIONE DELLA PRESSIONE; IMPIEGO: IMPIANTO DI RISCALDAMENTO A CIRCUITO CHIUSO; DIAMETRO NOMINALE (Ø) [MM] = 15; PRESSIONE MASSIMA IN ENTRATA [BAR] = 16 | CAMPO DI REGOLAZIONE [BAR] = 0,3 ÷ 0,4 | ERRORE VALORE MAX. INCLUSO: RUBINETTO; FILTRO; VALVOLA DI NON RITORNO; MANOMETRO. 
RM GRUPPO DI RIEMPIMENTO; FUNZIONE: STABILIZZAZIONE DELLA PRESSIONE; IMPIEGO: IMPIANTO DI RISCALDAMENTO A CIRCUITO CHIUSO; DIAMETRO NOMINALE (Ø) [MM] = 15; PRESSIONE MASSIMA IN ENTRATA [BAR] = 16 | CAMPO DI REGOLAZIONE [BAR] = 0,3 ÷ 0,4 | TEMPERATURA MASSIMA DI ESERCIZIO [°C] = 70. INCLUSO: RUBINETTO; FILTRO; VALVOLA DI NON RITORNO; MANOMETRO 
LV INSTALLAZIONE.</t>
        </is>
      </c>
      <c r="M306" s="4" t="inlineStr">
        <is>
          <t>CAD</t>
        </is>
      </c>
      <c r="N306" s="5" t="n">
        <v>0.8</v>
      </c>
      <c r="O306" s="45" t="n">
        <v>113.84</v>
      </c>
      <c r="P306" s="45" t="n">
        <v>91.06999999999999</v>
      </c>
      <c r="Q306" s="5" t="n"/>
      <c r="R306" s="6" t="n"/>
      <c r="S306" s="6">
        <f>IF(AND(Q306&lt;&gt;"",R306&lt;&gt;""),Q306*R306,"")</f>
        <v/>
      </c>
      <c r="T306" s="45">
        <f>IF(S306="",P306,S306)</f>
        <v/>
      </c>
      <c r="U306" s="7" t="n">
        <v>0</v>
      </c>
      <c r="V306" s="6">
        <f>$T306*U306</f>
        <v/>
      </c>
      <c r="W306" s="7" t="n">
        <v>0</v>
      </c>
      <c r="X306" s="6">
        <f>$T306*W306</f>
        <v/>
      </c>
      <c r="Y306" s="7" t="n">
        <v>0</v>
      </c>
      <c r="Z306" s="6">
        <f>$T306*Y306</f>
        <v/>
      </c>
      <c r="AA306" s="7" t="n">
        <v>0</v>
      </c>
      <c r="AB306" s="6">
        <f>$T306*AA306</f>
        <v/>
      </c>
      <c r="AC306" s="7" t="n">
        <v>0</v>
      </c>
      <c r="AD306" s="6">
        <f>$T306*AC306</f>
        <v/>
      </c>
      <c r="AE306" s="7" t="n">
        <v>0</v>
      </c>
      <c r="AF306" s="6">
        <f>$T306*AE306</f>
        <v/>
      </c>
      <c r="AG306" s="7" t="n">
        <v>0</v>
      </c>
      <c r="AH306" s="6">
        <f>$T306*AG306</f>
        <v/>
      </c>
      <c r="AI306" s="7">
        <f>U306+W306+Y306+AA306+AC306+AE306+AG306</f>
        <v/>
      </c>
      <c r="AJ306" s="6">
        <f>V306+X306+Z306+AB306+AD306+AF306+AH306</f>
        <v/>
      </c>
    </row>
    <row r="307" ht="60" customHeight="1" s="46">
      <c r="A307" s="3" t="inlineStr">
        <is>
          <t>LOM251.OC.EEA.PA01.F9736.ZA001.0005</t>
        </is>
      </c>
      <c r="B307" s="4" t="inlineStr">
        <is>
          <t>2/2</t>
        </is>
      </c>
      <c r="C307" s="3" t="inlineStr">
        <is>
          <t>IMPIANTO MECCANICO</t>
        </is>
      </c>
      <c r="D307" s="4" t="inlineStr">
        <is>
          <t>SPECIALE</t>
        </is>
      </c>
      <c r="E307" s="4" t="inlineStr">
        <is>
          <t>MECCANICHE SPECIALI</t>
        </is>
      </c>
      <c r="F307" s="3" t="inlineStr">
        <is>
          <t>2_CME_TOTALE MECCANICI RADIOFARMACIA PAVIA.PDF</t>
        </is>
      </c>
      <c r="G307" s="4" t="inlineStr">
        <is>
          <t>66/66</t>
        </is>
      </c>
      <c r="H307" s="3" t="inlineStr">
        <is>
          <t>40 - IMPIANTISTICO</t>
        </is>
      </c>
      <c r="I307" s="3" t="inlineStr">
        <is>
          <t>CENTRALE</t>
        </is>
      </c>
      <c r="J307" s="3" t="inlineStr">
        <is>
          <t>IMPIANTO HVAC</t>
        </is>
      </c>
      <c r="K307" s="3" t="inlineStr">
        <is>
          <t xml:space="preserve">OPERA: ADDOLCITORE D'ACQUA, RIGENERAZIONE A TEMPO; GEOMETRIA: 1 COLONNA; FUNZIONE: TRATTAMENTO ACQUA; PORTATA MASSIMA [M³/H] = 3,5 | CAPACITÀ DI SCAMBIO MINIMA [M³*°F] = 350. INCLUSO: DISPOSITIVO PER </t>
        </is>
      </c>
      <c r="L307" s="3" t="inlineStr">
        <is>
          <t>OPERA: ADDOLCITORE D'ACQUA, RIGENERAZIONE A TEMPO; GEOMETRIA: 1 COLONNA; FUNZIONE: TRATTAMENTO ACQUA; PORTATA MASSIMA [M³/H] = 3,5 | CAPACITÀ DI SCAMBIO MINIMA [M³*°F] = 350. INCLUSO: DISPOSITIVO PER RIGENERAZIONE AUTOMATICA A TEMPO; SERBATOIO SALAMOIA CON ACCESSORI, RESINE E SALE PER PRIMA RIGENERAZIONE. 
LAVORO: INSTALLAZIONE. 
SPECIFICHE TECNICHE: A SCAMBIO DI IONI; COSTRUITO IN MATERIALI RESISTENTI ALLA CORROSIONE E ADATTI PER USO ALIMENTARE. OP ADDOLCITORE D'ACQUA, RIGENERAZIONE A TEMPO; GEOMETRIA: 1 COLONNA; FUNZIONE: TRATTAMENTO ACQUA; PORTATA MASSIMA [M³/H] = 3,5 | CAPACITÀ DI SCAMBIO MINIMA [M³*°F] = 350. INCLUSO: DISPOSITIVO PER RIGENERAZIONE AUTOMATICA A TEMPO; SERBATOIO SALAMOIA CON ACCESSORI, RESINE E SALE PER PRIMA RIGENERAZIONE. 
SPECIFICHE TECNICHE: A SCAMBIO DI IONI; COSTRUITO IN MATERIALI RESISTENTI ALLA CORROSIONE E ADATTI PER USO ALIMENTARE. 
RM ADDOLCITORE D'ACQUA RIGENERAZIONE A TEMPO; GEOMETRIA: 1 COLONNA; FUNZIONE: TRATTAMENTO ACQUA; IMPIEGO: CENTRALE IDRICA; PORTATA MASSIMA [M³/H] = 3,5 | CAPACITÀ DI SCAMBIO MINIMA [M³*°F] = 350. INCLUSO: DISPOSITIVO PER RIGENERAZIONE AUTOMATICA A TEMPO; SERBATOIO SALAMOIA CON ACCESSORI, RESINE E SALE PER PRIMA RIGENERAZIONE 
SPECIFICHE TECNICHE: A SCAMBIO DI IONI; COSTRUITO IN MATERIALI RESISTENTI ALLA CORROSIONE E ADATTI PER USO ALIMENTARE 
LV INSTALLAZIONE.</t>
        </is>
      </c>
      <c r="M307" s="4" t="inlineStr">
        <is>
          <t>CAD</t>
        </is>
      </c>
      <c r="N307" s="5" t="n">
        <v>0.8</v>
      </c>
      <c r="O307" s="45" t="n">
        <v>6427.37</v>
      </c>
      <c r="P307" s="45" t="n">
        <v>5141.9</v>
      </c>
      <c r="Q307" s="5" t="n"/>
      <c r="R307" s="6" t="n"/>
      <c r="S307" s="6">
        <f>IF(AND(Q307&lt;&gt;"",R307&lt;&gt;""),Q307*R307,"")</f>
        <v/>
      </c>
      <c r="T307" s="45">
        <f>IF(S307="",P307,S307)</f>
        <v/>
      </c>
      <c r="U307" s="7" t="n">
        <v>0.5</v>
      </c>
      <c r="V307" s="6">
        <f>$T307*U307</f>
        <v/>
      </c>
      <c r="W307" s="7" t="n">
        <v>0.2</v>
      </c>
      <c r="X307" s="6">
        <f>$T307*W307</f>
        <v/>
      </c>
      <c r="Y307" s="7" t="n">
        <v>0</v>
      </c>
      <c r="Z307" s="6">
        <f>$T307*Y307</f>
        <v/>
      </c>
      <c r="AA307" s="7" t="n">
        <v>0</v>
      </c>
      <c r="AB307" s="6">
        <f>$T307*AA307</f>
        <v/>
      </c>
      <c r="AC307" s="7" t="n">
        <v>0</v>
      </c>
      <c r="AD307" s="6">
        <f>$T307*AC307</f>
        <v/>
      </c>
      <c r="AE307" s="7" t="n">
        <v>0</v>
      </c>
      <c r="AF307" s="6">
        <f>$T307*AE307</f>
        <v/>
      </c>
      <c r="AG307" s="7" t="n">
        <v>0</v>
      </c>
      <c r="AH307" s="6">
        <f>$T307*AG307</f>
        <v/>
      </c>
      <c r="AI307" s="7">
        <f>U307+W307+Y307+AA307+AC307+AE307+AG307</f>
        <v/>
      </c>
      <c r="AJ307" s="6">
        <f>V307+X307+Z307+AB307+AD307+AF307+AH307</f>
        <v/>
      </c>
    </row>
    <row r="308" ht="60" customHeight="1" s="46">
      <c r="A308" s="3" t="inlineStr">
        <is>
          <t>LOM251.OC.EEA.PA01.F6080.ZB010.0000</t>
        </is>
      </c>
      <c r="B308" s="4" t="inlineStr">
        <is>
          <t>1/1</t>
        </is>
      </c>
      <c r="C308" s="3" t="inlineStr">
        <is>
          <t>IMPIANTO MECCANICO</t>
        </is>
      </c>
      <c r="D308" s="4" t="inlineStr">
        <is>
          <t>SPECIALE</t>
        </is>
      </c>
      <c r="E308" s="4" t="inlineStr">
        <is>
          <t>MECCANICHE SPECIALI</t>
        </is>
      </c>
      <c r="F308" s="3" t="inlineStr">
        <is>
          <t>2_CME_TOTALE MECCANICI RADIOFARMACIA PAVIA.PDF</t>
        </is>
      </c>
      <c r="G308" s="4" t="inlineStr">
        <is>
          <t>68/68</t>
        </is>
      </c>
      <c r="H308" s="3" t="inlineStr">
        <is>
          <t>40 - IMPIANTISTICO</t>
        </is>
      </c>
      <c r="I308" s="3" t="inlineStr">
        <is>
          <t>CENTRALE</t>
        </is>
      </c>
      <c r="J308" s="3" t="inlineStr">
        <is>
          <t>IMPIANTO HVAC</t>
        </is>
      </c>
      <c r="K308" s="3" t="inlineStr">
        <is>
          <t xml:space="preserve">OPERA: BATTERIA DI POST-RISCALDAMENTO, AD ACQUA CALDA DI MATERIALE MIX RAME-ALLUMINIO; FUNZIONE: TRATTAMENTO ARIA; IMPIEGO: CONDOTTO; PORTATA ARIA [L/S] ≤ 139 | PORTATA ARIA [M³/H] ≤ 500; TEMPERATURA </t>
        </is>
      </c>
      <c r="L308" s="3" t="inlineStr">
        <is>
          <t>OPERA: BATTERIA DI POST-RISCALDAMENTO, AD ACQUA CALDA DI MATERIALE MIX RAME-ALLUMINIO; FUNZIONE: TRATTAMENTO ARIA; IMPIEGO: CONDOTTO; PORTATA ARIA [L/S] ≤ 139 | PORTATA ARIA [M³/H] ≤ 500; TEMPERATURA INGRESSO ACQUA [°C] ≤ 50. 
LAVORO: INSTALLAZIONE. 
SPECIFICHE TECNICHE: TRATTAMENTO ARIA CON TEMPERATURA [°C] = 15 ÷ 30 . OP BATTERIA DI POST-RISCALDAMENTO, AD ACQUA CALDA DI MATERIALE MIX RAME-ALLUMINIO; FUNZIONE: TRATTAMENTO ARIA; IMPIEGO: CONDOTTO; PORTATA ARIA [L/S] ≤ 139 | PORTATA ARIA [M³/H] ≤ 500; TEMPERATURA INGRESSO ACQUA [°C] ≤ 50. 
SPECIFICHE TECNICHE: TRATTAMENTO ARIA CON TEMPERATURA [°C] = 15 ÷ 30 . 
RM BATTERIA DI POST-RISCALDAMENTO AD ACQUA CALDA DI MATERIALE MIX RAME-ALLUMINIO; FUNZIONE: TRATTAMENTO ARIA; IMPIEGO: CONDOTTO; PORTATA ARIA [L/S] ≤ 139 | PORTATA ARIA [M³/H] ≤ 500; TEMPERATURA INGRESSO ACQUA [°C] ≤ 50 
SPECIFICHE TECNICHE: TRATTAMENTO ARIA CON TEMPERATURA [°C] = 15 ÷ 30  
LV INSTALLAZIONE.</t>
        </is>
      </c>
      <c r="M308" s="4" t="inlineStr">
        <is>
          <t>CAD</t>
        </is>
      </c>
      <c r="N308" s="5" t="n">
        <v>16</v>
      </c>
      <c r="O308" s="45" t="n">
        <v>420.98</v>
      </c>
      <c r="P308" s="45" t="n">
        <v>6735.68</v>
      </c>
      <c r="Q308" s="5" t="n"/>
      <c r="R308" s="6" t="n"/>
      <c r="S308" s="6">
        <f>IF(AND(Q308&lt;&gt;"",R308&lt;&gt;""),Q308*R308,"")</f>
        <v/>
      </c>
      <c r="T308" s="45">
        <f>IF(S308="",P308,S308)</f>
        <v/>
      </c>
      <c r="U308" s="7" t="n">
        <v>0.5</v>
      </c>
      <c r="V308" s="6">
        <f>$T308*U308</f>
        <v/>
      </c>
      <c r="W308" s="7" t="n">
        <v>0.2</v>
      </c>
      <c r="X308" s="6">
        <f>$T308*W308</f>
        <v/>
      </c>
      <c r="Y308" s="7" t="n">
        <v>0</v>
      </c>
      <c r="Z308" s="6">
        <f>$T308*Y308</f>
        <v/>
      </c>
      <c r="AA308" s="7" t="n">
        <v>0</v>
      </c>
      <c r="AB308" s="6">
        <f>$T308*AA308</f>
        <v/>
      </c>
      <c r="AC308" s="7" t="n">
        <v>0</v>
      </c>
      <c r="AD308" s="6">
        <f>$T308*AC308</f>
        <v/>
      </c>
      <c r="AE308" s="7" t="n">
        <v>0</v>
      </c>
      <c r="AF308" s="6">
        <f>$T308*AE308</f>
        <v/>
      </c>
      <c r="AG308" s="7" t="n">
        <v>0</v>
      </c>
      <c r="AH308" s="6">
        <f>$T308*AG308</f>
        <v/>
      </c>
      <c r="AI308" s="7">
        <f>U308+W308+Y308+AA308+AC308+AE308+AG308</f>
        <v/>
      </c>
      <c r="AJ308" s="6">
        <f>V308+X308+Z308+AB308+AD308+AF308+AH308</f>
        <v/>
      </c>
    </row>
    <row r="309" ht="60" customHeight="1" s="46">
      <c r="A309" s="3" t="inlineStr">
        <is>
          <t>LOM251.OC.EEA.PA01.F6080.ZB010.0005</t>
        </is>
      </c>
      <c r="B309" s="4" t="inlineStr">
        <is>
          <t>1/1</t>
        </is>
      </c>
      <c r="C309" s="3" t="inlineStr">
        <is>
          <t>IMPIANTO MECCANICO</t>
        </is>
      </c>
      <c r="D309" s="4" t="inlineStr">
        <is>
          <t>SPECIALE</t>
        </is>
      </c>
      <c r="E309" s="4" t="inlineStr">
        <is>
          <t>MECCANICHE SPECIALI</t>
        </is>
      </c>
      <c r="F309" s="3" t="inlineStr">
        <is>
          <t>2_CME_TOTALE MECCANICI RADIOFARMACIA PAVIA.PDF</t>
        </is>
      </c>
      <c r="G309" s="4" t="inlineStr">
        <is>
          <t>69/69</t>
        </is>
      </c>
      <c r="H309" s="3" t="inlineStr">
        <is>
          <t>40 - IMPIANTISTICO</t>
        </is>
      </c>
      <c r="I309" s="3" t="inlineStr">
        <is>
          <t>CENTRALE</t>
        </is>
      </c>
      <c r="J309" s="3" t="inlineStr">
        <is>
          <t>IMPIANTO HVAC</t>
        </is>
      </c>
      <c r="K309" s="3" t="inlineStr">
        <is>
          <t>OPERA: BATTERIA DI POST-RISCALDAMENTO, AD ACQUA CALDA DI MATERIALE MIX RAME-ALLUMINIO; FUNZIONE: TRATTAMENTO ARIA; IMPIEGO: CONDOTTO; PORTATA ARIA [L/S] = 140 ÷ 278 | PORTATA ARIA [M³/H] = 501 ÷ 1000;</t>
        </is>
      </c>
      <c r="L309" s="3" t="inlineStr">
        <is>
          <t>OPERA: BATTERIA DI POST-RISCALDAMENTO, AD ACQUA CALDA DI MATERIALE MIX RAME-ALLUMINIO; FUNZIONE: TRATTAMENTO ARIA; IMPIEGO: CONDOTTO; PORTATA ARIA [L/S] = 140 ÷ 278 | PORTATA ARIA [M³/H] = 501 ÷ 1000; TEMPERATURA INGRESSO ACQUA [°C] ≤ 50. 
LAVORO: INSTALLAZIONE. 
SPECIFICHE TECNICHE: TRATTAMENTO ARIA CON TEMPERATURA [°C] = 15 ÷ 30 . OP BATTERIA DI POST-RISCALDAMENTO, AD ACQUA CALDA DI MATERIALE MIX RAME-ALLUMINIO; FUNZIONE: TRATTAMENTO ARIA; IMPIEGO: CONDOTTO; PORTATA ARIA [L/S] = 140 ÷ 278 | PORTATA ARIA [M³/H] = 501 ÷ 1000; TEMPERATURA INGRESSO ACQUA [°C] ≤ 50. 
SPECIFICHE TECNICHE: TRATTAMENTO ARIA CON TEMPERATURA [°C] = 15 ÷ 30 . 
RM BATTERIA DI POST-RISCALDAMENTO AD ACQUA CALDA DI MATERIALE MIX RAME-ALLUMINIO; FUNZIONE: TRATTAMENTO ARIA; IMPIEGO: CONDOTTO; PORTATA ARIA [L/S] = 140 ÷ 278 | PORTATA ARIA [M³/H] = 501 ÷ 1000; TEMPERATURA INGRESSO ACQUA [°C] ≤ 50 
SPECIFICHE TECNICHE: TRATTAMENTO ARIA CON TEMPERATURA [°C] = 15 ÷ 30  
LV INSTALLAZIONE.</t>
        </is>
      </c>
      <c r="M309" s="4" t="inlineStr">
        <is>
          <t>CAD</t>
        </is>
      </c>
      <c r="N309" s="5" t="n">
        <v>2</v>
      </c>
      <c r="O309" s="45" t="n">
        <v>717.45</v>
      </c>
      <c r="P309" s="45" t="n">
        <v>1434.9</v>
      </c>
      <c r="Q309" s="5" t="n"/>
      <c r="R309" s="6" t="n"/>
      <c r="S309" s="6">
        <f>IF(AND(Q309&lt;&gt;"",R309&lt;&gt;""),Q309*R309,"")</f>
        <v/>
      </c>
      <c r="T309" s="45">
        <f>IF(S309="",P309,S309)</f>
        <v/>
      </c>
      <c r="U309" s="7" t="n">
        <v>0.5</v>
      </c>
      <c r="V309" s="6">
        <f>$T309*U309</f>
        <v/>
      </c>
      <c r="W309" s="7" t="n">
        <v>0.2</v>
      </c>
      <c r="X309" s="6">
        <f>$T309*W309</f>
        <v/>
      </c>
      <c r="Y309" s="7" t="n">
        <v>0</v>
      </c>
      <c r="Z309" s="6">
        <f>$T309*Y309</f>
        <v/>
      </c>
      <c r="AA309" s="7" t="n">
        <v>0</v>
      </c>
      <c r="AB309" s="6">
        <f>$T309*AA309</f>
        <v/>
      </c>
      <c r="AC309" s="7" t="n">
        <v>0</v>
      </c>
      <c r="AD309" s="6">
        <f>$T309*AC309</f>
        <v/>
      </c>
      <c r="AE309" s="7" t="n">
        <v>0</v>
      </c>
      <c r="AF309" s="6">
        <f>$T309*AE309</f>
        <v/>
      </c>
      <c r="AG309" s="7" t="n">
        <v>0</v>
      </c>
      <c r="AH309" s="6">
        <f>$T309*AG309</f>
        <v/>
      </c>
      <c r="AI309" s="7">
        <f>U309+W309+Y309+AA309+AC309+AE309+AG309</f>
        <v/>
      </c>
      <c r="AJ309" s="6">
        <f>V309+X309+Z309+AB309+AD309+AF309+AH309</f>
        <v/>
      </c>
    </row>
    <row r="310" ht="60" customHeight="1" s="46">
      <c r="A310" s="3" t="inlineStr">
        <is>
          <t>LOM251.OC.EEA.PA01.F6080.ZB010.0010</t>
        </is>
      </c>
      <c r="B310" s="4" t="inlineStr">
        <is>
          <t>1/1</t>
        </is>
      </c>
      <c r="C310" s="3" t="inlineStr">
        <is>
          <t>IMPIANTO MECCANICO</t>
        </is>
      </c>
      <c r="D310" s="4" t="inlineStr">
        <is>
          <t>SPECIALE</t>
        </is>
      </c>
      <c r="E310" s="4" t="inlineStr">
        <is>
          <t>MECCANICHE SPECIALI</t>
        </is>
      </c>
      <c r="F310" s="3" t="inlineStr">
        <is>
          <t>2_CME_TOTALE MECCANICI RADIOFARMACIA PAVIA.PDF</t>
        </is>
      </c>
      <c r="G310" s="4" t="inlineStr">
        <is>
          <t>70/70</t>
        </is>
      </c>
      <c r="H310" s="3" t="inlineStr">
        <is>
          <t>40 - IMPIANTISTICO</t>
        </is>
      </c>
      <c r="I310" s="3" t="inlineStr">
        <is>
          <t>CENTRALE</t>
        </is>
      </c>
      <c r="J310" s="3" t="inlineStr">
        <is>
          <t>IMPIANTO HVAC</t>
        </is>
      </c>
      <c r="K310" s="3" t="inlineStr">
        <is>
          <t>OPERA: BATTERIA DI POST-RISCALDAMENTO, AD ACQUA CALDA DI MATERIALE MIX RAME-ALLUMINIO; FUNZIONE: TRATTAMENTO ARIA; IMPIEGO: CONDOTTO; PORTATA ARIA [L/S] = 279 ÷ 556 | PORTATA ARIA [M³/H] = 1001 ÷ 2000</t>
        </is>
      </c>
      <c r="L310" s="3" t="inlineStr">
        <is>
          <t>OPERA: BATTERIA DI POST-RISCALDAMENTO, AD ACQUA CALDA DI MATERIALE MIX RAME-ALLUMINIO; FUNZIONE: TRATTAMENTO ARIA; IMPIEGO: CONDOTTO; PORTATA ARIA [L/S] = 279 ÷ 556 | PORTATA ARIA [M³/H] = 1001 ÷ 2000; TEMPERATURA INGRESSO ACQUA [°C] ≤ 50. 
LAVORO: INSTALLAZIONE. 
SPECIFICHE TECNICHE: TRATTAMENTO ARIA CON TEMPERATURA [°C] = 15 ÷ 30 . OP BATTERIA DI POST-RISCALDAMENTO, AD ACQUA CALDA DI MATERIALE MIX RAME-ALLUMINIO; FUNZIONE: TRATTAMENTO ARIA; IMPIEGO: CONDOTTO; PORTATA ARIA [L/S] = 279 ÷ 556 | PORTATA ARIA [M³/H] = 1001 ÷ 2000; TEMPERATURA INGRESSO ACQUA [°C] ≤ 50. 
SPECIFICHE TECNICHE: TRATTAMENTO ARIA CON TEMPERATURA [°C] = 15 ÷ 30 . 
RM BATTERIA DI POST-RISCALDAMENTO AD ACQUA CALDA DI MATERIALE MIX RAME-ALLUMINIO; FUNZIONE: TRATTAMENTO ARIA; IMPIEGO: CONDOTTO; PORTATA ARIA [L/S] = 279 ÷ 556 | PORTATA ARIA [M³/H] = 1001 ÷ 2000; TEMPERATURA INGRESSO ACQUA [°C] ≤ 50 
SPECIFICHE TECNICHE: TRATTAMENTO ARIA CON TEMPERATURA [°C] = 15 ÷ 30  
LV INSTALLAZIONE.</t>
        </is>
      </c>
      <c r="M310" s="4" t="inlineStr">
        <is>
          <t>CAD</t>
        </is>
      </c>
      <c r="N310" s="5" t="n">
        <v>5</v>
      </c>
      <c r="O310" s="45" t="n">
        <v>954.62</v>
      </c>
      <c r="P310" s="45" t="n">
        <v>4773.1</v>
      </c>
      <c r="Q310" s="5" t="n"/>
      <c r="R310" s="6" t="n"/>
      <c r="S310" s="6">
        <f>IF(AND(Q310&lt;&gt;"",R310&lt;&gt;""),Q310*R310,"")</f>
        <v/>
      </c>
      <c r="T310" s="45">
        <f>IF(S310="",P310,S310)</f>
        <v/>
      </c>
      <c r="U310" s="7" t="n">
        <v>0.5</v>
      </c>
      <c r="V310" s="6">
        <f>$T310*U310</f>
        <v/>
      </c>
      <c r="W310" s="7" t="n">
        <v>0.2</v>
      </c>
      <c r="X310" s="6">
        <f>$T310*W310</f>
        <v/>
      </c>
      <c r="Y310" s="7" t="n">
        <v>0</v>
      </c>
      <c r="Z310" s="6">
        <f>$T310*Y310</f>
        <v/>
      </c>
      <c r="AA310" s="7" t="n">
        <v>0</v>
      </c>
      <c r="AB310" s="6">
        <f>$T310*AA310</f>
        <v/>
      </c>
      <c r="AC310" s="7" t="n">
        <v>0</v>
      </c>
      <c r="AD310" s="6">
        <f>$T310*AC310</f>
        <v/>
      </c>
      <c r="AE310" s="7" t="n">
        <v>0</v>
      </c>
      <c r="AF310" s="6">
        <f>$T310*AE310</f>
        <v/>
      </c>
      <c r="AG310" s="7" t="n">
        <v>0</v>
      </c>
      <c r="AH310" s="6">
        <f>$T310*AG310</f>
        <v/>
      </c>
      <c r="AI310" s="7">
        <f>U310+W310+Y310+AA310+AC310+AE310+AG310</f>
        <v/>
      </c>
      <c r="AJ310" s="6">
        <f>V310+X310+Z310+AB310+AD310+AF310+AH310</f>
        <v/>
      </c>
    </row>
    <row r="311" hidden="1" ht="60" customHeight="1" s="46">
      <c r="A311" s="3" t="inlineStr">
        <is>
          <t>LOM251.OC.EEA.PA02.I9762.SB001.0005</t>
        </is>
      </c>
      <c r="B311" s="4" t="inlineStr">
        <is>
          <t>1/1</t>
        </is>
      </c>
      <c r="C311" s="3" t="inlineStr">
        <is>
          <t>IMPIANTO MECCANICO</t>
        </is>
      </c>
      <c r="D311" s="4" t="inlineStr">
        <is>
          <t>SPECIALE</t>
        </is>
      </c>
      <c r="E311" s="4" t="inlineStr">
        <is>
          <t>MECCANICHE SPECIALI</t>
        </is>
      </c>
      <c r="F311" s="3" t="inlineStr">
        <is>
          <t>2_CME_TOTALE MECCANICI RADIOFARMACIA PAVIA.PDF</t>
        </is>
      </c>
      <c r="G311" s="4" t="inlineStr">
        <is>
          <t>71/71</t>
        </is>
      </c>
      <c r="H311" s="3" t="inlineStr">
        <is>
          <t>40 - IMPIANTISTICO</t>
        </is>
      </c>
      <c r="I311" s="3" t="inlineStr">
        <is>
          <t>CENTRALE</t>
        </is>
      </c>
      <c r="J311" s="3" t="inlineStr">
        <is>
          <t>IMPIANTO HVAC</t>
        </is>
      </c>
      <c r="K311" s="3" t="inlineStr">
        <is>
          <t>OPERA: VALVOLA, A COMANDO MAGNETICO/ELETTRICO DI LEGA FERROSA ACCIAIO GENERICO; GEOMETRIA: A 2 VIE | A OTTURATORE | ATTACCHI FILETTATI; FUNZIONE: DI REGOLAZIONE; DIAMETRO NOMINALE (Ø) [MM] = 20; PRESS</t>
        </is>
      </c>
      <c r="L311" s="3" t="inlineStr">
        <is>
          <t>OPERA: VALVOLA, A COMANDO MAGNETICO/ELETTRICO DI LEGA FERROSA ACCIAIO GENERICO; GEOMETRIA: A 2 VIE | A OTTURATORE | ATTACCHI FILETTATI; FUNZIONE: DI REGOLAZIONE; DIAMETRO NOMINALE (Ø) [MM] = 20; PRESSIONE NOMINALE [BAR] = 16. INCLUSO: COMANDO MANUALE. 
LAVORO: POSA. 
SPECIFICHE TECNICHE: VALVOLA CON CORPO DI LEGA FERROSA ACCIAIO GENERICO; SERVOCOMANDO MODULANTE MAGNETICO / ELETTRICO. OP VALVOLA, A COMANDO MAGNETICO/ELETTRICO DI LEGA FERROSA ACCIAIO GENERICO; GEOMETRIA: A 2 VIE | A OTTURATORE | ATTACCHI FILETTATI; FUNZIONE: DI REGOLAZIONE; DIAMETRO NOMINALE (Ø) [MM] = 20; PRESSIONE NOMINALE [BAR] = 16. INCLUSO: COMANDO MANUALE. 
SPECIFICHE TECNICHE: VALVOLA CON CORPO DI LEGA FERROSA ACCIAIO GENERICO; SERVOCOMANDO MODULANTE MAGNETICO / ELETTRICO. 
RM VALVOLA A COMANDO MAGNETICO/ELETTRICO DI LEGA FERROSA ACCIAIO GENERICO; GEOMETRIA: A 2 VIE | A OTTURATORE | ATTACCHI FILETTATI; FUNZIONE: DI REGOLAZIONE; DIAMETRO NOMINALE (Ø) [MM] = 20; PRESSIONE NOMINALE [BAR] = 16. INCLUSO: COMANDO MANUALE 
SPECIFICHE TECNICHE: VALVOLA CON CORPO DI LEGA FERROSA ACCIAIO GENERICO; SERVOCOMANDO MODULANTE MAGNETICO / ELETTRICO 
LV POSA.</t>
        </is>
      </c>
      <c r="M311" s="4" t="inlineStr">
        <is>
          <t>CAD</t>
        </is>
      </c>
      <c r="N311" s="5" t="n">
        <v>18</v>
      </c>
      <c r="O311" s="45" t="n">
        <v>0</v>
      </c>
      <c r="P311" s="45" t="n">
        <v>0</v>
      </c>
      <c r="Q311" s="5" t="n"/>
      <c r="R311" s="6" t="n"/>
      <c r="S311" s="6">
        <f>IF(AND(Q311&lt;&gt;"",R311&lt;&gt;""),Q311*R311,"")</f>
        <v/>
      </c>
      <c r="T311" s="45">
        <f>IF(S311="",P311,S311)</f>
        <v/>
      </c>
      <c r="U311" s="7" t="n">
        <v>0</v>
      </c>
      <c r="V311" s="6">
        <f>$T311*U311</f>
        <v/>
      </c>
      <c r="W311" s="7" t="n">
        <v>0</v>
      </c>
      <c r="X311" s="6">
        <f>$T311*W311</f>
        <v/>
      </c>
      <c r="Y311" s="7" t="n">
        <v>0</v>
      </c>
      <c r="Z311" s="6">
        <f>$T311*Y311</f>
        <v/>
      </c>
      <c r="AA311" s="7" t="n">
        <v>0</v>
      </c>
      <c r="AB311" s="6">
        <f>$T311*AA311</f>
        <v/>
      </c>
      <c r="AC311" s="7" t="n">
        <v>0</v>
      </c>
      <c r="AD311" s="6">
        <f>$T311*AC311</f>
        <v/>
      </c>
      <c r="AE311" s="7" t="n">
        <v>0</v>
      </c>
      <c r="AF311" s="6">
        <f>$T311*AE311</f>
        <v/>
      </c>
      <c r="AG311" s="7" t="n">
        <v>0</v>
      </c>
      <c r="AH311" s="6">
        <f>$T311*AG311</f>
        <v/>
      </c>
      <c r="AI311" s="7">
        <f>U311+W311+Y311+AA311+AC311+AE311+AG311</f>
        <v/>
      </c>
      <c r="AJ311" s="6">
        <f>V311+X311+Z311+AB311+AD311+AF311+AH311</f>
        <v/>
      </c>
    </row>
    <row r="312" hidden="1" ht="60" customHeight="1" s="46">
      <c r="A312" s="3" t="inlineStr">
        <is>
          <t>LOM251.OC.EEA.PA02.I9762.SB001.0010</t>
        </is>
      </c>
      <c r="B312" s="4" t="inlineStr">
        <is>
          <t>1/1</t>
        </is>
      </c>
      <c r="C312" s="3" t="inlineStr">
        <is>
          <t>IMPIANTO MECCANICO</t>
        </is>
      </c>
      <c r="D312" s="4" t="inlineStr">
        <is>
          <t>SPECIALE</t>
        </is>
      </c>
      <c r="E312" s="4" t="inlineStr">
        <is>
          <t>MECCANICHE SPECIALI</t>
        </is>
      </c>
      <c r="F312" s="3" t="inlineStr">
        <is>
          <t>2_CME_TOTALE MECCANICI RADIOFARMACIA PAVIA.PDF</t>
        </is>
      </c>
      <c r="G312" s="4" t="inlineStr">
        <is>
          <t>72/72</t>
        </is>
      </c>
      <c r="H312" s="3" t="inlineStr">
        <is>
          <t>40 - IMPIANTISTICO</t>
        </is>
      </c>
      <c r="I312" s="3" t="inlineStr">
        <is>
          <t>CENTRALE</t>
        </is>
      </c>
      <c r="J312" s="3" t="inlineStr">
        <is>
          <t>IMPIANTO HVAC</t>
        </is>
      </c>
      <c r="K312" s="3" t="inlineStr">
        <is>
          <t>OPERA: VALVOLA, A COMANDO MAGNETICO/ELETTRICO DI LEGA FERROSA ACCIAIO GENERICO; GEOMETRIA: A 2 VIE | A OTTURATORE | ATTACCHI FILETTATI; FUNZIONE: DI REGOLAZIONE; DIAMETRO NOMINALE (Ø) [MM] = 25; PRESS</t>
        </is>
      </c>
      <c r="L312" s="3" t="inlineStr">
        <is>
          <t>OPERA: VALVOLA, A COMANDO MAGNETICO/ELETTRICO DI LEGA FERROSA ACCIAIO GENERICO; GEOMETRIA: A 2 VIE | A OTTURATORE | ATTACCHI FILETTATI; FUNZIONE: DI REGOLAZIONE; DIAMETRO NOMINALE (Ø) [MM] = 25; PRESSIONE NOMINALE [BAR] = 16. INCLUSO: COMANDO MANUALE. 
LAVORO: POSA. 
SPECIFICHE TECNICHE: VALVOLA CON CORPO DI LEGA FERROSA ACCIAIO GENERICO; SERVOCOMANDO MODULANTE MAGNETICO / ELETTRICO. OP VALVOLA, A COMANDO MAGNETICO/ELETTRICO DI LEGA FERROSA ACCIAIO GENERICO; GEOMETRIA: A 2 VIE | A OTTURATORE | ATTACCHI FILETTATI; FUNZIONE: DI REGOLAZIONE; DIAMETRO NOMINALE (Ø) [MM] = 25; PRESSIONE NOMINALE [BAR] = 16. INCLUSO: COMANDO MANUALE. 
SPECIFICHE TECNICHE: VALVOLA CON CORPO DI LEGA FERROSA ACCIAIO GENERICO; SERVOCOMANDO MODULANTE MAGNETICO / ELETTRICO. 
RM VALVOLA A COMANDO MAGNETICO/ELETTRICO DI LEGA FERROSA ACCIAIO GENERICO; GEOMETRIA: A 2 VIE | A OTTURATORE | ATTACCHI FILETTATI; FUNZIONE: DI REGOLAZIONE; DIAMETRO NOMINALE (Ø) [MM] = 25; PRESSIONE NOMINALE [BAR] = 16. INCLUSO: COMANDO MANUALE 
SPECIFICHE TECNICHE: VALVOLA CON CORPO DI LEGA FERROSA ACCIAIO GENERICO; SERVOCOMANDO MODULANTE MAGNETICO / ELETTRICO 
LV POSA.</t>
        </is>
      </c>
      <c r="M312" s="4" t="inlineStr">
        <is>
          <t>CAD</t>
        </is>
      </c>
      <c r="N312" s="5" t="n">
        <v>5</v>
      </c>
      <c r="O312" s="45" t="n">
        <v>0</v>
      </c>
      <c r="P312" s="45" t="n">
        <v>0</v>
      </c>
      <c r="Q312" s="5" t="n"/>
      <c r="R312" s="6" t="n"/>
      <c r="S312" s="6">
        <f>IF(AND(Q312&lt;&gt;"",R312&lt;&gt;""),Q312*R312,"")</f>
        <v/>
      </c>
      <c r="T312" s="45">
        <f>IF(S312="",P312,S312)</f>
        <v/>
      </c>
      <c r="U312" s="7" t="n">
        <v>0</v>
      </c>
      <c r="V312" s="6">
        <f>$T312*U312</f>
        <v/>
      </c>
      <c r="W312" s="7" t="n">
        <v>0</v>
      </c>
      <c r="X312" s="6">
        <f>$T312*W312</f>
        <v/>
      </c>
      <c r="Y312" s="7" t="n">
        <v>0</v>
      </c>
      <c r="Z312" s="6">
        <f>$T312*Y312</f>
        <v/>
      </c>
      <c r="AA312" s="7" t="n">
        <v>0</v>
      </c>
      <c r="AB312" s="6">
        <f>$T312*AA312</f>
        <v/>
      </c>
      <c r="AC312" s="7" t="n">
        <v>0</v>
      </c>
      <c r="AD312" s="6">
        <f>$T312*AC312</f>
        <v/>
      </c>
      <c r="AE312" s="7" t="n">
        <v>0</v>
      </c>
      <c r="AF312" s="6">
        <f>$T312*AE312</f>
        <v/>
      </c>
      <c r="AG312" s="7" t="n">
        <v>0</v>
      </c>
      <c r="AH312" s="6">
        <f>$T312*AG312</f>
        <v/>
      </c>
      <c r="AI312" s="7">
        <f>U312+W312+Y312+AA312+AC312+AE312+AG312</f>
        <v/>
      </c>
      <c r="AJ312" s="6">
        <f>V312+X312+Z312+AB312+AD312+AF312+AH312</f>
        <v/>
      </c>
    </row>
    <row r="313" hidden="1" ht="60" customHeight="1" s="46">
      <c r="A313" s="3" t="inlineStr">
        <is>
          <t>LOM251.OC.EEA.PA02.I9762.SB001.0075</t>
        </is>
      </c>
      <c r="B313" s="4" t="inlineStr">
        <is>
          <t>1/1</t>
        </is>
      </c>
      <c r="C313" s="3" t="inlineStr">
        <is>
          <t>IMPIANTO MECCANICO</t>
        </is>
      </c>
      <c r="D313" s="4" t="inlineStr">
        <is>
          <t>SPECIALE</t>
        </is>
      </c>
      <c r="E313" s="4" t="inlineStr">
        <is>
          <t>MECCANICHE SPECIALI</t>
        </is>
      </c>
      <c r="F313" s="3" t="inlineStr">
        <is>
          <t>2_CME_TOTALE MECCANICI RADIOFARMACIA PAVIA.PDF</t>
        </is>
      </c>
      <c r="G313" s="4" t="inlineStr">
        <is>
          <t>73/73</t>
        </is>
      </c>
      <c r="H313" s="3" t="inlineStr">
        <is>
          <t>40 - IMPIANTISTICO</t>
        </is>
      </c>
      <c r="I313" s="3" t="inlineStr">
        <is>
          <t>CENTRALE</t>
        </is>
      </c>
      <c r="J313" s="3" t="inlineStr">
        <is>
          <t>IMPIANTO HVAC</t>
        </is>
      </c>
      <c r="K313" s="3" t="inlineStr">
        <is>
          <t>OPERA: VALVOLA, A COMANDO MAGNETICO/ELETTRICO DI LEGA FERROSA ACCIAIO GENERICO; GEOMETRIA: A 3 VIE | A OTTURATORE | ATTACCHI FILETTATI; FUNZIONE: DI REGOLAZIONE; DIAMETRO NOMINALE (Ø) [MM] = 40; PRESS</t>
        </is>
      </c>
      <c r="L313" s="3" t="inlineStr">
        <is>
          <t>OPERA: VALVOLA, A COMANDO MAGNETICO/ELETTRICO DI LEGA FERROSA ACCIAIO GENERICO; GEOMETRIA: A 3 VIE | A OTTURATORE | ATTACCHI FILETTATI; FUNZIONE: DI REGOLAZIONE; DIAMETRO NOMINALE (Ø) [MM] = 40; PRESSIONE NOMINALE [BAR] = 16. INCLUSO: COMANDO MANUALE. 
LAVORO: POSA. 
SPECIFICHE TECNICHE: VALVOLA CON CORPO DI LEGA FERROSA ACCIAIO GENERICO; SERVOCOMANDO MODULANTE MAGNETICO / ELETTRICO. OP VALVOLA, A COMANDO MAGNETICO/ELETTRICO DI LEGA FERROSA ACCIAIO GENERICO; GEOMETRIA: A 3 VIE | A OTTURATORE | ATTACCHI FILETTATI; FUNZIONE: DI REGOLAZIONE; DIAMETRO NOMINALE (Ø) [MM] = 40; PRESSIONE NOMINALE [BAR] = 16. INCLUSO: COMANDO MANUALE. 
SPECIFICHE TECNICHE: VALVOLA CON CORPO DI LEGA FERROSA ACCIAIO GENERICO; SERVOCOMANDO MODULANTE MAGNETICO / ELETTRICO. 
RM VALVOLA A COMANDO MAGNETICO/ELETTRICO DI LEGA FERROSA ACCIAIO GENERICO; GEOMETRIA: A 3 VIE | A OTTURATORE | ATTACCHI FILETTATI; FUNZIONE: DI REGOLAZIONE; DIAMETRO NOMINALE (Ø) [MM] = 40; PRESSIONE NOMINALE [BAR] = 16. INCLUSO: COMANDO MANUALE 
SPECIFICHE TECNICHE: VALVOLA CON CORPO DI LEGA FERROSA ACCIAIO GENERICO; SERVOCOMANDO MODULANTE MAGNETICO / ELETTRICO 
LV POSA.</t>
        </is>
      </c>
      <c r="M313" s="4" t="inlineStr">
        <is>
          <t>CAD</t>
        </is>
      </c>
      <c r="N313" s="5" t="n">
        <v>2</v>
      </c>
      <c r="O313" s="45" t="n">
        <v>0</v>
      </c>
      <c r="P313" s="45" t="n">
        <v>0</v>
      </c>
      <c r="Q313" s="5" t="n"/>
      <c r="R313" s="6" t="n"/>
      <c r="S313" s="6">
        <f>IF(AND(Q313&lt;&gt;"",R313&lt;&gt;""),Q313*R313,"")</f>
        <v/>
      </c>
      <c r="T313" s="45">
        <f>IF(S313="",P313,S313)</f>
        <v/>
      </c>
      <c r="U313" s="7" t="n">
        <v>0</v>
      </c>
      <c r="V313" s="6">
        <f>$T313*U313</f>
        <v/>
      </c>
      <c r="W313" s="7" t="n">
        <v>0</v>
      </c>
      <c r="X313" s="6">
        <f>$T313*W313</f>
        <v/>
      </c>
      <c r="Y313" s="7" t="n">
        <v>0</v>
      </c>
      <c r="Z313" s="6">
        <f>$T313*Y313</f>
        <v/>
      </c>
      <c r="AA313" s="7" t="n">
        <v>0</v>
      </c>
      <c r="AB313" s="6">
        <f>$T313*AA313</f>
        <v/>
      </c>
      <c r="AC313" s="7" t="n">
        <v>0</v>
      </c>
      <c r="AD313" s="6">
        <f>$T313*AC313</f>
        <v/>
      </c>
      <c r="AE313" s="7" t="n">
        <v>0</v>
      </c>
      <c r="AF313" s="6">
        <f>$T313*AE313</f>
        <v/>
      </c>
      <c r="AG313" s="7" t="n">
        <v>0</v>
      </c>
      <c r="AH313" s="6">
        <f>$T313*AG313</f>
        <v/>
      </c>
      <c r="AI313" s="7">
        <f>U313+W313+Y313+AA313+AC313+AE313+AG313</f>
        <v/>
      </c>
      <c r="AJ313" s="6">
        <f>V313+X313+Z313+AB313+AD313+AF313+AH313</f>
        <v/>
      </c>
    </row>
    <row r="314" hidden="1" ht="60" customHeight="1" s="46">
      <c r="A314" s="3" t="inlineStr">
        <is>
          <t>LOM251.OC.EEA.PA02.I9762.SB001.0095</t>
        </is>
      </c>
      <c r="B314" s="4" t="inlineStr">
        <is>
          <t>1/1</t>
        </is>
      </c>
      <c r="C314" s="3" t="inlineStr">
        <is>
          <t>IMPIANTO MECCANICO</t>
        </is>
      </c>
      <c r="D314" s="4" t="inlineStr">
        <is>
          <t>SPECIALE</t>
        </is>
      </c>
      <c r="E314" s="4" t="inlineStr">
        <is>
          <t>MECCANICHE SPECIALI</t>
        </is>
      </c>
      <c r="F314" s="3" t="inlineStr">
        <is>
          <t>2_CME_TOTALE MECCANICI RADIOFARMACIA PAVIA.PDF</t>
        </is>
      </c>
      <c r="G314" s="4" t="inlineStr">
        <is>
          <t>74/74</t>
        </is>
      </c>
      <c r="H314" s="3" t="inlineStr">
        <is>
          <t>40 - IMPIANTISTICO</t>
        </is>
      </c>
      <c r="I314" s="3" t="inlineStr">
        <is>
          <t>CENTRALE</t>
        </is>
      </c>
      <c r="J314" s="3" t="inlineStr">
        <is>
          <t>IMPIANTO HVAC</t>
        </is>
      </c>
      <c r="K314" s="3" t="inlineStr">
        <is>
          <t>OPERA: VALVOLA, A COMANDO MAGNETICO/ELETTRICO DI LEGA FERROSA ACCIAIO GENERICO; GEOMETRIA: A 3 VIE | A OTTURATORE | ATTACCHI FILETTATI; FUNZIONE: DI REGOLAZIONE; DIAMETRO NOMINALE (Ø) [MM] = 100; PRES</t>
        </is>
      </c>
      <c r="L314" s="3" t="inlineStr">
        <is>
          <t>OPERA: VALVOLA, A COMANDO MAGNETICO/ELETTRICO DI LEGA FERROSA ACCIAIO GENERICO; GEOMETRIA: A 3 VIE | A OTTURATORE | ATTACCHI FILETTATI; FUNZIONE: DI REGOLAZIONE; DIAMETRO NOMINALE (Ø) [MM] = 100; PRESSIONE NOMINALE [BAR] = 16. INCLUSO: COMANDO MANUALE. 
LAVORO: POSA. 
SPECIFICHE TECNICHE: VALVOLA CON CORPO DI LEGA FERROSA ACCIAIO GENERICO; SERVOCOMANDO MODULANTE MAGNETICO / ELETTRICO. OP VALVOLA, A COMANDO MAGNETICO/ELETTRICO DI LEGA FERROSA ACCIAIO GENERICO; GEOMETRIA: A 3 VIE | A OTTURATORE | ATTACCHI FILETTATI; FUNZIONE: DI REGOLAZIONE; DIAMETRO NOMINALE (Ø) [MM] = 100; PRESSIONE NOMINALE [BAR] = 16. INCLUSO: COMANDO MANUALE. 
SPECIFICHE TECNICHE: VALVOLA CON CORPO DI LEGA FERROSA ACCIAIO GENERICO; SERVOCOMANDO MODULANTE MAGNETICO / ELETTRICO. 
RM VALVOLA A COMANDO MAGNETICO/ELETTRICO DI LEGA FERROSA ACCIAIO GENERICO; GEOMETRIA: A 3 VIE | A OTTURATORE | ATTACCHI FILETTATI; FUNZIONE: DI REGOLAZIONE; DIAMETRO NOMINALE (Ø) [MM] = 100; PRESSIONE NOMINALE [BAR] = 16. INCLUSO: COMANDO MANUALE 
SPECIFICHE TECNICHE: VALVOLA CON CORPO DI LEGA FERROSA ACCIAIO GENERICO; SERVOCOMANDO MODULANTE MAGNETICO / ELETTRICO 
LV POSA.</t>
        </is>
      </c>
      <c r="M314" s="4" t="inlineStr">
        <is>
          <t>CAD</t>
        </is>
      </c>
      <c r="N314" s="5" t="n">
        <v>1</v>
      </c>
      <c r="O314" s="45" t="n">
        <v>0</v>
      </c>
      <c r="P314" s="45" t="n">
        <v>0</v>
      </c>
      <c r="Q314" s="5" t="n"/>
      <c r="R314" s="6" t="n"/>
      <c r="S314" s="6">
        <f>IF(AND(Q314&lt;&gt;"",R314&lt;&gt;""),Q314*R314,"")</f>
        <v/>
      </c>
      <c r="T314" s="45">
        <f>IF(S314="",P314,S314)</f>
        <v/>
      </c>
      <c r="U314" s="7" t="n">
        <v>0</v>
      </c>
      <c r="V314" s="6">
        <f>$T314*U314</f>
        <v/>
      </c>
      <c r="W314" s="7" t="n">
        <v>0</v>
      </c>
      <c r="X314" s="6">
        <f>$T314*W314</f>
        <v/>
      </c>
      <c r="Y314" s="7" t="n">
        <v>0</v>
      </c>
      <c r="Z314" s="6">
        <f>$T314*Y314</f>
        <v/>
      </c>
      <c r="AA314" s="7" t="n">
        <v>0</v>
      </c>
      <c r="AB314" s="6">
        <f>$T314*AA314</f>
        <v/>
      </c>
      <c r="AC314" s="7" t="n">
        <v>0</v>
      </c>
      <c r="AD314" s="6">
        <f>$T314*AC314</f>
        <v/>
      </c>
      <c r="AE314" s="7" t="n">
        <v>0</v>
      </c>
      <c r="AF314" s="6">
        <f>$T314*AE314</f>
        <v/>
      </c>
      <c r="AG314" s="7" t="n">
        <v>0</v>
      </c>
      <c r="AH314" s="6">
        <f>$T314*AG314</f>
        <v/>
      </c>
      <c r="AI314" s="7">
        <f>U314+W314+Y314+AA314+AC314+AE314+AG314</f>
        <v/>
      </c>
      <c r="AJ314" s="6">
        <f>V314+X314+Z314+AB314+AD314+AF314+AH314</f>
        <v/>
      </c>
    </row>
    <row r="315" hidden="1" ht="60" customHeight="1" s="46">
      <c r="A315" s="3" t="inlineStr">
        <is>
          <t>LOM251.OC.EEA.PA02.I9762.SB001.0090</t>
        </is>
      </c>
      <c r="B315" s="4" t="inlineStr">
        <is>
          <t>1/1</t>
        </is>
      </c>
      <c r="C315" s="3" t="inlineStr">
        <is>
          <t>IMPIANTO MECCANICO</t>
        </is>
      </c>
      <c r="D315" s="4" t="inlineStr">
        <is>
          <t>SPECIALE</t>
        </is>
      </c>
      <c r="E315" s="4" t="inlineStr">
        <is>
          <t>MECCANICHE SPECIALI</t>
        </is>
      </c>
      <c r="F315" s="3" t="inlineStr">
        <is>
          <t>2_CME_TOTALE MECCANICI RADIOFARMACIA PAVIA.PDF</t>
        </is>
      </c>
      <c r="G315" s="4" t="inlineStr">
        <is>
          <t>75/75</t>
        </is>
      </c>
      <c r="H315" s="3" t="inlineStr">
        <is>
          <t>40 - IMPIANTISTICO</t>
        </is>
      </c>
      <c r="I315" s="3" t="inlineStr">
        <is>
          <t>CENTRALE</t>
        </is>
      </c>
      <c r="J315" s="3" t="inlineStr">
        <is>
          <t>IMPIANTO HVAC</t>
        </is>
      </c>
      <c r="K315" s="3" t="inlineStr">
        <is>
          <t>OPERA: VALVOLA, A COMANDO MAGNETICO/ELETTRICO DI LEGA FERROSA ACCIAIO GENERICO; GEOMETRIA: A 3 VIE | A OTTURATORE | ATTACCHI FILETTATI; FUNZIONE: DI REGOLAZIONE; DIAMETRO NOMINALE (Ø) [MM] = 80; PRESS</t>
        </is>
      </c>
      <c r="L315" s="3" t="inlineStr">
        <is>
          <t>OPERA: VALVOLA, A COMANDO MAGNETICO/ELETTRICO DI LEGA FERROSA ACCIAIO GENERICO; GEOMETRIA: A 3 VIE | A OTTURATORE | ATTACCHI FILETTATI; FUNZIONE: DI REGOLAZIONE; DIAMETRO NOMINALE (Ø) [MM] = 80; PRESSIONE NOMINALE [BAR] = 16. INCLUSO: COMANDO MANUALE. 
LAVORO: POSA. 
SPECIFICHE TECNICHE: VALVOLA CON CORPO DI LEGA FERROSA ACCIAIO GENERICO; SERVOCOMANDO MODULANTE MAGNETICO / ELETTRICO. OP VALVOLA, A COMANDO MAGNETICO/ELETTRICO DI LEGA FERROSA ACCIAIO GENERICO; GEOMETRIA: A 3 VIE | A OTTURATORE | ATTACCHI FILETTATI; FUNZIONE: DI REGOLAZIONE; DIAMETRO NOMINALE (Ø) [MM] = 80; PRESSIONE NOMINALE [BAR] = 16. INCLUSO: COMANDO MANUALE. 
SPECIFICHE TECNICHE: VALVOLA CON CORPO DI LEGA FERROSA ACCIAIO GENERICO; SERVOCOMANDO MODULANTE MAGNETICO / ELETTRICO. 
RM VALVOLA A COMANDO MAGNETICO/ELETTRICO DI LEGA FERROSA ACCIAIO GENERICO; GEOMETRIA: A 3 VIE | A OTTURATORE | ATTACCHI FILETTATI; FUNZIONE: DI REGOLAZIONE; DIAMETRO NOMINALE (Ø) [MM] = 80; PRESSIONE NOMINALE [BAR] = 16. INCLUSO: COMANDO MANUALE 
SPECIFICHE TECNICHE: VALVOLA CON CORPO DI LEGA FERROSA ACCIAIO GENERICO; SERVOCOMANDO MODULANTE MAGNETICO / ELETTRICO 
LV POSA.</t>
        </is>
      </c>
      <c r="M315" s="4" t="inlineStr">
        <is>
          <t>CAD</t>
        </is>
      </c>
      <c r="N315" s="5" t="n">
        <v>1</v>
      </c>
      <c r="O315" s="45" t="n">
        <v>0</v>
      </c>
      <c r="P315" s="45" t="n">
        <v>0</v>
      </c>
      <c r="Q315" s="5" t="n"/>
      <c r="R315" s="6" t="n"/>
      <c r="S315" s="6">
        <f>IF(AND(Q315&lt;&gt;"",R315&lt;&gt;""),Q315*R315,"")</f>
        <v/>
      </c>
      <c r="T315" s="45">
        <f>IF(S315="",P315,S315)</f>
        <v/>
      </c>
      <c r="U315" s="7" t="n">
        <v>0</v>
      </c>
      <c r="V315" s="6">
        <f>$T315*U315</f>
        <v/>
      </c>
      <c r="W315" s="7" t="n">
        <v>0</v>
      </c>
      <c r="X315" s="6">
        <f>$T315*W315</f>
        <v/>
      </c>
      <c r="Y315" s="7" t="n">
        <v>0</v>
      </c>
      <c r="Z315" s="6">
        <f>$T315*Y315</f>
        <v/>
      </c>
      <c r="AA315" s="7" t="n">
        <v>0</v>
      </c>
      <c r="AB315" s="6">
        <f>$T315*AA315</f>
        <v/>
      </c>
      <c r="AC315" s="7" t="n">
        <v>0</v>
      </c>
      <c r="AD315" s="6">
        <f>$T315*AC315</f>
        <v/>
      </c>
      <c r="AE315" s="7" t="n">
        <v>0</v>
      </c>
      <c r="AF315" s="6">
        <f>$T315*AE315</f>
        <v/>
      </c>
      <c r="AG315" s="7" t="n">
        <v>0</v>
      </c>
      <c r="AH315" s="6">
        <f>$T315*AG315</f>
        <v/>
      </c>
      <c r="AI315" s="7">
        <f>U315+W315+Y315+AA315+AC315+AE315+AG315</f>
        <v/>
      </c>
      <c r="AJ315" s="6">
        <f>V315+X315+Z315+AB315+AD315+AF315+AH315</f>
        <v/>
      </c>
    </row>
    <row r="316" hidden="1" ht="60" customHeight="1" s="46">
      <c r="A316" s="3" t="inlineStr">
        <is>
          <t>LOM251.OC.EEA.PA02.I9762.SB001.0085</t>
        </is>
      </c>
      <c r="B316" s="4" t="inlineStr">
        <is>
          <t>1/1</t>
        </is>
      </c>
      <c r="C316" s="3" t="inlineStr">
        <is>
          <t>IMPIANTO MECCANICO</t>
        </is>
      </c>
      <c r="D316" s="4" t="inlineStr">
        <is>
          <t>SPECIALE</t>
        </is>
      </c>
      <c r="E316" s="4" t="inlineStr">
        <is>
          <t>MECCANICHE SPECIALI</t>
        </is>
      </c>
      <c r="F316" s="3" t="inlineStr">
        <is>
          <t>2_CME_TOTALE MECCANICI RADIOFARMACIA PAVIA.PDF</t>
        </is>
      </c>
      <c r="G316" s="4" t="inlineStr">
        <is>
          <t>76/76</t>
        </is>
      </c>
      <c r="H316" s="3" t="inlineStr">
        <is>
          <t>40 - IMPIANTISTICO</t>
        </is>
      </c>
      <c r="I316" s="3" t="inlineStr">
        <is>
          <t>CENTRALE</t>
        </is>
      </c>
      <c r="J316" s="3" t="inlineStr">
        <is>
          <t>IMPIANTO HVAC</t>
        </is>
      </c>
      <c r="K316" s="3" t="inlineStr">
        <is>
          <t>OPERA: VALVOLA, A COMANDO MAGNETICO/ELETTRICO DI LEGA FERROSA ACCIAIO GENERICO; GEOMETRIA: A 3 VIE | A OTTURATORE | ATTACCHI FILETTATI; FUNZIONE: DI REGOLAZIONE; DIAMETRO NOMINALE (Ø) [MM] = 65; PRESS</t>
        </is>
      </c>
      <c r="L316" s="3" t="inlineStr">
        <is>
          <t>OPERA: VALVOLA, A COMANDO MAGNETICO/ELETTRICO DI LEGA FERROSA ACCIAIO GENERICO; GEOMETRIA: A 3 VIE | A OTTURATORE | ATTACCHI FILETTATI; FUNZIONE: DI REGOLAZIONE; DIAMETRO NOMINALE (Ø) [MM] = 65; PRESSIONE NOMINALE [BAR] = 16. INCLUSO: COMANDO MANUALE. 
LAVORO: POSA. 
SPECIFICHE TECNICHE: VALVOLA CON CORPO DI LEGA FERROSA ACCIAIO GENERICO; SERVOCOMANDO MODULANTE MAGNETICO / ELETTRICO. OP VALVOLA, A COMANDO MAGNETICO/ELETTRICO DI LEGA FERROSA ACCIAIO GENERICO; GEOMETRIA: A 3 VIE | A OTTURATORE | ATTACCHI FILETTATI; FUNZIONE: DI REGOLAZIONE; DIAMETRO NOMINALE (Ø) [MM] = 65; PRESSIONE NOMINALE [BAR] = 16. INCLUSO: COMANDO MANUALE. 
SPECIFICHE TECNICHE: VALVOLA CON CORPO DI LEGA FERROSA ACCIAIO GENERICO; SERVOCOMANDO MODULANTE MAGNETICO / ELETTRICO. 
RM VALVOLA A COMANDO MAGNETICO/ELETTRICO DI LEGA FERROSA ACCIAIO GENERICO; GEOMETRIA: A 3 VIE | A OTTURATORE | ATTACCHI FILETTATI; FUNZIONE: DI REGOLAZIONE; DIAMETRO NOMINALE (Ø) [MM] = 65; PRESSIONE NOMINALE [BAR] = 16. INCLUSO: COMANDO MANUALE 
SPECIFICHE TECNICHE: VALVOLA CON CORPO DI LEGA FERROSA ACCIAIO GENERICO; SERVOCOMANDO MODULANTE MAGNETICO / ELETTRICO 
LV POSA.</t>
        </is>
      </c>
      <c r="M316" s="4" t="inlineStr">
        <is>
          <t>CAD</t>
        </is>
      </c>
      <c r="N316" s="5" t="n">
        <v>2</v>
      </c>
      <c r="O316" s="45" t="n">
        <v>0</v>
      </c>
      <c r="P316" s="45" t="n">
        <v>0</v>
      </c>
      <c r="Q316" s="5" t="n"/>
      <c r="R316" s="6" t="n"/>
      <c r="S316" s="6">
        <f>IF(AND(Q316&lt;&gt;"",R316&lt;&gt;""),Q316*R316,"")</f>
        <v/>
      </c>
      <c r="T316" s="45">
        <f>IF(S316="",P316,S316)</f>
        <v/>
      </c>
      <c r="U316" s="7" t="n">
        <v>0</v>
      </c>
      <c r="V316" s="6">
        <f>$T316*U316</f>
        <v/>
      </c>
      <c r="W316" s="7" t="n">
        <v>0</v>
      </c>
      <c r="X316" s="6">
        <f>$T316*W316</f>
        <v/>
      </c>
      <c r="Y316" s="7" t="n">
        <v>0</v>
      </c>
      <c r="Z316" s="6">
        <f>$T316*Y316</f>
        <v/>
      </c>
      <c r="AA316" s="7" t="n">
        <v>0</v>
      </c>
      <c r="AB316" s="6">
        <f>$T316*AA316</f>
        <v/>
      </c>
      <c r="AC316" s="7" t="n">
        <v>0</v>
      </c>
      <c r="AD316" s="6">
        <f>$T316*AC316</f>
        <v/>
      </c>
      <c r="AE316" s="7" t="n">
        <v>0</v>
      </c>
      <c r="AF316" s="6">
        <f>$T316*AE316</f>
        <v/>
      </c>
      <c r="AG316" s="7" t="n">
        <v>0</v>
      </c>
      <c r="AH316" s="6">
        <f>$T316*AG316</f>
        <v/>
      </c>
      <c r="AI316" s="7">
        <f>U316+W316+Y316+AA316+AC316+AE316+AG316</f>
        <v/>
      </c>
      <c r="AJ316" s="6">
        <f>V316+X316+Z316+AB316+AD316+AF316+AH316</f>
        <v/>
      </c>
    </row>
    <row r="317" ht="60" customHeight="1" s="46">
      <c r="A317" s="3" t="inlineStr">
        <is>
          <t>LOM251.OC.EEA.PA01.F0939.SB001.0000</t>
        </is>
      </c>
      <c r="B317" s="4" t="inlineStr">
        <is>
          <t>1/1</t>
        </is>
      </c>
      <c r="C317" s="3" t="inlineStr">
        <is>
          <t>IMPIANTO MECCANICO</t>
        </is>
      </c>
      <c r="D317" s="4" t="inlineStr">
        <is>
          <t>SPECIALE</t>
        </is>
      </c>
      <c r="E317" s="4" t="inlineStr">
        <is>
          <t>MECCANICHE SPECIALI</t>
        </is>
      </c>
      <c r="F317" s="3" t="inlineStr">
        <is>
          <t>2_CME_TOTALE MECCANICI RADIOFARMACIA PAVIA.PDF</t>
        </is>
      </c>
      <c r="G317" s="4" t="inlineStr">
        <is>
          <t>77/77</t>
        </is>
      </c>
      <c r="H317" s="3" t="inlineStr">
        <is>
          <t>40 - IMPIANTISTICO</t>
        </is>
      </c>
      <c r="I317" s="3" t="inlineStr">
        <is>
          <t>CENTRALE</t>
        </is>
      </c>
      <c r="J317" s="3" t="inlineStr">
        <is>
          <t>IMPIANTO HVAC</t>
        </is>
      </c>
      <c r="K317" s="3" t="inlineStr">
        <is>
          <t xml:space="preserve">OPERA: CASSETTA MISCELATRICE DI LEGA FERROSA ACCIAIO GENERICO; FUNZIONE: REGOLAZIONE DI PORTATA; IMPIEGO: CONDOTTO DI MANDATA E RIPRESA; DIAMETRO (Ø) [MM] = 125. INCLUSO: REGOLATORE INTERNO. </t>
        </is>
      </c>
      <c r="L317" s="3" t="inlineStr">
        <is>
          <t>OPERA: CASSETTA MISCELATRICE DI LEGA FERROSA ACCIAIO GENERICO; FUNZIONE: REGOLAZIONE DI PORTATA; IMPIEGO: CONDOTTO DI MANDATA E RIPRESA; DIAMETRO (Ø) [MM] = 125. INCLUSO: REGOLATORE INTERNO. 
LAVORO: INSTALLAZIONE.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OP CASSETTA MISCELATRICE DI LEGA FERROSA ACCIAIO GENERICO; FUNZIONE: REGOLAZIONE DI PORTATA; IMPIEGO: CONDOTTO DI MANDATA E RIPRESA; DIAMETRO (Ø) [MM] = 125.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RM CASSETTA MISCELATRICE DI LEGA FERROSA ACCIAIO GENERICO; FUNZIONE: REGOLAZIONE DI PORTATA; IMPIEGO: CONDOTTO DI MANDATA E RIPRESA; DIAMETRO (Ø) [MM] = 125.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LV INSTALLAZIONE.</t>
        </is>
      </c>
      <c r="M317" s="4" t="inlineStr">
        <is>
          <t>CAD</t>
        </is>
      </c>
      <c r="N317" s="5" t="n">
        <v>23</v>
      </c>
      <c r="O317" s="45" t="n">
        <v>634.4400000000001</v>
      </c>
      <c r="P317" s="45" t="n">
        <v>14592.12</v>
      </c>
      <c r="Q317" s="5" t="n"/>
      <c r="R317" s="6" t="n"/>
      <c r="S317" s="6">
        <f>IF(AND(Q317&lt;&gt;"",R317&lt;&gt;""),Q317*R317,"")</f>
        <v/>
      </c>
      <c r="T317" s="45">
        <f>IF(S317="",P317,S317)</f>
        <v/>
      </c>
      <c r="U317" s="7" t="n">
        <v>0.5</v>
      </c>
      <c r="V317" s="6">
        <f>$T317*U317</f>
        <v/>
      </c>
      <c r="W317" s="7" t="n">
        <v>0.2</v>
      </c>
      <c r="X317" s="6">
        <f>$T317*W317</f>
        <v/>
      </c>
      <c r="Y317" s="7" t="n">
        <v>0</v>
      </c>
      <c r="Z317" s="6">
        <f>$T317*Y317</f>
        <v/>
      </c>
      <c r="AA317" s="7" t="n">
        <v>0</v>
      </c>
      <c r="AB317" s="6">
        <f>$T317*AA317</f>
        <v/>
      </c>
      <c r="AC317" s="7" t="n">
        <v>0</v>
      </c>
      <c r="AD317" s="6">
        <f>$T317*AC317</f>
        <v/>
      </c>
      <c r="AE317" s="7" t="n">
        <v>0</v>
      </c>
      <c r="AF317" s="6">
        <f>$T317*AE317</f>
        <v/>
      </c>
      <c r="AG317" s="7" t="n">
        <v>0</v>
      </c>
      <c r="AH317" s="6">
        <f>$T317*AG317</f>
        <v/>
      </c>
      <c r="AI317" s="7">
        <f>U317+W317+Y317+AA317+AC317+AE317+AG317</f>
        <v/>
      </c>
      <c r="AJ317" s="6">
        <f>V317+X317+Z317+AB317+AD317+AF317+AH317</f>
        <v/>
      </c>
    </row>
    <row r="318" ht="60" customHeight="1" s="46">
      <c r="A318" s="3" t="inlineStr">
        <is>
          <t>LOM251.OC.EEA.PA01.F0939.SB001.0005</t>
        </is>
      </c>
      <c r="B318" s="4" t="inlineStr">
        <is>
          <t>1/1</t>
        </is>
      </c>
      <c r="C318" s="3" t="inlineStr">
        <is>
          <t>IMPIANTO MECCANICO</t>
        </is>
      </c>
      <c r="D318" s="4" t="inlineStr">
        <is>
          <t>SPECIALE</t>
        </is>
      </c>
      <c r="E318" s="4" t="inlineStr">
        <is>
          <t>MECCANICHE SPECIALI</t>
        </is>
      </c>
      <c r="F318" s="3" t="inlineStr">
        <is>
          <t>2_CME_TOTALE MECCANICI RADIOFARMACIA PAVIA.PDF</t>
        </is>
      </c>
      <c r="G318" s="4" t="inlineStr">
        <is>
          <t>78/78</t>
        </is>
      </c>
      <c r="H318" s="3" t="inlineStr">
        <is>
          <t>40 - IMPIANTISTICO</t>
        </is>
      </c>
      <c r="I318" s="3" t="inlineStr">
        <is>
          <t>CENTRALE</t>
        </is>
      </c>
      <c r="J318" s="3" t="inlineStr">
        <is>
          <t>IMPIANTO HVAC</t>
        </is>
      </c>
      <c r="K318" s="3" t="inlineStr">
        <is>
          <t xml:space="preserve">OPERA: CASSETTA MISCELATRICE DI LEGA FERROSA ACCIAIO GENERICO; FUNZIONE: REGOLAZIONE DI PORTATA; IMPIEGO: CONDOTTO DI MANDATA E RIPRESA; DIAMETRO (Ø) [MM] = 160. INCLUSO: REGOLATORE INTERNO. </t>
        </is>
      </c>
      <c r="L318" s="3" t="inlineStr">
        <is>
          <t>OPERA: CASSETTA MISCELATRICE DI LEGA FERROSA ACCIAIO GENERICO; FUNZIONE: REGOLAZIONE DI PORTATA; IMPIEGO: CONDOTTO DI MANDATA E RIPRESA; DIAMETRO (Ø) [MM] = 160. INCLUSO: REGOLATORE INTERNO. 
LAVORO: INSTALLAZIONE.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OP CASSETTA MISCELATRICE DI LEGA FERROSA ACCIAIO GENERICO; FUNZIONE: REGOLAZIONE DI PORTATA; IMPIEGO: CONDOTTO DI MANDATA E RIPRESA; DIAMETRO (Ø) [MM] = 160.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RM CASSETTA MISCELATRICE DI LEGA FERROSA ACCIAIO GENERICO; FUNZIONE: REGOLAZIONE DI PORTATA; IMPIEGO: CONDOTTO DI MANDATA E RIPRESA; DIAMETRO (Ø) [MM] = 160.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LV INSTALLAZIONE.</t>
        </is>
      </c>
      <c r="M318" s="4" t="inlineStr">
        <is>
          <t>CAD</t>
        </is>
      </c>
      <c r="N318" s="5" t="n">
        <v>14</v>
      </c>
      <c r="O318" s="45" t="n">
        <v>646.29</v>
      </c>
      <c r="P318" s="45" t="n">
        <v>9048.059999999999</v>
      </c>
      <c r="Q318" s="5" t="n"/>
      <c r="R318" s="6" t="n"/>
      <c r="S318" s="6">
        <f>IF(AND(Q318&lt;&gt;"",R318&lt;&gt;""),Q318*R318,"")</f>
        <v/>
      </c>
      <c r="T318" s="45">
        <f>IF(S318="",P318,S318)</f>
        <v/>
      </c>
      <c r="U318" s="7" t="n">
        <v>0.5</v>
      </c>
      <c r="V318" s="6">
        <f>$T318*U318</f>
        <v/>
      </c>
      <c r="W318" s="7" t="n">
        <v>0.2</v>
      </c>
      <c r="X318" s="6">
        <f>$T318*W318</f>
        <v/>
      </c>
      <c r="Y318" s="7" t="n">
        <v>0</v>
      </c>
      <c r="Z318" s="6">
        <f>$T318*Y318</f>
        <v/>
      </c>
      <c r="AA318" s="7" t="n">
        <v>0</v>
      </c>
      <c r="AB318" s="6">
        <f>$T318*AA318</f>
        <v/>
      </c>
      <c r="AC318" s="7" t="n">
        <v>0</v>
      </c>
      <c r="AD318" s="6">
        <f>$T318*AC318</f>
        <v/>
      </c>
      <c r="AE318" s="7" t="n">
        <v>0</v>
      </c>
      <c r="AF318" s="6">
        <f>$T318*AE318</f>
        <v/>
      </c>
      <c r="AG318" s="7" t="n">
        <v>0</v>
      </c>
      <c r="AH318" s="6">
        <f>$T318*AG318</f>
        <v/>
      </c>
      <c r="AI318" s="7">
        <f>U318+W318+Y318+AA318+AC318+AE318+AG318</f>
        <v/>
      </c>
      <c r="AJ318" s="6">
        <f>V318+X318+Z318+AB318+AD318+AF318+AH318</f>
        <v/>
      </c>
    </row>
    <row r="319" ht="60" customHeight="1" s="46">
      <c r="A319" s="3" t="inlineStr">
        <is>
          <t>LOM251.OC.EEA.PA01.F0939.SB001.0010</t>
        </is>
      </c>
      <c r="B319" s="4" t="inlineStr">
        <is>
          <t>1/1</t>
        </is>
      </c>
      <c r="C319" s="3" t="inlineStr">
        <is>
          <t>IMPIANTO MECCANICO</t>
        </is>
      </c>
      <c r="D319" s="4" t="inlineStr">
        <is>
          <t>SPECIALE</t>
        </is>
      </c>
      <c r="E319" s="4" t="inlineStr">
        <is>
          <t>MECCANICHE SPECIALI</t>
        </is>
      </c>
      <c r="F319" s="3" t="inlineStr">
        <is>
          <t>2_CME_TOTALE MECCANICI RADIOFARMACIA PAVIA.PDF</t>
        </is>
      </c>
      <c r="G319" s="4" t="inlineStr">
        <is>
          <t>79/79</t>
        </is>
      </c>
      <c r="H319" s="3" t="inlineStr">
        <is>
          <t>40 - IMPIANTISTICO</t>
        </is>
      </c>
      <c r="I319" s="3" t="inlineStr">
        <is>
          <t>CENTRALE</t>
        </is>
      </c>
      <c r="J319" s="3" t="inlineStr">
        <is>
          <t>IMPIANTO HVAC</t>
        </is>
      </c>
      <c r="K319" s="3" t="inlineStr">
        <is>
          <t xml:space="preserve">OPERA: CASSETTA MISCELATRICE DI LEGA FERROSA ACCIAIO GENERICO; FUNZIONE: REGOLAZIONE DI PORTATA; IMPIEGO: CONDOTTO DI MANDATA E RIPRESA; DIAMETRO (Ø) [MM] = 200. INCLUSO: REGOLATORE INTERNO. </t>
        </is>
      </c>
      <c r="L319" s="3" t="inlineStr">
        <is>
          <t>OPERA: CASSETTA MISCELATRICE DI LEGA FERROSA ACCIAIO GENERICO; FUNZIONE: REGOLAZIONE DI PORTATA; IMPIEGO: CONDOTTO DI MANDATA E RIPRESA; DIAMETRO (Ø) [MM] = 200. INCLUSO: REGOLATORE INTERNO. 
LAVORO: INSTALLAZIONE.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OP CASSETTA MISCELATRICE DI LEGA FERROSA ACCIAIO GENERICO; FUNZIONE: REGOLAZIONE DI PORTATA; IMPIEGO: CONDOTTO DI MANDATA E RIPRESA; DIAMETRO (Ø) [MM] = 200.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RM CASSETTA MISCELATRICE DI LEGA FERROSA ACCIAIO GENERICO; FUNZIONE: REGOLAZIONE DI PORTATA; IMPIEGO: CONDOTTO DI MANDATA E RIPRESA; DIAMETRO (Ø) [MM] = 200.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LV INSTALLAZIONE.</t>
        </is>
      </c>
      <c r="M319" s="4" t="inlineStr">
        <is>
          <t>CAD</t>
        </is>
      </c>
      <c r="N319" s="5" t="n">
        <v>5</v>
      </c>
      <c r="O319" s="45" t="n">
        <v>658.15</v>
      </c>
      <c r="P319" s="45" t="n">
        <v>3290.75</v>
      </c>
      <c r="Q319" s="5" t="n"/>
      <c r="R319" s="6" t="n"/>
      <c r="S319" s="6">
        <f>IF(AND(Q319&lt;&gt;"",R319&lt;&gt;""),Q319*R319,"")</f>
        <v/>
      </c>
      <c r="T319" s="45">
        <f>IF(S319="",P319,S319)</f>
        <v/>
      </c>
      <c r="U319" s="7" t="n">
        <v>0.5</v>
      </c>
      <c r="V319" s="6">
        <f>$T319*U319</f>
        <v/>
      </c>
      <c r="W319" s="7" t="n">
        <v>0.2</v>
      </c>
      <c r="X319" s="6">
        <f>$T319*W319</f>
        <v/>
      </c>
      <c r="Y319" s="7" t="n">
        <v>0</v>
      </c>
      <c r="Z319" s="6">
        <f>$T319*Y319</f>
        <v/>
      </c>
      <c r="AA319" s="7" t="n">
        <v>0</v>
      </c>
      <c r="AB319" s="6">
        <f>$T319*AA319</f>
        <v/>
      </c>
      <c r="AC319" s="7" t="n">
        <v>0</v>
      </c>
      <c r="AD319" s="6">
        <f>$T319*AC319</f>
        <v/>
      </c>
      <c r="AE319" s="7" t="n">
        <v>0</v>
      </c>
      <c r="AF319" s="6">
        <f>$T319*AE319</f>
        <v/>
      </c>
      <c r="AG319" s="7" t="n">
        <v>0</v>
      </c>
      <c r="AH319" s="6">
        <f>$T319*AG319</f>
        <v/>
      </c>
      <c r="AI319" s="7">
        <f>U319+W319+Y319+AA319+AC319+AE319+AG319</f>
        <v/>
      </c>
      <c r="AJ319" s="6">
        <f>V319+X319+Z319+AB319+AD319+AF319+AH319</f>
        <v/>
      </c>
    </row>
    <row r="320" ht="60" customHeight="1" s="46">
      <c r="A320" s="3" t="inlineStr">
        <is>
          <t>LOM251.OC.EEA.PA01.F0939.SB001.0015</t>
        </is>
      </c>
      <c r="B320" s="4" t="inlineStr">
        <is>
          <t>1/1</t>
        </is>
      </c>
      <c r="C320" s="3" t="inlineStr">
        <is>
          <t>IMPIANTO MECCANICO</t>
        </is>
      </c>
      <c r="D320" s="4" t="inlineStr">
        <is>
          <t>SPECIALE</t>
        </is>
      </c>
      <c r="E320" s="4" t="inlineStr">
        <is>
          <t>MECCANICHE SPECIALI</t>
        </is>
      </c>
      <c r="F320" s="3" t="inlineStr">
        <is>
          <t>2_CME_TOTALE MECCANICI RADIOFARMACIA PAVIA.PDF</t>
        </is>
      </c>
      <c r="G320" s="4" t="inlineStr">
        <is>
          <t>80/80</t>
        </is>
      </c>
      <c r="H320" s="3" t="inlineStr">
        <is>
          <t>40 - IMPIANTISTICO</t>
        </is>
      </c>
      <c r="I320" s="3" t="inlineStr">
        <is>
          <t>CENTRALE</t>
        </is>
      </c>
      <c r="J320" s="3" t="inlineStr">
        <is>
          <t>IMPIANTO HVAC</t>
        </is>
      </c>
      <c r="K320" s="3" t="inlineStr">
        <is>
          <t xml:space="preserve">OPERA: CASSETTA MISCELATRICE DI LEGA FERROSA ACCIAIO GENERICO; FUNZIONE: REGOLAZIONE DI PORTATA; IMPIEGO: CONDOTTO DI MANDATA E RIPRESA; DIAMETRO (Ø) [MM] = 250. INCLUSO: REGOLATORE INTERNO. </t>
        </is>
      </c>
      <c r="L320" s="3" t="inlineStr">
        <is>
          <t>OPERA: CASSETTA MISCELATRICE DI LEGA FERROSA ACCIAIO GENERICO; FUNZIONE: REGOLAZIONE DI PORTATA; IMPIEGO: CONDOTTO DI MANDATA E RIPRESA; DIAMETRO (Ø) [MM] = 250. INCLUSO: REGOLATORE INTERNO. 
LAVORO: INSTALLAZIONE.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OP CASSETTA MISCELATRICE DI LEGA FERROSA ACCIAIO GENERICO; FUNZIONE: REGOLAZIONE DI PORTATA; IMPIEGO: CONDOTTO DI MANDATA E RIPRESA; DIAMETRO (Ø) [MM] = 250.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RM CASSETTA MISCELATRICE DI LEGA FERROSA ACCIAIO GENERICO; FUNZIONE: REGOLAZIONE DI PORTATA; IMPIEGO: CONDOTTO DI MANDATA E RIPRESA; DIAMETRO (Ø) [MM] = 250.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LV INSTALLAZIONE.</t>
        </is>
      </c>
      <c r="M320" s="4" t="inlineStr">
        <is>
          <t>CAD</t>
        </is>
      </c>
      <c r="N320" s="5" t="n">
        <v>5</v>
      </c>
      <c r="O320" s="45" t="n">
        <v>670.01</v>
      </c>
      <c r="P320" s="45" t="n">
        <v>3350.05</v>
      </c>
      <c r="Q320" s="5" t="n"/>
      <c r="R320" s="6" t="n"/>
      <c r="S320" s="6">
        <f>IF(AND(Q320&lt;&gt;"",R320&lt;&gt;""),Q320*R320,"")</f>
        <v/>
      </c>
      <c r="T320" s="45">
        <f>IF(S320="",P320,S320)</f>
        <v/>
      </c>
      <c r="U320" s="7" t="n">
        <v>0.5</v>
      </c>
      <c r="V320" s="6">
        <f>$T320*U320</f>
        <v/>
      </c>
      <c r="W320" s="7" t="n">
        <v>0.2</v>
      </c>
      <c r="X320" s="6">
        <f>$T320*W320</f>
        <v/>
      </c>
      <c r="Y320" s="7" t="n">
        <v>0</v>
      </c>
      <c r="Z320" s="6">
        <f>$T320*Y320</f>
        <v/>
      </c>
      <c r="AA320" s="7" t="n">
        <v>0</v>
      </c>
      <c r="AB320" s="6">
        <f>$T320*AA320</f>
        <v/>
      </c>
      <c r="AC320" s="7" t="n">
        <v>0</v>
      </c>
      <c r="AD320" s="6">
        <f>$T320*AC320</f>
        <v/>
      </c>
      <c r="AE320" s="7" t="n">
        <v>0</v>
      </c>
      <c r="AF320" s="6">
        <f>$T320*AE320</f>
        <v/>
      </c>
      <c r="AG320" s="7" t="n">
        <v>0</v>
      </c>
      <c r="AH320" s="6">
        <f>$T320*AG320</f>
        <v/>
      </c>
      <c r="AI320" s="7">
        <f>U320+W320+Y320+AA320+AC320+AE320+AG320</f>
        <v/>
      </c>
      <c r="AJ320" s="6">
        <f>V320+X320+Z320+AB320+AD320+AF320+AH320</f>
        <v/>
      </c>
    </row>
    <row r="321" ht="60" customHeight="1" s="46">
      <c r="A321" s="3" t="inlineStr">
        <is>
          <t>LOM251.OC.EEA.PA01.F0939.SB001.0020</t>
        </is>
      </c>
      <c r="B321" s="4" t="inlineStr">
        <is>
          <t>1/1</t>
        </is>
      </c>
      <c r="C321" s="3" t="inlineStr">
        <is>
          <t>IMPIANTO MECCANICO</t>
        </is>
      </c>
      <c r="D321" s="4" t="inlineStr">
        <is>
          <t>SPECIALE</t>
        </is>
      </c>
      <c r="E321" s="4" t="inlineStr">
        <is>
          <t>MECCANICHE SPECIALI</t>
        </is>
      </c>
      <c r="F321" s="3" t="inlineStr">
        <is>
          <t>2_CME_TOTALE MECCANICI RADIOFARMACIA PAVIA.PDF</t>
        </is>
      </c>
      <c r="G321" s="4" t="inlineStr">
        <is>
          <t>81/81</t>
        </is>
      </c>
      <c r="H321" s="3" t="inlineStr">
        <is>
          <t>40 - IMPIANTISTICO</t>
        </is>
      </c>
      <c r="I321" s="3" t="inlineStr">
        <is>
          <t>CENTRALE</t>
        </is>
      </c>
      <c r="J321" s="3" t="inlineStr">
        <is>
          <t>IMPIANTO HVAC</t>
        </is>
      </c>
      <c r="K321" s="3" t="inlineStr">
        <is>
          <t xml:space="preserve">OPERA: CASSETTA MISCELATRICE DI LEGA FERROSA ACCIAIO GENERICO; FUNZIONE: REGOLAZIONE DI PORTATA; IMPIEGO: CONDOTTO DI MANDATA E RIPRESA; DIAMETRO (Ø) [MM] = 315. INCLUSO: REGOLATORE INTERNO. </t>
        </is>
      </c>
      <c r="L321" s="3" t="inlineStr">
        <is>
          <t>OPERA: CASSETTA MISCELATRICE DI LEGA FERROSA ACCIAIO GENERICO; FUNZIONE: REGOLAZIONE DI PORTATA; IMPIEGO: CONDOTTO DI MANDATA E RIPRESA; DIAMETRO (Ø) [MM] = 315. INCLUSO: REGOLATORE INTERNO. 
LAVORO: INSTALLAZIONE.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OP CASSETTA MISCELATRICE DI LEGA FERROSA ACCIAIO GENERICO; FUNZIONE: REGOLAZIONE DI PORTATA; IMPIEGO: CONDOTTO DI MANDATA E RIPRESA; DIAMETRO (Ø) [MM] = 315.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RM CASSETTA MISCELATRICE DI LEGA FERROSA ACCIAIO GENERICO; FUNZIONE: REGOLAZIONE DI PORTATA; IMPIEGO: CONDOTTO DI MANDATA E RIPRESA; DIAMETRO (Ø) [MM] = 315.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LV INSTALLAZIONE.</t>
        </is>
      </c>
      <c r="M321" s="4" t="inlineStr">
        <is>
          <t>CAD</t>
        </is>
      </c>
      <c r="N321" s="5" t="n">
        <v>1</v>
      </c>
      <c r="O321" s="45" t="n">
        <v>705.59</v>
      </c>
      <c r="P321" s="45" t="n">
        <v>705.59</v>
      </c>
      <c r="Q321" s="5" t="n"/>
      <c r="R321" s="6" t="n"/>
      <c r="S321" s="6">
        <f>IF(AND(Q321&lt;&gt;"",R321&lt;&gt;""),Q321*R321,"")</f>
        <v/>
      </c>
      <c r="T321" s="45">
        <f>IF(S321="",P321,S321)</f>
        <v/>
      </c>
      <c r="U321" s="7" t="n">
        <v>0.5</v>
      </c>
      <c r="V321" s="6">
        <f>$T321*U321</f>
        <v/>
      </c>
      <c r="W321" s="7" t="n">
        <v>0.2</v>
      </c>
      <c r="X321" s="6">
        <f>$T321*W321</f>
        <v/>
      </c>
      <c r="Y321" s="7" t="n">
        <v>0</v>
      </c>
      <c r="Z321" s="6">
        <f>$T321*Y321</f>
        <v/>
      </c>
      <c r="AA321" s="7" t="n">
        <v>0</v>
      </c>
      <c r="AB321" s="6">
        <f>$T321*AA321</f>
        <v/>
      </c>
      <c r="AC321" s="7" t="n">
        <v>0</v>
      </c>
      <c r="AD321" s="6">
        <f>$T321*AC321</f>
        <v/>
      </c>
      <c r="AE321" s="7" t="n">
        <v>0</v>
      </c>
      <c r="AF321" s="6">
        <f>$T321*AE321</f>
        <v/>
      </c>
      <c r="AG321" s="7" t="n">
        <v>0</v>
      </c>
      <c r="AH321" s="6">
        <f>$T321*AG321</f>
        <v/>
      </c>
      <c r="AI321" s="7">
        <f>U321+W321+Y321+AA321+AC321+AE321+AG321</f>
        <v/>
      </c>
      <c r="AJ321" s="6">
        <f>V321+X321+Z321+AB321+AD321+AF321+AH321</f>
        <v/>
      </c>
    </row>
    <row r="322" ht="60" customHeight="1" s="46">
      <c r="A322" s="3" t="inlineStr">
        <is>
          <t>LOM251.OC.EEA.PA02.F7410.D0001.0250</t>
        </is>
      </c>
      <c r="B322" s="4" t="inlineStr">
        <is>
          <t>1/1</t>
        </is>
      </c>
      <c r="C322" s="3" t="inlineStr">
        <is>
          <t>IMPIANTO MECCANICO</t>
        </is>
      </c>
      <c r="D322" s="4" t="inlineStr">
        <is>
          <t>SPECIALE</t>
        </is>
      </c>
      <c r="E322" s="4" t="inlineStr">
        <is>
          <t>MECCANICHE SPECIALI</t>
        </is>
      </c>
      <c r="F322" s="3" t="inlineStr">
        <is>
          <t>2_CME_TOTALE MECCANICI RADIOFARMACIA PAVIA.PDF</t>
        </is>
      </c>
      <c r="G322" s="4" t="inlineStr">
        <is>
          <t>82/82</t>
        </is>
      </c>
      <c r="H322" s="3" t="inlineStr">
        <is>
          <t>40 - IMPIANTISTICO</t>
        </is>
      </c>
      <c r="I322" s="3" t="inlineStr">
        <is>
          <t>CENTRALE</t>
        </is>
      </c>
      <c r="J322" s="3" t="inlineStr">
        <is>
          <t>IMPIANTO HVAC</t>
        </is>
      </c>
      <c r="K322" s="3" t="inlineStr">
        <is>
          <t>OPERA: CONDOTTO, DA INTERNO DI PLASTICA POLIURETANO ESPANSO; FINITURA: LEGA ALLUMINIO GENERICO; FUNZIONE: DISTRIBUZIONE ARIA; IMPIEGO: IMPIANTO DI CLIMATIZZAZIONE; SPESSORE TOTALE [MM] = 20 ÷ 25 | SPE</t>
        </is>
      </c>
      <c r="L322" s="3" t="inlineStr">
        <is>
          <t>OPERA: CONDOTTO, DA INTERNO DI PLASTICA POLIURETANO ESPANSO; FINITURA: LEGA ALLUMINIO GENERICO; FUNZIONE: DISTRIBUZIONE ARIA; IMPIEGO: IMPIANTO DI CLIMATIZZAZIONE; SPESSORE TOTALE [MM] = 20 ÷ 25 | SPESSORE FOGLIO DI LEGA ALLUMINIO GENERICO [MM] = 0,08; REAZIONE AL FUOCO [CLASSE] = 0-1; DENSITÀ PANNELLO PLASTICA POLIURETANO ESPANSO [KG/M³] = 45 ÷ 47. INCLUSO: PEZZI SPECIALI; GIUNZIONI; SIGILLATURE; STAFFAGGI. 
LAVORO: POSA. 
SPECIFICHE TECNICHE: PANNELLO SANDWICH ESENTE DA CFC. OP CONDOTTO, DA INTERNO DI PLASTICA POLIURETANO ESPANSO; FINITURA: LEGA ALLUMINIO GENERICO; FUNZIONE: DISTRIBUZIONE ARIA; IMPIEGO: IMPIANTO DI CLIMATIZZAZIONE; SPESSORE TOTALE [MM] = 20 ÷ 25 | SPESSORE FOGLIO DI LEGA ALLUMINIO GENERICO [MM] = 0,08; REAZIONE AL FUOCO [CLASSE] = 0-1; DENSITÀ PANNELLO PLASTICA POLIURETANO ESPANSO [KG/M³] = 45 ÷ 47. INCLUSO: PEZZI SPECIALI; GIUNZIONI; SIGILLATURE; STAFFAGGI. 
SPECIFICHE TECNICHE: PANNELLO SANDWICH ESENTE DA CFC. 
RM CONDOTTO DA INTERNO DI PLASTICA POLIURETANO ESPANSO; FINITURA: LEGA ALLUMINIO GENERICO; FUNZIONE: DISTRIBUZIONE ARIA; IMPIEGO: IMPIANTO DI CLIMATIZZAZIONE; SPESSORE TOTALE [MM] = 20 ÷ 25 | SPESSORE FOGLIO DI LEGA ALLUMINIO GENERICO [MM] = 0,08; REAZIONE AL FUOCO [CLASSE] = 0-1; DENSITÀ PANNELLO PLASTICA POLIURETANO ESPANSO [KG/M³] = 45 ÷ 47. INCLUSO: PEZZI SPECIALI; GIUNZIONI; SIGILLATURE; STAFFAGGI 
SPECIFICHE TECNICHE: PANNELLO SANDWICH ESENTE DA CFC 
LV POSA.</t>
        </is>
      </c>
      <c r="M322" s="4" t="inlineStr">
        <is>
          <t>M²</t>
        </is>
      </c>
      <c r="N322" s="5" t="n">
        <v>360</v>
      </c>
      <c r="O322" s="45" t="n">
        <v>70.56</v>
      </c>
      <c r="P322" s="45" t="n">
        <v>25401.6</v>
      </c>
      <c r="Q322" s="5" t="n"/>
      <c r="R322" s="6" t="n"/>
      <c r="S322" s="6">
        <f>IF(AND(Q322&lt;&gt;"",R322&lt;&gt;""),Q322*R322,"")</f>
        <v/>
      </c>
      <c r="T322" s="45">
        <f>IF(S322="",P322,S322)</f>
        <v/>
      </c>
      <c r="U322" s="7" t="n">
        <v>0</v>
      </c>
      <c r="V322" s="6">
        <f>$T322*U322</f>
        <v/>
      </c>
      <c r="W322" s="7" t="n">
        <v>0.1</v>
      </c>
      <c r="X322" s="6">
        <f>$T322*W322</f>
        <v/>
      </c>
      <c r="Y322" s="7" t="n">
        <v>0</v>
      </c>
      <c r="Z322" s="6">
        <f>$T322*Y322</f>
        <v/>
      </c>
      <c r="AA322" s="7" t="n">
        <v>0</v>
      </c>
      <c r="AB322" s="6">
        <f>$T322*AA322</f>
        <v/>
      </c>
      <c r="AC322" s="7" t="n">
        <v>0</v>
      </c>
      <c r="AD322" s="6">
        <f>$T322*AC322</f>
        <v/>
      </c>
      <c r="AE322" s="7" t="n">
        <v>0</v>
      </c>
      <c r="AF322" s="6">
        <f>$T322*AE322</f>
        <v/>
      </c>
      <c r="AG322" s="7" t="n">
        <v>0</v>
      </c>
      <c r="AH322" s="6">
        <f>$T322*AG322</f>
        <v/>
      </c>
      <c r="AI322" s="7">
        <f>U322+W322+Y322+AA322+AC322+AE322+AG322</f>
        <v/>
      </c>
      <c r="AJ322" s="6">
        <f>V322+X322+Z322+AB322+AD322+AF322+AH322</f>
        <v/>
      </c>
    </row>
    <row r="323" ht="60" customHeight="1" s="46">
      <c r="A323" s="3" t="inlineStr">
        <is>
          <t>LOM251.OC.EEA.PA02.F7410.SB003.0025</t>
        </is>
      </c>
      <c r="B323" s="4" t="inlineStr">
        <is>
          <t>1/1</t>
        </is>
      </c>
      <c r="C323" s="3" t="inlineStr">
        <is>
          <t>IMPIANTO MECCANICO</t>
        </is>
      </c>
      <c r="D323" s="4" t="inlineStr">
        <is>
          <t>SPECIALE</t>
        </is>
      </c>
      <c r="E323" s="4" t="inlineStr">
        <is>
          <t>MECCANICHE SPECIALI</t>
        </is>
      </c>
      <c r="F323" s="3" t="inlineStr">
        <is>
          <t>2_CME_TOTALE MECCANICI RADIOFARMACIA PAVIA.PDF</t>
        </is>
      </c>
      <c r="G323" s="4" t="inlineStr">
        <is>
          <t>83/83</t>
        </is>
      </c>
      <c r="H323" s="3" t="inlineStr">
        <is>
          <t>40 - IMPIANTISTICO</t>
        </is>
      </c>
      <c r="I323" s="3" t="inlineStr">
        <is>
          <t>CENTRALE</t>
        </is>
      </c>
      <c r="J323" s="3" t="inlineStr">
        <is>
          <t>IMPIANTO HVAC</t>
        </is>
      </c>
      <c r="K323" s="3" t="inlineStr">
        <is>
          <t>OPERA: CONDOTTO DI LEGA FERROSA ACCIAIO ZINCATO; FINITURA: LAMIERA; GEOMETRIA: SEZIONE CIRCOLARE; FUNZIONE: DISTRIBUZIONE ARIA; IMPIEGO: IMPIANTO DI CLIMATIZZAZIONE; SPESSORE LAMIERA 1 [MM] = 8 | SPES</t>
        </is>
      </c>
      <c r="L323" s="3" t="inlineStr">
        <is>
          <t>OPERA: CONDOTTO DI LEGA FERROSA ACCIAIO ZINCATO; FINITURA: LAMIERA; GEOMETRIA: SEZIONE CIRCOLARE; FUNZIONE: DISTRIBUZIONE ARIA; IMPIEGO: IMPIANTO DI CLIMATIZZAZIONE; SPESSORE LAMIERA 1 [MM] = 8 | SPESSORE LAMIERA 2 [MM] = 10 | DIAMETRO (Ø) [MM] = 201 ÷ 450. INCLUSO: PEZZI SPECIALI; GRAFFATURE; GIUNZIONI; GUARNIZIONI; SIGILLATURE; STAFFAGGI. 
LAVORO: POSA. 
SPECIFICHE TECNICHE: I PREZZI UNITARI INCLUDONO MAGGIORAZIONE SIA PER COMPLETAMENTI SOPRA INDICATI, SIA PER SFRIDI E DEVONO ESSERE APPLICATI AI PESI TEORICI RICAVATI DALLE DIMENSIONI GEOMETRICHE DEI CANALI (LATI O DIAMETRO MISURATI ALL'INTERNO E LUNGHEZZA MISURATA SULL'ASSE). OP CONDOTTO DI LEGA FERROSA ACCIAIO ZINCATO; FINITURA: LAMIERA; GEOMETRIA: SEZIONE CIRCOLARE; FUNZIONE: DISTRIBUZIONE ARIA; IMPIEGO: IMPIANTO DI CLIMATIZZAZIONE; SPESSORE LAMIERA 1 [MM] = 8 | SPESSORE LAMIERA 2 [MM] = 10 | DIAMETRO (Ø) [MM] = 201 ÷ 450.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RM CONDOTTO DI LEGA FERROSA ACCIAIO ZINCATO; FINITURA: LAMIERA; GEOMETRIA: SEZIONE CIRCOLARE; FUNZIONE: DISTRIBUZIONE ARIA; IMPIEGO: IMPIANTO DI CLIMATIZZAZIONE; SPESSORE LAMIERA 1 [MM] = 8 | SPESSORE LAMIERA 2 [MM] = 10 | DIAMETRO (Ø) [MM] = 201 ÷ 450.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LV POSA.</t>
        </is>
      </c>
      <c r="M323" s="4" t="inlineStr">
        <is>
          <t>KG</t>
        </is>
      </c>
      <c r="N323" s="5" t="n">
        <v>1350</v>
      </c>
      <c r="O323" s="45" t="n">
        <v>9.5</v>
      </c>
      <c r="P323" s="45" t="n">
        <v>12825</v>
      </c>
      <c r="Q323" s="5" t="n"/>
      <c r="R323" s="6" t="n"/>
      <c r="S323" s="6">
        <f>IF(AND(Q323&lt;&gt;"",R323&lt;&gt;""),Q323*R323,"")</f>
        <v/>
      </c>
      <c r="T323" s="45">
        <f>IF(S323="",P323,S323)</f>
        <v/>
      </c>
      <c r="U323" s="7" t="n">
        <v>0</v>
      </c>
      <c r="V323" s="6">
        <f>$T323*U323</f>
        <v/>
      </c>
      <c r="W323" s="7" t="n">
        <v>0.1</v>
      </c>
      <c r="X323" s="6">
        <f>$T323*W323</f>
        <v/>
      </c>
      <c r="Y323" s="7" t="n">
        <v>0</v>
      </c>
      <c r="Z323" s="6">
        <f>$T323*Y323</f>
        <v/>
      </c>
      <c r="AA323" s="7" t="n">
        <v>0</v>
      </c>
      <c r="AB323" s="6">
        <f>$T323*AA323</f>
        <v/>
      </c>
      <c r="AC323" s="7" t="n">
        <v>0</v>
      </c>
      <c r="AD323" s="6">
        <f>$T323*AC323</f>
        <v/>
      </c>
      <c r="AE323" s="7" t="n">
        <v>0</v>
      </c>
      <c r="AF323" s="6">
        <f>$T323*AE323</f>
        <v/>
      </c>
      <c r="AG323" s="7" t="n">
        <v>0</v>
      </c>
      <c r="AH323" s="6">
        <f>$T323*AG323</f>
        <v/>
      </c>
      <c r="AI323" s="7">
        <f>U323+W323+Y323+AA323+AC323+AE323+AG323</f>
        <v/>
      </c>
      <c r="AJ323" s="6">
        <f>V323+X323+Z323+AB323+AD323+AF323+AH323</f>
        <v/>
      </c>
    </row>
    <row r="324" ht="60" customHeight="1" s="46">
      <c r="A324" s="3" t="inlineStr">
        <is>
          <t>LOM251.OC.EEA.PA02.I1500.E0011.0000</t>
        </is>
      </c>
      <c r="B324" s="4" t="inlineStr">
        <is>
          <t>1/3</t>
        </is>
      </c>
      <c r="C324" s="3" t="inlineStr">
        <is>
          <t>IMPIANTO MECCANICO</t>
        </is>
      </c>
      <c r="D324" s="4" t="inlineStr">
        <is>
          <t>SPECIALE</t>
        </is>
      </c>
      <c r="E324" s="4" t="inlineStr">
        <is>
          <t>MECCANICHE SPECIALI</t>
        </is>
      </c>
      <c r="F324" s="3" t="inlineStr">
        <is>
          <t>2_CME_TOTALE MECCANICI RADIOFARMACIA PAVIA.PDF</t>
        </is>
      </c>
      <c r="G324" s="4" t="inlineStr">
        <is>
          <t>84/84</t>
        </is>
      </c>
      <c r="H324" s="3" t="inlineStr">
        <is>
          <t>40 - IMPIANTISTICO</t>
        </is>
      </c>
      <c r="I324" s="3" t="inlineStr">
        <is>
          <t>CENTRALE</t>
        </is>
      </c>
      <c r="J324" s="3" t="inlineStr">
        <is>
          <t>IMPIANTO HVAC</t>
        </is>
      </c>
      <c r="K324" s="3" t="inlineStr">
        <is>
          <t>OPERA: LASTRA DI GOMMA ELASTOMERICA ESPANSA A CELLULE CHIUSE; FUNZIONE: COIBENTAZIONE; IMPIEGO: CONDOTTO; SPESSORE [MM] = 13; RESISTENZA ALLA FIAMMA [CLASSE] = 1; FATTORE DI PERMEABILITÀ (Μ) MINIMO [-</t>
        </is>
      </c>
      <c r="L324" s="3" t="inlineStr">
        <is>
          <t>OPERA: LASTRA DI GOMMA ELASTOMERICA ESPANSA A CELLULE CHIUSE; FUNZIONE: COIBENTAZIONE; IMPIEGO: CONDOTTO; SPESSORE [MM] = 13; RESISTENZA ALLA FIAMMA [CLASSE] = 1; FATTORE DI PERMEABILITÀ (Μ) MINIMO [-] = 4000. 
LAVORO: POSA. 
SPECIFICHE TECNICHE: LASTRA INCOLLATA; GOMMA ELASTOMERICA ESPANSA A CELLULE CHIUSE SENZA ALOGENI NÉ PVC. OP LASTRA DI GOMMA ELASTOMERICA ESPANSA A CELLULE CHIUSE; FUNZIONE: COIBENTAZIONE; IMPIEGO: CONDOTTO; SPESSORE [MM] = 13; RESISTENZA ALLA FIAMMA [CLASSE] = 1; FATTORE DI PERMEABILITÀ (Μ) MINIMO [-] = 4000. 
SPECIFICHE TECNICHE: LASTRA INCOLLATA; GOMMA ELASTOMERICA ESPANSA A CELLULE CHIUSE SENZA ALOGENI NÉ PVC. 
RM LASTRA DI GOMMA ESPANSA A CELLULE CHIUSE; FUNZIONE: COIBENTAZIONE; IMPIEGO: CONDOTTO; SPESSORE [MM] = 13; RESISTENZA ALLA FIAMMA [CLASSE] = 1; FATTORE DI PERMEABILITÀ (Μ) MINIMO [-] = 4000 
SPECIFICHE TECNICHE: LASTRA INCOLLATA; GOMMA ELASTOMERICA ESPANSA A CELLULE CHIUSE SENZA ALOGENI NÉ PVC 
LV POSA.</t>
        </is>
      </c>
      <c r="M324" s="4" t="inlineStr">
        <is>
          <t>M²</t>
        </is>
      </c>
      <c r="N324" s="5" t="n">
        <v>115</v>
      </c>
      <c r="O324" s="45" t="n">
        <v>39.73</v>
      </c>
      <c r="P324" s="45" t="n">
        <v>4568.95</v>
      </c>
      <c r="Q324" s="5" t="n"/>
      <c r="R324" s="6" t="n"/>
      <c r="S324" s="6">
        <f>IF(AND(Q324&lt;&gt;"",R324&lt;&gt;""),Q324*R324,"")</f>
        <v/>
      </c>
      <c r="T324" s="45">
        <f>IF(S324="",P324,S324)</f>
        <v/>
      </c>
      <c r="U324" s="7" t="n">
        <v>0</v>
      </c>
      <c r="V324" s="6">
        <f>$T324*U324</f>
        <v/>
      </c>
      <c r="W324" s="7" t="n">
        <v>0.1</v>
      </c>
      <c r="X324" s="6">
        <f>$T324*W324</f>
        <v/>
      </c>
      <c r="Y324" s="7" t="n">
        <v>0</v>
      </c>
      <c r="Z324" s="6">
        <f>$T324*Y324</f>
        <v/>
      </c>
      <c r="AA324" s="7" t="n">
        <v>0</v>
      </c>
      <c r="AB324" s="6">
        <f>$T324*AA324</f>
        <v/>
      </c>
      <c r="AC324" s="7" t="n">
        <v>0</v>
      </c>
      <c r="AD324" s="6">
        <f>$T324*AC324</f>
        <v/>
      </c>
      <c r="AE324" s="7" t="n">
        <v>0</v>
      </c>
      <c r="AF324" s="6">
        <f>$T324*AE324</f>
        <v/>
      </c>
      <c r="AG324" s="7" t="n">
        <v>0</v>
      </c>
      <c r="AH324" s="6">
        <f>$T324*AG324</f>
        <v/>
      </c>
      <c r="AI324" s="7">
        <f>U324+W324+Y324+AA324+AC324+AE324+AG324</f>
        <v/>
      </c>
      <c r="AJ324" s="6">
        <f>V324+X324+Z324+AB324+AD324+AF324+AH324</f>
        <v/>
      </c>
    </row>
    <row r="325" ht="60" customHeight="1" s="46">
      <c r="A325" s="3" t="inlineStr">
        <is>
          <t>DEI_IT_033414E</t>
        </is>
      </c>
      <c r="B325" s="4" t="inlineStr">
        <is>
          <t>1/1</t>
        </is>
      </c>
      <c r="C325" s="3" t="inlineStr">
        <is>
          <t>IMPIANTO MECCANICO</t>
        </is>
      </c>
      <c r="D325" s="4" t="inlineStr">
        <is>
          <t>SPECIALE</t>
        </is>
      </c>
      <c r="E325" s="4" t="inlineStr">
        <is>
          <t>MECCANICHE SPECIALI</t>
        </is>
      </c>
      <c r="F325" s="3" t="inlineStr">
        <is>
          <t>2_CME_TOTALE MECCANICI RADIOFARMACIA PAVIA.PDF</t>
        </is>
      </c>
      <c r="G325" s="4" t="inlineStr">
        <is>
          <t>85/85</t>
        </is>
      </c>
      <c r="H325" s="3" t="inlineStr">
        <is>
          <t>40 - IMPIANTISTICO</t>
        </is>
      </c>
      <c r="I325" s="3" t="inlineStr">
        <is>
          <t>CENTRALE</t>
        </is>
      </c>
      <c r="J325" s="3" t="inlineStr">
        <is>
          <t>IMPIANTO HVAC</t>
        </is>
      </c>
      <c r="K325" s="3" t="inlineStr">
        <is>
          <t>FILTRO ASSOLUTO A PANNELLO CON PICCOLE PIEGHE (UNI 10339) PER DIFFUSIONE LAMINARE IDONEO ALLA FILTRAZIONE DELL'ARIA AD ALTISSIMA EFFICIENZA PER AMBIENTI A CONTAMINAZIONE CONTROLLATA, EFFICIENZA MAGGIO</t>
        </is>
      </c>
      <c r="L325" s="3" t="inlineStr">
        <is>
          <t>FILTRO ASSOLUTO A PANNELLO CON PICCOLE PIEGHE (UNI 10339) PER DIFFUSIONE LAMINARE IDONEO ALLA FILTRAZIONE DELL'ARIA AD ALTISSIMA EFFICIENZA PER AMBIENTI A CONTAMINAZIONE CONTROLLATA, EFFICIENZA MAGGIORE DEL 99,99 % A 0,3 MICRON, MEDIA FILTRANTE DI CARTA IN FIBRA DI VETRO PIEGHETTATA, TELAIO TRAFILATO IN ALLUMINIO ESTRUSO, GUARNIZIONE IN ELASTOMERO: DIMENSIONI 610 X 1.220 MM, SUPERFICIE FILTRANTE 22,0 MQ, PORTATA ARIA 1.200 MC/H, PERDITA DI CARICO 140 PA, SPESSORE 68 MM</t>
        </is>
      </c>
      <c r="M325" s="4" t="inlineStr">
        <is>
          <t>CAD</t>
        </is>
      </c>
      <c r="N325" s="5" t="n">
        <v>10</v>
      </c>
      <c r="O325" s="45" t="n">
        <v>901.25</v>
      </c>
      <c r="P325" s="45" t="n">
        <v>9012.5</v>
      </c>
      <c r="Q325" s="5" t="n"/>
      <c r="R325" s="6" t="n"/>
      <c r="S325" s="6">
        <f>IF(AND(Q325&lt;&gt;"",R325&lt;&gt;""),Q325*R325,"")</f>
        <v/>
      </c>
      <c r="T325" s="45">
        <f>IF(S325="",P325,S325)</f>
        <v/>
      </c>
      <c r="U325" s="7" t="n">
        <v>0</v>
      </c>
      <c r="V325" s="6">
        <f>$T325*U325</f>
        <v/>
      </c>
      <c r="W325" s="7" t="n">
        <v>0.1</v>
      </c>
      <c r="X325" s="6">
        <f>$T325*W325</f>
        <v/>
      </c>
      <c r="Y325" s="7" t="n">
        <v>0</v>
      </c>
      <c r="Z325" s="6">
        <f>$T325*Y325</f>
        <v/>
      </c>
      <c r="AA325" s="7" t="n">
        <v>0</v>
      </c>
      <c r="AB325" s="6">
        <f>$T325*AA325</f>
        <v/>
      </c>
      <c r="AC325" s="7" t="n">
        <v>0</v>
      </c>
      <c r="AD325" s="6">
        <f>$T325*AC325</f>
        <v/>
      </c>
      <c r="AE325" s="7" t="n">
        <v>0</v>
      </c>
      <c r="AF325" s="6">
        <f>$T325*AE325</f>
        <v/>
      </c>
      <c r="AG325" s="7" t="n">
        <v>0</v>
      </c>
      <c r="AH325" s="6">
        <f>$T325*AG325</f>
        <v/>
      </c>
      <c r="AI325" s="7">
        <f>U325+W325+Y325+AA325+AC325+AE325+AG325</f>
        <v/>
      </c>
      <c r="AJ325" s="6">
        <f>V325+X325+Z325+AB325+AD325+AF325+AH325</f>
        <v/>
      </c>
    </row>
    <row r="326" hidden="1" ht="60" customHeight="1" s="46">
      <c r="A326" s="3" t="inlineStr">
        <is>
          <t>DEI_IT_033402F</t>
        </is>
      </c>
      <c r="B326" s="4" t="inlineStr">
        <is>
          <t>1/1</t>
        </is>
      </c>
      <c r="C326" s="3" t="inlineStr">
        <is>
          <t>IMPIANTO MECCANICO</t>
        </is>
      </c>
      <c r="D326" s="4" t="inlineStr">
        <is>
          <t>SPECIALE</t>
        </is>
      </c>
      <c r="E326" s="4" t="inlineStr">
        <is>
          <t>MECCANICHE SPECIALI</t>
        </is>
      </c>
      <c r="F326" s="3" t="inlineStr">
        <is>
          <t>2_CME_TOTALE MECCANICI RADIOFARMACIA PAVIA.PDF</t>
        </is>
      </c>
      <c r="G326" s="4" t="inlineStr">
        <is>
          <t>87/87</t>
        </is>
      </c>
      <c r="H326" s="3" t="inlineStr">
        <is>
          <t>40 - IMPIANTISTICO</t>
        </is>
      </c>
      <c r="I326" s="3" t="inlineStr">
        <is>
          <t>CENTRALE</t>
        </is>
      </c>
      <c r="J326" s="3" t="inlineStr">
        <is>
          <t>IMPIANTO HVAC</t>
        </is>
      </c>
      <c r="K326" s="3" t="inlineStr">
        <is>
          <t>FILTRO IN FIBRA SINTETICA DEL TIPO PIANO (UNI 10339), TELAIO IN PROFILATO AD U IN ACCIAIO ZINCATO CON DUE RETI DI SUPPORTO IN FILO ZINCATO ELETTROSALDATO, MEDIA FILTRANTE IN FIBRA MODACRILICA LEGATA M</t>
        </is>
      </c>
      <c r="L326" s="3" t="inlineStr">
        <is>
          <t>FILTRO IN FIBRA SINTETICA DEL TIPO PIANO (UNI 10339), TELAIO IN PROFILATO AD U IN ACCIAIO ZINCATO CON DUE RETI DI SUPPORTO IN FILO ZINCATO ELETTROSALDATO, MEDIA FILTRANTE IN FIBRA MODACRILICA LEGATA MEDIANTE RESINA CLOROVINILICA, CERTIFICATO IN BASE AL DM 26/05/84 DEL M.I. CLASSE 1 DI REAZIONE AL FUOCO, EFFICIENZA PONDERALE 85% EN 779: SPESSORE 48 MM: DIMENSIONI 592 X 592 MM, PORTATA ARIA 1.700 MC/H, PERDITA DI CARICO 75 PA</t>
        </is>
      </c>
      <c r="M326" s="4" t="inlineStr">
        <is>
          <t>CAD</t>
        </is>
      </c>
      <c r="N326" s="5" t="n">
        <v>8</v>
      </c>
      <c r="O326" s="45" t="n">
        <v>24.9</v>
      </c>
      <c r="P326" s="45" t="n">
        <v>199.2</v>
      </c>
      <c r="Q326" s="5" t="n"/>
      <c r="R326" s="6" t="n"/>
      <c r="S326" s="6">
        <f>IF(AND(Q326&lt;&gt;"",R326&lt;&gt;""),Q326*R326,"")</f>
        <v/>
      </c>
      <c r="T326" s="45">
        <f>IF(S326="",P326,S326)</f>
        <v/>
      </c>
      <c r="U326" s="7" t="n">
        <v>0</v>
      </c>
      <c r="V326" s="6">
        <f>$T326*U326</f>
        <v/>
      </c>
      <c r="W326" s="7" t="n">
        <v>0</v>
      </c>
      <c r="X326" s="6">
        <f>$T326*W326</f>
        <v/>
      </c>
      <c r="Y326" s="7" t="n">
        <v>0</v>
      </c>
      <c r="Z326" s="6">
        <f>$T326*Y326</f>
        <v/>
      </c>
      <c r="AA326" s="7" t="n">
        <v>0</v>
      </c>
      <c r="AB326" s="6">
        <f>$T326*AA326</f>
        <v/>
      </c>
      <c r="AC326" s="7" t="n">
        <v>0</v>
      </c>
      <c r="AD326" s="6">
        <f>$T326*AC326</f>
        <v/>
      </c>
      <c r="AE326" s="7" t="n">
        <v>0</v>
      </c>
      <c r="AF326" s="6">
        <f>$T326*AE326</f>
        <v/>
      </c>
      <c r="AG326" s="7" t="n">
        <v>0</v>
      </c>
      <c r="AH326" s="6">
        <f>$T326*AG326</f>
        <v/>
      </c>
      <c r="AI326" s="7">
        <f>U326+W326+Y326+AA326+AC326+AE326+AG326</f>
        <v/>
      </c>
      <c r="AJ326" s="6">
        <f>V326+X326+Z326+AB326+AD326+AF326+AH326</f>
        <v/>
      </c>
    </row>
    <row r="327" hidden="1" ht="60" customHeight="1" s="46">
      <c r="A327" s="3" t="inlineStr">
        <is>
          <t>LOM251.OC.EEA.PA02.F7410.SB003.0035</t>
        </is>
      </c>
      <c r="B327" s="4" t="inlineStr">
        <is>
          <t>1/3</t>
        </is>
      </c>
      <c r="C327" s="3" t="inlineStr">
        <is>
          <t>IMPIANTO MECCANICO</t>
        </is>
      </c>
      <c r="D327" s="4" t="inlineStr">
        <is>
          <t>SPECIALE</t>
        </is>
      </c>
      <c r="E327" s="4" t="inlineStr">
        <is>
          <t>MECCANICHE SPECIALI</t>
        </is>
      </c>
      <c r="F327" s="3" t="inlineStr">
        <is>
          <t>2_CME_TOTALE MECCANICI RADIOFARMACIA PAVIA.PDF</t>
        </is>
      </c>
      <c r="G327" s="4" t="inlineStr">
        <is>
          <t>89/89</t>
        </is>
      </c>
      <c r="H327" s="3" t="inlineStr">
        <is>
          <t>40 - IMPIANTISTICO</t>
        </is>
      </c>
      <c r="I327" s="3" t="inlineStr">
        <is>
          <t>CENTRALE</t>
        </is>
      </c>
      <c r="J327" s="3" t="inlineStr">
        <is>
          <t>IMPIANTO HVAC</t>
        </is>
      </c>
      <c r="K327" s="3" t="inlineStr">
        <is>
          <t>OPERA: CONDOTTO DI LEGA FERROSA ACCIAIO ZINCATO; FINITURA: LAMIERA; GEOMETRIA: SEZIONE CIRCOLARE; FUNZIONE: DISTRIBUZIONE ARIA; IMPIEGO: IMPIANTO DI CLIMATIZZAZIONE; SPESSORE LAMIERA 1 [MM] = 12 | SPE</t>
        </is>
      </c>
      <c r="L327" s="3" t="inlineStr">
        <is>
          <t>OPERA: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LAVORO: POSA. 
SPECIFICHE TECNICHE: I PREZZI UNITARI INCLUDONO MAGGIORAZIONE SIA PER COMPLETAMENTI SOPRA INDICATI, SIA PER SFRIDI E DEVONO ESSERE APPLICATI AI PESI TEORICI RICAVATI DALLE DIMENSIONI GEOMETRICHE DEI CANALI (LATI O DIAMETRO MISURATI ALL'INTERNO E LUNGHEZZA MISURATA SULL'ASSE). OP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RM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LV POSA.</t>
        </is>
      </c>
      <c r="M327" s="4" t="inlineStr">
        <is>
          <t>KG</t>
        </is>
      </c>
      <c r="N327" s="5" t="n">
        <v>110</v>
      </c>
      <c r="O327" s="45" t="n">
        <v>9.5</v>
      </c>
      <c r="P327" s="45" t="n">
        <v>1045</v>
      </c>
      <c r="Q327" s="5" t="n"/>
      <c r="R327" s="6" t="n"/>
      <c r="S327" s="6">
        <f>IF(AND(Q327&lt;&gt;"",R327&lt;&gt;""),Q327*R327,"")</f>
        <v/>
      </c>
      <c r="T327" s="45">
        <f>IF(S327="",P327,S327)</f>
        <v/>
      </c>
      <c r="U327" s="7" t="n">
        <v>0</v>
      </c>
      <c r="V327" s="6">
        <f>$T327*U327</f>
        <v/>
      </c>
      <c r="W327" s="7" t="n">
        <v>0</v>
      </c>
      <c r="X327" s="6">
        <f>$T327*W327</f>
        <v/>
      </c>
      <c r="Y327" s="7" t="n">
        <v>0</v>
      </c>
      <c r="Z327" s="6">
        <f>$T327*Y327</f>
        <v/>
      </c>
      <c r="AA327" s="7" t="n">
        <v>0</v>
      </c>
      <c r="AB327" s="6">
        <f>$T327*AA327</f>
        <v/>
      </c>
      <c r="AC327" s="7" t="n">
        <v>0</v>
      </c>
      <c r="AD327" s="6">
        <f>$T327*AC327</f>
        <v/>
      </c>
      <c r="AE327" s="7" t="n">
        <v>0</v>
      </c>
      <c r="AF327" s="6">
        <f>$T327*AE327</f>
        <v/>
      </c>
      <c r="AG327" s="7" t="n">
        <v>0</v>
      </c>
      <c r="AH327" s="6">
        <f>$T327*AG327</f>
        <v/>
      </c>
      <c r="AI327" s="7">
        <f>U327+W327+Y327+AA327+AC327+AE327+AG327</f>
        <v/>
      </c>
      <c r="AJ327" s="6">
        <f>V327+X327+Z327+AB327+AD327+AF327+AH327</f>
        <v/>
      </c>
    </row>
    <row r="328" ht="60" customHeight="1" s="46">
      <c r="A328" s="3" t="inlineStr">
        <is>
          <t>LOM251.OC.EEA.PA02.F7410.SB003.0035</t>
        </is>
      </c>
      <c r="B328" s="4" t="inlineStr">
        <is>
          <t>2/3</t>
        </is>
      </c>
      <c r="C328" s="3" t="inlineStr">
        <is>
          <t>IMPIANTO MECCANICO</t>
        </is>
      </c>
      <c r="D328" s="4" t="inlineStr">
        <is>
          <t>SPECIALE</t>
        </is>
      </c>
      <c r="E328" s="4" t="inlineStr">
        <is>
          <t>MECCANICHE SPECIALI</t>
        </is>
      </c>
      <c r="F328" s="3" t="inlineStr">
        <is>
          <t>2_CME_TOTALE MECCANICI RADIOFARMACIA PAVIA.PDF</t>
        </is>
      </c>
      <c r="G328" s="4" t="inlineStr">
        <is>
          <t>90/90</t>
        </is>
      </c>
      <c r="H328" s="3" t="inlineStr">
        <is>
          <t>40 - IMPIANTISTICO</t>
        </is>
      </c>
      <c r="I328" s="3" t="inlineStr">
        <is>
          <t>P. TERRA - PRODUZIONE</t>
        </is>
      </c>
      <c r="J328" s="3" t="inlineStr">
        <is>
          <t>IMPIANTO HVAC</t>
        </is>
      </c>
      <c r="K328" s="3" t="inlineStr">
        <is>
          <t>OPERA: CONDOTTO DI LEGA FERROSA ACCIAIO ZINCATO; FINITURA: LAMIERA; GEOMETRIA: SEZIONE CIRCOLARE; FUNZIONE: DISTRIBUZIONE ARIA; IMPIEGO: IMPIANTO DI CLIMATIZZAZIONE; SPESSORE LAMIERA 1 [MM] = 12 | SPE</t>
        </is>
      </c>
      <c r="L328" s="3" t="inlineStr">
        <is>
          <t>OPERA: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LAVORO: POSA. 
SPECIFICHE TECNICHE: I PREZZI UNITARI INCLUDONO MAGGIORAZIONE SIA PER COMPLETAMENTI SOPRA INDICATI, SIA PER SFRIDI E DEVONO ESSERE APPLICATI AI PESI TEORICI RICAVATI DALLE DIMENSIONI GEOMETRICHE DEI CANALI (LATI O DIAMETRO MISURATI ALL'INTERNO E LUNGHEZZA MISURATA SULL'ASSE). OP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RM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LV POSA.</t>
        </is>
      </c>
      <c r="M328" s="4" t="inlineStr">
        <is>
          <t>KG</t>
        </is>
      </c>
      <c r="N328" s="5" t="n">
        <v>2500</v>
      </c>
      <c r="O328" s="45" t="n">
        <v>9.5</v>
      </c>
      <c r="P328" s="45" t="n">
        <v>23750</v>
      </c>
      <c r="Q328" s="5" t="n"/>
      <c r="R328" s="6" t="n"/>
      <c r="S328" s="6">
        <f>IF(AND(Q328&lt;&gt;"",R328&lt;&gt;""),Q328*R328,"")</f>
        <v/>
      </c>
      <c r="T328" s="45">
        <f>IF(S328="",P328,S328)</f>
        <v/>
      </c>
      <c r="U328" s="7" t="n">
        <v>0</v>
      </c>
      <c r="V328" s="6">
        <f>$T328*U328</f>
        <v/>
      </c>
      <c r="W328" s="7" t="n">
        <v>0.4</v>
      </c>
      <c r="X328" s="6">
        <f>$T328*W328</f>
        <v/>
      </c>
      <c r="Y328" s="7" t="n">
        <v>0</v>
      </c>
      <c r="Z328" s="6">
        <f>$T328*Y328</f>
        <v/>
      </c>
      <c r="AA328" s="7" t="n">
        <v>0</v>
      </c>
      <c r="AB328" s="6">
        <f>$T328*AA328</f>
        <v/>
      </c>
      <c r="AC328" s="7" t="n">
        <v>0</v>
      </c>
      <c r="AD328" s="6">
        <f>$T328*AC328</f>
        <v/>
      </c>
      <c r="AE328" s="7" t="n">
        <v>0</v>
      </c>
      <c r="AF328" s="6">
        <f>$T328*AE328</f>
        <v/>
      </c>
      <c r="AG328" s="7" t="n">
        <v>0</v>
      </c>
      <c r="AH328" s="6">
        <f>$T328*AG328</f>
        <v/>
      </c>
      <c r="AI328" s="7">
        <f>U328+W328+Y328+AA328+AC328+AE328+AG328</f>
        <v/>
      </c>
      <c r="AJ328" s="6">
        <f>V328+X328+Z328+AB328+AD328+AF328+AH328</f>
        <v/>
      </c>
    </row>
    <row r="329" ht="60" customHeight="1" s="46">
      <c r="A329" s="3" t="inlineStr">
        <is>
          <t>LOM251.OC.EEA.PA02.I1500.E0011.0000</t>
        </is>
      </c>
      <c r="B329" s="4" t="inlineStr">
        <is>
          <t>2/3</t>
        </is>
      </c>
      <c r="C329" s="3" t="inlineStr">
        <is>
          <t>IMPIANTO MECCANICO</t>
        </is>
      </c>
      <c r="D329" s="4" t="inlineStr">
        <is>
          <t>SPECIALE</t>
        </is>
      </c>
      <c r="E329" s="4" t="inlineStr">
        <is>
          <t>MECCANICHE SPECIALI</t>
        </is>
      </c>
      <c r="F329" s="3" t="inlineStr">
        <is>
          <t>2_CME_TOTALE MECCANICI RADIOFARMACIA PAVIA.PDF</t>
        </is>
      </c>
      <c r="G329" s="4" t="inlineStr">
        <is>
          <t>91/91</t>
        </is>
      </c>
      <c r="H329" s="3" t="inlineStr">
        <is>
          <t>40 - IMPIANTISTICO</t>
        </is>
      </c>
      <c r="I329" s="3" t="inlineStr">
        <is>
          <t>P. TERRA - PRODUZIONE</t>
        </is>
      </c>
      <c r="J329" s="3" t="inlineStr">
        <is>
          <t>IMPIANTO HVAC</t>
        </is>
      </c>
      <c r="K329" s="3" t="inlineStr">
        <is>
          <t>OPERA: LASTRA DI GOMMA ELASTOMERICA ESPANSA A CELLULE CHIUSE; FUNZIONE: COIBENTAZIONE; IMPIEGO: CONDOTTO; SPESSORE [MM] = 13; RESISTENZA ALLA FIAMMA [CLASSE] = 1; FATTORE DI PERMEABILITÀ (Μ) MINIMO [-</t>
        </is>
      </c>
      <c r="L329" s="3" t="inlineStr">
        <is>
          <t>OPERA: LASTRA DI GOMMA ELASTOMERICA ESPANSA A CELLULE CHIUSE; FUNZIONE: COIBENTAZIONE; IMPIEGO: CONDOTTO; SPESSORE [MM] = 13; RESISTENZA ALLA FIAMMA [CLASSE] = 1; FATTORE DI PERMEABILITÀ (Μ) MINIMO [-] = 4000. 
LAVORO: POSA. 
SPECIFICHE TECNICHE: LASTRA INCOLLATA; GOMMA ELASTOMERICA ESPANSA A CELLULE CHIUSE SENZA ALOGENI NÉ PVC. OP LASTRA DI GOMMA ELASTOMERICA ESPANSA A CELLULE CHIUSE; FUNZIONE: COIBENTAZIONE; IMPIEGO: CONDOTTO; SPESSORE [MM] = 13; RESISTENZA ALLA FIAMMA [CLASSE] = 1; FATTORE DI PERMEABILITÀ (Μ) MINIMO [-] = 4000. 
SPECIFICHE TECNICHE: LASTRA INCOLLATA; GOMMA ELASTOMERICA ESPANSA A CELLULE CHIUSE SENZA ALOGENI NÉ PVC. 
RM LASTRA DI GOMMA ESPANSA A CELLULE CHIUSE; FUNZIONE: COIBENTAZIONE; IMPIEGO: CONDOTTO; SPESSORE [MM] = 13; RESISTENZA ALLA FIAMMA [CLASSE] = 1; FATTORE DI PERMEABILITÀ (Μ) MINIMO [-] = 4000 
SPECIFICHE TECNICHE: LASTRA INCOLLATA; GOMMA ELASTOMERICA ESPANSA A CELLULE CHIUSE SENZA ALOGENI NÉ PVC 
LV POSA.</t>
        </is>
      </c>
      <c r="M329" s="4" t="inlineStr">
        <is>
          <t>M²</t>
        </is>
      </c>
      <c r="N329" s="5" t="n">
        <v>180</v>
      </c>
      <c r="O329" s="45" t="n">
        <v>39.73</v>
      </c>
      <c r="P329" s="45" t="n">
        <v>7151.4</v>
      </c>
      <c r="Q329" s="5" t="n"/>
      <c r="R329" s="6" t="n"/>
      <c r="S329" s="6">
        <f>IF(AND(Q329&lt;&gt;"",R329&lt;&gt;""),Q329*R329,"")</f>
        <v/>
      </c>
      <c r="T329" s="45">
        <f>IF(S329="",P329,S329)</f>
        <v/>
      </c>
      <c r="U329" s="7" t="n">
        <v>0</v>
      </c>
      <c r="V329" s="6">
        <f>$T329*U329</f>
        <v/>
      </c>
      <c r="W329" s="7" t="n">
        <v>0.1</v>
      </c>
      <c r="X329" s="6">
        <f>$T329*W329</f>
        <v/>
      </c>
      <c r="Y329" s="7" t="n">
        <v>0</v>
      </c>
      <c r="Z329" s="6">
        <f>$T329*Y329</f>
        <v/>
      </c>
      <c r="AA329" s="7" t="n">
        <v>0</v>
      </c>
      <c r="AB329" s="6">
        <f>$T329*AA329</f>
        <v/>
      </c>
      <c r="AC329" s="7" t="n">
        <v>0</v>
      </c>
      <c r="AD329" s="6">
        <f>$T329*AC329</f>
        <v/>
      </c>
      <c r="AE329" s="7" t="n">
        <v>0</v>
      </c>
      <c r="AF329" s="6">
        <f>$T329*AE329</f>
        <v/>
      </c>
      <c r="AG329" s="7" t="n">
        <v>0</v>
      </c>
      <c r="AH329" s="6">
        <f>$T329*AG329</f>
        <v/>
      </c>
      <c r="AI329" s="7">
        <f>U329+W329+Y329+AA329+AC329+AE329+AG329</f>
        <v/>
      </c>
      <c r="AJ329" s="6">
        <f>V329+X329+Z329+AB329+AD329+AF329+AH329</f>
        <v/>
      </c>
    </row>
    <row r="330" hidden="1" ht="60" customHeight="1" s="46">
      <c r="A330" s="3" t="inlineStr">
        <is>
          <t>LOM251.OC.EEA.PA29.F8210.SB001.0755</t>
        </is>
      </c>
      <c r="B330" s="4" t="inlineStr">
        <is>
          <t>1/1</t>
        </is>
      </c>
      <c r="C330" s="3" t="inlineStr">
        <is>
          <t>IMPIANTO MECCANICO</t>
        </is>
      </c>
      <c r="D330" s="4" t="inlineStr">
        <is>
          <t>SPECIALE</t>
        </is>
      </c>
      <c r="E330" s="4" t="inlineStr">
        <is>
          <t>MECCANICHE SPECIALI</t>
        </is>
      </c>
      <c r="F330" s="3" t="inlineStr">
        <is>
          <t>2_CME_TOTALE MECCANICI RADIOFARMACIA PAVIA.PDF</t>
        </is>
      </c>
      <c r="G330" s="4" t="inlineStr">
        <is>
          <t>92/92</t>
        </is>
      </c>
      <c r="H330" s="3" t="inlineStr">
        <is>
          <t>40 - IMPIANTISTICO</t>
        </is>
      </c>
      <c r="I330" s="3" t="inlineStr">
        <is>
          <t>P. TERRA - PRODUZIONE</t>
        </is>
      </c>
      <c r="J330" s="3" t="inlineStr">
        <is>
          <t>IMPIANTO HVAC</t>
        </is>
      </c>
      <c r="K330" s="3" t="inlineStr">
        <is>
          <t>OPERA: DIFFUSORE DI LEGA FERROSA ACCIAIO GENERICO; GEOMETRIA: VARIABILE | ALETTE RADIALI AD INCLINAZIONE VARIABILE; FUNZIONE: DIFFUSIONE ARIA; IMPIEGO: IMPIANTO DI CONDIZIONAMENTO; DIAMETRO (Ø) [MM] =</t>
        </is>
      </c>
      <c r="L330" s="3" t="inlineStr">
        <is>
          <t>OPERA: DIFFUSORE DI LEGA FERROSA ACCIAIO GENERICO; GEOMETRIA: VARIABILE | ALETTE RADIALI AD INCLINAZIONE VARIABILE; FUNZIONE: DIFFUSIONE ARIA; IMPIEGO: IMPIANTO DI CONDIZIONAMENTO; DIAMETRO (Ø) [MM] = 315. INCLUSO: SERRANDA DI REGOLAZIONE. 
LAVORO: MONTAGGIO. 
SPECIFICHE TECNICHE: ADATTO PER AMBIENTI CON GRANDI ALTEZZE. OP DIFFUSORE DI LEGA FERROSA ACCIAIO GENERICO; GEOMETRIA: VARIABILE | ALETTE RADIALI AD INCLINAZIONE VARIABILE; FUNZIONE: DIFFUSIONE ARIA; IMPIEGO: IMPIANTO DI CONDIZIONAMENTO; DIAMETRO (Ø) [MM] = 315. INCLUSO: SERRANDA DI REGOLAZIONE. 
SPECIFICHE TECNICHE: ADATTO PER AMBIENTI CON GRANDI ALTEZZE. 
RM DIFFUSORE DI LEGA FERROSA ACCIAIO GENERICO; GEOMETRIA: VARIABILE | ALETTE RADIALI AD INCLINAZIONE VARIABILE; FUNZIONE: DIFFUSIONE ARIA; IMPIEGO: IMPIANTO DI CONDIZIONAMENTO; DIAMETRO (Ø) [MM] = 315. INCLUSO: SERRANDA DI REGOLAZIONE 
SPECIFICHE TECNICHE: ADATTO PER AMBIENTI CON GRANDI ALTEZZE 
LV MONTAGGIO.</t>
        </is>
      </c>
      <c r="M330" s="4" t="inlineStr">
        <is>
          <t>CAD</t>
        </is>
      </c>
      <c r="N330" s="5" t="n">
        <v>2</v>
      </c>
      <c r="O330" s="45" t="n">
        <v>222.35</v>
      </c>
      <c r="P330" s="45" t="n">
        <v>444.7</v>
      </c>
      <c r="Q330" s="5" t="n"/>
      <c r="R330" s="6" t="n"/>
      <c r="S330" s="6">
        <f>IF(AND(Q330&lt;&gt;"",R330&lt;&gt;""),Q330*R330,"")</f>
        <v/>
      </c>
      <c r="T330" s="45">
        <f>IF(S330="",P330,S330)</f>
        <v/>
      </c>
      <c r="U330" s="7" t="n">
        <v>0</v>
      </c>
      <c r="V330" s="6">
        <f>$T330*U330</f>
        <v/>
      </c>
      <c r="W330" s="7" t="n">
        <v>0</v>
      </c>
      <c r="X330" s="6">
        <f>$T330*W330</f>
        <v/>
      </c>
      <c r="Y330" s="7" t="n">
        <v>0</v>
      </c>
      <c r="Z330" s="6">
        <f>$T330*Y330</f>
        <v/>
      </c>
      <c r="AA330" s="7" t="n">
        <v>0</v>
      </c>
      <c r="AB330" s="6">
        <f>$T330*AA330</f>
        <v/>
      </c>
      <c r="AC330" s="7" t="n">
        <v>0</v>
      </c>
      <c r="AD330" s="6">
        <f>$T330*AC330</f>
        <v/>
      </c>
      <c r="AE330" s="7" t="n">
        <v>0</v>
      </c>
      <c r="AF330" s="6">
        <f>$T330*AE330</f>
        <v/>
      </c>
      <c r="AG330" s="7" t="n">
        <v>0</v>
      </c>
      <c r="AH330" s="6">
        <f>$T330*AG330</f>
        <v/>
      </c>
      <c r="AI330" s="7">
        <f>U330+W330+Y330+AA330+AC330+AE330+AG330</f>
        <v/>
      </c>
      <c r="AJ330" s="6">
        <f>V330+X330+Z330+AB330+AD330+AF330+AH330</f>
        <v/>
      </c>
    </row>
    <row r="331" ht="60" customHeight="1" s="46">
      <c r="A331" s="3" t="inlineStr">
        <is>
          <t>LOM251.OC.EEA.PA29.F8210.SB001.0760</t>
        </is>
      </c>
      <c r="B331" s="4" t="inlineStr">
        <is>
          <t>1/2</t>
        </is>
      </c>
      <c r="C331" s="3" t="inlineStr">
        <is>
          <t>IMPIANTO MECCANICO</t>
        </is>
      </c>
      <c r="D331" s="4" t="inlineStr">
        <is>
          <t>SPECIALE</t>
        </is>
      </c>
      <c r="E331" s="4" t="inlineStr">
        <is>
          <t>MECCANICHE SPECIALI</t>
        </is>
      </c>
      <c r="F331" s="3" t="inlineStr">
        <is>
          <t>2_CME_TOTALE MECCANICI RADIOFARMACIA PAVIA.PDF</t>
        </is>
      </c>
      <c r="G331" s="4" t="inlineStr">
        <is>
          <t>93/93</t>
        </is>
      </c>
      <c r="H331" s="3" t="inlineStr">
        <is>
          <t>40 - IMPIANTISTICO</t>
        </is>
      </c>
      <c r="I331" s="3" t="inlineStr">
        <is>
          <t>P. TERRA - PRODUZIONE</t>
        </is>
      </c>
      <c r="J331" s="3" t="inlineStr">
        <is>
          <t>IMPIANTO HVAC</t>
        </is>
      </c>
      <c r="K331" s="3" t="inlineStr">
        <is>
          <t>OPERA: DIFFUSORE DI LEGA FERROSA ACCIAIO GENERICO; GEOMETRIA: VARIABILE | ALETTE RADIALI AD INCLINAZIONE VARIABILE; FUNZIONE: DIFFUSIONE ARIA; IMPIEGO: IMPIANTO DI CONDIZIONAMENTO; DIAMETRO (Ø) [MM] =</t>
        </is>
      </c>
      <c r="L331" s="3" t="inlineStr">
        <is>
          <t>OPERA: DIFFUSORE DI LEGA FERROSA ACCIAIO GENERICO; GEOMETRIA: VARIABILE | ALETTE RADIALI AD INCLINAZIONE VARIABILE; FUNZIONE: DIFFUSIONE ARIA; IMPIEGO: IMPIANTO DI CONDIZIONAMENTO; DIAMETRO (Ø) [MM] = 400. INCLUSO: SERRANDA DI REGOLAZIONE. 
LAVORO: MONTAGGIO. 
SPECIFICHE TECNICHE: ADATTO PER AMBIENTI CON GRANDI ALTEZZE. OP DIFFUSORE DI LEGA FERROSA ACCIAIO GENERICO; GEOMETRIA: VARIABILE | ALETTE RADIALI AD INCLINAZIONE VARIABILE; FUNZIONE: DIFFUSIONE ARIA; IMPIEGO: IMPIANTO DI CONDIZIONAMENTO; DIAMETRO (Ø) [MM] = 400. INCLUSO: SERRANDA DI REGOLAZIONE. 
SPECIFICHE TECNICHE: ADATTO PER AMBIENTI CON GRANDI ALTEZZE. 
RM DIFFUSORE DI LEGA FERROSA ACCIAIO GENERICO; GEOMETRIA: VARIABILE | ALETTE RADIALI AD INCLINAZIONE VARIABILE; FUNZIONE: DIFFUSIONE ARIA; IMPIEGO: IMPIANTO DI CONDIZIONAMENTO; DIAMETRO (Ø) [MM] = 400. INCLUSO: SERRANDA DI REGOLAZIONE 
SPECIFICHE TECNICHE: ADATTO PER AMBIENTI CON GRANDI ALTEZZE 
LV MONTAGGIO.</t>
        </is>
      </c>
      <c r="M331" s="4" t="inlineStr">
        <is>
          <t>CAD</t>
        </is>
      </c>
      <c r="N331" s="5" t="n">
        <v>17</v>
      </c>
      <c r="O331" s="45" t="n">
        <v>234.21</v>
      </c>
      <c r="P331" s="45" t="n">
        <v>3981.57</v>
      </c>
      <c r="Q331" s="5" t="n"/>
      <c r="R331" s="6" t="n"/>
      <c r="S331" s="6">
        <f>IF(AND(Q331&lt;&gt;"",R331&lt;&gt;""),Q331*R331,"")</f>
        <v/>
      </c>
      <c r="T331" s="45">
        <f>IF(S331="",P331,S331)</f>
        <v/>
      </c>
      <c r="U331" s="7" t="n">
        <v>0</v>
      </c>
      <c r="V331" s="6">
        <f>$T331*U331</f>
        <v/>
      </c>
      <c r="W331" s="7" t="n">
        <v>0.4</v>
      </c>
      <c r="X331" s="6">
        <f>$T331*W331</f>
        <v/>
      </c>
      <c r="Y331" s="7" t="n">
        <v>0</v>
      </c>
      <c r="Z331" s="6">
        <f>$T331*Y331</f>
        <v/>
      </c>
      <c r="AA331" s="7" t="n">
        <v>0</v>
      </c>
      <c r="AB331" s="6">
        <f>$T331*AA331</f>
        <v/>
      </c>
      <c r="AC331" s="7" t="n">
        <v>0</v>
      </c>
      <c r="AD331" s="6">
        <f>$T331*AC331</f>
        <v/>
      </c>
      <c r="AE331" s="7" t="n">
        <v>0</v>
      </c>
      <c r="AF331" s="6">
        <f>$T331*AE331</f>
        <v/>
      </c>
      <c r="AG331" s="7" t="n">
        <v>0</v>
      </c>
      <c r="AH331" s="6">
        <f>$T331*AG331</f>
        <v/>
      </c>
      <c r="AI331" s="7">
        <f>U331+W331+Y331+AA331+AC331+AE331+AG331</f>
        <v/>
      </c>
      <c r="AJ331" s="6">
        <f>V331+X331+Z331+AB331+AD331+AF331+AH331</f>
        <v/>
      </c>
    </row>
    <row r="332" hidden="1" ht="60" customHeight="1" s="46">
      <c r="A332" s="3" t="inlineStr">
        <is>
          <t>LOM251.OC.EEA.PA29.F8210.SB001.0765</t>
        </is>
      </c>
      <c r="B332" s="4" t="inlineStr">
        <is>
          <t>1/2</t>
        </is>
      </c>
      <c r="C332" s="3" t="inlineStr">
        <is>
          <t>IMPIANTO MECCANICO</t>
        </is>
      </c>
      <c r="D332" s="4" t="inlineStr">
        <is>
          <t>SPECIALE</t>
        </is>
      </c>
      <c r="E332" s="4" t="inlineStr">
        <is>
          <t>MECCANICHE SPECIALI</t>
        </is>
      </c>
      <c r="F332" s="3" t="inlineStr">
        <is>
          <t>2_CME_TOTALE MECCANICI RADIOFARMACIA PAVIA.PDF</t>
        </is>
      </c>
      <c r="G332" s="4" t="inlineStr">
        <is>
          <t>94/94</t>
        </is>
      </c>
      <c r="H332" s="3" t="inlineStr">
        <is>
          <t>40 - IMPIANTISTICO</t>
        </is>
      </c>
      <c r="I332" s="3" t="inlineStr">
        <is>
          <t>P. TERRA - PRODUZIONE</t>
        </is>
      </c>
      <c r="J332" s="3" t="inlineStr">
        <is>
          <t>IMPIANTO HVAC</t>
        </is>
      </c>
      <c r="K332" s="3" t="inlineStr">
        <is>
          <t>OPERA: DIFFUSORE DI LEGA FERROSA ACCIAIO GENERICO; GEOMETRIA: VARIABILE | ALETTE RADIALI AD INCLINAZIONE VARIABILE; FUNZIONE: DIFFUSIONE ARIA; IMPIEGO: IMPIANTO DI CONDIZIONAMENTO; DIAMETRO (Ø) [MM] =</t>
        </is>
      </c>
      <c r="L332" s="3" t="inlineStr">
        <is>
          <t>OPERA: DIFFUSORE DI LEGA FERROSA ACCIAIO GENERICO; GEOMETRIA: VARIABILE | ALETTE RADIALI AD INCLINAZIONE VARIABILE; FUNZIONE: DIFFUSIONE ARIA; IMPIEGO: IMPIANTO DI CONDIZIONAMENTO; DIAMETRO (Ø) [MM] = 500. INCLUSO: SERRANDA DI REGOLAZIONE. 
LAVORO: MONTAGGIO. 
SPECIFICHE TECNICHE: ADATTO PER AMBIENTI CON GRANDI ALTEZZE. OP DIFFUSORE DI LEGA FERROSA ACCIAIO GENERICO; GEOMETRIA: VARIABILE | ALETTE RADIALI AD INCLINAZIONE VARIABILE; FUNZIONE: DIFFUSIONE ARIA; IMPIEGO: IMPIANTO DI CONDIZIONAMENTO; DIAMETRO (Ø) [MM] = 500. INCLUSO: SERRANDA DI REGOLAZIONE. 
SPECIFICHE TECNICHE: ADATTO PER AMBIENTI CON GRANDI ALTEZZE. 
RM DIFFUSORE DI LEGA FERROSA ACCIAIO GENERICO; GEOMETRIA: VARIABILE | ALETTE RADIALI AD INCLINAZIONE VARIABILE; FUNZIONE: DIFFUSIONE ARIA; IMPIEGO: IMPIANTO DI CONDIZIONAMENTO; DIAMETRO (Ø) [MM] = 500. INCLUSO: SERRANDA DI REGOLAZIONE 
SPECIFICHE TECNICHE: ADATTO PER AMBIENTI CON GRANDI ALTEZZE 
LV MONTAGGIO.</t>
        </is>
      </c>
      <c r="M332" s="4" t="inlineStr">
        <is>
          <t>CAD</t>
        </is>
      </c>
      <c r="N332" s="5" t="n">
        <v>3</v>
      </c>
      <c r="O332" s="45" t="n">
        <v>281.65</v>
      </c>
      <c r="P332" s="45" t="n">
        <v>844.95</v>
      </c>
      <c r="Q332" s="5" t="n"/>
      <c r="R332" s="6" t="n"/>
      <c r="S332" s="6">
        <f>IF(AND(Q332&lt;&gt;"",R332&lt;&gt;""),Q332*R332,"")</f>
        <v/>
      </c>
      <c r="T332" s="45">
        <f>IF(S332="",P332,S332)</f>
        <v/>
      </c>
      <c r="U332" s="7" t="n">
        <v>0</v>
      </c>
      <c r="V332" s="6">
        <f>$T332*U332</f>
        <v/>
      </c>
      <c r="W332" s="7" t="n">
        <v>0</v>
      </c>
      <c r="X332" s="6">
        <f>$T332*W332</f>
        <v/>
      </c>
      <c r="Y332" s="7" t="n">
        <v>0</v>
      </c>
      <c r="Z332" s="6">
        <f>$T332*Y332</f>
        <v/>
      </c>
      <c r="AA332" s="7" t="n">
        <v>0</v>
      </c>
      <c r="AB332" s="6">
        <f>$T332*AA332</f>
        <v/>
      </c>
      <c r="AC332" s="7" t="n">
        <v>0</v>
      </c>
      <c r="AD332" s="6">
        <f>$T332*AC332</f>
        <v/>
      </c>
      <c r="AE332" s="7" t="n">
        <v>0</v>
      </c>
      <c r="AF332" s="6">
        <f>$T332*AE332</f>
        <v/>
      </c>
      <c r="AG332" s="7" t="n">
        <v>0</v>
      </c>
      <c r="AH332" s="6">
        <f>$T332*AG332</f>
        <v/>
      </c>
      <c r="AI332" s="7">
        <f>U332+W332+Y332+AA332+AC332+AE332+AG332</f>
        <v/>
      </c>
      <c r="AJ332" s="6">
        <f>V332+X332+Z332+AB332+AD332+AF332+AH332</f>
        <v/>
      </c>
    </row>
    <row r="333" hidden="1" ht="60" customHeight="1" s="46">
      <c r="A333" s="3" t="inlineStr">
        <is>
          <t>LOM251.OC.EEA.PA29.F8210.SB001.0770</t>
        </is>
      </c>
      <c r="B333" s="4" t="inlineStr">
        <is>
          <t>1/1</t>
        </is>
      </c>
      <c r="C333" s="3" t="inlineStr">
        <is>
          <t>IMPIANTO MECCANICO</t>
        </is>
      </c>
      <c r="D333" s="4" t="inlineStr">
        <is>
          <t>SPECIALE</t>
        </is>
      </c>
      <c r="E333" s="4" t="inlineStr">
        <is>
          <t>MECCANICHE SPECIALI</t>
        </is>
      </c>
      <c r="F333" s="3" t="inlineStr">
        <is>
          <t>2_CME_TOTALE MECCANICI RADIOFARMACIA PAVIA.PDF</t>
        </is>
      </c>
      <c r="G333" s="4" t="inlineStr">
        <is>
          <t>95/95</t>
        </is>
      </c>
      <c r="H333" s="3" t="inlineStr">
        <is>
          <t>40 - IMPIANTISTICO</t>
        </is>
      </c>
      <c r="I333" s="3" t="inlineStr">
        <is>
          <t>P. TERRA - PRODUZIONE</t>
        </is>
      </c>
      <c r="J333" s="3" t="inlineStr">
        <is>
          <t>IMPIANTO HVAC</t>
        </is>
      </c>
      <c r="K333" s="3" t="inlineStr">
        <is>
          <t>OPERA: DIFFUSORE DI LEGA FERROSA ACCIAIO GENERICO; GEOMETRIA: VARIABILE | ALETTE RADIALI AD INCLINAZIONE VARIABILE; FUNZIONE: DIFFUSIONE ARIA; IMPIEGO: IMPIANTO DI CONDIZIONAMENTO; DIAMETRO (Ø) [MM] =</t>
        </is>
      </c>
      <c r="L333" s="3" t="inlineStr">
        <is>
          <t>OPERA: DIFFUSORE DI LEGA FERROSA ACCIAIO GENERICO; GEOMETRIA: VARIABILE | ALETTE RADIALI AD INCLINAZIONE VARIABILE; FUNZIONE: DIFFUSIONE ARIA; IMPIEGO: IMPIANTO DI CONDIZIONAMENTO; DIAMETRO (Ø) [MM] = 630. INCLUSO: SERRANDA DI REGOLAZIONE. 
LAVORO: MONTAGGIO. 
SPECIFICHE TECNICHE: ADATTO PER AMBIENTI CON GRANDI ALTEZZE. OP DIFFUSORE DI LEGA FERROSA ACCIAIO GENERICO; GEOMETRIA: VARIABILE | ALETTE RADIALI AD INCLINAZIONE VARIABILE; FUNZIONE: DIFFUSIONE ARIA; IMPIEGO: IMPIANTO DI CONDIZIONAMENTO; DIAMETRO (Ø) [MM] = 630. INCLUSO: SERRANDA DI REGOLAZIONE. 
SPECIFICHE TECNICHE: ADATTO PER AMBIENTI CON GRANDI ALTEZZE. 
RM DIFFUSORE DI LEGA FERROSA ACCIAIO GENERICO; GEOMETRIA: VARIABILE | ALETTE RADIALI AD INCLINAZIONE VARIABILE; FUNZIONE: DIFFUSIONE ARIA; IMPIEGO: IMPIANTO DI CONDIZIONAMENTO; DIAMETRO (Ø) [MM] = 630. INCLUSO: SERRANDA DI REGOLAZIONE 
SPECIFICHE TECNICHE: ADATTO PER AMBIENTI CON GRANDI ALTEZZE 
LV MONTAGGIO.</t>
        </is>
      </c>
      <c r="M333" s="4" t="inlineStr">
        <is>
          <t>CAD</t>
        </is>
      </c>
      <c r="N333" s="5" t="n">
        <v>2</v>
      </c>
      <c r="O333" s="45" t="n">
        <v>305.36</v>
      </c>
      <c r="P333" s="45" t="n">
        <v>610.72</v>
      </c>
      <c r="Q333" s="5" t="n"/>
      <c r="R333" s="6" t="n"/>
      <c r="S333" s="6">
        <f>IF(AND(Q333&lt;&gt;"",R333&lt;&gt;""),Q333*R333,"")</f>
        <v/>
      </c>
      <c r="T333" s="45">
        <f>IF(S333="",P333,S333)</f>
        <v/>
      </c>
      <c r="U333" s="7" t="n">
        <v>0</v>
      </c>
      <c r="V333" s="6">
        <f>$T333*U333</f>
        <v/>
      </c>
      <c r="W333" s="7" t="n">
        <v>0</v>
      </c>
      <c r="X333" s="6">
        <f>$T333*W333</f>
        <v/>
      </c>
      <c r="Y333" s="7" t="n">
        <v>0</v>
      </c>
      <c r="Z333" s="6">
        <f>$T333*Y333</f>
        <v/>
      </c>
      <c r="AA333" s="7" t="n">
        <v>0</v>
      </c>
      <c r="AB333" s="6">
        <f>$T333*AA333</f>
        <v/>
      </c>
      <c r="AC333" s="7" t="n">
        <v>0</v>
      </c>
      <c r="AD333" s="6">
        <f>$T333*AC333</f>
        <v/>
      </c>
      <c r="AE333" s="7" t="n">
        <v>0</v>
      </c>
      <c r="AF333" s="6">
        <f>$T333*AE333</f>
        <v/>
      </c>
      <c r="AG333" s="7" t="n">
        <v>0</v>
      </c>
      <c r="AH333" s="6">
        <f>$T333*AG333</f>
        <v/>
      </c>
      <c r="AI333" s="7">
        <f>U333+W333+Y333+AA333+AC333+AE333+AG333</f>
        <v/>
      </c>
      <c r="AJ333" s="6">
        <f>V333+X333+Z333+AB333+AD333+AF333+AH333</f>
        <v/>
      </c>
    </row>
    <row r="334" ht="60" customHeight="1" s="46">
      <c r="A334" s="3" t="inlineStr">
        <is>
          <t>LOM251.OC.EEA.PA29.F8210.SA001.0255</t>
        </is>
      </c>
      <c r="B334" s="4" t="inlineStr">
        <is>
          <t>1/1</t>
        </is>
      </c>
      <c r="C334" s="3" t="inlineStr">
        <is>
          <t>IMPIANTO MECCANICO</t>
        </is>
      </c>
      <c r="D334" s="4" t="inlineStr">
        <is>
          <t>SPECIALE</t>
        </is>
      </c>
      <c r="E334" s="4" t="inlineStr">
        <is>
          <t>MECCANICHE SPECIALI</t>
        </is>
      </c>
      <c r="F334" s="3" t="inlineStr">
        <is>
          <t>2_CME_TOTALE MECCANICI RADIOFARMACIA PAVIA.PDF</t>
        </is>
      </c>
      <c r="G334" s="4" t="inlineStr">
        <is>
          <t>96/96</t>
        </is>
      </c>
      <c r="H334" s="3" t="inlineStr">
        <is>
          <t>40 - IMPIANTISTICO</t>
        </is>
      </c>
      <c r="I334" s="3" t="inlineStr">
        <is>
          <t>P. TERRA - PRODUZIONE</t>
        </is>
      </c>
      <c r="J334" s="3" t="inlineStr">
        <is>
          <t>IMPIANTO HVAC</t>
        </is>
      </c>
      <c r="K334" s="3" t="inlineStr">
        <is>
          <t>OPERA: DIFFUSORE, MULTIDIREZIONALE DI LEGA ALLUMINIO ANODIZZATO; GEOMETRIA: RETTANGOLARE; FUNZIONE: DIFFUSIONE ARIA; IMPIEGO: IMPIANTO DI CONDIZIONAMENTO; LUNGHEZZA FRONTALE [MM] = 225 | ALTEZZA FRONT</t>
        </is>
      </c>
      <c r="L334" s="3" t="inlineStr">
        <is>
          <t>OPERA: DIFFUSORE, MULTIDIREZIONALE DI LEGA ALLUMINIO ANODIZZATO; GEOMETRIA: RETTANGOLARE; FUNZIONE: DIFFUSIONE ARIA; IMPIEGO: IMPIANTO DI CONDIZIONAMENTO; LUNGHEZZA FRONTALE [MM] = 225 | ALTEZZA FRONTALE [MM] = 225. INCLUSO: SERRANDA DI REGOLAZIONE. 
LAVORO: MONTAGGIO. 
SPECIFICHE TECNICHE: COSTITUITO DA UNA CORNICE ESTERNA E DA UNA PARTE CENTRALE REMOVIBILE, AD ELEMENTI DIVERGENTI MULTIPLI. OP DIFFUSORE, MULTIDIREZIONALE DI LEGA ALLUMINIO ANODIZZATO; GEOMETRIA: RETTANGOLARE; FUNZIONE: DIFFUSIONE ARIA; IMPIEGO: IMPIANTO DI CONDIZIONAMENTO; LUNGHEZZA FRONTALE [MM] = 225 | ALTEZZA FRONTALE [MM] = 225. INCLUSO: SERRANDA DI REGOLAZIONE. 
SPECIFICHE TECNICHE: COSTITUITO DA UNA CORNICE ESTERNA E DA UNA PARTE CENTRALE REMOVIBILE, AD ELEMENTI DIVERGENTI MULTIPLI. 
RM DIFFUSORE MULTIDIREZIONALE DI LEGA ALLUMINIO ANODIZZATO; GEOMETRIA: RETTANGOLARE; FUNZIONE: DIFFUSIONE ARIA; IMPIEGO: IMPIANTO DI CONDIZIONAMENTO; LUNGHEZZA FRONTALE [MM] = 225 | ALTEZZA FRONTALE [MM] = 225. INCLUSO: SERRANDA DI REGOLAZIONE 
SPECIFICHE TECNICHE: COSTITUITO DA UNA CORNICE ESTERNA E DA UNA PARTE CENTRALE REMOVIBILE, AD ELEMENTI DIVERGENTI MULTIPLI 
LV MONTAGGIO.</t>
        </is>
      </c>
      <c r="M334" s="4" t="inlineStr">
        <is>
          <t>CAD</t>
        </is>
      </c>
      <c r="N334" s="5" t="n">
        <v>8</v>
      </c>
      <c r="O334" s="45" t="n">
        <v>234.21</v>
      </c>
      <c r="P334" s="45" t="n">
        <v>1873.68</v>
      </c>
      <c r="Q334" s="5" t="n"/>
      <c r="R334" s="6" t="n"/>
      <c r="S334" s="6">
        <f>IF(AND(Q334&lt;&gt;"",R334&lt;&gt;""),Q334*R334,"")</f>
        <v/>
      </c>
      <c r="T334" s="45">
        <f>IF(S334="",P334,S334)</f>
        <v/>
      </c>
      <c r="U334" s="7" t="n">
        <v>0</v>
      </c>
      <c r="V334" s="6">
        <f>$T334*U334</f>
        <v/>
      </c>
      <c r="W334" s="7" t="n">
        <v>0.4</v>
      </c>
      <c r="X334" s="6">
        <f>$T334*W334</f>
        <v/>
      </c>
      <c r="Y334" s="7" t="n">
        <v>0</v>
      </c>
      <c r="Z334" s="6">
        <f>$T334*Y334</f>
        <v/>
      </c>
      <c r="AA334" s="7" t="n">
        <v>0</v>
      </c>
      <c r="AB334" s="6">
        <f>$T334*AA334</f>
        <v/>
      </c>
      <c r="AC334" s="7" t="n">
        <v>0</v>
      </c>
      <c r="AD334" s="6">
        <f>$T334*AC334</f>
        <v/>
      </c>
      <c r="AE334" s="7" t="n">
        <v>0</v>
      </c>
      <c r="AF334" s="6">
        <f>$T334*AE334</f>
        <v/>
      </c>
      <c r="AG334" s="7" t="n">
        <v>0</v>
      </c>
      <c r="AH334" s="6">
        <f>$T334*AG334</f>
        <v/>
      </c>
      <c r="AI334" s="7">
        <f>U334+W334+Y334+AA334+AC334+AE334+AG334</f>
        <v/>
      </c>
      <c r="AJ334" s="6">
        <f>V334+X334+Z334+AB334+AD334+AF334+AH334</f>
        <v/>
      </c>
    </row>
    <row r="335" ht="60" customHeight="1" s="46">
      <c r="A335" s="3" t="inlineStr">
        <is>
          <t>LOM251.OC.EEA.PA29.F8210.SA001.0260</t>
        </is>
      </c>
      <c r="B335" s="4" t="inlineStr">
        <is>
          <t>1/1</t>
        </is>
      </c>
      <c r="C335" s="3" t="inlineStr">
        <is>
          <t>IMPIANTO MECCANICO</t>
        </is>
      </c>
      <c r="D335" s="4" t="inlineStr">
        <is>
          <t>SPECIALE</t>
        </is>
      </c>
      <c r="E335" s="4" t="inlineStr">
        <is>
          <t>MECCANICHE SPECIALI</t>
        </is>
      </c>
      <c r="F335" s="3" t="inlineStr">
        <is>
          <t>2_CME_TOTALE MECCANICI RADIOFARMACIA PAVIA.PDF</t>
        </is>
      </c>
      <c r="G335" s="4" t="inlineStr">
        <is>
          <t>97/97</t>
        </is>
      </c>
      <c r="H335" s="3" t="inlineStr">
        <is>
          <t>40 - IMPIANTISTICO</t>
        </is>
      </c>
      <c r="I335" s="3" t="inlineStr">
        <is>
          <t>P. TERRA - PRODUZIONE</t>
        </is>
      </c>
      <c r="J335" s="3" t="inlineStr">
        <is>
          <t>IMPIANTO HVAC</t>
        </is>
      </c>
      <c r="K335" s="3" t="inlineStr">
        <is>
          <t>OPERA: DIFFUSORE, MULTIDIREZIONALE DI LEGA ALLUMINIO ANODIZZATO; GEOMETRIA: RETTANGOLARE; FUNZIONE: DIFFUSIONE ARIA; IMPIEGO: IMPIANTO DI CONDIZIONAMENTO; LUNGHEZZA FRONTALE [MM] = 300 | ALTEZZA FRONT</t>
        </is>
      </c>
      <c r="L335" s="3" t="inlineStr">
        <is>
          <t>OPERA: DIFFUSORE, MULTIDIREZIONALE DI LEGA ALLUMINIO ANODIZZATO; GEOMETRIA: RETTANGOLARE; FUNZIONE: DIFFUSIONE ARIA; IMPIEGO: IMPIANTO DI CONDIZIONAMENTO; LUNGHEZZA FRONTALE [MM] = 300 | ALTEZZA FRONTALE [MM] = 300. INCLUSO: SERRANDA DI REGOLAZIONE. 
LAVORO: MONTAGGIO. 
SPECIFICHE TECNICHE: COSTITUITO DA UNA CORNICE ESTERNA E DA UNA PARTE CENTRALE REMOVIBILE, AD ELEMENTI DIVERGENTI MULTIPLI. OP DIFFUSORE, MULTIDIREZIONALE DI LEGA ALLUMINIO ANODIZZATO; GEOMETRIA: RETTANGOLARE; FUNZIONE: DIFFUSIONE ARIA; IMPIEGO: IMPIANTO DI CONDIZIONAMENTO; LUNGHEZZA FRONTALE [MM] = 300 | ALTEZZA FRONTALE [MM] = 300. INCLUSO: SERRANDA DI REGOLAZIONE. 
SPECIFICHE TECNICHE: COSTITUITO DA UNA CORNICE ESTERNA E DA UNA PARTE CENTRALE REMOVIBILE, AD ELEMENTI DIVERGENTI MULTIPLI. 
RM DIFFUSORE MULTIDIREZIONALE DI LEGA ALLUMINIO ANODIZZATO; GEOMETRIA: RETTANGOLARE; FUNZIONE: DIFFUSIONE ARIA; IMPIEGO: IMPIANTO DI CONDIZIONAMENTO; LUNGHEZZA FRONTALE [MM] = 300 | ALTEZZA FRONTALE [MM] = 300. INCLUSO: SERRANDA DI REGOLAZIONE 
SPECIFICHE TECNICHE: COSTITUITO DA UNA CORNICE ESTERNA E DA UNA PARTE CENTRALE REMOVIBILE, AD ELEMENTI DIVERGENTI MULTIPLI 
LV MONTAGGIO.</t>
        </is>
      </c>
      <c r="M335" s="4" t="inlineStr">
        <is>
          <t>CAD</t>
        </is>
      </c>
      <c r="N335" s="5" t="n">
        <v>4</v>
      </c>
      <c r="O335" s="45" t="n">
        <v>246.07</v>
      </c>
      <c r="P335" s="45" t="n">
        <v>984.28</v>
      </c>
      <c r="Q335" s="5" t="n"/>
      <c r="R335" s="6" t="n"/>
      <c r="S335" s="6">
        <f>IF(AND(Q335&lt;&gt;"",R335&lt;&gt;""),Q335*R335,"")</f>
        <v/>
      </c>
      <c r="T335" s="45">
        <f>IF(S335="",P335,S335)</f>
        <v/>
      </c>
      <c r="U335" s="7" t="n">
        <v>0</v>
      </c>
      <c r="V335" s="6">
        <f>$T335*U335</f>
        <v/>
      </c>
      <c r="W335" s="7" t="n">
        <v>0.4</v>
      </c>
      <c r="X335" s="6">
        <f>$T335*W335</f>
        <v/>
      </c>
      <c r="Y335" s="7" t="n">
        <v>0</v>
      </c>
      <c r="Z335" s="6">
        <f>$T335*Y335</f>
        <v/>
      </c>
      <c r="AA335" s="7" t="n">
        <v>0</v>
      </c>
      <c r="AB335" s="6">
        <f>$T335*AA335</f>
        <v/>
      </c>
      <c r="AC335" s="7" t="n">
        <v>0</v>
      </c>
      <c r="AD335" s="6">
        <f>$T335*AC335</f>
        <v/>
      </c>
      <c r="AE335" s="7" t="n">
        <v>0</v>
      </c>
      <c r="AF335" s="6">
        <f>$T335*AE335</f>
        <v/>
      </c>
      <c r="AG335" s="7" t="n">
        <v>0</v>
      </c>
      <c r="AH335" s="6">
        <f>$T335*AG335</f>
        <v/>
      </c>
      <c r="AI335" s="7">
        <f>U335+W335+Y335+AA335+AC335+AE335+AG335</f>
        <v/>
      </c>
      <c r="AJ335" s="6">
        <f>V335+X335+Z335+AB335+AD335+AF335+AH335</f>
        <v/>
      </c>
    </row>
    <row r="336" ht="60" customHeight="1" s="46">
      <c r="A336" s="3" t="inlineStr">
        <is>
          <t>DEI_IT_033412B</t>
        </is>
      </c>
      <c r="B336" s="4" t="inlineStr">
        <is>
          <t>1/1</t>
        </is>
      </c>
      <c r="C336" s="3" t="inlineStr">
        <is>
          <t>IMPIANTO MECCANICO</t>
        </is>
      </c>
      <c r="D336" s="4" t="inlineStr">
        <is>
          <t>SPECIALE</t>
        </is>
      </c>
      <c r="E336" s="4" t="inlineStr">
        <is>
          <t>MECCANICHE SPECIALI</t>
        </is>
      </c>
      <c r="F336" s="3" t="inlineStr">
        <is>
          <t>2_CME_TOTALE MECCANICI RADIOFARMACIA PAVIA.PDF</t>
        </is>
      </c>
      <c r="G336" s="4" t="inlineStr">
        <is>
          <t>98/98</t>
        </is>
      </c>
      <c r="H336" s="3" t="inlineStr">
        <is>
          <t>40 - IMPIANTISTICO</t>
        </is>
      </c>
      <c r="I336" s="3" t="inlineStr">
        <is>
          <t>P. TERRA - PRODUZIONE</t>
        </is>
      </c>
      <c r="J336" s="3" t="inlineStr">
        <is>
          <t>IMPIANTO HVAC</t>
        </is>
      </c>
      <c r="K336" s="3" t="inlineStr">
        <is>
          <t>FILTRO ALTA EFFICIENZA A PICCOLE PIEGHE PROFONDE (UNI 10339), TELAIO IN MDF CON GUARNIZIONI IN ELASTOMERO, EFFICIENZA 99,99%, MEDIA FILTRANTE IN CARTA DI VETRO PIEGHETTATA: DIMENSIONI 610 X 610 MM, SU</t>
        </is>
      </c>
      <c r="L336" s="3" t="inlineStr">
        <is>
          <t>FILTRO ALTA EFFICIENZA A PICCOLE PIEGHE PROFONDE (UNI 10339), TELAIO IN MDF CON GUARNIZIONI IN ELASTOMERO, EFFICIENZA 99,99%, MEDIA FILTRANTE IN CARTA DI VETRO PIEGHETTATA: DIMENSIONI 610 X 610 MM, SUPERFICIE FILTRANTE 12,8 MQ, PORTATA ARIA 1.900 MC/H, PERDITA DI CARICO 250 PA, SPESSORE 290 MM</t>
        </is>
      </c>
      <c r="M336" s="4" t="inlineStr">
        <is>
          <t>CAD</t>
        </is>
      </c>
      <c r="N336" s="5" t="n">
        <v>24</v>
      </c>
      <c r="O336" s="45" t="n">
        <v>188.25</v>
      </c>
      <c r="P336" s="45" t="n">
        <v>4518</v>
      </c>
      <c r="Q336" s="5" t="n"/>
      <c r="R336" s="6" t="n"/>
      <c r="S336" s="6">
        <f>IF(AND(Q336&lt;&gt;"",R336&lt;&gt;""),Q336*R336,"")</f>
        <v/>
      </c>
      <c r="T336" s="45">
        <f>IF(S336="",P336,S336)</f>
        <v/>
      </c>
      <c r="U336" s="7" t="n">
        <v>0</v>
      </c>
      <c r="V336" s="6">
        <f>$T336*U336</f>
        <v/>
      </c>
      <c r="W336" s="7" t="n">
        <v>0.4</v>
      </c>
      <c r="X336" s="6">
        <f>$T336*W336</f>
        <v/>
      </c>
      <c r="Y336" s="7" t="n">
        <v>0</v>
      </c>
      <c r="Z336" s="6">
        <f>$T336*Y336</f>
        <v/>
      </c>
      <c r="AA336" s="7" t="n">
        <v>0</v>
      </c>
      <c r="AB336" s="6">
        <f>$T336*AA336</f>
        <v/>
      </c>
      <c r="AC336" s="7" t="n">
        <v>0</v>
      </c>
      <c r="AD336" s="6">
        <f>$T336*AC336</f>
        <v/>
      </c>
      <c r="AE336" s="7" t="n">
        <v>0</v>
      </c>
      <c r="AF336" s="6">
        <f>$T336*AE336</f>
        <v/>
      </c>
      <c r="AG336" s="7" t="n">
        <v>0</v>
      </c>
      <c r="AH336" s="6">
        <f>$T336*AG336</f>
        <v/>
      </c>
      <c r="AI336" s="7">
        <f>U336+W336+Y336+AA336+AC336+AE336+AG336</f>
        <v/>
      </c>
      <c r="AJ336" s="6">
        <f>V336+X336+Z336+AB336+AD336+AF336+AH336</f>
        <v/>
      </c>
    </row>
    <row r="337" hidden="1" ht="60" customHeight="1" s="46">
      <c r="A337" s="3" t="inlineStr">
        <is>
          <t>LOM251.OC.EEA.PA29.F8215.SA000.0255</t>
        </is>
      </c>
      <c r="B337" s="4" t="inlineStr">
        <is>
          <t>1/2</t>
        </is>
      </c>
      <c r="C337" s="3" t="inlineStr">
        <is>
          <t>IMPIANTO MECCANICO</t>
        </is>
      </c>
      <c r="D337" s="4" t="inlineStr">
        <is>
          <t>SPECIALE</t>
        </is>
      </c>
      <c r="E337" s="4" t="inlineStr">
        <is>
          <t>MECCANICHE SPECIALI</t>
        </is>
      </c>
      <c r="F337" s="3" t="inlineStr">
        <is>
          <t>2_CME_TOTALE MECCANICI RADIOFARMACIA PAVIA.PDF</t>
        </is>
      </c>
      <c r="G337" s="4" t="inlineStr">
        <is>
          <t>99/99</t>
        </is>
      </c>
      <c r="H337" s="3" t="inlineStr">
        <is>
          <t>40 - IMPIANTISTICO</t>
        </is>
      </c>
      <c r="I337" s="3" t="inlineStr">
        <is>
          <t>P. TERRA - PRODUZIONE</t>
        </is>
      </c>
      <c r="J337" s="3" t="inlineStr">
        <is>
          <t>IMPIANTO HVAC</t>
        </is>
      </c>
      <c r="K337" s="3" t="inlineStr">
        <is>
          <t>OPERA: GRIGLIA, DI RIPRESA DI LEGA ALLUMINIO GENERICO; GEOMETRIA: 1 FILARE DI ALETTE FISSE; FUNZIONE: DIFFUSIONE ARIA; IMPIEGO: IMPIANTO DI CLIMATIZZAZIONE; SUPERFICIE FRONTALE [M²] = 0,04 ÷ 0,05. INC</t>
        </is>
      </c>
      <c r="L337" s="3" t="inlineStr">
        <is>
          <t>OPERA: GRIGLIA, DI RIPRESA DI LEGA ALLUMINIO GENERICO; GEOMETRIA: 1 FILARE DI ALETTE FISSE; FUNZIONE: DIFFUSIONE ARIA; IMPIEGO: IMPIANTO DI CLIMATIZZAZIONE; SUPERFICIE FRONTALE [M²] = 0,04 ÷ 0,05. INCLUSO: SERRANDA DI REGOLAZIONE. 
LAVORO: MONTAGGIO. OP GRIGLIA, DI RIPRESA DI LEGA ALLUMINIO GENERICO; GEOMETRIA: 1 FILARE DI ALETTE FISSE; FUNZIONE: DIFFUSIONE ARIA; IMPIEGO: IMPIANTO DI CLIMATIZZAZIONE; SUPERFICIE FRONTALE [M²] = 0,04 ÷ 0,05. INCLUSO: SERRANDA DI REGOLAZIONE. 
RM GRIGLIA DI RIPRESA DI LEGA ALLUMINIO GENERICO; GEOMETRIA: 1 FILARE DI ALETTE FISSE; FUNZIONE: DIFFUSIONE ARIA; IMPIEGO: IMPIANTO DI CLIMATIZZAZIONE; SUPERFICIE FRONTALE [M²] = 0,04 ÷ 0,05. INCLUSO: SERRANDA DI REGOLAZIONE 
LV MONTAGGIO.</t>
        </is>
      </c>
      <c r="M337" s="4" t="inlineStr">
        <is>
          <t>M²</t>
        </is>
      </c>
      <c r="N337" s="5" t="n">
        <v>0.23</v>
      </c>
      <c r="O337" s="45" t="n">
        <v>1915.17</v>
      </c>
      <c r="P337" s="45" t="n">
        <v>440.49</v>
      </c>
      <c r="Q337" s="5" t="n"/>
      <c r="R337" s="6" t="n"/>
      <c r="S337" s="6">
        <f>IF(AND(Q337&lt;&gt;"",R337&lt;&gt;""),Q337*R337,"")</f>
        <v/>
      </c>
      <c r="T337" s="45">
        <f>IF(S337="",P337,S337)</f>
        <v/>
      </c>
      <c r="U337" s="7" t="n">
        <v>0</v>
      </c>
      <c r="V337" s="6">
        <f>$T337*U337</f>
        <v/>
      </c>
      <c r="W337" s="7" t="n">
        <v>0</v>
      </c>
      <c r="X337" s="6">
        <f>$T337*W337</f>
        <v/>
      </c>
      <c r="Y337" s="7" t="n">
        <v>0</v>
      </c>
      <c r="Z337" s="6">
        <f>$T337*Y337</f>
        <v/>
      </c>
      <c r="AA337" s="7" t="n">
        <v>0</v>
      </c>
      <c r="AB337" s="6">
        <f>$T337*AA337</f>
        <v/>
      </c>
      <c r="AC337" s="7" t="n">
        <v>0</v>
      </c>
      <c r="AD337" s="6">
        <f>$T337*AC337</f>
        <v/>
      </c>
      <c r="AE337" s="7" t="n">
        <v>0</v>
      </c>
      <c r="AF337" s="6">
        <f>$T337*AE337</f>
        <v/>
      </c>
      <c r="AG337" s="7" t="n">
        <v>0</v>
      </c>
      <c r="AH337" s="6">
        <f>$T337*AG337</f>
        <v/>
      </c>
      <c r="AI337" s="7">
        <f>U337+W337+Y337+AA337+AC337+AE337+AG337</f>
        <v/>
      </c>
      <c r="AJ337" s="6">
        <f>V337+X337+Z337+AB337+AD337+AF337+AH337</f>
        <v/>
      </c>
    </row>
    <row r="338" ht="60" customHeight="1" s="46">
      <c r="A338" s="3" t="inlineStr">
        <is>
          <t>LOM251.OC.EEA.PA29.F8215.SA000.0260</t>
        </is>
      </c>
      <c r="B338" s="4" t="inlineStr">
        <is>
          <t>2/2</t>
        </is>
      </c>
      <c r="C338" s="3" t="inlineStr">
        <is>
          <t>IMPIANTO MECCANICO</t>
        </is>
      </c>
      <c r="D338" s="4" t="inlineStr">
        <is>
          <t>SPECIALE</t>
        </is>
      </c>
      <c r="E338" s="4" t="inlineStr">
        <is>
          <t>MECCANICHE SPECIALI</t>
        </is>
      </c>
      <c r="F338" s="3" t="inlineStr">
        <is>
          <t>2_CME_TOTALE MECCANICI RADIOFARMACIA PAVIA.PDF</t>
        </is>
      </c>
      <c r="G338" s="4" t="inlineStr">
        <is>
          <t>100/100</t>
        </is>
      </c>
      <c r="H338" s="3" t="inlineStr">
        <is>
          <t>40 - IMPIANTISTICO</t>
        </is>
      </c>
      <c r="I338" s="3" t="inlineStr">
        <is>
          <t>P. TERRA - PRODUZIONE</t>
        </is>
      </c>
      <c r="J338" s="3" t="inlineStr">
        <is>
          <t>IMPIANTO HVAC</t>
        </is>
      </c>
      <c r="K338" s="3" t="inlineStr">
        <is>
          <t>OPERA: GRIGLIA, DI RIPRESA DI LEGA ALLUMINIO GENERICO; GEOMETRIA: 1 FILARE DI ALETTE FISSE; FUNZIONE: DIFFUSIONE ARIA; IMPIEGO: IMPIANTO DI CLIMATIZZAZIONE; SUPERFICIE FRONTALE [M²] = 0,06 ÷ 0,08. INC</t>
        </is>
      </c>
      <c r="L338" s="3" t="inlineStr">
        <is>
          <t>OPERA: GRIGLIA, DI RIPRESA DI LEGA ALLUMINIO GENERICO; GEOMETRIA: 1 FILARE DI ALETTE FISSE; FUNZIONE: DIFFUSIONE ARIA; IMPIEGO: IMPIANTO DI CLIMATIZZAZIONE; SUPERFICIE FRONTALE [M²] = 0,06 ÷ 0,08. INCLUSO: SERRANDA DI REGOLAZIONE. 
LAVORO: MONTAGGIO. OP GRIGLIA, DI RIPRESA DI LEGA ALLUMINIO GENERICO; GEOMETRIA: 1 FILARE DI ALETTE FISSE; FUNZIONE: DIFFUSIONE ARIA; IMPIEGO: IMPIANTO DI CLIMATIZZAZIONE; SUPERFICIE FRONTALE [M²] = 0,06 ÷ 0,08. INCLUSO: SERRANDA DI REGOLAZIONE. 
RM GRIGLIA DI RIPRESA DI LEGA ALLUMINIO GENERICO; GEOMETRIA: 1 FILARE DI ALETTE FISSE; FUNZIONE: DIFFUSIONE ARIA; IMPIEGO: IMPIANTO DI CLIMATIZZAZIONE; SUPERFICIE FRONTALE [M²] = 0,06 ÷ 0,08. INCLUSO: SERRANDA DI REGOLAZIONE 
LV MONTAGGIO.</t>
        </is>
      </c>
      <c r="M338" s="4" t="inlineStr">
        <is>
          <t>M²</t>
        </is>
      </c>
      <c r="N338" s="5" t="n">
        <v>0.58</v>
      </c>
      <c r="O338" s="45" t="n">
        <v>1381.53</v>
      </c>
      <c r="P338" s="45" t="n">
        <v>801.29</v>
      </c>
      <c r="Q338" s="5" t="n"/>
      <c r="R338" s="6" t="n"/>
      <c r="S338" s="6">
        <f>IF(AND(Q338&lt;&gt;"",R338&lt;&gt;""),Q338*R338,"")</f>
        <v/>
      </c>
      <c r="T338" s="45">
        <f>IF(S338="",P338,S338)</f>
        <v/>
      </c>
      <c r="U338" s="7" t="n">
        <v>0</v>
      </c>
      <c r="V338" s="6">
        <f>$T338*U338</f>
        <v/>
      </c>
      <c r="W338" s="7" t="n">
        <v>0.4</v>
      </c>
      <c r="X338" s="6">
        <f>$T338*W338</f>
        <v/>
      </c>
      <c r="Y338" s="7" t="n">
        <v>0</v>
      </c>
      <c r="Z338" s="6">
        <f>$T338*Y338</f>
        <v/>
      </c>
      <c r="AA338" s="7" t="n">
        <v>0</v>
      </c>
      <c r="AB338" s="6">
        <f>$T338*AA338</f>
        <v/>
      </c>
      <c r="AC338" s="7" t="n">
        <v>0</v>
      </c>
      <c r="AD338" s="6">
        <f>$T338*AC338</f>
        <v/>
      </c>
      <c r="AE338" s="7" t="n">
        <v>0</v>
      </c>
      <c r="AF338" s="6">
        <f>$T338*AE338</f>
        <v/>
      </c>
      <c r="AG338" s="7" t="n">
        <v>0</v>
      </c>
      <c r="AH338" s="6">
        <f>$T338*AG338</f>
        <v/>
      </c>
      <c r="AI338" s="7">
        <f>U338+W338+Y338+AA338+AC338+AE338+AG338</f>
        <v/>
      </c>
      <c r="AJ338" s="6">
        <f>V338+X338+Z338+AB338+AD338+AF338+AH338</f>
        <v/>
      </c>
    </row>
    <row r="339" hidden="1" ht="60" customHeight="1" s="46">
      <c r="A339" s="3" t="inlineStr">
        <is>
          <t>LOM251.OC.EEA.PA29.F8215.SA000.0265</t>
        </is>
      </c>
      <c r="B339" s="4" t="inlineStr">
        <is>
          <t>1/2</t>
        </is>
      </c>
      <c r="C339" s="3" t="inlineStr">
        <is>
          <t>IMPIANTO MECCANICO</t>
        </is>
      </c>
      <c r="D339" s="4" t="inlineStr">
        <is>
          <t>SPECIALE</t>
        </is>
      </c>
      <c r="E339" s="4" t="inlineStr">
        <is>
          <t>MECCANICHE SPECIALI</t>
        </is>
      </c>
      <c r="F339" s="3" t="inlineStr">
        <is>
          <t>2_CME_TOTALE MECCANICI RADIOFARMACIA PAVIA.PDF</t>
        </is>
      </c>
      <c r="G339" s="4" t="inlineStr">
        <is>
          <t>101/101</t>
        </is>
      </c>
      <c r="H339" s="3" t="inlineStr">
        <is>
          <t>40 - IMPIANTISTICO</t>
        </is>
      </c>
      <c r="I339" s="3" t="inlineStr">
        <is>
          <t>P. TERRA - PRODUZIONE</t>
        </is>
      </c>
      <c r="J339" s="3" t="inlineStr">
        <is>
          <t>IMPIANTO HVAC</t>
        </is>
      </c>
      <c r="K339" s="3" t="inlineStr">
        <is>
          <t>OPERA: GRIGLIA, DI RIPRESA DI LEGA ALLUMINIO GENERICO; GEOMETRIA: 1 FILARE DI ALETTE FISSE; FUNZIONE: DIFFUSIONE ARIA; IMPIEGO: IMPIANTO DI CLIMATIZZAZIONE; SUPERFICIE FRONTALE [M²] = 0,09 ÷ 0,12. INC</t>
        </is>
      </c>
      <c r="L339" s="3" t="inlineStr">
        <is>
          <t>OPERA: GRIGLIA, DI RIPRESA DI LEGA ALLUMINIO GENERICO; GEOMETRIA: 1 FILARE DI ALETTE FISSE; FUNZIONE: DIFFUSIONE ARIA; IMPIEGO: IMPIANTO DI CLIMATIZZAZIONE; SUPERFICIE FRONTALE [M²] = 0,09 ÷ 0,12. INCLUSO: SERRANDA DI REGOLAZIONE. 
LAVORO: MONTAGGIO. OP GRIGLIA, DI RIPRESA DI LEGA ALLUMINIO GENERICO; GEOMETRIA: 1 FILARE DI ALETTE FISSE; FUNZIONE: DIFFUSIONE ARIA; IMPIEGO: IMPIANTO DI CLIMATIZZAZIONE; SUPERFICIE FRONTALE [M²] = 0,09 ÷ 0,12. INCLUSO: SERRANDA DI REGOLAZIONE. 
RM GRIGLIA DI RIPRESA DI LEGA ALLUMINIO GENERICO; GEOMETRIA: 1 FILARE DI ALETTE FISSE; FUNZIONE: DIFFUSIONE ARIA; IMPIEGO: IMPIANTO DI CLIMATIZZAZIONE; SUPERFICIE FRONTALE [M²] = 0,09 ÷ 0,12. INCLUSO: SERRANDA DI REGOLAZIONE 
LV MONTAGGIO.</t>
        </is>
      </c>
      <c r="M339" s="4" t="inlineStr">
        <is>
          <t>M²</t>
        </is>
      </c>
      <c r="N339" s="5" t="n">
        <v>0.97</v>
      </c>
      <c r="O339" s="45" t="n">
        <v>1007.98</v>
      </c>
      <c r="P339" s="45" t="n">
        <v>977.74</v>
      </c>
      <c r="Q339" s="5" t="n"/>
      <c r="R339" s="6" t="n"/>
      <c r="S339" s="6">
        <f>IF(AND(Q339&lt;&gt;"",R339&lt;&gt;""),Q339*R339,"")</f>
        <v/>
      </c>
      <c r="T339" s="45">
        <f>IF(S339="",P339,S339)</f>
        <v/>
      </c>
      <c r="U339" s="7" t="n">
        <v>0</v>
      </c>
      <c r="V339" s="6">
        <f>$T339*U339</f>
        <v/>
      </c>
      <c r="W339" s="7" t="n">
        <v>0</v>
      </c>
      <c r="X339" s="6">
        <f>$T339*W339</f>
        <v/>
      </c>
      <c r="Y339" s="7" t="n">
        <v>0</v>
      </c>
      <c r="Z339" s="6">
        <f>$T339*Y339</f>
        <v/>
      </c>
      <c r="AA339" s="7" t="n">
        <v>0</v>
      </c>
      <c r="AB339" s="6">
        <f>$T339*AA339</f>
        <v/>
      </c>
      <c r="AC339" s="7" t="n">
        <v>0</v>
      </c>
      <c r="AD339" s="6">
        <f>$T339*AC339</f>
        <v/>
      </c>
      <c r="AE339" s="7" t="n">
        <v>0</v>
      </c>
      <c r="AF339" s="6">
        <f>$T339*AE339</f>
        <v/>
      </c>
      <c r="AG339" s="7" t="n">
        <v>0</v>
      </c>
      <c r="AH339" s="6">
        <f>$T339*AG339</f>
        <v/>
      </c>
      <c r="AI339" s="7">
        <f>U339+W339+Y339+AA339+AC339+AE339+AG339</f>
        <v/>
      </c>
      <c r="AJ339" s="6">
        <f>V339+X339+Z339+AB339+AD339+AF339+AH339</f>
        <v/>
      </c>
    </row>
    <row r="340" hidden="1" ht="60" customHeight="1" s="46">
      <c r="A340" s="3" t="inlineStr">
        <is>
          <t>LOM251.OC.EEA.PA29.F8215.SA000.0270</t>
        </is>
      </c>
      <c r="B340" s="4" t="inlineStr">
        <is>
          <t>1/1</t>
        </is>
      </c>
      <c r="C340" s="3" t="inlineStr">
        <is>
          <t>IMPIANTO MECCANICO</t>
        </is>
      </c>
      <c r="D340" s="4" t="inlineStr">
        <is>
          <t>SPECIALE</t>
        </is>
      </c>
      <c r="E340" s="4" t="inlineStr">
        <is>
          <t>MECCANICHE SPECIALI</t>
        </is>
      </c>
      <c r="F340" s="3" t="inlineStr">
        <is>
          <t>2_CME_TOTALE MECCANICI RADIOFARMACIA PAVIA.PDF</t>
        </is>
      </c>
      <c r="G340" s="4" t="inlineStr">
        <is>
          <t>102/102</t>
        </is>
      </c>
      <c r="H340" s="3" t="inlineStr">
        <is>
          <t>40 - IMPIANTISTICO</t>
        </is>
      </c>
      <c r="I340" s="3" t="inlineStr">
        <is>
          <t>P. TERRA - PRODUZIONE</t>
        </is>
      </c>
      <c r="J340" s="3" t="inlineStr">
        <is>
          <t>IMPIANTO HVAC</t>
        </is>
      </c>
      <c r="K340" s="3" t="inlineStr">
        <is>
          <t>OPERA: GRIGLIA, DI RIPRESA DI LEGA ALLUMINIO GENERICO; GEOMETRIA: 1 FILARE DI ALETTE FISSE; FUNZIONE: DIFFUSIONE ARIA; IMPIEGO: IMPIANTO DI CLIMATIZZAZIONE; SUPERFICIE FRONTALE [M²] = 0,13 ÷ 0,18. INC</t>
        </is>
      </c>
      <c r="L340" s="3" t="inlineStr">
        <is>
          <t>OPERA: GRIGLIA, DI RIPRESA DI LEGA ALLUMINIO GENERICO; GEOMETRIA: 1 FILARE DI ALETTE FISSE; FUNZIONE: DIFFUSIONE ARIA; IMPIEGO: IMPIANTO DI CLIMATIZZAZIONE; SUPERFICIE FRONTALE [M²] = 0,13 ÷ 0,18. INCLUSO: SERRANDA DI REGOLAZIONE. 
LAVORO: MONTAGGIO. OP GRIGLIA, DI RIPRESA DI LEGA ALLUMINIO GENERICO; GEOMETRIA: 1 FILARE DI ALETTE FISSE; FUNZIONE: DIFFUSIONE ARIA; IMPIEGO: IMPIANTO DI CLIMATIZZAZIONE; SUPERFICIE FRONTALE [M²] = 0,13 ÷ 0,18. INCLUSO: SERRANDA DI REGOLAZIONE. 
RM GRIGLIA DI RIPRESA DI LEGA ALLUMINIO GENERICO; GEOMETRIA: 1 FILARE DI ALETTE FISSE; FUNZIONE: DIFFUSIONE ARIA; IMPIEGO: IMPIANTO DI CLIMATIZZAZIONE; SUPERFICIE FRONTALE [M²] = 0,13 ÷ 0,18. INCLUSO: SERRANDA DI REGOLAZIONE 
LV MONTAGGIO.</t>
        </is>
      </c>
      <c r="M340" s="4" t="inlineStr">
        <is>
          <t>M²</t>
        </is>
      </c>
      <c r="N340" s="5" t="n">
        <v>0.3</v>
      </c>
      <c r="O340" s="45" t="n">
        <v>984.27</v>
      </c>
      <c r="P340" s="45" t="n">
        <v>295.28</v>
      </c>
      <c r="Q340" s="5" t="n"/>
      <c r="R340" s="6" t="n"/>
      <c r="S340" s="6">
        <f>IF(AND(Q340&lt;&gt;"",R340&lt;&gt;""),Q340*R340,"")</f>
        <v/>
      </c>
      <c r="T340" s="45">
        <f>IF(S340="",P340,S340)</f>
        <v/>
      </c>
      <c r="U340" s="7" t="n">
        <v>0</v>
      </c>
      <c r="V340" s="6">
        <f>$T340*U340</f>
        <v/>
      </c>
      <c r="W340" s="7" t="n">
        <v>0</v>
      </c>
      <c r="X340" s="6">
        <f>$T340*W340</f>
        <v/>
      </c>
      <c r="Y340" s="7" t="n">
        <v>0</v>
      </c>
      <c r="Z340" s="6">
        <f>$T340*Y340</f>
        <v/>
      </c>
      <c r="AA340" s="7" t="n">
        <v>0</v>
      </c>
      <c r="AB340" s="6">
        <f>$T340*AA340</f>
        <v/>
      </c>
      <c r="AC340" s="7" t="n">
        <v>0</v>
      </c>
      <c r="AD340" s="6">
        <f>$T340*AC340</f>
        <v/>
      </c>
      <c r="AE340" s="7" t="n">
        <v>0</v>
      </c>
      <c r="AF340" s="6">
        <f>$T340*AE340</f>
        <v/>
      </c>
      <c r="AG340" s="7" t="n">
        <v>0</v>
      </c>
      <c r="AH340" s="6">
        <f>$T340*AG340</f>
        <v/>
      </c>
      <c r="AI340" s="7">
        <f>U340+W340+Y340+AA340+AC340+AE340+AG340</f>
        <v/>
      </c>
      <c r="AJ340" s="6">
        <f>V340+X340+Z340+AB340+AD340+AF340+AH340</f>
        <v/>
      </c>
    </row>
    <row r="341" ht="60" customHeight="1" s="46">
      <c r="A341" s="3" t="inlineStr">
        <is>
          <t>LOM251.OC.EEA.PA29.L6815.ZA001.0000</t>
        </is>
      </c>
      <c r="B341" s="4" t="inlineStr">
        <is>
          <t>1/2</t>
        </is>
      </c>
      <c r="C341" s="3" t="inlineStr">
        <is>
          <t>IMPIANTO MECCANICO</t>
        </is>
      </c>
      <c r="D341" s="4" t="inlineStr">
        <is>
          <t>SPECIALE</t>
        </is>
      </c>
      <c r="E341" s="4" t="inlineStr">
        <is>
          <t>MECCANICHE SPECIALI</t>
        </is>
      </c>
      <c r="F341" s="3" t="inlineStr">
        <is>
          <t>2_CME_TOTALE MECCANICI RADIOFARMACIA PAVIA.PDF</t>
        </is>
      </c>
      <c r="G341" s="4" t="inlineStr">
        <is>
          <t>103/103</t>
        </is>
      </c>
      <c r="H341" s="3" t="inlineStr">
        <is>
          <t>40 - IMPIANTISTICO</t>
        </is>
      </c>
      <c r="I341" s="3" t="inlineStr">
        <is>
          <t>P. TERRA - PRODUZIONE</t>
        </is>
      </c>
      <c r="J341" s="3" t="inlineStr">
        <is>
          <t>IMPIANTO HVAC</t>
        </is>
      </c>
      <c r="K341" s="3" t="inlineStr">
        <is>
          <t>OPERA: SERRANDA TAGLIAFUOCO, CIRCOLARE; FUNZIONE: IMPEDIMENTO PROPAGAZIONE INCENDIO; IMPIEGO: IMPIANTO DI CLIMATIZZAZIONE; DIAMETRO (Ø) [MM] = 200; RESISTENZA AL FUOCO [CLASSE] = REI120. INCLUSO: GUAR</t>
        </is>
      </c>
      <c r="L341" s="3" t="inlineStr">
        <is>
          <t>OPERA: SERRANDA TAGLIAFUOCO, CIRCOLARE; FUNZIONE: IMPEDIMENTO PROPAGAZIONE INCENDIO; IMPIEGO: IMPIANTO DI CLIMATIZZAZIONE; DIAMETRO (Ø) [MM] = 200; RESISTENZA AL FUOCO [CLASSE] = REI120. INCLUSO: GUARNIZIONI TERMOESPANDENTI; DISGIUNTORE PORTAFUSIBILE. 
LAVORO: MONTAGGIO. 
SPECIFICHE TECNICHE: CHIUSURA STANDARD A MOLLA CON LEVA DI RIARMO MANUALE; DISGIUNTORE AD UNA TEMPERATURA [°C] = 72. OP SERRANDA TAGLIAFUOCO, CIRCOLARE; FUNZIONE: IMPEDIMENTO PROPAGAZIONE INCENDIO; IMPIEGO: IMPIANTO DI CLIMATIZZAZIONE; DIAMETRO (Ø) [MM] = 200; RESISTENZA AL FUOCO [CLASSE] = REI120. INCLUSO: GUARNIZIONI TERMOESPANDENTI; DISGIUNTORE PORTAFUSIBILE. 
SPECIFICHE TECNICHE: CHIUSURA STANDARD A MOLLA CON LEVA DI RIARMO MANUALE; DISGIUNTORE AD UNA TEMPERATURA [°C] = 72. 
RM SERRANDA TAGLIAFUOCO CIRCOLARE; FUNZIONE: IMPEDIMENTO PROPAGAZIONE INCENDIO; IMPIEGO: IMPIANTO DI CLIMATIZZAZIONE; DIAMETRO (Ø) [MM] = 200; RESISTENZA AL FUOCO [CLASSE] = REI120. COMPONENTI: INVOLUCRO, PALA. INCLUSO: GUARNIZIONI TERMOESPANDENTI; DISGIUNTORE PORTAFUSIBILE 
SPECIFICHE TECNICHE: CHIUSURA STANDARD A MOLLA CON LEVA DI RIARMO MANUALE; DISGIUNTORE AD UNA TEMPERATURA [°C] = 72 
LV MONTAGGIO.</t>
        </is>
      </c>
      <c r="M341" s="4" t="inlineStr">
        <is>
          <t>CAD</t>
        </is>
      </c>
      <c r="N341" s="5" t="n">
        <v>6</v>
      </c>
      <c r="O341" s="45" t="n">
        <v>201.6</v>
      </c>
      <c r="P341" s="45" t="n">
        <v>1209.6</v>
      </c>
      <c r="Q341" s="5" t="n"/>
      <c r="R341" s="6" t="n"/>
      <c r="S341" s="6">
        <f>IF(AND(Q341&lt;&gt;"",R341&lt;&gt;""),Q341*R341,"")</f>
        <v/>
      </c>
      <c r="T341" s="45">
        <f>IF(S341="",P341,S341)</f>
        <v/>
      </c>
      <c r="U341" s="7" t="n">
        <v>0</v>
      </c>
      <c r="V341" s="6">
        <f>$T341*U341</f>
        <v/>
      </c>
      <c r="W341" s="7" t="n">
        <v>0.6</v>
      </c>
      <c r="X341" s="6">
        <f>$T341*W341</f>
        <v/>
      </c>
      <c r="Y341" s="7" t="n">
        <v>0</v>
      </c>
      <c r="Z341" s="6">
        <f>$T341*Y341</f>
        <v/>
      </c>
      <c r="AA341" s="7" t="n">
        <v>0</v>
      </c>
      <c r="AB341" s="6">
        <f>$T341*AA341</f>
        <v/>
      </c>
      <c r="AC341" s="7" t="n">
        <v>0</v>
      </c>
      <c r="AD341" s="6">
        <f>$T341*AC341</f>
        <v/>
      </c>
      <c r="AE341" s="7" t="n">
        <v>0</v>
      </c>
      <c r="AF341" s="6">
        <f>$T341*AE341</f>
        <v/>
      </c>
      <c r="AG341" s="7" t="n">
        <v>0</v>
      </c>
      <c r="AH341" s="6">
        <f>$T341*AG341</f>
        <v/>
      </c>
      <c r="AI341" s="7">
        <f>U341+W341+Y341+AA341+AC341+AE341+AG341</f>
        <v/>
      </c>
      <c r="AJ341" s="6">
        <f>V341+X341+Z341+AB341+AD341+AF341+AH341</f>
        <v/>
      </c>
    </row>
    <row r="342" ht="60" customHeight="1" s="46">
      <c r="A342" s="3" t="inlineStr">
        <is>
          <t>LOM251.OC.EEA.PA29.L6815.ZA001.0005</t>
        </is>
      </c>
      <c r="B342" s="4" t="inlineStr">
        <is>
          <t>1/1</t>
        </is>
      </c>
      <c r="C342" s="3" t="inlineStr">
        <is>
          <t>IMPIANTO MECCANICO</t>
        </is>
      </c>
      <c r="D342" s="4" t="inlineStr">
        <is>
          <t>SPECIALE</t>
        </is>
      </c>
      <c r="E342" s="4" t="inlineStr">
        <is>
          <t>MECCANICHE SPECIALI</t>
        </is>
      </c>
      <c r="F342" s="3" t="inlineStr">
        <is>
          <t>2_CME_TOTALE MECCANICI RADIOFARMACIA PAVIA.PDF</t>
        </is>
      </c>
      <c r="G342" s="4" t="inlineStr">
        <is>
          <t>104/104</t>
        </is>
      </c>
      <c r="H342" s="3" t="inlineStr">
        <is>
          <t>40 - IMPIANTISTICO</t>
        </is>
      </c>
      <c r="I342" s="3" t="inlineStr">
        <is>
          <t>P. TERRA - PRODUZIONE</t>
        </is>
      </c>
      <c r="J342" s="3" t="inlineStr">
        <is>
          <t>IMPIANTO HVAC</t>
        </is>
      </c>
      <c r="K342" s="3" t="inlineStr">
        <is>
          <t>OPERA: SERRANDA TAGLIAFUOCO, CIRCOLARE; FUNZIONE: IMPEDIMENTO PROPAGAZIONE INCENDIO; IMPIEGO: IMPIANTO DI CLIMATIZZAZIONE; DIAMETRO (Ø) [MM] = 250; RESISTENZA AL FUOCO [CLASSE] = REI120. INCLUSO: GUAR</t>
        </is>
      </c>
      <c r="L342" s="3" t="inlineStr">
        <is>
          <t>OPERA: SERRANDA TAGLIAFUOCO, CIRCOLARE; FUNZIONE: IMPEDIMENTO PROPAGAZIONE INCENDIO; IMPIEGO: IMPIANTO DI CLIMATIZZAZIONE; DIAMETRO (Ø) [MM] = 250; RESISTENZA AL FUOCO [CLASSE] = REI120. INCLUSO: GUARNIZIONI TERMOESPANDENTI; DISGIUNTORE PORTAFUSIBILE. 
LAVORO: MONTAGGIO. 
SPECIFICHE TECNICHE: CHIUSURA STANDARD A MOLLA CON LEVA DI RIARMO MANUALE; DISGIUNTORE AD UNA TEMPERATURA [°C] = 72. OP SERRANDA TAGLIAFUOCO, CIRCOLARE; FUNZIONE: IMPEDIMENTO PROPAGAZIONE INCENDIO; IMPIEGO: IMPIANTO DI CLIMATIZZAZIONE; DIAMETRO (Ø) [MM] = 250; RESISTENZA AL FUOCO [CLASSE] = REI120. INCLUSO: GUARNIZIONI TERMOESPANDENTI; DISGIUNTORE PORTAFUSIBILE. 
SPECIFICHE TECNICHE: CHIUSURA STANDARD A MOLLA CON LEVA DI RIARMO MANUALE; DISGIUNTORE AD UNA TEMPERATURA [°C] = 72. 
RM SERRANDA TAGLIAFUOCO CIRCOLARE; FUNZIONE: IMPEDIMENTO PROPAGAZIONE INCENDIO; IMPIEGO: IMPIANTO DI CLIMATIZZAZIONE; DIAMETRO (Ø) [MM] = 250; RESISTENZA AL FUOCO [CLASSE] = REI120. COMPONENTI: INVOLUCRO, PALA. INCLUSO: GUARNIZIONI TERMOESPANDENTI; DISGIUNTORE PORTAFUSIBILE 
SPECIFICHE TECNICHE: CHIUSURA STANDARD A MOLLA CON LEVA DI RIARMO MANUALE; DISGIUNTORE AD UNA TEMPERATURA [°C] = 72 
LV MONTAGGIO.</t>
        </is>
      </c>
      <c r="M342" s="4" t="inlineStr">
        <is>
          <t>CAD</t>
        </is>
      </c>
      <c r="N342" s="5" t="n">
        <v>2</v>
      </c>
      <c r="O342" s="45" t="n">
        <v>213.46</v>
      </c>
      <c r="P342" s="45" t="n">
        <v>426.92</v>
      </c>
      <c r="Q342" s="5" t="n"/>
      <c r="R342" s="6" t="n"/>
      <c r="S342" s="6">
        <f>IF(AND(Q342&lt;&gt;"",R342&lt;&gt;""),Q342*R342,"")</f>
        <v/>
      </c>
      <c r="T342" s="45">
        <f>IF(S342="",P342,S342)</f>
        <v/>
      </c>
      <c r="U342" s="7" t="n">
        <v>0</v>
      </c>
      <c r="V342" s="6">
        <f>$T342*U342</f>
        <v/>
      </c>
      <c r="W342" s="7" t="n">
        <v>0.6</v>
      </c>
      <c r="X342" s="6">
        <f>$T342*W342</f>
        <v/>
      </c>
      <c r="Y342" s="7" t="n">
        <v>0</v>
      </c>
      <c r="Z342" s="6">
        <f>$T342*Y342</f>
        <v/>
      </c>
      <c r="AA342" s="7" t="n">
        <v>0</v>
      </c>
      <c r="AB342" s="6">
        <f>$T342*AA342</f>
        <v/>
      </c>
      <c r="AC342" s="7" t="n">
        <v>0</v>
      </c>
      <c r="AD342" s="6">
        <f>$T342*AC342</f>
        <v/>
      </c>
      <c r="AE342" s="7" t="n">
        <v>0</v>
      </c>
      <c r="AF342" s="6">
        <f>$T342*AE342</f>
        <v/>
      </c>
      <c r="AG342" s="7" t="n">
        <v>0</v>
      </c>
      <c r="AH342" s="6">
        <f>$T342*AG342</f>
        <v/>
      </c>
      <c r="AI342" s="7">
        <f>U342+W342+Y342+AA342+AC342+AE342+AG342</f>
        <v/>
      </c>
      <c r="AJ342" s="6">
        <f>V342+X342+Z342+AB342+AD342+AF342+AH342</f>
        <v/>
      </c>
    </row>
    <row r="343" hidden="1" ht="60" customHeight="1" s="46">
      <c r="A343" s="3" t="inlineStr">
        <is>
          <t>LOM251.OC.EEA.PA02.F7410.OA015.0350</t>
        </is>
      </c>
      <c r="B343" s="4" t="inlineStr">
        <is>
          <t>1/1</t>
        </is>
      </c>
      <c r="C343" s="3" t="inlineStr">
        <is>
          <t>IMPIANTO MECCANICO</t>
        </is>
      </c>
      <c r="D343" s="4" t="inlineStr">
        <is>
          <t>SPECIALE</t>
        </is>
      </c>
      <c r="E343" s="4" t="inlineStr">
        <is>
          <t>MECCANICHE SPECIALI</t>
        </is>
      </c>
      <c r="F343" s="3" t="inlineStr">
        <is>
          <t>2_CME_TOTALE MECCANICI RADIOFARMACIA PAVIA.PDF</t>
        </is>
      </c>
      <c r="G343" s="4" t="inlineStr">
        <is>
          <t>105/105</t>
        </is>
      </c>
      <c r="H343" s="3" t="inlineStr">
        <is>
          <t>40 - IMPIANTISTICO</t>
        </is>
      </c>
      <c r="I343" s="3" t="inlineStr">
        <is>
          <t>P. TERRA - PRODUZIONE</t>
        </is>
      </c>
      <c r="J343" s="3" t="inlineStr">
        <is>
          <t>IMPIANTO HVAC</t>
        </is>
      </c>
      <c r="K343" s="3" t="inlineStr">
        <is>
          <t>OPERA: CONDOTTO DI FIBRA SINTETICA TESSILE; FINITURA: RESINA SINTETICA POLIVINILCLORURO (PVC); GEOMETRIA: FLESSIBILE; FUNZIONE: DISTRIBUZIONE ARIA; IMPIEGO: IMPIANTO DI CLIMATIZZAZIONE; DIAMETRO (Ø) [</t>
        </is>
      </c>
      <c r="L343" s="3" t="inlineStr">
        <is>
          <t>OPERA: CONDOTTO DI FIBRA SINTETICA TESSILE; FINITURA: RESINA SINTETICA POLIVINILCLORURO (PVC); GEOMETRIA: FLESSIBILE; FUNZIONE: DISTRIBUZIONE ARIA; IMPIEGO: IMPIANTO DI CLIMATIZZAZIONE; DIAMETRO (Ø) [MM] = 200. 
LAVORO: POSA. 
SPECIFICHE TECNICHE: ISOLATO; IMPREGNATO IN RESINA SINTETICA POLIVINILCLORURO (PVC); STRATO ESTERNO BARRIERA AL VAPORE DI RESINA SINTETICA POLIVINILCLORURO (PVC). OP CONDOTTO DI FIBRA SINTETICA TESSILE; FINITURA: RESINA SINTETICA POLIVINILCLORURO (PVC); GEOMETRIA: FLESSIBILE; FUNZIONE: DISTRIBUZIONE ARIA; IMPIEGO: IMPIANTO DI CLIMATIZZAZIONE; DIAMETRO (Ø) [MM] = 200. 
SPECIFICHE TECNICHE: ISOLATO; IMPREGNATO IN RESINA SINTETICA POLIVINILCLORURO (PVC); STRATO ESTERNO BARRIERA AL VAPORE DI RESINA SINTETICA POLIVINILCLORURO (PVC). 
RM CONDOTTO DI FIBRA SINTETICA TESSILE; FINITURA: RESINA SINTETICA POLIVINILCLORURO (PVC); GEOMETRIA: FLESSIBILE; FUNZIONE: DISTRIBUZIONE ARIA; IMPIEGO: IMPIANTO DI CLIMATIZZAZIONE; DIAMETRO (Ø) [MM] = 200. COMPONENTE: LASTRA,  
SPECIFICHE TECNICHE: ISOLATO; IMPREGNATO IN RESINA SINTETICA POLIVINILCLORURO (PVC); STRATO ESTERNO BARRIERA AL VAPORE DI RESINA SINTETICA POLIVINILCLORURO (PVC) 
LV POSA.</t>
        </is>
      </c>
      <c r="M343" s="4" t="inlineStr">
        <is>
          <t>M</t>
        </is>
      </c>
      <c r="N343" s="5" t="n">
        <v>30</v>
      </c>
      <c r="O343" s="45" t="n">
        <v>6.64</v>
      </c>
      <c r="P343" s="45" t="n">
        <v>199.2</v>
      </c>
      <c r="Q343" s="5" t="n"/>
      <c r="R343" s="6" t="n"/>
      <c r="S343" s="6">
        <f>IF(AND(Q343&lt;&gt;"",R343&lt;&gt;""),Q343*R343,"")</f>
        <v/>
      </c>
      <c r="T343" s="45">
        <f>IF(S343="",P343,S343)</f>
        <v/>
      </c>
      <c r="U343" s="7" t="n">
        <v>0</v>
      </c>
      <c r="V343" s="6">
        <f>$T343*U343</f>
        <v/>
      </c>
      <c r="W343" s="7" t="n">
        <v>0</v>
      </c>
      <c r="X343" s="6">
        <f>$T343*W343</f>
        <v/>
      </c>
      <c r="Y343" s="7" t="n">
        <v>0</v>
      </c>
      <c r="Z343" s="6">
        <f>$T343*Y343</f>
        <v/>
      </c>
      <c r="AA343" s="7" t="n">
        <v>0</v>
      </c>
      <c r="AB343" s="6">
        <f>$T343*AA343</f>
        <v/>
      </c>
      <c r="AC343" s="7" t="n">
        <v>0</v>
      </c>
      <c r="AD343" s="6">
        <f>$T343*AC343</f>
        <v/>
      </c>
      <c r="AE343" s="7" t="n">
        <v>0</v>
      </c>
      <c r="AF343" s="6">
        <f>$T343*AE343</f>
        <v/>
      </c>
      <c r="AG343" s="7" t="n">
        <v>0</v>
      </c>
      <c r="AH343" s="6">
        <f>$T343*AG343</f>
        <v/>
      </c>
      <c r="AI343" s="7">
        <f>U343+W343+Y343+AA343+AC343+AE343+AG343</f>
        <v/>
      </c>
      <c r="AJ343" s="6">
        <f>V343+X343+Z343+AB343+AD343+AF343+AH343</f>
        <v/>
      </c>
    </row>
    <row r="344" hidden="1" ht="60" customHeight="1" s="46">
      <c r="A344" s="3" t="inlineStr">
        <is>
          <t>LOM251.OC.EEA.PA02.F7410.OA015.0285</t>
        </is>
      </c>
      <c r="B344" s="4" t="inlineStr">
        <is>
          <t>3/4</t>
        </is>
      </c>
      <c r="C344" s="3" t="inlineStr">
        <is>
          <t>IMPIANTO MECCANICO</t>
        </is>
      </c>
      <c r="D344" s="4" t="inlineStr">
        <is>
          <t>SPECIALE</t>
        </is>
      </c>
      <c r="E344" s="4" t="inlineStr">
        <is>
          <t>MECCANICHE SPECIALI</t>
        </is>
      </c>
      <c r="F344" s="3" t="inlineStr">
        <is>
          <t>2_CME_TOTALE MECCANICI RADIOFARMACIA PAVIA.PDF</t>
        </is>
      </c>
      <c r="G344" s="4" t="inlineStr">
        <is>
          <t>106/106</t>
        </is>
      </c>
      <c r="H344" s="3" t="inlineStr">
        <is>
          <t>40 - IMPIANTISTICO</t>
        </is>
      </c>
      <c r="I344" s="3" t="inlineStr">
        <is>
          <t>P. TERRA - PRODUZIONE</t>
        </is>
      </c>
      <c r="J344" s="3" t="inlineStr">
        <is>
          <t>IMPIANTO HVAC</t>
        </is>
      </c>
      <c r="K344" s="3" t="inlineStr">
        <is>
          <t xml:space="preserve">OPERA: CONDOTTO DI FIBRA SINTETICA TESSILE; GEOMETRIA: FLESSIBILE; FUNZIONE: DISTRIBUZIONE ARIA; IMPIEGO: IMPIANTO DI CLIMATIZZAZIONE; DIAMETRO (Ø) [MM] = 200. </t>
        </is>
      </c>
      <c r="L344" s="3" t="inlineStr">
        <is>
          <t>OPERA: CONDOTTO DI FIBRA SINTETICA TESSILE; GEOMETRIA: FLESSIBILE; FUNZIONE: DISTRIBUZIONE ARIA; IMPIEGO: IMPIANTO DI CLIMATIZZAZIONE; DIAMETRO (Ø) [MM] = 200. 
LAVORO: POSA. 
SPECIFICHE TECNICHE: NON ISOLATO; IMPREGNATO IN RESINA SINTETICA POLIVINILCLORURO (PVC). OP CONDOTTO DI FIBRA SINTETICA TESSILE; GEOMETRIA: FLESSIBILE; FUNZIONE: DISTRIBUZIONE ARIA; IMPIEGO: IMPIANTO DI CLIMATIZZAZIONE; DIAMETRO (Ø) [MM] = 200. 
SPECIFICHE TECNICHE: NON ISOLATO; IMPREGNATO IN RESINA SINTETICA POLIVINILCLORURO (PVC). 
RM CONDOTTO DI FIBRA SINTETICA TESSILE; GEOMETRIA: FLESSIBILE; FUNZIONE: DISTRIBUZIONE ARIA; IMPIEGO: IMPIANTO DI CLIMATIZZAZIONE; DIAMETRO (Ø) [MM] = 200 
SPECIFICHE TECNICHE: NON ISOLATO; IMPREGNATO IN RESINA SINTETICA POLIVINILCLORURO (PVC) 
LV POSA.</t>
        </is>
      </c>
      <c r="M344" s="4" t="inlineStr">
        <is>
          <t>M</t>
        </is>
      </c>
      <c r="N344" s="5" t="n">
        <v>30</v>
      </c>
      <c r="O344" s="45" t="n">
        <v>7.48</v>
      </c>
      <c r="P344" s="45" t="n">
        <v>224.4</v>
      </c>
      <c r="Q344" s="5" t="n"/>
      <c r="R344" s="6" t="n"/>
      <c r="S344" s="6">
        <f>IF(AND(Q344&lt;&gt;"",R344&lt;&gt;""),Q344*R344,"")</f>
        <v/>
      </c>
      <c r="T344" s="45">
        <f>IF(S344="",P344,S344)</f>
        <v/>
      </c>
      <c r="U344" s="7" t="n">
        <v>0</v>
      </c>
      <c r="V344" s="6">
        <f>$T344*U344</f>
        <v/>
      </c>
      <c r="W344" s="7" t="n">
        <v>0</v>
      </c>
      <c r="X344" s="6">
        <f>$T344*W344</f>
        <v/>
      </c>
      <c r="Y344" s="7" t="n">
        <v>0</v>
      </c>
      <c r="Z344" s="6">
        <f>$T344*Y344</f>
        <v/>
      </c>
      <c r="AA344" s="7" t="n">
        <v>0</v>
      </c>
      <c r="AB344" s="6">
        <f>$T344*AA344</f>
        <v/>
      </c>
      <c r="AC344" s="7" t="n">
        <v>0</v>
      </c>
      <c r="AD344" s="6">
        <f>$T344*AC344</f>
        <v/>
      </c>
      <c r="AE344" s="7" t="n">
        <v>0</v>
      </c>
      <c r="AF344" s="6">
        <f>$T344*AE344</f>
        <v/>
      </c>
      <c r="AG344" s="7" t="n">
        <v>0</v>
      </c>
      <c r="AH344" s="6">
        <f>$T344*AG344</f>
        <v/>
      </c>
      <c r="AI344" s="7">
        <f>U344+W344+Y344+AA344+AC344+AE344+AG344</f>
        <v/>
      </c>
      <c r="AJ344" s="6">
        <f>V344+X344+Z344+AB344+AD344+AF344+AH344</f>
        <v/>
      </c>
    </row>
    <row r="345" ht="60" customHeight="1" s="46">
      <c r="A345" s="3" t="inlineStr">
        <is>
          <t>LOM251.OC.EEA.PA02.I7407.SB038.0315</t>
        </is>
      </c>
      <c r="B345" s="4" t="inlineStr">
        <is>
          <t>2/2</t>
        </is>
      </c>
      <c r="C345" s="3" t="inlineStr">
        <is>
          <t>IMPIANTO MECCANICO</t>
        </is>
      </c>
      <c r="D345" s="4" t="inlineStr">
        <is>
          <t>SPECIALE</t>
        </is>
      </c>
      <c r="E345" s="4" t="inlineStr">
        <is>
          <t>MECCANICHE SPECIALI</t>
        </is>
      </c>
      <c r="F345" s="3" t="inlineStr">
        <is>
          <t>2_CME_TOTALE MECCANICI RADIOFARMACIA PAVIA.PDF</t>
        </is>
      </c>
      <c r="G345" s="4" t="inlineStr">
        <is>
          <t>107/107</t>
        </is>
      </c>
      <c r="H345" s="3" t="inlineStr">
        <is>
          <t>40 - IMPIANTISTICO</t>
        </is>
      </c>
      <c r="I345" s="3" t="inlineStr">
        <is>
          <t>P. TERRA - PRODUZIONE</t>
        </is>
      </c>
      <c r="J345" s="3" t="inlineStr">
        <is>
          <t>IMPIANTO HVAC</t>
        </is>
      </c>
      <c r="K345" s="3" t="inlineStr">
        <is>
          <t xml:space="preserve">OPERA: TUBAZIONE DI LEGA FERROSA ACCIAIO NERO; FUNZIONE: DISTRIBUZIONE ACQUA; IMPIEGO: RETE IDRICA; DIAMETRO NOMINALE (Ø) [MM] = 65 | SPESSORE [MM] = 2,9. </t>
        </is>
      </c>
      <c r="L345" s="3" t="inlineStr">
        <is>
          <t>OPERA: TUBAZIONE DI LEGA FERROSA ACCIAIO NERO; FUNZIONE: DISTRIBUZIONE ACQUA; IMPIEGO: RETE IDRICA; DIAMETRO NOMINALE (Ø) [MM] = 65 | SPESSORE [MM] = 2,9. 
LAVORO: POSA. 
SPECIFICHE TECNICHE: TUBO SENZA SALDATURA. OP TUBAZIONE DI LEGA FERROSA ACCIAIO NERO; FUNZIONE: DISTRIBUZIONE ACQUA; IMPIEGO: RETE IDRICA; DIAMETRO NOMINALE (Ø) [MM] = 65 | SPESSORE [MM] = 2,9. 
SPECIFICHE TECNICHE: TUBO SENZA SALDATURA. 
RM TUBO DI LEGA FERROSA ACCIAIO NERO; FUNZIONE: DISTRIBUZIONE ACQUA; IMPIEGO: RETE IDRICA; DIAMETRO NOMINALE (Ø) [MM] = 65 | SPESSORE [MM] = 2,9 
SPECIFICHE TECNICHE: TUBO SENZA SALDATURA 
LV POSA.</t>
        </is>
      </c>
      <c r="M345" s="4" t="inlineStr">
        <is>
          <t>M</t>
        </is>
      </c>
      <c r="N345" s="5" t="n">
        <v>30</v>
      </c>
      <c r="O345" s="45" t="n">
        <v>46.47</v>
      </c>
      <c r="P345" s="45" t="n">
        <v>1394.1</v>
      </c>
      <c r="Q345" s="5" t="n"/>
      <c r="R345" s="6" t="n"/>
      <c r="S345" s="6">
        <f>IF(AND(Q345&lt;&gt;"",R345&lt;&gt;""),Q345*R345,"")</f>
        <v/>
      </c>
      <c r="T345" s="45">
        <f>IF(S345="",P345,S345)</f>
        <v/>
      </c>
      <c r="U345" s="7" t="n">
        <v>0</v>
      </c>
      <c r="V345" s="6">
        <f>$T345*U345</f>
        <v/>
      </c>
      <c r="W345" s="7" t="n">
        <v>0.4</v>
      </c>
      <c r="X345" s="6">
        <f>$T345*W345</f>
        <v/>
      </c>
      <c r="Y345" s="7" t="n">
        <v>0</v>
      </c>
      <c r="Z345" s="6">
        <f>$T345*Y345</f>
        <v/>
      </c>
      <c r="AA345" s="7" t="n">
        <v>0</v>
      </c>
      <c r="AB345" s="6">
        <f>$T345*AA345</f>
        <v/>
      </c>
      <c r="AC345" s="7" t="n">
        <v>0</v>
      </c>
      <c r="AD345" s="6">
        <f>$T345*AC345</f>
        <v/>
      </c>
      <c r="AE345" s="7" t="n">
        <v>0</v>
      </c>
      <c r="AF345" s="6">
        <f>$T345*AE345</f>
        <v/>
      </c>
      <c r="AG345" s="7" t="n">
        <v>0</v>
      </c>
      <c r="AH345" s="6">
        <f>$T345*AG345</f>
        <v/>
      </c>
      <c r="AI345" s="7">
        <f>U345+W345+Y345+AA345+AC345+AE345+AG345</f>
        <v/>
      </c>
      <c r="AJ345" s="6">
        <f>V345+X345+Z345+AB345+AD345+AF345+AH345</f>
        <v/>
      </c>
    </row>
    <row r="346" ht="60" customHeight="1" s="46">
      <c r="A346" s="3" t="inlineStr">
        <is>
          <t>LOM251.OC.EEA.PA02.I7407.SB038.0305</t>
        </is>
      </c>
      <c r="B346" s="4" t="inlineStr">
        <is>
          <t>2/2</t>
        </is>
      </c>
      <c r="C346" s="3" t="inlineStr">
        <is>
          <t>IMPIANTO MECCANICO</t>
        </is>
      </c>
      <c r="D346" s="4" t="inlineStr">
        <is>
          <t>SPECIALE</t>
        </is>
      </c>
      <c r="E346" s="4" t="inlineStr">
        <is>
          <t>MECCANICHE SPECIALI</t>
        </is>
      </c>
      <c r="F346" s="3" t="inlineStr">
        <is>
          <t>2_CME_TOTALE MECCANICI RADIOFARMACIA PAVIA.PDF</t>
        </is>
      </c>
      <c r="G346" s="4" t="inlineStr">
        <is>
          <t>108/108</t>
        </is>
      </c>
      <c r="H346" s="3" t="inlineStr">
        <is>
          <t>40 - IMPIANTISTICO</t>
        </is>
      </c>
      <c r="I346" s="3" t="inlineStr">
        <is>
          <t>P. TERRA - PRODUZIONE</t>
        </is>
      </c>
      <c r="J346" s="3" t="inlineStr">
        <is>
          <t>IMPIANTO HVAC</t>
        </is>
      </c>
      <c r="K346" s="3" t="inlineStr">
        <is>
          <t xml:space="preserve">OPERA: TUBAZIONE DI LEGA FERROSA ACCIAIO NERO; FUNZIONE: DISTRIBUZIONE ACQUA; IMPIEGO: RETE IDRICA; DIAMETRO NOMINALE (Ø) [MM] = 40 | SPESSORE [MM] = 2,6. </t>
        </is>
      </c>
      <c r="L346" s="3" t="inlineStr">
        <is>
          <t>OPERA: TUBAZIONE DI LEGA FERROSA ACCIAIO NERO; FUNZIONE: DISTRIBUZIONE ACQUA; IMPIEGO: RETE IDRICA; DIAMETRO NOMINALE (Ø) [MM] = 40 | SPESSORE [MM] = 2,6. 
LAVORO: POSA. 
SPECIFICHE TECNICHE: TUBO SENZA SALDATURA. OP TUBAZIONE DI LEGA FERROSA ACCIAIO NERO; FUNZIONE: DISTRIBUZIONE ACQUA; IMPIEGO: RETE IDRICA; DIAMETRO NOMINALE (Ø) [MM] = 40 | SPESSORE [MM] = 2,6. 
SPECIFICHE TECNICHE: TUBO SENZA SALDATURA. 
RM TUBO DI LEGA FERROSA ACCIAIO NERO; FUNZIONE: DISTRIBUZIONE ACQUA; IMPIEGO: RETE IDRICA; DIAMETRO NOMINALE (Ø) [MM] = 40 | SPESSORE [MM] = 2,6 
SPECIFICHE TECNICHE: TUBO SENZA SALDATURA 
LV POSA.</t>
        </is>
      </c>
      <c r="M346" s="4" t="inlineStr">
        <is>
          <t>M</t>
        </is>
      </c>
      <c r="N346" s="5" t="n">
        <v>40</v>
      </c>
      <c r="O346" s="45" t="n">
        <v>36.2</v>
      </c>
      <c r="P346" s="45" t="n">
        <v>1448</v>
      </c>
      <c r="Q346" s="5" t="n"/>
      <c r="R346" s="6" t="n"/>
      <c r="S346" s="6">
        <f>IF(AND(Q346&lt;&gt;"",R346&lt;&gt;""),Q346*R346,"")</f>
        <v/>
      </c>
      <c r="T346" s="45">
        <f>IF(S346="",P346,S346)</f>
        <v/>
      </c>
      <c r="U346" s="7" t="n">
        <v>0</v>
      </c>
      <c r="V346" s="6">
        <f>$T346*U346</f>
        <v/>
      </c>
      <c r="W346" s="7" t="n">
        <v>0.4</v>
      </c>
      <c r="X346" s="6">
        <f>$T346*W346</f>
        <v/>
      </c>
      <c r="Y346" s="7" t="n">
        <v>0</v>
      </c>
      <c r="Z346" s="6">
        <f>$T346*Y346</f>
        <v/>
      </c>
      <c r="AA346" s="7" t="n">
        <v>0</v>
      </c>
      <c r="AB346" s="6">
        <f>$T346*AA346</f>
        <v/>
      </c>
      <c r="AC346" s="7" t="n">
        <v>0</v>
      </c>
      <c r="AD346" s="6">
        <f>$T346*AC346</f>
        <v/>
      </c>
      <c r="AE346" s="7" t="n">
        <v>0</v>
      </c>
      <c r="AF346" s="6">
        <f>$T346*AE346</f>
        <v/>
      </c>
      <c r="AG346" s="7" t="n">
        <v>0</v>
      </c>
      <c r="AH346" s="6">
        <f>$T346*AG346</f>
        <v/>
      </c>
      <c r="AI346" s="7">
        <f>U346+W346+Y346+AA346+AC346+AE346+AG346</f>
        <v/>
      </c>
      <c r="AJ346" s="6">
        <f>V346+X346+Z346+AB346+AD346+AF346+AH346</f>
        <v/>
      </c>
    </row>
    <row r="347" hidden="1" ht="60" customHeight="1" s="46">
      <c r="A347" s="3" t="inlineStr">
        <is>
          <t>LOM251.OC.EEA.PA02.I1500.E0011.0160</t>
        </is>
      </c>
      <c r="B347" s="4" t="inlineStr">
        <is>
          <t>3/3</t>
        </is>
      </c>
      <c r="C347" s="3" t="inlineStr">
        <is>
          <t>IMPIANTO MECCANICO</t>
        </is>
      </c>
      <c r="D347" s="4" t="inlineStr">
        <is>
          <t>SPECIALE</t>
        </is>
      </c>
      <c r="E347" s="4" t="inlineStr">
        <is>
          <t>MECCANICHE SPECIALI</t>
        </is>
      </c>
      <c r="F347" s="3" t="inlineStr">
        <is>
          <t>2_CME_TOTALE MECCANICI RADIOFARMACIA PAVIA.PDF</t>
        </is>
      </c>
      <c r="G347" s="4" t="inlineStr">
        <is>
          <t>109/109</t>
        </is>
      </c>
      <c r="H347" s="3" t="inlineStr">
        <is>
          <t>40 - IMPIANTISTICO</t>
        </is>
      </c>
      <c r="I347" s="3" t="inlineStr">
        <is>
          <t>P. TERRA - PRODUZIONE</t>
        </is>
      </c>
      <c r="J347" s="3" t="inlineStr">
        <is>
          <t>IMPIANTO HVAC</t>
        </is>
      </c>
      <c r="K347" s="3" t="inlineStr">
        <is>
          <t>OPERA: LASTRA DI GOMMA ELASTOMERICA ESPANSA A CELLULE CHIUSE; FUNZIONE: COIBENTAZIONE; IMPIEGO: TUBAZIONE; SPESSORE MINIMO LASTRA [MM] = 19 | SPESSORE MINIMO ELASTOMERO PER IL DIAMETRO ESTERNO TUBO [M</t>
        </is>
      </c>
      <c r="L347" s="3" t="inlineStr">
        <is>
          <t>OPERA: LASTRA DI GOMMA ELASTOMERICA ESPANSA A CELLULE CHIUSE; FUNZIONE: COIBENTAZIONE; IMPIEGO: TUBAZIONE; SPESSORE MINIMO LASTRA [MM] = 19 | SPESSORE MINIMO ELASTOMERO PER IL DIAMETRO ESTERNO TUBO [MM] = 76 | DIAMETRO NOMINALE TUBAZIONE [MM] = 65;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76 | DIAMETRO NOMINALE TUBAZIONE [MM] = 65;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76 | DIAMETRO NOMINALE TUBAZIONE [MM] = 65; RESISTENZA ALLA FIAMMA [CLASSE] = 1; FATTORE DI PERMEABILITÀ (Μ) MINIMO [-] = 4000 
SPECIFICHE TECNICHE: GOMMA ELASTOMERICA ESPANSA A CELLULE CHIUSE SENZA ALOGENI NÉ PVC 
LV POSA.</t>
        </is>
      </c>
      <c r="M347" s="4" t="inlineStr">
        <is>
          <t>M</t>
        </is>
      </c>
      <c r="N347" s="5" t="n">
        <v>30</v>
      </c>
      <c r="O347" s="45" t="n">
        <v>11.78</v>
      </c>
      <c r="P347" s="45" t="n">
        <v>353.4</v>
      </c>
      <c r="Q347" s="5" t="n"/>
      <c r="R347" s="6" t="n"/>
      <c r="S347" s="6">
        <f>IF(AND(Q347&lt;&gt;"",R347&lt;&gt;""),Q347*R347,"")</f>
        <v/>
      </c>
      <c r="T347" s="45">
        <f>IF(S347="",P347,S347)</f>
        <v/>
      </c>
      <c r="U347" s="7" t="n">
        <v>0</v>
      </c>
      <c r="V347" s="6">
        <f>$T347*U347</f>
        <v/>
      </c>
      <c r="W347" s="7" t="n">
        <v>0</v>
      </c>
      <c r="X347" s="6">
        <f>$T347*W347</f>
        <v/>
      </c>
      <c r="Y347" s="7" t="n">
        <v>0</v>
      </c>
      <c r="Z347" s="6">
        <f>$T347*Y347</f>
        <v/>
      </c>
      <c r="AA347" s="7" t="n">
        <v>0</v>
      </c>
      <c r="AB347" s="6">
        <f>$T347*AA347</f>
        <v/>
      </c>
      <c r="AC347" s="7" t="n">
        <v>0</v>
      </c>
      <c r="AD347" s="6">
        <f>$T347*AC347</f>
        <v/>
      </c>
      <c r="AE347" s="7" t="n">
        <v>0</v>
      </c>
      <c r="AF347" s="6">
        <f>$T347*AE347</f>
        <v/>
      </c>
      <c r="AG347" s="7" t="n">
        <v>0</v>
      </c>
      <c r="AH347" s="6">
        <f>$T347*AG347</f>
        <v/>
      </c>
      <c r="AI347" s="7">
        <f>U347+W347+Y347+AA347+AC347+AE347+AG347</f>
        <v/>
      </c>
      <c r="AJ347" s="6">
        <f>V347+X347+Z347+AB347+AD347+AF347+AH347</f>
        <v/>
      </c>
    </row>
    <row r="348" hidden="1" ht="60" customHeight="1" s="46">
      <c r="A348" s="3" t="inlineStr">
        <is>
          <t>LOM251.OC.EEA.PA02.I1500.E0011.0145</t>
        </is>
      </c>
      <c r="B348" s="4" t="inlineStr">
        <is>
          <t>2/3</t>
        </is>
      </c>
      <c r="C348" s="3" t="inlineStr">
        <is>
          <t>IMPIANTO MECCANICO</t>
        </is>
      </c>
      <c r="D348" s="4" t="inlineStr">
        <is>
          <t>SPECIALE</t>
        </is>
      </c>
      <c r="E348" s="4" t="inlineStr">
        <is>
          <t>MECCANICHE SPECIALI</t>
        </is>
      </c>
      <c r="F348" s="3" t="inlineStr">
        <is>
          <t>2_CME_TOTALE MECCANICI RADIOFARMACIA PAVIA.PDF</t>
        </is>
      </c>
      <c r="G348" s="4" t="inlineStr">
        <is>
          <t>110/110</t>
        </is>
      </c>
      <c r="H348" s="3" t="inlineStr">
        <is>
          <t>40 - IMPIANTISTICO</t>
        </is>
      </c>
      <c r="I348" s="3" t="inlineStr">
        <is>
          <t>P. TERRA - PRODUZIONE</t>
        </is>
      </c>
      <c r="J348" s="3" t="inlineStr">
        <is>
          <t>IMPIANTO HVAC</t>
        </is>
      </c>
      <c r="K348" s="3" t="inlineStr">
        <is>
          <t>OPERA: LASTRA DI GOMMA ELASTOMERICA ESPANSA A CELLULE CHIUSE; FUNZIONE: COIBENTAZIONE; IMPIEGO: TUBAZIONE; SPESSORE MINIMO LASTRA [MM] = 19 | SPESSORE MINIMO ELASTOMERO PER IL DIAMETRO ESTERNO TUBO [M</t>
        </is>
      </c>
      <c r="L348" s="3" t="inlineStr">
        <is>
          <t>OPERA: LASTRA DI GOMMA ELASTOMERICA ESPANSA A CELLULE CHIUSE; FUNZIONE: COIBENTAZIONE; IMPIEGO: TUBAZIONE; SPESSORE MINIMO LASTRA [MM] = 19 | SPESSORE MINIMO ELASTOMERO PER IL DIAMETRO ESTERNO TUBO [MM] = 42 | DIAMETRO NOMINALE TUBAZIONE [MM] = 32;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42 | DIAMETRO NOMINALE TUBAZIONE [MM] = 32;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42 | DIAMETRO NOMINALE TUBAZIONE [MM] = 32; RESISTENZA ALLA FIAMMA [CLASSE] = 1; FATTORE DI PERMEABILITÀ (Μ) MINIMO [-] = 4000 
SPECIFICHE TECNICHE: GOMMA ELASTOMERICA ESPANSA A CELLULE CHIUSE SENZA ALOGENI NÉ PVC 
LV POSA.</t>
        </is>
      </c>
      <c r="M348" s="4" t="inlineStr">
        <is>
          <t>M</t>
        </is>
      </c>
      <c r="N348" s="5" t="n">
        <v>40</v>
      </c>
      <c r="O348" s="45" t="n">
        <v>8.960000000000001</v>
      </c>
      <c r="P348" s="45" t="n">
        <v>358.4</v>
      </c>
      <c r="Q348" s="5" t="n"/>
      <c r="R348" s="6" t="n"/>
      <c r="S348" s="6">
        <f>IF(AND(Q348&lt;&gt;"",R348&lt;&gt;""),Q348*R348,"")</f>
        <v/>
      </c>
      <c r="T348" s="45">
        <f>IF(S348="",P348,S348)</f>
        <v/>
      </c>
      <c r="U348" s="7" t="n">
        <v>0</v>
      </c>
      <c r="V348" s="6">
        <f>$T348*U348</f>
        <v/>
      </c>
      <c r="W348" s="7" t="n">
        <v>0</v>
      </c>
      <c r="X348" s="6">
        <f>$T348*W348</f>
        <v/>
      </c>
      <c r="Y348" s="7" t="n">
        <v>0</v>
      </c>
      <c r="Z348" s="6">
        <f>$T348*Y348</f>
        <v/>
      </c>
      <c r="AA348" s="7" t="n">
        <v>0</v>
      </c>
      <c r="AB348" s="6">
        <f>$T348*AA348</f>
        <v/>
      </c>
      <c r="AC348" s="7" t="n">
        <v>0</v>
      </c>
      <c r="AD348" s="6">
        <f>$T348*AC348</f>
        <v/>
      </c>
      <c r="AE348" s="7" t="n">
        <v>0</v>
      </c>
      <c r="AF348" s="6">
        <f>$T348*AE348</f>
        <v/>
      </c>
      <c r="AG348" s="7" t="n">
        <v>0</v>
      </c>
      <c r="AH348" s="6">
        <f>$T348*AG348</f>
        <v/>
      </c>
      <c r="AI348" s="7">
        <f>U348+W348+Y348+AA348+AC348+AE348+AG348</f>
        <v/>
      </c>
      <c r="AJ348" s="6">
        <f>V348+X348+Z348+AB348+AD348+AF348+AH348</f>
        <v/>
      </c>
    </row>
    <row r="349" ht="60" customHeight="1" s="46">
      <c r="A349" s="3" t="inlineStr">
        <is>
          <t>NP.IM.04</t>
        </is>
      </c>
      <c r="B349" s="4" t="inlineStr">
        <is>
          <t>1/1</t>
        </is>
      </c>
      <c r="C349" s="3" t="inlineStr">
        <is>
          <t>IMPIANTO MECCANICO</t>
        </is>
      </c>
      <c r="D349" s="4" t="inlineStr">
        <is>
          <t>SPECIALE</t>
        </is>
      </c>
      <c r="E349" s="4" t="inlineStr">
        <is>
          <t>MECCANICHE SPECIALI</t>
        </is>
      </c>
      <c r="F349" s="3" t="inlineStr">
        <is>
          <t>2_CME_TOTALE MECCANICI RADIOFARMACIA PAVIA.PDF</t>
        </is>
      </c>
      <c r="G349" s="4" t="inlineStr">
        <is>
          <t>111/111</t>
        </is>
      </c>
      <c r="H349" s="3" t="inlineStr">
        <is>
          <t>40 - IMPIANTISTICO</t>
        </is>
      </c>
      <c r="I349" s="3" t="inlineStr">
        <is>
          <t>P. TERRA - PRODUZIONE</t>
        </is>
      </c>
      <c r="J349" s="3" t="inlineStr">
        <is>
          <t>IMPIANTO HVAC</t>
        </is>
      </c>
      <c r="K349" s="3" t="inlineStr">
        <is>
          <t>FORNITURA E POSA IN OPERA DI SISTEMA DI CONDIZIONATORE D'ARIA DI PRECISIONE AD ACQUA REFRIGERATA, MACCHINA PER APPLICAZIONI IN SALE CED ED IN AMBIENTI CHE OSPITANO DISPOSITIVI PER APPLICAZIONI ICT DOV</t>
        </is>
      </c>
      <c r="L349" s="3" t="inlineStr">
        <is>
          <t>FORNITURA E POSA IN OPERA DI SISTEMA DI CONDIZIONATORE D'ARIA DI PRECISIONE AD ACQUA REFRIGERATA, MACCHINA PER APPLICAZIONI IN SALE CED ED IN AMBIENTI CHE OSPITANO DISPOSITIVI PER APPLICAZIONI ICT DOVE VENGA RICHIESTO UN CONTROLLO PRECISO DI TEMPERATURA ED UMIDITÀ 
POT. FRIG. 25 KW (7/12°C)</t>
        </is>
      </c>
      <c r="M349" s="4" t="inlineStr">
        <is>
          <t>CADAUNO</t>
        </is>
      </c>
      <c r="N349" s="5" t="n">
        <v>1</v>
      </c>
      <c r="O349" s="45" t="n">
        <v>15558.5</v>
      </c>
      <c r="P349" s="45" t="n">
        <v>15558.5</v>
      </c>
      <c r="Q349" s="5" t="n"/>
      <c r="R349" s="6" t="n"/>
      <c r="S349" s="6">
        <f>IF(AND(Q349&lt;&gt;"",R349&lt;&gt;""),Q349*R349,"")</f>
        <v/>
      </c>
      <c r="T349" s="45">
        <f>IF(S349="",P349,S349)</f>
        <v/>
      </c>
      <c r="U349" s="7" t="n">
        <v>0.5</v>
      </c>
      <c r="V349" s="6">
        <f>$T349*U349</f>
        <v/>
      </c>
      <c r="W349" s="7" t="n">
        <v>0.2</v>
      </c>
      <c r="X349" s="6">
        <f>$T349*W349</f>
        <v/>
      </c>
      <c r="Y349" s="7" t="n">
        <v>0</v>
      </c>
      <c r="Z349" s="6">
        <f>$T349*Y349</f>
        <v/>
      </c>
      <c r="AA349" s="7" t="n">
        <v>0</v>
      </c>
      <c r="AB349" s="6">
        <f>$T349*AA349</f>
        <v/>
      </c>
      <c r="AC349" s="7" t="n">
        <v>0</v>
      </c>
      <c r="AD349" s="6">
        <f>$T349*AC349</f>
        <v/>
      </c>
      <c r="AE349" s="7" t="n">
        <v>0</v>
      </c>
      <c r="AF349" s="6">
        <f>$T349*AE349</f>
        <v/>
      </c>
      <c r="AG349" s="7" t="n">
        <v>0</v>
      </c>
      <c r="AH349" s="6">
        <f>$T349*AG349</f>
        <v/>
      </c>
      <c r="AI349" s="7">
        <f>U349+W349+Y349+AA349+AC349+AE349+AG349</f>
        <v/>
      </c>
      <c r="AJ349" s="6">
        <f>V349+X349+Z349+AB349+AD349+AF349+AH349</f>
        <v/>
      </c>
    </row>
    <row r="350" ht="60" customHeight="1" s="46">
      <c r="A350" s="3" t="inlineStr">
        <is>
          <t>LOM251.OC.IIA.PA02.I7832.D0019.0000.D</t>
        </is>
      </c>
      <c r="B350" s="4" t="inlineStr">
        <is>
          <t>1/1</t>
        </is>
      </c>
      <c r="C350" s="3" t="inlineStr">
        <is>
          <t>IMPIANTO MECCANICO</t>
        </is>
      </c>
      <c r="D350" s="4" t="inlineStr">
        <is>
          <t>SPECIALE</t>
        </is>
      </c>
      <c r="E350" s="4" t="inlineStr">
        <is>
          <t>MECCANICHE SPECIALI</t>
        </is>
      </c>
      <c r="F350" s="3" t="inlineStr">
        <is>
          <t>2_CME_TOTALE MECCANICI RADIOFARMACIA PAVIA.PDF</t>
        </is>
      </c>
      <c r="G350" s="4" t="inlineStr">
        <is>
          <t>112/112</t>
        </is>
      </c>
      <c r="H350" s="3" t="inlineStr">
        <is>
          <t>40 - IMPIANTISTICO</t>
        </is>
      </c>
      <c r="I350" s="3" t="inlineStr">
        <is>
          <t>P. TERRA - PRODUZIONE</t>
        </is>
      </c>
      <c r="J350" s="3" t="inlineStr">
        <is>
          <t>IMPIANTO HVAC</t>
        </is>
      </c>
      <c r="K350" s="3" t="inlineStr">
        <is>
          <t xml:space="preserve">OPERA: TUBAZIONE DI DRENAGGIO DI PLASTICA POLIVINCLORURO NON PLASTIFICATO (PVC-U); GEOMETRIA: A FORMA DI TUNNEL; DIAMETRO (Ø) [MM] = 200. </t>
        </is>
      </c>
      <c r="L350" s="3" t="inlineStr">
        <is>
          <t>OPERA: TUBAZIONE DI DRENAGGIO DI PLASTICA POLIVINCLORURO NON PLASTIFICATO (PVC-U); GEOMETRIA: A FORMA DI TUNNEL; DIAMETRO (Ø) [MM] = 200. 
LAVORO: POSA. 
SPECIFICHE TECNICHE: CON PIEDE DI POSA PREFORMATO; SEZIONE INFERIORE NON FORATA PARI AD 1/3 DEL DIAMETRO; LARGHEZZA FESSURE DRENANTI [MM] ≥ 0,8; LUNGHEZZA FESSURE DRENANTI [MM] &lt; 25. PROFONDITÀ SCAVO A SEZIONE OBBLIGATA [M] = 4; POSA CON MEZZO MECCANICO. OP TUBAZIONE DI DRENAGGIO DI PLASTICA POLIVINCLORURO NON PLASTIFICATO (PVC-U); GEOMETRIA: A FORMA DI TUNNEL; DIAMETRO (Ø) [MM] = 200. 
SPECIFICHE TECNICHE: CON PIEDE DI POSA PREFORMATO; SEZIONE INFERIORE NON FORATA PARI AD 1/3 DEL DIAMETRO; LARGHEZZA FESSURE DRENANTI [MM] ≥ 0,8; LUNGHEZZA FESSURE DRENANTI [MM] &lt; 25. 
RM TUBO A BICCHIERE AD INCOLLAGGIO DI PLASTICA POLIVINCLORURO NON PLASTIFICATO (PVC-U); FINITURA: COLORE AVORIO | COLORE GRIGIO | COLORE MARRONE; IMPIEGO: CONDOTTE DI VENTILAZIONE | PLUVIALI; DIAMETRO ESTERNO (Ø) [MM] = 200 | SPESSORE [MM] = 3,2 
SPECIFICHE TECNICHE: COLORI RAL 7037 E RAL 8017 
LV POSA. 
SPECIFICHE TECNICHE: PROFONDITÀ SCAVO A SEZIONE OBBLIGATA [M] = 4; POSA CON MEZZO MECCANICO. 
RP ESCAVATORE CINGOLATO; POTENZA [KW] ≤ 50; PESO [T] = 9. DA CONTEGGIARE A PARTE: SPESE DI ESERCIZIO (RP.00.00.00.1020.B) 
RP AUTOCARRO A CASSONE RIBALTABILE; PORTATA [T] = 13,51 ÷ 21. DA CONTEGGIARE A PARTE: SPESE DI ESERCIZIO (RP.00.50.00.1030.E)</t>
        </is>
      </c>
      <c r="M350" s="4" t="inlineStr">
        <is>
          <t>M</t>
        </is>
      </c>
      <c r="N350" s="5" t="n">
        <v>20</v>
      </c>
      <c r="O350" s="45" t="n">
        <v>51.97</v>
      </c>
      <c r="P350" s="45" t="n">
        <v>1039.4</v>
      </c>
      <c r="Q350" s="5" t="n"/>
      <c r="R350" s="6" t="n"/>
      <c r="S350" s="6">
        <f>IF(AND(Q350&lt;&gt;"",R350&lt;&gt;""),Q350*R350,"")</f>
        <v/>
      </c>
      <c r="T350" s="45">
        <f>IF(S350="",P350,S350)</f>
        <v/>
      </c>
      <c r="U350" s="7" t="n">
        <v>0</v>
      </c>
      <c r="V350" s="6">
        <f>$T350*U350</f>
        <v/>
      </c>
      <c r="W350" s="7" t="n">
        <v>0.25</v>
      </c>
      <c r="X350" s="6">
        <f>$T350*W350</f>
        <v/>
      </c>
      <c r="Y350" s="7" t="n">
        <v>0</v>
      </c>
      <c r="Z350" s="6">
        <f>$T350*Y350</f>
        <v/>
      </c>
      <c r="AA350" s="7" t="n">
        <v>0</v>
      </c>
      <c r="AB350" s="6">
        <f>$T350*AA350</f>
        <v/>
      </c>
      <c r="AC350" s="7" t="n">
        <v>0</v>
      </c>
      <c r="AD350" s="6">
        <f>$T350*AC350</f>
        <v/>
      </c>
      <c r="AE350" s="7" t="n">
        <v>0</v>
      </c>
      <c r="AF350" s="6">
        <f>$T350*AE350</f>
        <v/>
      </c>
      <c r="AG350" s="7" t="n">
        <v>0</v>
      </c>
      <c r="AH350" s="6">
        <f>$T350*AG350</f>
        <v/>
      </c>
      <c r="AI350" s="7">
        <f>U350+W350+Y350+AA350+AC350+AE350+AG350</f>
        <v/>
      </c>
      <c r="AJ350" s="6">
        <f>V350+X350+Z350+AB350+AD350+AF350+AH350</f>
        <v/>
      </c>
    </row>
    <row r="351" ht="60" customHeight="1" s="46">
      <c r="A351" s="3" t="inlineStr">
        <is>
          <t>LOM251.OC.EEA.PA02.F7410.SB003.0035</t>
        </is>
      </c>
      <c r="B351" s="4" t="inlineStr">
        <is>
          <t>3/3</t>
        </is>
      </c>
      <c r="C351" s="3" t="inlineStr">
        <is>
          <t>IMPIANTO MECCANICO</t>
        </is>
      </c>
      <c r="D351" s="4" t="inlineStr">
        <is>
          <t>SPECIALE</t>
        </is>
      </c>
      <c r="E351" s="4" t="inlineStr">
        <is>
          <t>MECCANICHE SPECIALI</t>
        </is>
      </c>
      <c r="F351" s="3" t="inlineStr">
        <is>
          <t>2_CME_TOTALE MECCANICI RADIOFARMACIA PAVIA.PDF</t>
        </is>
      </c>
      <c r="G351" s="4" t="inlineStr">
        <is>
          <t>113/113</t>
        </is>
      </c>
      <c r="H351" s="3" t="inlineStr">
        <is>
          <t>40 - IMPIANTISTICO</t>
        </is>
      </c>
      <c r="I351" s="3" t="inlineStr">
        <is>
          <t>P. PRIMO - PRODUZIONE</t>
        </is>
      </c>
      <c r="J351" s="3" t="inlineStr">
        <is>
          <t>IMPIANTO HVAC</t>
        </is>
      </c>
      <c r="K351" s="3" t="inlineStr">
        <is>
          <t>OPERA: CONDOTTO DI LEGA FERROSA ACCIAIO ZINCATO; FINITURA: LAMIERA; GEOMETRIA: SEZIONE CIRCOLARE; FUNZIONE: DISTRIBUZIONE ARIA; IMPIEGO: IMPIANTO DI CLIMATIZZAZIONE; SPESSORE LAMIERA 1 [MM] = 12 | SPE</t>
        </is>
      </c>
      <c r="L351" s="3" t="inlineStr">
        <is>
          <t>OPERA: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LAVORO: POSA. 
SPECIFICHE TECNICHE: I PREZZI UNITARI INCLUDONO MAGGIORAZIONE SIA PER COMPLETAMENTI SOPRA INDICATI, SIA PER SFRIDI E DEVONO ESSERE APPLICATI AI PESI TEORICI RICAVATI DALLE DIMENSIONI GEOMETRICHE DEI CANALI (LATI O DIAMETRO MISURATI ALL'INTERNO E LUNGHEZZA MISURATA SULL'ASSE). OP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RM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LV POSA.</t>
        </is>
      </c>
      <c r="M351" s="4" t="inlineStr">
        <is>
          <t>KG</t>
        </is>
      </c>
      <c r="N351" s="5" t="n">
        <v>470</v>
      </c>
      <c r="O351" s="45" t="n">
        <v>9.5</v>
      </c>
      <c r="P351" s="45" t="n">
        <v>4465</v>
      </c>
      <c r="Q351" s="5" t="n"/>
      <c r="R351" s="6" t="n"/>
      <c r="S351" s="6">
        <f>IF(AND(Q351&lt;&gt;"",R351&lt;&gt;""),Q351*R351,"")</f>
        <v/>
      </c>
      <c r="T351" s="45">
        <f>IF(S351="",P351,S351)</f>
        <v/>
      </c>
      <c r="U351" s="7" t="n">
        <v>0</v>
      </c>
      <c r="V351" s="6">
        <f>$T351*U351</f>
        <v/>
      </c>
      <c r="W351" s="7" t="n">
        <v>0.25</v>
      </c>
      <c r="X351" s="6">
        <f>$T351*W351</f>
        <v/>
      </c>
      <c r="Y351" s="7" t="n">
        <v>0</v>
      </c>
      <c r="Z351" s="6">
        <f>$T351*Y351</f>
        <v/>
      </c>
      <c r="AA351" s="7" t="n">
        <v>0</v>
      </c>
      <c r="AB351" s="6">
        <f>$T351*AA351</f>
        <v/>
      </c>
      <c r="AC351" s="7" t="n">
        <v>0</v>
      </c>
      <c r="AD351" s="6">
        <f>$T351*AC351</f>
        <v/>
      </c>
      <c r="AE351" s="7" t="n">
        <v>0</v>
      </c>
      <c r="AF351" s="6">
        <f>$T351*AE351</f>
        <v/>
      </c>
      <c r="AG351" s="7" t="n">
        <v>0</v>
      </c>
      <c r="AH351" s="6">
        <f>$T351*AG351</f>
        <v/>
      </c>
      <c r="AI351" s="7">
        <f>U351+W351+Y351+AA351+AC351+AE351+AG351</f>
        <v/>
      </c>
      <c r="AJ351" s="6">
        <f>V351+X351+Z351+AB351+AD351+AF351+AH351</f>
        <v/>
      </c>
    </row>
    <row r="352" hidden="1" ht="60" customHeight="1" s="46">
      <c r="A352" s="3" t="inlineStr">
        <is>
          <t>LOM251.OC.EEA.PA02.I1500.E0011.0000</t>
        </is>
      </c>
      <c r="B352" s="4" t="inlineStr">
        <is>
          <t>3/3</t>
        </is>
      </c>
      <c r="C352" s="3" t="inlineStr">
        <is>
          <t>IMPIANTO MECCANICO</t>
        </is>
      </c>
      <c r="D352" s="4" t="inlineStr">
        <is>
          <t>SPECIALE</t>
        </is>
      </c>
      <c r="E352" s="4" t="inlineStr">
        <is>
          <t>MECCANICHE SPECIALI</t>
        </is>
      </c>
      <c r="F352" s="3" t="inlineStr">
        <is>
          <t>2_CME_TOTALE MECCANICI RADIOFARMACIA PAVIA.PDF</t>
        </is>
      </c>
      <c r="G352" s="4" t="inlineStr">
        <is>
          <t>114/114</t>
        </is>
      </c>
      <c r="H352" s="3" t="inlineStr">
        <is>
          <t>40 - IMPIANTISTICO</t>
        </is>
      </c>
      <c r="I352" s="3" t="inlineStr">
        <is>
          <t>P. PRIMO - PRODUZIONE</t>
        </is>
      </c>
      <c r="J352" s="3" t="inlineStr">
        <is>
          <t>IMPIANTO HVAC</t>
        </is>
      </c>
      <c r="K352" s="3" t="inlineStr">
        <is>
          <t>OPERA: LASTRA DI GOMMA ELASTOMERICA ESPANSA A CELLULE CHIUSE; FUNZIONE: COIBENTAZIONE; IMPIEGO: CONDOTTO; SPESSORE [MM] = 13; RESISTENZA ALLA FIAMMA [CLASSE] = 1; FATTORE DI PERMEABILITÀ (Μ) MINIMO [-</t>
        </is>
      </c>
      <c r="L352" s="3" t="inlineStr">
        <is>
          <t>OPERA: LASTRA DI GOMMA ELASTOMERICA ESPANSA A CELLULE CHIUSE; FUNZIONE: COIBENTAZIONE; IMPIEGO: CONDOTTO; SPESSORE [MM] = 13; RESISTENZA ALLA FIAMMA [CLASSE] = 1; FATTORE DI PERMEABILITÀ (Μ) MINIMO [-] = 4000. 
LAVORO: POSA. 
SPECIFICHE TECNICHE: LASTRA INCOLLATA; GOMMA ELASTOMERICA ESPANSA A CELLULE CHIUSE SENZA ALOGENI NÉ PVC. OP LASTRA DI GOMMA ELASTOMERICA ESPANSA A CELLULE CHIUSE; FUNZIONE: COIBENTAZIONE; IMPIEGO: CONDOTTO; SPESSORE [MM] = 13; RESISTENZA ALLA FIAMMA [CLASSE] = 1; FATTORE DI PERMEABILITÀ (Μ) MINIMO [-] = 4000. 
SPECIFICHE TECNICHE: LASTRA INCOLLATA; GOMMA ELASTOMERICA ESPANSA A CELLULE CHIUSE SENZA ALOGENI NÉ PVC. 
RM LASTRA DI GOMMA ESPANSA A CELLULE CHIUSE; FUNZIONE: COIBENTAZIONE; IMPIEGO: CONDOTTO; SPESSORE [MM] = 13; RESISTENZA ALLA FIAMMA [CLASSE] = 1; FATTORE DI PERMEABILITÀ (Μ) MINIMO [-] = 4000 
SPECIFICHE TECNICHE: LASTRA INCOLLATA; GOMMA ELASTOMERICA ESPANSA A CELLULE CHIUSE SENZA ALOGENI NÉ PVC 
LV POSA.</t>
        </is>
      </c>
      <c r="M352" s="4" t="inlineStr">
        <is>
          <t>M²</t>
        </is>
      </c>
      <c r="N352" s="5" t="n">
        <v>35</v>
      </c>
      <c r="O352" s="45" t="n">
        <v>39.73</v>
      </c>
      <c r="P352" s="45" t="n">
        <v>1390.55</v>
      </c>
      <c r="Q352" s="5" t="n"/>
      <c r="R352" s="6" t="n"/>
      <c r="S352" s="6">
        <f>IF(AND(Q352&lt;&gt;"",R352&lt;&gt;""),Q352*R352,"")</f>
        <v/>
      </c>
      <c r="T352" s="45">
        <f>IF(S352="",P352,S352)</f>
        <v/>
      </c>
      <c r="U352" s="7" t="n">
        <v>0</v>
      </c>
      <c r="V352" s="6">
        <f>$T352*U352</f>
        <v/>
      </c>
      <c r="W352" s="7" t="n">
        <v>0</v>
      </c>
      <c r="X352" s="6">
        <f>$T352*W352</f>
        <v/>
      </c>
      <c r="Y352" s="7" t="n">
        <v>0</v>
      </c>
      <c r="Z352" s="6">
        <f>$T352*Y352</f>
        <v/>
      </c>
      <c r="AA352" s="7" t="n">
        <v>0</v>
      </c>
      <c r="AB352" s="6">
        <f>$T352*AA352</f>
        <v/>
      </c>
      <c r="AC352" s="7" t="n">
        <v>0</v>
      </c>
      <c r="AD352" s="6">
        <f>$T352*AC352</f>
        <v/>
      </c>
      <c r="AE352" s="7" t="n">
        <v>0</v>
      </c>
      <c r="AF352" s="6">
        <f>$T352*AE352</f>
        <v/>
      </c>
      <c r="AG352" s="7" t="n">
        <v>0</v>
      </c>
      <c r="AH352" s="6">
        <f>$T352*AG352</f>
        <v/>
      </c>
      <c r="AI352" s="7">
        <f>U352+W352+Y352+AA352+AC352+AE352+AG352</f>
        <v/>
      </c>
      <c r="AJ352" s="6">
        <f>V352+X352+Z352+AB352+AD352+AF352+AH352</f>
        <v/>
      </c>
    </row>
    <row r="353" hidden="1" ht="60" customHeight="1" s="46">
      <c r="A353" s="3" t="inlineStr">
        <is>
          <t>LOM251.OC.EEA.PA29.F8210.SB001.0760</t>
        </is>
      </c>
      <c r="B353" s="4" t="inlineStr">
        <is>
          <t>2/2</t>
        </is>
      </c>
      <c r="C353" s="3" t="inlineStr">
        <is>
          <t>IMPIANTO MECCANICO</t>
        </is>
      </c>
      <c r="D353" s="4" t="inlineStr">
        <is>
          <t>SPECIALE</t>
        </is>
      </c>
      <c r="E353" s="4" t="inlineStr">
        <is>
          <t>MECCANICHE SPECIALI</t>
        </is>
      </c>
      <c r="F353" s="3" t="inlineStr">
        <is>
          <t>2_CME_TOTALE MECCANICI RADIOFARMACIA PAVIA.PDF</t>
        </is>
      </c>
      <c r="G353" s="4" t="inlineStr">
        <is>
          <t>115/115</t>
        </is>
      </c>
      <c r="H353" s="3" t="inlineStr">
        <is>
          <t>40 - IMPIANTISTICO</t>
        </is>
      </c>
      <c r="I353" s="3" t="inlineStr">
        <is>
          <t>P. PRIMO - PRODUZIONE</t>
        </is>
      </c>
      <c r="J353" s="3" t="inlineStr">
        <is>
          <t>IMPIANTO HVAC</t>
        </is>
      </c>
      <c r="K353" s="3" t="inlineStr">
        <is>
          <t>OPERA: DIFFUSORE DI LEGA FERROSA ACCIAIO GENERICO; GEOMETRIA: VARIABILE | ALETTE RADIALI AD INCLINAZIONE VARIABILE; FUNZIONE: DIFFUSIONE ARIA; IMPIEGO: IMPIANTO DI CONDIZIONAMENTO; DIAMETRO (Ø) [MM] =</t>
        </is>
      </c>
      <c r="L353" s="3" t="inlineStr">
        <is>
          <t>OPERA: DIFFUSORE DI LEGA FERROSA ACCIAIO GENERICO; GEOMETRIA: VARIABILE | ALETTE RADIALI AD INCLINAZIONE VARIABILE; FUNZIONE: DIFFUSIONE ARIA; IMPIEGO: IMPIANTO DI CONDIZIONAMENTO; DIAMETRO (Ø) [MM] = 400. INCLUSO: SERRANDA DI REGOLAZIONE. 
LAVORO: MONTAGGIO. 
SPECIFICHE TECNICHE: ADATTO PER AMBIENTI CON GRANDI ALTEZZE. OP DIFFUSORE DI LEGA FERROSA ACCIAIO GENERICO; GEOMETRIA: VARIABILE | ALETTE RADIALI AD INCLINAZIONE VARIABILE; FUNZIONE: DIFFUSIONE ARIA; IMPIEGO: IMPIANTO DI CONDIZIONAMENTO; DIAMETRO (Ø) [MM] = 400. INCLUSO: SERRANDA DI REGOLAZIONE. 
SPECIFICHE TECNICHE: ADATTO PER AMBIENTI CON GRANDI ALTEZZE. 
RM DIFFUSORE DI LEGA FERROSA ACCIAIO GENERICO; GEOMETRIA: VARIABILE | ALETTE RADIALI AD INCLINAZIONE VARIABILE; FUNZIONE: DIFFUSIONE ARIA; IMPIEGO: IMPIANTO DI CONDIZIONAMENTO; DIAMETRO (Ø) [MM] = 400. INCLUSO: SERRANDA DI REGOLAZIONE 
SPECIFICHE TECNICHE: ADATTO PER AMBIENTI CON GRANDI ALTEZZE 
LV MONTAGGIO.</t>
        </is>
      </c>
      <c r="M353" s="4" t="inlineStr">
        <is>
          <t>CAD</t>
        </is>
      </c>
      <c r="N353" s="5" t="n">
        <v>2</v>
      </c>
      <c r="O353" s="45" t="n">
        <v>234.21</v>
      </c>
      <c r="P353" s="45" t="n">
        <v>468.42</v>
      </c>
      <c r="Q353" s="5" t="n"/>
      <c r="R353" s="6" t="n"/>
      <c r="S353" s="6">
        <f>IF(AND(Q353&lt;&gt;"",R353&lt;&gt;""),Q353*R353,"")</f>
        <v/>
      </c>
      <c r="T353" s="45">
        <f>IF(S353="",P353,S353)</f>
        <v/>
      </c>
      <c r="U353" s="7" t="n">
        <v>0</v>
      </c>
      <c r="V353" s="6">
        <f>$T353*U353</f>
        <v/>
      </c>
      <c r="W353" s="7" t="n">
        <v>0</v>
      </c>
      <c r="X353" s="6">
        <f>$T353*W353</f>
        <v/>
      </c>
      <c r="Y353" s="7" t="n">
        <v>0</v>
      </c>
      <c r="Z353" s="6">
        <f>$T353*Y353</f>
        <v/>
      </c>
      <c r="AA353" s="7" t="n">
        <v>0</v>
      </c>
      <c r="AB353" s="6">
        <f>$T353*AA353</f>
        <v/>
      </c>
      <c r="AC353" s="7" t="n">
        <v>0</v>
      </c>
      <c r="AD353" s="6">
        <f>$T353*AC353</f>
        <v/>
      </c>
      <c r="AE353" s="7" t="n">
        <v>0</v>
      </c>
      <c r="AF353" s="6">
        <f>$T353*AE353</f>
        <v/>
      </c>
      <c r="AG353" s="7" t="n">
        <v>0</v>
      </c>
      <c r="AH353" s="6">
        <f>$T353*AG353</f>
        <v/>
      </c>
      <c r="AI353" s="7">
        <f>U353+W353+Y353+AA353+AC353+AE353+AG353</f>
        <v/>
      </c>
      <c r="AJ353" s="6">
        <f>V353+X353+Z353+AB353+AD353+AF353+AH353</f>
        <v/>
      </c>
    </row>
    <row r="354" hidden="1" ht="60" customHeight="1" s="46">
      <c r="A354" s="3" t="inlineStr">
        <is>
          <t>LOM251.OC.EEA.PA29.F8210.SB001.0765</t>
        </is>
      </c>
      <c r="B354" s="4" t="inlineStr">
        <is>
          <t>2/2</t>
        </is>
      </c>
      <c r="C354" s="3" t="inlineStr">
        <is>
          <t>IMPIANTO MECCANICO</t>
        </is>
      </c>
      <c r="D354" s="4" t="inlineStr">
        <is>
          <t>SPECIALE</t>
        </is>
      </c>
      <c r="E354" s="4" t="inlineStr">
        <is>
          <t>MECCANICHE SPECIALI</t>
        </is>
      </c>
      <c r="F354" s="3" t="inlineStr">
        <is>
          <t>2_CME_TOTALE MECCANICI RADIOFARMACIA PAVIA.PDF</t>
        </is>
      </c>
      <c r="G354" s="4" t="inlineStr">
        <is>
          <t>116/116</t>
        </is>
      </c>
      <c r="H354" s="3" t="inlineStr">
        <is>
          <t>40 - IMPIANTISTICO</t>
        </is>
      </c>
      <c r="I354" s="3" t="inlineStr">
        <is>
          <t>P. PRIMO - PRODUZIONE</t>
        </is>
      </c>
      <c r="J354" s="3" t="inlineStr">
        <is>
          <t>IMPIANTO HVAC</t>
        </is>
      </c>
      <c r="K354" s="3" t="inlineStr">
        <is>
          <t>OPERA: DIFFUSORE DI LEGA FERROSA ACCIAIO GENERICO; GEOMETRIA: VARIABILE | ALETTE RADIALI AD INCLINAZIONE VARIABILE; FUNZIONE: DIFFUSIONE ARIA; IMPIEGO: IMPIANTO DI CONDIZIONAMENTO; DIAMETRO (Ø) [MM] =</t>
        </is>
      </c>
      <c r="L354" s="3" t="inlineStr">
        <is>
          <t>OPERA: DIFFUSORE DI LEGA FERROSA ACCIAIO GENERICO; GEOMETRIA: VARIABILE | ALETTE RADIALI AD INCLINAZIONE VARIABILE; FUNZIONE: DIFFUSIONE ARIA; IMPIEGO: IMPIANTO DI CONDIZIONAMENTO; DIAMETRO (Ø) [MM] = 500. INCLUSO: SERRANDA DI REGOLAZIONE. 
LAVORO: MONTAGGIO. 
SPECIFICHE TECNICHE: ADATTO PER AMBIENTI CON GRANDI ALTEZZE. OP DIFFUSORE DI LEGA FERROSA ACCIAIO GENERICO; GEOMETRIA: VARIABILE | ALETTE RADIALI AD INCLINAZIONE VARIABILE; FUNZIONE: DIFFUSIONE ARIA; IMPIEGO: IMPIANTO DI CONDIZIONAMENTO; DIAMETRO (Ø) [MM] = 500. INCLUSO: SERRANDA DI REGOLAZIONE. 
SPECIFICHE TECNICHE: ADATTO PER AMBIENTI CON GRANDI ALTEZZE. 
RM DIFFUSORE DI LEGA FERROSA ACCIAIO GENERICO; GEOMETRIA: VARIABILE | ALETTE RADIALI AD INCLINAZIONE VARIABILE; FUNZIONE: DIFFUSIONE ARIA; IMPIEGO: IMPIANTO DI CONDIZIONAMENTO; DIAMETRO (Ø) [MM] = 500. INCLUSO: SERRANDA DI REGOLAZIONE 
SPECIFICHE TECNICHE: ADATTO PER AMBIENTI CON GRANDI ALTEZZE 
LV MONTAGGIO.</t>
        </is>
      </c>
      <c r="M354" s="4" t="inlineStr">
        <is>
          <t>CAD</t>
        </is>
      </c>
      <c r="N354" s="5" t="n">
        <v>1</v>
      </c>
      <c r="O354" s="45" t="n">
        <v>281.65</v>
      </c>
      <c r="P354" s="45" t="n">
        <v>281.65</v>
      </c>
      <c r="Q354" s="5" t="n"/>
      <c r="R354" s="6" t="n"/>
      <c r="S354" s="6">
        <f>IF(AND(Q354&lt;&gt;"",R354&lt;&gt;""),Q354*R354,"")</f>
        <v/>
      </c>
      <c r="T354" s="45">
        <f>IF(S354="",P354,S354)</f>
        <v/>
      </c>
      <c r="U354" s="7" t="n">
        <v>0</v>
      </c>
      <c r="V354" s="6">
        <f>$T354*U354</f>
        <v/>
      </c>
      <c r="W354" s="7" t="n">
        <v>0</v>
      </c>
      <c r="X354" s="6">
        <f>$T354*W354</f>
        <v/>
      </c>
      <c r="Y354" s="7" t="n">
        <v>0</v>
      </c>
      <c r="Z354" s="6">
        <f>$T354*Y354</f>
        <v/>
      </c>
      <c r="AA354" s="7" t="n">
        <v>0</v>
      </c>
      <c r="AB354" s="6">
        <f>$T354*AA354</f>
        <v/>
      </c>
      <c r="AC354" s="7" t="n">
        <v>0</v>
      </c>
      <c r="AD354" s="6">
        <f>$T354*AC354</f>
        <v/>
      </c>
      <c r="AE354" s="7" t="n">
        <v>0</v>
      </c>
      <c r="AF354" s="6">
        <f>$T354*AE354</f>
        <v/>
      </c>
      <c r="AG354" s="7" t="n">
        <v>0</v>
      </c>
      <c r="AH354" s="6">
        <f>$T354*AG354</f>
        <v/>
      </c>
      <c r="AI354" s="7">
        <f>U354+W354+Y354+AA354+AC354+AE354+AG354</f>
        <v/>
      </c>
      <c r="AJ354" s="6">
        <f>V354+X354+Z354+AB354+AD354+AF354+AH354</f>
        <v/>
      </c>
    </row>
    <row r="355" hidden="1" ht="60" customHeight="1" s="46">
      <c r="A355" s="3" t="inlineStr">
        <is>
          <t>LOM251.OC.EEA.PA02.F7410.OA015.0285</t>
        </is>
      </c>
      <c r="B355" s="4" t="inlineStr">
        <is>
          <t>4/4</t>
        </is>
      </c>
      <c r="C355" s="3" t="inlineStr">
        <is>
          <t>IMPIANTO MECCANICO</t>
        </is>
      </c>
      <c r="D355" s="4" t="inlineStr">
        <is>
          <t>SPECIALE</t>
        </is>
      </c>
      <c r="E355" s="4" t="inlineStr">
        <is>
          <t>MECCANICHE SPECIALI</t>
        </is>
      </c>
      <c r="F355" s="3" t="inlineStr">
        <is>
          <t>2_CME_TOTALE MECCANICI RADIOFARMACIA PAVIA.PDF</t>
        </is>
      </c>
      <c r="G355" s="4" t="inlineStr">
        <is>
          <t>117/117</t>
        </is>
      </c>
      <c r="H355" s="3" t="inlineStr">
        <is>
          <t>40 - IMPIANTISTICO</t>
        </is>
      </c>
      <c r="I355" s="3" t="inlineStr">
        <is>
          <t>P. PRIMO - PRODUZIONE</t>
        </is>
      </c>
      <c r="J355" s="3" t="inlineStr">
        <is>
          <t>IMPIANTO HVAC</t>
        </is>
      </c>
      <c r="K355" s="3" t="inlineStr">
        <is>
          <t xml:space="preserve">OPERA: CONDOTTO DI FIBRA SINTETICA TESSILE; GEOMETRIA: FLESSIBILE; FUNZIONE: DISTRIBUZIONE ARIA; IMPIEGO: IMPIANTO DI CLIMATIZZAZIONE; DIAMETRO (Ø) [MM] = 200. </t>
        </is>
      </c>
      <c r="L355" s="3" t="inlineStr">
        <is>
          <t>OPERA: CONDOTTO DI FIBRA SINTETICA TESSILE; GEOMETRIA: FLESSIBILE; FUNZIONE: DISTRIBUZIONE ARIA; IMPIEGO: IMPIANTO DI CLIMATIZZAZIONE; DIAMETRO (Ø) [MM] = 200. 
LAVORO: POSA. 
SPECIFICHE TECNICHE: NON ISOLATO; IMPREGNATO IN RESINA SINTETICA POLIVINILCLORURO (PVC). OP CONDOTTO DI FIBRA SINTETICA TESSILE; GEOMETRIA: FLESSIBILE; FUNZIONE: DISTRIBUZIONE ARIA; IMPIEGO: IMPIANTO DI CLIMATIZZAZIONE; DIAMETRO (Ø) [MM] = 200. 
SPECIFICHE TECNICHE: NON ISOLATO; IMPREGNATO IN RESINA SINTETICA POLIVINILCLORURO (PVC). 
RM CONDOTTO DI FIBRA SINTETICA TESSILE; GEOMETRIA: FLESSIBILE; FUNZIONE: DISTRIBUZIONE ARIA; IMPIEGO: IMPIANTO DI CLIMATIZZAZIONE; DIAMETRO (Ø) [MM] = 200 
SPECIFICHE TECNICHE: NON ISOLATO; IMPREGNATO IN RESINA SINTETICA POLIVINILCLORURO (PVC) 
LV POSA.</t>
        </is>
      </c>
      <c r="M355" s="4" t="inlineStr">
        <is>
          <t>M</t>
        </is>
      </c>
      <c r="N355" s="5" t="n">
        <v>10</v>
      </c>
      <c r="O355" s="45" t="n">
        <v>14.12</v>
      </c>
      <c r="P355" s="45" t="n">
        <v>141.2</v>
      </c>
      <c r="Q355" s="5" t="n"/>
      <c r="R355" s="6" t="n"/>
      <c r="S355" s="6">
        <f>IF(AND(Q355&lt;&gt;"",R355&lt;&gt;""),Q355*R355,"")</f>
        <v/>
      </c>
      <c r="T355" s="45">
        <f>IF(S355="",P355,S355)</f>
        <v/>
      </c>
      <c r="U355" s="7" t="n">
        <v>0</v>
      </c>
      <c r="V355" s="6">
        <f>$T355*U355</f>
        <v/>
      </c>
      <c r="W355" s="7" t="n">
        <v>0</v>
      </c>
      <c r="X355" s="6">
        <f>$T355*W355</f>
        <v/>
      </c>
      <c r="Y355" s="7" t="n">
        <v>0</v>
      </c>
      <c r="Z355" s="6">
        <f>$T355*Y355</f>
        <v/>
      </c>
      <c r="AA355" s="7" t="n">
        <v>0</v>
      </c>
      <c r="AB355" s="6">
        <f>$T355*AA355</f>
        <v/>
      </c>
      <c r="AC355" s="7" t="n">
        <v>0</v>
      </c>
      <c r="AD355" s="6">
        <f>$T355*AC355</f>
        <v/>
      </c>
      <c r="AE355" s="7" t="n">
        <v>0</v>
      </c>
      <c r="AF355" s="6">
        <f>$T355*AE355</f>
        <v/>
      </c>
      <c r="AG355" s="7" t="n">
        <v>0</v>
      </c>
      <c r="AH355" s="6">
        <f>$T355*AG355</f>
        <v/>
      </c>
      <c r="AI355" s="7">
        <f>U355+W355+Y355+AA355+AC355+AE355+AG355</f>
        <v/>
      </c>
      <c r="AJ355" s="6">
        <f>V355+X355+Z355+AB355+AD355+AF355+AH355</f>
        <v/>
      </c>
    </row>
    <row r="356" hidden="1" ht="60" customHeight="1" s="46">
      <c r="A356" s="3" t="inlineStr">
        <is>
          <t>LOM251.OC.EEA.PA29.F8215.SA000.0255</t>
        </is>
      </c>
      <c r="B356" s="4" t="inlineStr">
        <is>
          <t>2/2</t>
        </is>
      </c>
      <c r="C356" s="3" t="inlineStr">
        <is>
          <t>IMPIANTO MECCANICO</t>
        </is>
      </c>
      <c r="D356" s="4" t="inlineStr">
        <is>
          <t>SPECIALE</t>
        </is>
      </c>
      <c r="E356" s="4" t="inlineStr">
        <is>
          <t>MECCANICHE SPECIALI</t>
        </is>
      </c>
      <c r="F356" s="3" t="inlineStr">
        <is>
          <t>2_CME_TOTALE MECCANICI RADIOFARMACIA PAVIA.PDF</t>
        </is>
      </c>
      <c r="G356" s="4" t="inlineStr">
        <is>
          <t>118/118</t>
        </is>
      </c>
      <c r="H356" s="3" t="inlineStr">
        <is>
          <t>40 - IMPIANTISTICO</t>
        </is>
      </c>
      <c r="I356" s="3" t="inlineStr">
        <is>
          <t>P. PRIMO - PRODUZIONE</t>
        </is>
      </c>
      <c r="J356" s="3" t="inlineStr">
        <is>
          <t>IMPIANTO HVAC</t>
        </is>
      </c>
      <c r="K356" s="3" t="inlineStr">
        <is>
          <t>OPERA: GRIGLIA, DI RIPRESA DI LEGA ALLUMINIO GENERICO; GEOMETRIA: 1 FILARE DI ALETTE FISSE; FUNZIONE: DIFFUSIONE ARIA; IMPIEGO: IMPIANTO DI CLIMATIZZAZIONE; SUPERFICIE FRONTALE [M²] = 0,04 ÷ 0,05. INC</t>
        </is>
      </c>
      <c r="L356" s="3" t="inlineStr">
        <is>
          <t>OPERA: GRIGLIA, DI RIPRESA DI LEGA ALLUMINIO GENERICO; GEOMETRIA: 1 FILARE DI ALETTE FISSE; FUNZIONE: DIFFUSIONE ARIA; IMPIEGO: IMPIANTO DI CLIMATIZZAZIONE; SUPERFICIE FRONTALE [M²] = 0,04 ÷ 0,05. INCLUSO: SERRANDA DI REGOLAZIONE. 
LAVORO: MONTAGGIO. OP GRIGLIA, DI RIPRESA DI LEGA ALLUMINIO GENERICO; GEOMETRIA: 1 FILARE DI ALETTE FISSE; FUNZIONE: DIFFUSIONE ARIA; IMPIEGO: IMPIANTO DI CLIMATIZZAZIONE; SUPERFICIE FRONTALE [M²] = 0,04 ÷ 0,05. INCLUSO: SERRANDA DI REGOLAZIONE. 
RM GRIGLIA DI RIPRESA DI LEGA ALLUMINIO GENERICO; GEOMETRIA: 1 FILARE DI ALETTE FISSE; FUNZIONE: DIFFUSIONE ARIA; IMPIEGO: IMPIANTO DI CLIMATIZZAZIONE; SUPERFICIE FRONTALE [M²] = 0,04 ÷ 0,05. INCLUSO: SERRANDA DI REGOLAZIONE 
LV MONTAGGIO.</t>
        </is>
      </c>
      <c r="M356" s="4" t="inlineStr">
        <is>
          <t>M²</t>
        </is>
      </c>
      <c r="N356" s="5" t="n">
        <v>0.05</v>
      </c>
      <c r="O356" s="45" t="n">
        <v>1838.09</v>
      </c>
      <c r="P356" s="45" t="n">
        <v>91.90000000000001</v>
      </c>
      <c r="Q356" s="5" t="n"/>
      <c r="R356" s="6" t="n"/>
      <c r="S356" s="6">
        <f>IF(AND(Q356&lt;&gt;"",R356&lt;&gt;""),Q356*R356,"")</f>
        <v/>
      </c>
      <c r="T356" s="45">
        <f>IF(S356="",P356,S356)</f>
        <v/>
      </c>
      <c r="U356" s="7" t="n">
        <v>0</v>
      </c>
      <c r="V356" s="6">
        <f>$T356*U356</f>
        <v/>
      </c>
      <c r="W356" s="7" t="n">
        <v>0</v>
      </c>
      <c r="X356" s="6">
        <f>$T356*W356</f>
        <v/>
      </c>
      <c r="Y356" s="7" t="n">
        <v>0</v>
      </c>
      <c r="Z356" s="6">
        <f>$T356*Y356</f>
        <v/>
      </c>
      <c r="AA356" s="7" t="n">
        <v>0</v>
      </c>
      <c r="AB356" s="6">
        <f>$T356*AA356</f>
        <v/>
      </c>
      <c r="AC356" s="7" t="n">
        <v>0</v>
      </c>
      <c r="AD356" s="6">
        <f>$T356*AC356</f>
        <v/>
      </c>
      <c r="AE356" s="7" t="n">
        <v>0</v>
      </c>
      <c r="AF356" s="6">
        <f>$T356*AE356</f>
        <v/>
      </c>
      <c r="AG356" s="7" t="n">
        <v>0</v>
      </c>
      <c r="AH356" s="6">
        <f>$T356*AG356</f>
        <v/>
      </c>
      <c r="AI356" s="7">
        <f>U356+W356+Y356+AA356+AC356+AE356+AG356</f>
        <v/>
      </c>
      <c r="AJ356" s="6">
        <f>V356+X356+Z356+AB356+AD356+AF356+AH356</f>
        <v/>
      </c>
    </row>
    <row r="357" hidden="1" ht="60" customHeight="1" s="46">
      <c r="A357" s="3" t="inlineStr">
        <is>
          <t>LOM251.OC.EEA.PA29.F8215.SA000.0265</t>
        </is>
      </c>
      <c r="B357" s="4" t="inlineStr">
        <is>
          <t>2/2</t>
        </is>
      </c>
      <c r="C357" s="3" t="inlineStr">
        <is>
          <t>IMPIANTO MECCANICO</t>
        </is>
      </c>
      <c r="D357" s="4" t="inlineStr">
        <is>
          <t>SPECIALE</t>
        </is>
      </c>
      <c r="E357" s="4" t="inlineStr">
        <is>
          <t>MECCANICHE SPECIALI</t>
        </is>
      </c>
      <c r="F357" s="3" t="inlineStr">
        <is>
          <t>2_CME_TOTALE MECCANICI RADIOFARMACIA PAVIA.PDF</t>
        </is>
      </c>
      <c r="G357" s="4" t="inlineStr">
        <is>
          <t>119/119</t>
        </is>
      </c>
      <c r="H357" s="3" t="inlineStr">
        <is>
          <t>40 - IMPIANTISTICO</t>
        </is>
      </c>
      <c r="I357" s="3" t="inlineStr">
        <is>
          <t>P. PRIMO - PRODUZIONE</t>
        </is>
      </c>
      <c r="J357" s="3" t="inlineStr">
        <is>
          <t>IMPIANTO HVAC</t>
        </is>
      </c>
      <c r="K357" s="3" t="inlineStr">
        <is>
          <t>OPERA: GRIGLIA, DI RIPRESA DI LEGA ALLUMINIO GENERICO; GEOMETRIA: 1 FILARE DI ALETTE FISSE; FUNZIONE: DIFFUSIONE ARIA; IMPIEGO: IMPIANTO DI CLIMATIZZAZIONE; SUPERFICIE FRONTALE [M²] = 0,09 ÷ 0,12. INC</t>
        </is>
      </c>
      <c r="L357" s="3" t="inlineStr">
        <is>
          <t>OPERA: GRIGLIA, DI RIPRESA DI LEGA ALLUMINIO GENERICO; GEOMETRIA: 1 FILARE DI ALETTE FISSE; FUNZIONE: DIFFUSIONE ARIA; IMPIEGO: IMPIANTO DI CLIMATIZZAZIONE; SUPERFICIE FRONTALE [M²] = 0,09 ÷ 0,12. INCLUSO: SERRANDA DI REGOLAZIONE. 
LAVORO: MONTAGGIO. OP GRIGLIA, DI RIPRESA DI LEGA ALLUMINIO GENERICO; GEOMETRIA: 1 FILARE DI ALETTE FISSE; FUNZIONE: DIFFUSIONE ARIA; IMPIEGO: IMPIANTO DI CLIMATIZZAZIONE; SUPERFICIE FRONTALE [M²] = 0,09 ÷ 0,12. INCLUSO: SERRANDA DI REGOLAZIONE. 
RM GRIGLIA DI RIPRESA DI LEGA ALLUMINIO GENERICO; GEOMETRIA: 1 FILARE DI ALETTE FISSE; FUNZIONE: DIFFUSIONE ARIA; IMPIEGO: IMPIANTO DI CLIMATIZZAZIONE; SUPERFICIE FRONTALE [M²] = 0,09 ÷ 0,12. INCLUSO: SERRANDA DI REGOLAZIONE 
LV MONTAGGIO.</t>
        </is>
      </c>
      <c r="M357" s="4" t="inlineStr">
        <is>
          <t>M²</t>
        </is>
      </c>
      <c r="N357" s="5" t="n">
        <v>0.12</v>
      </c>
      <c r="O357" s="45" t="n">
        <v>815.29</v>
      </c>
      <c r="P357" s="45" t="n">
        <v>97.83</v>
      </c>
      <c r="Q357" s="5" t="n"/>
      <c r="R357" s="6" t="n"/>
      <c r="S357" s="6">
        <f>IF(AND(Q357&lt;&gt;"",R357&lt;&gt;""),Q357*R357,"")</f>
        <v/>
      </c>
      <c r="T357" s="45">
        <f>IF(S357="",P357,S357)</f>
        <v/>
      </c>
      <c r="U357" s="7" t="n">
        <v>0</v>
      </c>
      <c r="V357" s="6">
        <f>$T357*U357</f>
        <v/>
      </c>
      <c r="W357" s="7" t="n">
        <v>0</v>
      </c>
      <c r="X357" s="6">
        <f>$T357*W357</f>
        <v/>
      </c>
      <c r="Y357" s="7" t="n">
        <v>0</v>
      </c>
      <c r="Z357" s="6">
        <f>$T357*Y357</f>
        <v/>
      </c>
      <c r="AA357" s="7" t="n">
        <v>0</v>
      </c>
      <c r="AB357" s="6">
        <f>$T357*AA357</f>
        <v/>
      </c>
      <c r="AC357" s="7" t="n">
        <v>0</v>
      </c>
      <c r="AD357" s="6">
        <f>$T357*AC357</f>
        <v/>
      </c>
      <c r="AE357" s="7" t="n">
        <v>0</v>
      </c>
      <c r="AF357" s="6">
        <f>$T357*AE357</f>
        <v/>
      </c>
      <c r="AG357" s="7" t="n">
        <v>0</v>
      </c>
      <c r="AH357" s="6">
        <f>$T357*AG357</f>
        <v/>
      </c>
      <c r="AI357" s="7">
        <f>U357+W357+Y357+AA357+AC357+AE357+AG357</f>
        <v/>
      </c>
      <c r="AJ357" s="6">
        <f>V357+X357+Z357+AB357+AD357+AF357+AH357</f>
        <v/>
      </c>
    </row>
    <row r="358" hidden="1" ht="60" customHeight="1" s="46">
      <c r="A358" s="3" t="inlineStr">
        <is>
          <t>LOM251.OC.EEA.PA29.L6815.ZA001.0000</t>
        </is>
      </c>
      <c r="B358" s="4" t="inlineStr">
        <is>
          <t>2/2</t>
        </is>
      </c>
      <c r="C358" s="3" t="inlineStr">
        <is>
          <t>IMPIANTO MECCANICO</t>
        </is>
      </c>
      <c r="D358" s="4" t="inlineStr">
        <is>
          <t>SPECIALE</t>
        </is>
      </c>
      <c r="E358" s="4" t="inlineStr">
        <is>
          <t>MECCANICHE SPECIALI</t>
        </is>
      </c>
      <c r="F358" s="3" t="inlineStr">
        <is>
          <t>2_CME_TOTALE MECCANICI RADIOFARMACIA PAVIA.PDF</t>
        </is>
      </c>
      <c r="G358" s="4" t="inlineStr">
        <is>
          <t>120/120</t>
        </is>
      </c>
      <c r="H358" s="3" t="inlineStr">
        <is>
          <t>40 - IMPIANTISTICO</t>
        </is>
      </c>
      <c r="I358" s="3" t="inlineStr">
        <is>
          <t>P. PRIMO - PRODUZIONE</t>
        </is>
      </c>
      <c r="J358" s="3" t="inlineStr">
        <is>
          <t>IMPIANTO HVAC</t>
        </is>
      </c>
      <c r="K358" s="3" t="inlineStr">
        <is>
          <t>OPERA: SERRANDA TAGLIAFUOCO, CIRCOLARE; FUNZIONE: IMPEDIMENTO PROPAGAZIONE INCENDIO; IMPIEGO: IMPIANTO DI CLIMATIZZAZIONE; DIAMETRO (Ø) [MM] = 200; RESISTENZA AL FUOCO [CLASSE] = REI120. INCLUSO: GUAR</t>
        </is>
      </c>
      <c r="L358" s="3" t="inlineStr">
        <is>
          <t>OPERA: SERRANDA TAGLIAFUOCO, CIRCOLARE; FUNZIONE: IMPEDIMENTO PROPAGAZIONE INCENDIO; IMPIEGO: IMPIANTO DI CLIMATIZZAZIONE; DIAMETRO (Ø) [MM] = 200; RESISTENZA AL FUOCO [CLASSE] = REI120. INCLUSO: GUARNIZIONI TERMOESPANDENTI; DISGIUNTORE PORTAFUSIBILE. 
LAVORO: MONTAGGIO. 
SPECIFICHE TECNICHE: CHIUSURA STANDARD A MOLLA CON LEVA DI RIARMO MANUALE; DISGIUNTORE AD UNA TEMPERATURA [°C] = 72. OP SERRANDA TAGLIAFUOCO, CIRCOLARE; FUNZIONE: IMPEDIMENTO PROPAGAZIONE INCENDIO; IMPIEGO: IMPIANTO DI CLIMATIZZAZIONE; DIAMETRO (Ø) [MM] = 200; RESISTENZA AL FUOCO [CLASSE] = REI120. INCLUSO: GUARNIZIONI TERMOESPANDENTI; DISGIUNTORE PORTAFUSIBILE. 
SPECIFICHE TECNICHE: CHIUSURA STANDARD A MOLLA CON LEVA DI RIARMO MANUALE; DISGIUNTORE AD UNA TEMPERATURA [°C] = 72. 
RM SERRANDA TAGLIAFUOCO CIRCOLARE; FUNZIONE: IMPEDIMENTO PROPAGAZIONE INCENDIO; IMPIEGO: IMPIANTO DI CLIMATIZZAZIONE; DIAMETRO (Ø) [MM] = 200; RESISTENZA AL FUOCO [CLASSE] = REI120. COMPONENTI: INVOLUCRO, PALA. INCLUSO: GUARNIZIONI TERMOESPANDENTI; DISGIUNTORE PORTAFUSIBILE 
SPECIFICHE TECNICHE: CHIUSURA STANDARD A MOLLA CON LEVA DI RIARMO MANUALE; DISGIUNTORE AD UNA TEMPERATURA [°C] = 72 
LV MONTAGGIO.</t>
        </is>
      </c>
      <c r="M358" s="4" t="inlineStr">
        <is>
          <t>CAD</t>
        </is>
      </c>
      <c r="N358" s="5" t="n">
        <v>1</v>
      </c>
      <c r="O358" s="45" t="n">
        <v>201.6</v>
      </c>
      <c r="P358" s="45" t="n">
        <v>201.6</v>
      </c>
      <c r="Q358" s="5" t="n"/>
      <c r="R358" s="6" t="n"/>
      <c r="S358" s="6">
        <f>IF(AND(Q358&lt;&gt;"",R358&lt;&gt;""),Q358*R358,"")</f>
        <v/>
      </c>
      <c r="T358" s="45">
        <f>IF(S358="",P358,S358)</f>
        <v/>
      </c>
      <c r="U358" s="7" t="n">
        <v>0</v>
      </c>
      <c r="V358" s="6">
        <f>$T358*U358</f>
        <v/>
      </c>
      <c r="W358" s="7" t="n">
        <v>0</v>
      </c>
      <c r="X358" s="6">
        <f>$T358*W358</f>
        <v/>
      </c>
      <c r="Y358" s="7" t="n">
        <v>0</v>
      </c>
      <c r="Z358" s="6">
        <f>$T358*Y358</f>
        <v/>
      </c>
      <c r="AA358" s="7" t="n">
        <v>0</v>
      </c>
      <c r="AB358" s="6">
        <f>$T358*AA358</f>
        <v/>
      </c>
      <c r="AC358" s="7" t="n">
        <v>0</v>
      </c>
      <c r="AD358" s="6">
        <f>$T358*AC358</f>
        <v/>
      </c>
      <c r="AE358" s="7" t="n">
        <v>0</v>
      </c>
      <c r="AF358" s="6">
        <f>$T358*AE358</f>
        <v/>
      </c>
      <c r="AG358" s="7" t="n">
        <v>0</v>
      </c>
      <c r="AH358" s="6">
        <f>$T358*AG358</f>
        <v/>
      </c>
      <c r="AI358" s="7">
        <f>U358+W358+Y358+AA358+AC358+AE358+AG358</f>
        <v/>
      </c>
      <c r="AJ358" s="6">
        <f>V358+X358+Z358+AB358+AD358+AF358+AH358</f>
        <v/>
      </c>
    </row>
    <row r="359" hidden="1" ht="60" customHeight="1" s="46">
      <c r="A359" s="3" t="inlineStr">
        <is>
          <t>DEI_IT_015002B</t>
        </is>
      </c>
      <c r="B359" s="4" t="inlineStr">
        <is>
          <t>4/5</t>
        </is>
      </c>
      <c r="C359" s="3" t="inlineStr">
        <is>
          <t>IMPIANTO MECCANICO</t>
        </is>
      </c>
      <c r="D359" s="4" t="inlineStr">
        <is>
          <t>SPECIALE</t>
        </is>
      </c>
      <c r="E359" s="4" t="inlineStr">
        <is>
          <t>MECCANICHE SPECIALI</t>
        </is>
      </c>
      <c r="F359" s="3" t="inlineStr">
        <is>
          <t>2_CME_TOTALE MECCANICI RADIOFARMACIA PAVIA.PDF</t>
        </is>
      </c>
      <c r="G359" s="4" t="inlineStr">
        <is>
          <t>148/148</t>
        </is>
      </c>
      <c r="H359" s="3" t="inlineStr">
        <is>
          <t>40 - IMPIANTISTICO</t>
        </is>
      </c>
      <c r="I359" s="3" t="inlineStr">
        <is>
          <t>CENTRALE</t>
        </is>
      </c>
      <c r="J359" s="3" t="inlineStr">
        <is>
          <t>IMPIANTO IDRICO E FOGNA</t>
        </is>
      </c>
      <c r="K359" s="3" t="inlineStr">
        <is>
          <t>TUBO IN ACCIAIO SENZA SALDATURA A NORMA UNI EN 10255, ZINCATO A CALDO A NORMA EN 10240-A1 ED AL DM MINISTERO DELLA SALUTE 6/4/2004 N. 174, FILETTATO E CON MANICOTTO, LAVORATO E POSTO IN OPERA (SINO AD</t>
        </is>
      </c>
      <c r="L359"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1/2", SPESSORE 2,6 MM</t>
        </is>
      </c>
      <c r="M359" s="4" t="inlineStr">
        <is>
          <t>M</t>
        </is>
      </c>
      <c r="N359" s="5" t="n">
        <v>9</v>
      </c>
      <c r="O359" s="45" t="n">
        <v>24.52</v>
      </c>
      <c r="P359" s="45" t="n">
        <v>220.68</v>
      </c>
      <c r="Q359" s="5" t="n"/>
      <c r="R359" s="6" t="n"/>
      <c r="S359" s="6">
        <f>IF(AND(Q359&lt;&gt;"",R359&lt;&gt;""),Q359*R359,"")</f>
        <v/>
      </c>
      <c r="T359" s="45">
        <f>IF(S359="",P359,S359)</f>
        <v/>
      </c>
      <c r="U359" s="7" t="n">
        <v>0</v>
      </c>
      <c r="V359" s="6">
        <f>$T359*U359</f>
        <v/>
      </c>
      <c r="W359" s="7" t="n">
        <v>0</v>
      </c>
      <c r="X359" s="6">
        <f>$T359*W359</f>
        <v/>
      </c>
      <c r="Y359" s="7" t="n">
        <v>0</v>
      </c>
      <c r="Z359" s="6">
        <f>$T359*Y359</f>
        <v/>
      </c>
      <c r="AA359" s="7" t="n">
        <v>0</v>
      </c>
      <c r="AB359" s="6">
        <f>$T359*AA359</f>
        <v/>
      </c>
      <c r="AC359" s="7" t="n">
        <v>0</v>
      </c>
      <c r="AD359" s="6">
        <f>$T359*AC359</f>
        <v/>
      </c>
      <c r="AE359" s="7" t="n">
        <v>0</v>
      </c>
      <c r="AF359" s="6">
        <f>$T359*AE359</f>
        <v/>
      </c>
      <c r="AG359" s="7" t="n">
        <v>0</v>
      </c>
      <c r="AH359" s="6">
        <f>$T359*AG359</f>
        <v/>
      </c>
      <c r="AI359" s="7">
        <f>U359+W359+Y359+AA359+AC359+AE359+AG359</f>
        <v/>
      </c>
      <c r="AJ359" s="6">
        <f>V359+X359+Z359+AB359+AD359+AF359+AH359</f>
        <v/>
      </c>
    </row>
    <row r="360" hidden="1" ht="60" customHeight="1" s="46">
      <c r="A360" s="3" t="inlineStr">
        <is>
          <t>DEI_IT_015002C</t>
        </is>
      </c>
      <c r="B360" s="4" t="inlineStr">
        <is>
          <t>3/4</t>
        </is>
      </c>
      <c r="C360" s="3" t="inlineStr">
        <is>
          <t>IMPIANTO MECCANICO</t>
        </is>
      </c>
      <c r="D360" s="4" t="inlineStr">
        <is>
          <t>SPECIALE</t>
        </is>
      </c>
      <c r="E360" s="4" t="inlineStr">
        <is>
          <t>MECCANICHE SPECIALI</t>
        </is>
      </c>
      <c r="F360" s="3" t="inlineStr">
        <is>
          <t>2_CME_TOTALE MECCANICI RADIOFARMACIA PAVIA.PDF</t>
        </is>
      </c>
      <c r="G360" s="4" t="inlineStr">
        <is>
          <t>149/149</t>
        </is>
      </c>
      <c r="H360" s="3" t="inlineStr">
        <is>
          <t>40 - IMPIANTISTICO</t>
        </is>
      </c>
      <c r="I360" s="3" t="inlineStr">
        <is>
          <t>CENTRALE</t>
        </is>
      </c>
      <c r="J360" s="3" t="inlineStr">
        <is>
          <t>IMPIANTO IDRICO E FOGNA</t>
        </is>
      </c>
      <c r="K360" s="3" t="inlineStr">
        <is>
          <t>TUBO IN ACCIAIO SENZA SALDATURA A NORMA UNI EN 10255, ZINCATO A CALDO A NORMA EN 10240-A1 ED AL DM MINISTERO DELLA SALUTE 6/4/2004 N. 174, FILETTATO E CON MANICOTTO, LAVORATO E POSTO IN OPERA (SINO AD</t>
        </is>
      </c>
      <c r="L360"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3/4", SPESSORE 2,6 MM</t>
        </is>
      </c>
      <c r="M360" s="4" t="inlineStr">
        <is>
          <t>M</t>
        </is>
      </c>
      <c r="N360" s="5" t="n">
        <v>2</v>
      </c>
      <c r="O360" s="45" t="n">
        <v>27.97</v>
      </c>
      <c r="P360" s="45" t="n">
        <v>55.94</v>
      </c>
      <c r="Q360" s="5" t="n"/>
      <c r="R360" s="6" t="n"/>
      <c r="S360" s="6">
        <f>IF(AND(Q360&lt;&gt;"",R360&lt;&gt;""),Q360*R360,"")</f>
        <v/>
      </c>
      <c r="T360" s="45">
        <f>IF(S360="",P360,S360)</f>
        <v/>
      </c>
      <c r="U360" s="7" t="n">
        <v>0</v>
      </c>
      <c r="V360" s="6">
        <f>$T360*U360</f>
        <v/>
      </c>
      <c r="W360" s="7" t="n">
        <v>0</v>
      </c>
      <c r="X360" s="6">
        <f>$T360*W360</f>
        <v/>
      </c>
      <c r="Y360" s="7" t="n">
        <v>0</v>
      </c>
      <c r="Z360" s="6">
        <f>$T360*Y360</f>
        <v/>
      </c>
      <c r="AA360" s="7" t="n">
        <v>0</v>
      </c>
      <c r="AB360" s="6">
        <f>$T360*AA360</f>
        <v/>
      </c>
      <c r="AC360" s="7" t="n">
        <v>0</v>
      </c>
      <c r="AD360" s="6">
        <f>$T360*AC360</f>
        <v/>
      </c>
      <c r="AE360" s="7" t="n">
        <v>0</v>
      </c>
      <c r="AF360" s="6">
        <f>$T360*AE360</f>
        <v/>
      </c>
      <c r="AG360" s="7" t="n">
        <v>0</v>
      </c>
      <c r="AH360" s="6">
        <f>$T360*AG360</f>
        <v/>
      </c>
      <c r="AI360" s="7">
        <f>U360+W360+Y360+AA360+AC360+AE360+AG360</f>
        <v/>
      </c>
      <c r="AJ360" s="6">
        <f>V360+X360+Z360+AB360+AD360+AF360+AH360</f>
        <v/>
      </c>
    </row>
    <row r="361" hidden="1" ht="60" customHeight="1" s="46">
      <c r="A361" s="3" t="inlineStr">
        <is>
          <t>DEI_IT_015002D</t>
        </is>
      </c>
      <c r="B361" s="4" t="inlineStr">
        <is>
          <t>3/4</t>
        </is>
      </c>
      <c r="C361" s="3" t="inlineStr">
        <is>
          <t>IMPIANTO MECCANICO</t>
        </is>
      </c>
      <c r="D361" s="4" t="inlineStr">
        <is>
          <t>SPECIALE</t>
        </is>
      </c>
      <c r="E361" s="4" t="inlineStr">
        <is>
          <t>MECCANICHE SPECIALI</t>
        </is>
      </c>
      <c r="F361" s="3" t="inlineStr">
        <is>
          <t>2_CME_TOTALE MECCANICI RADIOFARMACIA PAVIA.PDF</t>
        </is>
      </c>
      <c r="G361" s="4" t="inlineStr">
        <is>
          <t>150/150</t>
        </is>
      </c>
      <c r="H361" s="3" t="inlineStr">
        <is>
          <t>40 - IMPIANTISTICO</t>
        </is>
      </c>
      <c r="I361" s="3" t="inlineStr">
        <is>
          <t>CENTRALE</t>
        </is>
      </c>
      <c r="J361" s="3" t="inlineStr">
        <is>
          <t>IMPIANTO IDRICO E FOGNA</t>
        </is>
      </c>
      <c r="K361" s="3" t="inlineStr">
        <is>
          <t>TUBO IN ACCIAIO SENZA SALDATURA A NORMA UNI EN 10255, ZINCATO A CALDO A NORMA EN 10240-A1 ED AL DM MINISTERO DELLA SALUTE 6/4/2004 N. 174, FILETTATO E CON MANICOTTO, LAVORATO E POSTO IN OPERA (SINO AD</t>
        </is>
      </c>
      <c r="L361"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 SPESSORE 3,2 MM</t>
        </is>
      </c>
      <c r="M361" s="4" t="inlineStr">
        <is>
          <t>M</t>
        </is>
      </c>
      <c r="N361" s="5" t="n">
        <v>1</v>
      </c>
      <c r="O361" s="45" t="n">
        <v>31.42</v>
      </c>
      <c r="P361" s="45" t="n">
        <v>31.42</v>
      </c>
      <c r="Q361" s="5" t="n"/>
      <c r="R361" s="6" t="n"/>
      <c r="S361" s="6">
        <f>IF(AND(Q361&lt;&gt;"",R361&lt;&gt;""),Q361*R361,"")</f>
        <v/>
      </c>
      <c r="T361" s="45">
        <f>IF(S361="",P361,S361)</f>
        <v/>
      </c>
      <c r="U361" s="7" t="n">
        <v>0</v>
      </c>
      <c r="V361" s="6">
        <f>$T361*U361</f>
        <v/>
      </c>
      <c r="W361" s="7" t="n">
        <v>0</v>
      </c>
      <c r="X361" s="6">
        <f>$T361*W361</f>
        <v/>
      </c>
      <c r="Y361" s="7" t="n">
        <v>0</v>
      </c>
      <c r="Z361" s="6">
        <f>$T361*Y361</f>
        <v/>
      </c>
      <c r="AA361" s="7" t="n">
        <v>0</v>
      </c>
      <c r="AB361" s="6">
        <f>$T361*AA361</f>
        <v/>
      </c>
      <c r="AC361" s="7" t="n">
        <v>0</v>
      </c>
      <c r="AD361" s="6">
        <f>$T361*AC361</f>
        <v/>
      </c>
      <c r="AE361" s="7" t="n">
        <v>0</v>
      </c>
      <c r="AF361" s="6">
        <f>$T361*AE361</f>
        <v/>
      </c>
      <c r="AG361" s="7" t="n">
        <v>0</v>
      </c>
      <c r="AH361" s="6">
        <f>$T361*AG361</f>
        <v/>
      </c>
      <c r="AI361" s="7">
        <f>U361+W361+Y361+AA361+AC361+AE361+AG361</f>
        <v/>
      </c>
      <c r="AJ361" s="6">
        <f>V361+X361+Z361+AB361+AD361+AF361+AH361</f>
        <v/>
      </c>
    </row>
    <row r="362" hidden="1" ht="60" customHeight="1" s="46">
      <c r="A362" s="3" t="inlineStr">
        <is>
          <t>LOM251.OC.EEA.PA02.I1500.E0011.0135</t>
        </is>
      </c>
      <c r="B362" s="4" t="inlineStr">
        <is>
          <t>3/3</t>
        </is>
      </c>
      <c r="C362" s="3" t="inlineStr">
        <is>
          <t>IMPIANTO MECCANICO</t>
        </is>
      </c>
      <c r="D362" s="4" t="inlineStr">
        <is>
          <t>SPECIALE</t>
        </is>
      </c>
      <c r="E362" s="4" t="inlineStr">
        <is>
          <t>MECCANICHE SPECIALI</t>
        </is>
      </c>
      <c r="F362" s="3" t="inlineStr">
        <is>
          <t>2_CME_TOTALE MECCANICI RADIOFARMACIA PAVIA.PDF</t>
        </is>
      </c>
      <c r="G362" s="4" t="inlineStr">
        <is>
          <t>151/151</t>
        </is>
      </c>
      <c r="H362" s="3" t="inlineStr">
        <is>
          <t>40 - IMPIANTISTICO</t>
        </is>
      </c>
      <c r="I362" s="3" t="inlineStr">
        <is>
          <t>CENTRALE</t>
        </is>
      </c>
      <c r="J362" s="3" t="inlineStr">
        <is>
          <t>IMPIANTO IDRICO E FOGNA</t>
        </is>
      </c>
      <c r="K362" s="3" t="inlineStr">
        <is>
          <t>OPERA: LASTRA DI GOMMA ELASTOMERICA ESPANSA A CELLULE CHIUSE; FUNZIONE: COIBENTAZIONE; IMPIEGO: TUBAZIONE; SPESSORE MINIMO LASTRA [MM] = 19 | SPESSORE MINIMO ELASTOMERO PER IL DIAMETRO ESTERNO TUBO [M</t>
        </is>
      </c>
      <c r="L362" s="3" t="inlineStr">
        <is>
          <t>OPERA: LASTRA DI GOMMA ELASTOMERICA ESPANSA A CELLULE CHIUSE; FUNZIONE: COIBENTAZIONE; IMPIEGO: TUBAZIONE; SPESSORE MINIMO LASTRA [MM] = 19 | SPESSORE MINIMO ELASTOMERO PER IL DIAMETRO ESTERNO TUBO [MM] = 28 | DIAMETRO NOMINALE TUBAZIONE [MM] = 20;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28 | DIAMETRO NOMINALE TUBAZIONE [MM] = 20;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28 | DIAMETRO NOMINALE TUBAZIONE [MM] = 20; RESISTENZA ALLA FIAMMA [CLASSE] = 1; FATTORE DI PERMEABILITÀ (Μ) MINIMO [-] = 4000 
SPECIFICHE TECNICHE: GOMMA ELASTOMERICA ESPANSA A CELLULE CHIUSE SENZA ALOGENI NÉ PVC 
LV POSA.</t>
        </is>
      </c>
      <c r="M362" s="4" t="inlineStr">
        <is>
          <t>M</t>
        </is>
      </c>
      <c r="N362" s="5" t="n">
        <v>9</v>
      </c>
      <c r="O362" s="45" t="n">
        <v>8.98</v>
      </c>
      <c r="P362" s="45" t="n">
        <v>80.81999999999999</v>
      </c>
      <c r="Q362" s="5" t="n"/>
      <c r="R362" s="6" t="n"/>
      <c r="S362" s="6">
        <f>IF(AND(Q362&lt;&gt;"",R362&lt;&gt;""),Q362*R362,"")</f>
        <v/>
      </c>
      <c r="T362" s="45">
        <f>IF(S362="",P362,S362)</f>
        <v/>
      </c>
      <c r="U362" s="7" t="n">
        <v>0</v>
      </c>
      <c r="V362" s="6">
        <f>$T362*U362</f>
        <v/>
      </c>
      <c r="W362" s="7" t="n">
        <v>0</v>
      </c>
      <c r="X362" s="6">
        <f>$T362*W362</f>
        <v/>
      </c>
      <c r="Y362" s="7" t="n">
        <v>0</v>
      </c>
      <c r="Z362" s="6">
        <f>$T362*Y362</f>
        <v/>
      </c>
      <c r="AA362" s="7" t="n">
        <v>0</v>
      </c>
      <c r="AB362" s="6">
        <f>$T362*AA362</f>
        <v/>
      </c>
      <c r="AC362" s="7" t="n">
        <v>0</v>
      </c>
      <c r="AD362" s="6">
        <f>$T362*AC362</f>
        <v/>
      </c>
      <c r="AE362" s="7" t="n">
        <v>0</v>
      </c>
      <c r="AF362" s="6">
        <f>$T362*AE362</f>
        <v/>
      </c>
      <c r="AG362" s="7" t="n">
        <v>0</v>
      </c>
      <c r="AH362" s="6">
        <f>$T362*AG362</f>
        <v/>
      </c>
      <c r="AI362" s="7">
        <f>U362+W362+Y362+AA362+AC362+AE362+AG362</f>
        <v/>
      </c>
      <c r="AJ362" s="6">
        <f>V362+X362+Z362+AB362+AD362+AF362+AH362</f>
        <v/>
      </c>
    </row>
    <row r="363" hidden="1" ht="60" customHeight="1" s="46">
      <c r="A363" s="3" t="inlineStr">
        <is>
          <t>LOM251.OC.EEA.PA02.I1500.E0011.0140</t>
        </is>
      </c>
      <c r="B363" s="4" t="inlineStr">
        <is>
          <t>3/3</t>
        </is>
      </c>
      <c r="C363" s="3" t="inlineStr">
        <is>
          <t>IMPIANTO MECCANICO</t>
        </is>
      </c>
      <c r="D363" s="4" t="inlineStr">
        <is>
          <t>SPECIALE</t>
        </is>
      </c>
      <c r="E363" s="4" t="inlineStr">
        <is>
          <t>MECCANICHE SPECIALI</t>
        </is>
      </c>
      <c r="F363" s="3" t="inlineStr">
        <is>
          <t>2_CME_TOTALE MECCANICI RADIOFARMACIA PAVIA.PDF</t>
        </is>
      </c>
      <c r="G363" s="4" t="inlineStr">
        <is>
          <t>152/152</t>
        </is>
      </c>
      <c r="H363" s="3" t="inlineStr">
        <is>
          <t>40 - IMPIANTISTICO</t>
        </is>
      </c>
      <c r="I363" s="3" t="inlineStr">
        <is>
          <t>CENTRALE</t>
        </is>
      </c>
      <c r="J363" s="3" t="inlineStr">
        <is>
          <t>IMPIANTO IDRICO E FOGNA</t>
        </is>
      </c>
      <c r="K363" s="3" t="inlineStr">
        <is>
          <t>OPERA: LASTRA DI GOMMA ELASTOMERICA ESPANSA A CELLULE CHIUSE; FUNZIONE: COIBENTAZIONE; IMPIEGO: TUBAZIONE; SPESSORE MINIMO LASTRA [MM] = 19 | SPESSORE MINIMO ELASTOMERO PER IL DIAMETRO ESTERNO TUBO [M</t>
        </is>
      </c>
      <c r="L363" s="3" t="inlineStr">
        <is>
          <t>OPERA: LASTRA DI GOMMA ELASTOMERICA ESPANSA A CELLULE CHIUSE; FUNZIONE: COIBENTAZIONE; IMPIEGO: TUBAZIONE; SPESSORE MINIMO LASTRA [MM] = 19 | SPESSORE MINIMO ELASTOMERO PER IL DIAMETRO ESTERNO TUBO [MM] = 35 | DIAMETRO NOMINALE TUBAZIONE [MM] = 25;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35 | DIAMETRO NOMINALE TUBAZIONE [MM] = 25;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35 | DIAMETRO NOMINALE TUBAZIONE [MM] = 25; RESISTENZA ALLA FIAMMA [CLASSE] = 1; FATTORE DI PERMEABILITÀ (Μ) MINIMO [-] = 4000 
SPECIFICHE TECNICHE: GOMMA ELASTOMERICA ESPANSA A CELLULE CHIUSE SENZA ALOGENI NÉ PVC 
LV POSA.</t>
        </is>
      </c>
      <c r="M363" s="4" t="inlineStr">
        <is>
          <t>M</t>
        </is>
      </c>
      <c r="N363" s="5" t="n">
        <v>2</v>
      </c>
      <c r="O363" s="45" t="n">
        <v>8.98</v>
      </c>
      <c r="P363" s="45" t="n">
        <v>17.96</v>
      </c>
      <c r="Q363" s="5" t="n"/>
      <c r="R363" s="6" t="n"/>
      <c r="S363" s="6">
        <f>IF(AND(Q363&lt;&gt;"",R363&lt;&gt;""),Q363*R363,"")</f>
        <v/>
      </c>
      <c r="T363" s="45">
        <f>IF(S363="",P363,S363)</f>
        <v/>
      </c>
      <c r="U363" s="7" t="n">
        <v>0</v>
      </c>
      <c r="V363" s="6">
        <f>$T363*U363</f>
        <v/>
      </c>
      <c r="W363" s="7" t="n">
        <v>0</v>
      </c>
      <c r="X363" s="6">
        <f>$T363*W363</f>
        <v/>
      </c>
      <c r="Y363" s="7" t="n">
        <v>0</v>
      </c>
      <c r="Z363" s="6">
        <f>$T363*Y363</f>
        <v/>
      </c>
      <c r="AA363" s="7" t="n">
        <v>0</v>
      </c>
      <c r="AB363" s="6">
        <f>$T363*AA363</f>
        <v/>
      </c>
      <c r="AC363" s="7" t="n">
        <v>0</v>
      </c>
      <c r="AD363" s="6">
        <f>$T363*AC363</f>
        <v/>
      </c>
      <c r="AE363" s="7" t="n">
        <v>0</v>
      </c>
      <c r="AF363" s="6">
        <f>$T363*AE363</f>
        <v/>
      </c>
      <c r="AG363" s="7" t="n">
        <v>0</v>
      </c>
      <c r="AH363" s="6">
        <f>$T363*AG363</f>
        <v/>
      </c>
      <c r="AI363" s="7">
        <f>U363+W363+Y363+AA363+AC363+AE363+AG363</f>
        <v/>
      </c>
      <c r="AJ363" s="6">
        <f>V363+X363+Z363+AB363+AD363+AF363+AH363</f>
        <v/>
      </c>
    </row>
    <row r="364" hidden="1" ht="60" customHeight="1" s="46">
      <c r="A364" s="3" t="inlineStr">
        <is>
          <t>LOM251.OC.EEA.PA02.I1500.E0011.0145</t>
        </is>
      </c>
      <c r="B364" s="4" t="inlineStr">
        <is>
          <t>3/3</t>
        </is>
      </c>
      <c r="C364" s="3" t="inlineStr">
        <is>
          <t>IMPIANTO MECCANICO</t>
        </is>
      </c>
      <c r="D364" s="4" t="inlineStr">
        <is>
          <t>SPECIALE</t>
        </is>
      </c>
      <c r="E364" s="4" t="inlineStr">
        <is>
          <t>MECCANICHE SPECIALI</t>
        </is>
      </c>
      <c r="F364" s="3" t="inlineStr">
        <is>
          <t>2_CME_TOTALE MECCANICI RADIOFARMACIA PAVIA.PDF</t>
        </is>
      </c>
      <c r="G364" s="4" t="inlineStr">
        <is>
          <t>153/153</t>
        </is>
      </c>
      <c r="H364" s="3" t="inlineStr">
        <is>
          <t>40 - IMPIANTISTICO</t>
        </is>
      </c>
      <c r="I364" s="3" t="inlineStr">
        <is>
          <t>CENTRALE</t>
        </is>
      </c>
      <c r="J364" s="3" t="inlineStr">
        <is>
          <t>IMPIANTO IDRICO E FOGNA</t>
        </is>
      </c>
      <c r="K364" s="3" t="inlineStr">
        <is>
          <t>OPERA: LASTRA DI GOMMA ELASTOMERICA ESPANSA A CELLULE CHIUSE; FUNZIONE: COIBENTAZIONE; IMPIEGO: TUBAZIONE; SPESSORE MINIMO LASTRA [MM] = 19 | SPESSORE MINIMO ELASTOMERO PER IL DIAMETRO ESTERNO TUBO [M</t>
        </is>
      </c>
      <c r="L364" s="3" t="inlineStr">
        <is>
          <t>OPERA: LASTRA DI GOMMA ELASTOMERICA ESPANSA A CELLULE CHIUSE; FUNZIONE: COIBENTAZIONE; IMPIEGO: TUBAZIONE; SPESSORE MINIMO LASTRA [MM] = 19 | SPESSORE MINIMO ELASTOMERO PER IL DIAMETRO ESTERNO TUBO [MM] = 42 | DIAMETRO NOMINALE TUBAZIONE [MM] = 32;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42 | DIAMETRO NOMINALE TUBAZIONE [MM] = 32;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42 | DIAMETRO NOMINALE TUBAZIONE [MM] = 32; RESISTENZA ALLA FIAMMA [CLASSE] = 1; FATTORE DI PERMEABILITÀ (Μ) MINIMO [-] = 4000 
SPECIFICHE TECNICHE: GOMMA ELASTOMERICA ESPANSA A CELLULE CHIUSE SENZA ALOGENI NÉ PVC 
LV POSA.</t>
        </is>
      </c>
      <c r="M364" s="4" t="inlineStr">
        <is>
          <t>M</t>
        </is>
      </c>
      <c r="N364" s="5" t="n">
        <v>1</v>
      </c>
      <c r="O364" s="45" t="n">
        <v>8.98</v>
      </c>
      <c r="P364" s="45" t="n">
        <v>8.98</v>
      </c>
      <c r="Q364" s="5" t="n"/>
      <c r="R364" s="6" t="n"/>
      <c r="S364" s="6">
        <f>IF(AND(Q364&lt;&gt;"",R364&lt;&gt;""),Q364*R364,"")</f>
        <v/>
      </c>
      <c r="T364" s="45">
        <f>IF(S364="",P364,S364)</f>
        <v/>
      </c>
      <c r="U364" s="7" t="n">
        <v>0</v>
      </c>
      <c r="V364" s="6">
        <f>$T364*U364</f>
        <v/>
      </c>
      <c r="W364" s="7" t="n">
        <v>0</v>
      </c>
      <c r="X364" s="6">
        <f>$T364*W364</f>
        <v/>
      </c>
      <c r="Y364" s="7" t="n">
        <v>0</v>
      </c>
      <c r="Z364" s="6">
        <f>$T364*Y364</f>
        <v/>
      </c>
      <c r="AA364" s="7" t="n">
        <v>0</v>
      </c>
      <c r="AB364" s="6">
        <f>$T364*AA364</f>
        <v/>
      </c>
      <c r="AC364" s="7" t="n">
        <v>0</v>
      </c>
      <c r="AD364" s="6">
        <f>$T364*AC364</f>
        <v/>
      </c>
      <c r="AE364" s="7" t="n">
        <v>0</v>
      </c>
      <c r="AF364" s="6">
        <f>$T364*AE364</f>
        <v/>
      </c>
      <c r="AG364" s="7" t="n">
        <v>0</v>
      </c>
      <c r="AH364" s="6">
        <f>$T364*AG364</f>
        <v/>
      </c>
      <c r="AI364" s="7">
        <f>U364+W364+Y364+AA364+AC364+AE364+AG364</f>
        <v/>
      </c>
      <c r="AJ364" s="6">
        <f>V364+X364+Z364+AB364+AD364+AF364+AH364</f>
        <v/>
      </c>
    </row>
    <row r="365" hidden="1" ht="60" customHeight="1" s="46">
      <c r="A365" s="3" t="inlineStr">
        <is>
          <t>LOM251.OC.EEA.PA02.I9762.ZB015.0000</t>
        </is>
      </c>
      <c r="B365" s="4" t="inlineStr">
        <is>
          <t>2/2</t>
        </is>
      </c>
      <c r="C365" s="3" t="inlineStr">
        <is>
          <t>IMPIANTO MECCANICO</t>
        </is>
      </c>
      <c r="D365" s="4" t="inlineStr">
        <is>
          <t>SPECIALE</t>
        </is>
      </c>
      <c r="E365" s="4" t="inlineStr">
        <is>
          <t>MECCANICHE SPECIALI</t>
        </is>
      </c>
      <c r="F365" s="3" t="inlineStr">
        <is>
          <t>2_CME_TOTALE MECCANICI RADIOFARMACIA PAVIA.PDF</t>
        </is>
      </c>
      <c r="G365" s="4" t="inlineStr">
        <is>
          <t>154/154</t>
        </is>
      </c>
      <c r="H365" s="3" t="inlineStr">
        <is>
          <t>40 - IMPIANTISTICO</t>
        </is>
      </c>
      <c r="I365" s="3" t="inlineStr">
        <is>
          <t>CENTRALE</t>
        </is>
      </c>
      <c r="J365" s="3" t="inlineStr">
        <is>
          <t>IMPIANTO IDRICO E FOGNA</t>
        </is>
      </c>
      <c r="K365" s="3" t="inlineStr">
        <is>
          <t xml:space="preserve">OPERA: VALVOLA, A COMANDO MANUALE A LEVA DI MATERIALE MIX ACCIAIO AL CARBONIO-ACCIAIO INOX; GEOMETRIA: ATTACCHI FILETTATI TIPO GAS | A SFERA; DIAMETRO NOMINALE (Ø) [MM] = 15; PRESSIONE NOMINALE [BAR] </t>
        </is>
      </c>
      <c r="L365" s="3" t="inlineStr">
        <is>
          <t>OPERA: VALVOLA, A COMANDO MANUALE A LEVA DI MATERIALE MIX ACCIAIO AL CARBONIO-ACCIAIO INOX; GEOMETRIA: ATTACCHI FILETTATI TIPO GAS | A SFERA; DIAMETRO NOMINALE (Ø) [MM] = 15; PRESSIONE NOMINALE [BAR] = 40. INCLUSO: MANICOTTO DI LEGA FERROSA ACCIAIO AL CARBONIO. 
LAVORO: POSA. 
SPECIFICHE TECNICHE: VALVOLA CON: CORPO DI LEGA FERROSA ACCIAIO AL CARBONIO, STELO DI LEGA FERROSA ACCIAIO INOX, SFERA DI LEGA FERROSA ACCIAIO INOX, LEVA DI MANOVRA DI LEGA FERROSA ACCIAIO AL CARBONIO CON FINITURA DI GOMMA GENERICA. OP VALVOLA, A COMANDO MANUALE A LEVA DI MATERIALE MIX ACCIAIO AL CARBONIO-ACCIAIO INOX; GEOMETRIA: ATTACCHI FILETTATI TIPO GAS | A SFERA; DIAMETRO NOMINALE (Ø) [MM] = 15;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RM VALVOLA A COMANDO MANUALE A LEVA DI MATERIALE MIX ACCIAIO AL CARBONIO-ACCIAIO INOX; GEOMETRIA: ATTACCHI FILETTATI TIPO GAS | A SFERA; DIAMETRO NOMINALE (Ø) [MM] = 15;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LV POSA.</t>
        </is>
      </c>
      <c r="M365" s="4" t="inlineStr">
        <is>
          <t>CAD</t>
        </is>
      </c>
      <c r="N365" s="5" t="n">
        <v>2</v>
      </c>
      <c r="O365" s="45" t="n">
        <v>26.09</v>
      </c>
      <c r="P365" s="45" t="n">
        <v>52.18</v>
      </c>
      <c r="Q365" s="5" t="n"/>
      <c r="R365" s="6" t="n"/>
      <c r="S365" s="6">
        <f>IF(AND(Q365&lt;&gt;"",R365&lt;&gt;""),Q365*R365,"")</f>
        <v/>
      </c>
      <c r="T365" s="45">
        <f>IF(S365="",P365,S365)</f>
        <v/>
      </c>
      <c r="U365" s="7" t="n">
        <v>0</v>
      </c>
      <c r="V365" s="6">
        <f>$T365*U365</f>
        <v/>
      </c>
      <c r="W365" s="7" t="n">
        <v>0</v>
      </c>
      <c r="X365" s="6">
        <f>$T365*W365</f>
        <v/>
      </c>
      <c r="Y365" s="7" t="n">
        <v>0</v>
      </c>
      <c r="Z365" s="6">
        <f>$T365*Y365</f>
        <v/>
      </c>
      <c r="AA365" s="7" t="n">
        <v>0</v>
      </c>
      <c r="AB365" s="6">
        <f>$T365*AA365</f>
        <v/>
      </c>
      <c r="AC365" s="7" t="n">
        <v>0</v>
      </c>
      <c r="AD365" s="6">
        <f>$T365*AC365</f>
        <v/>
      </c>
      <c r="AE365" s="7" t="n">
        <v>0</v>
      </c>
      <c r="AF365" s="6">
        <f>$T365*AE365</f>
        <v/>
      </c>
      <c r="AG365" s="7" t="n">
        <v>0</v>
      </c>
      <c r="AH365" s="6">
        <f>$T365*AG365</f>
        <v/>
      </c>
      <c r="AI365" s="7">
        <f>U365+W365+Y365+AA365+AC365+AE365+AG365</f>
        <v/>
      </c>
      <c r="AJ365" s="6">
        <f>V365+X365+Z365+AB365+AD365+AF365+AH365</f>
        <v/>
      </c>
    </row>
    <row r="366" hidden="1" ht="60" customHeight="1" s="46">
      <c r="A366" s="3" t="inlineStr">
        <is>
          <t>LOM251.OC.EEA.PA02.I9762.ZB015.0005</t>
        </is>
      </c>
      <c r="B366" s="4" t="inlineStr">
        <is>
          <t>2/2</t>
        </is>
      </c>
      <c r="C366" s="3" t="inlineStr">
        <is>
          <t>IMPIANTO MECCANICO</t>
        </is>
      </c>
      <c r="D366" s="4" t="inlineStr">
        <is>
          <t>SPECIALE</t>
        </is>
      </c>
      <c r="E366" s="4" t="inlineStr">
        <is>
          <t>MECCANICHE SPECIALI</t>
        </is>
      </c>
      <c r="F366" s="3" t="inlineStr">
        <is>
          <t>2_CME_TOTALE MECCANICI RADIOFARMACIA PAVIA.PDF</t>
        </is>
      </c>
      <c r="G366" s="4" t="inlineStr">
        <is>
          <t>155/155</t>
        </is>
      </c>
      <c r="H366" s="3" t="inlineStr">
        <is>
          <t>40 - IMPIANTISTICO</t>
        </is>
      </c>
      <c r="I366" s="3" t="inlineStr">
        <is>
          <t>CENTRALE</t>
        </is>
      </c>
      <c r="J366" s="3" t="inlineStr">
        <is>
          <t>IMPIANTO IDRICO E FOGNA</t>
        </is>
      </c>
      <c r="K366" s="3" t="inlineStr">
        <is>
          <t xml:space="preserve">OPERA: VALVOLA, A COMANDO MANUALE A LEVA DI MATERIALE MIX ACCIAIO AL CARBONIO-ACCIAIO INOX; GEOMETRIA: ATTACCHI FILETTATI TIPO GAS | A SFERA; DIAMETRO NOMINALE (Ø) [MM] = 20; PRESSIONE NOMINALE [BAR] </t>
        </is>
      </c>
      <c r="L366" s="3" t="inlineStr">
        <is>
          <t>OPERA: VALVOLA, A COMANDO MANUALE A LEVA DI MATERIALE MIX ACCIAIO AL CARBONIO-ACCIAIO INOX; GEOMETRIA: ATTACCHI FILETTATI TIPO GAS | A SFERA; DIAMETRO NOMINALE (Ø) [MM] = 20; PRESSIONE NOMINALE [BAR] = 40. INCLUSO: MANICOTTO DI LEGA FERROSA ACCIAIO AL CARBONIO. 
LAVORO: POSA. 
SPECIFICHE TECNICHE: VALVOLA CON: CORPO DI LEGA FERROSA ACCIAIO AL CARBONIO, STELO DI LEGA FERROSA ACCIAIO INOX, SFERA DI LEGA FERROSA ACCIAIO INOX, LEVA DI MANOVRA DI LEGA FERROSA ACCIAIO AL CARBONIO CON FINITURA DI GOMMA GENERICA. OP VALVOLA, A COMANDO MANUALE A LEVA DI MATERIALE MIX ACCIAIO AL CARBONIO-ACCIAIO INOX; GEOMETRIA: ATTACCHI FILETTATI TIPO GAS | A SFERA; DIAMETRO NOMINALE (Ø) [MM] = 20;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RM VALVOLA A COMANDO MANUALE A LEVA DI MATERIALE MIX ACCIAIO AL CARBONIO-ACCIAIO INOX; GEOMETRIA: ATTACCHI FILETTATI TIPO GAS | A SFERA; DIAMETRO NOMINALE (Ø) [MM] = 20;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LV POSA.</t>
        </is>
      </c>
      <c r="M366" s="4" t="inlineStr">
        <is>
          <t>CAD</t>
        </is>
      </c>
      <c r="N366" s="5" t="n">
        <v>1</v>
      </c>
      <c r="O366" s="45" t="n">
        <v>27.64</v>
      </c>
      <c r="P366" s="45" t="n">
        <v>27.64</v>
      </c>
      <c r="Q366" s="5" t="n"/>
      <c r="R366" s="6" t="n"/>
      <c r="S366" s="6">
        <f>IF(AND(Q366&lt;&gt;"",R366&lt;&gt;""),Q366*R366,"")</f>
        <v/>
      </c>
      <c r="T366" s="45">
        <f>IF(S366="",P366,S366)</f>
        <v/>
      </c>
      <c r="U366" s="7" t="n">
        <v>0</v>
      </c>
      <c r="V366" s="6">
        <f>$T366*U366</f>
        <v/>
      </c>
      <c r="W366" s="7" t="n">
        <v>0</v>
      </c>
      <c r="X366" s="6">
        <f>$T366*W366</f>
        <v/>
      </c>
      <c r="Y366" s="7" t="n">
        <v>0</v>
      </c>
      <c r="Z366" s="6">
        <f>$T366*Y366</f>
        <v/>
      </c>
      <c r="AA366" s="7" t="n">
        <v>0</v>
      </c>
      <c r="AB366" s="6">
        <f>$T366*AA366</f>
        <v/>
      </c>
      <c r="AC366" s="7" t="n">
        <v>0</v>
      </c>
      <c r="AD366" s="6">
        <f>$T366*AC366</f>
        <v/>
      </c>
      <c r="AE366" s="7" t="n">
        <v>0</v>
      </c>
      <c r="AF366" s="6">
        <f>$T366*AE366</f>
        <v/>
      </c>
      <c r="AG366" s="7" t="n">
        <v>0</v>
      </c>
      <c r="AH366" s="6">
        <f>$T366*AG366</f>
        <v/>
      </c>
      <c r="AI366" s="7">
        <f>U366+W366+Y366+AA366+AC366+AE366+AG366</f>
        <v/>
      </c>
      <c r="AJ366" s="6">
        <f>V366+X366+Z366+AB366+AD366+AF366+AH366</f>
        <v/>
      </c>
    </row>
    <row r="367" hidden="1" ht="60" customHeight="1" s="46">
      <c r="A367" s="3" t="inlineStr">
        <is>
          <t>LOM251.OC.EEA.PA02.I9762.ZB015.0010</t>
        </is>
      </c>
      <c r="B367" s="4" t="inlineStr">
        <is>
          <t>2/2</t>
        </is>
      </c>
      <c r="C367" s="3" t="inlineStr">
        <is>
          <t>IMPIANTO MECCANICO</t>
        </is>
      </c>
      <c r="D367" s="4" t="inlineStr">
        <is>
          <t>SPECIALE</t>
        </is>
      </c>
      <c r="E367" s="4" t="inlineStr">
        <is>
          <t>MECCANICHE SPECIALI</t>
        </is>
      </c>
      <c r="F367" s="3" t="inlineStr">
        <is>
          <t>2_CME_TOTALE MECCANICI RADIOFARMACIA PAVIA.PDF</t>
        </is>
      </c>
      <c r="G367" s="4" t="inlineStr">
        <is>
          <t>156/156</t>
        </is>
      </c>
      <c r="H367" s="3" t="inlineStr">
        <is>
          <t>40 - IMPIANTISTICO</t>
        </is>
      </c>
      <c r="I367" s="3" t="inlineStr">
        <is>
          <t>CENTRALE</t>
        </is>
      </c>
      <c r="J367" s="3" t="inlineStr">
        <is>
          <t>IMPIANTO IDRICO E FOGNA</t>
        </is>
      </c>
      <c r="K367" s="3" t="inlineStr">
        <is>
          <t xml:space="preserve">OPERA: VALVOLA, A COMANDO MANUALE A LEVA DI MATERIALE MIX ACCIAIO AL CARBONIO-ACCIAIO INOX; GEOMETRIA: ATTACCHI FILETTATI TIPO GAS | A SFERA; DIAMETRO NOMINALE (Ø) [MM] = 25; PRESSIONE NOMINALE [BAR] </t>
        </is>
      </c>
      <c r="L367" s="3" t="inlineStr">
        <is>
          <t>OPERA: VALVOLA, A COMANDO MANUALE A LEVA DI MATERIALE MIX ACCIAIO AL CARBONIO-ACCIAIO INOX; GEOMETRIA: ATTACCHI FILETTATI TIPO GAS | A SFERA; DIAMETRO NOMINALE (Ø) [MM] = 25; PRESSIONE NOMINALE [BAR] = 40. INCLUSO: MANICOTTO DI LEGA FERROSA ACCIAIO AL CARBONIO. 
LAVORO: POSA. 
SPECIFICHE TECNICHE: VALVOLA CON: CORPO DI LEGA FERROSA ACCIAIO AL CARBONIO, STELO DI LEGA FERROSA ACCIAIO INOX, SFERA DI LEGA FERROSA ACCIAIO INOX, LEVA DI MANOVRA DI LEGA FERROSA ACCIAIO AL CARBONIO CON FINITURA DI GOMMA GENERICA. OP VALVOLA, A COMANDO MANUALE A LEVA DI MATERIALE MIX ACCIAIO AL CARBONIO-ACCIAIO INOX; GEOMETRIA: ATTACCHI FILETTATI TIPO GAS | A SFERA; DIAMETRO NOMINALE (Ø) [MM] = 25;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RM VALVOLA A COMANDO MANUALE A LEVA DI MATERIALE MIX ACCIAIO AL CARBONIO-ACCIAIO INOX; GEOMETRIA: ATTACCHI FILETTATI TIPO GAS | A SFERA; DIAMETRO NOMINALE (Ø) [MM] = 25;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LV POSA.</t>
        </is>
      </c>
      <c r="M367" s="4" t="inlineStr">
        <is>
          <t>CAD</t>
        </is>
      </c>
      <c r="N367" s="5" t="n">
        <v>1</v>
      </c>
      <c r="O367" s="45" t="n">
        <v>44.91</v>
      </c>
      <c r="P367" s="45" t="n">
        <v>44.91</v>
      </c>
      <c r="Q367" s="5" t="n"/>
      <c r="R367" s="6" t="n"/>
      <c r="S367" s="6">
        <f>IF(AND(Q367&lt;&gt;"",R367&lt;&gt;""),Q367*R367,"")</f>
        <v/>
      </c>
      <c r="T367" s="45">
        <f>IF(S367="",P367,S367)</f>
        <v/>
      </c>
      <c r="U367" s="7" t="n">
        <v>0</v>
      </c>
      <c r="V367" s="6">
        <f>$T367*U367</f>
        <v/>
      </c>
      <c r="W367" s="7" t="n">
        <v>0</v>
      </c>
      <c r="X367" s="6">
        <f>$T367*W367</f>
        <v/>
      </c>
      <c r="Y367" s="7" t="n">
        <v>0</v>
      </c>
      <c r="Z367" s="6">
        <f>$T367*Y367</f>
        <v/>
      </c>
      <c r="AA367" s="7" t="n">
        <v>0</v>
      </c>
      <c r="AB367" s="6">
        <f>$T367*AA367</f>
        <v/>
      </c>
      <c r="AC367" s="7" t="n">
        <v>0</v>
      </c>
      <c r="AD367" s="6">
        <f>$T367*AC367</f>
        <v/>
      </c>
      <c r="AE367" s="7" t="n">
        <v>0</v>
      </c>
      <c r="AF367" s="6">
        <f>$T367*AE367</f>
        <v/>
      </c>
      <c r="AG367" s="7" t="n">
        <v>0</v>
      </c>
      <c r="AH367" s="6">
        <f>$T367*AG367</f>
        <v/>
      </c>
      <c r="AI367" s="7">
        <f>U367+W367+Y367+AA367+AC367+AE367+AG367</f>
        <v/>
      </c>
      <c r="AJ367" s="6">
        <f>V367+X367+Z367+AB367+AD367+AF367+AH367</f>
        <v/>
      </c>
    </row>
    <row r="368" hidden="1" ht="60" customHeight="1" s="46">
      <c r="A368" s="3" t="inlineStr">
        <is>
          <t>LOM251.OC.EEA.PA02.F9730.SC007.0260</t>
        </is>
      </c>
      <c r="B368" s="4" t="inlineStr">
        <is>
          <t>2/2</t>
        </is>
      </c>
      <c r="C368" s="3" t="inlineStr">
        <is>
          <t>IMPIANTO MECCANICO</t>
        </is>
      </c>
      <c r="D368" s="4" t="inlineStr">
        <is>
          <t>SPECIALE</t>
        </is>
      </c>
      <c r="E368" s="4" t="inlineStr">
        <is>
          <t>MECCANICHE SPECIALI</t>
        </is>
      </c>
      <c r="F368" s="3" t="inlineStr">
        <is>
          <t>2_CME_TOTALE MECCANICI RADIOFARMACIA PAVIA.PDF</t>
        </is>
      </c>
      <c r="G368" s="4" t="inlineStr">
        <is>
          <t>157/157</t>
        </is>
      </c>
      <c r="H368" s="3" t="inlineStr">
        <is>
          <t>40 - IMPIANTISTICO</t>
        </is>
      </c>
      <c r="I368" s="3" t="inlineStr">
        <is>
          <t>CENTRALE</t>
        </is>
      </c>
      <c r="J368" s="3" t="inlineStr">
        <is>
          <t>IMPIANTO IDRICO E FOGNA</t>
        </is>
      </c>
      <c r="K368" s="3" t="inlineStr">
        <is>
          <t>OPERA: VALVOLA DI LEGA RAME BRONZO; GEOMETRIA: A GLOBO | ATTACCHI FILETTATI TIPO GAS; FUNZIONE: DI RITEGNO; DIAMETRO NOMINALE (Ø) [MM] = 25; PRESSIONE NOMINALE [BAR] = 16. INCLUSO: GUARNIZIONI DEL TIP</t>
        </is>
      </c>
      <c r="L368" s="3" t="inlineStr">
        <is>
          <t>OPERA: VALVOLA DI LEGA RAME BRONZO; GEOMETRIA: A GLOBO | ATTACCHI FILETTATI TIPO GAS; FUNZIONE: DI RITEGNO; DIAMETRO NOMINALE (Ø) [MM] = 25; PRESSIONE NOMINALE [BAR] = 16. INCLUSO: GUARNIZIONI DEL TIPO SENZA AMIANTO; CAPPELLO DI LEGA RAME OTTONE. 
LAVORO: POSA. 
SPECIFICHE TECNICHE: VALVOLA CON: CORPO DI LEGA RAME OTTONE, OTTURATORE DI LEGA RAME OTTONE. OP VALVOLA DI LEGA RAME BRONZO; GEOMETRIA: A GLOBO | ATTACCHI FILETTATI TIPO GAS; FUNZIONE: DI RITEGNO; DIAMETRO NOMINALE (Ø) [MM] = 25; PRESSIONE NOMINALE [BAR] = 16. INCLUSO: GUARNIZIONI DEL TIPO SENZA AMIANTO; CAPPELLO DI LEGA RAME OTTONE. 
SPECIFICHE TECNICHE: VALVOLA CON: CORPO DI LEGA RAME OTTONE, OTTURATORE DI LEGA RAME OTTONE. 
RM VALVOLA DI LEGA RAME BRONZO; GEOMETRIA: A GLOBO | ATTACCHI FILETTATI TIPO GAS; FUNZIONE: DI RITEGNO; DIAMETRO NOMINALE (Ø) [MM] = 25; PRESSIONE NOMINALE [BAR] = 16. INCLUSO: GUARNIZIONI DEL TIPO SENZA AMIANTO; CAPPELLO DI LEGA RAME OTTONE 
SPECIFICHE TECNICHE: VALVOLA CON: CORPO DI LEGA RAME OTTONE, OTTURATORE DI LEGA RAME OTTONE 
LV POSA.</t>
        </is>
      </c>
      <c r="M368" s="4" t="inlineStr">
        <is>
          <t>CAD</t>
        </is>
      </c>
      <c r="N368" s="5" t="n">
        <v>1</v>
      </c>
      <c r="O368" s="45" t="n">
        <v>25.94</v>
      </c>
      <c r="P368" s="45" t="n">
        <v>25.94</v>
      </c>
      <c r="Q368" s="5" t="n"/>
      <c r="R368" s="6" t="n"/>
      <c r="S368" s="6">
        <f>IF(AND(Q368&lt;&gt;"",R368&lt;&gt;""),Q368*R368,"")</f>
        <v/>
      </c>
      <c r="T368" s="45">
        <f>IF(S368="",P368,S368)</f>
        <v/>
      </c>
      <c r="U368" s="7" t="n">
        <v>0</v>
      </c>
      <c r="V368" s="6">
        <f>$T368*U368</f>
        <v/>
      </c>
      <c r="W368" s="7" t="n">
        <v>0</v>
      </c>
      <c r="X368" s="6">
        <f>$T368*W368</f>
        <v/>
      </c>
      <c r="Y368" s="7" t="n">
        <v>0</v>
      </c>
      <c r="Z368" s="6">
        <f>$T368*Y368</f>
        <v/>
      </c>
      <c r="AA368" s="7" t="n">
        <v>0</v>
      </c>
      <c r="AB368" s="6">
        <f>$T368*AA368</f>
        <v/>
      </c>
      <c r="AC368" s="7" t="n">
        <v>0</v>
      </c>
      <c r="AD368" s="6">
        <f>$T368*AC368</f>
        <v/>
      </c>
      <c r="AE368" s="7" t="n">
        <v>0</v>
      </c>
      <c r="AF368" s="6">
        <f>$T368*AE368</f>
        <v/>
      </c>
      <c r="AG368" s="7" t="n">
        <v>0</v>
      </c>
      <c r="AH368" s="6">
        <f>$T368*AG368</f>
        <v/>
      </c>
      <c r="AI368" s="7">
        <f>U368+W368+Y368+AA368+AC368+AE368+AG368</f>
        <v/>
      </c>
      <c r="AJ368" s="6">
        <f>V368+X368+Z368+AB368+AD368+AF368+AH368</f>
        <v/>
      </c>
    </row>
    <row r="369" hidden="1" ht="30" customHeight="1" s="46">
      <c r="A369" s="3" t="inlineStr">
        <is>
          <t>DEI_IT_023465C</t>
        </is>
      </c>
      <c r="B369" s="4" t="inlineStr">
        <is>
          <t>1/1</t>
        </is>
      </c>
      <c r="C369" s="3" t="inlineStr">
        <is>
          <t>IMPIANTO MECCANICO</t>
        </is>
      </c>
      <c r="D369" s="4" t="inlineStr">
        <is>
          <t>SPECIALE</t>
        </is>
      </c>
      <c r="E369" s="4" t="inlineStr">
        <is>
          <t>MECCANICHE SPECIALI</t>
        </is>
      </c>
      <c r="F369" s="3" t="inlineStr">
        <is>
          <t>2_CME_TOTALE MECCANICI RADIOFARMACIA PAVIA.PDF</t>
        </is>
      </c>
      <c r="G369" s="4" t="inlineStr">
        <is>
          <t>158/158</t>
        </is>
      </c>
      <c r="H369" s="3" t="inlineStr">
        <is>
          <t>40 - IMPIANTISTICO</t>
        </is>
      </c>
      <c r="I369" s="3" t="inlineStr">
        <is>
          <t>CENTRALE</t>
        </is>
      </c>
      <c r="J369" s="3" t="inlineStr">
        <is>
          <t>IMPIANTO IDRICO E FOGNA</t>
        </is>
      </c>
      <c r="K369" s="3" t="inlineStr">
        <is>
          <t>GIUNTO DI DILATAZIONE ANTIVIBRANTE IN GOMMA EPDM, FILETTATO PN 10/16: Ø 25 MM</t>
        </is>
      </c>
      <c r="L369" s="3" t="inlineStr">
        <is>
          <t>GIUNTO DI DILATAZIONE ANTIVIBRANTE IN GOMMA EPDM, FILETTATO PN 10/16: Ø 25 MM</t>
        </is>
      </c>
      <c r="M369" s="4" t="inlineStr">
        <is>
          <t>CAD</t>
        </is>
      </c>
      <c r="N369" s="5" t="n">
        <v>2</v>
      </c>
      <c r="O369" s="45" t="n">
        <v>36.17</v>
      </c>
      <c r="P369" s="45" t="n">
        <v>72.34</v>
      </c>
      <c r="Q369" s="5" t="n"/>
      <c r="R369" s="6" t="n"/>
      <c r="S369" s="6">
        <f>IF(AND(Q369&lt;&gt;"",R369&lt;&gt;""),Q369*R369,"")</f>
        <v/>
      </c>
      <c r="T369" s="45">
        <f>IF(S369="",P369,S369)</f>
        <v/>
      </c>
      <c r="U369" s="7" t="n">
        <v>0</v>
      </c>
      <c r="V369" s="6">
        <f>$T369*U369</f>
        <v/>
      </c>
      <c r="W369" s="7" t="n">
        <v>0</v>
      </c>
      <c r="X369" s="6">
        <f>$T369*W369</f>
        <v/>
      </c>
      <c r="Y369" s="7" t="n">
        <v>0</v>
      </c>
      <c r="Z369" s="6">
        <f>$T369*Y369</f>
        <v/>
      </c>
      <c r="AA369" s="7" t="n">
        <v>0</v>
      </c>
      <c r="AB369" s="6">
        <f>$T369*AA369</f>
        <v/>
      </c>
      <c r="AC369" s="7" t="n">
        <v>0</v>
      </c>
      <c r="AD369" s="6">
        <f>$T369*AC369</f>
        <v/>
      </c>
      <c r="AE369" s="7" t="n">
        <v>0</v>
      </c>
      <c r="AF369" s="6">
        <f>$T369*AE369</f>
        <v/>
      </c>
      <c r="AG369" s="7" t="n">
        <v>0</v>
      </c>
      <c r="AH369" s="6">
        <f>$T369*AG369</f>
        <v/>
      </c>
      <c r="AI369" s="7">
        <f>U369+W369+Y369+AA369+AC369+AE369+AG369</f>
        <v/>
      </c>
      <c r="AJ369" s="6">
        <f>V369+X369+Z369+AB369+AD369+AF369+AH369</f>
        <v/>
      </c>
    </row>
    <row r="370" hidden="1" ht="60" customHeight="1" s="46">
      <c r="A370" s="3" t="inlineStr">
        <is>
          <t>DEI_IT_015002B</t>
        </is>
      </c>
      <c r="B370" s="4" t="inlineStr">
        <is>
          <t>5/5</t>
        </is>
      </c>
      <c r="C370" s="3" t="inlineStr">
        <is>
          <t>IMPIANTO MECCANICO</t>
        </is>
      </c>
      <c r="D370" s="4" t="inlineStr">
        <is>
          <t>SPECIALE</t>
        </is>
      </c>
      <c r="E370" s="4" t="inlineStr">
        <is>
          <t>MECCANICHE SPECIALI</t>
        </is>
      </c>
      <c r="F370" s="3" t="inlineStr">
        <is>
          <t>2_CME_TOTALE MECCANICI RADIOFARMACIA PAVIA.PDF</t>
        </is>
      </c>
      <c r="G370" s="4" t="inlineStr">
        <is>
          <t>166/166</t>
        </is>
      </c>
      <c r="H370" s="3" t="inlineStr">
        <is>
          <t>40 - IMPIANTISTICO</t>
        </is>
      </c>
      <c r="I370" s="3" t="inlineStr">
        <is>
          <t>P. TERRA</t>
        </is>
      </c>
      <c r="J370" s="3" t="inlineStr">
        <is>
          <t>IMPIANTO IDRICO E FOGNA</t>
        </is>
      </c>
      <c r="K370" s="3" t="inlineStr">
        <is>
          <t>TUBO IN ACCIAIO SENZA SALDATURA A NORMA UNI EN 10255, ZINCATO A CALDO A NORMA EN 10240-A1 ED AL DM MINISTERO DELLA SALUTE 6/4/2004 N. 174, FILETTATO E CON MANICOTTO, LAVORATO E POSTO IN OPERA (SINO AD</t>
        </is>
      </c>
      <c r="L370"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1/2", SPESSORE 2,6 MM</t>
        </is>
      </c>
      <c r="M370" s="4" t="inlineStr">
        <is>
          <t>M</t>
        </is>
      </c>
      <c r="N370" s="5" t="n">
        <v>17</v>
      </c>
      <c r="O370" s="45" t="n">
        <v>24.52</v>
      </c>
      <c r="P370" s="45" t="n">
        <v>416.84</v>
      </c>
      <c r="Q370" s="5" t="n"/>
      <c r="R370" s="6" t="n"/>
      <c r="S370" s="6">
        <f>IF(AND(Q370&lt;&gt;"",R370&lt;&gt;""),Q370*R370,"")</f>
        <v/>
      </c>
      <c r="T370" s="45">
        <f>IF(S370="",P370,S370)</f>
        <v/>
      </c>
      <c r="U370" s="7" t="n">
        <v>0</v>
      </c>
      <c r="V370" s="6">
        <f>$T370*U370</f>
        <v/>
      </c>
      <c r="W370" s="7" t="n">
        <v>0</v>
      </c>
      <c r="X370" s="6">
        <f>$T370*W370</f>
        <v/>
      </c>
      <c r="Y370" s="7" t="n">
        <v>0</v>
      </c>
      <c r="Z370" s="6">
        <f>$T370*Y370</f>
        <v/>
      </c>
      <c r="AA370" s="7" t="n">
        <v>0</v>
      </c>
      <c r="AB370" s="6">
        <f>$T370*AA370</f>
        <v/>
      </c>
      <c r="AC370" s="7" t="n">
        <v>0</v>
      </c>
      <c r="AD370" s="6">
        <f>$T370*AC370</f>
        <v/>
      </c>
      <c r="AE370" s="7" t="n">
        <v>0</v>
      </c>
      <c r="AF370" s="6">
        <f>$T370*AE370</f>
        <v/>
      </c>
      <c r="AG370" s="7" t="n">
        <v>0</v>
      </c>
      <c r="AH370" s="6">
        <f>$T370*AG370</f>
        <v/>
      </c>
      <c r="AI370" s="7">
        <f>U370+W370+Y370+AA370+AC370+AE370+AG370</f>
        <v/>
      </c>
      <c r="AJ370" s="6">
        <f>V370+X370+Z370+AB370+AD370+AF370+AH370</f>
        <v/>
      </c>
    </row>
    <row r="371" hidden="1" ht="60" customHeight="1" s="46">
      <c r="A371" s="3" t="inlineStr">
        <is>
          <t>DEI_IT_015002C</t>
        </is>
      </c>
      <c r="B371" s="4" t="inlineStr">
        <is>
          <t>4/4</t>
        </is>
      </c>
      <c r="C371" s="3" t="inlineStr">
        <is>
          <t>IMPIANTO MECCANICO</t>
        </is>
      </c>
      <c r="D371" s="4" t="inlineStr">
        <is>
          <t>SPECIALE</t>
        </is>
      </c>
      <c r="E371" s="4" t="inlineStr">
        <is>
          <t>MECCANICHE SPECIALI</t>
        </is>
      </c>
      <c r="F371" s="3" t="inlineStr">
        <is>
          <t>2_CME_TOTALE MECCANICI RADIOFARMACIA PAVIA.PDF</t>
        </is>
      </c>
      <c r="G371" s="4" t="inlineStr">
        <is>
          <t>167/167</t>
        </is>
      </c>
      <c r="H371" s="3" t="inlineStr">
        <is>
          <t>40 - IMPIANTISTICO</t>
        </is>
      </c>
      <c r="I371" s="3" t="inlineStr">
        <is>
          <t>P. TERRA</t>
        </is>
      </c>
      <c r="J371" s="3" t="inlineStr">
        <is>
          <t>IMPIANTO IDRICO E FOGNA</t>
        </is>
      </c>
      <c r="K371" s="3" t="inlineStr">
        <is>
          <t>TUBO IN ACCIAIO SENZA SALDATURA A NORMA UNI EN 10255, ZINCATO A CALDO A NORMA EN 10240-A1 ED AL DM MINISTERO DELLA SALUTE 6/4/2004 N. 174, FILETTATO E CON MANICOTTO, LAVORATO E POSTO IN OPERA (SINO AD</t>
        </is>
      </c>
      <c r="L371"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3/4", SPESSORE 2,6 MM</t>
        </is>
      </c>
      <c r="M371" s="4" t="inlineStr">
        <is>
          <t>M</t>
        </is>
      </c>
      <c r="N371" s="5" t="n">
        <v>4</v>
      </c>
      <c r="O371" s="45" t="n">
        <v>27.97</v>
      </c>
      <c r="P371" s="45" t="n">
        <v>111.88</v>
      </c>
      <c r="Q371" s="5" t="n"/>
      <c r="R371" s="6" t="n"/>
      <c r="S371" s="6">
        <f>IF(AND(Q371&lt;&gt;"",R371&lt;&gt;""),Q371*R371,"")</f>
        <v/>
      </c>
      <c r="T371" s="45">
        <f>IF(S371="",P371,S371)</f>
        <v/>
      </c>
      <c r="U371" s="7" t="n">
        <v>0</v>
      </c>
      <c r="V371" s="6">
        <f>$T371*U371</f>
        <v/>
      </c>
      <c r="W371" s="7" t="n">
        <v>0</v>
      </c>
      <c r="X371" s="6">
        <f>$T371*W371</f>
        <v/>
      </c>
      <c r="Y371" s="7" t="n">
        <v>0</v>
      </c>
      <c r="Z371" s="6">
        <f>$T371*Y371</f>
        <v/>
      </c>
      <c r="AA371" s="7" t="n">
        <v>0</v>
      </c>
      <c r="AB371" s="6">
        <f>$T371*AA371</f>
        <v/>
      </c>
      <c r="AC371" s="7" t="n">
        <v>0</v>
      </c>
      <c r="AD371" s="6">
        <f>$T371*AC371</f>
        <v/>
      </c>
      <c r="AE371" s="7" t="n">
        <v>0</v>
      </c>
      <c r="AF371" s="6">
        <f>$T371*AE371</f>
        <v/>
      </c>
      <c r="AG371" s="7" t="n">
        <v>0</v>
      </c>
      <c r="AH371" s="6">
        <f>$T371*AG371</f>
        <v/>
      </c>
      <c r="AI371" s="7">
        <f>U371+W371+Y371+AA371+AC371+AE371+AG371</f>
        <v/>
      </c>
      <c r="AJ371" s="6">
        <f>V371+X371+Z371+AB371+AD371+AF371+AH371</f>
        <v/>
      </c>
    </row>
    <row r="372" hidden="1" ht="60" customHeight="1" s="46">
      <c r="A372" s="3" t="inlineStr">
        <is>
          <t>DEI_IT_015002D</t>
        </is>
      </c>
      <c r="B372" s="4" t="inlineStr">
        <is>
          <t>4/4</t>
        </is>
      </c>
      <c r="C372" s="3" t="inlineStr">
        <is>
          <t>IMPIANTO MECCANICO</t>
        </is>
      </c>
      <c r="D372" s="4" t="inlineStr">
        <is>
          <t>SPECIALE</t>
        </is>
      </c>
      <c r="E372" s="4" t="inlineStr">
        <is>
          <t>MECCANICHE SPECIALI</t>
        </is>
      </c>
      <c r="F372" s="3" t="inlineStr">
        <is>
          <t>2_CME_TOTALE MECCANICI RADIOFARMACIA PAVIA.PDF</t>
        </is>
      </c>
      <c r="G372" s="4" t="inlineStr">
        <is>
          <t>168/168</t>
        </is>
      </c>
      <c r="H372" s="3" t="inlineStr">
        <is>
          <t>40 - IMPIANTISTICO</t>
        </is>
      </c>
      <c r="I372" s="3" t="inlineStr">
        <is>
          <t>P. TERRA</t>
        </is>
      </c>
      <c r="J372" s="3" t="inlineStr">
        <is>
          <t>IMPIANTO IDRICO E FOGNA</t>
        </is>
      </c>
      <c r="K372" s="3" t="inlineStr">
        <is>
          <t>TUBO IN ACCIAIO SENZA SALDATURA A NORMA UNI EN 10255, ZINCATO A CALDO A NORMA EN 10240-A1 ED AL DM MINISTERO DELLA SALUTE 6/4/2004 N. 174, FILETTATO E CON MANICOTTO, LAVORATO E POSTO IN OPERA (SINO AD</t>
        </is>
      </c>
      <c r="L372"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 SPESSORE 3,2 MM</t>
        </is>
      </c>
      <c r="M372" s="4" t="inlineStr">
        <is>
          <t>M</t>
        </is>
      </c>
      <c r="N372" s="5" t="n">
        <v>5</v>
      </c>
      <c r="O372" s="45" t="n">
        <v>31.42</v>
      </c>
      <c r="P372" s="45" t="n">
        <v>157.1</v>
      </c>
      <c r="Q372" s="5" t="n"/>
      <c r="R372" s="6" t="n"/>
      <c r="S372" s="6">
        <f>IF(AND(Q372&lt;&gt;"",R372&lt;&gt;""),Q372*R372,"")</f>
        <v/>
      </c>
      <c r="T372" s="45">
        <f>IF(S372="",P372,S372)</f>
        <v/>
      </c>
      <c r="U372" s="7" t="n">
        <v>0</v>
      </c>
      <c r="V372" s="6">
        <f>$T372*U372</f>
        <v/>
      </c>
      <c r="W372" s="7" t="n">
        <v>0</v>
      </c>
      <c r="X372" s="6">
        <f>$T372*W372</f>
        <v/>
      </c>
      <c r="Y372" s="7" t="n">
        <v>0</v>
      </c>
      <c r="Z372" s="6">
        <f>$T372*Y372</f>
        <v/>
      </c>
      <c r="AA372" s="7" t="n">
        <v>0</v>
      </c>
      <c r="AB372" s="6">
        <f>$T372*AA372</f>
        <v/>
      </c>
      <c r="AC372" s="7" t="n">
        <v>0</v>
      </c>
      <c r="AD372" s="6">
        <f>$T372*AC372</f>
        <v/>
      </c>
      <c r="AE372" s="7" t="n">
        <v>0</v>
      </c>
      <c r="AF372" s="6">
        <f>$T372*AE372</f>
        <v/>
      </c>
      <c r="AG372" s="7" t="n">
        <v>0</v>
      </c>
      <c r="AH372" s="6">
        <f>$T372*AG372</f>
        <v/>
      </c>
      <c r="AI372" s="7">
        <f>U372+W372+Y372+AA372+AC372+AE372+AG372</f>
        <v/>
      </c>
      <c r="AJ372" s="6">
        <f>V372+X372+Z372+AB372+AD372+AF372+AH372</f>
        <v/>
      </c>
    </row>
    <row r="373" hidden="1" ht="60" customHeight="1" s="46">
      <c r="A373" s="3" t="inlineStr">
        <is>
          <t>LOM251.OC.EEA.PA02.I1500.E0011.0005</t>
        </is>
      </c>
      <c r="B373" s="4" t="inlineStr">
        <is>
          <t>2/2</t>
        </is>
      </c>
      <c r="C373" s="3" t="inlineStr">
        <is>
          <t>IMPIANTO MECCANICO</t>
        </is>
      </c>
      <c r="D373" s="4" t="inlineStr">
        <is>
          <t>SPECIALE</t>
        </is>
      </c>
      <c r="E373" s="4" t="inlineStr">
        <is>
          <t>MECCANICHE SPECIALI</t>
        </is>
      </c>
      <c r="F373" s="3" t="inlineStr">
        <is>
          <t>2_CME_TOTALE MECCANICI RADIOFARMACIA PAVIA.PDF</t>
        </is>
      </c>
      <c r="G373" s="4" t="inlineStr">
        <is>
          <t>169/169</t>
        </is>
      </c>
      <c r="H373" s="3" t="inlineStr">
        <is>
          <t>40 - IMPIANTISTICO</t>
        </is>
      </c>
      <c r="I373" s="3" t="inlineStr">
        <is>
          <t>P. TERRA</t>
        </is>
      </c>
      <c r="J373" s="3" t="inlineStr">
        <is>
          <t>IMPIANTO IDRICO E FOGNA</t>
        </is>
      </c>
      <c r="K373" s="3" t="inlineStr">
        <is>
          <t>OPERA: LASTRA DI GOMMA ELASTOMERICA ESPANSA A CELLULE CHIUSE; FUNZIONE: COIBENTAZIONE; IMPIEGO: CONDOTTO; SPESSORE [MM] = 19; RESISTENZA ALLA FIAMMA [CLASSE] = 1; FATTORE DI PERMEABILITÀ (Μ) MINIMO [-</t>
        </is>
      </c>
      <c r="L373" s="3" t="inlineStr">
        <is>
          <t>OPERA: LASTRA DI GOMMA ELASTOMERICA ESPANSA A CELLULE CHIUSE; FUNZIONE: COIBENTAZIONE; IMPIEGO: CONDOTTO; SPESSORE [MM] = 19; RESISTENZA ALLA FIAMMA [CLASSE] = 1; FATTORE DI PERMEABILITÀ (Μ) MINIMO [-] = 4000. 
LAVORO: POSA. 
SPECIFICHE TECNICHE: LASTRA INCOLLATA; GOMMA ELASTOMERICA ESPANSA A CELLULE CHIUSE SENZA ALOGENI NÉ PVC. OP LASTRA DI GOMMA ELASTOMERICA ESPANSA A CELLULE CHIUSE; FUNZIONE: COIBENTAZIONE; IMPIEGO: CONDOTTO; SPESSORE [MM] = 19; RESISTENZA ALLA FIAMMA [CLASSE] = 1; FATTORE DI PERMEABILITÀ (Μ) MINIMO [-] = 4000. 
SPECIFICHE TECNICHE: LASTRA INCOLLATA; GOMMA ELASTOMERICA ESPANSA A CELLULE CHIUSE SENZA ALOGENI NÉ PVC. 
RM LASTRA DI GOMMA ESPANSA A CELLULE CHIUSE; FUNZIONE: COIBENTAZIONE; IMPIEGO: CONDOTTO; SPESSORE [MM] = 19; RESISTENZA ALLA FIAMMA [CLASSE] = 1; FATTORE DI PERMEABILITÀ (Μ) MINIMO [-] = 4000 
SPECIFICHE TECNICHE: LASTRA INCOLLATA; GOMMA ELASTOMERICA ESPANSA A CELLULE CHIUSE SENZA ALOGENI NÉ PVC 
LV POSA.</t>
        </is>
      </c>
      <c r="M373" s="4" t="inlineStr">
        <is>
          <t>M²</t>
        </is>
      </c>
      <c r="N373" s="5" t="n">
        <v>6</v>
      </c>
      <c r="O373" s="45" t="n">
        <v>8.98</v>
      </c>
      <c r="P373" s="45" t="n">
        <v>53.88</v>
      </c>
      <c r="Q373" s="5" t="n"/>
      <c r="R373" s="6" t="n"/>
      <c r="S373" s="6">
        <f>IF(AND(Q373&lt;&gt;"",R373&lt;&gt;""),Q373*R373,"")</f>
        <v/>
      </c>
      <c r="T373" s="45">
        <f>IF(S373="",P373,S373)</f>
        <v/>
      </c>
      <c r="U373" s="7" t="n">
        <v>0</v>
      </c>
      <c r="V373" s="6">
        <f>$T373*U373</f>
        <v/>
      </c>
      <c r="W373" s="7" t="n">
        <v>0</v>
      </c>
      <c r="X373" s="6">
        <f>$T373*W373</f>
        <v/>
      </c>
      <c r="Y373" s="7" t="n">
        <v>0</v>
      </c>
      <c r="Z373" s="6">
        <f>$T373*Y373</f>
        <v/>
      </c>
      <c r="AA373" s="7" t="n">
        <v>0</v>
      </c>
      <c r="AB373" s="6">
        <f>$T373*AA373</f>
        <v/>
      </c>
      <c r="AC373" s="7" t="n">
        <v>0</v>
      </c>
      <c r="AD373" s="6">
        <f>$T373*AC373</f>
        <v/>
      </c>
      <c r="AE373" s="7" t="n">
        <v>0</v>
      </c>
      <c r="AF373" s="6">
        <f>$T373*AE373</f>
        <v/>
      </c>
      <c r="AG373" s="7" t="n">
        <v>0</v>
      </c>
      <c r="AH373" s="6">
        <f>$T373*AG373</f>
        <v/>
      </c>
      <c r="AI373" s="7">
        <f>U373+W373+Y373+AA373+AC373+AE373+AG373</f>
        <v/>
      </c>
      <c r="AJ373" s="6">
        <f>V373+X373+Z373+AB373+AD373+AF373+AH373</f>
        <v/>
      </c>
    </row>
    <row r="374" hidden="1" ht="60" customHeight="1" s="46">
      <c r="A374" s="3" t="inlineStr">
        <is>
          <t>LOM251.OC.EEA.PA15.I7822.D0010.0750.C</t>
        </is>
      </c>
      <c r="B374" s="4" t="inlineStr">
        <is>
          <t>2/2</t>
        </is>
      </c>
      <c r="C374" s="3" t="inlineStr">
        <is>
          <t>IMPIANTO MECCANICO</t>
        </is>
      </c>
      <c r="D374" s="4" t="inlineStr">
        <is>
          <t>SPECIALE</t>
        </is>
      </c>
      <c r="E374" s="4" t="inlineStr">
        <is>
          <t>MECCANICHE SPECIALI</t>
        </is>
      </c>
      <c r="F374" s="3" t="inlineStr">
        <is>
          <t>2_CME_TOTALE MECCANICI RADIOFARMACIA PAVIA.PDF</t>
        </is>
      </c>
      <c r="G374" s="4" t="inlineStr">
        <is>
          <t>170/170</t>
        </is>
      </c>
      <c r="H374" s="3" t="inlineStr">
        <is>
          <t>40 - IMPIANTISTICO</t>
        </is>
      </c>
      <c r="I374" s="3" t="inlineStr">
        <is>
          <t>P. TERRA</t>
        </is>
      </c>
      <c r="J374" s="3" t="inlineStr">
        <is>
          <t>IMPIANTO IDRICO E FOGNA</t>
        </is>
      </c>
      <c r="K374" s="3" t="inlineStr">
        <is>
          <t xml:space="preserve">OPERA: TUBAZIONE DI SCARICO DI PLASTICA POLIETILENE AD ALTA DENSITÀ (HDPE/PEAD); FUNZIONE: SCARICO; DIAMETRO ESTERNO (Ø) [MM] = 50. </t>
        </is>
      </c>
      <c r="L374" s="3" t="inlineStr">
        <is>
          <t>OPERA: TUBAZIONE DI SCARICO DI PLASTICA POLIETILENE AD ALTA DENSITÀ (HDPE/PEAD); FUNZIONE: SCARICO; DIAMETRO ESTERNO (Ø) [MM] = 50. 
LAVORO: SALDATURA DI TESTA. INCLUSO: OPERAZIONI DI PREPARAZIONE DI ELEMENTI DA SALDARE; NOLO SALDATRICE; CONSUMI. 
SPECIFICHE TECNICHE: PEAD MALLEABILIZZATO. OP TUBAZIONE DI SCARICO DI PLASTICA POLIETILENE AD ALTA DENSITÀ (HDPE/PEAD); FUNZIONE: SCARICO; DIAMETRO ESTERNO (Ø) [MM] = 50. 
SPECIFICHE TECNICHE: PEAD MALLEABILIZZATO. 
RM TUBO DI PLASTICA POLIETILENE (PE); FINITURA: COLORE NERO; GEOMETRIA: MALLEABILIZZATO; FUNZIONE: SCARICO ACQUE; IMPIEGO: IMPIANTO CIVILE | INDUSTRIALE; DIAMETRO ESTERNO (Ø) [MM] = 50 | SPESSORE [MM] = 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374" s="4" t="inlineStr">
        <is>
          <t>M</t>
        </is>
      </c>
      <c r="N374" s="5" t="n">
        <v>6</v>
      </c>
      <c r="O374" s="45" t="n">
        <v>15.42</v>
      </c>
      <c r="P374" s="45" t="n">
        <v>92.52</v>
      </c>
      <c r="Q374" s="5" t="n"/>
      <c r="R374" s="6" t="n"/>
      <c r="S374" s="6">
        <f>IF(AND(Q374&lt;&gt;"",R374&lt;&gt;""),Q374*R374,"")</f>
        <v/>
      </c>
      <c r="T374" s="45">
        <f>IF(S374="",P374,S374)</f>
        <v/>
      </c>
      <c r="U374" s="7" t="n">
        <v>0</v>
      </c>
      <c r="V374" s="6">
        <f>$T374*U374</f>
        <v/>
      </c>
      <c r="W374" s="7" t="n">
        <v>0</v>
      </c>
      <c r="X374" s="6">
        <f>$T374*W374</f>
        <v/>
      </c>
      <c r="Y374" s="7" t="n">
        <v>0</v>
      </c>
      <c r="Z374" s="6">
        <f>$T374*Y374</f>
        <v/>
      </c>
      <c r="AA374" s="7" t="n">
        <v>0</v>
      </c>
      <c r="AB374" s="6">
        <f>$T374*AA374</f>
        <v/>
      </c>
      <c r="AC374" s="7" t="n">
        <v>0</v>
      </c>
      <c r="AD374" s="6">
        <f>$T374*AC374</f>
        <v/>
      </c>
      <c r="AE374" s="7" t="n">
        <v>0</v>
      </c>
      <c r="AF374" s="6">
        <f>$T374*AE374</f>
        <v/>
      </c>
      <c r="AG374" s="7" t="n">
        <v>0</v>
      </c>
      <c r="AH374" s="6">
        <f>$T374*AG374</f>
        <v/>
      </c>
      <c r="AI374" s="7">
        <f>U374+W374+Y374+AA374+AC374+AE374+AG374</f>
        <v/>
      </c>
      <c r="AJ374" s="6">
        <f>V374+X374+Z374+AB374+AD374+AF374+AH374</f>
        <v/>
      </c>
    </row>
    <row r="375" hidden="1" ht="60" customHeight="1" s="46">
      <c r="A375" s="3" t="inlineStr">
        <is>
          <t>LOM251.OC.EEA.PA15.I7822.D0010.0750.E</t>
        </is>
      </c>
      <c r="B375" s="4" t="inlineStr">
        <is>
          <t>3/3</t>
        </is>
      </c>
      <c r="C375" s="3" t="inlineStr">
        <is>
          <t>IMPIANTO MECCANICO</t>
        </is>
      </c>
      <c r="D375" s="4" t="inlineStr">
        <is>
          <t>SPECIALE</t>
        </is>
      </c>
      <c r="E375" s="4" t="inlineStr">
        <is>
          <t>MECCANICHE SPECIALI</t>
        </is>
      </c>
      <c r="F375" s="3" t="inlineStr">
        <is>
          <t>2_CME_TOTALE MECCANICI RADIOFARMACIA PAVIA.PDF</t>
        </is>
      </c>
      <c r="G375" s="4" t="inlineStr">
        <is>
          <t>171/171</t>
        </is>
      </c>
      <c r="H375" s="3" t="inlineStr">
        <is>
          <t>40 - IMPIANTISTICO</t>
        </is>
      </c>
      <c r="I375" s="3" t="inlineStr">
        <is>
          <t>P. TERRA</t>
        </is>
      </c>
      <c r="J375" s="3" t="inlineStr">
        <is>
          <t>IMPIANTO IDRICO E FOGNA</t>
        </is>
      </c>
      <c r="K375" s="3" t="inlineStr">
        <is>
          <t xml:space="preserve">OPERA: TUBAZIONE DI SCARICO DI PLASTICA POLIETILENE AD ALTA DENSITÀ (HDPE/PEAD); FUNZIONE: SCARICO; DIAMETRO ESTERNO (Ø) [MM] = 63. </t>
        </is>
      </c>
      <c r="L375" s="3" t="inlineStr">
        <is>
          <t>OPERA: TUBAZIONE DI SCARICO DI PLASTICA POLIETILENE AD ALTA DENSITÀ (HDPE/PEAD); FUNZIONE: SCARICO; DIAMETRO ESTERNO (Ø) [MM] = 63. 
LAVORO: SALDATURA DI TESTA. INCLUSO: OPERAZIONI DI PREPARAZIONE DI ELEMENTI DA SALDARE; NOLO SALDATRICE; CONSUMI. 
SPECIFICHE TECNICHE: PEAD MALLEABILIZZATO. OP TUBAZIONE DI SCARICO DI PLASTICA POLIETILENE AD ALTA DENSITÀ (HDPE/PEAD); FUNZIONE: SCARICO; DIAMETRO ESTERNO (Ø) [MM] = 63. 
SPECIFICHE TECNICHE: PEAD MALLEABILIZZATO. 
RM TUBO DI PLASTICA POLIETILENE (PE); FINITURA: COLORE NERO; GEOMETRIA: MALLEABILIZZATO; FUNZIONE: SCARICO ACQUE; IMPIEGO: IMPIANTO CIVILE | INDUSTRIALE; DIAMETRO ESTERNO (Ø) [MM] = 63 | SPESSORE [MM] = 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375" s="4" t="inlineStr">
        <is>
          <t>M</t>
        </is>
      </c>
      <c r="N375" s="5" t="n">
        <v>6</v>
      </c>
      <c r="O375" s="45" t="n">
        <v>22.23</v>
      </c>
      <c r="P375" s="45" t="n">
        <v>133.38</v>
      </c>
      <c r="Q375" s="5" t="n"/>
      <c r="R375" s="6" t="n"/>
      <c r="S375" s="6">
        <f>IF(AND(Q375&lt;&gt;"",R375&lt;&gt;""),Q375*R375,"")</f>
        <v/>
      </c>
      <c r="T375" s="45">
        <f>IF(S375="",P375,S375)</f>
        <v/>
      </c>
      <c r="U375" s="7" t="n">
        <v>0</v>
      </c>
      <c r="V375" s="6">
        <f>$T375*U375</f>
        <v/>
      </c>
      <c r="W375" s="7" t="n">
        <v>0</v>
      </c>
      <c r="X375" s="6">
        <f>$T375*W375</f>
        <v/>
      </c>
      <c r="Y375" s="7" t="n">
        <v>0</v>
      </c>
      <c r="Z375" s="6">
        <f>$T375*Y375</f>
        <v/>
      </c>
      <c r="AA375" s="7" t="n">
        <v>0</v>
      </c>
      <c r="AB375" s="6">
        <f>$T375*AA375</f>
        <v/>
      </c>
      <c r="AC375" s="7" t="n">
        <v>0</v>
      </c>
      <c r="AD375" s="6">
        <f>$T375*AC375</f>
        <v/>
      </c>
      <c r="AE375" s="7" t="n">
        <v>0</v>
      </c>
      <c r="AF375" s="6">
        <f>$T375*AE375</f>
        <v/>
      </c>
      <c r="AG375" s="7" t="n">
        <v>0</v>
      </c>
      <c r="AH375" s="6">
        <f>$T375*AG375</f>
        <v/>
      </c>
      <c r="AI375" s="7">
        <f>U375+W375+Y375+AA375+AC375+AE375+AG375</f>
        <v/>
      </c>
      <c r="AJ375" s="6">
        <f>V375+X375+Z375+AB375+AD375+AF375+AH375</f>
        <v/>
      </c>
    </row>
    <row r="376" hidden="1" ht="60" customHeight="1" s="46">
      <c r="A376" s="3" t="inlineStr">
        <is>
          <t>LOM251.OC.EEA.PA15.I7822.D0010.0750.H</t>
        </is>
      </c>
      <c r="B376" s="4" t="inlineStr">
        <is>
          <t>3/3</t>
        </is>
      </c>
      <c r="C376" s="3" t="inlineStr">
        <is>
          <t>IMPIANTO MECCANICO</t>
        </is>
      </c>
      <c r="D376" s="4" t="inlineStr">
        <is>
          <t>SPECIALE</t>
        </is>
      </c>
      <c r="E376" s="4" t="inlineStr">
        <is>
          <t>MECCANICHE SPECIALI</t>
        </is>
      </c>
      <c r="F376" s="3" t="inlineStr">
        <is>
          <t>2_CME_TOTALE MECCANICI RADIOFARMACIA PAVIA.PDF</t>
        </is>
      </c>
      <c r="G376" s="4" t="inlineStr">
        <is>
          <t>172/172</t>
        </is>
      </c>
      <c r="H376" s="3" t="inlineStr">
        <is>
          <t>40 - IMPIANTISTICO</t>
        </is>
      </c>
      <c r="I376" s="3" t="inlineStr">
        <is>
          <t>P. TERRA</t>
        </is>
      </c>
      <c r="J376" s="3" t="inlineStr">
        <is>
          <t>IMPIANTO IDRICO E FOGNA</t>
        </is>
      </c>
      <c r="K376" s="3" t="inlineStr">
        <is>
          <t xml:space="preserve">OPERA: TUBAZIONE DI SCARICO DI PLASTICA POLIETILENE AD ALTA DENSITÀ (HDPE/PEAD); FUNZIONE: SCARICO; DIAMETRO ESTERNO (Ø) [MM] = 110. </t>
        </is>
      </c>
      <c r="L376" s="3" t="inlineStr">
        <is>
          <t>OPERA: TUBAZIONE DI SCARICO DI PLASTICA POLIETILENE AD ALTA DENSITÀ (HDPE/PEAD); FUNZIONE: SCARICO; DIAMETRO ESTERNO (Ø) [MM] = 110. 
LAVORO: SALDATURA DI TESTA. INCLUSO: OPERAZIONI DI PREPARAZIONE DI ELEMENTI DA SALDARE; NOLO SALDATRICE; CONSUMI. 
SPECIFICHE TECNICHE: PEAD MALLEABILIZZATO. OP TUBAZIONE DI SCARICO DI PLASTICA POLIETILENE AD ALTA DENSITÀ (HDPE/PEAD); FUNZIONE: SCARICO; DIAMETRO ESTERNO (Ø) [MM] = 110. 
SPECIFICHE TECNICHE: PEAD MALLEABILIZZATO. 
RM TUBO DI PLASTICA POLIETILENE (PE); FINITURA: COLORE NERO; GEOMETRIA: MALLEABILIZZATO; FUNZIONE: SCARICO ACQUE; IMPIEGO: IMPIANTO CIVILE | INDUSTRIALE; DIAMETRO ESTERNO (Ø) [MM] = 110 | SPESSORE [MM] = 4,3.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376" s="4" t="inlineStr">
        <is>
          <t>M</t>
        </is>
      </c>
      <c r="N376" s="5" t="n">
        <v>6</v>
      </c>
      <c r="O376" s="45" t="n">
        <v>39.73</v>
      </c>
      <c r="P376" s="45" t="n">
        <v>238.38</v>
      </c>
      <c r="Q376" s="5" t="n"/>
      <c r="R376" s="6" t="n"/>
      <c r="S376" s="6">
        <f>IF(AND(Q376&lt;&gt;"",R376&lt;&gt;""),Q376*R376,"")</f>
        <v/>
      </c>
      <c r="T376" s="45">
        <f>IF(S376="",P376,S376)</f>
        <v/>
      </c>
      <c r="U376" s="7" t="n">
        <v>0</v>
      </c>
      <c r="V376" s="6">
        <f>$T376*U376</f>
        <v/>
      </c>
      <c r="W376" s="7" t="n">
        <v>0</v>
      </c>
      <c r="X376" s="6">
        <f>$T376*W376</f>
        <v/>
      </c>
      <c r="Y376" s="7" t="n">
        <v>0</v>
      </c>
      <c r="Z376" s="6">
        <f>$T376*Y376</f>
        <v/>
      </c>
      <c r="AA376" s="7" t="n">
        <v>0</v>
      </c>
      <c r="AB376" s="6">
        <f>$T376*AA376</f>
        <v/>
      </c>
      <c r="AC376" s="7" t="n">
        <v>0</v>
      </c>
      <c r="AD376" s="6">
        <f>$T376*AC376</f>
        <v/>
      </c>
      <c r="AE376" s="7" t="n">
        <v>0</v>
      </c>
      <c r="AF376" s="6">
        <f>$T376*AE376</f>
        <v/>
      </c>
      <c r="AG376" s="7" t="n">
        <v>0</v>
      </c>
      <c r="AH376" s="6">
        <f>$T376*AG376</f>
        <v/>
      </c>
      <c r="AI376" s="7">
        <f>U376+W376+Y376+AA376+AC376+AE376+AG376</f>
        <v/>
      </c>
      <c r="AJ376" s="6">
        <f>V376+X376+Z376+AB376+AD376+AF376+AH376</f>
        <v/>
      </c>
    </row>
    <row r="377" hidden="1" ht="60" customHeight="1" s="46">
      <c r="A377" s="3" t="inlineStr">
        <is>
          <t>LOM251.OC.EEA.PA15.I7822.D0010.0750.I</t>
        </is>
      </c>
      <c r="B377" s="4" t="inlineStr">
        <is>
          <t>3/3</t>
        </is>
      </c>
      <c r="C377" s="3" t="inlineStr">
        <is>
          <t>IMPIANTO MECCANICO</t>
        </is>
      </c>
      <c r="D377" s="4" t="inlineStr">
        <is>
          <t>SPECIALE</t>
        </is>
      </c>
      <c r="E377" s="4" t="inlineStr">
        <is>
          <t>MECCANICHE SPECIALI</t>
        </is>
      </c>
      <c r="F377" s="3" t="inlineStr">
        <is>
          <t>2_CME_TOTALE MECCANICI RADIOFARMACIA PAVIA.PDF</t>
        </is>
      </c>
      <c r="G377" s="4" t="inlineStr">
        <is>
          <t>173/173</t>
        </is>
      </c>
      <c r="H377" s="3" t="inlineStr">
        <is>
          <t>40 - IMPIANTISTICO</t>
        </is>
      </c>
      <c r="I377" s="3" t="inlineStr">
        <is>
          <t>P. TERRA</t>
        </is>
      </c>
      <c r="J377" s="3" t="inlineStr">
        <is>
          <t>IMPIANTO IDRICO E FOGNA</t>
        </is>
      </c>
      <c r="K377" s="3" t="inlineStr">
        <is>
          <t xml:space="preserve">OPERA: TUBAZIONE DI SCARICO DI PLASTICA POLIETILENE AD ALTA DENSITÀ (HDPE/PEAD); FUNZIONE: SCARICO; DIAMETRO ESTERNO (Ø) [MM] = 125. </t>
        </is>
      </c>
      <c r="L377" s="3" t="inlineStr">
        <is>
          <t>OPERA: TUBAZIONE DI SCARICO DI PLASTICA POLIETILENE AD ALTA DENSITÀ (HDPE/PEAD); FUNZIONE: SCARICO; DIAMETRO ESTERNO (Ø) [MM] = 125. 
LAVORO: SALDATURA DI TESTA. INCLUSO: OPERAZIONI DI PREPARAZIONE DI ELEMENTI DA SALDARE; NOLO SALDATRICE; CONSUMI. 
SPECIFICHE TECNICHE: PEAD MALLEABILIZZATO. OP TUBAZIONE DI SCARICO DI PLASTICA POLIETILENE AD ALTA DENSITÀ (HDPE/PEAD); FUNZIONE: SCARICO; DIAMETRO ESTERNO (Ø) [MM] = 125. 
SPECIFICHE TECNICHE: PEAD MALLEABILIZZATO. 
RM TUBO DI PLASTICA POLIETILENE (PE); FINITURA: COLORE NERO; GEOMETRIA: MALLEABILIZZATO; FUNZIONE: SCARICO ACQUE; IMPIEGO: IMPIANTO CIVILE | INDUSTRIALE; DIAMETRO ESTERNO (Ø) [MM] = 125 | SPESSORE [MM] = 4,9. ESCLUSO: RACCORDI 
SPECIFICHE TECNICHE: DA GIUNTARE CON: SALDATURA DI TESTA, MANICOTTO ELETTRICO O MANICOTTO DI DILATAZIONE 
LV SALDATURA DI TESTA. INCLUSO: OPERAZIONI DI PREPARAZIONE DI ELEMENTI DA SALDARE; NOLO SALDATRICE; CONSUMI. 
RP SALDATRICE TESTA-TESTA; DIAMETRO OPERATIVO [MM] = 75 ÷ 250. INCLUSO: ACCESSORI (ES. FRESA SPIANATRICE, TERMOELEMENTO, CENTRALINA, TERMOSTATO, ANELLI DI RIDUZIONE). DA CONTEGGIARE A PARTE: SPESE DI ESERCIZIO (RP.01.20.00.1020.B)</t>
        </is>
      </c>
      <c r="M377" s="4" t="inlineStr">
        <is>
          <t>M</t>
        </is>
      </c>
      <c r="N377" s="5" t="n">
        <v>4</v>
      </c>
      <c r="O377" s="45" t="n">
        <v>53.36</v>
      </c>
      <c r="P377" s="45" t="n">
        <v>213.44</v>
      </c>
      <c r="Q377" s="5" t="n"/>
      <c r="R377" s="6" t="n"/>
      <c r="S377" s="6">
        <f>IF(AND(Q377&lt;&gt;"",R377&lt;&gt;""),Q377*R377,"")</f>
        <v/>
      </c>
      <c r="T377" s="45">
        <f>IF(S377="",P377,S377)</f>
        <v/>
      </c>
      <c r="U377" s="7" t="n">
        <v>0</v>
      </c>
      <c r="V377" s="6">
        <f>$T377*U377</f>
        <v/>
      </c>
      <c r="W377" s="7" t="n">
        <v>0</v>
      </c>
      <c r="X377" s="6">
        <f>$T377*W377</f>
        <v/>
      </c>
      <c r="Y377" s="7" t="n">
        <v>0</v>
      </c>
      <c r="Z377" s="6">
        <f>$T377*Y377</f>
        <v/>
      </c>
      <c r="AA377" s="7" t="n">
        <v>0</v>
      </c>
      <c r="AB377" s="6">
        <f>$T377*AA377</f>
        <v/>
      </c>
      <c r="AC377" s="7" t="n">
        <v>0</v>
      </c>
      <c r="AD377" s="6">
        <f>$T377*AC377</f>
        <v/>
      </c>
      <c r="AE377" s="7" t="n">
        <v>0</v>
      </c>
      <c r="AF377" s="6">
        <f>$T377*AE377</f>
        <v/>
      </c>
      <c r="AG377" s="7" t="n">
        <v>0</v>
      </c>
      <c r="AH377" s="6">
        <f>$T377*AG377</f>
        <v/>
      </c>
      <c r="AI377" s="7">
        <f>U377+W377+Y377+AA377+AC377+AE377+AG377</f>
        <v/>
      </c>
      <c r="AJ377" s="6">
        <f>V377+X377+Z377+AB377+AD377+AF377+AH377</f>
        <v/>
      </c>
    </row>
    <row r="378" hidden="1" ht="60" customHeight="1" s="46">
      <c r="A378" s="3" t="inlineStr">
        <is>
          <t>LOM251.OC.EEA.PA15.I7822.D0010.0750.J</t>
        </is>
      </c>
      <c r="B378" s="4" t="inlineStr">
        <is>
          <t>2/2</t>
        </is>
      </c>
      <c r="C378" s="3" t="inlineStr">
        <is>
          <t>IMPIANTO MECCANICO</t>
        </is>
      </c>
      <c r="D378" s="4" t="inlineStr">
        <is>
          <t>SPECIALE</t>
        </is>
      </c>
      <c r="E378" s="4" t="inlineStr">
        <is>
          <t>MECCANICHE SPECIALI</t>
        </is>
      </c>
      <c r="F378" s="3" t="inlineStr">
        <is>
          <t>2_CME_TOTALE MECCANICI RADIOFARMACIA PAVIA.PDF</t>
        </is>
      </c>
      <c r="G378" s="4" t="inlineStr">
        <is>
          <t>174/174</t>
        </is>
      </c>
      <c r="H378" s="3" t="inlineStr">
        <is>
          <t>40 - IMPIANTISTICO</t>
        </is>
      </c>
      <c r="I378" s="3" t="inlineStr">
        <is>
          <t>P. TERRA</t>
        </is>
      </c>
      <c r="J378" s="3" t="inlineStr">
        <is>
          <t>IMPIANTO IDRICO E FOGNA</t>
        </is>
      </c>
      <c r="K378" s="3" t="inlineStr">
        <is>
          <t xml:space="preserve">OPERA: TUBAZIONE DI SCARICO DI PLASTICA POLIETILENE AD ALTA DENSITÀ (HDPE/PEAD); FUNZIONE: SCARICO; DIAMETRO ESTERNO (Ø) [MM] = 160. </t>
        </is>
      </c>
      <c r="L378" s="3" t="inlineStr">
        <is>
          <t>OPERA: TUBAZIONE DI SCARICO DI PLASTICA POLIETILENE AD ALTA DENSITÀ (HDPE/PEAD); FUNZIONE: SCARICO; DIAMETRO ESTERNO (Ø) [MM] = 160. 
LAVORO: SALDATURA DI TESTA. INCLUSO: OPERAZIONI DI PREPARAZIONE DI ELEMENTI DA SALDARE; NOLO SALDATRICE; CONSUMI. 
SPECIFICHE TECNICHE: PEAD MALLEABILIZZATO. OP TUBAZIONE DI SCARICO DI PLASTICA POLIETILENE AD ALTA DENSITÀ (HDPE/PEAD); FUNZIONE: SCARICO; DIAMETRO ESTERNO (Ø) [MM] = 160. 
SPECIFICHE TECNICHE: PEAD MALLEABILIZZATO. 
RM TUBO DI PLASTICA POLIETILENE (PE); FINITURA: COLORE NERO; GEOMETRIA: MALLEABILIZZATO; FUNZIONE: SCARICO ACQUE; IMPIEGO: IMPIANTO CIVILE | INDUSTRIALE; DIAMETRO ESTERNO (Ø) [MM] = 160 | SPESSORE [MM] = 6,2. ESCLUSO: RACCORDI 
SPECIFICHE TECNICHE: DA GIUNTARE CON: SALDATURA DI TESTA, MANICOTTO ELETTRICO O MANICOTTO DI DILATAZIONE 
LV SALDATURA DI TESTA. INCLUSO: OPERAZIONI DI PREPARAZIONE DI ELEMENTI DA SALDARE; NOLO SALDATRICE; CONSUMI. 
RP SALDATRICE TESTA-TESTA; DIAMETRO OPERATIVO [MM] = 75 ÷ 250. INCLUSO: ACCESSORI (ES. FRESA SPIANATRICE, TERMOELEMENTO, CENTRALINA, TERMOSTATO, ANELLI DI RIDUZIONE). DA CONTEGGIARE A PARTE: SPESE DI ESERCIZIO (RP.01.20.00.1020.B)</t>
        </is>
      </c>
      <c r="M378" s="4" t="inlineStr">
        <is>
          <t>M</t>
        </is>
      </c>
      <c r="N378" s="5" t="n">
        <v>2</v>
      </c>
      <c r="O378" s="45" t="n">
        <v>63.45</v>
      </c>
      <c r="P378" s="45" t="n">
        <v>126.9</v>
      </c>
      <c r="Q378" s="5" t="n"/>
      <c r="R378" s="6" t="n"/>
      <c r="S378" s="6">
        <f>IF(AND(Q378&lt;&gt;"",R378&lt;&gt;""),Q378*R378,"")</f>
        <v/>
      </c>
      <c r="T378" s="45">
        <f>IF(S378="",P378,S378)</f>
        <v/>
      </c>
      <c r="U378" s="7" t="n">
        <v>0</v>
      </c>
      <c r="V378" s="6">
        <f>$T378*U378</f>
        <v/>
      </c>
      <c r="W378" s="7" t="n">
        <v>0</v>
      </c>
      <c r="X378" s="6">
        <f>$T378*W378</f>
        <v/>
      </c>
      <c r="Y378" s="7" t="n">
        <v>0</v>
      </c>
      <c r="Z378" s="6">
        <f>$T378*Y378</f>
        <v/>
      </c>
      <c r="AA378" s="7" t="n">
        <v>0</v>
      </c>
      <c r="AB378" s="6">
        <f>$T378*AA378</f>
        <v/>
      </c>
      <c r="AC378" s="7" t="n">
        <v>0</v>
      </c>
      <c r="AD378" s="6">
        <f>$T378*AC378</f>
        <v/>
      </c>
      <c r="AE378" s="7" t="n">
        <v>0</v>
      </c>
      <c r="AF378" s="6">
        <f>$T378*AE378</f>
        <v/>
      </c>
      <c r="AG378" s="7" t="n">
        <v>0</v>
      </c>
      <c r="AH378" s="6">
        <f>$T378*AG378</f>
        <v/>
      </c>
      <c r="AI378" s="7">
        <f>U378+W378+Y378+AA378+AC378+AE378+AG378</f>
        <v/>
      </c>
      <c r="AJ378" s="6">
        <f>V378+X378+Z378+AB378+AD378+AF378+AH378</f>
        <v/>
      </c>
    </row>
    <row r="379" ht="60" customHeight="1" s="46">
      <c r="A379" s="3" t="inlineStr">
        <is>
          <t>NP.IM.05</t>
        </is>
      </c>
      <c r="B379" s="4" t="inlineStr">
        <is>
          <t>1/1</t>
        </is>
      </c>
      <c r="C379" s="3" t="inlineStr">
        <is>
          <t>IMPIANTO MECCANICO</t>
        </is>
      </c>
      <c r="D379" s="4" t="inlineStr">
        <is>
          <t>SPECIALE</t>
        </is>
      </c>
      <c r="E379" s="4" t="inlineStr">
        <is>
          <t>MECCANICHE SPECIALI</t>
        </is>
      </c>
      <c r="F379" s="3" t="inlineStr">
        <is>
          <t>2_CME_TOTALE MECCANICI RADIOFARMACIA PAVIA.PDF</t>
        </is>
      </c>
      <c r="G379" s="4" t="inlineStr">
        <is>
          <t>175/175</t>
        </is>
      </c>
      <c r="H379" s="3" t="inlineStr">
        <is>
          <t>40 - IMPIANTISTICO</t>
        </is>
      </c>
      <c r="I379" s="3" t="inlineStr">
        <is>
          <t>MATERIALE IN CAMPO</t>
        </is>
      </c>
      <c r="J379" s="3" t="inlineStr">
        <is>
          <t>MATERIALE IN CAMPO</t>
        </is>
      </c>
      <c r="K379" s="3" t="inlineStr">
        <is>
          <t>FORNITURA E POSA IN OPERA DI SISTEMA DI MATERIALE IN CAMPO PER LA TERMOREGOLAZIONE DEGLI IMPIANTI  HVAC E IDRICO SANITARIO, COMPLETO DI SONDE, VALVOLE, SERVOCOMANDI, TERMOSTATI PER LA GESTIONE DELLA C</t>
        </is>
      </c>
      <c r="L379" s="3" t="inlineStr">
        <is>
          <t>FORNITURA E POSA IN OPERA DI SISTEMA DI MATERIALE IN CAMPO PER LA TERMOREGOLAZIONE DEGLI IMPIANTI  HVAC E IDRICO SANITARIO, COMPLETO DI SONDE, VALVOLE, SERVOCOMANDI, TERMOSTATI PER LA GESTIONE DELLA CENTRALE TERMOFRIGO, CLIMATIZZAZIONE UFFICI, REGOLATORI DI PORTATA, ECC...</t>
        </is>
      </c>
      <c r="M379" s="4" t="inlineStr">
        <is>
          <t>A CORPO</t>
        </is>
      </c>
      <c r="N379" s="5" t="n">
        <v>1</v>
      </c>
      <c r="O379" s="45" t="n">
        <v>101056.03</v>
      </c>
      <c r="P379" s="45" t="n">
        <v>101056.03</v>
      </c>
      <c r="Q379" s="5" t="n"/>
      <c r="R379" s="6" t="n"/>
      <c r="S379" s="6">
        <f>IF(AND(Q379&lt;&gt;"",R379&lt;&gt;""),Q379*R379,"")</f>
        <v/>
      </c>
      <c r="T379" s="45">
        <f>IF(S379="",P379,S379)</f>
        <v/>
      </c>
      <c r="U379" s="7" t="n">
        <v>0</v>
      </c>
      <c r="V379" s="6">
        <f>$T379*U379</f>
        <v/>
      </c>
      <c r="W379" s="7" t="n">
        <v>0.5</v>
      </c>
      <c r="X379" s="6">
        <f>$T379*W379</f>
        <v/>
      </c>
      <c r="Y379" s="7" t="n">
        <v>0</v>
      </c>
      <c r="Z379" s="6">
        <f>$T379*Y379</f>
        <v/>
      </c>
      <c r="AA379" s="7" t="n">
        <v>0</v>
      </c>
      <c r="AB379" s="6">
        <f>$T379*AA379</f>
        <v/>
      </c>
      <c r="AC379" s="7" t="n">
        <v>0</v>
      </c>
      <c r="AD379" s="6">
        <f>$T379*AC379</f>
        <v/>
      </c>
      <c r="AE379" s="7" t="n">
        <v>0</v>
      </c>
      <c r="AF379" s="6">
        <f>$T379*AE379</f>
        <v/>
      </c>
      <c r="AG379" s="7" t="n">
        <v>0</v>
      </c>
      <c r="AH379" s="6">
        <f>$T379*AG379</f>
        <v/>
      </c>
      <c r="AI379" s="7">
        <f>U379+W379+Y379+AA379+AC379+AE379+AG379</f>
        <v/>
      </c>
      <c r="AJ379" s="6">
        <f>V379+X379+Z379+AB379+AD379+AF379+AH379</f>
        <v/>
      </c>
    </row>
    <row r="380" ht="60" customHeight="1" s="46">
      <c r="A380" s="3" t="inlineStr">
        <is>
          <t>LOM251.OC.EEA.PA01.F6010.ZA001.0050</t>
        </is>
      </c>
      <c r="B380" s="4" t="inlineStr">
        <is>
          <t>1/1</t>
        </is>
      </c>
      <c r="C380" s="3" t="inlineStr">
        <is>
          <t>IMPIANTO MECCANICO</t>
        </is>
      </c>
      <c r="D380" s="4" t="inlineStr">
        <is>
          <t>SPECIALE</t>
        </is>
      </c>
      <c r="E380" s="4" t="inlineStr">
        <is>
          <t>MECCANICHE SPECIALI</t>
        </is>
      </c>
      <c r="F380" s="3" t="inlineStr">
        <is>
          <t>2_CME_TOTALE MECCANICI RADIOFARMACIA PAVIA.PDF</t>
        </is>
      </c>
      <c r="G380" s="4" t="inlineStr">
        <is>
          <t>1/1</t>
        </is>
      </c>
      <c r="H380" s="3" t="inlineStr">
        <is>
          <t>50 - INSTALLAZIONE</t>
        </is>
      </c>
      <c r="I380" s="3" t="inlineStr">
        <is>
          <t>CENTRALE</t>
        </is>
      </c>
      <c r="J380" s="3" t="inlineStr">
        <is>
          <t>IMPIANTO HVAC</t>
        </is>
      </c>
      <c r="K380" s="3" t="inlineStr">
        <is>
          <t>OPERA: GRUPPO IDRONICO; FUNZIONE: PRODUZIONE ACQUA REFRIGERATA; IMPIEGO: REFRIGERATORE CONDENSATO AD ARIA; POTENZA FRIGORIFERA [KW] = 107 ÷ 124; N° MINIMO COMPRESSORI [-] = 2. INCLUSO: POMPE DI CIRCOL</t>
        </is>
      </c>
      <c r="L380" s="3" t="inlineStr">
        <is>
          <t>OPERA: GRUPPO IDRONICO; FUNZIONE: PRODUZIONE ACQUA REFRIGERATA; IMPIEGO: REFRIGERATORE CONDENSATO AD ARIA; POTENZA FRIGORIFERA [KW] = 107 ÷ 124; N° MINIMO COMPRESSORI [-] = 2. INCLUSO: POMPE DI CIRCOLAZIONE; VASO D'ESPANSIONE; SERBATOIO D'ACCUMULO; GRUPPO DI RIEMPIMENTO; VALVOLAME; CIRCUITAZIONI MECCANICHE; INTEGRAZIONI A SISTEMA DI CONTROLLO E QUADRO ELETTRICO; AMPLIAMENTO DELLA PANNELLATURA. 
LAVORO: INSTALLAZIONE. 
SPECIFICHE TECNICHE: N° POMPE DI CIRCOLAZIONE = 2 (1 DI RISERVA); POTENZA FRIGORIFERA MISURATA CON TEMPERATURA ACQUA [°C] = 12 ÷ 7 E TEMPERATURA ARIA [°C] = 35. OP GRUPPO IDRONICO; FUNZIONE: PRODUZIONE ACQUA REFRIGERATA; IMPIEGO: REFRIGERATORE CONDENSATO AD ARIA; POTENZA FRIGORIFERA [KW] = 107 ÷ 124; N° MINIMO COMPRESSORI [-] = 2. INCLUSO: POMPE DI CIRCOLAZIONE; VASO D'ESPANSIONE; SERBATOIO D'ACCUMULO; GRUPPO DI RIEMPIMENTO; VALVOLAME; CIRCUITAZIONI MECCANICHE; INTEGRAZIONI A SISTEMA DI CONTROLLO E QUADRO ELETTRICO; AMPLIAMENTO DELLA PANNELLATURA. 
SPECIFICHE TECNICHE: N° POMPE DI CIRCOLAZIONE = 2 (1 DI RISERVA); POTENZA FRIGORIFERA MISURATA CON TEMPERATURA ACQUA [°C] = 12 ÷ 7 E TEMPERATURA ARIA [°C] = 35. 
RM GRUPPO IDRONICO; FUNZIONE: PRODUZIONE ACQUA REFRIGERATA; IMPIEGO: REFRIGERATORE CONDENSATO AD ARIA; POTENZA FRIGORIFERA [KW] = 107 ÷ 124; N° MINIMO COMPRESSORI [-] = 2. INCLUSO: POMPE DI CIRCOLAZIONE; VASO D'ESPANSIONE; SERBATOIO D'ACCUMULO; GRUPPO DI RIEMPIMENTO; VALVOLAME; CIRCUITAZIONI MECCANICHE; INTEGRAZIONI A SISTEMA DI CONTROLLO E QUADRO ELETTRICO; AMPLIAMENTO DELLA PANNELLATURA 
SPECIFICHE TECNICHE: N° POMPE DI CIRCOLAZIONE = 2 (1 DI RISERVA); POTENZA FRIGORIFERA MISURATA CON TEMPERATURA ACQUA [°C] = 12 ÷ 7 E TEMPERATURA ARIA [°C] = 35 
LV INSTALLAZIONE.</t>
        </is>
      </c>
      <c r="M380" s="4" t="inlineStr">
        <is>
          <t>CAD</t>
        </is>
      </c>
      <c r="N380" s="5" t="n">
        <v>1</v>
      </c>
      <c r="O380" s="45" t="n">
        <v>22673.67</v>
      </c>
      <c r="P380" s="45" t="n">
        <v>22673.67</v>
      </c>
      <c r="Q380" s="5" t="n"/>
      <c r="R380" s="6" t="n"/>
      <c r="S380" s="6">
        <f>IF(AND(Q380&lt;&gt;"",R380&lt;&gt;""),Q380*R380,"")</f>
        <v/>
      </c>
      <c r="T380" s="45">
        <f>IF(S380="",P380,S380)</f>
        <v/>
      </c>
      <c r="U380" s="7" t="n">
        <v>0.5</v>
      </c>
      <c r="V380" s="6">
        <f>$T380*U380</f>
        <v/>
      </c>
      <c r="W380" s="7" t="n">
        <v>0.2</v>
      </c>
      <c r="X380" s="6">
        <f>$T380*W380</f>
        <v/>
      </c>
      <c r="Y380" s="7" t="n">
        <v>0</v>
      </c>
      <c r="Z380" s="6">
        <f>$T380*Y380</f>
        <v/>
      </c>
      <c r="AA380" s="7" t="n">
        <v>0</v>
      </c>
      <c r="AB380" s="6">
        <f>$T380*AA380</f>
        <v/>
      </c>
      <c r="AC380" s="7" t="n">
        <v>0</v>
      </c>
      <c r="AD380" s="6">
        <f>$T380*AC380</f>
        <v/>
      </c>
      <c r="AE380" s="7" t="n">
        <v>0</v>
      </c>
      <c r="AF380" s="6">
        <f>$T380*AE380</f>
        <v/>
      </c>
      <c r="AG380" s="7" t="n">
        <v>0</v>
      </c>
      <c r="AH380" s="6">
        <f>$T380*AG380</f>
        <v/>
      </c>
      <c r="AI380" s="7">
        <f>U380+W380+Y380+AA380+AC380+AE380+AG380</f>
        <v/>
      </c>
      <c r="AJ380" s="6">
        <f>V380+X380+Z380+AB380+AD380+AF380+AH380</f>
        <v/>
      </c>
    </row>
    <row r="381" ht="60" customHeight="1" s="46">
      <c r="A381" s="3" t="inlineStr">
        <is>
          <t>NP.IM.01</t>
        </is>
      </c>
      <c r="B381" s="4" t="inlineStr">
        <is>
          <t>2/2</t>
        </is>
      </c>
      <c r="C381" s="3" t="inlineStr">
        <is>
          <t>IMPIANTO MECCANICO</t>
        </is>
      </c>
      <c r="D381" s="4" t="inlineStr">
        <is>
          <t>SPECIALE</t>
        </is>
      </c>
      <c r="E381" s="4" t="inlineStr">
        <is>
          <t>MECCANICHE SPECIALI</t>
        </is>
      </c>
      <c r="F381" s="3" t="inlineStr">
        <is>
          <t>2_CME_TOTALE MECCANICI RADIOFARMACIA PAVIA.PDF</t>
        </is>
      </c>
      <c r="G381" s="4" t="inlineStr">
        <is>
          <t>2/2</t>
        </is>
      </c>
      <c r="H381" s="3" t="inlineStr">
        <is>
          <t>50 - INSTALLAZIONE</t>
        </is>
      </c>
      <c r="I381" s="3" t="inlineStr">
        <is>
          <t>CENTRALE</t>
        </is>
      </c>
      <c r="J381" s="3" t="inlineStr">
        <is>
          <t>IMPIANTO HVAC</t>
        </is>
      </c>
      <c r="K381" s="3" t="inlineStr">
        <is>
          <t xml:space="preserve">FORNITURA E POSA IN OPERA DI POMPS DI CALORE POLIVALENTE CON CONDENSAZIONE AD ARIA, CERTIFICATO EUROVENT, COSTRUITO SECONDO STANDARD DI QUALITÀ ISO 9001, PER INSTALLAZIONE ESTERNA </t>
        </is>
      </c>
      <c r="L381" s="3" t="inlineStr">
        <is>
          <t>FORNITURA E POSA IN OPERA DI POMPS DI CALORE POLIVALENTE CON CONDENSAZIONE AD ARIA, CERTIFICATO EUROVENT, COSTRUITO SECONDO STANDARD DI QUALITÀ ISO 9001, PER INSTALLAZIONE ESTERNA 
CONDIZIONI DI LAVORO: 
ARIA INGRESSO SCAMBIATORE ESTERNO: +35°C -  
ACQUA: +7°/+12°C 
POTENZIALITÀ FRIGORIFERA: 250 KW 
ARIA INGRESSO SCAMBIATORE ESTERNO: +7°C -  
ACQUA: +45°/+40°C 
POTENZIALITÀ TERMICA: 250 KW</t>
        </is>
      </c>
      <c r="M381" s="4" t="inlineStr">
        <is>
          <t>CADAUNO</t>
        </is>
      </c>
      <c r="N381" s="5" t="n">
        <v>0.9</v>
      </c>
      <c r="O381" s="45" t="n">
        <v>95343.27</v>
      </c>
      <c r="P381" s="45" t="n">
        <v>85808.94</v>
      </c>
      <c r="Q381" s="5" t="n"/>
      <c r="R381" s="6" t="n"/>
      <c r="S381" s="6">
        <f>IF(AND(Q381&lt;&gt;"",R381&lt;&gt;""),Q381*R381,"")</f>
        <v/>
      </c>
      <c r="T381" s="45">
        <f>IF(S381="",P381,S381)</f>
        <v/>
      </c>
      <c r="U381" s="7" t="n">
        <v>0.5</v>
      </c>
      <c r="V381" s="6">
        <f>$T381*U381</f>
        <v/>
      </c>
      <c r="W381" s="7" t="n">
        <v>0.2</v>
      </c>
      <c r="X381" s="6">
        <f>$T381*W381</f>
        <v/>
      </c>
      <c r="Y381" s="7" t="n">
        <v>0</v>
      </c>
      <c r="Z381" s="6">
        <f>$T381*Y381</f>
        <v/>
      </c>
      <c r="AA381" s="7" t="n">
        <v>0</v>
      </c>
      <c r="AB381" s="6">
        <f>$T381*AA381</f>
        <v/>
      </c>
      <c r="AC381" s="7" t="n">
        <v>0</v>
      </c>
      <c r="AD381" s="6">
        <f>$T381*AC381</f>
        <v/>
      </c>
      <c r="AE381" s="7" t="n">
        <v>0</v>
      </c>
      <c r="AF381" s="6">
        <f>$T381*AE381</f>
        <v/>
      </c>
      <c r="AG381" s="7" t="n">
        <v>0</v>
      </c>
      <c r="AH381" s="6">
        <f>$T381*AG381</f>
        <v/>
      </c>
      <c r="AI381" s="7">
        <f>U381+W381+Y381+AA381+AC381+AE381+AG381</f>
        <v/>
      </c>
      <c r="AJ381" s="6">
        <f>V381+X381+Z381+AB381+AD381+AF381+AH381</f>
        <v/>
      </c>
    </row>
    <row r="382" ht="54" customHeight="1" s="46">
      <c r="A382" s="3" t="inlineStr">
        <is>
          <t>NP.IM.02</t>
        </is>
      </c>
      <c r="B382" s="4" t="inlineStr">
        <is>
          <t>1/1</t>
        </is>
      </c>
      <c r="C382" s="3" t="inlineStr">
        <is>
          <t>IMPIANTO MECCANICO</t>
        </is>
      </c>
      <c r="D382" s="4" t="inlineStr">
        <is>
          <t>SPECIALE</t>
        </is>
      </c>
      <c r="E382" s="4" t="inlineStr">
        <is>
          <t>MECCANICHE SPECIALI</t>
        </is>
      </c>
      <c r="F382" s="3" t="inlineStr">
        <is>
          <t>2_CME_TOTALE MECCANICI RADIOFARMACIA PAVIA.PDF</t>
        </is>
      </c>
      <c r="G382" s="4" t="inlineStr">
        <is>
          <t>3/3</t>
        </is>
      </c>
      <c r="H382" s="3" t="inlineStr">
        <is>
          <t>50 - INSTALLAZIONE</t>
        </is>
      </c>
      <c r="I382" s="3" t="inlineStr">
        <is>
          <t>CENTRALE</t>
        </is>
      </c>
      <c r="J382" s="3" t="inlineStr">
        <is>
          <t>IMPIANTO HVAC</t>
        </is>
      </c>
      <c r="K382" s="3" t="inlineStr">
        <is>
          <t xml:space="preserve">FORNITURA E POSA IN OPERA DI UNITÀ DI TRATTAMENTO ARIA A SEZIONI COMPONIBILI </t>
        </is>
      </c>
      <c r="L382" s="3" t="inlineStr">
        <is>
          <t>FORNITURA E POSA IN OPERA DI UNITÀ DI TRATTAMENTO ARIA A SEZIONI COMPONIBILI 
PORTATA ARIA MANDATA 14000 MC/H - PREV. UT. 1000 PA 
PORTATA ARIA RIPRESA 14000 MC/H - PREV. UT. 800 PA</t>
        </is>
      </c>
      <c r="M382" s="4" t="inlineStr">
        <is>
          <t>CADAUNO</t>
        </is>
      </c>
      <c r="N382" s="5" t="n">
        <v>1</v>
      </c>
      <c r="O382" s="45" t="n">
        <v>85500.62</v>
      </c>
      <c r="P382" s="45" t="n">
        <v>85500.62</v>
      </c>
      <c r="Q382" s="5" t="n"/>
      <c r="R382" s="6" t="n"/>
      <c r="S382" s="6">
        <f>IF(AND(Q382&lt;&gt;"",R382&lt;&gt;""),Q382*R382,"")</f>
        <v/>
      </c>
      <c r="T382" s="45">
        <f>IF(S382="",P382,S382)</f>
        <v/>
      </c>
      <c r="U382" s="7" t="n">
        <v>0.5</v>
      </c>
      <c r="V382" s="6">
        <f>$T382*U382</f>
        <v/>
      </c>
      <c r="W382" s="7" t="n">
        <v>0.2</v>
      </c>
      <c r="X382" s="6">
        <f>$T382*W382</f>
        <v/>
      </c>
      <c r="Y382" s="7" t="n">
        <v>0</v>
      </c>
      <c r="Z382" s="6">
        <f>$T382*Y382</f>
        <v/>
      </c>
      <c r="AA382" s="7" t="n">
        <v>0</v>
      </c>
      <c r="AB382" s="6">
        <f>$T382*AA382</f>
        <v/>
      </c>
      <c r="AC382" s="7" t="n">
        <v>0</v>
      </c>
      <c r="AD382" s="6">
        <f>$T382*AC382</f>
        <v/>
      </c>
      <c r="AE382" s="7" t="n">
        <v>0</v>
      </c>
      <c r="AF382" s="6">
        <f>$T382*AE382</f>
        <v/>
      </c>
      <c r="AG382" s="7" t="n">
        <v>0</v>
      </c>
      <c r="AH382" s="6">
        <f>$T382*AG382</f>
        <v/>
      </c>
      <c r="AI382" s="7">
        <f>U382+W382+Y382+AA382+AC382+AE382+AG382</f>
        <v/>
      </c>
      <c r="AJ382" s="6">
        <f>V382+X382+Z382+AB382+AD382+AF382+AH382</f>
        <v/>
      </c>
    </row>
    <row r="383" ht="60" customHeight="1" s="46">
      <c r="A383" s="3" t="inlineStr">
        <is>
          <t>DEI_IT_025265A</t>
        </is>
      </c>
      <c r="B383" s="4" t="inlineStr">
        <is>
          <t>1/1</t>
        </is>
      </c>
      <c r="C383" s="3" t="inlineStr">
        <is>
          <t>IMPIANTO MECCANICO</t>
        </is>
      </c>
      <c r="D383" s="4" t="inlineStr">
        <is>
          <t>SPECIALE</t>
        </is>
      </c>
      <c r="E383" s="4" t="inlineStr">
        <is>
          <t>MECCANICHE SPECIALI</t>
        </is>
      </c>
      <c r="F383" s="3" t="inlineStr">
        <is>
          <t>2_CME_TOTALE MECCANICI RADIOFARMACIA PAVIA.PDF</t>
        </is>
      </c>
      <c r="G383" s="4" t="inlineStr">
        <is>
          <t>4/4</t>
        </is>
      </c>
      <c r="H383" s="3" t="inlineStr">
        <is>
          <t>50 - INSTALLAZIONE</t>
        </is>
      </c>
      <c r="I383" s="3" t="inlineStr">
        <is>
          <t>CENTRALE</t>
        </is>
      </c>
      <c r="J383" s="3" t="inlineStr">
        <is>
          <t>IMPIANTO HVAC</t>
        </is>
      </c>
      <c r="K383" s="3" t="inlineStr">
        <is>
          <t>POMPA DI CIRCOLAZIONE IN-LINE A MOTORE VENTILATO A 4 POLI AD ALTO RENDIMENTO (IE3), ATTACCHI FLANGIATI, CORPO IN GHISA, PER IL CONVOGLIAMENTO DI ACQUA FREDDA E CALDA (TEMPERATURA LIQUIDO -20 °C ÷ +140</t>
        </is>
      </c>
      <c r="L383" s="3" t="inlineStr">
        <is>
          <t>POMPA DI CIRCOLAZIONE IN-LINE A MOTORE VENTILATO A 4 POLI AD ALTO RENDIMENTO (IE3), ATTACCHI FLANGIATI, CORPO IN GHISA, PER IL CONVOGLIAMENTO DI ACQUA FREDDA E CALDA (TEMPERATURA LIQUIDO -20 °C ÷ +140 °C), PN 16, GRADO DI PROTEZIONE IP 55, CLASSE DI ISOLAMENTO F, ALIMENTAZIONE ELETTRICA 230/400 V, Ø ATTACCHI 100 MM, COMPRESI ACCESSORI DI MONTAGGIO, ESCLUSO IL COLLEGAMENTO ELETTRICO: POTENZA ELETTRICA 4 KW</t>
        </is>
      </c>
      <c r="M383" s="4" t="inlineStr">
        <is>
          <t>CAD</t>
        </is>
      </c>
      <c r="N383" s="5" t="n">
        <v>14</v>
      </c>
      <c r="O383" s="45" t="n">
        <v>2383.58</v>
      </c>
      <c r="P383" s="45" t="n">
        <v>33370.12</v>
      </c>
      <c r="Q383" s="5" t="n"/>
      <c r="R383" s="6" t="n"/>
      <c r="S383" s="6">
        <f>IF(AND(Q383&lt;&gt;"",R383&lt;&gt;""),Q383*R383,"")</f>
        <v/>
      </c>
      <c r="T383" s="45">
        <f>IF(S383="",P383,S383)</f>
        <v/>
      </c>
      <c r="U383" s="7" t="n">
        <v>0.5</v>
      </c>
      <c r="V383" s="6">
        <f>$T383*U383</f>
        <v/>
      </c>
      <c r="W383" s="7" t="n">
        <v>0.2</v>
      </c>
      <c r="X383" s="6">
        <f>$T383*W383</f>
        <v/>
      </c>
      <c r="Y383" s="7" t="n">
        <v>0</v>
      </c>
      <c r="Z383" s="6">
        <f>$T383*Y383</f>
        <v/>
      </c>
      <c r="AA383" s="7" t="n">
        <v>0</v>
      </c>
      <c r="AB383" s="6">
        <f>$T383*AA383</f>
        <v/>
      </c>
      <c r="AC383" s="7" t="n">
        <v>0</v>
      </c>
      <c r="AD383" s="6">
        <f>$T383*AC383</f>
        <v/>
      </c>
      <c r="AE383" s="7" t="n">
        <v>0</v>
      </c>
      <c r="AF383" s="6">
        <f>$T383*AE383</f>
        <v/>
      </c>
      <c r="AG383" s="7" t="n">
        <v>0</v>
      </c>
      <c r="AH383" s="6">
        <f>$T383*AG383</f>
        <v/>
      </c>
      <c r="AI383" s="7">
        <f>U383+W383+Y383+AA383+AC383+AE383+AG383</f>
        <v/>
      </c>
      <c r="AJ383" s="6">
        <f>V383+X383+Z383+AB383+AD383+AF383+AH383</f>
        <v/>
      </c>
    </row>
    <row r="384" ht="60" customHeight="1" s="46">
      <c r="A384" s="3" t="inlineStr">
        <is>
          <t>DEI_IT_025264B</t>
        </is>
      </c>
      <c r="B384" s="4" t="inlineStr">
        <is>
          <t>2/2</t>
        </is>
      </c>
      <c r="C384" s="3" t="inlineStr">
        <is>
          <t>IMPIANTO MECCANICO</t>
        </is>
      </c>
      <c r="D384" s="4" t="inlineStr">
        <is>
          <t>SPECIALE</t>
        </is>
      </c>
      <c r="E384" s="4" t="inlineStr">
        <is>
          <t>MECCANICHE SPECIALI</t>
        </is>
      </c>
      <c r="F384" s="3" t="inlineStr">
        <is>
          <t>2_CME_TOTALE MECCANICI RADIOFARMACIA PAVIA.PDF</t>
        </is>
      </c>
      <c r="G384" s="4" t="inlineStr">
        <is>
          <t>5/5</t>
        </is>
      </c>
      <c r="H384" s="3" t="inlineStr">
        <is>
          <t>50 - INSTALLAZIONE</t>
        </is>
      </c>
      <c r="I384" s="3" t="inlineStr">
        <is>
          <t>CENTRALE</t>
        </is>
      </c>
      <c r="J384" s="3" t="inlineStr">
        <is>
          <t>IMPIANTO HVAC</t>
        </is>
      </c>
      <c r="K384" s="3" t="inlineStr">
        <is>
          <t>POMPA DI CIRCOLAZIONE IN-LINE A MOTORE VENTILATO A 4 POLI AD ALTO RENDIMENTO (IE3), ATTACCHI FLANGIATI, CORPO IN GHISA, PER IL CONVOGLIAMENTO DI ACQUA FREDDA E CALDA (TEMPERATURA LIQUIDO -20 °C ÷ +120</t>
        </is>
      </c>
      <c r="L384" s="3" t="inlineStr">
        <is>
          <t>POMPA DI CIRCOLAZIONE IN-LINE A MOTORE VENTILATO A 4 POLI AD ALTO RENDIMENTO (IE3), ATTACCHI FLANGIATI, CORPO IN GHISA, PER IL CONVOGLIAMENTO DI ACQUA FREDDA E CALDA (TEMPERATURA LIQUIDO -20 °C ÷ +120 °C), PN 10, GRADO DI PROTEZIONE IP 55, CLASSE DI ISOLAMENTO F, ALIMENTAZIONE ELETTRICA 230/400 V, COMPRESI ACCESSORI DI MONTAGGIO, ESCLUSO IL COLLEGAMENTO ELETTRICO: POTENZA ELETTRICA 1,1 KW, Ø ATTACCO 80 MM</t>
        </is>
      </c>
      <c r="M384" s="4" t="inlineStr">
        <is>
          <t>CAD</t>
        </is>
      </c>
      <c r="N384" s="5" t="n">
        <v>2</v>
      </c>
      <c r="O384" s="45" t="n">
        <v>2502.17</v>
      </c>
      <c r="P384" s="45" t="n">
        <v>5004.34</v>
      </c>
      <c r="Q384" s="5" t="n"/>
      <c r="R384" s="6" t="n"/>
      <c r="S384" s="6">
        <f>IF(AND(Q384&lt;&gt;"",R384&lt;&gt;""),Q384*R384,"")</f>
        <v/>
      </c>
      <c r="T384" s="45">
        <f>IF(S384="",P384,S384)</f>
        <v/>
      </c>
      <c r="U384" s="7" t="n">
        <v>0.5</v>
      </c>
      <c r="V384" s="6">
        <f>$T384*U384</f>
        <v/>
      </c>
      <c r="W384" s="7" t="n">
        <v>0.2</v>
      </c>
      <c r="X384" s="6">
        <f>$T384*W384</f>
        <v/>
      </c>
      <c r="Y384" s="7" t="n">
        <v>0</v>
      </c>
      <c r="Z384" s="6">
        <f>$T384*Y384</f>
        <v/>
      </c>
      <c r="AA384" s="7" t="n">
        <v>0</v>
      </c>
      <c r="AB384" s="6">
        <f>$T384*AA384</f>
        <v/>
      </c>
      <c r="AC384" s="7" t="n">
        <v>0</v>
      </c>
      <c r="AD384" s="6">
        <f>$T384*AC384</f>
        <v/>
      </c>
      <c r="AE384" s="7" t="n">
        <v>0</v>
      </c>
      <c r="AF384" s="6">
        <f>$T384*AE384</f>
        <v/>
      </c>
      <c r="AG384" s="7" t="n">
        <v>0</v>
      </c>
      <c r="AH384" s="6">
        <f>$T384*AG384</f>
        <v/>
      </c>
      <c r="AI384" s="7">
        <f>U384+W384+Y384+AA384+AC384+AE384+AG384</f>
        <v/>
      </c>
      <c r="AJ384" s="6">
        <f>V384+X384+Z384+AB384+AD384+AF384+AH384</f>
        <v/>
      </c>
    </row>
    <row r="385" ht="60" customHeight="1" s="46">
      <c r="A385" s="3" t="inlineStr">
        <is>
          <t>LOM251.OC.EEA.PA01.I8000.SB038.0055</t>
        </is>
      </c>
      <c r="B385" s="4" t="inlineStr">
        <is>
          <t>2/2</t>
        </is>
      </c>
      <c r="C385" s="3" t="inlineStr">
        <is>
          <t>IMPIANTO MECCANICO</t>
        </is>
      </c>
      <c r="D385" s="4" t="inlineStr">
        <is>
          <t>SPECIALE</t>
        </is>
      </c>
      <c r="E385" s="4" t="inlineStr">
        <is>
          <t>MECCANICHE SPECIALI</t>
        </is>
      </c>
      <c r="F385" s="3" t="inlineStr">
        <is>
          <t>2_CME_TOTALE MECCANICI RADIOFARMACIA PAVIA.PDF</t>
        </is>
      </c>
      <c r="G385" s="4" t="inlineStr">
        <is>
          <t>7/7</t>
        </is>
      </c>
      <c r="H385" s="3" t="inlineStr">
        <is>
          <t>50 - INSTALLAZIONE</t>
        </is>
      </c>
      <c r="I385" s="3" t="inlineStr">
        <is>
          <t>CENTRALE</t>
        </is>
      </c>
      <c r="J385" s="3" t="inlineStr">
        <is>
          <t>IMPIANTO HVAC</t>
        </is>
      </c>
      <c r="K385" s="3" t="inlineStr">
        <is>
          <t>OPERA: SERBATOIO, INERZIALE DI LEGA FERROSA ACCIAIO NERO; FINITURA: VERNICIATO | ANTIRUGGINE; GEOMETRIA: VERTICALE; FUNZIONE: ACCUMULO ACQUA REFRIGERATA; IMPIEGO: CENTRALE IDRICA; PRESSIONE MASSIMA DI</t>
        </is>
      </c>
      <c r="L385" s="3" t="inlineStr">
        <is>
          <t>OPERA: SERBATOIO, INERZIALE DI LEGA FERROSA ACCIAIO NERO; FINITURA: VERNICIATO | ANTIRUGGINE; GEOMETRIA: VERTICALE; FUNZIONE: ACCUMULO ACQUA REFRIGERATA; IMPIEGO: CENTRALE IDRICA; PRESSIONE MASSIMA DI ESERCIZIO [BAR] = 6; CAPACITÀ [L] = 1500. 
LAVORO: INSTALLAZIONE. 
SPECIFICHE TECNICHE: SERBATOIO CON VERNICIATURA ESTERNA ANTIRUGGINE. OP SERBATOIO, INERZIALE DI LEGA FERROSA ACCIAIO NERO; FINITURA: VERNICIATO | ANTIRUGGINE; GEOMETRIA: VERTICALE; FUNZIONE: ACCUMULO ACQUA REFRIGERATA; IMPIEGO: CENTRALE IDRICA; PRESSIONE MASSIMA DI ESERCIZIO [BAR] = 6; CAPACITÀ [L] = 1500. 
SPECIFICHE TECNICHE: SERBATOIO CON VERNICIATURA ESTERNA ANTIRUGGINE. 
RM SERBATOIO INERZIALE DI LEGA FERROSA ACCIAIO NERO; FINITURA: VERNICIATO | ANTIRUGGINE; GEOMETRIA: VERTICALE; FUNZIONE: ACCUMULO ACQUA REFRIGERATA; IMPIEGO: CENTRALE IDRICA; PRESSIONE MASSIMA DI ESERCIZIO [BAR] = 6; CAPACITÀ [L] = 1500. COMPONENTE: LASTRA,  
SPECIFICHE TECNICHE: SERBATOIO CON VERNICIATURA ESTERNA ANTIRUGGINE 
LV INSTALLAZIONE.</t>
        </is>
      </c>
      <c r="M385" s="4" t="inlineStr">
        <is>
          <t>CAD</t>
        </is>
      </c>
      <c r="N385" s="5" t="n">
        <v>0.8</v>
      </c>
      <c r="O385" s="45" t="n">
        <v>1897.38</v>
      </c>
      <c r="P385" s="45" t="n">
        <v>1517.9</v>
      </c>
      <c r="Q385" s="5" t="n"/>
      <c r="R385" s="6" t="n"/>
      <c r="S385" s="6">
        <f>IF(AND(Q385&lt;&gt;"",R385&lt;&gt;""),Q385*R385,"")</f>
        <v/>
      </c>
      <c r="T385" s="45">
        <f>IF(S385="",P385,S385)</f>
        <v/>
      </c>
      <c r="U385" s="7" t="n">
        <v>0</v>
      </c>
      <c r="V385" s="6">
        <f>$T385*U385</f>
        <v/>
      </c>
      <c r="W385" s="7" t="n">
        <v>0.7</v>
      </c>
      <c r="X385" s="6">
        <f>$T385*W385</f>
        <v/>
      </c>
      <c r="Y385" s="7" t="n">
        <v>0</v>
      </c>
      <c r="Z385" s="6">
        <f>$T385*Y385</f>
        <v/>
      </c>
      <c r="AA385" s="7" t="n">
        <v>0</v>
      </c>
      <c r="AB385" s="6">
        <f>$T385*AA385</f>
        <v/>
      </c>
      <c r="AC385" s="7" t="n">
        <v>0</v>
      </c>
      <c r="AD385" s="6">
        <f>$T385*AC385</f>
        <v/>
      </c>
      <c r="AE385" s="7" t="n">
        <v>0</v>
      </c>
      <c r="AF385" s="6">
        <f>$T385*AE385</f>
        <v/>
      </c>
      <c r="AG385" s="7" t="n">
        <v>0</v>
      </c>
      <c r="AH385" s="6">
        <f>$T385*AG385</f>
        <v/>
      </c>
      <c r="AI385" s="7">
        <f>U385+W385+Y385+AA385+AC385+AE385+AG385</f>
        <v/>
      </c>
      <c r="AJ385" s="6">
        <f>V385+X385+Z385+AB385+AD385+AF385+AH385</f>
        <v/>
      </c>
    </row>
    <row r="386" ht="60" customHeight="1" s="46">
      <c r="A386" s="3" t="inlineStr">
        <is>
          <t>LOM251.OC.EEA.PA01.I8000.SB038.0015</t>
        </is>
      </c>
      <c r="B386" s="4" t="inlineStr">
        <is>
          <t>2/2</t>
        </is>
      </c>
      <c r="C386" s="3" t="inlineStr">
        <is>
          <t>IMPIANTO MECCANICO</t>
        </is>
      </c>
      <c r="D386" s="4" t="inlineStr">
        <is>
          <t>SPECIALE</t>
        </is>
      </c>
      <c r="E386" s="4" t="inlineStr">
        <is>
          <t>MECCANICHE SPECIALI</t>
        </is>
      </c>
      <c r="F386" s="3" t="inlineStr">
        <is>
          <t>2_CME_TOTALE MECCANICI RADIOFARMACIA PAVIA.PDF</t>
        </is>
      </c>
      <c r="G386" s="4" t="inlineStr">
        <is>
          <t>8/8</t>
        </is>
      </c>
      <c r="H386" s="3" t="inlineStr">
        <is>
          <t>50 - INSTALLAZIONE</t>
        </is>
      </c>
      <c r="I386" s="3" t="inlineStr">
        <is>
          <t>CENTRALE</t>
        </is>
      </c>
      <c r="J386" s="3" t="inlineStr">
        <is>
          <t>IMPIANTO HVAC</t>
        </is>
      </c>
      <c r="K386" s="3" t="inlineStr">
        <is>
          <t>OPERA: SERBATOIO, INERZIALE DI LEGA FERROSA ACCIAIO NERO; FINITURA: VERNICIATO | ANTIRUGGINE; GEOMETRIA: VERTICALE; FUNZIONE: ACCUMULO ACQUA CALDA; IMPIEGO: CENTRALE IDRICA; PRESSIONE DI BOLLO [BAR] =</t>
        </is>
      </c>
      <c r="L386" s="3" t="inlineStr">
        <is>
          <t>OPERA: SERBATOIO, INERZIALE DI LEGA FERROSA ACCIAIO NERO; FINITURA: VERNICIATO | ANTIRUGGINE; GEOMETRIA: VERTICALE; FUNZIONE: ACCUMULO ACQUA CALDA; IMPIEGO: CENTRALE IDRICA; PRESSIONE DI BOLLO [BAR] = 12; CAPACITÀ [L] = 1500. 
LAVORO: INSTALLAZIONE. 
SPECIFICHE TECNICHE: SERBATOIO CON VERNICIATURA ESTERNA ANTIRUGGINE; TEMPERATURA MASSIMA DI ESERCIZIO [°C] = 99. OP SERBATOIO, INERZIALE DI LEGA FERROSA ACCIAIO NERO; FINITURA: VERNICIATO | ANTIRUGGINE; GEOMETRIA: VERTICALE; FUNZIONE: ACCUMULO ACQUA CALDA; IMPIEGO: CENTRALE IDRICA; PRESSIONE DI BOLLO [BAR] = 12; CAPACITÀ [L] = 1500. 
SPECIFICHE TECNICHE: SERBATOIO CON VERNICIATURA ESTERNA ANTIRUGGINE; TEMPERATURA MASSIMA DI ESERCIZIO [°C] = 99. 
RM SERBATOIO INERZIALE DI LEGA FERROSA ACCIAIO NERO; FINITURA: VERNICIATO | ANTIRUGGINE; GEOMETRIA: VERTICALE; FUNZIONE: ACCUMULO ACQUA CALDA; IMPIEGO: CENTRALE IDRICA; PRESSIONE MASSIMA DI ESERCIZIO [BAR] = 6; CAPACITÀ [L] = 1500. COMPONENTE: LASTRA,  
SPECIFICHE TECNICHE: SERBATOIO CON VERNICIATURA ESTERNA ANTIRUGGINE; TEMPERATURA MASSIMA DI ESERCIZIO [°C] = 99 
LV INSTALLAZIONE.</t>
        </is>
      </c>
      <c r="M386" s="4" t="inlineStr">
        <is>
          <t>CAD</t>
        </is>
      </c>
      <c r="N386" s="5" t="n">
        <v>0.8</v>
      </c>
      <c r="O386" s="45" t="n">
        <v>1897.38</v>
      </c>
      <c r="P386" s="45" t="n">
        <v>1517.9</v>
      </c>
      <c r="Q386" s="5" t="n"/>
      <c r="R386" s="6" t="n"/>
      <c r="S386" s="6">
        <f>IF(AND(Q386&lt;&gt;"",R386&lt;&gt;""),Q386*R386,"")</f>
        <v/>
      </c>
      <c r="T386" s="45">
        <f>IF(S386="",P386,S386)</f>
        <v/>
      </c>
      <c r="U386" s="7" t="n">
        <v>0</v>
      </c>
      <c r="V386" s="6">
        <f>$T386*U386</f>
        <v/>
      </c>
      <c r="W386" s="7" t="n">
        <v>0.7</v>
      </c>
      <c r="X386" s="6">
        <f>$T386*W386</f>
        <v/>
      </c>
      <c r="Y386" s="7" t="n">
        <v>0</v>
      </c>
      <c r="Z386" s="6">
        <f>$T386*Y386</f>
        <v/>
      </c>
      <c r="AA386" s="7" t="n">
        <v>0</v>
      </c>
      <c r="AB386" s="6">
        <f>$T386*AA386</f>
        <v/>
      </c>
      <c r="AC386" s="7" t="n">
        <v>0</v>
      </c>
      <c r="AD386" s="6">
        <f>$T386*AC386</f>
        <v/>
      </c>
      <c r="AE386" s="7" t="n">
        <v>0</v>
      </c>
      <c r="AF386" s="6">
        <f>$T386*AE386</f>
        <v/>
      </c>
      <c r="AG386" s="7" t="n">
        <v>0</v>
      </c>
      <c r="AH386" s="6">
        <f>$T386*AG386</f>
        <v/>
      </c>
      <c r="AI386" s="7">
        <f>U386+W386+Y386+AA386+AC386+AE386+AG386</f>
        <v/>
      </c>
      <c r="AJ386" s="6">
        <f>V386+X386+Z386+AB386+AD386+AF386+AH386</f>
        <v/>
      </c>
    </row>
    <row r="387" ht="60" customHeight="1" s="46">
      <c r="A387" s="3" t="inlineStr">
        <is>
          <t>LOM251.OC.EEA.PA01.I8000.SB038.0050</t>
        </is>
      </c>
      <c r="B387" s="4" t="inlineStr">
        <is>
          <t>1/1</t>
        </is>
      </c>
      <c r="C387" s="3" t="inlineStr">
        <is>
          <t>IMPIANTO MECCANICO</t>
        </is>
      </c>
      <c r="D387" s="4" t="inlineStr">
        <is>
          <t>SPECIALE</t>
        </is>
      </c>
      <c r="E387" s="4" t="inlineStr">
        <is>
          <t>MECCANICHE SPECIALI</t>
        </is>
      </c>
      <c r="F387" s="3" t="inlineStr">
        <is>
          <t>2_CME_TOTALE MECCANICI RADIOFARMACIA PAVIA.PDF</t>
        </is>
      </c>
      <c r="G387" s="4" t="inlineStr">
        <is>
          <t>9/9</t>
        </is>
      </c>
      <c r="H387" s="3" t="inlineStr">
        <is>
          <t>50 - INSTALLAZIONE</t>
        </is>
      </c>
      <c r="I387" s="3" t="inlineStr">
        <is>
          <t>CENTRALE</t>
        </is>
      </c>
      <c r="J387" s="3" t="inlineStr">
        <is>
          <t>IMPIANTO HVAC</t>
        </is>
      </c>
      <c r="K387" s="3" t="inlineStr">
        <is>
          <t>OPERA: SERBATOIO, INERZIALE DI LEGA FERROSA ACCIAIO NERO; FINITURA: VERNICIATO | ANTIRUGGINE; GEOMETRIA: VERTICALE; FUNZIONE: ACCUMULO ACQUA REFRIGERATA; IMPIEGO: CENTRALE IDRICA; PRESSIONE MASSIMA DI</t>
        </is>
      </c>
      <c r="L387" s="3" t="inlineStr">
        <is>
          <t>OPERA: SERBATOIO, INERZIALE DI LEGA FERROSA ACCIAIO NERO; FINITURA: VERNICIATO | ANTIRUGGINE; GEOMETRIA: VERTICALE; FUNZIONE: ACCUMULO ACQUA REFRIGERATA; IMPIEGO: CENTRALE IDRICA; PRESSIONE MASSIMA DI ESERCIZIO [BAR] = 6; CAPACITÀ [L] = 1000. 
LAVORO: INSTALLAZIONE. 
SPECIFICHE TECNICHE: SERBATOIO CON VERNICIATURA ESTERNA ANTIRUGGINE. OP SERBATOIO, INERZIALE DI LEGA FERROSA ACCIAIO NERO; FINITURA: VERNICIATO | ANTIRUGGINE; GEOMETRIA: VERTICALE; FUNZIONE: ACCUMULO ACQUA REFRIGERATA; IMPIEGO: CENTRALE IDRICA; PRESSIONE MASSIMA DI ESERCIZIO [BAR] = 6; CAPACITÀ [L] = 1000. 
SPECIFICHE TECNICHE: SERBATOIO CON VERNICIATURA ESTERNA ANTIRUGGINE. 
RM SERBATOIO INERZIALE DI LEGA FERROSA ACCIAIO NERO; FINITURA: VERNICIATO | ANTIRUGGINE; GEOMETRIA: VERTICALE; FUNZIONE: ACCUMULO ACQUA REFRIGERATA; IMPIEGO: CENTRALE IDRICA; PRESSIONE MASSIMA DI ESERCIZIO [BAR] = 6; CAPACITÀ [L] = 1000. COMPONENTE: LASTRA,  
SPECIFICHE TECNICHE: SERBATOIO CON VERNICIATURA ESTERNA ANTIRUGGINE 
LV INSTALLAZIONE.</t>
        </is>
      </c>
      <c r="M387" s="4" t="inlineStr">
        <is>
          <t>CAD</t>
        </is>
      </c>
      <c r="N387" s="5" t="n">
        <v>1</v>
      </c>
      <c r="O387" s="45" t="n">
        <v>1950.74</v>
      </c>
      <c r="P387" s="45" t="n">
        <v>1950.74</v>
      </c>
      <c r="Q387" s="5" t="n"/>
      <c r="R387" s="6" t="n"/>
      <c r="S387" s="6">
        <f>IF(AND(Q387&lt;&gt;"",R387&lt;&gt;""),Q387*R387,"")</f>
        <v/>
      </c>
      <c r="T387" s="45">
        <f>IF(S387="",P387,S387)</f>
        <v/>
      </c>
      <c r="U387" s="7" t="n">
        <v>0</v>
      </c>
      <c r="V387" s="6">
        <f>$T387*U387</f>
        <v/>
      </c>
      <c r="W387" s="7" t="n">
        <v>0.7</v>
      </c>
      <c r="X387" s="6">
        <f>$T387*W387</f>
        <v/>
      </c>
      <c r="Y387" s="7" t="n">
        <v>0</v>
      </c>
      <c r="Z387" s="6">
        <f>$T387*Y387</f>
        <v/>
      </c>
      <c r="AA387" s="7" t="n">
        <v>0</v>
      </c>
      <c r="AB387" s="6">
        <f>$T387*AA387</f>
        <v/>
      </c>
      <c r="AC387" s="7" t="n">
        <v>0</v>
      </c>
      <c r="AD387" s="6">
        <f>$T387*AC387</f>
        <v/>
      </c>
      <c r="AE387" s="7" t="n">
        <v>0</v>
      </c>
      <c r="AF387" s="6">
        <f>$T387*AE387</f>
        <v/>
      </c>
      <c r="AG387" s="7" t="n">
        <v>0</v>
      </c>
      <c r="AH387" s="6">
        <f>$T387*AG387</f>
        <v/>
      </c>
      <c r="AI387" s="7">
        <f>U387+W387+Y387+AA387+AC387+AE387+AG387</f>
        <v/>
      </c>
      <c r="AJ387" s="6">
        <f>V387+X387+Z387+AB387+AD387+AF387+AH387</f>
        <v/>
      </c>
    </row>
    <row r="388" ht="60" customHeight="1" s="46">
      <c r="A388" s="3" t="inlineStr">
        <is>
          <t>LOM251.OC.EEA.PA02.I9762.SB001.0815</t>
        </is>
      </c>
      <c r="B388" s="4" t="inlineStr">
        <is>
          <t>1/1</t>
        </is>
      </c>
      <c r="C388" s="3" t="inlineStr">
        <is>
          <t>IMPIANTO MECCANICO</t>
        </is>
      </c>
      <c r="D388" s="4" t="inlineStr">
        <is>
          <t>SPECIALE</t>
        </is>
      </c>
      <c r="E388" s="4" t="inlineStr">
        <is>
          <t>MECCANICHE SPECIALI</t>
        </is>
      </c>
      <c r="F388" s="3" t="inlineStr">
        <is>
          <t>2_CME_TOTALE MECCANICI RADIOFARMACIA PAVIA.PDF</t>
        </is>
      </c>
      <c r="G388" s="4" t="inlineStr">
        <is>
          <t>50/50</t>
        </is>
      </c>
      <c r="H388" s="3" t="inlineStr">
        <is>
          <t>50 - INSTALLAZIONE</t>
        </is>
      </c>
      <c r="I388" s="3" t="inlineStr">
        <is>
          <t>CENTRALE</t>
        </is>
      </c>
      <c r="J388" s="3" t="inlineStr">
        <is>
          <t>IMPIANTO HVAC</t>
        </is>
      </c>
      <c r="K388" s="3" t="inlineStr">
        <is>
          <t>OPERA: VALVOLA DI LEGA FERROSA ACCIAIO GENERICO; GEOMETRIA: A BATTENTE; FUNZIONE: DI RITEGNO; DIAMETRO NOMINALE (Ø) [MM] = 100; PRESSIONE NOMINALE [BAR] = 25. INCLUSO: GUARNIZIONI DEL TIPO SENZA AMIAN</t>
        </is>
      </c>
      <c r="L388" s="3" t="inlineStr">
        <is>
          <t>OPERA: VALVOLA DI LEGA FERROSA ACCIAIO GENERICO; GEOMETRIA: A BATTENTE; FUNZIONE: DI RITEGNO; DIAMETRO NOMINALE (Ø) [MM] = 100; PRESSIONE NOMINALE [BAR] = 25. INCLUSO: GUARNIZIONI DEL TIPO SENZA AMIANTO. 
LAVORO: POSA. 
SPECIFICHE TECNICHE: VALVOLA CON: CORPO DI LEGA FERROSA ACCIAIO AL CARBONIO, COPERCHIO DI LEGA FERROSA ACCIAIO AL CARBONIO, OTTURATORE DI LEGA FERROSA ACCIAIO AL CARBONIO, ANELLO SEDE DI TENUTA VALVOLA DI LEGA FERROSA ACCIAIO INOX. OP VALVOLA DI LEGA FERROSA ACCIAIO GENERICO; GEOMETRIA: A BATTENTE; FUNZIONE: DI RITEGNO; DIAMETRO NOMINALE (Ø) [MM] = 100; PRESSIONE NOMINALE [BAR] = 25. INCLUSO: GUARNIZIONI DEL TIPO SENZA AMIANTO. 
SPECIFICHE TECNICHE: VALVOLA CON: CORPO DI LEGA FERROSA ACCIAIO AL CARBONIO, COPERCHIO DI LEGA FERROSA ACCIAIO AL CARBONIO, OTTURATORE DI LEGA FERROSA ACCIAIO AL CARBONIO, ANELLO SEDE DI TENUTA VALVOLA DI LEGA FERROSA ACCIAIO INOX. 
RM VALVOLA DI LEGA FERROSA ACCIAIO GENERICO; GEOMETRIA: A BATTENTE; FUNZIONE: DI RITEGNO; DIAMETRO NOMINALE (Ø) [MM] = 100; PRESSIONE NOMINALE [BAR] = 25. INCLUSO: GUARNIZIONI DEL TIPO SENZA AMIANTO 
SPECIFICHE TECNICHE: VALVOLA CON: CORPO DI LEGA FERROSA ACCIAIO AL CARBONIO, COPERCHIO DI LEGA FERROSA ACCIAIO AL CARBONIO, OTTURATORE DI LEGA FERROSA ACCIAIO AL CARBONIO, ANELLO SEDE DI TENUTA VALVOLA DI LEGA FERROSA ACCIAIO INOX 
LV POSA.</t>
        </is>
      </c>
      <c r="M388" s="4" t="inlineStr">
        <is>
          <t>CAD</t>
        </is>
      </c>
      <c r="N388" s="5" t="n">
        <v>3</v>
      </c>
      <c r="O388" s="45" t="n">
        <v>266.23</v>
      </c>
      <c r="P388" s="45" t="n">
        <v>798.6900000000001</v>
      </c>
      <c r="Q388" s="5" t="n"/>
      <c r="R388" s="6" t="n"/>
      <c r="S388" s="6">
        <f>IF(AND(Q388&lt;&gt;"",R388&lt;&gt;""),Q388*R388,"")</f>
        <v/>
      </c>
      <c r="T388" s="45">
        <f>IF(S388="",P388,S388)</f>
        <v/>
      </c>
      <c r="U388" s="7" t="n">
        <v>0</v>
      </c>
      <c r="V388" s="6">
        <f>$T388*U388</f>
        <v/>
      </c>
      <c r="W388" s="7" t="n">
        <v>0.4</v>
      </c>
      <c r="X388" s="6">
        <f>$T388*W388</f>
        <v/>
      </c>
      <c r="Y388" s="7" t="n">
        <v>0</v>
      </c>
      <c r="Z388" s="6">
        <f>$T388*Y388</f>
        <v/>
      </c>
      <c r="AA388" s="7" t="n">
        <v>0</v>
      </c>
      <c r="AB388" s="6">
        <f>$T388*AA388</f>
        <v/>
      </c>
      <c r="AC388" s="7" t="n">
        <v>0</v>
      </c>
      <c r="AD388" s="6">
        <f>$T388*AC388</f>
        <v/>
      </c>
      <c r="AE388" s="7" t="n">
        <v>0</v>
      </c>
      <c r="AF388" s="6">
        <f>$T388*AE388</f>
        <v/>
      </c>
      <c r="AG388" s="7" t="n">
        <v>0</v>
      </c>
      <c r="AH388" s="6">
        <f>$T388*AG388</f>
        <v/>
      </c>
      <c r="AI388" s="7">
        <f>U388+W388+Y388+AA388+AC388+AE388+AG388</f>
        <v/>
      </c>
      <c r="AJ388" s="6">
        <f>V388+X388+Z388+AB388+AD388+AF388+AH388</f>
        <v/>
      </c>
    </row>
    <row r="389" ht="60" customHeight="1" s="46">
      <c r="A389" s="3" t="inlineStr">
        <is>
          <t>LOM251.OC.EEA.PA02.I9762.SB001.0810</t>
        </is>
      </c>
      <c r="B389" s="4" t="inlineStr">
        <is>
          <t>1/1</t>
        </is>
      </c>
      <c r="C389" s="3" t="inlineStr">
        <is>
          <t>IMPIANTO MECCANICO</t>
        </is>
      </c>
      <c r="D389" s="4" t="inlineStr">
        <is>
          <t>SPECIALE</t>
        </is>
      </c>
      <c r="E389" s="4" t="inlineStr">
        <is>
          <t>MECCANICHE SPECIALI</t>
        </is>
      </c>
      <c r="F389" s="3" t="inlineStr">
        <is>
          <t>2_CME_TOTALE MECCANICI RADIOFARMACIA PAVIA.PDF</t>
        </is>
      </c>
      <c r="G389" s="4" t="inlineStr">
        <is>
          <t>51/51</t>
        </is>
      </c>
      <c r="H389" s="3" t="inlineStr">
        <is>
          <t>50 - INSTALLAZIONE</t>
        </is>
      </c>
      <c r="I389" s="3" t="inlineStr">
        <is>
          <t>CENTRALE</t>
        </is>
      </c>
      <c r="J389" s="3" t="inlineStr">
        <is>
          <t>IMPIANTO HVAC</t>
        </is>
      </c>
      <c r="K389" s="3" t="inlineStr">
        <is>
          <t>OPERA: VALVOLA DI LEGA FERROSA ACCIAIO GENERICO; GEOMETRIA: A BATTENTE; FUNZIONE: DI RITEGNO; DIAMETRO NOMINALE (Ø) [MM] = 80; PRESSIONE NOMINALE [BAR] = 25. INCLUSO: GUARNIZIONI DEL TIPO SENZA AMIANT</t>
        </is>
      </c>
      <c r="L389" s="3" t="inlineStr">
        <is>
          <t>OPERA: VALVOLA DI LEGA FERROSA ACCIAIO GENERICO; GEOMETRIA: A BATTENTE; FUNZIONE: DI RITEGNO; DIAMETRO NOMINALE (Ø) [MM] = 80; PRESSIONE NOMINALE [BAR] = 25. INCLUSO: GUARNIZIONI DEL TIPO SENZA AMIANTO. 
LAVORO: POSA. 
SPECIFICHE TECNICHE: VALVOLA CON: CORPO DI LEGA FERROSA ACCIAIO AL CARBONIO, COPERCHIO DI LEGA FERROSA ACCIAIO AL CARBONIO, OTTURATORE DI LEGA FERROSA ACCIAIO AL CARBONIO, ANELLO SEDE DI TENUTA VALVOLA DI LEGA FERROSA ACCIAIO INOX. OP VALVOLA DI LEGA FERROSA ACCIAIO GENERICO; GEOMETRIA: A BATTENTE; FUNZIONE: DI RITEGNO; DIAMETRO NOMINALE (Ø) [MM] = 80; PRESSIONE NOMINALE [BAR] = 25. INCLUSO: GUARNIZIONI DEL TIPO SENZA AMIANTO. 
SPECIFICHE TECNICHE: VALVOLA CON: CORPO DI LEGA FERROSA ACCIAIO AL CARBONIO, COPERCHIO DI LEGA FERROSA ACCIAIO AL CARBONIO, OTTURATORE DI LEGA FERROSA ACCIAIO AL CARBONIO, ANELLO SEDE DI TENUTA VALVOLA DI LEGA FERROSA ACCIAIO INOX. 
RM VALVOLA DI LEGA FERROSA ACCIAIO GENERICO; GEOMETRIA: A BATTENTE; FUNZIONE: DI RITEGNO; DIAMETRO NOMINALE (Ø) [MM] = 80; PRESSIONE NOMINALE [BAR] = 25. INCLUSO: GUARNIZIONI DEL TIPO SENZA AMIANTO 
SPECIFICHE TECNICHE: VALVOLA CON: CORPO DI LEGA FERROSA ACCIAIO AL CARBONIO, COPERCHIO DI LEGA FERROSA ACCIAIO AL CARBONIO, OTTURATORE DI LEGA FERROSA ACCIAIO AL CARBONIO, ANELLO SEDE DI TENUTA VALVOLA DI LEGA FERROSA ACCIAIO INOX 
LV POSA.</t>
        </is>
      </c>
      <c r="M389" s="4" t="inlineStr">
        <is>
          <t>CAD</t>
        </is>
      </c>
      <c r="N389" s="5" t="n">
        <v>2</v>
      </c>
      <c r="O389" s="45" t="n">
        <v>225.91</v>
      </c>
      <c r="P389" s="45" t="n">
        <v>451.82</v>
      </c>
      <c r="Q389" s="5" t="n"/>
      <c r="R389" s="6" t="n"/>
      <c r="S389" s="6">
        <f>IF(AND(Q389&lt;&gt;"",R389&lt;&gt;""),Q389*R389,"")</f>
        <v/>
      </c>
      <c r="T389" s="45">
        <f>IF(S389="",P389,S389)</f>
        <v/>
      </c>
      <c r="U389" s="7" t="n">
        <v>0</v>
      </c>
      <c r="V389" s="6">
        <f>$T389*U389</f>
        <v/>
      </c>
      <c r="W389" s="7" t="n">
        <v>0.4</v>
      </c>
      <c r="X389" s="6">
        <f>$T389*W389</f>
        <v/>
      </c>
      <c r="Y389" s="7" t="n">
        <v>0</v>
      </c>
      <c r="Z389" s="6">
        <f>$T389*Y389</f>
        <v/>
      </c>
      <c r="AA389" s="7" t="n">
        <v>0</v>
      </c>
      <c r="AB389" s="6">
        <f>$T389*AA389</f>
        <v/>
      </c>
      <c r="AC389" s="7" t="n">
        <v>0</v>
      </c>
      <c r="AD389" s="6">
        <f>$T389*AC389</f>
        <v/>
      </c>
      <c r="AE389" s="7" t="n">
        <v>0</v>
      </c>
      <c r="AF389" s="6">
        <f>$T389*AE389</f>
        <v/>
      </c>
      <c r="AG389" s="7" t="n">
        <v>0</v>
      </c>
      <c r="AH389" s="6">
        <f>$T389*AG389</f>
        <v/>
      </c>
      <c r="AI389" s="7">
        <f>U389+W389+Y389+AA389+AC389+AE389+AG389</f>
        <v/>
      </c>
      <c r="AJ389" s="6">
        <f>V389+X389+Z389+AB389+AD389+AF389+AH389</f>
        <v/>
      </c>
    </row>
    <row r="390" ht="60" customHeight="1" s="46">
      <c r="A390" s="3" t="inlineStr">
        <is>
          <t>LOM251.OC.EEA.PA02.I9762.SB001.0805</t>
        </is>
      </c>
      <c r="B390" s="4" t="inlineStr">
        <is>
          <t>1/1</t>
        </is>
      </c>
      <c r="C390" s="3" t="inlineStr">
        <is>
          <t>IMPIANTO MECCANICO</t>
        </is>
      </c>
      <c r="D390" s="4" t="inlineStr">
        <is>
          <t>SPECIALE</t>
        </is>
      </c>
      <c r="E390" s="4" t="inlineStr">
        <is>
          <t>MECCANICHE SPECIALI</t>
        </is>
      </c>
      <c r="F390" s="3" t="inlineStr">
        <is>
          <t>2_CME_TOTALE MECCANICI RADIOFARMACIA PAVIA.PDF</t>
        </is>
      </c>
      <c r="G390" s="4" t="inlineStr">
        <is>
          <t>52/52</t>
        </is>
      </c>
      <c r="H390" s="3" t="inlineStr">
        <is>
          <t>50 - INSTALLAZIONE</t>
        </is>
      </c>
      <c r="I390" s="3" t="inlineStr">
        <is>
          <t>CENTRALE</t>
        </is>
      </c>
      <c r="J390" s="3" t="inlineStr">
        <is>
          <t>IMPIANTO HVAC</t>
        </is>
      </c>
      <c r="K390" s="3" t="inlineStr">
        <is>
          <t>OPERA: VALVOLA DI LEGA FERROSA ACCIAIO GENERICO; GEOMETRIA: A BATTENTE; FUNZIONE: DI RITEGNO; DIAMETRO NOMINALE (Ø) [MM] = 65; PRESSIONE NOMINALE [BAR] = 25. INCLUSO: GUARNIZIONI DEL TIPO SENZA AMIANT</t>
        </is>
      </c>
      <c r="L390" s="3" t="inlineStr">
        <is>
          <t>OPERA: VALVOLA DI LEGA FERROSA ACCIAIO GENERICO; GEOMETRIA: A BATTENTE; FUNZIONE: DI RITEGNO; DIAMETRO NOMINALE (Ø) [MM] = 65; PRESSIONE NOMINALE [BAR] = 25. INCLUSO: GUARNIZIONI DEL TIPO SENZA AMIANTO. 
LAVORO: POSA. 
SPECIFICHE TECNICHE: VALVOLA CON: CORPO DI LEGA FERROSA ACCIAIO AL CARBONIO, COPERCHIO DI LEGA FERROSA ACCIAIO AL CARBONIO, OTTURATORE DI LEGA FERROSA ACCIAIO AL CARBONIO, ANELLO SEDE DI TENUTA VALVOLA DI LEGA FERROSA ACCIAIO INOX. OP VALVOLA DI LEGA FERROSA ACCIAIO GENERICO; GEOMETRIA: A BATTENTE; FUNZIONE: DI RITEGNO; DIAMETRO NOMINALE (Ø) [MM] = 65; PRESSIONE NOMINALE [BAR] = 25. INCLUSO: GUARNIZIONI DEL TIPO SENZA AMIANTO. 
SPECIFICHE TECNICHE: VALVOLA CON: CORPO DI LEGA FERROSA ACCIAIO AL CARBONIO, COPERCHIO DI LEGA FERROSA ACCIAIO AL CARBONIO, OTTURATORE DI LEGA FERROSA ACCIAIO AL CARBONIO, ANELLO SEDE DI TENUTA VALVOLA DI LEGA FERROSA ACCIAIO INOX. 
RM VALVOLA DI LEGA FERROSA ACCIAIO GENERICO; GEOMETRIA: A BATTENTE; FUNZIONE: DI RITEGNO; DIAMETRO NOMINALE (Ø) [MM] = 65; PRESSIONE NOMINALE [BAR] = 25. INCLUSO: GUARNIZIONI DEL TIPO SENZA AMIANTO 
SPECIFICHE TECNICHE: VALVOLA CON: CORPO DI LEGA FERROSA ACCIAIO AL CARBONIO, COPERCHIO DI LEGA FERROSA ACCIAIO AL CARBONIO, OTTURATORE DI LEGA FERROSA ACCIAIO AL CARBONIO, ANELLO SEDE DI TENUTA VALVOLA DI LEGA FERROSA ACCIAIO INOX 
LV POSA.</t>
        </is>
      </c>
      <c r="M390" s="4" t="inlineStr">
        <is>
          <t>CAD</t>
        </is>
      </c>
      <c r="N390" s="5" t="n">
        <v>3</v>
      </c>
      <c r="O390" s="45" t="n">
        <v>170.76</v>
      </c>
      <c r="P390" s="45" t="n">
        <v>512.28</v>
      </c>
      <c r="Q390" s="5" t="n"/>
      <c r="R390" s="6" t="n"/>
      <c r="S390" s="6">
        <f>IF(AND(Q390&lt;&gt;"",R390&lt;&gt;""),Q390*R390,"")</f>
        <v/>
      </c>
      <c r="T390" s="45">
        <f>IF(S390="",P390,S390)</f>
        <v/>
      </c>
      <c r="U390" s="7" t="n">
        <v>0</v>
      </c>
      <c r="V390" s="6">
        <f>$T390*U390</f>
        <v/>
      </c>
      <c r="W390" s="7" t="n">
        <v>0.4</v>
      </c>
      <c r="X390" s="6">
        <f>$T390*W390</f>
        <v/>
      </c>
      <c r="Y390" s="7" t="n">
        <v>0</v>
      </c>
      <c r="Z390" s="6">
        <f>$T390*Y390</f>
        <v/>
      </c>
      <c r="AA390" s="7" t="n">
        <v>0</v>
      </c>
      <c r="AB390" s="6">
        <f>$T390*AA390</f>
        <v/>
      </c>
      <c r="AC390" s="7" t="n">
        <v>0</v>
      </c>
      <c r="AD390" s="6">
        <f>$T390*AC390</f>
        <v/>
      </c>
      <c r="AE390" s="7" t="n">
        <v>0</v>
      </c>
      <c r="AF390" s="6">
        <f>$T390*AE390</f>
        <v/>
      </c>
      <c r="AG390" s="7" t="n">
        <v>0</v>
      </c>
      <c r="AH390" s="6">
        <f>$T390*AG390</f>
        <v/>
      </c>
      <c r="AI390" s="7">
        <f>U390+W390+Y390+AA390+AC390+AE390+AG390</f>
        <v/>
      </c>
      <c r="AJ390" s="6">
        <f>V390+X390+Z390+AB390+AD390+AF390+AH390</f>
        <v/>
      </c>
    </row>
    <row r="391" ht="60" customHeight="1" s="46">
      <c r="A391" s="3" t="inlineStr">
        <is>
          <t>LOM251.OC.EEA.PA02.I9762.SB001.0965</t>
        </is>
      </c>
      <c r="B391" s="4" t="inlineStr">
        <is>
          <t>2/2</t>
        </is>
      </c>
      <c r="C391" s="3" t="inlineStr">
        <is>
          <t>IMPIANTO MECCANICO</t>
        </is>
      </c>
      <c r="D391" s="4" t="inlineStr">
        <is>
          <t>SPECIALE</t>
        </is>
      </c>
      <c r="E391" s="4" t="inlineStr">
        <is>
          <t>MECCANICHE SPECIALI</t>
        </is>
      </c>
      <c r="F391" s="3" t="inlineStr">
        <is>
          <t>2_CME_TOTALE MECCANICI RADIOFARMACIA PAVIA.PDF</t>
        </is>
      </c>
      <c r="G391" s="4" t="inlineStr">
        <is>
          <t>53/53</t>
        </is>
      </c>
      <c r="H391" s="3" t="inlineStr">
        <is>
          <t>50 - INSTALLAZIONE</t>
        </is>
      </c>
      <c r="I391" s="3" t="inlineStr">
        <is>
          <t>CENTRALE</t>
        </is>
      </c>
      <c r="J391" s="3" t="inlineStr">
        <is>
          <t>IMPIANTO HVAC</t>
        </is>
      </c>
      <c r="K391" s="3" t="inlineStr">
        <is>
          <t>OPERA: VALVOLA DI LEGA FERROSA ACCIAIO GENERICO; GEOMETRIA: A DISCO | TIPO WAFER; FUNZIONE: DI RITEGNO; DIAMETRO NOMINALE (Ø) [MM] = 40; PRESSIONE NOMINALE [BAR] = 10 ÷ 40. INCLUSO: MOLLA DI LEGA FERR</t>
        </is>
      </c>
      <c r="L391" s="3" t="inlineStr">
        <is>
          <t>OPERA: VALVOLA DI LEGA FERROSA ACCIAIO GENERICO; GEOMETRIA: A DISCO | TIPO WAFER; FUNZIONE: DI RITEGNO; DIAMETRO NOMINALE (Ø) [MM] = 40; PRESSIONE NOMINALE [BAR] = 10 ÷ 40. INCLUSO: MOLLA DI LEGA FERROSA ACCIAIO INOX;. 
LAVORO: POSA. 
SPECIFICHE TECNICHE: VALVOLA CON: CORPO DI LEGA FERROSA ACCIAIO GALVANIZZATO, DISCO DI LEGA FERROSA ACCIAIO INOX, ANELLO SEDE DI TENUTA VALVOLA DI LEGA FERROSA ACCIAIO INOX. OP VALVOLA DI LEGA FERROSA ACCIAIO GENERICO; GEOMETRIA: A DISCO | TIPO WAFER; FUNZIONE: DI RITEGNO; DIAMETRO NOMINALE (Ø) [MM] = 40; PRESSIONE NOMINALE [BAR] = 10 ÷ 40. INCLUSO: MOLLA DI LEGA FERROSA ACCIAIO INOX;. 
SPECIFICHE TECNICHE: VALVOLA CON: CORPO DI LEGA FERROSA ACCIAIO GALVANIZZATO, DISCO DI LEGA FERROSA ACCIAIO INOX, ANELLO SEDE DI TENUTA VALVOLA DI LEGA FERROSA ACCIAIO INOX. 
RM VALVOLA DI LEGA FERROSA ACCIAIO GENERICO; GEOMETRIA: A DISCO | TIPO WAFER; FUNZIONE: DI RITEGNO; DIAMETRO NOMINALE (Ø) [MM] = 40; PRESSIONE NOMINALE [BAR] = 10 ÷ 40. INCLUSO: MOLLA DI LEGA FERROSA ACCIAIO INOX; 
SPECIFICHE TECNICHE: VALVOLA CON: CORPO DI LEGA FERROSA ACCIAIO GALVANIZZATO, DISCO DI LEGA FERROSA ACCIAIO INOX, ANELLO SEDE DI TENUTA VALVOLA DI LEGA FERROSA ACCIAIO INOX 
LV POSA.</t>
        </is>
      </c>
      <c r="M391" s="4" t="inlineStr">
        <is>
          <t>CAD</t>
        </is>
      </c>
      <c r="N391" s="5" t="n">
        <v>2</v>
      </c>
      <c r="O391" s="45" t="n">
        <v>77.68000000000001</v>
      </c>
      <c r="P391" s="45" t="n">
        <v>155.36</v>
      </c>
      <c r="Q391" s="5" t="n"/>
      <c r="R391" s="6" t="n"/>
      <c r="S391" s="6">
        <f>IF(AND(Q391&lt;&gt;"",R391&lt;&gt;""),Q391*R391,"")</f>
        <v/>
      </c>
      <c r="T391" s="45">
        <f>IF(S391="",P391,S391)</f>
        <v/>
      </c>
      <c r="U391" s="7" t="n">
        <v>0</v>
      </c>
      <c r="V391" s="6">
        <f>$T391*U391</f>
        <v/>
      </c>
      <c r="W391" s="7" t="n">
        <v>0.4</v>
      </c>
      <c r="X391" s="6">
        <f>$T391*W391</f>
        <v/>
      </c>
      <c r="Y391" s="7" t="n">
        <v>0</v>
      </c>
      <c r="Z391" s="6">
        <f>$T391*Y391</f>
        <v/>
      </c>
      <c r="AA391" s="7" t="n">
        <v>0</v>
      </c>
      <c r="AB391" s="6">
        <f>$T391*AA391</f>
        <v/>
      </c>
      <c r="AC391" s="7" t="n">
        <v>0</v>
      </c>
      <c r="AD391" s="6">
        <f>$T391*AC391</f>
        <v/>
      </c>
      <c r="AE391" s="7" t="n">
        <v>0</v>
      </c>
      <c r="AF391" s="6">
        <f>$T391*AE391</f>
        <v/>
      </c>
      <c r="AG391" s="7" t="n">
        <v>0</v>
      </c>
      <c r="AH391" s="6">
        <f>$T391*AG391</f>
        <v/>
      </c>
      <c r="AI391" s="7">
        <f>U391+W391+Y391+AA391+AC391+AE391+AG391</f>
        <v/>
      </c>
      <c r="AJ391" s="6">
        <f>V391+X391+Z391+AB391+AD391+AF391+AH391</f>
        <v/>
      </c>
    </row>
    <row r="392" ht="60" customHeight="1" s="46">
      <c r="A392" s="3" t="inlineStr">
        <is>
          <t>LOM251.OC.EEA.PA02.I9762.SB001.0960</t>
        </is>
      </c>
      <c r="B392" s="4" t="inlineStr">
        <is>
          <t>1/1</t>
        </is>
      </c>
      <c r="C392" s="3" t="inlineStr">
        <is>
          <t>IMPIANTO MECCANICO</t>
        </is>
      </c>
      <c r="D392" s="4" t="inlineStr">
        <is>
          <t>SPECIALE</t>
        </is>
      </c>
      <c r="E392" s="4" t="inlineStr">
        <is>
          <t>MECCANICHE SPECIALI</t>
        </is>
      </c>
      <c r="F392" s="3" t="inlineStr">
        <is>
          <t>2_CME_TOTALE MECCANICI RADIOFARMACIA PAVIA.PDF</t>
        </is>
      </c>
      <c r="G392" s="4" t="inlineStr">
        <is>
          <t>54/54</t>
        </is>
      </c>
      <c r="H392" s="3" t="inlineStr">
        <is>
          <t>50 - INSTALLAZIONE</t>
        </is>
      </c>
      <c r="I392" s="3" t="inlineStr">
        <is>
          <t>CENTRALE</t>
        </is>
      </c>
      <c r="J392" s="3" t="inlineStr">
        <is>
          <t>IMPIANTO HVAC</t>
        </is>
      </c>
      <c r="K392" s="3" t="inlineStr">
        <is>
          <t>OPERA: VALVOLA DI LEGA FERROSA ACCIAIO GENERICO; GEOMETRIA: A DISCO | TIPO WAFER; FUNZIONE: DI RITEGNO; DIAMETRO NOMINALE (Ø) [MM] = 32; PRESSIONE NOMINALE [BAR] = 10 ÷ 40. INCLUSO: MOLLA DI LEGA FERR</t>
        </is>
      </c>
      <c r="L392" s="3" t="inlineStr">
        <is>
          <t>OPERA: VALVOLA DI LEGA FERROSA ACCIAIO GENERICO; GEOMETRIA: A DISCO | TIPO WAFER; FUNZIONE: DI RITEGNO; DIAMETRO NOMINALE (Ø) [MM] = 32; PRESSIONE NOMINALE [BAR] = 10 ÷ 40. INCLUSO: MOLLA DI LEGA FERROSA ACCIAIO INOX;. 
LAVORO: POSA. 
SPECIFICHE TECNICHE: VALVOLA CON: CORPO DI LEGA FERROSA ACCIAIO GALVANIZZATO, DISCO DI LEGA FERROSA ACCIAIO INOX, ANELLO SEDE DI TENUTA VALVOLA DI LEGA FERROSA ACCIAIO INOX. OP VALVOLA DI LEGA FERROSA ACCIAIO GENERICO; GEOMETRIA: A DISCO | TIPO WAFER; FUNZIONE: DI RITEGNO; DIAMETRO NOMINALE (Ø) [MM] = 32; PRESSIONE NOMINALE [BAR] = 10 ÷ 40. INCLUSO: MOLLA DI LEGA FERROSA ACCIAIO INOX;. 
SPECIFICHE TECNICHE: VALVOLA CON: CORPO DI LEGA FERROSA ACCIAIO GALVANIZZATO, DISCO DI LEGA FERROSA ACCIAIO INOX, ANELLO SEDE DI TENUTA VALVOLA DI LEGA FERROSA ACCIAIO INOX. 
RM VALVOLA DI LEGA FERROSA ACCIAIO GENERICO; GEOMETRIA: A DISCO | TIPO WAFER; FUNZIONE: DI RITEGNO; DIAMETRO NOMINALE (Ø) [MM] = 32; PRESSIONE NOMINALE [BAR] = 10 ÷ 40. INCLUSO: MOLLA DI LEGA FERROSA ACCIAIO INOX; 
SPECIFICHE TECNICHE: VALVOLA CON: CORPO DI LEGA FERROSA ACCIAIO GALVANIZZATO, DISCO DI LEGA FERROSA ACCIAIO INOX, ANELLO SEDE DI TENUTA VALVOLA DI LEGA FERROSA ACCIAIO INOX 
LV POSA.</t>
        </is>
      </c>
      <c r="M392" s="4" t="inlineStr">
        <is>
          <t>CAD</t>
        </is>
      </c>
      <c r="N392" s="5" t="n">
        <v>1</v>
      </c>
      <c r="O392" s="45" t="n">
        <v>72.94</v>
      </c>
      <c r="P392" s="45" t="n">
        <v>72.94</v>
      </c>
      <c r="Q392" s="5" t="n"/>
      <c r="R392" s="6" t="n"/>
      <c r="S392" s="6">
        <f>IF(AND(Q392&lt;&gt;"",R392&lt;&gt;""),Q392*R392,"")</f>
        <v/>
      </c>
      <c r="T392" s="45">
        <f>IF(S392="",P392,S392)</f>
        <v/>
      </c>
      <c r="U392" s="7" t="n">
        <v>0</v>
      </c>
      <c r="V392" s="6">
        <f>$T392*U392</f>
        <v/>
      </c>
      <c r="W392" s="7" t="n">
        <v>0.4</v>
      </c>
      <c r="X392" s="6">
        <f>$T392*W392</f>
        <v/>
      </c>
      <c r="Y392" s="7" t="n">
        <v>0</v>
      </c>
      <c r="Z392" s="6">
        <f>$T392*Y392</f>
        <v/>
      </c>
      <c r="AA392" s="7" t="n">
        <v>0</v>
      </c>
      <c r="AB392" s="6">
        <f>$T392*AA392</f>
        <v/>
      </c>
      <c r="AC392" s="7" t="n">
        <v>0</v>
      </c>
      <c r="AD392" s="6">
        <f>$T392*AC392</f>
        <v/>
      </c>
      <c r="AE392" s="7" t="n">
        <v>0</v>
      </c>
      <c r="AF392" s="6">
        <f>$T392*AE392</f>
        <v/>
      </c>
      <c r="AG392" s="7" t="n">
        <v>0</v>
      </c>
      <c r="AH392" s="6">
        <f>$T392*AG392</f>
        <v/>
      </c>
      <c r="AI392" s="7">
        <f>U392+W392+Y392+AA392+AC392+AE392+AG392</f>
        <v/>
      </c>
      <c r="AJ392" s="6">
        <f>V392+X392+Z392+AB392+AD392+AF392+AH392</f>
        <v/>
      </c>
    </row>
    <row r="393" ht="60" customHeight="1" s="46">
      <c r="A393" s="3" t="inlineStr">
        <is>
          <t>LOM251.OC.EEA.PA02.F8005.ZA000.0030</t>
        </is>
      </c>
      <c r="B393" s="4" t="inlineStr">
        <is>
          <t>1/1</t>
        </is>
      </c>
      <c r="C393" s="3" t="inlineStr">
        <is>
          <t>IMPIANTO MECCANICO</t>
        </is>
      </c>
      <c r="D393" s="4" t="inlineStr">
        <is>
          <t>SPECIALE</t>
        </is>
      </c>
      <c r="E393" s="4" t="inlineStr">
        <is>
          <t>MECCANICHE SPECIALI</t>
        </is>
      </c>
      <c r="F393" s="3" t="inlineStr">
        <is>
          <t>2_CME_TOTALE MECCANICI RADIOFARMACIA PAVIA.PDF</t>
        </is>
      </c>
      <c r="G393" s="4" t="inlineStr">
        <is>
          <t>63/63</t>
        </is>
      </c>
      <c r="H393" s="3" t="inlineStr">
        <is>
          <t>50 - INSTALLAZIONE</t>
        </is>
      </c>
      <c r="I393" s="3" t="inlineStr">
        <is>
          <t>CENTRALE</t>
        </is>
      </c>
      <c r="J393" s="3" t="inlineStr">
        <is>
          <t>IMPIANTO HVAC</t>
        </is>
      </c>
      <c r="K393" s="3" t="inlineStr">
        <is>
          <t xml:space="preserve">OPERA: VASO DI ESPANSIONE DI MATERIALE GENERICO; GEOMETRIA: MEMBRANA ATOSSICA; FUNZIONE: STABILIZZAZIONE PRESSIONE; IMPIEGO: IMPIANTO SANITARIO; CAPACITÀ [L] = 60. </t>
        </is>
      </c>
      <c r="L393" s="3" t="inlineStr">
        <is>
          <t>OPERA: VASO DI ESPANSIONE DI MATERIALE GENERICO; GEOMETRIA: MEMBRANA ATOSSICA; FUNZIONE: STABILIZZAZIONE PRESSIONE; IMPIEGO: IMPIANTO SANITARIO; CAPACITÀ [L] = 60. 
LAVORO: POSA. 
SPECIFICHE TECNICHE: CONDIZIONI D'ESERCIZIO MASSIME CON TEMPERATURA [°C] = 99 E PRESSIONE [BAR] = 4. OP VASO DI ESPANSIONE DI MATERIALE GENERICO; GEOMETRIA: MEMBRANA ATOSSICA; FUNZIONE: STABILIZZAZIONE PRESSIONE; IMPIEGO: IMPIANTO SANITARIO; CAPACITÀ [L] = 60. 
SPECIFICHE TECNICHE: CONDIZIONI D'ESERCIZIO MASSIME CON TEMPERATURA [°C] = 99 E PRESSIONE [BAR] = 4. 
RM VASO DI ESPANSIONE DI MATERIALE GENERICO; GEOMETRIA: MEMBRANA ATOSSICA; FUNZIONE: STABILIZZAZIONE PRESSIONE; IMPIEGO: IMPIANTO SANITARIO; CAPACITÀ [L] = 60 
SPECIFICHE TECNICHE: CONDIZIONI D'ESERCIZIO MASSIME CON TEMPERATURA [°C] = 99 E PRESSIONE [BAR] = 4 
LV POSA.</t>
        </is>
      </c>
      <c r="M393" s="4" t="inlineStr">
        <is>
          <t>CAD</t>
        </is>
      </c>
      <c r="N393" s="5" t="n">
        <v>3</v>
      </c>
      <c r="O393" s="45" t="n">
        <v>371.17</v>
      </c>
      <c r="P393" s="45" t="n">
        <v>1113.51</v>
      </c>
      <c r="Q393" s="5" t="n"/>
      <c r="R393" s="6" t="n"/>
      <c r="S393" s="6">
        <f>IF(AND(Q393&lt;&gt;"",R393&lt;&gt;""),Q393*R393,"")</f>
        <v/>
      </c>
      <c r="T393" s="45">
        <f>IF(S393="",P393,S393)</f>
        <v/>
      </c>
      <c r="U393" s="7" t="n">
        <v>0</v>
      </c>
      <c r="V393" s="6">
        <f>$T393*U393</f>
        <v/>
      </c>
      <c r="W393" s="7" t="n">
        <v>0.4</v>
      </c>
      <c r="X393" s="6">
        <f>$T393*W393</f>
        <v/>
      </c>
      <c r="Y393" s="7" t="n">
        <v>0</v>
      </c>
      <c r="Z393" s="6">
        <f>$T393*Y393</f>
        <v/>
      </c>
      <c r="AA393" s="7" t="n">
        <v>0</v>
      </c>
      <c r="AB393" s="6">
        <f>$T393*AA393</f>
        <v/>
      </c>
      <c r="AC393" s="7" t="n">
        <v>0</v>
      </c>
      <c r="AD393" s="6">
        <f>$T393*AC393</f>
        <v/>
      </c>
      <c r="AE393" s="7" t="n">
        <v>0</v>
      </c>
      <c r="AF393" s="6">
        <f>$T393*AE393</f>
        <v/>
      </c>
      <c r="AG393" s="7" t="n">
        <v>0</v>
      </c>
      <c r="AH393" s="6">
        <f>$T393*AG393</f>
        <v/>
      </c>
      <c r="AI393" s="7">
        <f>U393+W393+Y393+AA393+AC393+AE393+AG393</f>
        <v/>
      </c>
      <c r="AJ393" s="6">
        <f>V393+X393+Z393+AB393+AD393+AF393+AH393</f>
        <v/>
      </c>
    </row>
    <row r="394" hidden="1" ht="60" customHeight="1" s="46">
      <c r="A394" s="3" t="inlineStr">
        <is>
          <t>LOM251.OC.EEA.PA02.F8005.ZA000.0015</t>
        </is>
      </c>
      <c r="B394" s="4" t="inlineStr">
        <is>
          <t>1/1</t>
        </is>
      </c>
      <c r="C394" s="3" t="inlineStr">
        <is>
          <t>IMPIANTO MECCANICO</t>
        </is>
      </c>
      <c r="D394" s="4" t="inlineStr">
        <is>
          <t>SPECIALE</t>
        </is>
      </c>
      <c r="E394" s="4" t="inlineStr">
        <is>
          <t>MECCANICHE SPECIALI</t>
        </is>
      </c>
      <c r="F394" s="3" t="inlineStr">
        <is>
          <t>2_CME_TOTALE MECCANICI RADIOFARMACIA PAVIA.PDF</t>
        </is>
      </c>
      <c r="G394" s="4" t="inlineStr">
        <is>
          <t>64/64</t>
        </is>
      </c>
      <c r="H394" s="3" t="inlineStr">
        <is>
          <t>50 - INSTALLAZIONE</t>
        </is>
      </c>
      <c r="I394" s="3" t="inlineStr">
        <is>
          <t>CENTRALE</t>
        </is>
      </c>
      <c r="J394" s="3" t="inlineStr">
        <is>
          <t>IMPIANTO HVAC</t>
        </is>
      </c>
      <c r="K394" s="3" t="inlineStr">
        <is>
          <t xml:space="preserve">OPERA: VASO DI ESPANSIONE DI MATERIALE GENERICO; GEOMETRIA: MEMBRANA ATOSSICA; FUNZIONE: STABILIZZAZIONE PRESSIONE; IMPIEGO: IMPIANTO SANITARIO; CAPACITÀ [L] = 12. </t>
        </is>
      </c>
      <c r="L394" s="3" t="inlineStr">
        <is>
          <t>OPERA: VASO DI ESPANSIONE DI MATERIALE GENERICO; GEOMETRIA: MEMBRANA ATOSSICA; FUNZIONE: STABILIZZAZIONE PRESSIONE; IMPIEGO: IMPIANTO SANITARIO; CAPACITÀ [L] = 12. 
LAVORO: POSA. 
SPECIFICHE TECNICHE: CONDIZIONI D'ESERCIZIO MASSIME CON TEMPERATURA [°C] = 99 E PRESSIONE [BAR] = 4. OP VASO DI ESPANSIONE DI MATERIALE GENERICO; GEOMETRIA: MEMBRANA ATOSSICA; FUNZIONE: STABILIZZAZIONE PRESSIONE; IMPIEGO: IMPIANTO SANITARIO; CAPACITÀ [L] = 12. 
SPECIFICHE TECNICHE: CONDIZIONI D'ESERCIZIO MASSIME CON TEMPERATURA [°C] = 99 E PRESSIONE [BAR] = 4. 
RM VASO DI ESPANSIONE DI MATERIALE GENERICO; GEOMETRIA: MEMBRANA ATOSSICA; FUNZIONE: STABILIZZAZIONE PRESSIONE; IMPIEGO: IMPIANTO SANITARIO; CAPACITÀ [L] = 12 
SPECIFICHE TECNICHE: CONDIZIONI D'ESERCIZIO MASSIME CON TEMPERATURA [°C] = 99 E PRESSIONE [BAR] = 4 
LV POSA.</t>
        </is>
      </c>
      <c r="M394" s="4" t="inlineStr">
        <is>
          <t>CAD</t>
        </is>
      </c>
      <c r="N394" s="5" t="n">
        <v>2</v>
      </c>
      <c r="O394" s="45" t="n">
        <v>88.94</v>
      </c>
      <c r="P394" s="45" t="n">
        <v>177.88</v>
      </c>
      <c r="Q394" s="5" t="n"/>
      <c r="R394" s="6" t="n"/>
      <c r="S394" s="6">
        <f>IF(AND(Q394&lt;&gt;"",R394&lt;&gt;""),Q394*R394,"")</f>
        <v/>
      </c>
      <c r="T394" s="45">
        <f>IF(S394="",P394,S394)</f>
        <v/>
      </c>
      <c r="U394" s="7" t="n">
        <v>0</v>
      </c>
      <c r="V394" s="6">
        <f>$T394*U394</f>
        <v/>
      </c>
      <c r="W394" s="7" t="n">
        <v>0</v>
      </c>
      <c r="X394" s="6">
        <f>$T394*W394</f>
        <v/>
      </c>
      <c r="Y394" s="7" t="n">
        <v>0</v>
      </c>
      <c r="Z394" s="6">
        <f>$T394*Y394</f>
        <v/>
      </c>
      <c r="AA394" s="7" t="n">
        <v>0</v>
      </c>
      <c r="AB394" s="6">
        <f>$T394*AA394</f>
        <v/>
      </c>
      <c r="AC394" s="7" t="n">
        <v>0</v>
      </c>
      <c r="AD394" s="6">
        <f>$T394*AC394</f>
        <v/>
      </c>
      <c r="AE394" s="7" t="n">
        <v>0</v>
      </c>
      <c r="AF394" s="6">
        <f>$T394*AE394</f>
        <v/>
      </c>
      <c r="AG394" s="7" t="n">
        <v>0</v>
      </c>
      <c r="AH394" s="6">
        <f>$T394*AG394</f>
        <v/>
      </c>
      <c r="AI394" s="7">
        <f>U394+W394+Y394+AA394+AC394+AE394+AG394</f>
        <v/>
      </c>
      <c r="AJ394" s="6">
        <f>V394+X394+Z394+AB394+AD394+AF394+AH394</f>
        <v/>
      </c>
    </row>
    <row r="395" ht="60" customHeight="1" s="46">
      <c r="A395" s="3" t="inlineStr">
        <is>
          <t>LOM251.OC.EEA.PA01.F0900.ZA001.0335</t>
        </is>
      </c>
      <c r="B395" s="4" t="inlineStr">
        <is>
          <t>1/1</t>
        </is>
      </c>
      <c r="C395" s="3" t="inlineStr">
        <is>
          <t>IMPIANTO MECCANICO</t>
        </is>
      </c>
      <c r="D395" s="4" t="inlineStr">
        <is>
          <t>SPECIALE</t>
        </is>
      </c>
      <c r="E395" s="4" t="inlineStr">
        <is>
          <t>MECCANICHE SPECIALI</t>
        </is>
      </c>
      <c r="F395" s="3" t="inlineStr">
        <is>
          <t>2_CME_TOTALE MECCANICI RADIOFARMACIA PAVIA.PDF</t>
        </is>
      </c>
      <c r="G395" s="4" t="inlineStr">
        <is>
          <t>67/67</t>
        </is>
      </c>
      <c r="H395" s="3" t="inlineStr">
        <is>
          <t>50 - INSTALLAZIONE</t>
        </is>
      </c>
      <c r="I395" s="3" t="inlineStr">
        <is>
          <t>CENTRALE</t>
        </is>
      </c>
      <c r="J395" s="3" t="inlineStr">
        <is>
          <t>IMPIANTO HVAC</t>
        </is>
      </c>
      <c r="K395" s="3" t="inlineStr">
        <is>
          <t>OPERA: SCAMBIATORE DI CALORE, A PIASTRE ISPEZIONABILI; FUNZIONE: RAFFRESCAMENTO ARIA; IMPIEGO: IMPIANTO DI CLIMATIZZAZIONE; PRESSIONE NOMINALE [BAR] = 16 | POTENZA [KW] ≤ 100. INCLUSO: PIASTRE DI LEGA</t>
        </is>
      </c>
      <c r="L395" s="3" t="inlineStr">
        <is>
          <t>OPERA: SCAMBIATORE DI CALORE, A PIASTRE ISPEZIONABILI; FUNZIONE: RAFFRESCAMENTO ARIA; IMPIEGO: IMPIANTO DI CLIMATIZZAZIONE; PRESSIONE NOMINALE [BAR] = 16 | POTENZA [KW] ≤ 100. INCLUSO: PIASTRE DI LEGA FERROSA ACCIAIO INOX AISI 316; GUARNIZIONI DI GOMMA EPDM; TELAIO DI LEGA FERROSA ACCIAIO; TIRANTERIA DI LEGA FERROSA ACCIAIO; ATTACCHI FLANGIATI; STAFFAGGI. 
LAVORO: INSTALLAZIONE. 
SPECIFICHE TECNICHE: GUARNIZIONI A DOPPIA TENUTA NON INCOLLATE; TEMPERATURA POTENZIALITÀ CON PRIMARIO ACQUA [°C] = 7 ÷ 12 E TEMPERATURA POTENZIALITÀ CON SECONDARIO ACQUA [°C] = 15 ÷ 18. OP SCAMBIATORE DI CALORE, A PIASTRE ISPEZIONABILI; FUNZIONE: RAFFRESCAMENTO ARIA; IMPIEGO: IMPIANTO DI CLIMATIZZAZIONE; PRESSIONE NOMINALE [BAR] = 16 | POTENZA [KW] ≤ 100. INCLUSO: PIASTRE DI LEGA FERROSA ACCIAIO INOX AISI 316; GUARNIZIONI DI GOMMA EPDM; TELAIO DI LEGA FERROSA ACCIAIO; TIRANTERIA DI LEGA FERROSA ACCIAIO; ATTACCHI FLANGIATI; STAFFAGGI. 
SPECIFICHE TECNICHE: GUARNIZIONI A DOPPIA TENUTA NON INCOLLATE; TEMPERATURA POTENZIALITÀ CON PRIMARIO ACQUA [°C] = 7 ÷ 12 E TEMPERATURA POTENZIALITÀ CON SECONDARIO ACQUA [°C] = 15 ÷ 18. 
RM SCAMBIATORE DI CALORE A PIASTRE ISPEZIONABILI; FUNZIONE: RAFFRESCAMENTO ARIA; IMPIEGO: IMPIANTO DI CLIMATIZZAZIONE; PRESSIONE NOMINALE [BAR] = 16 | POTENZA [KW] ≤ 100. INCLUSO: PIASTRE DI LEGA FERROSA ACCIAIO INOX AISI 316; GUARNIZIONI DI GOMMA EPDM; TELAIO DI LEGA FERROSA ACCIAIO; TIRANTERIA DI LEGA FERROSA ACCIAIO; ATTACCHI FLANGIATI; STAFFAGGI 
SPECIFICHE TECNICHE: GUARNIZIONI A DOPPIA TENUTA NON INCOLLATE; TEMPERATURA POTENZIALITÀ CON PRIMARIO ACQUA [°C] = 7 ÷ 12 E TEMPERATURA POTENZIALITÀ CON SECONDARIO ACQUA [°C] = 15 ÷ 18 
LV INSTALLAZIONE.</t>
        </is>
      </c>
      <c r="M395" s="4" t="inlineStr">
        <is>
          <t>CAD</t>
        </is>
      </c>
      <c r="N395" s="5" t="n">
        <v>2</v>
      </c>
      <c r="O395" s="45" t="n">
        <v>1873.66</v>
      </c>
      <c r="P395" s="45" t="n">
        <v>3747.32</v>
      </c>
      <c r="Q395" s="5" t="n"/>
      <c r="R395" s="6" t="n"/>
      <c r="S395" s="6">
        <f>IF(AND(Q395&lt;&gt;"",R395&lt;&gt;""),Q395*R395,"")</f>
        <v/>
      </c>
      <c r="T395" s="45">
        <f>IF(S395="",P395,S395)</f>
        <v/>
      </c>
      <c r="U395" s="7" t="n">
        <v>0.5</v>
      </c>
      <c r="V395" s="6">
        <f>$T395*U395</f>
        <v/>
      </c>
      <c r="W395" s="7" t="n">
        <v>0.2</v>
      </c>
      <c r="X395" s="6">
        <f>$T395*W395</f>
        <v/>
      </c>
      <c r="Y395" s="7" t="n">
        <v>0</v>
      </c>
      <c r="Z395" s="6">
        <f>$T395*Y395</f>
        <v/>
      </c>
      <c r="AA395" s="7" t="n">
        <v>0</v>
      </c>
      <c r="AB395" s="6">
        <f>$T395*AA395</f>
        <v/>
      </c>
      <c r="AC395" s="7" t="n">
        <v>0</v>
      </c>
      <c r="AD395" s="6">
        <f>$T395*AC395</f>
        <v/>
      </c>
      <c r="AE395" s="7" t="n">
        <v>0</v>
      </c>
      <c r="AF395" s="6">
        <f>$T395*AE395</f>
        <v/>
      </c>
      <c r="AG395" s="7" t="n">
        <v>0</v>
      </c>
      <c r="AH395" s="6">
        <f>$T395*AG395</f>
        <v/>
      </c>
      <c r="AI395" s="7">
        <f>U395+W395+Y395+AA395+AC395+AE395+AG395</f>
        <v/>
      </c>
      <c r="AJ395" s="6">
        <f>V395+X395+Z395+AB395+AD395+AF395+AH395</f>
        <v/>
      </c>
    </row>
    <row r="396" ht="42" customHeight="1" s="46">
      <c r="A396" s="3" t="inlineStr">
        <is>
          <t>NP.IM.03</t>
        </is>
      </c>
      <c r="B396" s="4" t="inlineStr">
        <is>
          <t>1/1</t>
        </is>
      </c>
      <c r="C396" s="3" t="inlineStr">
        <is>
          <t>IMPIANTO MECCANICO</t>
        </is>
      </c>
      <c r="D396" s="4" t="inlineStr">
        <is>
          <t>SPECIALE</t>
        </is>
      </c>
      <c r="E396" s="4" t="inlineStr">
        <is>
          <t>MECCANICHE SPECIALI</t>
        </is>
      </c>
      <c r="F396" s="3" t="inlineStr">
        <is>
          <t>2_CME_TOTALE MECCANICI RADIOFARMACIA PAVIA.PDF</t>
        </is>
      </c>
      <c r="G396" s="4" t="inlineStr">
        <is>
          <t>86/86</t>
        </is>
      </c>
      <c r="H396" s="3" t="inlineStr">
        <is>
          <t>50 - INSTALLAZIONE</t>
        </is>
      </c>
      <c r="I396" s="3" t="inlineStr">
        <is>
          <t>CENTRALE</t>
        </is>
      </c>
      <c r="J396" s="3" t="inlineStr">
        <is>
          <t>IMPIANTO HVAC</t>
        </is>
      </c>
      <c r="K396" s="3" t="inlineStr">
        <is>
          <t>FORNITURA E POSA IN OPERA DI SISTEMA DI FILRAZIONE ASSOLUTA, COMPOSTO DA CONTENITORE TIPO CANISTER E N. 6 FILTRI ASSOLUTI H14 PER UNA PORTATA COMPLESSIVA DI 14.000 MC/H</t>
        </is>
      </c>
      <c r="L396" s="3" t="inlineStr">
        <is>
          <t>FORNITURA E POSA IN OPERA DI SISTEMA DI FILRAZIONE ASSOLUTA, COMPOSTO DA CONTENITORE TIPO CANISTER E N. 6 FILTRI ASSOLUTI H14 PER UNA PORTATA COMPLESSIVA DI 14.000 MC/H</t>
        </is>
      </c>
      <c r="M396" s="4" t="inlineStr">
        <is>
          <t>CADAUNO</t>
        </is>
      </c>
      <c r="N396" s="5" t="n">
        <v>1</v>
      </c>
      <c r="O396" s="45" t="n">
        <v>10791.34</v>
      </c>
      <c r="P396" s="45" t="n">
        <v>10791.34</v>
      </c>
      <c r="Q396" s="5" t="n"/>
      <c r="R396" s="6" t="n"/>
      <c r="S396" s="6">
        <f>IF(AND(Q396&lt;&gt;"",R396&lt;&gt;""),Q396*R396,"")</f>
        <v/>
      </c>
      <c r="T396" s="45">
        <f>IF(S396="",P396,S396)</f>
        <v/>
      </c>
      <c r="U396" s="7" t="n">
        <v>0</v>
      </c>
      <c r="V396" s="6">
        <f>$T396*U396</f>
        <v/>
      </c>
      <c r="W396" s="7" t="n">
        <v>0.4</v>
      </c>
      <c r="X396" s="6">
        <f>$T396*W396</f>
        <v/>
      </c>
      <c r="Y396" s="7" t="n">
        <v>0</v>
      </c>
      <c r="Z396" s="6">
        <f>$T396*Y396</f>
        <v/>
      </c>
      <c r="AA396" s="7" t="n">
        <v>0</v>
      </c>
      <c r="AB396" s="6">
        <f>$T396*AA396</f>
        <v/>
      </c>
      <c r="AC396" s="7" t="n">
        <v>0</v>
      </c>
      <c r="AD396" s="6">
        <f>$T396*AC396</f>
        <v/>
      </c>
      <c r="AE396" s="7" t="n">
        <v>0</v>
      </c>
      <c r="AF396" s="6">
        <f>$T396*AE396</f>
        <v/>
      </c>
      <c r="AG396" s="7" t="n">
        <v>0</v>
      </c>
      <c r="AH396" s="6">
        <f>$T396*AG396</f>
        <v/>
      </c>
      <c r="AI396" s="7">
        <f>U396+W396+Y396+AA396+AC396+AE396+AG396</f>
        <v/>
      </c>
      <c r="AJ396" s="6">
        <f>V396+X396+Z396+AB396+AD396+AF396+AH396</f>
        <v/>
      </c>
    </row>
    <row r="397" hidden="1" ht="60" customHeight="1" s="46">
      <c r="A397" s="3" t="inlineStr">
        <is>
          <t>LOM251.OC.EEA.PA29.F7405.SB003.0280</t>
        </is>
      </c>
      <c r="B397" s="4" t="inlineStr">
        <is>
          <t>1/1</t>
        </is>
      </c>
      <c r="C397" s="3" t="inlineStr">
        <is>
          <t>IMPIANTO MECCANICO</t>
        </is>
      </c>
      <c r="D397" s="4" t="inlineStr">
        <is>
          <t>SPECIALE</t>
        </is>
      </c>
      <c r="E397" s="4" t="inlineStr">
        <is>
          <t>MECCANICHE SPECIALI</t>
        </is>
      </c>
      <c r="F397" s="3" t="inlineStr">
        <is>
          <t>2_CME_TOTALE MECCANICI RADIOFARMACIA PAVIA.PDF</t>
        </is>
      </c>
      <c r="G397" s="4" t="inlineStr">
        <is>
          <t>88/88</t>
        </is>
      </c>
      <c r="H397" s="3" t="inlineStr">
        <is>
          <t>50 - INSTALLAZIONE</t>
        </is>
      </c>
      <c r="I397" s="3" t="inlineStr">
        <is>
          <t>CENTRALE</t>
        </is>
      </c>
      <c r="J397" s="3" t="inlineStr">
        <is>
          <t>IMPIANTO HVAC</t>
        </is>
      </c>
      <c r="K397" s="3" t="inlineStr">
        <is>
          <t>OPERA: SERRANDA DI REGOLAZIONE, RETTANGOLARE DI LEGA FERROSA ACCIAIO ZINCATO; FUNZIONE: DISTRIBUZIONE ARIA; IMPIEGO: IMPIANTO DI CLIMATIZZAZIONE; SUPERFICIE [M²] = 0,41 ÷ 0,6. INCLUSO: COMANDO MANUALE</t>
        </is>
      </c>
      <c r="L397" s="3" t="inlineStr">
        <is>
          <t>OPERA: SERRANDA DI REGOLAZIONE, RETTANGOLARE DI LEGA FERROSA ACCIAIO ZINCATO; FUNZIONE: DISTRIBUZIONE ARIA; IMPIEGO: IMPIANTO DI CLIMATIZZAZIONE; SUPERFICIE [M²] = 0,41 ÷ 0,6. INCLUSO: COMANDO MANUALE. 
LAVORO: MONTAGGIO. OP SERRANDA DI REGOLAZIONE, RETTANGOLARE DI LEGA FERROSA ACCIAIO ZINCATO; FUNZIONE: DISTRIBUZIONE ARIA; IMPIEGO: IMPIANTO DI CLIMATIZZAZIONE; SUPERFICIE [M²] = 0,41 ÷ 0,6. INCLUSO: COMANDO MANUALE. 
RM SERRANDA DI REGOLAZIONE RETTANGOLARE DI LEGA FERROSA ACCIAIO ZINCATO; FUNZIONE: DISTRIBUZIONE ARIA; IMPIEGO: IMPIANTO DI CLIMATIZZAZIONE; SUPERFICIE [M²] = 0,41 ÷ 0,6. COMPONENTI: ALETTA, TENUTA LATERALE. INCLUSO: COMANDO MANUALE 
LV MONTAGGIO.</t>
        </is>
      </c>
      <c r="M397" s="4" t="inlineStr">
        <is>
          <t>M²</t>
        </is>
      </c>
      <c r="N397" s="5" t="n">
        <v>1</v>
      </c>
      <c r="O397" s="45" t="n">
        <v>426.91</v>
      </c>
      <c r="P397" s="45" t="n">
        <v>426.91</v>
      </c>
      <c r="Q397" s="5" t="n"/>
      <c r="R397" s="6" t="n"/>
      <c r="S397" s="6">
        <f>IF(AND(Q397&lt;&gt;"",R397&lt;&gt;""),Q397*R397,"")</f>
        <v/>
      </c>
      <c r="T397" s="45">
        <f>IF(S397="",P397,S397)</f>
        <v/>
      </c>
      <c r="U397" s="7" t="n">
        <v>0</v>
      </c>
      <c r="V397" s="6">
        <f>$T397*U397</f>
        <v/>
      </c>
      <c r="W397" s="7" t="n">
        <v>0</v>
      </c>
      <c r="X397" s="6">
        <f>$T397*W397</f>
        <v/>
      </c>
      <c r="Y397" s="7" t="n">
        <v>0</v>
      </c>
      <c r="Z397" s="6">
        <f>$T397*Y397</f>
        <v/>
      </c>
      <c r="AA397" s="7" t="n">
        <v>0</v>
      </c>
      <c r="AB397" s="6">
        <f>$T397*AA397</f>
        <v/>
      </c>
      <c r="AC397" s="7" t="n">
        <v>0</v>
      </c>
      <c r="AD397" s="6">
        <f>$T397*AC397</f>
        <v/>
      </c>
      <c r="AE397" s="7" t="n">
        <v>0</v>
      </c>
      <c r="AF397" s="6">
        <f>$T397*AE397</f>
        <v/>
      </c>
      <c r="AG397" s="7" t="n">
        <v>0</v>
      </c>
      <c r="AH397" s="6">
        <f>$T397*AG397</f>
        <v/>
      </c>
      <c r="AI397" s="7">
        <f>U397+W397+Y397+AA397+AC397+AE397+AG397</f>
        <v/>
      </c>
      <c r="AJ397" s="6">
        <f>V397+X397+Z397+AB397+AD397+AF397+AH397</f>
        <v/>
      </c>
    </row>
    <row r="398" hidden="1" ht="60" customHeight="1" s="46">
      <c r="A398" s="3" t="inlineStr">
        <is>
          <t>LOM252.OC.EEA.PA02.G7605.ZA001.0015</t>
        </is>
      </c>
      <c r="B398" s="4" t="inlineStr">
        <is>
          <t>1/4</t>
        </is>
      </c>
      <c r="C398" s="3" t="inlineStr">
        <is>
          <t>IMPIANTO ELETTRICO</t>
        </is>
      </c>
      <c r="D398" s="4" t="inlineStr">
        <is>
          <t>NON SPECIALE</t>
        </is>
      </c>
      <c r="E398" s="4" t="inlineStr">
        <is>
          <t>ELETTRICHE</t>
        </is>
      </c>
      <c r="F398" s="3" t="inlineStr">
        <is>
          <t>3_CME IE RADIOFARMACIA PAVIA - REV02 VARIANTE ESECUTIVA.PDF</t>
        </is>
      </c>
      <c r="G398" s="4" t="inlineStr">
        <is>
          <t>99/99</t>
        </is>
      </c>
      <c r="H398" s="3" t="inlineStr">
        <is>
          <t>40 - IMPIANTISTICO</t>
        </is>
      </c>
      <c r="I398" s="3" t="inlineStr">
        <is>
          <t>CABINA DI CONSEGNA MT</t>
        </is>
      </c>
      <c r="J398" s="3" t="inlineStr">
        <is>
          <t>IMPIANTO DI MESSA A TERRA</t>
        </is>
      </c>
      <c r="K398" s="3" t="inlineStr">
        <is>
          <t xml:space="preserve">OPERA: CORDA; IMPIEGO: IMPIANTO DI TERRA; SEZIONE [MM²] = 50. </t>
        </is>
      </c>
      <c r="L398" s="3" t="inlineStr">
        <is>
          <t>OPERA: CORDA; IMPIEGO: IMPIANTO DI TERRA; SEZIONE [MM²] = 50. 
LAVORO: POSA. 
SPECIFICHE TECNICHE: CORDA DI RAME NUDA. OP CORDA; IMPIEGO: IMPIANTO DI TERRA; SEZIONE [MM²] = 50. 
SPECIFICHE TECNICHE: CORDA DI RAME NUDA. 
RM CORDA DI LEGA RAME GENERICO; IMPIEGO: IMPIANTO DI TERRA; SEZIONE [MM²] = 50 
SPECIFICHE TECNICHE: CORDA DI RAME NUDA 
LV POSA.
[DIMENSIONI: 30,00]</t>
        </is>
      </c>
      <c r="M398" s="4" t="inlineStr">
        <is>
          <t>M</t>
        </is>
      </c>
      <c r="N398" s="5" t="n">
        <v>30</v>
      </c>
      <c r="O398" s="45" t="n">
        <v>10</v>
      </c>
      <c r="P398" s="45" t="n">
        <v>300</v>
      </c>
      <c r="Q398" s="5" t="n"/>
      <c r="R398" s="6" t="n"/>
      <c r="S398" s="6">
        <f>IF(AND(Q398&lt;&gt;"",R398&lt;&gt;""),Q398*R398,"")</f>
        <v/>
      </c>
      <c r="T398" s="45">
        <f>IF(S398="",P398,S398)</f>
        <v/>
      </c>
      <c r="U398" s="7" t="n">
        <v>0</v>
      </c>
      <c r="V398" s="6">
        <f>$T398*U398</f>
        <v/>
      </c>
      <c r="W398" s="7" t="n">
        <v>0</v>
      </c>
      <c r="X398" s="6">
        <f>$T398*W398</f>
        <v/>
      </c>
      <c r="Y398" s="7" t="n">
        <v>0</v>
      </c>
      <c r="Z398" s="6">
        <f>$T398*Y398</f>
        <v/>
      </c>
      <c r="AA398" s="7" t="n">
        <v>0</v>
      </c>
      <c r="AB398" s="6">
        <f>$T398*AA398</f>
        <v/>
      </c>
      <c r="AC398" s="7" t="n">
        <v>0</v>
      </c>
      <c r="AD398" s="6">
        <f>$T398*AC398</f>
        <v/>
      </c>
      <c r="AE398" s="7" t="n">
        <v>0</v>
      </c>
      <c r="AF398" s="6">
        <f>$T398*AE398</f>
        <v/>
      </c>
      <c r="AG398" s="7" t="n">
        <v>0</v>
      </c>
      <c r="AH398" s="6">
        <f>$T398*AG398</f>
        <v/>
      </c>
      <c r="AI398" s="7">
        <f>U398+W398+Y398+AA398+AC398+AE398+AG398</f>
        <v/>
      </c>
      <c r="AJ398" s="6">
        <f>V398+X398+Z398+AB398+AD398+AF398+AH398</f>
        <v/>
      </c>
    </row>
    <row r="399" hidden="1" ht="60" customHeight="1" s="46">
      <c r="A399" s="3" t="inlineStr">
        <is>
          <t>LOM252.OC.EEA.PA02.G7610.SB003.0005</t>
        </is>
      </c>
      <c r="B399" s="4" t="inlineStr">
        <is>
          <t>1/3</t>
        </is>
      </c>
      <c r="C399" s="3" t="inlineStr">
        <is>
          <t>IMPIANTO ELETTRICO</t>
        </is>
      </c>
      <c r="D399" s="4" t="inlineStr">
        <is>
          <t>NON SPECIALE</t>
        </is>
      </c>
      <c r="E399" s="4" t="inlineStr">
        <is>
          <t>ELETTRICHE</t>
        </is>
      </c>
      <c r="F399" s="3" t="inlineStr">
        <is>
          <t>3_CME IE RADIOFARMACIA PAVIA - REV02 VARIANTE ESECUTIVA.PDF</t>
        </is>
      </c>
      <c r="G399" s="4" t="inlineStr">
        <is>
          <t>100/100</t>
        </is>
      </c>
      <c r="H399" s="3" t="inlineStr">
        <is>
          <t>40 - IMPIANTISTICO</t>
        </is>
      </c>
      <c r="I399" s="3" t="inlineStr">
        <is>
          <t>CABINA DI CONSEGNA MT</t>
        </is>
      </c>
      <c r="J399" s="3" t="inlineStr">
        <is>
          <t>IMPIANTO DI MESSA A TERRA</t>
        </is>
      </c>
      <c r="K399" s="3" t="inlineStr">
        <is>
          <t>OPERA: DISPERSORE, A CROCE DI LEGA FERROSA ACCIAIO ZINCATO; IMPIEGO: ALLACCIAMENTI DI CORDE, TONDI, PIATTI E FUNI; LUNGHEZZA [M] = 1,5 | LARGHEZZA SEZIONE [MM] = 50 | LUNGHEZZA SEZIONE [MM] = 50 | SPE</t>
        </is>
      </c>
      <c r="L399" s="3" t="inlineStr">
        <is>
          <t>OPERA: DISPERSORE, A CROCE DI LEGA FERROSA ACCIAIO ZINCATO; IMPIEGO: ALLACCIAMENTI DI CORDE, TONDI, PIATTI E FUNI; LUNGHEZZA [M] = 1,5 | LARGHEZZA SEZIONE [MM] = 50 | LUNGHEZZA SEZIONE [MM] = 50 | SPESSORE SEZIONE [MM] = 5. 
LAVORO: POSA. OP DISPERSORE, A CROCE DI LEGA FERROSA ACCIAIO ZINCATO; IMPIEGO: ALLACCIAMENTI DI CORDE, TONDI, PIATTI E FUNI; LUNGHEZZA [M] = 1,5 | LARGHEZZA SEZIONE [MM] = 50 | LUNGHEZZA SEZIONE [MM] = 50 | SPESSORE SEZIONE [MM] = 5. 
RM DISPERSORE A CROCE DI LEGA FERROSA ACCIAIO ZINCATO; IMPIEGO: ALLACCIAMENTI DI CORDE, TONDI, PIATTI E FUNI; LUNGHEZZA [M] = 1,5 | LARGHEZZA SEZIONE [MM] = 50 | LUNGHEZZA SEZIONE [MM] = 50 | SPESSORE SEZIONE [MM] = 5. COMPONENTE: BANDIERA,  
LV POSA.</t>
        </is>
      </c>
      <c r="M399" s="4" t="inlineStr">
        <is>
          <t>CAD</t>
        </is>
      </c>
      <c r="N399" s="5" t="n">
        <v>4</v>
      </c>
      <c r="O399" s="45" t="n">
        <v>67.05</v>
      </c>
      <c r="P399" s="45" t="n">
        <v>268.2</v>
      </c>
      <c r="Q399" s="5" t="n"/>
      <c r="R399" s="6" t="n"/>
      <c r="S399" s="6">
        <f>IF(AND(Q399&lt;&gt;"",R399&lt;&gt;""),Q399*R399,"")</f>
        <v/>
      </c>
      <c r="T399" s="45">
        <f>IF(S399="",P399,S399)</f>
        <v/>
      </c>
      <c r="U399" s="7" t="n">
        <v>0</v>
      </c>
      <c r="V399" s="6">
        <f>$T399*U399</f>
        <v/>
      </c>
      <c r="W399" s="7" t="n">
        <v>0</v>
      </c>
      <c r="X399" s="6">
        <f>$T399*W399</f>
        <v/>
      </c>
      <c r="Y399" s="7" t="n">
        <v>0</v>
      </c>
      <c r="Z399" s="6">
        <f>$T399*Y399</f>
        <v/>
      </c>
      <c r="AA399" s="7" t="n">
        <v>0</v>
      </c>
      <c r="AB399" s="6">
        <f>$T399*AA399</f>
        <v/>
      </c>
      <c r="AC399" s="7" t="n">
        <v>0</v>
      </c>
      <c r="AD399" s="6">
        <f>$T399*AC399</f>
        <v/>
      </c>
      <c r="AE399" s="7" t="n">
        <v>0</v>
      </c>
      <c r="AF399" s="6">
        <f>$T399*AE399</f>
        <v/>
      </c>
      <c r="AG399" s="7" t="n">
        <v>0</v>
      </c>
      <c r="AH399" s="6">
        <f>$T399*AG399</f>
        <v/>
      </c>
      <c r="AI399" s="7">
        <f>U399+W399+Y399+AA399+AC399+AE399+AG399</f>
        <v/>
      </c>
      <c r="AJ399" s="6">
        <f>V399+X399+Z399+AB399+AD399+AF399+AH399</f>
        <v/>
      </c>
    </row>
    <row r="400" hidden="1" ht="60" customHeight="1" s="46">
      <c r="A400" s="3" t="inlineStr">
        <is>
          <t>DEIELE251_075016D</t>
        </is>
      </c>
      <c r="B400" s="4" t="inlineStr">
        <is>
          <t>1/5</t>
        </is>
      </c>
      <c r="C400" s="3" t="inlineStr">
        <is>
          <t>IMPIANTO ELETTRICO</t>
        </is>
      </c>
      <c r="D400" s="4" t="inlineStr">
        <is>
          <t>NON SPECIALE</t>
        </is>
      </c>
      <c r="E400" s="4" t="inlineStr">
        <is>
          <t>ELETTRICHE</t>
        </is>
      </c>
      <c r="F400" s="3" t="inlineStr">
        <is>
          <t>3_CME IE RADIOFARMACIA PAVIA - REV02 VARIANTE ESECUTIVA.PDF</t>
        </is>
      </c>
      <c r="G400" s="4" t="inlineStr">
        <is>
          <t>101/101</t>
        </is>
      </c>
      <c r="H400" s="3" t="inlineStr">
        <is>
          <t>40 - IMPIANTISTICO</t>
        </is>
      </c>
      <c r="I400" s="3" t="inlineStr">
        <is>
          <t>CABINA DI CONSEGNA MT</t>
        </is>
      </c>
      <c r="J400" s="3" t="inlineStr">
        <is>
          <t>IMPIANTO DI MESSA A TERRA</t>
        </is>
      </c>
      <c r="K400" s="3" t="inlineStr">
        <is>
          <t>BARRA EQUIPOTENZIALE INDUSTRIALE NUDA, CON VITERIA IN ACCIAIO INOSSIDABILE PER SERRAGGIO CAPICORDA, INSTALLATA A MURO COMPLETA DI ISOLATORI IN DUROPLASTICO ED ACCESSORI DI FISSAGGIO: IN ACCIAIO INOSSI</t>
        </is>
      </c>
      <c r="L400" s="3" t="inlineStr">
        <is>
          <t>BARRA EQUIPOTENZIALE INDUSTRIALE NUDA, CON VITERIA IN ACCIAIO INOSSIDABILE PER SERRAGGIO CAPICORDA, INSTALLATA A MURO COMPLETA DI ISOLATORI IN DUROPLASTICO ED ACCESSORI DI FISSAGGIO: IN ACCIAIO INOSSIDABILE, DIMENSIONI: 500 X 40 X 5 MM, PER 12 COLLEGAMENTI</t>
        </is>
      </c>
      <c r="M400" s="4" t="inlineStr">
        <is>
          <t>CAD</t>
        </is>
      </c>
      <c r="N400" s="5" t="n">
        <v>1</v>
      </c>
      <c r="O400" s="45" t="n">
        <v>151.8</v>
      </c>
      <c r="P400" s="45" t="n">
        <v>151.8</v>
      </c>
      <c r="Q400" s="5" t="n"/>
      <c r="R400" s="6" t="n"/>
      <c r="S400" s="6">
        <f>IF(AND(Q400&lt;&gt;"",R400&lt;&gt;""),Q400*R400,"")</f>
        <v/>
      </c>
      <c r="T400" s="45">
        <f>IF(S400="",P400,S400)</f>
        <v/>
      </c>
      <c r="U400" s="7" t="n">
        <v>0</v>
      </c>
      <c r="V400" s="6">
        <f>$T400*U400</f>
        <v/>
      </c>
      <c r="W400" s="7" t="n">
        <v>0</v>
      </c>
      <c r="X400" s="6">
        <f>$T400*W400</f>
        <v/>
      </c>
      <c r="Y400" s="7" t="n">
        <v>0</v>
      </c>
      <c r="Z400" s="6">
        <f>$T400*Y400</f>
        <v/>
      </c>
      <c r="AA400" s="7" t="n">
        <v>0</v>
      </c>
      <c r="AB400" s="6">
        <f>$T400*AA400</f>
        <v/>
      </c>
      <c r="AC400" s="7" t="n">
        <v>0</v>
      </c>
      <c r="AD400" s="6">
        <f>$T400*AC400</f>
        <v/>
      </c>
      <c r="AE400" s="7" t="n">
        <v>0</v>
      </c>
      <c r="AF400" s="6">
        <f>$T400*AE400</f>
        <v/>
      </c>
      <c r="AG400" s="7" t="n">
        <v>0</v>
      </c>
      <c r="AH400" s="6">
        <f>$T400*AG400</f>
        <v/>
      </c>
      <c r="AI400" s="7">
        <f>U400+W400+Y400+AA400+AC400+AE400+AG400</f>
        <v/>
      </c>
      <c r="AJ400" s="6">
        <f>V400+X400+Z400+AB400+AD400+AF400+AH400</f>
        <v/>
      </c>
    </row>
    <row r="401" hidden="1" ht="18" customHeight="1" s="46">
      <c r="A401" s="3" t="inlineStr">
        <is>
          <t>DEIELE251_015005</t>
        </is>
      </c>
      <c r="B401" s="4" t="inlineStr">
        <is>
          <t>1/3</t>
        </is>
      </c>
      <c r="C401" s="3" t="inlineStr">
        <is>
          <t>IMPIANTO ELETTRICO</t>
        </is>
      </c>
      <c r="D401" s="4" t="inlineStr">
        <is>
          <t>NON SPECIALE</t>
        </is>
      </c>
      <c r="E401" s="4" t="inlineStr">
        <is>
          <t>ELETTRICHE</t>
        </is>
      </c>
      <c r="F401" s="3" t="inlineStr">
        <is>
          <t>3_CME IE RADIOFARMACIA PAVIA - REV02 VARIANTE ESECUTIVA.PDF</t>
        </is>
      </c>
      <c r="G401" s="4" t="inlineStr">
        <is>
          <t>102/102</t>
        </is>
      </c>
      <c r="H401" s="3" t="inlineStr">
        <is>
          <t>40 - IMPIANTISTICO</t>
        </is>
      </c>
      <c r="I401" s="3" t="inlineStr">
        <is>
          <t>CABINA DI CONSEGNA MT</t>
        </is>
      </c>
      <c r="J401" s="3" t="inlineStr">
        <is>
          <t>IMPIANTO DI MESSA A TERRA</t>
        </is>
      </c>
      <c r="K401" s="3" t="inlineStr">
        <is>
          <t>COLLEGAMENTO EQUIPOTENZIALE PER VANO</t>
        </is>
      </c>
      <c r="L401" s="3" t="inlineStr">
        <is>
          <t>COLLEGAMENTO EQUIPOTENZIALE PER VANO</t>
        </is>
      </c>
      <c r="M401" s="4" t="inlineStr">
        <is>
          <t>CAD</t>
        </is>
      </c>
      <c r="N401" s="5" t="n">
        <v>1</v>
      </c>
      <c r="O401" s="45" t="n">
        <v>151.8</v>
      </c>
      <c r="P401" s="45" t="n">
        <v>151.8</v>
      </c>
      <c r="Q401" s="5" t="n"/>
      <c r="R401" s="6" t="n"/>
      <c r="S401" s="6">
        <f>IF(AND(Q401&lt;&gt;"",R401&lt;&gt;""),Q401*R401,"")</f>
        <v/>
      </c>
      <c r="T401" s="45">
        <f>IF(S401="",P401,S401)</f>
        <v/>
      </c>
      <c r="U401" s="7" t="n">
        <v>0</v>
      </c>
      <c r="V401" s="6">
        <f>$T401*U401</f>
        <v/>
      </c>
      <c r="W401" s="7" t="n">
        <v>0</v>
      </c>
      <c r="X401" s="6">
        <f>$T401*W401</f>
        <v/>
      </c>
      <c r="Y401" s="7" t="n">
        <v>0</v>
      </c>
      <c r="Z401" s="6">
        <f>$T401*Y401</f>
        <v/>
      </c>
      <c r="AA401" s="7" t="n">
        <v>0</v>
      </c>
      <c r="AB401" s="6">
        <f>$T401*AA401</f>
        <v/>
      </c>
      <c r="AC401" s="7" t="n">
        <v>0</v>
      </c>
      <c r="AD401" s="6">
        <f>$T401*AC401</f>
        <v/>
      </c>
      <c r="AE401" s="7" t="n">
        <v>0</v>
      </c>
      <c r="AF401" s="6">
        <f>$T401*AE401</f>
        <v/>
      </c>
      <c r="AG401" s="7" t="n">
        <v>0</v>
      </c>
      <c r="AH401" s="6">
        <f>$T401*AG401</f>
        <v/>
      </c>
      <c r="AI401" s="7">
        <f>U401+W401+Y401+AA401+AC401+AE401+AG401</f>
        <v/>
      </c>
      <c r="AJ401" s="6">
        <f>V401+X401+Z401+AB401+AD401+AF401+AH401</f>
        <v/>
      </c>
    </row>
    <row r="402" hidden="1" ht="60" customHeight="1" s="46">
      <c r="A402" s="3" t="inlineStr">
        <is>
          <t>LOM252.OC.EEA.PA02.G7409.D0000.0255</t>
        </is>
      </c>
      <c r="B402" s="4" t="inlineStr">
        <is>
          <t>1/3</t>
        </is>
      </c>
      <c r="C402" s="3" t="inlineStr">
        <is>
          <t>IMPIANTO ELETTRICO</t>
        </is>
      </c>
      <c r="D402" s="4" t="inlineStr">
        <is>
          <t>NON SPECIALE</t>
        </is>
      </c>
      <c r="E402" s="4" t="inlineStr">
        <is>
          <t>ELETTRICHE</t>
        </is>
      </c>
      <c r="F402" s="3" t="inlineStr">
        <is>
          <t>3_CME IE RADIOFARMACIA PAVIA - REV02 VARIANTE ESECUTIVA.PDF</t>
        </is>
      </c>
      <c r="G402" s="4" t="inlineStr">
        <is>
          <t>103/103</t>
        </is>
      </c>
      <c r="H402" s="3" t="inlineStr">
        <is>
          <t>40 - IMPIANTISTICO</t>
        </is>
      </c>
      <c r="I402" s="3" t="inlineStr">
        <is>
          <t>CABINA DI CONSEGNA MT</t>
        </is>
      </c>
      <c r="J402" s="3" t="inlineStr">
        <is>
          <t>DISTRIBUZIONE SECONDARIA</t>
        </is>
      </c>
      <c r="K402" s="3" t="inlineStr">
        <is>
          <t xml:space="preserve">OPERA: TUBO, RIGIDO DI PLASTICA GENERICO; IMPIEGO: TUBAZIONI ELETTRICHE; DIAMETRO [MM] = 20. </t>
        </is>
      </c>
      <c r="L402" s="3" t="inlineStr">
        <is>
          <t>OPERA: TUBO, RIGIDO DI PLASTICA GENERICO; IMPIEGO: TUBAZIONI ELETTRICHE; DIAMETRO [MM] = 20. 
LAVORO: POSA. 
SPECIFICHE TECNICHE: PER INSTALLAZIONE A VISTA, CON MARCHIO IMQ, AUTOESTINQUENTE. OP TUBO, RIGIDO DI PLASTICA GENERICO; IMPIEGO: TUBAZIONI ELETTRICHE; DIAMETRO [MM] = 20. 
SPECIFICHE TECNICHE: PER INSTALLAZIONE A VISTA, CON MARCHIO IMQ, AUTOESTINQUENTE. 
RM TUBO RIGIDO DI PLASTICA GENERICO; IMPIEGO: TUBAZIONI ELETTRICHE; DIAMETRO (Ø) [MM] = 20 
SPECIFICHE TECNICHE: PER INSTALLAZIONE A VISTA, CON MARCHIO IMQ, AUTOESTINQUENTE 
LV POSA.
[DIMENSIONI: 30,00]</t>
        </is>
      </c>
      <c r="M402" s="4" t="inlineStr">
        <is>
          <t>M</t>
        </is>
      </c>
      <c r="N402" s="5" t="n">
        <v>30</v>
      </c>
      <c r="O402" s="45" t="n">
        <v>6.96</v>
      </c>
      <c r="P402" s="45" t="n">
        <v>208.8</v>
      </c>
      <c r="Q402" s="5" t="n"/>
      <c r="R402" s="6" t="n"/>
      <c r="S402" s="6">
        <f>IF(AND(Q402&lt;&gt;"",R402&lt;&gt;""),Q402*R402,"")</f>
        <v/>
      </c>
      <c r="T402" s="45">
        <f>IF(S402="",P402,S402)</f>
        <v/>
      </c>
      <c r="U402" s="7" t="n">
        <v>0</v>
      </c>
      <c r="V402" s="6">
        <f>$T402*U402</f>
        <v/>
      </c>
      <c r="W402" s="7" t="n">
        <v>0</v>
      </c>
      <c r="X402" s="6">
        <f>$T402*W402</f>
        <v/>
      </c>
      <c r="Y402" s="7" t="n">
        <v>0</v>
      </c>
      <c r="Z402" s="6">
        <f>$T402*Y402</f>
        <v/>
      </c>
      <c r="AA402" s="7" t="n">
        <v>0</v>
      </c>
      <c r="AB402" s="6">
        <f>$T402*AA402</f>
        <v/>
      </c>
      <c r="AC402" s="7" t="n">
        <v>0</v>
      </c>
      <c r="AD402" s="6">
        <f>$T402*AC402</f>
        <v/>
      </c>
      <c r="AE402" s="7" t="n">
        <v>0</v>
      </c>
      <c r="AF402" s="6">
        <f>$T402*AE402</f>
        <v/>
      </c>
      <c r="AG402" s="7" t="n">
        <v>0</v>
      </c>
      <c r="AH402" s="6">
        <f>$T402*AG402</f>
        <v/>
      </c>
      <c r="AI402" s="7">
        <f>U402+W402+Y402+AA402+AC402+AE402+AG402</f>
        <v/>
      </c>
      <c r="AJ402" s="6">
        <f>V402+X402+Z402+AB402+AD402+AF402+AH402</f>
        <v/>
      </c>
    </row>
    <row r="403" hidden="1" ht="60" customHeight="1" s="46">
      <c r="A403" s="3" t="inlineStr">
        <is>
          <t>LOM252.OC.EEA.PA02.G7409.D0000.0260</t>
        </is>
      </c>
      <c r="B403" s="4" t="inlineStr">
        <is>
          <t>1/3</t>
        </is>
      </c>
      <c r="C403" s="3" t="inlineStr">
        <is>
          <t>IMPIANTO ELETTRICO</t>
        </is>
      </c>
      <c r="D403" s="4" t="inlineStr">
        <is>
          <t>NON SPECIALE</t>
        </is>
      </c>
      <c r="E403" s="4" t="inlineStr">
        <is>
          <t>ELETTRICHE</t>
        </is>
      </c>
      <c r="F403" s="3" t="inlineStr">
        <is>
          <t>3_CME IE RADIOFARMACIA PAVIA - REV02 VARIANTE ESECUTIVA.PDF</t>
        </is>
      </c>
      <c r="G403" s="4" t="inlineStr">
        <is>
          <t>104/104</t>
        </is>
      </c>
      <c r="H403" s="3" t="inlineStr">
        <is>
          <t>40 - IMPIANTISTICO</t>
        </is>
      </c>
      <c r="I403" s="3" t="inlineStr">
        <is>
          <t>CABINA DI CONSEGNA MT</t>
        </is>
      </c>
      <c r="J403" s="3" t="inlineStr">
        <is>
          <t>DISTRIBUZIONE SECONDARIA</t>
        </is>
      </c>
      <c r="K403" s="3" t="inlineStr">
        <is>
          <t xml:space="preserve">OPERA: TUBO, RIGIDO DI PLASTICA GENERICO; IMPIEGO: TUBAZIONI ELETTRICHE; DIAMETRO [MM] = 25. </t>
        </is>
      </c>
      <c r="L403" s="3" t="inlineStr">
        <is>
          <t>OPERA: TUBO, RIGIDO DI PLASTICA GENERICO; IMPIEGO: TUBAZIONI ELETTRICHE; DIAMETRO [MM] = 25. 
LAVORO: POSA. 
SPECIFICHE TECNICHE: PER INSTALLAZIONE A VISTA, CON MARCHIO IMQ, AUTOESTINQUENTE. OP TUBO, RIGIDO DI PLASTICA GENERICO; IMPIEGO: TUBAZIONI ELETTRICHE; DIAMETRO [MM] = 25. 
SPECIFICHE TECNICHE: PER INSTALLAZIONE A VISTA, CON MARCHIO IMQ, AUTOESTINQUENTE. 
RM TUBO RIGIDO DI PLASTICA GENERICO; IMPIEGO: TUBAZIONI ELETTRICHE; DIAMETRO (Ø) [MM] = 25 
SPECIFICHE TECNICHE: PER INSTALLAZIONE A VISTA, CON MARCHIO IMQ, AUTOESTINQUENTE 
LV POSA.
[DIMENSIONI: 20,00]</t>
        </is>
      </c>
      <c r="M403" s="4" t="inlineStr">
        <is>
          <t>M</t>
        </is>
      </c>
      <c r="N403" s="5" t="n">
        <v>20</v>
      </c>
      <c r="O403" s="45" t="n">
        <v>8.23</v>
      </c>
      <c r="P403" s="45" t="n">
        <v>164.6</v>
      </c>
      <c r="Q403" s="5" t="n"/>
      <c r="R403" s="6" t="n"/>
      <c r="S403" s="6">
        <f>IF(AND(Q403&lt;&gt;"",R403&lt;&gt;""),Q403*R403,"")</f>
        <v/>
      </c>
      <c r="T403" s="45">
        <f>IF(S403="",P403,S403)</f>
        <v/>
      </c>
      <c r="U403" s="7" t="n">
        <v>0</v>
      </c>
      <c r="V403" s="6">
        <f>$T403*U403</f>
        <v/>
      </c>
      <c r="W403" s="7" t="n">
        <v>0</v>
      </c>
      <c r="X403" s="6">
        <f>$T403*W403</f>
        <v/>
      </c>
      <c r="Y403" s="7" t="n">
        <v>0</v>
      </c>
      <c r="Z403" s="6">
        <f>$T403*Y403</f>
        <v/>
      </c>
      <c r="AA403" s="7" t="n">
        <v>0</v>
      </c>
      <c r="AB403" s="6">
        <f>$T403*AA403</f>
        <v/>
      </c>
      <c r="AC403" s="7" t="n">
        <v>0</v>
      </c>
      <c r="AD403" s="6">
        <f>$T403*AC403</f>
        <v/>
      </c>
      <c r="AE403" s="7" t="n">
        <v>0</v>
      </c>
      <c r="AF403" s="6">
        <f>$T403*AE403</f>
        <v/>
      </c>
      <c r="AG403" s="7" t="n">
        <v>0</v>
      </c>
      <c r="AH403" s="6">
        <f>$T403*AG403</f>
        <v/>
      </c>
      <c r="AI403" s="7">
        <f>U403+W403+Y403+AA403+AC403+AE403+AG403</f>
        <v/>
      </c>
      <c r="AJ403" s="6">
        <f>V403+X403+Z403+AB403+AD403+AF403+AH403</f>
        <v/>
      </c>
    </row>
    <row r="404" hidden="1" ht="60" customHeight="1" s="46">
      <c r="A404" s="3" t="inlineStr">
        <is>
          <t>LOM252.OC.EEA.PA02.G7424.SC009.0610</t>
        </is>
      </c>
      <c r="B404" s="4" t="inlineStr">
        <is>
          <t>1/5</t>
        </is>
      </c>
      <c r="C404" s="3" t="inlineStr">
        <is>
          <t>IMPIANTO ELETTRICO</t>
        </is>
      </c>
      <c r="D404" s="4" t="inlineStr">
        <is>
          <t>NON SPECIALE</t>
        </is>
      </c>
      <c r="E404" s="4" t="inlineStr">
        <is>
          <t>ELETTRICHE</t>
        </is>
      </c>
      <c r="F404" s="3" t="inlineStr">
        <is>
          <t>3_CME IE RADIOFARMACIA PAVIA - REV02 VARIANTE ESECUTIVA.PDF</t>
        </is>
      </c>
      <c r="G404" s="4" t="inlineStr">
        <is>
          <t>105/105</t>
        </is>
      </c>
      <c r="H404" s="3" t="inlineStr">
        <is>
          <t>40 - IMPIANTISTICO</t>
        </is>
      </c>
      <c r="I404" s="3" t="inlineStr">
        <is>
          <t>CABINA DI CONSEGNA MT</t>
        </is>
      </c>
      <c r="J404" s="3" t="inlineStr">
        <is>
          <t>DISTRIBUZIONE SECONDARIA</t>
        </is>
      </c>
      <c r="K404" s="3" t="inlineStr">
        <is>
          <t xml:space="preserve">OPERA: CAVO, FG16OM16 DI LEGA RAME RICOTTO; GEOMETRIA: FLESSIBILE; SEZIONE NOMINALE [MM²] = 3X2,5; TENSIONE NOMINALE [KV] = 0,6/1; N° POLI [-] = 3P. </t>
        </is>
      </c>
      <c r="L404" s="3" t="inlineStr">
        <is>
          <t>OPERA: CAVO, FG16OM16 DI LEGA RAME RICOTTO; GEOMETRIA: FLESSIBILE; SEZIONE NOMINALE [MM²] = 3X2,5; TENSIONE NOMINALE [KV] = 0,6/1; N° POLI [-] = 3P. 
LAVORO: POSA. OP CAVO, FG16OM16 DI LEGA RAME RICOTTO; GEOMETRIA: FLESSIBILE; SEZIONE NOMINALE [MM²] = 3X2,5; TENSIONE NOMINALE UO/U [KV] = 0,6/1; N° POLI [-] = 3P. 
RM CAVO FG16OM16 DI LEGA RAME RICOTTO; GEOMETRIA: FLESSIBILE; SEZIONE NOMINALE [MM²] = 3X2,5; TENSIONE NOMINALE UO/U [KV] = 0,6/1; N° POLI [-] = 3P. COMPONENTI: ISOLANTE, GUAINA TERMOPLASTICA 
LV POSA.
[DIMENSIONI: 20,00]</t>
        </is>
      </c>
      <c r="M404" s="4" t="inlineStr">
        <is>
          <t>M</t>
        </is>
      </c>
      <c r="N404" s="5" t="n">
        <v>20</v>
      </c>
      <c r="O404" s="45" t="n">
        <v>4.94</v>
      </c>
      <c r="P404" s="45" t="n">
        <v>98.8</v>
      </c>
      <c r="Q404" s="5" t="n"/>
      <c r="R404" s="6" t="n"/>
      <c r="S404" s="6">
        <f>IF(AND(Q404&lt;&gt;"",R404&lt;&gt;""),Q404*R404,"")</f>
        <v/>
      </c>
      <c r="T404" s="45">
        <f>IF(S404="",P404,S404)</f>
        <v/>
      </c>
      <c r="U404" s="7" t="n">
        <v>0</v>
      </c>
      <c r="V404" s="6">
        <f>$T404*U404</f>
        <v/>
      </c>
      <c r="W404" s="7" t="n">
        <v>0</v>
      </c>
      <c r="X404" s="6">
        <f>$T404*W404</f>
        <v/>
      </c>
      <c r="Y404" s="7" t="n">
        <v>0</v>
      </c>
      <c r="Z404" s="6">
        <f>$T404*Y404</f>
        <v/>
      </c>
      <c r="AA404" s="7" t="n">
        <v>0</v>
      </c>
      <c r="AB404" s="6">
        <f>$T404*AA404</f>
        <v/>
      </c>
      <c r="AC404" s="7" t="n">
        <v>0</v>
      </c>
      <c r="AD404" s="6">
        <f>$T404*AC404</f>
        <v/>
      </c>
      <c r="AE404" s="7" t="n">
        <v>0</v>
      </c>
      <c r="AF404" s="6">
        <f>$T404*AE404</f>
        <v/>
      </c>
      <c r="AG404" s="7" t="n">
        <v>0</v>
      </c>
      <c r="AH404" s="6">
        <f>$T404*AG404</f>
        <v/>
      </c>
      <c r="AI404" s="7">
        <f>U404+W404+Y404+AA404+AC404+AE404+AG404</f>
        <v/>
      </c>
      <c r="AJ404" s="6">
        <f>V404+X404+Z404+AB404+AD404+AF404+AH404</f>
        <v/>
      </c>
    </row>
    <row r="405" hidden="1" ht="60" customHeight="1" s="46">
      <c r="A405" s="3" t="inlineStr">
        <is>
          <t>LOM252.OC.EEA.PA02.G7424.SC009.0615</t>
        </is>
      </c>
      <c r="B405" s="4" t="inlineStr">
        <is>
          <t>1/5</t>
        </is>
      </c>
      <c r="C405" s="3" t="inlineStr">
        <is>
          <t>IMPIANTO ELETTRICO</t>
        </is>
      </c>
      <c r="D405" s="4" t="inlineStr">
        <is>
          <t>NON SPECIALE</t>
        </is>
      </c>
      <c r="E405" s="4" t="inlineStr">
        <is>
          <t>ELETTRICHE</t>
        </is>
      </c>
      <c r="F405" s="3" t="inlineStr">
        <is>
          <t>3_CME IE RADIOFARMACIA PAVIA - REV02 VARIANTE ESECUTIVA.PDF</t>
        </is>
      </c>
      <c r="G405" s="4" t="inlineStr">
        <is>
          <t>106/106</t>
        </is>
      </c>
      <c r="H405" s="3" t="inlineStr">
        <is>
          <t>40 - IMPIANTISTICO</t>
        </is>
      </c>
      <c r="I405" s="3" t="inlineStr">
        <is>
          <t>CABINA DI CONSEGNA MT</t>
        </is>
      </c>
      <c r="J405" s="3" t="inlineStr">
        <is>
          <t>DISTRIBUZIONE SECONDARIA</t>
        </is>
      </c>
      <c r="K405" s="3" t="inlineStr">
        <is>
          <t xml:space="preserve">OPERA: CAVO, FG16OM16 DI LEGA RAME RICOTTO; GEOMETRIA: FLESSIBILE; SEZIONE NOMINALE [MM²] = 3X4; TENSIONE NOMINALE [KV] = 0,6/1; N° POLI [-] = 3P. </t>
        </is>
      </c>
      <c r="L405" s="3" t="inlineStr">
        <is>
          <t>OPERA: CAVO, FG16OM16 DI LEGA RAME RICOTTO; GEOMETRIA: FLESSIBILE; SEZIONE NOMINALE [MM²] = 3X4; TENSIONE NOMINALE [KV] = 0,6/1; N° POLI [-] = 3P. 
LAVORO: POSA. OP CAVO, FG16OM16 DI LEGA RAME RICOTTO; GEOMETRIA: FLESSIBILE; SEZIONE NOMINALE [MM²] = 3X4; TENSIONE NOMINALE UO/U [KV] = 0,6/1; N° POLI [-] = 3P. 
RM CAVO FG16OM16 DI LEGA RAME RICOTTO; GEOMETRIA: FLESSIBILE; SEZIONE NOMINALE [MM²] = 3X4; TENSIONE NOMINALE UO/U [KV] = 0,6/1; N° POLI [-] = 3P. COMPONENTI: ISOLANTE, GUAINA TERMOPLASTICA 
LV POSA.
[DIMENSIONI: 20,00]</t>
        </is>
      </c>
      <c r="M405" s="4" t="inlineStr">
        <is>
          <t>M</t>
        </is>
      </c>
      <c r="N405" s="5" t="n">
        <v>20</v>
      </c>
      <c r="O405" s="45" t="n">
        <v>5.81</v>
      </c>
      <c r="P405" s="45" t="n">
        <v>116.2</v>
      </c>
      <c r="Q405" s="5" t="n"/>
      <c r="R405" s="6" t="n"/>
      <c r="S405" s="6">
        <f>IF(AND(Q405&lt;&gt;"",R405&lt;&gt;""),Q405*R405,"")</f>
        <v/>
      </c>
      <c r="T405" s="45">
        <f>IF(S405="",P405,S405)</f>
        <v/>
      </c>
      <c r="U405" s="7" t="n">
        <v>0</v>
      </c>
      <c r="V405" s="6">
        <f>$T405*U405</f>
        <v/>
      </c>
      <c r="W405" s="7" t="n">
        <v>0</v>
      </c>
      <c r="X405" s="6">
        <f>$T405*W405</f>
        <v/>
      </c>
      <c r="Y405" s="7" t="n">
        <v>0</v>
      </c>
      <c r="Z405" s="6">
        <f>$T405*Y405</f>
        <v/>
      </c>
      <c r="AA405" s="7" t="n">
        <v>0</v>
      </c>
      <c r="AB405" s="6">
        <f>$T405*AA405</f>
        <v/>
      </c>
      <c r="AC405" s="7" t="n">
        <v>0</v>
      </c>
      <c r="AD405" s="6">
        <f>$T405*AC405</f>
        <v/>
      </c>
      <c r="AE405" s="7" t="n">
        <v>0</v>
      </c>
      <c r="AF405" s="6">
        <f>$T405*AE405</f>
        <v/>
      </c>
      <c r="AG405" s="7" t="n">
        <v>0</v>
      </c>
      <c r="AH405" s="6">
        <f>$T405*AG405</f>
        <v/>
      </c>
      <c r="AI405" s="7">
        <f>U405+W405+Y405+AA405+AC405+AE405+AG405</f>
        <v/>
      </c>
      <c r="AJ405" s="6">
        <f>V405+X405+Z405+AB405+AD405+AF405+AH405</f>
        <v/>
      </c>
    </row>
    <row r="406" hidden="1" ht="60" customHeight="1" s="46">
      <c r="A406" s="3" t="inlineStr">
        <is>
          <t>LOM252.OC.EEA.PA01.G8237.ZA001.1025</t>
        </is>
      </c>
      <c r="B406" s="4" t="inlineStr">
        <is>
          <t>1/3</t>
        </is>
      </c>
      <c r="C406" s="3" t="inlineStr">
        <is>
          <t>IMPIANTO ELETTRICO</t>
        </is>
      </c>
      <c r="D406" s="4" t="inlineStr">
        <is>
          <t>NON SPECIALE</t>
        </is>
      </c>
      <c r="E406" s="4" t="inlineStr">
        <is>
          <t>ELETTRICHE</t>
        </is>
      </c>
      <c r="F406" s="3" t="inlineStr">
        <is>
          <t>3_CME IE RADIOFARMACIA PAVIA - REV02 VARIANTE ESECUTIVA.PDF</t>
        </is>
      </c>
      <c r="G406" s="4" t="inlineStr">
        <is>
          <t>107/107</t>
        </is>
      </c>
      <c r="H406" s="3" t="inlineStr">
        <is>
          <t>40 - IMPIANTISTICO</t>
        </is>
      </c>
      <c r="I406" s="3" t="inlineStr">
        <is>
          <t>CABINA DI CONSEGNA MT</t>
        </is>
      </c>
      <c r="J406" s="3" t="inlineStr">
        <is>
          <t>IMPIANTO DI ILLUMINAZIONE</t>
        </is>
      </c>
      <c r="K406" s="3" t="inlineStr">
        <is>
          <t>OPERA: DERIVAZIONE D'IMPIANTO PUNTO LUCE, INTERROTTO; GEOMETRIA: INTERRUTTORE UNIPOLARE; IMPIEGO: DERIVAZIONE D'IMPIANTO A VISTA A PARETE/A SOFFITTO; TENSIONE NOMINALE SPIA [V] = 230. INCLUSO: TUBO PR</t>
        </is>
      </c>
      <c r="L406" s="3" t="inlineStr">
        <is>
          <t>OPERA: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06" s="4" t="inlineStr">
        <is>
          <t>CAD</t>
        </is>
      </c>
      <c r="N406" s="5" t="n">
        <v>1</v>
      </c>
      <c r="O406" s="45" t="n">
        <v>91.72</v>
      </c>
      <c r="P406" s="45" t="n">
        <v>91.72</v>
      </c>
      <c r="Q406" s="5" t="n"/>
      <c r="R406" s="6" t="n"/>
      <c r="S406" s="6">
        <f>IF(AND(Q406&lt;&gt;"",R406&lt;&gt;""),Q406*R406,"")</f>
        <v/>
      </c>
      <c r="T406" s="45">
        <f>IF(S406="",P406,S406)</f>
        <v/>
      </c>
      <c r="U406" s="7" t="n">
        <v>0</v>
      </c>
      <c r="V406" s="6">
        <f>$T406*U406</f>
        <v/>
      </c>
      <c r="W406" s="7" t="n">
        <v>0</v>
      </c>
      <c r="X406" s="6">
        <f>$T406*W406</f>
        <v/>
      </c>
      <c r="Y406" s="7" t="n">
        <v>0</v>
      </c>
      <c r="Z406" s="6">
        <f>$T406*Y406</f>
        <v/>
      </c>
      <c r="AA406" s="7" t="n">
        <v>0</v>
      </c>
      <c r="AB406" s="6">
        <f>$T406*AA406</f>
        <v/>
      </c>
      <c r="AC406" s="7" t="n">
        <v>0</v>
      </c>
      <c r="AD406" s="6">
        <f>$T406*AC406</f>
        <v/>
      </c>
      <c r="AE406" s="7" t="n">
        <v>0</v>
      </c>
      <c r="AF406" s="6">
        <f>$T406*AE406</f>
        <v/>
      </c>
      <c r="AG406" s="7" t="n">
        <v>0</v>
      </c>
      <c r="AH406" s="6">
        <f>$T406*AG406</f>
        <v/>
      </c>
      <c r="AI406" s="7">
        <f>U406+W406+Y406+AA406+AC406+AE406+AG406</f>
        <v/>
      </c>
      <c r="AJ406" s="6">
        <f>V406+X406+Z406+AB406+AD406+AF406+AH406</f>
        <v/>
      </c>
    </row>
    <row r="407" hidden="1" ht="60" customHeight="1" s="46">
      <c r="A407" s="3" t="inlineStr">
        <is>
          <t>LOM252.OC.EEA.PA01.G8237.ZA001.0760</t>
        </is>
      </c>
      <c r="B407" s="4" t="inlineStr">
        <is>
          <t>1/6</t>
        </is>
      </c>
      <c r="C407" s="3" t="inlineStr">
        <is>
          <t>IMPIANTO ELETTRICO</t>
        </is>
      </c>
      <c r="D407" s="4" t="inlineStr">
        <is>
          <t>NON SPECIALE</t>
        </is>
      </c>
      <c r="E407" s="4" t="inlineStr">
        <is>
          <t>ELETTRICHE</t>
        </is>
      </c>
      <c r="F407" s="3" t="inlineStr">
        <is>
          <t>3_CME IE RADIOFARMACIA PAVIA - REV02 VARIANTE ESECUTIVA.PDF</t>
        </is>
      </c>
      <c r="G407" s="4" t="inlineStr">
        <is>
          <t>108/108</t>
        </is>
      </c>
      <c r="H407" s="3" t="inlineStr">
        <is>
          <t>40 - IMPIANTISTICO</t>
        </is>
      </c>
      <c r="I407" s="3" t="inlineStr">
        <is>
          <t>CABINA DI CONSEGNA MT</t>
        </is>
      </c>
      <c r="J407" s="3" t="inlineStr">
        <is>
          <t>IMPIANTO DI ILLUMINAZIONE</t>
        </is>
      </c>
      <c r="K407" s="3" t="inlineStr">
        <is>
          <t>OPERA: DERIVAZIONE D'IMPIANTO PUNTO LUCE, IN PARALLELO; IMPIEGO: DERIVAZIONE D'IMPIANTO A VISTA A PARETE/A SOFFITTO. INCLUSO: TUBO PROTETTIVO; CONDUTTORI DI ALIMENTAZIONE E DI TERRA; SCATOLE DA INCASS</t>
        </is>
      </c>
      <c r="L407" s="3" t="inlineStr">
        <is>
          <t>OPERA: DERIVAZIONE D'IMPIANTO PUNTO LUCE, IN PARALLELO; IMPIEGO: DERIVAZIONE D'IMPIANTO A VISTA A PARETE/A SOFFITTO.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07" s="4" t="inlineStr">
        <is>
          <t>CAD</t>
        </is>
      </c>
      <c r="N407" s="5" t="n">
        <v>2</v>
      </c>
      <c r="O407" s="45" t="n">
        <v>39.63</v>
      </c>
      <c r="P407" s="45" t="n">
        <v>79.26000000000001</v>
      </c>
      <c r="Q407" s="5" t="n"/>
      <c r="R407" s="6" t="n"/>
      <c r="S407" s="6">
        <f>IF(AND(Q407&lt;&gt;"",R407&lt;&gt;""),Q407*R407,"")</f>
        <v/>
      </c>
      <c r="T407" s="45">
        <f>IF(S407="",P407,S407)</f>
        <v/>
      </c>
      <c r="U407" s="7" t="n">
        <v>0</v>
      </c>
      <c r="V407" s="6">
        <f>$T407*U407</f>
        <v/>
      </c>
      <c r="W407" s="7" t="n">
        <v>0</v>
      </c>
      <c r="X407" s="6">
        <f>$T407*W407</f>
        <v/>
      </c>
      <c r="Y407" s="7" t="n">
        <v>0</v>
      </c>
      <c r="Z407" s="6">
        <f>$T407*Y407</f>
        <v/>
      </c>
      <c r="AA407" s="7" t="n">
        <v>0</v>
      </c>
      <c r="AB407" s="6">
        <f>$T407*AA407</f>
        <v/>
      </c>
      <c r="AC407" s="7" t="n">
        <v>0</v>
      </c>
      <c r="AD407" s="6">
        <f>$T407*AC407</f>
        <v/>
      </c>
      <c r="AE407" s="7" t="n">
        <v>0</v>
      </c>
      <c r="AF407" s="6">
        <f>$T407*AE407</f>
        <v/>
      </c>
      <c r="AG407" s="7" t="n">
        <v>0</v>
      </c>
      <c r="AH407" s="6">
        <f>$T407*AG407</f>
        <v/>
      </c>
      <c r="AI407" s="7">
        <f>U407+W407+Y407+AA407+AC407+AE407+AG407</f>
        <v/>
      </c>
      <c r="AJ407" s="6">
        <f>V407+X407+Z407+AB407+AD407+AF407+AH407</f>
        <v/>
      </c>
    </row>
    <row r="408" hidden="1" ht="60" customHeight="1" s="46">
      <c r="A408" s="3" t="inlineStr">
        <is>
          <t>LOM252.OC.EEA.PA01.G8237.ZA001.0760</t>
        </is>
      </c>
      <c r="B408" s="4" t="inlineStr">
        <is>
          <t>2/6</t>
        </is>
      </c>
      <c r="C408" s="3" t="inlineStr">
        <is>
          <t>IMPIANTO ELETTRICO</t>
        </is>
      </c>
      <c r="D408" s="4" t="inlineStr">
        <is>
          <t>NON SPECIALE</t>
        </is>
      </c>
      <c r="E408" s="4" t="inlineStr">
        <is>
          <t>ELETTRICHE</t>
        </is>
      </c>
      <c r="F408" s="3" t="inlineStr">
        <is>
          <t>3_CME IE RADIOFARMACIA PAVIA - REV02 VARIANTE ESECUTIVA.PDF</t>
        </is>
      </c>
      <c r="G408" s="4" t="inlineStr">
        <is>
          <t>109/109</t>
        </is>
      </c>
      <c r="H408" s="3" t="inlineStr">
        <is>
          <t>40 - IMPIANTISTICO</t>
        </is>
      </c>
      <c r="I408" s="3" t="inlineStr">
        <is>
          <t>CABINA DI CONSEGNA MT</t>
        </is>
      </c>
      <c r="J408" s="3" t="inlineStr">
        <is>
          <t>IMPIANTO DI ILLUMINAZIONE</t>
        </is>
      </c>
      <c r="K408" s="3" t="inlineStr">
        <is>
          <t>OPERA: DERIVAZIONE D'IMPIANTO PUNTO LUCE, IN PARALLELO; IMPIEGO: DERIVAZIONE D'IMPIANTO A VISTA A PARETE/A SOFFITTO. INCLUSO: TUBO PROTETTIVO; CONDUTTORI DI ALIMENTAZIONE E DI TERRA; SCATOLE DA INCASS</t>
        </is>
      </c>
      <c r="L408" s="3" t="inlineStr">
        <is>
          <t>OPERA: DERIVAZIONE D'IMPIANTO PUNTO LUCE, IN PARALLELO; IMPIEGO: DERIVAZIONE D'IMPIANTO A VISTA A PARETE/A SOFFITTO.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08" s="4" t="inlineStr">
        <is>
          <t>CAD</t>
        </is>
      </c>
      <c r="N408" s="5" t="n">
        <v>2</v>
      </c>
      <c r="O408" s="45" t="n">
        <v>39.63</v>
      </c>
      <c r="P408" s="45" t="n">
        <v>79.26000000000001</v>
      </c>
      <c r="Q408" s="5" t="n"/>
      <c r="R408" s="6" t="n"/>
      <c r="S408" s="6">
        <f>IF(AND(Q408&lt;&gt;"",R408&lt;&gt;""),Q408*R408,"")</f>
        <v/>
      </c>
      <c r="T408" s="45">
        <f>IF(S408="",P408,S408)</f>
        <v/>
      </c>
      <c r="U408" s="7" t="n">
        <v>0</v>
      </c>
      <c r="V408" s="6">
        <f>$T408*U408</f>
        <v/>
      </c>
      <c r="W408" s="7" t="n">
        <v>0</v>
      </c>
      <c r="X408" s="6">
        <f>$T408*W408</f>
        <v/>
      </c>
      <c r="Y408" s="7" t="n">
        <v>0</v>
      </c>
      <c r="Z408" s="6">
        <f>$T408*Y408</f>
        <v/>
      </c>
      <c r="AA408" s="7" t="n">
        <v>0</v>
      </c>
      <c r="AB408" s="6">
        <f>$T408*AA408</f>
        <v/>
      </c>
      <c r="AC408" s="7" t="n">
        <v>0</v>
      </c>
      <c r="AD408" s="6">
        <f>$T408*AC408</f>
        <v/>
      </c>
      <c r="AE408" s="7" t="n">
        <v>0</v>
      </c>
      <c r="AF408" s="6">
        <f>$T408*AE408</f>
        <v/>
      </c>
      <c r="AG408" s="7" t="n">
        <v>0</v>
      </c>
      <c r="AH408" s="6">
        <f>$T408*AG408</f>
        <v/>
      </c>
      <c r="AI408" s="7">
        <f>U408+W408+Y408+AA408+AC408+AE408+AG408</f>
        <v/>
      </c>
      <c r="AJ408" s="6">
        <f>V408+X408+Z408+AB408+AD408+AF408+AH408</f>
        <v/>
      </c>
    </row>
    <row r="409" hidden="1" ht="60" customHeight="1" s="46">
      <c r="A409" s="3" t="inlineStr">
        <is>
          <t>LOM252.OC.EEA.PA01.G8210.ZA001.0590</t>
        </is>
      </c>
      <c r="B409" s="4" t="inlineStr">
        <is>
          <t>1/5</t>
        </is>
      </c>
      <c r="C409" s="3" t="inlineStr">
        <is>
          <t>IMPIANTO ELETTRICO</t>
        </is>
      </c>
      <c r="D409" s="4" t="inlineStr">
        <is>
          <t>NON SPECIALE</t>
        </is>
      </c>
      <c r="E409" s="4" t="inlineStr">
        <is>
          <t>ELETTRICHE</t>
        </is>
      </c>
      <c r="F409" s="3" t="inlineStr">
        <is>
          <t>3_CME IE RADIOFARMACIA PAVIA - REV02 VARIANTE ESECUTIVA.PDF</t>
        </is>
      </c>
      <c r="G409" s="4" t="inlineStr">
        <is>
          <t>110/110</t>
        </is>
      </c>
      <c r="H409" s="3" t="inlineStr">
        <is>
          <t>40 - IMPIANTISTICO</t>
        </is>
      </c>
      <c r="I409" s="3" t="inlineStr">
        <is>
          <t>CABINA DI CONSEGNA MT</t>
        </is>
      </c>
      <c r="J409" s="3" t="inlineStr">
        <is>
          <t>IMPIANTO DI ILLUMINAZIONE</t>
        </is>
      </c>
      <c r="K409" s="3" t="inlineStr">
        <is>
          <t>OPERA: CORPO ILLUMINANTE, LED; FUNZIONE: ILLUMINAZIONE DI EMERGENZA; AUTONOMIA [H] = 1 / 2 | FLUSSO LUMINOSO SE [LM] = 250 / 130 | FLUSSO LUMINOSO SA [LM] = 110. INCLUSO: LED MULTICOLORE. ESCLUSO: ACC</t>
        </is>
      </c>
      <c r="L409" s="3" t="inlineStr">
        <is>
          <t>OPERA: CORPO ILLUMINANTE, LED; FUNZIONE: ILLUMINAZIONE DI EMERGENZA; AUTONOMIA [H] = 1 / 2 | FLUSSO LUMINOSO SE [LM] = 250 / 130 | FLUSSO LUMINOSO SA [LM] = 110. INCLUSO: LED MULTICOLORE. ESCLUSO: ACCESSORIO MODULO AGGIUNTIVO. 
LAVORO: INSTALLAZIONE.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OP CORPO ILLUMINANTE, LED; FUNZIONE: ILLUMINAZIONE DI EMERGENZA; AUTONOMIA [H] = 1 / 2 | FLUSSO LUMINOSO SE [LM] = 250 / 130 | FLUSSO LUMINOSO SA [LM] = 110.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RM CORPO ILLUMINANTE LED; FUNZIONE: ILLUMINAZIONE DI EMERGENZA; AUTONOMIA [H] = 1 / 2 | FLUSSO LUMINOSO SE [LM] = 250 / 130 | FLUSSO LUMINOSO SA [LM] = 110. COMPONENTE: BATTERIA TITANIO, .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LV INSTALLAZIONE.</t>
        </is>
      </c>
      <c r="M409" s="4" t="inlineStr">
        <is>
          <t>CAD</t>
        </is>
      </c>
      <c r="N409" s="5" t="n">
        <v>2</v>
      </c>
      <c r="O409" s="45" t="n">
        <v>90.79000000000001</v>
      </c>
      <c r="P409" s="45" t="n">
        <v>181.58</v>
      </c>
      <c r="Q409" s="5" t="n"/>
      <c r="R409" s="6" t="n"/>
      <c r="S409" s="6">
        <f>IF(AND(Q409&lt;&gt;"",R409&lt;&gt;""),Q409*R409,"")</f>
        <v/>
      </c>
      <c r="T409" s="45">
        <f>IF(S409="",P409,S409)</f>
        <v/>
      </c>
      <c r="U409" s="7" t="n">
        <v>0</v>
      </c>
      <c r="V409" s="6">
        <f>$T409*U409</f>
        <v/>
      </c>
      <c r="W409" s="7" t="n">
        <v>0</v>
      </c>
      <c r="X409" s="6">
        <f>$T409*W409</f>
        <v/>
      </c>
      <c r="Y409" s="7" t="n">
        <v>0</v>
      </c>
      <c r="Z409" s="6">
        <f>$T409*Y409</f>
        <v/>
      </c>
      <c r="AA409" s="7" t="n">
        <v>0</v>
      </c>
      <c r="AB409" s="6">
        <f>$T409*AA409</f>
        <v/>
      </c>
      <c r="AC409" s="7" t="n">
        <v>0</v>
      </c>
      <c r="AD409" s="6">
        <f>$T409*AC409</f>
        <v/>
      </c>
      <c r="AE409" s="7" t="n">
        <v>0</v>
      </c>
      <c r="AF409" s="6">
        <f>$T409*AE409</f>
        <v/>
      </c>
      <c r="AG409" s="7" t="n">
        <v>0</v>
      </c>
      <c r="AH409" s="6">
        <f>$T409*AG409</f>
        <v/>
      </c>
      <c r="AI409" s="7">
        <f>U409+W409+Y409+AA409+AC409+AE409+AG409</f>
        <v/>
      </c>
      <c r="AJ409" s="6">
        <f>V409+X409+Z409+AB409+AD409+AF409+AH409</f>
        <v/>
      </c>
    </row>
    <row r="410" hidden="1" ht="60" customHeight="1" s="46">
      <c r="A410" s="3" t="inlineStr">
        <is>
          <t>IE_NP_ILLORD01</t>
        </is>
      </c>
      <c r="B410" s="4" t="inlineStr">
        <is>
          <t>1/5</t>
        </is>
      </c>
      <c r="C410" s="3" t="inlineStr">
        <is>
          <t>IMPIANTO ELETTRICO</t>
        </is>
      </c>
      <c r="D410" s="4" t="inlineStr">
        <is>
          <t>NON SPECIALE</t>
        </is>
      </c>
      <c r="E410" s="4" t="inlineStr">
        <is>
          <t>ELETTRICHE</t>
        </is>
      </c>
      <c r="F410" s="3" t="inlineStr">
        <is>
          <t>3_CME IE RADIOFARMACIA PAVIA - REV02 VARIANTE ESECUTIVA.PDF</t>
        </is>
      </c>
      <c r="G410" s="4" t="inlineStr">
        <is>
          <t>111/111</t>
        </is>
      </c>
      <c r="H410" s="3" t="inlineStr">
        <is>
          <t>40 - IMPIANTISTICO</t>
        </is>
      </c>
      <c r="I410" s="3" t="inlineStr">
        <is>
          <t>CABINA DI CONSEGNA MT</t>
        </is>
      </c>
      <c r="J410" s="3" t="inlineStr">
        <is>
          <t>IMPIANTO DI ILLUMINAZIONE</t>
        </is>
      </c>
      <c r="K410" s="3" t="inlineStr">
        <is>
          <t>FORNITURA E POSA IN OPERA DI APPARECCHIO ILLUMINANTE INDUSTRIALE DI TIPO STAGNO INSTALLATO A PLAFONE E/O A SOSPENSIONE E TUTTI GLI ACCESSORI NECESSARI PER IL PERFETTO FUNZIONAMENTO DEL CORPO ILLUMINAN</t>
        </is>
      </c>
      <c r="L410" s="3" t="inlineStr">
        <is>
          <t>FORNITURA E POSA IN OPERA DI APPARECCHIO ILLUMINANTE INDUSTRIALE DI TIPO STAGNO INSTALLATO A PLAFONE E/O A SOSPENSIONE E TUTTI GLI ACCESSORI NECESSARI PER IL PERFETTO FUNZIONAMENTO DEL CORPO ILLUMINANTE. 
CARATTERISTICHE GENERALI: 
CLASSIFICAZIONE RISCHIO FOTOBIOLOGICO: RG0 GRUPPO ESENTE. 
TEMPERATURA COLORE 4000K 
POTENZA ASSORBITA (W TOT) 34W 
FLUSSO LUMINOSO USCENTE 5194LM 
CRI &gt;=80 
CLASSE DI ISOLAMENTO I 
LOW FLICKER &lt;3% 
GRADO DI PROTEZIONE IP66 
PESO 1.8KG 
NORME DI RIFERIMENTO EN 60598-1, EN 60598-2-1, EN 62471, UNI EN 13032-1:2012, UNI EN 13032-4:2015, IES LM-79-08 
MANTENIMENTO DEL FLUSSO LUMINOSO LED L80B20: 50.000H  
CARATTERISTICHE ELETTRICHE DI PILOTAGGIO 
ALIMENTAZIONE ELETTRONICA 230V-50/60HZ, 
FATTORE DI POTENZA ≥0,95 
MATERIALI 
CORPO: STAMPATO AD INIEZIONE IN POLICARBONATO GRIGIO, INFRANGIBILE, STABILIZZATO AI RAGGI UV, DI ELEVATA RESISTENZA MECCANICA GRAZIE ALLA STRUTTURA RINFORZATA DA NERVATURE INTERNE. 
DIFFUSORE: STAMPATO AD INIEZIONE IN POLICARBONATO CON RIGHE INTERNE PER UN MAGGIOR CONTROLLO LUMINOSO, AUTOESTINGUENTE V2, STABILIZZATO AI RAGGI UV, FINITURA ESTERNA LISCIA PER FACILITARE LA PULIZIA NECESSARIA PER AVERE LA MASSIMA EFFICIENZA LUMINOSA. IL POLICARBONATO UTILIZZATO È DI PRIMA SCELTA E STABILIZZATO AI RAGGI U.V. LA LAVORAZIONE ELIMINA L’EFFETTO DELL’ABBAGLIAMENTO MA NON DIMINUISCE IL RENDIMENTO. POLICARBONATO CON OTTIMO COEFFICIENTE DI DIFFUSIONE E DI TRASMISSIONE DELLA LUCE. CHIUSURA A INCASTRO E CON VITI DI SICUREZZA IN ACCIAIO INOX. 
RIFLETTORE IN ACCIAIO ZINCATO PREVERNICIATO BIANCO A FORNO CON RESINA POLIESTERE STABILIZZATO AI RAGGI UV. FISSATO AL CORPO CON INNESTO RAPIDO MEDIANTE DISPOSITIVO RICAVATO DIRETTAMENTE SUL CORPO. 
SONO COMPRESI LA MANODOPERA, GLI ALLACCIAMENTI ELETTRICI, GLI ACCESSORI DI MONTAGGIO, FISSAGGIO, ALIMENTAZIONE, SOSTEGNO, OGNI ONERE ACCESSORIO PER L’INSTALLAZIONE DELLA PLAFONIERA COME DA PROGETTO E MATERIALI DI CONSUMO. 
APPARECCHIO DISANO - MODELLO 960 HYDRO LED - MONEY SAVING  - ART. 164754-00 O EQUIVALENTE APPROVATO</t>
        </is>
      </c>
      <c r="M410" s="4" t="inlineStr">
        <is>
          <t>CADAUNO</t>
        </is>
      </c>
      <c r="N410" s="5" t="n">
        <v>3</v>
      </c>
      <c r="O410" s="45" t="n">
        <v>91.81</v>
      </c>
      <c r="P410" s="45" t="n">
        <v>275.43</v>
      </c>
      <c r="Q410" s="5" t="n"/>
      <c r="R410" s="6" t="n"/>
      <c r="S410" s="6">
        <f>IF(AND(Q410&lt;&gt;"",R410&lt;&gt;""),Q410*R410,"")</f>
        <v/>
      </c>
      <c r="T410" s="45">
        <f>IF(S410="",P410,S410)</f>
        <v/>
      </c>
      <c r="U410" s="7" t="n">
        <v>0</v>
      </c>
      <c r="V410" s="6">
        <f>$T410*U410</f>
        <v/>
      </c>
      <c r="W410" s="7" t="n">
        <v>0</v>
      </c>
      <c r="X410" s="6">
        <f>$T410*W410</f>
        <v/>
      </c>
      <c r="Y410" s="7" t="n">
        <v>0</v>
      </c>
      <c r="Z410" s="6">
        <f>$T410*Y410</f>
        <v/>
      </c>
      <c r="AA410" s="7" t="n">
        <v>0</v>
      </c>
      <c r="AB410" s="6">
        <f>$T410*AA410</f>
        <v/>
      </c>
      <c r="AC410" s="7" t="n">
        <v>0</v>
      </c>
      <c r="AD410" s="6">
        <f>$T410*AC410</f>
        <v/>
      </c>
      <c r="AE410" s="7" t="n">
        <v>0</v>
      </c>
      <c r="AF410" s="6">
        <f>$T410*AE410</f>
        <v/>
      </c>
      <c r="AG410" s="7" t="n">
        <v>0</v>
      </c>
      <c r="AH410" s="6">
        <f>$T410*AG410</f>
        <v/>
      </c>
      <c r="AI410" s="7">
        <f>U410+W410+Y410+AA410+AC410+AE410+AG410</f>
        <v/>
      </c>
      <c r="AJ410" s="6">
        <f>V410+X410+Z410+AB410+AD410+AF410+AH410</f>
        <v/>
      </c>
    </row>
    <row r="411" hidden="1" ht="60" customHeight="1" s="46">
      <c r="A411" s="3" t="inlineStr">
        <is>
          <t>LOM252.OC.EEA.PA01.G8235.ZA001.0270</t>
        </is>
      </c>
      <c r="B411" s="4" t="inlineStr">
        <is>
          <t>1/4</t>
        </is>
      </c>
      <c r="C411" s="3" t="inlineStr">
        <is>
          <t>IMPIANTO ELETTRICO</t>
        </is>
      </c>
      <c r="D411" s="4" t="inlineStr">
        <is>
          <t>NON SPECIALE</t>
        </is>
      </c>
      <c r="E411" s="4" t="inlineStr">
        <is>
          <t>ELETTRICHE</t>
        </is>
      </c>
      <c r="F411" s="3" t="inlineStr">
        <is>
          <t>3_CME IE RADIOFARMACIA PAVIA - REV02 VARIANTE ESECUTIVA.PDF</t>
        </is>
      </c>
      <c r="G411" s="4" t="inlineStr">
        <is>
          <t>112/112</t>
        </is>
      </c>
      <c r="H411" s="3" t="inlineStr">
        <is>
          <t>40 - IMPIANTISTICO</t>
        </is>
      </c>
      <c r="I411" s="3" t="inlineStr">
        <is>
          <t>CABINA DI CONSEGNA MT</t>
        </is>
      </c>
      <c r="J411" s="3" t="inlineStr">
        <is>
          <t>IMPIANTO DI FORZA MOTRICE</t>
        </is>
      </c>
      <c r="K411" s="3" t="inlineStr">
        <is>
          <t>OPERA: DERIVAZIONE D'IMPIANTO PRESA, BIPASSO; FUNZIONE: PRESA DI CORRENTE; IMPIEGO: DERIVAZIONE D'IMPIANTO A VISTA A PARETE/A SOFFITTO; CORRENTE NOMINALE 1 [A] = 10 | CORRENTE NOMINALE 2 [A] = 16 | GR</t>
        </is>
      </c>
      <c r="L411" s="3" t="inlineStr">
        <is>
          <t>OPERA: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BIPASSO; FUNZIONE: PRESA DI CORRENTE; IMPIEGO: DERIVAZIONE D'IMPIANTO A VISTA A PARETE/A SOFFITTO; CORRENTE NOMINALE 1 [A] = 10 | CORRENTE NOMINALE 2 [A] = 16 | GRADO DI SICUREZZA [-] = 2.2; N° PRESE [-] = 2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11" s="4" t="inlineStr">
        <is>
          <t>CAD</t>
        </is>
      </c>
      <c r="N411" s="5" t="n">
        <v>2</v>
      </c>
      <c r="O411" s="45" t="n">
        <v>69.58</v>
      </c>
      <c r="P411" s="45" t="n">
        <v>139.16</v>
      </c>
      <c r="Q411" s="5" t="n"/>
      <c r="R411" s="6" t="n"/>
      <c r="S411" s="6">
        <f>IF(AND(Q411&lt;&gt;"",R411&lt;&gt;""),Q411*R411,"")</f>
        <v/>
      </c>
      <c r="T411" s="45">
        <f>IF(S411="",P411,S411)</f>
        <v/>
      </c>
      <c r="U411" s="7" t="n">
        <v>0</v>
      </c>
      <c r="V411" s="6">
        <f>$T411*U411</f>
        <v/>
      </c>
      <c r="W411" s="7" t="n">
        <v>0</v>
      </c>
      <c r="X411" s="6">
        <f>$T411*W411</f>
        <v/>
      </c>
      <c r="Y411" s="7" t="n">
        <v>0</v>
      </c>
      <c r="Z411" s="6">
        <f>$T411*Y411</f>
        <v/>
      </c>
      <c r="AA411" s="7" t="n">
        <v>0</v>
      </c>
      <c r="AB411" s="6">
        <f>$T411*AA411</f>
        <v/>
      </c>
      <c r="AC411" s="7" t="n">
        <v>0</v>
      </c>
      <c r="AD411" s="6">
        <f>$T411*AC411</f>
        <v/>
      </c>
      <c r="AE411" s="7" t="n">
        <v>0</v>
      </c>
      <c r="AF411" s="6">
        <f>$T411*AE411</f>
        <v/>
      </c>
      <c r="AG411" s="7" t="n">
        <v>0</v>
      </c>
      <c r="AH411" s="6">
        <f>$T411*AG411</f>
        <v/>
      </c>
      <c r="AI411" s="7">
        <f>U411+W411+Y411+AA411+AC411+AE411+AG411</f>
        <v/>
      </c>
      <c r="AJ411" s="6">
        <f>V411+X411+Z411+AB411+AD411+AF411+AH411</f>
        <v/>
      </c>
    </row>
    <row r="412" hidden="1" ht="60" customHeight="1" s="46">
      <c r="A412" s="3" t="inlineStr">
        <is>
          <t>LOM252.OC.EEA.PA02.G8231.ZA001.1000</t>
        </is>
      </c>
      <c r="B412" s="4" t="inlineStr">
        <is>
          <t>1/5</t>
        </is>
      </c>
      <c r="C412" s="3" t="inlineStr">
        <is>
          <t>IMPIANTO ELETTRICO</t>
        </is>
      </c>
      <c r="D412" s="4" t="inlineStr">
        <is>
          <t>NON SPECIALE</t>
        </is>
      </c>
      <c r="E412" s="4" t="inlineStr">
        <is>
          <t>ELETTRICHE</t>
        </is>
      </c>
      <c r="F412" s="3" t="inlineStr">
        <is>
          <t>3_CME IE RADIOFARMACIA PAVIA - REV02 VARIANTE ESECUTIVA.PDF</t>
        </is>
      </c>
      <c r="G412" s="4" t="inlineStr">
        <is>
          <t>113/113</t>
        </is>
      </c>
      <c r="H412" s="3" t="inlineStr">
        <is>
          <t>40 - IMPIANTISTICO</t>
        </is>
      </c>
      <c r="I412" s="3" t="inlineStr">
        <is>
          <t>CABINA DI CONSEGNA MT</t>
        </is>
      </c>
      <c r="J412" s="3" t="inlineStr">
        <is>
          <t>IMPIANTO DI FORZA MOTRICE</t>
        </is>
      </c>
      <c r="K412" s="3" t="inlineStr">
        <is>
          <t xml:space="preserve">OPERA: PRESA; CORRENTE NOMINALE [A] = 10/16; N° POLI [-] = 2P+T. </t>
        </is>
      </c>
      <c r="L412" s="3" t="inlineStr">
        <is>
          <t>OPERA: PRESA; CORRENTE NOMINALE [A] = 10/16; N° POLI [-] = 2P+T. 
LAVORO: POSA. 
SPECIFICHE TECNICHE: UNEL BIVALENTE MODULARE. OP PRESA; CORRENTE NOMINALE [A] = 10/16; N° POLI [-] = 2P+T. 
SPECIFICHE TECNICHE: UNEL BIVALENTE MODULARE. 
RM PRESA; CORRENTE NOMINALE [A] = 10/16; N° POLI [-] = 2P+T 
SPECIFICHE TECNICHE: UNEL BIVALENTE MODULARE 
LV POSA.</t>
        </is>
      </c>
      <c r="M412" s="4" t="inlineStr">
        <is>
          <t>CAD</t>
        </is>
      </c>
      <c r="N412" s="5" t="n">
        <v>2</v>
      </c>
      <c r="O412" s="45" t="n">
        <v>75.90000000000001</v>
      </c>
      <c r="P412" s="45" t="n">
        <v>151.8</v>
      </c>
      <c r="Q412" s="5" t="n"/>
      <c r="R412" s="6" t="n"/>
      <c r="S412" s="6">
        <f>IF(AND(Q412&lt;&gt;"",R412&lt;&gt;""),Q412*R412,"")</f>
        <v/>
      </c>
      <c r="T412" s="45">
        <f>IF(S412="",P412,S412)</f>
        <v/>
      </c>
      <c r="U412" s="7" t="n">
        <v>0</v>
      </c>
      <c r="V412" s="6">
        <f>$T412*U412</f>
        <v/>
      </c>
      <c r="W412" s="7" t="n">
        <v>0</v>
      </c>
      <c r="X412" s="6">
        <f>$T412*W412</f>
        <v/>
      </c>
      <c r="Y412" s="7" t="n">
        <v>0</v>
      </c>
      <c r="Z412" s="6">
        <f>$T412*Y412</f>
        <v/>
      </c>
      <c r="AA412" s="7" t="n">
        <v>0</v>
      </c>
      <c r="AB412" s="6">
        <f>$T412*AA412</f>
        <v/>
      </c>
      <c r="AC412" s="7" t="n">
        <v>0</v>
      </c>
      <c r="AD412" s="6">
        <f>$T412*AC412</f>
        <v/>
      </c>
      <c r="AE412" s="7" t="n">
        <v>0</v>
      </c>
      <c r="AF412" s="6">
        <f>$T412*AE412</f>
        <v/>
      </c>
      <c r="AG412" s="7" t="n">
        <v>0</v>
      </c>
      <c r="AH412" s="6">
        <f>$T412*AG412</f>
        <v/>
      </c>
      <c r="AI412" s="7">
        <f>U412+W412+Y412+AA412+AC412+AE412+AG412</f>
        <v/>
      </c>
      <c r="AJ412" s="6">
        <f>V412+X412+Z412+AB412+AD412+AF412+AH412</f>
        <v/>
      </c>
    </row>
    <row r="413" hidden="1" ht="60" customHeight="1" s="46">
      <c r="A413" s="3" t="inlineStr">
        <is>
          <t>LOM252.OC.EEA.PA02.G7605.ZA001.0015</t>
        </is>
      </c>
      <c r="B413" s="4" t="inlineStr">
        <is>
          <t>2/4</t>
        </is>
      </c>
      <c r="C413" s="3" t="inlineStr">
        <is>
          <t>IMPIANTO ELETTRICO</t>
        </is>
      </c>
      <c r="D413" s="4" t="inlineStr">
        <is>
          <t>NON SPECIALE</t>
        </is>
      </c>
      <c r="E413" s="4" t="inlineStr">
        <is>
          <t>ELETTRICHE</t>
        </is>
      </c>
      <c r="F413" s="3" t="inlineStr">
        <is>
          <t>3_CME IE RADIOFARMACIA PAVIA - REV02 VARIANTE ESECUTIVA.PDF</t>
        </is>
      </c>
      <c r="G413" s="4" t="inlineStr">
        <is>
          <t>114/114</t>
        </is>
      </c>
      <c r="H413" s="3" t="inlineStr">
        <is>
          <t>40 - IMPIANTISTICO</t>
        </is>
      </c>
      <c r="I413" s="3" t="inlineStr">
        <is>
          <t>CABINA DI TRASFORMAZIONE MT/BT</t>
        </is>
      </c>
      <c r="J413" s="3" t="inlineStr">
        <is>
          <t>IMPIANTO DI MESSA A TERRA</t>
        </is>
      </c>
      <c r="K413" s="3" t="inlineStr">
        <is>
          <t xml:space="preserve">OPERA: CORDA; IMPIEGO: IMPIANTO DI TERRA; SEZIONE [MM²] = 50. </t>
        </is>
      </c>
      <c r="L413" s="3" t="inlineStr">
        <is>
          <t>OPERA: CORDA; IMPIEGO: IMPIANTO DI TERRA; SEZIONE [MM²] = 50. 
LAVORO: POSA. 
SPECIFICHE TECNICHE: CORDA DI RAME NUDA. OP CORDA; IMPIEGO: IMPIANTO DI TERRA; SEZIONE [MM²] = 50. 
SPECIFICHE TECNICHE: CORDA DI RAME NUDA. 
RM CORDA DI LEGA RAME GENERICO; IMPIEGO: IMPIANTO DI TERRA; SEZIONE [MM²] = 50 
SPECIFICHE TECNICHE: CORDA DI RAME NUDA 
LV POSA.
[DIMENSIONI: 30,00]</t>
        </is>
      </c>
      <c r="M413" s="4" t="inlineStr">
        <is>
          <t>M</t>
        </is>
      </c>
      <c r="N413" s="5" t="n">
        <v>30</v>
      </c>
      <c r="O413" s="45" t="n">
        <v>9.369999999999999</v>
      </c>
      <c r="P413" s="45" t="n">
        <v>281.1</v>
      </c>
      <c r="Q413" s="5" t="n"/>
      <c r="R413" s="6" t="n"/>
      <c r="S413" s="6">
        <f>IF(AND(Q413&lt;&gt;"",R413&lt;&gt;""),Q413*R413,"")</f>
        <v/>
      </c>
      <c r="T413" s="45">
        <f>IF(S413="",P413,S413)</f>
        <v/>
      </c>
      <c r="U413" s="7" t="n">
        <v>0</v>
      </c>
      <c r="V413" s="6">
        <f>$T413*U413</f>
        <v/>
      </c>
      <c r="W413" s="7" t="n">
        <v>0</v>
      </c>
      <c r="X413" s="6">
        <f>$T413*W413</f>
        <v/>
      </c>
      <c r="Y413" s="7" t="n">
        <v>0</v>
      </c>
      <c r="Z413" s="6">
        <f>$T413*Y413</f>
        <v/>
      </c>
      <c r="AA413" s="7" t="n">
        <v>0</v>
      </c>
      <c r="AB413" s="6">
        <f>$T413*AA413</f>
        <v/>
      </c>
      <c r="AC413" s="7" t="n">
        <v>0</v>
      </c>
      <c r="AD413" s="6">
        <f>$T413*AC413</f>
        <v/>
      </c>
      <c r="AE413" s="7" t="n">
        <v>0</v>
      </c>
      <c r="AF413" s="6">
        <f>$T413*AE413</f>
        <v/>
      </c>
      <c r="AG413" s="7" t="n">
        <v>0</v>
      </c>
      <c r="AH413" s="6">
        <f>$T413*AG413</f>
        <v/>
      </c>
      <c r="AI413" s="7">
        <f>U413+W413+Y413+AA413+AC413+AE413+AG413</f>
        <v/>
      </c>
      <c r="AJ413" s="6">
        <f>V413+X413+Z413+AB413+AD413+AF413+AH413</f>
        <v/>
      </c>
    </row>
    <row r="414" hidden="1" ht="60" customHeight="1" s="46">
      <c r="A414" s="3" t="inlineStr">
        <is>
          <t>LOM252.OC.EEA.PA02.G7610.SB003.0005</t>
        </is>
      </c>
      <c r="B414" s="4" t="inlineStr">
        <is>
          <t>2/3</t>
        </is>
      </c>
      <c r="C414" s="3" t="inlineStr">
        <is>
          <t>IMPIANTO ELETTRICO</t>
        </is>
      </c>
      <c r="D414" s="4" t="inlineStr">
        <is>
          <t>NON SPECIALE</t>
        </is>
      </c>
      <c r="E414" s="4" t="inlineStr">
        <is>
          <t>ELETTRICHE</t>
        </is>
      </c>
      <c r="F414" s="3" t="inlineStr">
        <is>
          <t>3_CME IE RADIOFARMACIA PAVIA - REV02 VARIANTE ESECUTIVA.PDF</t>
        </is>
      </c>
      <c r="G414" s="4" t="inlineStr">
        <is>
          <t>115/115</t>
        </is>
      </c>
      <c r="H414" s="3" t="inlineStr">
        <is>
          <t>40 - IMPIANTISTICO</t>
        </is>
      </c>
      <c r="I414" s="3" t="inlineStr">
        <is>
          <t>CABINA DI TRASFORMAZIONE MT/BT</t>
        </is>
      </c>
      <c r="J414" s="3" t="inlineStr">
        <is>
          <t>IMPIANTO DI MESSA A TERRA</t>
        </is>
      </c>
      <c r="K414" s="3" t="inlineStr">
        <is>
          <t>OPERA: DISPERSORE, A CROCE DI LEGA FERROSA ACCIAIO ZINCATO; IMPIEGO: ALLACCIAMENTI DI CORDE, TONDI, PIATTI E FUNI; LUNGHEZZA [M] = 1,5 | LARGHEZZA SEZIONE [MM] = 50 | LUNGHEZZA SEZIONE [MM] = 50 | SPE</t>
        </is>
      </c>
      <c r="L414" s="3" t="inlineStr">
        <is>
          <t>OPERA: DISPERSORE, A CROCE DI LEGA FERROSA ACCIAIO ZINCATO; IMPIEGO: ALLACCIAMENTI DI CORDE, TONDI, PIATTI E FUNI; LUNGHEZZA [M] = 1,5 | LARGHEZZA SEZIONE [MM] = 50 | LUNGHEZZA SEZIONE [MM] = 50 | SPESSORE SEZIONE [MM] = 5. 
LAVORO: POSA. OP DISPERSORE, A CROCE DI LEGA FERROSA ACCIAIO ZINCATO; IMPIEGO: ALLACCIAMENTI DI CORDE, TONDI, PIATTI E FUNI; LUNGHEZZA [M] = 1,5 | LARGHEZZA SEZIONE [MM] = 50 | LUNGHEZZA SEZIONE [MM] = 50 | SPESSORE SEZIONE [MM] = 5. 
RM DISPERSORE A CROCE DI LEGA FERROSA ACCIAIO ZINCATO; IMPIEGO: ALLACCIAMENTI DI CORDE, TONDI, PIATTI E FUNI; LUNGHEZZA [M] = 1,5 | LARGHEZZA SEZIONE [MM] = 50 | LUNGHEZZA SEZIONE [MM] = 50 | SPESSORE SEZIONE [MM] = 5. COMPONENTE: BANDIERA,  
LV POSA.</t>
        </is>
      </c>
      <c r="M414" s="4" t="inlineStr">
        <is>
          <t>CAD</t>
        </is>
      </c>
      <c r="N414" s="5" t="n">
        <v>4</v>
      </c>
      <c r="O414" s="45" t="n">
        <v>62.85</v>
      </c>
      <c r="P414" s="45" t="n">
        <v>251.4</v>
      </c>
      <c r="Q414" s="5" t="n"/>
      <c r="R414" s="6" t="n"/>
      <c r="S414" s="6">
        <f>IF(AND(Q414&lt;&gt;"",R414&lt;&gt;""),Q414*R414,"")</f>
        <v/>
      </c>
      <c r="T414" s="45">
        <f>IF(S414="",P414,S414)</f>
        <v/>
      </c>
      <c r="U414" s="7" t="n">
        <v>0</v>
      </c>
      <c r="V414" s="6">
        <f>$T414*U414</f>
        <v/>
      </c>
      <c r="W414" s="7" t="n">
        <v>0</v>
      </c>
      <c r="X414" s="6">
        <f>$T414*W414</f>
        <v/>
      </c>
      <c r="Y414" s="7" t="n">
        <v>0</v>
      </c>
      <c r="Z414" s="6">
        <f>$T414*Y414</f>
        <v/>
      </c>
      <c r="AA414" s="7" t="n">
        <v>0</v>
      </c>
      <c r="AB414" s="6">
        <f>$T414*AA414</f>
        <v/>
      </c>
      <c r="AC414" s="7" t="n">
        <v>0</v>
      </c>
      <c r="AD414" s="6">
        <f>$T414*AC414</f>
        <v/>
      </c>
      <c r="AE414" s="7" t="n">
        <v>0</v>
      </c>
      <c r="AF414" s="6">
        <f>$T414*AE414</f>
        <v/>
      </c>
      <c r="AG414" s="7" t="n">
        <v>0</v>
      </c>
      <c r="AH414" s="6">
        <f>$T414*AG414</f>
        <v/>
      </c>
      <c r="AI414" s="7">
        <f>U414+W414+Y414+AA414+AC414+AE414+AG414</f>
        <v/>
      </c>
      <c r="AJ414" s="6">
        <f>V414+X414+Z414+AB414+AD414+AF414+AH414</f>
        <v/>
      </c>
    </row>
    <row r="415" hidden="1" ht="60" customHeight="1" s="46">
      <c r="A415" s="3" t="inlineStr">
        <is>
          <t>DEIELE251_075016D</t>
        </is>
      </c>
      <c r="B415" s="4" t="inlineStr">
        <is>
          <t>2/5</t>
        </is>
      </c>
      <c r="C415" s="3" t="inlineStr">
        <is>
          <t>IMPIANTO ELETTRICO</t>
        </is>
      </c>
      <c r="D415" s="4" t="inlineStr">
        <is>
          <t>NON SPECIALE</t>
        </is>
      </c>
      <c r="E415" s="4" t="inlineStr">
        <is>
          <t>ELETTRICHE</t>
        </is>
      </c>
      <c r="F415" s="3" t="inlineStr">
        <is>
          <t>3_CME IE RADIOFARMACIA PAVIA - REV02 VARIANTE ESECUTIVA.PDF</t>
        </is>
      </c>
      <c r="G415" s="4" t="inlineStr">
        <is>
          <t>116/116</t>
        </is>
      </c>
      <c r="H415" s="3" t="inlineStr">
        <is>
          <t>40 - IMPIANTISTICO</t>
        </is>
      </c>
      <c r="I415" s="3" t="inlineStr">
        <is>
          <t>CABINA DI TRASFORMAZIONE MT/BT</t>
        </is>
      </c>
      <c r="J415" s="3" t="inlineStr">
        <is>
          <t>IMPIANTO DI MESSA A TERRA</t>
        </is>
      </c>
      <c r="K415" s="3" t="inlineStr">
        <is>
          <t>BARRA EQUIPOTENZIALE INDUSTRIALE NUDA, CON VITERIA IN ACCIAIO INOSSIDABILE PER SERRAGGIO CAPICORDA, INSTALLATA A MURO COMPLETA DI ISOLATORI IN DUROPLASTICO ED ACCESSORI DI FISSAGGIO: IN ACCIAIO INOSSI</t>
        </is>
      </c>
      <c r="L415" s="3" t="inlineStr">
        <is>
          <t>BARRA EQUIPOTENZIALE INDUSTRIALE NUDA, CON VITERIA IN ACCIAIO INOSSIDABILE PER SERRAGGIO CAPICORDA, INSTALLATA A MURO COMPLETA DI ISOLATORI IN DUROPLASTICO ED ACCESSORI DI FISSAGGIO: IN ACCIAIO INOSSIDABILE, DIMENSIONI: 500 X 40 X 5 MM, PER 12 COLLEGAMENTI</t>
        </is>
      </c>
      <c r="M415" s="4" t="inlineStr">
        <is>
          <t>CAD</t>
        </is>
      </c>
      <c r="N415" s="5" t="n">
        <v>1</v>
      </c>
      <c r="O415" s="45" t="n">
        <v>142.3</v>
      </c>
      <c r="P415" s="45" t="n">
        <v>142.3</v>
      </c>
      <c r="Q415" s="5" t="n"/>
      <c r="R415" s="6" t="n"/>
      <c r="S415" s="6">
        <f>IF(AND(Q415&lt;&gt;"",R415&lt;&gt;""),Q415*R415,"")</f>
        <v/>
      </c>
      <c r="T415" s="45">
        <f>IF(S415="",P415,S415)</f>
        <v/>
      </c>
      <c r="U415" s="7" t="n">
        <v>0</v>
      </c>
      <c r="V415" s="6">
        <f>$T415*U415</f>
        <v/>
      </c>
      <c r="W415" s="7" t="n">
        <v>0</v>
      </c>
      <c r="X415" s="6">
        <f>$T415*W415</f>
        <v/>
      </c>
      <c r="Y415" s="7" t="n">
        <v>0</v>
      </c>
      <c r="Z415" s="6">
        <f>$T415*Y415</f>
        <v/>
      </c>
      <c r="AA415" s="7" t="n">
        <v>0</v>
      </c>
      <c r="AB415" s="6">
        <f>$T415*AA415</f>
        <v/>
      </c>
      <c r="AC415" s="7" t="n">
        <v>0</v>
      </c>
      <c r="AD415" s="6">
        <f>$T415*AC415</f>
        <v/>
      </c>
      <c r="AE415" s="7" t="n">
        <v>0</v>
      </c>
      <c r="AF415" s="6">
        <f>$T415*AE415</f>
        <v/>
      </c>
      <c r="AG415" s="7" t="n">
        <v>0</v>
      </c>
      <c r="AH415" s="6">
        <f>$T415*AG415</f>
        <v/>
      </c>
      <c r="AI415" s="7">
        <f>U415+W415+Y415+AA415+AC415+AE415+AG415</f>
        <v/>
      </c>
      <c r="AJ415" s="6">
        <f>V415+X415+Z415+AB415+AD415+AF415+AH415</f>
        <v/>
      </c>
    </row>
    <row r="416" hidden="1" ht="18" customHeight="1" s="46">
      <c r="A416" s="3" t="inlineStr">
        <is>
          <t>DEIELE251_015005</t>
        </is>
      </c>
      <c r="B416" s="4" t="inlineStr">
        <is>
          <t>2/3</t>
        </is>
      </c>
      <c r="C416" s="3" t="inlineStr">
        <is>
          <t>IMPIANTO ELETTRICO</t>
        </is>
      </c>
      <c r="D416" s="4" t="inlineStr">
        <is>
          <t>NON SPECIALE</t>
        </is>
      </c>
      <c r="E416" s="4" t="inlineStr">
        <is>
          <t>ELETTRICHE</t>
        </is>
      </c>
      <c r="F416" s="3" t="inlineStr">
        <is>
          <t>3_CME IE RADIOFARMACIA PAVIA - REV02 VARIANTE ESECUTIVA.PDF</t>
        </is>
      </c>
      <c r="G416" s="4" t="inlineStr">
        <is>
          <t>117/117</t>
        </is>
      </c>
      <c r="H416" s="3" t="inlineStr">
        <is>
          <t>40 - IMPIANTISTICO</t>
        </is>
      </c>
      <c r="I416" s="3" t="inlineStr">
        <is>
          <t>CABINA DI TRASFORMAZIONE MT/BT</t>
        </is>
      </c>
      <c r="J416" s="3" t="inlineStr">
        <is>
          <t>IMPIANTO DI MESSA A TERRA</t>
        </is>
      </c>
      <c r="K416" s="3" t="inlineStr">
        <is>
          <t>COLLEGAMENTO EQUIPOTENZIALE PER VANO</t>
        </is>
      </c>
      <c r="L416" s="3" t="inlineStr">
        <is>
          <t>COLLEGAMENTO EQUIPOTENZIALE PER VANO</t>
        </is>
      </c>
      <c r="M416" s="4" t="inlineStr">
        <is>
          <t>CAD</t>
        </is>
      </c>
      <c r="N416" s="5" t="n">
        <v>1</v>
      </c>
      <c r="O416" s="45" t="n">
        <v>142.3</v>
      </c>
      <c r="P416" s="45" t="n">
        <v>142.3</v>
      </c>
      <c r="Q416" s="5" t="n"/>
      <c r="R416" s="6" t="n"/>
      <c r="S416" s="6">
        <f>IF(AND(Q416&lt;&gt;"",R416&lt;&gt;""),Q416*R416,"")</f>
        <v/>
      </c>
      <c r="T416" s="45">
        <f>IF(S416="",P416,S416)</f>
        <v/>
      </c>
      <c r="U416" s="7" t="n">
        <v>0</v>
      </c>
      <c r="V416" s="6">
        <f>$T416*U416</f>
        <v/>
      </c>
      <c r="W416" s="7" t="n">
        <v>0</v>
      </c>
      <c r="X416" s="6">
        <f>$T416*W416</f>
        <v/>
      </c>
      <c r="Y416" s="7" t="n">
        <v>0</v>
      </c>
      <c r="Z416" s="6">
        <f>$T416*Y416</f>
        <v/>
      </c>
      <c r="AA416" s="7" t="n">
        <v>0</v>
      </c>
      <c r="AB416" s="6">
        <f>$T416*AA416</f>
        <v/>
      </c>
      <c r="AC416" s="7" t="n">
        <v>0</v>
      </c>
      <c r="AD416" s="6">
        <f>$T416*AC416</f>
        <v/>
      </c>
      <c r="AE416" s="7" t="n">
        <v>0</v>
      </c>
      <c r="AF416" s="6">
        <f>$T416*AE416</f>
        <v/>
      </c>
      <c r="AG416" s="7" t="n">
        <v>0</v>
      </c>
      <c r="AH416" s="6">
        <f>$T416*AG416</f>
        <v/>
      </c>
      <c r="AI416" s="7">
        <f>U416+W416+Y416+AA416+AC416+AE416+AG416</f>
        <v/>
      </c>
      <c r="AJ416" s="6">
        <f>V416+X416+Z416+AB416+AD416+AF416+AH416</f>
        <v/>
      </c>
    </row>
    <row r="417" hidden="1" ht="60" customHeight="1" s="46">
      <c r="A417" s="3" t="inlineStr">
        <is>
          <t>LOM252.OC.EEA.PA02.G7424.SC009.1320</t>
        </is>
      </c>
      <c r="B417" s="4" t="inlineStr">
        <is>
          <t>1/2</t>
        </is>
      </c>
      <c r="C417" s="3" t="inlineStr">
        <is>
          <t>IMPIANTO ELETTRICO</t>
        </is>
      </c>
      <c r="D417" s="4" t="inlineStr">
        <is>
          <t>NON SPECIALE</t>
        </is>
      </c>
      <c r="E417" s="4" t="inlineStr">
        <is>
          <t>ELETTRICHE</t>
        </is>
      </c>
      <c r="F417" s="3" t="inlineStr">
        <is>
          <t>3_CME IE RADIOFARMACIA PAVIA - REV02 VARIANTE ESECUTIVA.PDF</t>
        </is>
      </c>
      <c r="G417" s="4" t="inlineStr">
        <is>
          <t>118/118</t>
        </is>
      </c>
      <c r="H417" s="3" t="inlineStr">
        <is>
          <t>40 - IMPIANTISTICO</t>
        </is>
      </c>
      <c r="I417" s="3" t="inlineStr">
        <is>
          <t>CABINA DI TRASFORMAZIONE MT/BT</t>
        </is>
      </c>
      <c r="J417" s="3" t="inlineStr">
        <is>
          <t>IMPIANTO DI MESSA A TERRA</t>
        </is>
      </c>
      <c r="K417" s="3" t="inlineStr">
        <is>
          <t xml:space="preserve">OPERA: CAVO, FG17 DI LEGA RAME RICOTTO; GEOMETRIA: FLESSIBILE; SEZIONE NOMINALE [MM²] = 240; TENSIONE NOMINALE [KV] = 450/750; N° POLI [-] = 1P. </t>
        </is>
      </c>
      <c r="L417" s="3" t="inlineStr">
        <is>
          <t>OPERA: CAVO, FG17 DI LEGA RAME RICOTTO; GEOMETRIA: FLESSIBILE; SEZIONE NOMINALE [MM²] = 240; TENSIONE NOMINALE [KV] = 450/750; N° POLI [-] = 1P. 
LAVORO: POSA. OP CAVO, FG17 DI LEGA RAME RICOTTO; GEOMETRIA: FLESSIBILE; SEZIONE NOMINALE [MM²] = 240; TENSIONE NOMINALE UO/U [KV] = 450/750; N° POLI [-] = 1P. 
RM CAVO FG17 DI LEGA RAME RICOTTO; GEOMETRIA: FLESSIBILE; SEZIONE NOMINALE [MM²] = 240; TENSIONE NOMINALE UO/U [KV] = 450/750; N° POLI [-] = 1P. COMPONENTE: ISOLANTE,  
LV POSA.
[DIMENSIONI: 1,00 20,00]</t>
        </is>
      </c>
      <c r="M417" s="4" t="inlineStr">
        <is>
          <t>M</t>
        </is>
      </c>
      <c r="N417" s="5" t="n">
        <v>20</v>
      </c>
      <c r="O417" s="45" t="n">
        <v>51.99</v>
      </c>
      <c r="P417" s="45" t="n">
        <v>1039.8</v>
      </c>
      <c r="Q417" s="5" t="n"/>
      <c r="R417" s="6" t="n"/>
      <c r="S417" s="6">
        <f>IF(AND(Q417&lt;&gt;"",R417&lt;&gt;""),Q417*R417,"")</f>
        <v/>
      </c>
      <c r="T417" s="45">
        <f>IF(S417="",P417,S417)</f>
        <v/>
      </c>
      <c r="U417" s="7" t="n">
        <v>0</v>
      </c>
      <c r="V417" s="6">
        <f>$T417*U417</f>
        <v/>
      </c>
      <c r="W417" s="7" t="n">
        <v>0</v>
      </c>
      <c r="X417" s="6">
        <f>$T417*W417</f>
        <v/>
      </c>
      <c r="Y417" s="7" t="n">
        <v>0</v>
      </c>
      <c r="Z417" s="6">
        <f>$T417*Y417</f>
        <v/>
      </c>
      <c r="AA417" s="7" t="n">
        <v>0</v>
      </c>
      <c r="AB417" s="6">
        <f>$T417*AA417</f>
        <v/>
      </c>
      <c r="AC417" s="7" t="n">
        <v>0</v>
      </c>
      <c r="AD417" s="6">
        <f>$T417*AC417</f>
        <v/>
      </c>
      <c r="AE417" s="7" t="n">
        <v>0</v>
      </c>
      <c r="AF417" s="6">
        <f>$T417*AE417</f>
        <v/>
      </c>
      <c r="AG417" s="7" t="n">
        <v>0</v>
      </c>
      <c r="AH417" s="6">
        <f>$T417*AG417</f>
        <v/>
      </c>
      <c r="AI417" s="7">
        <f>U417+W417+Y417+AA417+AC417+AE417+AG417</f>
        <v/>
      </c>
      <c r="AJ417" s="6">
        <f>V417+X417+Z417+AB417+AD417+AF417+AH417</f>
        <v/>
      </c>
    </row>
    <row r="418" hidden="1" ht="60" customHeight="1" s="46">
      <c r="A418" s="3" t="inlineStr">
        <is>
          <t>LOM252.OC.EEA.PA02.G7409.D0000.0255</t>
        </is>
      </c>
      <c r="B418" s="4" t="inlineStr">
        <is>
          <t>2/3</t>
        </is>
      </c>
      <c r="C418" s="3" t="inlineStr">
        <is>
          <t>IMPIANTO ELETTRICO</t>
        </is>
      </c>
      <c r="D418" s="4" t="inlineStr">
        <is>
          <t>NON SPECIALE</t>
        </is>
      </c>
      <c r="E418" s="4" t="inlineStr">
        <is>
          <t>ELETTRICHE</t>
        </is>
      </c>
      <c r="F418" s="3" t="inlineStr">
        <is>
          <t>3_CME IE RADIOFARMACIA PAVIA - REV02 VARIANTE ESECUTIVA.PDF</t>
        </is>
      </c>
      <c r="G418" s="4" t="inlineStr">
        <is>
          <t>119/119</t>
        </is>
      </c>
      <c r="H418" s="3" t="inlineStr">
        <is>
          <t>40 - IMPIANTISTICO</t>
        </is>
      </c>
      <c r="I418" s="3" t="inlineStr">
        <is>
          <t>CABINA DI TRASFORMAZIONE MT/BT</t>
        </is>
      </c>
      <c r="J418" s="3" t="inlineStr">
        <is>
          <t>DISTRIBUZIONE SECONDARIA</t>
        </is>
      </c>
      <c r="K418" s="3" t="inlineStr">
        <is>
          <t xml:space="preserve">OPERA: TUBO, RIGIDO DI PLASTICA GENERICO; IMPIEGO: TUBAZIONI ELETTRICHE; DIAMETRO [MM] = 20. </t>
        </is>
      </c>
      <c r="L418" s="3" t="inlineStr">
        <is>
          <t>OPERA: TUBO, RIGIDO DI PLASTICA GENERICO; IMPIEGO: TUBAZIONI ELETTRICHE; DIAMETRO [MM] = 20. 
LAVORO: POSA. 
SPECIFICHE TECNICHE: PER INSTALLAZIONE A VISTA, CON MARCHIO IMQ, AUTOESTINQUENTE. OP TUBO, RIGIDO DI PLASTICA GENERICO; IMPIEGO: TUBAZIONI ELETTRICHE; DIAMETRO [MM] = 20. 
SPECIFICHE TECNICHE: PER INSTALLAZIONE A VISTA, CON MARCHIO IMQ, AUTOESTINQUENTE. 
RM TUBO RIGIDO DI PLASTICA GENERICO; IMPIEGO: TUBAZIONI ELETTRICHE; DIAMETRO (Ø) [MM] = 20 
SPECIFICHE TECNICHE: PER INSTALLAZIONE A VISTA, CON MARCHIO IMQ, AUTOESTINQUENTE 
LV POSA.
[DIMENSIONI: 30,00]</t>
        </is>
      </c>
      <c r="M418" s="4" t="inlineStr">
        <is>
          <t>M</t>
        </is>
      </c>
      <c r="N418" s="5" t="n">
        <v>30</v>
      </c>
      <c r="O418" s="45" t="n">
        <v>6.53</v>
      </c>
      <c r="P418" s="45" t="n">
        <v>195.9</v>
      </c>
      <c r="Q418" s="5" t="n"/>
      <c r="R418" s="6" t="n"/>
      <c r="S418" s="6">
        <f>IF(AND(Q418&lt;&gt;"",R418&lt;&gt;""),Q418*R418,"")</f>
        <v/>
      </c>
      <c r="T418" s="45">
        <f>IF(S418="",P418,S418)</f>
        <v/>
      </c>
      <c r="U418" s="7" t="n">
        <v>0</v>
      </c>
      <c r="V418" s="6">
        <f>$T418*U418</f>
        <v/>
      </c>
      <c r="W418" s="7" t="n">
        <v>0</v>
      </c>
      <c r="X418" s="6">
        <f>$T418*W418</f>
        <v/>
      </c>
      <c r="Y418" s="7" t="n">
        <v>0</v>
      </c>
      <c r="Z418" s="6">
        <f>$T418*Y418</f>
        <v/>
      </c>
      <c r="AA418" s="7" t="n">
        <v>0</v>
      </c>
      <c r="AB418" s="6">
        <f>$T418*AA418</f>
        <v/>
      </c>
      <c r="AC418" s="7" t="n">
        <v>0</v>
      </c>
      <c r="AD418" s="6">
        <f>$T418*AC418</f>
        <v/>
      </c>
      <c r="AE418" s="7" t="n">
        <v>0</v>
      </c>
      <c r="AF418" s="6">
        <f>$T418*AE418</f>
        <v/>
      </c>
      <c r="AG418" s="7" t="n">
        <v>0</v>
      </c>
      <c r="AH418" s="6">
        <f>$T418*AG418</f>
        <v/>
      </c>
      <c r="AI418" s="7">
        <f>U418+W418+Y418+AA418+AC418+AE418+AG418</f>
        <v/>
      </c>
      <c r="AJ418" s="6">
        <f>V418+X418+Z418+AB418+AD418+AF418+AH418</f>
        <v/>
      </c>
    </row>
    <row r="419" hidden="1" ht="60" customHeight="1" s="46">
      <c r="A419" s="3" t="inlineStr">
        <is>
          <t>LOM252.OC.EEA.PA02.G7409.D0000.0260</t>
        </is>
      </c>
      <c r="B419" s="4" t="inlineStr">
        <is>
          <t>2/3</t>
        </is>
      </c>
      <c r="C419" s="3" t="inlineStr">
        <is>
          <t>IMPIANTO ELETTRICO</t>
        </is>
      </c>
      <c r="D419" s="4" t="inlineStr">
        <is>
          <t>NON SPECIALE</t>
        </is>
      </c>
      <c r="E419" s="4" t="inlineStr">
        <is>
          <t>ELETTRICHE</t>
        </is>
      </c>
      <c r="F419" s="3" t="inlineStr">
        <is>
          <t>3_CME IE RADIOFARMACIA PAVIA - REV02 VARIANTE ESECUTIVA.PDF</t>
        </is>
      </c>
      <c r="G419" s="4" t="inlineStr">
        <is>
          <t>120/120</t>
        </is>
      </c>
      <c r="H419" s="3" t="inlineStr">
        <is>
          <t>40 - IMPIANTISTICO</t>
        </is>
      </c>
      <c r="I419" s="3" t="inlineStr">
        <is>
          <t>CABINA DI TRASFORMAZIONE MT/BT</t>
        </is>
      </c>
      <c r="J419" s="3" t="inlineStr">
        <is>
          <t>DISTRIBUZIONE SECONDARIA</t>
        </is>
      </c>
      <c r="K419" s="3" t="inlineStr">
        <is>
          <t xml:space="preserve">OPERA: TUBO, RIGIDO DI PLASTICA GENERICO; IMPIEGO: TUBAZIONI ELETTRICHE; DIAMETRO [MM] = 25. </t>
        </is>
      </c>
      <c r="L419" s="3" t="inlineStr">
        <is>
          <t>OPERA: TUBO, RIGIDO DI PLASTICA GENERICO; IMPIEGO: TUBAZIONI ELETTRICHE; DIAMETRO [MM] = 25. 
LAVORO: POSA. 
SPECIFICHE TECNICHE: PER INSTALLAZIONE A VISTA, CON MARCHIO IMQ, AUTOESTINQUENTE. OP TUBO, RIGIDO DI PLASTICA GENERICO; IMPIEGO: TUBAZIONI ELETTRICHE; DIAMETRO [MM] = 25. 
SPECIFICHE TECNICHE: PER INSTALLAZIONE A VISTA, CON MARCHIO IMQ, AUTOESTINQUENTE. 
RM TUBO RIGIDO DI PLASTICA GENERICO; IMPIEGO: TUBAZIONI ELETTRICHE; DIAMETRO (Ø) [MM] = 25 
SPECIFICHE TECNICHE: PER INSTALLAZIONE A VISTA, CON MARCHIO IMQ, AUTOESTINQUENTE 
LV POSA.
[DIMENSIONI: 20,00]</t>
        </is>
      </c>
      <c r="M419" s="4" t="inlineStr">
        <is>
          <t>M</t>
        </is>
      </c>
      <c r="N419" s="5" t="n">
        <v>20</v>
      </c>
      <c r="O419" s="45" t="n">
        <v>7.71</v>
      </c>
      <c r="P419" s="45" t="n">
        <v>154.2</v>
      </c>
      <c r="Q419" s="5" t="n"/>
      <c r="R419" s="6" t="n"/>
      <c r="S419" s="6">
        <f>IF(AND(Q419&lt;&gt;"",R419&lt;&gt;""),Q419*R419,"")</f>
        <v/>
      </c>
      <c r="T419" s="45">
        <f>IF(S419="",P419,S419)</f>
        <v/>
      </c>
      <c r="U419" s="7" t="n">
        <v>0</v>
      </c>
      <c r="V419" s="6">
        <f>$T419*U419</f>
        <v/>
      </c>
      <c r="W419" s="7" t="n">
        <v>0</v>
      </c>
      <c r="X419" s="6">
        <f>$T419*W419</f>
        <v/>
      </c>
      <c r="Y419" s="7" t="n">
        <v>0</v>
      </c>
      <c r="Z419" s="6">
        <f>$T419*Y419</f>
        <v/>
      </c>
      <c r="AA419" s="7" t="n">
        <v>0</v>
      </c>
      <c r="AB419" s="6">
        <f>$T419*AA419</f>
        <v/>
      </c>
      <c r="AC419" s="7" t="n">
        <v>0</v>
      </c>
      <c r="AD419" s="6">
        <f>$T419*AC419</f>
        <v/>
      </c>
      <c r="AE419" s="7" t="n">
        <v>0</v>
      </c>
      <c r="AF419" s="6">
        <f>$T419*AE419</f>
        <v/>
      </c>
      <c r="AG419" s="7" t="n">
        <v>0</v>
      </c>
      <c r="AH419" s="6">
        <f>$T419*AG419</f>
        <v/>
      </c>
      <c r="AI419" s="7">
        <f>U419+W419+Y419+AA419+AC419+AE419+AG419</f>
        <v/>
      </c>
      <c r="AJ419" s="6">
        <f>V419+X419+Z419+AB419+AD419+AF419+AH419</f>
        <v/>
      </c>
    </row>
    <row r="420" hidden="1" ht="60" customHeight="1" s="46">
      <c r="A420" s="3" t="inlineStr">
        <is>
          <t>LOM252.OC.EEA.PA02.G7424.SC009.0610</t>
        </is>
      </c>
      <c r="B420" s="4" t="inlineStr">
        <is>
          <t>2/5</t>
        </is>
      </c>
      <c r="C420" s="3" t="inlineStr">
        <is>
          <t>IMPIANTO ELETTRICO</t>
        </is>
      </c>
      <c r="D420" s="4" t="inlineStr">
        <is>
          <t>NON SPECIALE</t>
        </is>
      </c>
      <c r="E420" s="4" t="inlineStr">
        <is>
          <t>ELETTRICHE</t>
        </is>
      </c>
      <c r="F420" s="3" t="inlineStr">
        <is>
          <t>3_CME IE RADIOFARMACIA PAVIA - REV02 VARIANTE ESECUTIVA.PDF</t>
        </is>
      </c>
      <c r="G420" s="4" t="inlineStr">
        <is>
          <t>121/121</t>
        </is>
      </c>
      <c r="H420" s="3" t="inlineStr">
        <is>
          <t>40 - IMPIANTISTICO</t>
        </is>
      </c>
      <c r="I420" s="3" t="inlineStr">
        <is>
          <t>CABINA DI TRASFORMAZIONE MT/BT</t>
        </is>
      </c>
      <c r="J420" s="3" t="inlineStr">
        <is>
          <t>DISTRIBUZIONE SECONDARIA</t>
        </is>
      </c>
      <c r="K420" s="3" t="inlineStr">
        <is>
          <t xml:space="preserve">OPERA: CAVO, FG16OM16 DI LEGA RAME RICOTTO; GEOMETRIA: FLESSIBILE; SEZIONE NOMINALE [MM²] = 3X2,5; TENSIONE NOMINALE [KV] = 0,6/1; N° POLI [-] = 3P. </t>
        </is>
      </c>
      <c r="L420" s="3" t="inlineStr">
        <is>
          <t>OPERA: CAVO, FG16OM16 DI LEGA RAME RICOTTO; GEOMETRIA: FLESSIBILE; SEZIONE NOMINALE [MM²] = 3X2,5; TENSIONE NOMINALE [KV] = 0,6/1; N° POLI [-] = 3P. 
LAVORO: POSA. OP CAVO, FG16OM16 DI LEGA RAME RICOTTO; GEOMETRIA: FLESSIBILE; SEZIONE NOMINALE [MM²] = 3X2,5; TENSIONE NOMINALE UO/U [KV] = 0,6/1; N° POLI [-] = 3P. 
RM CAVO FG16OM16 DI LEGA RAME RICOTTO; GEOMETRIA: FLESSIBILE; SEZIONE NOMINALE [MM²] = 3X2,5; TENSIONE NOMINALE UO/U [KV] = 0,6/1; N° POLI [-] = 3P. COMPONENTI: ISOLANTE, GUAINA TERMOPLASTICA 
LV POSA.
[DIMENSIONI: 20,00]</t>
        </is>
      </c>
      <c r="M420" s="4" t="inlineStr">
        <is>
          <t>M</t>
        </is>
      </c>
      <c r="N420" s="5" t="n">
        <v>20</v>
      </c>
      <c r="O420" s="45" t="n">
        <v>4.63</v>
      </c>
      <c r="P420" s="45" t="n">
        <v>92.59999999999999</v>
      </c>
      <c r="Q420" s="5" t="n"/>
      <c r="R420" s="6" t="n"/>
      <c r="S420" s="6">
        <f>IF(AND(Q420&lt;&gt;"",R420&lt;&gt;""),Q420*R420,"")</f>
        <v/>
      </c>
      <c r="T420" s="45">
        <f>IF(S420="",P420,S420)</f>
        <v/>
      </c>
      <c r="U420" s="7" t="n">
        <v>0</v>
      </c>
      <c r="V420" s="6">
        <f>$T420*U420</f>
        <v/>
      </c>
      <c r="W420" s="7" t="n">
        <v>0</v>
      </c>
      <c r="X420" s="6">
        <f>$T420*W420</f>
        <v/>
      </c>
      <c r="Y420" s="7" t="n">
        <v>0</v>
      </c>
      <c r="Z420" s="6">
        <f>$T420*Y420</f>
        <v/>
      </c>
      <c r="AA420" s="7" t="n">
        <v>0</v>
      </c>
      <c r="AB420" s="6">
        <f>$T420*AA420</f>
        <v/>
      </c>
      <c r="AC420" s="7" t="n">
        <v>0</v>
      </c>
      <c r="AD420" s="6">
        <f>$T420*AC420</f>
        <v/>
      </c>
      <c r="AE420" s="7" t="n">
        <v>0</v>
      </c>
      <c r="AF420" s="6">
        <f>$T420*AE420</f>
        <v/>
      </c>
      <c r="AG420" s="7" t="n">
        <v>0</v>
      </c>
      <c r="AH420" s="6">
        <f>$T420*AG420</f>
        <v/>
      </c>
      <c r="AI420" s="7">
        <f>U420+W420+Y420+AA420+AC420+AE420+AG420</f>
        <v/>
      </c>
      <c r="AJ420" s="6">
        <f>V420+X420+Z420+AB420+AD420+AF420+AH420</f>
        <v/>
      </c>
    </row>
    <row r="421" hidden="1" ht="60" customHeight="1" s="46">
      <c r="A421" s="3" t="inlineStr">
        <is>
          <t>LOM252.OC.EEA.PA02.G7424.SC009.0615</t>
        </is>
      </c>
      <c r="B421" s="4" t="inlineStr">
        <is>
          <t>2/5</t>
        </is>
      </c>
      <c r="C421" s="3" t="inlineStr">
        <is>
          <t>IMPIANTO ELETTRICO</t>
        </is>
      </c>
      <c r="D421" s="4" t="inlineStr">
        <is>
          <t>NON SPECIALE</t>
        </is>
      </c>
      <c r="E421" s="4" t="inlineStr">
        <is>
          <t>ELETTRICHE</t>
        </is>
      </c>
      <c r="F421" s="3" t="inlineStr">
        <is>
          <t>3_CME IE RADIOFARMACIA PAVIA - REV02 VARIANTE ESECUTIVA.PDF</t>
        </is>
      </c>
      <c r="G421" s="4" t="inlineStr">
        <is>
          <t>122/122</t>
        </is>
      </c>
      <c r="H421" s="3" t="inlineStr">
        <is>
          <t>40 - IMPIANTISTICO</t>
        </is>
      </c>
      <c r="I421" s="3" t="inlineStr">
        <is>
          <t>CABINA DI TRASFORMAZIONE MT/BT</t>
        </is>
      </c>
      <c r="J421" s="3" t="inlineStr">
        <is>
          <t>DISTRIBUZIONE SECONDARIA</t>
        </is>
      </c>
      <c r="K421" s="3" t="inlineStr">
        <is>
          <t xml:space="preserve">OPERA: CAVO, FG16OM16 DI LEGA RAME RICOTTO; GEOMETRIA: FLESSIBILE; SEZIONE NOMINALE [MM²] = 3X4; TENSIONE NOMINALE [KV] = 0,6/1; N° POLI [-] = 3P. </t>
        </is>
      </c>
      <c r="L421" s="3" t="inlineStr">
        <is>
          <t>OPERA: CAVO, FG16OM16 DI LEGA RAME RICOTTO; GEOMETRIA: FLESSIBILE; SEZIONE NOMINALE [MM²] = 3X4; TENSIONE NOMINALE [KV] = 0,6/1; N° POLI [-] = 3P. 
LAVORO: POSA. OP CAVO, FG16OM16 DI LEGA RAME RICOTTO; GEOMETRIA: FLESSIBILE; SEZIONE NOMINALE [MM²] = 3X4; TENSIONE NOMINALE UO/U [KV] = 0,6/1; N° POLI [-] = 3P. 
RM CAVO FG16OM16 DI LEGA RAME RICOTTO; GEOMETRIA: FLESSIBILE; SEZIONE NOMINALE [MM²] = 3X4; TENSIONE NOMINALE UO/U [KV] = 0,6/1; N° POLI [-] = 3P. COMPONENTI: ISOLANTE, GUAINA TERMOPLASTICA 
LV POSA.
[DIMENSIONI: 20,00]</t>
        </is>
      </c>
      <c r="M421" s="4" t="inlineStr">
        <is>
          <t>M</t>
        </is>
      </c>
      <c r="N421" s="5" t="n">
        <v>20</v>
      </c>
      <c r="O421" s="45" t="n">
        <v>5.44</v>
      </c>
      <c r="P421" s="45" t="n">
        <v>108.8</v>
      </c>
      <c r="Q421" s="5" t="n"/>
      <c r="R421" s="6" t="n"/>
      <c r="S421" s="6">
        <f>IF(AND(Q421&lt;&gt;"",R421&lt;&gt;""),Q421*R421,"")</f>
        <v/>
      </c>
      <c r="T421" s="45">
        <f>IF(S421="",P421,S421)</f>
        <v/>
      </c>
      <c r="U421" s="7" t="n">
        <v>0</v>
      </c>
      <c r="V421" s="6">
        <f>$T421*U421</f>
        <v/>
      </c>
      <c r="W421" s="7" t="n">
        <v>0</v>
      </c>
      <c r="X421" s="6">
        <f>$T421*W421</f>
        <v/>
      </c>
      <c r="Y421" s="7" t="n">
        <v>0</v>
      </c>
      <c r="Z421" s="6">
        <f>$T421*Y421</f>
        <v/>
      </c>
      <c r="AA421" s="7" t="n">
        <v>0</v>
      </c>
      <c r="AB421" s="6">
        <f>$T421*AA421</f>
        <v/>
      </c>
      <c r="AC421" s="7" t="n">
        <v>0</v>
      </c>
      <c r="AD421" s="6">
        <f>$T421*AC421</f>
        <v/>
      </c>
      <c r="AE421" s="7" t="n">
        <v>0</v>
      </c>
      <c r="AF421" s="6">
        <f>$T421*AE421</f>
        <v/>
      </c>
      <c r="AG421" s="7" t="n">
        <v>0</v>
      </c>
      <c r="AH421" s="6">
        <f>$T421*AG421</f>
        <v/>
      </c>
      <c r="AI421" s="7">
        <f>U421+W421+Y421+AA421+AC421+AE421+AG421</f>
        <v/>
      </c>
      <c r="AJ421" s="6">
        <f>V421+X421+Z421+AB421+AD421+AF421+AH421</f>
        <v/>
      </c>
    </row>
    <row r="422" hidden="1" ht="60" customHeight="1" s="46">
      <c r="A422" s="3" t="inlineStr">
        <is>
          <t>LOM252.OC.EEA.PA01.G8237.ZA001.1025</t>
        </is>
      </c>
      <c r="B422" s="4" t="inlineStr">
        <is>
          <t>2/3</t>
        </is>
      </c>
      <c r="C422" s="3" t="inlineStr">
        <is>
          <t>IMPIANTO ELETTRICO</t>
        </is>
      </c>
      <c r="D422" s="4" t="inlineStr">
        <is>
          <t>NON SPECIALE</t>
        </is>
      </c>
      <c r="E422" s="4" t="inlineStr">
        <is>
          <t>ELETTRICHE</t>
        </is>
      </c>
      <c r="F422" s="3" t="inlineStr">
        <is>
          <t>3_CME IE RADIOFARMACIA PAVIA - REV02 VARIANTE ESECUTIVA.PDF</t>
        </is>
      </c>
      <c r="G422" s="4" t="inlineStr">
        <is>
          <t>123/123</t>
        </is>
      </c>
      <c r="H422" s="3" t="inlineStr">
        <is>
          <t>40 - IMPIANTISTICO</t>
        </is>
      </c>
      <c r="I422" s="3" t="inlineStr">
        <is>
          <t>CABINA DI TRASFORMAZIONE MT/BT</t>
        </is>
      </c>
      <c r="J422" s="3" t="inlineStr">
        <is>
          <t>IMPIANTO DI ILLUMINAZIONE</t>
        </is>
      </c>
      <c r="K422" s="3" t="inlineStr">
        <is>
          <t>OPERA: DERIVAZIONE D'IMPIANTO PUNTO LUCE, INTERROTTO; GEOMETRIA: INTERRUTTORE UNIPOLARE; IMPIEGO: DERIVAZIONE D'IMPIANTO A VISTA A PARETE/A SOFFITTO; TENSIONE NOMINALE SPIA [V] = 230. INCLUSO: TUBO PR</t>
        </is>
      </c>
      <c r="L422" s="3" t="inlineStr">
        <is>
          <t>OPERA: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22" s="4" t="inlineStr">
        <is>
          <t>CAD</t>
        </is>
      </c>
      <c r="N422" s="5" t="n">
        <v>1</v>
      </c>
      <c r="O422" s="45" t="n">
        <v>85.98</v>
      </c>
      <c r="P422" s="45" t="n">
        <v>85.98</v>
      </c>
      <c r="Q422" s="5" t="n"/>
      <c r="R422" s="6" t="n"/>
      <c r="S422" s="6">
        <f>IF(AND(Q422&lt;&gt;"",R422&lt;&gt;""),Q422*R422,"")</f>
        <v/>
      </c>
      <c r="T422" s="45">
        <f>IF(S422="",P422,S422)</f>
        <v/>
      </c>
      <c r="U422" s="7" t="n">
        <v>0</v>
      </c>
      <c r="V422" s="6">
        <f>$T422*U422</f>
        <v/>
      </c>
      <c r="W422" s="7" t="n">
        <v>0</v>
      </c>
      <c r="X422" s="6">
        <f>$T422*W422</f>
        <v/>
      </c>
      <c r="Y422" s="7" t="n">
        <v>0</v>
      </c>
      <c r="Z422" s="6">
        <f>$T422*Y422</f>
        <v/>
      </c>
      <c r="AA422" s="7" t="n">
        <v>0</v>
      </c>
      <c r="AB422" s="6">
        <f>$T422*AA422</f>
        <v/>
      </c>
      <c r="AC422" s="7" t="n">
        <v>0</v>
      </c>
      <c r="AD422" s="6">
        <f>$T422*AC422</f>
        <v/>
      </c>
      <c r="AE422" s="7" t="n">
        <v>0</v>
      </c>
      <c r="AF422" s="6">
        <f>$T422*AE422</f>
        <v/>
      </c>
      <c r="AG422" s="7" t="n">
        <v>0</v>
      </c>
      <c r="AH422" s="6">
        <f>$T422*AG422</f>
        <v/>
      </c>
      <c r="AI422" s="7">
        <f>U422+W422+Y422+AA422+AC422+AE422+AG422</f>
        <v/>
      </c>
      <c r="AJ422" s="6">
        <f>V422+X422+Z422+AB422+AD422+AF422+AH422</f>
        <v/>
      </c>
    </row>
    <row r="423" hidden="1" ht="60" customHeight="1" s="46">
      <c r="A423" s="3" t="inlineStr">
        <is>
          <t>LOM252.OC.EEA.PA01.G8237.ZA001.0760</t>
        </is>
      </c>
      <c r="B423" s="4" t="inlineStr">
        <is>
          <t>3/6</t>
        </is>
      </c>
      <c r="C423" s="3" t="inlineStr">
        <is>
          <t>IMPIANTO ELETTRICO</t>
        </is>
      </c>
      <c r="D423" s="4" t="inlineStr">
        <is>
          <t>NON SPECIALE</t>
        </is>
      </c>
      <c r="E423" s="4" t="inlineStr">
        <is>
          <t>ELETTRICHE</t>
        </is>
      </c>
      <c r="F423" s="3" t="inlineStr">
        <is>
          <t>3_CME IE RADIOFARMACIA PAVIA - REV02 VARIANTE ESECUTIVA.PDF</t>
        </is>
      </c>
      <c r="G423" s="4" t="inlineStr">
        <is>
          <t>124/124</t>
        </is>
      </c>
      <c r="H423" s="3" t="inlineStr">
        <is>
          <t>40 - IMPIANTISTICO</t>
        </is>
      </c>
      <c r="I423" s="3" t="inlineStr">
        <is>
          <t>CABINA DI TRASFORMAZIONE MT/BT</t>
        </is>
      </c>
      <c r="J423" s="3" t="inlineStr">
        <is>
          <t>IMPIANTO DI ILLUMINAZIONE</t>
        </is>
      </c>
      <c r="K423" s="3" t="inlineStr">
        <is>
          <t>OPERA: DERIVAZIONE D'IMPIANTO PUNTO LUCE, IN PARALLELO; IMPIEGO: DERIVAZIONE D'IMPIANTO A VISTA A PARETE/A SOFFITTO. INCLUSO: TUBO PROTETTIVO; CONDUTTORI DI ALIMENTAZIONE E DI TERRA; SCATOLE DA INCASS</t>
        </is>
      </c>
      <c r="L423" s="3" t="inlineStr">
        <is>
          <t>OPERA: DERIVAZIONE D'IMPIANTO PUNTO LUCE, IN PARALLELO; IMPIEGO: DERIVAZIONE D'IMPIANTO A VISTA A PARETE/A SOFFITTO.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23" s="4" t="inlineStr">
        <is>
          <t>CAD</t>
        </is>
      </c>
      <c r="N423" s="5" t="n">
        <v>2</v>
      </c>
      <c r="O423" s="45" t="n">
        <v>37.15</v>
      </c>
      <c r="P423" s="45" t="n">
        <v>74.3</v>
      </c>
      <c r="Q423" s="5" t="n"/>
      <c r="R423" s="6" t="n"/>
      <c r="S423" s="6">
        <f>IF(AND(Q423&lt;&gt;"",R423&lt;&gt;""),Q423*R423,"")</f>
        <v/>
      </c>
      <c r="T423" s="45">
        <f>IF(S423="",P423,S423)</f>
        <v/>
      </c>
      <c r="U423" s="7" t="n">
        <v>0</v>
      </c>
      <c r="V423" s="6">
        <f>$T423*U423</f>
        <v/>
      </c>
      <c r="W423" s="7" t="n">
        <v>0</v>
      </c>
      <c r="X423" s="6">
        <f>$T423*W423</f>
        <v/>
      </c>
      <c r="Y423" s="7" t="n">
        <v>0</v>
      </c>
      <c r="Z423" s="6">
        <f>$T423*Y423</f>
        <v/>
      </c>
      <c r="AA423" s="7" t="n">
        <v>0</v>
      </c>
      <c r="AB423" s="6">
        <f>$T423*AA423</f>
        <v/>
      </c>
      <c r="AC423" s="7" t="n">
        <v>0</v>
      </c>
      <c r="AD423" s="6">
        <f>$T423*AC423</f>
        <v/>
      </c>
      <c r="AE423" s="7" t="n">
        <v>0</v>
      </c>
      <c r="AF423" s="6">
        <f>$T423*AE423</f>
        <v/>
      </c>
      <c r="AG423" s="7" t="n">
        <v>0</v>
      </c>
      <c r="AH423" s="6">
        <f>$T423*AG423</f>
        <v/>
      </c>
      <c r="AI423" s="7">
        <f>U423+W423+Y423+AA423+AC423+AE423+AG423</f>
        <v/>
      </c>
      <c r="AJ423" s="6">
        <f>V423+X423+Z423+AB423+AD423+AF423+AH423</f>
        <v/>
      </c>
    </row>
    <row r="424" hidden="1" ht="60" customHeight="1" s="46">
      <c r="A424" s="3" t="inlineStr">
        <is>
          <t>LOM252.OC.EEA.PA01.G8237.ZA001.0760</t>
        </is>
      </c>
      <c r="B424" s="4" t="inlineStr">
        <is>
          <t>4/6</t>
        </is>
      </c>
      <c r="C424" s="3" t="inlineStr">
        <is>
          <t>IMPIANTO ELETTRICO</t>
        </is>
      </c>
      <c r="D424" s="4" t="inlineStr">
        <is>
          <t>NON SPECIALE</t>
        </is>
      </c>
      <c r="E424" s="4" t="inlineStr">
        <is>
          <t>ELETTRICHE</t>
        </is>
      </c>
      <c r="F424" s="3" t="inlineStr">
        <is>
          <t>3_CME IE RADIOFARMACIA PAVIA - REV02 VARIANTE ESECUTIVA.PDF</t>
        </is>
      </c>
      <c r="G424" s="4" t="inlineStr">
        <is>
          <t>125/125</t>
        </is>
      </c>
      <c r="H424" s="3" t="inlineStr">
        <is>
          <t>40 - IMPIANTISTICO</t>
        </is>
      </c>
      <c r="I424" s="3" t="inlineStr">
        <is>
          <t>CABINA DI TRASFORMAZIONE MT/BT</t>
        </is>
      </c>
      <c r="J424" s="3" t="inlineStr">
        <is>
          <t>IMPIANTO DI ILLUMINAZIONE</t>
        </is>
      </c>
      <c r="K424" s="3" t="inlineStr">
        <is>
          <t>OPERA: DERIVAZIONE D'IMPIANTO PUNTO LUCE, IN PARALLELO; IMPIEGO: DERIVAZIONE D'IMPIANTO A VISTA A PARETE/A SOFFITTO. INCLUSO: TUBO PROTETTIVO; CONDUTTORI DI ALIMENTAZIONE E DI TERRA; SCATOLE DA INCASS</t>
        </is>
      </c>
      <c r="L424" s="3" t="inlineStr">
        <is>
          <t>OPERA: DERIVAZIONE D'IMPIANTO PUNTO LUCE, IN PARALLELO; IMPIEGO: DERIVAZIONE D'IMPIANTO A VISTA A PARETE/A SOFFITTO.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24" s="4" t="inlineStr">
        <is>
          <t>CAD</t>
        </is>
      </c>
      <c r="N424" s="5" t="n">
        <v>2</v>
      </c>
      <c r="O424" s="45" t="n">
        <v>37.15</v>
      </c>
      <c r="P424" s="45" t="n">
        <v>74.3</v>
      </c>
      <c r="Q424" s="5" t="n"/>
      <c r="R424" s="6" t="n"/>
      <c r="S424" s="6">
        <f>IF(AND(Q424&lt;&gt;"",R424&lt;&gt;""),Q424*R424,"")</f>
        <v/>
      </c>
      <c r="T424" s="45">
        <f>IF(S424="",P424,S424)</f>
        <v/>
      </c>
      <c r="U424" s="7" t="n">
        <v>0</v>
      </c>
      <c r="V424" s="6">
        <f>$T424*U424</f>
        <v/>
      </c>
      <c r="W424" s="7" t="n">
        <v>0</v>
      </c>
      <c r="X424" s="6">
        <f>$T424*W424</f>
        <v/>
      </c>
      <c r="Y424" s="7" t="n">
        <v>0</v>
      </c>
      <c r="Z424" s="6">
        <f>$T424*Y424</f>
        <v/>
      </c>
      <c r="AA424" s="7" t="n">
        <v>0</v>
      </c>
      <c r="AB424" s="6">
        <f>$T424*AA424</f>
        <v/>
      </c>
      <c r="AC424" s="7" t="n">
        <v>0</v>
      </c>
      <c r="AD424" s="6">
        <f>$T424*AC424</f>
        <v/>
      </c>
      <c r="AE424" s="7" t="n">
        <v>0</v>
      </c>
      <c r="AF424" s="6">
        <f>$T424*AE424</f>
        <v/>
      </c>
      <c r="AG424" s="7" t="n">
        <v>0</v>
      </c>
      <c r="AH424" s="6">
        <f>$T424*AG424</f>
        <v/>
      </c>
      <c r="AI424" s="7">
        <f>U424+W424+Y424+AA424+AC424+AE424+AG424</f>
        <v/>
      </c>
      <c r="AJ424" s="6">
        <f>V424+X424+Z424+AB424+AD424+AF424+AH424</f>
        <v/>
      </c>
    </row>
    <row r="425" hidden="1" ht="60" customHeight="1" s="46">
      <c r="A425" s="3" t="inlineStr">
        <is>
          <t>LOM252.OC.EEA.PA01.G8210.ZA001.0590</t>
        </is>
      </c>
      <c r="B425" s="4" t="inlineStr">
        <is>
          <t>2/5</t>
        </is>
      </c>
      <c r="C425" s="3" t="inlineStr">
        <is>
          <t>IMPIANTO ELETTRICO</t>
        </is>
      </c>
      <c r="D425" s="4" t="inlineStr">
        <is>
          <t>NON SPECIALE</t>
        </is>
      </c>
      <c r="E425" s="4" t="inlineStr">
        <is>
          <t>ELETTRICHE</t>
        </is>
      </c>
      <c r="F425" s="3" t="inlineStr">
        <is>
          <t>3_CME IE RADIOFARMACIA PAVIA - REV02 VARIANTE ESECUTIVA.PDF</t>
        </is>
      </c>
      <c r="G425" s="4" t="inlineStr">
        <is>
          <t>126/126</t>
        </is>
      </c>
      <c r="H425" s="3" t="inlineStr">
        <is>
          <t>40 - IMPIANTISTICO</t>
        </is>
      </c>
      <c r="I425" s="3" t="inlineStr">
        <is>
          <t>CABINA DI TRASFORMAZIONE MT/BT</t>
        </is>
      </c>
      <c r="J425" s="3" t="inlineStr">
        <is>
          <t>IMPIANTO DI ILLUMINAZIONE</t>
        </is>
      </c>
      <c r="K425" s="3" t="inlineStr">
        <is>
          <t>OPERA: CORPO ILLUMINANTE, LED; FUNZIONE: ILLUMINAZIONE DI EMERGENZA; AUTONOMIA [H] = 1 / 2 | FLUSSO LUMINOSO SE [LM] = 250 / 130 | FLUSSO LUMINOSO SA [LM] = 110. INCLUSO: LED MULTICOLORE. ESCLUSO: ACC</t>
        </is>
      </c>
      <c r="L425" s="3" t="inlineStr">
        <is>
          <t>OPERA: CORPO ILLUMINANTE, LED; FUNZIONE: ILLUMINAZIONE DI EMERGENZA; AUTONOMIA [H] = 1 / 2 | FLUSSO LUMINOSO SE [LM] = 250 / 130 | FLUSSO LUMINOSO SA [LM] = 110. INCLUSO: LED MULTICOLORE. ESCLUSO: ACCESSORIO MODULO AGGIUNTIVO. 
LAVORO: INSTALLAZIONE.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OP CORPO ILLUMINANTE, LED; FUNZIONE: ILLUMINAZIONE DI EMERGENZA; AUTONOMIA [H] = 1 / 2 | FLUSSO LUMINOSO SE [LM] = 250 / 130 | FLUSSO LUMINOSO SA [LM] = 110.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RM CORPO ILLUMINANTE LED; FUNZIONE: ILLUMINAZIONE DI EMERGENZA; AUTONOMIA [H] = 1 / 2 | FLUSSO LUMINOSO SE [LM] = 250 / 130 | FLUSSO LUMINOSO SA [LM] = 110. COMPONENTE: BATTERIA TITANIO, .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LV INSTALLAZIONE.</t>
        </is>
      </c>
      <c r="M425" s="4" t="inlineStr">
        <is>
          <t>CAD</t>
        </is>
      </c>
      <c r="N425" s="5" t="n">
        <v>2</v>
      </c>
      <c r="O425" s="45" t="n">
        <v>85.11</v>
      </c>
      <c r="P425" s="45" t="n">
        <v>170.22</v>
      </c>
      <c r="Q425" s="5" t="n"/>
      <c r="R425" s="6" t="n"/>
      <c r="S425" s="6">
        <f>IF(AND(Q425&lt;&gt;"",R425&lt;&gt;""),Q425*R425,"")</f>
        <v/>
      </c>
      <c r="T425" s="45">
        <f>IF(S425="",P425,S425)</f>
        <v/>
      </c>
      <c r="U425" s="7" t="n">
        <v>0</v>
      </c>
      <c r="V425" s="6">
        <f>$T425*U425</f>
        <v/>
      </c>
      <c r="W425" s="7" t="n">
        <v>0</v>
      </c>
      <c r="X425" s="6">
        <f>$T425*W425</f>
        <v/>
      </c>
      <c r="Y425" s="7" t="n">
        <v>0</v>
      </c>
      <c r="Z425" s="6">
        <f>$T425*Y425</f>
        <v/>
      </c>
      <c r="AA425" s="7" t="n">
        <v>0</v>
      </c>
      <c r="AB425" s="6">
        <f>$T425*AA425</f>
        <v/>
      </c>
      <c r="AC425" s="7" t="n">
        <v>0</v>
      </c>
      <c r="AD425" s="6">
        <f>$T425*AC425</f>
        <v/>
      </c>
      <c r="AE425" s="7" t="n">
        <v>0</v>
      </c>
      <c r="AF425" s="6">
        <f>$T425*AE425</f>
        <v/>
      </c>
      <c r="AG425" s="7" t="n">
        <v>0</v>
      </c>
      <c r="AH425" s="6">
        <f>$T425*AG425</f>
        <v/>
      </c>
      <c r="AI425" s="7">
        <f>U425+W425+Y425+AA425+AC425+AE425+AG425</f>
        <v/>
      </c>
      <c r="AJ425" s="6">
        <f>V425+X425+Z425+AB425+AD425+AF425+AH425</f>
        <v/>
      </c>
    </row>
    <row r="426" hidden="1" ht="60" customHeight="1" s="46">
      <c r="A426" s="3" t="inlineStr">
        <is>
          <t>IE_NP_ILLORD01</t>
        </is>
      </c>
      <c r="B426" s="4" t="inlineStr">
        <is>
          <t>2/5</t>
        </is>
      </c>
      <c r="C426" s="3" t="inlineStr">
        <is>
          <t>IMPIANTO ELETTRICO</t>
        </is>
      </c>
      <c r="D426" s="4" t="inlineStr">
        <is>
          <t>NON SPECIALE</t>
        </is>
      </c>
      <c r="E426" s="4" t="inlineStr">
        <is>
          <t>ELETTRICHE</t>
        </is>
      </c>
      <c r="F426" s="3" t="inlineStr">
        <is>
          <t>3_CME IE RADIOFARMACIA PAVIA - REV02 VARIANTE ESECUTIVA.PDF</t>
        </is>
      </c>
      <c r="G426" s="4" t="inlineStr">
        <is>
          <t>127/127</t>
        </is>
      </c>
      <c r="H426" s="3" t="inlineStr">
        <is>
          <t>40 - IMPIANTISTICO</t>
        </is>
      </c>
      <c r="I426" s="3" t="inlineStr">
        <is>
          <t>CABINA DI TRASFORMAZIONE MT/BT</t>
        </is>
      </c>
      <c r="J426" s="3" t="inlineStr">
        <is>
          <t>IMPIANTO DI ILLUMINAZIONE</t>
        </is>
      </c>
      <c r="K426" s="3" t="inlineStr">
        <is>
          <t>FORNITURA E POSA IN OPERA DI APPARECCHIO ILLUMINANTE INDUSTRIALE DI TIPO STAGNO INSTALLATO A PLAFONE E/O A SOSPENSIONE E TUTTI GLI ACCESSORI NECESSARI PER IL PERFETTO FUNZIONAMENTO DEL CORPO ILLUMINAN</t>
        </is>
      </c>
      <c r="L426" s="3" t="inlineStr">
        <is>
          <t>FORNITURA E POSA IN OPERA DI APPARECCHIO ILLUMINANTE INDUSTRIALE DI TIPO STAGNO INSTALLATO A PLAFONE E/O A SOSPENSIONE E TUTTI GLI ACCESSORI NECESSARI PER IL PERFETTO FUNZIONAMENTO DEL CORPO ILLUMINANTE. 
CARATTERISTICHE GENERALI: 
CLASSIFICAZIONE RISCHIO FOTOBIOLOGICO: RG0 GRUPPO ESENTE. 
TEMPERATURA COLORE 4000K 
POTENZA ASSORBITA (W TOT) 34W 
FLUSSO LUMINOSO USCENTE 5194LM 
CRI &gt;=80 
CLASSE DI ISOLAMENTO I 
LOW FLICKER &lt;3% 
GRADO DI PROTEZIONE IP66 
PESO 1.8KG 
NORME DI RIFERIMENTO EN 60598-1, EN 60598-2-1, EN 62471, UNI EN 13032-1:2012, UNI EN 13032-4:2015, IES LM-79-08 
MANTENIMENTO DEL FLUSSO LUMINOSO LED L80B20: 50.000H  
CARATTERISTICHE ELETTRICHE DI PILOTAGGIO 
ALIMENTAZIONE ELETTRONICA 230V-50/60HZ, 
FATTORE DI POTENZA ≥0,95 
MATERIALI 
CORPO: STAMPATO AD INIEZIONE IN POLICARBONATO GRIGIO, INFRANGIBILE, STABILIZZATO AI RAGGI UV, DI ELEVATA RESISTENZA MECCANICA GRAZIE ALLA STRUTTURA RINFORZATA DA NERVATURE INTERNE. 
DIFFUSORE: STAMPATO AD INIEZIONE IN POLICARBONATO CON RIGHE INTERNE PER UN MAGGIOR CONTROLLO LUMINOSO, AUTOESTINGUENTE V2, STABILIZZATO AI RAGGI UV, FINITURA ESTERNA LISCIA PER FACILITARE LA PULIZIA NECESSARIA PER AVERE LA MASSIMA EFFICIENZA LUMINOSA. IL POLICARBONATO UTILIZZATO È DI PRIMA SCELTA E STABILIZZATO AI RAGGI U.V. LA LAVORAZIONE ELIMINA L’EFFETTO DELL’ABBAGLIAMENTO MA NON DIMINUISCE IL RENDIMENTO. POLICARBONATO CON OTTIMO COEFFICIENTE DI DIFFUSIONE E DI TRASMISSIONE DELLA LUCE. CHIUSURA A INCASTRO E CON VITI DI SICUREZZA IN ACCIAIO INOX. 
RIFLETTORE IN ACCIAIO ZINCATO PREVERNICIATO BIANCO A FORNO CON RESINA POLIESTERE STABILIZZATO AI RAGGI UV. FISSATO AL CORPO CON INNESTO RAPIDO MEDIANTE DISPOSITIVO RICAVATO DIRETTAMENTE SUL CORPO. 
SONO COMPRESI LA MANODOPERA, GLI ALLACCIAMENTI ELETTRICI, GLI ACCESSORI DI MONTAGGIO, FISSAGGIO, ALIMENTAZIONE, SOSTEGNO, OGNI ONERE ACCESSORIO PER L’INSTALLAZIONE DELLA PLAFONIERA COME DA PROGETTO E MATERIALI DI CONSUMO. 
APPARECCHIO DISANO - MODELLO 960 HYDRO LED - MONEY SAVING  - ART. 164754-00 O EQUIVALENTE APPROVATO</t>
        </is>
      </c>
      <c r="M426" s="4" t="inlineStr">
        <is>
          <t>CADAUNO</t>
        </is>
      </c>
      <c r="N426" s="5" t="n">
        <v>3</v>
      </c>
      <c r="O426" s="45" t="n">
        <v>86.06</v>
      </c>
      <c r="P426" s="45" t="n">
        <v>258.18</v>
      </c>
      <c r="Q426" s="5" t="n"/>
      <c r="R426" s="6" t="n"/>
      <c r="S426" s="6">
        <f>IF(AND(Q426&lt;&gt;"",R426&lt;&gt;""),Q426*R426,"")</f>
        <v/>
      </c>
      <c r="T426" s="45">
        <f>IF(S426="",P426,S426)</f>
        <v/>
      </c>
      <c r="U426" s="7" t="n">
        <v>0</v>
      </c>
      <c r="V426" s="6">
        <f>$T426*U426</f>
        <v/>
      </c>
      <c r="W426" s="7" t="n">
        <v>0</v>
      </c>
      <c r="X426" s="6">
        <f>$T426*W426</f>
        <v/>
      </c>
      <c r="Y426" s="7" t="n">
        <v>0</v>
      </c>
      <c r="Z426" s="6">
        <f>$T426*Y426</f>
        <v/>
      </c>
      <c r="AA426" s="7" t="n">
        <v>0</v>
      </c>
      <c r="AB426" s="6">
        <f>$T426*AA426</f>
        <v/>
      </c>
      <c r="AC426" s="7" t="n">
        <v>0</v>
      </c>
      <c r="AD426" s="6">
        <f>$T426*AC426</f>
        <v/>
      </c>
      <c r="AE426" s="7" t="n">
        <v>0</v>
      </c>
      <c r="AF426" s="6">
        <f>$T426*AE426</f>
        <v/>
      </c>
      <c r="AG426" s="7" t="n">
        <v>0</v>
      </c>
      <c r="AH426" s="6">
        <f>$T426*AG426</f>
        <v/>
      </c>
      <c r="AI426" s="7">
        <f>U426+W426+Y426+AA426+AC426+AE426+AG426</f>
        <v/>
      </c>
      <c r="AJ426" s="6">
        <f>V426+X426+Z426+AB426+AD426+AF426+AH426</f>
        <v/>
      </c>
    </row>
    <row r="427" hidden="1" ht="60" customHeight="1" s="46">
      <c r="A427" s="3" t="inlineStr">
        <is>
          <t>LOM252.OC.EEA.PA01.G8235.ZA001.0270</t>
        </is>
      </c>
      <c r="B427" s="4" t="inlineStr">
        <is>
          <t>2/4</t>
        </is>
      </c>
      <c r="C427" s="3" t="inlineStr">
        <is>
          <t>IMPIANTO ELETTRICO</t>
        </is>
      </c>
      <c r="D427" s="4" t="inlineStr">
        <is>
          <t>NON SPECIALE</t>
        </is>
      </c>
      <c r="E427" s="4" t="inlineStr">
        <is>
          <t>ELETTRICHE</t>
        </is>
      </c>
      <c r="F427" s="3" t="inlineStr">
        <is>
          <t>3_CME IE RADIOFARMACIA PAVIA - REV02 VARIANTE ESECUTIVA.PDF</t>
        </is>
      </c>
      <c r="G427" s="4" t="inlineStr">
        <is>
          <t>128/128</t>
        </is>
      </c>
      <c r="H427" s="3" t="inlineStr">
        <is>
          <t>40 - IMPIANTISTICO</t>
        </is>
      </c>
      <c r="I427" s="3" t="inlineStr">
        <is>
          <t>CABINA DI TRASFORMAZIONE MT/BT</t>
        </is>
      </c>
      <c r="J427" s="3" t="inlineStr">
        <is>
          <t>IMPIANTO DI FORZA MOTRICE</t>
        </is>
      </c>
      <c r="K427" s="3" t="inlineStr">
        <is>
          <t>OPERA: DERIVAZIONE D'IMPIANTO PRESA, BIPASSO; FUNZIONE: PRESA DI CORRENTE; IMPIEGO: DERIVAZIONE D'IMPIANTO A VISTA A PARETE/A SOFFITTO; CORRENTE NOMINALE 1 [A] = 10 | CORRENTE NOMINALE 2 [A] = 16 | GR</t>
        </is>
      </c>
      <c r="L427" s="3" t="inlineStr">
        <is>
          <t>OPERA: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BIPASSO; FUNZIONE: PRESA DI CORRENTE; IMPIEGO: DERIVAZIONE D'IMPIANTO A VISTA A PARETE/A SOFFITTO; CORRENTE NOMINALE 1 [A] = 10 | CORRENTE NOMINALE 2 [A] = 16 | GRADO DI SICUREZZA [-] = 2.2; N° PRESE [-] = 2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27" s="4" t="inlineStr">
        <is>
          <t>CAD</t>
        </is>
      </c>
      <c r="N427" s="5" t="n">
        <v>2</v>
      </c>
      <c r="O427" s="45" t="n">
        <v>65.22</v>
      </c>
      <c r="P427" s="45" t="n">
        <v>130.44</v>
      </c>
      <c r="Q427" s="5" t="n"/>
      <c r="R427" s="6" t="n"/>
      <c r="S427" s="6">
        <f>IF(AND(Q427&lt;&gt;"",R427&lt;&gt;""),Q427*R427,"")</f>
        <v/>
      </c>
      <c r="T427" s="45">
        <f>IF(S427="",P427,S427)</f>
        <v/>
      </c>
      <c r="U427" s="7" t="n">
        <v>0</v>
      </c>
      <c r="V427" s="6">
        <f>$T427*U427</f>
        <v/>
      </c>
      <c r="W427" s="7" t="n">
        <v>0</v>
      </c>
      <c r="X427" s="6">
        <f>$T427*W427</f>
        <v/>
      </c>
      <c r="Y427" s="7" t="n">
        <v>0</v>
      </c>
      <c r="Z427" s="6">
        <f>$T427*Y427</f>
        <v/>
      </c>
      <c r="AA427" s="7" t="n">
        <v>0</v>
      </c>
      <c r="AB427" s="6">
        <f>$T427*AA427</f>
        <v/>
      </c>
      <c r="AC427" s="7" t="n">
        <v>0</v>
      </c>
      <c r="AD427" s="6">
        <f>$T427*AC427</f>
        <v/>
      </c>
      <c r="AE427" s="7" t="n">
        <v>0</v>
      </c>
      <c r="AF427" s="6">
        <f>$T427*AE427</f>
        <v/>
      </c>
      <c r="AG427" s="7" t="n">
        <v>0</v>
      </c>
      <c r="AH427" s="6">
        <f>$T427*AG427</f>
        <v/>
      </c>
      <c r="AI427" s="7">
        <f>U427+W427+Y427+AA427+AC427+AE427+AG427</f>
        <v/>
      </c>
      <c r="AJ427" s="6">
        <f>V427+X427+Z427+AB427+AD427+AF427+AH427</f>
        <v/>
      </c>
    </row>
    <row r="428" hidden="1" ht="60" customHeight="1" s="46">
      <c r="A428" s="3" t="inlineStr">
        <is>
          <t>LOM252.OC.EEA.PA02.G8231.ZA001.1000</t>
        </is>
      </c>
      <c r="B428" s="4" t="inlineStr">
        <is>
          <t>2/5</t>
        </is>
      </c>
      <c r="C428" s="3" t="inlineStr">
        <is>
          <t>IMPIANTO ELETTRICO</t>
        </is>
      </c>
      <c r="D428" s="4" t="inlineStr">
        <is>
          <t>NON SPECIALE</t>
        </is>
      </c>
      <c r="E428" s="4" t="inlineStr">
        <is>
          <t>ELETTRICHE</t>
        </is>
      </c>
      <c r="F428" s="3" t="inlineStr">
        <is>
          <t>3_CME IE RADIOFARMACIA PAVIA - REV02 VARIANTE ESECUTIVA.PDF</t>
        </is>
      </c>
      <c r="G428" s="4" t="inlineStr">
        <is>
          <t>129/129</t>
        </is>
      </c>
      <c r="H428" s="3" t="inlineStr">
        <is>
          <t>40 - IMPIANTISTICO</t>
        </is>
      </c>
      <c r="I428" s="3" t="inlineStr">
        <is>
          <t>CABINA DI TRASFORMAZIONE MT/BT</t>
        </is>
      </c>
      <c r="J428" s="3" t="inlineStr">
        <is>
          <t>IMPIANTO DI FORZA MOTRICE</t>
        </is>
      </c>
      <c r="K428" s="3" t="inlineStr">
        <is>
          <t xml:space="preserve">OPERA: PRESA; CORRENTE NOMINALE [A] = 10/16; N° POLI [-] = 2P+T. </t>
        </is>
      </c>
      <c r="L428" s="3" t="inlineStr">
        <is>
          <t>OPERA: PRESA; CORRENTE NOMINALE [A] = 10/16; N° POLI [-] = 2P+T. 
LAVORO: POSA. 
SPECIFICHE TECNICHE: UNEL BIVALENTE MODULARE. OP PRESA; CORRENTE NOMINALE [A] = 10/16; N° POLI [-] = 2P+T. 
SPECIFICHE TECNICHE: UNEL BIVALENTE MODULARE. 
RM PRESA; CORRENTE NOMINALE [A] = 10/16; N° POLI [-] = 2P+T 
SPECIFICHE TECNICHE: UNEL BIVALENTE MODULARE 
LV POSA.</t>
        </is>
      </c>
      <c r="M428" s="4" t="inlineStr">
        <is>
          <t>CAD</t>
        </is>
      </c>
      <c r="N428" s="5" t="n">
        <v>2</v>
      </c>
      <c r="O428" s="45" t="n">
        <v>71.15000000000001</v>
      </c>
      <c r="P428" s="45" t="n">
        <v>142.3</v>
      </c>
      <c r="Q428" s="5" t="n"/>
      <c r="R428" s="6" t="n"/>
      <c r="S428" s="6">
        <f>IF(AND(Q428&lt;&gt;"",R428&lt;&gt;""),Q428*R428,"")</f>
        <v/>
      </c>
      <c r="T428" s="45">
        <f>IF(S428="",P428,S428)</f>
        <v/>
      </c>
      <c r="U428" s="7" t="n">
        <v>0</v>
      </c>
      <c r="V428" s="6">
        <f>$T428*U428</f>
        <v/>
      </c>
      <c r="W428" s="7" t="n">
        <v>0</v>
      </c>
      <c r="X428" s="6">
        <f>$T428*W428</f>
        <v/>
      </c>
      <c r="Y428" s="7" t="n">
        <v>0</v>
      </c>
      <c r="Z428" s="6">
        <f>$T428*Y428</f>
        <v/>
      </c>
      <c r="AA428" s="7" t="n">
        <v>0</v>
      </c>
      <c r="AB428" s="6">
        <f>$T428*AA428</f>
        <v/>
      </c>
      <c r="AC428" s="7" t="n">
        <v>0</v>
      </c>
      <c r="AD428" s="6">
        <f>$T428*AC428</f>
        <v/>
      </c>
      <c r="AE428" s="7" t="n">
        <v>0</v>
      </c>
      <c r="AF428" s="6">
        <f>$T428*AE428</f>
        <v/>
      </c>
      <c r="AG428" s="7" t="n">
        <v>0</v>
      </c>
      <c r="AH428" s="6">
        <f>$T428*AG428</f>
        <v/>
      </c>
      <c r="AI428" s="7">
        <f>U428+W428+Y428+AA428+AC428+AE428+AG428</f>
        <v/>
      </c>
      <c r="AJ428" s="6">
        <f>V428+X428+Z428+AB428+AD428+AF428+AH428</f>
        <v/>
      </c>
    </row>
    <row r="429" hidden="1" ht="60" customHeight="1" s="46">
      <c r="A429" s="3" t="inlineStr">
        <is>
          <t>DEIELE251_075016D</t>
        </is>
      </c>
      <c r="B429" s="4" t="inlineStr">
        <is>
          <t>3/5</t>
        </is>
      </c>
      <c r="C429" s="3" t="inlineStr">
        <is>
          <t>IMPIANTO ELETTRICO</t>
        </is>
      </c>
      <c r="D429" s="4" t="inlineStr">
        <is>
          <t>NON SPECIALE</t>
        </is>
      </c>
      <c r="E429" s="4" t="inlineStr">
        <is>
          <t>ELETTRICHE</t>
        </is>
      </c>
      <c r="F429" s="3" t="inlineStr">
        <is>
          <t>3_CME IE RADIOFARMACIA PAVIA - REV02 VARIANTE ESECUTIVA.PDF</t>
        </is>
      </c>
      <c r="G429" s="4" t="inlineStr">
        <is>
          <t>130/130</t>
        </is>
      </c>
      <c r="H429" s="3" t="inlineStr">
        <is>
          <t>40 - IMPIANTISTICO</t>
        </is>
      </c>
      <c r="I429" s="3" t="inlineStr">
        <is>
          <t>CABINA BT</t>
        </is>
      </c>
      <c r="J429" s="3" t="inlineStr">
        <is>
          <t>IMPIANTO DI MESSA A TERRA</t>
        </is>
      </c>
      <c r="K429" s="3" t="inlineStr">
        <is>
          <t>BARRA EQUIPOTENZIALE INDUSTRIALE NUDA, CON VITERIA IN ACCIAIO INOSSIDABILE PER SERRAGGIO CAPICORDA, INSTALLATA A MURO COMPLETA DI ISOLATORI IN DUROPLASTICO ED ACCESSORI DI FISSAGGIO: IN ACCIAIO INOSSI</t>
        </is>
      </c>
      <c r="L429" s="3" t="inlineStr">
        <is>
          <t>BARRA EQUIPOTENZIALE INDUSTRIALE NUDA, CON VITERIA IN ACCIAIO INOSSIDABILE PER SERRAGGIO CAPICORDA, INSTALLATA A MURO COMPLETA DI ISOLATORI IN DUROPLASTICO ED ACCESSORI DI FISSAGGIO: IN ACCIAIO INOSSIDABILE, DIMENSIONI: 500 X 40 X 5 MM, PER 12 COLLEGAMENTI</t>
        </is>
      </c>
      <c r="M429" s="4" t="inlineStr">
        <is>
          <t>CAD</t>
        </is>
      </c>
      <c r="N429" s="5" t="n">
        <v>1</v>
      </c>
      <c r="O429" s="45" t="n">
        <v>142.3</v>
      </c>
      <c r="P429" s="45" t="n">
        <v>142.3</v>
      </c>
      <c r="Q429" s="5" t="n"/>
      <c r="R429" s="6" t="n"/>
      <c r="S429" s="6">
        <f>IF(AND(Q429&lt;&gt;"",R429&lt;&gt;""),Q429*R429,"")</f>
        <v/>
      </c>
      <c r="T429" s="45">
        <f>IF(S429="",P429,S429)</f>
        <v/>
      </c>
      <c r="U429" s="7" t="n">
        <v>0</v>
      </c>
      <c r="V429" s="6">
        <f>$T429*U429</f>
        <v/>
      </c>
      <c r="W429" s="7" t="n">
        <v>0</v>
      </c>
      <c r="X429" s="6">
        <f>$T429*W429</f>
        <v/>
      </c>
      <c r="Y429" s="7" t="n">
        <v>0</v>
      </c>
      <c r="Z429" s="6">
        <f>$T429*Y429</f>
        <v/>
      </c>
      <c r="AA429" s="7" t="n">
        <v>0</v>
      </c>
      <c r="AB429" s="6">
        <f>$T429*AA429</f>
        <v/>
      </c>
      <c r="AC429" s="7" t="n">
        <v>0</v>
      </c>
      <c r="AD429" s="6">
        <f>$T429*AC429</f>
        <v/>
      </c>
      <c r="AE429" s="7" t="n">
        <v>0</v>
      </c>
      <c r="AF429" s="6">
        <f>$T429*AE429</f>
        <v/>
      </c>
      <c r="AG429" s="7" t="n">
        <v>0</v>
      </c>
      <c r="AH429" s="6">
        <f>$T429*AG429</f>
        <v/>
      </c>
      <c r="AI429" s="7">
        <f>U429+W429+Y429+AA429+AC429+AE429+AG429</f>
        <v/>
      </c>
      <c r="AJ429" s="6">
        <f>V429+X429+Z429+AB429+AD429+AF429+AH429</f>
        <v/>
      </c>
    </row>
    <row r="430" hidden="1" ht="18" customHeight="1" s="46">
      <c r="A430" s="3" t="inlineStr">
        <is>
          <t>DEIELE251_015005</t>
        </is>
      </c>
      <c r="B430" s="4" t="inlineStr">
        <is>
          <t>3/3</t>
        </is>
      </c>
      <c r="C430" s="3" t="inlineStr">
        <is>
          <t>IMPIANTO ELETTRICO</t>
        </is>
      </c>
      <c r="D430" s="4" t="inlineStr">
        <is>
          <t>NON SPECIALE</t>
        </is>
      </c>
      <c r="E430" s="4" t="inlineStr">
        <is>
          <t>ELETTRICHE</t>
        </is>
      </c>
      <c r="F430" s="3" t="inlineStr">
        <is>
          <t>3_CME IE RADIOFARMACIA PAVIA - REV02 VARIANTE ESECUTIVA.PDF</t>
        </is>
      </c>
      <c r="G430" s="4" t="inlineStr">
        <is>
          <t>131/131</t>
        </is>
      </c>
      <c r="H430" s="3" t="inlineStr">
        <is>
          <t>40 - IMPIANTISTICO</t>
        </is>
      </c>
      <c r="I430" s="3" t="inlineStr">
        <is>
          <t>CABINA BT</t>
        </is>
      </c>
      <c r="J430" s="3" t="inlineStr">
        <is>
          <t>IMPIANTO DI MESSA A TERRA</t>
        </is>
      </c>
      <c r="K430" s="3" t="inlineStr">
        <is>
          <t>COLLEGAMENTO EQUIPOTENZIALE PER VANO</t>
        </is>
      </c>
      <c r="L430" s="3" t="inlineStr">
        <is>
          <t>COLLEGAMENTO EQUIPOTENZIALE PER VANO</t>
        </is>
      </c>
      <c r="M430" s="4" t="inlineStr">
        <is>
          <t>CAD</t>
        </is>
      </c>
      <c r="N430" s="5" t="n">
        <v>1</v>
      </c>
      <c r="O430" s="45" t="n">
        <v>142.3</v>
      </c>
      <c r="P430" s="45" t="n">
        <v>142.3</v>
      </c>
      <c r="Q430" s="5" t="n"/>
      <c r="R430" s="6" t="n"/>
      <c r="S430" s="6">
        <f>IF(AND(Q430&lt;&gt;"",R430&lt;&gt;""),Q430*R430,"")</f>
        <v/>
      </c>
      <c r="T430" s="45">
        <f>IF(S430="",P430,S430)</f>
        <v/>
      </c>
      <c r="U430" s="7" t="n">
        <v>0</v>
      </c>
      <c r="V430" s="6">
        <f>$T430*U430</f>
        <v/>
      </c>
      <c r="W430" s="7" t="n">
        <v>0</v>
      </c>
      <c r="X430" s="6">
        <f>$T430*W430</f>
        <v/>
      </c>
      <c r="Y430" s="7" t="n">
        <v>0</v>
      </c>
      <c r="Z430" s="6">
        <f>$T430*Y430</f>
        <v/>
      </c>
      <c r="AA430" s="7" t="n">
        <v>0</v>
      </c>
      <c r="AB430" s="6">
        <f>$T430*AA430</f>
        <v/>
      </c>
      <c r="AC430" s="7" t="n">
        <v>0</v>
      </c>
      <c r="AD430" s="6">
        <f>$T430*AC430</f>
        <v/>
      </c>
      <c r="AE430" s="7" t="n">
        <v>0</v>
      </c>
      <c r="AF430" s="6">
        <f>$T430*AE430</f>
        <v/>
      </c>
      <c r="AG430" s="7" t="n">
        <v>0</v>
      </c>
      <c r="AH430" s="6">
        <f>$T430*AG430</f>
        <v/>
      </c>
      <c r="AI430" s="7">
        <f>U430+W430+Y430+AA430+AC430+AE430+AG430</f>
        <v/>
      </c>
      <c r="AJ430" s="6">
        <f>V430+X430+Z430+AB430+AD430+AF430+AH430</f>
        <v/>
      </c>
    </row>
    <row r="431" hidden="1" ht="60" customHeight="1" s="46">
      <c r="A431" s="3" t="inlineStr">
        <is>
          <t>LOM252.OC.EEA.PA02.G7424.SC009.1300</t>
        </is>
      </c>
      <c r="B431" s="4" t="inlineStr">
        <is>
          <t>1/2</t>
        </is>
      </c>
      <c r="C431" s="3" t="inlineStr">
        <is>
          <t>IMPIANTO ELETTRICO</t>
        </is>
      </c>
      <c r="D431" s="4" t="inlineStr">
        <is>
          <t>NON SPECIALE</t>
        </is>
      </c>
      <c r="E431" s="4" t="inlineStr">
        <is>
          <t>ELETTRICHE</t>
        </is>
      </c>
      <c r="F431" s="3" t="inlineStr">
        <is>
          <t>3_CME IE RADIOFARMACIA PAVIA - REV02 VARIANTE ESECUTIVA.PDF</t>
        </is>
      </c>
      <c r="G431" s="4" t="inlineStr">
        <is>
          <t>132/132</t>
        </is>
      </c>
      <c r="H431" s="3" t="inlineStr">
        <is>
          <t>40 - IMPIANTISTICO</t>
        </is>
      </c>
      <c r="I431" s="3" t="inlineStr">
        <is>
          <t>CABINA BT</t>
        </is>
      </c>
      <c r="J431" s="3" t="inlineStr">
        <is>
          <t>IMPIANTO DI MESSA A TERRA</t>
        </is>
      </c>
      <c r="K431" s="3" t="inlineStr">
        <is>
          <t xml:space="preserve">OPERA: CAVO, FG17 DI LEGA RAME RICOTTO; GEOMETRIA: FLESSIBILE; SEZIONE NOMINALE [MM²] = 95; TENSIONE NOMINALE [KV] = 450/750; N° POLI [-] = 1P. </t>
        </is>
      </c>
      <c r="L431" s="3" t="inlineStr">
        <is>
          <t>OPERA: CAVO, FG17 DI LEGA RAME RICOTTO; GEOMETRIA: FLESSIBILE; SEZIONE NOMINALE [MM²] = 95; TENSIONE NOMINALE [KV] = 450/750; N° POLI [-] = 1P. 
LAVORO: POSA. OP CAVO, FG17 DI LEGA RAME RICOTTO; GEOMETRIA: FLESSIBILE; SEZIONE NOMINALE [MM²] = 95; TENSIONE NOMINALE UO/U [KV] = 450/750; N° POLI [-] = 1P. 
RM CAVO FG17 DI LEGA RAME RICOTTO; GEOMETRIA: FLESSIBILE; SEZIONE NOMINALE [MM²] = 95; TENSIONE NOMINALE UO/U [KV] = 450/750; N° POLI [-] = 1P. COMPONENTE: ISOLANTE,  
LV POSA.
[DIMENSIONI: 1,00 10,00]</t>
        </is>
      </c>
      <c r="M431" s="4" t="inlineStr">
        <is>
          <t>M</t>
        </is>
      </c>
      <c r="N431" s="5" t="n">
        <v>10</v>
      </c>
      <c r="O431" s="45" t="n">
        <v>23.36</v>
      </c>
      <c r="P431" s="45" t="n">
        <v>233.6</v>
      </c>
      <c r="Q431" s="5" t="n"/>
      <c r="R431" s="6" t="n"/>
      <c r="S431" s="6">
        <f>IF(AND(Q431&lt;&gt;"",R431&lt;&gt;""),Q431*R431,"")</f>
        <v/>
      </c>
      <c r="T431" s="45">
        <f>IF(S431="",P431,S431)</f>
        <v/>
      </c>
      <c r="U431" s="7" t="n">
        <v>0</v>
      </c>
      <c r="V431" s="6">
        <f>$T431*U431</f>
        <v/>
      </c>
      <c r="W431" s="7" t="n">
        <v>0</v>
      </c>
      <c r="X431" s="6">
        <f>$T431*W431</f>
        <v/>
      </c>
      <c r="Y431" s="7" t="n">
        <v>0</v>
      </c>
      <c r="Z431" s="6">
        <f>$T431*Y431</f>
        <v/>
      </c>
      <c r="AA431" s="7" t="n">
        <v>0</v>
      </c>
      <c r="AB431" s="6">
        <f>$T431*AA431</f>
        <v/>
      </c>
      <c r="AC431" s="7" t="n">
        <v>0</v>
      </c>
      <c r="AD431" s="6">
        <f>$T431*AC431</f>
        <v/>
      </c>
      <c r="AE431" s="7" t="n">
        <v>0</v>
      </c>
      <c r="AF431" s="6">
        <f>$T431*AE431</f>
        <v/>
      </c>
      <c r="AG431" s="7" t="n">
        <v>0</v>
      </c>
      <c r="AH431" s="6">
        <f>$T431*AG431</f>
        <v/>
      </c>
      <c r="AI431" s="7">
        <f>U431+W431+Y431+AA431+AC431+AE431+AG431</f>
        <v/>
      </c>
      <c r="AJ431" s="6">
        <f>V431+X431+Z431+AB431+AD431+AF431+AH431</f>
        <v/>
      </c>
    </row>
    <row r="432" ht="60" customHeight="1" s="46">
      <c r="A432" s="3" t="inlineStr">
        <is>
          <t>LOM252.OC.EEA.PA02.G7424.SC009.0550</t>
        </is>
      </c>
      <c r="B432" s="4" t="inlineStr">
        <is>
          <t>1/2</t>
        </is>
      </c>
      <c r="C432" s="3" t="inlineStr">
        <is>
          <t>IMPIANTO ELETTRICO</t>
        </is>
      </c>
      <c r="D432" s="4" t="inlineStr">
        <is>
          <t>NON SPECIALE</t>
        </is>
      </c>
      <c r="E432" s="4" t="inlineStr">
        <is>
          <t>ELETTRICHE</t>
        </is>
      </c>
      <c r="F432" s="3" t="inlineStr">
        <is>
          <t>3_CME IE RADIOFARMACIA PAVIA - REV02 VARIANTE ESECUTIVA.PDF</t>
        </is>
      </c>
      <c r="G432" s="4" t="inlineStr">
        <is>
          <t>133/133</t>
        </is>
      </c>
      <c r="H432" s="3" t="inlineStr">
        <is>
          <t>40 - IMPIANTISTICO</t>
        </is>
      </c>
      <c r="I432" s="3" t="inlineStr">
        <is>
          <t>CABINA BT</t>
        </is>
      </c>
      <c r="J432" s="3" t="inlineStr">
        <is>
          <t>DISTRIBUZIONE PRINCIPALE BT</t>
        </is>
      </c>
      <c r="K432" s="3" t="inlineStr">
        <is>
          <t xml:space="preserve">OPERA: CAVO, FG16OM16 DI LEGA RAME RICOTTO; GEOMETRIA: FLESSIBILE; SEZIONE NOMINALE [MM²] = 240; TENSIONE NOMINALE [KV] = 0,6/1; N° POLI [-] = 1P. </t>
        </is>
      </c>
      <c r="L432" s="3" t="inlineStr">
        <is>
          <t>OPERA: CAVO, FG16OM16 DI LEGA RAME RICOTTO; GEOMETRIA: FLESSIBILE; SEZIONE NOMINALE [MM²] = 240; TENSIONE NOMINALE [KV] = 0,6/1; N° POLI [-] = 1P. 
LAVORO: POSA. OP CAVO, FG16OM16 DI LEGA RAME RICOTTO; GEOMETRIA: FLESSIBILE; SEZIONE NOMINALE [MM²] = 240; TENSIONE NOMINALE UO/U [KV] = 0,6/1; N° POLI [-] = 1P. 
RM CAVO FG16OM16 DI LEGA RAME RICOTTO; GEOMETRIA: FLESSIBILE; SEZIONE NOMINALE [MM²] = 240; TENSIONE NOMINALE UO/U [KV] = 0,6/1; N° POLI [-] = 1P. COMPONENTI: ISOLANTE, GUAINA TERMOPLASTICA, RIVESTIMENTO INTERNO 
LV POSA.
[DIMENSIONI: 8,00 20,00]</t>
        </is>
      </c>
      <c r="M432" s="4" t="inlineStr">
        <is>
          <t>M</t>
        </is>
      </c>
      <c r="N432" s="5" t="n">
        <v>160</v>
      </c>
      <c r="O432" s="45" t="n">
        <v>44.24</v>
      </c>
      <c r="P432" s="45" t="n">
        <v>7078.4</v>
      </c>
      <c r="Q432" s="5" t="n"/>
      <c r="R432" s="6" t="n"/>
      <c r="S432" s="6">
        <f>IF(AND(Q432&lt;&gt;"",R432&lt;&gt;""),Q432*R432,"")</f>
        <v/>
      </c>
      <c r="T432" s="45">
        <f>IF(S432="",P432,S432)</f>
        <v/>
      </c>
      <c r="U432" s="7" t="n">
        <v>0</v>
      </c>
      <c r="V432" s="6">
        <f>$T432*U432</f>
        <v/>
      </c>
      <c r="W432" s="7" t="n">
        <v>0.6</v>
      </c>
      <c r="X432" s="6">
        <f>$T432*W432</f>
        <v/>
      </c>
      <c r="Y432" s="7" t="n">
        <v>0</v>
      </c>
      <c r="Z432" s="6">
        <f>$T432*Y432</f>
        <v/>
      </c>
      <c r="AA432" s="7" t="n">
        <v>0</v>
      </c>
      <c r="AB432" s="6">
        <f>$T432*AA432</f>
        <v/>
      </c>
      <c r="AC432" s="7" t="n">
        <v>0</v>
      </c>
      <c r="AD432" s="6">
        <f>$T432*AC432</f>
        <v/>
      </c>
      <c r="AE432" s="7" t="n">
        <v>0</v>
      </c>
      <c r="AF432" s="6">
        <f>$T432*AE432</f>
        <v/>
      </c>
      <c r="AG432" s="7" t="n">
        <v>0</v>
      </c>
      <c r="AH432" s="6">
        <f>$T432*AG432</f>
        <v/>
      </c>
      <c r="AI432" s="7">
        <f>U432+W432+Y432+AA432+AC432+AE432+AG432</f>
        <v/>
      </c>
      <c r="AJ432" s="6">
        <f>V432+X432+Z432+AB432+AD432+AF432+AH432</f>
        <v/>
      </c>
    </row>
    <row r="433" ht="60" customHeight="1" s="46">
      <c r="A433" s="3" t="inlineStr">
        <is>
          <t>LOM252.OC.EEA.PA02.G7424.SC009.0545</t>
        </is>
      </c>
      <c r="B433" s="4" t="inlineStr">
        <is>
          <t>1/3</t>
        </is>
      </c>
      <c r="C433" s="3" t="inlineStr">
        <is>
          <t>IMPIANTO ELETTRICO</t>
        </is>
      </c>
      <c r="D433" s="4" t="inlineStr">
        <is>
          <t>NON SPECIALE</t>
        </is>
      </c>
      <c r="E433" s="4" t="inlineStr">
        <is>
          <t>ELETTRICHE</t>
        </is>
      </c>
      <c r="F433" s="3" t="inlineStr">
        <is>
          <t>3_CME IE RADIOFARMACIA PAVIA - REV02 VARIANTE ESECUTIVA.PDF</t>
        </is>
      </c>
      <c r="G433" s="4" t="inlineStr">
        <is>
          <t>134/134</t>
        </is>
      </c>
      <c r="H433" s="3" t="inlineStr">
        <is>
          <t>40 - IMPIANTISTICO</t>
        </is>
      </c>
      <c r="I433" s="3" t="inlineStr">
        <is>
          <t>CABINA BT</t>
        </is>
      </c>
      <c r="J433" s="3" t="inlineStr">
        <is>
          <t>DISTRIBUZIONE PRINCIPALE BT</t>
        </is>
      </c>
      <c r="K433" s="3" t="inlineStr">
        <is>
          <t xml:space="preserve">OPERA: CAVO, FG16OM16 DI LEGA RAME RICOTTO; GEOMETRIA: FLESSIBILE; SEZIONE NOMINALE [MM²] = 185; TENSIONE NOMINALE [KV] = 0,6/1; N° POLI [-] = 1P. </t>
        </is>
      </c>
      <c r="L433" s="3" t="inlineStr">
        <is>
          <t>OPERA: CAVO, FG16OM16 DI LEGA RAME RICOTTO; GEOMETRIA: FLESSIBILE; SEZIONE NOMINALE [MM²] = 185; TENSIONE NOMINALE [KV] = 0,6/1; N° POLI [-] = 1P. 
LAVORO: POSA. OP CAVO, FG16OM16 DI LEGA RAME RICOTTO; GEOMETRIA: FLESSIBILE; SEZIONE NOMINALE [MM²] = 185; TENSIONE NOMINALE UO/U [KV] = 0,6/1; N° POLI [-] = 1P. 
RM CAVO FG16OM16 DI LEGA RAME RICOTTO; GEOMETRIA: FLESSIBILE; SEZIONE NOMINALE [MM²] = 185; TENSIONE NOMINALE UO/U [KV] = 0,6/1; N° POLI [-] = 1P. COMPONENTI: ISOLANTE, GUAINA TERMOPLASTICA, RIVESTIMENTO INTERNO 
LV POSA.
[DIMENSIONI: 4,00 10,00 | 4,00 10,00 | 4,00 10,00 | 4,00 10,00]</t>
        </is>
      </c>
      <c r="M433" s="4" t="inlineStr">
        <is>
          <t>M</t>
        </is>
      </c>
      <c r="N433" s="5" t="n">
        <v>160</v>
      </c>
      <c r="O433" s="45" t="n">
        <v>35.78</v>
      </c>
      <c r="P433" s="45" t="n">
        <v>5724.8</v>
      </c>
      <c r="Q433" s="5" t="n"/>
      <c r="R433" s="6" t="n"/>
      <c r="S433" s="6">
        <f>IF(AND(Q433&lt;&gt;"",R433&lt;&gt;""),Q433*R433,"")</f>
        <v/>
      </c>
      <c r="T433" s="45">
        <f>IF(S433="",P433,S433)</f>
        <v/>
      </c>
      <c r="U433" s="7" t="n">
        <v>0</v>
      </c>
      <c r="V433" s="6">
        <f>$T433*U433</f>
        <v/>
      </c>
      <c r="W433" s="7" t="n">
        <v>0.6</v>
      </c>
      <c r="X433" s="6">
        <f>$T433*W433</f>
        <v/>
      </c>
      <c r="Y433" s="7" t="n">
        <v>0</v>
      </c>
      <c r="Z433" s="6">
        <f>$T433*Y433</f>
        <v/>
      </c>
      <c r="AA433" s="7" t="n">
        <v>0</v>
      </c>
      <c r="AB433" s="6">
        <f>$T433*AA433</f>
        <v/>
      </c>
      <c r="AC433" s="7" t="n">
        <v>0</v>
      </c>
      <c r="AD433" s="6">
        <f>$T433*AC433</f>
        <v/>
      </c>
      <c r="AE433" s="7" t="n">
        <v>0</v>
      </c>
      <c r="AF433" s="6">
        <f>$T433*AE433</f>
        <v/>
      </c>
      <c r="AG433" s="7" t="n">
        <v>0</v>
      </c>
      <c r="AH433" s="6">
        <f>$T433*AG433</f>
        <v/>
      </c>
      <c r="AI433" s="7">
        <f>U433+W433+Y433+AA433+AC433+AE433+AG433</f>
        <v/>
      </c>
      <c r="AJ433" s="6">
        <f>V433+X433+Z433+AB433+AD433+AF433+AH433</f>
        <v/>
      </c>
    </row>
    <row r="434" hidden="1" ht="60" customHeight="1" s="46">
      <c r="A434" s="3" t="inlineStr">
        <is>
          <t>LOM252.OC.EEA.PA01.L8250.ZA001.0010</t>
        </is>
      </c>
      <c r="B434" s="4" t="inlineStr">
        <is>
          <t>1/2</t>
        </is>
      </c>
      <c r="C434" s="3" t="inlineStr">
        <is>
          <t>IMPIANTO ELETTRICO</t>
        </is>
      </c>
      <c r="D434" s="4" t="inlineStr">
        <is>
          <t>NON SPECIALE</t>
        </is>
      </c>
      <c r="E434" s="4" t="inlineStr">
        <is>
          <t>ELETTRICHE</t>
        </is>
      </c>
      <c r="F434" s="3" t="inlineStr">
        <is>
          <t>3_CME IE RADIOFARMACIA PAVIA - REV02 VARIANTE ESECUTIVA.PDF</t>
        </is>
      </c>
      <c r="G434" s="4" t="inlineStr">
        <is>
          <t>135/135</t>
        </is>
      </c>
      <c r="H434" s="3" t="inlineStr">
        <is>
          <t>40 - IMPIANTISTICO</t>
        </is>
      </c>
      <c r="I434" s="3" t="inlineStr">
        <is>
          <t>CABINA BT</t>
        </is>
      </c>
      <c r="J434" s="3" t="inlineStr">
        <is>
          <t>DISTRIBUZIONE SECONDARIA</t>
        </is>
      </c>
      <c r="K434" s="3" t="inlineStr">
        <is>
          <t xml:space="preserve">OPERA: PULSANTE, MANUALE D'ALLARME; GEOMETRIA: A ROTTURA VETRO. </t>
        </is>
      </c>
      <c r="L434" s="3" t="inlineStr">
        <is>
          <t>OPERA: PULSANTE, MANUALE D'ALLARME; GEOMETRIA: A ROTTURA VETRO. 
LAVORO: INSTALLAZIONE. 
SPECIFICHE TECNICHE: PULSANTE A 1 SCAMBIO, GRADO DI PROTEZIONE IP65. OP PULSANTE, MANUALE D'ALLARME; GEOMETRIA: A ROTTURA VETRO. 
SPECIFICHE TECNICHE: PULSANTE A 1 SCAMBIO, GRADO DI PROTEZIONE IP65. 
RM PULSANTE MANUALE D'ALLARME; GEOMETRIA: A ROTTURA VETRO 
SPECIFICHE TECNICHE: PULSANTE A 1 SCAMBIO, GRADO DI PROTEZIONE IP65 
LV INSTALLAZIONE.</t>
        </is>
      </c>
      <c r="M434" s="4" t="inlineStr">
        <is>
          <t>CAD</t>
        </is>
      </c>
      <c r="N434" s="5" t="n">
        <v>3</v>
      </c>
      <c r="O434" s="45" t="n">
        <v>103.77</v>
      </c>
      <c r="P434" s="45" t="n">
        <v>311.31</v>
      </c>
      <c r="Q434" s="5" t="n"/>
      <c r="R434" s="6" t="n"/>
      <c r="S434" s="6">
        <f>IF(AND(Q434&lt;&gt;"",R434&lt;&gt;""),Q434*R434,"")</f>
        <v/>
      </c>
      <c r="T434" s="45">
        <f>IF(S434="",P434,S434)</f>
        <v/>
      </c>
      <c r="U434" s="7" t="n">
        <v>0</v>
      </c>
      <c r="V434" s="6">
        <f>$T434*U434</f>
        <v/>
      </c>
      <c r="W434" s="7" t="n">
        <v>0</v>
      </c>
      <c r="X434" s="6">
        <f>$T434*W434</f>
        <v/>
      </c>
      <c r="Y434" s="7" t="n">
        <v>0</v>
      </c>
      <c r="Z434" s="6">
        <f>$T434*Y434</f>
        <v/>
      </c>
      <c r="AA434" s="7" t="n">
        <v>0</v>
      </c>
      <c r="AB434" s="6">
        <f>$T434*AA434</f>
        <v/>
      </c>
      <c r="AC434" s="7" t="n">
        <v>0</v>
      </c>
      <c r="AD434" s="6">
        <f>$T434*AC434</f>
        <v/>
      </c>
      <c r="AE434" s="7" t="n">
        <v>0</v>
      </c>
      <c r="AF434" s="6">
        <f>$T434*AE434</f>
        <v/>
      </c>
      <c r="AG434" s="7" t="n">
        <v>0</v>
      </c>
      <c r="AH434" s="6">
        <f>$T434*AG434</f>
        <v/>
      </c>
      <c r="AI434" s="7">
        <f>U434+W434+Y434+AA434+AC434+AE434+AG434</f>
        <v/>
      </c>
      <c r="AJ434" s="6">
        <f>V434+X434+Z434+AB434+AD434+AF434+AH434</f>
        <v/>
      </c>
    </row>
    <row r="435" hidden="1" ht="60" customHeight="1" s="46">
      <c r="A435" s="3" t="inlineStr">
        <is>
          <t>LOM252.OC.EEA.PA02.G7409.D0000.0255</t>
        </is>
      </c>
      <c r="B435" s="4" t="inlineStr">
        <is>
          <t>3/3</t>
        </is>
      </c>
      <c r="C435" s="3" t="inlineStr">
        <is>
          <t>IMPIANTO ELETTRICO</t>
        </is>
      </c>
      <c r="D435" s="4" t="inlineStr">
        <is>
          <t>NON SPECIALE</t>
        </is>
      </c>
      <c r="E435" s="4" t="inlineStr">
        <is>
          <t>ELETTRICHE</t>
        </is>
      </c>
      <c r="F435" s="3" t="inlineStr">
        <is>
          <t>3_CME IE RADIOFARMACIA PAVIA - REV02 VARIANTE ESECUTIVA.PDF</t>
        </is>
      </c>
      <c r="G435" s="4" t="inlineStr">
        <is>
          <t>136/136</t>
        </is>
      </c>
      <c r="H435" s="3" t="inlineStr">
        <is>
          <t>40 - IMPIANTISTICO</t>
        </is>
      </c>
      <c r="I435" s="3" t="inlineStr">
        <is>
          <t>CABINA BT</t>
        </is>
      </c>
      <c r="J435" s="3" t="inlineStr">
        <is>
          <t>DISTRIBUZIONE SECONDARIA</t>
        </is>
      </c>
      <c r="K435" s="3" t="inlineStr">
        <is>
          <t xml:space="preserve">OPERA: TUBO, RIGIDO DI PLASTICA GENERICO; IMPIEGO: TUBAZIONI ELETTRICHE; DIAMETRO [MM] = 20. </t>
        </is>
      </c>
      <c r="L435" s="3" t="inlineStr">
        <is>
          <t>OPERA: TUBO, RIGIDO DI PLASTICA GENERICO; IMPIEGO: TUBAZIONI ELETTRICHE; DIAMETRO [MM] = 20. 
LAVORO: POSA. 
SPECIFICHE TECNICHE: PER INSTALLAZIONE A VISTA, CON MARCHIO IMQ, AUTOESTINQUENTE. OP TUBO, RIGIDO DI PLASTICA GENERICO; IMPIEGO: TUBAZIONI ELETTRICHE; DIAMETRO [MM] = 20. 
SPECIFICHE TECNICHE: PER INSTALLAZIONE A VISTA, CON MARCHIO IMQ, AUTOESTINQUENTE. 
RM TUBO RIGIDO DI PLASTICA GENERICO; IMPIEGO: TUBAZIONI ELETTRICHE; DIAMETRO (Ø) [MM] = 20 
SPECIFICHE TECNICHE: PER INSTALLAZIONE A VISTA, CON MARCHIO IMQ, AUTOESTINQUENTE 
LV POSA.
[DIMENSIONI: 20,00]</t>
        </is>
      </c>
      <c r="M435" s="4" t="inlineStr">
        <is>
          <t>M</t>
        </is>
      </c>
      <c r="N435" s="5" t="n">
        <v>20</v>
      </c>
      <c r="O435" s="45" t="n">
        <v>6.53</v>
      </c>
      <c r="P435" s="45" t="n">
        <v>130.6</v>
      </c>
      <c r="Q435" s="5" t="n"/>
      <c r="R435" s="6" t="n"/>
      <c r="S435" s="6">
        <f>IF(AND(Q435&lt;&gt;"",R435&lt;&gt;""),Q435*R435,"")</f>
        <v/>
      </c>
      <c r="T435" s="45">
        <f>IF(S435="",P435,S435)</f>
        <v/>
      </c>
      <c r="U435" s="7" t="n">
        <v>0</v>
      </c>
      <c r="V435" s="6">
        <f>$T435*U435</f>
        <v/>
      </c>
      <c r="W435" s="7" t="n">
        <v>0</v>
      </c>
      <c r="X435" s="6">
        <f>$T435*W435</f>
        <v/>
      </c>
      <c r="Y435" s="7" t="n">
        <v>0</v>
      </c>
      <c r="Z435" s="6">
        <f>$T435*Y435</f>
        <v/>
      </c>
      <c r="AA435" s="7" t="n">
        <v>0</v>
      </c>
      <c r="AB435" s="6">
        <f>$T435*AA435</f>
        <v/>
      </c>
      <c r="AC435" s="7" t="n">
        <v>0</v>
      </c>
      <c r="AD435" s="6">
        <f>$T435*AC435</f>
        <v/>
      </c>
      <c r="AE435" s="7" t="n">
        <v>0</v>
      </c>
      <c r="AF435" s="6">
        <f>$T435*AE435</f>
        <v/>
      </c>
      <c r="AG435" s="7" t="n">
        <v>0</v>
      </c>
      <c r="AH435" s="6">
        <f>$T435*AG435</f>
        <v/>
      </c>
      <c r="AI435" s="7">
        <f>U435+W435+Y435+AA435+AC435+AE435+AG435</f>
        <v/>
      </c>
      <c r="AJ435" s="6">
        <f>V435+X435+Z435+AB435+AD435+AF435+AH435</f>
        <v/>
      </c>
    </row>
    <row r="436" hidden="1" ht="60" customHeight="1" s="46">
      <c r="A436" s="3" t="inlineStr">
        <is>
          <t>LOM252.OC.EEA.PA02.G7409.D0000.0260</t>
        </is>
      </c>
      <c r="B436" s="4" t="inlineStr">
        <is>
          <t>3/3</t>
        </is>
      </c>
      <c r="C436" s="3" t="inlineStr">
        <is>
          <t>IMPIANTO ELETTRICO</t>
        </is>
      </c>
      <c r="D436" s="4" t="inlineStr">
        <is>
          <t>NON SPECIALE</t>
        </is>
      </c>
      <c r="E436" s="4" t="inlineStr">
        <is>
          <t>ELETTRICHE</t>
        </is>
      </c>
      <c r="F436" s="3" t="inlineStr">
        <is>
          <t>3_CME IE RADIOFARMACIA PAVIA - REV02 VARIANTE ESECUTIVA.PDF</t>
        </is>
      </c>
      <c r="G436" s="4" t="inlineStr">
        <is>
          <t>137/137</t>
        </is>
      </c>
      <c r="H436" s="3" t="inlineStr">
        <is>
          <t>40 - IMPIANTISTICO</t>
        </is>
      </c>
      <c r="I436" s="3" t="inlineStr">
        <is>
          <t>CABINA BT</t>
        </is>
      </c>
      <c r="J436" s="3" t="inlineStr">
        <is>
          <t>DISTRIBUZIONE SECONDARIA</t>
        </is>
      </c>
      <c r="K436" s="3" t="inlineStr">
        <is>
          <t xml:space="preserve">OPERA: TUBO, RIGIDO DI PLASTICA GENERICO; IMPIEGO: TUBAZIONI ELETTRICHE; DIAMETRO [MM] = 25. </t>
        </is>
      </c>
      <c r="L436" s="3" t="inlineStr">
        <is>
          <t>OPERA: TUBO, RIGIDO DI PLASTICA GENERICO; IMPIEGO: TUBAZIONI ELETTRICHE; DIAMETRO [MM] = 25. 
LAVORO: POSA. 
SPECIFICHE TECNICHE: PER INSTALLAZIONE A VISTA, CON MARCHIO IMQ, AUTOESTINQUENTE. OP TUBO, RIGIDO DI PLASTICA GENERICO; IMPIEGO: TUBAZIONI ELETTRICHE; DIAMETRO [MM] = 25. 
SPECIFICHE TECNICHE: PER INSTALLAZIONE A VISTA, CON MARCHIO IMQ, AUTOESTINQUENTE. 
RM TUBO RIGIDO DI PLASTICA GENERICO; IMPIEGO: TUBAZIONI ELETTRICHE; DIAMETRO (Ø) [MM] = 25 
SPECIFICHE TECNICHE: PER INSTALLAZIONE A VISTA, CON MARCHIO IMQ, AUTOESTINQUENTE 
LV POSA.
[DIMENSIONI: 15,00]</t>
        </is>
      </c>
      <c r="M436" s="4" t="inlineStr">
        <is>
          <t>M</t>
        </is>
      </c>
      <c r="N436" s="5" t="n">
        <v>15</v>
      </c>
      <c r="O436" s="45" t="n">
        <v>7.71</v>
      </c>
      <c r="P436" s="45" t="n">
        <v>115.65</v>
      </c>
      <c r="Q436" s="5" t="n"/>
      <c r="R436" s="6" t="n"/>
      <c r="S436" s="6">
        <f>IF(AND(Q436&lt;&gt;"",R436&lt;&gt;""),Q436*R436,"")</f>
        <v/>
      </c>
      <c r="T436" s="45">
        <f>IF(S436="",P436,S436)</f>
        <v/>
      </c>
      <c r="U436" s="7" t="n">
        <v>0</v>
      </c>
      <c r="V436" s="6">
        <f>$T436*U436</f>
        <v/>
      </c>
      <c r="W436" s="7" t="n">
        <v>0</v>
      </c>
      <c r="X436" s="6">
        <f>$T436*W436</f>
        <v/>
      </c>
      <c r="Y436" s="7" t="n">
        <v>0</v>
      </c>
      <c r="Z436" s="6">
        <f>$T436*Y436</f>
        <v/>
      </c>
      <c r="AA436" s="7" t="n">
        <v>0</v>
      </c>
      <c r="AB436" s="6">
        <f>$T436*AA436</f>
        <v/>
      </c>
      <c r="AC436" s="7" t="n">
        <v>0</v>
      </c>
      <c r="AD436" s="6">
        <f>$T436*AC436</f>
        <v/>
      </c>
      <c r="AE436" s="7" t="n">
        <v>0</v>
      </c>
      <c r="AF436" s="6">
        <f>$T436*AE436</f>
        <v/>
      </c>
      <c r="AG436" s="7" t="n">
        <v>0</v>
      </c>
      <c r="AH436" s="6">
        <f>$T436*AG436</f>
        <v/>
      </c>
      <c r="AI436" s="7">
        <f>U436+W436+Y436+AA436+AC436+AE436+AG436</f>
        <v/>
      </c>
      <c r="AJ436" s="6">
        <f>V436+X436+Z436+AB436+AD436+AF436+AH436</f>
        <v/>
      </c>
    </row>
    <row r="437" hidden="1" ht="60" customHeight="1" s="46">
      <c r="A437" s="3" t="inlineStr">
        <is>
          <t>LOM252.OC.EEA.PA02.G7424.SC009.0610</t>
        </is>
      </c>
      <c r="B437" s="4" t="inlineStr">
        <is>
          <t>3/5</t>
        </is>
      </c>
      <c r="C437" s="3" t="inlineStr">
        <is>
          <t>IMPIANTO ELETTRICO</t>
        </is>
      </c>
      <c r="D437" s="4" t="inlineStr">
        <is>
          <t>NON SPECIALE</t>
        </is>
      </c>
      <c r="E437" s="4" t="inlineStr">
        <is>
          <t>ELETTRICHE</t>
        </is>
      </c>
      <c r="F437" s="3" t="inlineStr">
        <is>
          <t>3_CME IE RADIOFARMACIA PAVIA - REV02 VARIANTE ESECUTIVA.PDF</t>
        </is>
      </c>
      <c r="G437" s="4" t="inlineStr">
        <is>
          <t>138/138</t>
        </is>
      </c>
      <c r="H437" s="3" t="inlineStr">
        <is>
          <t>40 - IMPIANTISTICO</t>
        </is>
      </c>
      <c r="I437" s="3" t="inlineStr">
        <is>
          <t>CABINA BT</t>
        </is>
      </c>
      <c r="J437" s="3" t="inlineStr">
        <is>
          <t>DISTRIBUZIONE SECONDARIA</t>
        </is>
      </c>
      <c r="K437" s="3" t="inlineStr">
        <is>
          <t xml:space="preserve">OPERA: CAVO, FG16OM16 DI LEGA RAME RICOTTO; GEOMETRIA: FLESSIBILE; SEZIONE NOMINALE [MM²] = 3X2,5; TENSIONE NOMINALE [KV] = 0,6/1; N° POLI [-] = 3P. </t>
        </is>
      </c>
      <c r="L437" s="3" t="inlineStr">
        <is>
          <t>OPERA: CAVO, FG16OM16 DI LEGA RAME RICOTTO; GEOMETRIA: FLESSIBILE; SEZIONE NOMINALE [MM²] = 3X2,5; TENSIONE NOMINALE [KV] = 0,6/1; N° POLI [-] = 3P. 
LAVORO: POSA. OP CAVO, FG16OM16 DI LEGA RAME RICOTTO; GEOMETRIA: FLESSIBILE; SEZIONE NOMINALE [MM²] = 3X2,5; TENSIONE NOMINALE UO/U [KV] = 0,6/1; N° POLI [-] = 3P. 
RM CAVO FG16OM16 DI LEGA RAME RICOTTO; GEOMETRIA: FLESSIBILE; SEZIONE NOMINALE [MM²] = 3X2,5; TENSIONE NOMINALE UO/U [KV] = 0,6/1; N° POLI [-] = 3P. COMPONENTI: ISOLANTE, GUAINA TERMOPLASTICA 
LV POSA.
[DIMENSIONI: 15,00]</t>
        </is>
      </c>
      <c r="M437" s="4" t="inlineStr">
        <is>
          <t>M</t>
        </is>
      </c>
      <c r="N437" s="5" t="n">
        <v>15</v>
      </c>
      <c r="O437" s="45" t="n">
        <v>4.63</v>
      </c>
      <c r="P437" s="45" t="n">
        <v>69.45</v>
      </c>
      <c r="Q437" s="5" t="n"/>
      <c r="R437" s="6" t="n"/>
      <c r="S437" s="6">
        <f>IF(AND(Q437&lt;&gt;"",R437&lt;&gt;""),Q437*R437,"")</f>
        <v/>
      </c>
      <c r="T437" s="45">
        <f>IF(S437="",P437,S437)</f>
        <v/>
      </c>
      <c r="U437" s="7" t="n">
        <v>0</v>
      </c>
      <c r="V437" s="6">
        <f>$T437*U437</f>
        <v/>
      </c>
      <c r="W437" s="7" t="n">
        <v>0</v>
      </c>
      <c r="X437" s="6">
        <f>$T437*W437</f>
        <v/>
      </c>
      <c r="Y437" s="7" t="n">
        <v>0</v>
      </c>
      <c r="Z437" s="6">
        <f>$T437*Y437</f>
        <v/>
      </c>
      <c r="AA437" s="7" t="n">
        <v>0</v>
      </c>
      <c r="AB437" s="6">
        <f>$T437*AA437</f>
        <v/>
      </c>
      <c r="AC437" s="7" t="n">
        <v>0</v>
      </c>
      <c r="AD437" s="6">
        <f>$T437*AC437</f>
        <v/>
      </c>
      <c r="AE437" s="7" t="n">
        <v>0</v>
      </c>
      <c r="AF437" s="6">
        <f>$T437*AE437</f>
        <v/>
      </c>
      <c r="AG437" s="7" t="n">
        <v>0</v>
      </c>
      <c r="AH437" s="6">
        <f>$T437*AG437</f>
        <v/>
      </c>
      <c r="AI437" s="7">
        <f>U437+W437+Y437+AA437+AC437+AE437+AG437</f>
        <v/>
      </c>
      <c r="AJ437" s="6">
        <f>V437+X437+Z437+AB437+AD437+AF437+AH437</f>
        <v/>
      </c>
    </row>
    <row r="438" hidden="1" ht="60" customHeight="1" s="46">
      <c r="A438" s="3" t="inlineStr">
        <is>
          <t>LOM252.OC.EEA.PA02.G7424.SC009.0615</t>
        </is>
      </c>
      <c r="B438" s="4" t="inlineStr">
        <is>
          <t>3/5</t>
        </is>
      </c>
      <c r="C438" s="3" t="inlineStr">
        <is>
          <t>IMPIANTO ELETTRICO</t>
        </is>
      </c>
      <c r="D438" s="4" t="inlineStr">
        <is>
          <t>NON SPECIALE</t>
        </is>
      </c>
      <c r="E438" s="4" t="inlineStr">
        <is>
          <t>ELETTRICHE</t>
        </is>
      </c>
      <c r="F438" s="3" t="inlineStr">
        <is>
          <t>3_CME IE RADIOFARMACIA PAVIA - REV02 VARIANTE ESECUTIVA.PDF</t>
        </is>
      </c>
      <c r="G438" s="4" t="inlineStr">
        <is>
          <t>139/139</t>
        </is>
      </c>
      <c r="H438" s="3" t="inlineStr">
        <is>
          <t>40 - IMPIANTISTICO</t>
        </is>
      </c>
      <c r="I438" s="3" t="inlineStr">
        <is>
          <t>CABINA BT</t>
        </is>
      </c>
      <c r="J438" s="3" t="inlineStr">
        <is>
          <t>DISTRIBUZIONE SECONDARIA</t>
        </is>
      </c>
      <c r="K438" s="3" t="inlineStr">
        <is>
          <t xml:space="preserve">OPERA: CAVO, FG16OM16 DI LEGA RAME RICOTTO; GEOMETRIA: FLESSIBILE; SEZIONE NOMINALE [MM²] = 3X4; TENSIONE NOMINALE [KV] = 0,6/1; N° POLI [-] = 3P. </t>
        </is>
      </c>
      <c r="L438" s="3" t="inlineStr">
        <is>
          <t>OPERA: CAVO, FG16OM16 DI LEGA RAME RICOTTO; GEOMETRIA: FLESSIBILE; SEZIONE NOMINALE [MM²] = 3X4; TENSIONE NOMINALE [KV] = 0,6/1; N° POLI [-] = 3P. 
LAVORO: POSA. OP CAVO, FG16OM16 DI LEGA RAME RICOTTO; GEOMETRIA: FLESSIBILE; SEZIONE NOMINALE [MM²] = 3X4; TENSIONE NOMINALE UO/U [KV] = 0,6/1; N° POLI [-] = 3P. 
RM CAVO FG16OM16 DI LEGA RAME RICOTTO; GEOMETRIA: FLESSIBILE; SEZIONE NOMINALE [MM²] = 3X4; TENSIONE NOMINALE UO/U [KV] = 0,6/1; N° POLI [-] = 3P. COMPONENTI: ISOLANTE, GUAINA TERMOPLASTICA 
LV POSA.
[DIMENSIONI: 25,00]</t>
        </is>
      </c>
      <c r="M438" s="4" t="inlineStr">
        <is>
          <t>M</t>
        </is>
      </c>
      <c r="N438" s="5" t="n">
        <v>25</v>
      </c>
      <c r="O438" s="45" t="n">
        <v>5.44</v>
      </c>
      <c r="P438" s="45" t="n">
        <v>136</v>
      </c>
      <c r="Q438" s="5" t="n"/>
      <c r="R438" s="6" t="n"/>
      <c r="S438" s="6">
        <f>IF(AND(Q438&lt;&gt;"",R438&lt;&gt;""),Q438*R438,"")</f>
        <v/>
      </c>
      <c r="T438" s="45">
        <f>IF(S438="",P438,S438)</f>
        <v/>
      </c>
      <c r="U438" s="7" t="n">
        <v>0</v>
      </c>
      <c r="V438" s="6">
        <f>$T438*U438</f>
        <v/>
      </c>
      <c r="W438" s="7" t="n">
        <v>0</v>
      </c>
      <c r="X438" s="6">
        <f>$T438*W438</f>
        <v/>
      </c>
      <c r="Y438" s="7" t="n">
        <v>0</v>
      </c>
      <c r="Z438" s="6">
        <f>$T438*Y438</f>
        <v/>
      </c>
      <c r="AA438" s="7" t="n">
        <v>0</v>
      </c>
      <c r="AB438" s="6">
        <f>$T438*AA438</f>
        <v/>
      </c>
      <c r="AC438" s="7" t="n">
        <v>0</v>
      </c>
      <c r="AD438" s="6">
        <f>$T438*AC438</f>
        <v/>
      </c>
      <c r="AE438" s="7" t="n">
        <v>0</v>
      </c>
      <c r="AF438" s="6">
        <f>$T438*AE438</f>
        <v/>
      </c>
      <c r="AG438" s="7" t="n">
        <v>0</v>
      </c>
      <c r="AH438" s="6">
        <f>$T438*AG438</f>
        <v/>
      </c>
      <c r="AI438" s="7">
        <f>U438+W438+Y438+AA438+AC438+AE438+AG438</f>
        <v/>
      </c>
      <c r="AJ438" s="6">
        <f>V438+X438+Z438+AB438+AD438+AF438+AH438</f>
        <v/>
      </c>
    </row>
    <row r="439" hidden="1" ht="60" customHeight="1" s="46">
      <c r="A439" s="3" t="inlineStr">
        <is>
          <t>LOM252.OC.EEA.PA01.G8237.ZA001.1025</t>
        </is>
      </c>
      <c r="B439" s="4" t="inlineStr">
        <is>
          <t>3/3</t>
        </is>
      </c>
      <c r="C439" s="3" t="inlineStr">
        <is>
          <t>IMPIANTO ELETTRICO</t>
        </is>
      </c>
      <c r="D439" s="4" t="inlineStr">
        <is>
          <t>NON SPECIALE</t>
        </is>
      </c>
      <c r="E439" s="4" t="inlineStr">
        <is>
          <t>ELETTRICHE</t>
        </is>
      </c>
      <c r="F439" s="3" t="inlineStr">
        <is>
          <t>3_CME IE RADIOFARMACIA PAVIA - REV02 VARIANTE ESECUTIVA.PDF</t>
        </is>
      </c>
      <c r="G439" s="4" t="inlineStr">
        <is>
          <t>140/140</t>
        </is>
      </c>
      <c r="H439" s="3" t="inlineStr">
        <is>
          <t>40 - IMPIANTISTICO</t>
        </is>
      </c>
      <c r="I439" s="3" t="inlineStr">
        <is>
          <t>CABINA BT</t>
        </is>
      </c>
      <c r="J439" s="3" t="inlineStr">
        <is>
          <t>IMPIANTO DI ILLUMINAZIONE</t>
        </is>
      </c>
      <c r="K439" s="3" t="inlineStr">
        <is>
          <t>OPERA: DERIVAZIONE D'IMPIANTO PUNTO LUCE, INTERROTTO; GEOMETRIA: INTERRUTTORE UNIPOLARE; IMPIEGO: DERIVAZIONE D'IMPIANTO A VISTA A PARETE/A SOFFITTO; TENSIONE NOMINALE SPIA [V] = 230. INCLUSO: TUBO PR</t>
        </is>
      </c>
      <c r="L439" s="3" t="inlineStr">
        <is>
          <t>OPERA: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39" s="4" t="inlineStr">
        <is>
          <t>CAD</t>
        </is>
      </c>
      <c r="N439" s="5" t="n">
        <v>1</v>
      </c>
      <c r="O439" s="45" t="n">
        <v>85.98</v>
      </c>
      <c r="P439" s="45" t="n">
        <v>85.98</v>
      </c>
      <c r="Q439" s="5" t="n"/>
      <c r="R439" s="6" t="n"/>
      <c r="S439" s="6">
        <f>IF(AND(Q439&lt;&gt;"",R439&lt;&gt;""),Q439*R439,"")</f>
        <v/>
      </c>
      <c r="T439" s="45">
        <f>IF(S439="",P439,S439)</f>
        <v/>
      </c>
      <c r="U439" s="7" t="n">
        <v>0</v>
      </c>
      <c r="V439" s="6">
        <f>$T439*U439</f>
        <v/>
      </c>
      <c r="W439" s="7" t="n">
        <v>0</v>
      </c>
      <c r="X439" s="6">
        <f>$T439*W439</f>
        <v/>
      </c>
      <c r="Y439" s="7" t="n">
        <v>0</v>
      </c>
      <c r="Z439" s="6">
        <f>$T439*Y439</f>
        <v/>
      </c>
      <c r="AA439" s="7" t="n">
        <v>0</v>
      </c>
      <c r="AB439" s="6">
        <f>$T439*AA439</f>
        <v/>
      </c>
      <c r="AC439" s="7" t="n">
        <v>0</v>
      </c>
      <c r="AD439" s="6">
        <f>$T439*AC439</f>
        <v/>
      </c>
      <c r="AE439" s="7" t="n">
        <v>0</v>
      </c>
      <c r="AF439" s="6">
        <f>$T439*AE439</f>
        <v/>
      </c>
      <c r="AG439" s="7" t="n">
        <v>0</v>
      </c>
      <c r="AH439" s="6">
        <f>$T439*AG439</f>
        <v/>
      </c>
      <c r="AI439" s="7">
        <f>U439+W439+Y439+AA439+AC439+AE439+AG439</f>
        <v/>
      </c>
      <c r="AJ439" s="6">
        <f>V439+X439+Z439+AB439+AD439+AF439+AH439</f>
        <v/>
      </c>
    </row>
    <row r="440" hidden="1" ht="60" customHeight="1" s="46">
      <c r="A440" s="3" t="inlineStr">
        <is>
          <t>LOM252.OC.EEA.PA01.G8237.ZA001.0760</t>
        </is>
      </c>
      <c r="B440" s="4" t="inlineStr">
        <is>
          <t>5/6</t>
        </is>
      </c>
      <c r="C440" s="3" t="inlineStr">
        <is>
          <t>IMPIANTO ELETTRICO</t>
        </is>
      </c>
      <c r="D440" s="4" t="inlineStr">
        <is>
          <t>NON SPECIALE</t>
        </is>
      </c>
      <c r="E440" s="4" t="inlineStr">
        <is>
          <t>ELETTRICHE</t>
        </is>
      </c>
      <c r="F440" s="3" t="inlineStr">
        <is>
          <t>3_CME IE RADIOFARMACIA PAVIA - REV02 VARIANTE ESECUTIVA.PDF</t>
        </is>
      </c>
      <c r="G440" s="4" t="inlineStr">
        <is>
          <t>141/141</t>
        </is>
      </c>
      <c r="H440" s="3" t="inlineStr">
        <is>
          <t>40 - IMPIANTISTICO</t>
        </is>
      </c>
      <c r="I440" s="3" t="inlineStr">
        <is>
          <t>CABINA BT</t>
        </is>
      </c>
      <c r="J440" s="3" t="inlineStr">
        <is>
          <t>IMPIANTO DI ILLUMINAZIONE</t>
        </is>
      </c>
      <c r="K440" s="3" t="inlineStr">
        <is>
          <t>OPERA: DERIVAZIONE D'IMPIANTO PUNTO LUCE, IN PARALLELO; IMPIEGO: DERIVAZIONE D'IMPIANTO A VISTA A PARETE/A SOFFITTO. INCLUSO: TUBO PROTETTIVO; CONDUTTORI DI ALIMENTAZIONE E DI TERRA; SCATOLE DA INCASS</t>
        </is>
      </c>
      <c r="L440" s="3" t="inlineStr">
        <is>
          <t>OPERA: DERIVAZIONE D'IMPIANTO PUNTO LUCE, IN PARALLELO; IMPIEGO: DERIVAZIONE D'IMPIANTO A VISTA A PARETE/A SOFFITTO.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40" s="4" t="inlineStr">
        <is>
          <t>CAD</t>
        </is>
      </c>
      <c r="N440" s="5" t="n">
        <v>1</v>
      </c>
      <c r="O440" s="45" t="n">
        <v>37.15</v>
      </c>
      <c r="P440" s="45" t="n">
        <v>37.15</v>
      </c>
      <c r="Q440" s="5" t="n"/>
      <c r="R440" s="6" t="n"/>
      <c r="S440" s="6">
        <f>IF(AND(Q440&lt;&gt;"",R440&lt;&gt;""),Q440*R440,"")</f>
        <v/>
      </c>
      <c r="T440" s="45">
        <f>IF(S440="",P440,S440)</f>
        <v/>
      </c>
      <c r="U440" s="7" t="n">
        <v>0</v>
      </c>
      <c r="V440" s="6">
        <f>$T440*U440</f>
        <v/>
      </c>
      <c r="W440" s="7" t="n">
        <v>0</v>
      </c>
      <c r="X440" s="6">
        <f>$T440*W440</f>
        <v/>
      </c>
      <c r="Y440" s="7" t="n">
        <v>0</v>
      </c>
      <c r="Z440" s="6">
        <f>$T440*Y440</f>
        <v/>
      </c>
      <c r="AA440" s="7" t="n">
        <v>0</v>
      </c>
      <c r="AB440" s="6">
        <f>$T440*AA440</f>
        <v/>
      </c>
      <c r="AC440" s="7" t="n">
        <v>0</v>
      </c>
      <c r="AD440" s="6">
        <f>$T440*AC440</f>
        <v/>
      </c>
      <c r="AE440" s="7" t="n">
        <v>0</v>
      </c>
      <c r="AF440" s="6">
        <f>$T440*AE440</f>
        <v/>
      </c>
      <c r="AG440" s="7" t="n">
        <v>0</v>
      </c>
      <c r="AH440" s="6">
        <f>$T440*AG440</f>
        <v/>
      </c>
      <c r="AI440" s="7">
        <f>U440+W440+Y440+AA440+AC440+AE440+AG440</f>
        <v/>
      </c>
      <c r="AJ440" s="6">
        <f>V440+X440+Z440+AB440+AD440+AF440+AH440</f>
        <v/>
      </c>
    </row>
    <row r="441" hidden="1" ht="60" customHeight="1" s="46">
      <c r="A441" s="3" t="inlineStr">
        <is>
          <t>LOM252.OC.EEA.PA01.G8210.ZA001.0590</t>
        </is>
      </c>
      <c r="B441" s="4" t="inlineStr">
        <is>
          <t>3/5</t>
        </is>
      </c>
      <c r="C441" s="3" t="inlineStr">
        <is>
          <t>IMPIANTO ELETTRICO</t>
        </is>
      </c>
      <c r="D441" s="4" t="inlineStr">
        <is>
          <t>NON SPECIALE</t>
        </is>
      </c>
      <c r="E441" s="4" t="inlineStr">
        <is>
          <t>ELETTRICHE</t>
        </is>
      </c>
      <c r="F441" s="3" t="inlineStr">
        <is>
          <t>3_CME IE RADIOFARMACIA PAVIA - REV02 VARIANTE ESECUTIVA.PDF</t>
        </is>
      </c>
      <c r="G441" s="4" t="inlineStr">
        <is>
          <t>142/142</t>
        </is>
      </c>
      <c r="H441" s="3" t="inlineStr">
        <is>
          <t>40 - IMPIANTISTICO</t>
        </is>
      </c>
      <c r="I441" s="3" t="inlineStr">
        <is>
          <t>CABINA BT</t>
        </is>
      </c>
      <c r="J441" s="3" t="inlineStr">
        <is>
          <t>IMPIANTO DI ILLUMINAZIONE</t>
        </is>
      </c>
      <c r="K441" s="3" t="inlineStr">
        <is>
          <t>OPERA: CORPO ILLUMINANTE, LED; FUNZIONE: ILLUMINAZIONE DI EMERGENZA; AUTONOMIA [H] = 1 / 2 | FLUSSO LUMINOSO SE [LM] = 250 / 130 | FLUSSO LUMINOSO SA [LM] = 110. INCLUSO: LED MULTICOLORE. ESCLUSO: ACC</t>
        </is>
      </c>
      <c r="L441" s="3" t="inlineStr">
        <is>
          <t>OPERA: CORPO ILLUMINANTE, LED; FUNZIONE: ILLUMINAZIONE DI EMERGENZA; AUTONOMIA [H] = 1 / 2 | FLUSSO LUMINOSO SE [LM] = 250 / 130 | FLUSSO LUMINOSO SA [LM] = 110. INCLUSO: LED MULTICOLORE. ESCLUSO: ACCESSORIO MODULO AGGIUNTIVO. 
LAVORO: INSTALLAZIONE.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OP CORPO ILLUMINANTE, LED; FUNZIONE: ILLUMINAZIONE DI EMERGENZA; AUTONOMIA [H] = 1 / 2 | FLUSSO LUMINOSO SE [LM] = 250 / 130 | FLUSSO LUMINOSO SA [LM] = 110.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RM CORPO ILLUMINANTE LED; FUNZIONE: ILLUMINAZIONE DI EMERGENZA; AUTONOMIA [H] = 1 / 2 | FLUSSO LUMINOSO SE [LM] = 250 / 130 | FLUSSO LUMINOSO SA [LM] = 110. COMPONENTE: BATTERIA TITANIO, .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LV INSTALLAZIONE.</t>
        </is>
      </c>
      <c r="M441" s="4" t="inlineStr">
        <is>
          <t>CAD</t>
        </is>
      </c>
      <c r="N441" s="5" t="n">
        <v>1</v>
      </c>
      <c r="O441" s="45" t="n">
        <v>85.11</v>
      </c>
      <c r="P441" s="45" t="n">
        <v>85.11</v>
      </c>
      <c r="Q441" s="5" t="n"/>
      <c r="R441" s="6" t="n"/>
      <c r="S441" s="6">
        <f>IF(AND(Q441&lt;&gt;"",R441&lt;&gt;""),Q441*R441,"")</f>
        <v/>
      </c>
      <c r="T441" s="45">
        <f>IF(S441="",P441,S441)</f>
        <v/>
      </c>
      <c r="U441" s="7" t="n">
        <v>0</v>
      </c>
      <c r="V441" s="6">
        <f>$T441*U441</f>
        <v/>
      </c>
      <c r="W441" s="7" t="n">
        <v>0</v>
      </c>
      <c r="X441" s="6">
        <f>$T441*W441</f>
        <v/>
      </c>
      <c r="Y441" s="7" t="n">
        <v>0</v>
      </c>
      <c r="Z441" s="6">
        <f>$T441*Y441</f>
        <v/>
      </c>
      <c r="AA441" s="7" t="n">
        <v>0</v>
      </c>
      <c r="AB441" s="6">
        <f>$T441*AA441</f>
        <v/>
      </c>
      <c r="AC441" s="7" t="n">
        <v>0</v>
      </c>
      <c r="AD441" s="6">
        <f>$T441*AC441</f>
        <v/>
      </c>
      <c r="AE441" s="7" t="n">
        <v>0</v>
      </c>
      <c r="AF441" s="6">
        <f>$T441*AE441</f>
        <v/>
      </c>
      <c r="AG441" s="7" t="n">
        <v>0</v>
      </c>
      <c r="AH441" s="6">
        <f>$T441*AG441</f>
        <v/>
      </c>
      <c r="AI441" s="7">
        <f>U441+W441+Y441+AA441+AC441+AE441+AG441</f>
        <v/>
      </c>
      <c r="AJ441" s="6">
        <f>V441+X441+Z441+AB441+AD441+AF441+AH441</f>
        <v/>
      </c>
    </row>
    <row r="442" hidden="1" ht="60" customHeight="1" s="46">
      <c r="A442" s="3" t="inlineStr">
        <is>
          <t>IE_NP_ILLORD01</t>
        </is>
      </c>
      <c r="B442" s="4" t="inlineStr">
        <is>
          <t>3/5</t>
        </is>
      </c>
      <c r="C442" s="3" t="inlineStr">
        <is>
          <t>IMPIANTO ELETTRICO</t>
        </is>
      </c>
      <c r="D442" s="4" t="inlineStr">
        <is>
          <t>NON SPECIALE</t>
        </is>
      </c>
      <c r="E442" s="4" t="inlineStr">
        <is>
          <t>ELETTRICHE</t>
        </is>
      </c>
      <c r="F442" s="3" t="inlineStr">
        <is>
          <t>3_CME IE RADIOFARMACIA PAVIA - REV02 VARIANTE ESECUTIVA.PDF</t>
        </is>
      </c>
      <c r="G442" s="4" t="inlineStr">
        <is>
          <t>143/143</t>
        </is>
      </c>
      <c r="H442" s="3" t="inlineStr">
        <is>
          <t>40 - IMPIANTISTICO</t>
        </is>
      </c>
      <c r="I442" s="3" t="inlineStr">
        <is>
          <t>CABINA BT</t>
        </is>
      </c>
      <c r="J442" s="3" t="inlineStr">
        <is>
          <t>IMPIANTO DI ILLUMINAZIONE</t>
        </is>
      </c>
      <c r="K442" s="3" t="inlineStr">
        <is>
          <t>FORNITURA E POSA IN OPERA DI APPARECCHIO ILLUMINANTE INDUSTRIALE DI TIPO STAGNO INSTALLATO A PLAFONE E/O A SOSPENSIONE E TUTTI GLI ACCESSORI NECESSARI PER IL PERFETTO FUNZIONAMENTO DEL CORPO ILLUMINAN</t>
        </is>
      </c>
      <c r="L442" s="3" t="inlineStr">
        <is>
          <t>FORNITURA E POSA IN OPERA DI APPARECCHIO ILLUMINANTE INDUSTRIALE DI TIPO STAGNO INSTALLATO A PLAFONE E/O A SOSPENSIONE E TUTTI GLI ACCESSORI NECESSARI PER IL PERFETTO FUNZIONAMENTO DEL CORPO ILLUMINANTE. 
CARATTERISTICHE GENERALI: 
CLASSIFICAZIONE RISCHIO FOTOBIOLOGICO: RG0 GRUPPO ESENTE. 
TEMPERATURA COLORE 4000K 
POTENZA ASSORBITA (W TOT) 34W 
FLUSSO LUMINOSO USCENTE 5194LM 
CRI &gt;=80 
CLASSE DI ISOLAMENTO I 
LOW FLICKER &lt;3% 
GRADO DI PROTEZIONE IP66 
PESO 1.8KG 
NORME DI RIFERIMENTO EN 60598-1, EN 60598-2-1, EN 62471, UNI EN 13032-1:2012, UNI EN 13032-4:2015, IES LM-79-08 
MANTENIMENTO DEL FLUSSO LUMINOSO LED L80B20: 50.000H  
CARATTERISTICHE ELETTRICHE DI PILOTAGGIO 
ALIMENTAZIONE ELETTRONICA 230V-50/60HZ, 
FATTORE DI POTENZA ≥0,95 
MATERIALI 
CORPO: STAMPATO AD INIEZIONE IN POLICARBONATO GRIGIO, INFRANGIBILE, STABILIZZATO AI RAGGI UV, DI ELEVATA RESISTENZA MECCANICA GRAZIE ALLA STRUTTURA RINFORZATA DA NERVATURE INTERNE. 
DIFFUSORE: STAMPATO AD INIEZIONE IN POLICARBONATO CON RIGHE INTERNE PER UN MAGGIOR CONTROLLO LUMINOSO, AUTOESTINGUENTE V2, STABILIZZATO AI RAGGI UV, FINITURA ESTERNA LISCIA PER FACILITARE LA PULIZIA NECESSARIA PER AVERE LA MASSIMA EFFICIENZA LUMINOSA. IL POLICARBONATO UTILIZZATO È DI PRIMA SCELTA E STABILIZZATO AI RAGGI U.V. LA LAVORAZIONE ELIMINA L’EFFETTO DELL’ABBAGLIAMENTO MA NON DIMINUISCE IL RENDIMENTO. POLICARBONATO CON OTTIMO COEFFICIENTE DI DIFFUSIONE E DI TRASMISSIONE DELLA LUCE. CHIUSURA A INCASTRO E CON VITI DI SICUREZZA IN ACCIAIO INOX. 
RIFLETTORE IN ACCIAIO ZINCATO PREVERNICIATO BIANCO A FORNO CON RESINA POLIESTERE STABILIZZATO AI RAGGI UV. FISSATO AL CORPO CON INNESTO RAPIDO MEDIANTE DISPOSITIVO RICAVATO DIRETTAMENTE SUL CORPO. 
SONO COMPRESI LA MANODOPERA, GLI ALLACCIAMENTI ELETTRICI, GLI ACCESSORI DI MONTAGGIO, FISSAGGIO, ALIMENTAZIONE, SOSTEGNO, OGNI ONERE ACCESSORIO PER L’INSTALLAZIONE DELLA PLAFONIERA COME DA PROGETTO E MATERIALI DI CONSUMO. 
APPARECCHIO DISANO - MODELLO 960 HYDRO LED - MONEY SAVING  - ART. 164754-00 O EQUIVALENTE APPROVATO</t>
        </is>
      </c>
      <c r="M442" s="4" t="inlineStr">
        <is>
          <t>CADAUNO</t>
        </is>
      </c>
      <c r="N442" s="5" t="n">
        <v>2</v>
      </c>
      <c r="O442" s="45" t="n">
        <v>86.06</v>
      </c>
      <c r="P442" s="45" t="n">
        <v>172.12</v>
      </c>
      <c r="Q442" s="5" t="n"/>
      <c r="R442" s="6" t="n"/>
      <c r="S442" s="6">
        <f>IF(AND(Q442&lt;&gt;"",R442&lt;&gt;""),Q442*R442,"")</f>
        <v/>
      </c>
      <c r="T442" s="45">
        <f>IF(S442="",P442,S442)</f>
        <v/>
      </c>
      <c r="U442" s="7" t="n">
        <v>0</v>
      </c>
      <c r="V442" s="6">
        <f>$T442*U442</f>
        <v/>
      </c>
      <c r="W442" s="7" t="n">
        <v>0</v>
      </c>
      <c r="X442" s="6">
        <f>$T442*W442</f>
        <v/>
      </c>
      <c r="Y442" s="7" t="n">
        <v>0</v>
      </c>
      <c r="Z442" s="6">
        <f>$T442*Y442</f>
        <v/>
      </c>
      <c r="AA442" s="7" t="n">
        <v>0</v>
      </c>
      <c r="AB442" s="6">
        <f>$T442*AA442</f>
        <v/>
      </c>
      <c r="AC442" s="7" t="n">
        <v>0</v>
      </c>
      <c r="AD442" s="6">
        <f>$T442*AC442</f>
        <v/>
      </c>
      <c r="AE442" s="7" t="n">
        <v>0</v>
      </c>
      <c r="AF442" s="6">
        <f>$T442*AE442</f>
        <v/>
      </c>
      <c r="AG442" s="7" t="n">
        <v>0</v>
      </c>
      <c r="AH442" s="6">
        <f>$T442*AG442</f>
        <v/>
      </c>
      <c r="AI442" s="7">
        <f>U442+W442+Y442+AA442+AC442+AE442+AG442</f>
        <v/>
      </c>
      <c r="AJ442" s="6">
        <f>V442+X442+Z442+AB442+AD442+AF442+AH442</f>
        <v/>
      </c>
    </row>
    <row r="443" hidden="1" ht="60" customHeight="1" s="46">
      <c r="A443" s="3" t="inlineStr">
        <is>
          <t>LOM252.OC.EEA.PA01.G8235.ZA001.0270</t>
        </is>
      </c>
      <c r="B443" s="4" t="inlineStr">
        <is>
          <t>3/4</t>
        </is>
      </c>
      <c r="C443" s="3" t="inlineStr">
        <is>
          <t>IMPIANTO ELETTRICO</t>
        </is>
      </c>
      <c r="D443" s="4" t="inlineStr">
        <is>
          <t>NON SPECIALE</t>
        </is>
      </c>
      <c r="E443" s="4" t="inlineStr">
        <is>
          <t>ELETTRICHE</t>
        </is>
      </c>
      <c r="F443" s="3" t="inlineStr">
        <is>
          <t>3_CME IE RADIOFARMACIA PAVIA - REV02 VARIANTE ESECUTIVA.PDF</t>
        </is>
      </c>
      <c r="G443" s="4" t="inlineStr">
        <is>
          <t>144/144</t>
        </is>
      </c>
      <c r="H443" s="3" t="inlineStr">
        <is>
          <t>40 - IMPIANTISTICO</t>
        </is>
      </c>
      <c r="I443" s="3" t="inlineStr">
        <is>
          <t>CABINA BT</t>
        </is>
      </c>
      <c r="J443" s="3" t="inlineStr">
        <is>
          <t>IMPIANTO DI FORZA MOTRICE</t>
        </is>
      </c>
      <c r="K443" s="3" t="inlineStr">
        <is>
          <t>OPERA: DERIVAZIONE D'IMPIANTO PRESA, BIPASSO; FUNZIONE: PRESA DI CORRENTE; IMPIEGO: DERIVAZIONE D'IMPIANTO A VISTA A PARETE/A SOFFITTO; CORRENTE NOMINALE 1 [A] = 10 | CORRENTE NOMINALE 2 [A] = 16 | GR</t>
        </is>
      </c>
      <c r="L443" s="3" t="inlineStr">
        <is>
          <t>OPERA: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BIPASSO; FUNZIONE: PRESA DI CORRENTE; IMPIEGO: DERIVAZIONE D'IMPIANTO A VISTA A PARETE/A SOFFITTO; CORRENTE NOMINALE 1 [A] = 10 | CORRENTE NOMINALE 2 [A] = 16 | GRADO DI SICUREZZA [-] = 2.2; N° PRESE [-] = 2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43" s="4" t="inlineStr">
        <is>
          <t>CAD</t>
        </is>
      </c>
      <c r="N443" s="5" t="n">
        <v>2</v>
      </c>
      <c r="O443" s="45" t="n">
        <v>65.22</v>
      </c>
      <c r="P443" s="45" t="n">
        <v>130.44</v>
      </c>
      <c r="Q443" s="5" t="n"/>
      <c r="R443" s="6" t="n"/>
      <c r="S443" s="6">
        <f>IF(AND(Q443&lt;&gt;"",R443&lt;&gt;""),Q443*R443,"")</f>
        <v/>
      </c>
      <c r="T443" s="45">
        <f>IF(S443="",P443,S443)</f>
        <v/>
      </c>
      <c r="U443" s="7" t="n">
        <v>0</v>
      </c>
      <c r="V443" s="6">
        <f>$T443*U443</f>
        <v/>
      </c>
      <c r="W443" s="7" t="n">
        <v>0</v>
      </c>
      <c r="X443" s="6">
        <f>$T443*W443</f>
        <v/>
      </c>
      <c r="Y443" s="7" t="n">
        <v>0</v>
      </c>
      <c r="Z443" s="6">
        <f>$T443*Y443</f>
        <v/>
      </c>
      <c r="AA443" s="7" t="n">
        <v>0</v>
      </c>
      <c r="AB443" s="6">
        <f>$T443*AA443</f>
        <v/>
      </c>
      <c r="AC443" s="7" t="n">
        <v>0</v>
      </c>
      <c r="AD443" s="6">
        <f>$T443*AC443</f>
        <v/>
      </c>
      <c r="AE443" s="7" t="n">
        <v>0</v>
      </c>
      <c r="AF443" s="6">
        <f>$T443*AE443</f>
        <v/>
      </c>
      <c r="AG443" s="7" t="n">
        <v>0</v>
      </c>
      <c r="AH443" s="6">
        <f>$T443*AG443</f>
        <v/>
      </c>
      <c r="AI443" s="7">
        <f>U443+W443+Y443+AA443+AC443+AE443+AG443</f>
        <v/>
      </c>
      <c r="AJ443" s="6">
        <f>V443+X443+Z443+AB443+AD443+AF443+AH443</f>
        <v/>
      </c>
    </row>
    <row r="444" hidden="1" ht="60" customHeight="1" s="46">
      <c r="A444" s="3" t="inlineStr">
        <is>
          <t>LOM252.OC.EEA.PA02.G8231.ZA001.1000</t>
        </is>
      </c>
      <c r="B444" s="4" t="inlineStr">
        <is>
          <t>3/5</t>
        </is>
      </c>
      <c r="C444" s="3" t="inlineStr">
        <is>
          <t>IMPIANTO ELETTRICO</t>
        </is>
      </c>
      <c r="D444" s="4" t="inlineStr">
        <is>
          <t>NON SPECIALE</t>
        </is>
      </c>
      <c r="E444" s="4" t="inlineStr">
        <is>
          <t>ELETTRICHE</t>
        </is>
      </c>
      <c r="F444" s="3" t="inlineStr">
        <is>
          <t>3_CME IE RADIOFARMACIA PAVIA - REV02 VARIANTE ESECUTIVA.PDF</t>
        </is>
      </c>
      <c r="G444" s="4" t="inlineStr">
        <is>
          <t>145/145</t>
        </is>
      </c>
      <c r="H444" s="3" t="inlineStr">
        <is>
          <t>40 - IMPIANTISTICO</t>
        </is>
      </c>
      <c r="I444" s="3" t="inlineStr">
        <is>
          <t>CABINA BT</t>
        </is>
      </c>
      <c r="J444" s="3" t="inlineStr">
        <is>
          <t>IMPIANTO DI FORZA MOTRICE</t>
        </is>
      </c>
      <c r="K444" s="3" t="inlineStr">
        <is>
          <t xml:space="preserve">OPERA: PRESA; CORRENTE NOMINALE [A] = 10/16; N° POLI [-] = 2P+T. </t>
        </is>
      </c>
      <c r="L444" s="3" t="inlineStr">
        <is>
          <t>OPERA: PRESA; CORRENTE NOMINALE [A] = 10/16; N° POLI [-] = 2P+T. 
LAVORO: POSA. 
SPECIFICHE TECNICHE: UNEL BIVALENTE MODULARE. OP PRESA; CORRENTE NOMINALE [A] = 10/16; N° POLI [-] = 2P+T. 
SPECIFICHE TECNICHE: UNEL BIVALENTE MODULARE. 
RM PRESA; CORRENTE NOMINALE [A] = 10/16; N° POLI [-] = 2P+T 
SPECIFICHE TECNICHE: UNEL BIVALENTE MODULARE 
LV POSA.</t>
        </is>
      </c>
      <c r="M444" s="4" t="inlineStr">
        <is>
          <t>CAD</t>
        </is>
      </c>
      <c r="N444" s="5" t="n">
        <v>2</v>
      </c>
      <c r="O444" s="45" t="n">
        <v>71.15000000000001</v>
      </c>
      <c r="P444" s="45" t="n">
        <v>142.3</v>
      </c>
      <c r="Q444" s="5" t="n"/>
      <c r="R444" s="6" t="n"/>
      <c r="S444" s="6">
        <f>IF(AND(Q444&lt;&gt;"",R444&lt;&gt;""),Q444*R444,"")</f>
        <v/>
      </c>
      <c r="T444" s="45">
        <f>IF(S444="",P444,S444)</f>
        <v/>
      </c>
      <c r="U444" s="7" t="n">
        <v>0</v>
      </c>
      <c r="V444" s="6">
        <f>$T444*U444</f>
        <v/>
      </c>
      <c r="W444" s="7" t="n">
        <v>0</v>
      </c>
      <c r="X444" s="6">
        <f>$T444*W444</f>
        <v/>
      </c>
      <c r="Y444" s="7" t="n">
        <v>0</v>
      </c>
      <c r="Z444" s="6">
        <f>$T444*Y444</f>
        <v/>
      </c>
      <c r="AA444" s="7" t="n">
        <v>0</v>
      </c>
      <c r="AB444" s="6">
        <f>$T444*AA444</f>
        <v/>
      </c>
      <c r="AC444" s="7" t="n">
        <v>0</v>
      </c>
      <c r="AD444" s="6">
        <f>$T444*AC444</f>
        <v/>
      </c>
      <c r="AE444" s="7" t="n">
        <v>0</v>
      </c>
      <c r="AF444" s="6">
        <f>$T444*AE444</f>
        <v/>
      </c>
      <c r="AG444" s="7" t="n">
        <v>0</v>
      </c>
      <c r="AH444" s="6">
        <f>$T444*AG444</f>
        <v/>
      </c>
      <c r="AI444" s="7">
        <f>U444+W444+Y444+AA444+AC444+AE444+AG444</f>
        <v/>
      </c>
      <c r="AJ444" s="6">
        <f>V444+X444+Z444+AB444+AD444+AF444+AH444</f>
        <v/>
      </c>
    </row>
    <row r="445" ht="60" customHeight="1" s="46">
      <c r="A445" s="3" t="inlineStr">
        <is>
          <t>LOM252.OC.EEA.PA02.G7605.ZA001.0015</t>
        </is>
      </c>
      <c r="B445" s="4" t="inlineStr">
        <is>
          <t>3/4</t>
        </is>
      </c>
      <c r="C445" s="3" t="inlineStr">
        <is>
          <t>IMPIANTO ELETTRICO</t>
        </is>
      </c>
      <c r="D445" s="4" t="inlineStr">
        <is>
          <t>NON SPECIALE</t>
        </is>
      </c>
      <c r="E445" s="4" t="inlineStr">
        <is>
          <t>ELETTRICHE</t>
        </is>
      </c>
      <c r="F445" s="3" t="inlineStr">
        <is>
          <t>3_CME IE RADIOFARMACIA PAVIA - REV02 VARIANTE ESECUTIVA.PDF</t>
        </is>
      </c>
      <c r="G445" s="4" t="inlineStr">
        <is>
          <t>146/146</t>
        </is>
      </c>
      <c r="H445" s="3" t="inlineStr">
        <is>
          <t>40 - IMPIANTISTICO</t>
        </is>
      </c>
      <c r="I445" s="3" t="inlineStr">
        <is>
          <t>ESTERNO</t>
        </is>
      </c>
      <c r="J445" s="3" t="inlineStr">
        <is>
          <t>IMPIANTO DI MESSA A TERRA</t>
        </is>
      </c>
      <c r="K445" s="3" t="inlineStr">
        <is>
          <t xml:space="preserve">OPERA: CORDA; IMPIEGO: IMPIANTO DI TERRA; SEZIONE [MM²] = 50. </t>
        </is>
      </c>
      <c r="L445" s="3" t="inlineStr">
        <is>
          <t>OPERA: CORDA; IMPIEGO: IMPIANTO DI TERRA; SEZIONE [MM²] = 50. 
LAVORO: POSA. 
SPECIFICHE TECNICHE: CORDA DI RAME NUDA. OP CORDA; IMPIEGO: IMPIANTO DI TERRA; SEZIONE [MM²] = 50. 
SPECIFICHE TECNICHE: CORDA DI RAME NUDA. 
RM CORDA DI LEGA RAME GENERICO; IMPIEGO: IMPIANTO DI TERRA; SEZIONE [MM²] = 50 
SPECIFICHE TECNICHE: CORDA DI RAME NUDA 
LV POSA.
[DIMENSIONI: 100,00 | 150,00]</t>
        </is>
      </c>
      <c r="M445" s="4" t="inlineStr">
        <is>
          <t>M</t>
        </is>
      </c>
      <c r="N445" s="5" t="n">
        <v>250</v>
      </c>
      <c r="O445" s="45" t="n">
        <v>9.369999999999999</v>
      </c>
      <c r="P445" s="45" t="n">
        <v>2342.5</v>
      </c>
      <c r="Q445" s="5" t="n"/>
      <c r="R445" s="6" t="n"/>
      <c r="S445" s="6">
        <f>IF(AND(Q445&lt;&gt;"",R445&lt;&gt;""),Q445*R445,"")</f>
        <v/>
      </c>
      <c r="T445" s="45">
        <f>IF(S445="",P445,S445)</f>
        <v/>
      </c>
      <c r="U445" s="7" t="n">
        <v>0</v>
      </c>
      <c r="V445" s="6">
        <f>$T445*U445</f>
        <v/>
      </c>
      <c r="W445" s="7" t="n">
        <v>0.6</v>
      </c>
      <c r="X445" s="6">
        <f>$T445*W445</f>
        <v/>
      </c>
      <c r="Y445" s="7" t="n">
        <v>0</v>
      </c>
      <c r="Z445" s="6">
        <f>$T445*Y445</f>
        <v/>
      </c>
      <c r="AA445" s="7" t="n">
        <v>0</v>
      </c>
      <c r="AB445" s="6">
        <f>$T445*AA445</f>
        <v/>
      </c>
      <c r="AC445" s="7" t="n">
        <v>0</v>
      </c>
      <c r="AD445" s="6">
        <f>$T445*AC445</f>
        <v/>
      </c>
      <c r="AE445" s="7" t="n">
        <v>0</v>
      </c>
      <c r="AF445" s="6">
        <f>$T445*AE445</f>
        <v/>
      </c>
      <c r="AG445" s="7" t="n">
        <v>0</v>
      </c>
      <c r="AH445" s="6">
        <f>$T445*AG445</f>
        <v/>
      </c>
      <c r="AI445" s="7">
        <f>U445+W445+Y445+AA445+AC445+AE445+AG445</f>
        <v/>
      </c>
      <c r="AJ445" s="6">
        <f>V445+X445+Z445+AB445+AD445+AF445+AH445</f>
        <v/>
      </c>
    </row>
    <row r="446" hidden="1" ht="60" customHeight="1" s="46">
      <c r="A446" s="3" t="inlineStr">
        <is>
          <t>LOM252.OC.EEA.PA02.G7424.SC009.1275</t>
        </is>
      </c>
      <c r="B446" s="4" t="inlineStr">
        <is>
          <t>1/2</t>
        </is>
      </c>
      <c r="C446" s="3" t="inlineStr">
        <is>
          <t>IMPIANTO ELETTRICO</t>
        </is>
      </c>
      <c r="D446" s="4" t="inlineStr">
        <is>
          <t>NON SPECIALE</t>
        </is>
      </c>
      <c r="E446" s="4" t="inlineStr">
        <is>
          <t>ELETTRICHE</t>
        </is>
      </c>
      <c r="F446" s="3" t="inlineStr">
        <is>
          <t>3_CME IE RADIOFARMACIA PAVIA - REV02 VARIANTE ESECUTIVA.PDF</t>
        </is>
      </c>
      <c r="G446" s="4" t="inlineStr">
        <is>
          <t>147/147</t>
        </is>
      </c>
      <c r="H446" s="3" t="inlineStr">
        <is>
          <t>40 - IMPIANTISTICO</t>
        </is>
      </c>
      <c r="I446" s="3" t="inlineStr">
        <is>
          <t>ESTERNO</t>
        </is>
      </c>
      <c r="J446" s="3" t="inlineStr">
        <is>
          <t>IMPIANTO DI MESSA A TERRA</t>
        </is>
      </c>
      <c r="K446" s="3" t="inlineStr">
        <is>
          <t xml:space="preserve">OPERA: CAVO, FG17 DI LEGA RAME RICOTTO; GEOMETRIA: FLESSIBILE; SEZIONE NOMINALE [MM²] = 16; TENSIONE NOMINALE [KV] = 450/750; N° POLI [-] = 1P. </t>
        </is>
      </c>
      <c r="L446" s="3" t="inlineStr">
        <is>
          <t>OPERA: CAVO, FG17 DI LEGA RAME RICOTTO; GEOMETRIA: FLESSIBILE; SEZIONE NOMINALE [MM²] = 16; TENSIONE NOMINALE [KV] = 450/750; N° POLI [-] = 1P. 
LAVORO: POSA. OP CAVO, FG17 DI LEGA RAME RICOTTO; GEOMETRIA: FLESSIBILE; SEZIONE NOMINALE [MM²] = 16; TENSIONE NOMINALE UO/U [KV] = 450/750; N° POLI [-] = 1P. 
RM CAVO FG17 DI LEGA RAME RICOTTO; GEOMETRIA: FLESSIBILE; SEZIONE NOMINALE [MM²] = 16; TENSIONE NOMINALE UO/U [KV] = 450/750; N° POLI [-] = 1P. COMPONENTE: ISOLANTE,  
LV POSA.
[DIMENSIONI: 1,00 130,00]</t>
        </is>
      </c>
      <c r="M446" s="4" t="inlineStr">
        <is>
          <t>M</t>
        </is>
      </c>
      <c r="N446" s="5" t="n">
        <v>130</v>
      </c>
      <c r="O446" s="45" t="n">
        <v>5.84</v>
      </c>
      <c r="P446" s="45" t="n">
        <v>759.2</v>
      </c>
      <c r="Q446" s="5" t="n"/>
      <c r="R446" s="6" t="n"/>
      <c r="S446" s="6">
        <f>IF(AND(Q446&lt;&gt;"",R446&lt;&gt;""),Q446*R446,"")</f>
        <v/>
      </c>
      <c r="T446" s="45">
        <f>IF(S446="",P446,S446)</f>
        <v/>
      </c>
      <c r="U446" s="7" t="n">
        <v>0</v>
      </c>
      <c r="V446" s="6">
        <f>$T446*U446</f>
        <v/>
      </c>
      <c r="W446" s="7" t="n">
        <v>0</v>
      </c>
      <c r="X446" s="6">
        <f>$T446*W446</f>
        <v/>
      </c>
      <c r="Y446" s="7" t="n">
        <v>0</v>
      </c>
      <c r="Z446" s="6">
        <f>$T446*Y446</f>
        <v/>
      </c>
      <c r="AA446" s="7" t="n">
        <v>0</v>
      </c>
      <c r="AB446" s="6">
        <f>$T446*AA446</f>
        <v/>
      </c>
      <c r="AC446" s="7" t="n">
        <v>0</v>
      </c>
      <c r="AD446" s="6">
        <f>$T446*AC446</f>
        <v/>
      </c>
      <c r="AE446" s="7" t="n">
        <v>0</v>
      </c>
      <c r="AF446" s="6">
        <f>$T446*AE446</f>
        <v/>
      </c>
      <c r="AG446" s="7" t="n">
        <v>0</v>
      </c>
      <c r="AH446" s="6">
        <f>$T446*AG446</f>
        <v/>
      </c>
      <c r="AI446" s="7">
        <f>U446+W446+Y446+AA446+AC446+AE446+AG446</f>
        <v/>
      </c>
      <c r="AJ446" s="6">
        <f>V446+X446+Z446+AB446+AD446+AF446+AH446</f>
        <v/>
      </c>
    </row>
    <row r="447" ht="60" customHeight="1" s="46">
      <c r="A447" s="3" t="inlineStr">
        <is>
          <t>LOM252.OC.EEA.PA02.G7424.SC009.1320</t>
        </is>
      </c>
      <c r="B447" s="4" t="inlineStr">
        <is>
          <t>2/2</t>
        </is>
      </c>
      <c r="C447" s="3" t="inlineStr">
        <is>
          <t>IMPIANTO ELETTRICO</t>
        </is>
      </c>
      <c r="D447" s="4" t="inlineStr">
        <is>
          <t>NON SPECIALE</t>
        </is>
      </c>
      <c r="E447" s="4" t="inlineStr">
        <is>
          <t>ELETTRICHE</t>
        </is>
      </c>
      <c r="F447" s="3" t="inlineStr">
        <is>
          <t>3_CME IE RADIOFARMACIA PAVIA - REV02 VARIANTE ESECUTIVA.PDF</t>
        </is>
      </c>
      <c r="G447" s="4" t="inlineStr">
        <is>
          <t>148/148</t>
        </is>
      </c>
      <c r="H447" s="3" t="inlineStr">
        <is>
          <t>40 - IMPIANTISTICO</t>
        </is>
      </c>
      <c r="I447" s="3" t="inlineStr">
        <is>
          <t>ESTERNO</t>
        </is>
      </c>
      <c r="J447" s="3" t="inlineStr">
        <is>
          <t>IMPIANTO DI MESSA A TERRA</t>
        </is>
      </c>
      <c r="K447" s="3" t="inlineStr">
        <is>
          <t xml:space="preserve">OPERA: CAVO, FG17 DI LEGA RAME RICOTTO; GEOMETRIA: FLESSIBILE; SEZIONE NOMINALE [MM²] = 240; TENSIONE NOMINALE [KV] = 450/750; N° POLI [-] = 1P. </t>
        </is>
      </c>
      <c r="L447" s="3" t="inlineStr">
        <is>
          <t>OPERA: CAVO, FG17 DI LEGA RAME RICOTTO; GEOMETRIA: FLESSIBILE; SEZIONE NOMINALE [MM²] = 240; TENSIONE NOMINALE [KV] = 450/750; N° POLI [-] = 1P. 
LAVORO: POSA. OP CAVO, FG17 DI LEGA RAME RICOTTO; GEOMETRIA: FLESSIBILE; SEZIONE NOMINALE [MM²] = 240; TENSIONE NOMINALE UO/U [KV] = 450/750; N° POLI [-] = 1P. 
RM CAVO FG17 DI LEGA RAME RICOTTO; GEOMETRIA: FLESSIBILE; SEZIONE NOMINALE [MM²] = 240; TENSIONE NOMINALE UO/U [KV] = 450/750; N° POLI [-] = 1P. COMPONENTE: ISOLANTE,  
LV POSA.
[DIMENSIONI: 1,00 100,00]</t>
        </is>
      </c>
      <c r="M447" s="4" t="inlineStr">
        <is>
          <t>M</t>
        </is>
      </c>
      <c r="N447" s="5" t="n">
        <v>100</v>
      </c>
      <c r="O447" s="45" t="n">
        <v>55.46</v>
      </c>
      <c r="P447" s="45" t="n">
        <v>5546</v>
      </c>
      <c r="Q447" s="5" t="n"/>
      <c r="R447" s="6" t="n"/>
      <c r="S447" s="6">
        <f>IF(AND(Q447&lt;&gt;"",R447&lt;&gt;""),Q447*R447,"")</f>
        <v/>
      </c>
      <c r="T447" s="45">
        <f>IF(S447="",P447,S447)</f>
        <v/>
      </c>
      <c r="U447" s="7" t="n">
        <v>0</v>
      </c>
      <c r="V447" s="6">
        <f>$T447*U447</f>
        <v/>
      </c>
      <c r="W447" s="7" t="n">
        <v>0.6</v>
      </c>
      <c r="X447" s="6">
        <f>$T447*W447</f>
        <v/>
      </c>
      <c r="Y447" s="7" t="n">
        <v>0</v>
      </c>
      <c r="Z447" s="6">
        <f>$T447*Y447</f>
        <v/>
      </c>
      <c r="AA447" s="7" t="n">
        <v>0</v>
      </c>
      <c r="AB447" s="6">
        <f>$T447*AA447</f>
        <v/>
      </c>
      <c r="AC447" s="7" t="n">
        <v>0</v>
      </c>
      <c r="AD447" s="6">
        <f>$T447*AC447</f>
        <v/>
      </c>
      <c r="AE447" s="7" t="n">
        <v>0</v>
      </c>
      <c r="AF447" s="6">
        <f>$T447*AE447</f>
        <v/>
      </c>
      <c r="AG447" s="7" t="n">
        <v>0</v>
      </c>
      <c r="AH447" s="6">
        <f>$T447*AG447</f>
        <v/>
      </c>
      <c r="AI447" s="7">
        <f>U447+W447+Y447+AA447+AC447+AE447+AG447</f>
        <v/>
      </c>
      <c r="AJ447" s="6">
        <f>V447+X447+Z447+AB447+AD447+AF447+AH447</f>
        <v/>
      </c>
    </row>
    <row r="448" ht="60" customHeight="1" s="46">
      <c r="A448" s="3" t="inlineStr">
        <is>
          <t>LOM252.OC.EEA.PA02.G7424.SC009.1315</t>
        </is>
      </c>
      <c r="B448" s="4" t="inlineStr">
        <is>
          <t>1/1</t>
        </is>
      </c>
      <c r="C448" s="3" t="inlineStr">
        <is>
          <t>IMPIANTO ELETTRICO</t>
        </is>
      </c>
      <c r="D448" s="4" t="inlineStr">
        <is>
          <t>NON SPECIALE</t>
        </is>
      </c>
      <c r="E448" s="4" t="inlineStr">
        <is>
          <t>ELETTRICHE</t>
        </is>
      </c>
      <c r="F448" s="3" t="inlineStr">
        <is>
          <t>3_CME IE RADIOFARMACIA PAVIA - REV02 VARIANTE ESECUTIVA.PDF</t>
        </is>
      </c>
      <c r="G448" s="4" t="inlineStr">
        <is>
          <t>149/149</t>
        </is>
      </c>
      <c r="H448" s="3" t="inlineStr">
        <is>
          <t>40 - IMPIANTISTICO</t>
        </is>
      </c>
      <c r="I448" s="3" t="inlineStr">
        <is>
          <t>ESTERNO</t>
        </is>
      </c>
      <c r="J448" s="3" t="inlineStr">
        <is>
          <t>IMPIANTO DI MESSA A TERRA</t>
        </is>
      </c>
      <c r="K448" s="3" t="inlineStr">
        <is>
          <t xml:space="preserve">OPERA: CAVO, FG17 DI LEGA RAME RICOTTO; GEOMETRIA: FLESSIBILE; SEZIONE NOMINALE [MM²] = 185; TENSIONE NOMINALE [KV] = 450/750; N° POLI [-] = 1P. </t>
        </is>
      </c>
      <c r="L448" s="3" t="inlineStr">
        <is>
          <t>OPERA: CAVO, FG17 DI LEGA RAME RICOTTO; GEOMETRIA: FLESSIBILE; SEZIONE NOMINALE [MM²] = 185; TENSIONE NOMINALE [KV] = 450/750; N° POLI [-] = 1P. 
LAVORO: POSA. OP CAVO, FG17 DI LEGA RAME RICOTTO; GEOMETRIA: FLESSIBILE; SEZIONE NOMINALE [MM²] = 185; TENSIONE NOMINALE UO/U [KV] = 450/750; N° POLI [-] = 1P. 
RM CAVO FG17 DI LEGA RAME RICOTTO; GEOMETRIA: FLESSIBILE; SEZIONE NOMINALE [MM²] = 185; TENSIONE NOMINALE UO/U [KV] = 450/750; N° POLI [-] = 1P. COMPONENTE: ISOLANTE,  
LV POSA.
[DIMENSIONI: 1,00 100,00 | -1,00 100,00 | 1,00 100,00]</t>
        </is>
      </c>
      <c r="M448" s="4" t="inlineStr">
        <is>
          <t>M</t>
        </is>
      </c>
      <c r="N448" s="5" t="n">
        <v>100</v>
      </c>
      <c r="O448" s="45" t="n">
        <v>30.62</v>
      </c>
      <c r="P448" s="45" t="n">
        <v>3062</v>
      </c>
      <c r="Q448" s="5" t="n"/>
      <c r="R448" s="6" t="n"/>
      <c r="S448" s="6">
        <f>IF(AND(Q448&lt;&gt;"",R448&lt;&gt;""),Q448*R448,"")</f>
        <v/>
      </c>
      <c r="T448" s="45">
        <f>IF(S448="",P448,S448)</f>
        <v/>
      </c>
      <c r="U448" s="7" t="n">
        <v>0</v>
      </c>
      <c r="V448" s="6">
        <f>$T448*U448</f>
        <v/>
      </c>
      <c r="W448" s="7" t="n">
        <v>0.6</v>
      </c>
      <c r="X448" s="6">
        <f>$T448*W448</f>
        <v/>
      </c>
      <c r="Y448" s="7" t="n">
        <v>0</v>
      </c>
      <c r="Z448" s="6">
        <f>$T448*Y448</f>
        <v/>
      </c>
      <c r="AA448" s="7" t="n">
        <v>0</v>
      </c>
      <c r="AB448" s="6">
        <f>$T448*AA448</f>
        <v/>
      </c>
      <c r="AC448" s="7" t="n">
        <v>0</v>
      </c>
      <c r="AD448" s="6">
        <f>$T448*AC448</f>
        <v/>
      </c>
      <c r="AE448" s="7" t="n">
        <v>0</v>
      </c>
      <c r="AF448" s="6">
        <f>$T448*AE448</f>
        <v/>
      </c>
      <c r="AG448" s="7" t="n">
        <v>0</v>
      </c>
      <c r="AH448" s="6">
        <f>$T448*AG448</f>
        <v/>
      </c>
      <c r="AI448" s="7">
        <f>U448+W448+Y448+AA448+AC448+AE448+AG448</f>
        <v/>
      </c>
      <c r="AJ448" s="6">
        <f>V448+X448+Z448+AB448+AD448+AF448+AH448</f>
        <v/>
      </c>
    </row>
    <row r="449" ht="60" customHeight="1" s="46">
      <c r="A449" s="3" t="inlineStr">
        <is>
          <t>LOM252.OC.EEA.PA02.G7400.D0006.0030</t>
        </is>
      </c>
      <c r="B449" s="4" t="inlineStr">
        <is>
          <t>1/1</t>
        </is>
      </c>
      <c r="C449" s="3" t="inlineStr">
        <is>
          <t>IMPIANTO ELETTRICO</t>
        </is>
      </c>
      <c r="D449" s="4" t="inlineStr">
        <is>
          <t>NON SPECIALE</t>
        </is>
      </c>
      <c r="E449" s="4" t="inlineStr">
        <is>
          <t>ELETTRICHE</t>
        </is>
      </c>
      <c r="F449" s="3" t="inlineStr">
        <is>
          <t>3_CME IE RADIOFARMACIA PAVIA - REV02 VARIANTE ESECUTIVA.PDF</t>
        </is>
      </c>
      <c r="G449" s="4" t="inlineStr">
        <is>
          <t>150/150</t>
        </is>
      </c>
      <c r="H449" s="3" t="inlineStr">
        <is>
          <t>40 - IMPIANTISTICO</t>
        </is>
      </c>
      <c r="I449" s="3" t="inlineStr">
        <is>
          <t>ESTERNO</t>
        </is>
      </c>
      <c r="J449" s="3" t="inlineStr">
        <is>
          <t>DISTRIBUZIONE PRINCIPALE BT</t>
        </is>
      </c>
      <c r="K449" s="3" t="inlineStr">
        <is>
          <t xml:space="preserve">OPERA: CAVIDOTTO FLESSIBILE DI PLASTICA POLIETILENE (PE); FINITURA: CORRUGATI | LISCI; DIAMETRO ESTERNO (Ø) [MM] = 125 | DIAMETRO INTERNO (Ø) [MM] = 107. </t>
        </is>
      </c>
      <c r="L449" s="3" t="inlineStr">
        <is>
          <t>OPERA: CAVIDOTTO FLESSIBILE DI PLASTICA POLIETILENE (PE); FINITURA: CORRUGATI | LISCI; DIAMETRO ESTERNO (Ø) [MM] = 125 | DIAMETRO INTERNO (Ø) [MM] = 107. 
LAVORO: POSA. ESCLUSO: SCAVO; PIANO APPOGGIO; RINFIANCO; RIEMPIMENTO. OP CAVIDOTTO FLESSIBILE DI PLASTICA POLIETILENE (PE); FINITURA: CORRUGATI | LISCI; DIAMETRO ESTERNO (Ø) [MM] = 125 | DIAMETRO INTERNO (Ø) [MM] = 107. 
RM TUBO A MANICOTTO DI GIUNZIONE DI PLASTICA POLIETILENE (PE); FINITURA: LISCIO; GEOMETRIA: CORRUGATO | FLESSIBILE | A DOPPIA PARETE ; IMPIEGO: CAVIDOTTO; DIAMETRO ESTERNO (Ø) [MM] = 125 | DIAMETRO INTERNO (Ø) [MM] = 107. INCLUSO: TIRAFILO INCORPORATO 
SPECIFICHE TECNICHE: CORRUGATA ESTERNA E LISCIA INTERNA 
RM AGGREGATO SABBIA VIVA DI ROCCIA NATURALE MINERALE; IMPIEGO: IMPASTI; PESO SPECIFICO MEDIO [KG/M³] = 1450 
SPECIFICHE TECNICHE: DI CAVA, LAVATA E VAGLIATA 
LV POSA. ESCLUSO: SCAVO; PIANO APPOGGIO; RINFIANCO; RIEMPIMENTO. 
RP PALA CINGOLATA; POTENZA [KW] ≤ 55. DA CONTEGGIARE A PARTE: SPESE DI ESERCIZIO (RP.00.00.05.1030.A)
[DIMENSIONI: 4,00 100,00 | 3,00 100,00 | 1,00 150,00]</t>
        </is>
      </c>
      <c r="M449" s="4" t="inlineStr">
        <is>
          <t>M</t>
        </is>
      </c>
      <c r="N449" s="5" t="n">
        <v>850</v>
      </c>
      <c r="O449" s="45" t="n">
        <v>11.99</v>
      </c>
      <c r="P449" s="45" t="n">
        <v>10191.5</v>
      </c>
      <c r="Q449" s="5" t="n"/>
      <c r="R449" s="6" t="n"/>
      <c r="S449" s="6">
        <f>IF(AND(Q449&lt;&gt;"",R449&lt;&gt;""),Q449*R449,"")</f>
        <v/>
      </c>
      <c r="T449" s="45">
        <f>IF(S449="",P449,S449)</f>
        <v/>
      </c>
      <c r="U449" s="7" t="n">
        <v>0</v>
      </c>
      <c r="V449" s="6">
        <f>$T449*U449</f>
        <v/>
      </c>
      <c r="W449" s="7" t="n">
        <v>0.6</v>
      </c>
      <c r="X449" s="6">
        <f>$T449*W449</f>
        <v/>
      </c>
      <c r="Y449" s="7" t="n">
        <v>0</v>
      </c>
      <c r="Z449" s="6">
        <f>$T449*Y449</f>
        <v/>
      </c>
      <c r="AA449" s="7" t="n">
        <v>0</v>
      </c>
      <c r="AB449" s="6">
        <f>$T449*AA449</f>
        <v/>
      </c>
      <c r="AC449" s="7" t="n">
        <v>0</v>
      </c>
      <c r="AD449" s="6">
        <f>$T449*AC449</f>
        <v/>
      </c>
      <c r="AE449" s="7" t="n">
        <v>0</v>
      </c>
      <c r="AF449" s="6">
        <f>$T449*AE449</f>
        <v/>
      </c>
      <c r="AG449" s="7" t="n">
        <v>0</v>
      </c>
      <c r="AH449" s="6">
        <f>$T449*AG449</f>
        <v/>
      </c>
      <c r="AI449" s="7">
        <f>U449+W449+Y449+AA449+AC449+AE449+AG449</f>
        <v/>
      </c>
      <c r="AJ449" s="6">
        <f>V449+X449+Z449+AB449+AD449+AF449+AH449</f>
        <v/>
      </c>
    </row>
    <row r="450" ht="30" customHeight="1" s="46">
      <c r="A450" s="3" t="inlineStr">
        <is>
          <t>DEIELE251_235016</t>
        </is>
      </c>
      <c r="B450" s="4" t="inlineStr">
        <is>
          <t>1/1</t>
        </is>
      </c>
      <c r="C450" s="3" t="inlineStr">
        <is>
          <t>IMPIANTO ELETTRICO</t>
        </is>
      </c>
      <c r="D450" s="4" t="inlineStr">
        <is>
          <t>NON SPECIALE</t>
        </is>
      </c>
      <c r="E450" s="4" t="inlineStr">
        <is>
          <t>ELETTRICHE</t>
        </is>
      </c>
      <c r="F450" s="3" t="inlineStr">
        <is>
          <t>3_CME IE RADIOFARMACIA PAVIA - REV02 VARIANTE ESECUTIVA.PDF</t>
        </is>
      </c>
      <c r="G450" s="4" t="inlineStr">
        <is>
          <t>151/151</t>
        </is>
      </c>
      <c r="H450" s="3" t="inlineStr">
        <is>
          <t>40 - IMPIANTISTICO</t>
        </is>
      </c>
      <c r="I450" s="3" t="inlineStr">
        <is>
          <t>ESTERNO</t>
        </is>
      </c>
      <c r="J450" s="3" t="inlineStr">
        <is>
          <t>DISTRIBUZIONE PRINCIPALE BT</t>
        </is>
      </c>
      <c r="K450" s="3" t="inlineStr">
        <is>
          <t>POZZETTO DIMENSIONI FINO A 40 X 40 CM CON CHIUSINO IN GHISA (CLASSE C250 - D400), INCLUSE LE OPERE DI SCAVO E REINTERRO</t>
        </is>
      </c>
      <c r="L450" s="3" t="inlineStr">
        <is>
          <t>POZZETTO DIMENSIONI FINO A 40 X 40 CM CON CHIUSINO IN GHISA (CLASSE C250 - D400), INCLUSE LE OPERE DI SCAVO E REINTERRO</t>
        </is>
      </c>
      <c r="M450" s="4" t="inlineStr">
        <is>
          <t>CAD</t>
        </is>
      </c>
      <c r="N450" s="5" t="n">
        <v>9</v>
      </c>
      <c r="O450" s="45" t="n">
        <v>288.73</v>
      </c>
      <c r="P450" s="45" t="n">
        <v>2598.57</v>
      </c>
      <c r="Q450" s="5" t="n"/>
      <c r="R450" s="6" t="n"/>
      <c r="S450" s="6">
        <f>IF(AND(Q450&lt;&gt;"",R450&lt;&gt;""),Q450*R450,"")</f>
        <v/>
      </c>
      <c r="T450" s="45">
        <f>IF(S450="",P450,S450)</f>
        <v/>
      </c>
      <c r="U450" s="7" t="n">
        <v>0</v>
      </c>
      <c r="V450" s="6">
        <f>$T450*U450</f>
        <v/>
      </c>
      <c r="W450" s="7" t="n">
        <v>0.6</v>
      </c>
      <c r="X450" s="6">
        <f>$T450*W450</f>
        <v/>
      </c>
      <c r="Y450" s="7" t="n">
        <v>0</v>
      </c>
      <c r="Z450" s="6">
        <f>$T450*Y450</f>
        <v/>
      </c>
      <c r="AA450" s="7" t="n">
        <v>0</v>
      </c>
      <c r="AB450" s="6">
        <f>$T450*AA450</f>
        <v/>
      </c>
      <c r="AC450" s="7" t="n">
        <v>0</v>
      </c>
      <c r="AD450" s="6">
        <f>$T450*AC450</f>
        <v/>
      </c>
      <c r="AE450" s="7" t="n">
        <v>0</v>
      </c>
      <c r="AF450" s="6">
        <f>$T450*AE450</f>
        <v/>
      </c>
      <c r="AG450" s="7" t="n">
        <v>0</v>
      </c>
      <c r="AH450" s="6">
        <f>$T450*AG450</f>
        <v/>
      </c>
      <c r="AI450" s="7">
        <f>U450+W450+Y450+AA450+AC450+AE450+AG450</f>
        <v/>
      </c>
      <c r="AJ450" s="6">
        <f>V450+X450+Z450+AB450+AD450+AF450+AH450</f>
        <v/>
      </c>
    </row>
    <row r="451" ht="60" customHeight="1" s="46">
      <c r="A451" s="3" t="inlineStr">
        <is>
          <t>LOM252.OC.EEA.PA02.G7424.SC009.0740</t>
        </is>
      </c>
      <c r="B451" s="4" t="inlineStr">
        <is>
          <t>1/1</t>
        </is>
      </c>
      <c r="C451" s="3" t="inlineStr">
        <is>
          <t>IMPIANTO ELETTRICO</t>
        </is>
      </c>
      <c r="D451" s="4" t="inlineStr">
        <is>
          <t>NON SPECIALE</t>
        </is>
      </c>
      <c r="E451" s="4" t="inlineStr">
        <is>
          <t>ELETTRICHE</t>
        </is>
      </c>
      <c r="F451" s="3" t="inlineStr">
        <is>
          <t>3_CME IE RADIOFARMACIA PAVIA - REV02 VARIANTE ESECUTIVA.PDF</t>
        </is>
      </c>
      <c r="G451" s="4" t="inlineStr">
        <is>
          <t>152/152</t>
        </is>
      </c>
      <c r="H451" s="3" t="inlineStr">
        <is>
          <t>40 - IMPIANTISTICO</t>
        </is>
      </c>
      <c r="I451" s="3" t="inlineStr">
        <is>
          <t>ESTERNO</t>
        </is>
      </c>
      <c r="J451" s="3" t="inlineStr">
        <is>
          <t>DISTRIBUZIONE PRINCIPALE BT</t>
        </is>
      </c>
      <c r="K451" s="3" t="inlineStr">
        <is>
          <t xml:space="preserve">OPERA: CAVO, FG16OM16 DI LEGA RAME RICOTTO; GEOMETRIA: FLESSIBILE; SEZIONE NOMINALE [MM²] = 5X16; TENSIONE NOMINALE [KV] = 0,6/1; N° POLI [-] = 4/5P. </t>
        </is>
      </c>
      <c r="L451" s="3" t="inlineStr">
        <is>
          <t>OPERA: CAVO, FG16OM16 DI LEGA RAME RICOTTO; GEOMETRIA: FLESSIBILE; SEZIONE NOMINALE [MM²] = 5X16; TENSIONE NOMINALE [KV] = 0,6/1; N° POLI [-] = 4/5P. 
LAVORO: POSA. OP CAVO, FG16OM16 DI LEGA RAME RICOTTO; GEOMETRIA: FLESSIBILE; SEZIONE NOMINALE [MM²] = 5X16; TENSIONE NOMINALE UO/U [KV] = 0,6/1; N° POLI [-] = 4/5P. 
RM CAVO FG16OM16 DI LEGA RAME RICOTTO; GEOMETRIA: FLESSIBILE; SEZIONE NOMINALE [MM²] = 5X16; TENSIONE NOMINALE UO/U [KV] = 0,6/1; N° POLI [-] = 4/5P. COMPONENTI: ISOLANTE, GUAINA TERMOPLASTICA 
LV POSA.
[DIMENSIONI: 1,00 150,00]</t>
        </is>
      </c>
      <c r="M451" s="4" t="inlineStr">
        <is>
          <t>M</t>
        </is>
      </c>
      <c r="N451" s="5" t="n">
        <v>150</v>
      </c>
      <c r="O451" s="45" t="n">
        <v>18.4</v>
      </c>
      <c r="P451" s="45" t="n">
        <v>2760</v>
      </c>
      <c r="Q451" s="5" t="n"/>
      <c r="R451" s="6" t="n"/>
      <c r="S451" s="6">
        <f>IF(AND(Q451&lt;&gt;"",R451&lt;&gt;""),Q451*R451,"")</f>
        <v/>
      </c>
      <c r="T451" s="45">
        <f>IF(S451="",P451,S451)</f>
        <v/>
      </c>
      <c r="U451" s="7" t="n">
        <v>0</v>
      </c>
      <c r="V451" s="6">
        <f>$T451*U451</f>
        <v/>
      </c>
      <c r="W451" s="7" t="n">
        <v>0.6</v>
      </c>
      <c r="X451" s="6">
        <f>$T451*W451</f>
        <v/>
      </c>
      <c r="Y451" s="7" t="n">
        <v>0</v>
      </c>
      <c r="Z451" s="6">
        <f>$T451*Y451</f>
        <v/>
      </c>
      <c r="AA451" s="7" t="n">
        <v>0</v>
      </c>
      <c r="AB451" s="6">
        <f>$T451*AA451</f>
        <v/>
      </c>
      <c r="AC451" s="7" t="n">
        <v>0</v>
      </c>
      <c r="AD451" s="6">
        <f>$T451*AC451</f>
        <v/>
      </c>
      <c r="AE451" s="7" t="n">
        <v>0</v>
      </c>
      <c r="AF451" s="6">
        <f>$T451*AE451</f>
        <v/>
      </c>
      <c r="AG451" s="7" t="n">
        <v>0</v>
      </c>
      <c r="AH451" s="6">
        <f>$T451*AG451</f>
        <v/>
      </c>
      <c r="AI451" s="7">
        <f>U451+W451+Y451+AA451+AC451+AE451+AG451</f>
        <v/>
      </c>
      <c r="AJ451" s="6">
        <f>V451+X451+Z451+AB451+AD451+AF451+AH451</f>
        <v/>
      </c>
    </row>
    <row r="452" ht="60" customHeight="1" s="46">
      <c r="A452" s="3" t="inlineStr">
        <is>
          <t>LOM252.OC.EEA.PA02.G7424.SC009.0515</t>
        </is>
      </c>
      <c r="B452" s="4" t="inlineStr">
        <is>
          <t>1/3</t>
        </is>
      </c>
      <c r="C452" s="3" t="inlineStr">
        <is>
          <t>IMPIANTO ELETTRICO</t>
        </is>
      </c>
      <c r="D452" s="4" t="inlineStr">
        <is>
          <t>NON SPECIALE</t>
        </is>
      </c>
      <c r="E452" s="4" t="inlineStr">
        <is>
          <t>ELETTRICHE</t>
        </is>
      </c>
      <c r="F452" s="3" t="inlineStr">
        <is>
          <t>3_CME IE RADIOFARMACIA PAVIA - REV02 VARIANTE ESECUTIVA.PDF</t>
        </is>
      </c>
      <c r="G452" s="4" t="inlineStr">
        <is>
          <t>153/153</t>
        </is>
      </c>
      <c r="H452" s="3" t="inlineStr">
        <is>
          <t>40 - IMPIANTISTICO</t>
        </is>
      </c>
      <c r="I452" s="3" t="inlineStr">
        <is>
          <t>ESTERNO</t>
        </is>
      </c>
      <c r="J452" s="3" t="inlineStr">
        <is>
          <t>DISTRIBUZIONE PRINCIPALE BT</t>
        </is>
      </c>
      <c r="K452" s="3" t="inlineStr">
        <is>
          <t xml:space="preserve">OPERA: CAVO, FG16OM16 DI LEGA RAME RICOTTO; GEOMETRIA: FLESSIBILE; SEZIONE NOMINALE [MM²] = 35; TENSIONE NOMINALE [KV] = 0,6/1; N° POLI [-] = 1P. </t>
        </is>
      </c>
      <c r="L452" s="3" t="inlineStr">
        <is>
          <t>OPERA: CAVO, FG16OM16 DI LEGA RAME RICOTTO; GEOMETRIA: FLESSIBILE; SEZIONE NOMINALE [MM²] = 35; TENSIONE NOMINALE [KV] = 0,6/1; N° POLI [-] = 1P. 
LAVORO: POSA. OP CAVO, FG16OM16 DI LEGA RAME RICOTTO; GEOMETRIA: FLESSIBILE; SEZIONE NOMINALE [MM²] = 35; TENSIONE NOMINALE UO/U [KV] = 0,6/1; N° POLI [-] = 1P. 
RM CAVO FG16OM16 DI LEGA RAME RICOTTO; GEOMETRIA: FLESSIBILE; SEZIONE NOMINALE [MM²] = 35; TENSIONE NOMINALE UO/U [KV] = 0,6/1; N° POLI [-] = 1P. COMPONENTI: ISOLANTE, GUAINA TERMOPLASTICA, RIVESTIMENTO INTERNO 
LV POSA.
[DIMENSIONI: 4,00 130,00]</t>
        </is>
      </c>
      <c r="M452" s="4" t="inlineStr">
        <is>
          <t>M</t>
        </is>
      </c>
      <c r="N452" s="5" t="n">
        <v>520</v>
      </c>
      <c r="O452" s="45" t="n">
        <v>9.15</v>
      </c>
      <c r="P452" s="45" t="n">
        <v>4758</v>
      </c>
      <c r="Q452" s="5" t="n"/>
      <c r="R452" s="6" t="n"/>
      <c r="S452" s="6">
        <f>IF(AND(Q452&lt;&gt;"",R452&lt;&gt;""),Q452*R452,"")</f>
        <v/>
      </c>
      <c r="T452" s="45">
        <f>IF(S452="",P452,S452)</f>
        <v/>
      </c>
      <c r="U452" s="7" t="n">
        <v>0</v>
      </c>
      <c r="V452" s="6">
        <f>$T452*U452</f>
        <v/>
      </c>
      <c r="W452" s="7" t="n">
        <v>0.6</v>
      </c>
      <c r="X452" s="6">
        <f>$T452*W452</f>
        <v/>
      </c>
      <c r="Y452" s="7" t="n">
        <v>0</v>
      </c>
      <c r="Z452" s="6">
        <f>$T452*Y452</f>
        <v/>
      </c>
      <c r="AA452" s="7" t="n">
        <v>0</v>
      </c>
      <c r="AB452" s="6">
        <f>$T452*AA452</f>
        <v/>
      </c>
      <c r="AC452" s="7" t="n">
        <v>0</v>
      </c>
      <c r="AD452" s="6">
        <f>$T452*AC452</f>
        <v/>
      </c>
      <c r="AE452" s="7" t="n">
        <v>0</v>
      </c>
      <c r="AF452" s="6">
        <f>$T452*AE452</f>
        <v/>
      </c>
      <c r="AG452" s="7" t="n">
        <v>0</v>
      </c>
      <c r="AH452" s="6">
        <f>$T452*AG452</f>
        <v/>
      </c>
      <c r="AI452" s="7">
        <f>U452+W452+Y452+AA452+AC452+AE452+AG452</f>
        <v/>
      </c>
      <c r="AJ452" s="6">
        <f>V452+X452+Z452+AB452+AD452+AF452+AH452</f>
        <v/>
      </c>
    </row>
    <row r="453" hidden="1" ht="60" customHeight="1" s="46">
      <c r="A453" s="3" t="inlineStr">
        <is>
          <t>LOM252.OC.EEA.PA02.G7424.SC009.0540</t>
        </is>
      </c>
      <c r="B453" s="4" t="inlineStr">
        <is>
          <t>1/2</t>
        </is>
      </c>
      <c r="C453" s="3" t="inlineStr">
        <is>
          <t>IMPIANTO ELETTRICO</t>
        </is>
      </c>
      <c r="D453" s="4" t="inlineStr">
        <is>
          <t>NON SPECIALE</t>
        </is>
      </c>
      <c r="E453" s="4" t="inlineStr">
        <is>
          <t>ELETTRICHE</t>
        </is>
      </c>
      <c r="F453" s="3" t="inlineStr">
        <is>
          <t>3_CME IE RADIOFARMACIA PAVIA - REV02 VARIANTE ESECUTIVA.PDF</t>
        </is>
      </c>
      <c r="G453" s="4" t="inlineStr">
        <is>
          <t>154/154</t>
        </is>
      </c>
      <c r="H453" s="3" t="inlineStr">
        <is>
          <t>40 - IMPIANTISTICO</t>
        </is>
      </c>
      <c r="I453" s="3" t="inlineStr">
        <is>
          <t>ESTERNO</t>
        </is>
      </c>
      <c r="J453" s="3" t="inlineStr">
        <is>
          <t>DISTRIBUZIONE PRINCIPALE BT</t>
        </is>
      </c>
      <c r="K453" s="3" t="inlineStr">
        <is>
          <t xml:space="preserve">OPERA: CAVO, FG16OM16 DI LEGA RAME RICOTTO; GEOMETRIA: FLESSIBILE; SEZIONE NOMINALE [MM²] = 150; TENSIONE NOMINALE [KV] = 0,6/1; N° POLI [-] = 1P. </t>
        </is>
      </c>
      <c r="L453" s="3" t="inlineStr">
        <is>
          <t>OPERA: CAVO, FG16OM16 DI LEGA RAME RICOTTO; GEOMETRIA: FLESSIBILE; SEZIONE NOMINALE [MM²] = 150; TENSIONE NOMINALE [KV] = 0,6/1; N° POLI [-] = 1P. 
LAVORO: POSA. OP CAVO, FG16OM16 DI LEGA RAME RICOTTO; GEOMETRIA: FLESSIBILE; SEZIONE NOMINALE [MM²] = 150; TENSIONE NOMINALE UO/U [KV] = 0,6/1; N° POLI [-] = 1P. 
RM CAVO FG16OM16 DI LEGA RAME RICOTTO; GEOMETRIA: FLESSIBILE; SEZIONE NOMINALE [MM²] = 150; TENSIONE NOMINALE UO/U [KV] = 0,6/1; N° POLI [-] = 1P. COMPONENTI: ISOLANTE, GUAINA TERMOPLASTICA, RIVESTIMENTO INTERNO 
LV POSA.
[DIMENSIONI: 8,00 100,00 | 8,00 100,00 | -1600,00]</t>
        </is>
      </c>
      <c r="M453" s="4" t="inlineStr">
        <is>
          <t>M</t>
        </is>
      </c>
      <c r="N453" s="5" t="n">
        <v>0</v>
      </c>
      <c r="O453" s="45" t="n">
        <v>0</v>
      </c>
      <c r="P453" s="45" t="n">
        <v>0</v>
      </c>
      <c r="Q453" s="5" t="n"/>
      <c r="R453" s="6" t="n"/>
      <c r="S453" s="6">
        <f>IF(AND(Q453&lt;&gt;"",R453&lt;&gt;""),Q453*R453,"")</f>
        <v/>
      </c>
      <c r="T453" s="45">
        <f>IF(S453="",P453,S453)</f>
        <v/>
      </c>
      <c r="U453" s="7" t="n">
        <v>0</v>
      </c>
      <c r="V453" s="6">
        <f>$T453*U453</f>
        <v/>
      </c>
      <c r="W453" s="7" t="n">
        <v>0</v>
      </c>
      <c r="X453" s="6">
        <f>$T453*W453</f>
        <v/>
      </c>
      <c r="Y453" s="7" t="n">
        <v>0</v>
      </c>
      <c r="Z453" s="6">
        <f>$T453*Y453</f>
        <v/>
      </c>
      <c r="AA453" s="7" t="n">
        <v>0</v>
      </c>
      <c r="AB453" s="6">
        <f>$T453*AA453</f>
        <v/>
      </c>
      <c r="AC453" s="7" t="n">
        <v>0</v>
      </c>
      <c r="AD453" s="6">
        <f>$T453*AC453</f>
        <v/>
      </c>
      <c r="AE453" s="7" t="n">
        <v>0</v>
      </c>
      <c r="AF453" s="6">
        <f>$T453*AE453</f>
        <v/>
      </c>
      <c r="AG453" s="7" t="n">
        <v>0</v>
      </c>
      <c r="AH453" s="6">
        <f>$T453*AG453</f>
        <v/>
      </c>
      <c r="AI453" s="7">
        <f>U453+W453+Y453+AA453+AC453+AE453+AG453</f>
        <v/>
      </c>
      <c r="AJ453" s="6">
        <f>V453+X453+Z453+AB453+AD453+AF453+AH453</f>
        <v/>
      </c>
    </row>
    <row r="454" ht="60" customHeight="1" s="46">
      <c r="A454" s="3" t="inlineStr">
        <is>
          <t>LOM252.OC.EEA.PA02.G7424.SC009.0545</t>
        </is>
      </c>
      <c r="B454" s="4" t="inlineStr">
        <is>
          <t>2/3</t>
        </is>
      </c>
      <c r="C454" s="3" t="inlineStr">
        <is>
          <t>IMPIANTO ELETTRICO</t>
        </is>
      </c>
      <c r="D454" s="4" t="inlineStr">
        <is>
          <t>NON SPECIALE</t>
        </is>
      </c>
      <c r="E454" s="4" t="inlineStr">
        <is>
          <t>ELETTRICHE</t>
        </is>
      </c>
      <c r="F454" s="3" t="inlineStr">
        <is>
          <t>3_CME IE RADIOFARMACIA PAVIA - REV02 VARIANTE ESECUTIVA.PDF</t>
        </is>
      </c>
      <c r="G454" s="4" t="inlineStr">
        <is>
          <t>155/155</t>
        </is>
      </c>
      <c r="H454" s="3" t="inlineStr">
        <is>
          <t>40 - IMPIANTISTICO</t>
        </is>
      </c>
      <c r="I454" s="3" t="inlineStr">
        <is>
          <t>ESTERNO</t>
        </is>
      </c>
      <c r="J454" s="3" t="inlineStr">
        <is>
          <t>DISTRIBUZIONE PRINCIPALE BT</t>
        </is>
      </c>
      <c r="K454" s="3" t="inlineStr">
        <is>
          <t xml:space="preserve">OPERA: CAVO, FG16OM16 DI LEGA RAME RICOTTO; GEOMETRIA: FLESSIBILE; SEZIONE NOMINALE [MM²] = 185; TENSIONE NOMINALE [KV] = 0,6/1; N° POLI [-] = 1P. </t>
        </is>
      </c>
      <c r="L454" s="3" t="inlineStr">
        <is>
          <t>OPERA: CAVO, FG16OM16 DI LEGA RAME RICOTTO; GEOMETRIA: FLESSIBILE; SEZIONE NOMINALE [MM²] = 185; TENSIONE NOMINALE [KV] = 0,6/1; N° POLI [-] = 1P. 
LAVORO: POSA. OP CAVO, FG16OM16 DI LEGA RAME RICOTTO; GEOMETRIA: FLESSIBILE; SEZIONE NOMINALE [MM²] = 185; TENSIONE NOMINALE UO/U [KV] = 0,6/1; N° POLI [-] = 1P. 
RM CAVO FG16OM16 DI LEGA RAME RICOTTO; GEOMETRIA: FLESSIBILE; SEZIONE NOMINALE [MM²] = 185; TENSIONE NOMINALE UO/U [KV] = 0,6/1; N° POLI [-] = 1P. COMPONENTI: ISOLANTE, GUAINA TERMOPLASTICA, RIVESTIMENTO INTERNO 
LV POSA.
[DIMENSIONI: 8,00 100,00]</t>
        </is>
      </c>
      <c r="M454" s="4" t="inlineStr">
        <is>
          <t>M</t>
        </is>
      </c>
      <c r="N454" s="5" t="n">
        <v>800</v>
      </c>
      <c r="O454" s="45" t="n">
        <v>38.17</v>
      </c>
      <c r="P454" s="45" t="n">
        <v>30536</v>
      </c>
      <c r="Q454" s="5" t="n"/>
      <c r="R454" s="6" t="n"/>
      <c r="S454" s="6">
        <f>IF(AND(Q454&lt;&gt;"",R454&lt;&gt;""),Q454*R454,"")</f>
        <v/>
      </c>
      <c r="T454" s="45">
        <f>IF(S454="",P454,S454)</f>
        <v/>
      </c>
      <c r="U454" s="7" t="n">
        <v>0</v>
      </c>
      <c r="V454" s="6">
        <f>$T454*U454</f>
        <v/>
      </c>
      <c r="W454" s="7" t="n">
        <v>0.6</v>
      </c>
      <c r="X454" s="6">
        <f>$T454*W454</f>
        <v/>
      </c>
      <c r="Y454" s="7" t="n">
        <v>0</v>
      </c>
      <c r="Z454" s="6">
        <f>$T454*Y454</f>
        <v/>
      </c>
      <c r="AA454" s="7" t="n">
        <v>0</v>
      </c>
      <c r="AB454" s="6">
        <f>$T454*AA454</f>
        <v/>
      </c>
      <c r="AC454" s="7" t="n">
        <v>0</v>
      </c>
      <c r="AD454" s="6">
        <f>$T454*AC454</f>
        <v/>
      </c>
      <c r="AE454" s="7" t="n">
        <v>0</v>
      </c>
      <c r="AF454" s="6">
        <f>$T454*AE454</f>
        <v/>
      </c>
      <c r="AG454" s="7" t="n">
        <v>0</v>
      </c>
      <c r="AH454" s="6">
        <f>$T454*AG454</f>
        <v/>
      </c>
      <c r="AI454" s="7">
        <f>U454+W454+Y454+AA454+AC454+AE454+AG454</f>
        <v/>
      </c>
      <c r="AJ454" s="6">
        <f>V454+X454+Z454+AB454+AD454+AF454+AH454</f>
        <v/>
      </c>
    </row>
    <row r="455" ht="60" customHeight="1" s="46">
      <c r="A455" s="3" t="inlineStr">
        <is>
          <t>LOM252.OC.EEA.PA02.G7424.SC009.0550</t>
        </is>
      </c>
      <c r="B455" s="4" t="inlineStr">
        <is>
          <t>2/2</t>
        </is>
      </c>
      <c r="C455" s="3" t="inlineStr">
        <is>
          <t>IMPIANTO ELETTRICO</t>
        </is>
      </c>
      <c r="D455" s="4" t="inlineStr">
        <is>
          <t>NON SPECIALE</t>
        </is>
      </c>
      <c r="E455" s="4" t="inlineStr">
        <is>
          <t>ELETTRICHE</t>
        </is>
      </c>
      <c r="F455" s="3" t="inlineStr">
        <is>
          <t>3_CME IE RADIOFARMACIA PAVIA - REV02 VARIANTE ESECUTIVA.PDF</t>
        </is>
      </c>
      <c r="G455" s="4" t="inlineStr">
        <is>
          <t>156/156</t>
        </is>
      </c>
      <c r="H455" s="3" t="inlineStr">
        <is>
          <t>40 - IMPIANTISTICO</t>
        </is>
      </c>
      <c r="I455" s="3" t="inlineStr">
        <is>
          <t>ESTERNO</t>
        </is>
      </c>
      <c r="J455" s="3" t="inlineStr">
        <is>
          <t>DISTRIBUZIONE PRINCIPALE BT</t>
        </is>
      </c>
      <c r="K455" s="3" t="inlineStr">
        <is>
          <t xml:space="preserve">OPERA: CAVO, FG16OM16 DI LEGA RAME RICOTTO; GEOMETRIA: FLESSIBILE; SEZIONE NOMINALE [MM²] = 240; TENSIONE NOMINALE [KV] = 0,6/1; N° POLI [-] = 1P. </t>
        </is>
      </c>
      <c r="L455" s="3" t="inlineStr">
        <is>
          <t>OPERA: CAVO, FG16OM16 DI LEGA RAME RICOTTO; GEOMETRIA: FLESSIBILE; SEZIONE NOMINALE [MM²] = 240; TENSIONE NOMINALE [KV] = 0,6/1; N° POLI [-] = 1P. 
LAVORO: POSA. OP CAVO, FG16OM16 DI LEGA RAME RICOTTO; GEOMETRIA: FLESSIBILE; SEZIONE NOMINALE [MM²] = 240; TENSIONE NOMINALE UO/U [KV] = 0,6/1; N° POLI [-] = 1P. 
RM CAVO FG16OM16 DI LEGA RAME RICOTTO; GEOMETRIA: FLESSIBILE; SEZIONE NOMINALE [MM²] = 240; TENSIONE NOMINALE UO/U [KV] = 0,6/1; N° POLI [-] = 1P. COMPONENTI: ISOLANTE, GUAINA TERMOPLASTICA, RIVESTIMENTO INTERNO 
LV POSA.
[DIMENSIONI: 8,00 100,00]</t>
        </is>
      </c>
      <c r="M455" s="4" t="inlineStr">
        <is>
          <t>M</t>
        </is>
      </c>
      <c r="N455" s="5" t="n">
        <v>800</v>
      </c>
      <c r="O455" s="45" t="n">
        <v>47.19</v>
      </c>
      <c r="P455" s="45" t="n">
        <v>37752</v>
      </c>
      <c r="Q455" s="5" t="n"/>
      <c r="R455" s="6" t="n"/>
      <c r="S455" s="6">
        <f>IF(AND(Q455&lt;&gt;"",R455&lt;&gt;""),Q455*R455,"")</f>
        <v/>
      </c>
      <c r="T455" s="45">
        <f>IF(S455="",P455,S455)</f>
        <v/>
      </c>
      <c r="U455" s="7" t="n">
        <v>0</v>
      </c>
      <c r="V455" s="6">
        <f>$T455*U455</f>
        <v/>
      </c>
      <c r="W455" s="7" t="n">
        <v>0.6</v>
      </c>
      <c r="X455" s="6">
        <f>$T455*W455</f>
        <v/>
      </c>
      <c r="Y455" s="7" t="n">
        <v>0</v>
      </c>
      <c r="Z455" s="6">
        <f>$T455*Y455</f>
        <v/>
      </c>
      <c r="AA455" s="7" t="n">
        <v>0</v>
      </c>
      <c r="AB455" s="6">
        <f>$T455*AA455</f>
        <v/>
      </c>
      <c r="AC455" s="7" t="n">
        <v>0</v>
      </c>
      <c r="AD455" s="6">
        <f>$T455*AC455</f>
        <v/>
      </c>
      <c r="AE455" s="7" t="n">
        <v>0</v>
      </c>
      <c r="AF455" s="6">
        <f>$T455*AE455</f>
        <v/>
      </c>
      <c r="AG455" s="7" t="n">
        <v>0</v>
      </c>
      <c r="AH455" s="6">
        <f>$T455*AG455</f>
        <v/>
      </c>
      <c r="AI455" s="7">
        <f>U455+W455+Y455+AA455+AC455+AE455+AG455</f>
        <v/>
      </c>
      <c r="AJ455" s="6">
        <f>V455+X455+Z455+AB455+AD455+AF455+AH455</f>
        <v/>
      </c>
    </row>
    <row r="456" ht="60" customHeight="1" s="46">
      <c r="A456" s="3" t="inlineStr">
        <is>
          <t>LOM252.OC.EEA.PA02.G7400.D0006.0010</t>
        </is>
      </c>
      <c r="B456" s="4" t="inlineStr">
        <is>
          <t>1/2</t>
        </is>
      </c>
      <c r="C456" s="3" t="inlineStr">
        <is>
          <t>IMPIANTO ELETTRICO</t>
        </is>
      </c>
      <c r="D456" s="4" t="inlineStr">
        <is>
          <t>NON SPECIALE</t>
        </is>
      </c>
      <c r="E456" s="4" t="inlineStr">
        <is>
          <t>ELETTRICHE</t>
        </is>
      </c>
      <c r="F456" s="3" t="inlineStr">
        <is>
          <t>3_CME IE RADIOFARMACIA PAVIA - REV02 VARIANTE ESECUTIVA.PDF</t>
        </is>
      </c>
      <c r="G456" s="4" t="inlineStr">
        <is>
          <t>157/157</t>
        </is>
      </c>
      <c r="H456" s="3" t="inlineStr">
        <is>
          <t>40 - IMPIANTISTICO</t>
        </is>
      </c>
      <c r="I456" s="3" t="inlineStr">
        <is>
          <t>ESTERNO</t>
        </is>
      </c>
      <c r="J456" s="3" t="inlineStr">
        <is>
          <t>DISTRIBUZIONE SECONDARIA</t>
        </is>
      </c>
      <c r="K456" s="3" t="inlineStr">
        <is>
          <t xml:space="preserve">OPERA: CAVIDOTTO FLESSIBILE DI PLASTICA POLIETILENE (PE); FINITURA: CORRUGATI | LISCI; DIAMETRO ESTERNO (Ø) [MM] = 63 | DIAMETRO INTERNO (Ø) [MM] = 52. </t>
        </is>
      </c>
      <c r="L456" s="3" t="inlineStr">
        <is>
          <t>OPERA: CAVIDOTTO FLESSIBILE DI PLASTICA POLIETILENE (PE); FINITURA: CORRUGATI | LISCI; DIAMETRO ESTERNO (Ø) [MM] = 63 | DIAMETRO INTERNO (Ø) [MM] = 52. 
LAVORO: POSA. ESCLUSO: SCAVO; PIANO APPOGGIO; RINFIANCO; RIEMPIMENTO. OP CAVIDOTTO FLESSIBILE DI PLASTICA POLIETILENE (PE); FINITURA: CORRUGATI | LISCI; DIAMETRO ESTERNO (Ø) [MM] = 63 | DIAMETRO INTERNO (Ø) [MM] = 52. 
RM TUBO A MANICOTTO DI GIUNZIONE DI PLASTICA POLIETILENE (PE); FINITURA: LISCIO; GEOMETRIA: CORRUGATO | FLESSIBILE | A DOPPIA PARETE ; IMPIEGO: CAVIDOTTO; DIAMETRO ESTERNO (Ø) [MM] = 63 | DIAMETRO INTERNO (Ø) [MM] = 52. INCLUSO: TIRAFILO INCORPORATO 
SPECIFICHE TECNICHE: CORRUGATA ESTERNA E LISCIA INTERNA 
RM AGGREGATO SABBIA VIVA DI ROCCIA NATURALE MINERALE; IMPIEGO: IMPASTI; PESO SPECIFICO MEDIO [KG/M³] = 1450 
SPECIFICHE TECNICHE: DI CAVA, LAVATA E VAGLIATA 
LV POSA. ESCLUSO: SCAVO; PIANO APPOGGIO; RINFIANCO; RIEMPIMENTO. 
RP PALA CINGOLATA; POTENZA [KW] ≤ 55. DA CONTEGGIARE A PARTE: SPESE DI ESERCIZIO (RP.00.00.05.1030.A)
[DIMENSIONI: 4,00 100,00]</t>
        </is>
      </c>
      <c r="M456" s="4" t="inlineStr">
        <is>
          <t>M</t>
        </is>
      </c>
      <c r="N456" s="5" t="n">
        <v>400</v>
      </c>
      <c r="O456" s="45" t="n">
        <v>5.48</v>
      </c>
      <c r="P456" s="45" t="n">
        <v>2192</v>
      </c>
      <c r="Q456" s="5" t="n"/>
      <c r="R456" s="6" t="n"/>
      <c r="S456" s="6">
        <f>IF(AND(Q456&lt;&gt;"",R456&lt;&gt;""),Q456*R456,"")</f>
        <v/>
      </c>
      <c r="T456" s="45">
        <f>IF(S456="",P456,S456)</f>
        <v/>
      </c>
      <c r="U456" s="7" t="n">
        <v>0</v>
      </c>
      <c r="V456" s="6">
        <f>$T456*U456</f>
        <v/>
      </c>
      <c r="W456" s="7" t="n">
        <v>0.6</v>
      </c>
      <c r="X456" s="6">
        <f>$T456*W456</f>
        <v/>
      </c>
      <c r="Y456" s="7" t="n">
        <v>0</v>
      </c>
      <c r="Z456" s="6">
        <f>$T456*Y456</f>
        <v/>
      </c>
      <c r="AA456" s="7" t="n">
        <v>0</v>
      </c>
      <c r="AB456" s="6">
        <f>$T456*AA456</f>
        <v/>
      </c>
      <c r="AC456" s="7" t="n">
        <v>0</v>
      </c>
      <c r="AD456" s="6">
        <f>$T456*AC456</f>
        <v/>
      </c>
      <c r="AE456" s="7" t="n">
        <v>0</v>
      </c>
      <c r="AF456" s="6">
        <f>$T456*AE456</f>
        <v/>
      </c>
      <c r="AG456" s="7" t="n">
        <v>0</v>
      </c>
      <c r="AH456" s="6">
        <f>$T456*AG456</f>
        <v/>
      </c>
      <c r="AI456" s="7">
        <f>U456+W456+Y456+AA456+AC456+AE456+AG456</f>
        <v/>
      </c>
      <c r="AJ456" s="6">
        <f>V456+X456+Z456+AB456+AD456+AF456+AH456</f>
        <v/>
      </c>
    </row>
    <row r="457" hidden="1" ht="60" customHeight="1" s="46">
      <c r="A457" s="3" t="inlineStr">
        <is>
          <t>LOM252.OC.EEA.PA02.G7424.SC009.0565</t>
        </is>
      </c>
      <c r="B457" s="4" t="inlineStr">
        <is>
          <t>1/1</t>
        </is>
      </c>
      <c r="C457" s="3" t="inlineStr">
        <is>
          <t>IMPIANTO ELETTRICO</t>
        </is>
      </c>
      <c r="D457" s="4" t="inlineStr">
        <is>
          <t>NON SPECIALE</t>
        </is>
      </c>
      <c r="E457" s="4" t="inlineStr">
        <is>
          <t>ELETTRICHE</t>
        </is>
      </c>
      <c r="F457" s="3" t="inlineStr">
        <is>
          <t>3_CME IE RADIOFARMACIA PAVIA - REV02 VARIANTE ESECUTIVA.PDF</t>
        </is>
      </c>
      <c r="G457" s="4" t="inlineStr">
        <is>
          <t>158/158</t>
        </is>
      </c>
      <c r="H457" s="3" t="inlineStr">
        <is>
          <t>40 - IMPIANTISTICO</t>
        </is>
      </c>
      <c r="I457" s="3" t="inlineStr">
        <is>
          <t>ESTERNO</t>
        </is>
      </c>
      <c r="J457" s="3" t="inlineStr">
        <is>
          <t>DISTRIBUZIONE SECONDARIA</t>
        </is>
      </c>
      <c r="K457" s="3" t="inlineStr">
        <is>
          <t xml:space="preserve">OPERA: CAVO, FG16OM16 DI LEGA RAME RICOTTO; GEOMETRIA: FLESSIBILE; SEZIONE NOMINALE [MM²] = 2X2,5; TENSIONE NOMINALE [KV] = 0,6/1; N° POLI [-] = 2P. </t>
        </is>
      </c>
      <c r="L457" s="3" t="inlineStr">
        <is>
          <t>OPERA: CAVO, FG16OM16 DI LEGA RAME RICOTTO; GEOMETRIA: FLESSIBILE; SEZIONE NOMINALE [MM²] = 2X2,5; TENSIONE NOMINALE [KV] = 0,6/1; N° POLI [-] = 2P. 
LAVORO: POSA. OP CAVO, FG16OM16 DI LEGA RAME RICOTTO; GEOMETRIA: FLESSIBILE; SEZIONE NOMINALE [MM²] = 2X2,5; TENSIONE NOMINALE UO/U [KV] = 0,6/1; N° POLI [-] = 2P. 
RM CAVO FG16OM16 DI LEGA RAME RICOTTO; GEOMETRIA: FLESSIBILE; SEZIONE NOMINALE [MM²] = 2X2,5; TENSIONE NOMINALE UO/U [KV] = 0,6/1; N° POLI [-] = 2P. COMPONENTI: ISOLANTE, GUAINA TERMOPLASTICA 
LV POSA.
[DIMENSIONI: 100,00 | 100,00 | 100,00]</t>
        </is>
      </c>
      <c r="M457" s="4" t="inlineStr">
        <is>
          <t>M</t>
        </is>
      </c>
      <c r="N457" s="5" t="n">
        <v>300</v>
      </c>
      <c r="O457" s="45" t="n">
        <v>4.19</v>
      </c>
      <c r="P457" s="45" t="n">
        <v>1257</v>
      </c>
      <c r="Q457" s="5" t="n"/>
      <c r="R457" s="6" t="n"/>
      <c r="S457" s="6">
        <f>IF(AND(Q457&lt;&gt;"",R457&lt;&gt;""),Q457*R457,"")</f>
        <v/>
      </c>
      <c r="T457" s="45">
        <f>IF(S457="",P457,S457)</f>
        <v/>
      </c>
      <c r="U457" s="7" t="n">
        <v>0</v>
      </c>
      <c r="V457" s="6">
        <f>$T457*U457</f>
        <v/>
      </c>
      <c r="W457" s="7" t="n">
        <v>0</v>
      </c>
      <c r="X457" s="6">
        <f>$T457*W457</f>
        <v/>
      </c>
      <c r="Y457" s="7" t="n">
        <v>0</v>
      </c>
      <c r="Z457" s="6">
        <f>$T457*Y457</f>
        <v/>
      </c>
      <c r="AA457" s="7" t="n">
        <v>0</v>
      </c>
      <c r="AB457" s="6">
        <f>$T457*AA457</f>
        <v/>
      </c>
      <c r="AC457" s="7" t="n">
        <v>0</v>
      </c>
      <c r="AD457" s="6">
        <f>$T457*AC457</f>
        <v/>
      </c>
      <c r="AE457" s="7" t="n">
        <v>0</v>
      </c>
      <c r="AF457" s="6">
        <f>$T457*AE457</f>
        <v/>
      </c>
      <c r="AG457" s="7" t="n">
        <v>0</v>
      </c>
      <c r="AH457" s="6">
        <f>$T457*AG457</f>
        <v/>
      </c>
      <c r="AI457" s="7">
        <f>U457+W457+Y457+AA457+AC457+AE457+AG457</f>
        <v/>
      </c>
      <c r="AJ457" s="6">
        <f>V457+X457+Z457+AB457+AD457+AF457+AH457</f>
        <v/>
      </c>
    </row>
    <row r="458" ht="60" customHeight="1" s="46">
      <c r="A458" s="3" t="inlineStr">
        <is>
          <t>IE_NP_QGEN</t>
        </is>
      </c>
      <c r="B458" s="4" t="inlineStr">
        <is>
          <t>1/1</t>
        </is>
      </c>
      <c r="C458" s="3" t="inlineStr">
        <is>
          <t>IMPIANTO ELETTRICO</t>
        </is>
      </c>
      <c r="D458" s="4" t="inlineStr">
        <is>
          <t>NON SPECIALE</t>
        </is>
      </c>
      <c r="E458" s="4" t="inlineStr">
        <is>
          <t>ELETTRICHE</t>
        </is>
      </c>
      <c r="F458" s="3" t="inlineStr">
        <is>
          <t>3_CME IE RADIOFARMACIA PAVIA - REV02 VARIANTE ESECUTIVA.PDF</t>
        </is>
      </c>
      <c r="G458" s="4" t="inlineStr">
        <is>
          <t>159/159</t>
        </is>
      </c>
      <c r="H458" s="3" t="inlineStr">
        <is>
          <t>40 - IMPIANTISTICO</t>
        </is>
      </c>
      <c r="I458" s="3" t="inlineStr">
        <is>
          <t>RADIOFARMACIA</t>
        </is>
      </c>
      <c r="J458" s="3" t="inlineStr">
        <is>
          <t>QUADRI ELETTRICI BT E UPS</t>
        </is>
      </c>
      <c r="K458" s="3" t="inlineStr">
        <is>
          <t>FORNITURA E POSA IN OPERA DI QUADRO ELETTRICO GENERALE RADIOFARMACIA QGEN COSTITUITO DA ARMADIO METALLICO DA PAVIMENTO, CON GRADO DI PROTEZIONE IP42 (SECONDO IEC 60529), COLORE RAL 7035,  STRUTTURA MO</t>
        </is>
      </c>
      <c r="L458" s="3" t="inlineStr">
        <is>
          <t>FORNITURA E POSA IN OPERA DI QUADRO ELETTRICO GENERALE RADIOFARMACIA QGEN COSTITUITO DA ARMADIO METALLICO DA 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458" s="4" t="inlineStr">
        <is>
          <t>A CORPO</t>
        </is>
      </c>
      <c r="N458" s="5" t="n">
        <v>1</v>
      </c>
      <c r="O458" s="45" t="n">
        <v>12581.99</v>
      </c>
      <c r="P458" s="45" t="n">
        <v>12581.99</v>
      </c>
      <c r="Q458" s="5" t="n"/>
      <c r="R458" s="6" t="n"/>
      <c r="S458" s="6">
        <f>IF(AND(Q458&lt;&gt;"",R458&lt;&gt;""),Q458*R458,"")</f>
        <v/>
      </c>
      <c r="T458" s="45">
        <f>IF(S458="",P458,S458)</f>
        <v/>
      </c>
      <c r="U458" s="7" t="n">
        <v>0.5</v>
      </c>
      <c r="V458" s="6">
        <f>$T458*U458</f>
        <v/>
      </c>
      <c r="W458" s="7" t="n">
        <v>0.1</v>
      </c>
      <c r="X458" s="6">
        <f>$T458*W458</f>
        <v/>
      </c>
      <c r="Y458" s="7" t="n">
        <v>0</v>
      </c>
      <c r="Z458" s="6">
        <f>$T458*Y458</f>
        <v/>
      </c>
      <c r="AA458" s="7" t="n">
        <v>0</v>
      </c>
      <c r="AB458" s="6">
        <f>$T458*AA458</f>
        <v/>
      </c>
      <c r="AC458" s="7" t="n">
        <v>0</v>
      </c>
      <c r="AD458" s="6">
        <f>$T458*AC458</f>
        <v/>
      </c>
      <c r="AE458" s="7" t="n">
        <v>0</v>
      </c>
      <c r="AF458" s="6">
        <f>$T458*AE458</f>
        <v/>
      </c>
      <c r="AG458" s="7" t="n">
        <v>0</v>
      </c>
      <c r="AH458" s="6">
        <f>$T458*AG458</f>
        <v/>
      </c>
      <c r="AI458" s="7">
        <f>U458+W458+Y458+AA458+AC458+AE458+AG458</f>
        <v/>
      </c>
      <c r="AJ458" s="6">
        <f>V458+X458+Z458+AB458+AD458+AF458+AH458</f>
        <v/>
      </c>
    </row>
    <row r="459" ht="60" customHeight="1" s="46">
      <c r="A459" s="3" t="inlineStr">
        <is>
          <t>IE_NP_QP1</t>
        </is>
      </c>
      <c r="B459" s="4" t="inlineStr">
        <is>
          <t>1/1</t>
        </is>
      </c>
      <c r="C459" s="3" t="inlineStr">
        <is>
          <t>IMPIANTO ELETTRICO</t>
        </is>
      </c>
      <c r="D459" s="4" t="inlineStr">
        <is>
          <t>NON SPECIALE</t>
        </is>
      </c>
      <c r="E459" s="4" t="inlineStr">
        <is>
          <t>ELETTRICHE</t>
        </is>
      </c>
      <c r="F459" s="3" t="inlineStr">
        <is>
          <t>3_CME IE RADIOFARMACIA PAVIA - REV02 VARIANTE ESECUTIVA.PDF</t>
        </is>
      </c>
      <c r="G459" s="4" t="inlineStr">
        <is>
          <t>160/160</t>
        </is>
      </c>
      <c r="H459" s="3" t="inlineStr">
        <is>
          <t>40 - IMPIANTISTICO</t>
        </is>
      </c>
      <c r="I459" s="3" t="inlineStr">
        <is>
          <t>RADIOFARMACIA</t>
        </is>
      </c>
      <c r="J459" s="3" t="inlineStr">
        <is>
          <t>QUADRI ELETTRICI BT E UPS</t>
        </is>
      </c>
      <c r="K459" s="3" t="inlineStr">
        <is>
          <t>FORNITURA E POSA IN OPERA DI QUADRO ELETTRICO PIANO 1 QP1 COSTITUITO DA ARMADIO METALLICO DA PAVIMENTO, CON GRADO DI PROTEZIONE IP42 (SECONDO IEC 60529), COLORE RAL 7035,  STRUTTURA MONOBLOCCO AUTOEST</t>
        </is>
      </c>
      <c r="L459" s="3" t="inlineStr">
        <is>
          <t>FORNITURA E POSA IN OPERA DI QUADRO ELETTRICO PIANO 1 QP1 COSTITUITO DA ARMADIO METALLICO DA 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459" s="4" t="inlineStr">
        <is>
          <t>A CORPO</t>
        </is>
      </c>
      <c r="N459" s="5" t="n">
        <v>1</v>
      </c>
      <c r="O459" s="45" t="n">
        <v>10032.39</v>
      </c>
      <c r="P459" s="45" t="n">
        <v>10032.39</v>
      </c>
      <c r="Q459" s="5" t="n"/>
      <c r="R459" s="6" t="n"/>
      <c r="S459" s="6">
        <f>IF(AND(Q459&lt;&gt;"",R459&lt;&gt;""),Q459*R459,"")</f>
        <v/>
      </c>
      <c r="T459" s="45">
        <f>IF(S459="",P459,S459)</f>
        <v/>
      </c>
      <c r="U459" s="7" t="n">
        <v>0.5</v>
      </c>
      <c r="V459" s="6">
        <f>$T459*U459</f>
        <v/>
      </c>
      <c r="W459" s="7" t="n">
        <v>0.1</v>
      </c>
      <c r="X459" s="6">
        <f>$T459*W459</f>
        <v/>
      </c>
      <c r="Y459" s="7" t="n">
        <v>0</v>
      </c>
      <c r="Z459" s="6">
        <f>$T459*Y459</f>
        <v/>
      </c>
      <c r="AA459" s="7" t="n">
        <v>0</v>
      </c>
      <c r="AB459" s="6">
        <f>$T459*AA459</f>
        <v/>
      </c>
      <c r="AC459" s="7" t="n">
        <v>0</v>
      </c>
      <c r="AD459" s="6">
        <f>$T459*AC459</f>
        <v/>
      </c>
      <c r="AE459" s="7" t="n">
        <v>0</v>
      </c>
      <c r="AF459" s="6">
        <f>$T459*AE459</f>
        <v/>
      </c>
      <c r="AG459" s="7" t="n">
        <v>0</v>
      </c>
      <c r="AH459" s="6">
        <f>$T459*AG459</f>
        <v/>
      </c>
      <c r="AI459" s="7">
        <f>U459+W459+Y459+AA459+AC459+AE459+AG459</f>
        <v/>
      </c>
      <c r="AJ459" s="6">
        <f>V459+X459+Z459+AB459+AD459+AF459+AH459</f>
        <v/>
      </c>
    </row>
    <row r="460" ht="60" customHeight="1" s="46">
      <c r="A460" s="3" t="inlineStr">
        <is>
          <t>LOM252.OC.EEA.PA02.G7605.ZA001.0015</t>
        </is>
      </c>
      <c r="B460" s="4" t="inlineStr">
        <is>
          <t>4/4</t>
        </is>
      </c>
      <c r="C460" s="3" t="inlineStr">
        <is>
          <t>IMPIANTO ELETTRICO</t>
        </is>
      </c>
      <c r="D460" s="4" t="inlineStr">
        <is>
          <t>NON SPECIALE</t>
        </is>
      </c>
      <c r="E460" s="4" t="inlineStr">
        <is>
          <t>ELETTRICHE</t>
        </is>
      </c>
      <c r="F460" s="3" t="inlineStr">
        <is>
          <t>3_CME IE RADIOFARMACIA PAVIA - REV02 VARIANTE ESECUTIVA.PDF</t>
        </is>
      </c>
      <c r="G460" s="4" t="inlineStr">
        <is>
          <t>161/161</t>
        </is>
      </c>
      <c r="H460" s="3" t="inlineStr">
        <is>
          <t>40 - IMPIANTISTICO</t>
        </is>
      </c>
      <c r="I460" s="3" t="inlineStr">
        <is>
          <t>RADIOFARMACIA</t>
        </is>
      </c>
      <c r="J460" s="3" t="inlineStr">
        <is>
          <t>IMPIANTO DI MESSA A TERRA</t>
        </is>
      </c>
      <c r="K460" s="3" t="inlineStr">
        <is>
          <t xml:space="preserve">OPERA: CORDA; IMPIEGO: IMPIANTO DI TERRA; SEZIONE [MM²] = 50. </t>
        </is>
      </c>
      <c r="L460" s="3" t="inlineStr">
        <is>
          <t>OPERA: CORDA; IMPIEGO: IMPIANTO DI TERRA; SEZIONE [MM²] = 50. 
LAVORO: POSA. 
SPECIFICHE TECNICHE: CORDA DI RAME NUDA. OP CORDA; IMPIEGO: IMPIANTO DI TERRA; SEZIONE [MM²] = 50. 
SPECIFICHE TECNICHE: CORDA DI RAME NUDA. 
RM CORDA DI LEGA RAME GENERICO; IMPIEGO: IMPIANTO DI TERRA; SEZIONE [MM²] = 50 
SPECIFICHE TECNICHE: CORDA DI RAME NUDA 
LV POSA.
[DIMENSIONI: 150,00]</t>
        </is>
      </c>
      <c r="M460" s="4" t="inlineStr">
        <is>
          <t>M</t>
        </is>
      </c>
      <c r="N460" s="5" t="n">
        <v>150</v>
      </c>
      <c r="O460" s="45" t="n">
        <v>9.369999999999999</v>
      </c>
      <c r="P460" s="45" t="n">
        <v>1405.5</v>
      </c>
      <c r="Q460" s="5" t="n"/>
      <c r="R460" s="6" t="n"/>
      <c r="S460" s="6">
        <f>IF(AND(Q460&lt;&gt;"",R460&lt;&gt;""),Q460*R460,"")</f>
        <v/>
      </c>
      <c r="T460" s="45">
        <f>IF(S460="",P460,S460)</f>
        <v/>
      </c>
      <c r="U460" s="7" t="n">
        <v>0</v>
      </c>
      <c r="V460" s="6">
        <f>$T460*U460</f>
        <v/>
      </c>
      <c r="W460" s="7" t="n">
        <v>0.6</v>
      </c>
      <c r="X460" s="6">
        <f>$T460*W460</f>
        <v/>
      </c>
      <c r="Y460" s="7" t="n">
        <v>0</v>
      </c>
      <c r="Z460" s="6">
        <f>$T460*Y460</f>
        <v/>
      </c>
      <c r="AA460" s="7" t="n">
        <v>0</v>
      </c>
      <c r="AB460" s="6">
        <f>$T460*AA460</f>
        <v/>
      </c>
      <c r="AC460" s="7" t="n">
        <v>0</v>
      </c>
      <c r="AD460" s="6">
        <f>$T460*AC460</f>
        <v/>
      </c>
      <c r="AE460" s="7" t="n">
        <v>0</v>
      </c>
      <c r="AF460" s="6">
        <f>$T460*AE460</f>
        <v/>
      </c>
      <c r="AG460" s="7" t="n">
        <v>0</v>
      </c>
      <c r="AH460" s="6">
        <f>$T460*AG460</f>
        <v/>
      </c>
      <c r="AI460" s="7">
        <f>U460+W460+Y460+AA460+AC460+AE460+AG460</f>
        <v/>
      </c>
      <c r="AJ460" s="6">
        <f>V460+X460+Z460+AB460+AD460+AF460+AH460</f>
        <v/>
      </c>
    </row>
    <row r="461" hidden="1" ht="60" customHeight="1" s="46">
      <c r="A461" s="3" t="inlineStr">
        <is>
          <t>LOM252.OC.EEA.PA02.G7610.SB003.0005</t>
        </is>
      </c>
      <c r="B461" s="4" t="inlineStr">
        <is>
          <t>3/3</t>
        </is>
      </c>
      <c r="C461" s="3" t="inlineStr">
        <is>
          <t>IMPIANTO ELETTRICO</t>
        </is>
      </c>
      <c r="D461" s="4" t="inlineStr">
        <is>
          <t>NON SPECIALE</t>
        </is>
      </c>
      <c r="E461" s="4" t="inlineStr">
        <is>
          <t>ELETTRICHE</t>
        </is>
      </c>
      <c r="F461" s="3" t="inlineStr">
        <is>
          <t>3_CME IE RADIOFARMACIA PAVIA - REV02 VARIANTE ESECUTIVA.PDF</t>
        </is>
      </c>
      <c r="G461" s="4" t="inlineStr">
        <is>
          <t>162/162</t>
        </is>
      </c>
      <c r="H461" s="3" t="inlineStr">
        <is>
          <t>40 - IMPIANTISTICO</t>
        </is>
      </c>
      <c r="I461" s="3" t="inlineStr">
        <is>
          <t>RADIOFARMACIA</t>
        </is>
      </c>
      <c r="J461" s="3" t="inlineStr">
        <is>
          <t>IMPIANTO DI MESSA A TERRA</t>
        </is>
      </c>
      <c r="K461" s="3" t="inlineStr">
        <is>
          <t>OPERA: DISPERSORE, A CROCE DI LEGA FERROSA ACCIAIO ZINCATO; IMPIEGO: ALLACCIAMENTI DI CORDE, TONDI, PIATTI E FUNI; LUNGHEZZA [M] = 1,5 | LARGHEZZA SEZIONE [MM] = 50 | LUNGHEZZA SEZIONE [MM] = 50 | SPE</t>
        </is>
      </c>
      <c r="L461" s="3" t="inlineStr">
        <is>
          <t>OPERA: DISPERSORE, A CROCE DI LEGA FERROSA ACCIAIO ZINCATO; IMPIEGO: ALLACCIAMENTI DI CORDE, TONDI, PIATTI E FUNI; LUNGHEZZA [M] = 1,5 | LARGHEZZA SEZIONE [MM] = 50 | LUNGHEZZA SEZIONE [MM] = 50 | SPESSORE SEZIONE [MM] = 5. 
LAVORO: POSA. OP DISPERSORE, A CROCE DI LEGA FERROSA ACCIAIO ZINCATO; IMPIEGO: ALLACCIAMENTI DI CORDE, TONDI, PIATTI E FUNI; LUNGHEZZA [M] = 1,5 | LARGHEZZA SEZIONE [MM] = 50 | LUNGHEZZA SEZIONE [MM] = 50 | SPESSORE SEZIONE [MM] = 5. 
RM DISPERSORE A CROCE DI LEGA FERROSA ACCIAIO ZINCATO; IMPIEGO: ALLACCIAMENTI DI CORDE, TONDI, PIATTI E FUNI; LUNGHEZZA [M] = 1,5 | LARGHEZZA SEZIONE [MM] = 50 | LUNGHEZZA SEZIONE [MM] = 50 | SPESSORE SEZIONE [MM] = 5. COMPONENTE: BANDIERA,  
LV POSA.</t>
        </is>
      </c>
      <c r="M461" s="4" t="inlineStr">
        <is>
          <t>CAD</t>
        </is>
      </c>
      <c r="N461" s="5" t="n">
        <v>4</v>
      </c>
      <c r="O461" s="45" t="n">
        <v>59.29</v>
      </c>
      <c r="P461" s="45" t="n">
        <v>237.16</v>
      </c>
      <c r="Q461" s="5" t="n"/>
      <c r="R461" s="6" t="n"/>
      <c r="S461" s="6">
        <f>IF(AND(Q461&lt;&gt;"",R461&lt;&gt;""),Q461*R461,"")</f>
        <v/>
      </c>
      <c r="T461" s="45">
        <f>IF(S461="",P461,S461)</f>
        <v/>
      </c>
      <c r="U461" s="7" t="n">
        <v>0</v>
      </c>
      <c r="V461" s="6">
        <f>$T461*U461</f>
        <v/>
      </c>
      <c r="W461" s="7" t="n">
        <v>0</v>
      </c>
      <c r="X461" s="6">
        <f>$T461*W461</f>
        <v/>
      </c>
      <c r="Y461" s="7" t="n">
        <v>0</v>
      </c>
      <c r="Z461" s="6">
        <f>$T461*Y461</f>
        <v/>
      </c>
      <c r="AA461" s="7" t="n">
        <v>0</v>
      </c>
      <c r="AB461" s="6">
        <f>$T461*AA461</f>
        <v/>
      </c>
      <c r="AC461" s="7" t="n">
        <v>0</v>
      </c>
      <c r="AD461" s="6">
        <f>$T461*AC461</f>
        <v/>
      </c>
      <c r="AE461" s="7" t="n">
        <v>0</v>
      </c>
      <c r="AF461" s="6">
        <f>$T461*AE461</f>
        <v/>
      </c>
      <c r="AG461" s="7" t="n">
        <v>0</v>
      </c>
      <c r="AH461" s="6">
        <f>$T461*AG461</f>
        <v/>
      </c>
      <c r="AI461" s="7">
        <f>U461+W461+Y461+AA461+AC461+AE461+AG461</f>
        <v/>
      </c>
      <c r="AJ461" s="6">
        <f>V461+X461+Z461+AB461+AD461+AF461+AH461</f>
        <v/>
      </c>
    </row>
    <row r="462" hidden="1" ht="60" customHeight="1" s="46">
      <c r="A462" s="3" t="inlineStr">
        <is>
          <t>DEIELE251_075016D</t>
        </is>
      </c>
      <c r="B462" s="4" t="inlineStr">
        <is>
          <t>4/5</t>
        </is>
      </c>
      <c r="C462" s="3" t="inlineStr">
        <is>
          <t>IMPIANTO ELETTRICO</t>
        </is>
      </c>
      <c r="D462" s="4" t="inlineStr">
        <is>
          <t>NON SPECIALE</t>
        </is>
      </c>
      <c r="E462" s="4" t="inlineStr">
        <is>
          <t>ELETTRICHE</t>
        </is>
      </c>
      <c r="F462" s="3" t="inlineStr">
        <is>
          <t>3_CME IE RADIOFARMACIA PAVIA - REV02 VARIANTE ESECUTIVA.PDF</t>
        </is>
      </c>
      <c r="G462" s="4" t="inlineStr">
        <is>
          <t>163/163</t>
        </is>
      </c>
      <c r="H462" s="3" t="inlineStr">
        <is>
          <t>40 - IMPIANTISTICO</t>
        </is>
      </c>
      <c r="I462" s="3" t="inlineStr">
        <is>
          <t>RADIOFARMACIA</t>
        </is>
      </c>
      <c r="J462" s="3" t="inlineStr">
        <is>
          <t>IMPIANTO DI MESSA A TERRA</t>
        </is>
      </c>
      <c r="K462" s="3" t="inlineStr">
        <is>
          <t>BARRA EQUIPOTENZIALE INDUSTRIALE NUDA, CON VITERIA IN ACCIAIO INOSSIDABILE PER SERRAGGIO CAPICORDA, INSTALLATA A MURO COMPLETA DI ISOLATORI IN DUROPLASTICO ED ACCESSORI DI FISSAGGIO: IN ACCIAIO INOSSI</t>
        </is>
      </c>
      <c r="L462" s="3" t="inlineStr">
        <is>
          <t>BARRA EQUIPOTENZIALE INDUSTRIALE NUDA, CON VITERIA IN ACCIAIO INOSSIDABILE PER SERRAGGIO CAPICORDA, INSTALLATA A MURO COMPLETA DI ISOLATORI IN DUROPLASTICO ED ACCESSORI DI FISSAGGIO: IN ACCIAIO INOSSIDABILE, DIMENSIONI: 500 X 40 X 5 MM, PER 12 COLLEGAMENTI</t>
        </is>
      </c>
      <c r="M462" s="4" t="inlineStr">
        <is>
          <t>CAD</t>
        </is>
      </c>
      <c r="N462" s="5" t="n">
        <v>2</v>
      </c>
      <c r="O462" s="45" t="n">
        <v>142.3</v>
      </c>
      <c r="P462" s="45" t="n">
        <v>284.6</v>
      </c>
      <c r="Q462" s="5" t="n"/>
      <c r="R462" s="6" t="n"/>
      <c r="S462" s="6">
        <f>IF(AND(Q462&lt;&gt;"",R462&lt;&gt;""),Q462*R462,"")</f>
        <v/>
      </c>
      <c r="T462" s="45">
        <f>IF(S462="",P462,S462)</f>
        <v/>
      </c>
      <c r="U462" s="7" t="n">
        <v>0</v>
      </c>
      <c r="V462" s="6">
        <f>$T462*U462</f>
        <v/>
      </c>
      <c r="W462" s="7" t="n">
        <v>0</v>
      </c>
      <c r="X462" s="6">
        <f>$T462*W462</f>
        <v/>
      </c>
      <c r="Y462" s="7" t="n">
        <v>0</v>
      </c>
      <c r="Z462" s="6">
        <f>$T462*Y462</f>
        <v/>
      </c>
      <c r="AA462" s="7" t="n">
        <v>0</v>
      </c>
      <c r="AB462" s="6">
        <f>$T462*AA462</f>
        <v/>
      </c>
      <c r="AC462" s="7" t="n">
        <v>0</v>
      </c>
      <c r="AD462" s="6">
        <f>$T462*AC462</f>
        <v/>
      </c>
      <c r="AE462" s="7" t="n">
        <v>0</v>
      </c>
      <c r="AF462" s="6">
        <f>$T462*AE462</f>
        <v/>
      </c>
      <c r="AG462" s="7" t="n">
        <v>0</v>
      </c>
      <c r="AH462" s="6">
        <f>$T462*AG462</f>
        <v/>
      </c>
      <c r="AI462" s="7">
        <f>U462+W462+Y462+AA462+AC462+AE462+AG462</f>
        <v/>
      </c>
      <c r="AJ462" s="6">
        <f>V462+X462+Z462+AB462+AD462+AF462+AH462</f>
        <v/>
      </c>
    </row>
    <row r="463" hidden="1" ht="60" customHeight="1" s="46">
      <c r="A463" s="3" t="inlineStr">
        <is>
          <t>LOM252.OC.EEA.PA02.G7615.ZA001.0035</t>
        </is>
      </c>
      <c r="B463" s="4" t="inlineStr">
        <is>
          <t>1/1</t>
        </is>
      </c>
      <c r="C463" s="3" t="inlineStr">
        <is>
          <t>IMPIANTO ELETTRICO</t>
        </is>
      </c>
      <c r="D463" s="4" t="inlineStr">
        <is>
          <t>NON SPECIALE</t>
        </is>
      </c>
      <c r="E463" s="4" t="inlineStr">
        <is>
          <t>ELETTRICHE</t>
        </is>
      </c>
      <c r="F463" s="3" t="inlineStr">
        <is>
          <t>3_CME IE RADIOFARMACIA PAVIA - REV02 VARIANTE ESECUTIVA.PDF</t>
        </is>
      </c>
      <c r="G463" s="4" t="inlineStr">
        <is>
          <t>164/164</t>
        </is>
      </c>
      <c r="H463" s="3" t="inlineStr">
        <is>
          <t>40 - IMPIANTISTICO</t>
        </is>
      </c>
      <c r="I463" s="3" t="inlineStr">
        <is>
          <t>RADIOFARMACIA</t>
        </is>
      </c>
      <c r="J463" s="3" t="inlineStr">
        <is>
          <t>IMPIANTO DI MESSA A TERRA</t>
        </is>
      </c>
      <c r="K463" s="3" t="inlineStr">
        <is>
          <t xml:space="preserve">OPERA: PIASTRA EQUIPOTENZIALE. INCLUSO: CASSETTA DA INCASSO, MORSETTI IN OTTONE NICHELATO, 7 CONDUTTORI PER SEZIONI [MM²] ≤ 16. </t>
        </is>
      </c>
      <c r="L463" s="3" t="inlineStr">
        <is>
          <t>OPERA: PIASTRA EQUIPOTENZIALE. INCLUSO: CASSETTA DA INCASSO, MORSETTI IN OTTONE NICHELATO, 7 CONDUTTORI PER SEZIONI [MM²] ≤ 16. 
LAVORO: POSA. OP PIASTRA EQUIPOTENZIALE. INCLUSO: CASSETTA DA INCASSO, MORSETTI IN OTTONE NICHELATO, 7 CONDUTTORI PER SEZIONI [MM²] ≤ 16. 
RM PIASTRA EQUIPOTENZIALE. COMPONENTE: COLLEGAMENTO, . INCLUSO: CASSETTA DA INCASSO, MORSETTI IN OTTONE NICHELATO, 7 CONDUTTORI PER SEZIONI [MM²] &lt;= 16 
LV POSA.</t>
        </is>
      </c>
      <c r="M463" s="4" t="inlineStr">
        <is>
          <t>CAD</t>
        </is>
      </c>
      <c r="N463" s="5" t="n">
        <v>4</v>
      </c>
      <c r="O463" s="45" t="n">
        <v>118.59</v>
      </c>
      <c r="P463" s="45" t="n">
        <v>474.36</v>
      </c>
      <c r="Q463" s="5" t="n"/>
      <c r="R463" s="6" t="n"/>
      <c r="S463" s="6">
        <f>IF(AND(Q463&lt;&gt;"",R463&lt;&gt;""),Q463*R463,"")</f>
        <v/>
      </c>
      <c r="T463" s="45">
        <f>IF(S463="",P463,S463)</f>
        <v/>
      </c>
      <c r="U463" s="7" t="n">
        <v>0</v>
      </c>
      <c r="V463" s="6">
        <f>$T463*U463</f>
        <v/>
      </c>
      <c r="W463" s="7" t="n">
        <v>0</v>
      </c>
      <c r="X463" s="6">
        <f>$T463*W463</f>
        <v/>
      </c>
      <c r="Y463" s="7" t="n">
        <v>0</v>
      </c>
      <c r="Z463" s="6">
        <f>$T463*Y463</f>
        <v/>
      </c>
      <c r="AA463" s="7" t="n">
        <v>0</v>
      </c>
      <c r="AB463" s="6">
        <f>$T463*AA463</f>
        <v/>
      </c>
      <c r="AC463" s="7" t="n">
        <v>0</v>
      </c>
      <c r="AD463" s="6">
        <f>$T463*AC463</f>
        <v/>
      </c>
      <c r="AE463" s="7" t="n">
        <v>0</v>
      </c>
      <c r="AF463" s="6">
        <f>$T463*AE463</f>
        <v/>
      </c>
      <c r="AG463" s="7" t="n">
        <v>0</v>
      </c>
      <c r="AH463" s="6">
        <f>$T463*AG463</f>
        <v/>
      </c>
      <c r="AI463" s="7">
        <f>U463+W463+Y463+AA463+AC463+AE463+AG463</f>
        <v/>
      </c>
      <c r="AJ463" s="6">
        <f>V463+X463+Z463+AB463+AD463+AF463+AH463</f>
        <v/>
      </c>
    </row>
    <row r="464" hidden="1" ht="60" customHeight="1" s="46">
      <c r="A464" s="3" t="inlineStr">
        <is>
          <t>LOM252.OC.EEA.PA02.G7424.SC009.1285</t>
        </is>
      </c>
      <c r="B464" s="4" t="inlineStr">
        <is>
          <t>1/2</t>
        </is>
      </c>
      <c r="C464" s="3" t="inlineStr">
        <is>
          <t>IMPIANTO ELETTRICO</t>
        </is>
      </c>
      <c r="D464" s="4" t="inlineStr">
        <is>
          <t>NON SPECIALE</t>
        </is>
      </c>
      <c r="E464" s="4" t="inlineStr">
        <is>
          <t>ELETTRICHE</t>
        </is>
      </c>
      <c r="F464" s="3" t="inlineStr">
        <is>
          <t>3_CME IE RADIOFARMACIA PAVIA - REV02 VARIANTE ESECUTIVA.PDF</t>
        </is>
      </c>
      <c r="G464" s="4" t="inlineStr">
        <is>
          <t>165/165</t>
        </is>
      </c>
      <c r="H464" s="3" t="inlineStr">
        <is>
          <t>40 - IMPIANTISTICO</t>
        </is>
      </c>
      <c r="I464" s="3" t="inlineStr">
        <is>
          <t>RADIOFARMACIA</t>
        </is>
      </c>
      <c r="J464" s="3" t="inlineStr">
        <is>
          <t>IMPIANTO DI MESSA A TERRA</t>
        </is>
      </c>
      <c r="K464" s="3" t="inlineStr">
        <is>
          <t xml:space="preserve">OPERA: CAVO, FG17 DI LEGA RAME RICOTTO; GEOMETRIA: FLESSIBILE; SEZIONE NOMINALE [MM²] = 35; TENSIONE NOMINALE [KV] = 450/750; N° POLI [-] = 1P. </t>
        </is>
      </c>
      <c r="L464" s="3" t="inlineStr">
        <is>
          <t>OPERA: CAVO, FG17 DI LEGA RAME RICOTTO; GEOMETRIA: FLESSIBILE; SEZIONE NOMINALE [MM²] = 35; TENSIONE NOMINALE [KV] = 450/750; N° POLI [-] = 1P. 
LAVORO: POSA. OP CAVO, FG17 DI LEGA RAME RICOTTO; GEOMETRIA: FLESSIBILE; SEZIONE NOMINALE [MM²] = 35; TENSIONE NOMINALE UO/U [KV] = 450/750; N° POLI [-] = 1P. 
RM CAVO FG17 DI LEGA RAME RICOTTO; GEOMETRIA: FLESSIBILE; SEZIONE NOMINALE [MM²] = 35; TENSIONE NOMINALE UO/U [KV] = 450/750; N° POLI [-] = 1P. COMPONENTE: ISOLANTE,  
LV POSA.
[DIMENSIONI: 1,00 25,00]</t>
        </is>
      </c>
      <c r="M464" s="4" t="inlineStr">
        <is>
          <t>M</t>
        </is>
      </c>
      <c r="N464" s="5" t="n">
        <v>25</v>
      </c>
      <c r="O464" s="45" t="n">
        <v>9.9</v>
      </c>
      <c r="P464" s="45" t="n">
        <v>247.5</v>
      </c>
      <c r="Q464" s="5" t="n"/>
      <c r="R464" s="6" t="n"/>
      <c r="S464" s="6">
        <f>IF(AND(Q464&lt;&gt;"",R464&lt;&gt;""),Q464*R464,"")</f>
        <v/>
      </c>
      <c r="T464" s="45">
        <f>IF(S464="",P464,S464)</f>
        <v/>
      </c>
      <c r="U464" s="7" t="n">
        <v>0</v>
      </c>
      <c r="V464" s="6">
        <f>$T464*U464</f>
        <v/>
      </c>
      <c r="W464" s="7" t="n">
        <v>0</v>
      </c>
      <c r="X464" s="6">
        <f>$T464*W464</f>
        <v/>
      </c>
      <c r="Y464" s="7" t="n">
        <v>0</v>
      </c>
      <c r="Z464" s="6">
        <f>$T464*Y464</f>
        <v/>
      </c>
      <c r="AA464" s="7" t="n">
        <v>0</v>
      </c>
      <c r="AB464" s="6">
        <f>$T464*AA464</f>
        <v/>
      </c>
      <c r="AC464" s="7" t="n">
        <v>0</v>
      </c>
      <c r="AD464" s="6">
        <f>$T464*AC464</f>
        <v/>
      </c>
      <c r="AE464" s="7" t="n">
        <v>0</v>
      </c>
      <c r="AF464" s="6">
        <f>$T464*AE464</f>
        <v/>
      </c>
      <c r="AG464" s="7" t="n">
        <v>0</v>
      </c>
      <c r="AH464" s="6">
        <f>$T464*AG464</f>
        <v/>
      </c>
      <c r="AI464" s="7">
        <f>U464+W464+Y464+AA464+AC464+AE464+AG464</f>
        <v/>
      </c>
      <c r="AJ464" s="6">
        <f>V464+X464+Z464+AB464+AD464+AF464+AH464</f>
        <v/>
      </c>
    </row>
    <row r="465" hidden="1" ht="60" customHeight="1" s="46">
      <c r="A465" s="3" t="inlineStr">
        <is>
          <t>LOM252.OC.EEA.PA02.G7424.SC009.1290</t>
        </is>
      </c>
      <c r="B465" s="4" t="inlineStr">
        <is>
          <t>1/1</t>
        </is>
      </c>
      <c r="C465" s="3" t="inlineStr">
        <is>
          <t>IMPIANTO ELETTRICO</t>
        </is>
      </c>
      <c r="D465" s="4" t="inlineStr">
        <is>
          <t>NON SPECIALE</t>
        </is>
      </c>
      <c r="E465" s="4" t="inlineStr">
        <is>
          <t>ELETTRICHE</t>
        </is>
      </c>
      <c r="F465" s="3" t="inlineStr">
        <is>
          <t>3_CME IE RADIOFARMACIA PAVIA - REV02 VARIANTE ESECUTIVA.PDF</t>
        </is>
      </c>
      <c r="G465" s="4" t="inlineStr">
        <is>
          <t>166/166</t>
        </is>
      </c>
      <c r="H465" s="3" t="inlineStr">
        <is>
          <t>40 - IMPIANTISTICO</t>
        </is>
      </c>
      <c r="I465" s="3" t="inlineStr">
        <is>
          <t>RADIOFARMACIA</t>
        </is>
      </c>
      <c r="J465" s="3" t="inlineStr">
        <is>
          <t>IMPIANTO DI MESSA A TERRA</t>
        </is>
      </c>
      <c r="K465" s="3" t="inlineStr">
        <is>
          <t xml:space="preserve">OPERA: CAVO, FG17 DI LEGA RAME RICOTTO; GEOMETRIA: FLESSIBILE; SEZIONE NOMINALE [MM²] = 50; TENSIONE NOMINALE [KV] = 450/750; N° POLI [-] = 1P. </t>
        </is>
      </c>
      <c r="L465" s="3" t="inlineStr">
        <is>
          <t>OPERA: CAVO, FG17 DI LEGA RAME RICOTTO; GEOMETRIA: FLESSIBILE; SEZIONE NOMINALE [MM²] = 50; TENSIONE NOMINALE [KV] = 450/750; N° POLI [-] = 1P. 
LAVORO: POSA. OP CAVO, FG17 DI LEGA RAME RICOTTO; GEOMETRIA: FLESSIBILE; SEZIONE NOMINALE [MM²] = 50; TENSIONE NOMINALE UO/U [KV] = 450/750; N° POLI [-] = 1P. 
RM CAVO FG17 DI LEGA RAME RICOTTO; GEOMETRIA: FLESSIBILE; SEZIONE NOMINALE [MM²] = 50; TENSIONE NOMINALE UO/U [KV] = 450/750; N° POLI [-] = 1P. COMPONENTE: ISOLANTE,  
LV POSA.
[DIMENSIONI: 1,00 30,00]</t>
        </is>
      </c>
      <c r="M465" s="4" t="inlineStr">
        <is>
          <t>M</t>
        </is>
      </c>
      <c r="N465" s="5" t="n">
        <v>30</v>
      </c>
      <c r="O465" s="45" t="n">
        <v>12.98</v>
      </c>
      <c r="P465" s="45" t="n">
        <v>389.4</v>
      </c>
      <c r="Q465" s="5" t="n"/>
      <c r="R465" s="6" t="n"/>
      <c r="S465" s="6">
        <f>IF(AND(Q465&lt;&gt;"",R465&lt;&gt;""),Q465*R465,"")</f>
        <v/>
      </c>
      <c r="T465" s="45">
        <f>IF(S465="",P465,S465)</f>
        <v/>
      </c>
      <c r="U465" s="7" t="n">
        <v>0</v>
      </c>
      <c r="V465" s="6">
        <f>$T465*U465</f>
        <v/>
      </c>
      <c r="W465" s="7" t="n">
        <v>0</v>
      </c>
      <c r="X465" s="6">
        <f>$T465*W465</f>
        <v/>
      </c>
      <c r="Y465" s="7" t="n">
        <v>0</v>
      </c>
      <c r="Z465" s="6">
        <f>$T465*Y465</f>
        <v/>
      </c>
      <c r="AA465" s="7" t="n">
        <v>0</v>
      </c>
      <c r="AB465" s="6">
        <f>$T465*AA465</f>
        <v/>
      </c>
      <c r="AC465" s="7" t="n">
        <v>0</v>
      </c>
      <c r="AD465" s="6">
        <f>$T465*AC465</f>
        <v/>
      </c>
      <c r="AE465" s="7" t="n">
        <v>0</v>
      </c>
      <c r="AF465" s="6">
        <f>$T465*AE465</f>
        <v/>
      </c>
      <c r="AG465" s="7" t="n">
        <v>0</v>
      </c>
      <c r="AH465" s="6">
        <f>$T465*AG465</f>
        <v/>
      </c>
      <c r="AI465" s="7">
        <f>U465+W465+Y465+AA465+AC465+AE465+AG465</f>
        <v/>
      </c>
      <c r="AJ465" s="6">
        <f>V465+X465+Z465+AB465+AD465+AF465+AH465</f>
        <v/>
      </c>
    </row>
    <row r="466" hidden="1" ht="60" customHeight="1" s="46">
      <c r="A466" s="3" t="inlineStr">
        <is>
          <t>LOM252.OC.EEA.PA02.G7424.SC009.1300</t>
        </is>
      </c>
      <c r="B466" s="4" t="inlineStr">
        <is>
          <t>2/2</t>
        </is>
      </c>
      <c r="C466" s="3" t="inlineStr">
        <is>
          <t>IMPIANTO ELETTRICO</t>
        </is>
      </c>
      <c r="D466" s="4" t="inlineStr">
        <is>
          <t>NON SPECIALE</t>
        </is>
      </c>
      <c r="E466" s="4" t="inlineStr">
        <is>
          <t>ELETTRICHE</t>
        </is>
      </c>
      <c r="F466" s="3" t="inlineStr">
        <is>
          <t>3_CME IE RADIOFARMACIA PAVIA - REV02 VARIANTE ESECUTIVA.PDF</t>
        </is>
      </c>
      <c r="G466" s="4" t="inlineStr">
        <is>
          <t>167/167</t>
        </is>
      </c>
      <c r="H466" s="3" t="inlineStr">
        <is>
          <t>40 - IMPIANTISTICO</t>
        </is>
      </c>
      <c r="I466" s="3" t="inlineStr">
        <is>
          <t>RADIOFARMACIA</t>
        </is>
      </c>
      <c r="J466" s="3" t="inlineStr">
        <is>
          <t>IMPIANTO DI MESSA A TERRA</t>
        </is>
      </c>
      <c r="K466" s="3" t="inlineStr">
        <is>
          <t xml:space="preserve">OPERA: CAVO, FG17 DI LEGA RAME RICOTTO; GEOMETRIA: FLESSIBILE; SEZIONE NOMINALE [MM²] = 95; TENSIONE NOMINALE [KV] = 450/750; N° POLI [-] = 1P. </t>
        </is>
      </c>
      <c r="L466" s="3" t="inlineStr">
        <is>
          <t>OPERA: CAVO, FG17 DI LEGA RAME RICOTTO; GEOMETRIA: FLESSIBILE; SEZIONE NOMINALE [MM²] = 95; TENSIONE NOMINALE [KV] = 450/750; N° POLI [-] = 1P. 
LAVORO: POSA. OP CAVO, FG17 DI LEGA RAME RICOTTO; GEOMETRIA: FLESSIBILE; SEZIONE NOMINALE [MM²] = 95; TENSIONE NOMINALE UO/U [KV] = 450/750; N° POLI [-] = 1P. 
RM CAVO FG17 DI LEGA RAME RICOTTO; GEOMETRIA: FLESSIBILE; SEZIONE NOMINALE [MM²] = 95; TENSIONE NOMINALE UO/U [KV] = 450/750; N° POLI [-] = 1P. COMPONENTE: ISOLANTE,  
LV POSA.
[DIMENSIONI: 1,00 25,00]</t>
        </is>
      </c>
      <c r="M466" s="4" t="inlineStr">
        <is>
          <t>M</t>
        </is>
      </c>
      <c r="N466" s="5" t="n">
        <v>25</v>
      </c>
      <c r="O466" s="45" t="n">
        <v>23.37</v>
      </c>
      <c r="P466" s="45" t="n">
        <v>584.25</v>
      </c>
      <c r="Q466" s="5" t="n"/>
      <c r="R466" s="6" t="n"/>
      <c r="S466" s="6">
        <f>IF(AND(Q466&lt;&gt;"",R466&lt;&gt;""),Q466*R466,"")</f>
        <v/>
      </c>
      <c r="T466" s="45">
        <f>IF(S466="",P466,S466)</f>
        <v/>
      </c>
      <c r="U466" s="7" t="n">
        <v>0</v>
      </c>
      <c r="V466" s="6">
        <f>$T466*U466</f>
        <v/>
      </c>
      <c r="W466" s="7" t="n">
        <v>0</v>
      </c>
      <c r="X466" s="6">
        <f>$T466*W466</f>
        <v/>
      </c>
      <c r="Y466" s="7" t="n">
        <v>0</v>
      </c>
      <c r="Z466" s="6">
        <f>$T466*Y466</f>
        <v/>
      </c>
      <c r="AA466" s="7" t="n">
        <v>0</v>
      </c>
      <c r="AB466" s="6">
        <f>$T466*AA466</f>
        <v/>
      </c>
      <c r="AC466" s="7" t="n">
        <v>0</v>
      </c>
      <c r="AD466" s="6">
        <f>$T466*AC466</f>
        <v/>
      </c>
      <c r="AE466" s="7" t="n">
        <v>0</v>
      </c>
      <c r="AF466" s="6">
        <f>$T466*AE466</f>
        <v/>
      </c>
      <c r="AG466" s="7" t="n">
        <v>0</v>
      </c>
      <c r="AH466" s="6">
        <f>$T466*AG466</f>
        <v/>
      </c>
      <c r="AI466" s="7">
        <f>U466+W466+Y466+AA466+AC466+AE466+AG466</f>
        <v/>
      </c>
      <c r="AJ466" s="6">
        <f>V466+X466+Z466+AB466+AD466+AF466+AH466</f>
        <v/>
      </c>
    </row>
    <row r="467" hidden="1" ht="60" customHeight="1" s="46">
      <c r="A467" s="3" t="inlineStr">
        <is>
          <t>LOM252.OC.EEA.PA02.G7415.SB003.0010.A</t>
        </is>
      </c>
      <c r="B467" s="4" t="inlineStr">
        <is>
          <t>1/1</t>
        </is>
      </c>
      <c r="C467" s="3" t="inlineStr">
        <is>
          <t>IMPIANTO ELETTRICO</t>
        </is>
      </c>
      <c r="D467" s="4" t="inlineStr">
        <is>
          <t>NON SPECIALE</t>
        </is>
      </c>
      <c r="E467" s="4" t="inlineStr">
        <is>
          <t>ELETTRICHE</t>
        </is>
      </c>
      <c r="F467" s="3" t="inlineStr">
        <is>
          <t>3_CME IE RADIOFARMACIA PAVIA - REV02 VARIANTE ESECUTIVA.PDF</t>
        </is>
      </c>
      <c r="G467" s="4" t="inlineStr">
        <is>
          <t>168/168</t>
        </is>
      </c>
      <c r="H467" s="3" t="inlineStr">
        <is>
          <t>40 - IMPIANTISTICO</t>
        </is>
      </c>
      <c r="I467" s="3" t="inlineStr">
        <is>
          <t>RADIOFARMACIA</t>
        </is>
      </c>
      <c r="J467" s="3" t="inlineStr">
        <is>
          <t>DISTRIBUZIONE PRINCIPALE BT</t>
        </is>
      </c>
      <c r="K467" s="3" t="inlineStr">
        <is>
          <t>OPERA: PASSERELLA DI LEGA FERROSA ACCIAIO ZINCATO; GEOMETRIA: LAMIERA | ASOLATA | BORDI RIPIEGATI; FUNZIONE: PORTACAVI; ALTEZZA [MM] = 80 | LARGHEZZA [MM] = 100. INCLUSO: ACCESSORI DI MONTAGGIO, ACCES</t>
        </is>
      </c>
      <c r="L467" s="3" t="inlineStr">
        <is>
          <t>OPERA: PASSERELLA DI LEGA FERROSA ACCIAIO ZINCATO; GEOMETRIA: LAMIERA | ASOLATA | BORDI RIPIEGATI; FUNZIONE: PORTACAVI; ALTEZZA [MM] = 80 | LARGHEZZA [MM] = 100. INCLUSO: ACCESSORI DI MONTAGGIO, ACCESSORI DI FISSAGGIO. 
LAVORO: POSA. OP PASSERELLA DI LEGA FERROSA ACCIAIO ZINCATO; GEOMETRIA: LAMIERA | ASOLATA | BORDI RIPIEGATI; FUNZIONE: PORTACAVI; ALTEZZA [MM] = 80 | LARGHEZZA [MM] = 100. INCLUSO: ACCESSORI DI MONTAGGIO, ACCESSORI DI FISSAGGIO. 
RM PASSERELLA DI LEGA FERROSA ACCIAIO ZINCATO; GEOMETRIA: LAMIERA | ASOLATA | BORDI RIPIEGATI; FUNZIONE: PORTACAVI; ALTEZZA [MM] = 80 | LARGHEZZA [MM] = 100. INCLUSO: ACCESSORI DI MONTAGGIO, ACCESSORI DI FISSAGGIO 
LV POSA.
[DIMENSIONI: 25,00 | 5,00]</t>
        </is>
      </c>
      <c r="M467" s="4" t="inlineStr">
        <is>
          <t>M</t>
        </is>
      </c>
      <c r="N467" s="5" t="n">
        <v>30</v>
      </c>
      <c r="O467" s="45" t="n">
        <v>41.56</v>
      </c>
      <c r="P467" s="45" t="n">
        <v>1246.8</v>
      </c>
      <c r="Q467" s="5" t="n"/>
      <c r="R467" s="6" t="n"/>
      <c r="S467" s="6">
        <f>IF(AND(Q467&lt;&gt;"",R467&lt;&gt;""),Q467*R467,"")</f>
        <v/>
      </c>
      <c r="T467" s="45">
        <f>IF(S467="",P467,S467)</f>
        <v/>
      </c>
      <c r="U467" s="7" t="n">
        <v>0</v>
      </c>
      <c r="V467" s="6">
        <f>$T467*U467</f>
        <v/>
      </c>
      <c r="W467" s="7" t="n">
        <v>0</v>
      </c>
      <c r="X467" s="6">
        <f>$T467*W467</f>
        <v/>
      </c>
      <c r="Y467" s="7" t="n">
        <v>0</v>
      </c>
      <c r="Z467" s="6">
        <f>$T467*Y467</f>
        <v/>
      </c>
      <c r="AA467" s="7" t="n">
        <v>0</v>
      </c>
      <c r="AB467" s="6">
        <f>$T467*AA467</f>
        <v/>
      </c>
      <c r="AC467" s="7" t="n">
        <v>0</v>
      </c>
      <c r="AD467" s="6">
        <f>$T467*AC467</f>
        <v/>
      </c>
      <c r="AE467" s="7" t="n">
        <v>0</v>
      </c>
      <c r="AF467" s="6">
        <f>$T467*AE467</f>
        <v/>
      </c>
      <c r="AG467" s="7" t="n">
        <v>0</v>
      </c>
      <c r="AH467" s="6">
        <f>$T467*AG467</f>
        <v/>
      </c>
      <c r="AI467" s="7">
        <f>U467+W467+Y467+AA467+AC467+AE467+AG467</f>
        <v/>
      </c>
      <c r="AJ467" s="6">
        <f>V467+X467+Z467+AB467+AD467+AF467+AH467</f>
        <v/>
      </c>
    </row>
    <row r="468" ht="60" customHeight="1" s="46">
      <c r="A468" s="3" t="inlineStr">
        <is>
          <t>LOM252.OC.EEA.PA02.G7415.SB003.0010.C</t>
        </is>
      </c>
      <c r="B468" s="4" t="inlineStr">
        <is>
          <t>1/1</t>
        </is>
      </c>
      <c r="C468" s="3" t="inlineStr">
        <is>
          <t>IMPIANTO ELETTRICO</t>
        </is>
      </c>
      <c r="D468" s="4" t="inlineStr">
        <is>
          <t>NON SPECIALE</t>
        </is>
      </c>
      <c r="E468" s="4" t="inlineStr">
        <is>
          <t>ELETTRICHE</t>
        </is>
      </c>
      <c r="F468" s="3" t="inlineStr">
        <is>
          <t>3_CME IE RADIOFARMACIA PAVIA - REV02 VARIANTE ESECUTIVA.PDF</t>
        </is>
      </c>
      <c r="G468" s="4" t="inlineStr">
        <is>
          <t>169/169</t>
        </is>
      </c>
      <c r="H468" s="3" t="inlineStr">
        <is>
          <t>40 - IMPIANTISTICO</t>
        </is>
      </c>
      <c r="I468" s="3" t="inlineStr">
        <is>
          <t>RADIOFARMACIA</t>
        </is>
      </c>
      <c r="J468" s="3" t="inlineStr">
        <is>
          <t>DISTRIBUZIONE PRINCIPALE BT</t>
        </is>
      </c>
      <c r="K468" s="3" t="inlineStr">
        <is>
          <t>OPERA: PASSERELLA DI LEGA FERROSA ACCIAIO ZINCATO; GEOMETRIA: LAMIERA | ASOLATA | BORDI RIPIEGATI; FUNZIONE: PORTACAVI; ALTEZZA [MM] = 80 | LARGHEZZA [MM] = 200. INCLUSO: ACCESSORI DI MONTAGGIO, ACCES</t>
        </is>
      </c>
      <c r="L468" s="3" t="inlineStr">
        <is>
          <t>OPERA: PASSERELLA DI LEGA FERROSA ACCIAIO ZINCATO; GEOMETRIA: LAMIERA | ASOLATA | BORDI RIPIEGATI; FUNZIONE: PORTACAVI; ALTEZZA [MM] = 80 | LARGHEZZA [MM] = 200. INCLUSO: ACCESSORI DI MONTAGGIO, ACCESSORI DI FISSAGGIO. 
LAVORO: POSA. OP PASSERELLA DI LEGA FERROSA ACCIAIO ZINCATO; GEOMETRIA: LAMIERA | ASOLATA | BORDI RIPIEGATI; FUNZIONE: PORTACAVI; ALTEZZA [MM] = 80 | LARGHEZZA [MM] = 200. INCLUSO: ACCESSORI DI MONTAGGIO, ACCESSORI DI FISSAGGIO. 
RM PASSERELLA DI LEGA FERROSA ACCIAIO ZINCATO; GEOMETRIA: LAMIERA | ASOLATA | BORDI RIPIEGATI; FUNZIONE: PORTACAVI; ALTEZZA [MM] = 80 | LARGHEZZA [MM] = 200. INCLUSO: ACCESSORI DI MONTAGGIO, ACCESSORI DI FISSAGGIO 
LV POSA.
[DIMENSIONI: 50,00 | 60,00 | 20,00 | 110,00 | -20,00 | 70,00 | 30,00]</t>
        </is>
      </c>
      <c r="M468" s="4" t="inlineStr">
        <is>
          <t>M</t>
        </is>
      </c>
      <c r="N468" s="5" t="n">
        <v>320</v>
      </c>
      <c r="O468" s="45" t="n">
        <v>56.61</v>
      </c>
      <c r="P468" s="45" t="n">
        <v>18115.2</v>
      </c>
      <c r="Q468" s="5" t="n"/>
      <c r="R468" s="6" t="n"/>
      <c r="S468" s="6">
        <f>IF(AND(Q468&lt;&gt;"",R468&lt;&gt;""),Q468*R468,"")</f>
        <v/>
      </c>
      <c r="T468" s="45">
        <f>IF(S468="",P468,S468)</f>
        <v/>
      </c>
      <c r="U468" s="7" t="n">
        <v>0</v>
      </c>
      <c r="V468" s="6">
        <f>$T468*U468</f>
        <v/>
      </c>
      <c r="W468" s="7" t="n">
        <v>0.4</v>
      </c>
      <c r="X468" s="6">
        <f>$T468*W468</f>
        <v/>
      </c>
      <c r="Y468" s="7" t="n">
        <v>0</v>
      </c>
      <c r="Z468" s="6">
        <f>$T468*Y468</f>
        <v/>
      </c>
      <c r="AA468" s="7" t="n">
        <v>0</v>
      </c>
      <c r="AB468" s="6">
        <f>$T468*AA468</f>
        <v/>
      </c>
      <c r="AC468" s="7" t="n">
        <v>0</v>
      </c>
      <c r="AD468" s="6">
        <f>$T468*AC468</f>
        <v/>
      </c>
      <c r="AE468" s="7" t="n">
        <v>0</v>
      </c>
      <c r="AF468" s="6">
        <f>$T468*AE468</f>
        <v/>
      </c>
      <c r="AG468" s="7" t="n">
        <v>0</v>
      </c>
      <c r="AH468" s="6">
        <f>$T468*AG468</f>
        <v/>
      </c>
      <c r="AI468" s="7">
        <f>U468+W468+Y468+AA468+AC468+AE468+AG468</f>
        <v/>
      </c>
      <c r="AJ468" s="6">
        <f>V468+X468+Z468+AB468+AD468+AF468+AH468</f>
        <v/>
      </c>
    </row>
    <row r="469" ht="60" customHeight="1" s="46">
      <c r="A469" s="3" t="inlineStr">
        <is>
          <t>LOM252.OC.EEA.PA02.G7415.SB003.0010.E</t>
        </is>
      </c>
      <c r="B469" s="4" t="inlineStr">
        <is>
          <t>1/1</t>
        </is>
      </c>
      <c r="C469" s="3" t="inlineStr">
        <is>
          <t>IMPIANTO ELETTRICO</t>
        </is>
      </c>
      <c r="D469" s="4" t="inlineStr">
        <is>
          <t>NON SPECIALE</t>
        </is>
      </c>
      <c r="E469" s="4" t="inlineStr">
        <is>
          <t>ELETTRICHE</t>
        </is>
      </c>
      <c r="F469" s="3" t="inlineStr">
        <is>
          <t>3_CME IE RADIOFARMACIA PAVIA - REV02 VARIANTE ESECUTIVA.PDF</t>
        </is>
      </c>
      <c r="G469" s="4" t="inlineStr">
        <is>
          <t>170/170</t>
        </is>
      </c>
      <c r="H469" s="3" t="inlineStr">
        <is>
          <t>40 - IMPIANTISTICO</t>
        </is>
      </c>
      <c r="I469" s="3" t="inlineStr">
        <is>
          <t>RADIOFARMACIA</t>
        </is>
      </c>
      <c r="J469" s="3" t="inlineStr">
        <is>
          <t>DISTRIBUZIONE PRINCIPALE BT</t>
        </is>
      </c>
      <c r="K469" s="3" t="inlineStr">
        <is>
          <t>OPERA: PASSERELLA DI LEGA FERROSA ACCIAIO ZINCATO; GEOMETRIA: LAMIERA | ASOLATA | BORDI RIPIEGATI; FUNZIONE: PORTACAVI; ALTEZZA [MM] = 80 | LARGHEZZA [MM] = 300. INCLUSO: ACCESSORI DI MONTAGGIO, ACCES</t>
        </is>
      </c>
      <c r="L469" s="3" t="inlineStr">
        <is>
          <t>OPERA: PASSERELLA DI LEGA FERROSA ACCIAIO ZINCATO; GEOMETRIA: LAMIERA | ASOLATA | BORDI RIPIEGATI; FUNZIONE: PORTACAVI; ALTEZZA [MM] = 80 | LARGHEZZA [MM] = 300. INCLUSO: ACCESSORI DI MONTAGGIO, ACCESSORI DI FISSAGGIO. 
LAVORO: POSA. OP PASSERELLA DI LEGA FERROSA ACCIAIO ZINCATO; GEOMETRIA: LAMIERA | ASOLATA | BORDI RIPIEGATI; FUNZIONE: PORTACAVI; ALTEZZA [MM] = 80 | LARGHEZZA [MM] = 300. INCLUSO: ACCESSORI DI MONTAGGIO, ACCESSORI DI FISSAGGIO. 
RM PASSERELLA DI LEGA FERROSA ACCIAIO ZINCATO; GEOMETRIA: LAMIERA | ASOLATA | BORDI RIPIEGATI; FUNZIONE: PORTACAVI; ALTEZZA [MM] = 80 | LARGHEZZA [MM] = 300. INCLUSO: ACCESSORI DI MONTAGGIO, ACCESSORI DI FISSAGGIO 
LV POSA.
[DIMENSIONI: 70,00 | -20,00 | 35,00 | 30,00 | 10,00 | 15,00]</t>
        </is>
      </c>
      <c r="M469" s="4" t="inlineStr">
        <is>
          <t>M</t>
        </is>
      </c>
      <c r="N469" s="5" t="n">
        <v>140</v>
      </c>
      <c r="O469" s="45" t="n">
        <v>65.84999999999999</v>
      </c>
      <c r="P469" s="45" t="n">
        <v>9219</v>
      </c>
      <c r="Q469" s="5" t="n"/>
      <c r="R469" s="6" t="n"/>
      <c r="S469" s="6">
        <f>IF(AND(Q469&lt;&gt;"",R469&lt;&gt;""),Q469*R469,"")</f>
        <v/>
      </c>
      <c r="T469" s="45">
        <f>IF(S469="",P469,S469)</f>
        <v/>
      </c>
      <c r="U469" s="7" t="n">
        <v>0</v>
      </c>
      <c r="V469" s="6">
        <f>$T469*U469</f>
        <v/>
      </c>
      <c r="W469" s="7" t="n">
        <v>0.4</v>
      </c>
      <c r="X469" s="6">
        <f>$T469*W469</f>
        <v/>
      </c>
      <c r="Y469" s="7" t="n">
        <v>0</v>
      </c>
      <c r="Z469" s="6">
        <f>$T469*Y469</f>
        <v/>
      </c>
      <c r="AA469" s="7" t="n">
        <v>0</v>
      </c>
      <c r="AB469" s="6">
        <f>$T469*AA469</f>
        <v/>
      </c>
      <c r="AC469" s="7" t="n">
        <v>0</v>
      </c>
      <c r="AD469" s="6">
        <f>$T469*AC469</f>
        <v/>
      </c>
      <c r="AE469" s="7" t="n">
        <v>0</v>
      </c>
      <c r="AF469" s="6">
        <f>$T469*AE469</f>
        <v/>
      </c>
      <c r="AG469" s="7" t="n">
        <v>0</v>
      </c>
      <c r="AH469" s="6">
        <f>$T469*AG469</f>
        <v/>
      </c>
      <c r="AI469" s="7">
        <f>U469+W469+Y469+AA469+AC469+AE469+AG469</f>
        <v/>
      </c>
      <c r="AJ469" s="6">
        <f>V469+X469+Z469+AB469+AD469+AF469+AH469</f>
        <v/>
      </c>
    </row>
    <row r="470" ht="60" customHeight="1" s="46">
      <c r="A470" s="3" t="inlineStr">
        <is>
          <t>LOM252.OC.EEA.PA02.G7415.SB003.0010.F</t>
        </is>
      </c>
      <c r="B470" s="4" t="inlineStr">
        <is>
          <t>1/1</t>
        </is>
      </c>
      <c r="C470" s="3" t="inlineStr">
        <is>
          <t>IMPIANTO ELETTRICO</t>
        </is>
      </c>
      <c r="D470" s="4" t="inlineStr">
        <is>
          <t>NON SPECIALE</t>
        </is>
      </c>
      <c r="E470" s="4" t="inlineStr">
        <is>
          <t>ELETTRICHE</t>
        </is>
      </c>
      <c r="F470" s="3" t="inlineStr">
        <is>
          <t>3_CME IE RADIOFARMACIA PAVIA - REV02 VARIANTE ESECUTIVA.PDF</t>
        </is>
      </c>
      <c r="G470" s="4" t="inlineStr">
        <is>
          <t>171/171</t>
        </is>
      </c>
      <c r="H470" s="3" t="inlineStr">
        <is>
          <t>40 - IMPIANTISTICO</t>
        </is>
      </c>
      <c r="I470" s="3" t="inlineStr">
        <is>
          <t>RADIOFARMACIA</t>
        </is>
      </c>
      <c r="J470" s="3" t="inlineStr">
        <is>
          <t>DISTRIBUZIONE PRINCIPALE BT</t>
        </is>
      </c>
      <c r="K470" s="3" t="inlineStr">
        <is>
          <t>OPERA: PASSERELLA DI LEGA FERROSA ACCIAIO ZINCATO; GEOMETRIA: LAMIERA | ASOLATA | BORDI RIPIEGATI; FUNZIONE: PORTACAVI; ALTEZZA [MM] = 80 | LARGHEZZA [MM] = 400. INCLUSO: ACCESSORI DI MONTAGGIO, ACCES</t>
        </is>
      </c>
      <c r="L470" s="3" t="inlineStr">
        <is>
          <t>OPERA: PASSERELLA DI LEGA FERROSA ACCIAIO ZINCATO; GEOMETRIA: LAMIERA | ASOLATA | BORDI RIPIEGATI; FUNZIONE: PORTACAVI; ALTEZZA [MM] = 80 | LARGHEZZA [MM] = 400. INCLUSO: ACCESSORI DI MONTAGGIO, ACCESSORI DI FISSAGGIO. 
LAVORO: POSA. OP PASSERELLA DI LEGA FERROSA ACCIAIO ZINCATO; GEOMETRIA: LAMIERA | ASOLATA | BORDI RIPIEGATI; FUNZIONE: PORTACAVI; ALTEZZA [MM] = 80 | LARGHEZZA [MM] = 400. INCLUSO: ACCESSORI DI MONTAGGIO, ACCESSORI DI FISSAGGIO. 
RM PASSERELLA DI LEGA FERROSA ACCIAIO ZINCATO; GEOMETRIA: LAMIERA | ASOLATA | BORDI RIPIEGATI; FUNZIONE: PORTACAVI; ALTEZZA [MM] = 80 | LARGHEZZA [MM] = 400. INCLUSO: ACCESSORI DI MONTAGGIO, ACCESSORI DI FISSAGGIO 
LV POSA.
[DIMENSIONI: 30,00 | 5,00 | 15,00]</t>
        </is>
      </c>
      <c r="M470" s="4" t="inlineStr">
        <is>
          <t>M</t>
        </is>
      </c>
      <c r="N470" s="5" t="n">
        <v>50</v>
      </c>
      <c r="O470" s="45" t="n">
        <v>87.66</v>
      </c>
      <c r="P470" s="45" t="n">
        <v>4383</v>
      </c>
      <c r="Q470" s="5" t="n"/>
      <c r="R470" s="6" t="n"/>
      <c r="S470" s="6">
        <f>IF(AND(Q470&lt;&gt;"",R470&lt;&gt;""),Q470*R470,"")</f>
        <v/>
      </c>
      <c r="T470" s="45">
        <f>IF(S470="",P470,S470)</f>
        <v/>
      </c>
      <c r="U470" s="7" t="n">
        <v>0</v>
      </c>
      <c r="V470" s="6">
        <f>$T470*U470</f>
        <v/>
      </c>
      <c r="W470" s="7" t="n">
        <v>0.4</v>
      </c>
      <c r="X470" s="6">
        <f>$T470*W470</f>
        <v/>
      </c>
      <c r="Y470" s="7" t="n">
        <v>0</v>
      </c>
      <c r="Z470" s="6">
        <f>$T470*Y470</f>
        <v/>
      </c>
      <c r="AA470" s="7" t="n">
        <v>0</v>
      </c>
      <c r="AB470" s="6">
        <f>$T470*AA470</f>
        <v/>
      </c>
      <c r="AC470" s="7" t="n">
        <v>0</v>
      </c>
      <c r="AD470" s="6">
        <f>$T470*AC470</f>
        <v/>
      </c>
      <c r="AE470" s="7" t="n">
        <v>0</v>
      </c>
      <c r="AF470" s="6">
        <f>$T470*AE470</f>
        <v/>
      </c>
      <c r="AG470" s="7" t="n">
        <v>0</v>
      </c>
      <c r="AH470" s="6">
        <f>$T470*AG470</f>
        <v/>
      </c>
      <c r="AI470" s="7">
        <f>U470+W470+Y470+AA470+AC470+AE470+AG470</f>
        <v/>
      </c>
      <c r="AJ470" s="6">
        <f>V470+X470+Z470+AB470+AD470+AF470+AH470</f>
        <v/>
      </c>
    </row>
    <row r="471" ht="60" customHeight="1" s="46">
      <c r="A471" s="3" t="inlineStr">
        <is>
          <t>LOM252.OC.EEA.PA02.G7424.SC009.0515</t>
        </is>
      </c>
      <c r="B471" s="4" t="inlineStr">
        <is>
          <t>2/3</t>
        </is>
      </c>
      <c r="C471" s="3" t="inlineStr">
        <is>
          <t>IMPIANTO ELETTRICO</t>
        </is>
      </c>
      <c r="D471" s="4" t="inlineStr">
        <is>
          <t>NON SPECIALE</t>
        </is>
      </c>
      <c r="E471" s="4" t="inlineStr">
        <is>
          <t>ELETTRICHE</t>
        </is>
      </c>
      <c r="F471" s="3" t="inlineStr">
        <is>
          <t>3_CME IE RADIOFARMACIA PAVIA - REV02 VARIANTE ESECUTIVA.PDF</t>
        </is>
      </c>
      <c r="G471" s="4" t="inlineStr">
        <is>
          <t>172/172</t>
        </is>
      </c>
      <c r="H471" s="3" t="inlineStr">
        <is>
          <t>40 - IMPIANTISTICO</t>
        </is>
      </c>
      <c r="I471" s="3" t="inlineStr">
        <is>
          <t>RADIOFARMACIA</t>
        </is>
      </c>
      <c r="J471" s="3" t="inlineStr">
        <is>
          <t>DISTRIBUZIONE PRINCIPALE BT</t>
        </is>
      </c>
      <c r="K471" s="3" t="inlineStr">
        <is>
          <t xml:space="preserve">OPERA: CAVO, FG16OM16 DI LEGA RAME RICOTTO; GEOMETRIA: FLESSIBILE; SEZIONE NOMINALE [MM²] = 35; TENSIONE NOMINALE [KV] = 0,6/1; N° POLI [-] = 1P. </t>
        </is>
      </c>
      <c r="L471" s="3" t="inlineStr">
        <is>
          <t>OPERA: CAVO, FG16OM16 DI LEGA RAME RICOTTO; GEOMETRIA: FLESSIBILE; SEZIONE NOMINALE [MM²] = 35; TENSIONE NOMINALE [KV] = 0,6/1; N° POLI [-] = 1P. 
LAVORO: POSA. OP CAVO, FG16OM16 DI LEGA RAME RICOTTO; GEOMETRIA: FLESSIBILE; SEZIONE NOMINALE [MM²] = 35; TENSIONE NOMINALE UO/U [KV] = 0,6/1; N° POLI [-] = 1P. 
RM CAVO FG16OM16 DI LEGA RAME RICOTTO; GEOMETRIA: FLESSIBILE; SEZIONE NOMINALE [MM²] = 35; TENSIONE NOMINALE UO/U [KV] = 0,6/1; N° POLI [-] = 1P. COMPONENTI: ISOLANTE, GUAINA TERMOPLASTICA, RIVESTIMENTO INTERNO 
LV POSA.
[DIMENSIONI: 4,00 25,00]</t>
        </is>
      </c>
      <c r="M471" s="4" t="inlineStr">
        <is>
          <t>M</t>
        </is>
      </c>
      <c r="N471" s="5" t="n">
        <v>100</v>
      </c>
      <c r="O471" s="45" t="n">
        <v>9.15</v>
      </c>
      <c r="P471" s="45" t="n">
        <v>915</v>
      </c>
      <c r="Q471" s="5" t="n"/>
      <c r="R471" s="6" t="n"/>
      <c r="S471" s="6">
        <f>IF(AND(Q471&lt;&gt;"",R471&lt;&gt;""),Q471*R471,"")</f>
        <v/>
      </c>
      <c r="T471" s="45">
        <f>IF(S471="",P471,S471)</f>
        <v/>
      </c>
      <c r="U471" s="7" t="n">
        <v>0</v>
      </c>
      <c r="V471" s="6">
        <f>$T471*U471</f>
        <v/>
      </c>
      <c r="W471" s="7" t="n">
        <v>0.4</v>
      </c>
      <c r="X471" s="6">
        <f>$T471*W471</f>
        <v/>
      </c>
      <c r="Y471" s="7" t="n">
        <v>0</v>
      </c>
      <c r="Z471" s="6">
        <f>$T471*Y471</f>
        <v/>
      </c>
      <c r="AA471" s="7" t="n">
        <v>0</v>
      </c>
      <c r="AB471" s="6">
        <f>$T471*AA471</f>
        <v/>
      </c>
      <c r="AC471" s="7" t="n">
        <v>0</v>
      </c>
      <c r="AD471" s="6">
        <f>$T471*AC471</f>
        <v/>
      </c>
      <c r="AE471" s="7" t="n">
        <v>0</v>
      </c>
      <c r="AF471" s="6">
        <f>$T471*AE471</f>
        <v/>
      </c>
      <c r="AG471" s="7" t="n">
        <v>0</v>
      </c>
      <c r="AH471" s="6">
        <f>$T471*AG471</f>
        <v/>
      </c>
      <c r="AI471" s="7">
        <f>U471+W471+Y471+AA471+AC471+AE471+AG471</f>
        <v/>
      </c>
      <c r="AJ471" s="6">
        <f>V471+X471+Z471+AB471+AD471+AF471+AH471</f>
        <v/>
      </c>
    </row>
    <row r="472" ht="60" customHeight="1" s="46">
      <c r="A472" s="3" t="inlineStr">
        <is>
          <t>LOM252.OC.EEA.PA02.G7424.SC009.0530</t>
        </is>
      </c>
      <c r="B472" s="4" t="inlineStr">
        <is>
          <t>1/1</t>
        </is>
      </c>
      <c r="C472" s="3" t="inlineStr">
        <is>
          <t>IMPIANTO ELETTRICO</t>
        </is>
      </c>
      <c r="D472" s="4" t="inlineStr">
        <is>
          <t>NON SPECIALE</t>
        </is>
      </c>
      <c r="E472" s="4" t="inlineStr">
        <is>
          <t>ELETTRICHE</t>
        </is>
      </c>
      <c r="F472" s="3" t="inlineStr">
        <is>
          <t>3_CME IE RADIOFARMACIA PAVIA - REV02 VARIANTE ESECUTIVA.PDF</t>
        </is>
      </c>
      <c r="G472" s="4" t="inlineStr">
        <is>
          <t>173/173</t>
        </is>
      </c>
      <c r="H472" s="3" t="inlineStr">
        <is>
          <t>40 - IMPIANTISTICO</t>
        </is>
      </c>
      <c r="I472" s="3" t="inlineStr">
        <is>
          <t>RADIOFARMACIA</t>
        </is>
      </c>
      <c r="J472" s="3" t="inlineStr">
        <is>
          <t>DISTRIBUZIONE PRINCIPALE BT</t>
        </is>
      </c>
      <c r="K472" s="3" t="inlineStr">
        <is>
          <t xml:space="preserve">OPERA: CAVO, FG16OM16 DI LEGA RAME RICOTTO; GEOMETRIA: FLESSIBILE; SEZIONE NOMINALE [MM²] = 95; TENSIONE NOMINALE [KV] = 0,6/1; N° POLI [-] = 1P. </t>
        </is>
      </c>
      <c r="L472" s="3" t="inlineStr">
        <is>
          <t>OPERA: CAVO, FG16OM16 DI LEGA RAME RICOTTO; GEOMETRIA: FLESSIBILE; SEZIONE NOMINALE [MM²] = 95; TENSIONE NOMINALE [KV] = 0,6/1; N° POLI [-] = 1P. 
LAVORO: POSA. OP CAVO, FG16OM16 DI LEGA RAME RICOTTO; GEOMETRIA: FLESSIBILE; SEZIONE NOMINALE [MM²] = 95; TENSIONE NOMINALE UO/U [KV] = 0,6/1; N° POLI [-] = 1P. 
RM CAVO FG16OM16 DI LEGA RAME RICOTTO; GEOMETRIA: FLESSIBILE; SEZIONE NOMINALE [MM²] = 95; TENSIONE NOMINALE UO/U [KV] = 0,6/1; N° POLI [-] = 1P. COMPONENTI: ISOLANTE, GUAINA TERMOPLASTICA, RIVESTIMENTO INTERNO 
LV POSA.
[DIMENSIONI: 4,00 30,00]</t>
        </is>
      </c>
      <c r="M472" s="4" t="inlineStr">
        <is>
          <t>M</t>
        </is>
      </c>
      <c r="N472" s="5" t="n">
        <v>120</v>
      </c>
      <c r="O472" s="45" t="n">
        <v>21.84</v>
      </c>
      <c r="P472" s="45" t="n">
        <v>2620.8</v>
      </c>
      <c r="Q472" s="5" t="n"/>
      <c r="R472" s="6" t="n"/>
      <c r="S472" s="6">
        <f>IF(AND(Q472&lt;&gt;"",R472&lt;&gt;""),Q472*R472,"")</f>
        <v/>
      </c>
      <c r="T472" s="45">
        <f>IF(S472="",P472,S472)</f>
        <v/>
      </c>
      <c r="U472" s="7" t="n">
        <v>0</v>
      </c>
      <c r="V472" s="6">
        <f>$T472*U472</f>
        <v/>
      </c>
      <c r="W472" s="7" t="n">
        <v>0.4</v>
      </c>
      <c r="X472" s="6">
        <f>$T472*W472</f>
        <v/>
      </c>
      <c r="Y472" s="7" t="n">
        <v>0</v>
      </c>
      <c r="Z472" s="6">
        <f>$T472*Y472</f>
        <v/>
      </c>
      <c r="AA472" s="7" t="n">
        <v>0</v>
      </c>
      <c r="AB472" s="6">
        <f>$T472*AA472</f>
        <v/>
      </c>
      <c r="AC472" s="7" t="n">
        <v>0</v>
      </c>
      <c r="AD472" s="6">
        <f>$T472*AC472</f>
        <v/>
      </c>
      <c r="AE472" s="7" t="n">
        <v>0</v>
      </c>
      <c r="AF472" s="6">
        <f>$T472*AE472</f>
        <v/>
      </c>
      <c r="AG472" s="7" t="n">
        <v>0</v>
      </c>
      <c r="AH472" s="6">
        <f>$T472*AG472</f>
        <v/>
      </c>
      <c r="AI472" s="7">
        <f>U472+W472+Y472+AA472+AC472+AE472+AG472</f>
        <v/>
      </c>
      <c r="AJ472" s="6">
        <f>V472+X472+Z472+AB472+AD472+AF472+AH472</f>
        <v/>
      </c>
    </row>
    <row r="473" hidden="1" ht="60" customHeight="1" s="46">
      <c r="A473" s="3" t="inlineStr">
        <is>
          <t>LOM252.OC.EEA.PA02.G7424.SC009.0540</t>
        </is>
      </c>
      <c r="B473" s="4" t="inlineStr">
        <is>
          <t>2/2</t>
        </is>
      </c>
      <c r="C473" s="3" t="inlineStr">
        <is>
          <t>IMPIANTO ELETTRICO</t>
        </is>
      </c>
      <c r="D473" s="4" t="inlineStr">
        <is>
          <t>NON SPECIALE</t>
        </is>
      </c>
      <c r="E473" s="4" t="inlineStr">
        <is>
          <t>ELETTRICHE</t>
        </is>
      </c>
      <c r="F473" s="3" t="inlineStr">
        <is>
          <t>3_CME IE RADIOFARMACIA PAVIA - REV02 VARIANTE ESECUTIVA.PDF</t>
        </is>
      </c>
      <c r="G473" s="4" t="inlineStr">
        <is>
          <t>174/174</t>
        </is>
      </c>
      <c r="H473" s="3" t="inlineStr">
        <is>
          <t>40 - IMPIANTISTICO</t>
        </is>
      </c>
      <c r="I473" s="3" t="inlineStr">
        <is>
          <t>RADIOFARMACIA</t>
        </is>
      </c>
      <c r="J473" s="3" t="inlineStr">
        <is>
          <t>DISTRIBUZIONE PRINCIPALE BT</t>
        </is>
      </c>
      <c r="K473" s="3" t="inlineStr">
        <is>
          <t xml:space="preserve">OPERA: CAVO, FG16OM16 DI LEGA RAME RICOTTO; GEOMETRIA: FLESSIBILE; SEZIONE NOMINALE [MM²] = 150; TENSIONE NOMINALE [KV] = 0,6/1; N° POLI [-] = 1P. </t>
        </is>
      </c>
      <c r="L473" s="3" t="inlineStr">
        <is>
          <t>OPERA: CAVO, FG16OM16 DI LEGA RAME RICOTTO; GEOMETRIA: FLESSIBILE; SEZIONE NOMINALE [MM²] = 150; TENSIONE NOMINALE [KV] = 0,6/1; N° POLI [-] = 1P. 
LAVORO: POSA. OP CAVO, FG16OM16 DI LEGA RAME RICOTTO; GEOMETRIA: FLESSIBILE; SEZIONE NOMINALE [MM²] = 150; TENSIONE NOMINALE UO/U [KV] = 0,6/1; N° POLI [-] = 1P. 
RM CAVO FG16OM16 DI LEGA RAME RICOTTO; GEOMETRIA: FLESSIBILE; SEZIONE NOMINALE [MM²] = 150; TENSIONE NOMINALE UO/U [KV] = 0,6/1; N° POLI [-] = 1P. COMPONENTI: ISOLANTE, GUAINA TERMOPLASTICA, RIVESTIMENTO INTERNO 
LV POSA.
[DIMENSIONI: 4,00 25,00 | -100,00]</t>
        </is>
      </c>
      <c r="M473" s="4" t="inlineStr">
        <is>
          <t>M</t>
        </is>
      </c>
      <c r="N473" s="5" t="n">
        <v>0</v>
      </c>
      <c r="O473" s="45" t="n">
        <v>0</v>
      </c>
      <c r="P473" s="45" t="n">
        <v>0</v>
      </c>
      <c r="Q473" s="5" t="n"/>
      <c r="R473" s="6" t="n"/>
      <c r="S473" s="6">
        <f>IF(AND(Q473&lt;&gt;"",R473&lt;&gt;""),Q473*R473,"")</f>
        <v/>
      </c>
      <c r="T473" s="45">
        <f>IF(S473="",P473,S473)</f>
        <v/>
      </c>
      <c r="U473" s="7" t="n">
        <v>0</v>
      </c>
      <c r="V473" s="6">
        <f>$T473*U473</f>
        <v/>
      </c>
      <c r="W473" s="7" t="n">
        <v>0</v>
      </c>
      <c r="X473" s="6">
        <f>$T473*W473</f>
        <v/>
      </c>
      <c r="Y473" s="7" t="n">
        <v>0</v>
      </c>
      <c r="Z473" s="6">
        <f>$T473*Y473</f>
        <v/>
      </c>
      <c r="AA473" s="7" t="n">
        <v>0</v>
      </c>
      <c r="AB473" s="6">
        <f>$T473*AA473</f>
        <v/>
      </c>
      <c r="AC473" s="7" t="n">
        <v>0</v>
      </c>
      <c r="AD473" s="6">
        <f>$T473*AC473</f>
        <v/>
      </c>
      <c r="AE473" s="7" t="n">
        <v>0</v>
      </c>
      <c r="AF473" s="6">
        <f>$T473*AE473</f>
        <v/>
      </c>
      <c r="AG473" s="7" t="n">
        <v>0</v>
      </c>
      <c r="AH473" s="6">
        <f>$T473*AG473</f>
        <v/>
      </c>
      <c r="AI473" s="7">
        <f>U473+W473+Y473+AA473+AC473+AE473+AG473</f>
        <v/>
      </c>
      <c r="AJ473" s="6">
        <f>V473+X473+Z473+AB473+AD473+AF473+AH473</f>
        <v/>
      </c>
    </row>
    <row r="474" ht="60" customHeight="1" s="46">
      <c r="A474" s="3" t="inlineStr">
        <is>
          <t>LOM252.OC.EEA.PA02.G7424.SC009.0545</t>
        </is>
      </c>
      <c r="B474" s="4" t="inlineStr">
        <is>
          <t>3/3</t>
        </is>
      </c>
      <c r="C474" s="3" t="inlineStr">
        <is>
          <t>IMPIANTO ELETTRICO</t>
        </is>
      </c>
      <c r="D474" s="4" t="inlineStr">
        <is>
          <t>NON SPECIALE</t>
        </is>
      </c>
      <c r="E474" s="4" t="inlineStr">
        <is>
          <t>ELETTRICHE</t>
        </is>
      </c>
      <c r="F474" s="3" t="inlineStr">
        <is>
          <t>3_CME IE RADIOFARMACIA PAVIA - REV02 VARIANTE ESECUTIVA.PDF</t>
        </is>
      </c>
      <c r="G474" s="4" t="inlineStr">
        <is>
          <t>175/175</t>
        </is>
      </c>
      <c r="H474" s="3" t="inlineStr">
        <is>
          <t>40 - IMPIANTISTICO</t>
        </is>
      </c>
      <c r="I474" s="3" t="inlineStr">
        <is>
          <t>RADIOFARMACIA</t>
        </is>
      </c>
      <c r="J474" s="3" t="inlineStr">
        <is>
          <t>DISTRIBUZIONE PRINCIPALE BT</t>
        </is>
      </c>
      <c r="K474" s="3" t="inlineStr">
        <is>
          <t xml:space="preserve">OPERA: CAVO, FG16OM16 DI LEGA RAME RICOTTO; GEOMETRIA: FLESSIBILE; SEZIONE NOMINALE [MM²] = 185; TENSIONE NOMINALE [KV] = 0,6/1; N° POLI [-] = 1P. </t>
        </is>
      </c>
      <c r="L474" s="3" t="inlineStr">
        <is>
          <t>OPERA: CAVO, FG16OM16 DI LEGA RAME RICOTTO; GEOMETRIA: FLESSIBILE; SEZIONE NOMINALE [MM²] = 185; TENSIONE NOMINALE [KV] = 0,6/1; N° POLI [-] = 1P. 
LAVORO: POSA. OP CAVO, FG16OM16 DI LEGA RAME RICOTTO; GEOMETRIA: FLESSIBILE; SEZIONE NOMINALE [MM²] = 185; TENSIONE NOMINALE UO/U [KV] = 0,6/1; N° POLI [-] = 1P. 
RM CAVO FG16OM16 DI LEGA RAME RICOTTO; GEOMETRIA: FLESSIBILE; SEZIONE NOMINALE [MM²] = 185; TENSIONE NOMINALE UO/U [KV] = 0,6/1; N° POLI [-] = 1P. COMPONENTI: ISOLANTE, GUAINA TERMOPLASTICA, RIVESTIMENTO INTERNO 
LV POSA.
[DIMENSIONI: 4,00 25,00]</t>
        </is>
      </c>
      <c r="M474" s="4" t="inlineStr">
        <is>
          <t>M</t>
        </is>
      </c>
      <c r="N474" s="5" t="n">
        <v>100</v>
      </c>
      <c r="O474" s="45" t="n">
        <v>35.78</v>
      </c>
      <c r="P474" s="45" t="n">
        <v>3578</v>
      </c>
      <c r="Q474" s="5" t="n"/>
      <c r="R474" s="6" t="n"/>
      <c r="S474" s="6">
        <f>IF(AND(Q474&lt;&gt;"",R474&lt;&gt;""),Q474*R474,"")</f>
        <v/>
      </c>
      <c r="T474" s="45">
        <f>IF(S474="",P474,S474)</f>
        <v/>
      </c>
      <c r="U474" s="7" t="n">
        <v>0</v>
      </c>
      <c r="V474" s="6">
        <f>$T474*U474</f>
        <v/>
      </c>
      <c r="W474" s="7" t="n">
        <v>0.4</v>
      </c>
      <c r="X474" s="6">
        <f>$T474*W474</f>
        <v/>
      </c>
      <c r="Y474" s="7" t="n">
        <v>0</v>
      </c>
      <c r="Z474" s="6">
        <f>$T474*Y474</f>
        <v/>
      </c>
      <c r="AA474" s="7" t="n">
        <v>0</v>
      </c>
      <c r="AB474" s="6">
        <f>$T474*AA474</f>
        <v/>
      </c>
      <c r="AC474" s="7" t="n">
        <v>0</v>
      </c>
      <c r="AD474" s="6">
        <f>$T474*AC474</f>
        <v/>
      </c>
      <c r="AE474" s="7" t="n">
        <v>0</v>
      </c>
      <c r="AF474" s="6">
        <f>$T474*AE474</f>
        <v/>
      </c>
      <c r="AG474" s="7" t="n">
        <v>0</v>
      </c>
      <c r="AH474" s="6">
        <f>$T474*AG474</f>
        <v/>
      </c>
      <c r="AI474" s="7">
        <f>U474+W474+Y474+AA474+AC474+AE474+AG474</f>
        <v/>
      </c>
      <c r="AJ474" s="6">
        <f>V474+X474+Z474+AB474+AD474+AF474+AH474</f>
        <v/>
      </c>
    </row>
    <row r="475" ht="60" customHeight="1" s="46">
      <c r="A475" s="3" t="inlineStr">
        <is>
          <t>LOM252.OC.EEA.PA02.G7424.SC009.0745</t>
        </is>
      </c>
      <c r="B475" s="4" t="inlineStr">
        <is>
          <t>1/1</t>
        </is>
      </c>
      <c r="C475" s="3" t="inlineStr">
        <is>
          <t>IMPIANTO ELETTRICO</t>
        </is>
      </c>
      <c r="D475" s="4" t="inlineStr">
        <is>
          <t>NON SPECIALE</t>
        </is>
      </c>
      <c r="E475" s="4" t="inlineStr">
        <is>
          <t>ELETTRICHE</t>
        </is>
      </c>
      <c r="F475" s="3" t="inlineStr">
        <is>
          <t>3_CME IE RADIOFARMACIA PAVIA - REV02 VARIANTE ESECUTIVA.PDF</t>
        </is>
      </c>
      <c r="G475" s="4" t="inlineStr">
        <is>
          <t>176/176</t>
        </is>
      </c>
      <c r="H475" s="3" t="inlineStr">
        <is>
          <t>40 - IMPIANTISTICO</t>
        </is>
      </c>
      <c r="I475" s="3" t="inlineStr">
        <is>
          <t>RADIOFARMACIA</t>
        </is>
      </c>
      <c r="J475" s="3" t="inlineStr">
        <is>
          <t>DISTRIBUZIONE PRINCIPALE BT</t>
        </is>
      </c>
      <c r="K475" s="3" t="inlineStr">
        <is>
          <t xml:space="preserve">OPERA: CAVO, FG16OM16 DI LEGA RAME RICOTTO; GEOMETRIA: FLESSIBILE; SEZIONE NOMINALE [MM²] = 5X25; TENSIONE NOMINALE [KV] = 0,6/1; N° POLI [-] = 4/5P. </t>
        </is>
      </c>
      <c r="L475" s="3" t="inlineStr">
        <is>
          <t>OPERA: CAVO, FG16OM16 DI LEGA RAME RICOTTO; GEOMETRIA: FLESSIBILE; SEZIONE NOMINALE [MM²] = 5X25; TENSIONE NOMINALE [KV] = 0,6/1; N° POLI [-] = 4/5P. 
LAVORO: POSA. OP CAVO, FG16OM16 DI LEGA RAME RICOTTO; GEOMETRIA: FLESSIBILE; SEZIONE NOMINALE [MM²] = 5X25; TENSIONE NOMINALE UO/U [KV] = 0,6/1; N° POLI [-] = 4/5P. 
RM CAVO FG16OM16 DI LEGA RAME RICOTTO; GEOMETRIA: FLESSIBILE; SEZIONE NOMINALE [MM²] = 5X25; TENSIONE NOMINALE UO/U [KV] = 0,6/1; N° POLI [-] = 4/5P. COMPONENTI: ISOLANTE, GUAINA TERMOPLASTICA 
LV POSA.
[DIMENSIONI: 1,00 20,00 | 1,00 35,00 | 1,00 35,00 | 1,00 35,00]</t>
        </is>
      </c>
      <c r="M475" s="4" t="inlineStr">
        <is>
          <t>M</t>
        </is>
      </c>
      <c r="N475" s="5" t="n">
        <v>125</v>
      </c>
      <c r="O475" s="45" t="n">
        <v>35.31</v>
      </c>
      <c r="P475" s="45" t="n">
        <v>4413.75</v>
      </c>
      <c r="Q475" s="5" t="n"/>
      <c r="R475" s="6" t="n"/>
      <c r="S475" s="6">
        <f>IF(AND(Q475&lt;&gt;"",R475&lt;&gt;""),Q475*R475,"")</f>
        <v/>
      </c>
      <c r="T475" s="45">
        <f>IF(S475="",P475,S475)</f>
        <v/>
      </c>
      <c r="U475" s="7" t="n">
        <v>0</v>
      </c>
      <c r="V475" s="6">
        <f>$T475*U475</f>
        <v/>
      </c>
      <c r="W475" s="7" t="n">
        <v>0.4</v>
      </c>
      <c r="X475" s="6">
        <f>$T475*W475</f>
        <v/>
      </c>
      <c r="Y475" s="7" t="n">
        <v>0</v>
      </c>
      <c r="Z475" s="6">
        <f>$T475*Y475</f>
        <v/>
      </c>
      <c r="AA475" s="7" t="n">
        <v>0</v>
      </c>
      <c r="AB475" s="6">
        <f>$T475*AA475</f>
        <v/>
      </c>
      <c r="AC475" s="7" t="n">
        <v>0</v>
      </c>
      <c r="AD475" s="6">
        <f>$T475*AC475</f>
        <v/>
      </c>
      <c r="AE475" s="7" t="n">
        <v>0</v>
      </c>
      <c r="AF475" s="6">
        <f>$T475*AE475</f>
        <v/>
      </c>
      <c r="AG475" s="7" t="n">
        <v>0</v>
      </c>
      <c r="AH475" s="6">
        <f>$T475*AG475</f>
        <v/>
      </c>
      <c r="AI475" s="7">
        <f>U475+W475+Y475+AA475+AC475+AE475+AG475</f>
        <v/>
      </c>
      <c r="AJ475" s="6">
        <f>V475+X475+Z475+AB475+AD475+AF475+AH475</f>
        <v/>
      </c>
    </row>
    <row r="476" ht="60" customHeight="1" s="46">
      <c r="A476" s="3" t="inlineStr">
        <is>
          <t>LOM252.OC.EEA.PA02.G7424.SC009.0610</t>
        </is>
      </c>
      <c r="B476" s="4" t="inlineStr">
        <is>
          <t>4/5</t>
        </is>
      </c>
      <c r="C476" s="3" t="inlineStr">
        <is>
          <t>IMPIANTO ELETTRICO</t>
        </is>
      </c>
      <c r="D476" s="4" t="inlineStr">
        <is>
          <t>NON SPECIALE</t>
        </is>
      </c>
      <c r="E476" s="4" t="inlineStr">
        <is>
          <t>ELETTRICHE</t>
        </is>
      </c>
      <c r="F476" s="3" t="inlineStr">
        <is>
          <t>3_CME IE RADIOFARMACIA PAVIA - REV02 VARIANTE ESECUTIVA.PDF</t>
        </is>
      </c>
      <c r="G476" s="4" t="inlineStr">
        <is>
          <t>177/177</t>
        </is>
      </c>
      <c r="H476" s="3" t="inlineStr">
        <is>
          <t>40 - IMPIANTISTICO</t>
        </is>
      </c>
      <c r="I476" s="3" t="inlineStr">
        <is>
          <t>RADIOFARMACIA</t>
        </is>
      </c>
      <c r="J476" s="3" t="inlineStr">
        <is>
          <t>DISTRIBUZIONE SECONDARIA</t>
        </is>
      </c>
      <c r="K476" s="3" t="inlineStr">
        <is>
          <t xml:space="preserve">OPERA: CAVO, FG16OM16 DI LEGA RAME RICOTTO; GEOMETRIA: FLESSIBILE; SEZIONE NOMINALE [MM²] = 3X2,5; TENSIONE NOMINALE [KV] = 0,6/1; N° POLI [-] = 3P. </t>
        </is>
      </c>
      <c r="L476" s="3" t="inlineStr">
        <is>
          <t>OPERA: CAVO, FG16OM16 DI LEGA RAME RICOTTO; GEOMETRIA: FLESSIBILE; SEZIONE NOMINALE [MM²] = 3X2,5; TENSIONE NOMINALE [KV] = 0,6/1; N° POLI [-] = 3P. 
LAVORO: POSA. OP CAVO, FG16OM16 DI LEGA RAME RICOTTO; GEOMETRIA: FLESSIBILE; SEZIONE NOMINALE [MM²] = 3X2,5; TENSIONE NOMINALE UO/U [KV] = 0,6/1; N° POLI [-] = 3P. 
RM CAVO FG16OM16 DI LEGA RAME RICOTTO; GEOMETRIA: FLESSIBILE; SEZIONE NOMINALE [MM²] = 3X2,5; TENSIONE NOMINALE UO/U [KV] = 0,6/1; N° POLI [-] = 3P. COMPONENTI: ISOLANTE, GUAINA TERMOPLASTICA 
LV POSA.
[DIMENSIONI: 320,00 | 350,00]</t>
        </is>
      </c>
      <c r="M476" s="4" t="inlineStr">
        <is>
          <t>M</t>
        </is>
      </c>
      <c r="N476" s="5" t="n">
        <v>670</v>
      </c>
      <c r="O476" s="45" t="n">
        <v>4.63</v>
      </c>
      <c r="P476" s="45" t="n">
        <v>3102.1</v>
      </c>
      <c r="Q476" s="5" t="n"/>
      <c r="R476" s="6" t="n"/>
      <c r="S476" s="6">
        <f>IF(AND(Q476&lt;&gt;"",R476&lt;&gt;""),Q476*R476,"")</f>
        <v/>
      </c>
      <c r="T476" s="45">
        <f>IF(S476="",P476,S476)</f>
        <v/>
      </c>
      <c r="U476" s="7" t="n">
        <v>0</v>
      </c>
      <c r="V476" s="6">
        <f>$T476*U476</f>
        <v/>
      </c>
      <c r="W476" s="7" t="n">
        <v>0.4</v>
      </c>
      <c r="X476" s="6">
        <f>$T476*W476</f>
        <v/>
      </c>
      <c r="Y476" s="7" t="n">
        <v>0</v>
      </c>
      <c r="Z476" s="6">
        <f>$T476*Y476</f>
        <v/>
      </c>
      <c r="AA476" s="7" t="n">
        <v>0</v>
      </c>
      <c r="AB476" s="6">
        <f>$T476*AA476</f>
        <v/>
      </c>
      <c r="AC476" s="7" t="n">
        <v>0</v>
      </c>
      <c r="AD476" s="6">
        <f>$T476*AC476</f>
        <v/>
      </c>
      <c r="AE476" s="7" t="n">
        <v>0</v>
      </c>
      <c r="AF476" s="6">
        <f>$T476*AE476</f>
        <v/>
      </c>
      <c r="AG476" s="7" t="n">
        <v>0</v>
      </c>
      <c r="AH476" s="6">
        <f>$T476*AG476</f>
        <v/>
      </c>
      <c r="AI476" s="7">
        <f>U476+W476+Y476+AA476+AC476+AE476+AG476</f>
        <v/>
      </c>
      <c r="AJ476" s="6">
        <f>V476+X476+Z476+AB476+AD476+AF476+AH476</f>
        <v/>
      </c>
    </row>
    <row r="477" ht="60" customHeight="1" s="46">
      <c r="A477" s="3" t="inlineStr">
        <is>
          <t>LOM252.OC.EEA.PA02.G7424.SC009.0615</t>
        </is>
      </c>
      <c r="B477" s="4" t="inlineStr">
        <is>
          <t>4/5</t>
        </is>
      </c>
      <c r="C477" s="3" t="inlineStr">
        <is>
          <t>IMPIANTO ELETTRICO</t>
        </is>
      </c>
      <c r="D477" s="4" t="inlineStr">
        <is>
          <t>NON SPECIALE</t>
        </is>
      </c>
      <c r="E477" s="4" t="inlineStr">
        <is>
          <t>ELETTRICHE</t>
        </is>
      </c>
      <c r="F477" s="3" t="inlineStr">
        <is>
          <t>3_CME IE RADIOFARMACIA PAVIA - REV02 VARIANTE ESECUTIVA.PDF</t>
        </is>
      </c>
      <c r="G477" s="4" t="inlineStr">
        <is>
          <t>178/178</t>
        </is>
      </c>
      <c r="H477" s="3" t="inlineStr">
        <is>
          <t>40 - IMPIANTISTICO</t>
        </is>
      </c>
      <c r="I477" s="3" t="inlineStr">
        <is>
          <t>RADIOFARMACIA</t>
        </is>
      </c>
      <c r="J477" s="3" t="inlineStr">
        <is>
          <t>DISTRIBUZIONE SECONDARIA</t>
        </is>
      </c>
      <c r="K477" s="3" t="inlineStr">
        <is>
          <t xml:space="preserve">OPERA: CAVO, FG16OM16 DI LEGA RAME RICOTTO; GEOMETRIA: FLESSIBILE; SEZIONE NOMINALE [MM²] = 3X4; TENSIONE NOMINALE [KV] = 0,6/1; N° POLI [-] = 3P. </t>
        </is>
      </c>
      <c r="L477" s="3" t="inlineStr">
        <is>
          <t>OPERA: CAVO, FG16OM16 DI LEGA RAME RICOTTO; GEOMETRIA: FLESSIBILE; SEZIONE NOMINALE [MM²] = 3X4; TENSIONE NOMINALE [KV] = 0,6/1; N° POLI [-] = 3P. 
LAVORO: POSA. OP CAVO, FG16OM16 DI LEGA RAME RICOTTO; GEOMETRIA: FLESSIBILE; SEZIONE NOMINALE [MM²] = 3X4; TENSIONE NOMINALE UO/U [KV] = 0,6/1; N° POLI [-] = 3P. 
RM CAVO FG16OM16 DI LEGA RAME RICOTTO; GEOMETRIA: FLESSIBILE; SEZIONE NOMINALE [MM²] = 3X4; TENSIONE NOMINALE UO/U [KV] = 0,6/1; N° POLI [-] = 3P. COMPONENTI: ISOLANTE, GUAINA TERMOPLASTICA 
LV POSA.
[DIMENSIONI: 250,00 | 285,00]</t>
        </is>
      </c>
      <c r="M477" s="4" t="inlineStr">
        <is>
          <t>M</t>
        </is>
      </c>
      <c r="N477" s="5" t="n">
        <v>535</v>
      </c>
      <c r="O477" s="45" t="n">
        <v>5.44</v>
      </c>
      <c r="P477" s="45" t="n">
        <v>2910.4</v>
      </c>
      <c r="Q477" s="5" t="n"/>
      <c r="R477" s="6" t="n"/>
      <c r="S477" s="6">
        <f>IF(AND(Q477&lt;&gt;"",R477&lt;&gt;""),Q477*R477,"")</f>
        <v/>
      </c>
      <c r="T477" s="45">
        <f>IF(S477="",P477,S477)</f>
        <v/>
      </c>
      <c r="U477" s="7" t="n">
        <v>0</v>
      </c>
      <c r="V477" s="6">
        <f>$T477*U477</f>
        <v/>
      </c>
      <c r="W477" s="7" t="n">
        <v>0.4</v>
      </c>
      <c r="X477" s="6">
        <f>$T477*W477</f>
        <v/>
      </c>
      <c r="Y477" s="7" t="n">
        <v>0</v>
      </c>
      <c r="Z477" s="6">
        <f>$T477*Y477</f>
        <v/>
      </c>
      <c r="AA477" s="7" t="n">
        <v>0</v>
      </c>
      <c r="AB477" s="6">
        <f>$T477*AA477</f>
        <v/>
      </c>
      <c r="AC477" s="7" t="n">
        <v>0</v>
      </c>
      <c r="AD477" s="6">
        <f>$T477*AC477</f>
        <v/>
      </c>
      <c r="AE477" s="7" t="n">
        <v>0</v>
      </c>
      <c r="AF477" s="6">
        <f>$T477*AE477</f>
        <v/>
      </c>
      <c r="AG477" s="7" t="n">
        <v>0</v>
      </c>
      <c r="AH477" s="6">
        <f>$T477*AG477</f>
        <v/>
      </c>
      <c r="AI477" s="7">
        <f>U477+W477+Y477+AA477+AC477+AE477+AG477</f>
        <v/>
      </c>
      <c r="AJ477" s="6">
        <f>V477+X477+Z477+AB477+AD477+AF477+AH477</f>
        <v/>
      </c>
    </row>
    <row r="478" hidden="1" ht="60" customHeight="1" s="46">
      <c r="A478" s="3" t="inlineStr">
        <is>
          <t>LOM252.OC.EEA.PA02.G7424.SC009.0725</t>
        </is>
      </c>
      <c r="B478" s="4" t="inlineStr">
        <is>
          <t>1/1</t>
        </is>
      </c>
      <c r="C478" s="3" t="inlineStr">
        <is>
          <t>IMPIANTO ELETTRICO</t>
        </is>
      </c>
      <c r="D478" s="4" t="inlineStr">
        <is>
          <t>NON SPECIALE</t>
        </is>
      </c>
      <c r="E478" s="4" t="inlineStr">
        <is>
          <t>ELETTRICHE</t>
        </is>
      </c>
      <c r="F478" s="3" t="inlineStr">
        <is>
          <t>3_CME IE RADIOFARMACIA PAVIA - REV02 VARIANTE ESECUTIVA.PDF</t>
        </is>
      </c>
      <c r="G478" s="4" t="inlineStr">
        <is>
          <t>179/179</t>
        </is>
      </c>
      <c r="H478" s="3" t="inlineStr">
        <is>
          <t>40 - IMPIANTISTICO</t>
        </is>
      </c>
      <c r="I478" s="3" t="inlineStr">
        <is>
          <t>RADIOFARMACIA</t>
        </is>
      </c>
      <c r="J478" s="3" t="inlineStr">
        <is>
          <t>DISTRIBUZIONE SECONDARIA</t>
        </is>
      </c>
      <c r="K478" s="3" t="inlineStr">
        <is>
          <t xml:space="preserve">OPERA: CAVO, FG16OM16 DI LEGA RAME RICOTTO; GEOMETRIA: FLESSIBILE; SEZIONE NOMINALE [MM²] = 5X4; TENSIONE NOMINALE [KV] = 0,6/1; N° POLI [-] = 4/5P. </t>
        </is>
      </c>
      <c r="L478" s="3" t="inlineStr">
        <is>
          <t>OPERA: CAVO, FG16OM16 DI LEGA RAME RICOTTO; GEOMETRIA: FLESSIBILE; SEZIONE NOMINALE [MM²] = 5X4; TENSIONE NOMINALE [KV] = 0,6/1; N° POLI [-] = 4/5P. 
LAVORO: POSA. OP CAVO, FG16OM16 DI LEGA RAME RICOTTO; GEOMETRIA: FLESSIBILE; SEZIONE NOMINALE [MM²] = 5X4; TENSIONE NOMINALE UO/U [KV] = 0,6/1; N° POLI [-] = 4/5P. 
RM CAVO FG16OM16 DI LEGA RAME RICOTTO; GEOMETRIA: FLESSIBILE; SEZIONE NOMINALE [MM²] = 5X4; TENSIONE NOMINALE UO/U [KV] = 0,6/1; N° POLI [-] = 4/5P. COMPONENTI: ISOLANTE, GUAINA TERMOPLASTICA 
LV POSA.
[DIMENSIONI: 25,00]</t>
        </is>
      </c>
      <c r="M478" s="4" t="inlineStr">
        <is>
          <t>M</t>
        </is>
      </c>
      <c r="N478" s="5" t="n">
        <v>25</v>
      </c>
      <c r="O478" s="45" t="n">
        <v>7.75</v>
      </c>
      <c r="P478" s="45" t="n">
        <v>193.75</v>
      </c>
      <c r="Q478" s="5" t="n"/>
      <c r="R478" s="6" t="n"/>
      <c r="S478" s="6">
        <f>IF(AND(Q478&lt;&gt;"",R478&lt;&gt;""),Q478*R478,"")</f>
        <v/>
      </c>
      <c r="T478" s="45">
        <f>IF(S478="",P478,S478)</f>
        <v/>
      </c>
      <c r="U478" s="7" t="n">
        <v>0</v>
      </c>
      <c r="V478" s="6">
        <f>$T478*U478</f>
        <v/>
      </c>
      <c r="W478" s="7" t="n">
        <v>0</v>
      </c>
      <c r="X478" s="6">
        <f>$T478*W478</f>
        <v/>
      </c>
      <c r="Y478" s="7" t="n">
        <v>0</v>
      </c>
      <c r="Z478" s="6">
        <f>$T478*Y478</f>
        <v/>
      </c>
      <c r="AA478" s="7" t="n">
        <v>0</v>
      </c>
      <c r="AB478" s="6">
        <f>$T478*AA478</f>
        <v/>
      </c>
      <c r="AC478" s="7" t="n">
        <v>0</v>
      </c>
      <c r="AD478" s="6">
        <f>$T478*AC478</f>
        <v/>
      </c>
      <c r="AE478" s="7" t="n">
        <v>0</v>
      </c>
      <c r="AF478" s="6">
        <f>$T478*AE478</f>
        <v/>
      </c>
      <c r="AG478" s="7" t="n">
        <v>0</v>
      </c>
      <c r="AH478" s="6">
        <f>$T478*AG478</f>
        <v/>
      </c>
      <c r="AI478" s="7">
        <f>U478+W478+Y478+AA478+AC478+AE478+AG478</f>
        <v/>
      </c>
      <c r="AJ478" s="6">
        <f>V478+X478+Z478+AB478+AD478+AF478+AH478</f>
        <v/>
      </c>
    </row>
    <row r="479" hidden="1" ht="60" customHeight="1" s="46">
      <c r="A479" s="3" t="inlineStr">
        <is>
          <t>LOM252.OC.EEA.PA02.G7424.SC009.0735</t>
        </is>
      </c>
      <c r="B479" s="4" t="inlineStr">
        <is>
          <t>1/1</t>
        </is>
      </c>
      <c r="C479" s="3" t="inlineStr">
        <is>
          <t>IMPIANTO ELETTRICO</t>
        </is>
      </c>
      <c r="D479" s="4" t="inlineStr">
        <is>
          <t>NON SPECIALE</t>
        </is>
      </c>
      <c r="E479" s="4" t="inlineStr">
        <is>
          <t>ELETTRICHE</t>
        </is>
      </c>
      <c r="F479" s="3" t="inlineStr">
        <is>
          <t>3_CME IE RADIOFARMACIA PAVIA - REV02 VARIANTE ESECUTIVA.PDF</t>
        </is>
      </c>
      <c r="G479" s="4" t="inlineStr">
        <is>
          <t>180/180</t>
        </is>
      </c>
      <c r="H479" s="3" t="inlineStr">
        <is>
          <t>40 - IMPIANTISTICO</t>
        </is>
      </c>
      <c r="I479" s="3" t="inlineStr">
        <is>
          <t>RADIOFARMACIA</t>
        </is>
      </c>
      <c r="J479" s="3" t="inlineStr">
        <is>
          <t>DISTRIBUZIONE SECONDARIA</t>
        </is>
      </c>
      <c r="K479" s="3" t="inlineStr">
        <is>
          <t xml:space="preserve">OPERA: CAVO, FG16OM16 DI LEGA RAME RICOTTO; GEOMETRIA: FLESSIBILE; SEZIONE NOMINALE [MM²] = 5X10; TENSIONE NOMINALE [KV] = 0,6/1; N° POLI [-] = 4/5P. </t>
        </is>
      </c>
      <c r="L479" s="3" t="inlineStr">
        <is>
          <t>OPERA: CAVO, FG16OM16 DI LEGA RAME RICOTTO; GEOMETRIA: FLESSIBILE; SEZIONE NOMINALE [MM²] = 5X10; TENSIONE NOMINALE [KV] = 0,6/1; N° POLI [-] = 4/5P. 
LAVORO: POSA. OP CAVO, FG16OM16 DI LEGA RAME RICOTTO; GEOMETRIA: FLESSIBILE; SEZIONE NOMINALE [MM²] = 5X10; TENSIONE NOMINALE UO/U [KV] = 0,6/1; N° POLI [-] = 4/5P. 
RM CAVO FG16OM16 DI LEGA RAME RICOTTO; GEOMETRIA: FLESSIBILE; SEZIONE NOMINALE [MM²] = 5X10; TENSIONE NOMINALE UO/U [KV] = 0,6/1; N° POLI [-] = 4/5P. COMPONENTI: ISOLANTE, GUAINA TERMOPLASTICA 
LV POSA.
[DIMENSIONI: 1,00 5,00]</t>
        </is>
      </c>
      <c r="M479" s="4" t="inlineStr">
        <is>
          <t>M</t>
        </is>
      </c>
      <c r="N479" s="5" t="n">
        <v>5</v>
      </c>
      <c r="O479" s="45" t="n">
        <v>14.82</v>
      </c>
      <c r="P479" s="45" t="n">
        <v>74.09999999999999</v>
      </c>
      <c r="Q479" s="5" t="n"/>
      <c r="R479" s="6" t="n"/>
      <c r="S479" s="6">
        <f>IF(AND(Q479&lt;&gt;"",R479&lt;&gt;""),Q479*R479,"")</f>
        <v/>
      </c>
      <c r="T479" s="45">
        <f>IF(S479="",P479,S479)</f>
        <v/>
      </c>
      <c r="U479" s="7" t="n">
        <v>0</v>
      </c>
      <c r="V479" s="6">
        <f>$T479*U479</f>
        <v/>
      </c>
      <c r="W479" s="7" t="n">
        <v>0</v>
      </c>
      <c r="X479" s="6">
        <f>$T479*W479</f>
        <v/>
      </c>
      <c r="Y479" s="7" t="n">
        <v>0</v>
      </c>
      <c r="Z479" s="6">
        <f>$T479*Y479</f>
        <v/>
      </c>
      <c r="AA479" s="7" t="n">
        <v>0</v>
      </c>
      <c r="AB479" s="6">
        <f>$T479*AA479</f>
        <v/>
      </c>
      <c r="AC479" s="7" t="n">
        <v>0</v>
      </c>
      <c r="AD479" s="6">
        <f>$T479*AC479</f>
        <v/>
      </c>
      <c r="AE479" s="7" t="n">
        <v>0</v>
      </c>
      <c r="AF479" s="6">
        <f>$T479*AE479</f>
        <v/>
      </c>
      <c r="AG479" s="7" t="n">
        <v>0</v>
      </c>
      <c r="AH479" s="6">
        <f>$T479*AG479</f>
        <v/>
      </c>
      <c r="AI479" s="7">
        <f>U479+W479+Y479+AA479+AC479+AE479+AG479</f>
        <v/>
      </c>
      <c r="AJ479" s="6">
        <f>V479+X479+Z479+AB479+AD479+AF479+AH479</f>
        <v/>
      </c>
    </row>
    <row r="480" hidden="1" ht="60" customHeight="1" s="46">
      <c r="A480" s="3" t="inlineStr">
        <is>
          <t>LOM252.OC.EEA.PA01.L8250.ZA001.0010</t>
        </is>
      </c>
      <c r="B480" s="4" t="inlineStr">
        <is>
          <t>2/2</t>
        </is>
      </c>
      <c r="C480" s="3" t="inlineStr">
        <is>
          <t>IMPIANTO ELETTRICO</t>
        </is>
      </c>
      <c r="D480" s="4" t="inlineStr">
        <is>
          <t>NON SPECIALE</t>
        </is>
      </c>
      <c r="E480" s="4" t="inlineStr">
        <is>
          <t>ELETTRICHE</t>
        </is>
      </c>
      <c r="F480" s="3" t="inlineStr">
        <is>
          <t>3_CME IE RADIOFARMACIA PAVIA - REV02 VARIANTE ESECUTIVA.PDF</t>
        </is>
      </c>
      <c r="G480" s="4" t="inlineStr">
        <is>
          <t>181/181</t>
        </is>
      </c>
      <c r="H480" s="3" t="inlineStr">
        <is>
          <t>40 - IMPIANTISTICO</t>
        </is>
      </c>
      <c r="I480" s="3" t="inlineStr">
        <is>
          <t>RADIOFARMACIA</t>
        </is>
      </c>
      <c r="J480" s="3" t="inlineStr">
        <is>
          <t>DISTRIBUZIONE SECONDARIA</t>
        </is>
      </c>
      <c r="K480" s="3" t="inlineStr">
        <is>
          <t xml:space="preserve">OPERA: PULSANTE, MANUALE D'ALLARME; GEOMETRIA: A ROTTURA VETRO. </t>
        </is>
      </c>
      <c r="L480" s="3" t="inlineStr">
        <is>
          <t>OPERA: PULSANTE, MANUALE D'ALLARME; GEOMETRIA: A ROTTURA VETRO. 
LAVORO: INSTALLAZIONE. 
SPECIFICHE TECNICHE: PULSANTE A 1 SCAMBIO, GRADO DI PROTEZIONE IP65. OP PULSANTE, MANUALE D'ALLARME; GEOMETRIA: A ROTTURA VETRO. 
SPECIFICHE TECNICHE: PULSANTE A 1 SCAMBIO, GRADO DI PROTEZIONE IP65. 
RM PULSANTE MANUALE D'ALLARME; GEOMETRIA: A ROTTURA VETRO 
SPECIFICHE TECNICHE: PULSANTE A 1 SCAMBIO, GRADO DI PROTEZIONE IP65 
LV INSTALLAZIONE.</t>
        </is>
      </c>
      <c r="M480" s="4" t="inlineStr">
        <is>
          <t>CAD</t>
        </is>
      </c>
      <c r="N480" s="5" t="n">
        <v>3</v>
      </c>
      <c r="O480" s="45" t="n">
        <v>103.77</v>
      </c>
      <c r="P480" s="45" t="n">
        <v>311.31</v>
      </c>
      <c r="Q480" s="5" t="n"/>
      <c r="R480" s="6" t="n"/>
      <c r="S480" s="6">
        <f>IF(AND(Q480&lt;&gt;"",R480&lt;&gt;""),Q480*R480,"")</f>
        <v/>
      </c>
      <c r="T480" s="45">
        <f>IF(S480="",P480,S480)</f>
        <v/>
      </c>
      <c r="U480" s="7" t="n">
        <v>0</v>
      </c>
      <c r="V480" s="6">
        <f>$T480*U480</f>
        <v/>
      </c>
      <c r="W480" s="7" t="n">
        <v>0</v>
      </c>
      <c r="X480" s="6">
        <f>$T480*W480</f>
        <v/>
      </c>
      <c r="Y480" s="7" t="n">
        <v>0</v>
      </c>
      <c r="Z480" s="6">
        <f>$T480*Y480</f>
        <v/>
      </c>
      <c r="AA480" s="7" t="n">
        <v>0</v>
      </c>
      <c r="AB480" s="6">
        <f>$T480*AA480</f>
        <v/>
      </c>
      <c r="AC480" s="7" t="n">
        <v>0</v>
      </c>
      <c r="AD480" s="6">
        <f>$T480*AC480</f>
        <v/>
      </c>
      <c r="AE480" s="7" t="n">
        <v>0</v>
      </c>
      <c r="AF480" s="6">
        <f>$T480*AE480</f>
        <v/>
      </c>
      <c r="AG480" s="7" t="n">
        <v>0</v>
      </c>
      <c r="AH480" s="6">
        <f>$T480*AG480</f>
        <v/>
      </c>
      <c r="AI480" s="7">
        <f>U480+W480+Y480+AA480+AC480+AE480+AG480</f>
        <v/>
      </c>
      <c r="AJ480" s="6">
        <f>V480+X480+Z480+AB480+AD480+AF480+AH480</f>
        <v/>
      </c>
    </row>
    <row r="481" hidden="1" ht="60" customHeight="1" s="46">
      <c r="A481" s="3" t="inlineStr">
        <is>
          <t>LOM252.OC.EEA.PA01.G8237.ZA001.0250</t>
        </is>
      </c>
      <c r="B481" s="4" t="inlineStr">
        <is>
          <t>1/2</t>
        </is>
      </c>
      <c r="C481" s="3" t="inlineStr">
        <is>
          <t>IMPIANTO ELETTRICO</t>
        </is>
      </c>
      <c r="D481" s="4" t="inlineStr">
        <is>
          <t>NON SPECIALE</t>
        </is>
      </c>
      <c r="E481" s="4" t="inlineStr">
        <is>
          <t>ELETTRICHE</t>
        </is>
      </c>
      <c r="F481" s="3" t="inlineStr">
        <is>
          <t>3_CME IE RADIOFARMACIA PAVIA - REV02 VARIANTE ESECUTIVA.PDF</t>
        </is>
      </c>
      <c r="G481" s="4" t="inlineStr">
        <is>
          <t>182/182</t>
        </is>
      </c>
      <c r="H481" s="3" t="inlineStr">
        <is>
          <t>40 - IMPIANTISTICO</t>
        </is>
      </c>
      <c r="I481" s="3" t="inlineStr">
        <is>
          <t>RADIOFARMACIA</t>
        </is>
      </c>
      <c r="J481" s="3" t="inlineStr">
        <is>
          <t>IMPIANTO DI ILLUMINAZIONE</t>
        </is>
      </c>
      <c r="K481" s="3" t="inlineStr">
        <is>
          <t>OPERA: DERIVAZIONE D'IMPIANTO PUNTO LUCE, COMANDATO; IMPIEGO: DERIVAZIONE D'IMPIANTO DA INCASSO. INCLUSO: TUBO PROTETTIVO; CONDUTTORI DI ALIMENTAZIONE E DI TERRA; SCATOLE DA INCASSO; FRUTTI COMPONIBIL</t>
        </is>
      </c>
      <c r="L481" s="3" t="inlineStr">
        <is>
          <t>OPERA: DERIVAZIONE D'IMPIANTO PUNTO LUCE, COMANDATO; IMPIEGO: DERIVAZIONE D'IMPIANTO DA INCASSO. INCLUSO: TUBO PROTETTIVO; CONDUTTORI DI ALIMENTAZIONE E DI TERRA; SCATOLE DA INCASSO; FRUTTI COMPONIBILI; PLACCHE; SUPPORTI; TASSELLI/GANCI. ESCLUSO: ORGANO DI COMANDO SUL QUADRO. 
LAVORO: INSTALLAZIONE IN OPERA. INCLUSO: LINEA DI COLLEGAMENTO ALLO SPECIFICO PUNTO DI ALIMENTAZIONE; FISSAGGIO DELLE CANALIZZAZIONI A MEZZO DI TASSELLI O GANCI; ASSISTENZA PER IL TRASPORTO DEI MATERIALI AL PIANO. 
SPECIFICHE TECNICHE: COMANDATO DAL QUADRO ELETTRICO;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COMANDATO; IMPIEGO: DERIVAZIONE D'IMPIANTO DA INCASSO. INCLUSO: TUBO PROTETTIVO; CONDUTTORI DI ALIMENTAZIONE E DI TERRA; SCATOLE DA INCASSO; FRUTTI COMPONIBILI; PLACCHE; SUPPORTI; TASSELLI/GANCI. ESCLUSO: ORGANO DI COMANDO SUL QUADRO. 
SPECIFICHE TECNICHE: COMANDATO DAL QUADRO ELETTRICO;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COMANDATO; IMPIEGO: DERIVAZIONE D'IMPIANTO DA INCASSO. INCLUSO: TUBO PROTETTIVO; CONDUTTORI DI ALIMENTAZIONE E DI TERRA; SCATOLE DA INCASSO; FRUTTI COMPONIBILI; PLACCHE; SUPPORTI; TASSELLI/GANCI. ESCLUSO: ORGANO DI COMANDO SUL QUADRO 
SPECIFICHE TECNICHE: COMANDATO DAL QUADRO ELETTRICO;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81" s="4" t="inlineStr">
        <is>
          <t>CAD</t>
        </is>
      </c>
      <c r="N481" s="5" t="n">
        <v>52</v>
      </c>
      <c r="O481" s="45" t="n">
        <v>31.33</v>
      </c>
      <c r="P481" s="45" t="n">
        <v>1629.16</v>
      </c>
      <c r="Q481" s="5" t="n"/>
      <c r="R481" s="6" t="n"/>
      <c r="S481" s="6">
        <f>IF(AND(Q481&lt;&gt;"",R481&lt;&gt;""),Q481*R481,"")</f>
        <v/>
      </c>
      <c r="T481" s="45">
        <f>IF(S481="",P481,S481)</f>
        <v/>
      </c>
      <c r="U481" s="7" t="n">
        <v>0</v>
      </c>
      <c r="V481" s="6">
        <f>$T481*U481</f>
        <v/>
      </c>
      <c r="W481" s="7" t="n">
        <v>0</v>
      </c>
      <c r="X481" s="6">
        <f>$T481*W481</f>
        <v/>
      </c>
      <c r="Y481" s="7" t="n">
        <v>0</v>
      </c>
      <c r="Z481" s="6">
        <f>$T481*Y481</f>
        <v/>
      </c>
      <c r="AA481" s="7" t="n">
        <v>0</v>
      </c>
      <c r="AB481" s="6">
        <f>$T481*AA481</f>
        <v/>
      </c>
      <c r="AC481" s="7" t="n">
        <v>0</v>
      </c>
      <c r="AD481" s="6">
        <f>$T481*AC481</f>
        <v/>
      </c>
      <c r="AE481" s="7" t="n">
        <v>0</v>
      </c>
      <c r="AF481" s="6">
        <f>$T481*AE481</f>
        <v/>
      </c>
      <c r="AG481" s="7" t="n">
        <v>0</v>
      </c>
      <c r="AH481" s="6">
        <f>$T481*AG481</f>
        <v/>
      </c>
      <c r="AI481" s="7">
        <f>U481+W481+Y481+AA481+AC481+AE481+AG481</f>
        <v/>
      </c>
      <c r="AJ481" s="6">
        <f>V481+X481+Z481+AB481+AD481+AF481+AH481</f>
        <v/>
      </c>
    </row>
    <row r="482" hidden="1" ht="60" customHeight="1" s="46">
      <c r="A482" s="3" t="inlineStr">
        <is>
          <t>LOM252.OC.EEA.PA01.G8237.ZA001.1005</t>
        </is>
      </c>
      <c r="B482" s="4" t="inlineStr">
        <is>
          <t>1/2</t>
        </is>
      </c>
      <c r="C482" s="3" t="inlineStr">
        <is>
          <t>IMPIANTO ELETTRICO</t>
        </is>
      </c>
      <c r="D482" s="4" t="inlineStr">
        <is>
          <t>NON SPECIALE</t>
        </is>
      </c>
      <c r="E482" s="4" t="inlineStr">
        <is>
          <t>ELETTRICHE</t>
        </is>
      </c>
      <c r="F482" s="3" t="inlineStr">
        <is>
          <t>3_CME IE RADIOFARMACIA PAVIA - REV02 VARIANTE ESECUTIVA.PDF</t>
        </is>
      </c>
      <c r="G482" s="4" t="inlineStr">
        <is>
          <t>183/183</t>
        </is>
      </c>
      <c r="H482" s="3" t="inlineStr">
        <is>
          <t>40 - IMPIANTISTICO</t>
        </is>
      </c>
      <c r="I482" s="3" t="inlineStr">
        <is>
          <t>RADIOFARMACIA</t>
        </is>
      </c>
      <c r="J482" s="3" t="inlineStr">
        <is>
          <t>IMPIANTO DI ILLUMINAZIONE</t>
        </is>
      </c>
      <c r="K482" s="3" t="inlineStr">
        <is>
          <t>OPERA: DERIVAZIONE D'IMPIANTO PUNTO LUCE, INTERROTTO; GEOMETRIA: INTERRUTTORE UNIPOLARE; IMPIEGO: DERIVAZIONE D'IMPIANTO DA INCASSO; TENSIONE NOMINALE SPIA [V] = 230. INCLUSO: TUBO PROTETTIVO; CONDUTT</t>
        </is>
      </c>
      <c r="L482" s="3" t="inlineStr">
        <is>
          <t>OPERA: DERIVAZIONE D'IMPIANTO PUNTO LUCE, INTERROTTO; GEOMETRIA: INTERRUTTORE UNIPOLARE; IMPIEGO: DERIVAZIONE D'IMPIANTO DA INCASSO; TENSIONE NOMINALE SPIA [V] = 230. INCLUSO: TUBO PROTETTIVO; CONDUTTORI DI ALIMENTAZIONE E DI TERRA; SCATOLE DA INCASSO; FRUTTI COMPONIBILI; PLACCHE; SUPPORTI; TASSELLI/GANCI. 
LAVORO: INSTALLAZIONE IN OPERA. INCLUSO: LINEA DI COLLEGAMENTO ALLO SPECIFICO PUNTO DI ALIMENTAZIONE; ASSISTENZA PER IL TRASPORTO DEI MATERIALI AL PIANO.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INTERROTTO; GEOMETRIA: INTERRUTTORE UNIPOLARE; IMPIEGO: DERIVAZIONE D'IMPIANTO DA INCASSO; TENSIONE NOMINALE SPIA [V] = 230.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INTERROTTO; GEOMETRIA: INTERRUTTORE UNIPOLARE; IMPIEGO: DERIVAZIONE D'IMPIANTO DA INCASSO; TENSIONE NOMINALE SPIA [V] = 230.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ASSISTENZA PER IL TRASPORTO DEI MATERIALI AL PIANO.</t>
        </is>
      </c>
      <c r="M482" s="4" t="inlineStr">
        <is>
          <t>CAD</t>
        </is>
      </c>
      <c r="N482" s="5" t="n">
        <v>10</v>
      </c>
      <c r="O482" s="45" t="n">
        <v>48.82</v>
      </c>
      <c r="P482" s="45" t="n">
        <v>488.2</v>
      </c>
      <c r="Q482" s="5" t="n"/>
      <c r="R482" s="6" t="n"/>
      <c r="S482" s="6">
        <f>IF(AND(Q482&lt;&gt;"",R482&lt;&gt;""),Q482*R482,"")</f>
        <v/>
      </c>
      <c r="T482" s="45">
        <f>IF(S482="",P482,S482)</f>
        <v/>
      </c>
      <c r="U482" s="7" t="n">
        <v>0</v>
      </c>
      <c r="V482" s="6">
        <f>$T482*U482</f>
        <v/>
      </c>
      <c r="W482" s="7" t="n">
        <v>0</v>
      </c>
      <c r="X482" s="6">
        <f>$T482*W482</f>
        <v/>
      </c>
      <c r="Y482" s="7" t="n">
        <v>0</v>
      </c>
      <c r="Z482" s="6">
        <f>$T482*Y482</f>
        <v/>
      </c>
      <c r="AA482" s="7" t="n">
        <v>0</v>
      </c>
      <c r="AB482" s="6">
        <f>$T482*AA482</f>
        <v/>
      </c>
      <c r="AC482" s="7" t="n">
        <v>0</v>
      </c>
      <c r="AD482" s="6">
        <f>$T482*AC482</f>
        <v/>
      </c>
      <c r="AE482" s="7" t="n">
        <v>0</v>
      </c>
      <c r="AF482" s="6">
        <f>$T482*AE482</f>
        <v/>
      </c>
      <c r="AG482" s="7" t="n">
        <v>0</v>
      </c>
      <c r="AH482" s="6">
        <f>$T482*AG482</f>
        <v/>
      </c>
      <c r="AI482" s="7">
        <f>U482+W482+Y482+AA482+AC482+AE482+AG482</f>
        <v/>
      </c>
      <c r="AJ482" s="6">
        <f>V482+X482+Z482+AB482+AD482+AF482+AH482</f>
        <v/>
      </c>
    </row>
    <row r="483" hidden="1" ht="60" customHeight="1" s="46">
      <c r="A483" s="3" t="inlineStr">
        <is>
          <t>LOM252.OC.EEA.PA01.G8237.ZA001.0000</t>
        </is>
      </c>
      <c r="B483" s="4" t="inlineStr">
        <is>
          <t>1/2</t>
        </is>
      </c>
      <c r="C483" s="3" t="inlineStr">
        <is>
          <t>IMPIANTO ELETTRICO</t>
        </is>
      </c>
      <c r="D483" s="4" t="inlineStr">
        <is>
          <t>NON SPECIALE</t>
        </is>
      </c>
      <c r="E483" s="4" t="inlineStr">
        <is>
          <t>ELETTRICHE</t>
        </is>
      </c>
      <c r="F483" s="3" t="inlineStr">
        <is>
          <t>3_CME IE RADIOFARMACIA PAVIA - REV02 VARIANTE ESECUTIVA.PDF</t>
        </is>
      </c>
      <c r="G483" s="4" t="inlineStr">
        <is>
          <t>184/184</t>
        </is>
      </c>
      <c r="H483" s="3" t="inlineStr">
        <is>
          <t>40 - IMPIANTISTICO</t>
        </is>
      </c>
      <c r="I483" s="3" t="inlineStr">
        <is>
          <t>RADIOFARMACIA</t>
        </is>
      </c>
      <c r="J483" s="3" t="inlineStr">
        <is>
          <t>IMPIANTO DI ILLUMINAZIONE</t>
        </is>
      </c>
      <c r="K483" s="3" t="inlineStr">
        <is>
          <t>OPERA: DERIVAZIONE D'IMPIANTO PUNTO LUCE, A RELÈ; GEOMETRIA: INTERRUTTORE BIPOLARE; IMPIEGO: DERIVAZIONE D'IMPIANTO DA INCASSO. INCLUSO: RELÈ PASSO-PASSO BIPOLARE DA CASSETTA; TUBO PROTETTIVO; CONDUTT</t>
        </is>
      </c>
      <c r="L483" s="3" t="inlineStr">
        <is>
          <t>OPERA: DERIVAZIONE D'IMPIANTO PUNTO LUCE, A RELÈ; GEOMETRIA: INTERRUTTORE BIPOLARE; IMPIEGO: DERIVAZIONE D'IMPIANTO DA INCASSO. INCLUSO: RELÈ PASSO-PASSO BIPOLARE DA CASSETTA;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A RELÈ; GEOMETRIA: INTERRUTTORE BIPOLARE; IMPIEGO: DERIVAZIONE D'IMPIANTO DA INCASSO. INCLUSO: RELÈ PASSO-PASSO BIPOLARE DA CASSETTA;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A RELÈ; GEOMETRIA: INTERRUTTORE BIPOLARE; IMPIEGO: DERIVAZIONE D'IMPIANTO DA INCASSO. INCLUSO: RELÈ PASSO-PASSO BIPOLARE DA CASSETTA;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83" s="4" t="inlineStr">
        <is>
          <t>CAD</t>
        </is>
      </c>
      <c r="N483" s="5" t="n">
        <v>22</v>
      </c>
      <c r="O483" s="45" t="n">
        <v>52.37</v>
      </c>
      <c r="P483" s="45" t="n">
        <v>1152.14</v>
      </c>
      <c r="Q483" s="5" t="n"/>
      <c r="R483" s="6" t="n"/>
      <c r="S483" s="6">
        <f>IF(AND(Q483&lt;&gt;"",R483&lt;&gt;""),Q483*R483,"")</f>
        <v/>
      </c>
      <c r="T483" s="45">
        <f>IF(S483="",P483,S483)</f>
        <v/>
      </c>
      <c r="U483" s="7" t="n">
        <v>0</v>
      </c>
      <c r="V483" s="6">
        <f>$T483*U483</f>
        <v/>
      </c>
      <c r="W483" s="7" t="n">
        <v>0</v>
      </c>
      <c r="X483" s="6">
        <f>$T483*W483</f>
        <v/>
      </c>
      <c r="Y483" s="7" t="n">
        <v>0</v>
      </c>
      <c r="Z483" s="6">
        <f>$T483*Y483</f>
        <v/>
      </c>
      <c r="AA483" s="7" t="n">
        <v>0</v>
      </c>
      <c r="AB483" s="6">
        <f>$T483*AA483</f>
        <v/>
      </c>
      <c r="AC483" s="7" t="n">
        <v>0</v>
      </c>
      <c r="AD483" s="6">
        <f>$T483*AC483</f>
        <v/>
      </c>
      <c r="AE483" s="7" t="n">
        <v>0</v>
      </c>
      <c r="AF483" s="6">
        <f>$T483*AE483</f>
        <v/>
      </c>
      <c r="AG483" s="7" t="n">
        <v>0</v>
      </c>
      <c r="AH483" s="6">
        <f>$T483*AG483</f>
        <v/>
      </c>
      <c r="AI483" s="7">
        <f>U483+W483+Y483+AA483+AC483+AE483+AG483</f>
        <v/>
      </c>
      <c r="AJ483" s="6">
        <f>V483+X483+Z483+AB483+AD483+AF483+AH483</f>
        <v/>
      </c>
    </row>
    <row r="484" hidden="1" ht="60" customHeight="1" s="46">
      <c r="A484" s="3" t="inlineStr">
        <is>
          <t>LOM252.OC.EEA.PA01.G8237.ZA001.0750</t>
        </is>
      </c>
      <c r="B484" s="4" t="inlineStr">
        <is>
          <t>1/2</t>
        </is>
      </c>
      <c r="C484" s="3" t="inlineStr">
        <is>
          <t>IMPIANTO ELETTRICO</t>
        </is>
      </c>
      <c r="D484" s="4" t="inlineStr">
        <is>
          <t>NON SPECIALE</t>
        </is>
      </c>
      <c r="E484" s="4" t="inlineStr">
        <is>
          <t>ELETTRICHE</t>
        </is>
      </c>
      <c r="F484" s="3" t="inlineStr">
        <is>
          <t>3_CME IE RADIOFARMACIA PAVIA - REV02 VARIANTE ESECUTIVA.PDF</t>
        </is>
      </c>
      <c r="G484" s="4" t="inlineStr">
        <is>
          <t>185/185</t>
        </is>
      </c>
      <c r="H484" s="3" t="inlineStr">
        <is>
          <t>40 - IMPIANTISTICO</t>
        </is>
      </c>
      <c r="I484" s="3" t="inlineStr">
        <is>
          <t>RADIOFARMACIA</t>
        </is>
      </c>
      <c r="J484" s="3" t="inlineStr">
        <is>
          <t>IMPIANTO DI ILLUMINAZIONE</t>
        </is>
      </c>
      <c r="K484" s="3" t="inlineStr">
        <is>
          <t>OPERA: DERIVAZIONE D'IMPIANTO PUNTO LUCE, IN PARALLELO; IMPIEGO: DERIVAZIONE D'IMPIANTO DA INCASSO. INCLUSO: TUBO PROTETTIVO; CONDUTTORI DI ALIMENTAZIONE E DI TERRA; SCATOLE DA INCASSO; FRUTTI COMPONI</t>
        </is>
      </c>
      <c r="L484" s="3" t="inlineStr">
        <is>
          <t>OPERA: DERIVAZIONE D'IMPIANTO PUNTO LUCE, IN PARALLELO; IMPIEGO: DERIVAZIONE D'IMPIANTO DA INCASSO.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DA INCASSO. INCLUSO: TUBO PROTETTIVO; CONDUTTORI DI ALIMENTAZIONE E DI TERRA; SCATOLE DA INCASSO; FRUTTI COMPONIBILI; PLACCHE; SUPPORTI; TASSELLI/GANCI. 
SPECIFICHE TECNICHE: IN PARALLELO AD UNA QUALSIASI DERIVAZIONE;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DA INCASSO. INCLUSO: TUBO PROTETTIVO; CONDUTTORI DI ALIMENTAZIONE E DI TERRA; SCATOLE DA INCASSO; FRUTTI COMPONIBILI; PLACCHE; SUPPORTI; TASSELLI/GANCI 
SPECIFICHE TECNICHE: IN PARALLELO AD UNA QUALSIASI DERIVAZIONE;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84" s="4" t="inlineStr">
        <is>
          <t>CAD</t>
        </is>
      </c>
      <c r="N484" s="5" t="n">
        <v>101</v>
      </c>
      <c r="O484" s="45" t="n">
        <v>31.33</v>
      </c>
      <c r="P484" s="45" t="n">
        <v>3164.33</v>
      </c>
      <c r="Q484" s="5" t="n"/>
      <c r="R484" s="6" t="n"/>
      <c r="S484" s="6">
        <f>IF(AND(Q484&lt;&gt;"",R484&lt;&gt;""),Q484*R484,"")</f>
        <v/>
      </c>
      <c r="T484" s="45">
        <f>IF(S484="",P484,S484)</f>
        <v/>
      </c>
      <c r="U484" s="7" t="n">
        <v>0</v>
      </c>
      <c r="V484" s="6">
        <f>$T484*U484</f>
        <v/>
      </c>
      <c r="W484" s="7" t="n">
        <v>0</v>
      </c>
      <c r="X484" s="6">
        <f>$T484*W484</f>
        <v/>
      </c>
      <c r="Y484" s="7" t="n">
        <v>0</v>
      </c>
      <c r="Z484" s="6">
        <f>$T484*Y484</f>
        <v/>
      </c>
      <c r="AA484" s="7" t="n">
        <v>0</v>
      </c>
      <c r="AB484" s="6">
        <f>$T484*AA484</f>
        <v/>
      </c>
      <c r="AC484" s="7" t="n">
        <v>0</v>
      </c>
      <c r="AD484" s="6">
        <f>$T484*AC484</f>
        <v/>
      </c>
      <c r="AE484" s="7" t="n">
        <v>0</v>
      </c>
      <c r="AF484" s="6">
        <f>$T484*AE484</f>
        <v/>
      </c>
      <c r="AG484" s="7" t="n">
        <v>0</v>
      </c>
      <c r="AH484" s="6">
        <f>$T484*AG484</f>
        <v/>
      </c>
      <c r="AI484" s="7">
        <f>U484+W484+Y484+AA484+AC484+AE484+AG484</f>
        <v/>
      </c>
      <c r="AJ484" s="6">
        <f>V484+X484+Z484+AB484+AD484+AF484+AH484</f>
        <v/>
      </c>
    </row>
    <row r="485" hidden="1" ht="60" customHeight="1" s="46">
      <c r="A485" s="3" t="inlineStr">
        <is>
          <t>LOM252.OC.EEA.PA02.H8204.ZA001.0785</t>
        </is>
      </c>
      <c r="B485" s="4" t="inlineStr">
        <is>
          <t>1/1</t>
        </is>
      </c>
      <c r="C485" s="3" t="inlineStr">
        <is>
          <t>IMPIANTO ELETTRICO</t>
        </is>
      </c>
      <c r="D485" s="4" t="inlineStr">
        <is>
          <t>NON SPECIALE</t>
        </is>
      </c>
      <c r="E485" s="4" t="inlineStr">
        <is>
          <t>ELETTRICHE</t>
        </is>
      </c>
      <c r="F485" s="3" t="inlineStr">
        <is>
          <t>3_CME IE RADIOFARMACIA PAVIA - REV02 VARIANTE ESECUTIVA.PDF</t>
        </is>
      </c>
      <c r="G485" s="4" t="inlineStr">
        <is>
          <t>186/186</t>
        </is>
      </c>
      <c r="H485" s="3" t="inlineStr">
        <is>
          <t>40 - IMPIANTISTICO</t>
        </is>
      </c>
      <c r="I485" s="3" t="inlineStr">
        <is>
          <t>RADIOFARMACIA</t>
        </is>
      </c>
      <c r="J485" s="3" t="inlineStr">
        <is>
          <t>IMPIANTO DI ILLUMINAZIONE</t>
        </is>
      </c>
      <c r="K485" s="3" t="inlineStr">
        <is>
          <t xml:space="preserve">OPERA: RIVEVLATORE, AD INFRAROSSI PASSIVI; FUNZIONE: RIVELATORE DI PRESENZA. </t>
        </is>
      </c>
      <c r="L485" s="3" t="inlineStr">
        <is>
          <t>OPERA: RIVEVLATORE, AD INFRAROSSI PASSIVI; FUNZIONE: RIVELATORE DI PRESENZA. 
LAVORO: POSA. OP RIVEVLATORE, AD INFRAROSSI PASSIVI; FUNZIONE: RIVELATORE DI PRESENZA. 
RM RIVELATORE AD INFRAROSSI PASSIVI; FUNZIONE: RIVELATORE DI PRESENZA 
LV POSA.</t>
        </is>
      </c>
      <c r="M485" s="4" t="inlineStr">
        <is>
          <t>CAD</t>
        </is>
      </c>
      <c r="N485" s="5" t="n">
        <v>12</v>
      </c>
      <c r="O485" s="45" t="n">
        <v>69.97</v>
      </c>
      <c r="P485" s="45" t="n">
        <v>839.64</v>
      </c>
      <c r="Q485" s="5" t="n"/>
      <c r="R485" s="6" t="n"/>
      <c r="S485" s="6">
        <f>IF(AND(Q485&lt;&gt;"",R485&lt;&gt;""),Q485*R485,"")</f>
        <v/>
      </c>
      <c r="T485" s="45">
        <f>IF(S485="",P485,S485)</f>
        <v/>
      </c>
      <c r="U485" s="7" t="n">
        <v>0</v>
      </c>
      <c r="V485" s="6">
        <f>$T485*U485</f>
        <v/>
      </c>
      <c r="W485" s="7" t="n">
        <v>0</v>
      </c>
      <c r="X485" s="6">
        <f>$T485*W485</f>
        <v/>
      </c>
      <c r="Y485" s="7" t="n">
        <v>0</v>
      </c>
      <c r="Z485" s="6">
        <f>$T485*Y485</f>
        <v/>
      </c>
      <c r="AA485" s="7" t="n">
        <v>0</v>
      </c>
      <c r="AB485" s="6">
        <f>$T485*AA485</f>
        <v/>
      </c>
      <c r="AC485" s="7" t="n">
        <v>0</v>
      </c>
      <c r="AD485" s="6">
        <f>$T485*AC485</f>
        <v/>
      </c>
      <c r="AE485" s="7" t="n">
        <v>0</v>
      </c>
      <c r="AF485" s="6">
        <f>$T485*AE485</f>
        <v/>
      </c>
      <c r="AG485" s="7" t="n">
        <v>0</v>
      </c>
      <c r="AH485" s="6">
        <f>$T485*AG485</f>
        <v/>
      </c>
      <c r="AI485" s="7">
        <f>U485+W485+Y485+AA485+AC485+AE485+AG485</f>
        <v/>
      </c>
      <c r="AJ485" s="6">
        <f>V485+X485+Z485+AB485+AD485+AF485+AH485</f>
        <v/>
      </c>
    </row>
    <row r="486" hidden="1" ht="60" customHeight="1" s="46">
      <c r="A486" s="3" t="inlineStr">
        <is>
          <t>IE_NP_ILLEM01</t>
        </is>
      </c>
      <c r="B486" s="4" t="inlineStr">
        <is>
          <t>1/2</t>
        </is>
      </c>
      <c r="C486" s="3" t="inlineStr">
        <is>
          <t>IMPIANTO ELETTRICO</t>
        </is>
      </c>
      <c r="D486" s="4" t="inlineStr">
        <is>
          <t>NON SPECIALE</t>
        </is>
      </c>
      <c r="E486" s="4" t="inlineStr">
        <is>
          <t>ELETTRICHE</t>
        </is>
      </c>
      <c r="F486" s="3" t="inlineStr">
        <is>
          <t>3_CME IE RADIOFARMACIA PAVIA - REV02 VARIANTE ESECUTIVA.PDF</t>
        </is>
      </c>
      <c r="G486" s="4" t="inlineStr">
        <is>
          <t>187/187</t>
        </is>
      </c>
      <c r="H486" s="3" t="inlineStr">
        <is>
          <t>40 - IMPIANTISTICO</t>
        </is>
      </c>
      <c r="I486" s="3" t="inlineStr">
        <is>
          <t>RADIOFARMACIA</t>
        </is>
      </c>
      <c r="J486" s="3" t="inlineStr">
        <is>
          <t>IMPIANTO DI ILLUMINAZIONE</t>
        </is>
      </c>
      <c r="K486" s="3" t="inlineStr">
        <is>
          <t>MODULO INVERTER PER ILLUMINAZIONE DI EMERGENZA CON CONTROLLO LOCALE E CENTRALIZZATO, COSTITUITA DA UN COMPLESSO ELETTRONICO DI COMANDO E DA BATTERIE AL NI-CD, AUTONOMIA MINIMA 1,5 ORE, INSTALLABILE IN</t>
        </is>
      </c>
      <c r="L486" s="3" t="inlineStr">
        <is>
          <t>MODULO INVERTER PER ILLUMINAZIONE DI EMERGENZA CON CONTROLLO LOCALE E CENTRALIZZATO, COSTITUITA DA UN COMPLESSO ELETTRONICO DI COMANDO E DA BATTERIE AL NI-CD, AUTONOMIA MINIMA 1,5 ORE, INSTALLABILE IN PLAFONIERA E ADATTA PER L'ACCENSIONE DI MODULI LED; IDONEO ALL'IMPIEGO PER ILLUMINAZIONE PERMANENTE E NON PERMANENTE.</t>
        </is>
      </c>
      <c r="M486" s="4" t="inlineStr">
        <is>
          <t>CADAUNO</t>
        </is>
      </c>
      <c r="N486" s="5" t="n">
        <v>22</v>
      </c>
      <c r="O486" s="45" t="n">
        <v>118.59</v>
      </c>
      <c r="P486" s="45" t="n">
        <v>2608.98</v>
      </c>
      <c r="Q486" s="5" t="n"/>
      <c r="R486" s="6" t="n"/>
      <c r="S486" s="6">
        <f>IF(AND(Q486&lt;&gt;"",R486&lt;&gt;""),Q486*R486,"")</f>
        <v/>
      </c>
      <c r="T486" s="45">
        <f>IF(S486="",P486,S486)</f>
        <v/>
      </c>
      <c r="U486" s="7" t="n">
        <v>0</v>
      </c>
      <c r="V486" s="6">
        <f>$T486*U486</f>
        <v/>
      </c>
      <c r="W486" s="7" t="n">
        <v>0</v>
      </c>
      <c r="X486" s="6">
        <f>$T486*W486</f>
        <v/>
      </c>
      <c r="Y486" s="7" t="n">
        <v>0</v>
      </c>
      <c r="Z486" s="6">
        <f>$T486*Y486</f>
        <v/>
      </c>
      <c r="AA486" s="7" t="n">
        <v>0</v>
      </c>
      <c r="AB486" s="6">
        <f>$T486*AA486</f>
        <v/>
      </c>
      <c r="AC486" s="7" t="n">
        <v>0</v>
      </c>
      <c r="AD486" s="6">
        <f>$T486*AC486</f>
        <v/>
      </c>
      <c r="AE486" s="7" t="n">
        <v>0</v>
      </c>
      <c r="AF486" s="6">
        <f>$T486*AE486</f>
        <v/>
      </c>
      <c r="AG486" s="7" t="n">
        <v>0</v>
      </c>
      <c r="AH486" s="6">
        <f>$T486*AG486</f>
        <v/>
      </c>
      <c r="AI486" s="7">
        <f>U486+W486+Y486+AA486+AC486+AE486+AG486</f>
        <v/>
      </c>
      <c r="AJ486" s="6">
        <f>V486+X486+Z486+AB486+AD486+AF486+AH486</f>
        <v/>
      </c>
    </row>
    <row r="487" hidden="1" ht="60" customHeight="1" s="46">
      <c r="A487" s="3" t="inlineStr">
        <is>
          <t>IE_NP_ILLORD01</t>
        </is>
      </c>
      <c r="B487" s="4" t="inlineStr">
        <is>
          <t>4/5</t>
        </is>
      </c>
      <c r="C487" s="3" t="inlineStr">
        <is>
          <t>IMPIANTO ELETTRICO</t>
        </is>
      </c>
      <c r="D487" s="4" t="inlineStr">
        <is>
          <t>NON SPECIALE</t>
        </is>
      </c>
      <c r="E487" s="4" t="inlineStr">
        <is>
          <t>ELETTRICHE</t>
        </is>
      </c>
      <c r="F487" s="3" t="inlineStr">
        <is>
          <t>3_CME IE RADIOFARMACIA PAVIA - REV02 VARIANTE ESECUTIVA.PDF</t>
        </is>
      </c>
      <c r="G487" s="4" t="inlineStr">
        <is>
          <t>188/188</t>
        </is>
      </c>
      <c r="H487" s="3" t="inlineStr">
        <is>
          <t>40 - IMPIANTISTICO</t>
        </is>
      </c>
      <c r="I487" s="3" t="inlineStr">
        <is>
          <t>RADIOFARMACIA</t>
        </is>
      </c>
      <c r="J487" s="3" t="inlineStr">
        <is>
          <t>IMPIANTO DI ILLUMINAZIONE</t>
        </is>
      </c>
      <c r="K487" s="3" t="inlineStr">
        <is>
          <t>FORNITURA E POSA IN OPERA DI APPARECCHIO ILLUMINANTE INDUSTRIALE DI TIPO STAGNO INSTALLATO A PLAFONE E/O A SOSPENSIONE E TUTTI GLI ACCESSORI NECESSARI PER IL PERFETTO FUNZIONAMENTO DEL CORPO ILLUMINAN</t>
        </is>
      </c>
      <c r="L487" s="3" t="inlineStr">
        <is>
          <t>FORNITURA E POSA IN OPERA DI APPARECCHIO ILLUMINANTE INDUSTRIALE DI TIPO STAGNO INSTALLATO A PLAFONE E/O A SOSPENSIONE E TUTTI GLI ACCESSORI NECESSARI PER IL PERFETTO FUNZIONAMENTO DEL CORPO ILLUMINANTE. 
CARATTERISTICHE GENERALI: 
CLASSIFICAZIONE RISCHIO FOTOBIOLOGICO: RG0 GRUPPO ESENTE. 
TEMPERATURA COLORE 4000K 
POTENZA ASSORBITA (W TOT) 34W 
FLUSSO LUMINOSO USCENTE 5194LM 
CRI &gt;=80 
CLASSE DI ISOLAMENTO I 
LOW FLICKER &lt;3% 
GRADO DI PROTEZIONE IP66 
PESO 1.8KG 
NORME DI RIFERIMENTO EN 60598-1, EN 60598-2-1, EN 62471, UNI EN 13032-1:2012, UNI EN 13032-4:2015, IES LM-79-08 
MANTENIMENTO DEL FLUSSO LUMINOSO LED L80B20: 50.000H  
CARATTERISTICHE ELETTRICHE DI PILOTAGGIO 
ALIMENTAZIONE ELETTRONICA 230V-50/60HZ, 
FATTORE DI POTENZA ≥0,95 
MATERIALI 
CORPO: STAMPATO AD INIEZIONE IN POLICARBONATO GRIGIO, INFRANGIBILE, STABILIZZATO AI RAGGI UV, DI ELEVATA RESISTENZA MECCANICA GRAZIE ALLA STRUTTURA RINFORZATA DA NERVATURE INTERNE. 
DIFFUSORE: STAMPATO AD INIEZIONE IN POLICARBONATO CON RIGHE INTERNE PER UN MAGGIOR CONTROLLO LUMINOSO, AUTOESTINGUENTE V2, STABILIZZATO AI RAGGI UV, FINITURA ESTERNA LISCIA PER FACILITARE LA PULIZIA NECESSARIA PER AVERE LA MASSIMA EFFICIENZA LUMINOSA. IL POLICARBONATO UTILIZZATO È DI PRIMA SCELTA E STABILIZZATO AI RAGGI U.V. LA LAVORAZIONE ELIMINA L’EFFETTO DELL’ABBAGLIAMENTO MA NON DIMINUISCE IL RENDIMENTO. POLICARBONATO CON OTTIMO COEFFICIENTE DI DIFFUSIONE E DI TRASMISSIONE DELLA LUCE. CHIUSURA A INCASTRO E CON VITI DI SICUREZZA IN ACCIAIO INOX. 
RIFLETTORE IN ACCIAIO ZINCATO PREVERNICIATO BIANCO A FORNO CON RESINA POLIESTERE STABILIZZATO AI RAGGI UV. FISSATO AL CORPO CON INNESTO RAPIDO MEDIANTE DISPOSITIVO RICAVATO DIRETTAMENTE SUL CORPO. 
SONO COMPRESI LA MANODOPERA, GLI ALLACCIAMENTI ELETTRICI, GLI ACCESSORI DI MONTAGGIO, FISSAGGIO, ALIMENTAZIONE, SOSTEGNO, OGNI ONERE ACCESSORIO PER L’INSTALLAZIONE DELLA PLAFONIERA COME DA PROGETTO E MATERIALI DI CONSUMO. 
APPARECCHIO DISANO - MODELLO 960 HYDRO LED - MONEY SAVING  - ART. 164754-00 O EQUIVALENTE APPROVATO</t>
        </is>
      </c>
      <c r="M487" s="4" t="inlineStr">
        <is>
          <t>CADAUNO</t>
        </is>
      </c>
      <c r="N487" s="5" t="n">
        <v>0</v>
      </c>
      <c r="O487" s="45" t="n">
        <v>0</v>
      </c>
      <c r="P487" s="45" t="n">
        <v>0</v>
      </c>
      <c r="Q487" s="5" t="n"/>
      <c r="R487" s="6" t="n"/>
      <c r="S487" s="6">
        <f>IF(AND(Q487&lt;&gt;"",R487&lt;&gt;""),Q487*R487,"")</f>
        <v/>
      </c>
      <c r="T487" s="45">
        <f>IF(S487="",P487,S487)</f>
        <v/>
      </c>
      <c r="U487" s="7" t="n">
        <v>0</v>
      </c>
      <c r="V487" s="6">
        <f>$T487*U487</f>
        <v/>
      </c>
      <c r="W487" s="7" t="n">
        <v>0</v>
      </c>
      <c r="X487" s="6">
        <f>$T487*W487</f>
        <v/>
      </c>
      <c r="Y487" s="7" t="n">
        <v>0</v>
      </c>
      <c r="Z487" s="6">
        <f>$T487*Y487</f>
        <v/>
      </c>
      <c r="AA487" s="7" t="n">
        <v>0</v>
      </c>
      <c r="AB487" s="6">
        <f>$T487*AA487</f>
        <v/>
      </c>
      <c r="AC487" s="7" t="n">
        <v>0</v>
      </c>
      <c r="AD487" s="6">
        <f>$T487*AC487</f>
        <v/>
      </c>
      <c r="AE487" s="7" t="n">
        <v>0</v>
      </c>
      <c r="AF487" s="6">
        <f>$T487*AE487</f>
        <v/>
      </c>
      <c r="AG487" s="7" t="n">
        <v>0</v>
      </c>
      <c r="AH487" s="6">
        <f>$T487*AG487</f>
        <v/>
      </c>
      <c r="AI487" s="7">
        <f>U487+W487+Y487+AA487+AC487+AE487+AG487</f>
        <v/>
      </c>
      <c r="AJ487" s="6">
        <f>V487+X487+Z487+AB487+AD487+AF487+AH487</f>
        <v/>
      </c>
    </row>
    <row r="488" hidden="1" ht="60" customHeight="1" s="46">
      <c r="A488" s="3" t="inlineStr">
        <is>
          <t>IE_NP_ILLORD05</t>
        </is>
      </c>
      <c r="B488" s="4" t="inlineStr">
        <is>
          <t>1/2</t>
        </is>
      </c>
      <c r="C488" s="3" t="inlineStr">
        <is>
          <t>IMPIANTO ELETTRICO</t>
        </is>
      </c>
      <c r="D488" s="4" t="inlineStr">
        <is>
          <t>NON SPECIALE</t>
        </is>
      </c>
      <c r="E488" s="4" t="inlineStr">
        <is>
          <t>ELETTRICHE</t>
        </is>
      </c>
      <c r="F488" s="3" t="inlineStr">
        <is>
          <t>3_CME IE RADIOFARMACIA PAVIA - REV02 VARIANTE ESECUTIVA.PDF</t>
        </is>
      </c>
      <c r="G488" s="4" t="inlineStr">
        <is>
          <t>189/189</t>
        </is>
      </c>
      <c r="H488" s="3" t="inlineStr">
        <is>
          <t>40 - IMPIANTISTICO</t>
        </is>
      </c>
      <c r="I488" s="3" t="inlineStr">
        <is>
          <t>RADIOFARMACIA</t>
        </is>
      </c>
      <c r="J488" s="3" t="inlineStr">
        <is>
          <t>IMPIANTO DI ILLUMINAZIONE</t>
        </is>
      </c>
      <c r="K488" s="3" t="inlineStr">
        <is>
          <t>FORNITURA E POSA IN OPERA DI APPARECCHIO ILLUMINANTE LINEARE INSTALLATO A PARETE E TUTTI GLI ACCESSORI NECESSARI PER IL PERFETTO FUNZIONAMENTO DEL CORPO ILLUMINANTE. CARATTERISTICHE GENERALI: CLASSIFI</t>
        </is>
      </c>
      <c r="L488" s="3" t="inlineStr">
        <is>
          <t>FORNITURA E POSA IN OPERA DI APPARECCHIO ILLUMINANTE LINEARE INSTALLATO A PARETE E TUTTI GLI ACCESSORI NECESSARI PER IL PERFETTO FUNZIONAMENTO DEL CORPO ILLUMINANTE. CARATTERISTICHE GENERALI: CLASSIFICAZIONE RISCHIO FOTOBIOLOGICO: RG0 GRUPPO ESENTE. TEMPERATURA COLORE 4000K POTENZA ASSORBITA (W TOT) 28W FLUSSO LUMINOSO USCENTE 2858LM CRI &gt;=80 CLASSE DI ISOLAMENTO I LOW FLICKER &lt;3% GRADO DI PROTEZIONE IP43 PESO 1.5KG NORME DI RIFERIMENTO EN 60598-1, EN 60598-2-1, EN 62471, UNI EN 13032-1:2012, UNI EN 13032-4:2015, IES LM-79-08 MANTENIMENTO DEL FLUSSO LUMINOSO LED L80B20: 50.000H  CARATTERISTICHE ELETTRICHE DI PILOTAGGIO ALIMENTAZIONE ELETTRONICA 230V-50/60HZ, FATTORE DI POTENZA ≥0,95 MATERIALI CORPO: IN ALLUMINIO ESTRUSO CON TESTATE DI CHIUSURA DIFFUSORE: IN POLICARBONATO TRASPARENTE, ANTIABBAGLIAMENTO, INFRANGIBILE EAUTOESTINGUENTE V2, STABILIZZATO AI RAGGI UV.  APPARECCHIO DISANO - MODELLO 420 RIGO LED - ART. 214567-00 O EQUIVALENTE APPROVATO</t>
        </is>
      </c>
      <c r="M488" s="4" t="inlineStr">
        <is>
          <t>CADAUNO</t>
        </is>
      </c>
      <c r="N488" s="5" t="n">
        <v>10</v>
      </c>
      <c r="O488" s="45" t="n">
        <v>148.64</v>
      </c>
      <c r="P488" s="45" t="n">
        <v>1486.4</v>
      </c>
      <c r="Q488" s="5" t="n"/>
      <c r="R488" s="6" t="n"/>
      <c r="S488" s="6">
        <f>IF(AND(Q488&lt;&gt;"",R488&lt;&gt;""),Q488*R488,"")</f>
        <v/>
      </c>
      <c r="T488" s="45">
        <f>IF(S488="",P488,S488)</f>
        <v/>
      </c>
      <c r="U488" s="7" t="n">
        <v>0</v>
      </c>
      <c r="V488" s="6">
        <f>$T488*U488</f>
        <v/>
      </c>
      <c r="W488" s="7" t="n">
        <v>0</v>
      </c>
      <c r="X488" s="6">
        <f>$T488*W488</f>
        <v/>
      </c>
      <c r="Y488" s="7" t="n">
        <v>0</v>
      </c>
      <c r="Z488" s="6">
        <f>$T488*Y488</f>
        <v/>
      </c>
      <c r="AA488" s="7" t="n">
        <v>0</v>
      </c>
      <c r="AB488" s="6">
        <f>$T488*AA488</f>
        <v/>
      </c>
      <c r="AC488" s="7" t="n">
        <v>0</v>
      </c>
      <c r="AD488" s="6">
        <f>$T488*AC488</f>
        <v/>
      </c>
      <c r="AE488" s="7" t="n">
        <v>0</v>
      </c>
      <c r="AF488" s="6">
        <f>$T488*AE488</f>
        <v/>
      </c>
      <c r="AG488" s="7" t="n">
        <v>0</v>
      </c>
      <c r="AH488" s="6">
        <f>$T488*AG488</f>
        <v/>
      </c>
      <c r="AI488" s="7">
        <f>U488+W488+Y488+AA488+AC488+AE488+AG488</f>
        <v/>
      </c>
      <c r="AJ488" s="6">
        <f>V488+X488+Z488+AB488+AD488+AF488+AH488</f>
        <v/>
      </c>
    </row>
    <row r="489" ht="60" customHeight="1" s="46">
      <c r="A489" s="3" t="inlineStr">
        <is>
          <t>IE_NP_ILLORD03</t>
        </is>
      </c>
      <c r="B489" s="4" t="inlineStr">
        <is>
          <t>1/1</t>
        </is>
      </c>
      <c r="C489" s="3" t="inlineStr">
        <is>
          <t>IMPIANTO ELETTRICO</t>
        </is>
      </c>
      <c r="D489" s="4" t="inlineStr">
        <is>
          <t>NON SPECIALE</t>
        </is>
      </c>
      <c r="E489" s="4" t="inlineStr">
        <is>
          <t>ELETTRICHE</t>
        </is>
      </c>
      <c r="F489" s="3" t="inlineStr">
        <is>
          <t>3_CME IE RADIOFARMACIA PAVIA - REV02 VARIANTE ESECUTIVA.PDF</t>
        </is>
      </c>
      <c r="G489" s="4" t="inlineStr">
        <is>
          <t>190/190</t>
        </is>
      </c>
      <c r="H489" s="3" t="inlineStr">
        <is>
          <t>40 - IMPIANTISTICO</t>
        </is>
      </c>
      <c r="I489" s="3" t="inlineStr">
        <is>
          <t>RADIOFARMACIA</t>
        </is>
      </c>
      <c r="J489" s="3" t="inlineStr">
        <is>
          <t>IMPIANTO DI ILLUMINAZIONE</t>
        </is>
      </c>
      <c r="K489" s="3" t="inlineStr">
        <is>
          <t>PLAFONIERA AD INCASSO PER CONTROSOFFITTATURE A PANNELLI ADATTA AD UFFICI E CORRIDOI. PRODOTTO IN CONFORMITÀ ALLE NORME EN 60598 CEI 34-21, CLASSE DI ISOLAMENTO I E GRADO DI PROTEZIONE IP40 - IK05 IN C</t>
        </is>
      </c>
      <c r="L489" s="3" t="inlineStr">
        <is>
          <t>PLAFONIERA AD INCASSO PER CONTROSOFFITTATURE A PANNELLI ADATTA AD UFFICI E CORRIDOI. PRODOTTO IN CONFORMITÀ ALLE NORME EN 60598 CEI 34-21, CLASSE DI ISOLAMENTO I E GRADO DI PROTEZIONE IP40 - IK05 IN CONFORMITÀ ALLE NORME EN 60529 E EN 50102. CORPO IN ACCIAIO ZINCATO PREVERNICIATO CON RESINA POLIESTERE, OTTICA AD ALVEOLI A DOPPIA PARABOLICITÀ ANTIRIFLESSO IN ALLUMINIO SPECULARE A BASSISSIMA LUMINANZA; EQUIPAGGIATA CON - MODULO DA: - LAMPADE LED 4000K 4200 LM POTENZA 45 W - MODULO DA 600 X 600 MM APPARECCHIO BEGHELLI - MODELLO BEGHELLI PAN LED 70022 O EQUIVALENTE APPROVATO</t>
        </is>
      </c>
      <c r="M489" s="4" t="inlineStr">
        <is>
          <t>CADAUNO</t>
        </is>
      </c>
      <c r="N489" s="5" t="n">
        <v>99</v>
      </c>
      <c r="O489" s="45" t="n">
        <v>303.58</v>
      </c>
      <c r="P489" s="45" t="n">
        <v>30054.42</v>
      </c>
      <c r="Q489" s="5" t="n"/>
      <c r="R489" s="6" t="n"/>
      <c r="S489" s="6">
        <f>IF(AND(Q489&lt;&gt;"",R489&lt;&gt;""),Q489*R489,"")</f>
        <v/>
      </c>
      <c r="T489" s="45">
        <f>IF(S489="",P489,S489)</f>
        <v/>
      </c>
      <c r="U489" s="7" t="n">
        <v>0</v>
      </c>
      <c r="V489" s="6">
        <f>$T489*U489</f>
        <v/>
      </c>
      <c r="W489" s="7" t="n">
        <v>0.4</v>
      </c>
      <c r="X489" s="6">
        <f>$T489*W489</f>
        <v/>
      </c>
      <c r="Y489" s="7" t="n">
        <v>0</v>
      </c>
      <c r="Z489" s="6">
        <f>$T489*Y489</f>
        <v/>
      </c>
      <c r="AA489" s="7" t="n">
        <v>0</v>
      </c>
      <c r="AB489" s="6">
        <f>$T489*AA489</f>
        <v/>
      </c>
      <c r="AC489" s="7" t="n">
        <v>0</v>
      </c>
      <c r="AD489" s="6">
        <f>$T489*AC489</f>
        <v/>
      </c>
      <c r="AE489" s="7" t="n">
        <v>0</v>
      </c>
      <c r="AF489" s="6">
        <f>$T489*AE489</f>
        <v/>
      </c>
      <c r="AG489" s="7" t="n">
        <v>0</v>
      </c>
      <c r="AH489" s="6">
        <f>$T489*AG489</f>
        <v/>
      </c>
      <c r="AI489" s="7">
        <f>U489+W489+Y489+AA489+AC489+AE489+AG489</f>
        <v/>
      </c>
      <c r="AJ489" s="6">
        <f>V489+X489+Z489+AB489+AD489+AF489+AH489</f>
        <v/>
      </c>
    </row>
    <row r="490" ht="60" customHeight="1" s="46">
      <c r="A490" s="3" t="inlineStr">
        <is>
          <t>IE_NP_ILLORD04</t>
        </is>
      </c>
      <c r="B490" s="4" t="inlineStr">
        <is>
          <t>1/1</t>
        </is>
      </c>
      <c r="C490" s="3" t="inlineStr">
        <is>
          <t>IMPIANTO ELETTRICO</t>
        </is>
      </c>
      <c r="D490" s="4" t="inlineStr">
        <is>
          <t>NON SPECIALE</t>
        </is>
      </c>
      <c r="E490" s="4" t="inlineStr">
        <is>
          <t>ELETTRICHE</t>
        </is>
      </c>
      <c r="F490" s="3" t="inlineStr">
        <is>
          <t>3_CME IE RADIOFARMACIA PAVIA - REV02 VARIANTE ESECUTIVA.PDF</t>
        </is>
      </c>
      <c r="G490" s="4" t="inlineStr">
        <is>
          <t>191/191</t>
        </is>
      </c>
      <c r="H490" s="3" t="inlineStr">
        <is>
          <t>40 - IMPIANTISTICO</t>
        </is>
      </c>
      <c r="I490" s="3" t="inlineStr">
        <is>
          <t>RADIOFARMACIA</t>
        </is>
      </c>
      <c r="J490" s="3" t="inlineStr">
        <is>
          <t>IMPIANTO DI ILLUMINAZIONE</t>
        </is>
      </c>
      <c r="K490" s="3" t="inlineStr">
        <is>
          <t>FARETTO DA INCASSO PER INTERNI. PRODOTTO IN CONFORMITÀ ALLE NORME EN 60598-1 CEI 34-21, CLASSE DI ISOLAMENTO I E GRADO DI PROTEZIONE IP40 - IK07 IN CONFORMITÀ ALLE NORME EN 60529 E EN 50102.   CORPO I</t>
        </is>
      </c>
      <c r="L490" s="3" t="inlineStr">
        <is>
          <t>FARETTO DA INCASSO PER INTERNI. PRODOTTO IN CONFORMITÀ ALLE NORME EN 60598-1 CEI 34-21, CLASSE DI ISOLAMENTO I E GRADO DI PROTEZIONE IP40 - IK07 IN CONFORMITÀ ALLE NORME EN 60529 E EN 50102.   CORPO IN POLICARBONATO INFRANGIBILE ED AUTOESTINGUENTE V2, STABILIZZATO AI RAGGI UV, ANTIGIALLIMENTO, RIFLETTORE IN POLICARBONATO INFRANGIBILE AUTOESTINGUENTE SISTEMA ANTIRIFLESSO ED ANTI ABBAGLIAMENTO,  ALIMENTATORE INCORPORATO, COMPLETO DI STAFFA REGOLABILE IN ACCIAIO CHE ASSICURA L'ADERENZA AL CONTROSOFFITTO,  ALIMENTAZIONE 230 V 50 HZ; EQUIPAGGIATO CON LAMPADA LED 4000K 2400 LM DA: - 18W APPARECCHIO BEGHELLI - MODELLO FOSNOVA ENERGY 2245 O EQUIVALENTE APPROVATO</t>
        </is>
      </c>
      <c r="M490" s="4" t="inlineStr">
        <is>
          <t>CADAUNO</t>
        </is>
      </c>
      <c r="N490" s="5" t="n">
        <v>14</v>
      </c>
      <c r="O490" s="45" t="n">
        <v>75.51000000000001</v>
      </c>
      <c r="P490" s="45" t="n">
        <v>1057.14</v>
      </c>
      <c r="Q490" s="5" t="n"/>
      <c r="R490" s="6" t="n"/>
      <c r="S490" s="6">
        <f>IF(AND(Q490&lt;&gt;"",R490&lt;&gt;""),Q490*R490,"")</f>
        <v/>
      </c>
      <c r="T490" s="45">
        <f>IF(S490="",P490,S490)</f>
        <v/>
      </c>
      <c r="U490" s="7" t="n">
        <v>0</v>
      </c>
      <c r="V490" s="6">
        <f>$T490*U490</f>
        <v/>
      </c>
      <c r="W490" s="7" t="n">
        <v>0.4</v>
      </c>
      <c r="X490" s="6">
        <f>$T490*W490</f>
        <v/>
      </c>
      <c r="Y490" s="7" t="n">
        <v>0</v>
      </c>
      <c r="Z490" s="6">
        <f>$T490*Y490</f>
        <v/>
      </c>
      <c r="AA490" s="7" t="n">
        <v>0</v>
      </c>
      <c r="AB490" s="6">
        <f>$T490*AA490</f>
        <v/>
      </c>
      <c r="AC490" s="7" t="n">
        <v>0</v>
      </c>
      <c r="AD490" s="6">
        <f>$T490*AC490</f>
        <v/>
      </c>
      <c r="AE490" s="7" t="n">
        <v>0</v>
      </c>
      <c r="AF490" s="6">
        <f>$T490*AE490</f>
        <v/>
      </c>
      <c r="AG490" s="7" t="n">
        <v>0</v>
      </c>
      <c r="AH490" s="6">
        <f>$T490*AG490</f>
        <v/>
      </c>
      <c r="AI490" s="7">
        <f>U490+W490+Y490+AA490+AC490+AE490+AG490</f>
        <v/>
      </c>
      <c r="AJ490" s="6">
        <f>V490+X490+Z490+AB490+AD490+AF490+AH490</f>
        <v/>
      </c>
    </row>
    <row r="491" ht="60" customHeight="1" s="46">
      <c r="A491" s="3" t="inlineStr">
        <is>
          <t>LOM252.OC.EEA.PA01.G8210.ZA001.0590</t>
        </is>
      </c>
      <c r="B491" s="4" t="inlineStr">
        <is>
          <t>4/5</t>
        </is>
      </c>
      <c r="C491" s="3" t="inlineStr">
        <is>
          <t>IMPIANTO ELETTRICO</t>
        </is>
      </c>
      <c r="D491" s="4" t="inlineStr">
        <is>
          <t>NON SPECIALE</t>
        </is>
      </c>
      <c r="E491" s="4" t="inlineStr">
        <is>
          <t>ELETTRICHE</t>
        </is>
      </c>
      <c r="F491" s="3" t="inlineStr">
        <is>
          <t>3_CME IE RADIOFARMACIA PAVIA - REV02 VARIANTE ESECUTIVA.PDF</t>
        </is>
      </c>
      <c r="G491" s="4" t="inlineStr">
        <is>
          <t>192/192</t>
        </is>
      </c>
      <c r="H491" s="3" t="inlineStr">
        <is>
          <t>40 - IMPIANTISTICO</t>
        </is>
      </c>
      <c r="I491" s="3" t="inlineStr">
        <is>
          <t>RADIOFARMACIA</t>
        </is>
      </c>
      <c r="J491" s="3" t="inlineStr">
        <is>
          <t>IMPIANTO DI ILLUMINAZIONE</t>
        </is>
      </c>
      <c r="K491" s="3" t="inlineStr">
        <is>
          <t>OPERA: CORPO ILLUMINANTE, LED; FUNZIONE: ILLUMINAZIONE DI EMERGENZA; AUTONOMIA [H] = 1 / 2 | FLUSSO LUMINOSO SE [LM] = 250 / 130 | FLUSSO LUMINOSO SA [LM] = 110. INCLUSO: LED MULTICOLORE. ESCLUSO: ACC</t>
        </is>
      </c>
      <c r="L491" s="3" t="inlineStr">
        <is>
          <t>OPERA: CORPO ILLUMINANTE, LED; FUNZIONE: ILLUMINAZIONE DI EMERGENZA; AUTONOMIA [H] = 1 / 2 | FLUSSO LUMINOSO SE [LM] = 250 / 130 | FLUSSO LUMINOSO SA [LM] = 110. INCLUSO: LED MULTICOLORE. ESCLUSO: ACCESSORIO MODULO AGGIUNTIVO. 
LAVORO: INSTALLAZIONE.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OP CORPO ILLUMINANTE, LED; FUNZIONE: ILLUMINAZIONE DI EMERGENZA; AUTONOMIA [H] = 1 / 2 | FLUSSO LUMINOSO SE [LM] = 250 / 130 | FLUSSO LUMINOSO SA [LM] = 110.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RM CORPO ILLUMINANTE LED; FUNZIONE: ILLUMINAZIONE DI EMERGENZA; AUTONOMIA [H] = 1 / 2 | FLUSSO LUMINOSO SE [LM] = 250 / 130 | FLUSSO LUMINOSO SA [LM] = 110. COMPONENTE: BATTERIA TITANIO, .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LV INSTALLAZIONE.</t>
        </is>
      </c>
      <c r="M491" s="4" t="inlineStr">
        <is>
          <t>CAD</t>
        </is>
      </c>
      <c r="N491" s="5" t="n">
        <v>10</v>
      </c>
      <c r="O491" s="45" t="n">
        <v>93.43000000000001</v>
      </c>
      <c r="P491" s="45" t="n">
        <v>934.3</v>
      </c>
      <c r="Q491" s="5" t="n"/>
      <c r="R491" s="6" t="n"/>
      <c r="S491" s="6">
        <f>IF(AND(Q491&lt;&gt;"",R491&lt;&gt;""),Q491*R491,"")</f>
        <v/>
      </c>
      <c r="T491" s="45">
        <f>IF(S491="",P491,S491)</f>
        <v/>
      </c>
      <c r="U491" s="7" t="n">
        <v>0</v>
      </c>
      <c r="V491" s="6">
        <f>$T491*U491</f>
        <v/>
      </c>
      <c r="W491" s="7" t="n">
        <v>0.4</v>
      </c>
      <c r="X491" s="6">
        <f>$T491*W491</f>
        <v/>
      </c>
      <c r="Y491" s="7" t="n">
        <v>0</v>
      </c>
      <c r="Z491" s="6">
        <f>$T491*Y491</f>
        <v/>
      </c>
      <c r="AA491" s="7" t="n">
        <v>0</v>
      </c>
      <c r="AB491" s="6">
        <f>$T491*AA491</f>
        <v/>
      </c>
      <c r="AC491" s="7" t="n">
        <v>0</v>
      </c>
      <c r="AD491" s="6">
        <f>$T491*AC491</f>
        <v/>
      </c>
      <c r="AE491" s="7" t="n">
        <v>0</v>
      </c>
      <c r="AF491" s="6">
        <f>$T491*AE491</f>
        <v/>
      </c>
      <c r="AG491" s="7" t="n">
        <v>0</v>
      </c>
      <c r="AH491" s="6">
        <f>$T491*AG491</f>
        <v/>
      </c>
      <c r="AI491" s="7">
        <f>U491+W491+Y491+AA491+AC491+AE491+AG491</f>
        <v/>
      </c>
      <c r="AJ491" s="6">
        <f>V491+X491+Z491+AB491+AD491+AF491+AH491</f>
        <v/>
      </c>
    </row>
    <row r="492" hidden="1" ht="60" customHeight="1" s="46">
      <c r="A492" s="3" t="inlineStr">
        <is>
          <t>LOM252.OC.EEA.PA01.G8210.ZA001.0625</t>
        </is>
      </c>
      <c r="B492" s="4" t="inlineStr">
        <is>
          <t>1/1</t>
        </is>
      </c>
      <c r="C492" s="3" t="inlineStr">
        <is>
          <t>IMPIANTO ELETTRICO</t>
        </is>
      </c>
      <c r="D492" s="4" t="inlineStr">
        <is>
          <t>NON SPECIALE</t>
        </is>
      </c>
      <c r="E492" s="4" t="inlineStr">
        <is>
          <t>ELETTRICHE</t>
        </is>
      </c>
      <c r="F492" s="3" t="inlineStr">
        <is>
          <t>3_CME IE RADIOFARMACIA PAVIA - REV02 VARIANTE ESECUTIVA.PDF</t>
        </is>
      </c>
      <c r="G492" s="4" t="inlineStr">
        <is>
          <t>193/193</t>
        </is>
      </c>
      <c r="H492" s="3" t="inlineStr">
        <is>
          <t>40 - IMPIANTISTICO</t>
        </is>
      </c>
      <c r="I492" s="3" t="inlineStr">
        <is>
          <t>RADIOFARMACIA</t>
        </is>
      </c>
      <c r="J492" s="3" t="inlineStr">
        <is>
          <t>IMPIANTO DI ILLUMINAZIONE</t>
        </is>
      </c>
      <c r="K492" s="3" t="inlineStr">
        <is>
          <t xml:space="preserve">OPERA: CORPO ILLUMINANTE, LED; GEOMETRIA: A BANDIERA; FUNZIONE: SEGNALETICA DI EMERGENZA. INCLUSO: CORPO IN POLICARBONATO, STAFFA UNIVERSALE, PITTOGRAMMA. </t>
        </is>
      </c>
      <c r="L492" s="3" t="inlineStr">
        <is>
          <t>OPERA: CORPO ILLUMINANTE, LED; GEOMETRIA: A BANDIERA; FUNZIONE: SEGNALETICA DI EMERGENZA. INCLUSO: CORPO IN POLICARBONATO, STAFFA UNIVERSALE, PITTOGRAMMA. 
LAVORO: INSTALLAZIONE. 
SPECIFICHE TECNICHE: INSTALLAZIONE A PARETE/SOFFITTO, GRADO DI PROTEZIONE IP40 SCHERMO SERIGRAFATO CHE GARANTISCE LA MASSIMA UNIFORMITÀ DI ILLUMINAMENTO DEL SEGNALE ED ELEVATISSIMA LUMINOSITÀ (OLTRE 500CD/MQ).- SCHERMO AGGIUNTIVO A BANDIERA COMPLETO DI PITTOGRAMMA. OP CORPO ILLUMINANTE, LED; GEOMETRIA: A BANDIERA; FUNZIONE: SEGNALETICA DI EMERGENZA. INCLUSO: CORPO IN POLICARBONATO, STAFFA UNIVERSALE, PITTOGRAMMA. 
SPECIFICHE TECNICHE: INSTALLAZIONE A PARETE/SOFFITTO, GRADO DI PROTEZIONE IP40 SCHERMO SERIGRAFATO CHE GARANTISCE LA MASSIMA UNIFORMITÀ DI ILLUMINAMENTO DEL SEGNALE ED ELEVATISSIMA LUMINOSITÀ (OLTRE 500CD/MQ).- SCHERMO AGGIUNTIVO A BANDIERA COMPLETO DI PITTOGRAMMA. 
RM CORPO ILLUMINANTE LED; GEOMETRIA: A BANDIERA; FUNZIONE: SEGNALETICA DI EMERGENZA. COMPONENTE: SCHERMO, . INCLUSO: CORPO IN POLICARBONATO, STAFFA UNIVERSALE, PITTOGRAMMA 
SPECIFICHE TECNICHE: INSTALLAZIONE A PARETE/SOFFITTO, GRADO DI PROTEZIONE IP40 SCHERMO SERIGRAFATO CHE GARANTISCE LA MASSIMA UNIFORMITÀ DI ILLUMINAMENTO DEL SEGNALE ED ELEVATISSIMA LUMINOSITÀ (OLTRE 500CD/MQ).- SCHERMO AGGIUNTIVO A BANDIERA COMPLETO DI PITTOGRAMMA 
LV INSTALLAZIONE.</t>
        </is>
      </c>
      <c r="M492" s="4" t="inlineStr">
        <is>
          <t>CAD</t>
        </is>
      </c>
      <c r="N492" s="5" t="n">
        <v>7</v>
      </c>
      <c r="O492" s="45" t="n">
        <v>174.05</v>
      </c>
      <c r="P492" s="45" t="n">
        <v>1218.35</v>
      </c>
      <c r="Q492" s="5" t="n"/>
      <c r="R492" s="6" t="n"/>
      <c r="S492" s="6">
        <f>IF(AND(Q492&lt;&gt;"",R492&lt;&gt;""),Q492*R492,"")</f>
        <v/>
      </c>
      <c r="T492" s="45">
        <f>IF(S492="",P492,S492)</f>
        <v/>
      </c>
      <c r="U492" s="7" t="n">
        <v>0</v>
      </c>
      <c r="V492" s="6">
        <f>$T492*U492</f>
        <v/>
      </c>
      <c r="W492" s="7" t="n">
        <v>0</v>
      </c>
      <c r="X492" s="6">
        <f>$T492*W492</f>
        <v/>
      </c>
      <c r="Y492" s="7" t="n">
        <v>0</v>
      </c>
      <c r="Z492" s="6">
        <f>$T492*Y492</f>
        <v/>
      </c>
      <c r="AA492" s="7" t="n">
        <v>0</v>
      </c>
      <c r="AB492" s="6">
        <f>$T492*AA492</f>
        <v/>
      </c>
      <c r="AC492" s="7" t="n">
        <v>0</v>
      </c>
      <c r="AD492" s="6">
        <f>$T492*AC492</f>
        <v/>
      </c>
      <c r="AE492" s="7" t="n">
        <v>0</v>
      </c>
      <c r="AF492" s="6">
        <f>$T492*AE492</f>
        <v/>
      </c>
      <c r="AG492" s="7" t="n">
        <v>0</v>
      </c>
      <c r="AH492" s="6">
        <f>$T492*AG492</f>
        <v/>
      </c>
      <c r="AI492" s="7">
        <f>U492+W492+Y492+AA492+AC492+AE492+AG492</f>
        <v/>
      </c>
      <c r="AJ492" s="6">
        <f>V492+X492+Z492+AB492+AD492+AF492+AH492</f>
        <v/>
      </c>
    </row>
    <row r="493" hidden="1" ht="60" customHeight="1" s="46">
      <c r="A493" s="3" t="inlineStr">
        <is>
          <t>LOM252.OC.EEA.PA01.G8235.ZA001.0250</t>
        </is>
      </c>
      <c r="B493" s="4" t="inlineStr">
        <is>
          <t>1/2</t>
        </is>
      </c>
      <c r="C493" s="3" t="inlineStr">
        <is>
          <t>IMPIANTO ELETTRICO</t>
        </is>
      </c>
      <c r="D493" s="4" t="inlineStr">
        <is>
          <t>NON SPECIALE</t>
        </is>
      </c>
      <c r="E493" s="4" t="inlineStr">
        <is>
          <t>ELETTRICHE</t>
        </is>
      </c>
      <c r="F493" s="3" t="inlineStr">
        <is>
          <t>3_CME IE RADIOFARMACIA PAVIA - REV02 VARIANTE ESECUTIVA.PDF</t>
        </is>
      </c>
      <c r="G493" s="4" t="inlineStr">
        <is>
          <t>194/194</t>
        </is>
      </c>
      <c r="H493" s="3" t="inlineStr">
        <is>
          <t>40 - IMPIANTISTICO</t>
        </is>
      </c>
      <c r="I493" s="3" t="inlineStr">
        <is>
          <t>RADIOFARMACIA</t>
        </is>
      </c>
      <c r="J493" s="3" t="inlineStr">
        <is>
          <t>IMPIANTO DI FORZA MOTRICE</t>
        </is>
      </c>
      <c r="K493" s="3" t="inlineStr">
        <is>
          <t xml:space="preserve">OPERA: DERIVAZIONE D'IMPIANTO PRESA, BIPASSO; FUNZIONE: PRESA DI CORRENTE; IMPIEGO: DERIVAZIONE D'IMPIANTO DA INCASSO; CORRENTE NOMINALE 1 [A] = 10 | CORRENTE NOMINALE 2 [A] = 16 | GRADO DI SICUREZZA </t>
        </is>
      </c>
      <c r="L493" s="3" t="inlineStr">
        <is>
          <t>OPERA: DERIVAZIONE D'IMPIANTO PRESA, BIPASSO; FUNZIONE: PRESA DI CORRENTE; IMPIEGO: DERIVAZIONE D'IMPIANTO DA INCASSO; CORRENTE NOMINALE 1 [A] = 10 | CORRENTE NOMINALE 2 [A] = 16 | GRADO DI SICUREZZA [-] = 2.2; N° PRESE [-] = 1 + T.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PRESA, BIPASSO; FUNZIONE: PRESA DI CORRENTE; IMPIEGO: DERIVAZIONE D'IMPIANTO DA INCASSO; CORRENTE NOMINALE 1 [A] = 10 | CORRENTE NOMINALE 2 [A] = 16 | GRADO DI SICUREZZA [-] = 2.2; N° PRESE [-] = 1 + T.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PRESA BIPASSO; FUNZIONE: PRESA DI CORRENTE; IMPIEGO: DERIVAZIONE D'IMPIANTO DA INCASSO; CORRENTE NOMINALE 1 [A] = 10 | CORRENTE NOMINALE 2 [A] = 16 | GRADO DI SICUREZZA [-] = 2.2; N° PRESE [-] = 2 + T.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
[DIMENSIONI: 1,00 2,000 | 8,00 2,000]</t>
        </is>
      </c>
      <c r="M493" s="4" t="inlineStr">
        <is>
          <t>CAD</t>
        </is>
      </c>
      <c r="N493" s="5" t="n">
        <v>63</v>
      </c>
      <c r="O493" s="45" t="n">
        <v>65.22</v>
      </c>
      <c r="P493" s="45" t="n">
        <v>4108.86</v>
      </c>
      <c r="Q493" s="5" t="n"/>
      <c r="R493" s="6" t="n"/>
      <c r="S493" s="6">
        <f>IF(AND(Q493&lt;&gt;"",R493&lt;&gt;""),Q493*R493,"")</f>
        <v/>
      </c>
      <c r="T493" s="45">
        <f>IF(S493="",P493,S493)</f>
        <v/>
      </c>
      <c r="U493" s="7" t="n">
        <v>0</v>
      </c>
      <c r="V493" s="6">
        <f>$T493*U493</f>
        <v/>
      </c>
      <c r="W493" s="7" t="n">
        <v>0</v>
      </c>
      <c r="X493" s="6">
        <f>$T493*W493</f>
        <v/>
      </c>
      <c r="Y493" s="7" t="n">
        <v>0</v>
      </c>
      <c r="Z493" s="6">
        <f>$T493*Y493</f>
        <v/>
      </c>
      <c r="AA493" s="7" t="n">
        <v>0</v>
      </c>
      <c r="AB493" s="6">
        <f>$T493*AA493</f>
        <v/>
      </c>
      <c r="AC493" s="7" t="n">
        <v>0</v>
      </c>
      <c r="AD493" s="6">
        <f>$T493*AC493</f>
        <v/>
      </c>
      <c r="AE493" s="7" t="n">
        <v>0</v>
      </c>
      <c r="AF493" s="6">
        <f>$T493*AE493</f>
        <v/>
      </c>
      <c r="AG493" s="7" t="n">
        <v>0</v>
      </c>
      <c r="AH493" s="6">
        <f>$T493*AG493</f>
        <v/>
      </c>
      <c r="AI493" s="7">
        <f>U493+W493+Y493+AA493+AC493+AE493+AG493</f>
        <v/>
      </c>
      <c r="AJ493" s="6">
        <f>V493+X493+Z493+AB493+AD493+AF493+AH493</f>
        <v/>
      </c>
    </row>
    <row r="494" hidden="1" ht="60" customHeight="1" s="46">
      <c r="A494" s="3" t="inlineStr">
        <is>
          <t>LOM252.OC.EEA.PA01.G8235.ZA001.0270</t>
        </is>
      </c>
      <c r="B494" s="4" t="inlineStr">
        <is>
          <t>4/4</t>
        </is>
      </c>
      <c r="C494" s="3" t="inlineStr">
        <is>
          <t>IMPIANTO ELETTRICO</t>
        </is>
      </c>
      <c r="D494" s="4" t="inlineStr">
        <is>
          <t>NON SPECIALE</t>
        </is>
      </c>
      <c r="E494" s="4" t="inlineStr">
        <is>
          <t>ELETTRICHE</t>
        </is>
      </c>
      <c r="F494" s="3" t="inlineStr">
        <is>
          <t>3_CME IE RADIOFARMACIA PAVIA - REV02 VARIANTE ESECUTIVA.PDF</t>
        </is>
      </c>
      <c r="G494" s="4" t="inlineStr">
        <is>
          <t>195/195</t>
        </is>
      </c>
      <c r="H494" s="3" t="inlineStr">
        <is>
          <t>40 - IMPIANTISTICO</t>
        </is>
      </c>
      <c r="I494" s="3" t="inlineStr">
        <is>
          <t>RADIOFARMACIA</t>
        </is>
      </c>
      <c r="J494" s="3" t="inlineStr">
        <is>
          <t>IMPIANTO DI FORZA MOTRICE</t>
        </is>
      </c>
      <c r="K494" s="3" t="inlineStr">
        <is>
          <t>OPERA: DERIVAZIONE D'IMPIANTO PRESA, BIPASSO; FUNZIONE: PRESA DI CORRENTE; IMPIEGO: DERIVAZIONE D'IMPIANTO A VISTA A PARETE/A SOFFITTO; CORRENTE NOMINALE 1 [A] = 10 | CORRENTE NOMINALE 2 [A] = 16 | GR</t>
        </is>
      </c>
      <c r="L494" s="3" t="inlineStr">
        <is>
          <t>OPERA: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BIPASSO; FUNZIONE: PRESA DI CORRENTE; IMPIEGO: DERIVAZIONE D'IMPIANTO A VISTA A PARETE/A SOFFITTO; CORRENTE NOMINALE 1 [A] = 10 | CORRENTE NOMINALE 2 [A] = 16 | GRADO DI SICUREZZA [-] = 2.2; N° PRESE [-] = 2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94" s="4" t="inlineStr">
        <is>
          <t>CAD</t>
        </is>
      </c>
      <c r="N494" s="5" t="n">
        <v>17</v>
      </c>
      <c r="O494" s="45" t="n">
        <v>66.41</v>
      </c>
      <c r="P494" s="45" t="n">
        <v>1128.97</v>
      </c>
      <c r="Q494" s="5" t="n"/>
      <c r="R494" s="6" t="n"/>
      <c r="S494" s="6">
        <f>IF(AND(Q494&lt;&gt;"",R494&lt;&gt;""),Q494*R494,"")</f>
        <v/>
      </c>
      <c r="T494" s="45">
        <f>IF(S494="",P494,S494)</f>
        <v/>
      </c>
      <c r="U494" s="7" t="n">
        <v>0</v>
      </c>
      <c r="V494" s="6">
        <f>$T494*U494</f>
        <v/>
      </c>
      <c r="W494" s="7" t="n">
        <v>0</v>
      </c>
      <c r="X494" s="6">
        <f>$T494*W494</f>
        <v/>
      </c>
      <c r="Y494" s="7" t="n">
        <v>0</v>
      </c>
      <c r="Z494" s="6">
        <f>$T494*Y494</f>
        <v/>
      </c>
      <c r="AA494" s="7" t="n">
        <v>0</v>
      </c>
      <c r="AB494" s="6">
        <f>$T494*AA494</f>
        <v/>
      </c>
      <c r="AC494" s="7" t="n">
        <v>0</v>
      </c>
      <c r="AD494" s="6">
        <f>$T494*AC494</f>
        <v/>
      </c>
      <c r="AE494" s="7" t="n">
        <v>0</v>
      </c>
      <c r="AF494" s="6">
        <f>$T494*AE494</f>
        <v/>
      </c>
      <c r="AG494" s="7" t="n">
        <v>0</v>
      </c>
      <c r="AH494" s="6">
        <f>$T494*AG494</f>
        <v/>
      </c>
      <c r="AI494" s="7">
        <f>U494+W494+Y494+AA494+AC494+AE494+AG494</f>
        <v/>
      </c>
      <c r="AJ494" s="6">
        <f>V494+X494+Z494+AB494+AD494+AF494+AH494</f>
        <v/>
      </c>
    </row>
    <row r="495" hidden="1" ht="60" customHeight="1" s="46">
      <c r="A495" s="3" t="inlineStr">
        <is>
          <t>LOM252.OC.EEA.PA02.G8231.ZA001.1000</t>
        </is>
      </c>
      <c r="B495" s="4" t="inlineStr">
        <is>
          <t>4/5</t>
        </is>
      </c>
      <c r="C495" s="3" t="inlineStr">
        <is>
          <t>IMPIANTO ELETTRICO</t>
        </is>
      </c>
      <c r="D495" s="4" t="inlineStr">
        <is>
          <t>NON SPECIALE</t>
        </is>
      </c>
      <c r="E495" s="4" t="inlineStr">
        <is>
          <t>ELETTRICHE</t>
        </is>
      </c>
      <c r="F495" s="3" t="inlineStr">
        <is>
          <t>3_CME IE RADIOFARMACIA PAVIA - REV02 VARIANTE ESECUTIVA.PDF</t>
        </is>
      </c>
      <c r="G495" s="4" t="inlineStr">
        <is>
          <t>196/196</t>
        </is>
      </c>
      <c r="H495" s="3" t="inlineStr">
        <is>
          <t>40 - IMPIANTISTICO</t>
        </is>
      </c>
      <c r="I495" s="3" t="inlineStr">
        <is>
          <t>RADIOFARMACIA</t>
        </is>
      </c>
      <c r="J495" s="3" t="inlineStr">
        <is>
          <t>IMPIANTO DI FORZA MOTRICE</t>
        </is>
      </c>
      <c r="K495" s="3" t="inlineStr">
        <is>
          <t xml:space="preserve">OPERA: PRESA; CORRENTE NOMINALE [A] = 10/16; N° POLI [-] = 2P+T. </t>
        </is>
      </c>
      <c r="L495" s="3" t="inlineStr">
        <is>
          <t>OPERA: PRESA; CORRENTE NOMINALE [A] = 10/16; N° POLI [-] = 2P+T. 
LAVORO: POSA. 
SPECIFICHE TECNICHE: UNEL BIVALENTE MODULARE. OP PRESA; CORRENTE NOMINALE [A] = 10/16; N° POLI [-] = 2P+T. 
SPECIFICHE TECNICHE: UNEL BIVALENTE MODULARE. 
RM PRESA; CORRENTE NOMINALE [A] = 10/16; N° POLI [-] = 2P+T 
SPECIFICHE TECNICHE: UNEL BIVALENTE MODULARE 
LV POSA.
[DIMENSIONI: 1,00 4,000 | 8,00 4,000]</t>
        </is>
      </c>
      <c r="M495" s="4" t="inlineStr">
        <is>
          <t>CAD</t>
        </is>
      </c>
      <c r="N495" s="5" t="n">
        <v>81</v>
      </c>
      <c r="O495" s="45" t="n">
        <v>31.63</v>
      </c>
      <c r="P495" s="45" t="n">
        <v>2562.03</v>
      </c>
      <c r="Q495" s="5" t="n"/>
      <c r="R495" s="6" t="n"/>
      <c r="S495" s="6">
        <f>IF(AND(Q495&lt;&gt;"",R495&lt;&gt;""),Q495*R495,"")</f>
        <v/>
      </c>
      <c r="T495" s="45">
        <f>IF(S495="",P495,S495)</f>
        <v/>
      </c>
      <c r="U495" s="7" t="n">
        <v>0</v>
      </c>
      <c r="V495" s="6">
        <f>$T495*U495</f>
        <v/>
      </c>
      <c r="W495" s="7" t="n">
        <v>0</v>
      </c>
      <c r="X495" s="6">
        <f>$T495*W495</f>
        <v/>
      </c>
      <c r="Y495" s="7" t="n">
        <v>0</v>
      </c>
      <c r="Z495" s="6">
        <f>$T495*Y495</f>
        <v/>
      </c>
      <c r="AA495" s="7" t="n">
        <v>0</v>
      </c>
      <c r="AB495" s="6">
        <f>$T495*AA495</f>
        <v/>
      </c>
      <c r="AC495" s="7" t="n">
        <v>0</v>
      </c>
      <c r="AD495" s="6">
        <f>$T495*AC495</f>
        <v/>
      </c>
      <c r="AE495" s="7" t="n">
        <v>0</v>
      </c>
      <c r="AF495" s="6">
        <f>$T495*AE495</f>
        <v/>
      </c>
      <c r="AG495" s="7" t="n">
        <v>0</v>
      </c>
      <c r="AH495" s="6">
        <f>$T495*AG495</f>
        <v/>
      </c>
      <c r="AI495" s="7">
        <f>U495+W495+Y495+AA495+AC495+AE495+AG495</f>
        <v/>
      </c>
      <c r="AJ495" s="6">
        <f>V495+X495+Z495+AB495+AD495+AF495+AH495</f>
        <v/>
      </c>
    </row>
    <row r="496" hidden="1" ht="60" customHeight="1" s="46">
      <c r="A496" s="3" t="inlineStr">
        <is>
          <t>LOM252.OC.EEA.PA01.G8238.ZA001.0000</t>
        </is>
      </c>
      <c r="B496" s="4" t="inlineStr">
        <is>
          <t>1/2</t>
        </is>
      </c>
      <c r="C496" s="3" t="inlineStr">
        <is>
          <t>IMPIANTO ELETTRICO</t>
        </is>
      </c>
      <c r="D496" s="4" t="inlineStr">
        <is>
          <t>NON SPECIALE</t>
        </is>
      </c>
      <c r="E496" s="4" t="inlineStr">
        <is>
          <t>ELETTRICHE</t>
        </is>
      </c>
      <c r="F496" s="3" t="inlineStr">
        <is>
          <t>3_CME IE RADIOFARMACIA PAVIA - REV02 VARIANTE ESECUTIVA.PDF</t>
        </is>
      </c>
      <c r="G496" s="4" t="inlineStr">
        <is>
          <t>197/197</t>
        </is>
      </c>
      <c r="H496" s="3" t="inlineStr">
        <is>
          <t>40 - IMPIANTISTICO</t>
        </is>
      </c>
      <c r="I496" s="3" t="inlineStr">
        <is>
          <t>RADIOFARMACIA</t>
        </is>
      </c>
      <c r="J496" s="3" t="inlineStr">
        <is>
          <t>IMPIANTO DI FORZA MOTRICE</t>
        </is>
      </c>
      <c r="K496" s="3" t="inlineStr">
        <is>
          <t>OPERA: DERIVAZIONE D'IMPIANTO ALIMENTAZIONE, DIRETTA; FUNZIONE: ALIMENTAZIONE DI UTILIZZATORE MONOFASE; IMPIEGO: DERIVAZIONE D'IMPIANTO A VISTA/PARZIALMENTE INCASSATA; SEZIONE NOMINALE CAVO [MM²] ≤ 4.</t>
        </is>
      </c>
      <c r="L496" s="3" t="inlineStr">
        <is>
          <t>OPERA: DERIVAZIONE D'IMPIANTO ALIMENTAZIONE, DIRETTA; FUNZIONE: ALIMENTAZIONE DI UTILIZZATORE MONOFASE; IMPIEGO: DERIVAZIONE D'IMPIANTO A VISTA/PARZIALMENTE INCASSATA; SEZIONE NOMINALE CAVO [MM²] ≤ 4. INCLUSO: LINEA DI ALIMENTAZIONE; SEZIONATORE; TASSELLI/GANCI. 
LAVORO: INSTALLAZIONE IN OPERA. INCLUSO: FISSAGGIO DELLE CANALIZZAZIONI A MEZZO DI TASSELLI O GANCI; ASSISTENZA PER IL TRASPORTO DEI MATERIALI AL PIANO. 
SPECIFICHE TECNICHE: PER IMPIANTI DI ENERGIA DI TIPO INDUSTRIALE; TUBAZIONI IN MATERIALE PLASTICO O METALLICHE IN RELAZIONE ALLE DESCRIZIONI DI CAPITOLATO; PER ALIMENTAZIONE APPARECCHI UTILIZZATORI FINO A TENSIONE NOMINALE [V] = 400;  GRADO DI PROTEZIONE IP55; LINEA DI ALIMENTAZIONE ALLO SPECIFICO PUNTO DI ALIMENTAZIONE DI LEGA RAME GENERICO RICOTTO ISOLATO CONFORMI AI REQUISITI PREVISTI DALLA NORMATIVA EUROPEA REGOLAMENTO UE 305/2011 - PRODOTTI DA COSTRUZIONE CPR; TIPOLOGIA CONDUTTORI E SEZIONE ADEGUATI ALL'UTILIZZO. OP DERIVAZIONE D'IMPIANTO ALIMENTAZIONE, DIRETTA; FUNZIONE: ALIMENTAZIONE DI UTILIZZATORE MONOFASE; IMPIEGO: DERIVAZIONE D'IMPIANTO A VISTA/PARZIALMENTE INCASSATA; SEZIONE NOMINALE CAVO [MM²] ≤ 4. INCLUSO: LINEA DI ALIMENTAZIONE; SEZIONATORE; TASSELLI/GANCI. 
SPECIFICHE TECNICHE: PER IMPIANTI DI ENERGIA DI TIPO INDUSTRIALE; TUBAZIONI IN MATERIALE PLASTICO O METALLICHE IN RELAZIONE ALLE DESCRIZIONI DI CAPITOLATO; PER ALIMENTAZIONE APPARECCHI UTILIZZATORI FINO A TENSIONE NOMINALE [V] = 400;  GRADO DI PROTEZIONE IP55; LINEA DI ALIMENTAZIONE ALLO SPECIFICO PUNTO DI ALIMENTAZIONE DI LEGA RAME GENERICO RICOTTO ISOLATO CONFORMI AI REQUISITI PREVISTI DALLA NORMATIVA EUROPEA REGOLAMENTO UE 305/2011 - PRODOTTI DA COSTRUZIONE CPR; TIPOLOGIA CONDUTTORI E SEZIONE ADEGUATI ALL'UTILIZZO. 
RM DERIVAZIONE D'IMPIANTO ALIMENTAZIONE DIRETTA; FUNZIONE: ALIMENTAZIONE DI UTILIZZATORE MONOFASE; IMPIEGO: DERIVAZIONE D'IMPIANTO A VISTA/PARZIALMENTE INCASSATA; SEZIONE NOMINALE CAVO [MM²] ≤ 4. INCLUSO: LINEA DI ALIMENTAZIONE; SEZIONATORE; TASSELLI/GANCI 
SPECIFICHE TECNICHE: PER IMPIANTI DI ENERGIA DI TIPO INDUSTRIALE; TUBAZIONI IN MATERIALE PLASTICO O METALLICHE IN RELAZIONE ALLE DESCRIZIONI DI CAPITOLATO; PER ALIMENTAZIONE APPARECCHI UTILIZZATORI FINO A TENSIONE NOMINALE [V] = 400;  GRADO DI PROTEZIONE IP55; LINEA DI ALIMENTAZIONE ALLO SPECIFICO PUNTO DI ALIMENTAZIONE DI LEGA RAME GENERICO RICOTTO ISOLATO CONFORMI AI REQUISITI PREVISTI DALLA NORMATIVA EUROPEA REGOLAMENTO UE 305/2011 - PRODOTTI DA COSTRUZIONE CPR; TIPOLOGIA CONDUTTORI E SEZIONE ADEGUATI ALL'UTILIZZO 
LV INSTALLAZIONE IN OPERA. INCLUSO: FISSAGGIO DELLE CANALIZZAZIONI A MEZZO DI TASSELLI O GANCI; ASSISTENZA PER IL TRASPORTO DEI MATERIALI AL PIANO.</t>
        </is>
      </c>
      <c r="M496" s="4" t="inlineStr">
        <is>
          <t>CAD</t>
        </is>
      </c>
      <c r="N496" s="5" t="n">
        <v>11</v>
      </c>
      <c r="O496" s="45" t="n">
        <v>97.84</v>
      </c>
      <c r="P496" s="45" t="n">
        <v>1076.24</v>
      </c>
      <c r="Q496" s="5" t="n"/>
      <c r="R496" s="6" t="n"/>
      <c r="S496" s="6">
        <f>IF(AND(Q496&lt;&gt;"",R496&lt;&gt;""),Q496*R496,"")</f>
        <v/>
      </c>
      <c r="T496" s="45">
        <f>IF(S496="",P496,S496)</f>
        <v/>
      </c>
      <c r="U496" s="7" t="n">
        <v>0</v>
      </c>
      <c r="V496" s="6">
        <f>$T496*U496</f>
        <v/>
      </c>
      <c r="W496" s="7" t="n">
        <v>0</v>
      </c>
      <c r="X496" s="6">
        <f>$T496*W496</f>
        <v/>
      </c>
      <c r="Y496" s="7" t="n">
        <v>0</v>
      </c>
      <c r="Z496" s="6">
        <f>$T496*Y496</f>
        <v/>
      </c>
      <c r="AA496" s="7" t="n">
        <v>0</v>
      </c>
      <c r="AB496" s="6">
        <f>$T496*AA496</f>
        <v/>
      </c>
      <c r="AC496" s="7" t="n">
        <v>0</v>
      </c>
      <c r="AD496" s="6">
        <f>$T496*AC496</f>
        <v/>
      </c>
      <c r="AE496" s="7" t="n">
        <v>0</v>
      </c>
      <c r="AF496" s="6">
        <f>$T496*AE496</f>
        <v/>
      </c>
      <c r="AG496" s="7" t="n">
        <v>0</v>
      </c>
      <c r="AH496" s="6">
        <f>$T496*AG496</f>
        <v/>
      </c>
      <c r="AI496" s="7">
        <f>U496+W496+Y496+AA496+AC496+AE496+AG496</f>
        <v/>
      </c>
      <c r="AJ496" s="6">
        <f>V496+X496+Z496+AB496+AD496+AF496+AH496</f>
        <v/>
      </c>
    </row>
    <row r="497" hidden="1" ht="60" customHeight="1" s="46">
      <c r="A497" s="3" t="inlineStr">
        <is>
          <t>DEIELE251_025219B</t>
        </is>
      </c>
      <c r="B497" s="4" t="inlineStr">
        <is>
          <t>1/2</t>
        </is>
      </c>
      <c r="C497" s="3" t="inlineStr">
        <is>
          <t>IMPIANTO ELETTRICO</t>
        </is>
      </c>
      <c r="D497" s="4" t="inlineStr">
        <is>
          <t>NON SPECIALE</t>
        </is>
      </c>
      <c r="E497" s="4" t="inlineStr">
        <is>
          <t>ELETTRICHE</t>
        </is>
      </c>
      <c r="F497" s="3" t="inlineStr">
        <is>
          <t>3_CME IE RADIOFARMACIA PAVIA - REV02 VARIANTE ESECUTIVA.PDF</t>
        </is>
      </c>
      <c r="G497" s="4" t="inlineStr">
        <is>
          <t>198/198</t>
        </is>
      </c>
      <c r="H497" s="3" t="inlineStr">
        <is>
          <t>40 - IMPIANTISTICO</t>
        </is>
      </c>
      <c r="I497" s="3" t="inlineStr">
        <is>
          <t>RADIOFARMACIA</t>
        </is>
      </c>
      <c r="J497" s="3" t="inlineStr">
        <is>
          <t>IMPIANTO DI FORZA MOTRICE</t>
        </is>
      </c>
      <c r="K497" s="3" t="inlineStr">
        <is>
          <t>ALLACCIAMENTO DI UTENZA TRIFASE INCLUSO CONDUTTORE DI NEUTRO E DI PROTEZIONE, CON UTILIZZO DI CAVO UNIPOLARE O MULTIPOLARE ISOLATO IN EPR POSATO IN GUAINA PROTETTIVA DI PVC FLESSIBILE, PROVVISTA DI RA</t>
        </is>
      </c>
      <c r="L497"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6 A 16 MMQ</t>
        </is>
      </c>
      <c r="M497" s="4" t="inlineStr">
        <is>
          <t>CAD</t>
        </is>
      </c>
      <c r="N497" s="5" t="n">
        <v>1</v>
      </c>
      <c r="O497" s="45" t="n">
        <v>95.47</v>
      </c>
      <c r="P497" s="45" t="n">
        <v>95.47</v>
      </c>
      <c r="Q497" s="5" t="n"/>
      <c r="R497" s="6" t="n"/>
      <c r="S497" s="6">
        <f>IF(AND(Q497&lt;&gt;"",R497&lt;&gt;""),Q497*R497,"")</f>
        <v/>
      </c>
      <c r="T497" s="45">
        <f>IF(S497="",P497,S497)</f>
        <v/>
      </c>
      <c r="U497" s="7" t="n">
        <v>0</v>
      </c>
      <c r="V497" s="6">
        <f>$T497*U497</f>
        <v/>
      </c>
      <c r="W497" s="7" t="n">
        <v>0</v>
      </c>
      <c r="X497" s="6">
        <f>$T497*W497</f>
        <v/>
      </c>
      <c r="Y497" s="7" t="n">
        <v>0</v>
      </c>
      <c r="Z497" s="6">
        <f>$T497*Y497</f>
        <v/>
      </c>
      <c r="AA497" s="7" t="n">
        <v>0</v>
      </c>
      <c r="AB497" s="6">
        <f>$T497*AA497</f>
        <v/>
      </c>
      <c r="AC497" s="7" t="n">
        <v>0</v>
      </c>
      <c r="AD497" s="6">
        <f>$T497*AC497</f>
        <v/>
      </c>
      <c r="AE497" s="7" t="n">
        <v>0</v>
      </c>
      <c r="AF497" s="6">
        <f>$T497*AE497</f>
        <v/>
      </c>
      <c r="AG497" s="7" t="n">
        <v>0</v>
      </c>
      <c r="AH497" s="6">
        <f>$T497*AG497</f>
        <v/>
      </c>
      <c r="AI497" s="7">
        <f>U497+W497+Y497+AA497+AC497+AE497+AG497</f>
        <v/>
      </c>
      <c r="AJ497" s="6">
        <f>V497+X497+Z497+AB497+AD497+AF497+AH497</f>
        <v/>
      </c>
    </row>
    <row r="498" hidden="1" ht="60" customHeight="1" s="46">
      <c r="A498" s="3" t="inlineStr">
        <is>
          <t>DEIELE251_025219G</t>
        </is>
      </c>
      <c r="B498" s="4" t="inlineStr">
        <is>
          <t>1/1</t>
        </is>
      </c>
      <c r="C498" s="3" t="inlineStr">
        <is>
          <t>IMPIANTO ELETTRICO</t>
        </is>
      </c>
      <c r="D498" s="4" t="inlineStr">
        <is>
          <t>NON SPECIALE</t>
        </is>
      </c>
      <c r="E498" s="4" t="inlineStr">
        <is>
          <t>ELETTRICHE</t>
        </is>
      </c>
      <c r="F498" s="3" t="inlineStr">
        <is>
          <t>3_CME IE RADIOFARMACIA PAVIA - REV02 VARIANTE ESECUTIVA.PDF</t>
        </is>
      </c>
      <c r="G498" s="4" t="inlineStr">
        <is>
          <t>199/199</t>
        </is>
      </c>
      <c r="H498" s="3" t="inlineStr">
        <is>
          <t>40 - IMPIANTISTICO</t>
        </is>
      </c>
      <c r="I498" s="3" t="inlineStr">
        <is>
          <t>RADIOFARMACIA</t>
        </is>
      </c>
      <c r="J498" s="3" t="inlineStr">
        <is>
          <t>IMPIANTO DI FORZA MOTRICE</t>
        </is>
      </c>
      <c r="K498" s="3" t="inlineStr">
        <is>
          <t>ALLACCIAMENTO DI UTENZA TRIFASE INCLUSO CONDUTTORE DI NEUTRO E DI PROTEZIONE, CON UTILIZZO DI CAVO UNIPOLARE O MULTIPOLARE ISOLATO IN EPR POSATO IN GUAINA PROTETTIVA DI PVC FLESSIBILE, PROVVISTA DI RA</t>
        </is>
      </c>
      <c r="L498"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240 A 300 MMQ</t>
        </is>
      </c>
      <c r="M498" s="4" t="inlineStr">
        <is>
          <t>CAD</t>
        </is>
      </c>
      <c r="N498" s="5" t="n">
        <v>1</v>
      </c>
      <c r="O498" s="45" t="n">
        <v>936.83</v>
      </c>
      <c r="P498" s="45" t="n">
        <v>936.83</v>
      </c>
      <c r="Q498" s="5" t="n"/>
      <c r="R498" s="6" t="n"/>
      <c r="S498" s="6">
        <f>IF(AND(Q498&lt;&gt;"",R498&lt;&gt;""),Q498*R498,"")</f>
        <v/>
      </c>
      <c r="T498" s="45">
        <f>IF(S498="",P498,S498)</f>
        <v/>
      </c>
      <c r="U498" s="7" t="n">
        <v>0</v>
      </c>
      <c r="V498" s="6">
        <f>$T498*U498</f>
        <v/>
      </c>
      <c r="W498" s="7" t="n">
        <v>0</v>
      </c>
      <c r="X498" s="6">
        <f>$T498*W498</f>
        <v/>
      </c>
      <c r="Y498" s="7" t="n">
        <v>0</v>
      </c>
      <c r="Z498" s="6">
        <f>$T498*Y498</f>
        <v/>
      </c>
      <c r="AA498" s="7" t="n">
        <v>0</v>
      </c>
      <c r="AB498" s="6">
        <f>$T498*AA498</f>
        <v/>
      </c>
      <c r="AC498" s="7" t="n">
        <v>0</v>
      </c>
      <c r="AD498" s="6">
        <f>$T498*AC498</f>
        <v/>
      </c>
      <c r="AE498" s="7" t="n">
        <v>0</v>
      </c>
      <c r="AF498" s="6">
        <f>$T498*AE498</f>
        <v/>
      </c>
      <c r="AG498" s="7" t="n">
        <v>0</v>
      </c>
      <c r="AH498" s="6">
        <f>$T498*AG498</f>
        <v/>
      </c>
      <c r="AI498" s="7">
        <f>U498+W498+Y498+AA498+AC498+AE498+AG498</f>
        <v/>
      </c>
      <c r="AJ498" s="6">
        <f>V498+X498+Z498+AB498+AD498+AF498+AH498</f>
        <v/>
      </c>
    </row>
    <row r="499" hidden="1" ht="60" customHeight="1" s="46">
      <c r="A499" s="3" t="inlineStr">
        <is>
          <t>LOM252.OC.EEA.PA01.G8239.ZA001.0000</t>
        </is>
      </c>
      <c r="B499" s="4" t="inlineStr">
        <is>
          <t>1/2</t>
        </is>
      </c>
      <c r="C499" s="3" t="inlineStr">
        <is>
          <t>IMPIANTO ELETTRICO</t>
        </is>
      </c>
      <c r="D499" s="4" t="inlineStr">
        <is>
          <t>NON SPECIALE</t>
        </is>
      </c>
      <c r="E499" s="4" t="inlineStr">
        <is>
          <t>ELETTRICHE</t>
        </is>
      </c>
      <c r="F499" s="3" t="inlineStr">
        <is>
          <t>3_CME IE RADIOFARMACIA PAVIA - REV02 VARIANTE ESECUTIVA.PDF</t>
        </is>
      </c>
      <c r="G499" s="4" t="inlineStr">
        <is>
          <t>200/200</t>
        </is>
      </c>
      <c r="H499" s="3" t="inlineStr">
        <is>
          <t>40 - IMPIANTISTICO</t>
        </is>
      </c>
      <c r="I499" s="3" t="inlineStr">
        <is>
          <t>RADIOFARMACIA</t>
        </is>
      </c>
      <c r="J499" s="3" t="inlineStr">
        <is>
          <t>CABLAGGIO STRUTTURATO</t>
        </is>
      </c>
      <c r="K499" s="3" t="inlineStr">
        <is>
          <t xml:space="preserve">OPERA: PREDISPOSIZIONE PER DERIVAZIONE D'IMPIANTO; IMPIEGO: DERIVAZIONE D'IMPIANTO DA INCASSO. INCLUSO: SCATOLA DA INCASSO; QUOTA PARTE DELLA SCATOLA DI DERIVAZIONE. </t>
        </is>
      </c>
      <c r="L499" s="3" t="inlineStr">
        <is>
          <t>OPERA: PREDISPOSIZIONE PER DERIVAZIONE D'IMPIANTO; IMPIEGO: DERIVAZIONE D'IMPIANTO DA INCASSO. INCLUSO: SCATOLA DA INCASSO; QUOTA PARTE DELLA SCATOLA DI DERIVAZIONE. 
LAVORO: INSTALLAZIONE IN OPERA. INCLUSO: CHIUSURA AL RUSTICO CON MALTA CEMENTIZIA; ASSISTENZA PER IL TRASPORTO DEI MATERIALI AL PIANO. 
SPECIFICHE TECNICHE: PER IMPIANTI DI SEGNALAZIONE O DI COMUNICAZIONE; REALIZZATO CON TUBO PROTETTIVO FLESSIBILE DI PLASTICA POLIVINILCLORURO (PVC) AD ALTA RESISTENZA ALLO SCHIACCIAMENTO. OP PREDISPOSIZIONE PER DERIVAZIONE D'IMPIANTO; IMPIEGO: DERIVAZIONE D'IMPIANTO DA INCASSO. INCLUSO: SCATOLA DA INCASSO; QUOTA PARTE DELLA SCATOLA DI DERIVAZIONE. 
SPECIFICHE TECNICHE: PER IMPIANTI DI SEGNALAZIONE O DI COMUNICAZIONE; REALIZZATO CON TUBO PROTETTIVO FLESSIBILE DI PLASTICA POLIVINILCLORURO (PVC) AD ALTA RESISTENZA ALLO SCHIACCIAMENTO. 
RM PREDISPOSIZIONE PER DERIVAZIONE D'IMPIANTO; IMPIEGO: DERIVAZIONE D'IMPIANTO DA INCASSO. INCLUSO: SCATOLA DA INCASSO; QUOTA PARTE DELLA SCATOLA DI DERIVAZIONE 
SPECIFICHE TECNICHE: PER IMPIANTI DI SEGNALAZIONE O DI COMUNICAZIONE; REALIZZATO CON TUBO PROTETTIVO FLESSIBILE DI PLASTICA POLIVINILCLORURO (PVC) AD ALTA RESISTENZA ALLO SCHIACCIAMENTO 
LV INSTALLAZIONE IN OPERA. INCLUSO: CHIUSURA AL RUSTICO CON MALTA CEMENTIZIA; ASSISTENZA PER IL TRASPORTO DEI MATERIALI AL PIANO.</t>
        </is>
      </c>
      <c r="M499" s="4" t="inlineStr">
        <is>
          <t>CAD</t>
        </is>
      </c>
      <c r="N499" s="5" t="n">
        <v>34</v>
      </c>
      <c r="O499" s="45" t="n">
        <v>26.69</v>
      </c>
      <c r="P499" s="45" t="n">
        <v>907.46</v>
      </c>
      <c r="Q499" s="5" t="n"/>
      <c r="R499" s="6" t="n"/>
      <c r="S499" s="6">
        <f>IF(AND(Q499&lt;&gt;"",R499&lt;&gt;""),Q499*R499,"")</f>
        <v/>
      </c>
      <c r="T499" s="45">
        <f>IF(S499="",P499,S499)</f>
        <v/>
      </c>
      <c r="U499" s="7" t="n">
        <v>0</v>
      </c>
      <c r="V499" s="6">
        <f>$T499*U499</f>
        <v/>
      </c>
      <c r="W499" s="7" t="n">
        <v>0</v>
      </c>
      <c r="X499" s="6">
        <f>$T499*W499</f>
        <v/>
      </c>
      <c r="Y499" s="7" t="n">
        <v>0</v>
      </c>
      <c r="Z499" s="6">
        <f>$T499*Y499</f>
        <v/>
      </c>
      <c r="AA499" s="7" t="n">
        <v>0</v>
      </c>
      <c r="AB499" s="6">
        <f>$T499*AA499</f>
        <v/>
      </c>
      <c r="AC499" s="7" t="n">
        <v>0</v>
      </c>
      <c r="AD499" s="6">
        <f>$T499*AC499</f>
        <v/>
      </c>
      <c r="AE499" s="7" t="n">
        <v>0</v>
      </c>
      <c r="AF499" s="6">
        <f>$T499*AE499</f>
        <v/>
      </c>
      <c r="AG499" s="7" t="n">
        <v>0</v>
      </c>
      <c r="AH499" s="6">
        <f>$T499*AG499</f>
        <v/>
      </c>
      <c r="AI499" s="7">
        <f>U499+W499+Y499+AA499+AC499+AE499+AG499</f>
        <v/>
      </c>
      <c r="AJ499" s="6">
        <f>V499+X499+Z499+AB499+AD499+AF499+AH499</f>
        <v/>
      </c>
    </row>
    <row r="500" hidden="1" ht="60" customHeight="1" s="46">
      <c r="A500" s="3" t="inlineStr">
        <is>
          <t>LOM252.OC.EEA.PA01.G8239.ZA001.0005</t>
        </is>
      </c>
      <c r="B500" s="4" t="inlineStr">
        <is>
          <t>1/2</t>
        </is>
      </c>
      <c r="C500" s="3" t="inlineStr">
        <is>
          <t>IMPIANTO ELETTRICO</t>
        </is>
      </c>
      <c r="D500" s="4" t="inlineStr">
        <is>
          <t>NON SPECIALE</t>
        </is>
      </c>
      <c r="E500" s="4" t="inlineStr">
        <is>
          <t>ELETTRICHE</t>
        </is>
      </c>
      <c r="F500" s="3" t="inlineStr">
        <is>
          <t>3_CME IE RADIOFARMACIA PAVIA - REV02 VARIANTE ESECUTIVA.PDF</t>
        </is>
      </c>
      <c r="G500" s="4" t="inlineStr">
        <is>
          <t>201/201</t>
        </is>
      </c>
      <c r="H500" s="3" t="inlineStr">
        <is>
          <t>40 - IMPIANTISTICO</t>
        </is>
      </c>
      <c r="I500" s="3" t="inlineStr">
        <is>
          <t>RADIOFARMACIA</t>
        </is>
      </c>
      <c r="J500" s="3" t="inlineStr">
        <is>
          <t>CABLAGGIO STRUTTURATO</t>
        </is>
      </c>
      <c r="K500" s="3" t="inlineStr">
        <is>
          <t xml:space="preserve">OPERA: PREDISPOSIZIONE PER DERIVAZIONE D'IMPIANTO; IMPIEGO: DERIVAZIONE D'IMPIANTO A VISTA A PARETE/A SOFFITTO. INCLUSO: SCATOLA A VISTA. </t>
        </is>
      </c>
      <c r="L500" s="3" t="inlineStr">
        <is>
          <t>OPERA: PREDISPOSIZIONE PER DERIVAZIONE D'IMPIANTO; IMPIEGO: DERIVAZIONE D'IMPIANTO A VISTA A PARETE/A SOFFITTO. INCLUSO: SCATOLA A VISTA. 
LAVORO: INSTALLAZIONE IN OPERA. INCLUSO: ASSISTENZA PER IL TRASPORTO DEI MATERIALI AL PIANO. 
SPECIFICHE TECNICHE: PER IMPIANTI DI SEGNALAZIONE O DI COMUNICAZIONE; GRADO DI PROTEZIONE IP44; REALIZZATO CON TUBO PROTETTIVO RIGIDO DI PLASTICA POLIVINILCLORURO (PVC) AUTOESTINGUENTE. OP PREDISPOSIZIONE PER DERIVAZIONE D'IMPIANTO; IMPIEGO: DERIVAZIONE D'IMPIANTO A VISTA A PARETE/A SOFFITTO. INCLUSO: SCATOLA A VISTA. 
SPECIFICHE TECNICHE: PER IMPIANTI DI SEGNALAZIONE O DI COMUNICAZIONE; GRADO DI PROTEZIONE IP44; REALIZZATO CON TUBO PROTETTIVO RIGIDO DI PLASTICA POLIVINILCLORURO (PVC) AUTOESTINGUENTE. 
RM PREDISPOSIZIONE PER DERIVAZIONE D'IMPIANTO; IMPIEGO: DERIVAZIONE D'IMPIANTO A VISTA A PARETE/A SOFFITTO. INCLUSO: SCATOLA A VISTA 
SPECIFICHE TECNICHE: PER IMPIANTI DI SEGNALAZIONE O DI COMUNICAZIONE; GRADO DI PROTEZIONE IP44; REALIZZATO CON TUBO PROTETTIVO RIGIDO DI PLASTICA POLIVINILCLORURO (PVC) AUTOESTINGUENTE 
LV INSTALLAZIONE IN OPERA. INCLUSO: ASSISTENZA PER IL TRASPORTO DEI MATERIALI AL PIANO.</t>
        </is>
      </c>
      <c r="M500" s="4" t="inlineStr">
        <is>
          <t>CAD</t>
        </is>
      </c>
      <c r="N500" s="5" t="n">
        <v>8</v>
      </c>
      <c r="O500" s="45" t="n">
        <v>42.69</v>
      </c>
      <c r="P500" s="45" t="n">
        <v>341.52</v>
      </c>
      <c r="Q500" s="5" t="n"/>
      <c r="R500" s="6" t="n"/>
      <c r="S500" s="6">
        <f>IF(AND(Q500&lt;&gt;"",R500&lt;&gt;""),Q500*R500,"")</f>
        <v/>
      </c>
      <c r="T500" s="45">
        <f>IF(S500="",P500,S500)</f>
        <v/>
      </c>
      <c r="U500" s="7" t="n">
        <v>0</v>
      </c>
      <c r="V500" s="6">
        <f>$T500*U500</f>
        <v/>
      </c>
      <c r="W500" s="7" t="n">
        <v>0</v>
      </c>
      <c r="X500" s="6">
        <f>$T500*W500</f>
        <v/>
      </c>
      <c r="Y500" s="7" t="n">
        <v>0</v>
      </c>
      <c r="Z500" s="6">
        <f>$T500*Y500</f>
        <v/>
      </c>
      <c r="AA500" s="7" t="n">
        <v>0</v>
      </c>
      <c r="AB500" s="6">
        <f>$T500*AA500</f>
        <v/>
      </c>
      <c r="AC500" s="7" t="n">
        <v>0</v>
      </c>
      <c r="AD500" s="6">
        <f>$T500*AC500</f>
        <v/>
      </c>
      <c r="AE500" s="7" t="n">
        <v>0</v>
      </c>
      <c r="AF500" s="6">
        <f>$T500*AE500</f>
        <v/>
      </c>
      <c r="AG500" s="7" t="n">
        <v>0</v>
      </c>
      <c r="AH500" s="6">
        <f>$T500*AG500</f>
        <v/>
      </c>
      <c r="AI500" s="7">
        <f>U500+W500+Y500+AA500+AC500+AE500+AG500</f>
        <v/>
      </c>
      <c r="AJ500" s="6">
        <f>V500+X500+Z500+AB500+AD500+AF500+AH500</f>
        <v/>
      </c>
    </row>
    <row r="501" hidden="1" ht="42" customHeight="1" s="46">
      <c r="A501" s="3" t="inlineStr">
        <is>
          <t>LOM252.OC.EEA.PA02.G7427.ZA001.2250</t>
        </is>
      </c>
      <c r="B501" s="4" t="inlineStr">
        <is>
          <t>1/2</t>
        </is>
      </c>
      <c r="C501" s="3" t="inlineStr">
        <is>
          <t>IMPIANTO ELETTRICO</t>
        </is>
      </c>
      <c r="D501" s="4" t="inlineStr">
        <is>
          <t>NON SPECIALE</t>
        </is>
      </c>
      <c r="E501" s="4" t="inlineStr">
        <is>
          <t>ELETTRICHE</t>
        </is>
      </c>
      <c r="F501" s="3" t="inlineStr">
        <is>
          <t>3_CME IE RADIOFARMACIA PAVIA - REV02 VARIANTE ESECUTIVA.PDF</t>
        </is>
      </c>
      <c r="G501" s="4" t="inlineStr">
        <is>
          <t>202/202</t>
        </is>
      </c>
      <c r="H501" s="3" t="inlineStr">
        <is>
          <t>40 - IMPIANTISTICO</t>
        </is>
      </c>
      <c r="I501" s="3" t="inlineStr">
        <is>
          <t>RADIOFARMACIA</t>
        </is>
      </c>
      <c r="J501" s="3" t="inlineStr">
        <is>
          <t>CABLAGGIO STRUTTURATO</t>
        </is>
      </c>
      <c r="K501" s="3" t="inlineStr">
        <is>
          <t xml:space="preserve">OPERA: SCATOLA, PORTA APPARECCHI; GEOMETRIA: 3 POSTI. </t>
        </is>
      </c>
      <c r="L501" s="3" t="inlineStr">
        <is>
          <t>OPERA: SCATOLA, PORTA APPARECCHI; GEOMETRIA: 3 POSTI. 
LAVORO: POSA. OP SCATOLA, PORTA APPARECCHI; GEOMETRIA: 3 POSTI. 
RM SCATOLA PORTA APPARECCHI; GEOMETRIA: 3 POSTI 
LV POSA.</t>
        </is>
      </c>
      <c r="M501" s="4" t="inlineStr">
        <is>
          <t>CAD</t>
        </is>
      </c>
      <c r="N501" s="5" t="n">
        <v>34</v>
      </c>
      <c r="O501" s="45" t="n">
        <v>16.3</v>
      </c>
      <c r="P501" s="45" t="n">
        <v>554.2</v>
      </c>
      <c r="Q501" s="5" t="n"/>
      <c r="R501" s="6" t="n"/>
      <c r="S501" s="6">
        <f>IF(AND(Q501&lt;&gt;"",R501&lt;&gt;""),Q501*R501,"")</f>
        <v/>
      </c>
      <c r="T501" s="45">
        <f>IF(S501="",P501,S501)</f>
        <v/>
      </c>
      <c r="U501" s="7" t="n">
        <v>0</v>
      </c>
      <c r="V501" s="6">
        <f>$T501*U501</f>
        <v/>
      </c>
      <c r="W501" s="7" t="n">
        <v>0</v>
      </c>
      <c r="X501" s="6">
        <f>$T501*W501</f>
        <v/>
      </c>
      <c r="Y501" s="7" t="n">
        <v>0</v>
      </c>
      <c r="Z501" s="6">
        <f>$T501*Y501</f>
        <v/>
      </c>
      <c r="AA501" s="7" t="n">
        <v>0</v>
      </c>
      <c r="AB501" s="6">
        <f>$T501*AA501</f>
        <v/>
      </c>
      <c r="AC501" s="7" t="n">
        <v>0</v>
      </c>
      <c r="AD501" s="6">
        <f>$T501*AC501</f>
        <v/>
      </c>
      <c r="AE501" s="7" t="n">
        <v>0</v>
      </c>
      <c r="AF501" s="6">
        <f>$T501*AE501</f>
        <v/>
      </c>
      <c r="AG501" s="7" t="n">
        <v>0</v>
      </c>
      <c r="AH501" s="6">
        <f>$T501*AG501</f>
        <v/>
      </c>
      <c r="AI501" s="7">
        <f>U501+W501+Y501+AA501+AC501+AE501+AG501</f>
        <v/>
      </c>
      <c r="AJ501" s="6">
        <f>V501+X501+Z501+AB501+AD501+AF501+AH501</f>
        <v/>
      </c>
    </row>
    <row r="502" hidden="1" ht="60" customHeight="1" s="46">
      <c r="A502" s="3" t="inlineStr">
        <is>
          <t>LOM252.OC.EEA.PA02.G8231.ZA001.1260</t>
        </is>
      </c>
      <c r="B502" s="4" t="inlineStr">
        <is>
          <t>1/2</t>
        </is>
      </c>
      <c r="C502" s="3" t="inlineStr">
        <is>
          <t>IMPIANTO ELETTRICO</t>
        </is>
      </c>
      <c r="D502" s="4" t="inlineStr">
        <is>
          <t>NON SPECIALE</t>
        </is>
      </c>
      <c r="E502" s="4" t="inlineStr">
        <is>
          <t>ELETTRICHE</t>
        </is>
      </c>
      <c r="F502" s="3" t="inlineStr">
        <is>
          <t>3_CME IE RADIOFARMACIA PAVIA - REV02 VARIANTE ESECUTIVA.PDF</t>
        </is>
      </c>
      <c r="G502" s="4" t="inlineStr">
        <is>
          <t>203/203</t>
        </is>
      </c>
      <c r="H502" s="3" t="inlineStr">
        <is>
          <t>40 - IMPIANTISTICO</t>
        </is>
      </c>
      <c r="I502" s="3" t="inlineStr">
        <is>
          <t>RADIOFARMACIA</t>
        </is>
      </c>
      <c r="J502" s="3" t="inlineStr">
        <is>
          <t>CABLAGGIO STRUTTURATO</t>
        </is>
      </c>
      <c r="K502" s="3" t="inlineStr">
        <is>
          <t xml:space="preserve">OPERA: PRESA, UTENTE. INCLUSO: COPERCHIO. </t>
        </is>
      </c>
      <c r="L502" s="3" t="inlineStr">
        <is>
          <t>OPERA: PRESA, UTENTE. INCLUSO: COPERCHIO. 
LAVORO: POSA. 
SPECIFICHE TECNICHE: PRESA UTENTE RJ45 UTP NON SCHERMATA, CABLAGGIO UNIVERSALE T568A/B, SERIE CIVILE PER MONTAGGIO SU SUPPORTO DI PLASTICA E PLACCA IN TECNOPOLIMERO, CATEGORIA 6. OP PRESA, UTENTE. INCLUSO: COPERCHIO. 
SPECIFICHE TECNICHE: PRESA UTENTE RJ45 UTP NON SCHERMATA, CABLAGGIO UNIVERSALE T568A/B, SERIE CIVILE PER MONTAGGIO SU SUPPORTO DI PLASTICA E PLACCA IN TECNOPOLIMERO, CATEGORIA 6. 
RM PRESA UTENTE. INCLUSO: COPERCHIO 
SPECIFICHE TECNICHE: PRESA UTENTE RJ45 UTP NON SCHERMATA, CABLAGGIO UNIVERSALE T568A/B, SERIE CIVILE PER MONTAGGIO SU SUPPORTO DI PLASTICA E PLACCA IN TECNOPOLIMERO, CATEGORIA 6 
LV POSA.
[DIMENSIONI: 12,00 2,000 | 22,00 2,000]</t>
        </is>
      </c>
      <c r="M502" s="4" t="inlineStr">
        <is>
          <t>CAD</t>
        </is>
      </c>
      <c r="N502" s="5" t="n">
        <v>76</v>
      </c>
      <c r="O502" s="45" t="n">
        <v>38.55</v>
      </c>
      <c r="P502" s="45" t="n">
        <v>2929.8</v>
      </c>
      <c r="Q502" s="5" t="n"/>
      <c r="R502" s="6" t="n"/>
      <c r="S502" s="6">
        <f>IF(AND(Q502&lt;&gt;"",R502&lt;&gt;""),Q502*R502,"")</f>
        <v/>
      </c>
      <c r="T502" s="45">
        <f>IF(S502="",P502,S502)</f>
        <v/>
      </c>
      <c r="U502" s="7" t="n">
        <v>0</v>
      </c>
      <c r="V502" s="6">
        <f>$T502*U502</f>
        <v/>
      </c>
      <c r="W502" s="7" t="n">
        <v>0</v>
      </c>
      <c r="X502" s="6">
        <f>$T502*W502</f>
        <v/>
      </c>
      <c r="Y502" s="7" t="n">
        <v>0</v>
      </c>
      <c r="Z502" s="6">
        <f>$T502*Y502</f>
        <v/>
      </c>
      <c r="AA502" s="7" t="n">
        <v>0</v>
      </c>
      <c r="AB502" s="6">
        <f>$T502*AA502</f>
        <v/>
      </c>
      <c r="AC502" s="7" t="n">
        <v>0</v>
      </c>
      <c r="AD502" s="6">
        <f>$T502*AC502</f>
        <v/>
      </c>
      <c r="AE502" s="7" t="n">
        <v>0</v>
      </c>
      <c r="AF502" s="6">
        <f>$T502*AE502</f>
        <v/>
      </c>
      <c r="AG502" s="7" t="n">
        <v>0</v>
      </c>
      <c r="AH502" s="6">
        <f>$T502*AG502</f>
        <v/>
      </c>
      <c r="AI502" s="7">
        <f>U502+W502+Y502+AA502+AC502+AE502+AG502</f>
        <v/>
      </c>
      <c r="AJ502" s="6">
        <f>V502+X502+Z502+AB502+AD502+AF502+AH502</f>
        <v/>
      </c>
    </row>
    <row r="503" ht="60" customHeight="1" s="46">
      <c r="A503" s="3" t="inlineStr">
        <is>
          <t>LOM252.OC.EEA.PA02.H7455.SC000.0260</t>
        </is>
      </c>
      <c r="B503" s="4" t="inlineStr">
        <is>
          <t>1/2</t>
        </is>
      </c>
      <c r="C503" s="3" t="inlineStr">
        <is>
          <t>IMPIANTO ELETTRICO</t>
        </is>
      </c>
      <c r="D503" s="4" t="inlineStr">
        <is>
          <t>NON SPECIALE</t>
        </is>
      </c>
      <c r="E503" s="4" t="inlineStr">
        <is>
          <t>ELETTRICHE</t>
        </is>
      </c>
      <c r="F503" s="3" t="inlineStr">
        <is>
          <t>3_CME IE RADIOFARMACIA PAVIA - REV02 VARIANTE ESECUTIVA.PDF</t>
        </is>
      </c>
      <c r="G503" s="4" t="inlineStr">
        <is>
          <t>204/204</t>
        </is>
      </c>
      <c r="H503" s="3" t="inlineStr">
        <is>
          <t>40 - IMPIANTISTICO</t>
        </is>
      </c>
      <c r="I503" s="3" t="inlineStr">
        <is>
          <t>RADIOFARMACIA</t>
        </is>
      </c>
      <c r="J503" s="3" t="inlineStr">
        <is>
          <t>CABLAGGIO STRUTTURATO</t>
        </is>
      </c>
      <c r="K503" s="3" t="inlineStr">
        <is>
          <t xml:space="preserve">OPERA: CAVO, UTP DI LEGA RAME GENERICO; GEOMETRIA: 4 COPPIE | TWISTATO | NON SCHERMATO. </t>
        </is>
      </c>
      <c r="L503" s="3" t="inlineStr">
        <is>
          <t>OPERA: CAVO, UTP DI LEGA RAME GENERICO; GEOMETRIA: 4 COPPIE | TWISTATO | NON SCHERMATO. 
LAVORO: POSA. OP CAVO, UTP DI LEGA RAME GENERICO; GEOMETRIA: 4 COPPIE | TWISTATO | NON SCHERMATO. 
RM CAVO UTP DI LEGA RAME GENERICO; GEOMETRIA: 4 COPPIE | TWISTATO | NON SCHERMATO. COMPONENTE: CONDUTTORE, . INCLUSO: GUAINA LSZH 
LV POSA.
[DIMENSIONI: 18,00 40,00 | 24,00 40,00 | 2,00 20,00]</t>
        </is>
      </c>
      <c r="M503" s="4" t="inlineStr">
        <is>
          <t>M</t>
        </is>
      </c>
      <c r="N503" s="5" t="n">
        <v>1720</v>
      </c>
      <c r="O503" s="45" t="n">
        <v>3.15</v>
      </c>
      <c r="P503" s="45" t="n">
        <v>5418</v>
      </c>
      <c r="Q503" s="5" t="n"/>
      <c r="R503" s="6" t="n"/>
      <c r="S503" s="6">
        <f>IF(AND(Q503&lt;&gt;"",R503&lt;&gt;""),Q503*R503,"")</f>
        <v/>
      </c>
      <c r="T503" s="45">
        <f>IF(S503="",P503,S503)</f>
        <v/>
      </c>
      <c r="U503" s="7" t="n">
        <v>0</v>
      </c>
      <c r="V503" s="6">
        <f>$T503*U503</f>
        <v/>
      </c>
      <c r="W503" s="7" t="n">
        <v>0.4</v>
      </c>
      <c r="X503" s="6">
        <f>$T503*W503</f>
        <v/>
      </c>
      <c r="Y503" s="7" t="n">
        <v>0</v>
      </c>
      <c r="Z503" s="6">
        <f>$T503*Y503</f>
        <v/>
      </c>
      <c r="AA503" s="7" t="n">
        <v>0</v>
      </c>
      <c r="AB503" s="6">
        <f>$T503*AA503</f>
        <v/>
      </c>
      <c r="AC503" s="7" t="n">
        <v>0</v>
      </c>
      <c r="AD503" s="6">
        <f>$T503*AC503</f>
        <v/>
      </c>
      <c r="AE503" s="7" t="n">
        <v>0</v>
      </c>
      <c r="AF503" s="6">
        <f>$T503*AE503</f>
        <v/>
      </c>
      <c r="AG503" s="7" t="n">
        <v>0</v>
      </c>
      <c r="AH503" s="6">
        <f>$T503*AG503</f>
        <v/>
      </c>
      <c r="AI503" s="7">
        <f>U503+W503+Y503+AA503+AC503+AE503+AG503</f>
        <v/>
      </c>
      <c r="AJ503" s="6">
        <f>V503+X503+Z503+AB503+AD503+AF503+AH503</f>
        <v/>
      </c>
    </row>
    <row r="504" ht="60" customHeight="1" s="46">
      <c r="A504" s="3" t="inlineStr">
        <is>
          <t>LOM252.OC.EEA.PA02.H7498.R0000.0015</t>
        </is>
      </c>
      <c r="B504" s="4" t="inlineStr">
        <is>
          <t>1/1</t>
        </is>
      </c>
      <c r="C504" s="3" t="inlineStr">
        <is>
          <t>IMPIANTO ELETTRICO</t>
        </is>
      </c>
      <c r="D504" s="4" t="inlineStr">
        <is>
          <t>NON SPECIALE</t>
        </is>
      </c>
      <c r="E504" s="4" t="inlineStr">
        <is>
          <t>ELETTRICHE</t>
        </is>
      </c>
      <c r="F504" s="3" t="inlineStr">
        <is>
          <t>3_CME IE RADIOFARMACIA PAVIA - REV02 VARIANTE ESECUTIVA.PDF</t>
        </is>
      </c>
      <c r="G504" s="4" t="inlineStr">
        <is>
          <t>205/205</t>
        </is>
      </c>
      <c r="H504" s="3" t="inlineStr">
        <is>
          <t>40 - IMPIANTISTICO</t>
        </is>
      </c>
      <c r="I504" s="3" t="inlineStr">
        <is>
          <t>RADIOFARMACIA</t>
        </is>
      </c>
      <c r="J504" s="3" t="inlineStr">
        <is>
          <t>CABLAGGIO STRUTTURATO</t>
        </is>
      </c>
      <c r="K504" s="3" t="inlineStr">
        <is>
          <t xml:space="preserve">OPERA: ARMADIO RACK, 19" DI METALLO GENERICO; IMPIEGO: SISTEMI AUDIO DI DIFFUSIONE SONORA; UNITÀ RACK [U] = 42. INCLUSO: MONTANTI IN ACCIAIO, PANNELLI LATERALI REMOVIBILI, PORTA POSTERIORE. </t>
        </is>
      </c>
      <c r="L504" s="3" t="inlineStr">
        <is>
          <t>OPERA: ARMADIO RACK, 19" DI METALLO GENERICO; IMPIEGO: SISTEMI AUDIO DI DIFFUSIONE SONORA; UNITÀ RACK [U] = 42. INCLUSO: MONTANTI IN ACCIAIO, PANNELLI LATERALI REMOVIBILI, PORTA POSTERIORE. 
LAVORO: POSA. 
SPECIFICHE TECNICHE: ARMADIO RACK CON PASSAGGI PER L'USCITA DEI CAVI, FORNITO ASSEMBLATO. OP ARMADIO RACK, 19" DI METALLO GENERICO; IMPIEGO: SISTEMI AUDIO DI DIFFUSIONE SONORA; UNITÀ RACK [U] = 42. INCLUSO: MONTANTI IN ACCIAIO, PANNELLI LATERALI REMOVIBILI, PORTA POSTERIORE. 
SPECIFICHE TECNICHE: ARMADIO RACK CON PASSAGGI PER L'USCITA DEI CAVI, FORNITO ASSEMBLATO. 
RM ARMADIO RACK 19" DI METALLO GENERICO; IMPIEGO: SISTEMI AUDIO DI DIFFUSIONE SONORA; UNITÀ RACK [U] = 42. COMPONENTE: BASE, . INCLUSO: MONTANTI IN ACCIAIO, PANNELLI LATERALI REMOVIBILI, PORTA POSTERIORE 
SPECIFICHE TECNICHE: ARMADIO RACK CON PASSAGGI PER L'USCITA DEI CAVI, FORNITO ASSEMBLATO 
LV POSA.</t>
        </is>
      </c>
      <c r="M504" s="4" t="inlineStr">
        <is>
          <t>CAD</t>
        </is>
      </c>
      <c r="N504" s="5" t="n">
        <v>2</v>
      </c>
      <c r="O504" s="45" t="n">
        <v>1214.32</v>
      </c>
      <c r="P504" s="45" t="n">
        <v>2428.64</v>
      </c>
      <c r="Q504" s="5" t="n"/>
      <c r="R504" s="6" t="n"/>
      <c r="S504" s="6">
        <f>IF(AND(Q504&lt;&gt;"",R504&lt;&gt;""),Q504*R504,"")</f>
        <v/>
      </c>
      <c r="T504" s="45">
        <f>IF(S504="",P504,S504)</f>
        <v/>
      </c>
      <c r="U504" s="7" t="n">
        <v>0</v>
      </c>
      <c r="V504" s="6">
        <f>$T504*U504</f>
        <v/>
      </c>
      <c r="W504" s="7" t="n">
        <v>0.5</v>
      </c>
      <c r="X504" s="6">
        <f>$T504*W504</f>
        <v/>
      </c>
      <c r="Y504" s="7" t="n">
        <v>0</v>
      </c>
      <c r="Z504" s="6">
        <f>$T504*Y504</f>
        <v/>
      </c>
      <c r="AA504" s="7" t="n">
        <v>0</v>
      </c>
      <c r="AB504" s="6">
        <f>$T504*AA504</f>
        <v/>
      </c>
      <c r="AC504" s="7" t="n">
        <v>0</v>
      </c>
      <c r="AD504" s="6">
        <f>$T504*AC504</f>
        <v/>
      </c>
      <c r="AE504" s="7" t="n">
        <v>0</v>
      </c>
      <c r="AF504" s="6">
        <f>$T504*AE504</f>
        <v/>
      </c>
      <c r="AG504" s="7" t="n">
        <v>0</v>
      </c>
      <c r="AH504" s="6">
        <f>$T504*AG504</f>
        <v/>
      </c>
      <c r="AI504" s="7">
        <f>U504+W504+Y504+AA504+AC504+AE504+AG504</f>
        <v/>
      </c>
      <c r="AJ504" s="6">
        <f>V504+X504+Z504+AB504+AD504+AF504+AH504</f>
        <v/>
      </c>
    </row>
    <row r="505" hidden="1" ht="54" customHeight="1" s="46">
      <c r="A505" s="3" t="inlineStr">
        <is>
          <t>DEIELE251_095145C</t>
        </is>
      </c>
      <c r="B505" s="4" t="inlineStr">
        <is>
          <t>1/1</t>
        </is>
      </c>
      <c r="C505" s="3" t="inlineStr">
        <is>
          <t>IMPIANTO ELETTRICO</t>
        </is>
      </c>
      <c r="D505" s="4" t="inlineStr">
        <is>
          <t>NON SPECIALE</t>
        </is>
      </c>
      <c r="E505" s="4" t="inlineStr">
        <is>
          <t>ELETTRICHE</t>
        </is>
      </c>
      <c r="F505" s="3" t="inlineStr">
        <is>
          <t>3_CME IE RADIOFARMACIA PAVIA - REV02 VARIANTE ESECUTIVA.PDF</t>
        </is>
      </c>
      <c r="G505" s="4" t="inlineStr">
        <is>
          <t>206/206</t>
        </is>
      </c>
      <c r="H505" s="3" t="inlineStr">
        <is>
          <t>40 - IMPIANTISTICO</t>
        </is>
      </c>
      <c r="I505" s="3" t="inlineStr">
        <is>
          <t>RADIOFARMACIA</t>
        </is>
      </c>
      <c r="J505" s="3" t="inlineStr">
        <is>
          <t>CABLAGGIO STRUTTURATO</t>
        </is>
      </c>
      <c r="K505" s="3" t="inlineStr">
        <is>
          <t>PANNELLO DI PERMUTAZIONE MODULARE, CABLAGGIO UNIVERSALE, CON TELAIO PER ARMADIO DA 19", COMPLETO DI PORTE PER CAVI UTP O FTP: VUOTO, PREDISPOSTO PER 24 PORTE TIPO RJ45 PER CAVI UTP/FTP</t>
        </is>
      </c>
      <c r="L505" s="3" t="inlineStr">
        <is>
          <t>PANNELLO DI PERMUTAZIONE MODULARE, CABLAGGIO UNIVERSALE, CON TELAIO PER ARMADIO DA 19", COMPLETO DI PORTE PER CAVI UTP O FTP: VUOTO, PREDISPOSTO PER 24 PORTE TIPO RJ45 PER CAVI UTP/FTP</t>
        </is>
      </c>
      <c r="M505" s="4" t="inlineStr">
        <is>
          <t>CAD</t>
        </is>
      </c>
      <c r="N505" s="5" t="n">
        <v>10</v>
      </c>
      <c r="O505" s="45" t="n">
        <v>62.85</v>
      </c>
      <c r="P505" s="45" t="n">
        <v>628.5</v>
      </c>
      <c r="Q505" s="5" t="n"/>
      <c r="R505" s="6" t="n"/>
      <c r="S505" s="6">
        <f>IF(AND(Q505&lt;&gt;"",R505&lt;&gt;""),Q505*R505,"")</f>
        <v/>
      </c>
      <c r="T505" s="45">
        <f>IF(S505="",P505,S505)</f>
        <v/>
      </c>
      <c r="U505" s="7" t="n">
        <v>0</v>
      </c>
      <c r="V505" s="6">
        <f>$T505*U505</f>
        <v/>
      </c>
      <c r="W505" s="7" t="n">
        <v>0</v>
      </c>
      <c r="X505" s="6">
        <f>$T505*W505</f>
        <v/>
      </c>
      <c r="Y505" s="7" t="n">
        <v>0</v>
      </c>
      <c r="Z505" s="6">
        <f>$T505*Y505</f>
        <v/>
      </c>
      <c r="AA505" s="7" t="n">
        <v>0</v>
      </c>
      <c r="AB505" s="6">
        <f>$T505*AA505</f>
        <v/>
      </c>
      <c r="AC505" s="7" t="n">
        <v>0</v>
      </c>
      <c r="AD505" s="6">
        <f>$T505*AC505</f>
        <v/>
      </c>
      <c r="AE505" s="7" t="n">
        <v>0</v>
      </c>
      <c r="AF505" s="6">
        <f>$T505*AE505</f>
        <v/>
      </c>
      <c r="AG505" s="7" t="n">
        <v>0</v>
      </c>
      <c r="AH505" s="6">
        <f>$T505*AG505</f>
        <v/>
      </c>
      <c r="AI505" s="7">
        <f>U505+W505+Y505+AA505+AC505+AE505+AG505</f>
        <v/>
      </c>
      <c r="AJ505" s="6">
        <f>V505+X505+Z505+AB505+AD505+AF505+AH505</f>
        <v/>
      </c>
    </row>
    <row r="506" ht="60" customHeight="1" s="46">
      <c r="A506" s="3" t="inlineStr">
        <is>
          <t>LOM252.OC.EEA.PA01.G7448.ZA001.0505</t>
        </is>
      </c>
      <c r="B506" s="4" t="inlineStr">
        <is>
          <t>1/1</t>
        </is>
      </c>
      <c r="C506" s="3" t="inlineStr">
        <is>
          <t>IMPIANTO ELETTRICO</t>
        </is>
      </c>
      <c r="D506" s="4" t="inlineStr">
        <is>
          <t>NON SPECIALE</t>
        </is>
      </c>
      <c r="E506" s="4" t="inlineStr">
        <is>
          <t>ELETTRICHE</t>
        </is>
      </c>
      <c r="F506" s="3" t="inlineStr">
        <is>
          <t>3_CME IE RADIOFARMACIA PAVIA - REV02 VARIANTE ESECUTIVA.PDF</t>
        </is>
      </c>
      <c r="G506" s="4" t="inlineStr">
        <is>
          <t>207/207</t>
        </is>
      </c>
      <c r="H506" s="3" t="inlineStr">
        <is>
          <t>40 - IMPIANTISTICO</t>
        </is>
      </c>
      <c r="I506" s="3" t="inlineStr">
        <is>
          <t>RADIOFARMACIA</t>
        </is>
      </c>
      <c r="J506" s="3" t="inlineStr">
        <is>
          <t>CABLAGGIO STRUTTURATO</t>
        </is>
      </c>
      <c r="K506" s="3" t="inlineStr">
        <is>
          <t xml:space="preserve">OPERA: CONNETTORE, RJ45; GEOMETRIA: UTP NON SCHERMATO; IMPIEGO: PANNELLI DI PERMUTAZIONE. </t>
        </is>
      </c>
      <c r="L506" s="3" t="inlineStr">
        <is>
          <t>OPERA: CONNETTORE, RJ45; GEOMETRIA: UTP NON SCHERMATO; IMPIEGO: PANNELLI DI PERMUTAZIONE. 
LAVORO: INSTALLAZIONE. 
SPECIFICHE TECNICHE: CABLAGGIO UNIVERSALE T568A/B, CATEGORIA 6E. OP CONNETTORE, RJ45; GEOMETRIA: UTP NON SCHERMATO; IMPIEGO: PANNELLI DI PERMUTAZIONE. 
SPECIFICHE TECNICHE: CABLAGGIO UNIVERSALE T568A/B, CATEGORIA 6E. 
RM CONNETTORE RJ45; GEOMETRIA: UTP NON SCHERMATO; IMPIEGO: PANNELLI DI PERMUTAZIONE 
SPECIFICHE TECNICHE: CABLAGGIO UNIVERSALE T568A/B, CATEGORIA 6E 
LV INSTALLAZIONE.
[DIMENSIONI: 7,00 24,000 | 3,00 24,000]</t>
        </is>
      </c>
      <c r="M506" s="4" t="inlineStr">
        <is>
          <t>CAD</t>
        </is>
      </c>
      <c r="N506" s="5" t="n">
        <v>240</v>
      </c>
      <c r="O506" s="45" t="n">
        <v>10.48</v>
      </c>
      <c r="P506" s="45" t="n">
        <v>2515.2</v>
      </c>
      <c r="Q506" s="5" t="n"/>
      <c r="R506" s="6" t="n"/>
      <c r="S506" s="6">
        <f>IF(AND(Q506&lt;&gt;"",R506&lt;&gt;""),Q506*R506,"")</f>
        <v/>
      </c>
      <c r="T506" s="45">
        <f>IF(S506="",P506,S506)</f>
        <v/>
      </c>
      <c r="U506" s="7" t="n">
        <v>0</v>
      </c>
      <c r="V506" s="6">
        <f>$T506*U506</f>
        <v/>
      </c>
      <c r="W506" s="7" t="n">
        <v>0.4</v>
      </c>
      <c r="X506" s="6">
        <f>$T506*W506</f>
        <v/>
      </c>
      <c r="Y506" s="7" t="n">
        <v>0</v>
      </c>
      <c r="Z506" s="6">
        <f>$T506*Y506</f>
        <v/>
      </c>
      <c r="AA506" s="7" t="n">
        <v>0</v>
      </c>
      <c r="AB506" s="6">
        <f>$T506*AA506</f>
        <v/>
      </c>
      <c r="AC506" s="7" t="n">
        <v>0</v>
      </c>
      <c r="AD506" s="6">
        <f>$T506*AC506</f>
        <v/>
      </c>
      <c r="AE506" s="7" t="n">
        <v>0</v>
      </c>
      <c r="AF506" s="6">
        <f>$T506*AE506</f>
        <v/>
      </c>
      <c r="AG506" s="7" t="n">
        <v>0</v>
      </c>
      <c r="AH506" s="6">
        <f>$T506*AG506</f>
        <v/>
      </c>
      <c r="AI506" s="7">
        <f>U506+W506+Y506+AA506+AC506+AE506+AG506</f>
        <v/>
      </c>
      <c r="AJ506" s="6">
        <f>V506+X506+Z506+AB506+AD506+AF506+AH506</f>
        <v/>
      </c>
    </row>
    <row r="507" hidden="1" ht="30" customHeight="1" s="46">
      <c r="A507" s="3" t="inlineStr">
        <is>
          <t>DEIELE251_095113</t>
        </is>
      </c>
      <c r="B507" s="4" t="inlineStr">
        <is>
          <t>1/1</t>
        </is>
      </c>
      <c r="C507" s="3" t="inlineStr">
        <is>
          <t>IMPIANTO ELETTRICO</t>
        </is>
      </c>
      <c r="D507" s="4" t="inlineStr">
        <is>
          <t>NON SPECIALE</t>
        </is>
      </c>
      <c r="E507" s="4" t="inlineStr">
        <is>
          <t>ELETTRICHE</t>
        </is>
      </c>
      <c r="F507" s="3" t="inlineStr">
        <is>
          <t>3_CME IE RADIOFARMACIA PAVIA - REV02 VARIANTE ESECUTIVA.PDF</t>
        </is>
      </c>
      <c r="G507" s="4" t="inlineStr">
        <is>
          <t>208/208</t>
        </is>
      </c>
      <c r="H507" s="3" t="inlineStr">
        <is>
          <t>40 - IMPIANTISTICO</t>
        </is>
      </c>
      <c r="I507" s="3" t="inlineStr">
        <is>
          <t>RADIOFARMACIA</t>
        </is>
      </c>
      <c r="J507" s="3" t="inlineStr">
        <is>
          <t>CABLAGGIO STRUTTURATO</t>
        </is>
      </c>
      <c r="K507" s="3" t="inlineStr">
        <is>
          <t>ATTESTAZIONE DI CAVO UTP O FTP 4 COPPIE SU CONNETTORE RJ45 CAT. 6 CONFORME ISO IEC 11801 QUESTO INCLUSO</t>
        </is>
      </c>
      <c r="L507" s="3" t="inlineStr">
        <is>
          <t>ATTESTAZIONE DI CAVO UTP O FTP 4 COPPIE SU CONNETTORE RJ45 CAT. 6 CONFORME ISO IEC 11801 QUESTO INCLUSO</t>
        </is>
      </c>
      <c r="M507" s="4" t="inlineStr">
        <is>
          <t>CAD</t>
        </is>
      </c>
      <c r="N507" s="5" t="n">
        <v>212</v>
      </c>
      <c r="O507" s="45" t="n">
        <v>16.41</v>
      </c>
      <c r="P507" s="45" t="n">
        <v>3478.92</v>
      </c>
      <c r="Q507" s="5" t="n"/>
      <c r="R507" s="6" t="n"/>
      <c r="S507" s="6">
        <f>IF(AND(Q507&lt;&gt;"",R507&lt;&gt;""),Q507*R507,"")</f>
        <v/>
      </c>
      <c r="T507" s="45">
        <f>IF(S507="",P507,S507)</f>
        <v/>
      </c>
      <c r="U507" s="7" t="n">
        <v>0</v>
      </c>
      <c r="V507" s="6">
        <f>$T507*U507</f>
        <v/>
      </c>
      <c r="W507" s="7" t="n">
        <v>0</v>
      </c>
      <c r="X507" s="6">
        <f>$T507*W507</f>
        <v/>
      </c>
      <c r="Y507" s="7" t="n">
        <v>0</v>
      </c>
      <c r="Z507" s="6">
        <f>$T507*Y507</f>
        <v/>
      </c>
      <c r="AA507" s="7" t="n">
        <v>0</v>
      </c>
      <c r="AB507" s="6">
        <f>$T507*AA507</f>
        <v/>
      </c>
      <c r="AC507" s="7" t="n">
        <v>0</v>
      </c>
      <c r="AD507" s="6">
        <f>$T507*AC507</f>
        <v/>
      </c>
      <c r="AE507" s="7" t="n">
        <v>0</v>
      </c>
      <c r="AF507" s="6">
        <f>$T507*AE507</f>
        <v/>
      </c>
      <c r="AG507" s="7" t="n">
        <v>0</v>
      </c>
      <c r="AH507" s="6">
        <f>$T507*AG507</f>
        <v/>
      </c>
      <c r="AI507" s="7">
        <f>U507+W507+Y507+AA507+AC507+AE507+AG507</f>
        <v/>
      </c>
      <c r="AJ507" s="6">
        <f>V507+X507+Z507+AB507+AD507+AF507+AH507</f>
        <v/>
      </c>
    </row>
    <row r="508" ht="60" customHeight="1" s="46">
      <c r="A508" s="3" t="inlineStr">
        <is>
          <t>LOM252.OC.EEA.PA01.H0927.ZA001.0260</t>
        </is>
      </c>
      <c r="B508" s="4" t="inlineStr">
        <is>
          <t>1/1</t>
        </is>
      </c>
      <c r="C508" s="3" t="inlineStr">
        <is>
          <t>IMPIANTO ELETTRICO</t>
        </is>
      </c>
      <c r="D508" s="4" t="inlineStr">
        <is>
          <t>NON SPECIALE</t>
        </is>
      </c>
      <c r="E508" s="4" t="inlineStr">
        <is>
          <t>ELETTRICHE</t>
        </is>
      </c>
      <c r="F508" s="3" t="inlineStr">
        <is>
          <t>3_CME IE RADIOFARMACIA PAVIA - REV02 VARIANTE ESECUTIVA.PDF</t>
        </is>
      </c>
      <c r="G508" s="4" t="inlineStr">
        <is>
          <t>209/209</t>
        </is>
      </c>
      <c r="H508" s="3" t="inlineStr">
        <is>
          <t>40 - IMPIANTISTICO</t>
        </is>
      </c>
      <c r="I508" s="3" t="inlineStr">
        <is>
          <t>RADIOFARMACIA</t>
        </is>
      </c>
      <c r="J508" s="3" t="inlineStr">
        <is>
          <t>CABLAGGIO STRUTTURATO</t>
        </is>
      </c>
      <c r="K508" s="3" t="inlineStr">
        <is>
          <t xml:space="preserve">OPERA: SWITCH DI RETE, PER GIGABITE ETHERNET; FUNZIONE: POWER OVER ETHERNET (POE); IMPIEGO: TELECAMERE IP; TEMPERATURA DI ESERCIZIO [°C] = 0 ÷ 50. </t>
        </is>
      </c>
      <c r="L508" s="3" t="inlineStr">
        <is>
          <t>OPERA: SWITCH DI RETE, PER GIGABITE ETHERNET; FUNZIONE: POWER OVER ETHERNET (POE); IMPIEGO: TELECAMERE IP; TEMPERATURA DI ESERCIZIO [°C] = 0 ÷ 50. 
LAVORO: INSTALLAZIONE. 
SPECIFICHE TECNICHE: SWITCH DI RETE PER GIGABIT ETHERNET CON FUNZIONALITÀ POE PER TELECAMERE IP CON PORTE GIGE PER CONNESSIONI NVR / SERVER, ADATTO PER UTILIZZI IN AMBIENTI ORDINARI. CARATTERISTICHE: 24 PORTE GIGABIT ETHERNET RJ-45 CON POE +. SWITCH NON BLOCCABILE FINO A 48GBPS. DIMENSIONI DEL TELAIO JUMBO DA 10KBYTES. TABELLA DI INDIRIZZO MAC DI 8K- SUPPORTO MULTICAST COMPLETO PER IP VIDEO. FINO A 256 GRUPPI MULTICAST. SUPPORTO VLAN. FINO A 256 GRUPPI VLAN. QUALITÀ DEL SERVIZIO (QOS). POWER OVER ETHERNET. RILEVA AUTOMATICAMENTE I DISPOSITIVI A POTENZA POE (PD). FILTRO MAC E SORGENTE DI ORIGINE INDIRIZZO IP / MAC. CONFORME A IEEE 802.3AF / IEEE 802.3AT POWER OVER ETHERNET / END-SPAN PSE E FINO A 24 DISPOSITIVI IEEE 802.3AF (24 PORTE 15,4W)/ 802.3AT (12 PORTE 30W) ALIMENTATI. POTENZA TOTALE POE FINO A 380W -. OP SWITCH DI RETE, PER GIGABITE ETHERNET; FUNZIONE: POWER OVER ETHERNET (POE); IMPIEGO: TELECAMERE IP; TEMPERATURA DI ESERCIZIO [°C] = 0 ÷ 50. 
SPECIFICHE TECNICHE: SWITCH DI RETE PER GIGABIT ETHERNET CON FUNZIONALITÀ POE PER TELECAMERE IP CON PORTE GIGE PER CONNESSIONI NVR / SERVER, ADATTO PER UTILIZZI IN AMBIENTI ORDINARI. CARATTERISTICHE: 24 PORTE GIGABIT ETHERNET RJ-45 CON POE +. SWITCH NON BLOCCABILE FINO A 48GBPS. DIMENSIONI DEL TELAIO JUMBO DA 10KBYTES. TABELLA DI INDIRIZZO MAC DI 8K- SUPPORTO MULTICAST COMPLETO PER IP VIDEO. FINO A 256 GRUPPI MULTICAST. SUPPORTO VLAN. FINO A 256 GRUPPI VLAN. QUALITÀ DEL SERVIZIO (QOS). POWER OVER ETHERNET. RILEVA AUTOMATICAMENTE I DISPOSITIVI A POTENZA POE (PD). FILTRO MAC E SORGENTE DI ORIGINE INDIRIZZO IP / MAC. CONFORME A IEEE 802.3AF / IEEE 802.3AT POWER OVER ETHERNET / END-SPAN PSE E FINO A 24 DISPOSITIVI IEEE 802.3AF (24 PORTE 15,4W)/ 802.3AT (12 PORTE 30W) ALIMENTATI. POTENZA TOTALE POE FINO A 380W -. 
RM SWITCH DI RETE PER GIGABITE ETHERNET; FUNZIONE: POWER OVER ETHERNET (POE); IMPIEGO: TELECAMERE IP; TEMPERATURA DI ESERCIZIO [°C] = 0 ÷ 50 
SPECIFICHE TECNICHE: SWITCH DI RETE PER GIGABIT ETHERNET CON FUNZIONALITÀ POE PER TELECAMERE IP CON PORTE GIGE PER CONNESSIONI NVR / SERVER, ADATTO PER UTILIZZI IN AMBIENTI ORDINARI. CARATTERISTICHE: 24 PORTE GIGABIT ETHERNET RJ-45 CON POE +. SWITCH NON BLOCCABILE FINO A 48GBPS. DIMENSIONI DEL TELAIO JUMBO DA 10KBYTES. TABELLA DI INDIRIZZO MAC DI 8K- SUPPORTO MULTICAST COMPLETO PER IP VIDEO. FINO A 256 GRUPPI MULTICAST. SUPPORTO VLAN. FINO A 256 GRUPPI VLAN. QUALITÀ DEL SERVIZIO (QOS). POWER OVER ETHERNET. RILEVA AUTOMATICAMENTE I DISPOSITIVI A POTENZA POE (PD). FILTRO MAC E SORGENTE DI ORIGINE INDIRIZZO IP / MAC. CONFORME A IEEE 802.3AF / IEEE 802.3AT POWER OVER ETHERNET / END-SPAN PSE E FINO A 24 DISPOSITIVI IEEE 802.3AF (24 PORTE 15,4W)/ 802.3AT (12 PORTE 30W) ALIMENTATI. POTENZA TOTALE POE FINO A 380W - 
LV INSTALLAZIONE.</t>
        </is>
      </c>
      <c r="M508" s="4" t="inlineStr">
        <is>
          <t>CAD</t>
        </is>
      </c>
      <c r="N508" s="5" t="n">
        <v>10</v>
      </c>
      <c r="O508" s="45" t="n">
        <v>219.38</v>
      </c>
      <c r="P508" s="45" t="n">
        <v>2193.8</v>
      </c>
      <c r="Q508" s="5" t="n"/>
      <c r="R508" s="6" t="n"/>
      <c r="S508" s="6">
        <f>IF(AND(Q508&lt;&gt;"",R508&lt;&gt;""),Q508*R508,"")</f>
        <v/>
      </c>
      <c r="T508" s="45">
        <f>IF(S508="",P508,S508)</f>
        <v/>
      </c>
      <c r="U508" s="7" t="n">
        <v>0</v>
      </c>
      <c r="V508" s="6">
        <f>$T508*U508</f>
        <v/>
      </c>
      <c r="W508" s="7" t="n">
        <v>0.5</v>
      </c>
      <c r="X508" s="6">
        <f>$T508*W508</f>
        <v/>
      </c>
      <c r="Y508" s="7" t="n">
        <v>0</v>
      </c>
      <c r="Z508" s="6">
        <f>$T508*Y508</f>
        <v/>
      </c>
      <c r="AA508" s="7" t="n">
        <v>0</v>
      </c>
      <c r="AB508" s="6">
        <f>$T508*AA508</f>
        <v/>
      </c>
      <c r="AC508" s="7" t="n">
        <v>0</v>
      </c>
      <c r="AD508" s="6">
        <f>$T508*AC508</f>
        <v/>
      </c>
      <c r="AE508" s="7" t="n">
        <v>0</v>
      </c>
      <c r="AF508" s="6">
        <f>$T508*AE508</f>
        <v/>
      </c>
      <c r="AG508" s="7" t="n">
        <v>0</v>
      </c>
      <c r="AH508" s="6">
        <f>$T508*AG508</f>
        <v/>
      </c>
      <c r="AI508" s="7">
        <f>U508+W508+Y508+AA508+AC508+AE508+AG508</f>
        <v/>
      </c>
      <c r="AJ508" s="6">
        <f>V508+X508+Z508+AB508+AD508+AF508+AH508</f>
        <v/>
      </c>
    </row>
    <row r="509" hidden="1" ht="42" customHeight="1" s="46">
      <c r="A509" s="3" t="inlineStr">
        <is>
          <t>DEIELE251_095134F</t>
        </is>
      </c>
      <c r="B509" s="4" t="inlineStr">
        <is>
          <t>1/1</t>
        </is>
      </c>
      <c r="C509" s="3" t="inlineStr">
        <is>
          <t>IMPIANTO ELETTRICO</t>
        </is>
      </c>
      <c r="D509" s="4" t="inlineStr">
        <is>
          <t>NON SPECIALE</t>
        </is>
      </c>
      <c r="E509" s="4" t="inlineStr">
        <is>
          <t>ELETTRICHE</t>
        </is>
      </c>
      <c r="F509" s="3" t="inlineStr">
        <is>
          <t>3_CME IE RADIOFARMACIA PAVIA - REV02 VARIANTE ESECUTIVA.PDF</t>
        </is>
      </c>
      <c r="G509" s="4" t="inlineStr">
        <is>
          <t>210/210</t>
        </is>
      </c>
      <c r="H509" s="3" t="inlineStr">
        <is>
          <t>40 - IMPIANTISTICO</t>
        </is>
      </c>
      <c r="I509" s="3" t="inlineStr">
        <is>
          <t>RADIOFARMACIA</t>
        </is>
      </c>
      <c r="J509" s="3" t="inlineStr">
        <is>
          <t>CABLAGGIO STRUTTURATO</t>
        </is>
      </c>
      <c r="K509" s="3" t="inlineStr">
        <is>
          <t>PATCH-CORD REALIZZATA IN CAVO 4 COPPIE, CONDUTTORI IN RAME 24AWG E CONNETTORI RJ45, CONFORME ALLA NORMATIVA ISO /IEC 11801 E EIA/TIA 568 C2-1, LUNGHEZZA: 200 CM, U/UTP CATEGORIA 6</t>
        </is>
      </c>
      <c r="L509" s="3" t="inlineStr">
        <is>
          <t>PATCH-CORD REALIZZATA IN CAVO 4 COPPIE, CONDUTTORI IN RAME 24AWG E CONNETTORI RJ45, CONFORME ALLA NORMATIVA ISO /IEC 11801 E EIA/TIA 568 C2-1, LUNGHEZZA: 200 CM, U/UTP CATEGORIA 6</t>
        </is>
      </c>
      <c r="M509" s="4" t="inlineStr">
        <is>
          <t>CAD</t>
        </is>
      </c>
      <c r="N509" s="5" t="n">
        <v>212</v>
      </c>
      <c r="O509" s="45" t="n">
        <v>4.57</v>
      </c>
      <c r="P509" s="45" t="n">
        <v>968.84</v>
      </c>
      <c r="Q509" s="5" t="n"/>
      <c r="R509" s="6" t="n"/>
      <c r="S509" s="6">
        <f>IF(AND(Q509&lt;&gt;"",R509&lt;&gt;""),Q509*R509,"")</f>
        <v/>
      </c>
      <c r="T509" s="45">
        <f>IF(S509="",P509,S509)</f>
        <v/>
      </c>
      <c r="U509" s="7" t="n">
        <v>0</v>
      </c>
      <c r="V509" s="6">
        <f>$T509*U509</f>
        <v/>
      </c>
      <c r="W509" s="7" t="n">
        <v>0</v>
      </c>
      <c r="X509" s="6">
        <f>$T509*W509</f>
        <v/>
      </c>
      <c r="Y509" s="7" t="n">
        <v>0</v>
      </c>
      <c r="Z509" s="6">
        <f>$T509*Y509</f>
        <v/>
      </c>
      <c r="AA509" s="7" t="n">
        <v>0</v>
      </c>
      <c r="AB509" s="6">
        <f>$T509*AA509</f>
        <v/>
      </c>
      <c r="AC509" s="7" t="n">
        <v>0</v>
      </c>
      <c r="AD509" s="6">
        <f>$T509*AC509</f>
        <v/>
      </c>
      <c r="AE509" s="7" t="n">
        <v>0</v>
      </c>
      <c r="AF509" s="6">
        <f>$T509*AE509</f>
        <v/>
      </c>
      <c r="AG509" s="7" t="n">
        <v>0</v>
      </c>
      <c r="AH509" s="6">
        <f>$T509*AG509</f>
        <v/>
      </c>
      <c r="AI509" s="7">
        <f>U509+W509+Y509+AA509+AC509+AE509+AG509</f>
        <v/>
      </c>
      <c r="AJ509" s="6">
        <f>V509+X509+Z509+AB509+AD509+AF509+AH509</f>
        <v/>
      </c>
    </row>
    <row r="510" ht="60" customHeight="1" s="46">
      <c r="A510" s="3" t="inlineStr">
        <is>
          <t>LOM252.OC.EEA.PA04.G6000.ZA001.0010</t>
        </is>
      </c>
      <c r="B510" s="4" t="inlineStr">
        <is>
          <t>1/1</t>
        </is>
      </c>
      <c r="C510" s="3" t="inlineStr">
        <is>
          <t>IMPIANTO ELETTRICO</t>
        </is>
      </c>
      <c r="D510" s="4" t="inlineStr">
        <is>
          <t>NON SPECIALE</t>
        </is>
      </c>
      <c r="E510" s="4" t="inlineStr">
        <is>
          <t>ELETTRICHE</t>
        </is>
      </c>
      <c r="F510" s="3" t="inlineStr">
        <is>
          <t>3_CME IE RADIOFARMACIA PAVIA - REV02 VARIANTE ESECUTIVA.PDF</t>
        </is>
      </c>
      <c r="G510" s="4" t="inlineStr">
        <is>
          <t>211/211</t>
        </is>
      </c>
      <c r="H510" s="3" t="inlineStr">
        <is>
          <t>50 - INSTALLAZIONE</t>
        </is>
      </c>
      <c r="I510" s="3" t="inlineStr">
        <is>
          <t>RADIOFARMACIA</t>
        </is>
      </c>
      <c r="J510" s="3" t="inlineStr">
        <is>
          <t>IMPIANTO FOTOVOLTAICO</t>
        </is>
      </c>
      <c r="K510" s="3" t="inlineStr">
        <is>
          <t>OPERA: IMPIANTO FOTOVOLTAICO; POTEZA COMPLESSIVA PER SINGOLO IMPIANTO [KWP] = 21 ÷ 50. INCLUSO: ONERI RELATIVI A TUTTE LE PRATICHE DOCUMENTALI E FISCALI NECESSARIE (PERMESSI COMUNALI, RICHIESTE INCENT</t>
        </is>
      </c>
      <c r="L510" s="3" t="inlineStr">
        <is>
          <t>OPERA: IMPIANTO FOTOVOLTAICO; POTEZA COMPLESSIVA PER SINGOLO IMPIANTO [KWP] = 21 ÷ 50. INCLUSO: ONERI RELATIVI A TUTTE LE PRATICHE DOCUMENTALI E FISCALI NECESSARIE (PERMESSI COMUNALI, RICHIESTE INCENTIVO - CONTO ENERGIA), DOMANDA DI CONNESSIONE PRESSO GESTORE ENERGIA ELETTRICA; LE DICHIARAZIONI ATTESTANTO CONFORMITÀ AI SENSI DEL DECRETO 37/08, ART. 1, LETTERA ""A", LE DICHIARAZIONI ATTESTANTO CONFORMITÀ VERIFICHE EFFETTUATE SULL'IMPIANTO ESEGUITO E IL RELATIVO ESITO;LE DICHIARAZIONI ATTESTANTO CONFORMITÀ CERTIFICATI DI CONFORMITÀ DEI MODULI FOTOVOLTAICI ALLE NORME CEI EN 61215 OPPURE CEI EN 61646; MANUALE DI USO E MANUTENZIONE; NUMERI DI MATRICOLA DEI MODULI FOTOVOLTAICI E DEGLI INVERTER; FOTOGRAFIE NEL N. RICHIESTO PER L'OTTENIMENTO DELLE TARIFFE INCENTIVANTI; GARANZIE RELATIVE ALLE APPARECCHIATTURE INSTALLATE; EVENTUALI GARANZIE SULLE PRESTAZIONI DI FUNZIONAMENTO; DISEGNI AS-BUILT ALLEGATI ALLE CERTIFICAZIONI E CONFORMI ALLE RICHIESTE AEEG PER L'OTTENIMENTO DELLE TARIFFE INCENTIVANTI. 
LAVORO: OP IMPIANTO FOTOVOLTAICO; POTEZA COMPLESSIVA PER SINGOLO IMPIANTO [KWP] = 21 ÷ 50. INCLUSO: ONERI RELATIVI A TUTTE LE PRATICHE DOCUMENTALI E FISCALI NECESSARIE (PERMESSI COMUNALI, RICHIESTE INCENTIVO - CONTO ENERGIA), DOMANDA DI CONNESSIONE PRESSO GESTORE ENERGIA ELETTRICA; LE DICHIARAZIONI ATTESTANTO CONFORMITÀ AI SENSI DEL DECRETO 37/08, ART. 1, LETTERA ""A", LE DICHIARAZIONI ATTESTANTO CONFORMITÀ VERIFICHE EFFETTUATE SULL'IMPIANTO ESEGUITO E IL RELATIVO ESITO;LE DICHIARAZIONI ATTESTANTO CONFORMITÀ CERTIFICATI DI CONFORMITÀ DEI MODULI FOTOVOLTAICI ALLE NORME CEI EN 61215 OPPURE CEI EN 61646; MANUALE DI USO E MANUTENZIONE; NUMERI DI MATRICOLA DEI MODULI FOTOVOLTAICI E DEGLI INVERTER; FOTOGRAFIE NEL N. RICHIESTO PER L'OTTENIMENTO DELLE TARIFFE INCENTIVANTI; GARANZIE RELATIVE ALLE APPARECCHIATTURE INSTALLATE; EVENTUALI GARANZIE SULLE PRESTAZIONI DI FUNZIONAMENTO; DISEGNI AS-BUILT ALLEGATI ALLE CERTIFICAZIONI E CONFORMI ALLE RICHIESTE AEEG PER L'OTTENIMENTO DELLE TARIFFE INCENTIVANTI. 
RM IMPIANTO FOTOVOLTAICO; POTEZA COMPLESSIVA PER SINGOLO IMPIANTO [KWP] = 21 ÷ 50. COMPONENTI: MODULO FOTOVOLTAICO MONOCRISTALLINO, INVERTER BIDIREZIONALE, QUADRO DI PARALLELO DI PARALLELO INVERTER. INCLUSO: ONERI RELATIVI A TUTTE LE PRATICHE DOCUMENTALI E FISCALI NECESSARIE (PERMESSI COMUNALI, RICHIESTE INCENTIVO - CONTO ENERGIA), DOMANDA DI CONNESSIONE PRESSO GESTORE ENERGIA ELETTRICA; LE DICHIARAZIONI ATTESTANTO CONFORMITÀ AI SENSI DEL DECRETO 37/08, ART. 1, LETTERA ""A", LE DICHIARAZIONI ATTESTANTO CONFORMITÀ VERIFICHE EFFETTUATE SULL'IMPIANTO ESEGUITO E IL RELATIVO ESITO;LE DICHIARAZIONI ATTESTANTO CONFORMITÀ CERTIFICATI DI CONFORMITÀ DEI MODULI FOTOVOLTAICI ALLE NORME CEI EN 61215 OPPURE CEI EN 61646; MANUALE DI USO E MANUTENZIONE; NUMERI DI MATRICOLA DEI MODULI FOTOVOLTAICI E DEGLI INVERTER; FOTOGRAFIE NEL N. RICHIESTO PER L'OTTENIMENTO DELLE TARIFFE INCENTIVANTI; GARANZIE RELATIVE ALLE APPARECCHIATTURE INSTALLATE; EVENTUALI GARANZIE SULLE PRESTAZIONI DI FUNZIONAMENTO; DISEGNI AS-BUILT ALLEGATI ALLE CERTIFICAZIONI E CONFORMI ALLE RICHIESTE AEEG PER L'OTTENIMENTO DELLE TARIFFE INCENTIVANTI 
LV1</t>
        </is>
      </c>
      <c r="M510" s="4" t="inlineStr">
        <is>
          <t>KWP</t>
        </is>
      </c>
      <c r="N510" s="5" t="n">
        <v>40.87</v>
      </c>
      <c r="O510" s="45" t="n">
        <v>984.27</v>
      </c>
      <c r="P510" s="45" t="n">
        <v>40227.11</v>
      </c>
      <c r="Q510" s="5" t="n"/>
      <c r="R510" s="6" t="n"/>
      <c r="S510" s="6">
        <f>IF(AND(Q510&lt;&gt;"",R510&lt;&gt;""),Q510*R510,"")</f>
        <v/>
      </c>
      <c r="T510" s="45">
        <f>IF(S510="",P510,S510)</f>
        <v/>
      </c>
      <c r="U510" s="7" t="n">
        <v>0</v>
      </c>
      <c r="V510" s="6">
        <f>$T510*U510</f>
        <v/>
      </c>
      <c r="W510" s="7" t="n">
        <v>0.4</v>
      </c>
      <c r="X510" s="6">
        <f>$T510*W510</f>
        <v/>
      </c>
      <c r="Y510" s="7" t="n">
        <v>0</v>
      </c>
      <c r="Z510" s="6">
        <f>$T510*Y510</f>
        <v/>
      </c>
      <c r="AA510" s="7" t="n">
        <v>0</v>
      </c>
      <c r="AB510" s="6">
        <f>$T510*AA510</f>
        <v/>
      </c>
      <c r="AC510" s="7" t="n">
        <v>0</v>
      </c>
      <c r="AD510" s="6">
        <f>$T510*AC510</f>
        <v/>
      </c>
      <c r="AE510" s="7" t="n">
        <v>1</v>
      </c>
      <c r="AF510" s="6">
        <f>$T510*AE510</f>
        <v/>
      </c>
      <c r="AG510" s="7" t="n">
        <v>0</v>
      </c>
      <c r="AH510" s="6">
        <f>$T510*AG510</f>
        <v/>
      </c>
      <c r="AI510" s="7">
        <f>U510+W510+Y510+AA510+AC510+AE510+AG510</f>
        <v/>
      </c>
      <c r="AJ510" s="6">
        <f>V510+X510+Z510+AB510+AD510+AF510+AH510</f>
        <v/>
      </c>
    </row>
    <row r="511" ht="60" customHeight="1" s="46">
      <c r="A511" s="3" t="inlineStr">
        <is>
          <t>IE_NP_LOC.CABINAMT</t>
        </is>
      </c>
      <c r="B511" s="4" t="inlineStr">
        <is>
          <t>1/1</t>
        </is>
      </c>
      <c r="C511" s="3" t="inlineStr">
        <is>
          <t>IMPIANTO ELETTRICO</t>
        </is>
      </c>
      <c r="D511" s="4" t="inlineStr">
        <is>
          <t>SPECIALE</t>
        </is>
      </c>
      <c r="E511" s="4" t="inlineStr">
        <is>
          <t>ELETTRICHE SPECIALI</t>
        </is>
      </c>
      <c r="F511" s="3" t="inlineStr">
        <is>
          <t>3_CME IE RADIOFARMACIA PAVIA - REV02 VARIANTE ESECUTIVA.PDF</t>
        </is>
      </c>
      <c r="G511" s="4" t="inlineStr">
        <is>
          <t>1/1</t>
        </is>
      </c>
      <c r="H511" s="3" t="inlineStr">
        <is>
          <t>40 - IMPIANTISTICO</t>
        </is>
      </c>
      <c r="I511" s="3" t="inlineStr">
        <is>
          <t>CABINA DI CONSEGNA MT</t>
        </is>
      </c>
      <c r="J511" s="3" t="inlineStr">
        <is>
          <t>LOCALI CABINE</t>
        </is>
      </c>
      <c r="K511" s="3" t="inlineStr">
        <is>
          <t xml:space="preserve">FORNITURA E POSA IN OPERA DI CABINA PREFABBRICATA LOCALE CONSEGNA MT DEL TIPO MONOBLOCCO REALIZZATA CON STRUTTURA MONOLITICA AVENTE DIMENSIONI ESTERNE MM 5300X 2300 X H2500 MM (CIRCA) MUNITE DI (COME </t>
        </is>
      </c>
      <c r="L511" s="3" t="inlineStr">
        <is>
          <t>FORNITURA E POSA IN OPERA DI CABINA PREFABBRICATA LOCALE CONSEGNA MT DEL TIPO MONOBLOCCO REALIZZATA CON STRUTTURA MONOLITICA AVENTE DIMENSIONI ESTERNE MM 5300X 2300 X H2500 MM (CIRCA) MUNITE DI (COME DA DISEGNI ALLEGATI) ACCESSI CON PORTE IN PVC DIM.MM 1200X2150, GRIGLIE DI AERAZIONE IN VETRORESINA DIM. 1200X500MM, RIFINITURA A PERFETTA REGOLA D'ARTE CON TINTEGGIATURA INTERNA ED ESTERNA,  INCLUSO IL BASAMENTO DI FONDAZIONE PREFABBRICATO, INCLUSE LE OPERE SUL TERRENO. VEDI PARTICOLARI SU ELABORATI GRAFICI</t>
        </is>
      </c>
      <c r="M511" s="4" t="inlineStr">
        <is>
          <t>A CORPO</t>
        </is>
      </c>
      <c r="N511" s="5" t="n">
        <v>1</v>
      </c>
      <c r="O511" s="45" t="n">
        <v>20759.2</v>
      </c>
      <c r="P511" s="45" t="n">
        <v>20759.2</v>
      </c>
      <c r="Q511" s="5" t="n"/>
      <c r="R511" s="6" t="n"/>
      <c r="S511" s="6">
        <f>IF(AND(Q511&lt;&gt;"",R511&lt;&gt;""),Q511*R511,"")</f>
        <v/>
      </c>
      <c r="T511" s="45">
        <f>IF(S511="",P511,S511)</f>
        <v/>
      </c>
      <c r="U511" s="7" t="n">
        <v>0.3</v>
      </c>
      <c r="V511" s="6">
        <f>$T511*U511</f>
        <v/>
      </c>
      <c r="W511" s="7" t="n">
        <v>0.3</v>
      </c>
      <c r="X511" s="6">
        <f>$T511*W511</f>
        <v/>
      </c>
      <c r="Y511" s="7" t="n">
        <v>0</v>
      </c>
      <c r="Z511" s="6">
        <f>$T511*Y511</f>
        <v/>
      </c>
      <c r="AA511" s="7" t="n">
        <v>0</v>
      </c>
      <c r="AB511" s="6">
        <f>$T511*AA511</f>
        <v/>
      </c>
      <c r="AC511" s="7" t="n">
        <v>0</v>
      </c>
      <c r="AD511" s="6">
        <f>$T511*AC511</f>
        <v/>
      </c>
      <c r="AE511" s="7" t="n">
        <v>0</v>
      </c>
      <c r="AF511" s="6">
        <f>$T511*AE511</f>
        <v/>
      </c>
      <c r="AG511" s="7" t="n">
        <v>0</v>
      </c>
      <c r="AH511" s="6">
        <f>$T511*AG511</f>
        <v/>
      </c>
      <c r="AI511" s="7">
        <f>U511+W511+Y511+AA511+AC511+AE511+AG511</f>
        <v/>
      </c>
      <c r="AJ511" s="6">
        <f>V511+X511+Z511+AB511+AD511+AF511+AH511</f>
        <v/>
      </c>
    </row>
    <row r="512" ht="60" customHeight="1" s="46">
      <c r="A512" s="3" t="inlineStr">
        <is>
          <t>IE_NP_LOC.CABINAMTBT</t>
        </is>
      </c>
      <c r="B512" s="4" t="inlineStr">
        <is>
          <t>1/1</t>
        </is>
      </c>
      <c r="C512" s="3" t="inlineStr">
        <is>
          <t>IMPIANTO ELETTRICO</t>
        </is>
      </c>
      <c r="D512" s="4" t="inlineStr">
        <is>
          <t>SPECIALE</t>
        </is>
      </c>
      <c r="E512" s="4" t="inlineStr">
        <is>
          <t>ELETTRICHE SPECIALI</t>
        </is>
      </c>
      <c r="F512" s="3" t="inlineStr">
        <is>
          <t>3_CME IE RADIOFARMACIA PAVIA - REV02 VARIANTE ESECUTIVA.PDF</t>
        </is>
      </c>
      <c r="G512" s="4" t="inlineStr">
        <is>
          <t>6/6</t>
        </is>
      </c>
      <c r="H512" s="3" t="inlineStr">
        <is>
          <t>40 - IMPIANTISTICO</t>
        </is>
      </c>
      <c r="I512" s="3" t="inlineStr">
        <is>
          <t>CABINA DI TRASFORMAZIONE MT/BT</t>
        </is>
      </c>
      <c r="J512" s="3" t="inlineStr">
        <is>
          <t>LOCALI CABINE</t>
        </is>
      </c>
      <c r="K512" s="3" t="inlineStr">
        <is>
          <t>FORNITURA E POSA IN OPERA DI CABINA PREFABBRICATA LOCALE TRASFORMAZIONE MT/BT DEL TIPO MONOBLOCCO REALIZZATA CON STRUTTURA MONOLITICA AVENTE DIMENSIONI ESTERNE MM 10500X 2500 X H2500 MM (CIRCA) MUNITE</t>
        </is>
      </c>
      <c r="L512" s="3" t="inlineStr">
        <is>
          <t>FORNITURA E POSA IN OPERA DI CABINA PREFABBRICATA LOCALE TRASFORMAZIONE MT/BT DEL TIPO MONOBLOCCO REALIZZATA CON STRUTTURA MONOLITICA AVENTE DIMENSIONI ESTERNE MM 10500X 2500 X H2500 MM (CIRCA) MUNITE DI (COME DA DISEGNI ALLEGATI) ACCESSI CON PORTE IN PVC DIM.MM 1200X2150, GRIGLIE DI AERAZIONE IN VETRORESINA DIM. 1200X500MM, RIFINITURA A PERFETTA REGOLA D'ARTE CON TINTEGGIATURA INTERNA ED ESTERNA,  INCLUSO IL BASAMENTO DI FONDAZIONE PREFABBRICATO DEL TIPO A VASCA, INCLUSE LE OPERE SUL TERRENO. VEDI PARTICOLARI SU ELABORATI GRAFICI</t>
        </is>
      </c>
      <c r="M512" s="4" t="inlineStr">
        <is>
          <t>A CORPO</t>
        </is>
      </c>
      <c r="N512" s="5" t="n">
        <v>1</v>
      </c>
      <c r="O512" s="45" t="n">
        <v>54085.6</v>
      </c>
      <c r="P512" s="45" t="n">
        <v>54085.6</v>
      </c>
      <c r="Q512" s="5" t="n"/>
      <c r="R512" s="6" t="n"/>
      <c r="S512" s="6">
        <f>IF(AND(Q512&lt;&gt;"",R512&lt;&gt;""),Q512*R512,"")</f>
        <v/>
      </c>
      <c r="T512" s="45">
        <f>IF(S512="",P512,S512)</f>
        <v/>
      </c>
      <c r="U512" s="7" t="n">
        <v>0.3</v>
      </c>
      <c r="V512" s="6">
        <f>$T512*U512</f>
        <v/>
      </c>
      <c r="W512" s="7" t="n">
        <v>0.3</v>
      </c>
      <c r="X512" s="6">
        <f>$T512*W512</f>
        <v/>
      </c>
      <c r="Y512" s="7" t="n">
        <v>0</v>
      </c>
      <c r="Z512" s="6">
        <f>$T512*Y512</f>
        <v/>
      </c>
      <c r="AA512" s="7" t="n">
        <v>0</v>
      </c>
      <c r="AB512" s="6">
        <f>$T512*AA512</f>
        <v/>
      </c>
      <c r="AC512" s="7" t="n">
        <v>0</v>
      </c>
      <c r="AD512" s="6">
        <f>$T512*AC512</f>
        <v/>
      </c>
      <c r="AE512" s="7" t="n">
        <v>0</v>
      </c>
      <c r="AF512" s="6">
        <f>$T512*AE512</f>
        <v/>
      </c>
      <c r="AG512" s="7" t="n">
        <v>0</v>
      </c>
      <c r="AH512" s="6">
        <f>$T512*AG512</f>
        <v/>
      </c>
      <c r="AI512" s="7">
        <f>U512+W512+Y512+AA512+AC512+AE512+AG512</f>
        <v/>
      </c>
      <c r="AJ512" s="6">
        <f>V512+X512+Z512+AB512+AD512+AF512+AH512</f>
        <v/>
      </c>
    </row>
    <row r="513" hidden="1" ht="60" customHeight="1" s="46">
      <c r="A513" s="3" t="inlineStr">
        <is>
          <t>LOM252.OC.EEA.PA01.G8235.ZA001.1095</t>
        </is>
      </c>
      <c r="B513" s="4" t="inlineStr">
        <is>
          <t>1/3</t>
        </is>
      </c>
      <c r="C513" s="3" t="inlineStr">
        <is>
          <t>IMPIANTO ELETTRICO</t>
        </is>
      </c>
      <c r="D513" s="4" t="inlineStr">
        <is>
          <t>SPECIALE</t>
        </is>
      </c>
      <c r="E513" s="4" t="inlineStr">
        <is>
          <t>ELETTRICHE SPECIALI</t>
        </is>
      </c>
      <c r="F513" s="3" t="inlineStr">
        <is>
          <t>3_CME IE RADIOFARMACIA PAVIA - REV02 VARIANTE ESECUTIVA.PDF</t>
        </is>
      </c>
      <c r="G513" s="4" t="inlineStr">
        <is>
          <t>14/14</t>
        </is>
      </c>
      <c r="H513" s="3" t="inlineStr">
        <is>
          <t>40 - IMPIANTISTICO</t>
        </is>
      </c>
      <c r="I513" s="3" t="inlineStr">
        <is>
          <t>CABINA DI TRASFORMAZIONE MT/BT</t>
        </is>
      </c>
      <c r="J513" s="3" t="inlineStr">
        <is>
          <t>IMPIANTO DI RIVELAZIONE FUMI</t>
        </is>
      </c>
      <c r="K513" s="3" t="inlineStr">
        <is>
          <t>OPERA: DERIVAZIONE D'IMPIANTO PRESA; FUNZIONE: ATTACCO APPARECCHIATURE DI SEGNALAZIONE INCENDIO; IMPIEGO: DERIVAZIONE D'IMPIANTO DA INCASSO. INCLUSO: LINEA DI ALIMENTAZIONE E SEGNALAZIONE; TUBO PROTET</t>
        </is>
      </c>
      <c r="L513" s="3" t="inlineStr">
        <is>
          <t>OPERA: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LAVORO: INSTALLAZIONE IN OPERA. INCLUSO: LINEA DI COLLEGAMENTO ALLO SPECIFICO PUNTO DI ALIMENTAZIONE; ASSISTENZA PER IL TRASPORTO DEI MATERIALI AL PIANO.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ASSISTENZA PER IL TRASPORTO DEI MATERIALI AL PIANO.</t>
        </is>
      </c>
      <c r="M513" s="4" t="inlineStr">
        <is>
          <t>CAD</t>
        </is>
      </c>
      <c r="N513" s="5" t="n">
        <v>3</v>
      </c>
      <c r="O513" s="45" t="n">
        <v>34.39</v>
      </c>
      <c r="P513" s="45" t="n">
        <v>103.17</v>
      </c>
      <c r="Q513" s="5" t="n"/>
      <c r="R513" s="6" t="n"/>
      <c r="S513" s="6">
        <f>IF(AND(Q513&lt;&gt;"",R513&lt;&gt;""),Q513*R513,"")</f>
        <v/>
      </c>
      <c r="T513" s="45">
        <f>IF(S513="",P513,S513)</f>
        <v/>
      </c>
      <c r="U513" s="7" t="n">
        <v>0</v>
      </c>
      <c r="V513" s="6">
        <f>$T513*U513</f>
        <v/>
      </c>
      <c r="W513" s="7" t="n">
        <v>0</v>
      </c>
      <c r="X513" s="6">
        <f>$T513*W513</f>
        <v/>
      </c>
      <c r="Y513" s="7" t="n">
        <v>0</v>
      </c>
      <c r="Z513" s="6">
        <f>$T513*Y513</f>
        <v/>
      </c>
      <c r="AA513" s="7" t="n">
        <v>0</v>
      </c>
      <c r="AB513" s="6">
        <f>$T513*AA513</f>
        <v/>
      </c>
      <c r="AC513" s="7" t="n">
        <v>0</v>
      </c>
      <c r="AD513" s="6">
        <f>$T513*AC513</f>
        <v/>
      </c>
      <c r="AE513" s="7" t="n">
        <v>0</v>
      </c>
      <c r="AF513" s="6">
        <f>$T513*AE513</f>
        <v/>
      </c>
      <c r="AG513" s="7" t="n">
        <v>0</v>
      </c>
      <c r="AH513" s="6">
        <f>$T513*AG513</f>
        <v/>
      </c>
      <c r="AI513" s="7">
        <f>U513+W513+Y513+AA513+AC513+AE513+AG513</f>
        <v/>
      </c>
      <c r="AJ513" s="6">
        <f>V513+X513+Z513+AB513+AD513+AF513+AH513</f>
        <v/>
      </c>
    </row>
    <row r="514" hidden="1" ht="60" customHeight="1" s="46">
      <c r="A514" s="3" t="inlineStr">
        <is>
          <t>LOM252.OC.EEA.PA02.L8225.ZA001.1750</t>
        </is>
      </c>
      <c r="B514" s="4" t="inlineStr">
        <is>
          <t>1/3</t>
        </is>
      </c>
      <c r="C514" s="3" t="inlineStr">
        <is>
          <t>IMPIANTO ELETTRICO</t>
        </is>
      </c>
      <c r="D514" s="4" t="inlineStr">
        <is>
          <t>SPECIALE</t>
        </is>
      </c>
      <c r="E514" s="4" t="inlineStr">
        <is>
          <t>ELETTRICHE SPECIALI</t>
        </is>
      </c>
      <c r="F514" s="3" t="inlineStr">
        <is>
          <t>3_CME IE RADIOFARMACIA PAVIA - REV02 VARIANTE ESECUTIVA.PDF</t>
        </is>
      </c>
      <c r="G514" s="4" t="inlineStr">
        <is>
          <t>15/15</t>
        </is>
      </c>
      <c r="H514" s="3" t="inlineStr">
        <is>
          <t>40 - IMPIANTISTICO</t>
        </is>
      </c>
      <c r="I514" s="3" t="inlineStr">
        <is>
          <t>CABINA DI TRASFORMAZIONE MT/BT</t>
        </is>
      </c>
      <c r="J514" s="3" t="inlineStr">
        <is>
          <t>IMPIANTO DI RIVELAZIONE FUMI</t>
        </is>
      </c>
      <c r="K514" s="3" t="inlineStr">
        <is>
          <t xml:space="preserve">OPERA: RIVEVLATORE, OTTICO; IMPIEGO: CENTRALI ANALOGICHE. </t>
        </is>
      </c>
      <c r="L514" s="3" t="inlineStr">
        <is>
          <t>OPERA: RIVEVLATORE, OTTICO; IMPIEGO: CENTRALI ANALOGICHE. 
LAVORO: POSA.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OP RIVEVLATORE, OTTICO; IMPIEGO: CENTRALI ANALOGICHE.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RM RIVELATORE OTTICO; IMPIEGO: CENTRALI ANALOGICHE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LV POSA.</t>
        </is>
      </c>
      <c r="M514" s="4" t="inlineStr">
        <is>
          <t>CAD</t>
        </is>
      </c>
      <c r="N514" s="5" t="n">
        <v>1</v>
      </c>
      <c r="O514" s="45" t="n">
        <v>92.5</v>
      </c>
      <c r="P514" s="45" t="n">
        <v>92.5</v>
      </c>
      <c r="Q514" s="5" t="n"/>
      <c r="R514" s="6" t="n"/>
      <c r="S514" s="6">
        <f>IF(AND(Q514&lt;&gt;"",R514&lt;&gt;""),Q514*R514,"")</f>
        <v/>
      </c>
      <c r="T514" s="45">
        <f>IF(S514="",P514,S514)</f>
        <v/>
      </c>
      <c r="U514" s="7" t="n">
        <v>0</v>
      </c>
      <c r="V514" s="6">
        <f>$T514*U514</f>
        <v/>
      </c>
      <c r="W514" s="7" t="n">
        <v>0</v>
      </c>
      <c r="X514" s="6">
        <f>$T514*W514</f>
        <v/>
      </c>
      <c r="Y514" s="7" t="n">
        <v>0</v>
      </c>
      <c r="Z514" s="6">
        <f>$T514*Y514</f>
        <v/>
      </c>
      <c r="AA514" s="7" t="n">
        <v>0</v>
      </c>
      <c r="AB514" s="6">
        <f>$T514*AA514</f>
        <v/>
      </c>
      <c r="AC514" s="7" t="n">
        <v>0</v>
      </c>
      <c r="AD514" s="6">
        <f>$T514*AC514</f>
        <v/>
      </c>
      <c r="AE514" s="7" t="n">
        <v>0</v>
      </c>
      <c r="AF514" s="6">
        <f>$T514*AE514</f>
        <v/>
      </c>
      <c r="AG514" s="7" t="n">
        <v>0</v>
      </c>
      <c r="AH514" s="6">
        <f>$T514*AG514</f>
        <v/>
      </c>
      <c r="AI514" s="7">
        <f>U514+W514+Y514+AA514+AC514+AE514+AG514</f>
        <v/>
      </c>
      <c r="AJ514" s="6">
        <f>V514+X514+Z514+AB514+AD514+AF514+AH514</f>
        <v/>
      </c>
    </row>
    <row r="515" hidden="1" ht="60" customHeight="1" s="46">
      <c r="A515" s="3" t="inlineStr">
        <is>
          <t>LOM252.OC.EEA.PA01.L8250.ZA001.0250</t>
        </is>
      </c>
      <c r="B515" s="4" t="inlineStr">
        <is>
          <t>1/3</t>
        </is>
      </c>
      <c r="C515" s="3" t="inlineStr">
        <is>
          <t>IMPIANTO ELETTRICO</t>
        </is>
      </c>
      <c r="D515" s="4" t="inlineStr">
        <is>
          <t>SPECIALE</t>
        </is>
      </c>
      <c r="E515" s="4" t="inlineStr">
        <is>
          <t>ELETTRICHE SPECIALI</t>
        </is>
      </c>
      <c r="F515" s="3" t="inlineStr">
        <is>
          <t>3_CME IE RADIOFARMACIA PAVIA - REV02 VARIANTE ESECUTIVA.PDF</t>
        </is>
      </c>
      <c r="G515" s="4" t="inlineStr">
        <is>
          <t>16/16</t>
        </is>
      </c>
      <c r="H515" s="3" t="inlineStr">
        <is>
          <t>40 - IMPIANTISTICO</t>
        </is>
      </c>
      <c r="I515" s="3" t="inlineStr">
        <is>
          <t>CABINA DI TRASFORMAZIONE MT/BT</t>
        </is>
      </c>
      <c r="J515" s="3" t="inlineStr">
        <is>
          <t>IMPIANTO DI RIVELAZIONE FUMI</t>
        </is>
      </c>
      <c r="K515" s="3" t="inlineStr">
        <is>
          <t>OPERA: PULSANTE, MANUALE INDIRIZZABILE; GEOMETRIA: A ROTTURA VETRO; TENSIONE DI ALIMENTAZIONE [VCC] = 15 ÷ 28 | CORRENTE NOMINALE A RIPOSO [ΜA] = 200 | CORRENTE NOMINALE IN ALLARME [ΜA] = 5 | TEMPERAT</t>
        </is>
      </c>
      <c r="L515" s="3" t="inlineStr">
        <is>
          <t>OPERA: PULSANTE, MANUALE INDIRIZZABILE; GEOMETRIA: A ROTTURA VETRO; TENSIONE DI ALIMENTAZIONE [VCC] = 15 ÷ 28 | CORRENTE NOMINALE A RIPOSO [ΜA] = 200 | CORRENTE NOMINALE IN ALLARME [ΜA] = 5 | TEMPERATURA DI FUNZIONAMENTO [°C] = 0 ÷ 50 | UMIDTÀ RELATIVA [%] = 95. INCLUSO: DOPPIO ISOLATORE PER PROTEZIONE DELLA LINEA DI COMUNICAZIONE, CHIAVE DI TEST. 
LAVORO: INSTALLAZIONE. 
SPECIFICHE TECNICHE: PULSANTE INDIRIZZATO DA INTERNO, CERTIFICATO CPR, GRADO DI PROTEZIONE IP24D, LA CORRENTE IN ALLARME È DA CONSIDERARSI CON LED ATTIVO. OP PULSANTE, MANUALE INDIRIZZABILE; GEOMETRIA: A ROTTURA VETRO; TENSIONE DI ALIMENTAZIONE [VCC] = 15 ÷ 28 | CORRENTE NOMINALE A RIPOSO [ΜA] = 200 | CORRENTE NOMINALE IN ALLARME [ΜA] = 5 | TEMPERATURA DI FUNZIONAMENTO [°C] = 0 ÷ 50 | UMIDTÀ RELATIVA [%] = 95. INCLUSO: DOPPIO ISOLATORE PER PROTEZIONE DELLA LINEA DI COMUNICAZIONE, CHIAVE DI TEST. 
SPECIFICHE TECNICHE: PULSANTE INDIRIZZATO DA INTERNO, CERTIFICATO CPR, GRADO DI PROTEZIONE IP24D, LA CORRENTE IN ALLARME È DA CONSIDERARSI CON LED ATTIVO. 
RM PULSANTE MANUALE INDIRIZZABILE; GEOMETRIA: A ROTTURA VETRO; TENSIONE DI ALIMENTAZIONE [VCC] = 15 ÷ 28 | CORRENTE NOMINALE A RIPOSO [ΜA] = 200 | CORRENTE NOMINALE IN ALLARME [ΜA] = 5 | TEMPERATURA DI FUNZIONAMENTO [°C] = 0 ÷ 50 | UMIDTÀ RELATIVA [%] = 95. COMPONENTE: LED, . INCLUSO: DOPPIO ISOLATORE PER PROTEZIONE DELLA LINEA DI COMUNICAZIONE, CHIAVE DI TEST 
SPECIFICHE TECNICHE: PULSANTE INDIRIZZATO DA INTERNO, CERTIFICATO CPR, GRADO DI PROTEZIONE IP24D, LA CORRENTE IN ALLARME È DA CONSIDERARSI CON LED ATTIVO 
LV INSTALLAZIONE.</t>
        </is>
      </c>
      <c r="M515" s="4" t="inlineStr">
        <is>
          <t>CAD</t>
        </is>
      </c>
      <c r="N515" s="5" t="n">
        <v>1</v>
      </c>
      <c r="O515" s="45" t="n">
        <v>96.05</v>
      </c>
      <c r="P515" s="45" t="n">
        <v>96.05</v>
      </c>
      <c r="Q515" s="5" t="n"/>
      <c r="R515" s="6" t="n"/>
      <c r="S515" s="6">
        <f>IF(AND(Q515&lt;&gt;"",R515&lt;&gt;""),Q515*R515,"")</f>
        <v/>
      </c>
      <c r="T515" s="45">
        <f>IF(S515="",P515,S515)</f>
        <v/>
      </c>
      <c r="U515" s="7" t="n">
        <v>0</v>
      </c>
      <c r="V515" s="6">
        <f>$T515*U515</f>
        <v/>
      </c>
      <c r="W515" s="7" t="n">
        <v>0</v>
      </c>
      <c r="X515" s="6">
        <f>$T515*W515</f>
        <v/>
      </c>
      <c r="Y515" s="7" t="n">
        <v>0</v>
      </c>
      <c r="Z515" s="6">
        <f>$T515*Y515</f>
        <v/>
      </c>
      <c r="AA515" s="7" t="n">
        <v>0</v>
      </c>
      <c r="AB515" s="6">
        <f>$T515*AA515</f>
        <v/>
      </c>
      <c r="AC515" s="7" t="n">
        <v>0</v>
      </c>
      <c r="AD515" s="6">
        <f>$T515*AC515</f>
        <v/>
      </c>
      <c r="AE515" s="7" t="n">
        <v>0</v>
      </c>
      <c r="AF515" s="6">
        <f>$T515*AE515</f>
        <v/>
      </c>
      <c r="AG515" s="7" t="n">
        <v>0</v>
      </c>
      <c r="AH515" s="6">
        <f>$T515*AG515</f>
        <v/>
      </c>
      <c r="AI515" s="7">
        <f>U515+W515+Y515+AA515+AC515+AE515+AG515</f>
        <v/>
      </c>
      <c r="AJ515" s="6">
        <f>V515+X515+Z515+AB515+AD515+AF515+AH515</f>
        <v/>
      </c>
    </row>
    <row r="516" hidden="1" ht="60" customHeight="1" s="46">
      <c r="A516" s="3" t="inlineStr">
        <is>
          <t>LOM252.OC.EEA.PA04.L4200.ZA000.0515</t>
        </is>
      </c>
      <c r="B516" s="4" t="inlineStr">
        <is>
          <t>1/3</t>
        </is>
      </c>
      <c r="C516" s="3" t="inlineStr">
        <is>
          <t>IMPIANTO ELETTRICO</t>
        </is>
      </c>
      <c r="D516" s="4" t="inlineStr">
        <is>
          <t>SPECIALE</t>
        </is>
      </c>
      <c r="E516" s="4" t="inlineStr">
        <is>
          <t>ELETTRICHE SPECIALI</t>
        </is>
      </c>
      <c r="F516" s="3" t="inlineStr">
        <is>
          <t>3_CME IE RADIOFARMACIA PAVIA - REV02 VARIANTE ESECUTIVA.PDF</t>
        </is>
      </c>
      <c r="G516" s="4" t="inlineStr">
        <is>
          <t>17/17</t>
        </is>
      </c>
      <c r="H516" s="3" t="inlineStr">
        <is>
          <t>40 - IMPIANTISTICO</t>
        </is>
      </c>
      <c r="I516" s="3" t="inlineStr">
        <is>
          <t>CABINA DI TRASFORMAZIONE MT/BT</t>
        </is>
      </c>
      <c r="J516" s="3" t="inlineStr">
        <is>
          <t>IMPIANTO DI RIVELAZIONE FUMI</t>
        </is>
      </c>
      <c r="K516" s="3" t="inlineStr">
        <is>
          <t>OPERA: SEGNALATORE ACUSTICO, SIRENA DI MATERIALE GENERICO; FUNZIONE: SEGNALATORE OTTICO; IMPIEGO: IMPIANTI DI RIVELAZIONE INCENDIO | AMBIENTI INTERNI; TENSIONE DI ALIMENTAZIONE CC [V] = 17 ÷ 60. INCLU</t>
        </is>
      </c>
      <c r="L516" s="3" t="inlineStr">
        <is>
          <t>OPERA: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LAVORO: FORMAZIONE. 
SPECIFICHE TECNICHE: SIRENA DI TIPO PIEZO-ELETTRONICA MULTITONO, ATTIVAZIONE REMOTA SELEZIONABILE SU 2 TONI, PROTEZIONE IP21. SIRENA E LAMPEGGIANTE CON COMANDO SEPARATO. OP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SPECIFICHE TECNICHE: SIRENA DI TIPO PIEZO-ELETTRONICA MULTITONO, ATTIVAZIONE REMOTA SELEZIONABILE SU 2 TONI, PROTEZIONE IP21. SIRENA E LAMPEGGIANTE CON COMANDO SEPARATO. 
RM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SPECIFICHE TECNICHE: SIRENA DI TIPO PIEZO-ELETTRONICA MULTITONO, ATTIVAZIONE REMOTA SELEZIONABILE SU 2 TONI, PROTEZIONE IP21. SIRENA E LAMPEGGIANTE CON COMANDO SEPARATO 
LV FORMAZIONE.</t>
        </is>
      </c>
      <c r="M516" s="4" t="inlineStr">
        <is>
          <t>CAD</t>
        </is>
      </c>
      <c r="N516" s="5" t="n">
        <v>1</v>
      </c>
      <c r="O516" s="45" t="n">
        <v>183.81</v>
      </c>
      <c r="P516" s="45" t="n">
        <v>183.81</v>
      </c>
      <c r="Q516" s="5" t="n"/>
      <c r="R516" s="6" t="n"/>
      <c r="S516" s="6">
        <f>IF(AND(Q516&lt;&gt;"",R516&lt;&gt;""),Q516*R516,"")</f>
        <v/>
      </c>
      <c r="T516" s="45">
        <f>IF(S516="",P516,S516)</f>
        <v/>
      </c>
      <c r="U516" s="7" t="n">
        <v>0</v>
      </c>
      <c r="V516" s="6">
        <f>$T516*U516</f>
        <v/>
      </c>
      <c r="W516" s="7" t="n">
        <v>0</v>
      </c>
      <c r="X516" s="6">
        <f>$T516*W516</f>
        <v/>
      </c>
      <c r="Y516" s="7" t="n">
        <v>0</v>
      </c>
      <c r="Z516" s="6">
        <f>$T516*Y516</f>
        <v/>
      </c>
      <c r="AA516" s="7" t="n">
        <v>0</v>
      </c>
      <c r="AB516" s="6">
        <f>$T516*AA516</f>
        <v/>
      </c>
      <c r="AC516" s="7" t="n">
        <v>0</v>
      </c>
      <c r="AD516" s="6">
        <f>$T516*AC516</f>
        <v/>
      </c>
      <c r="AE516" s="7" t="n">
        <v>0</v>
      </c>
      <c r="AF516" s="6">
        <f>$T516*AE516</f>
        <v/>
      </c>
      <c r="AG516" s="7" t="n">
        <v>0</v>
      </c>
      <c r="AH516" s="6">
        <f>$T516*AG516</f>
        <v/>
      </c>
      <c r="AI516" s="7">
        <f>U516+W516+Y516+AA516+AC516+AE516+AG516</f>
        <v/>
      </c>
      <c r="AJ516" s="6">
        <f>V516+X516+Z516+AB516+AD516+AF516+AH516</f>
        <v/>
      </c>
    </row>
    <row r="517" hidden="1" ht="60" customHeight="1" s="46">
      <c r="A517" s="3" t="inlineStr">
        <is>
          <t>LOM252.OC.EEA.PA02.L7430.ZA001.0020</t>
        </is>
      </c>
      <c r="B517" s="4" t="inlineStr">
        <is>
          <t>1/4</t>
        </is>
      </c>
      <c r="C517" s="3" t="inlineStr">
        <is>
          <t>IMPIANTO ELETTRICO</t>
        </is>
      </c>
      <c r="D517" s="4" t="inlineStr">
        <is>
          <t>SPECIALE</t>
        </is>
      </c>
      <c r="E517" s="4" t="inlineStr">
        <is>
          <t>ELETTRICHE SPECIALI</t>
        </is>
      </c>
      <c r="F517" s="3" t="inlineStr">
        <is>
          <t>3_CME IE RADIOFARMACIA PAVIA - REV02 VARIANTE ESECUTIVA.PDF</t>
        </is>
      </c>
      <c r="G517" s="4" t="inlineStr">
        <is>
          <t>18/18</t>
        </is>
      </c>
      <c r="H517" s="3" t="inlineStr">
        <is>
          <t>40 - IMPIANTISTICO</t>
        </is>
      </c>
      <c r="I517" s="3" t="inlineStr">
        <is>
          <t>CABINA DI TRASFORMAZIONE MT/BT</t>
        </is>
      </c>
      <c r="J517" s="3" t="inlineStr">
        <is>
          <t>IMPIANTO DI RIVELAZIONE FUMI</t>
        </is>
      </c>
      <c r="K517" s="3" t="inlineStr">
        <is>
          <t xml:space="preserve">OPERA: CAVO; GEOMETRIA: TWISTATO | SCHERMATO | ROSSO; SEZIONE NOMINALE [MM²] = 2X1,5. </t>
        </is>
      </c>
      <c r="L517" s="3" t="inlineStr">
        <is>
          <t>OPERA: CAVO; GEOMETRIA: TWISTATO | SCHERMATO | ROSSO; SEZIONE NOMINALE [MM²] = 2X1,5. 
LAVORO: POSA. OP CAVO; GEOMETRIA: TWISTATO | SCHERMATO | ROSSO; SEZIONE NOMINALE [MM²] = 2X1,5. 
RM CAVO; GEOMETRIA: TWISTATO | SCHERMATO | ROSSO; FORNITURA: IN OPERA; SEZIONE NOMINALE [MM²] = 2X1,5 
SPECIFICHE TECNICHE: CAVO ANTINCENDIO DI GRADO 3 
LV POSA.
[DIMENSIONI: 20,00]</t>
        </is>
      </c>
      <c r="M517" s="4" t="inlineStr">
        <is>
          <t>M</t>
        </is>
      </c>
      <c r="N517" s="5" t="n">
        <v>20</v>
      </c>
      <c r="O517" s="45" t="n">
        <v>3.5</v>
      </c>
      <c r="P517" s="45" t="n">
        <v>70</v>
      </c>
      <c r="Q517" s="5" t="n"/>
      <c r="R517" s="6" t="n"/>
      <c r="S517" s="6">
        <f>IF(AND(Q517&lt;&gt;"",R517&lt;&gt;""),Q517*R517,"")</f>
        <v/>
      </c>
      <c r="T517" s="45">
        <f>IF(S517="",P517,S517)</f>
        <v/>
      </c>
      <c r="U517" s="7" t="n">
        <v>0</v>
      </c>
      <c r="V517" s="6">
        <f>$T517*U517</f>
        <v/>
      </c>
      <c r="W517" s="7" t="n">
        <v>0</v>
      </c>
      <c r="X517" s="6">
        <f>$T517*W517</f>
        <v/>
      </c>
      <c r="Y517" s="7" t="n">
        <v>0</v>
      </c>
      <c r="Z517" s="6">
        <f>$T517*Y517</f>
        <v/>
      </c>
      <c r="AA517" s="7" t="n">
        <v>0</v>
      </c>
      <c r="AB517" s="6">
        <f>$T517*AA517</f>
        <v/>
      </c>
      <c r="AC517" s="7" t="n">
        <v>0</v>
      </c>
      <c r="AD517" s="6">
        <f>$T517*AC517</f>
        <v/>
      </c>
      <c r="AE517" s="7" t="n">
        <v>0</v>
      </c>
      <c r="AF517" s="6">
        <f>$T517*AE517</f>
        <v/>
      </c>
      <c r="AG517" s="7" t="n">
        <v>0</v>
      </c>
      <c r="AH517" s="6">
        <f>$T517*AG517</f>
        <v/>
      </c>
      <c r="AI517" s="7">
        <f>U517+W517+Y517+AA517+AC517+AE517+AG517</f>
        <v/>
      </c>
      <c r="AJ517" s="6">
        <f>V517+X517+Z517+AB517+AD517+AF517+AH517</f>
        <v/>
      </c>
    </row>
    <row r="518" hidden="1" ht="60" customHeight="1" s="46">
      <c r="A518" s="3" t="inlineStr">
        <is>
          <t>LOM252.OC.EEA.PA01.G8235.ZA001.1095</t>
        </is>
      </c>
      <c r="B518" s="4" t="inlineStr">
        <is>
          <t>2/3</t>
        </is>
      </c>
      <c r="C518" s="3" t="inlineStr">
        <is>
          <t>IMPIANTO ELETTRICO</t>
        </is>
      </c>
      <c r="D518" s="4" t="inlineStr">
        <is>
          <t>SPECIALE</t>
        </is>
      </c>
      <c r="E518" s="4" t="inlineStr">
        <is>
          <t>ELETTRICHE SPECIALI</t>
        </is>
      </c>
      <c r="F518" s="3" t="inlineStr">
        <is>
          <t>3_CME IE RADIOFARMACIA PAVIA - REV02 VARIANTE ESECUTIVA.PDF</t>
        </is>
      </c>
      <c r="G518" s="4" t="inlineStr">
        <is>
          <t>22/22</t>
        </is>
      </c>
      <c r="H518" s="3" t="inlineStr">
        <is>
          <t>40 - IMPIANTISTICO</t>
        </is>
      </c>
      <c r="I518" s="3" t="inlineStr">
        <is>
          <t>CABINA BT</t>
        </is>
      </c>
      <c r="J518" s="3" t="inlineStr">
        <is>
          <t>IMPIANTO DI RIVELAZIONE FUMI</t>
        </is>
      </c>
      <c r="K518" s="3" t="inlineStr">
        <is>
          <t>OPERA: DERIVAZIONE D'IMPIANTO PRESA; FUNZIONE: ATTACCO APPARECCHIATURE DI SEGNALAZIONE INCENDIO; IMPIEGO: DERIVAZIONE D'IMPIANTO DA INCASSO. INCLUSO: LINEA DI ALIMENTAZIONE E SEGNALAZIONE; TUBO PROTET</t>
        </is>
      </c>
      <c r="L518" s="3" t="inlineStr">
        <is>
          <t>OPERA: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LAVORO: INSTALLAZIONE IN OPERA. INCLUSO: LINEA DI COLLEGAMENTO ALLO SPECIFICO PUNTO DI ALIMENTAZIONE; ASSISTENZA PER IL TRASPORTO DEI MATERIALI AL PIANO.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ASSISTENZA PER IL TRASPORTO DEI MATERIALI AL PIANO.</t>
        </is>
      </c>
      <c r="M518" s="4" t="inlineStr">
        <is>
          <t>CAD</t>
        </is>
      </c>
      <c r="N518" s="5" t="n">
        <v>3</v>
      </c>
      <c r="O518" s="45" t="n">
        <v>34.39</v>
      </c>
      <c r="P518" s="45" t="n">
        <v>103.17</v>
      </c>
      <c r="Q518" s="5" t="n"/>
      <c r="R518" s="6" t="n"/>
      <c r="S518" s="6">
        <f>IF(AND(Q518&lt;&gt;"",R518&lt;&gt;""),Q518*R518,"")</f>
        <v/>
      </c>
      <c r="T518" s="45">
        <f>IF(S518="",P518,S518)</f>
        <v/>
      </c>
      <c r="U518" s="7" t="n">
        <v>0</v>
      </c>
      <c r="V518" s="6">
        <f>$T518*U518</f>
        <v/>
      </c>
      <c r="W518" s="7" t="n">
        <v>0</v>
      </c>
      <c r="X518" s="6">
        <f>$T518*W518</f>
        <v/>
      </c>
      <c r="Y518" s="7" t="n">
        <v>0</v>
      </c>
      <c r="Z518" s="6">
        <f>$T518*Y518</f>
        <v/>
      </c>
      <c r="AA518" s="7" t="n">
        <v>0</v>
      </c>
      <c r="AB518" s="6">
        <f>$T518*AA518</f>
        <v/>
      </c>
      <c r="AC518" s="7" t="n">
        <v>0</v>
      </c>
      <c r="AD518" s="6">
        <f>$T518*AC518</f>
        <v/>
      </c>
      <c r="AE518" s="7" t="n">
        <v>0</v>
      </c>
      <c r="AF518" s="6">
        <f>$T518*AE518</f>
        <v/>
      </c>
      <c r="AG518" s="7" t="n">
        <v>0</v>
      </c>
      <c r="AH518" s="6">
        <f>$T518*AG518</f>
        <v/>
      </c>
      <c r="AI518" s="7">
        <f>U518+W518+Y518+AA518+AC518+AE518+AG518</f>
        <v/>
      </c>
      <c r="AJ518" s="6">
        <f>V518+X518+Z518+AB518+AD518+AF518+AH518</f>
        <v/>
      </c>
    </row>
    <row r="519" hidden="1" ht="60" customHeight="1" s="46">
      <c r="A519" s="3" t="inlineStr">
        <is>
          <t>LOM252.OC.EEA.PA02.L8225.ZA001.1750</t>
        </is>
      </c>
      <c r="B519" s="4" t="inlineStr">
        <is>
          <t>2/3</t>
        </is>
      </c>
      <c r="C519" s="3" t="inlineStr">
        <is>
          <t>IMPIANTO ELETTRICO</t>
        </is>
      </c>
      <c r="D519" s="4" t="inlineStr">
        <is>
          <t>SPECIALE</t>
        </is>
      </c>
      <c r="E519" s="4" t="inlineStr">
        <is>
          <t>ELETTRICHE SPECIALI</t>
        </is>
      </c>
      <c r="F519" s="3" t="inlineStr">
        <is>
          <t>3_CME IE RADIOFARMACIA PAVIA - REV02 VARIANTE ESECUTIVA.PDF</t>
        </is>
      </c>
      <c r="G519" s="4" t="inlineStr">
        <is>
          <t>23/23</t>
        </is>
      </c>
      <c r="H519" s="3" t="inlineStr">
        <is>
          <t>40 - IMPIANTISTICO</t>
        </is>
      </c>
      <c r="I519" s="3" t="inlineStr">
        <is>
          <t>CABINA BT</t>
        </is>
      </c>
      <c r="J519" s="3" t="inlineStr">
        <is>
          <t>IMPIANTO DI RIVELAZIONE FUMI</t>
        </is>
      </c>
      <c r="K519" s="3" t="inlineStr">
        <is>
          <t xml:space="preserve">OPERA: RIVEVLATORE, OTTICO; IMPIEGO: CENTRALI ANALOGICHE. </t>
        </is>
      </c>
      <c r="L519" s="3" t="inlineStr">
        <is>
          <t>OPERA: RIVEVLATORE, OTTICO; IMPIEGO: CENTRALI ANALOGICHE. 
LAVORO: POSA.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OP RIVEVLATORE, OTTICO; IMPIEGO: CENTRALI ANALOGICHE.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RM RIVELATORE OTTICO; IMPIEGO: CENTRALI ANALOGICHE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LV POSA.</t>
        </is>
      </c>
      <c r="M519" s="4" t="inlineStr">
        <is>
          <t>CAD</t>
        </is>
      </c>
      <c r="N519" s="5" t="n">
        <v>1</v>
      </c>
      <c r="O519" s="45" t="n">
        <v>92.5</v>
      </c>
      <c r="P519" s="45" t="n">
        <v>92.5</v>
      </c>
      <c r="Q519" s="5" t="n"/>
      <c r="R519" s="6" t="n"/>
      <c r="S519" s="6">
        <f>IF(AND(Q519&lt;&gt;"",R519&lt;&gt;""),Q519*R519,"")</f>
        <v/>
      </c>
      <c r="T519" s="45">
        <f>IF(S519="",P519,S519)</f>
        <v/>
      </c>
      <c r="U519" s="7" t="n">
        <v>0</v>
      </c>
      <c r="V519" s="6">
        <f>$T519*U519</f>
        <v/>
      </c>
      <c r="W519" s="7" t="n">
        <v>0</v>
      </c>
      <c r="X519" s="6">
        <f>$T519*W519</f>
        <v/>
      </c>
      <c r="Y519" s="7" t="n">
        <v>0</v>
      </c>
      <c r="Z519" s="6">
        <f>$T519*Y519</f>
        <v/>
      </c>
      <c r="AA519" s="7" t="n">
        <v>0</v>
      </c>
      <c r="AB519" s="6">
        <f>$T519*AA519</f>
        <v/>
      </c>
      <c r="AC519" s="7" t="n">
        <v>0</v>
      </c>
      <c r="AD519" s="6">
        <f>$T519*AC519</f>
        <v/>
      </c>
      <c r="AE519" s="7" t="n">
        <v>0</v>
      </c>
      <c r="AF519" s="6">
        <f>$T519*AE519</f>
        <v/>
      </c>
      <c r="AG519" s="7" t="n">
        <v>0</v>
      </c>
      <c r="AH519" s="6">
        <f>$T519*AG519</f>
        <v/>
      </c>
      <c r="AI519" s="7">
        <f>U519+W519+Y519+AA519+AC519+AE519+AG519</f>
        <v/>
      </c>
      <c r="AJ519" s="6">
        <f>V519+X519+Z519+AB519+AD519+AF519+AH519</f>
        <v/>
      </c>
    </row>
    <row r="520" hidden="1" ht="60" customHeight="1" s="46">
      <c r="A520" s="3" t="inlineStr">
        <is>
          <t>LOM252.OC.EEA.PA01.L8250.ZA001.0250</t>
        </is>
      </c>
      <c r="B520" s="4" t="inlineStr">
        <is>
          <t>2/3</t>
        </is>
      </c>
      <c r="C520" s="3" t="inlineStr">
        <is>
          <t>IMPIANTO ELETTRICO</t>
        </is>
      </c>
      <c r="D520" s="4" t="inlineStr">
        <is>
          <t>SPECIALE</t>
        </is>
      </c>
      <c r="E520" s="4" t="inlineStr">
        <is>
          <t>ELETTRICHE SPECIALI</t>
        </is>
      </c>
      <c r="F520" s="3" t="inlineStr">
        <is>
          <t>3_CME IE RADIOFARMACIA PAVIA - REV02 VARIANTE ESECUTIVA.PDF</t>
        </is>
      </c>
      <c r="G520" s="4" t="inlineStr">
        <is>
          <t>24/24</t>
        </is>
      </c>
      <c r="H520" s="3" t="inlineStr">
        <is>
          <t>40 - IMPIANTISTICO</t>
        </is>
      </c>
      <c r="I520" s="3" t="inlineStr">
        <is>
          <t>CABINA BT</t>
        </is>
      </c>
      <c r="J520" s="3" t="inlineStr">
        <is>
          <t>IMPIANTO DI RIVELAZIONE FUMI</t>
        </is>
      </c>
      <c r="K520" s="3" t="inlineStr">
        <is>
          <t>OPERA: PULSANTE, MANUALE INDIRIZZABILE; GEOMETRIA: A ROTTURA VETRO; TENSIONE DI ALIMENTAZIONE [VCC] = 15 ÷ 28 | CORRENTE NOMINALE A RIPOSO [ΜA] = 200 | CORRENTE NOMINALE IN ALLARME [ΜA] = 5 | TEMPERAT</t>
        </is>
      </c>
      <c r="L520" s="3" t="inlineStr">
        <is>
          <t>OPERA: PULSANTE, MANUALE INDIRIZZABILE; GEOMETRIA: A ROTTURA VETRO; TENSIONE DI ALIMENTAZIONE [VCC] = 15 ÷ 28 | CORRENTE NOMINALE A RIPOSO [ΜA] = 200 | CORRENTE NOMINALE IN ALLARME [ΜA] = 5 | TEMPERATURA DI FUNZIONAMENTO [°C] = 0 ÷ 50 | UMIDTÀ RELATIVA [%] = 95. INCLUSO: DOPPIO ISOLATORE PER PROTEZIONE DELLA LINEA DI COMUNICAZIONE, CHIAVE DI TEST. 
LAVORO: INSTALLAZIONE. 
SPECIFICHE TECNICHE: PULSANTE INDIRIZZATO DA INTERNO, CERTIFICATO CPR, GRADO DI PROTEZIONE IP24D, LA CORRENTE IN ALLARME È DA CONSIDERARSI CON LED ATTIVO. OP PULSANTE, MANUALE INDIRIZZABILE; GEOMETRIA: A ROTTURA VETRO; TENSIONE DI ALIMENTAZIONE [VCC] = 15 ÷ 28 | CORRENTE NOMINALE A RIPOSO [ΜA] = 200 | CORRENTE NOMINALE IN ALLARME [ΜA] = 5 | TEMPERATURA DI FUNZIONAMENTO [°C] = 0 ÷ 50 | UMIDTÀ RELATIVA [%] = 95. INCLUSO: DOPPIO ISOLATORE PER PROTEZIONE DELLA LINEA DI COMUNICAZIONE, CHIAVE DI TEST. 
SPECIFICHE TECNICHE: PULSANTE INDIRIZZATO DA INTERNO, CERTIFICATO CPR, GRADO DI PROTEZIONE IP24D, LA CORRENTE IN ALLARME È DA CONSIDERARSI CON LED ATTIVO. 
RM PULSANTE MANUALE INDIRIZZABILE; GEOMETRIA: A ROTTURA VETRO; TENSIONE DI ALIMENTAZIONE [VCC] = 15 ÷ 28 | CORRENTE NOMINALE A RIPOSO [ΜA] = 200 | CORRENTE NOMINALE IN ALLARME [ΜA] = 5 | TEMPERATURA DI FUNZIONAMENTO [°C] = 0 ÷ 50 | UMIDTÀ RELATIVA [%] = 95. COMPONENTE: LED, . INCLUSO: DOPPIO ISOLATORE PER PROTEZIONE DELLA LINEA DI COMUNICAZIONE, CHIAVE DI TEST 
SPECIFICHE TECNICHE: PULSANTE INDIRIZZATO DA INTERNO, CERTIFICATO CPR, GRADO DI PROTEZIONE IP24D, LA CORRENTE IN ALLARME È DA CONSIDERARSI CON LED ATTIVO 
LV INSTALLAZIONE.</t>
        </is>
      </c>
      <c r="M520" s="4" t="inlineStr">
        <is>
          <t>CAD</t>
        </is>
      </c>
      <c r="N520" s="5" t="n">
        <v>1</v>
      </c>
      <c r="O520" s="45" t="n">
        <v>96.05</v>
      </c>
      <c r="P520" s="45" t="n">
        <v>96.05</v>
      </c>
      <c r="Q520" s="5" t="n"/>
      <c r="R520" s="6" t="n"/>
      <c r="S520" s="6">
        <f>IF(AND(Q520&lt;&gt;"",R520&lt;&gt;""),Q520*R520,"")</f>
        <v/>
      </c>
      <c r="T520" s="45">
        <f>IF(S520="",P520,S520)</f>
        <v/>
      </c>
      <c r="U520" s="7" t="n">
        <v>0</v>
      </c>
      <c r="V520" s="6">
        <f>$T520*U520</f>
        <v/>
      </c>
      <c r="W520" s="7" t="n">
        <v>0</v>
      </c>
      <c r="X520" s="6">
        <f>$T520*W520</f>
        <v/>
      </c>
      <c r="Y520" s="7" t="n">
        <v>0</v>
      </c>
      <c r="Z520" s="6">
        <f>$T520*Y520</f>
        <v/>
      </c>
      <c r="AA520" s="7" t="n">
        <v>0</v>
      </c>
      <c r="AB520" s="6">
        <f>$T520*AA520</f>
        <v/>
      </c>
      <c r="AC520" s="7" t="n">
        <v>0</v>
      </c>
      <c r="AD520" s="6">
        <f>$T520*AC520</f>
        <v/>
      </c>
      <c r="AE520" s="7" t="n">
        <v>0</v>
      </c>
      <c r="AF520" s="6">
        <f>$T520*AE520</f>
        <v/>
      </c>
      <c r="AG520" s="7" t="n">
        <v>0</v>
      </c>
      <c r="AH520" s="6">
        <f>$T520*AG520</f>
        <v/>
      </c>
      <c r="AI520" s="7">
        <f>U520+W520+Y520+AA520+AC520+AE520+AG520</f>
        <v/>
      </c>
      <c r="AJ520" s="6">
        <f>V520+X520+Z520+AB520+AD520+AF520+AH520</f>
        <v/>
      </c>
    </row>
    <row r="521" hidden="1" ht="60" customHeight="1" s="46">
      <c r="A521" s="3" t="inlineStr">
        <is>
          <t>LOM252.OC.EEA.PA04.L4200.ZA000.0515</t>
        </is>
      </c>
      <c r="B521" s="4" t="inlineStr">
        <is>
          <t>2/3</t>
        </is>
      </c>
      <c r="C521" s="3" t="inlineStr">
        <is>
          <t>IMPIANTO ELETTRICO</t>
        </is>
      </c>
      <c r="D521" s="4" t="inlineStr">
        <is>
          <t>SPECIALE</t>
        </is>
      </c>
      <c r="E521" s="4" t="inlineStr">
        <is>
          <t>ELETTRICHE SPECIALI</t>
        </is>
      </c>
      <c r="F521" s="3" t="inlineStr">
        <is>
          <t>3_CME IE RADIOFARMACIA PAVIA - REV02 VARIANTE ESECUTIVA.PDF</t>
        </is>
      </c>
      <c r="G521" s="4" t="inlineStr">
        <is>
          <t>25/25</t>
        </is>
      </c>
      <c r="H521" s="3" t="inlineStr">
        <is>
          <t>40 - IMPIANTISTICO</t>
        </is>
      </c>
      <c r="I521" s="3" t="inlineStr">
        <is>
          <t>CABINA BT</t>
        </is>
      </c>
      <c r="J521" s="3" t="inlineStr">
        <is>
          <t>IMPIANTO DI RIVELAZIONE FUMI</t>
        </is>
      </c>
      <c r="K521" s="3" t="inlineStr">
        <is>
          <t>OPERA: SEGNALATORE ACUSTICO, SIRENA DI MATERIALE GENERICO; FUNZIONE: SEGNALATORE OTTICO; IMPIEGO: IMPIANTI DI RIVELAZIONE INCENDIO | AMBIENTI INTERNI; TENSIONE DI ALIMENTAZIONE CC [V] = 17 ÷ 60. INCLU</t>
        </is>
      </c>
      <c r="L521" s="3" t="inlineStr">
        <is>
          <t>OPERA: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LAVORO: FORMAZIONE. 
SPECIFICHE TECNICHE: SIRENA DI TIPO PIEZO-ELETTRONICA MULTITONO, ATTIVAZIONE REMOTA SELEZIONABILE SU 2 TONI, PROTEZIONE IP21. SIRENA E LAMPEGGIANTE CON COMANDO SEPARATO. OP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SPECIFICHE TECNICHE: SIRENA DI TIPO PIEZO-ELETTRONICA MULTITONO, ATTIVAZIONE REMOTA SELEZIONABILE SU 2 TONI, PROTEZIONE IP21. SIRENA E LAMPEGGIANTE CON COMANDO SEPARATO. 
RM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SPECIFICHE TECNICHE: SIRENA DI TIPO PIEZO-ELETTRONICA MULTITONO, ATTIVAZIONE REMOTA SELEZIONABILE SU 2 TONI, PROTEZIONE IP21. SIRENA E LAMPEGGIANTE CON COMANDO SEPARATO 
LV FORMAZIONE.</t>
        </is>
      </c>
      <c r="M521" s="4" t="inlineStr">
        <is>
          <t>CAD</t>
        </is>
      </c>
      <c r="N521" s="5" t="n">
        <v>1</v>
      </c>
      <c r="O521" s="45" t="n">
        <v>183.81</v>
      </c>
      <c r="P521" s="45" t="n">
        <v>183.81</v>
      </c>
      <c r="Q521" s="5" t="n"/>
      <c r="R521" s="6" t="n"/>
      <c r="S521" s="6">
        <f>IF(AND(Q521&lt;&gt;"",R521&lt;&gt;""),Q521*R521,"")</f>
        <v/>
      </c>
      <c r="T521" s="45">
        <f>IF(S521="",P521,S521)</f>
        <v/>
      </c>
      <c r="U521" s="7" t="n">
        <v>0</v>
      </c>
      <c r="V521" s="6">
        <f>$T521*U521</f>
        <v/>
      </c>
      <c r="W521" s="7" t="n">
        <v>0</v>
      </c>
      <c r="X521" s="6">
        <f>$T521*W521</f>
        <v/>
      </c>
      <c r="Y521" s="7" t="n">
        <v>0</v>
      </c>
      <c r="Z521" s="6">
        <f>$T521*Y521</f>
        <v/>
      </c>
      <c r="AA521" s="7" t="n">
        <v>0</v>
      </c>
      <c r="AB521" s="6">
        <f>$T521*AA521</f>
        <v/>
      </c>
      <c r="AC521" s="7" t="n">
        <v>0</v>
      </c>
      <c r="AD521" s="6">
        <f>$T521*AC521</f>
        <v/>
      </c>
      <c r="AE521" s="7" t="n">
        <v>0</v>
      </c>
      <c r="AF521" s="6">
        <f>$T521*AE521</f>
        <v/>
      </c>
      <c r="AG521" s="7" t="n">
        <v>0</v>
      </c>
      <c r="AH521" s="6">
        <f>$T521*AG521</f>
        <v/>
      </c>
      <c r="AI521" s="7">
        <f>U521+W521+Y521+AA521+AC521+AE521+AG521</f>
        <v/>
      </c>
      <c r="AJ521" s="6">
        <f>V521+X521+Z521+AB521+AD521+AF521+AH521</f>
        <v/>
      </c>
    </row>
    <row r="522" hidden="1" ht="60" customHeight="1" s="46">
      <c r="A522" s="3" t="inlineStr">
        <is>
          <t>LOM252.OC.EEA.PA02.L7430.ZA001.0020</t>
        </is>
      </c>
      <c r="B522" s="4" t="inlineStr">
        <is>
          <t>2/4</t>
        </is>
      </c>
      <c r="C522" s="3" t="inlineStr">
        <is>
          <t>IMPIANTO ELETTRICO</t>
        </is>
      </c>
      <c r="D522" s="4" t="inlineStr">
        <is>
          <t>SPECIALE</t>
        </is>
      </c>
      <c r="E522" s="4" t="inlineStr">
        <is>
          <t>ELETTRICHE SPECIALI</t>
        </is>
      </c>
      <c r="F522" s="3" t="inlineStr">
        <is>
          <t>3_CME IE RADIOFARMACIA PAVIA - REV02 VARIANTE ESECUTIVA.PDF</t>
        </is>
      </c>
      <c r="G522" s="4" t="inlineStr">
        <is>
          <t>26/26</t>
        </is>
      </c>
      <c r="H522" s="3" t="inlineStr">
        <is>
          <t>40 - IMPIANTISTICO</t>
        </is>
      </c>
      <c r="I522" s="3" t="inlineStr">
        <is>
          <t>CABINA BT</t>
        </is>
      </c>
      <c r="J522" s="3" t="inlineStr">
        <is>
          <t>IMPIANTO DI RIVELAZIONE FUMI</t>
        </is>
      </c>
      <c r="K522" s="3" t="inlineStr">
        <is>
          <t xml:space="preserve">OPERA: CAVO; GEOMETRIA: TWISTATO | SCHERMATO | ROSSO; SEZIONE NOMINALE [MM²] = 2X1,5. </t>
        </is>
      </c>
      <c r="L522" s="3" t="inlineStr">
        <is>
          <t>OPERA: CAVO; GEOMETRIA: TWISTATO | SCHERMATO | ROSSO; SEZIONE NOMINALE [MM²] = 2X1,5. 
LAVORO: POSA. OP CAVO; GEOMETRIA: TWISTATO | SCHERMATO | ROSSO; SEZIONE NOMINALE [MM²] = 2X1,5. 
RM CAVO; GEOMETRIA: TWISTATO | SCHERMATO | ROSSO; FORNITURA: IN OPERA; SEZIONE NOMINALE [MM²] = 2X1,5 
SPECIFICHE TECNICHE: CAVO ANTINCENDIO DI GRADO 3 
LV POSA.
[DIMENSIONI: 20,00]</t>
        </is>
      </c>
      <c r="M522" s="4" t="inlineStr">
        <is>
          <t>M</t>
        </is>
      </c>
      <c r="N522" s="5" t="n">
        <v>20</v>
      </c>
      <c r="O522" s="45" t="n">
        <v>3.5</v>
      </c>
      <c r="P522" s="45" t="n">
        <v>70</v>
      </c>
      <c r="Q522" s="5" t="n"/>
      <c r="R522" s="6" t="n"/>
      <c r="S522" s="6">
        <f>IF(AND(Q522&lt;&gt;"",R522&lt;&gt;""),Q522*R522,"")</f>
        <v/>
      </c>
      <c r="T522" s="45">
        <f>IF(S522="",P522,S522)</f>
        <v/>
      </c>
      <c r="U522" s="7" t="n">
        <v>0</v>
      </c>
      <c r="V522" s="6">
        <f>$T522*U522</f>
        <v/>
      </c>
      <c r="W522" s="7" t="n">
        <v>0</v>
      </c>
      <c r="X522" s="6">
        <f>$T522*W522</f>
        <v/>
      </c>
      <c r="Y522" s="7" t="n">
        <v>0</v>
      </c>
      <c r="Z522" s="6">
        <f>$T522*Y522</f>
        <v/>
      </c>
      <c r="AA522" s="7" t="n">
        <v>0</v>
      </c>
      <c r="AB522" s="6">
        <f>$T522*AA522</f>
        <v/>
      </c>
      <c r="AC522" s="7" t="n">
        <v>0</v>
      </c>
      <c r="AD522" s="6">
        <f>$T522*AC522</f>
        <v/>
      </c>
      <c r="AE522" s="7" t="n">
        <v>0</v>
      </c>
      <c r="AF522" s="6">
        <f>$T522*AE522</f>
        <v/>
      </c>
      <c r="AG522" s="7" t="n">
        <v>0</v>
      </c>
      <c r="AH522" s="6">
        <f>$T522*AG522</f>
        <v/>
      </c>
      <c r="AI522" s="7">
        <f>U522+W522+Y522+AA522+AC522+AE522+AG522</f>
        <v/>
      </c>
      <c r="AJ522" s="6">
        <f>V522+X522+Z522+AB522+AD522+AF522+AH522</f>
        <v/>
      </c>
    </row>
    <row r="523" ht="60" customHeight="1" s="46">
      <c r="A523" s="3" t="inlineStr">
        <is>
          <t>LOM252.OC.EEA.PA02.G7400.D0006.0040</t>
        </is>
      </c>
      <c r="B523" s="4" t="inlineStr">
        <is>
          <t>1/2</t>
        </is>
      </c>
      <c r="C523" s="3" t="inlineStr">
        <is>
          <t>IMPIANTO ELETTRICO</t>
        </is>
      </c>
      <c r="D523" s="4" t="inlineStr">
        <is>
          <t>SPECIALE</t>
        </is>
      </c>
      <c r="E523" s="4" t="inlineStr">
        <is>
          <t>ELETTRICHE SPECIALI</t>
        </is>
      </c>
      <c r="F523" s="3" t="inlineStr">
        <is>
          <t>3_CME IE RADIOFARMACIA PAVIA - REV02 VARIANTE ESECUTIVA.PDF</t>
        </is>
      </c>
      <c r="G523" s="4" t="inlineStr">
        <is>
          <t>27/27</t>
        </is>
      </c>
      <c r="H523" s="3" t="inlineStr">
        <is>
          <t>40 - IMPIANTISTICO</t>
        </is>
      </c>
      <c r="I523" s="3" t="inlineStr">
        <is>
          <t>ESTERNO</t>
        </is>
      </c>
      <c r="J523" s="3" t="inlineStr">
        <is>
          <t>DISTRIBUZIONE PRINCIPALE MT</t>
        </is>
      </c>
      <c r="K523" s="3" t="inlineStr">
        <is>
          <t xml:space="preserve">OPERA: CAVIDOTTO FLESSIBILE DI PLASTICA POLIETILENE (PE); FINITURA: CORRUGATI | LISCI; DIAMETRO ESTERNO (Ø) [MM] = 160 | DIAMETRO INTERNO (Ø) [MM] = 138. </t>
        </is>
      </c>
      <c r="L523" s="3" t="inlineStr">
        <is>
          <t>OPERA: CAVIDOTTO FLESSIBILE DI PLASTICA POLIETILENE (PE); FINITURA: CORRUGATI | LISCI; DIAMETRO ESTERNO (Ø) [MM] = 160 | DIAMETRO INTERNO (Ø) [MM] = 138. 
LAVORO: POSA. ESCLUSO: SCAVO; PIANO APPOGGIO; RINFIANCO; RIEMPIMENTO. OP CAVIDOTTO FLESSIBILE DI PLASTICA POLIETILENE (PE); FINITURA: CORRUGATI | LISCI; DIAMETRO ESTERNO (Ø) [MM] = 160 | DIAMETRO INTERNO (Ø) [MM] = 138. 
RM TUBO A MANICOTTO DI GIUNZIONE DI PLASTICA POLIETILENE (PE); FINITURA: LISCIA; GEOMETRIA: CORRUGATI | FLESSIBILE | A DOPPIA PARETE ; IMPIEGO: CAVIDOTTO; DIAMETRO ESTERNO (Ø) [MM] = 160 | DIAMETRO INTERNO (Ø) [MM] = 138. INCLUSO: TIRAFILO INCORPORATO 
RM AGGREGATO SABBIA VIVA DI ROCCIA NATURALE MINERALE; IMPIEGO: IMPASTI; PESO SPECIFICO MEDIO [KG/M³] = 1450 
SPECIFICHE TECNICHE: DI CAVA, LAVATA E VAGLIATA 
LV POSA. ESCLUSO: SCAVO; PIANO APPOGGIO; RINFIANCO; RIEMPIMENTO. 
RP PALA CINGOLATA; POTENZA [KW] ≤ 55. DA CONTEGGIARE A PARTE: SPESE DI ESERCIZIO (RP.00.00.05.1030.A)
[DIMENSIONI: 2,00 250,00 | -2,00 100,00]</t>
        </is>
      </c>
      <c r="M523" s="4" t="inlineStr">
        <is>
          <t>M</t>
        </is>
      </c>
      <c r="N523" s="5" t="n">
        <v>300</v>
      </c>
      <c r="O523" s="45" t="n">
        <v>15.25</v>
      </c>
      <c r="P523" s="45" t="n">
        <v>4575</v>
      </c>
      <c r="Q523" s="5" t="n"/>
      <c r="R523" s="6" t="n"/>
      <c r="S523" s="6">
        <f>IF(AND(Q523&lt;&gt;"",R523&lt;&gt;""),Q523*R523,"")</f>
        <v/>
      </c>
      <c r="T523" s="45">
        <f>IF(S523="",P523,S523)</f>
        <v/>
      </c>
      <c r="U523" s="7" t="n">
        <v>0</v>
      </c>
      <c r="V523" s="6">
        <f>$T523*U523</f>
        <v/>
      </c>
      <c r="W523" s="7" t="n">
        <v>0.3</v>
      </c>
      <c r="X523" s="6">
        <f>$T523*W523</f>
        <v/>
      </c>
      <c r="Y523" s="7" t="n">
        <v>0</v>
      </c>
      <c r="Z523" s="6">
        <f>$T523*Y523</f>
        <v/>
      </c>
      <c r="AA523" s="7" t="n">
        <v>0</v>
      </c>
      <c r="AB523" s="6">
        <f>$T523*AA523</f>
        <v/>
      </c>
      <c r="AC523" s="7" t="n">
        <v>0</v>
      </c>
      <c r="AD523" s="6">
        <f>$T523*AC523</f>
        <v/>
      </c>
      <c r="AE523" s="7" t="n">
        <v>0</v>
      </c>
      <c r="AF523" s="6">
        <f>$T523*AE523</f>
        <v/>
      </c>
      <c r="AG523" s="7" t="n">
        <v>0</v>
      </c>
      <c r="AH523" s="6">
        <f>$T523*AG523</f>
        <v/>
      </c>
      <c r="AI523" s="7">
        <f>U523+W523+Y523+AA523+AC523+AE523+AG523</f>
        <v/>
      </c>
      <c r="AJ523" s="6">
        <f>V523+X523+Z523+AB523+AD523+AF523+AH523</f>
        <v/>
      </c>
    </row>
    <row r="524" ht="60" customHeight="1" s="46">
      <c r="A524" s="3" t="inlineStr">
        <is>
          <t>LOM252.OC.EEA.PA02.G7400.D0006.0010</t>
        </is>
      </c>
      <c r="B524" s="4" t="inlineStr">
        <is>
          <t>2/2</t>
        </is>
      </c>
      <c r="C524" s="3" t="inlineStr">
        <is>
          <t>IMPIANTO ELETTRICO</t>
        </is>
      </c>
      <c r="D524" s="4" t="inlineStr">
        <is>
          <t>SPECIALE</t>
        </is>
      </c>
      <c r="E524" s="4" t="inlineStr">
        <is>
          <t>ELETTRICHE SPECIALI</t>
        </is>
      </c>
      <c r="F524" s="3" t="inlineStr">
        <is>
          <t>3_CME IE RADIOFARMACIA PAVIA - REV02 VARIANTE ESECUTIVA.PDF</t>
        </is>
      </c>
      <c r="G524" s="4" t="inlineStr">
        <is>
          <t>28/28</t>
        </is>
      </c>
      <c r="H524" s="3" t="inlineStr">
        <is>
          <t>40 - IMPIANTISTICO</t>
        </is>
      </c>
      <c r="I524" s="3" t="inlineStr">
        <is>
          <t>ESTERNO</t>
        </is>
      </c>
      <c r="J524" s="3" t="inlineStr">
        <is>
          <t>DISTRIBUZIONE PRINCIPALE MT</t>
        </is>
      </c>
      <c r="K524" s="3" t="inlineStr">
        <is>
          <t xml:space="preserve">OPERA: CAVIDOTTO FLESSIBILE DI PLASTICA POLIETILENE (PE); FINITURA: CORRUGATI | LISCI; DIAMETRO ESTERNO (Ø) [MM] = 63 | DIAMETRO INTERNO (Ø) [MM] = 52. </t>
        </is>
      </c>
      <c r="L524" s="3" t="inlineStr">
        <is>
          <t>OPERA: CAVIDOTTO FLESSIBILE DI PLASTICA POLIETILENE (PE); FINITURA: CORRUGATI | LISCI; DIAMETRO ESTERNO (Ø) [MM] = 63 | DIAMETRO INTERNO (Ø) [MM] = 52. 
LAVORO: POSA. ESCLUSO: SCAVO; PIANO APPOGGIO; RINFIANCO; RIEMPIMENTO. OP CAVIDOTTO FLESSIBILE DI PLASTICA POLIETILENE (PE); FINITURA: CORRUGATI | LISCI; DIAMETRO ESTERNO (Ø) [MM] = 63 | DIAMETRO INTERNO (Ø) [MM] = 52. 
RM TUBO A MANICOTTO DI GIUNZIONE DI PLASTICA POLIETILENE (PE); FINITURA: LISCIO; GEOMETRIA: CORRUGATO | FLESSIBILE | A DOPPIA PARETE ; IMPIEGO: CAVIDOTTO; DIAMETRO ESTERNO (Ø) [MM] = 63 | DIAMETRO INTERNO (Ø) [MM] = 52. INCLUSO: TIRAFILO INCORPORATO 
SPECIFICHE TECNICHE: CORRUGATA ESTERNA E LISCIA INTERNA 
RM AGGREGATO SABBIA VIVA DI ROCCIA NATURALE MINERALE; IMPIEGO: IMPASTI; PESO SPECIFICO MEDIO [KG/M³] = 1450 
SPECIFICHE TECNICHE: DI CAVA, LAVATA E VAGLIATA 
LV POSA. ESCLUSO: SCAVO; PIANO APPOGGIO; RINFIANCO; RIEMPIMENTO. 
RP PALA CINGOLATA; POTENZA [KW] ≤ 55. DA CONTEGGIARE A PARTE: SPESE DI ESERCIZIO (RP.00.00.05.1030.A)
[DIMENSIONI: 1,00 250,00 | -1,00 100,00]</t>
        </is>
      </c>
      <c r="M524" s="4" t="inlineStr">
        <is>
          <t>M</t>
        </is>
      </c>
      <c r="N524" s="5" t="n">
        <v>150</v>
      </c>
      <c r="O524" s="45" t="n">
        <v>5.48</v>
      </c>
      <c r="P524" s="45" t="n">
        <v>822</v>
      </c>
      <c r="Q524" s="5" t="n"/>
      <c r="R524" s="6" t="n"/>
      <c r="S524" s="6">
        <f>IF(AND(Q524&lt;&gt;"",R524&lt;&gt;""),Q524*R524,"")</f>
        <v/>
      </c>
      <c r="T524" s="45">
        <f>IF(S524="",P524,S524)</f>
        <v/>
      </c>
      <c r="U524" s="7" t="n">
        <v>0</v>
      </c>
      <c r="V524" s="6">
        <f>$T524*U524</f>
        <v/>
      </c>
      <c r="W524" s="7" t="n">
        <v>0.3</v>
      </c>
      <c r="X524" s="6">
        <f>$T524*W524</f>
        <v/>
      </c>
      <c r="Y524" s="7" t="n">
        <v>0</v>
      </c>
      <c r="Z524" s="6">
        <f>$T524*Y524</f>
        <v/>
      </c>
      <c r="AA524" s="7" t="n">
        <v>0</v>
      </c>
      <c r="AB524" s="6">
        <f>$T524*AA524</f>
        <v/>
      </c>
      <c r="AC524" s="7" t="n">
        <v>0</v>
      </c>
      <c r="AD524" s="6">
        <f>$T524*AC524</f>
        <v/>
      </c>
      <c r="AE524" s="7" t="n">
        <v>0</v>
      </c>
      <c r="AF524" s="6">
        <f>$T524*AE524</f>
        <v/>
      </c>
      <c r="AG524" s="7" t="n">
        <v>0</v>
      </c>
      <c r="AH524" s="6">
        <f>$T524*AG524</f>
        <v/>
      </c>
      <c r="AI524" s="7">
        <f>U524+W524+Y524+AA524+AC524+AE524+AG524</f>
        <v/>
      </c>
      <c r="AJ524" s="6">
        <f>V524+X524+Z524+AB524+AD524+AF524+AH524</f>
        <v/>
      </c>
    </row>
    <row r="525" ht="30" customHeight="1" s="46">
      <c r="A525" s="3" t="inlineStr">
        <is>
          <t>DEIELE251_235017</t>
        </is>
      </c>
      <c r="B525" s="4" t="inlineStr">
        <is>
          <t>1/1</t>
        </is>
      </c>
      <c r="C525" s="3" t="inlineStr">
        <is>
          <t>IMPIANTO ELETTRICO</t>
        </is>
      </c>
      <c r="D525" s="4" t="inlineStr">
        <is>
          <t>SPECIALE</t>
        </is>
      </c>
      <c r="E525" s="4" t="inlineStr">
        <is>
          <t>ELETTRICHE SPECIALI</t>
        </is>
      </c>
      <c r="F525" s="3" t="inlineStr">
        <is>
          <t>3_CME IE RADIOFARMACIA PAVIA - REV02 VARIANTE ESECUTIVA.PDF</t>
        </is>
      </c>
      <c r="G525" s="4" t="inlineStr">
        <is>
          <t>29/29</t>
        </is>
      </c>
      <c r="H525" s="3" t="inlineStr">
        <is>
          <t>40 - IMPIANTISTICO</t>
        </is>
      </c>
      <c r="I525" s="3" t="inlineStr">
        <is>
          <t>ESTERNO</t>
        </is>
      </c>
      <c r="J525" s="3" t="inlineStr">
        <is>
          <t>DISTRIBUZIONE PRINCIPALE MT</t>
        </is>
      </c>
      <c r="K525" s="3" t="inlineStr">
        <is>
          <t>POZZETTO DIMENSIONI FINO A 90 X 70 CM CON CHIUSINO IN GHISA (CLASSE C250 - D400), INCLUSE LE OPERE DI SCAVO E REINTERRO</t>
        </is>
      </c>
      <c r="L525" s="3" t="inlineStr">
        <is>
          <t>POZZETTO DIMENSIONI FINO A 90 X 70 CM CON CHIUSINO IN GHISA (CLASSE C250 - D400), INCLUSE LE OPERE DI SCAVO E REINTERRO</t>
        </is>
      </c>
      <c r="M525" s="4" t="inlineStr">
        <is>
          <t>CAD</t>
        </is>
      </c>
      <c r="N525" s="5" t="n">
        <v>9</v>
      </c>
      <c r="O525" s="45" t="n">
        <v>750.7</v>
      </c>
      <c r="P525" s="45" t="n">
        <v>6756.3</v>
      </c>
      <c r="Q525" s="5" t="n"/>
      <c r="R525" s="6" t="n"/>
      <c r="S525" s="6">
        <f>IF(AND(Q525&lt;&gt;"",R525&lt;&gt;""),Q525*R525,"")</f>
        <v/>
      </c>
      <c r="T525" s="45">
        <f>IF(S525="",P525,S525)</f>
        <v/>
      </c>
      <c r="U525" s="7" t="n">
        <v>0</v>
      </c>
      <c r="V525" s="6">
        <f>$T525*U525</f>
        <v/>
      </c>
      <c r="W525" s="7" t="n">
        <v>0.6</v>
      </c>
      <c r="X525" s="6">
        <f>$T525*W525</f>
        <v/>
      </c>
      <c r="Y525" s="7" t="n">
        <v>0</v>
      </c>
      <c r="Z525" s="6">
        <f>$T525*Y525</f>
        <v/>
      </c>
      <c r="AA525" s="7" t="n">
        <v>0</v>
      </c>
      <c r="AB525" s="6">
        <f>$T525*AA525</f>
        <v/>
      </c>
      <c r="AC525" s="7" t="n">
        <v>0</v>
      </c>
      <c r="AD525" s="6">
        <f>$T525*AC525</f>
        <v/>
      </c>
      <c r="AE525" s="7" t="n">
        <v>0</v>
      </c>
      <c r="AF525" s="6">
        <f>$T525*AE525</f>
        <v/>
      </c>
      <c r="AG525" s="7" t="n">
        <v>0</v>
      </c>
      <c r="AH525" s="6">
        <f>$T525*AG525</f>
        <v/>
      </c>
      <c r="AI525" s="7">
        <f>U525+W525+Y525+AA525+AC525+AE525+AG525</f>
        <v/>
      </c>
      <c r="AJ525" s="6">
        <f>V525+X525+Z525+AB525+AD525+AF525+AH525</f>
        <v/>
      </c>
    </row>
    <row r="526" hidden="1" ht="60" customHeight="1" s="46">
      <c r="A526" s="3" t="inlineStr">
        <is>
          <t>IE_NP_CAVMT1X95</t>
        </is>
      </c>
      <c r="B526" s="4" t="inlineStr">
        <is>
          <t>1/1</t>
        </is>
      </c>
      <c r="C526" s="3" t="inlineStr">
        <is>
          <t>IMPIANTO ELETTRICO</t>
        </is>
      </c>
      <c r="D526" s="4" t="inlineStr">
        <is>
          <t>SPECIALE</t>
        </is>
      </c>
      <c r="E526" s="4" t="inlineStr">
        <is>
          <t>ELETTRICHE SPECIALI</t>
        </is>
      </c>
      <c r="F526" s="3" t="inlineStr">
        <is>
          <t>3_CME IE RADIOFARMACIA PAVIA - REV02 VARIANTE ESECUTIVA.PDF</t>
        </is>
      </c>
      <c r="G526" s="4" t="inlineStr">
        <is>
          <t>30/30</t>
        </is>
      </c>
      <c r="H526" s="3" t="inlineStr">
        <is>
          <t>40 - IMPIANTISTICO</t>
        </is>
      </c>
      <c r="I526" s="3" t="inlineStr">
        <is>
          <t>ESTERNO</t>
        </is>
      </c>
      <c r="J526" s="3" t="inlineStr">
        <is>
          <t>DISTRIBUZIONE PRINCIPALE MT</t>
        </is>
      </c>
      <c r="K526" s="3" t="inlineStr">
        <is>
          <t>CAVO UNIPOLARE MT, SIGLA DI DESIGNAZIONE RG26H1M16 12-20KV, (CEI 20-13, CEI UNEL 35334). CAVO UNIPOLARE MT, SIGLA DI DESIGNAZIONE RG26H1M16 UNIPOLARI ISOLATI IN GOMMA HEPR DI QUALITÀ G26, ISOLAMENTO 1</t>
        </is>
      </c>
      <c r="L526" s="3" t="inlineStr">
        <is>
          <t>CAVO UNIPOLARE MT, SIGLA DI DESIGNAZIONE RG26H1M16 12-20KV, (CEI 20-13, CEI UNEL 35334). CAVO UNIPOLARE MT, SIGLA DI DESIGNAZIONE RG26H1M16 UNIPOLARI ISOLATI IN GOMMA HEPR DI QUALITÀ G26, ISOLAMENTO 12-20KV O 18-30 KV CONDUTTORE IN RAME ROSSO CON GUAINA TERMOPLASTICA LS0H, QUALITÀ M16, CONFORMI CPR AL REGOLAMENTO 305/2011/UE CLASSE CCA-S1B,D1,A1,FORNITO E POSTO IN OPERA ENTRO CAVIDOTTI O DIRETTAMENTE INTERRATO A TREFOLO. SONO COMPRESI: L'INSTALLAZIONE ENTRO CAVIDOTTO O DIRETTAMENTE INTERRATO, LE GIUNZIONI, I TERMINALI. E' INOLTRE COMPRESO QUANTO ALTRO OCCORRE PER DARE L'OPERA FINITA. 
SEZIONE 1X95 MMQ 12/20 KV
[DIMENSIONI: 3,00 150,00 | 3,00 10,00 | -3,00 160,00]</t>
        </is>
      </c>
      <c r="M526" s="4" t="inlineStr">
        <is>
          <t>M</t>
        </is>
      </c>
      <c r="N526" s="5" t="n">
        <v>0</v>
      </c>
      <c r="O526" s="45" t="n">
        <v>0</v>
      </c>
      <c r="P526" s="45" t="n">
        <v>0</v>
      </c>
      <c r="Q526" s="5" t="n"/>
      <c r="R526" s="6" t="n"/>
      <c r="S526" s="6">
        <f>IF(AND(Q526&lt;&gt;"",R526&lt;&gt;""),Q526*R526,"")</f>
        <v/>
      </c>
      <c r="T526" s="45">
        <f>IF(S526="",P526,S526)</f>
        <v/>
      </c>
      <c r="U526" s="7" t="n">
        <v>0</v>
      </c>
      <c r="V526" s="6">
        <f>$T526*U526</f>
        <v/>
      </c>
      <c r="W526" s="7" t="n">
        <v>0</v>
      </c>
      <c r="X526" s="6">
        <f>$T526*W526</f>
        <v/>
      </c>
      <c r="Y526" s="7" t="n">
        <v>0</v>
      </c>
      <c r="Z526" s="6">
        <f>$T526*Y526</f>
        <v/>
      </c>
      <c r="AA526" s="7" t="n">
        <v>0</v>
      </c>
      <c r="AB526" s="6">
        <f>$T526*AA526</f>
        <v/>
      </c>
      <c r="AC526" s="7" t="n">
        <v>0</v>
      </c>
      <c r="AD526" s="6">
        <f>$T526*AC526</f>
        <v/>
      </c>
      <c r="AE526" s="7" t="n">
        <v>0</v>
      </c>
      <c r="AF526" s="6">
        <f>$T526*AE526</f>
        <v/>
      </c>
      <c r="AG526" s="7" t="n">
        <v>0</v>
      </c>
      <c r="AH526" s="6">
        <f>$T526*AG526</f>
        <v/>
      </c>
      <c r="AI526" s="7">
        <f>U526+W526+Y526+AA526+AC526+AE526+AG526</f>
        <v/>
      </c>
      <c r="AJ526" s="6">
        <f>V526+X526+Z526+AB526+AD526+AF526+AH526</f>
        <v/>
      </c>
    </row>
    <row r="527" ht="60" customHeight="1" s="46">
      <c r="A527" s="3" t="inlineStr">
        <is>
          <t>IE_NP_CAVMT1X50</t>
        </is>
      </c>
      <c r="B527" s="4" t="inlineStr">
        <is>
          <t>1/1</t>
        </is>
      </c>
      <c r="C527" s="3" t="inlineStr">
        <is>
          <t>IMPIANTO ELETTRICO</t>
        </is>
      </c>
      <c r="D527" s="4" t="inlineStr">
        <is>
          <t>SPECIALE</t>
        </is>
      </c>
      <c r="E527" s="4" t="inlineStr">
        <is>
          <t>ELETTRICHE SPECIALI</t>
        </is>
      </c>
      <c r="F527" s="3" t="inlineStr">
        <is>
          <t>3_CME IE RADIOFARMACIA PAVIA - REV02 VARIANTE ESECUTIVA.PDF</t>
        </is>
      </c>
      <c r="G527" s="4" t="inlineStr">
        <is>
          <t>31/31</t>
        </is>
      </c>
      <c r="H527" s="3" t="inlineStr">
        <is>
          <t>40 - IMPIANTISTICO</t>
        </is>
      </c>
      <c r="I527" s="3" t="inlineStr">
        <is>
          <t>ESTERNO</t>
        </is>
      </c>
      <c r="J527" s="3" t="inlineStr">
        <is>
          <t>DISTRIBUZIONE PRINCIPALE MT</t>
        </is>
      </c>
      <c r="K527" s="3" t="inlineStr">
        <is>
          <t>CAVO UNIPOLARE MT, SIGLA DI DESIGNAZIONE RG26H1M16 12-20KV, (CEI 20-13, CEI UNEL 35334). CAVO UNIPOLARE MT, SIGLA DI DESIGNAZIONE RG26H1M16 UNIPOLARI ISOLATI IN GOMMA HEPR DI QUALITÀ G26, ISOLAMENTO 1</t>
        </is>
      </c>
      <c r="L527" s="3" t="inlineStr">
        <is>
          <t>CAVO UNIPOLARE MT, SIGLA DI DESIGNAZIONE RG26H1M16 12-20KV, (CEI 20-13, CEI UNEL 35334). CAVO UNIPOLARE MT, SIGLA DI DESIGNAZIONE RG26H1M16 UNIPOLARI ISOLATI IN GOMMA HEPR DI QUALITÀ G26, ISOLAMENTO 12-20KV O 18-30 KV CONDUTTORE IN RAME ROSSO CON GUAINA TERMOPLASTICA LS0H, QUALITÀ M16, CONFORMI CPR AL REGOLAMENTO 305/2011/UE CLASSE CCA-S1B,D1,A1,FORNITO E POSTO IN OPERA ENTRO CAVIDOTTI O DIRETTAMENTE INTERRATO A TREFOLO. SONO COMPRESI: L'INSTALLAZIONE ENTRO CAVIDOTTO O DIRETTAMENTE INTERRATO, LE GIUNZIONI, I TERMINALI. E' INOLTRE COMPRESO QUANTO ALTRO OCCORRE PER DARE L'OPERA FINITA. SEZIONE 1X50 MMQ 12/20 KV
[DIMENSIONI: 3,00 150,00 | 3,00 10,00]</t>
        </is>
      </c>
      <c r="M527" s="4" t="inlineStr">
        <is>
          <t>M</t>
        </is>
      </c>
      <c r="N527" s="5" t="n">
        <v>480</v>
      </c>
      <c r="O527" s="45" t="n">
        <v>16.08</v>
      </c>
      <c r="P527" s="45" t="n">
        <v>7718.4</v>
      </c>
      <c r="Q527" s="5" t="n"/>
      <c r="R527" s="6" t="n"/>
      <c r="S527" s="6">
        <f>IF(AND(Q527&lt;&gt;"",R527&lt;&gt;""),Q527*R527,"")</f>
        <v/>
      </c>
      <c r="T527" s="45">
        <f>IF(S527="",P527,S527)</f>
        <v/>
      </c>
      <c r="U527" s="7" t="n">
        <v>0</v>
      </c>
      <c r="V527" s="6">
        <f>$T527*U527</f>
        <v/>
      </c>
      <c r="W527" s="7" t="n">
        <v>0.5</v>
      </c>
      <c r="X527" s="6">
        <f>$T527*W527</f>
        <v/>
      </c>
      <c r="Y527" s="7" t="n">
        <v>0</v>
      </c>
      <c r="Z527" s="6">
        <f>$T527*Y527</f>
        <v/>
      </c>
      <c r="AA527" s="7" t="n">
        <v>0</v>
      </c>
      <c r="AB527" s="6">
        <f>$T527*AA527</f>
        <v/>
      </c>
      <c r="AC527" s="7" t="n">
        <v>0</v>
      </c>
      <c r="AD527" s="6">
        <f>$T527*AC527</f>
        <v/>
      </c>
      <c r="AE527" s="7" t="n">
        <v>0</v>
      </c>
      <c r="AF527" s="6">
        <f>$T527*AE527</f>
        <v/>
      </c>
      <c r="AG527" s="7" t="n">
        <v>0</v>
      </c>
      <c r="AH527" s="6">
        <f>$T527*AG527</f>
        <v/>
      </c>
      <c r="AI527" s="7">
        <f>U527+W527+Y527+AA527+AC527+AE527+AG527</f>
        <v/>
      </c>
      <c r="AJ527" s="6">
        <f>V527+X527+Z527+AB527+AD527+AF527+AH527</f>
        <v/>
      </c>
    </row>
    <row r="528" ht="60" customHeight="1" s="46">
      <c r="A528" s="3" t="inlineStr">
        <is>
          <t>DEIELE251_023028E</t>
        </is>
      </c>
      <c r="B528" s="4" t="inlineStr">
        <is>
          <t>1/1</t>
        </is>
      </c>
      <c r="C528" s="3" t="inlineStr">
        <is>
          <t>IMPIANTO ELETTRICO</t>
        </is>
      </c>
      <c r="D528" s="4" t="inlineStr">
        <is>
          <t>SPECIALE</t>
        </is>
      </c>
      <c r="E528" s="4" t="inlineStr">
        <is>
          <t>ELETTRICHE SPECIALI</t>
        </is>
      </c>
      <c r="F528" s="3" t="inlineStr">
        <is>
          <t>3_CME IE RADIOFARMACIA PAVIA - REV02 VARIANTE ESECUTIVA.PDF</t>
        </is>
      </c>
      <c r="G528" s="4" t="inlineStr">
        <is>
          <t>32/32</t>
        </is>
      </c>
      <c r="H528" s="3" t="inlineStr">
        <is>
          <t>40 - IMPIANTISTICO</t>
        </is>
      </c>
      <c r="I528" s="3" t="inlineStr">
        <is>
          <t>ESTERNO</t>
        </is>
      </c>
      <c r="J528" s="3" t="inlineStr">
        <is>
          <t>DISTRIBUZIONE PRINCIPALE MT</t>
        </is>
      </c>
      <c r="K528" s="3" t="inlineStr">
        <is>
          <t>CAVO FLESSIBILE CONFORME CEI 20-13 E DESIGNAZIONE SECONDO CEI UNEL 35011, ISOLATO CON GOMMA ETILENPROPILENICA AD ALTO MODULO SCHERMATURA IN TRECCIA DI RAME ROSSO CON GUAINA IN PVC, TENSIONE NOMINALE 0</t>
        </is>
      </c>
      <c r="L528" s="3" t="inlineStr">
        <is>
          <t>CAVO FLESSIBILE CONFORME CEI 20-13 E DESIGNAZIONE SECONDO CEI UNEL 35011, ISOLATO CON GOMMA ETILENPROPILENICA AD ALTO MODULO SCHERMATURA IN TRECCIA DI RAME ROSSO CON GUAINA IN PVC, TENSIONE NOMINALE 0,6/1 KV, NON PROPAGANTE L'INCENDIO CONFORME CEI 20-22 II E AI REQUISITI DELLA NORMATIVA EUROPA REGOLAMENTO UE 305/2011- PRODOTTI DA COSTRUZIONE CPR , CLASSE DCA - S3, D2, A3: BIPOLARE FG16OH2R16 - 0,6/1 KV: SEZIONE 10 MMQ
[DIMENSIONI: 250,00 | -100,00]</t>
        </is>
      </c>
      <c r="M528" s="4" t="inlineStr">
        <is>
          <t>M</t>
        </is>
      </c>
      <c r="N528" s="5" t="n">
        <v>150</v>
      </c>
      <c r="O528" s="45" t="n">
        <v>10.12</v>
      </c>
      <c r="P528" s="45" t="n">
        <v>1518</v>
      </c>
      <c r="Q528" s="5" t="n"/>
      <c r="R528" s="6" t="n"/>
      <c r="S528" s="6">
        <f>IF(AND(Q528&lt;&gt;"",R528&lt;&gt;""),Q528*R528,"")</f>
        <v/>
      </c>
      <c r="T528" s="45">
        <f>IF(S528="",P528,S528)</f>
        <v/>
      </c>
      <c r="U528" s="7" t="n">
        <v>0</v>
      </c>
      <c r="V528" s="6">
        <f>$T528*U528</f>
        <v/>
      </c>
      <c r="W528" s="7" t="n">
        <v>0.5</v>
      </c>
      <c r="X528" s="6">
        <f>$T528*W528</f>
        <v/>
      </c>
      <c r="Y528" s="7" t="n">
        <v>0</v>
      </c>
      <c r="Z528" s="6">
        <f>$T528*Y528</f>
        <v/>
      </c>
      <c r="AA528" s="7" t="n">
        <v>0</v>
      </c>
      <c r="AB528" s="6">
        <f>$T528*AA528</f>
        <v/>
      </c>
      <c r="AC528" s="7" t="n">
        <v>0</v>
      </c>
      <c r="AD528" s="6">
        <f>$T528*AC528</f>
        <v/>
      </c>
      <c r="AE528" s="7" t="n">
        <v>0</v>
      </c>
      <c r="AF528" s="6">
        <f>$T528*AE528</f>
        <v/>
      </c>
      <c r="AG528" s="7" t="n">
        <v>0</v>
      </c>
      <c r="AH528" s="6">
        <f>$T528*AG528</f>
        <v/>
      </c>
      <c r="AI528" s="7">
        <f>U528+W528+Y528+AA528+AC528+AE528+AG528</f>
        <v/>
      </c>
      <c r="AJ528" s="6">
        <f>V528+X528+Z528+AB528+AD528+AF528+AH528</f>
        <v/>
      </c>
    </row>
    <row r="529" hidden="1" ht="60" customHeight="1" s="46">
      <c r="A529" s="3" t="inlineStr">
        <is>
          <t>LOM252.OC.EEA.PA02.L7430.ZA001.0020</t>
        </is>
      </c>
      <c r="B529" s="4" t="inlineStr">
        <is>
          <t>3/4</t>
        </is>
      </c>
      <c r="C529" s="3" t="inlineStr">
        <is>
          <t>IMPIANTO ELETTRICO</t>
        </is>
      </c>
      <c r="D529" s="4" t="inlineStr">
        <is>
          <t>SPECIALE</t>
        </is>
      </c>
      <c r="E529" s="4" t="inlineStr">
        <is>
          <t>ELETTRICHE SPECIALI</t>
        </is>
      </c>
      <c r="F529" s="3" t="inlineStr">
        <is>
          <t>3_CME IE RADIOFARMACIA PAVIA - REV02 VARIANTE ESECUTIVA.PDF</t>
        </is>
      </c>
      <c r="G529" s="4" t="inlineStr">
        <is>
          <t>33/33</t>
        </is>
      </c>
      <c r="H529" s="3" t="inlineStr">
        <is>
          <t>40 - IMPIANTISTICO</t>
        </is>
      </c>
      <c r="I529" s="3" t="inlineStr">
        <is>
          <t>ESTERNO</t>
        </is>
      </c>
      <c r="J529" s="3" t="inlineStr">
        <is>
          <t>IMPIANTO DI RIVELAZIONE FUMI</t>
        </is>
      </c>
      <c r="K529" s="3" t="inlineStr">
        <is>
          <t xml:space="preserve">OPERA: CAVO; GEOMETRIA: TWISTATO | SCHERMATO | ROSSO; SEZIONE NOMINALE [MM²] = 2X1,5. </t>
        </is>
      </c>
      <c r="L529" s="3" t="inlineStr">
        <is>
          <t>OPERA: CAVO; GEOMETRIA: TWISTATO | SCHERMATO | ROSSO; SEZIONE NOMINALE [MM²] = 2X1,5. 
LAVORO: POSA. OP CAVO; GEOMETRIA: TWISTATO | SCHERMATO | ROSSO; SEZIONE NOMINALE [MM²] = 2X1,5. 
RM CAVO; GEOMETRIA: TWISTATO | SCHERMATO | ROSSO; FORNITURA: IN OPERA; SEZIONE NOMINALE [MM²] = 2X1,5 
SPECIFICHE TECNICHE: CAVO ANTINCENDIO DI GRADO 3 
LV POSA.
[DIMENSIONI: 100,00]</t>
        </is>
      </c>
      <c r="M529" s="4" t="inlineStr">
        <is>
          <t>M</t>
        </is>
      </c>
      <c r="N529" s="5" t="n">
        <v>100</v>
      </c>
      <c r="O529" s="45" t="n">
        <v>3.5</v>
      </c>
      <c r="P529" s="45" t="n">
        <v>350</v>
      </c>
      <c r="Q529" s="5" t="n"/>
      <c r="R529" s="6" t="n"/>
      <c r="S529" s="6">
        <f>IF(AND(Q529&lt;&gt;"",R529&lt;&gt;""),Q529*R529,"")</f>
        <v/>
      </c>
      <c r="T529" s="45">
        <f>IF(S529="",P529,S529)</f>
        <v/>
      </c>
      <c r="U529" s="7" t="n">
        <v>0</v>
      </c>
      <c r="V529" s="6">
        <f>$T529*U529</f>
        <v/>
      </c>
      <c r="W529" s="7" t="n">
        <v>0</v>
      </c>
      <c r="X529" s="6">
        <f>$T529*W529</f>
        <v/>
      </c>
      <c r="Y529" s="7" t="n">
        <v>0</v>
      </c>
      <c r="Z529" s="6">
        <f>$T529*Y529</f>
        <v/>
      </c>
      <c r="AA529" s="7" t="n">
        <v>0</v>
      </c>
      <c r="AB529" s="6">
        <f>$T529*AA529</f>
        <v/>
      </c>
      <c r="AC529" s="7" t="n">
        <v>0</v>
      </c>
      <c r="AD529" s="6">
        <f>$T529*AC529</f>
        <v/>
      </c>
      <c r="AE529" s="7" t="n">
        <v>0</v>
      </c>
      <c r="AF529" s="6">
        <f>$T529*AE529</f>
        <v/>
      </c>
      <c r="AG529" s="7" t="n">
        <v>0</v>
      </c>
      <c r="AH529" s="6">
        <f>$T529*AG529</f>
        <v/>
      </c>
      <c r="AI529" s="7">
        <f>U529+W529+Y529+AA529+AC529+AE529+AG529</f>
        <v/>
      </c>
      <c r="AJ529" s="6">
        <f>V529+X529+Z529+AB529+AD529+AF529+AH529</f>
        <v/>
      </c>
    </row>
    <row r="530" ht="60" customHeight="1" s="46">
      <c r="A530" s="3" t="inlineStr">
        <is>
          <t>IE_NP_QCT</t>
        </is>
      </c>
      <c r="B530" s="4" t="inlineStr">
        <is>
          <t>1/1</t>
        </is>
      </c>
      <c r="C530" s="3" t="inlineStr">
        <is>
          <t>IMPIANTO ELETTRICO</t>
        </is>
      </c>
      <c r="D530" s="4" t="inlineStr">
        <is>
          <t>SPECIALE</t>
        </is>
      </c>
      <c r="E530" s="4" t="inlineStr">
        <is>
          <t>ELETTRICHE SPECIALI</t>
        </is>
      </c>
      <c r="F530" s="3" t="inlineStr">
        <is>
          <t>3_CME IE RADIOFARMACIA PAVIA - REV02 VARIANTE ESECUTIVA.PDF</t>
        </is>
      </c>
      <c r="G530" s="4" t="inlineStr">
        <is>
          <t>34/34</t>
        </is>
      </c>
      <c r="H530" s="3" t="inlineStr">
        <is>
          <t>40 - IMPIANTISTICO</t>
        </is>
      </c>
      <c r="I530" s="3" t="inlineStr">
        <is>
          <t>RADIOFARMACIA</t>
        </is>
      </c>
      <c r="J530" s="3" t="inlineStr">
        <is>
          <t>QUADRI ELETTRICI BT E UPS</t>
        </is>
      </c>
      <c r="K530" s="3" t="inlineStr">
        <is>
          <t>FORNITURA E POSA IN OPERA DI QUADRO ELETTRICO CENTRALE TERMICA QCT COSTITUITO DA ARMADIO METALLICO DA PAVIMENTO, CON GRADO DI PROTEZIONE IP42 (SECONDO IEC 60529), COLORE RAL 7035,  STRUTTURA MONOBLOCC</t>
        </is>
      </c>
      <c r="L530" s="3" t="inlineStr">
        <is>
          <t>FORNITURA E POSA IN OPERA DI QUADRO ELETTRICO CENTRALE TERMICA QCT COSTITUITO DA ARMADIO METALLICO DA 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530" s="4" t="inlineStr">
        <is>
          <t>A CORPO</t>
        </is>
      </c>
      <c r="N530" s="5" t="n">
        <v>1</v>
      </c>
      <c r="O530" s="45" t="n">
        <v>13257.93</v>
      </c>
      <c r="P530" s="45" t="n">
        <v>13257.93</v>
      </c>
      <c r="Q530" s="5" t="n"/>
      <c r="R530" s="6" t="n"/>
      <c r="S530" s="6">
        <f>IF(AND(Q530&lt;&gt;"",R530&lt;&gt;""),Q530*R530,"")</f>
        <v/>
      </c>
      <c r="T530" s="45">
        <f>IF(S530="",P530,S530)</f>
        <v/>
      </c>
      <c r="U530" s="7" t="n">
        <v>0.5</v>
      </c>
      <c r="V530" s="6">
        <f>$T530*U530</f>
        <v/>
      </c>
      <c r="W530" s="7" t="n">
        <v>0.1</v>
      </c>
      <c r="X530" s="6">
        <f>$T530*W530</f>
        <v/>
      </c>
      <c r="Y530" s="7" t="n">
        <v>0</v>
      </c>
      <c r="Z530" s="6">
        <f>$T530*Y530</f>
        <v/>
      </c>
      <c r="AA530" s="7" t="n">
        <v>0</v>
      </c>
      <c r="AB530" s="6">
        <f>$T530*AA530</f>
        <v/>
      </c>
      <c r="AC530" s="7" t="n">
        <v>0</v>
      </c>
      <c r="AD530" s="6">
        <f>$T530*AC530</f>
        <v/>
      </c>
      <c r="AE530" s="7" t="n">
        <v>0</v>
      </c>
      <c r="AF530" s="6">
        <f>$T530*AE530</f>
        <v/>
      </c>
      <c r="AG530" s="7" t="n">
        <v>0</v>
      </c>
      <c r="AH530" s="6">
        <f>$T530*AG530</f>
        <v/>
      </c>
      <c r="AI530" s="7">
        <f>U530+W530+Y530+AA530+AC530+AE530+AG530</f>
        <v/>
      </c>
      <c r="AJ530" s="6">
        <f>V530+X530+Z530+AB530+AD530+AF530+AH530</f>
        <v/>
      </c>
    </row>
    <row r="531" ht="60" customHeight="1" s="46">
      <c r="A531" s="3" t="inlineStr">
        <is>
          <t>IE_NP_QCLT</t>
        </is>
      </c>
      <c r="B531" s="4" t="inlineStr">
        <is>
          <t>1/1</t>
        </is>
      </c>
      <c r="C531" s="3" t="inlineStr">
        <is>
          <t>IMPIANTO ELETTRICO</t>
        </is>
      </c>
      <c r="D531" s="4" t="inlineStr">
        <is>
          <t>SPECIALE</t>
        </is>
      </c>
      <c r="E531" s="4" t="inlineStr">
        <is>
          <t>ELETTRICHE SPECIALI</t>
        </is>
      </c>
      <c r="F531" s="3" t="inlineStr">
        <is>
          <t>3_CME IE RADIOFARMACIA PAVIA - REV02 VARIANTE ESECUTIVA.PDF</t>
        </is>
      </c>
      <c r="G531" s="4" t="inlineStr">
        <is>
          <t>35/35</t>
        </is>
      </c>
      <c r="H531" s="3" t="inlineStr">
        <is>
          <t>40 - IMPIANTISTICO</t>
        </is>
      </c>
      <c r="I531" s="3" t="inlineStr">
        <is>
          <t>RADIOFARMACIA</t>
        </is>
      </c>
      <c r="J531" s="3" t="inlineStr">
        <is>
          <t>QUADRI ELETTRICI BT E UPS</t>
        </is>
      </c>
      <c r="K531" s="3" t="inlineStr">
        <is>
          <t>FORNITURA E POSA IN OPERA DI QUADRO ELETTRICO CICLOTRONE QCLT COSTITUITO DA ARMADIO METALLICO DA PAVIMENTO, CON GRADO DI PROTEZIONE IP42 (SECONDO IEC 60529), COLORE RAL 7035,  STRUTTURA MONOBLOCCO AUT</t>
        </is>
      </c>
      <c r="L531" s="3" t="inlineStr">
        <is>
          <t>FORNITURA E POSA IN OPERA DI QUADRO ELETTRICO CICLOTRONE QCLT COSTITUITO DA ARMADIO METALLICO DA 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531" s="4" t="inlineStr">
        <is>
          <t>A CORPO</t>
        </is>
      </c>
      <c r="N531" s="5" t="n">
        <v>1</v>
      </c>
      <c r="O531" s="45" t="n">
        <v>10815.06</v>
      </c>
      <c r="P531" s="45" t="n">
        <v>10815.06</v>
      </c>
      <c r="Q531" s="5" t="n"/>
      <c r="R531" s="6" t="n"/>
      <c r="S531" s="6">
        <f>IF(AND(Q531&lt;&gt;"",R531&lt;&gt;""),Q531*R531,"")</f>
        <v/>
      </c>
      <c r="T531" s="45">
        <f>IF(S531="",P531,S531)</f>
        <v/>
      </c>
      <c r="U531" s="7" t="n">
        <v>0.5</v>
      </c>
      <c r="V531" s="6">
        <f>$T531*U531</f>
        <v/>
      </c>
      <c r="W531" s="7" t="n">
        <v>0.1</v>
      </c>
      <c r="X531" s="6">
        <f>$T531*W531</f>
        <v/>
      </c>
      <c r="Y531" s="7" t="n">
        <v>0</v>
      </c>
      <c r="Z531" s="6">
        <f>$T531*Y531</f>
        <v/>
      </c>
      <c r="AA531" s="7" t="n">
        <v>0</v>
      </c>
      <c r="AB531" s="6">
        <f>$T531*AA531</f>
        <v/>
      </c>
      <c r="AC531" s="7" t="n">
        <v>0</v>
      </c>
      <c r="AD531" s="6">
        <f>$T531*AC531</f>
        <v/>
      </c>
      <c r="AE531" s="7" t="n">
        <v>0</v>
      </c>
      <c r="AF531" s="6">
        <f>$T531*AE531</f>
        <v/>
      </c>
      <c r="AG531" s="7" t="n">
        <v>0</v>
      </c>
      <c r="AH531" s="6">
        <f>$T531*AG531</f>
        <v/>
      </c>
      <c r="AI531" s="7">
        <f>U531+W531+Y531+AA531+AC531+AE531+AG531</f>
        <v/>
      </c>
      <c r="AJ531" s="6">
        <f>V531+X531+Z531+AB531+AD531+AF531+AH531</f>
        <v/>
      </c>
    </row>
    <row r="532" ht="60" customHeight="1" s="46">
      <c r="A532" s="3" t="inlineStr">
        <is>
          <t>IE_NP_QCQC</t>
        </is>
      </c>
      <c r="B532" s="4" t="inlineStr">
        <is>
          <t>1/1</t>
        </is>
      </c>
      <c r="C532" s="3" t="inlineStr">
        <is>
          <t>IMPIANTO ELETTRICO</t>
        </is>
      </c>
      <c r="D532" s="4" t="inlineStr">
        <is>
          <t>SPECIALE</t>
        </is>
      </c>
      <c r="E532" s="4" t="inlineStr">
        <is>
          <t>ELETTRICHE SPECIALI</t>
        </is>
      </c>
      <c r="F532" s="3" t="inlineStr">
        <is>
          <t>3_CME IE RADIOFARMACIA PAVIA - REV02 VARIANTE ESECUTIVA.PDF</t>
        </is>
      </c>
      <c r="G532" s="4" t="inlineStr">
        <is>
          <t>36/36</t>
        </is>
      </c>
      <c r="H532" s="3" t="inlineStr">
        <is>
          <t>40 - IMPIANTISTICO</t>
        </is>
      </c>
      <c r="I532" s="3" t="inlineStr">
        <is>
          <t>RADIOFARMACIA</t>
        </is>
      </c>
      <c r="J532" s="3" t="inlineStr">
        <is>
          <t>QUADRI ELETTRICI BT E UPS</t>
        </is>
      </c>
      <c r="K532" s="3" t="inlineStr">
        <is>
          <t>FORNITURA E POSA IN OPERA DI QUADRO ELETTRICO ZONA CONTROLLO QUALITÀ E CONFEZIONAMENTO DEPOSITO E FILTRI QCQC COSTITUITO DA ARMADIO METALLICO DA PARETE/PAVIMENTO, CON GRADO DI PROTEZIONE IP42 (SECONDO</t>
        </is>
      </c>
      <c r="L532" s="3" t="inlineStr">
        <is>
          <t>FORNITURA E POSA IN OPERA DI QUADRO ELETTRICO ZONA CONTROLLO QUALITÀ E CONFEZIONAMENTO DEPOSITO E FILTRI QCQC COSTITUITO DA ARMADIO METALLICO DA PARETE/PAVIMENTO,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532" s="4" t="inlineStr">
        <is>
          <t>A CORPO</t>
        </is>
      </c>
      <c r="N532" s="5" t="n">
        <v>1</v>
      </c>
      <c r="O532" s="45" t="n">
        <v>7435.35</v>
      </c>
      <c r="P532" s="45" t="n">
        <v>7435.35</v>
      </c>
      <c r="Q532" s="5" t="n"/>
      <c r="R532" s="6" t="n"/>
      <c r="S532" s="6">
        <f>IF(AND(Q532&lt;&gt;"",R532&lt;&gt;""),Q532*R532,"")</f>
        <v/>
      </c>
      <c r="T532" s="45">
        <f>IF(S532="",P532,S532)</f>
        <v/>
      </c>
      <c r="U532" s="7" t="n">
        <v>0.5</v>
      </c>
      <c r="V532" s="6">
        <f>$T532*U532</f>
        <v/>
      </c>
      <c r="W532" s="7" t="n">
        <v>0.1</v>
      </c>
      <c r="X532" s="6">
        <f>$T532*W532</f>
        <v/>
      </c>
      <c r="Y532" s="7" t="n">
        <v>0</v>
      </c>
      <c r="Z532" s="6">
        <f>$T532*Y532</f>
        <v/>
      </c>
      <c r="AA532" s="7" t="n">
        <v>0</v>
      </c>
      <c r="AB532" s="6">
        <f>$T532*AA532</f>
        <v/>
      </c>
      <c r="AC532" s="7" t="n">
        <v>0</v>
      </c>
      <c r="AD532" s="6">
        <f>$T532*AC532</f>
        <v/>
      </c>
      <c r="AE532" s="7" t="n">
        <v>0</v>
      </c>
      <c r="AF532" s="6">
        <f>$T532*AE532</f>
        <v/>
      </c>
      <c r="AG532" s="7" t="n">
        <v>0</v>
      </c>
      <c r="AH532" s="6">
        <f>$T532*AG532</f>
        <v/>
      </c>
      <c r="AI532" s="7">
        <f>U532+W532+Y532+AA532+AC532+AE532+AG532</f>
        <v/>
      </c>
      <c r="AJ532" s="6">
        <f>V532+X532+Z532+AB532+AD532+AF532+AH532</f>
        <v/>
      </c>
    </row>
    <row r="533" ht="60" customHeight="1" s="46">
      <c r="A533" s="3" t="inlineStr">
        <is>
          <t>IE_NP_QDEF</t>
        </is>
      </c>
      <c r="B533" s="4" t="inlineStr">
        <is>
          <t>1/1</t>
        </is>
      </c>
      <c r="C533" s="3" t="inlineStr">
        <is>
          <t>IMPIANTO ELETTRICO</t>
        </is>
      </c>
      <c r="D533" s="4" t="inlineStr">
        <is>
          <t>SPECIALE</t>
        </is>
      </c>
      <c r="E533" s="4" t="inlineStr">
        <is>
          <t>ELETTRICHE SPECIALI</t>
        </is>
      </c>
      <c r="F533" s="3" t="inlineStr">
        <is>
          <t>3_CME IE RADIOFARMACIA PAVIA - REV02 VARIANTE ESECUTIVA.PDF</t>
        </is>
      </c>
      <c r="G533" s="4" t="inlineStr">
        <is>
          <t>37/37</t>
        </is>
      </c>
      <c r="H533" s="3" t="inlineStr">
        <is>
          <t>40 - IMPIANTISTICO</t>
        </is>
      </c>
      <c r="I533" s="3" t="inlineStr">
        <is>
          <t>RADIOFARMACIA</t>
        </is>
      </c>
      <c r="J533" s="3" t="inlineStr">
        <is>
          <t>QUADRI ELETTRICI BT E UPS</t>
        </is>
      </c>
      <c r="K533" s="3" t="inlineStr">
        <is>
          <t>FORNITURA E POSA IN OPERA DI QUADRO ELETTRICO ZONA DEPOSITO E FILTRI QDEF COSTITUITO DA ARMADIO METALLICO DA PARETE/PAVIMENTO, CON GRADO DI PROTEZIONE IP42 (SECONDO IEC 60529), COLORE RAL 7035,  STRUT</t>
        </is>
      </c>
      <c r="L533" s="3" t="inlineStr">
        <is>
          <t>FORNITURA E POSA IN OPERA DI QUADRO ELETTRICO ZONA DEPOSITO E FILTRI QDEF COSTITUITO DA ARMADIO METALLICO DA PARETE/PAVIMENTO,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533" s="4" t="inlineStr">
        <is>
          <t>A CORPO</t>
        </is>
      </c>
      <c r="N533" s="5" t="n">
        <v>1</v>
      </c>
      <c r="O533" s="45" t="n">
        <v>6889.86</v>
      </c>
      <c r="P533" s="45" t="n">
        <v>6889.86</v>
      </c>
      <c r="Q533" s="5" t="n"/>
      <c r="R533" s="6" t="n"/>
      <c r="S533" s="6">
        <f>IF(AND(Q533&lt;&gt;"",R533&lt;&gt;""),Q533*R533,"")</f>
        <v/>
      </c>
      <c r="T533" s="45">
        <f>IF(S533="",P533,S533)</f>
        <v/>
      </c>
      <c r="U533" s="7" t="n">
        <v>0.5</v>
      </c>
      <c r="V533" s="6">
        <f>$T533*U533</f>
        <v/>
      </c>
      <c r="W533" s="7" t="n">
        <v>0.1</v>
      </c>
      <c r="X533" s="6">
        <f>$T533*W533</f>
        <v/>
      </c>
      <c r="Y533" s="7" t="n">
        <v>0</v>
      </c>
      <c r="Z533" s="6">
        <f>$T533*Y533</f>
        <v/>
      </c>
      <c r="AA533" s="7" t="n">
        <v>0</v>
      </c>
      <c r="AB533" s="6">
        <f>$T533*AA533</f>
        <v/>
      </c>
      <c r="AC533" s="7" t="n">
        <v>0</v>
      </c>
      <c r="AD533" s="6">
        <f>$T533*AC533</f>
        <v/>
      </c>
      <c r="AE533" s="7" t="n">
        <v>0</v>
      </c>
      <c r="AF533" s="6">
        <f>$T533*AE533</f>
        <v/>
      </c>
      <c r="AG533" s="7" t="n">
        <v>0</v>
      </c>
      <c r="AH533" s="6">
        <f>$T533*AG533</f>
        <v/>
      </c>
      <c r="AI533" s="7">
        <f>U533+W533+Y533+AA533+AC533+AE533+AG533</f>
        <v/>
      </c>
      <c r="AJ533" s="6">
        <f>V533+X533+Z533+AB533+AD533+AF533+AH533</f>
        <v/>
      </c>
    </row>
    <row r="534" ht="60" customHeight="1" s="46">
      <c r="A534" s="3" t="inlineStr">
        <is>
          <t>IE_NP_QPROD</t>
        </is>
      </c>
      <c r="B534" s="4" t="inlineStr">
        <is>
          <t>1/1</t>
        </is>
      </c>
      <c r="C534" s="3" t="inlineStr">
        <is>
          <t>IMPIANTO ELETTRICO</t>
        </is>
      </c>
      <c r="D534" s="4" t="inlineStr">
        <is>
          <t>SPECIALE</t>
        </is>
      </c>
      <c r="E534" s="4" t="inlineStr">
        <is>
          <t>ELETTRICHE SPECIALI</t>
        </is>
      </c>
      <c r="F534" s="3" t="inlineStr">
        <is>
          <t>3_CME IE RADIOFARMACIA PAVIA - REV02 VARIANTE ESECUTIVA.PDF</t>
        </is>
      </c>
      <c r="G534" s="4" t="inlineStr">
        <is>
          <t>38/38</t>
        </is>
      </c>
      <c r="H534" s="3" t="inlineStr">
        <is>
          <t>40 - IMPIANTISTICO</t>
        </is>
      </c>
      <c r="I534" s="3" t="inlineStr">
        <is>
          <t>RADIOFARMACIA</t>
        </is>
      </c>
      <c r="J534" s="3" t="inlineStr">
        <is>
          <t>QUADRI ELETTRICI BT E UPS</t>
        </is>
      </c>
      <c r="K534" s="3" t="inlineStr">
        <is>
          <t>FORNITURA E POSA IN OPERA DI QUADRO ELETTRICO ZONA PRODUZIONE QZP COSTITUITO DA ARMADIO METALLICO DA PARETE/PAVIMENTO, CON GRADO DI PROTEZIONE IP42 (SECONDO IEC 60529), COLORE RAL 7035,  STRUTTURA MON</t>
        </is>
      </c>
      <c r="L534" s="3" t="inlineStr">
        <is>
          <t>FORNITURA E POSA IN OPERA DI QUADRO ELETTRICO ZONA PRODUZIONE QZP COSTITUITO DA ARMADIO METALLICO DA PARETE/PAVIMENTO,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534" s="4" t="inlineStr">
        <is>
          <t>A CORPO</t>
        </is>
      </c>
      <c r="N534" s="5" t="n">
        <v>1</v>
      </c>
      <c r="O534" s="45" t="n">
        <v>10637.18</v>
      </c>
      <c r="P534" s="45" t="n">
        <v>10637.18</v>
      </c>
      <c r="Q534" s="5" t="n"/>
      <c r="R534" s="6" t="n"/>
      <c r="S534" s="6">
        <f>IF(AND(Q534&lt;&gt;"",R534&lt;&gt;""),Q534*R534,"")</f>
        <v/>
      </c>
      <c r="T534" s="45">
        <f>IF(S534="",P534,S534)</f>
        <v/>
      </c>
      <c r="U534" s="7" t="n">
        <v>0.5</v>
      </c>
      <c r="V534" s="6">
        <f>$T534*U534</f>
        <v/>
      </c>
      <c r="W534" s="7" t="n">
        <v>0.1</v>
      </c>
      <c r="X534" s="6">
        <f>$T534*W534</f>
        <v/>
      </c>
      <c r="Y534" s="7" t="n">
        <v>0</v>
      </c>
      <c r="Z534" s="6">
        <f>$T534*Y534</f>
        <v/>
      </c>
      <c r="AA534" s="7" t="n">
        <v>0</v>
      </c>
      <c r="AB534" s="6">
        <f>$T534*AA534</f>
        <v/>
      </c>
      <c r="AC534" s="7" t="n">
        <v>0</v>
      </c>
      <c r="AD534" s="6">
        <f>$T534*AC534</f>
        <v/>
      </c>
      <c r="AE534" s="7" t="n">
        <v>0</v>
      </c>
      <c r="AF534" s="6">
        <f>$T534*AE534</f>
        <v/>
      </c>
      <c r="AG534" s="7" t="n">
        <v>0</v>
      </c>
      <c r="AH534" s="6">
        <f>$T534*AG534</f>
        <v/>
      </c>
      <c r="AI534" s="7">
        <f>U534+W534+Y534+AA534+AC534+AE534+AG534</f>
        <v/>
      </c>
      <c r="AJ534" s="6">
        <f>V534+X534+Z534+AB534+AD534+AF534+AH534</f>
        <v/>
      </c>
    </row>
    <row r="535" hidden="1" ht="60" customHeight="1" s="46">
      <c r="A535" s="3" t="inlineStr">
        <is>
          <t>DEIELE251_075016D</t>
        </is>
      </c>
      <c r="B535" s="4" t="inlineStr">
        <is>
          <t>5/5</t>
        </is>
      </c>
      <c r="C535" s="3" t="inlineStr">
        <is>
          <t>IMPIANTO ELETTRICO</t>
        </is>
      </c>
      <c r="D535" s="4" t="inlineStr">
        <is>
          <t>SPECIALE</t>
        </is>
      </c>
      <c r="E535" s="4" t="inlineStr">
        <is>
          <t>ELETTRICHE SPECIALI</t>
        </is>
      </c>
      <c r="F535" s="3" t="inlineStr">
        <is>
          <t>3_CME IE RADIOFARMACIA PAVIA - REV02 VARIANTE ESECUTIVA.PDF</t>
        </is>
      </c>
      <c r="G535" s="4" t="inlineStr">
        <is>
          <t>39/39</t>
        </is>
      </c>
      <c r="H535" s="3" t="inlineStr">
        <is>
          <t>40 - IMPIANTISTICO</t>
        </is>
      </c>
      <c r="I535" s="3" t="inlineStr">
        <is>
          <t>RADIOFARMACIA</t>
        </is>
      </c>
      <c r="J535" s="3" t="inlineStr">
        <is>
          <t>IMPIANTO DI MESSA A TERRA</t>
        </is>
      </c>
      <c r="K535" s="3" t="inlineStr">
        <is>
          <t>BARRA EQUIPOTENZIALE INDUSTRIALE NUDA, CON VITERIA IN ACCIAIO INOSSIDABILE PER SERRAGGIO CAPICORDA, INSTALLATA A MURO COMPLETA DI ISOLATORI IN DUROPLASTICO ED ACCESSORI DI FISSAGGIO: IN ACCIAIO INOSSI</t>
        </is>
      </c>
      <c r="L535" s="3" t="inlineStr">
        <is>
          <t>BARRA EQUIPOTENZIALE INDUSTRIALE NUDA, CON VITERIA IN ACCIAIO INOSSIDABILE PER SERRAGGIO CAPICORDA, INSTALLATA A MURO COMPLETA DI ISOLATORI IN DUROPLASTICO ED ACCESSORI DI FISSAGGIO: IN ACCIAIO INOSSIDABILE, DIMENSIONI: 500 X 40 X 5 MM, PER 12 COLLEGAMENTI</t>
        </is>
      </c>
      <c r="M535" s="4" t="inlineStr">
        <is>
          <t>CAD</t>
        </is>
      </c>
      <c r="N535" s="5" t="n">
        <v>5</v>
      </c>
      <c r="O535" s="45" t="n">
        <v>142.3</v>
      </c>
      <c r="P535" s="45" t="n">
        <v>711.5</v>
      </c>
      <c r="Q535" s="5" t="n"/>
      <c r="R535" s="6" t="n"/>
      <c r="S535" s="6">
        <f>IF(AND(Q535&lt;&gt;"",R535&lt;&gt;""),Q535*R535,"")</f>
        <v/>
      </c>
      <c r="T535" s="45">
        <f>IF(S535="",P535,S535)</f>
        <v/>
      </c>
      <c r="U535" s="7" t="n">
        <v>0</v>
      </c>
      <c r="V535" s="6">
        <f>$T535*U535</f>
        <v/>
      </c>
      <c r="W535" s="7" t="n">
        <v>0</v>
      </c>
      <c r="X535" s="6">
        <f>$T535*W535</f>
        <v/>
      </c>
      <c r="Y535" s="7" t="n">
        <v>0</v>
      </c>
      <c r="Z535" s="6">
        <f>$T535*Y535</f>
        <v/>
      </c>
      <c r="AA535" s="7" t="n">
        <v>0</v>
      </c>
      <c r="AB535" s="6">
        <f>$T535*AA535</f>
        <v/>
      </c>
      <c r="AC535" s="7" t="n">
        <v>0</v>
      </c>
      <c r="AD535" s="6">
        <f>$T535*AC535</f>
        <v/>
      </c>
      <c r="AE535" s="7" t="n">
        <v>0</v>
      </c>
      <c r="AF535" s="6">
        <f>$T535*AE535</f>
        <v/>
      </c>
      <c r="AG535" s="7" t="n">
        <v>0</v>
      </c>
      <c r="AH535" s="6">
        <f>$T535*AG535</f>
        <v/>
      </c>
      <c r="AI535" s="7">
        <f>U535+W535+Y535+AA535+AC535+AE535+AG535</f>
        <v/>
      </c>
      <c r="AJ535" s="6">
        <f>V535+X535+Z535+AB535+AD535+AF535+AH535</f>
        <v/>
      </c>
    </row>
    <row r="536" hidden="1" ht="60" customHeight="1" s="46">
      <c r="A536" s="3" t="inlineStr">
        <is>
          <t>LOM252.OC.EEA.PA02.G7424.SC009.1275</t>
        </is>
      </c>
      <c r="B536" s="4" t="inlineStr">
        <is>
          <t>2/2</t>
        </is>
      </c>
      <c r="C536" s="3" t="inlineStr">
        <is>
          <t>IMPIANTO ELETTRICO</t>
        </is>
      </c>
      <c r="D536" s="4" t="inlineStr">
        <is>
          <t>SPECIALE</t>
        </is>
      </c>
      <c r="E536" s="4" t="inlineStr">
        <is>
          <t>ELETTRICHE SPECIALI</t>
        </is>
      </c>
      <c r="F536" s="3" t="inlineStr">
        <is>
          <t>3_CME IE RADIOFARMACIA PAVIA - REV02 VARIANTE ESECUTIVA.PDF</t>
        </is>
      </c>
      <c r="G536" s="4" t="inlineStr">
        <is>
          <t>40/40</t>
        </is>
      </c>
      <c r="H536" s="3" t="inlineStr">
        <is>
          <t>40 - IMPIANTISTICO</t>
        </is>
      </c>
      <c r="I536" s="3" t="inlineStr">
        <is>
          <t>RADIOFARMACIA</t>
        </is>
      </c>
      <c r="J536" s="3" t="inlineStr">
        <is>
          <t>IMPIANTO DI MESSA A TERRA</t>
        </is>
      </c>
      <c r="K536" s="3" t="inlineStr">
        <is>
          <t xml:space="preserve">OPERA: CAVO, FG17 DI LEGA RAME RICOTTO; GEOMETRIA: FLESSIBILE; SEZIONE NOMINALE [MM²] = 16; TENSIONE NOMINALE [KV] = 450/750; N° POLI [-] = 1P. </t>
        </is>
      </c>
      <c r="L536" s="3" t="inlineStr">
        <is>
          <t>OPERA: CAVO, FG17 DI LEGA RAME RICOTTO; GEOMETRIA: FLESSIBILE; SEZIONE NOMINALE [MM²] = 16; TENSIONE NOMINALE [KV] = 450/750; N° POLI [-] = 1P. 
LAVORO: POSA. OP CAVO, FG17 DI LEGA RAME RICOTTO; GEOMETRIA: FLESSIBILE; SEZIONE NOMINALE [MM²] = 16; TENSIONE NOMINALE UO/U [KV] = 450/750; N° POLI [-] = 1P. 
RM CAVO FG17 DI LEGA RAME RICOTTO; GEOMETRIA: FLESSIBILE; SEZIONE NOMINALE [MM²] = 16; TENSIONE NOMINALE UO/U [KV] = 450/750; N° POLI [-] = 1P. COMPONENTE: ISOLANTE,  
LV POSA.
[DIMENSIONI: 1,00 40,00]</t>
        </is>
      </c>
      <c r="M536" s="4" t="inlineStr">
        <is>
          <t>M</t>
        </is>
      </c>
      <c r="N536" s="5" t="n">
        <v>40</v>
      </c>
      <c r="O536" s="45" t="n">
        <v>5.84</v>
      </c>
      <c r="P536" s="45" t="n">
        <v>233.6</v>
      </c>
      <c r="Q536" s="5" t="n"/>
      <c r="R536" s="6" t="n"/>
      <c r="S536" s="6">
        <f>IF(AND(Q536&lt;&gt;"",R536&lt;&gt;""),Q536*R536,"")</f>
        <v/>
      </c>
      <c r="T536" s="45">
        <f>IF(S536="",P536,S536)</f>
        <v/>
      </c>
      <c r="U536" s="7" t="n">
        <v>0</v>
      </c>
      <c r="V536" s="6">
        <f>$T536*U536</f>
        <v/>
      </c>
      <c r="W536" s="7" t="n">
        <v>0</v>
      </c>
      <c r="X536" s="6">
        <f>$T536*W536</f>
        <v/>
      </c>
      <c r="Y536" s="7" t="n">
        <v>0</v>
      </c>
      <c r="Z536" s="6">
        <f>$T536*Y536</f>
        <v/>
      </c>
      <c r="AA536" s="7" t="n">
        <v>0</v>
      </c>
      <c r="AB536" s="6">
        <f>$T536*AA536</f>
        <v/>
      </c>
      <c r="AC536" s="7" t="n">
        <v>0</v>
      </c>
      <c r="AD536" s="6">
        <f>$T536*AC536</f>
        <v/>
      </c>
      <c r="AE536" s="7" t="n">
        <v>0</v>
      </c>
      <c r="AF536" s="6">
        <f>$T536*AE536</f>
        <v/>
      </c>
      <c r="AG536" s="7" t="n">
        <v>0</v>
      </c>
      <c r="AH536" s="6">
        <f>$T536*AG536</f>
        <v/>
      </c>
      <c r="AI536" s="7">
        <f>U536+W536+Y536+AA536+AC536+AE536+AG536</f>
        <v/>
      </c>
      <c r="AJ536" s="6">
        <f>V536+X536+Z536+AB536+AD536+AF536+AH536</f>
        <v/>
      </c>
    </row>
    <row r="537" hidden="1" ht="60" customHeight="1" s="46">
      <c r="A537" s="3" t="inlineStr">
        <is>
          <t>LOM252.OC.EEA.PA02.G7424.SC009.1285</t>
        </is>
      </c>
      <c r="B537" s="4" t="inlineStr">
        <is>
          <t>2/2</t>
        </is>
      </c>
      <c r="C537" s="3" t="inlineStr">
        <is>
          <t>IMPIANTO ELETTRICO</t>
        </is>
      </c>
      <c r="D537" s="4" t="inlineStr">
        <is>
          <t>SPECIALE</t>
        </is>
      </c>
      <c r="E537" s="4" t="inlineStr">
        <is>
          <t>ELETTRICHE SPECIALI</t>
        </is>
      </c>
      <c r="F537" s="3" t="inlineStr">
        <is>
          <t>3_CME IE RADIOFARMACIA PAVIA - REV02 VARIANTE ESECUTIVA.PDF</t>
        </is>
      </c>
      <c r="G537" s="4" t="inlineStr">
        <is>
          <t>41/41</t>
        </is>
      </c>
      <c r="H537" s="3" t="inlineStr">
        <is>
          <t>40 - IMPIANTISTICO</t>
        </is>
      </c>
      <c r="I537" s="3" t="inlineStr">
        <is>
          <t>RADIOFARMACIA</t>
        </is>
      </c>
      <c r="J537" s="3" t="inlineStr">
        <is>
          <t>IMPIANTO DI MESSA A TERRA</t>
        </is>
      </c>
      <c r="K537" s="3" t="inlineStr">
        <is>
          <t xml:space="preserve">OPERA: CAVO, FG17 DI LEGA RAME RICOTTO; GEOMETRIA: FLESSIBILE; SEZIONE NOMINALE [MM²] = 35; TENSIONE NOMINALE [KV] = 450/750; N° POLI [-] = 1P. </t>
        </is>
      </c>
      <c r="L537" s="3" t="inlineStr">
        <is>
          <t>OPERA: CAVO, FG17 DI LEGA RAME RICOTTO; GEOMETRIA: FLESSIBILE; SEZIONE NOMINALE [MM²] = 35; TENSIONE NOMINALE [KV] = 450/750; N° POLI [-] = 1P. 
LAVORO: POSA. OP CAVO, FG17 DI LEGA RAME RICOTTO; GEOMETRIA: FLESSIBILE; SEZIONE NOMINALE [MM²] = 35; TENSIONE NOMINALE UO/U [KV] = 450/750; N° POLI [-] = 1P. 
RM CAVO FG17 DI LEGA RAME RICOTTO; GEOMETRIA: FLESSIBILE; SEZIONE NOMINALE [MM²] = 35; TENSIONE NOMINALE UO/U [KV] = 450/750; N° POLI [-] = 1P. COMPONENTE: ISOLANTE,  
LV POSA.
[DIMENSIONI: 1,00 50,00 | 1,00 20,00]</t>
        </is>
      </c>
      <c r="M537" s="4" t="inlineStr">
        <is>
          <t>M</t>
        </is>
      </c>
      <c r="N537" s="5" t="n">
        <v>70</v>
      </c>
      <c r="O537" s="45" t="n">
        <v>9.9</v>
      </c>
      <c r="P537" s="45" t="n">
        <v>693</v>
      </c>
      <c r="Q537" s="5" t="n"/>
      <c r="R537" s="6" t="n"/>
      <c r="S537" s="6">
        <f>IF(AND(Q537&lt;&gt;"",R537&lt;&gt;""),Q537*R537,"")</f>
        <v/>
      </c>
      <c r="T537" s="45">
        <f>IF(S537="",P537,S537)</f>
        <v/>
      </c>
      <c r="U537" s="7" t="n">
        <v>0</v>
      </c>
      <c r="V537" s="6">
        <f>$T537*U537</f>
        <v/>
      </c>
      <c r="W537" s="7" t="n">
        <v>0</v>
      </c>
      <c r="X537" s="6">
        <f>$T537*W537</f>
        <v/>
      </c>
      <c r="Y537" s="7" t="n">
        <v>0</v>
      </c>
      <c r="Z537" s="6">
        <f>$T537*Y537</f>
        <v/>
      </c>
      <c r="AA537" s="7" t="n">
        <v>0</v>
      </c>
      <c r="AB537" s="6">
        <f>$T537*AA537</f>
        <v/>
      </c>
      <c r="AC537" s="7" t="n">
        <v>0</v>
      </c>
      <c r="AD537" s="6">
        <f>$T537*AC537</f>
        <v/>
      </c>
      <c r="AE537" s="7" t="n">
        <v>0</v>
      </c>
      <c r="AF537" s="6">
        <f>$T537*AE537</f>
        <v/>
      </c>
      <c r="AG537" s="7" t="n">
        <v>0</v>
      </c>
      <c r="AH537" s="6">
        <f>$T537*AG537</f>
        <v/>
      </c>
      <c r="AI537" s="7">
        <f>U537+W537+Y537+AA537+AC537+AE537+AG537</f>
        <v/>
      </c>
      <c r="AJ537" s="6">
        <f>V537+X537+Z537+AB537+AD537+AF537+AH537</f>
        <v/>
      </c>
    </row>
    <row r="538" hidden="1" ht="60" customHeight="1" s="46">
      <c r="A538" s="3" t="inlineStr">
        <is>
          <t>LOM252.OC.EEA.PA02.G7424.SC009.0605</t>
        </is>
      </c>
      <c r="B538" s="4" t="inlineStr">
        <is>
          <t>1/1</t>
        </is>
      </c>
      <c r="C538" s="3" t="inlineStr">
        <is>
          <t>IMPIANTO ELETTRICO</t>
        </is>
      </c>
      <c r="D538" s="4" t="inlineStr">
        <is>
          <t>SPECIALE</t>
        </is>
      </c>
      <c r="E538" s="4" t="inlineStr">
        <is>
          <t>ELETTRICHE SPECIALI</t>
        </is>
      </c>
      <c r="F538" s="3" t="inlineStr">
        <is>
          <t>3_CME IE RADIOFARMACIA PAVIA - REV02 VARIANTE ESECUTIVA.PDF</t>
        </is>
      </c>
      <c r="G538" s="4" t="inlineStr">
        <is>
          <t>42/42</t>
        </is>
      </c>
      <c r="H538" s="3" t="inlineStr">
        <is>
          <t>40 - IMPIANTISTICO</t>
        </is>
      </c>
      <c r="I538" s="3" t="inlineStr">
        <is>
          <t>RADIOFARMACIA</t>
        </is>
      </c>
      <c r="J538" s="3" t="inlineStr">
        <is>
          <t>DISTRIBUZIONE SECONDARIA</t>
        </is>
      </c>
      <c r="K538" s="3" t="inlineStr">
        <is>
          <t xml:space="preserve">OPERA: CAVO, FG16OM16 DI LEGA RAME RICOTTO; GEOMETRIA: FLESSIBILE; SEZIONE NOMINALE [MM²] = 3X1,5; TENSIONE NOMINALE [KV] = 0,6/1; N° POLI [-] = 3P. </t>
        </is>
      </c>
      <c r="L538" s="3" t="inlineStr">
        <is>
          <t>OPERA: CAVO, FG16OM16 DI LEGA RAME RICOTTO; GEOMETRIA: FLESSIBILE; SEZIONE NOMINALE [MM²] = 3X1,5; TENSIONE NOMINALE [KV] = 0,6/1; N° POLI [-] = 3P. 
LAVORO: POSA. OP CAVO, FG16OM16 DI LEGA RAME RICOTTO; GEOMETRIA: FLESSIBILE; SEZIONE NOMINALE [MM²] = 3X1,5; TENSIONE NOMINALE UO/U [KV] = 0,6/1; N° POLI [-] = 3P. 
RM CAVO FG16OM16 DI LEGA RAME RICOTTO; GEOMETRIA: FLESSIBILE; SEZIONE NOMINALE [MM²] = 3X1,5; TENSIONE NOMINALE UO/U [KV] = 0,6/1; N° POLI [-] = 3P. COMPONENTI: ISOLANTE, GUAINA TERMOPLASTICA 
LV POSA.
[DIMENSIONI: 30,00 | 90,00]</t>
        </is>
      </c>
      <c r="M538" s="4" t="inlineStr">
        <is>
          <t>M</t>
        </is>
      </c>
      <c r="N538" s="5" t="n">
        <v>120</v>
      </c>
      <c r="O538" s="45" t="n">
        <v>3.4</v>
      </c>
      <c r="P538" s="45" t="n">
        <v>408</v>
      </c>
      <c r="Q538" s="5" t="n"/>
      <c r="R538" s="6" t="n"/>
      <c r="S538" s="6">
        <f>IF(AND(Q538&lt;&gt;"",R538&lt;&gt;""),Q538*R538,"")</f>
        <v/>
      </c>
      <c r="T538" s="45">
        <f>IF(S538="",P538,S538)</f>
        <v/>
      </c>
      <c r="U538" s="7" t="n">
        <v>0</v>
      </c>
      <c r="V538" s="6">
        <f>$T538*U538</f>
        <v/>
      </c>
      <c r="W538" s="7" t="n">
        <v>0</v>
      </c>
      <c r="X538" s="6">
        <f>$T538*W538</f>
        <v/>
      </c>
      <c r="Y538" s="7" t="n">
        <v>0</v>
      </c>
      <c r="Z538" s="6">
        <f>$T538*Y538</f>
        <v/>
      </c>
      <c r="AA538" s="7" t="n">
        <v>0</v>
      </c>
      <c r="AB538" s="6">
        <f>$T538*AA538</f>
        <v/>
      </c>
      <c r="AC538" s="7" t="n">
        <v>0</v>
      </c>
      <c r="AD538" s="6">
        <f>$T538*AC538</f>
        <v/>
      </c>
      <c r="AE538" s="7" t="n">
        <v>0</v>
      </c>
      <c r="AF538" s="6">
        <f>$T538*AE538</f>
        <v/>
      </c>
      <c r="AG538" s="7" t="n">
        <v>0</v>
      </c>
      <c r="AH538" s="6">
        <f>$T538*AG538</f>
        <v/>
      </c>
      <c r="AI538" s="7">
        <f>U538+W538+Y538+AA538+AC538+AE538+AG538</f>
        <v/>
      </c>
      <c r="AJ538" s="6">
        <f>V538+X538+Z538+AB538+AD538+AF538+AH538</f>
        <v/>
      </c>
    </row>
    <row r="539" ht="60" customHeight="1" s="46">
      <c r="A539" s="3" t="inlineStr">
        <is>
          <t>LOM252.OC.EEA.PA02.G7424.SC009.0610</t>
        </is>
      </c>
      <c r="B539" s="4" t="inlineStr">
        <is>
          <t>5/5</t>
        </is>
      </c>
      <c r="C539" s="3" t="inlineStr">
        <is>
          <t>IMPIANTO ELETTRICO</t>
        </is>
      </c>
      <c r="D539" s="4" t="inlineStr">
        <is>
          <t>SPECIALE</t>
        </is>
      </c>
      <c r="E539" s="4" t="inlineStr">
        <is>
          <t>ELETTRICHE SPECIALI</t>
        </is>
      </c>
      <c r="F539" s="3" t="inlineStr">
        <is>
          <t>3_CME IE RADIOFARMACIA PAVIA - REV02 VARIANTE ESECUTIVA.PDF</t>
        </is>
      </c>
      <c r="G539" s="4" t="inlineStr">
        <is>
          <t>43/43</t>
        </is>
      </c>
      <c r="H539" s="3" t="inlineStr">
        <is>
          <t>40 - IMPIANTISTICO</t>
        </is>
      </c>
      <c r="I539" s="3" t="inlineStr">
        <is>
          <t>RADIOFARMACIA</t>
        </is>
      </c>
      <c r="J539" s="3" t="inlineStr">
        <is>
          <t>DISTRIBUZIONE SECONDARIA</t>
        </is>
      </c>
      <c r="K539" s="3" t="inlineStr">
        <is>
          <t xml:space="preserve">OPERA: CAVO, FG16OM16 DI LEGA RAME RICOTTO; GEOMETRIA: FLESSIBILE; SEZIONE NOMINALE [MM²] = 3X2,5; TENSIONE NOMINALE [KV] = 0,6/1; N° POLI [-] = 3P. </t>
        </is>
      </c>
      <c r="L539" s="3" t="inlineStr">
        <is>
          <t>OPERA: CAVO, FG16OM16 DI LEGA RAME RICOTTO; GEOMETRIA: FLESSIBILE; SEZIONE NOMINALE [MM²] = 3X2,5; TENSIONE NOMINALE [KV] = 0,6/1; N° POLI [-] = 3P. 
LAVORO: POSA. OP CAVO, FG16OM16 DI LEGA RAME RICOTTO; GEOMETRIA: FLESSIBILE; SEZIONE NOMINALE [MM²] = 3X2,5; TENSIONE NOMINALE UO/U [KV] = 0,6/1; N° POLI [-] = 3P. 
RM CAVO FG16OM16 DI LEGA RAME RICOTTO; GEOMETRIA: FLESSIBILE; SEZIONE NOMINALE [MM²] = 3X2,5; TENSIONE NOMINALE UO/U [KV] = 0,6/1; N° POLI [-] = 3P. COMPONENTI: ISOLANTE, GUAINA TERMOPLASTICA 
LV POSA.
[DIMENSIONI: 90,00 | 90,00 | -60,00 | 70,00 | 60,00 | 20,00 | 60,00]</t>
        </is>
      </c>
      <c r="M539" s="4" t="inlineStr">
        <is>
          <t>M</t>
        </is>
      </c>
      <c r="N539" s="5" t="n">
        <v>330</v>
      </c>
      <c r="O539" s="45" t="n">
        <v>4.63</v>
      </c>
      <c r="P539" s="45" t="n">
        <v>1527.9</v>
      </c>
      <c r="Q539" s="5" t="n"/>
      <c r="R539" s="6" t="n"/>
      <c r="S539" s="6">
        <f>IF(AND(Q539&lt;&gt;"",R539&lt;&gt;""),Q539*R539,"")</f>
        <v/>
      </c>
      <c r="T539" s="45">
        <f>IF(S539="",P539,S539)</f>
        <v/>
      </c>
      <c r="U539" s="7" t="n">
        <v>0</v>
      </c>
      <c r="V539" s="6">
        <f>$T539*U539</f>
        <v/>
      </c>
      <c r="W539" s="7" t="n">
        <v>0.3</v>
      </c>
      <c r="X539" s="6">
        <f>$T539*W539</f>
        <v/>
      </c>
      <c r="Y539" s="7" t="n">
        <v>0</v>
      </c>
      <c r="Z539" s="6">
        <f>$T539*Y539</f>
        <v/>
      </c>
      <c r="AA539" s="7" t="n">
        <v>0</v>
      </c>
      <c r="AB539" s="6">
        <f>$T539*AA539</f>
        <v/>
      </c>
      <c r="AC539" s="7" t="n">
        <v>0</v>
      </c>
      <c r="AD539" s="6">
        <f>$T539*AC539</f>
        <v/>
      </c>
      <c r="AE539" s="7" t="n">
        <v>0</v>
      </c>
      <c r="AF539" s="6">
        <f>$T539*AE539</f>
        <v/>
      </c>
      <c r="AG539" s="7" t="n">
        <v>0</v>
      </c>
      <c r="AH539" s="6">
        <f>$T539*AG539</f>
        <v/>
      </c>
      <c r="AI539" s="7">
        <f>U539+W539+Y539+AA539+AC539+AE539+AG539</f>
        <v/>
      </c>
      <c r="AJ539" s="6">
        <f>V539+X539+Z539+AB539+AD539+AF539+AH539</f>
        <v/>
      </c>
    </row>
    <row r="540" ht="60" customHeight="1" s="46">
      <c r="A540" s="3" t="inlineStr">
        <is>
          <t>LOM252.OC.EEA.PA02.G7424.SC009.0615</t>
        </is>
      </c>
      <c r="B540" s="4" t="inlineStr">
        <is>
          <t>5/5</t>
        </is>
      </c>
      <c r="C540" s="3" t="inlineStr">
        <is>
          <t>IMPIANTO ELETTRICO</t>
        </is>
      </c>
      <c r="D540" s="4" t="inlineStr">
        <is>
          <t>SPECIALE</t>
        </is>
      </c>
      <c r="E540" s="4" t="inlineStr">
        <is>
          <t>ELETTRICHE SPECIALI</t>
        </is>
      </c>
      <c r="F540" s="3" t="inlineStr">
        <is>
          <t>3_CME IE RADIOFARMACIA PAVIA - REV02 VARIANTE ESECUTIVA.PDF</t>
        </is>
      </c>
      <c r="G540" s="4" t="inlineStr">
        <is>
          <t>44/44</t>
        </is>
      </c>
      <c r="H540" s="3" t="inlineStr">
        <is>
          <t>40 - IMPIANTISTICO</t>
        </is>
      </c>
      <c r="I540" s="3" t="inlineStr">
        <is>
          <t>RADIOFARMACIA</t>
        </is>
      </c>
      <c r="J540" s="3" t="inlineStr">
        <is>
          <t>DISTRIBUZIONE SECONDARIA</t>
        </is>
      </c>
      <c r="K540" s="3" t="inlineStr">
        <is>
          <t xml:space="preserve">OPERA: CAVO, FG16OM16 DI LEGA RAME RICOTTO; GEOMETRIA: FLESSIBILE; SEZIONE NOMINALE [MM²] = 3X4; TENSIONE NOMINALE [KV] = 0,6/1; N° POLI [-] = 3P. </t>
        </is>
      </c>
      <c r="L540" s="3" t="inlineStr">
        <is>
          <t>OPERA: CAVO, FG16OM16 DI LEGA RAME RICOTTO; GEOMETRIA: FLESSIBILE; SEZIONE NOMINALE [MM²] = 3X4; TENSIONE NOMINALE [KV] = 0,6/1; N° POLI [-] = 3P. 
LAVORO: POSA. OP CAVO, FG16OM16 DI LEGA RAME RICOTTO; GEOMETRIA: FLESSIBILE; SEZIONE NOMINALE [MM²] = 3X4; TENSIONE NOMINALE UO/U [KV] = 0,6/1; N° POLI [-] = 3P. 
RM CAVO FG16OM16 DI LEGA RAME RICOTTO; GEOMETRIA: FLESSIBILE; SEZIONE NOMINALE [MM²] = 3X4; TENSIONE NOMINALE UO/U [KV] = 0,6/1; N° POLI [-] = 3P. COMPONENTI: ISOLANTE, GUAINA TERMOPLASTICA 
LV POSA.
[DIMENSIONI: 90,00 | -90,00 | 90,00 | 70,00 | 460,00 | 115,00 | 240,00]</t>
        </is>
      </c>
      <c r="M540" s="4" t="inlineStr">
        <is>
          <t>M</t>
        </is>
      </c>
      <c r="N540" s="5" t="n">
        <v>975</v>
      </c>
      <c r="O540" s="45" t="n">
        <v>5.44</v>
      </c>
      <c r="P540" s="45" t="n">
        <v>5304</v>
      </c>
      <c r="Q540" s="5" t="n"/>
      <c r="R540" s="6" t="n"/>
      <c r="S540" s="6">
        <f>IF(AND(Q540&lt;&gt;"",R540&lt;&gt;""),Q540*R540,"")</f>
        <v/>
      </c>
      <c r="T540" s="45">
        <f>IF(S540="",P540,S540)</f>
        <v/>
      </c>
      <c r="U540" s="7" t="n">
        <v>0</v>
      </c>
      <c r="V540" s="6">
        <f>$T540*U540</f>
        <v/>
      </c>
      <c r="W540" s="7" t="n">
        <v>0.3</v>
      </c>
      <c r="X540" s="6">
        <f>$T540*W540</f>
        <v/>
      </c>
      <c r="Y540" s="7" t="n">
        <v>0</v>
      </c>
      <c r="Z540" s="6">
        <f>$T540*Y540</f>
        <v/>
      </c>
      <c r="AA540" s="7" t="n">
        <v>0</v>
      </c>
      <c r="AB540" s="6">
        <f>$T540*AA540</f>
        <v/>
      </c>
      <c r="AC540" s="7" t="n">
        <v>0</v>
      </c>
      <c r="AD540" s="6">
        <f>$T540*AC540</f>
        <v/>
      </c>
      <c r="AE540" s="7" t="n">
        <v>0</v>
      </c>
      <c r="AF540" s="6">
        <f>$T540*AE540</f>
        <v/>
      </c>
      <c r="AG540" s="7" t="n">
        <v>0</v>
      </c>
      <c r="AH540" s="6">
        <f>$T540*AG540</f>
        <v/>
      </c>
      <c r="AI540" s="7">
        <f>U540+W540+Y540+AA540+AC540+AE540+AG540</f>
        <v/>
      </c>
      <c r="AJ540" s="6">
        <f>V540+X540+Z540+AB540+AD540+AF540+AH540</f>
        <v/>
      </c>
    </row>
    <row r="541" ht="60" customHeight="1" s="46">
      <c r="A541" s="3" t="inlineStr">
        <is>
          <t>LOM252.OC.EEA.PA02.G7424.SC009.0660</t>
        </is>
      </c>
      <c r="B541" s="4" t="inlineStr">
        <is>
          <t>1/1</t>
        </is>
      </c>
      <c r="C541" s="3" t="inlineStr">
        <is>
          <t>IMPIANTO ELETTRICO</t>
        </is>
      </c>
      <c r="D541" s="4" t="inlineStr">
        <is>
          <t>SPECIALE</t>
        </is>
      </c>
      <c r="E541" s="4" t="inlineStr">
        <is>
          <t>ELETTRICHE SPECIALI</t>
        </is>
      </c>
      <c r="F541" s="3" t="inlineStr">
        <is>
          <t>3_CME IE RADIOFARMACIA PAVIA - REV02 VARIANTE ESECUTIVA.PDF</t>
        </is>
      </c>
      <c r="G541" s="4" t="inlineStr">
        <is>
          <t>45/45</t>
        </is>
      </c>
      <c r="H541" s="3" t="inlineStr">
        <is>
          <t>40 - IMPIANTISTICO</t>
        </is>
      </c>
      <c r="I541" s="3" t="inlineStr">
        <is>
          <t>RADIOFARMACIA</t>
        </is>
      </c>
      <c r="J541" s="3" t="inlineStr">
        <is>
          <t>DISTRIBUZIONE SECONDARIA</t>
        </is>
      </c>
      <c r="K541" s="3" t="inlineStr">
        <is>
          <t xml:space="preserve">OPERA: CAVO, FG16OM16 DI LEGA RAME RICOTTO; GEOMETRIA: FLESSIBILE; SEZIONE NOMINALE [MM²] = 4X1,5; TENSIONE NOMINALE [KV] = 0,6/1; N° POLI [-] = 4/5P. </t>
        </is>
      </c>
      <c r="L541" s="3" t="inlineStr">
        <is>
          <t>OPERA: CAVO, FG16OM16 DI LEGA RAME RICOTTO; GEOMETRIA: FLESSIBILE; SEZIONE NOMINALE [MM²] = 4X1,5; TENSIONE NOMINALE [KV] = 0,6/1; N° POLI [-] = 4/5P. 
LAVORO: POSA. OP CAVO, FG16OM16 DI LEGA RAME RICOTTO; GEOMETRIA: FLESSIBILE; SEZIONE NOMINALE [MM²] = 4X1,5; TENSIONE NOMINALE UO/U [KV] = 0,6/1; N° POLI [-] = 4/5P. 
RM CAVO FG16OM16 DI LEGA RAME RICOTTO; GEOMETRIA: FLESSIBILE; SEZIONE NOMINALE [MM²] = 4X1,5; TENSIONE NOMINALE UO/U [KV] = 0,6/1; N° POLI [-] = 4/5P. COMPONENTI: ISOLANTE, GUAINA TERMOPLASTICA 
LV POSA.
[DIMENSIONI: 240,00 | -240,00 | 180,00]</t>
        </is>
      </c>
      <c r="M541" s="4" t="inlineStr">
        <is>
          <t>M</t>
        </is>
      </c>
      <c r="N541" s="5" t="n">
        <v>180</v>
      </c>
      <c r="O541" s="45" t="n">
        <v>4.4</v>
      </c>
      <c r="P541" s="45" t="n">
        <v>792</v>
      </c>
      <c r="Q541" s="5" t="n"/>
      <c r="R541" s="6" t="n"/>
      <c r="S541" s="6">
        <f>IF(AND(Q541&lt;&gt;"",R541&lt;&gt;""),Q541*R541,"")</f>
        <v/>
      </c>
      <c r="T541" s="45">
        <f>IF(S541="",P541,S541)</f>
        <v/>
      </c>
      <c r="U541" s="7" t="n">
        <v>0</v>
      </c>
      <c r="V541" s="6">
        <f>$T541*U541</f>
        <v/>
      </c>
      <c r="W541" s="7" t="n">
        <v>0.3</v>
      </c>
      <c r="X541" s="6">
        <f>$T541*W541</f>
        <v/>
      </c>
      <c r="Y541" s="7" t="n">
        <v>0</v>
      </c>
      <c r="Z541" s="6">
        <f>$T541*Y541</f>
        <v/>
      </c>
      <c r="AA541" s="7" t="n">
        <v>0</v>
      </c>
      <c r="AB541" s="6">
        <f>$T541*AA541</f>
        <v/>
      </c>
      <c r="AC541" s="7" t="n">
        <v>0</v>
      </c>
      <c r="AD541" s="6">
        <f>$T541*AC541</f>
        <v/>
      </c>
      <c r="AE541" s="7" t="n">
        <v>0</v>
      </c>
      <c r="AF541" s="6">
        <f>$T541*AE541</f>
        <v/>
      </c>
      <c r="AG541" s="7" t="n">
        <v>0</v>
      </c>
      <c r="AH541" s="6">
        <f>$T541*AG541</f>
        <v/>
      </c>
      <c r="AI541" s="7">
        <f>U541+W541+Y541+AA541+AC541+AE541+AG541</f>
        <v/>
      </c>
      <c r="AJ541" s="6">
        <f>V541+X541+Z541+AB541+AD541+AF541+AH541</f>
        <v/>
      </c>
    </row>
    <row r="542" ht="60" customHeight="1" s="46">
      <c r="A542" s="3" t="inlineStr">
        <is>
          <t>LOM252.OC.EEA.PA02.G7424.SC009.0665</t>
        </is>
      </c>
      <c r="B542" s="4" t="inlineStr">
        <is>
          <t>1/1</t>
        </is>
      </c>
      <c r="C542" s="3" t="inlineStr">
        <is>
          <t>IMPIANTO ELETTRICO</t>
        </is>
      </c>
      <c r="D542" s="4" t="inlineStr">
        <is>
          <t>SPECIALE</t>
        </is>
      </c>
      <c r="E542" s="4" t="inlineStr">
        <is>
          <t>ELETTRICHE SPECIALI</t>
        </is>
      </c>
      <c r="F542" s="3" t="inlineStr">
        <is>
          <t>3_CME IE RADIOFARMACIA PAVIA - REV02 VARIANTE ESECUTIVA.PDF</t>
        </is>
      </c>
      <c r="G542" s="4" t="inlineStr">
        <is>
          <t>46/46</t>
        </is>
      </c>
      <c r="H542" s="3" t="inlineStr">
        <is>
          <t>40 - IMPIANTISTICO</t>
        </is>
      </c>
      <c r="I542" s="3" t="inlineStr">
        <is>
          <t>RADIOFARMACIA</t>
        </is>
      </c>
      <c r="J542" s="3" t="inlineStr">
        <is>
          <t>DISTRIBUZIONE SECONDARIA</t>
        </is>
      </c>
      <c r="K542" s="3" t="inlineStr">
        <is>
          <t xml:space="preserve">OPERA: CAVO, FG16OM16 DI LEGA RAME RICOTTO; GEOMETRIA: FLESSIBILE; SEZIONE NOMINALE [MM²] = 4X2,5; TENSIONE NOMINALE [KV] = 0,6/1; N° POLI [-] = 4/5P. </t>
        </is>
      </c>
      <c r="L542" s="3" t="inlineStr">
        <is>
          <t>OPERA: CAVO, FG16OM16 DI LEGA RAME RICOTTO; GEOMETRIA: FLESSIBILE; SEZIONE NOMINALE [MM²] = 4X2,5; TENSIONE NOMINALE [KV] = 0,6/1; N° POLI [-] = 4/5P. 
LAVORO: POSA. OP CAVO, FG16OM16 DI LEGA RAME RICOTTO; GEOMETRIA: FLESSIBILE; SEZIONE NOMINALE [MM²] = 4X2,5; TENSIONE NOMINALE UO/U [KV] = 0,6/1; N° POLI [-] = 4/5P. 
RM CAVO FG16OM16 DI LEGA RAME RICOTTO; GEOMETRIA: FLESSIBILE; SEZIONE NOMINALE [MM²] = 4X2,5; TENSIONE NOMINALE UO/U [KV] = 0,6/1; N° POLI [-] = 4/5P. COMPONENTI: ISOLANTE, GUAINA TERMOPLASTICA 
LV POSA.
[DIMENSIONI: 80,00 | -80,00 | 80,00]</t>
        </is>
      </c>
      <c r="M542" s="4" t="inlineStr">
        <is>
          <t>M</t>
        </is>
      </c>
      <c r="N542" s="5" t="n">
        <v>80</v>
      </c>
      <c r="O542" s="45" t="n">
        <v>5.16</v>
      </c>
      <c r="P542" s="45" t="n">
        <v>412.8</v>
      </c>
      <c r="Q542" s="5" t="n"/>
      <c r="R542" s="6" t="n"/>
      <c r="S542" s="6">
        <f>IF(AND(Q542&lt;&gt;"",R542&lt;&gt;""),Q542*R542,"")</f>
        <v/>
      </c>
      <c r="T542" s="45">
        <f>IF(S542="",P542,S542)</f>
        <v/>
      </c>
      <c r="U542" s="7" t="n">
        <v>0</v>
      </c>
      <c r="V542" s="6">
        <f>$T542*U542</f>
        <v/>
      </c>
      <c r="W542" s="7" t="n">
        <v>0.3</v>
      </c>
      <c r="X542" s="6">
        <f>$T542*W542</f>
        <v/>
      </c>
      <c r="Y542" s="7" t="n">
        <v>0</v>
      </c>
      <c r="Z542" s="6">
        <f>$T542*Y542</f>
        <v/>
      </c>
      <c r="AA542" s="7" t="n">
        <v>0</v>
      </c>
      <c r="AB542" s="6">
        <f>$T542*AA542</f>
        <v/>
      </c>
      <c r="AC542" s="7" t="n">
        <v>0</v>
      </c>
      <c r="AD542" s="6">
        <f>$T542*AC542</f>
        <v/>
      </c>
      <c r="AE542" s="7" t="n">
        <v>0</v>
      </c>
      <c r="AF542" s="6">
        <f>$T542*AE542</f>
        <v/>
      </c>
      <c r="AG542" s="7" t="n">
        <v>0</v>
      </c>
      <c r="AH542" s="6">
        <f>$T542*AG542</f>
        <v/>
      </c>
      <c r="AI542" s="7">
        <f>U542+W542+Y542+AA542+AC542+AE542+AG542</f>
        <v/>
      </c>
      <c r="AJ542" s="6">
        <f>V542+X542+Z542+AB542+AD542+AF542+AH542</f>
        <v/>
      </c>
    </row>
    <row r="543" ht="60" customHeight="1" s="46">
      <c r="A543" s="3" t="inlineStr">
        <is>
          <t>LOM252.OC.EEA.PA02.G7424.SC009.0680</t>
        </is>
      </c>
      <c r="B543" s="4" t="inlineStr">
        <is>
          <t>1/1</t>
        </is>
      </c>
      <c r="C543" s="3" t="inlineStr">
        <is>
          <t>IMPIANTO ELETTRICO</t>
        </is>
      </c>
      <c r="D543" s="4" t="inlineStr">
        <is>
          <t>SPECIALE</t>
        </is>
      </c>
      <c r="E543" s="4" t="inlineStr">
        <is>
          <t>ELETTRICHE SPECIALI</t>
        </is>
      </c>
      <c r="F543" s="3" t="inlineStr">
        <is>
          <t>3_CME IE RADIOFARMACIA PAVIA - REV02 VARIANTE ESECUTIVA.PDF</t>
        </is>
      </c>
      <c r="G543" s="4" t="inlineStr">
        <is>
          <t>47/47</t>
        </is>
      </c>
      <c r="H543" s="3" t="inlineStr">
        <is>
          <t>40 - IMPIANTISTICO</t>
        </is>
      </c>
      <c r="I543" s="3" t="inlineStr">
        <is>
          <t>RADIOFARMACIA</t>
        </is>
      </c>
      <c r="J543" s="3" t="inlineStr">
        <is>
          <t>DISTRIBUZIONE SECONDARIA</t>
        </is>
      </c>
      <c r="K543" s="3" t="inlineStr">
        <is>
          <t xml:space="preserve">OPERA: CAVO, FG16OM16 DI LEGA RAME RICOTTO; GEOMETRIA: FLESSIBILE; SEZIONE NOMINALE [MM²] = 4X10; TENSIONE NOMINALE [KV] = 0,6/1; N° POLI [-] = 4/5P. </t>
        </is>
      </c>
      <c r="L543" s="3" t="inlineStr">
        <is>
          <t>OPERA: CAVO, FG16OM16 DI LEGA RAME RICOTTO; GEOMETRIA: FLESSIBILE; SEZIONE NOMINALE [MM²] = 4X10; TENSIONE NOMINALE [KV] = 0,6/1; N° POLI [-] = 4/5P. 
LAVORO: POSA. OP CAVO, FG16OM16 DI LEGA RAME RICOTTO; GEOMETRIA: FLESSIBILE; SEZIONE NOMINALE [MM²] = 4X10; TENSIONE NOMINALE UO/U [KV] = 0,6/1; N° POLI [-] = 4/5P. 
RM CAVO FG16OM16 DI LEGA RAME RICOTTO; GEOMETRIA: FLESSIBILE; SEZIONE NOMINALE [MM²] = 4X10; TENSIONE NOMINALE UO/U [KV] = 0,6/1; N° POLI [-] = 4/5P. COMPONENTI: ISOLANTE, GUAINA TERMOPLASTICA 
LV POSA.
[DIMENSIONI: 40,00]</t>
        </is>
      </c>
      <c r="M543" s="4" t="inlineStr">
        <is>
          <t>M</t>
        </is>
      </c>
      <c r="N543" s="5" t="n">
        <v>40</v>
      </c>
      <c r="O543" s="45" t="n">
        <v>11.62</v>
      </c>
      <c r="P543" s="45" t="n">
        <v>464.8</v>
      </c>
      <c r="Q543" s="5" t="n"/>
      <c r="R543" s="6" t="n"/>
      <c r="S543" s="6">
        <f>IF(AND(Q543&lt;&gt;"",R543&lt;&gt;""),Q543*R543,"")</f>
        <v/>
      </c>
      <c r="T543" s="45">
        <f>IF(S543="",P543,S543)</f>
        <v/>
      </c>
      <c r="U543" s="7" t="n">
        <v>0</v>
      </c>
      <c r="V543" s="6">
        <f>$T543*U543</f>
        <v/>
      </c>
      <c r="W543" s="7" t="n">
        <v>0.3</v>
      </c>
      <c r="X543" s="6">
        <f>$T543*W543</f>
        <v/>
      </c>
      <c r="Y543" s="7" t="n">
        <v>0</v>
      </c>
      <c r="Z543" s="6">
        <f>$T543*Y543</f>
        <v/>
      </c>
      <c r="AA543" s="7" t="n">
        <v>0</v>
      </c>
      <c r="AB543" s="6">
        <f>$T543*AA543</f>
        <v/>
      </c>
      <c r="AC543" s="7" t="n">
        <v>0</v>
      </c>
      <c r="AD543" s="6">
        <f>$T543*AC543</f>
        <v/>
      </c>
      <c r="AE543" s="7" t="n">
        <v>0</v>
      </c>
      <c r="AF543" s="6">
        <f>$T543*AE543</f>
        <v/>
      </c>
      <c r="AG543" s="7" t="n">
        <v>0</v>
      </c>
      <c r="AH543" s="6">
        <f>$T543*AG543</f>
        <v/>
      </c>
      <c r="AI543" s="7">
        <f>U543+W543+Y543+AA543+AC543+AE543+AG543</f>
        <v/>
      </c>
      <c r="AJ543" s="6">
        <f>V543+X543+Z543+AB543+AD543+AF543+AH543</f>
        <v/>
      </c>
    </row>
    <row r="544" ht="60" customHeight="1" s="46">
      <c r="A544" s="3" t="inlineStr">
        <is>
          <t>LOM252.OC.EEA.PA02.G7424.SC009.0720</t>
        </is>
      </c>
      <c r="B544" s="4" t="inlineStr">
        <is>
          <t>1/1</t>
        </is>
      </c>
      <c r="C544" s="3" t="inlineStr">
        <is>
          <t>IMPIANTO ELETTRICO</t>
        </is>
      </c>
      <c r="D544" s="4" t="inlineStr">
        <is>
          <t>SPECIALE</t>
        </is>
      </c>
      <c r="E544" s="4" t="inlineStr">
        <is>
          <t>ELETTRICHE SPECIALI</t>
        </is>
      </c>
      <c r="F544" s="3" t="inlineStr">
        <is>
          <t>3_CME IE RADIOFARMACIA PAVIA - REV02 VARIANTE ESECUTIVA.PDF</t>
        </is>
      </c>
      <c r="G544" s="4" t="inlineStr">
        <is>
          <t>48/48</t>
        </is>
      </c>
      <c r="H544" s="3" t="inlineStr">
        <is>
          <t>40 - IMPIANTISTICO</t>
        </is>
      </c>
      <c r="I544" s="3" t="inlineStr">
        <is>
          <t>RADIOFARMACIA</t>
        </is>
      </c>
      <c r="J544" s="3" t="inlineStr">
        <is>
          <t>DISTRIBUZIONE SECONDARIA</t>
        </is>
      </c>
      <c r="K544" s="3" t="inlineStr">
        <is>
          <t xml:space="preserve">OPERA: CAVO, FG16OM16 DI LEGA RAME RICOTTO; GEOMETRIA: FLESSIBILE; SEZIONE NOMINALE [MM²] = 5X2,5; TENSIONE NOMINALE [KV] = 0,6/1; N° POLI [-] = 4/5P. </t>
        </is>
      </c>
      <c r="L544" s="3" t="inlineStr">
        <is>
          <t>OPERA: CAVO, FG16OM16 DI LEGA RAME RICOTTO; GEOMETRIA: FLESSIBILE; SEZIONE NOMINALE [MM²] = 5X2,5; TENSIONE NOMINALE [KV] = 0,6/1; N° POLI [-] = 4/5P. 
LAVORO: POSA. OP CAVO, FG16OM16 DI LEGA RAME RICOTTO; GEOMETRIA: FLESSIBILE; SEZIONE NOMINALE [MM²] = 5X2,5; TENSIONE NOMINALE UO/U [KV] = 0,6/1; N° POLI [-] = 4/5P. 
RM CAVO FG16OM16 DI LEGA RAME RICOTTO; GEOMETRIA: FLESSIBILE; SEZIONE NOMINALE [MM²] = 5X2,5; TENSIONE NOMINALE UO/U [KV] = 0,6/1; N° POLI [-] = 4/5P. COMPONENTI: ISOLANTE, GUAINA TERMOPLASTICA 
LV POSA.
[DIMENSIONI: 20,00]</t>
        </is>
      </c>
      <c r="M544" s="4" t="inlineStr">
        <is>
          <t>M</t>
        </is>
      </c>
      <c r="N544" s="5" t="n">
        <v>20</v>
      </c>
      <c r="O544" s="45" t="n">
        <v>5.87</v>
      </c>
      <c r="P544" s="45" t="n">
        <v>117.4</v>
      </c>
      <c r="Q544" s="5" t="n"/>
      <c r="R544" s="6" t="n"/>
      <c r="S544" s="6">
        <f>IF(AND(Q544&lt;&gt;"",R544&lt;&gt;""),Q544*R544,"")</f>
        <v/>
      </c>
      <c r="T544" s="45">
        <f>IF(S544="",P544,S544)</f>
        <v/>
      </c>
      <c r="U544" s="7" t="n">
        <v>0</v>
      </c>
      <c r="V544" s="6">
        <f>$T544*U544</f>
        <v/>
      </c>
      <c r="W544" s="7" t="n">
        <v>0.3</v>
      </c>
      <c r="X544" s="6">
        <f>$T544*W544</f>
        <v/>
      </c>
      <c r="Y544" s="7" t="n">
        <v>0</v>
      </c>
      <c r="Z544" s="6">
        <f>$T544*Y544</f>
        <v/>
      </c>
      <c r="AA544" s="7" t="n">
        <v>0</v>
      </c>
      <c r="AB544" s="6">
        <f>$T544*AA544</f>
        <v/>
      </c>
      <c r="AC544" s="7" t="n">
        <v>0</v>
      </c>
      <c r="AD544" s="6">
        <f>$T544*AC544</f>
        <v/>
      </c>
      <c r="AE544" s="7" t="n">
        <v>0</v>
      </c>
      <c r="AF544" s="6">
        <f>$T544*AE544</f>
        <v/>
      </c>
      <c r="AG544" s="7" t="n">
        <v>0</v>
      </c>
      <c r="AH544" s="6">
        <f>$T544*AG544</f>
        <v/>
      </c>
      <c r="AI544" s="7">
        <f>U544+W544+Y544+AA544+AC544+AE544+AG544</f>
        <v/>
      </c>
      <c r="AJ544" s="6">
        <f>V544+X544+Z544+AB544+AD544+AF544+AH544</f>
        <v/>
      </c>
    </row>
    <row r="545" ht="60" customHeight="1" s="46">
      <c r="A545" s="3" t="inlineStr">
        <is>
          <t>LOM252.OC.EEA.PA02.G7424.SC009.0515</t>
        </is>
      </c>
      <c r="B545" s="4" t="inlineStr">
        <is>
          <t>3/3</t>
        </is>
      </c>
      <c r="C545" s="3" t="inlineStr">
        <is>
          <t>IMPIANTO ELETTRICO</t>
        </is>
      </c>
      <c r="D545" s="4" t="inlineStr">
        <is>
          <t>SPECIALE</t>
        </is>
      </c>
      <c r="E545" s="4" t="inlineStr">
        <is>
          <t>ELETTRICHE SPECIALI</t>
        </is>
      </c>
      <c r="F545" s="3" t="inlineStr">
        <is>
          <t>3_CME IE RADIOFARMACIA PAVIA - REV02 VARIANTE ESECUTIVA.PDF</t>
        </is>
      </c>
      <c r="G545" s="4" t="inlineStr">
        <is>
          <t>49/49</t>
        </is>
      </c>
      <c r="H545" s="3" t="inlineStr">
        <is>
          <t>40 - IMPIANTISTICO</t>
        </is>
      </c>
      <c r="I545" s="3" t="inlineStr">
        <is>
          <t>RADIOFARMACIA</t>
        </is>
      </c>
      <c r="J545" s="3" t="inlineStr">
        <is>
          <t>DISTRIBUZIONE SECONDARIA</t>
        </is>
      </c>
      <c r="K545" s="3" t="inlineStr">
        <is>
          <t xml:space="preserve">OPERA: CAVO, FG16OM16 DI LEGA RAME RICOTTO; GEOMETRIA: FLESSIBILE; SEZIONE NOMINALE [MM²] = 35; TENSIONE NOMINALE [KV] = 0,6/1; N° POLI [-] = 1P. </t>
        </is>
      </c>
      <c r="L545" s="3" t="inlineStr">
        <is>
          <t>OPERA: CAVO, FG16OM16 DI LEGA RAME RICOTTO; GEOMETRIA: FLESSIBILE; SEZIONE NOMINALE [MM²] = 35; TENSIONE NOMINALE [KV] = 0,6/1; N° POLI [-] = 1P. 
LAVORO: POSA. OP CAVO, FG16OM16 DI LEGA RAME RICOTTO; GEOMETRIA: FLESSIBILE; SEZIONE NOMINALE [MM²] = 35; TENSIONE NOMINALE UO/U [KV] = 0,6/1; N° POLI [-] = 1P. 
RM CAVO FG16OM16 DI LEGA RAME RICOTTO; GEOMETRIA: FLESSIBILE; SEZIONE NOMINALE [MM²] = 35; TENSIONE NOMINALE UO/U [KV] = 0,6/1; N° POLI [-] = 1P. COMPONENTI: ISOLANTE, GUAINA TERMOPLASTICA, RIVESTIMENTO INTERNO 
LV POSA.
[DIMENSIONI: 4,00 40,00]</t>
        </is>
      </c>
      <c r="M545" s="4" t="inlineStr">
        <is>
          <t>M</t>
        </is>
      </c>
      <c r="N545" s="5" t="n">
        <v>160</v>
      </c>
      <c r="O545" s="45" t="n">
        <v>9.15</v>
      </c>
      <c r="P545" s="45" t="n">
        <v>1464</v>
      </c>
      <c r="Q545" s="5" t="n"/>
      <c r="R545" s="6" t="n"/>
      <c r="S545" s="6">
        <f>IF(AND(Q545&lt;&gt;"",R545&lt;&gt;""),Q545*R545,"")</f>
        <v/>
      </c>
      <c r="T545" s="45">
        <f>IF(S545="",P545,S545)</f>
        <v/>
      </c>
      <c r="U545" s="7" t="n">
        <v>0</v>
      </c>
      <c r="V545" s="6">
        <f>$T545*U545</f>
        <v/>
      </c>
      <c r="W545" s="7" t="n">
        <v>0.3</v>
      </c>
      <c r="X545" s="6">
        <f>$T545*W545</f>
        <v/>
      </c>
      <c r="Y545" s="7" t="n">
        <v>0</v>
      </c>
      <c r="Z545" s="6">
        <f>$T545*Y545</f>
        <v/>
      </c>
      <c r="AA545" s="7" t="n">
        <v>0</v>
      </c>
      <c r="AB545" s="6">
        <f>$T545*AA545</f>
        <v/>
      </c>
      <c r="AC545" s="7" t="n">
        <v>0</v>
      </c>
      <c r="AD545" s="6">
        <f>$T545*AC545</f>
        <v/>
      </c>
      <c r="AE545" s="7" t="n">
        <v>0</v>
      </c>
      <c r="AF545" s="6">
        <f>$T545*AE545</f>
        <v/>
      </c>
      <c r="AG545" s="7" t="n">
        <v>0</v>
      </c>
      <c r="AH545" s="6">
        <f>$T545*AG545</f>
        <v/>
      </c>
      <c r="AI545" s="7">
        <f>U545+W545+Y545+AA545+AC545+AE545+AG545</f>
        <v/>
      </c>
      <c r="AJ545" s="6">
        <f>V545+X545+Z545+AB545+AD545+AF545+AH545</f>
        <v/>
      </c>
    </row>
    <row r="546" ht="60" customHeight="1" s="46">
      <c r="A546" s="3" t="inlineStr">
        <is>
          <t>LOM252.OC.EEA.PA02.G7424.SC009.0520</t>
        </is>
      </c>
      <c r="B546" s="4" t="inlineStr">
        <is>
          <t>1/1</t>
        </is>
      </c>
      <c r="C546" s="3" t="inlineStr">
        <is>
          <t>IMPIANTO ELETTRICO</t>
        </is>
      </c>
      <c r="D546" s="4" t="inlineStr">
        <is>
          <t>SPECIALE</t>
        </is>
      </c>
      <c r="E546" s="4" t="inlineStr">
        <is>
          <t>ELETTRICHE SPECIALI</t>
        </is>
      </c>
      <c r="F546" s="3" t="inlineStr">
        <is>
          <t>3_CME IE RADIOFARMACIA PAVIA - REV02 VARIANTE ESECUTIVA.PDF</t>
        </is>
      </c>
      <c r="G546" s="4" t="inlineStr">
        <is>
          <t>50/50</t>
        </is>
      </c>
      <c r="H546" s="3" t="inlineStr">
        <is>
          <t>40 - IMPIANTISTICO</t>
        </is>
      </c>
      <c r="I546" s="3" t="inlineStr">
        <is>
          <t>RADIOFARMACIA</t>
        </is>
      </c>
      <c r="J546" s="3" t="inlineStr">
        <is>
          <t>DISTRIBUZIONE SECONDARIA</t>
        </is>
      </c>
      <c r="K546" s="3" t="inlineStr">
        <is>
          <t xml:space="preserve">OPERA: CAVO, FG16OM16 DI LEGA RAME RICOTTO; GEOMETRIA: FLESSIBILE; SEZIONE NOMINALE [MM²] = 50; TENSIONE NOMINALE [KV] = 0,6/1; N° POLI [-] = 1P. </t>
        </is>
      </c>
      <c r="L546" s="3" t="inlineStr">
        <is>
          <t>OPERA: CAVO, FG16OM16 DI LEGA RAME RICOTTO; GEOMETRIA: FLESSIBILE; SEZIONE NOMINALE [MM²] = 50; TENSIONE NOMINALE [KV] = 0,6/1; N° POLI [-] = 1P. 
LAVORO: POSA. OP CAVO, FG16OM16 DI LEGA RAME RICOTTO; GEOMETRIA: FLESSIBILE; SEZIONE NOMINALE [MM²] = 50; TENSIONE NOMINALE UO/U [KV] = 0,6/1; N° POLI [-] = 1P. 
RM CAVO FG16OM16 DI LEGA RAME RICOTTO; GEOMETRIA: FLESSIBILE; SEZIONE NOMINALE [MM²] = 50; TENSIONE NOMINALE UO/U [KV] = 0,6/1; N° POLI [-] = 1P. COMPONENTI: ISOLANTE, GUAINA TERMOPLASTICA, RIVESTIMENTO INTERNO 
LV POSA.
[DIMENSIONI: 4,00 20,00]</t>
        </is>
      </c>
      <c r="M546" s="4" t="inlineStr">
        <is>
          <t>M</t>
        </is>
      </c>
      <c r="N546" s="5" t="n">
        <v>80</v>
      </c>
      <c r="O546" s="45" t="n">
        <v>11.69</v>
      </c>
      <c r="P546" s="45" t="n">
        <v>935.2</v>
      </c>
      <c r="Q546" s="5" t="n"/>
      <c r="R546" s="6" t="n"/>
      <c r="S546" s="6">
        <f>IF(AND(Q546&lt;&gt;"",R546&lt;&gt;""),Q546*R546,"")</f>
        <v/>
      </c>
      <c r="T546" s="45">
        <f>IF(S546="",P546,S546)</f>
        <v/>
      </c>
      <c r="U546" s="7" t="n">
        <v>0</v>
      </c>
      <c r="V546" s="6">
        <f>$T546*U546</f>
        <v/>
      </c>
      <c r="W546" s="7" t="n">
        <v>0.3</v>
      </c>
      <c r="X546" s="6">
        <f>$T546*W546</f>
        <v/>
      </c>
      <c r="Y546" s="7" t="n">
        <v>0</v>
      </c>
      <c r="Z546" s="6">
        <f>$T546*Y546</f>
        <v/>
      </c>
      <c r="AA546" s="7" t="n">
        <v>0</v>
      </c>
      <c r="AB546" s="6">
        <f>$T546*AA546</f>
        <v/>
      </c>
      <c r="AC546" s="7" t="n">
        <v>0</v>
      </c>
      <c r="AD546" s="6">
        <f>$T546*AC546</f>
        <v/>
      </c>
      <c r="AE546" s="7" t="n">
        <v>0</v>
      </c>
      <c r="AF546" s="6">
        <f>$T546*AE546</f>
        <v/>
      </c>
      <c r="AG546" s="7" t="n">
        <v>0</v>
      </c>
      <c r="AH546" s="6">
        <f>$T546*AG546</f>
        <v/>
      </c>
      <c r="AI546" s="7">
        <f>U546+W546+Y546+AA546+AC546+AE546+AG546</f>
        <v/>
      </c>
      <c r="AJ546" s="6">
        <f>V546+X546+Z546+AB546+AD546+AF546+AH546</f>
        <v/>
      </c>
    </row>
    <row r="547" ht="60" customHeight="1" s="46">
      <c r="A547" s="3" t="inlineStr">
        <is>
          <t>LOM252.OC.EEA.PA02.G7424.SC009.0525</t>
        </is>
      </c>
      <c r="B547" s="4" t="inlineStr">
        <is>
          <t>1/1</t>
        </is>
      </c>
      <c r="C547" s="3" t="inlineStr">
        <is>
          <t>IMPIANTO ELETTRICO</t>
        </is>
      </c>
      <c r="D547" s="4" t="inlineStr">
        <is>
          <t>SPECIALE</t>
        </is>
      </c>
      <c r="E547" s="4" t="inlineStr">
        <is>
          <t>ELETTRICHE SPECIALI</t>
        </is>
      </c>
      <c r="F547" s="3" t="inlineStr">
        <is>
          <t>3_CME IE RADIOFARMACIA PAVIA - REV02 VARIANTE ESECUTIVA.PDF</t>
        </is>
      </c>
      <c r="G547" s="4" t="inlineStr">
        <is>
          <t>51/51</t>
        </is>
      </c>
      <c r="H547" s="3" t="inlineStr">
        <is>
          <t>40 - IMPIANTISTICO</t>
        </is>
      </c>
      <c r="I547" s="3" t="inlineStr">
        <is>
          <t>RADIOFARMACIA</t>
        </is>
      </c>
      <c r="J547" s="3" t="inlineStr">
        <is>
          <t>DISTRIBUZIONE SECONDARIA</t>
        </is>
      </c>
      <c r="K547" s="3" t="inlineStr">
        <is>
          <t xml:space="preserve">OPERA: CAVO, FG16OM16 DI LEGA RAME RICOTTO; GEOMETRIA: FLESSIBILE; SEZIONE NOMINALE [MM²] = 70; TENSIONE NOMINALE [KV] = 0,6/1; N° POLI [-] = 1P. </t>
        </is>
      </c>
      <c r="L547" s="3" t="inlineStr">
        <is>
          <t>OPERA: CAVO, FG16OM16 DI LEGA RAME RICOTTO; GEOMETRIA: FLESSIBILE; SEZIONE NOMINALE [MM²] = 70; TENSIONE NOMINALE [KV] = 0,6/1; N° POLI [-] = 1P. 
LAVORO: POSA. OP CAVO, FG16OM16 DI LEGA RAME RICOTTO; GEOMETRIA: FLESSIBILE; SEZIONE NOMINALE [MM²] = 70; TENSIONE NOMINALE UO/U [KV] = 0,6/1; N° POLI [-] = 1P. 
RM CAVO FG16OM16 DI LEGA RAME RICOTTO; GEOMETRIA: FLESSIBILE; SEZIONE NOMINALE [MM²] = 70; TENSIONE NOMINALE UO/U [KV] = 0,6/1; N° POLI [-] = 1P. COMPONENTI: ISOLANTE, GUAINA TERMOPLASTICA, RIVESTIMENTO INTERNO 
LV POSA.
[DIMENSIONI: 4,00 50,00]</t>
        </is>
      </c>
      <c r="M547" s="4" t="inlineStr">
        <is>
          <t>M</t>
        </is>
      </c>
      <c r="N547" s="5" t="n">
        <v>200</v>
      </c>
      <c r="O547" s="45" t="n">
        <v>16.28</v>
      </c>
      <c r="P547" s="45" t="n">
        <v>3256</v>
      </c>
      <c r="Q547" s="5" t="n"/>
      <c r="R547" s="6" t="n"/>
      <c r="S547" s="6">
        <f>IF(AND(Q547&lt;&gt;"",R547&lt;&gt;""),Q547*R547,"")</f>
        <v/>
      </c>
      <c r="T547" s="45">
        <f>IF(S547="",P547,S547)</f>
        <v/>
      </c>
      <c r="U547" s="7" t="n">
        <v>0</v>
      </c>
      <c r="V547" s="6">
        <f>$T547*U547</f>
        <v/>
      </c>
      <c r="W547" s="7" t="n">
        <v>0.3</v>
      </c>
      <c r="X547" s="6">
        <f>$T547*W547</f>
        <v/>
      </c>
      <c r="Y547" s="7" t="n">
        <v>0</v>
      </c>
      <c r="Z547" s="6">
        <f>$T547*Y547</f>
        <v/>
      </c>
      <c r="AA547" s="7" t="n">
        <v>0</v>
      </c>
      <c r="AB547" s="6">
        <f>$T547*AA547</f>
        <v/>
      </c>
      <c r="AC547" s="7" t="n">
        <v>0</v>
      </c>
      <c r="AD547" s="6">
        <f>$T547*AC547</f>
        <v/>
      </c>
      <c r="AE547" s="7" t="n">
        <v>0</v>
      </c>
      <c r="AF547" s="6">
        <f>$T547*AE547</f>
        <v/>
      </c>
      <c r="AG547" s="7" t="n">
        <v>0</v>
      </c>
      <c r="AH547" s="6">
        <f>$T547*AG547</f>
        <v/>
      </c>
      <c r="AI547" s="7">
        <f>U547+W547+Y547+AA547+AC547+AE547+AG547</f>
        <v/>
      </c>
      <c r="AJ547" s="6">
        <f>V547+X547+Z547+AB547+AD547+AF547+AH547</f>
        <v/>
      </c>
    </row>
    <row r="548" ht="60" customHeight="1" s="46">
      <c r="A548" s="3" t="inlineStr">
        <is>
          <t>LOM252.OC.EEA.PA02.G7415.SB001.0005.B</t>
        </is>
      </c>
      <c r="B548" s="4" t="inlineStr">
        <is>
          <t>1/1</t>
        </is>
      </c>
      <c r="C548" s="3" t="inlineStr">
        <is>
          <t>IMPIANTO ELETTRICO</t>
        </is>
      </c>
      <c r="D548" s="4" t="inlineStr">
        <is>
          <t>SPECIALE</t>
        </is>
      </c>
      <c r="E548" s="4" t="inlineStr">
        <is>
          <t>ELETTRICHE SPECIALI</t>
        </is>
      </c>
      <c r="F548" s="3" t="inlineStr">
        <is>
          <t>3_CME IE RADIOFARMACIA PAVIA - REV02 VARIANTE ESECUTIVA.PDF</t>
        </is>
      </c>
      <c r="G548" s="4" t="inlineStr">
        <is>
          <t>52/52</t>
        </is>
      </c>
      <c r="H548" s="3" t="inlineStr">
        <is>
          <t>40 - IMPIANTISTICO</t>
        </is>
      </c>
      <c r="I548" s="3" t="inlineStr">
        <is>
          <t>RADIOFARMACIA</t>
        </is>
      </c>
      <c r="J548" s="3" t="inlineStr">
        <is>
          <t>DISTRIBUZIONE SECONDARIA</t>
        </is>
      </c>
      <c r="K548" s="3" t="inlineStr">
        <is>
          <t xml:space="preserve">OPERA: PASSERELLA DI LEGA FERROSA ACCIAIO GENERICO; GEOMETRIA: GRIGLIA; ALTEZZA [MM] = 54 | LARGHEZZA [MM] = 100. INCLUSO: ACCESSORI DI FISSAGGIO. </t>
        </is>
      </c>
      <c r="L548" s="3" t="inlineStr">
        <is>
          <t>OPERA: PASSERELLA DI LEGA FERROSA ACCIAIO GENERICO; GEOMETRIA: GRIGLIA; ALTEZZA [MM] = 54 | LARGHEZZA [MM] = 100. INCLUSO: ACCESSORI DI FISSAGGIO. 
LAVORO: POSA. 
SPECIFICHE TECNICHE: REALIZZATO IN TONDINI ELETTROSALDATI CON ZINCATURA A CALDO DOPO LAVORAZIONE. OP PASSERELLA DI LEGA FERROSA ACCIAIO GENERICO; GEOMETRIA: GRIGLIA; ALTEZZA [MM] = 54 | LARGHEZZA [MM] = 100. INCLUSO: ACCESSORI DI FISSAGGIO. 
SPECIFICHE TECNICHE: REALIZZATO IN TONDINI ELETTROSALDATI CON ZINCATURA A CALDO DOPO LAVORAZIONE. 
RM PASSERELLA DI LEGA FERROSA ACCIAIO GENERICO; GEOMETRIA: GRIGLIA; ALTEZZA [MM] = 54 | LARGHEZZA [MM] = 100. INCLUSO: ACCESSORI DI FISSAGGIO 
SPECIFICHE TECNICHE: REALIZZATO IN TONDINI ELETTROSALDATI CON ZINCATURA A CALDO DOPO LAVORAZIONE 
LV POSA.
[DIMENSIONI: 50,00]</t>
        </is>
      </c>
      <c r="M548" s="4" t="inlineStr">
        <is>
          <t>M</t>
        </is>
      </c>
      <c r="N548" s="5" t="n">
        <v>50</v>
      </c>
      <c r="O548" s="45" t="n">
        <v>41.56</v>
      </c>
      <c r="P548" s="45" t="n">
        <v>2078</v>
      </c>
      <c r="Q548" s="5" t="n"/>
      <c r="R548" s="6" t="n"/>
      <c r="S548" s="6">
        <f>IF(AND(Q548&lt;&gt;"",R548&lt;&gt;""),Q548*R548,"")</f>
        <v/>
      </c>
      <c r="T548" s="45">
        <f>IF(S548="",P548,S548)</f>
        <v/>
      </c>
      <c r="U548" s="7" t="n">
        <v>0</v>
      </c>
      <c r="V548" s="6">
        <f>$T548*U548</f>
        <v/>
      </c>
      <c r="W548" s="7" t="n">
        <v>0.3</v>
      </c>
      <c r="X548" s="6">
        <f>$T548*W548</f>
        <v/>
      </c>
      <c r="Y548" s="7" t="n">
        <v>0</v>
      </c>
      <c r="Z548" s="6">
        <f>$T548*Y548</f>
        <v/>
      </c>
      <c r="AA548" s="7" t="n">
        <v>0</v>
      </c>
      <c r="AB548" s="6">
        <f>$T548*AA548</f>
        <v/>
      </c>
      <c r="AC548" s="7" t="n">
        <v>0</v>
      </c>
      <c r="AD548" s="6">
        <f>$T548*AC548</f>
        <v/>
      </c>
      <c r="AE548" s="7" t="n">
        <v>0</v>
      </c>
      <c r="AF548" s="6">
        <f>$T548*AE548</f>
        <v/>
      </c>
      <c r="AG548" s="7" t="n">
        <v>0</v>
      </c>
      <c r="AH548" s="6">
        <f>$T548*AG548</f>
        <v/>
      </c>
      <c r="AI548" s="7">
        <f>U548+W548+Y548+AA548+AC548+AE548+AG548</f>
        <v/>
      </c>
      <c r="AJ548" s="6">
        <f>V548+X548+Z548+AB548+AD548+AF548+AH548</f>
        <v/>
      </c>
    </row>
    <row r="549" ht="60" customHeight="1" s="46">
      <c r="A549" s="3" t="inlineStr">
        <is>
          <t>LOM252.OC.EEA.PA02.G7400.D0006.0025</t>
        </is>
      </c>
      <c r="B549" s="4" t="inlineStr">
        <is>
          <t>1/1</t>
        </is>
      </c>
      <c r="C549" s="3" t="inlineStr">
        <is>
          <t>IMPIANTO ELETTRICO</t>
        </is>
      </c>
      <c r="D549" s="4" t="inlineStr">
        <is>
          <t>SPECIALE</t>
        </is>
      </c>
      <c r="E549" s="4" t="inlineStr">
        <is>
          <t>ELETTRICHE SPECIALI</t>
        </is>
      </c>
      <c r="F549" s="3" t="inlineStr">
        <is>
          <t>3_CME IE RADIOFARMACIA PAVIA - REV02 VARIANTE ESECUTIVA.PDF</t>
        </is>
      </c>
      <c r="G549" s="4" t="inlineStr">
        <is>
          <t>53/53</t>
        </is>
      </c>
      <c r="H549" s="3" t="inlineStr">
        <is>
          <t>40 - IMPIANTISTICO</t>
        </is>
      </c>
      <c r="I549" s="3" t="inlineStr">
        <is>
          <t>RADIOFARMACIA</t>
        </is>
      </c>
      <c r="J549" s="3" t="inlineStr">
        <is>
          <t>DISTRIBUZIONE SECONDARIA</t>
        </is>
      </c>
      <c r="K549" s="3" t="inlineStr">
        <is>
          <t xml:space="preserve">OPERA: CAVIDOTTO FLESSIBILE DI PLASTICA POLIETILENE (PE); FINITURA: CORRUGATI | LISCI; DIAMETRO ESTERNO (Ø) [MM] = 110 | DIAMETRO INTERNO (Ø) [MM] = 94. </t>
        </is>
      </c>
      <c r="L549" s="3" t="inlineStr">
        <is>
          <t>OPERA: CAVIDOTTO FLESSIBILE DI PLASTICA POLIETILENE (PE); FINITURA: CORRUGATI | LISCI; DIAMETRO ESTERNO (Ø) [MM] = 110 | DIAMETRO INTERNO (Ø) [MM] = 94. 
LAVORO: POSA. ESCLUSO: SCAVO; PIANO APPOGGIO; RINFIANCO; RIEMPIMENTO. OP CAVIDOTTO FLESSIBILE DI PLASTICA POLIETILENE (PE); FINITURA: CORRUGATI | LISCI; DIAMETRO ESTERNO (Ø) [MM] = 110 | DIAMETRO INTERNO (Ø) [MM] = 94. 
RM TUBO A MANICOTTO DI GIUNZIONE DI PLASTICA POLIETILENE (PE); FINITURA: LISCIO; GEOMETRIA: CORRUGATO | FLESSIBILE | A DOPPIA PARETE ; IMPIEGO: CAVIDOTTO; DIAMETRO ESTERNO (Ø) [MM] = 94 | DIAMETRO INTERNO (Ø) [MM] = 94. INCLUSO: TIRAFILO INCORPORATO 
SPECIFICHE TECNICHE: CORRUGATA ESTERNA E LISCIA INTERNA 
RM AGGREGATO SABBIA VIVA DI ROCCIA NATURALE MINERALE; IMPIEGO: IMPASTI; PESO SPECIFICO MEDIO [KG/M³] = 1450 
SPECIFICHE TECNICHE: DI CAVA, LAVATA E VAGLIATA 
LV POSA. ESCLUSO: SCAVO; PIANO APPOGGIO; RINFIANCO; RIEMPIMENTO. 
RP PALA CINGOLATA; POTENZA [KW] ≤ 55. DA CONTEGGIARE A PARTE: SPESE DI ESERCIZIO (RP.00.00.05.1030.A)
[DIMENSIONI: 50,00]</t>
        </is>
      </c>
      <c r="M549" s="4" t="inlineStr">
        <is>
          <t>M</t>
        </is>
      </c>
      <c r="N549" s="5" t="n">
        <v>50</v>
      </c>
      <c r="O549" s="45" t="n">
        <v>10.99</v>
      </c>
      <c r="P549" s="45" t="n">
        <v>549.5</v>
      </c>
      <c r="Q549" s="5" t="n"/>
      <c r="R549" s="6" t="n"/>
      <c r="S549" s="6">
        <f>IF(AND(Q549&lt;&gt;"",R549&lt;&gt;""),Q549*R549,"")</f>
        <v/>
      </c>
      <c r="T549" s="45">
        <f>IF(S549="",P549,S549)</f>
        <v/>
      </c>
      <c r="U549" s="7" t="n">
        <v>0</v>
      </c>
      <c r="V549" s="6">
        <f>$T549*U549</f>
        <v/>
      </c>
      <c r="W549" s="7" t="n">
        <v>0.3</v>
      </c>
      <c r="X549" s="6">
        <f>$T549*W549</f>
        <v/>
      </c>
      <c r="Y549" s="7" t="n">
        <v>0</v>
      </c>
      <c r="Z549" s="6">
        <f>$T549*Y549</f>
        <v/>
      </c>
      <c r="AA549" s="7" t="n">
        <v>0</v>
      </c>
      <c r="AB549" s="6">
        <f>$T549*AA549</f>
        <v/>
      </c>
      <c r="AC549" s="7" t="n">
        <v>0</v>
      </c>
      <c r="AD549" s="6">
        <f>$T549*AC549</f>
        <v/>
      </c>
      <c r="AE549" s="7" t="n">
        <v>0</v>
      </c>
      <c r="AF549" s="6">
        <f>$T549*AE549</f>
        <v/>
      </c>
      <c r="AG549" s="7" t="n">
        <v>0</v>
      </c>
      <c r="AH549" s="6">
        <f>$T549*AG549</f>
        <v/>
      </c>
      <c r="AI549" s="7">
        <f>U549+W549+Y549+AA549+AC549+AE549+AG549</f>
        <v/>
      </c>
      <c r="AJ549" s="6">
        <f>V549+X549+Z549+AB549+AD549+AF549+AH549</f>
        <v/>
      </c>
    </row>
    <row r="550" ht="60" customHeight="1" s="46">
      <c r="A550" s="3" t="inlineStr">
        <is>
          <t>LOM252.OC.EEA.PA02.G7400.D0006.0040</t>
        </is>
      </c>
      <c r="B550" s="4" t="inlineStr">
        <is>
          <t>2/2</t>
        </is>
      </c>
      <c r="C550" s="3" t="inlineStr">
        <is>
          <t>IMPIANTO ELETTRICO</t>
        </is>
      </c>
      <c r="D550" s="4" t="inlineStr">
        <is>
          <t>SPECIALE</t>
        </is>
      </c>
      <c r="E550" s="4" t="inlineStr">
        <is>
          <t>ELETTRICHE SPECIALI</t>
        </is>
      </c>
      <c r="F550" s="3" t="inlineStr">
        <is>
          <t>3_CME IE RADIOFARMACIA PAVIA - REV02 VARIANTE ESECUTIVA.PDF</t>
        </is>
      </c>
      <c r="G550" s="4" t="inlineStr">
        <is>
          <t>54/54</t>
        </is>
      </c>
      <c r="H550" s="3" t="inlineStr">
        <is>
          <t>40 - IMPIANTISTICO</t>
        </is>
      </c>
      <c r="I550" s="3" t="inlineStr">
        <is>
          <t>RADIOFARMACIA</t>
        </is>
      </c>
      <c r="J550" s="3" t="inlineStr">
        <is>
          <t>DISTRIBUZIONE SECONDARIA</t>
        </is>
      </c>
      <c r="K550" s="3" t="inlineStr">
        <is>
          <t xml:space="preserve">OPERA: CAVIDOTTO FLESSIBILE DI PLASTICA POLIETILENE (PE); FINITURA: CORRUGATI | LISCI; DIAMETRO ESTERNO (Ø) [MM] = 160 | DIAMETRO INTERNO (Ø) [MM] = 138. </t>
        </is>
      </c>
      <c r="L550" s="3" t="inlineStr">
        <is>
          <t>OPERA: CAVIDOTTO FLESSIBILE DI PLASTICA POLIETILENE (PE); FINITURA: CORRUGATI | LISCI; DIAMETRO ESTERNO (Ø) [MM] = 160 | DIAMETRO INTERNO (Ø) [MM] = 138. 
LAVORO: POSA. ESCLUSO: SCAVO; PIANO APPOGGIO; RINFIANCO; RIEMPIMENTO. OP CAVIDOTTO FLESSIBILE DI PLASTICA POLIETILENE (PE); FINITURA: CORRUGATI | LISCI; DIAMETRO ESTERNO (Ø) [MM] = 160 | DIAMETRO INTERNO (Ø) [MM] = 138. 
RM TUBO A MANICOTTO DI GIUNZIONE DI PLASTICA POLIETILENE (PE); FINITURA: LISCIA; GEOMETRIA: CORRUGATI | FLESSIBILE | A DOPPIA PARETE ; IMPIEGO: CAVIDOTTO; DIAMETRO ESTERNO (Ø) [MM] = 160 | DIAMETRO INTERNO (Ø) [MM] = 138. INCLUSO: TIRAFILO INCORPORATO 
RM AGGREGATO SABBIA VIVA DI ROCCIA NATURALE MINERALE; IMPIEGO: IMPASTI; PESO SPECIFICO MEDIO [KG/M³] = 1450 
SPECIFICHE TECNICHE: DI CAVA, LAVATA E VAGLIATA 
LV POSA. ESCLUSO: SCAVO; PIANO APPOGGIO; RINFIANCO; RIEMPIMENTO. 
RP PALA CINGOLATA; POTENZA [KW] ≤ 55. DA CONTEGGIARE A PARTE: SPESE DI ESERCIZIO (RP.00.00.05.1030.A)
[DIMENSIONI: 50,00]</t>
        </is>
      </c>
      <c r="M550" s="4" t="inlineStr">
        <is>
          <t>M</t>
        </is>
      </c>
      <c r="N550" s="5" t="n">
        <v>50</v>
      </c>
      <c r="O550" s="45" t="n">
        <v>15.25</v>
      </c>
      <c r="P550" s="45" t="n">
        <v>762.5</v>
      </c>
      <c r="Q550" s="5" t="n"/>
      <c r="R550" s="6" t="n"/>
      <c r="S550" s="6">
        <f>IF(AND(Q550&lt;&gt;"",R550&lt;&gt;""),Q550*R550,"")</f>
        <v/>
      </c>
      <c r="T550" s="45">
        <f>IF(S550="",P550,S550)</f>
        <v/>
      </c>
      <c r="U550" s="7" t="n">
        <v>0</v>
      </c>
      <c r="V550" s="6">
        <f>$T550*U550</f>
        <v/>
      </c>
      <c r="W550" s="7" t="n">
        <v>0.3</v>
      </c>
      <c r="X550" s="6">
        <f>$T550*W550</f>
        <v/>
      </c>
      <c r="Y550" s="7" t="n">
        <v>0</v>
      </c>
      <c r="Z550" s="6">
        <f>$T550*Y550</f>
        <v/>
      </c>
      <c r="AA550" s="7" t="n">
        <v>0</v>
      </c>
      <c r="AB550" s="6">
        <f>$T550*AA550</f>
        <v/>
      </c>
      <c r="AC550" s="7" t="n">
        <v>0</v>
      </c>
      <c r="AD550" s="6">
        <f>$T550*AC550</f>
        <v/>
      </c>
      <c r="AE550" s="7" t="n">
        <v>0</v>
      </c>
      <c r="AF550" s="6">
        <f>$T550*AE550</f>
        <v/>
      </c>
      <c r="AG550" s="7" t="n">
        <v>0</v>
      </c>
      <c r="AH550" s="6">
        <f>$T550*AG550</f>
        <v/>
      </c>
      <c r="AI550" s="7">
        <f>U550+W550+Y550+AA550+AC550+AE550+AG550</f>
        <v/>
      </c>
      <c r="AJ550" s="6">
        <f>V550+X550+Z550+AB550+AD550+AF550+AH550</f>
        <v/>
      </c>
    </row>
    <row r="551" hidden="1" ht="60" customHeight="1" s="46">
      <c r="A551" s="3" t="inlineStr">
        <is>
          <t>LOM252.OC.EEA.PA01.G8237.ZA001.0250</t>
        </is>
      </c>
      <c r="B551" s="4" t="inlineStr">
        <is>
          <t>2/2</t>
        </is>
      </c>
      <c r="C551" s="3" t="inlineStr">
        <is>
          <t>IMPIANTO ELETTRICO</t>
        </is>
      </c>
      <c r="D551" s="4" t="inlineStr">
        <is>
          <t>SPECIALE</t>
        </is>
      </c>
      <c r="E551" s="4" t="inlineStr">
        <is>
          <t>ELETTRICHE SPECIALI</t>
        </is>
      </c>
      <c r="F551" s="3" t="inlineStr">
        <is>
          <t>3_CME IE RADIOFARMACIA PAVIA - REV02 VARIANTE ESECUTIVA.PDF</t>
        </is>
      </c>
      <c r="G551" s="4" t="inlineStr">
        <is>
          <t>55/55</t>
        </is>
      </c>
      <c r="H551" s="3" t="inlineStr">
        <is>
          <t>40 - IMPIANTISTICO</t>
        </is>
      </c>
      <c r="I551" s="3" t="inlineStr">
        <is>
          <t>RADIOFARMACIA</t>
        </is>
      </c>
      <c r="J551" s="3" t="inlineStr">
        <is>
          <t>IMPIANTO DI ILLUMINAZIONE</t>
        </is>
      </c>
      <c r="K551" s="3" t="inlineStr">
        <is>
          <t>OPERA: DERIVAZIONE D'IMPIANTO PUNTO LUCE, COMANDATO; IMPIEGO: DERIVAZIONE D'IMPIANTO DA INCASSO. INCLUSO: TUBO PROTETTIVO; CONDUTTORI DI ALIMENTAZIONE E DI TERRA; SCATOLE DA INCASSO; FRUTTI COMPONIBIL</t>
        </is>
      </c>
      <c r="L551" s="3" t="inlineStr">
        <is>
          <t>OPERA: DERIVAZIONE D'IMPIANTO PUNTO LUCE, COMANDATO; IMPIEGO: DERIVAZIONE D'IMPIANTO DA INCASSO. INCLUSO: TUBO PROTETTIVO; CONDUTTORI DI ALIMENTAZIONE E DI TERRA; SCATOLE DA INCASSO; FRUTTI COMPONIBILI; PLACCHE; SUPPORTI; TASSELLI/GANCI. ESCLUSO: ORGANO DI COMANDO SUL QUADRO. 
LAVORO: INSTALLAZIONE IN OPERA. INCLUSO: LINEA DI COLLEGAMENTO ALLO SPECIFICO PUNTO DI ALIMENTAZIONE; FISSAGGIO DELLE CANALIZZAZIONI A MEZZO DI TASSELLI O GANCI; ASSISTENZA PER IL TRASPORTO DEI MATERIALI AL PIANO. 
SPECIFICHE TECNICHE: COMANDATO DAL QUADRO ELETTRICO;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COMANDATO; IMPIEGO: DERIVAZIONE D'IMPIANTO DA INCASSO. INCLUSO: TUBO PROTETTIVO; CONDUTTORI DI ALIMENTAZIONE E DI TERRA; SCATOLE DA INCASSO; FRUTTI COMPONIBILI; PLACCHE; SUPPORTI; TASSELLI/GANCI. ESCLUSO: ORGANO DI COMANDO SUL QUADRO. 
SPECIFICHE TECNICHE: COMANDATO DAL QUADRO ELETTRICO;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COMANDATO; IMPIEGO: DERIVAZIONE D'IMPIANTO DA INCASSO. INCLUSO: TUBO PROTETTIVO; CONDUTTORI DI ALIMENTAZIONE E DI TERRA; SCATOLE DA INCASSO; FRUTTI COMPONIBILI; PLACCHE; SUPPORTI; TASSELLI/GANCI. ESCLUSO: ORGANO DI COMANDO SUL QUADRO 
SPECIFICHE TECNICHE: COMANDATO DAL QUADRO ELETTRICO;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551" s="4" t="inlineStr">
        <is>
          <t>CAD</t>
        </is>
      </c>
      <c r="N551" s="5" t="n">
        <v>22</v>
      </c>
      <c r="O551" s="45" t="n">
        <v>31.33</v>
      </c>
      <c r="P551" s="45" t="n">
        <v>689.26</v>
      </c>
      <c r="Q551" s="5" t="n"/>
      <c r="R551" s="6" t="n"/>
      <c r="S551" s="6">
        <f>IF(AND(Q551&lt;&gt;"",R551&lt;&gt;""),Q551*R551,"")</f>
        <v/>
      </c>
      <c r="T551" s="45">
        <f>IF(S551="",P551,S551)</f>
        <v/>
      </c>
      <c r="U551" s="7" t="n">
        <v>0</v>
      </c>
      <c r="V551" s="6">
        <f>$T551*U551</f>
        <v/>
      </c>
      <c r="W551" s="7" t="n">
        <v>0</v>
      </c>
      <c r="X551" s="6">
        <f>$T551*W551</f>
        <v/>
      </c>
      <c r="Y551" s="7" t="n">
        <v>0</v>
      </c>
      <c r="Z551" s="6">
        <f>$T551*Y551</f>
        <v/>
      </c>
      <c r="AA551" s="7" t="n">
        <v>0</v>
      </c>
      <c r="AB551" s="6">
        <f>$T551*AA551</f>
        <v/>
      </c>
      <c r="AC551" s="7" t="n">
        <v>0</v>
      </c>
      <c r="AD551" s="6">
        <f>$T551*AC551</f>
        <v/>
      </c>
      <c r="AE551" s="7" t="n">
        <v>0</v>
      </c>
      <c r="AF551" s="6">
        <f>$T551*AE551</f>
        <v/>
      </c>
      <c r="AG551" s="7" t="n">
        <v>0</v>
      </c>
      <c r="AH551" s="6">
        <f>$T551*AG551</f>
        <v/>
      </c>
      <c r="AI551" s="7">
        <f>U551+W551+Y551+AA551+AC551+AE551+AG551</f>
        <v/>
      </c>
      <c r="AJ551" s="6">
        <f>V551+X551+Z551+AB551+AD551+AF551+AH551</f>
        <v/>
      </c>
    </row>
    <row r="552" hidden="1" ht="60" customHeight="1" s="46">
      <c r="A552" s="3" t="inlineStr">
        <is>
          <t>LOM252.OC.EEA.PA01.G8237.ZA001.0260</t>
        </is>
      </c>
      <c r="B552" s="4" t="inlineStr">
        <is>
          <t>1/1</t>
        </is>
      </c>
      <c r="C552" s="3" t="inlineStr">
        <is>
          <t>IMPIANTO ELETTRICO</t>
        </is>
      </c>
      <c r="D552" s="4" t="inlineStr">
        <is>
          <t>SPECIALE</t>
        </is>
      </c>
      <c r="E552" s="4" t="inlineStr">
        <is>
          <t>ELETTRICHE SPECIALI</t>
        </is>
      </c>
      <c r="F552" s="3" t="inlineStr">
        <is>
          <t>3_CME IE RADIOFARMACIA PAVIA - REV02 VARIANTE ESECUTIVA.PDF</t>
        </is>
      </c>
      <c r="G552" s="4" t="inlineStr">
        <is>
          <t>56/56</t>
        </is>
      </c>
      <c r="H552" s="3" t="inlineStr">
        <is>
          <t>40 - IMPIANTISTICO</t>
        </is>
      </c>
      <c r="I552" s="3" t="inlineStr">
        <is>
          <t>RADIOFARMACIA</t>
        </is>
      </c>
      <c r="J552" s="3" t="inlineStr">
        <is>
          <t>IMPIANTO DI ILLUMINAZIONE</t>
        </is>
      </c>
      <c r="K552" s="3" t="inlineStr">
        <is>
          <t xml:space="preserve">OPERA: DERIVAZIONE D'IMPIANTO PUNTO LUCE, COMANDATO; IMPIEGO: DERIVAZIONE D'IMPIANTO A VISTA A PARETE/A SOFFITTO. INCLUSO: TUBO PROTETTIVO; CONDUTTORI DI ALIMENTAZIONE E DI TERRA; SCATOLE DA INCASSO; </t>
        </is>
      </c>
      <c r="L552" s="3" t="inlineStr">
        <is>
          <t>OPERA: DERIVAZIONE D'IMPIANTO PUNTO LUCE, COMANDATO; IMPIEGO: DERIVAZIONE D'IMPIANTO A VISTA A PARETE/A SOFFITTO. INCLUSO: TUBO PROTETTIVO; CONDUTTORI DI ALIMENTAZIONE E DI TERRA; SCATOLE DA INCASSO; FRUTTI COMPONIBILI; PLACCHE; SUPPORTI; TASSELLI/GANCI. ESCLUSO: ORGANO DI COMANDO SUL QUADRO. 
LAVORO: INSTALLAZIONE IN OPERA. INCLUSO: LINEA DI COLLEGAMENTO ALLO SPECIFICO PUNTO DI ALIMENTAZIONE; FISSAGGIO DELLE CANALIZZAZIONI A MEZZO DI TASSELLI O GANCI; ASSISTENZA PER IL TRASPORTO DEI MATERIALI AL PIANO. 
SPECIFICHE TECNICHE: COMANDATO DAL QUADRO ELETTRICO;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COMANDATO; IMPIEGO: DERIVAZIONE D'IMPIANTO A VISTA A PARETE/A SOFFITTO. INCLUSO: TUBO PROTETTIVO; CONDUTTORI DI ALIMENTAZIONE E DI TERRA; SCATOLE DA INCASSO; FRUTTI COMPONIBILI; PLACCHE; SUPPORTI; TASSELLI/GANCI. ESCLUSO: ORGANO DI COMANDO SUL QUADRO. 
SPECIFICHE TECNICHE: COMANDATO DAL QUADRO ELETTRICO;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COMANDATO; IMPIEGO: DERIVAZIONE D'IMPIANTO A VISTA A PARETE/A SOFFITTO. INCLUSO: TUBO PROTETTIVO; CONDUTTORI DI ALIMENTAZIONE E DI TERRA; SCATOLE DA INCASSO; FRUTTI COMPONIBILI; PLACCHE; SUPPORTI; TASSELLI/GANCI. ESCLUSO: ORGANO DI COMANDO SUL QUADRO 
SPECIFICHE TECNICHE: COMANDATO DAL QUADRO ELETTRICO;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552" s="4" t="inlineStr">
        <is>
          <t>CAD</t>
        </is>
      </c>
      <c r="N552" s="5" t="n">
        <v>5</v>
      </c>
      <c r="O552" s="45" t="n">
        <v>31.33</v>
      </c>
      <c r="P552" s="45" t="n">
        <v>156.65</v>
      </c>
      <c r="Q552" s="5" t="n"/>
      <c r="R552" s="6" t="n"/>
      <c r="S552" s="6">
        <f>IF(AND(Q552&lt;&gt;"",R552&lt;&gt;""),Q552*R552,"")</f>
        <v/>
      </c>
      <c r="T552" s="45">
        <f>IF(S552="",P552,S552)</f>
        <v/>
      </c>
      <c r="U552" s="7" t="n">
        <v>0</v>
      </c>
      <c r="V552" s="6">
        <f>$T552*U552</f>
        <v/>
      </c>
      <c r="W552" s="7" t="n">
        <v>0</v>
      </c>
      <c r="X552" s="6">
        <f>$T552*W552</f>
        <v/>
      </c>
      <c r="Y552" s="7" t="n">
        <v>0</v>
      </c>
      <c r="Z552" s="6">
        <f>$T552*Y552</f>
        <v/>
      </c>
      <c r="AA552" s="7" t="n">
        <v>0</v>
      </c>
      <c r="AB552" s="6">
        <f>$T552*AA552</f>
        <v/>
      </c>
      <c r="AC552" s="7" t="n">
        <v>0</v>
      </c>
      <c r="AD552" s="6">
        <f>$T552*AC552</f>
        <v/>
      </c>
      <c r="AE552" s="7" t="n">
        <v>0</v>
      </c>
      <c r="AF552" s="6">
        <f>$T552*AE552</f>
        <v/>
      </c>
      <c r="AG552" s="7" t="n">
        <v>0</v>
      </c>
      <c r="AH552" s="6">
        <f>$T552*AG552</f>
        <v/>
      </c>
      <c r="AI552" s="7">
        <f>U552+W552+Y552+AA552+AC552+AE552+AG552</f>
        <v/>
      </c>
      <c r="AJ552" s="6">
        <f>V552+X552+Z552+AB552+AD552+AF552+AH552</f>
        <v/>
      </c>
    </row>
    <row r="553" hidden="1" ht="60" customHeight="1" s="46">
      <c r="A553" s="3" t="inlineStr">
        <is>
          <t>LOM252.OC.EEA.PA01.G8237.ZA001.1005</t>
        </is>
      </c>
      <c r="B553" s="4" t="inlineStr">
        <is>
          <t>2/2</t>
        </is>
      </c>
      <c r="C553" s="3" t="inlineStr">
        <is>
          <t>IMPIANTO ELETTRICO</t>
        </is>
      </c>
      <c r="D553" s="4" t="inlineStr">
        <is>
          <t>SPECIALE</t>
        </is>
      </c>
      <c r="E553" s="4" t="inlineStr">
        <is>
          <t>ELETTRICHE SPECIALI</t>
        </is>
      </c>
      <c r="F553" s="3" t="inlineStr">
        <is>
          <t>3_CME IE RADIOFARMACIA PAVIA - REV02 VARIANTE ESECUTIVA.PDF</t>
        </is>
      </c>
      <c r="G553" s="4" t="inlineStr">
        <is>
          <t>57/57</t>
        </is>
      </c>
      <c r="H553" s="3" t="inlineStr">
        <is>
          <t>40 - IMPIANTISTICO</t>
        </is>
      </c>
      <c r="I553" s="3" t="inlineStr">
        <is>
          <t>RADIOFARMACIA</t>
        </is>
      </c>
      <c r="J553" s="3" t="inlineStr">
        <is>
          <t>IMPIANTO DI ILLUMINAZIONE</t>
        </is>
      </c>
      <c r="K553" s="3" t="inlineStr">
        <is>
          <t>OPERA: DERIVAZIONE D'IMPIANTO PUNTO LUCE, INTERROTTO; GEOMETRIA: INTERRUTTORE UNIPOLARE; IMPIEGO: DERIVAZIONE D'IMPIANTO DA INCASSO; TENSIONE NOMINALE SPIA [V] = 230. INCLUSO: TUBO PROTETTIVO; CONDUTT</t>
        </is>
      </c>
      <c r="L553" s="3" t="inlineStr">
        <is>
          <t>OPERA: DERIVAZIONE D'IMPIANTO PUNTO LUCE, INTERROTTO; GEOMETRIA: INTERRUTTORE UNIPOLARE; IMPIEGO: DERIVAZIONE D'IMPIANTO DA INCASSO; TENSIONE NOMINALE SPIA [V] = 230. INCLUSO: TUBO PROTETTIVO; CONDUTTORI DI ALIMENTAZIONE E DI TERRA; SCATOLE DA INCASSO; FRUTTI COMPONIBILI; PLACCHE; SUPPORTI; TASSELLI/GANCI. 
LAVORO: INSTALLAZIONE IN OPERA. INCLUSO: LINEA DI COLLEGAMENTO ALLO SPECIFICO PUNTO DI ALIMENTAZIONE; ASSISTENZA PER IL TRASPORTO DEI MATERIALI AL PIANO.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INTERROTTO; GEOMETRIA: INTERRUTTORE UNIPOLARE; IMPIEGO: DERIVAZIONE D'IMPIANTO DA INCASSO; TENSIONE NOMINALE SPIA [V] = 230.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INTERROTTO; GEOMETRIA: INTERRUTTORE UNIPOLARE; IMPIEGO: DERIVAZIONE D'IMPIANTO DA INCASSO; TENSIONE NOMINALE SPIA [V] = 230.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ASSISTENZA PER IL TRASPORTO DEI MATERIALI AL PIANO.</t>
        </is>
      </c>
      <c r="M553" s="4" t="inlineStr">
        <is>
          <t>CAD</t>
        </is>
      </c>
      <c r="N553" s="5" t="n">
        <v>14</v>
      </c>
      <c r="O553" s="45" t="n">
        <v>48.82</v>
      </c>
      <c r="P553" s="45" t="n">
        <v>683.48</v>
      </c>
      <c r="Q553" s="5" t="n"/>
      <c r="R553" s="6" t="n"/>
      <c r="S553" s="6">
        <f>IF(AND(Q553&lt;&gt;"",R553&lt;&gt;""),Q553*R553,"")</f>
        <v/>
      </c>
      <c r="T553" s="45">
        <f>IF(S553="",P553,S553)</f>
        <v/>
      </c>
      <c r="U553" s="7" t="n">
        <v>0</v>
      </c>
      <c r="V553" s="6">
        <f>$T553*U553</f>
        <v/>
      </c>
      <c r="W553" s="7" t="n">
        <v>0</v>
      </c>
      <c r="X553" s="6">
        <f>$T553*W553</f>
        <v/>
      </c>
      <c r="Y553" s="7" t="n">
        <v>0</v>
      </c>
      <c r="Z553" s="6">
        <f>$T553*Y553</f>
        <v/>
      </c>
      <c r="AA553" s="7" t="n">
        <v>0</v>
      </c>
      <c r="AB553" s="6">
        <f>$T553*AA553</f>
        <v/>
      </c>
      <c r="AC553" s="7" t="n">
        <v>0</v>
      </c>
      <c r="AD553" s="6">
        <f>$T553*AC553</f>
        <v/>
      </c>
      <c r="AE553" s="7" t="n">
        <v>0</v>
      </c>
      <c r="AF553" s="6">
        <f>$T553*AE553</f>
        <v/>
      </c>
      <c r="AG553" s="7" t="n">
        <v>0</v>
      </c>
      <c r="AH553" s="6">
        <f>$T553*AG553</f>
        <v/>
      </c>
      <c r="AI553" s="7">
        <f>U553+W553+Y553+AA553+AC553+AE553+AG553</f>
        <v/>
      </c>
      <c r="AJ553" s="6">
        <f>V553+X553+Z553+AB553+AD553+AF553+AH553</f>
        <v/>
      </c>
    </row>
    <row r="554" hidden="1" ht="60" customHeight="1" s="46">
      <c r="A554" s="3" t="inlineStr">
        <is>
          <t>LOM252.OC.EEA.PA01.G8237.ZA001.0000</t>
        </is>
      </c>
      <c r="B554" s="4" t="inlineStr">
        <is>
          <t>2/2</t>
        </is>
      </c>
      <c r="C554" s="3" t="inlineStr">
        <is>
          <t>IMPIANTO ELETTRICO</t>
        </is>
      </c>
      <c r="D554" s="4" t="inlineStr">
        <is>
          <t>SPECIALE</t>
        </is>
      </c>
      <c r="E554" s="4" t="inlineStr">
        <is>
          <t>ELETTRICHE SPECIALI</t>
        </is>
      </c>
      <c r="F554" s="3" t="inlineStr">
        <is>
          <t>3_CME IE RADIOFARMACIA PAVIA - REV02 VARIANTE ESECUTIVA.PDF</t>
        </is>
      </c>
      <c r="G554" s="4" t="inlineStr">
        <is>
          <t>58/58</t>
        </is>
      </c>
      <c r="H554" s="3" t="inlineStr">
        <is>
          <t>40 - IMPIANTISTICO</t>
        </is>
      </c>
      <c r="I554" s="3" t="inlineStr">
        <is>
          <t>RADIOFARMACIA</t>
        </is>
      </c>
      <c r="J554" s="3" t="inlineStr">
        <is>
          <t>IMPIANTO DI ILLUMINAZIONE</t>
        </is>
      </c>
      <c r="K554" s="3" t="inlineStr">
        <is>
          <t>OPERA: DERIVAZIONE D'IMPIANTO PUNTO LUCE, A RELÈ; GEOMETRIA: INTERRUTTORE BIPOLARE; IMPIEGO: DERIVAZIONE D'IMPIANTO DA INCASSO. INCLUSO: RELÈ PASSO-PASSO BIPOLARE DA CASSETTA; TUBO PROTETTIVO; CONDUTT</t>
        </is>
      </c>
      <c r="L554" s="3" t="inlineStr">
        <is>
          <t>OPERA: DERIVAZIONE D'IMPIANTO PUNTO LUCE, A RELÈ; GEOMETRIA: INTERRUTTORE BIPOLARE; IMPIEGO: DERIVAZIONE D'IMPIANTO DA INCASSO. INCLUSO: RELÈ PASSO-PASSO BIPOLARE DA CASSETTA;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A RELÈ; GEOMETRIA: INTERRUTTORE BIPOLARE; IMPIEGO: DERIVAZIONE D'IMPIANTO DA INCASSO. INCLUSO: RELÈ PASSO-PASSO BIPOLARE DA CASSETTA;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A RELÈ; GEOMETRIA: INTERRUTTORE BIPOLARE; IMPIEGO: DERIVAZIONE D'IMPIANTO DA INCASSO. INCLUSO: RELÈ PASSO-PASSO BIPOLARE DA CASSETTA;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554" s="4" t="inlineStr">
        <is>
          <t>CAD</t>
        </is>
      </c>
      <c r="N554" s="5" t="n">
        <v>5</v>
      </c>
      <c r="O554" s="45" t="n">
        <v>52.37</v>
      </c>
      <c r="P554" s="45" t="n">
        <v>261.85</v>
      </c>
      <c r="Q554" s="5" t="n"/>
      <c r="R554" s="6" t="n"/>
      <c r="S554" s="6">
        <f>IF(AND(Q554&lt;&gt;"",R554&lt;&gt;""),Q554*R554,"")</f>
        <v/>
      </c>
      <c r="T554" s="45">
        <f>IF(S554="",P554,S554)</f>
        <v/>
      </c>
      <c r="U554" s="7" t="n">
        <v>0</v>
      </c>
      <c r="V554" s="6">
        <f>$T554*U554</f>
        <v/>
      </c>
      <c r="W554" s="7" t="n">
        <v>0</v>
      </c>
      <c r="X554" s="6">
        <f>$T554*W554</f>
        <v/>
      </c>
      <c r="Y554" s="7" t="n">
        <v>0</v>
      </c>
      <c r="Z554" s="6">
        <f>$T554*Y554</f>
        <v/>
      </c>
      <c r="AA554" s="7" t="n">
        <v>0</v>
      </c>
      <c r="AB554" s="6">
        <f>$T554*AA554</f>
        <v/>
      </c>
      <c r="AC554" s="7" t="n">
        <v>0</v>
      </c>
      <c r="AD554" s="6">
        <f>$T554*AC554</f>
        <v/>
      </c>
      <c r="AE554" s="7" t="n">
        <v>0</v>
      </c>
      <c r="AF554" s="6">
        <f>$T554*AE554</f>
        <v/>
      </c>
      <c r="AG554" s="7" t="n">
        <v>0</v>
      </c>
      <c r="AH554" s="6">
        <f>$T554*AG554</f>
        <v/>
      </c>
      <c r="AI554" s="7">
        <f>U554+W554+Y554+AA554+AC554+AE554+AG554</f>
        <v/>
      </c>
      <c r="AJ554" s="6">
        <f>V554+X554+Z554+AB554+AD554+AF554+AH554</f>
        <v/>
      </c>
    </row>
    <row r="555" hidden="1" ht="60" customHeight="1" s="46">
      <c r="A555" s="3" t="inlineStr">
        <is>
          <t>LOM252.OC.EEA.PA01.G8237.ZA001.0020</t>
        </is>
      </c>
      <c r="B555" s="4" t="inlineStr">
        <is>
          <t>1/1</t>
        </is>
      </c>
      <c r="C555" s="3" t="inlineStr">
        <is>
          <t>IMPIANTO ELETTRICO</t>
        </is>
      </c>
      <c r="D555" s="4" t="inlineStr">
        <is>
          <t>SPECIALE</t>
        </is>
      </c>
      <c r="E555" s="4" t="inlineStr">
        <is>
          <t>ELETTRICHE SPECIALI</t>
        </is>
      </c>
      <c r="F555" s="3" t="inlineStr">
        <is>
          <t>3_CME IE RADIOFARMACIA PAVIA - REV02 VARIANTE ESECUTIVA.PDF</t>
        </is>
      </c>
      <c r="G555" s="4" t="inlineStr">
        <is>
          <t>59/59</t>
        </is>
      </c>
      <c r="H555" s="3" t="inlineStr">
        <is>
          <t>40 - IMPIANTISTICO</t>
        </is>
      </c>
      <c r="I555" s="3" t="inlineStr">
        <is>
          <t>RADIOFARMACIA</t>
        </is>
      </c>
      <c r="J555" s="3" t="inlineStr">
        <is>
          <t>IMPIANTO DI ILLUMINAZIONE</t>
        </is>
      </c>
      <c r="K555" s="3" t="inlineStr">
        <is>
          <t>OPERA: DERIVAZIONE D'IMPIANTO PUNTO LUCE, A RELÈ; GEOMETRIA: INTERRUTTORE BIPOLARE; IMPIEGO: DERIVAZIONE D'IMPIANTO A VISTA A PARETE/A SOFFITTO. INCLUSO: RELÈ PASSO-PASSO BIPOLARE DA CASSETTA; TUBO PR</t>
        </is>
      </c>
      <c r="L555" s="3" t="inlineStr">
        <is>
          <t>OPERA: DERIVAZIONE D'IMPIANTO PUNTO LUCE, A RELÈ; GEOMETRIA: INTERRUTTORE BIPOLARE; IMPIEGO: DERIVAZIONE D'IMPIANTO A VISTA A PARETE/A SOFFITTO. INCLUSO: RELÈ PASSO-PASSO BIPOLARE DA CASSETTA;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A RELÈ; GEOMETRIA: INTERRUTTORE BIPOLARE; IMPIEGO: DERIVAZIONE D'IMPIANTO A VISTA A PARETE/A SOFFITTO. INCLUSO: RELÈ PASSO-PASSO BIPOLARE DA CASSETTA;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A RELÈ; GEOMETRIA: INTERRUTTORE BIPOLARE; IMPIEGO: DERIVAZIONE D'IMPIANTO A VISTA A PARETE/A SOFFITTO. INCLUSO: RELÈ PASSO-PASSO BIPOLARE DA CASSETTA;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555" s="4" t="inlineStr">
        <is>
          <t>CAD</t>
        </is>
      </c>
      <c r="N555" s="5" t="n">
        <v>4</v>
      </c>
      <c r="O555" s="45" t="n">
        <v>58.3</v>
      </c>
      <c r="P555" s="45" t="n">
        <v>233.2</v>
      </c>
      <c r="Q555" s="5" t="n"/>
      <c r="R555" s="6" t="n"/>
      <c r="S555" s="6">
        <f>IF(AND(Q555&lt;&gt;"",R555&lt;&gt;""),Q555*R555,"")</f>
        <v/>
      </c>
      <c r="T555" s="45">
        <f>IF(S555="",P555,S555)</f>
        <v/>
      </c>
      <c r="U555" s="7" t="n">
        <v>0</v>
      </c>
      <c r="V555" s="6">
        <f>$T555*U555</f>
        <v/>
      </c>
      <c r="W555" s="7" t="n">
        <v>0</v>
      </c>
      <c r="X555" s="6">
        <f>$T555*W555</f>
        <v/>
      </c>
      <c r="Y555" s="7" t="n">
        <v>0</v>
      </c>
      <c r="Z555" s="6">
        <f>$T555*Y555</f>
        <v/>
      </c>
      <c r="AA555" s="7" t="n">
        <v>0</v>
      </c>
      <c r="AB555" s="6">
        <f>$T555*AA555</f>
        <v/>
      </c>
      <c r="AC555" s="7" t="n">
        <v>0</v>
      </c>
      <c r="AD555" s="6">
        <f>$T555*AC555</f>
        <v/>
      </c>
      <c r="AE555" s="7" t="n">
        <v>0</v>
      </c>
      <c r="AF555" s="6">
        <f>$T555*AE555</f>
        <v/>
      </c>
      <c r="AG555" s="7" t="n">
        <v>0</v>
      </c>
      <c r="AH555" s="6">
        <f>$T555*AG555</f>
        <v/>
      </c>
      <c r="AI555" s="7">
        <f>U555+W555+Y555+AA555+AC555+AE555+AG555</f>
        <v/>
      </c>
      <c r="AJ555" s="6">
        <f>V555+X555+Z555+AB555+AD555+AF555+AH555</f>
        <v/>
      </c>
    </row>
    <row r="556" hidden="1" ht="60" customHeight="1" s="46">
      <c r="A556" s="3" t="inlineStr">
        <is>
          <t>LOM252.OC.EEA.PA01.G8237.ZA001.0750</t>
        </is>
      </c>
      <c r="B556" s="4" t="inlineStr">
        <is>
          <t>2/2</t>
        </is>
      </c>
      <c r="C556" s="3" t="inlineStr">
        <is>
          <t>IMPIANTO ELETTRICO</t>
        </is>
      </c>
      <c r="D556" s="4" t="inlineStr">
        <is>
          <t>SPECIALE</t>
        </is>
      </c>
      <c r="E556" s="4" t="inlineStr">
        <is>
          <t>ELETTRICHE SPECIALI</t>
        </is>
      </c>
      <c r="F556" s="3" t="inlineStr">
        <is>
          <t>3_CME IE RADIOFARMACIA PAVIA - REV02 VARIANTE ESECUTIVA.PDF</t>
        </is>
      </c>
      <c r="G556" s="4" t="inlineStr">
        <is>
          <t>60/60</t>
        </is>
      </c>
      <c r="H556" s="3" t="inlineStr">
        <is>
          <t>40 - IMPIANTISTICO</t>
        </is>
      </c>
      <c r="I556" s="3" t="inlineStr">
        <is>
          <t>RADIOFARMACIA</t>
        </is>
      </c>
      <c r="J556" s="3" t="inlineStr">
        <is>
          <t>IMPIANTO DI ILLUMINAZIONE</t>
        </is>
      </c>
      <c r="K556" s="3" t="inlineStr">
        <is>
          <t>OPERA: DERIVAZIONE D'IMPIANTO PUNTO LUCE, IN PARALLELO; IMPIEGO: DERIVAZIONE D'IMPIANTO DA INCASSO. INCLUSO: TUBO PROTETTIVO; CONDUTTORI DI ALIMENTAZIONE E DI TERRA; SCATOLE DA INCASSO; FRUTTI COMPONI</t>
        </is>
      </c>
      <c r="L556" s="3" t="inlineStr">
        <is>
          <t>OPERA: DERIVAZIONE D'IMPIANTO PUNTO LUCE, IN PARALLELO; IMPIEGO: DERIVAZIONE D'IMPIANTO DA INCASSO.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DA INCASSO. INCLUSO: TUBO PROTETTIVO; CONDUTTORI DI ALIMENTAZIONE E DI TERRA; SCATOLE DA INCASSO; FRUTTI COMPONIBILI; PLACCHE; SUPPORTI; TASSELLI/GANCI. 
SPECIFICHE TECNICHE: IN PARALLELO AD UNA QUALSIASI DERIVAZIONE;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DA INCASSO. INCLUSO: TUBO PROTETTIVO; CONDUTTORI DI ALIMENTAZIONE E DI TERRA; SCATOLE DA INCASSO; FRUTTI COMPONIBILI; PLACCHE; SUPPORTI; TASSELLI/GANCI 
SPECIFICHE TECNICHE: IN PARALLELO AD UNA QUALSIASI DERIVAZIONE;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556" s="4" t="inlineStr">
        <is>
          <t>CAD</t>
        </is>
      </c>
      <c r="N556" s="5" t="n">
        <v>67</v>
      </c>
      <c r="O556" s="45" t="n">
        <v>31.33</v>
      </c>
      <c r="P556" s="45" t="n">
        <v>2099.11</v>
      </c>
      <c r="Q556" s="5" t="n"/>
      <c r="R556" s="6" t="n"/>
      <c r="S556" s="6">
        <f>IF(AND(Q556&lt;&gt;"",R556&lt;&gt;""),Q556*R556,"")</f>
        <v/>
      </c>
      <c r="T556" s="45">
        <f>IF(S556="",P556,S556)</f>
        <v/>
      </c>
      <c r="U556" s="7" t="n">
        <v>0</v>
      </c>
      <c r="V556" s="6">
        <f>$T556*U556</f>
        <v/>
      </c>
      <c r="W556" s="7" t="n">
        <v>0</v>
      </c>
      <c r="X556" s="6">
        <f>$T556*W556</f>
        <v/>
      </c>
      <c r="Y556" s="7" t="n">
        <v>0</v>
      </c>
      <c r="Z556" s="6">
        <f>$T556*Y556</f>
        <v/>
      </c>
      <c r="AA556" s="7" t="n">
        <v>0</v>
      </c>
      <c r="AB556" s="6">
        <f>$T556*AA556</f>
        <v/>
      </c>
      <c r="AC556" s="7" t="n">
        <v>0</v>
      </c>
      <c r="AD556" s="6">
        <f>$T556*AC556</f>
        <v/>
      </c>
      <c r="AE556" s="7" t="n">
        <v>0</v>
      </c>
      <c r="AF556" s="6">
        <f>$T556*AE556</f>
        <v/>
      </c>
      <c r="AG556" s="7" t="n">
        <v>0</v>
      </c>
      <c r="AH556" s="6">
        <f>$T556*AG556</f>
        <v/>
      </c>
      <c r="AI556" s="7">
        <f>U556+W556+Y556+AA556+AC556+AE556+AG556</f>
        <v/>
      </c>
      <c r="AJ556" s="6">
        <f>V556+X556+Z556+AB556+AD556+AF556+AH556</f>
        <v/>
      </c>
    </row>
    <row r="557" ht="60" customHeight="1" s="46">
      <c r="A557" s="3" t="inlineStr">
        <is>
          <t>LOM252.OC.EEA.PA01.G8237.ZA001.0760</t>
        </is>
      </c>
      <c r="B557" s="4" t="inlineStr">
        <is>
          <t>6/6</t>
        </is>
      </c>
      <c r="C557" s="3" t="inlineStr">
        <is>
          <t>IMPIANTO ELETTRICO</t>
        </is>
      </c>
      <c r="D557" s="4" t="inlineStr">
        <is>
          <t>SPECIALE</t>
        </is>
      </c>
      <c r="E557" s="4" t="inlineStr">
        <is>
          <t>ELETTRICHE SPECIALI</t>
        </is>
      </c>
      <c r="F557" s="3" t="inlineStr">
        <is>
          <t>3_CME IE RADIOFARMACIA PAVIA - REV02 VARIANTE ESECUTIVA.PDF</t>
        </is>
      </c>
      <c r="G557" s="4" t="inlineStr">
        <is>
          <t>61/61</t>
        </is>
      </c>
      <c r="H557" s="3" t="inlineStr">
        <is>
          <t>40 - IMPIANTISTICO</t>
        </is>
      </c>
      <c r="I557" s="3" t="inlineStr">
        <is>
          <t>RADIOFARMACIA</t>
        </is>
      </c>
      <c r="J557" s="3" t="inlineStr">
        <is>
          <t>IMPIANTO DI ILLUMINAZIONE</t>
        </is>
      </c>
      <c r="K557" s="3" t="inlineStr">
        <is>
          <t>OPERA: DERIVAZIONE D'IMPIANTO PUNTO LUCE, IN PARALLELO; IMPIEGO: DERIVAZIONE D'IMPIANTO A VISTA A PARETE/A SOFFITTO. INCLUSO: TUBO PROTETTIVO; CONDUTTORI DI ALIMENTAZIONE E DI TERRA; SCATOLE DA INCASS</t>
        </is>
      </c>
      <c r="L557" s="3" t="inlineStr">
        <is>
          <t>OPERA: DERIVAZIONE D'IMPIANTO PUNTO LUCE, IN PARALLELO; IMPIEGO: DERIVAZIONE D'IMPIANTO A VISTA A PARETE/A SOFFITTO.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557" s="4" t="inlineStr">
        <is>
          <t>CAD</t>
        </is>
      </c>
      <c r="N557" s="5" t="n">
        <v>16</v>
      </c>
      <c r="O557" s="45" t="n">
        <v>31.33</v>
      </c>
      <c r="P557" s="45" t="n">
        <v>501.28</v>
      </c>
      <c r="Q557" s="5" t="n"/>
      <c r="R557" s="6" t="n"/>
      <c r="S557" s="6">
        <f>IF(AND(Q557&lt;&gt;"",R557&lt;&gt;""),Q557*R557,"")</f>
        <v/>
      </c>
      <c r="T557" s="45">
        <f>IF(S557="",P557,S557)</f>
        <v/>
      </c>
      <c r="U557" s="7" t="n">
        <v>0</v>
      </c>
      <c r="V557" s="6">
        <f>$T557*U557</f>
        <v/>
      </c>
      <c r="W557" s="7" t="n">
        <v>0.6</v>
      </c>
      <c r="X557" s="6">
        <f>$T557*W557</f>
        <v/>
      </c>
      <c r="Y557" s="7" t="n">
        <v>0</v>
      </c>
      <c r="Z557" s="6">
        <f>$T557*Y557</f>
        <v/>
      </c>
      <c r="AA557" s="7" t="n">
        <v>0</v>
      </c>
      <c r="AB557" s="6">
        <f>$T557*AA557</f>
        <v/>
      </c>
      <c r="AC557" s="7" t="n">
        <v>0</v>
      </c>
      <c r="AD557" s="6">
        <f>$T557*AC557</f>
        <v/>
      </c>
      <c r="AE557" s="7" t="n">
        <v>0</v>
      </c>
      <c r="AF557" s="6">
        <f>$T557*AE557</f>
        <v/>
      </c>
      <c r="AG557" s="7" t="n">
        <v>0</v>
      </c>
      <c r="AH557" s="6">
        <f>$T557*AG557</f>
        <v/>
      </c>
      <c r="AI557" s="7">
        <f>U557+W557+Y557+AA557+AC557+AE557+AG557</f>
        <v/>
      </c>
      <c r="AJ557" s="6">
        <f>V557+X557+Z557+AB557+AD557+AF557+AH557</f>
        <v/>
      </c>
    </row>
    <row r="558" ht="60" customHeight="1" s="46">
      <c r="A558" s="3" t="inlineStr">
        <is>
          <t>IE_NP_ILLEM01</t>
        </is>
      </c>
      <c r="B558" s="4" t="inlineStr">
        <is>
          <t>2/2</t>
        </is>
      </c>
      <c r="C558" s="3" t="inlineStr">
        <is>
          <t>IMPIANTO ELETTRICO</t>
        </is>
      </c>
      <c r="D558" s="4" t="inlineStr">
        <is>
          <t>SPECIALE</t>
        </is>
      </c>
      <c r="E558" s="4" t="inlineStr">
        <is>
          <t>ELETTRICHE SPECIALI</t>
        </is>
      </c>
      <c r="F558" s="3" t="inlineStr">
        <is>
          <t>3_CME IE RADIOFARMACIA PAVIA - REV02 VARIANTE ESECUTIVA.PDF</t>
        </is>
      </c>
      <c r="G558" s="4" t="inlineStr">
        <is>
          <t>62/62</t>
        </is>
      </c>
      <c r="H558" s="3" t="inlineStr">
        <is>
          <t>40 - IMPIANTISTICO</t>
        </is>
      </c>
      <c r="I558" s="3" t="inlineStr">
        <is>
          <t>RADIOFARMACIA</t>
        </is>
      </c>
      <c r="J558" s="3" t="inlineStr">
        <is>
          <t>IMPIANTO DI ILLUMINAZIONE</t>
        </is>
      </c>
      <c r="K558" s="3" t="inlineStr">
        <is>
          <t>MODULO INVERTER PER ILLUMINAZIONE DI EMERGENZA CON CONTROLLO LOCALE E CENTRALIZZATO, COSTITUITA DA UN COMPLESSO ELETTRONICO DI COMANDO E DA BATTERIE AL NI-CD, AUTONOMIA MINIMA 1,5 ORE, INSTALLABILE IN</t>
        </is>
      </c>
      <c r="L558" s="3" t="inlineStr">
        <is>
          <t>MODULO INVERTER PER ILLUMINAZIONE DI EMERGENZA CON CONTROLLO LOCALE E CENTRALIZZATO, COSTITUITA DA UN COMPLESSO ELETTRONICO DI COMANDO E DA BATTERIE AL NI-CD, AUTONOMIA MINIMA 1,5 ORE, INSTALLABILE IN PLAFONIERA E ADATTA PER L'ACCENSIONE DI MODULI LED; IDONEO ALL'IMPIEGO PER ILLUMINAZIONE PERMANENTE E NON PERMANENTE.</t>
        </is>
      </c>
      <c r="M558" s="4" t="inlineStr">
        <is>
          <t>CADAUNO</t>
        </is>
      </c>
      <c r="N558" s="5" t="n">
        <v>18</v>
      </c>
      <c r="O558" s="45" t="n">
        <v>118.59</v>
      </c>
      <c r="P558" s="45" t="n">
        <v>2134.62</v>
      </c>
      <c r="Q558" s="5" t="n"/>
      <c r="R558" s="6" t="n"/>
      <c r="S558" s="6">
        <f>IF(AND(Q558&lt;&gt;"",R558&lt;&gt;""),Q558*R558,"")</f>
        <v/>
      </c>
      <c r="T558" s="45">
        <f>IF(S558="",P558,S558)</f>
        <v/>
      </c>
      <c r="U558" s="7" t="n">
        <v>0</v>
      </c>
      <c r="V558" s="6">
        <f>$T558*U558</f>
        <v/>
      </c>
      <c r="W558" s="7" t="n">
        <v>0.6</v>
      </c>
      <c r="X558" s="6">
        <f>$T558*W558</f>
        <v/>
      </c>
      <c r="Y558" s="7" t="n">
        <v>0</v>
      </c>
      <c r="Z558" s="6">
        <f>$T558*Y558</f>
        <v/>
      </c>
      <c r="AA558" s="7" t="n">
        <v>0</v>
      </c>
      <c r="AB558" s="6">
        <f>$T558*AA558</f>
        <v/>
      </c>
      <c r="AC558" s="7" t="n">
        <v>0</v>
      </c>
      <c r="AD558" s="6">
        <f>$T558*AC558</f>
        <v/>
      </c>
      <c r="AE558" s="7" t="n">
        <v>0</v>
      </c>
      <c r="AF558" s="6">
        <f>$T558*AE558</f>
        <v/>
      </c>
      <c r="AG558" s="7" t="n">
        <v>0</v>
      </c>
      <c r="AH558" s="6">
        <f>$T558*AG558</f>
        <v/>
      </c>
      <c r="AI558" s="7">
        <f>U558+W558+Y558+AA558+AC558+AE558+AG558</f>
        <v/>
      </c>
      <c r="AJ558" s="6">
        <f>V558+X558+Z558+AB558+AD558+AF558+AH558</f>
        <v/>
      </c>
    </row>
    <row r="559" ht="60" customHeight="1" s="46">
      <c r="A559" s="3" t="inlineStr">
        <is>
          <t>IE_NP_ILLORD01</t>
        </is>
      </c>
      <c r="B559" s="4" t="inlineStr">
        <is>
          <t>5/5</t>
        </is>
      </c>
      <c r="C559" s="3" t="inlineStr">
        <is>
          <t>IMPIANTO ELETTRICO</t>
        </is>
      </c>
      <c r="D559" s="4" t="inlineStr">
        <is>
          <t>SPECIALE</t>
        </is>
      </c>
      <c r="E559" s="4" t="inlineStr">
        <is>
          <t>ELETTRICHE SPECIALI</t>
        </is>
      </c>
      <c r="F559" s="3" t="inlineStr">
        <is>
          <t>3_CME IE RADIOFARMACIA PAVIA - REV02 VARIANTE ESECUTIVA.PDF</t>
        </is>
      </c>
      <c r="G559" s="4" t="inlineStr">
        <is>
          <t>63/63</t>
        </is>
      </c>
      <c r="H559" s="3" t="inlineStr">
        <is>
          <t>40 - IMPIANTISTICO</t>
        </is>
      </c>
      <c r="I559" s="3" t="inlineStr">
        <is>
          <t>RADIOFARMACIA</t>
        </is>
      </c>
      <c r="J559" s="3" t="inlineStr">
        <is>
          <t>IMPIANTO DI ILLUMINAZIONE</t>
        </is>
      </c>
      <c r="K559" s="3" t="inlineStr">
        <is>
          <t>FORNITURA E POSA IN OPERA DI APPARECCHIO ILLUMINANTE INDUSTRIALE DI TIPO STAGNO INSTALLATO A PLAFONE E/O A SOSPENSIONE E TUTTI GLI ACCESSORI NECESSARI PER IL PERFETTO FUNZIONAMENTO DEL CORPO ILLUMINAN</t>
        </is>
      </c>
      <c r="L559" s="3" t="inlineStr">
        <is>
          <t>FORNITURA E POSA IN OPERA DI APPARECCHIO ILLUMINANTE INDUSTRIALE DI TIPO STAGNO INSTALLATO A PLAFONE E/O A SOSPENSIONE E TUTTI GLI ACCESSORI NECESSARI PER IL PERFETTO FUNZIONAMENTO DEL CORPO ILLUMINANTE. 
CARATTERISTICHE GENERALI: 
CLASSIFICAZIONE RISCHIO FOTOBIOLOGICO: RG0 GRUPPO ESENTE. 
TEMPERATURA COLORE 4000K 
POTENZA ASSORBITA (W TOT) 34W 
FLUSSO LUMINOSO USCENTE 5194LM 
CRI &gt;=80 
CLASSE DI ISOLAMENTO I 
LOW FLICKER &lt;3% 
GRADO DI PROTEZIONE IP66 
PESO 1.8KG 
NORME DI RIFERIMENTO EN 60598-1, EN 60598-2-1, EN 62471, UNI EN 13032-1:2012, UNI EN 13032-4:2015, IES LM-79-08 
MANTENIMENTO DEL FLUSSO LUMINOSO LED L80B20: 50.000H  
CARATTERISTICHE ELETTRICHE DI PILOTAGGIO 
ALIMENTAZIONE ELETTRONICA 230V-50/60HZ, 
FATTORE DI POTENZA ≥0,95 
MATERIALI 
CORPO: STAMPATO AD INIEZIONE IN POLICARBONATO GRIGIO, INFRANGIBILE, STABILIZZATO AI RAGGI UV, DI ELEVATA RESISTENZA MECCANICA GRAZIE ALLA STRUTTURA RINFORZATA DA NERVATURE INTERNE. 
DIFFUSORE: STAMPATO AD INIEZIONE IN POLICARBONATO CON RIGHE INTERNE PER UN MAGGIOR CONTROLLO LUMINOSO, AUTOESTINGUENTE V2, STABILIZZATO AI RAGGI UV, FINITURA ESTERNA LISCIA PER FACILITARE LA PULIZIA NECESSARIA PER AVERE LA MASSIMA EFFICIENZA LUMINOSA. IL POLICARBONATO UTILIZZATO È DI PRIMA SCELTA E STABILIZZATO AI RAGGI U.V. LA LAVORAZIONE ELIMINA L’EFFETTO DELL’ABBAGLIAMENTO MA NON DIMINUISCE IL RENDIMENTO. POLICARBONATO CON OTTIMO COEFFICIENTE DI DIFFUSIONE E DI TRASMISSIONE DELLA LUCE. CHIUSURA A INCASTRO E CON VITI DI SICUREZZA IN ACCIAIO INOX. 
RIFLETTORE IN ACCIAIO ZINCATO PREVERNICIATO BIANCO A FORNO CON RESINA POLIESTERE STABILIZZATO AI RAGGI UV. FISSATO AL CORPO CON INNESTO RAPIDO MEDIANTE DISPOSITIVO RICAVATO DIRETTAMENTE SUL CORPO. 
SONO COMPRESI LA MANODOPERA, GLI ALLACCIAMENTI ELETTRICI, GLI ACCESSORI DI MONTAGGIO, FISSAGGIO, ALIMENTAZIONE, SOSTEGNO, OGNI ONERE ACCESSORIO PER L’INSTALLAZIONE DELLA PLAFONIERA COME DA PROGETTO E MATERIALI DI CONSUMO. 
APPARECCHIO DISANO - MODELLO 960 HYDRO LED - MONEY SAVING  - ART. 164754-00 O EQUIVALENTE APPROVATO</t>
        </is>
      </c>
      <c r="M559" s="4" t="inlineStr">
        <is>
          <t>CADAUNO</t>
        </is>
      </c>
      <c r="N559" s="5" t="n">
        <v>18</v>
      </c>
      <c r="O559" s="45" t="n">
        <v>94.36</v>
      </c>
      <c r="P559" s="45" t="n">
        <v>1698.48</v>
      </c>
      <c r="Q559" s="5" t="n"/>
      <c r="R559" s="6" t="n"/>
      <c r="S559" s="6">
        <f>IF(AND(Q559&lt;&gt;"",R559&lt;&gt;""),Q559*R559,"")</f>
        <v/>
      </c>
      <c r="T559" s="45">
        <f>IF(S559="",P559,S559)</f>
        <v/>
      </c>
      <c r="U559" s="7" t="n">
        <v>0</v>
      </c>
      <c r="V559" s="6">
        <f>$T559*U559</f>
        <v/>
      </c>
      <c r="W559" s="7" t="n">
        <v>0.6</v>
      </c>
      <c r="X559" s="6">
        <f>$T559*W559</f>
        <v/>
      </c>
      <c r="Y559" s="7" t="n">
        <v>0</v>
      </c>
      <c r="Z559" s="6">
        <f>$T559*Y559</f>
        <v/>
      </c>
      <c r="AA559" s="7" t="n">
        <v>0</v>
      </c>
      <c r="AB559" s="6">
        <f>$T559*AA559</f>
        <v/>
      </c>
      <c r="AC559" s="7" t="n">
        <v>0</v>
      </c>
      <c r="AD559" s="6">
        <f>$T559*AC559</f>
        <v/>
      </c>
      <c r="AE559" s="7" t="n">
        <v>0</v>
      </c>
      <c r="AF559" s="6">
        <f>$T559*AE559</f>
        <v/>
      </c>
      <c r="AG559" s="7" t="n">
        <v>0</v>
      </c>
      <c r="AH559" s="6">
        <f>$T559*AG559</f>
        <v/>
      </c>
      <c r="AI559" s="7">
        <f>U559+W559+Y559+AA559+AC559+AE559+AG559</f>
        <v/>
      </c>
      <c r="AJ559" s="6">
        <f>V559+X559+Z559+AB559+AD559+AF559+AH559</f>
        <v/>
      </c>
    </row>
    <row r="560" ht="60" customHeight="1" s="46">
      <c r="A560" s="3" t="inlineStr">
        <is>
          <t>IE_NP_ILLORD05</t>
        </is>
      </c>
      <c r="B560" s="4" t="inlineStr">
        <is>
          <t>2/2</t>
        </is>
      </c>
      <c r="C560" s="3" t="inlineStr">
        <is>
          <t>IMPIANTO ELETTRICO</t>
        </is>
      </c>
      <c r="D560" s="4" t="inlineStr">
        <is>
          <t>SPECIALE</t>
        </is>
      </c>
      <c r="E560" s="4" t="inlineStr">
        <is>
          <t>ELETTRICHE SPECIALI</t>
        </is>
      </c>
      <c r="F560" s="3" t="inlineStr">
        <is>
          <t>3_CME IE RADIOFARMACIA PAVIA - REV02 VARIANTE ESECUTIVA.PDF</t>
        </is>
      </c>
      <c r="G560" s="4" t="inlineStr">
        <is>
          <t>64/64</t>
        </is>
      </c>
      <c r="H560" s="3" t="inlineStr">
        <is>
          <t>40 - IMPIANTISTICO</t>
        </is>
      </c>
      <c r="I560" s="3" t="inlineStr">
        <is>
          <t>RADIOFARMACIA</t>
        </is>
      </c>
      <c r="J560" s="3" t="inlineStr">
        <is>
          <t>IMPIANTO DI ILLUMINAZIONE</t>
        </is>
      </c>
      <c r="K560" s="3" t="inlineStr">
        <is>
          <t>FORNITURA E POSA IN OPERA DI APPARECCHIO ILLUMINANTE LINEARE INSTALLATO A PARETE E TUTTI GLI ACCESSORI NECESSARI PER IL PERFETTO FUNZIONAMENTO DEL CORPO ILLUMINANTE. CARATTERISTICHE GENERALI: CLASSIFI</t>
        </is>
      </c>
      <c r="L560" s="3" t="inlineStr">
        <is>
          <t>FORNITURA E POSA IN OPERA DI APPARECCHIO ILLUMINANTE LINEARE INSTALLATO A PARETE E TUTTI GLI ACCESSORI NECESSARI PER IL PERFETTO FUNZIONAMENTO DEL CORPO ILLUMINANTE. CARATTERISTICHE GENERALI: CLASSIFICAZIONE RISCHIO FOTOBIOLOGICO: RG0 GRUPPO ESENTE. TEMPERATURA COLORE 4000K POTENZA ASSORBITA (W TOT) 28W FLUSSO LUMINOSO USCENTE 2858LM CRI &gt;=80 CLASSE DI ISOLAMENTO I LOW FLICKER &lt;3% GRADO DI PROTEZIONE IP43 PESO 1.5KG NORME DI RIFERIMENTO EN 60598-1, EN 60598-2-1, EN 62471, UNI EN 13032-1:2012, UNI EN 13032-4:2015, IES LM-79-08 MANTENIMENTO DEL FLUSSO LUMINOSO LED L80B20: 50.000H  CARATTERISTICHE ELETTRICHE DI PILOTAGGIO ALIMENTAZIONE ELETTRONICA 230V-50/60HZ, FATTORE DI POTENZA ≥0,95 MATERIALI CORPO: IN ALLUMINIO ESTRUSO CON TESTATE DI CHIUSURA DIFFUSORE: IN POLICARBONATO TRASPARENTE, ANTIABBAGLIAMENTO, INFRANGIBILE EAUTOESTINGUENTE V2, STABILIZZATO AI RAGGI UV.  APPARECCHIO DISANO - MODELLO 420 RIGO LED - ART. 214567-00 O EQUIVALENTE APPROVATO</t>
        </is>
      </c>
      <c r="M560" s="4" t="inlineStr">
        <is>
          <t>CADAUNO</t>
        </is>
      </c>
      <c r="N560" s="5" t="n">
        <v>7</v>
      </c>
      <c r="O560" s="45" t="n">
        <v>139.34</v>
      </c>
      <c r="P560" s="45" t="n">
        <v>975.38</v>
      </c>
      <c r="Q560" s="5" t="n"/>
      <c r="R560" s="6" t="n"/>
      <c r="S560" s="6">
        <f>IF(AND(Q560&lt;&gt;"",R560&lt;&gt;""),Q560*R560,"")</f>
        <v/>
      </c>
      <c r="T560" s="45">
        <f>IF(S560="",P560,S560)</f>
        <v/>
      </c>
      <c r="U560" s="7" t="n">
        <v>0</v>
      </c>
      <c r="V560" s="6">
        <f>$T560*U560</f>
        <v/>
      </c>
      <c r="W560" s="7" t="n">
        <v>0.6</v>
      </c>
      <c r="X560" s="6">
        <f>$T560*W560</f>
        <v/>
      </c>
      <c r="Y560" s="7" t="n">
        <v>0</v>
      </c>
      <c r="Z560" s="6">
        <f>$T560*Y560</f>
        <v/>
      </c>
      <c r="AA560" s="7" t="n">
        <v>0</v>
      </c>
      <c r="AB560" s="6">
        <f>$T560*AA560</f>
        <v/>
      </c>
      <c r="AC560" s="7" t="n">
        <v>0</v>
      </c>
      <c r="AD560" s="6">
        <f>$T560*AC560</f>
        <v/>
      </c>
      <c r="AE560" s="7" t="n">
        <v>0</v>
      </c>
      <c r="AF560" s="6">
        <f>$T560*AE560</f>
        <v/>
      </c>
      <c r="AG560" s="7" t="n">
        <v>0</v>
      </c>
      <c r="AH560" s="6">
        <f>$T560*AG560</f>
        <v/>
      </c>
      <c r="AI560" s="7">
        <f>U560+W560+Y560+AA560+AC560+AE560+AG560</f>
        <v/>
      </c>
      <c r="AJ560" s="6">
        <f>V560+X560+Z560+AB560+AD560+AF560+AH560</f>
        <v/>
      </c>
    </row>
    <row r="561" ht="60" customHeight="1" s="46">
      <c r="A561" s="3" t="inlineStr">
        <is>
          <t>IE_NP_ILLORD02</t>
        </is>
      </c>
      <c r="B561" s="4" t="inlineStr">
        <is>
          <t>1/1</t>
        </is>
      </c>
      <c r="C561" s="3" t="inlineStr">
        <is>
          <t>IMPIANTO ELETTRICO</t>
        </is>
      </c>
      <c r="D561" s="4" t="inlineStr">
        <is>
          <t>SPECIALE</t>
        </is>
      </c>
      <c r="E561" s="4" t="inlineStr">
        <is>
          <t>ELETTRICHE SPECIALI</t>
        </is>
      </c>
      <c r="F561" s="3" t="inlineStr">
        <is>
          <t>3_CME IE RADIOFARMACIA PAVIA - REV02 VARIANTE ESECUTIVA.PDF</t>
        </is>
      </c>
      <c r="G561" s="4" t="inlineStr">
        <is>
          <t>65/65</t>
        </is>
      </c>
      <c r="H561" s="3" t="inlineStr">
        <is>
          <t>40 - IMPIANTISTICO</t>
        </is>
      </c>
      <c r="I561" s="3" t="inlineStr">
        <is>
          <t>RADIOFARMACIA</t>
        </is>
      </c>
      <c r="J561" s="3" t="inlineStr">
        <is>
          <t>IMPIANTO DI ILLUMINAZIONE</t>
        </is>
      </c>
      <c r="K561" s="3" t="inlineStr">
        <is>
          <t>PLAFONIERA AD INCASSO PER CONTROSOFFITTATURE A PANNELLI ADATTA AI LUOGHI CLASSIFICATI SECONDO LA NORMATIVA SULLE CAMERE BIANCHE EN 14644-1. PRODOTTO IN CONFORMITÀ ALLE NORME EN 60598 CEI 34-21, CLASSE</t>
        </is>
      </c>
      <c r="L561" s="3" t="inlineStr">
        <is>
          <t>PLAFONIERA AD INCASSO PER CONTROSOFFITTATURE A PANNELLI ADATTA AI LUOGHI CLASSIFICATI SECONDO LA NORMATIVA SULLE CAMERE BIANCHE EN 14644-1. PRODOTTO IN CONFORMITÀ ALLE NORME EN 60598 CEI 34-21, CLASSE DI ISOLAMENTO I E GRADO DI PROTEZIONE IP65 - IK05 IN CONFORMITÀ ALLE NORME EN 60529 E EN 50102. CORPO IN ACCIAIO ZINCATO PREVERNICIATO CON RESINA POLIESTERE, OTTICA AD ALVEOLI A DOPPIA PARABOLICITÀ ANTIRIFLESSO IN ALLUMINIO SPECULARE A BASSISSIMA LUMINANZA; EQUIPAGGIATA CON - MODULO DA: - LAMPADE LED 4000K 5400 LM POTENZA 47 W CON SISTEMA DIMMER ED EQUIPAGGIABILI CON MODULO DALI -  MODULO DA 600 X 600 MM APPARECCHIO BEGHELLI - MODELLO BEGHELLI CLINIC PANEL M600 41501 O EQUIVALENTE APPROVATO</t>
        </is>
      </c>
      <c r="M561" s="4" t="inlineStr">
        <is>
          <t>CADAUNO</t>
        </is>
      </c>
      <c r="N561" s="5" t="n">
        <v>61</v>
      </c>
      <c r="O561" s="45" t="n">
        <v>303.58</v>
      </c>
      <c r="P561" s="45" t="n">
        <v>18518.38</v>
      </c>
      <c r="Q561" s="5" t="n"/>
      <c r="R561" s="6" t="n"/>
      <c r="S561" s="6">
        <f>IF(AND(Q561&lt;&gt;"",R561&lt;&gt;""),Q561*R561,"")</f>
        <v/>
      </c>
      <c r="T561" s="45">
        <f>IF(S561="",P561,S561)</f>
        <v/>
      </c>
      <c r="U561" s="7" t="n">
        <v>0.5</v>
      </c>
      <c r="V561" s="6">
        <f>$T561*U561</f>
        <v/>
      </c>
      <c r="W561" s="7" t="n">
        <v>0.1</v>
      </c>
      <c r="X561" s="6">
        <f>$T561*W561</f>
        <v/>
      </c>
      <c r="Y561" s="7" t="n">
        <v>0</v>
      </c>
      <c r="Z561" s="6">
        <f>$T561*Y561</f>
        <v/>
      </c>
      <c r="AA561" s="7" t="n">
        <v>0</v>
      </c>
      <c r="AB561" s="6">
        <f>$T561*AA561</f>
        <v/>
      </c>
      <c r="AC561" s="7" t="n">
        <v>0</v>
      </c>
      <c r="AD561" s="6">
        <f>$T561*AC561</f>
        <v/>
      </c>
      <c r="AE561" s="7" t="n">
        <v>0</v>
      </c>
      <c r="AF561" s="6">
        <f>$T561*AE561</f>
        <v/>
      </c>
      <c r="AG561" s="7" t="n">
        <v>0</v>
      </c>
      <c r="AH561" s="6">
        <f>$T561*AG561</f>
        <v/>
      </c>
      <c r="AI561" s="7">
        <f>U561+W561+Y561+AA561+AC561+AE561+AG561</f>
        <v/>
      </c>
      <c r="AJ561" s="6">
        <f>V561+X561+Z561+AB561+AD561+AF561+AH561</f>
        <v/>
      </c>
    </row>
    <row r="562" ht="60" customHeight="1" s="46">
      <c r="A562" s="3" t="inlineStr">
        <is>
          <t>LOM252.OC.EEA.PA01.G8210.ZA001.0590</t>
        </is>
      </c>
      <c r="B562" s="4" t="inlineStr">
        <is>
          <t>5/5</t>
        </is>
      </c>
      <c r="C562" s="3" t="inlineStr">
        <is>
          <t>IMPIANTO ELETTRICO</t>
        </is>
      </c>
      <c r="D562" s="4" t="inlineStr">
        <is>
          <t>SPECIALE</t>
        </is>
      </c>
      <c r="E562" s="4" t="inlineStr">
        <is>
          <t>ELETTRICHE SPECIALI</t>
        </is>
      </c>
      <c r="F562" s="3" t="inlineStr">
        <is>
          <t>3_CME IE RADIOFARMACIA PAVIA - REV02 VARIANTE ESECUTIVA.PDF</t>
        </is>
      </c>
      <c r="G562" s="4" t="inlineStr">
        <is>
          <t>66/66</t>
        </is>
      </c>
      <c r="H562" s="3" t="inlineStr">
        <is>
          <t>40 - IMPIANTISTICO</t>
        </is>
      </c>
      <c r="I562" s="3" t="inlineStr">
        <is>
          <t>RADIOFARMACIA</t>
        </is>
      </c>
      <c r="J562" s="3" t="inlineStr">
        <is>
          <t>IMPIANTO DI ILLUMINAZIONE</t>
        </is>
      </c>
      <c r="K562" s="3" t="inlineStr">
        <is>
          <t>OPERA: CORPO ILLUMINANTE, LED; FUNZIONE: ILLUMINAZIONE DI EMERGENZA; AUTONOMIA [H] = 1 / 2 | FLUSSO LUMINOSO SE [LM] = 250 / 130 | FLUSSO LUMINOSO SA [LM] = 110. INCLUSO: LED MULTICOLORE. ESCLUSO: ACC</t>
        </is>
      </c>
      <c r="L562" s="3" t="inlineStr">
        <is>
          <t>OPERA: CORPO ILLUMINANTE, LED; FUNZIONE: ILLUMINAZIONE DI EMERGENZA; AUTONOMIA [H] = 1 / 2 | FLUSSO LUMINOSO SE [LM] = 250 / 130 | FLUSSO LUMINOSO SA [LM] = 110. INCLUSO: LED MULTICOLORE. ESCLUSO: ACCESSORIO MODULO AGGIUNTIVO. 
LAVORO: INSTALLAZIONE.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OP CORPO ILLUMINANTE, LED; FUNZIONE: ILLUMINAZIONE DI EMERGENZA; AUTONOMIA [H] = 1 / 2 | FLUSSO LUMINOSO SE [LM] = 250 / 130 | FLUSSO LUMINOSO SA [LM] = 110.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RM CORPO ILLUMINANTE LED; FUNZIONE: ILLUMINAZIONE DI EMERGENZA; AUTONOMIA [H] = 1 / 2 | FLUSSO LUMINOSO SE [LM] = 250 / 130 | FLUSSO LUMINOSO SA [LM] = 110. COMPONENTE: BATTERIA TITANIO, .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LV INSTALLAZIONE.</t>
        </is>
      </c>
      <c r="M562" s="4" t="inlineStr">
        <is>
          <t>CAD</t>
        </is>
      </c>
      <c r="N562" s="5" t="n">
        <v>5</v>
      </c>
      <c r="O562" s="45" t="n">
        <v>93.43000000000001</v>
      </c>
      <c r="P562" s="45" t="n">
        <v>467.15</v>
      </c>
      <c r="Q562" s="5" t="n"/>
      <c r="R562" s="6" t="n"/>
      <c r="S562" s="6">
        <f>IF(AND(Q562&lt;&gt;"",R562&lt;&gt;""),Q562*R562,"")</f>
        <v/>
      </c>
      <c r="T562" s="45">
        <f>IF(S562="",P562,S562)</f>
        <v/>
      </c>
      <c r="U562" s="7" t="n">
        <v>0</v>
      </c>
      <c r="V562" s="6">
        <f>$T562*U562</f>
        <v/>
      </c>
      <c r="W562" s="7" t="n">
        <v>0.6</v>
      </c>
      <c r="X562" s="6">
        <f>$T562*W562</f>
        <v/>
      </c>
      <c r="Y562" s="7" t="n">
        <v>0</v>
      </c>
      <c r="Z562" s="6">
        <f>$T562*Y562</f>
        <v/>
      </c>
      <c r="AA562" s="7" t="n">
        <v>0</v>
      </c>
      <c r="AB562" s="6">
        <f>$T562*AA562</f>
        <v/>
      </c>
      <c r="AC562" s="7" t="n">
        <v>0</v>
      </c>
      <c r="AD562" s="6">
        <f>$T562*AC562</f>
        <v/>
      </c>
      <c r="AE562" s="7" t="n">
        <v>0</v>
      </c>
      <c r="AF562" s="6">
        <f>$T562*AE562</f>
        <v/>
      </c>
      <c r="AG562" s="7" t="n">
        <v>0</v>
      </c>
      <c r="AH562" s="6">
        <f>$T562*AG562</f>
        <v/>
      </c>
      <c r="AI562" s="7">
        <f>U562+W562+Y562+AA562+AC562+AE562+AG562</f>
        <v/>
      </c>
      <c r="AJ562" s="6">
        <f>V562+X562+Z562+AB562+AD562+AF562+AH562</f>
        <v/>
      </c>
    </row>
    <row r="563" hidden="1" ht="60" customHeight="1" s="46">
      <c r="A563" s="3" t="inlineStr">
        <is>
          <t>LOM252.OC.EEA.PA01.G8235.ZA001.0250</t>
        </is>
      </c>
      <c r="B563" s="4" t="inlineStr">
        <is>
          <t>2/2</t>
        </is>
      </c>
      <c r="C563" s="3" t="inlineStr">
        <is>
          <t>IMPIANTO ELETTRICO</t>
        </is>
      </c>
      <c r="D563" s="4" t="inlineStr">
        <is>
          <t>SPECIALE</t>
        </is>
      </c>
      <c r="E563" s="4" t="inlineStr">
        <is>
          <t>ELETTRICHE SPECIALI</t>
        </is>
      </c>
      <c r="F563" s="3" t="inlineStr">
        <is>
          <t>3_CME IE RADIOFARMACIA PAVIA - REV02 VARIANTE ESECUTIVA.PDF</t>
        </is>
      </c>
      <c r="G563" s="4" t="inlineStr">
        <is>
          <t>67/67</t>
        </is>
      </c>
      <c r="H563" s="3" t="inlineStr">
        <is>
          <t>40 - IMPIANTISTICO</t>
        </is>
      </c>
      <c r="I563" s="3" t="inlineStr">
        <is>
          <t>RADIOFARMACIA</t>
        </is>
      </c>
      <c r="J563" s="3" t="inlineStr">
        <is>
          <t>IMPIANTO DI FORZA MOTRICE</t>
        </is>
      </c>
      <c r="K563" s="3" t="inlineStr">
        <is>
          <t xml:space="preserve">OPERA: DERIVAZIONE D'IMPIANTO PRESA, BIPASSO; FUNZIONE: PRESA DI CORRENTE; IMPIEGO: DERIVAZIONE D'IMPIANTO DA INCASSO; CORRENTE NOMINALE 1 [A] = 10 | CORRENTE NOMINALE 2 [A] = 16 | GRADO DI SICUREZZA </t>
        </is>
      </c>
      <c r="L563" s="3" t="inlineStr">
        <is>
          <t>OPERA: DERIVAZIONE D'IMPIANTO PRESA, BIPASSO; FUNZIONE: PRESA DI CORRENTE; IMPIEGO: DERIVAZIONE D'IMPIANTO DA INCASSO; CORRENTE NOMINALE 1 [A] = 10 | CORRENTE NOMINALE 2 [A] = 16 | GRADO DI SICUREZZA [-] = 2.2; N° PRESE [-] = 1 + T.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PRESA, BIPASSO; FUNZIONE: PRESA DI CORRENTE; IMPIEGO: DERIVAZIONE D'IMPIANTO DA INCASSO; CORRENTE NOMINALE 1 [A] = 10 | CORRENTE NOMINALE 2 [A] = 16 | GRADO DI SICUREZZA [-] = 2.2; N° PRESE [-] = 1 + T.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PRESA BIPASSO; FUNZIONE: PRESA DI CORRENTE; IMPIEGO: DERIVAZIONE D'IMPIANTO DA INCASSO; CORRENTE NOMINALE 1 [A] = 10 | CORRENTE NOMINALE 2 [A] = 16 | GRADO DI SICUREZZA [-] = 2.2; N° PRESE [-] = 2 + T.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
[DIMENSIONI: 32,00 2,000]</t>
        </is>
      </c>
      <c r="M563" s="4" t="inlineStr">
        <is>
          <t>CAD</t>
        </is>
      </c>
      <c r="N563" s="5" t="n">
        <v>89</v>
      </c>
      <c r="O563" s="45" t="n">
        <v>65.22</v>
      </c>
      <c r="P563" s="45" t="n">
        <v>5804.58</v>
      </c>
      <c r="Q563" s="5" t="n"/>
      <c r="R563" s="6" t="n"/>
      <c r="S563" s="6">
        <f>IF(AND(Q563&lt;&gt;"",R563&lt;&gt;""),Q563*R563,"")</f>
        <v/>
      </c>
      <c r="T563" s="45">
        <f>IF(S563="",P563,S563)</f>
        <v/>
      </c>
      <c r="U563" s="7" t="n">
        <v>0</v>
      </c>
      <c r="V563" s="6">
        <f>$T563*U563</f>
        <v/>
      </c>
      <c r="W563" s="7" t="n">
        <v>0</v>
      </c>
      <c r="X563" s="6">
        <f>$T563*W563</f>
        <v/>
      </c>
      <c r="Y563" s="7" t="n">
        <v>0</v>
      </c>
      <c r="Z563" s="6">
        <f>$T563*Y563</f>
        <v/>
      </c>
      <c r="AA563" s="7" t="n">
        <v>0</v>
      </c>
      <c r="AB563" s="6">
        <f>$T563*AA563</f>
        <v/>
      </c>
      <c r="AC563" s="7" t="n">
        <v>0</v>
      </c>
      <c r="AD563" s="6">
        <f>$T563*AC563</f>
        <v/>
      </c>
      <c r="AE563" s="7" t="n">
        <v>0</v>
      </c>
      <c r="AF563" s="6">
        <f>$T563*AE563</f>
        <v/>
      </c>
      <c r="AG563" s="7" t="n">
        <v>0</v>
      </c>
      <c r="AH563" s="6">
        <f>$T563*AG563</f>
        <v/>
      </c>
      <c r="AI563" s="7">
        <f>U563+W563+Y563+AA563+AC563+AE563+AG563</f>
        <v/>
      </c>
      <c r="AJ563" s="6">
        <f>V563+X563+Z563+AB563+AD563+AF563+AH563</f>
        <v/>
      </c>
    </row>
    <row r="564" hidden="1" ht="60" customHeight="1" s="46">
      <c r="A564" s="3" t="inlineStr">
        <is>
          <t>LOM252.OC.EEA.PA02.G8231.ZA001.1000</t>
        </is>
      </c>
      <c r="B564" s="4" t="inlineStr">
        <is>
          <t>5/5</t>
        </is>
      </c>
      <c r="C564" s="3" t="inlineStr">
        <is>
          <t>IMPIANTO ELETTRICO</t>
        </is>
      </c>
      <c r="D564" s="4" t="inlineStr">
        <is>
          <t>SPECIALE</t>
        </is>
      </c>
      <c r="E564" s="4" t="inlineStr">
        <is>
          <t>ELETTRICHE SPECIALI</t>
        </is>
      </c>
      <c r="F564" s="3" t="inlineStr">
        <is>
          <t>3_CME IE RADIOFARMACIA PAVIA - REV02 VARIANTE ESECUTIVA.PDF</t>
        </is>
      </c>
      <c r="G564" s="4" t="inlineStr">
        <is>
          <t>68/68</t>
        </is>
      </c>
      <c r="H564" s="3" t="inlineStr">
        <is>
          <t>40 - IMPIANTISTICO</t>
        </is>
      </c>
      <c r="I564" s="3" t="inlineStr">
        <is>
          <t>RADIOFARMACIA</t>
        </is>
      </c>
      <c r="J564" s="3" t="inlineStr">
        <is>
          <t>IMPIANTO DI FORZA MOTRICE</t>
        </is>
      </c>
      <c r="K564" s="3" t="inlineStr">
        <is>
          <t xml:space="preserve">OPERA: PRESA; CORRENTE NOMINALE [A] = 10/16; N° POLI [-] = 2P+T. </t>
        </is>
      </c>
      <c r="L564" s="3" t="inlineStr">
        <is>
          <t>OPERA: PRESA; CORRENTE NOMINALE [A] = 10/16; N° POLI [-] = 2P+T. 
LAVORO: POSA. 
SPECIFICHE TECNICHE: UNEL BIVALENTE MODULARE. OP PRESA; CORRENTE NOMINALE [A] = 10/16; N° POLI [-] = 2P+T. 
SPECIFICHE TECNICHE: UNEL BIVALENTE MODULARE. 
RM PRESA; CORRENTE NOMINALE [A] = 10/16; N° POLI [-] = 2P+T 
SPECIFICHE TECNICHE: UNEL BIVALENTE MODULARE 
LV POSA.
[DIMENSIONI: 32,00 4,000]</t>
        </is>
      </c>
      <c r="M564" s="4" t="inlineStr">
        <is>
          <t>CAD</t>
        </is>
      </c>
      <c r="N564" s="5" t="n">
        <v>153</v>
      </c>
      <c r="O564" s="45" t="n">
        <v>31.63</v>
      </c>
      <c r="P564" s="45" t="n">
        <v>4839.39</v>
      </c>
      <c r="Q564" s="5" t="n"/>
      <c r="R564" s="6" t="n"/>
      <c r="S564" s="6">
        <f>IF(AND(Q564&lt;&gt;"",R564&lt;&gt;""),Q564*R564,"")</f>
        <v/>
      </c>
      <c r="T564" s="45">
        <f>IF(S564="",P564,S564)</f>
        <v/>
      </c>
      <c r="U564" s="7" t="n">
        <v>0</v>
      </c>
      <c r="V564" s="6">
        <f>$T564*U564</f>
        <v/>
      </c>
      <c r="W564" s="7" t="n">
        <v>0</v>
      </c>
      <c r="X564" s="6">
        <f>$T564*W564</f>
        <v/>
      </c>
      <c r="Y564" s="7" t="n">
        <v>0</v>
      </c>
      <c r="Z564" s="6">
        <f>$T564*Y564</f>
        <v/>
      </c>
      <c r="AA564" s="7" t="n">
        <v>0</v>
      </c>
      <c r="AB564" s="6">
        <f>$T564*AA564</f>
        <v/>
      </c>
      <c r="AC564" s="7" t="n">
        <v>0</v>
      </c>
      <c r="AD564" s="6">
        <f>$T564*AC564</f>
        <v/>
      </c>
      <c r="AE564" s="7" t="n">
        <v>0</v>
      </c>
      <c r="AF564" s="6">
        <f>$T564*AE564</f>
        <v/>
      </c>
      <c r="AG564" s="7" t="n">
        <v>0</v>
      </c>
      <c r="AH564" s="6">
        <f>$T564*AG564</f>
        <v/>
      </c>
      <c r="AI564" s="7">
        <f>U564+W564+Y564+AA564+AC564+AE564+AG564</f>
        <v/>
      </c>
      <c r="AJ564" s="6">
        <f>V564+X564+Z564+AB564+AD564+AF564+AH564</f>
        <v/>
      </c>
    </row>
    <row r="565" hidden="1" ht="60" customHeight="1" s="46">
      <c r="A565" s="3" t="inlineStr">
        <is>
          <t>LOM252.OC.EEA.PA01.G8238.ZA001.0000</t>
        </is>
      </c>
      <c r="B565" s="4" t="inlineStr">
        <is>
          <t>2/2</t>
        </is>
      </c>
      <c r="C565" s="3" t="inlineStr">
        <is>
          <t>IMPIANTO ELETTRICO</t>
        </is>
      </c>
      <c r="D565" s="4" t="inlineStr">
        <is>
          <t>SPECIALE</t>
        </is>
      </c>
      <c r="E565" s="4" t="inlineStr">
        <is>
          <t>ELETTRICHE SPECIALI</t>
        </is>
      </c>
      <c r="F565" s="3" t="inlineStr">
        <is>
          <t>3_CME IE RADIOFARMACIA PAVIA - REV02 VARIANTE ESECUTIVA.PDF</t>
        </is>
      </c>
      <c r="G565" s="4" t="inlineStr">
        <is>
          <t>69/69</t>
        </is>
      </c>
      <c r="H565" s="3" t="inlineStr">
        <is>
          <t>40 - IMPIANTISTICO</t>
        </is>
      </c>
      <c r="I565" s="3" t="inlineStr">
        <is>
          <t>RADIOFARMACIA</t>
        </is>
      </c>
      <c r="J565" s="3" t="inlineStr">
        <is>
          <t>IMPIANTO DI FORZA MOTRICE</t>
        </is>
      </c>
      <c r="K565" s="3" t="inlineStr">
        <is>
          <t>OPERA: DERIVAZIONE D'IMPIANTO ALIMENTAZIONE, DIRETTA; FUNZIONE: ALIMENTAZIONE DI UTILIZZATORE MONOFASE; IMPIEGO: DERIVAZIONE D'IMPIANTO A VISTA/PARZIALMENTE INCASSATA; SEZIONE NOMINALE CAVO [MM²] ≤ 4.</t>
        </is>
      </c>
      <c r="L565" s="3" t="inlineStr">
        <is>
          <t>OPERA: DERIVAZIONE D'IMPIANTO ALIMENTAZIONE, DIRETTA; FUNZIONE: ALIMENTAZIONE DI UTILIZZATORE MONOFASE; IMPIEGO: DERIVAZIONE D'IMPIANTO A VISTA/PARZIALMENTE INCASSATA; SEZIONE NOMINALE CAVO [MM²] ≤ 4. INCLUSO: LINEA DI ALIMENTAZIONE; SEZIONATORE; TASSELLI/GANCI. 
LAVORO: INSTALLAZIONE IN OPERA. INCLUSO: FISSAGGIO DELLE CANALIZZAZIONI A MEZZO DI TASSELLI O GANCI; ASSISTENZA PER IL TRASPORTO DEI MATERIALI AL PIANO. 
SPECIFICHE TECNICHE: PER IMPIANTI DI ENERGIA DI TIPO INDUSTRIALE; TUBAZIONI IN MATERIALE PLASTICO O METALLICHE IN RELAZIONE ALLE DESCRIZIONI DI CAPITOLATO; PER ALIMENTAZIONE APPARECCHI UTILIZZATORI FINO A TENSIONE NOMINALE [V] = 400;  GRADO DI PROTEZIONE IP55; LINEA DI ALIMENTAZIONE ALLO SPECIFICO PUNTO DI ALIMENTAZIONE DI LEGA RAME GENERICO RICOTTO ISOLATO CONFORMI AI REQUISITI PREVISTI DALLA NORMATIVA EUROPEA REGOLAMENTO UE 305/2011 - PRODOTTI DA COSTRUZIONE CPR; TIPOLOGIA CONDUTTORI E SEZIONE ADEGUATI ALL'UTILIZZO. OP DERIVAZIONE D'IMPIANTO ALIMENTAZIONE, DIRETTA; FUNZIONE: ALIMENTAZIONE DI UTILIZZATORE MONOFASE; IMPIEGO: DERIVAZIONE D'IMPIANTO A VISTA/PARZIALMENTE INCASSATA; SEZIONE NOMINALE CAVO [MM²] ≤ 4. INCLUSO: LINEA DI ALIMENTAZIONE; SEZIONATORE; TASSELLI/GANCI. 
SPECIFICHE TECNICHE: PER IMPIANTI DI ENERGIA DI TIPO INDUSTRIALE; TUBAZIONI IN MATERIALE PLASTICO O METALLICHE IN RELAZIONE ALLE DESCRIZIONI DI CAPITOLATO; PER ALIMENTAZIONE APPARECCHI UTILIZZATORI FINO A TENSIONE NOMINALE [V] = 400;  GRADO DI PROTEZIONE IP55; LINEA DI ALIMENTAZIONE ALLO SPECIFICO PUNTO DI ALIMENTAZIONE DI LEGA RAME GENERICO RICOTTO ISOLATO CONFORMI AI REQUISITI PREVISTI DALLA NORMATIVA EUROPEA REGOLAMENTO UE 305/2011 - PRODOTTI DA COSTRUZIONE CPR; TIPOLOGIA CONDUTTORI E SEZIONE ADEGUATI ALL'UTILIZZO. 
RM DERIVAZIONE D'IMPIANTO ALIMENTAZIONE DIRETTA; FUNZIONE: ALIMENTAZIONE DI UTILIZZATORE MONOFASE; IMPIEGO: DERIVAZIONE D'IMPIANTO A VISTA/PARZIALMENTE INCASSATA; SEZIONE NOMINALE CAVO [MM²] ≤ 4. INCLUSO: LINEA DI ALIMENTAZIONE; SEZIONATORE; TASSELLI/GANCI 
SPECIFICHE TECNICHE: PER IMPIANTI DI ENERGIA DI TIPO INDUSTRIALE; TUBAZIONI IN MATERIALE PLASTICO O METALLICHE IN RELAZIONE ALLE DESCRIZIONI DI CAPITOLATO; PER ALIMENTAZIONE APPARECCHI UTILIZZATORI FINO A TENSIONE NOMINALE [V] = 400;  GRADO DI PROTEZIONE IP55; LINEA DI ALIMENTAZIONE ALLO SPECIFICO PUNTO DI ALIMENTAZIONE DI LEGA RAME GENERICO RICOTTO ISOLATO CONFORMI AI REQUISITI PREVISTI DALLA NORMATIVA EUROPEA REGOLAMENTO UE 305/2011 - PRODOTTI DA COSTRUZIONE CPR; TIPOLOGIA CONDUTTORI E SEZIONE ADEGUATI ALL'UTILIZZO 
LV INSTALLAZIONE IN OPERA. INCLUSO: FISSAGGIO DELLE CANALIZZAZIONI A MEZZO DI TASSELLI O GANCI; ASSISTENZA PER IL TRASPORTO DEI MATERIALI AL PIANO.</t>
        </is>
      </c>
      <c r="M565" s="4" t="inlineStr">
        <is>
          <t>CAD</t>
        </is>
      </c>
      <c r="N565" s="5" t="n">
        <v>12</v>
      </c>
      <c r="O565" s="45" t="n">
        <v>97.84</v>
      </c>
      <c r="P565" s="45" t="n">
        <v>1174.08</v>
      </c>
      <c r="Q565" s="5" t="n"/>
      <c r="R565" s="6" t="n"/>
      <c r="S565" s="6">
        <f>IF(AND(Q565&lt;&gt;"",R565&lt;&gt;""),Q565*R565,"")</f>
        <v/>
      </c>
      <c r="T565" s="45">
        <f>IF(S565="",P565,S565)</f>
        <v/>
      </c>
      <c r="U565" s="7" t="n">
        <v>0</v>
      </c>
      <c r="V565" s="6">
        <f>$T565*U565</f>
        <v/>
      </c>
      <c r="W565" s="7" t="n">
        <v>0</v>
      </c>
      <c r="X565" s="6">
        <f>$T565*W565</f>
        <v/>
      </c>
      <c r="Y565" s="7" t="n">
        <v>0</v>
      </c>
      <c r="Z565" s="6">
        <f>$T565*Y565</f>
        <v/>
      </c>
      <c r="AA565" s="7" t="n">
        <v>0</v>
      </c>
      <c r="AB565" s="6">
        <f>$T565*AA565</f>
        <v/>
      </c>
      <c r="AC565" s="7" t="n">
        <v>0</v>
      </c>
      <c r="AD565" s="6">
        <f>$T565*AC565</f>
        <v/>
      </c>
      <c r="AE565" s="7" t="n">
        <v>0</v>
      </c>
      <c r="AF565" s="6">
        <f>$T565*AE565</f>
        <v/>
      </c>
      <c r="AG565" s="7" t="n">
        <v>0</v>
      </c>
      <c r="AH565" s="6">
        <f>$T565*AG565</f>
        <v/>
      </c>
      <c r="AI565" s="7">
        <f>U565+W565+Y565+AA565+AC565+AE565+AG565</f>
        <v/>
      </c>
      <c r="AJ565" s="6">
        <f>V565+X565+Z565+AB565+AD565+AF565+AH565</f>
        <v/>
      </c>
    </row>
    <row r="566" hidden="1" ht="60" customHeight="1" s="46">
      <c r="A566" s="3" t="inlineStr">
        <is>
          <t>DEIELE251_025219A</t>
        </is>
      </c>
      <c r="B566" s="4" t="inlineStr">
        <is>
          <t>1/1</t>
        </is>
      </c>
      <c r="C566" s="3" t="inlineStr">
        <is>
          <t>IMPIANTO ELETTRICO</t>
        </is>
      </c>
      <c r="D566" s="4" t="inlineStr">
        <is>
          <t>SPECIALE</t>
        </is>
      </c>
      <c r="E566" s="4" t="inlineStr">
        <is>
          <t>ELETTRICHE SPECIALI</t>
        </is>
      </c>
      <c r="F566" s="3" t="inlineStr">
        <is>
          <t>3_CME IE RADIOFARMACIA PAVIA - REV02 VARIANTE ESECUTIVA.PDF</t>
        </is>
      </c>
      <c r="G566" s="4" t="inlineStr">
        <is>
          <t>70/70</t>
        </is>
      </c>
      <c r="H566" s="3" t="inlineStr">
        <is>
          <t>40 - IMPIANTISTICO</t>
        </is>
      </c>
      <c r="I566" s="3" t="inlineStr">
        <is>
          <t>RADIOFARMACIA</t>
        </is>
      </c>
      <c r="J566" s="3" t="inlineStr">
        <is>
          <t>IMPIANTO DI FORZA MOTRICE</t>
        </is>
      </c>
      <c r="K566" s="3" t="inlineStr">
        <is>
          <t>ALLACCIAMENTO DI UTENZA TRIFASE INCLUSO CONDUTTORE DI NEUTRO E DI PROTEZIONE, CON UTILIZZO DI CAVO UNIPOLARE O MULTIPOLARE ISOLATO IN EPR POSATO IN GUAINA PROTETTIVA DI PVC FLESSIBILE, PROVVISTA DI RA</t>
        </is>
      </c>
      <c r="L566"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1,5 A 4 MMQ</t>
        </is>
      </c>
      <c r="M566" s="4" t="inlineStr">
        <is>
          <t>CAD</t>
        </is>
      </c>
      <c r="N566" s="5" t="n">
        <v>20</v>
      </c>
      <c r="O566" s="45" t="n">
        <v>95.47</v>
      </c>
      <c r="P566" s="45" t="n">
        <v>1909.4</v>
      </c>
      <c r="Q566" s="5" t="n"/>
      <c r="R566" s="6" t="n"/>
      <c r="S566" s="6">
        <f>IF(AND(Q566&lt;&gt;"",R566&lt;&gt;""),Q566*R566,"")</f>
        <v/>
      </c>
      <c r="T566" s="45">
        <f>IF(S566="",P566,S566)</f>
        <v/>
      </c>
      <c r="U566" s="7" t="n">
        <v>0</v>
      </c>
      <c r="V566" s="6">
        <f>$T566*U566</f>
        <v/>
      </c>
      <c r="W566" s="7" t="n">
        <v>0</v>
      </c>
      <c r="X566" s="6">
        <f>$T566*W566</f>
        <v/>
      </c>
      <c r="Y566" s="7" t="n">
        <v>0</v>
      </c>
      <c r="Z566" s="6">
        <f>$T566*Y566</f>
        <v/>
      </c>
      <c r="AA566" s="7" t="n">
        <v>0</v>
      </c>
      <c r="AB566" s="6">
        <f>$T566*AA566</f>
        <v/>
      </c>
      <c r="AC566" s="7" t="n">
        <v>0</v>
      </c>
      <c r="AD566" s="6">
        <f>$T566*AC566</f>
        <v/>
      </c>
      <c r="AE566" s="7" t="n">
        <v>0</v>
      </c>
      <c r="AF566" s="6">
        <f>$T566*AE566</f>
        <v/>
      </c>
      <c r="AG566" s="7" t="n">
        <v>0</v>
      </c>
      <c r="AH566" s="6">
        <f>$T566*AG566</f>
        <v/>
      </c>
      <c r="AI566" s="7">
        <f>U566+W566+Y566+AA566+AC566+AE566+AG566</f>
        <v/>
      </c>
      <c r="AJ566" s="6">
        <f>V566+X566+Z566+AB566+AD566+AF566+AH566</f>
        <v/>
      </c>
    </row>
    <row r="567" hidden="1" ht="60" customHeight="1" s="46">
      <c r="A567" s="3" t="inlineStr">
        <is>
          <t>DEIELE251_025219B</t>
        </is>
      </c>
      <c r="B567" s="4" t="inlineStr">
        <is>
          <t>2/2</t>
        </is>
      </c>
      <c r="C567" s="3" t="inlineStr">
        <is>
          <t>IMPIANTO ELETTRICO</t>
        </is>
      </c>
      <c r="D567" s="4" t="inlineStr">
        <is>
          <t>SPECIALE</t>
        </is>
      </c>
      <c r="E567" s="4" t="inlineStr">
        <is>
          <t>ELETTRICHE SPECIALI</t>
        </is>
      </c>
      <c r="F567" s="3" t="inlineStr">
        <is>
          <t>3_CME IE RADIOFARMACIA PAVIA - REV02 VARIANTE ESECUTIVA.PDF</t>
        </is>
      </c>
      <c r="G567" s="4" t="inlineStr">
        <is>
          <t>71/71</t>
        </is>
      </c>
      <c r="H567" s="3" t="inlineStr">
        <is>
          <t>40 - IMPIANTISTICO</t>
        </is>
      </c>
      <c r="I567" s="3" t="inlineStr">
        <is>
          <t>RADIOFARMACIA</t>
        </is>
      </c>
      <c r="J567" s="3" t="inlineStr">
        <is>
          <t>IMPIANTO DI FORZA MOTRICE</t>
        </is>
      </c>
      <c r="K567" s="3" t="inlineStr">
        <is>
          <t>ALLACCIAMENTO DI UTENZA TRIFASE INCLUSO CONDUTTORE DI NEUTRO E DI PROTEZIONE, CON UTILIZZO DI CAVO UNIPOLARE O MULTIPOLARE ISOLATO IN EPR POSATO IN GUAINA PROTETTIVA DI PVC FLESSIBILE, PROVVISTA DI RA</t>
        </is>
      </c>
      <c r="L567"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6 A 16 MMQ</t>
        </is>
      </c>
      <c r="M567" s="4" t="inlineStr">
        <is>
          <t>CAD</t>
        </is>
      </c>
      <c r="N567" s="5" t="n">
        <v>2</v>
      </c>
      <c r="O567" s="45" t="n">
        <v>95.47</v>
      </c>
      <c r="P567" s="45" t="n">
        <v>190.94</v>
      </c>
      <c r="Q567" s="5" t="n"/>
      <c r="R567" s="6" t="n"/>
      <c r="S567" s="6">
        <f>IF(AND(Q567&lt;&gt;"",R567&lt;&gt;""),Q567*R567,"")</f>
        <v/>
      </c>
      <c r="T567" s="45">
        <f>IF(S567="",P567,S567)</f>
        <v/>
      </c>
      <c r="U567" s="7" t="n">
        <v>0</v>
      </c>
      <c r="V567" s="6">
        <f>$T567*U567</f>
        <v/>
      </c>
      <c r="W567" s="7" t="n">
        <v>0</v>
      </c>
      <c r="X567" s="6">
        <f>$T567*W567</f>
        <v/>
      </c>
      <c r="Y567" s="7" t="n">
        <v>0</v>
      </c>
      <c r="Z567" s="6">
        <f>$T567*Y567</f>
        <v/>
      </c>
      <c r="AA567" s="7" t="n">
        <v>0</v>
      </c>
      <c r="AB567" s="6">
        <f>$T567*AA567</f>
        <v/>
      </c>
      <c r="AC567" s="7" t="n">
        <v>0</v>
      </c>
      <c r="AD567" s="6">
        <f>$T567*AC567</f>
        <v/>
      </c>
      <c r="AE567" s="7" t="n">
        <v>0</v>
      </c>
      <c r="AF567" s="6">
        <f>$T567*AE567</f>
        <v/>
      </c>
      <c r="AG567" s="7" t="n">
        <v>0</v>
      </c>
      <c r="AH567" s="6">
        <f>$T567*AG567</f>
        <v/>
      </c>
      <c r="AI567" s="7">
        <f>U567+W567+Y567+AA567+AC567+AE567+AG567</f>
        <v/>
      </c>
      <c r="AJ567" s="6">
        <f>V567+X567+Z567+AB567+AD567+AF567+AH567</f>
        <v/>
      </c>
    </row>
    <row r="568" hidden="1" ht="60" customHeight="1" s="46">
      <c r="A568" s="3" t="inlineStr">
        <is>
          <t>DEIELE251_025219C</t>
        </is>
      </c>
      <c r="B568" s="4" t="inlineStr">
        <is>
          <t>1/1</t>
        </is>
      </c>
      <c r="C568" s="3" t="inlineStr">
        <is>
          <t>IMPIANTO ELETTRICO</t>
        </is>
      </c>
      <c r="D568" s="4" t="inlineStr">
        <is>
          <t>SPECIALE</t>
        </is>
      </c>
      <c r="E568" s="4" t="inlineStr">
        <is>
          <t>ELETTRICHE SPECIALI</t>
        </is>
      </c>
      <c r="F568" s="3" t="inlineStr">
        <is>
          <t>3_CME IE RADIOFARMACIA PAVIA - REV02 VARIANTE ESECUTIVA.PDF</t>
        </is>
      </c>
      <c r="G568" s="4" t="inlineStr">
        <is>
          <t>72/72</t>
        </is>
      </c>
      <c r="H568" s="3" t="inlineStr">
        <is>
          <t>40 - IMPIANTISTICO</t>
        </is>
      </c>
      <c r="I568" s="3" t="inlineStr">
        <is>
          <t>RADIOFARMACIA</t>
        </is>
      </c>
      <c r="J568" s="3" t="inlineStr">
        <is>
          <t>IMPIANTO DI FORZA MOTRICE</t>
        </is>
      </c>
      <c r="K568" s="3" t="inlineStr">
        <is>
          <t>ALLACCIAMENTO DI UTENZA TRIFASE INCLUSO CONDUTTORE DI NEUTRO E DI PROTEZIONE, CON UTILIZZO DI CAVO UNIPOLARE O MULTIPOLARE ISOLATO IN EPR POSATO IN GUAINA PROTETTIVA DI PVC FLESSIBILE, PROVVISTA DI RA</t>
        </is>
      </c>
      <c r="L568"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25 A 35 MMQ</t>
        </is>
      </c>
      <c r="M568" s="4" t="inlineStr">
        <is>
          <t>CAD</t>
        </is>
      </c>
      <c r="N568" s="5" t="n">
        <v>2</v>
      </c>
      <c r="O568" s="45" t="n">
        <v>195.67</v>
      </c>
      <c r="P568" s="45" t="n">
        <v>391.34</v>
      </c>
      <c r="Q568" s="5" t="n"/>
      <c r="R568" s="6" t="n"/>
      <c r="S568" s="6">
        <f>IF(AND(Q568&lt;&gt;"",R568&lt;&gt;""),Q568*R568,"")</f>
        <v/>
      </c>
      <c r="T568" s="45">
        <f>IF(S568="",P568,S568)</f>
        <v/>
      </c>
      <c r="U568" s="7" t="n">
        <v>0</v>
      </c>
      <c r="V568" s="6">
        <f>$T568*U568</f>
        <v/>
      </c>
      <c r="W568" s="7" t="n">
        <v>0</v>
      </c>
      <c r="X568" s="6">
        <f>$T568*W568</f>
        <v/>
      </c>
      <c r="Y568" s="7" t="n">
        <v>0</v>
      </c>
      <c r="Z568" s="6">
        <f>$T568*Y568</f>
        <v/>
      </c>
      <c r="AA568" s="7" t="n">
        <v>0</v>
      </c>
      <c r="AB568" s="6">
        <f>$T568*AA568</f>
        <v/>
      </c>
      <c r="AC568" s="7" t="n">
        <v>0</v>
      </c>
      <c r="AD568" s="6">
        <f>$T568*AC568</f>
        <v/>
      </c>
      <c r="AE568" s="7" t="n">
        <v>0</v>
      </c>
      <c r="AF568" s="6">
        <f>$T568*AE568</f>
        <v/>
      </c>
      <c r="AG568" s="7" t="n">
        <v>0</v>
      </c>
      <c r="AH568" s="6">
        <f>$T568*AG568</f>
        <v/>
      </c>
      <c r="AI568" s="7">
        <f>U568+W568+Y568+AA568+AC568+AE568+AG568</f>
        <v/>
      </c>
      <c r="AJ568" s="6">
        <f>V568+X568+Z568+AB568+AD568+AF568+AH568</f>
        <v/>
      </c>
    </row>
    <row r="569" hidden="1" ht="60" customHeight="1" s="46">
      <c r="A569" s="3" t="inlineStr">
        <is>
          <t>DEIELE251_025219D</t>
        </is>
      </c>
      <c r="B569" s="4" t="inlineStr">
        <is>
          <t>1/1</t>
        </is>
      </c>
      <c r="C569" s="3" t="inlineStr">
        <is>
          <t>IMPIANTO ELETTRICO</t>
        </is>
      </c>
      <c r="D569" s="4" t="inlineStr">
        <is>
          <t>SPECIALE</t>
        </is>
      </c>
      <c r="E569" s="4" t="inlineStr">
        <is>
          <t>ELETTRICHE SPECIALI</t>
        </is>
      </c>
      <c r="F569" s="3" t="inlineStr">
        <is>
          <t>3_CME IE RADIOFARMACIA PAVIA - REV02 VARIANTE ESECUTIVA.PDF</t>
        </is>
      </c>
      <c r="G569" s="4" t="inlineStr">
        <is>
          <t>73/73</t>
        </is>
      </c>
      <c r="H569" s="3" t="inlineStr">
        <is>
          <t>40 - IMPIANTISTICO</t>
        </is>
      </c>
      <c r="I569" s="3" t="inlineStr">
        <is>
          <t>RADIOFARMACIA</t>
        </is>
      </c>
      <c r="J569" s="3" t="inlineStr">
        <is>
          <t>IMPIANTO DI FORZA MOTRICE</t>
        </is>
      </c>
      <c r="K569" s="3" t="inlineStr">
        <is>
          <t>ALLACCIAMENTO DI UTENZA TRIFASE INCLUSO CONDUTTORE DI NEUTRO E DI PROTEZIONE, CON UTILIZZO DI CAVO UNIPOLARE O MULTIPOLARE ISOLATO IN EPR POSATO IN GUAINA PROTETTIVA DI PVC FLESSIBILE, PROVVISTA DI RA</t>
        </is>
      </c>
      <c r="L569"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50 A 70 MMQ</t>
        </is>
      </c>
      <c r="M569" s="4" t="inlineStr">
        <is>
          <t>CAD</t>
        </is>
      </c>
      <c r="N569" s="5" t="n">
        <v>2</v>
      </c>
      <c r="O569" s="45" t="n">
        <v>326.11</v>
      </c>
      <c r="P569" s="45" t="n">
        <v>652.22</v>
      </c>
      <c r="Q569" s="5" t="n"/>
      <c r="R569" s="6" t="n"/>
      <c r="S569" s="6">
        <f>IF(AND(Q569&lt;&gt;"",R569&lt;&gt;""),Q569*R569,"")</f>
        <v/>
      </c>
      <c r="T569" s="45">
        <f>IF(S569="",P569,S569)</f>
        <v/>
      </c>
      <c r="U569" s="7" t="n">
        <v>0</v>
      </c>
      <c r="V569" s="6">
        <f>$T569*U569</f>
        <v/>
      </c>
      <c r="W569" s="7" t="n">
        <v>0</v>
      </c>
      <c r="X569" s="6">
        <f>$T569*W569</f>
        <v/>
      </c>
      <c r="Y569" s="7" t="n">
        <v>0</v>
      </c>
      <c r="Z569" s="6">
        <f>$T569*Y569</f>
        <v/>
      </c>
      <c r="AA569" s="7" t="n">
        <v>0</v>
      </c>
      <c r="AB569" s="6">
        <f>$T569*AA569</f>
        <v/>
      </c>
      <c r="AC569" s="7" t="n">
        <v>0</v>
      </c>
      <c r="AD569" s="6">
        <f>$T569*AC569</f>
        <v/>
      </c>
      <c r="AE569" s="7" t="n">
        <v>0</v>
      </c>
      <c r="AF569" s="6">
        <f>$T569*AE569</f>
        <v/>
      </c>
      <c r="AG569" s="7" t="n">
        <v>0</v>
      </c>
      <c r="AH569" s="6">
        <f>$T569*AG569</f>
        <v/>
      </c>
      <c r="AI569" s="7">
        <f>U569+W569+Y569+AA569+AC569+AE569+AG569</f>
        <v/>
      </c>
      <c r="AJ569" s="6">
        <f>V569+X569+Z569+AB569+AD569+AF569+AH569</f>
        <v/>
      </c>
    </row>
    <row r="570" hidden="1" ht="60" customHeight="1" s="46">
      <c r="A570" s="3" t="inlineStr">
        <is>
          <t>DEIELE251_025219E</t>
        </is>
      </c>
      <c r="B570" s="4" t="inlineStr">
        <is>
          <t>1/1</t>
        </is>
      </c>
      <c r="C570" s="3" t="inlineStr">
        <is>
          <t>IMPIANTO ELETTRICO</t>
        </is>
      </c>
      <c r="D570" s="4" t="inlineStr">
        <is>
          <t>SPECIALE</t>
        </is>
      </c>
      <c r="E570" s="4" t="inlineStr">
        <is>
          <t>ELETTRICHE SPECIALI</t>
        </is>
      </c>
      <c r="F570" s="3" t="inlineStr">
        <is>
          <t>3_CME IE RADIOFARMACIA PAVIA - REV02 VARIANTE ESECUTIVA.PDF</t>
        </is>
      </c>
      <c r="G570" s="4" t="inlineStr">
        <is>
          <t>74/74</t>
        </is>
      </c>
      <c r="H570" s="3" t="inlineStr">
        <is>
          <t>40 - IMPIANTISTICO</t>
        </is>
      </c>
      <c r="I570" s="3" t="inlineStr">
        <is>
          <t>RADIOFARMACIA</t>
        </is>
      </c>
      <c r="J570" s="3" t="inlineStr">
        <is>
          <t>IMPIANTO DI FORZA MOTRICE</t>
        </is>
      </c>
      <c r="K570" s="3" t="inlineStr">
        <is>
          <t>ALLACCIAMENTO DI UTENZA TRIFASE INCLUSO CONDUTTORE DI NEUTRO E DI PROTEZIONE, CON UTILIZZO DI CAVO UNIPOLARE O MULTIPOLARE ISOLATO IN EPR POSATO IN GUAINA PROTETTIVA DI PVC FLESSIBILE, PROVVISTA DI RA</t>
        </is>
      </c>
      <c r="L570"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95 A 120 MMQ</t>
        </is>
      </c>
      <c r="M570" s="4" t="inlineStr">
        <is>
          <t>CAD</t>
        </is>
      </c>
      <c r="N570" s="5" t="n">
        <v>1</v>
      </c>
      <c r="O570" s="45" t="n">
        <v>509.92</v>
      </c>
      <c r="P570" s="45" t="n">
        <v>509.92</v>
      </c>
      <c r="Q570" s="5" t="n"/>
      <c r="R570" s="6" t="n"/>
      <c r="S570" s="6">
        <f>IF(AND(Q570&lt;&gt;"",R570&lt;&gt;""),Q570*R570,"")</f>
        <v/>
      </c>
      <c r="T570" s="45">
        <f>IF(S570="",P570,S570)</f>
        <v/>
      </c>
      <c r="U570" s="7" t="n">
        <v>0</v>
      </c>
      <c r="V570" s="6">
        <f>$T570*U570</f>
        <v/>
      </c>
      <c r="W570" s="7" t="n">
        <v>0</v>
      </c>
      <c r="X570" s="6">
        <f>$T570*W570</f>
        <v/>
      </c>
      <c r="Y570" s="7" t="n">
        <v>0</v>
      </c>
      <c r="Z570" s="6">
        <f>$T570*Y570</f>
        <v/>
      </c>
      <c r="AA570" s="7" t="n">
        <v>0</v>
      </c>
      <c r="AB570" s="6">
        <f>$T570*AA570</f>
        <v/>
      </c>
      <c r="AC570" s="7" t="n">
        <v>0</v>
      </c>
      <c r="AD570" s="6">
        <f>$T570*AC570</f>
        <v/>
      </c>
      <c r="AE570" s="7" t="n">
        <v>0</v>
      </c>
      <c r="AF570" s="6">
        <f>$T570*AE570</f>
        <v/>
      </c>
      <c r="AG570" s="7" t="n">
        <v>0</v>
      </c>
      <c r="AH570" s="6">
        <f>$T570*AG570</f>
        <v/>
      </c>
      <c r="AI570" s="7">
        <f>U570+W570+Y570+AA570+AC570+AE570+AG570</f>
        <v/>
      </c>
      <c r="AJ570" s="6">
        <f>V570+X570+Z570+AB570+AD570+AF570+AH570</f>
        <v/>
      </c>
    </row>
    <row r="571" hidden="1" ht="60" customHeight="1" s="46">
      <c r="A571" s="3" t="inlineStr">
        <is>
          <t>DEIELE251_025219F</t>
        </is>
      </c>
      <c r="B571" s="4" t="inlineStr">
        <is>
          <t>1/1</t>
        </is>
      </c>
      <c r="C571" s="3" t="inlineStr">
        <is>
          <t>IMPIANTO ELETTRICO</t>
        </is>
      </c>
      <c r="D571" s="4" t="inlineStr">
        <is>
          <t>SPECIALE</t>
        </is>
      </c>
      <c r="E571" s="4" t="inlineStr">
        <is>
          <t>ELETTRICHE SPECIALI</t>
        </is>
      </c>
      <c r="F571" s="3" t="inlineStr">
        <is>
          <t>3_CME IE RADIOFARMACIA PAVIA - REV02 VARIANTE ESECUTIVA.PDF</t>
        </is>
      </c>
      <c r="G571" s="4" t="inlineStr">
        <is>
          <t>75/75</t>
        </is>
      </c>
      <c r="H571" s="3" t="inlineStr">
        <is>
          <t>40 - IMPIANTISTICO</t>
        </is>
      </c>
      <c r="I571" s="3" t="inlineStr">
        <is>
          <t>RADIOFARMACIA</t>
        </is>
      </c>
      <c r="J571" s="3" t="inlineStr">
        <is>
          <t>IMPIANTO DI FORZA MOTRICE</t>
        </is>
      </c>
      <c r="K571" s="3" t="inlineStr">
        <is>
          <t>ALLACCIAMENTO DI UTENZA TRIFASE INCLUSO CONDUTTORE DI NEUTRO E DI PROTEZIONE, CON UTILIZZO DI CAVO UNIPOLARE O MULTIPOLARE ISOLATO IN EPR POSATO IN GUAINA PROTETTIVA DI PVC FLESSIBILE, PROVVISTA DI RA</t>
        </is>
      </c>
      <c r="L571"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150 A 185 MMQ</t>
        </is>
      </c>
      <c r="M571" s="4" t="inlineStr">
        <is>
          <t>CAD</t>
        </is>
      </c>
      <c r="N571" s="5" t="n">
        <v>1</v>
      </c>
      <c r="O571" s="45" t="n">
        <v>675.9400000000001</v>
      </c>
      <c r="P571" s="45" t="n">
        <v>675.9400000000001</v>
      </c>
      <c r="Q571" s="5" t="n"/>
      <c r="R571" s="6" t="n"/>
      <c r="S571" s="6">
        <f>IF(AND(Q571&lt;&gt;"",R571&lt;&gt;""),Q571*R571,"")</f>
        <v/>
      </c>
      <c r="T571" s="45">
        <f>IF(S571="",P571,S571)</f>
        <v/>
      </c>
      <c r="U571" s="7" t="n">
        <v>0</v>
      </c>
      <c r="V571" s="6">
        <f>$T571*U571</f>
        <v/>
      </c>
      <c r="W571" s="7" t="n">
        <v>0</v>
      </c>
      <c r="X571" s="6">
        <f>$T571*W571</f>
        <v/>
      </c>
      <c r="Y571" s="7" t="n">
        <v>0</v>
      </c>
      <c r="Z571" s="6">
        <f>$T571*Y571</f>
        <v/>
      </c>
      <c r="AA571" s="7" t="n">
        <v>0</v>
      </c>
      <c r="AB571" s="6">
        <f>$T571*AA571</f>
        <v/>
      </c>
      <c r="AC571" s="7" t="n">
        <v>0</v>
      </c>
      <c r="AD571" s="6">
        <f>$T571*AC571</f>
        <v/>
      </c>
      <c r="AE571" s="7" t="n">
        <v>0</v>
      </c>
      <c r="AF571" s="6">
        <f>$T571*AE571</f>
        <v/>
      </c>
      <c r="AG571" s="7" t="n">
        <v>0</v>
      </c>
      <c r="AH571" s="6">
        <f>$T571*AG571</f>
        <v/>
      </c>
      <c r="AI571" s="7">
        <f>U571+W571+Y571+AA571+AC571+AE571+AG571</f>
        <v/>
      </c>
      <c r="AJ571" s="6">
        <f>V571+X571+Z571+AB571+AD571+AF571+AH571</f>
        <v/>
      </c>
    </row>
    <row r="572" hidden="1" ht="60" customHeight="1" s="46">
      <c r="A572" s="3" t="inlineStr">
        <is>
          <t>LOM252.OC.EEA.PA02.G8232.D0000.0005</t>
        </is>
      </c>
      <c r="B572" s="4" t="inlineStr">
        <is>
          <t>1/1</t>
        </is>
      </c>
      <c r="C572" s="3" t="inlineStr">
        <is>
          <t>IMPIANTO ELETTRICO</t>
        </is>
      </c>
      <c r="D572" s="4" t="inlineStr">
        <is>
          <t>SPECIALE</t>
        </is>
      </c>
      <c r="E572" s="4" t="inlineStr">
        <is>
          <t>ELETTRICHE SPECIALI</t>
        </is>
      </c>
      <c r="F572" s="3" t="inlineStr">
        <is>
          <t>3_CME IE RADIOFARMACIA PAVIA - REV02 VARIANTE ESECUTIVA.PDF</t>
        </is>
      </c>
      <c r="G572" s="4" t="inlineStr">
        <is>
          <t>76/76</t>
        </is>
      </c>
      <c r="H572" s="3" t="inlineStr">
        <is>
          <t>40 - IMPIANTISTICO</t>
        </is>
      </c>
      <c r="I572" s="3" t="inlineStr">
        <is>
          <t>RADIOFARMACIA</t>
        </is>
      </c>
      <c r="J572" s="3" t="inlineStr">
        <is>
          <t>IMPIANTO DI FORZA MOTRICE</t>
        </is>
      </c>
      <c r="K572" s="3" t="inlineStr">
        <is>
          <t>OPERA: GRUPPO PRESA, DI CORRENTE DI TIPO INTERBLOCCATO DI PLASTICA GENERICO; GRADO DI RESISTENZA AL FUOCO [°C] = GWT 960. INCLUSO: FUSIBILI, SEZIONATORE DI CATEGORIA AC23A, PRESSACAVO IN MATERIALE ISO</t>
        </is>
      </c>
      <c r="L572" s="3" t="inlineStr">
        <is>
          <t>OPERA: GRUPPO PRESA, DI CORRENTE DI TIPO INTERBLOCCATO DI PLASTICA GENERICO; GRADO DI RESISTENZA AL FUOCO [°C] = GWT 960. INCLUSO: FUSIBILI, SEZIONATORE DI CATEGORIA AC23A, PRESSACAVO IN MATERIALE ISOLANTE, PIASTRA DI FONDO. 
LAVORO: POSA. 
SPECIFICHE TECNICHE: GRUPPO PRESA IN MATERIALE TERMOPLASTICO, AUTOESTINGUENZA V0, GRADO DI PROTEZIONE IP67, RESISTENZA AGLI URTI IK10. OP GRUPPO PRESA, DI CORRENTE DI TIPO INTERBLOCCATO DI PLASTICA GENERICO; GRADO DI RESISTENZA AL FUOCO [°C] = GWT 960. INCLUSO: FUSIBILI, SEZIONATORE DI CATEGORIA AC23A, PRESSACAVO IN MATERIALE ISOLANTE, PIASTRA DI FONDO. 
SPECIFICHE TECNICHE: GRUPPO PRESA IN MATERIALE TERMOPLASTICO, AUTOESTINGUENZA V0, GRADO DI PROTEZIONE IP67, RESISTENZA AGLI URTI IK10. 
RM GRUPPO PRESA DI CORRENTE DI TIPO INTERBLOCCATO DI PLASTICA GENERICO; GRADO DI RESISTENZA AL FUOCO [°C] = GWT 960. COMPONENTI: PRESA, PRESA, CENTRALINA CIECO. INCLUSO: FUSIBILI, SEZIONATORE DI CATEGORIA AC23A, PRESSACAVO IN MATERIALE ISOLANTE, PIASTRA DI FONDO 
SPECIFICHE TECNICHE: GRUPPO PRESA IN MATERIALE TERMOPLASTICO, AUTOESTINGUENZA V0, GRADO DI PROTEZIONE IP67, RESISTENZA AGLI URTI IK10 
RM GRUPPO PRESA DI CORRENTE DI TIPO INTERBLOCCATO DI PLASTICA GENERICO; GRADO DI RESISTENZA AL FUOCO [°C] = GWT 960. COMPONENTI: PRESA, PRESA, CENTRALINA CIECO. INCLUSO: FUSIBILI, SEZIONATORE DI CATEGORIA AC23A, PRESSACAVO IN MATERIALE ISOLANTE, PIASTRA DI FONDO 
SPECIFICHE TECNICHE: GRUPPO PRESA IN MATERIALE TERMOPLASTICO, AUTOESTINGUENZA V0, GRADO DI PROTEZIONE IP67, RESISTENZA AGLI URTI IK10 
LV POSA.</t>
        </is>
      </c>
      <c r="M572" s="4" t="inlineStr">
        <is>
          <t>CAD</t>
        </is>
      </c>
      <c r="N572" s="5" t="n">
        <v>1</v>
      </c>
      <c r="O572" s="45" t="n">
        <v>145.27</v>
      </c>
      <c r="P572" s="45" t="n">
        <v>145.27</v>
      </c>
      <c r="Q572" s="5" t="n"/>
      <c r="R572" s="6" t="n"/>
      <c r="S572" s="6">
        <f>IF(AND(Q572&lt;&gt;"",R572&lt;&gt;""),Q572*R572,"")</f>
        <v/>
      </c>
      <c r="T572" s="45">
        <f>IF(S572="",P572,S572)</f>
        <v/>
      </c>
      <c r="U572" s="7" t="n">
        <v>0</v>
      </c>
      <c r="V572" s="6">
        <f>$T572*U572</f>
        <v/>
      </c>
      <c r="W572" s="7" t="n">
        <v>0</v>
      </c>
      <c r="X572" s="6">
        <f>$T572*W572</f>
        <v/>
      </c>
      <c r="Y572" s="7" t="n">
        <v>0</v>
      </c>
      <c r="Z572" s="6">
        <f>$T572*Y572</f>
        <v/>
      </c>
      <c r="AA572" s="7" t="n">
        <v>0</v>
      </c>
      <c r="AB572" s="6">
        <f>$T572*AA572</f>
        <v/>
      </c>
      <c r="AC572" s="7" t="n">
        <v>0</v>
      </c>
      <c r="AD572" s="6">
        <f>$T572*AC572</f>
        <v/>
      </c>
      <c r="AE572" s="7" t="n">
        <v>0</v>
      </c>
      <c r="AF572" s="6">
        <f>$T572*AE572</f>
        <v/>
      </c>
      <c r="AG572" s="7" t="n">
        <v>0</v>
      </c>
      <c r="AH572" s="6">
        <f>$T572*AG572</f>
        <v/>
      </c>
      <c r="AI572" s="7">
        <f>U572+W572+Y572+AA572+AC572+AE572+AG572</f>
        <v/>
      </c>
      <c r="AJ572" s="6">
        <f>V572+X572+Z572+AB572+AD572+AF572+AH572</f>
        <v/>
      </c>
    </row>
    <row r="573" hidden="1" ht="60" customHeight="1" s="46">
      <c r="A573" s="3" t="inlineStr">
        <is>
          <t>DEIIT251_045065</t>
        </is>
      </c>
      <c r="B573" s="4" t="inlineStr">
        <is>
          <t>1/2</t>
        </is>
      </c>
      <c r="C573" s="3" t="inlineStr">
        <is>
          <t>IMPIANTO ELETTRICO</t>
        </is>
      </c>
      <c r="D573" s="4" t="inlineStr">
        <is>
          <t>SPECIALE</t>
        </is>
      </c>
      <c r="E573" s="4" t="inlineStr">
        <is>
          <t>ELETTRICHE SPECIALI</t>
        </is>
      </c>
      <c r="F573" s="3" t="inlineStr">
        <is>
          <t>3_CME IE RADIOFARMACIA PAVIA - REV02 VARIANTE ESECUTIVA.PDF</t>
        </is>
      </c>
      <c r="G573" s="4" t="inlineStr">
        <is>
          <t>77/77</t>
        </is>
      </c>
      <c r="H573" s="3" t="inlineStr">
        <is>
          <t>40 - IMPIANTISTICO</t>
        </is>
      </c>
      <c r="I573" s="3" t="inlineStr">
        <is>
          <t>RADIOFARMACIA</t>
        </is>
      </c>
      <c r="J573" s="3" t="inlineStr">
        <is>
          <t>IMPIANTO DI FORZA MOTRICE</t>
        </is>
      </c>
      <c r="K573" s="3" t="inlineStr">
        <is>
          <t>COLLEGAMENTO ELETTRICO DEGLI ELEMENTI IN CAMPO DI REGOLAZIONE E DI CONTROLLO, COMPRENSIVO DI CAVI, TUBAZIONI, E CABLAGGIO AI QUADRI DI REGOLAZIONE, È ESCLUSA L'ASSISTENZA MURARIA, VALUTATO PER OGNI PU</t>
        </is>
      </c>
      <c r="L573" s="3" t="inlineStr">
        <is>
          <t>COLLEGAMENTO ELETTRICO DEGLI ELEMENTI IN CAMPO DI REGOLAZIONE E DI CONTROLLO, COMPRENSIVO DI CAVI, TUBAZIONI, E CABLAGGIO AI QUADRI DI REGOLAZIONE, È ESCLUSA L'ASSISTENZA MURARIA, VALUTATO PER OGNI PUNTO DI REGOLAZIONE E CONTROLLO COLLEGATO</t>
        </is>
      </c>
      <c r="M573" s="4" t="inlineStr">
        <is>
          <t>CAD</t>
        </is>
      </c>
      <c r="N573" s="5" t="n">
        <v>33</v>
      </c>
      <c r="O573" s="45" t="n">
        <v>123.34</v>
      </c>
      <c r="P573" s="45" t="n">
        <v>4070.22</v>
      </c>
      <c r="Q573" s="5" t="n"/>
      <c r="R573" s="6" t="n"/>
      <c r="S573" s="6">
        <f>IF(AND(Q573&lt;&gt;"",R573&lt;&gt;""),Q573*R573,"")</f>
        <v/>
      </c>
      <c r="T573" s="45">
        <f>IF(S573="",P573,S573)</f>
        <v/>
      </c>
      <c r="U573" s="7" t="n">
        <v>0</v>
      </c>
      <c r="V573" s="6">
        <f>$T573*U573</f>
        <v/>
      </c>
      <c r="W573" s="7" t="n">
        <v>0</v>
      </c>
      <c r="X573" s="6">
        <f>$T573*W573</f>
        <v/>
      </c>
      <c r="Y573" s="7" t="n">
        <v>0</v>
      </c>
      <c r="Z573" s="6">
        <f>$T573*Y573</f>
        <v/>
      </c>
      <c r="AA573" s="7" t="n">
        <v>0</v>
      </c>
      <c r="AB573" s="6">
        <f>$T573*AA573</f>
        <v/>
      </c>
      <c r="AC573" s="7" t="n">
        <v>0</v>
      </c>
      <c r="AD573" s="6">
        <f>$T573*AC573</f>
        <v/>
      </c>
      <c r="AE573" s="7" t="n">
        <v>0</v>
      </c>
      <c r="AF573" s="6">
        <f>$T573*AE573</f>
        <v/>
      </c>
      <c r="AG573" s="7" t="n">
        <v>0</v>
      </c>
      <c r="AH573" s="6">
        <f>$T573*AG573</f>
        <v/>
      </c>
      <c r="AI573" s="7">
        <f>U573+W573+Y573+AA573+AC573+AE573+AG573</f>
        <v/>
      </c>
      <c r="AJ573" s="6">
        <f>V573+X573+Z573+AB573+AD573+AF573+AH573</f>
        <v/>
      </c>
    </row>
    <row r="574" hidden="1" ht="60" customHeight="1" s="46">
      <c r="A574" s="3" t="inlineStr">
        <is>
          <t>IE_NP_TREG01</t>
        </is>
      </c>
      <c r="B574" s="4" t="inlineStr">
        <is>
          <t>1/1</t>
        </is>
      </c>
      <c r="C574" s="3" t="inlineStr">
        <is>
          <t>IMPIANTO ELETTRICO</t>
        </is>
      </c>
      <c r="D574" s="4" t="inlineStr">
        <is>
          <t>SPECIALE</t>
        </is>
      </c>
      <c r="E574" s="4" t="inlineStr">
        <is>
          <t>ELETTRICHE SPECIALI</t>
        </is>
      </c>
      <c r="F574" s="3" t="inlineStr">
        <is>
          <t>3_CME IE RADIOFARMACIA PAVIA - REV02 VARIANTE ESECUTIVA.PDF</t>
        </is>
      </c>
      <c r="G574" s="4" t="inlineStr">
        <is>
          <t>78/78</t>
        </is>
      </c>
      <c r="H574" s="3" t="inlineStr">
        <is>
          <t>40 - IMPIANTISTICO</t>
        </is>
      </c>
      <c r="I574" s="3" t="inlineStr">
        <is>
          <t>RADIOFARMACIA</t>
        </is>
      </c>
      <c r="J574" s="3" t="inlineStr">
        <is>
          <t>IMPIANTO DI TERMOREGOLAZIONE</t>
        </is>
      </c>
      <c r="K574" s="3" t="inlineStr">
        <is>
          <t>FORNITURA E POSA IN OPERA DI POSTAZIONE DI TERMOREGOLAZIONE DEGLI IMPIANTI IDRONICI E AERAULICI COMPOSTO DA: DCC7-CL-S-P3-1 DELL DESIGO CC 7.0 SYS CL-S 3YR PRO SUP CLIENT SERVER (SMALL, 500 DATAPOINT)</t>
        </is>
      </c>
      <c r="L574" s="3" t="inlineStr">
        <is>
          <t>FORNITURA E POSA IN OPERA DI POSTAZIONE DI TERMOREGOLAZIONE DEGLI IMPIANTI IDRONICI E AERAULICI COMPOSTO DA: DCC7-CL-S-P3-1 DELL DESIGO CC 7.0 SYS CL-S 3YR PRO SUP CLIENT SERVER (SMALL, 500 DATAPOINT) DELL DESIGO CC 7.0 SYS CL-S 3YR PRO SUP 1 DIS-P2725H-P3 MONITOR 27 POLLICI MONITOR 27 POLLICI 1 CCA-CMPT-BA CCA-CMPT-BA LICENZA CC COMPATTA BA, FUNZIONI BASE 1 CCA-100-BA CCA-100-BA LICENZA CC, AGGIUNTA DI 100 PUNTI DI TIPO BUILDING AUTOMATION 4 ENGINEERING DEFINIZIONE LOGICHE FUNZIONAMENTO/SCHEMI ANALISI DOCUMENTAZIONE FORNITA DAL CLIENTE, ELABORAZIONE SCHEMI DI CABLAGGIO SWDEVELOPMENT SVILUPPO SW SVILUPPO SW PERSONALIZZATO SULLA BASE DI RICHIESTE SPECIFICHE COMMISSIONING MESSA IN SERVIZIO E STARTUP MESSA IN SERVIZIO E STARTUP, CARICAMENTO PROGRAMMI ELABORATI A BORDO DELLE UNITÀ CENTRALI GRAFICA CONFIGURAZIONE DELLE PAGINE GRAFICHE ELABORAZIONE E CONFIGURAZIONE DELLE PAGINE GRAFICHE SULLA BASE DELLE PLAMIMETRIE TRASMESSE E DELLE SPECIFICHE DEFINITE TRAINING CORSO DI ISTRUZIONE OPERATORI CORSO DI ISTRUZIONE OPERATORI PROJECTMANAGEMENT COORDINAMENTO DELLA FORNITURA ATTIVITÀ DI COORDINAMENTO DELLA FORNITURA, GESTIONE COMMESSA, COORDINAMENTO TECNICI E SUPPORTO ALL'INSTALLAZIONE</t>
        </is>
      </c>
      <c r="M574" s="4" t="inlineStr">
        <is>
          <t>A CORPO</t>
        </is>
      </c>
      <c r="N574" s="5" t="n">
        <v>1</v>
      </c>
      <c r="O574" s="45" t="n">
        <v>0</v>
      </c>
      <c r="P574" s="45" t="n">
        <v>0</v>
      </c>
      <c r="Q574" s="5" t="n"/>
      <c r="R574" s="6" t="n"/>
      <c r="S574" s="6">
        <f>IF(AND(Q574&lt;&gt;"",R574&lt;&gt;""),Q574*R574,"")</f>
        <v/>
      </c>
      <c r="T574" s="45">
        <f>IF(S574="",P574,S574)</f>
        <v/>
      </c>
      <c r="U574" s="7" t="n">
        <v>0</v>
      </c>
      <c r="V574" s="6">
        <f>$T574*U574</f>
        <v/>
      </c>
      <c r="W574" s="7" t="n">
        <v>0</v>
      </c>
      <c r="X574" s="6">
        <f>$T574*W574</f>
        <v/>
      </c>
      <c r="Y574" s="7" t="n">
        <v>0</v>
      </c>
      <c r="Z574" s="6">
        <f>$T574*Y574</f>
        <v/>
      </c>
      <c r="AA574" s="7" t="n">
        <v>0</v>
      </c>
      <c r="AB574" s="6">
        <f>$T574*AA574</f>
        <v/>
      </c>
      <c r="AC574" s="7" t="n">
        <v>0</v>
      </c>
      <c r="AD574" s="6">
        <f>$T574*AC574</f>
        <v/>
      </c>
      <c r="AE574" s="7" t="n">
        <v>0</v>
      </c>
      <c r="AF574" s="6">
        <f>$T574*AE574</f>
        <v/>
      </c>
      <c r="AG574" s="7" t="n">
        <v>0</v>
      </c>
      <c r="AH574" s="6">
        <f>$T574*AG574</f>
        <v/>
      </c>
      <c r="AI574" s="7">
        <f>U574+W574+Y574+AA574+AC574+AE574+AG574</f>
        <v/>
      </c>
      <c r="AJ574" s="6">
        <f>V574+X574+Z574+AB574+AD574+AF574+AH574</f>
        <v/>
      </c>
    </row>
    <row r="575" hidden="1" ht="60" customHeight="1" s="46">
      <c r="A575" s="3" t="inlineStr">
        <is>
          <t>IE_NP_TREG02</t>
        </is>
      </c>
      <c r="B575" s="4" t="inlineStr">
        <is>
          <t>1/1</t>
        </is>
      </c>
      <c r="C575" s="3" t="inlineStr">
        <is>
          <t>IMPIANTO ELETTRICO</t>
        </is>
      </c>
      <c r="D575" s="4" t="inlineStr">
        <is>
          <t>SPECIALE</t>
        </is>
      </c>
      <c r="E575" s="4" t="inlineStr">
        <is>
          <t>ELETTRICHE SPECIALI</t>
        </is>
      </c>
      <c r="F575" s="3" t="inlineStr">
        <is>
          <t>3_CME IE RADIOFARMACIA PAVIA - REV02 VARIANTE ESECUTIVA.PDF</t>
        </is>
      </c>
      <c r="G575" s="4" t="inlineStr">
        <is>
          <t>79/79</t>
        </is>
      </c>
      <c r="H575" s="3" t="inlineStr">
        <is>
          <t>40 - IMPIANTISTICO</t>
        </is>
      </c>
      <c r="I575" s="3" t="inlineStr">
        <is>
          <t>RADIOFARMACIA</t>
        </is>
      </c>
      <c r="J575" s="3" t="inlineStr">
        <is>
          <t>IMPIANTO DI TERMOREGOLAZIONE</t>
        </is>
      </c>
      <c r="K575" s="3" t="inlineStr">
        <is>
          <t>FORNITURA E POSA IN OPERA DEI MODULI DI TERMOREGOLAZIONE PER LA GESTIONE DEGLI AMBIENTI DA INSTALLARE ALL'INTERNO DEI QUADRI ELETTRICI DI POTENZA INCLUSA L'INSTALLAZIONE ED IL CABLAGGIO SECONDO LE IND</t>
        </is>
      </c>
      <c r="L575" s="3" t="inlineStr">
        <is>
          <t>FORNITURA E POSA IN OPERA DEI MODULI DI TERMOREGOLAZIONE PER LA GESTIONE DEGLI AMBIENTI DA INSTALLARE ALL'INTERNO DEI QUADRI ELETTRICI DI POTENZA INCLUSA L'INSTALLAZIONE ED IL CABLAGGIO SECONDO LE INDICAZIONI DEL FORNITORE DELLE APPARECCHIATURE. DETTAGLIO DELLE APPARECCHIATURE: PXC7.E400M PXC7.E400M CONTR. PROGRAMMABILE MAX250PT CONTROLLORE DI AUTOMAZIONE MODULARE REGOLAZIONE E CONTROLLO SISTEMI HVAC. COMUNICAZIONE BACNET/IP. COMUNICAZIONE BACNET SECURE CONNECT. GESTIONE COMPLETA E FUNZIONI DI SISTEMA. LIBERAMENTE PROGRAMMABILI CON AMPIA LIBRERIA DI BLOCCHI BASE E LIBRERIE DI APPLICATIVI. COLLEGAMENTO DI SEGNALI DI INGRESSO E USCITA ATTRAVERSO MODULI TXM (MAX 200 PUNTI). INTEGRAZIONE SOTTOSISTEMI MODBUS RTU E/O MODBUS TCP (MAX 200 PUNTI). INTEGRA I DISPOSITIVI BACNET MS/TP (15 DISPOSITVI MAX SU 2 BUS). INTERFACCIA WEB TESTUALE. TOTALE PUNTI GESTIBILI 250. FINO A 2 PORTE RS485 CONFIGURABILI. ACCESSO REMOTO TRAMITE CLOUD. 1 TXS1.12F10 ALIMENTATORE MODULI MODULO TXS1.12F10, ALIMENTATORE PER CONNESSIONE BUS, CON GENERAZIONE E TRASFERIMENTO DELL' ALIMENTAZIONE DC 24V, 1.2 A AI MODULI TX I/O E DISPOSITIVI DI CAMPO. 4 TXS1.EF10 CONNETTORE BUS MODULO TXS1.EF10 PER CONNESSIONE BUS, CON TRASFERIMENTO DELL' ALIMENTAZIONE DC 24V AI MODULI TX I/O E DISPOSITIVI DI CAMPO. 4 TXM1.8U MODULO 8 INGRESSI USCITE ANAGLOGICHE MODULO TXM1.8U, 8 INGRESSI/USCITE UNIVERSALI INDIVIDUALMENTE CONFIGURABILI. INGRESSI DIGITALI MANTENUTI, IMPULSIVI O CONTEGGI. SENSORI DI TEMPERATURA O 0..10 VCC. USCITE ANALOGICHE 0..10 VCC. SEGNALAZIONE STATO INGRESSI CON LEDS. 29 TXM1.8D MODULO 8 INGRESSI DIGITALI MODULO TXM1.8D, 8 INGRESSI DIGITALI INDIVIDUALMENTE CONFIGURABILI. SEGNALAZIONE INGRESSI CON LEDS MULTICOLORE VERDE-GIALLO-ROSSO. 3 TXM1.6R MODULO 6 USCITE DIGITALI MODULO TXM1.6R, 6 USCITE DIGITALI A RELÈ INDIVIDUALMENTE CONFIGURABILI. SEGNALAZIONE USCITE CON LEDS SENZA COMANDO MANUALE LOCALE. PORTATA CONTATTI 4A (RESISTIVO) OPPURE 3 A (INDUTTIVO A 250 VCA). 4 TXA1.K24 INDIRIZZI 1- 24 + RESET TXA1.K24 SET INDIRIZZI 1...24 CON RESET 1 TXA1.K-48 INDIRIZZI 25-48+RESET TXA1.K48 SET INDIRIZZI 25...48 CON RESET</t>
        </is>
      </c>
      <c r="M575" s="4" t="inlineStr">
        <is>
          <t>A CORPO</t>
        </is>
      </c>
      <c r="N575" s="5" t="n">
        <v>1</v>
      </c>
      <c r="O575" s="45" t="n">
        <v>0</v>
      </c>
      <c r="P575" s="45" t="n">
        <v>0</v>
      </c>
      <c r="Q575" s="5" t="n"/>
      <c r="R575" s="6" t="n"/>
      <c r="S575" s="6">
        <f>IF(AND(Q575&lt;&gt;"",R575&lt;&gt;""),Q575*R575,"")</f>
        <v/>
      </c>
      <c r="T575" s="45">
        <f>IF(S575="",P575,S575)</f>
        <v/>
      </c>
      <c r="U575" s="7" t="n">
        <v>0</v>
      </c>
      <c r="V575" s="6">
        <f>$T575*U575</f>
        <v/>
      </c>
      <c r="W575" s="7" t="n">
        <v>0</v>
      </c>
      <c r="X575" s="6">
        <f>$T575*W575</f>
        <v/>
      </c>
      <c r="Y575" s="7" t="n">
        <v>0</v>
      </c>
      <c r="Z575" s="6">
        <f>$T575*Y575</f>
        <v/>
      </c>
      <c r="AA575" s="7" t="n">
        <v>0</v>
      </c>
      <c r="AB575" s="6">
        <f>$T575*AA575</f>
        <v/>
      </c>
      <c r="AC575" s="7" t="n">
        <v>0</v>
      </c>
      <c r="AD575" s="6">
        <f>$T575*AC575</f>
        <v/>
      </c>
      <c r="AE575" s="7" t="n">
        <v>0</v>
      </c>
      <c r="AF575" s="6">
        <f>$T575*AE575</f>
        <v/>
      </c>
      <c r="AG575" s="7" t="n">
        <v>0</v>
      </c>
      <c r="AH575" s="6">
        <f>$T575*AG575</f>
        <v/>
      </c>
      <c r="AI575" s="7">
        <f>U575+W575+Y575+AA575+AC575+AE575+AG575</f>
        <v/>
      </c>
      <c r="AJ575" s="6">
        <f>V575+X575+Z575+AB575+AD575+AF575+AH575</f>
        <v/>
      </c>
    </row>
    <row r="576" hidden="1" ht="60" customHeight="1" s="46">
      <c r="A576" s="3" t="inlineStr">
        <is>
          <t>IE_NP_TREG03</t>
        </is>
      </c>
      <c r="B576" s="4" t="inlineStr">
        <is>
          <t>1/1</t>
        </is>
      </c>
      <c r="C576" s="3" t="inlineStr">
        <is>
          <t>IMPIANTO ELETTRICO</t>
        </is>
      </c>
      <c r="D576" s="4" t="inlineStr">
        <is>
          <t>SPECIALE</t>
        </is>
      </c>
      <c r="E576" s="4" t="inlineStr">
        <is>
          <t>ELETTRICHE SPECIALI</t>
        </is>
      </c>
      <c r="F576" s="3" t="inlineStr">
        <is>
          <t>3_CME IE RADIOFARMACIA PAVIA - REV02 VARIANTE ESECUTIVA.PDF</t>
        </is>
      </c>
      <c r="G576" s="4" t="inlineStr">
        <is>
          <t>80/80</t>
        </is>
      </c>
      <c r="H576" s="3" t="inlineStr">
        <is>
          <t>40 - IMPIANTISTICO</t>
        </is>
      </c>
      <c r="I576" s="3" t="inlineStr">
        <is>
          <t>RADIOFARMACIA</t>
        </is>
      </c>
      <c r="J576" s="3" t="inlineStr">
        <is>
          <t>IMPIANTO DI TERMOREGOLAZIONE</t>
        </is>
      </c>
      <c r="K576" s="3" t="inlineStr">
        <is>
          <t>FORNITURA E POSA IN OPERA DEI MODULI DI TERMOREGOLAZIONE PER LA GESTIONE DELLA UTA 1 DA INSTALLARE ALL'INTERNO DEL QUADRO ELETTRICO DI POTENZA QCT INCLUSA L'INSTALLAZIONE ED IL CABLAGGIO SECONDO LE IN</t>
        </is>
      </c>
      <c r="L576" s="3" t="inlineStr">
        <is>
          <t>FORNITURA E POSA IN OPERA DEI MODULI DI TERMOREGOLAZIONE PER LA GESTIONE DELLA UTA 1 DA INSTALLARE ALL'INTERNO DEL QUADRO ELETTRICO DI POTENZA QCT INCLUSA L'INSTALLAZIONE ED IL CABLAGGIO SECONDO LE INDICAZIONI DEL FORNITORE DELLE APPARECCHIATURE. DETTAGLIO DELLE APPARECCHIATURE: PXC5.E24 PXC5.E24 AUTOMATION STATION CONTROLLORE DI AUTOMAZIONE COMPATTA PER HVAC E SISTEMI DI AUTOMAZIONE DEGLI EDIFICI, LIBERAMENTE PROGRAMMABILE TRAMITE INTERFACCIA DI PROGRAMMAZIONE GRAFICA. COMUNICAZIONE BACNET/IP (CERTIFICATA BTL). COMUNICAZIONE BACNET SECURE CONNECT. 24 INGRESSI/ USCITE: 2 INGRESSI DIGITALI, 8 INGRESSI/USCITE UNIVERSALI, 8 INGRESSI/USCITE SUPER UNIVERSALI, 6 USCITE RELÈ AMPLIABILE TRAMITE MODULI I/O TXM… BUS KNX PL-LINK PER IL COLLEGAMENTO DI SENSORI E UNITÀ AMBIENTE (ALIMENTAZIONE DEL BUS A BORDO DEL CONTROLLORE). INTEGRAZIONE MODBUS TRAMITE RTU E/O TCP (MAX 80 DP). INTEGRAZIONE DI DISPOSITIVI BACNET MS/TP (FINO A 120 DISPOSITIVI SU DUE LINEE MS/TP). INTERFACCIA WLAN PER L'ENGINEERING E LA MESSA IN SERVIZIO. FINO A 120 DATAPOINT TOTALI TRA PUNTI FISICI PUNTI DI INTEGRAZIONE MODBUS. TENSIONE DI ESERCIZIO AC O DC 24 V 1 TXM1.6R MODULO 6 USCITE DIGITALI MODULO TXM1.6R, 6 USCITE DIGITALI A RELÈ INDIVIDUALMENTE CONFIGURABILI. SEGNALAZIONE USCITE CON LEDS SENZA COMANDO MANUALE LOCALE. PORTATA CONTATTI 4A (RESISTIVO) OPPURE 3 A (INDUTTIVO A 250 VCA). 1 TXM1.16D MODULO 16 INGRESSI DIGITALI MODULO TXM1.16D, 16 INGRESSI DIGITALI INDIVIDUALMENTE CONFIGURABILI. SEGNALAZIONE STATO INGRESSI CON LEDS 1 TXS1.12F10 ALIMENTATORE MODULI MODULO TXS1.12F10, ALIMENTATORE PER CONNESSIONE BUS, CON GENERAZIONE E TRASFERIMENTO DELL' ALIMENTAZIONE DC 24V, 1.2 A AI MODULI TX I/O E DISPOSITIVI DI CAMPO.  ESCLIUSO EVENTUALI INVERTER</t>
        </is>
      </c>
      <c r="M576" s="4" t="inlineStr">
        <is>
          <t>A CORPO</t>
        </is>
      </c>
      <c r="N576" s="5" t="n">
        <v>1</v>
      </c>
      <c r="O576" s="45" t="n">
        <v>0</v>
      </c>
      <c r="P576" s="45" t="n">
        <v>0</v>
      </c>
      <c r="Q576" s="5" t="n"/>
      <c r="R576" s="6" t="n"/>
      <c r="S576" s="6">
        <f>IF(AND(Q576&lt;&gt;"",R576&lt;&gt;""),Q576*R576,"")</f>
        <v/>
      </c>
      <c r="T576" s="45">
        <f>IF(S576="",P576,S576)</f>
        <v/>
      </c>
      <c r="U576" s="7" t="n">
        <v>0</v>
      </c>
      <c r="V576" s="6">
        <f>$T576*U576</f>
        <v/>
      </c>
      <c r="W576" s="7" t="n">
        <v>0</v>
      </c>
      <c r="X576" s="6">
        <f>$T576*W576</f>
        <v/>
      </c>
      <c r="Y576" s="7" t="n">
        <v>0</v>
      </c>
      <c r="Z576" s="6">
        <f>$T576*Y576</f>
        <v/>
      </c>
      <c r="AA576" s="7" t="n">
        <v>0</v>
      </c>
      <c r="AB576" s="6">
        <f>$T576*AA576</f>
        <v/>
      </c>
      <c r="AC576" s="7" t="n">
        <v>0</v>
      </c>
      <c r="AD576" s="6">
        <f>$T576*AC576</f>
        <v/>
      </c>
      <c r="AE576" s="7" t="n">
        <v>0</v>
      </c>
      <c r="AF576" s="6">
        <f>$T576*AE576</f>
        <v/>
      </c>
      <c r="AG576" s="7" t="n">
        <v>0</v>
      </c>
      <c r="AH576" s="6">
        <f>$T576*AG576</f>
        <v/>
      </c>
      <c r="AI576" s="7">
        <f>U576+W576+Y576+AA576+AC576+AE576+AG576</f>
        <v/>
      </c>
      <c r="AJ576" s="6">
        <f>V576+X576+Z576+AB576+AD576+AF576+AH576</f>
        <v/>
      </c>
    </row>
    <row r="577" hidden="1" ht="60" customHeight="1" s="46">
      <c r="A577" s="3" t="inlineStr">
        <is>
          <t>IE_NP_TREG04</t>
        </is>
      </c>
      <c r="B577" s="4" t="inlineStr">
        <is>
          <t>1/1</t>
        </is>
      </c>
      <c r="C577" s="3" t="inlineStr">
        <is>
          <t>IMPIANTO ELETTRICO</t>
        </is>
      </c>
      <c r="D577" s="4" t="inlineStr">
        <is>
          <t>SPECIALE</t>
        </is>
      </c>
      <c r="E577" s="4" t="inlineStr">
        <is>
          <t>ELETTRICHE SPECIALI</t>
        </is>
      </c>
      <c r="F577" s="3" t="inlineStr">
        <is>
          <t>3_CME IE RADIOFARMACIA PAVIA - REV02 VARIANTE ESECUTIVA.PDF</t>
        </is>
      </c>
      <c r="G577" s="4" t="inlineStr">
        <is>
          <t>81/81</t>
        </is>
      </c>
      <c r="H577" s="3" t="inlineStr">
        <is>
          <t>40 - IMPIANTISTICO</t>
        </is>
      </c>
      <c r="I577" s="3" t="inlineStr">
        <is>
          <t>RADIOFARMACIA</t>
        </is>
      </c>
      <c r="J577" s="3" t="inlineStr">
        <is>
          <t>IMPIANTO DI TERMOREGOLAZIONE</t>
        </is>
      </c>
      <c r="K577" s="3" t="inlineStr">
        <is>
          <t xml:space="preserve">FORNITURA E POSA IN OPERA DEI MODULI DI TERMOREGOLAZIONE PER LA GESTIONE DELLA PDC ACS DA INSTALLARE ALL'INTERNO DEL QUADRO ELETTRICO DI POTENZA QCT INCLUSA L'INSTALLAZIONE ED IL CABLAGGIO SECONDO LE </t>
        </is>
      </c>
      <c r="L577" s="3" t="inlineStr">
        <is>
          <t>FORNITURA E POSA IN OPERA DEI MODULI DI TERMOREGOLAZIONE PER LA GESTIONE DELLA PDC ACS DA INSTALLARE ALL'INTERNO DEL QUADRO ELETTRICO DI POTENZA QCT INCLUSA L'INSTALLAZIONE ED IL CABLAGGIO SECONDO LE INDICAZIONI DEL FORNITORE DELLE APPARECCHIATURE. DETTAGLIO DELLE APPARECCHIATURE:  PXC4.E16S-2 CONTROLLORE DI AUTOMAZIONE COMPATTO, LIBERAMENTE PROGRAMMABILE, DOTATO DI FUNZIONI DI SISTEMA (GESTIONE ALLARMI CON ALARM ROUTING, PROGRAMMAZIONE, FUNZIONI TREND). GESTIONE DI 100 ALLARMI ,40 FUNZIONI TREND PER UN MASSIMO DI 20000 CAMPIONAMENTI,5 OROLOGI SETTIMANALI E 5 OROLOGI A CALENDARIO. GESTIONE DI UN TOTALE DI 400 PUNTI BACNET PER UN MASSIMO DI 40 DATAPOINT FISICI. TIME MASTER ANCHE CON PROTOCOLLO NTP. LIBERAMENTE PROGRAMMABILE (STRETTA SOMIGLIANZA CON LO STANDARD CEN 11312). TUTTI I BLOCCHI FUNZIONE, DISPONIBILI NELLE LIBRERIE, POSSONO ESSERE COLLEGATI GRAFICAMENTE. TOTALE 16 I/O A BORDO (12 INGRESSI UNIVERSALI + 4 USCITE A RELÈ). POSSIBILITÀ DI CONNETTERE DIRETTAMENTE I MODULI D’ESTENSIONE I/O (TXM1) (CON ALIMENTATORE INCORPORATO DA 300MA). CONNESSIONE MASSIMA DI 8 MODULI DI ESPANSIONE. CONNESSIONE DIRETTA DEI DISPOSITIVI DI CAMPO: IL CONTROLLER FORNISCE ALIMENTAZIONE PER INGRESSI E USCITE NONCHÉ PER SENSORI ATTIVI. TENSIONE DI FUNZIONAMENTO AC 24 V CON ASSORBIMENTO MASSIMO 78VA O 24 V DC CON ASSORBIMENTO MASSIMO 66 W. INSTALLAZIONE SU GUIDA DIN STANDARD O A PARETE. MORSETTIERE PLUG-IN INCLUSE. SENZA BATTERIA: RISERVA DI ENERGIA (SUPERCAP) PER IL SUPPORTO DELL'OROLOGIO IN TEMPO REALE (7 GIORNI). PROGETTAZIONE E MESSA IN SERVIZIO CON LO STRUMENTO ABT SITE DI FACILE UTILIZZO E SENZA NESSUN COSTO DI LICENZA, ATTRAVERSO MENÙ GRAFICI. VISUALIZZATORE TESTUALE DEI DATAPOINT LOCALI E CONFIGURAZIONE TRAMITE INTERFACCIA WEB. CONNESSIONE WLAN PER SVILUPPO, MESSA IN SERVIZIO E GESTIONE, CON COPERTURA FINO A 5M. COMUNICAZIONE BACNET CERTIFICATA BTL SU IP, IN CONFORMITÀ CON LO STANDARD BACNET CON PROFILO B-BC (REV. 1.16). CERTIFICAZIONE N° BTL-31062.DISPONIBLITÀ DI PROTOCOLLO BACNET/SC CON FUNZIONALITÀ DI NODO. COMPATIBILE CON IPV4. IMPLEMENTAZIONE SICUREZZA A LIVELLO IT ATTRAVERSO HTTPS, IEC62443 4-2 (LIVELLO SICUREZZA 2). SWITCH ETHERNET A DUE PORTE. FUNZIONALITÀ BBMD. GESTIONE E MESSA IN SERVIZIO CON APP ABT GO (DISPONIBILE IOS, ANDROID, WINDOWS) ATTRAVERSO CONNESSIONE WLAN O CABLATA. DISPONIBILE CONNESSIONE VIA CLOUD (REMOTE ACCESS) PER ATTIVITÀ DI MANUTENZIONE E MODIFICH8E SOFTWARE CON APPOSITA LICENZA SOFTWARE, COMPATIBILE CON BUILDING X 1</t>
        </is>
      </c>
      <c r="M577" s="4" t="inlineStr">
        <is>
          <t>A CORPO</t>
        </is>
      </c>
      <c r="N577" s="5" t="n">
        <v>1</v>
      </c>
      <c r="O577" s="45" t="n">
        <v>0</v>
      </c>
      <c r="P577" s="45" t="n">
        <v>0</v>
      </c>
      <c r="Q577" s="5" t="n"/>
      <c r="R577" s="6" t="n"/>
      <c r="S577" s="6">
        <f>IF(AND(Q577&lt;&gt;"",R577&lt;&gt;""),Q577*R577,"")</f>
        <v/>
      </c>
      <c r="T577" s="45">
        <f>IF(S577="",P577,S577)</f>
        <v/>
      </c>
      <c r="U577" s="7" t="n">
        <v>0</v>
      </c>
      <c r="V577" s="6">
        <f>$T577*U577</f>
        <v/>
      </c>
      <c r="W577" s="7" t="n">
        <v>0</v>
      </c>
      <c r="X577" s="6">
        <f>$T577*W577</f>
        <v/>
      </c>
      <c r="Y577" s="7" t="n">
        <v>0</v>
      </c>
      <c r="Z577" s="6">
        <f>$T577*Y577</f>
        <v/>
      </c>
      <c r="AA577" s="7" t="n">
        <v>0</v>
      </c>
      <c r="AB577" s="6">
        <f>$T577*AA577</f>
        <v/>
      </c>
      <c r="AC577" s="7" t="n">
        <v>0</v>
      </c>
      <c r="AD577" s="6">
        <f>$T577*AC577</f>
        <v/>
      </c>
      <c r="AE577" s="7" t="n">
        <v>0</v>
      </c>
      <c r="AF577" s="6">
        <f>$T577*AE577</f>
        <v/>
      </c>
      <c r="AG577" s="7" t="n">
        <v>0</v>
      </c>
      <c r="AH577" s="6">
        <f>$T577*AG577</f>
        <v/>
      </c>
      <c r="AI577" s="7">
        <f>U577+W577+Y577+AA577+AC577+AE577+AG577</f>
        <v/>
      </c>
      <c r="AJ577" s="6">
        <f>V577+X577+Z577+AB577+AD577+AF577+AH577</f>
        <v/>
      </c>
    </row>
    <row r="578" hidden="1" ht="60" customHeight="1" s="46">
      <c r="A578" s="3" t="inlineStr">
        <is>
          <t>IE_NP_TREG05</t>
        </is>
      </c>
      <c r="B578" s="4" t="inlineStr">
        <is>
          <t>1/1</t>
        </is>
      </c>
      <c r="C578" s="3" t="inlineStr">
        <is>
          <t>IMPIANTO ELETTRICO</t>
        </is>
      </c>
      <c r="D578" s="4" t="inlineStr">
        <is>
          <t>SPECIALE</t>
        </is>
      </c>
      <c r="E578" s="4" t="inlineStr">
        <is>
          <t>ELETTRICHE SPECIALI</t>
        </is>
      </c>
      <c r="F578" s="3" t="inlineStr">
        <is>
          <t>3_CME IE RADIOFARMACIA PAVIA - REV02 VARIANTE ESECUTIVA.PDF</t>
        </is>
      </c>
      <c r="G578" s="4" t="inlineStr">
        <is>
          <t>82/82</t>
        </is>
      </c>
      <c r="H578" s="3" t="inlineStr">
        <is>
          <t>40 - IMPIANTISTICO</t>
        </is>
      </c>
      <c r="I578" s="3" t="inlineStr">
        <is>
          <t>RADIOFARMACIA</t>
        </is>
      </c>
      <c r="J578" s="3" t="inlineStr">
        <is>
          <t>IMPIANTO DI TERMOREGOLAZIONE</t>
        </is>
      </c>
      <c r="K578" s="3" t="inlineStr">
        <is>
          <t>FORNITURA E POSA IN OPERA DEI MODULI DI TERMOREGOLAZIONE PER LA GESTIONE DELLA CENTRALE TERMOFRIGO DA INSTALLARE ALL'INTERNO DEL QUADRO ELETTRICO DI POTENZA QCT INCLUSA L'INSTALLAZIONE ED IL CABLAGGIO</t>
        </is>
      </c>
      <c r="L578" s="3" t="inlineStr">
        <is>
          <t>FORNITURA E POSA IN OPERA DEI MODULI DI TERMOREGOLAZIONE PER LA GESTIONE DELLA CENTRALE TERMOFRIGO DA INSTALLARE ALL'INTERNO DEL QUADRO ELETTRICO DI POTENZA QCT INCLUSA L'INSTALLAZIONE ED IL CABLAGGIO SECONDO LE INDICAZIONI DEL FORNITORE DELLE APPARECCHIATURE. DETTAGLIO DELLE APPARECCHIATURE:  PXC7.E400M PXC7.E400M CONTR. PROGRAMMABILE MAX250PT CONTROLLORE DI AUTOMAZIONE MODULARE REGOLAZIONE E CONTROLLO SISTEMI HVAC. COMUNICAZIONE BACNET/IP. COMUNICAZIONE BACNET SECURE CONNECT. GESTIONE COMPLETA E FUNZIONI DI SISTEMA. LIBERAMENTE PROGRAMMABILI CON AMPIA LIBRERIA DI BLOCCHI BASE E LIBRERIE DI APPLICATIVI. COLLEGAMENTO DI SEGNALI DI INGRESSO E USCITA ATTRAVERSO MODULI TXM (MAX 200 PUNTI). INTEGRAZIONE SOTTOSISTEMI MODBUS RTU E/O MODBUS TCP (MAX 200 PUNTI). INTEGRA I DISPOSITIVI BACNET MS/TP (15 DISPOSITVI MAX SU 2 BUS). INTERFACCIA WEB TESTUALE. TOTALE PUNTI GESTIBILI 250. FINO A 2 PORTE RS485 CONFIGURABILI. ACCESSO REMOTO TRAMITE CLOUD. 1 TXS1.12F10 ALIMENTATORE MODULI MODULO TXS1.12F10, ALIMENTATORE PER CONNESSIONE BUS, CON GENERAZIONE E TRASFERIMENTO DELL' ALIMENTAZIONE DC 24V, 1.2 A AI MODULI TX I/O E DISPOSITIVI DI CAMPO. 1 TXS1.EF10 CONNETTORE BUS MODULO TXS1.EF10 PER CONNESSIONE BUS, CON TRASFERIMENTO DELL' ALIMENTAZIONE DC 24V AI MODULI TX I/O E DISPOSITIVI DI CAMPO. 2 TXA1.K24 INDIRIZZI 1- 24 + RESET TXA1.K24 SET INDIRIZZI 1...24 CON RESET 1 TXM1.16D MODULO 16 INGRESSI DIGITALI MODULO TXM1.16D, 16 INGRESSI DIGITALI INDIVIDUALMENTE CONFIGURABILI. SEGNALAZIONE STATO INGRESSI CON LEDS 2 TXM1.8U MODULO 8 INGRESSI USCITE ANAGLOGICHE MODULO TXM1.8U, 8 INGRESSI/USCITE UNIVERSALI INDIVIDUALMENTE CONFIGURABILI. INGRESSI DIGITALI MANTENUTI, IMPULSIVI O CONTEGGI. SENSORI DI TEMPERATURA O 0..10 VCC. USCITE ANALOGICHE 0..10 VCC. SEGNALAZIONE STATO INGRESSI CON LEDS. 6 TXM1.6R MODULO 6 USCITE DIGITALI MODULO TXM1.6R, 6 USCITE DIGITALI A RELÈ INDIVIDUALMENTE CONFIGURABILI. SEGNALAZIONE USCITE CON LEDS SENZA COMANDO MANUALE LOCALE. PORTATA CONTATTI 4A (RESISTIVO) OPPURE 3 A (INDUTTIVO A 250 VCA). 4</t>
        </is>
      </c>
      <c r="M578" s="4" t="inlineStr">
        <is>
          <t>A CORPO</t>
        </is>
      </c>
      <c r="N578" s="5" t="n">
        <v>1</v>
      </c>
      <c r="O578" s="45" t="n">
        <v>0</v>
      </c>
      <c r="P578" s="45" t="n">
        <v>0</v>
      </c>
      <c r="Q578" s="5" t="n"/>
      <c r="R578" s="6" t="n"/>
      <c r="S578" s="6">
        <f>IF(AND(Q578&lt;&gt;"",R578&lt;&gt;""),Q578*R578,"")</f>
        <v/>
      </c>
      <c r="T578" s="45">
        <f>IF(S578="",P578,S578)</f>
        <v/>
      </c>
      <c r="U578" s="7" t="n">
        <v>0</v>
      </c>
      <c r="V578" s="6">
        <f>$T578*U578</f>
        <v/>
      </c>
      <c r="W578" s="7" t="n">
        <v>0</v>
      </c>
      <c r="X578" s="6">
        <f>$T578*W578</f>
        <v/>
      </c>
      <c r="Y578" s="7" t="n">
        <v>0</v>
      </c>
      <c r="Z578" s="6">
        <f>$T578*Y578</f>
        <v/>
      </c>
      <c r="AA578" s="7" t="n">
        <v>0</v>
      </c>
      <c r="AB578" s="6">
        <f>$T578*AA578</f>
        <v/>
      </c>
      <c r="AC578" s="7" t="n">
        <v>0</v>
      </c>
      <c r="AD578" s="6">
        <f>$T578*AC578</f>
        <v/>
      </c>
      <c r="AE578" s="7" t="n">
        <v>0</v>
      </c>
      <c r="AF578" s="6">
        <f>$T578*AE578</f>
        <v/>
      </c>
      <c r="AG578" s="7" t="n">
        <v>0</v>
      </c>
      <c r="AH578" s="6">
        <f>$T578*AG578</f>
        <v/>
      </c>
      <c r="AI578" s="7">
        <f>U578+W578+Y578+AA578+AC578+AE578+AG578</f>
        <v/>
      </c>
      <c r="AJ578" s="6">
        <f>V578+X578+Z578+AB578+AD578+AF578+AH578</f>
        <v/>
      </c>
    </row>
    <row r="579" hidden="1" ht="60" customHeight="1" s="46">
      <c r="A579" s="3" t="inlineStr">
        <is>
          <t>IE_NP_TREG06</t>
        </is>
      </c>
      <c r="B579" s="4" t="inlineStr">
        <is>
          <t>1/1</t>
        </is>
      </c>
      <c r="C579" s="3" t="inlineStr">
        <is>
          <t>IMPIANTO ELETTRICO</t>
        </is>
      </c>
      <c r="D579" s="4" t="inlineStr">
        <is>
          <t>SPECIALE</t>
        </is>
      </c>
      <c r="E579" s="4" t="inlineStr">
        <is>
          <t>ELETTRICHE SPECIALI</t>
        </is>
      </c>
      <c r="F579" s="3" t="inlineStr">
        <is>
          <t>3_CME IE RADIOFARMACIA PAVIA - REV02 VARIANTE ESECUTIVA.PDF</t>
        </is>
      </c>
      <c r="G579" s="4" t="inlineStr">
        <is>
          <t>83/83</t>
        </is>
      </c>
      <c r="H579" s="3" t="inlineStr">
        <is>
          <t>40 - IMPIANTISTICO</t>
        </is>
      </c>
      <c r="I579" s="3" t="inlineStr">
        <is>
          <t>RADIOFARMACIA</t>
        </is>
      </c>
      <c r="J579" s="3" t="inlineStr">
        <is>
          <t>IMPIANTO DI TERMOREGOLAZIONE</t>
        </is>
      </c>
      <c r="K579" s="3" t="inlineStr">
        <is>
          <t>FORNITURA E POSA IN OPERA DEI MODULI DI TERMOREGOLAZIONE PER LA GESTIONE DEI FANCOIL DA INSTALLARE ALL'INTERNO DEI QUADRI ELETTRICI DI POTENZA INCLUSA L'INSTALLAZIONE ED IL CABLAGGIO SECONDO LE INDICA</t>
        </is>
      </c>
      <c r="L579" s="3" t="inlineStr">
        <is>
          <t>FORNITURA E POSA IN OPERA DEI MODULI DI TERMOREGOLAZIONE PER LA GESTIONE DEI FANCOIL DA INSTALLARE ALL'INTERNO DEI QUADRI ELETTRICI DI POTENZA INCLUSA L'INSTALLAZIONE ED IL CABLAGGIO SECONDO LE INDICAZIONI DEL FORNITORE DELLE APPARECCHIATURE. DETTAGLIO DELLE APPARECCHIATURE:  PXC001-E.D PXC001E-D CONTROLL. IP,MODBUS, KNX, MBUS CONTROLLORE LIBERAMENTE PROGRAMMABILE PXC001.E-D COMUNICANTE IN BACNET/IP PER L'INTEGRAZIONE DI APPARECCHIATURE TERZE PARTI MODBUS, KNX, MBUS (O ALTRI PROTOCOLLI). DOTATO DI INTERFACCE RS232,RS485 E KONNEX È IN GRADO DI INTEGRARE FINO A 2000 PUNTI KONNEX O 250 PUNTI MODBUS O 250 PUNTI MBUS SENZA MODULI OPZIONALI. ALIMENTAZIONE: 24 VCA. 1 N 125/22 ALIMENTATORE N 125/22 640MA ALIMENTATORE CON BOBINA INTEGRATA. TENSIONE D’INGRESSO AC 120…230 V, 50…60 HZ, 220 V DC. TENSIONE D’USCITA: DC 29 V. CORRENTE D’USCITA: 640 MA. USCITA SUPPLEMENTARE DC 29 V NON FILTRATA, DA UNA COPPIA DI MORSETTI AGGIUNTIVI. L’APPARECCHIO PUÒ ESSERE PARALLELATO SENZA RISPETTARE LA DITANZA MINIMA NORMALMENTE RICHIESTA. COLLEGAMENTO AL BUS MEDIANTE STRISCIA DATI O MORSETTO BUS SENZA VITI. MONTAGGIO SU GUIDA DIN. GRADO DI PROTEZIONE IP20. DIMENSIONI: (IN UM, 1 UM = 18 MM): 4. 1</t>
        </is>
      </c>
      <c r="M579" s="4" t="inlineStr">
        <is>
          <t>A CORPO</t>
        </is>
      </c>
      <c r="N579" s="5" t="n">
        <v>1</v>
      </c>
      <c r="O579" s="45" t="n">
        <v>0</v>
      </c>
      <c r="P579" s="45" t="n">
        <v>0</v>
      </c>
      <c r="Q579" s="5" t="n"/>
      <c r="R579" s="6" t="n"/>
      <c r="S579" s="6">
        <f>IF(AND(Q579&lt;&gt;"",R579&lt;&gt;""),Q579*R579,"")</f>
        <v/>
      </c>
      <c r="T579" s="45">
        <f>IF(S579="",P579,S579)</f>
        <v/>
      </c>
      <c r="U579" s="7" t="n">
        <v>0</v>
      </c>
      <c r="V579" s="6">
        <f>$T579*U579</f>
        <v/>
      </c>
      <c r="W579" s="7" t="n">
        <v>0</v>
      </c>
      <c r="X579" s="6">
        <f>$T579*W579</f>
        <v/>
      </c>
      <c r="Y579" s="7" t="n">
        <v>0</v>
      </c>
      <c r="Z579" s="6">
        <f>$T579*Y579</f>
        <v/>
      </c>
      <c r="AA579" s="7" t="n">
        <v>0</v>
      </c>
      <c r="AB579" s="6">
        <f>$T579*AA579</f>
        <v/>
      </c>
      <c r="AC579" s="7" t="n">
        <v>0</v>
      </c>
      <c r="AD579" s="6">
        <f>$T579*AC579</f>
        <v/>
      </c>
      <c r="AE579" s="7" t="n">
        <v>0</v>
      </c>
      <c r="AF579" s="6">
        <f>$T579*AE579</f>
        <v/>
      </c>
      <c r="AG579" s="7" t="n">
        <v>0</v>
      </c>
      <c r="AH579" s="6">
        <f>$T579*AG579</f>
        <v/>
      </c>
      <c r="AI579" s="7">
        <f>U579+W579+Y579+AA579+AC579+AE579+AG579</f>
        <v/>
      </c>
      <c r="AJ579" s="6">
        <f>V579+X579+Z579+AB579+AD579+AF579+AH579</f>
        <v/>
      </c>
    </row>
    <row r="580" hidden="1" ht="60" customHeight="1" s="46">
      <c r="A580" s="3" t="inlineStr">
        <is>
          <t>DEIIT251_045065</t>
        </is>
      </c>
      <c r="B580" s="4" t="inlineStr">
        <is>
          <t>2/2</t>
        </is>
      </c>
      <c r="C580" s="3" t="inlineStr">
        <is>
          <t>IMPIANTO ELETTRICO</t>
        </is>
      </c>
      <c r="D580" s="4" t="inlineStr">
        <is>
          <t>SPECIALE</t>
        </is>
      </c>
      <c r="E580" s="4" t="inlineStr">
        <is>
          <t>ELETTRICHE SPECIALI</t>
        </is>
      </c>
      <c r="F580" s="3" t="inlineStr">
        <is>
          <t>3_CME IE RADIOFARMACIA PAVIA - REV02 VARIANTE ESECUTIVA.PDF</t>
        </is>
      </c>
      <c r="G580" s="4" t="inlineStr">
        <is>
          <t>84/84</t>
        </is>
      </c>
      <c r="H580" s="3" t="inlineStr">
        <is>
          <t>40 - IMPIANTISTICO</t>
        </is>
      </c>
      <c r="I580" s="3" t="inlineStr">
        <is>
          <t>RADIOFARMACIA</t>
        </is>
      </c>
      <c r="J580" s="3" t="inlineStr">
        <is>
          <t>IMPIANTO DI TERMOREGOLAZIONE</t>
        </is>
      </c>
      <c r="K580" s="3" t="inlineStr">
        <is>
          <t>COLLEGAMENTO ELETTRICO DEGLI ELEMENTI IN CAMPO DI REGOLAZIONE E DI CONTROLLO, COMPRENSIVO DI CAVI, TUBAZIONI, E CABLAGGIO AI QUADRI DI REGOLAZIONE, È ESCLUSA L'ASSISTENZA MURARIA, VALUTATO PER OGNI PU</t>
        </is>
      </c>
      <c r="L580" s="3" t="inlineStr">
        <is>
          <t>COLLEGAMENTO ELETTRICO DEGLI ELEMENTI IN CAMPO DI REGOLAZIONE E DI CONTROLLO, COMPRENSIVO DI CAVI, TUBAZIONI, E CABLAGGIO AI QUADRI DI REGOLAZIONE, È ESCLUSA L'ASSISTENZA MURARIA, VALUTATO PER OGNI PUNTO DI REGOLAZIONE E CONTROLLO COLLEGATO</t>
        </is>
      </c>
      <c r="M580" s="4" t="inlineStr">
        <is>
          <t>CAD</t>
        </is>
      </c>
      <c r="N580" s="5" t="n">
        <v>175</v>
      </c>
      <c r="O580" s="45" t="n">
        <v>154.16</v>
      </c>
      <c r="P580" s="45" t="n">
        <v>26978</v>
      </c>
      <c r="Q580" s="5" t="n"/>
      <c r="R580" s="6" t="n"/>
      <c r="S580" s="6">
        <f>IF(AND(Q580&lt;&gt;"",R580&lt;&gt;""),Q580*R580,"")</f>
        <v/>
      </c>
      <c r="T580" s="45">
        <f>IF(S580="",P580,S580)</f>
        <v/>
      </c>
      <c r="U580" s="7" t="n">
        <v>0</v>
      </c>
      <c r="V580" s="6">
        <f>$T580*U580</f>
        <v/>
      </c>
      <c r="W580" s="7" t="n">
        <v>0</v>
      </c>
      <c r="X580" s="6">
        <f>$T580*W580</f>
        <v/>
      </c>
      <c r="Y580" s="7" t="n">
        <v>0</v>
      </c>
      <c r="Z580" s="6">
        <f>$T580*Y580</f>
        <v/>
      </c>
      <c r="AA580" s="7" t="n">
        <v>0</v>
      </c>
      <c r="AB580" s="6">
        <f>$T580*AA580</f>
        <v/>
      </c>
      <c r="AC580" s="7" t="n">
        <v>0</v>
      </c>
      <c r="AD580" s="6">
        <f>$T580*AC580</f>
        <v/>
      </c>
      <c r="AE580" s="7" t="n">
        <v>0</v>
      </c>
      <c r="AF580" s="6">
        <f>$T580*AE580</f>
        <v/>
      </c>
      <c r="AG580" s="7" t="n">
        <v>0</v>
      </c>
      <c r="AH580" s="6">
        <f>$T580*AG580</f>
        <v/>
      </c>
      <c r="AI580" s="7">
        <f>U580+W580+Y580+AA580+AC580+AE580+AG580</f>
        <v/>
      </c>
      <c r="AJ580" s="6">
        <f>V580+X580+Z580+AB580+AD580+AF580+AH580</f>
        <v/>
      </c>
    </row>
    <row r="581" hidden="1" ht="60" customHeight="1" s="46">
      <c r="A581" s="3" t="inlineStr">
        <is>
          <t>LOM252.OC.EEA.PA01.G8239.ZA001.0000</t>
        </is>
      </c>
      <c r="B581" s="4" t="inlineStr">
        <is>
          <t>2/2</t>
        </is>
      </c>
      <c r="C581" s="3" t="inlineStr">
        <is>
          <t>IMPIANTO ELETTRICO</t>
        </is>
      </c>
      <c r="D581" s="4" t="inlineStr">
        <is>
          <t>SPECIALE</t>
        </is>
      </c>
      <c r="E581" s="4" t="inlineStr">
        <is>
          <t>ELETTRICHE SPECIALI</t>
        </is>
      </c>
      <c r="F581" s="3" t="inlineStr">
        <is>
          <t>3_CME IE RADIOFARMACIA PAVIA - REV02 VARIANTE ESECUTIVA.PDF</t>
        </is>
      </c>
      <c r="G581" s="4" t="inlineStr">
        <is>
          <t>85/85</t>
        </is>
      </c>
      <c r="H581" s="3" t="inlineStr">
        <is>
          <t>40 - IMPIANTISTICO</t>
        </is>
      </c>
      <c r="I581" s="3" t="inlineStr">
        <is>
          <t>RADIOFARMACIA</t>
        </is>
      </c>
      <c r="J581" s="3" t="inlineStr">
        <is>
          <t>CABLAGGIO STRUTTURATO</t>
        </is>
      </c>
      <c r="K581" s="3" t="inlineStr">
        <is>
          <t xml:space="preserve">OPERA: PREDISPOSIZIONE PER DERIVAZIONE D'IMPIANTO; IMPIEGO: DERIVAZIONE D'IMPIANTO DA INCASSO. INCLUSO: SCATOLA DA INCASSO; QUOTA PARTE DELLA SCATOLA DI DERIVAZIONE. </t>
        </is>
      </c>
      <c r="L581" s="3" t="inlineStr">
        <is>
          <t>OPERA: PREDISPOSIZIONE PER DERIVAZIONE D'IMPIANTO; IMPIEGO: DERIVAZIONE D'IMPIANTO DA INCASSO. INCLUSO: SCATOLA DA INCASSO; QUOTA PARTE DELLA SCATOLA DI DERIVAZIONE. 
LAVORO: INSTALLAZIONE IN OPERA. INCLUSO: CHIUSURA AL RUSTICO CON MALTA CEMENTIZIA; ASSISTENZA PER IL TRASPORTO DEI MATERIALI AL PIANO. 
SPECIFICHE TECNICHE: PER IMPIANTI DI SEGNALAZIONE O DI COMUNICAZIONE; REALIZZATO CON TUBO PROTETTIVO FLESSIBILE DI PLASTICA POLIVINILCLORURO (PVC) AD ALTA RESISTENZA ALLO SCHIACCIAMENTO. OP PREDISPOSIZIONE PER DERIVAZIONE D'IMPIANTO; IMPIEGO: DERIVAZIONE D'IMPIANTO DA INCASSO. INCLUSO: SCATOLA DA INCASSO; QUOTA PARTE DELLA SCATOLA DI DERIVAZIONE. 
SPECIFICHE TECNICHE: PER IMPIANTI DI SEGNALAZIONE O DI COMUNICAZIONE; REALIZZATO CON TUBO PROTETTIVO FLESSIBILE DI PLASTICA POLIVINILCLORURO (PVC) AD ALTA RESISTENZA ALLO SCHIACCIAMENTO. 
RM PREDISPOSIZIONE PER DERIVAZIONE D'IMPIANTO; IMPIEGO: DERIVAZIONE D'IMPIANTO DA INCASSO. INCLUSO: SCATOLA DA INCASSO; QUOTA PARTE DELLA SCATOLA DI DERIVAZIONE 
SPECIFICHE TECNICHE: PER IMPIANTI DI SEGNALAZIONE O DI COMUNICAZIONE; REALIZZATO CON TUBO PROTETTIVO FLESSIBILE DI PLASTICA POLIVINILCLORURO (PVC) AD ALTA RESISTENZA ALLO SCHIACCIAMENTO 
LV INSTALLAZIONE IN OPERA. INCLUSO: CHIUSURA AL RUSTICO CON MALTA CEMENTIZIA; ASSISTENZA PER IL TRASPORTO DEI MATERIALI AL PIANO.</t>
        </is>
      </c>
      <c r="M581" s="4" t="inlineStr">
        <is>
          <t>CAD</t>
        </is>
      </c>
      <c r="N581" s="5" t="n">
        <v>66</v>
      </c>
      <c r="O581" s="45" t="n">
        <v>26.69</v>
      </c>
      <c r="P581" s="45" t="n">
        <v>1761.54</v>
      </c>
      <c r="Q581" s="5" t="n"/>
      <c r="R581" s="6" t="n"/>
      <c r="S581" s="6">
        <f>IF(AND(Q581&lt;&gt;"",R581&lt;&gt;""),Q581*R581,"")</f>
        <v/>
      </c>
      <c r="T581" s="45">
        <f>IF(S581="",P581,S581)</f>
        <v/>
      </c>
      <c r="U581" s="7" t="n">
        <v>0</v>
      </c>
      <c r="V581" s="6">
        <f>$T581*U581</f>
        <v/>
      </c>
      <c r="W581" s="7" t="n">
        <v>0</v>
      </c>
      <c r="X581" s="6">
        <f>$T581*W581</f>
        <v/>
      </c>
      <c r="Y581" s="7" t="n">
        <v>0</v>
      </c>
      <c r="Z581" s="6">
        <f>$T581*Y581</f>
        <v/>
      </c>
      <c r="AA581" s="7" t="n">
        <v>0</v>
      </c>
      <c r="AB581" s="6">
        <f>$T581*AA581</f>
        <v/>
      </c>
      <c r="AC581" s="7" t="n">
        <v>0</v>
      </c>
      <c r="AD581" s="6">
        <f>$T581*AC581</f>
        <v/>
      </c>
      <c r="AE581" s="7" t="n">
        <v>0</v>
      </c>
      <c r="AF581" s="6">
        <f>$T581*AE581</f>
        <v/>
      </c>
      <c r="AG581" s="7" t="n">
        <v>0</v>
      </c>
      <c r="AH581" s="6">
        <f>$T581*AG581</f>
        <v/>
      </c>
      <c r="AI581" s="7">
        <f>U581+W581+Y581+AA581+AC581+AE581+AG581</f>
        <v/>
      </c>
      <c r="AJ581" s="6">
        <f>V581+X581+Z581+AB581+AD581+AF581+AH581</f>
        <v/>
      </c>
    </row>
    <row r="582" hidden="1" ht="60" customHeight="1" s="46">
      <c r="A582" s="3" t="inlineStr">
        <is>
          <t>LOM252.OC.EEA.PA01.G8239.ZA001.0005</t>
        </is>
      </c>
      <c r="B582" s="4" t="inlineStr">
        <is>
          <t>2/2</t>
        </is>
      </c>
      <c r="C582" s="3" t="inlineStr">
        <is>
          <t>IMPIANTO ELETTRICO</t>
        </is>
      </c>
      <c r="D582" s="4" t="inlineStr">
        <is>
          <t>SPECIALE</t>
        </is>
      </c>
      <c r="E582" s="4" t="inlineStr">
        <is>
          <t>ELETTRICHE SPECIALI</t>
        </is>
      </c>
      <c r="F582" s="3" t="inlineStr">
        <is>
          <t>3_CME IE RADIOFARMACIA PAVIA - REV02 VARIANTE ESECUTIVA.PDF</t>
        </is>
      </c>
      <c r="G582" s="4" t="inlineStr">
        <is>
          <t>86/86</t>
        </is>
      </c>
      <c r="H582" s="3" t="inlineStr">
        <is>
          <t>40 - IMPIANTISTICO</t>
        </is>
      </c>
      <c r="I582" s="3" t="inlineStr">
        <is>
          <t>RADIOFARMACIA</t>
        </is>
      </c>
      <c r="J582" s="3" t="inlineStr">
        <is>
          <t>CABLAGGIO STRUTTURATO</t>
        </is>
      </c>
      <c r="K582" s="3" t="inlineStr">
        <is>
          <t xml:space="preserve">OPERA: PREDISPOSIZIONE PER DERIVAZIONE D'IMPIANTO; IMPIEGO: DERIVAZIONE D'IMPIANTO A VISTA A PARETE/A SOFFITTO. INCLUSO: SCATOLA A VISTA. </t>
        </is>
      </c>
      <c r="L582" s="3" t="inlineStr">
        <is>
          <t>OPERA: PREDISPOSIZIONE PER DERIVAZIONE D'IMPIANTO; IMPIEGO: DERIVAZIONE D'IMPIANTO A VISTA A PARETE/A SOFFITTO. INCLUSO: SCATOLA A VISTA. 
LAVORO: INSTALLAZIONE IN OPERA. INCLUSO: ASSISTENZA PER IL TRASPORTO DEI MATERIALI AL PIANO. 
SPECIFICHE TECNICHE: PER IMPIANTI DI SEGNALAZIONE O DI COMUNICAZIONE; GRADO DI PROTEZIONE IP44; REALIZZATO CON TUBO PROTETTIVO RIGIDO DI PLASTICA POLIVINILCLORURO (PVC) AUTOESTINGUENTE. OP PREDISPOSIZIONE PER DERIVAZIONE D'IMPIANTO; IMPIEGO: DERIVAZIONE D'IMPIANTO A VISTA A PARETE/A SOFFITTO. INCLUSO: SCATOLA A VISTA. 
SPECIFICHE TECNICHE: PER IMPIANTI DI SEGNALAZIONE O DI COMUNICAZIONE; GRADO DI PROTEZIONE IP44; REALIZZATO CON TUBO PROTETTIVO RIGIDO DI PLASTICA POLIVINILCLORURO (PVC) AUTOESTINGUENTE. 
RM PREDISPOSIZIONE PER DERIVAZIONE D'IMPIANTO; IMPIEGO: DERIVAZIONE D'IMPIANTO A VISTA A PARETE/A SOFFITTO. INCLUSO: SCATOLA A VISTA 
SPECIFICHE TECNICHE: PER IMPIANTI DI SEGNALAZIONE O DI COMUNICAZIONE; GRADO DI PROTEZIONE IP44; REALIZZATO CON TUBO PROTETTIVO RIGIDO DI PLASTICA POLIVINILCLORURO (PVC) AUTOESTINGUENTE 
LV INSTALLAZIONE IN OPERA. INCLUSO: ASSISTENZA PER IL TRASPORTO DEI MATERIALI AL PIANO.</t>
        </is>
      </c>
      <c r="M582" s="4" t="inlineStr">
        <is>
          <t>CAD</t>
        </is>
      </c>
      <c r="N582" s="5" t="n">
        <v>4</v>
      </c>
      <c r="O582" s="45" t="n">
        <v>42.69</v>
      </c>
      <c r="P582" s="45" t="n">
        <v>170.76</v>
      </c>
      <c r="Q582" s="5" t="n"/>
      <c r="R582" s="6" t="n"/>
      <c r="S582" s="6">
        <f>IF(AND(Q582&lt;&gt;"",R582&lt;&gt;""),Q582*R582,"")</f>
        <v/>
      </c>
      <c r="T582" s="45">
        <f>IF(S582="",P582,S582)</f>
        <v/>
      </c>
      <c r="U582" s="7" t="n">
        <v>0</v>
      </c>
      <c r="V582" s="6">
        <f>$T582*U582</f>
        <v/>
      </c>
      <c r="W582" s="7" t="n">
        <v>0</v>
      </c>
      <c r="X582" s="6">
        <f>$T582*W582</f>
        <v/>
      </c>
      <c r="Y582" s="7" t="n">
        <v>0</v>
      </c>
      <c r="Z582" s="6">
        <f>$T582*Y582</f>
        <v/>
      </c>
      <c r="AA582" s="7" t="n">
        <v>0</v>
      </c>
      <c r="AB582" s="6">
        <f>$T582*AA582</f>
        <v/>
      </c>
      <c r="AC582" s="7" t="n">
        <v>0</v>
      </c>
      <c r="AD582" s="6">
        <f>$T582*AC582</f>
        <v/>
      </c>
      <c r="AE582" s="7" t="n">
        <v>0</v>
      </c>
      <c r="AF582" s="6">
        <f>$T582*AE582</f>
        <v/>
      </c>
      <c r="AG582" s="7" t="n">
        <v>0</v>
      </c>
      <c r="AH582" s="6">
        <f>$T582*AG582</f>
        <v/>
      </c>
      <c r="AI582" s="7">
        <f>U582+W582+Y582+AA582+AC582+AE582+AG582</f>
        <v/>
      </c>
      <c r="AJ582" s="6">
        <f>V582+X582+Z582+AB582+AD582+AF582+AH582</f>
        <v/>
      </c>
    </row>
    <row r="583" hidden="1" ht="42" customHeight="1" s="46">
      <c r="A583" s="3" t="inlineStr">
        <is>
          <t>LOM252.OC.EEA.PA02.G7427.ZA001.2250</t>
        </is>
      </c>
      <c r="B583" s="4" t="inlineStr">
        <is>
          <t>2/2</t>
        </is>
      </c>
      <c r="C583" s="3" t="inlineStr">
        <is>
          <t>IMPIANTO ELETTRICO</t>
        </is>
      </c>
      <c r="D583" s="4" t="inlineStr">
        <is>
          <t>SPECIALE</t>
        </is>
      </c>
      <c r="E583" s="4" t="inlineStr">
        <is>
          <t>ELETTRICHE SPECIALI</t>
        </is>
      </c>
      <c r="F583" s="3" t="inlineStr">
        <is>
          <t>3_CME IE RADIOFARMACIA PAVIA - REV02 VARIANTE ESECUTIVA.PDF</t>
        </is>
      </c>
      <c r="G583" s="4" t="inlineStr">
        <is>
          <t>87/87</t>
        </is>
      </c>
      <c r="H583" s="3" t="inlineStr">
        <is>
          <t>40 - IMPIANTISTICO</t>
        </is>
      </c>
      <c r="I583" s="3" t="inlineStr">
        <is>
          <t>RADIOFARMACIA</t>
        </is>
      </c>
      <c r="J583" s="3" t="inlineStr">
        <is>
          <t>CABLAGGIO STRUTTURATO</t>
        </is>
      </c>
      <c r="K583" s="3" t="inlineStr">
        <is>
          <t xml:space="preserve">OPERA: SCATOLA, PORTA APPARECCHI; GEOMETRIA: 3 POSTI. </t>
        </is>
      </c>
      <c r="L583" s="3" t="inlineStr">
        <is>
          <t>OPERA: SCATOLA, PORTA APPARECCHI; GEOMETRIA: 3 POSTI. 
LAVORO: POSA. OP SCATOLA, PORTA APPARECCHI; GEOMETRIA: 3 POSTI. 
RM SCATOLA PORTA APPARECCHI; GEOMETRIA: 3 POSTI 
LV POSA.</t>
        </is>
      </c>
      <c r="M583" s="4" t="inlineStr">
        <is>
          <t>CAD</t>
        </is>
      </c>
      <c r="N583" s="5" t="n">
        <v>66</v>
      </c>
      <c r="O583" s="45" t="n">
        <v>16.3</v>
      </c>
      <c r="P583" s="45" t="n">
        <v>1075.8</v>
      </c>
      <c r="Q583" s="5" t="n"/>
      <c r="R583" s="6" t="n"/>
      <c r="S583" s="6">
        <f>IF(AND(Q583&lt;&gt;"",R583&lt;&gt;""),Q583*R583,"")</f>
        <v/>
      </c>
      <c r="T583" s="45">
        <f>IF(S583="",P583,S583)</f>
        <v/>
      </c>
      <c r="U583" s="7" t="n">
        <v>0</v>
      </c>
      <c r="V583" s="6">
        <f>$T583*U583</f>
        <v/>
      </c>
      <c r="W583" s="7" t="n">
        <v>0</v>
      </c>
      <c r="X583" s="6">
        <f>$T583*W583</f>
        <v/>
      </c>
      <c r="Y583" s="7" t="n">
        <v>0</v>
      </c>
      <c r="Z583" s="6">
        <f>$T583*Y583</f>
        <v/>
      </c>
      <c r="AA583" s="7" t="n">
        <v>0</v>
      </c>
      <c r="AB583" s="6">
        <f>$T583*AA583</f>
        <v/>
      </c>
      <c r="AC583" s="7" t="n">
        <v>0</v>
      </c>
      <c r="AD583" s="6">
        <f>$T583*AC583</f>
        <v/>
      </c>
      <c r="AE583" s="7" t="n">
        <v>0</v>
      </c>
      <c r="AF583" s="6">
        <f>$T583*AE583</f>
        <v/>
      </c>
      <c r="AG583" s="7" t="n">
        <v>0</v>
      </c>
      <c r="AH583" s="6">
        <f>$T583*AG583</f>
        <v/>
      </c>
      <c r="AI583" s="7">
        <f>U583+W583+Y583+AA583+AC583+AE583+AG583</f>
        <v/>
      </c>
      <c r="AJ583" s="6">
        <f>V583+X583+Z583+AB583+AD583+AF583+AH583</f>
        <v/>
      </c>
    </row>
    <row r="584" hidden="1" ht="60" customHeight="1" s="46">
      <c r="A584" s="3" t="inlineStr">
        <is>
          <t>LOM252.OC.EEA.PA02.G8231.ZA001.1260</t>
        </is>
      </c>
      <c r="B584" s="4" t="inlineStr">
        <is>
          <t>2/2</t>
        </is>
      </c>
      <c r="C584" s="3" t="inlineStr">
        <is>
          <t>IMPIANTO ELETTRICO</t>
        </is>
      </c>
      <c r="D584" s="4" t="inlineStr">
        <is>
          <t>SPECIALE</t>
        </is>
      </c>
      <c r="E584" s="4" t="inlineStr">
        <is>
          <t>ELETTRICHE SPECIALI</t>
        </is>
      </c>
      <c r="F584" s="3" t="inlineStr">
        <is>
          <t>3_CME IE RADIOFARMACIA PAVIA - REV02 VARIANTE ESECUTIVA.PDF</t>
        </is>
      </c>
      <c r="G584" s="4" t="inlineStr">
        <is>
          <t>88/88</t>
        </is>
      </c>
      <c r="H584" s="3" t="inlineStr">
        <is>
          <t>40 - IMPIANTISTICO</t>
        </is>
      </c>
      <c r="I584" s="3" t="inlineStr">
        <is>
          <t>RADIOFARMACIA</t>
        </is>
      </c>
      <c r="J584" s="3" t="inlineStr">
        <is>
          <t>CABLAGGIO STRUTTURATO</t>
        </is>
      </c>
      <c r="K584" s="3" t="inlineStr">
        <is>
          <t xml:space="preserve">OPERA: PRESA, UTENTE. INCLUSO: COPERCHIO. </t>
        </is>
      </c>
      <c r="L584" s="3" t="inlineStr">
        <is>
          <t>OPERA: PRESA, UTENTE. INCLUSO: COPERCHIO. 
LAVORO: POSA. 
SPECIFICHE TECNICHE: PRESA UTENTE RJ45 UTP NON SCHERMATA, CABLAGGIO UNIVERSALE T568A/B, SERIE CIVILE PER MONTAGGIO SU SUPPORTO DI PLASTICA E PLACCA IN TECNOPOLIMERO, CATEGORIA 6. OP PRESA, UTENTE. INCLUSO: COPERCHIO. 
SPECIFICHE TECNICHE: PRESA UTENTE RJ45 UTP NON SCHERMATA, CABLAGGIO UNIVERSALE T568A/B, SERIE CIVILE PER MONTAGGIO SU SUPPORTO DI PLASTICA E PLACCA IN TECNOPOLIMERO, CATEGORIA 6. 
RM PRESA UTENTE. INCLUSO: COPERCHIO 
SPECIFICHE TECNICHE: PRESA UTENTE RJ45 UTP NON SCHERMATA, CABLAGGIO UNIVERSALE T568A/B, SERIE CIVILE PER MONTAGGIO SU SUPPORTO DI PLASTICA E PLACCA IN TECNOPOLIMERO, CATEGORIA 6 
LV POSA.
[DIMENSIONI: 66,00 2,000]</t>
        </is>
      </c>
      <c r="M584" s="4" t="inlineStr">
        <is>
          <t>CAD</t>
        </is>
      </c>
      <c r="N584" s="5" t="n">
        <v>136</v>
      </c>
      <c r="O584" s="45" t="n">
        <v>38.55</v>
      </c>
      <c r="P584" s="45" t="n">
        <v>5242.8</v>
      </c>
      <c r="Q584" s="5" t="n"/>
      <c r="R584" s="6" t="n"/>
      <c r="S584" s="6">
        <f>IF(AND(Q584&lt;&gt;"",R584&lt;&gt;""),Q584*R584,"")</f>
        <v/>
      </c>
      <c r="T584" s="45">
        <f>IF(S584="",P584,S584)</f>
        <v/>
      </c>
      <c r="U584" s="7" t="n">
        <v>0</v>
      </c>
      <c r="V584" s="6">
        <f>$T584*U584</f>
        <v/>
      </c>
      <c r="W584" s="7" t="n">
        <v>0</v>
      </c>
      <c r="X584" s="6">
        <f>$T584*W584</f>
        <v/>
      </c>
      <c r="Y584" s="7" t="n">
        <v>0</v>
      </c>
      <c r="Z584" s="6">
        <f>$T584*Y584</f>
        <v/>
      </c>
      <c r="AA584" s="7" t="n">
        <v>0</v>
      </c>
      <c r="AB584" s="6">
        <f>$T584*AA584</f>
        <v/>
      </c>
      <c r="AC584" s="7" t="n">
        <v>0</v>
      </c>
      <c r="AD584" s="6">
        <f>$T584*AC584</f>
        <v/>
      </c>
      <c r="AE584" s="7" t="n">
        <v>0</v>
      </c>
      <c r="AF584" s="6">
        <f>$T584*AE584</f>
        <v/>
      </c>
      <c r="AG584" s="7" t="n">
        <v>0</v>
      </c>
      <c r="AH584" s="6">
        <f>$T584*AG584</f>
        <v/>
      </c>
      <c r="AI584" s="7">
        <f>U584+W584+Y584+AA584+AC584+AE584+AG584</f>
        <v/>
      </c>
      <c r="AJ584" s="6">
        <f>V584+X584+Z584+AB584+AD584+AF584+AH584</f>
        <v/>
      </c>
    </row>
    <row r="585" ht="60" customHeight="1" s="46">
      <c r="A585" s="3" t="inlineStr">
        <is>
          <t>LOM252.OC.EEA.PA02.H7455.SC000.0260</t>
        </is>
      </c>
      <c r="B585" s="4" t="inlineStr">
        <is>
          <t>2/2</t>
        </is>
      </c>
      <c r="C585" s="3" t="inlineStr">
        <is>
          <t>IMPIANTO ELETTRICO</t>
        </is>
      </c>
      <c r="D585" s="4" t="inlineStr">
        <is>
          <t>SPECIALE</t>
        </is>
      </c>
      <c r="E585" s="4" t="inlineStr">
        <is>
          <t>ELETTRICHE SPECIALI</t>
        </is>
      </c>
      <c r="F585" s="3" t="inlineStr">
        <is>
          <t>3_CME IE RADIOFARMACIA PAVIA - REV02 VARIANTE ESECUTIVA.PDF</t>
        </is>
      </c>
      <c r="G585" s="4" t="inlineStr">
        <is>
          <t>89/89</t>
        </is>
      </c>
      <c r="H585" s="3" t="inlineStr">
        <is>
          <t>40 - IMPIANTISTICO</t>
        </is>
      </c>
      <c r="I585" s="3" t="inlineStr">
        <is>
          <t>RADIOFARMACIA</t>
        </is>
      </c>
      <c r="J585" s="3" t="inlineStr">
        <is>
          <t>CABLAGGIO STRUTTURATO</t>
        </is>
      </c>
      <c r="K585" s="3" t="inlineStr">
        <is>
          <t xml:space="preserve">OPERA: CAVO, UTP DI LEGA RAME GENERICO; GEOMETRIA: 4 COPPIE | TWISTATO | NON SCHERMATO. </t>
        </is>
      </c>
      <c r="L585" s="3" t="inlineStr">
        <is>
          <t>OPERA: CAVO, UTP DI LEGA RAME GENERICO; GEOMETRIA: 4 COPPIE | TWISTATO | NON SCHERMATO. 
LAVORO: POSA. OP CAVO, UTP DI LEGA RAME GENERICO; GEOMETRIA: 4 COPPIE | TWISTATO | NON SCHERMATO. 
RM CAVO UTP DI LEGA RAME GENERICO; GEOMETRIA: 4 COPPIE | TWISTATO | NON SCHERMATO. COMPONENTE: CONDUTTORE, . INCLUSO: GUAINA LSZH 
LV POSA.
[DIMENSIONI: 66,00 40,00 | 4,00 40,00]</t>
        </is>
      </c>
      <c r="M585" s="4" t="inlineStr">
        <is>
          <t>M</t>
        </is>
      </c>
      <c r="N585" s="5" t="n">
        <v>2800</v>
      </c>
      <c r="O585" s="45" t="n">
        <v>3.15</v>
      </c>
      <c r="P585" s="45" t="n">
        <v>8820</v>
      </c>
      <c r="Q585" s="5" t="n"/>
      <c r="R585" s="6" t="n"/>
      <c r="S585" s="6">
        <f>IF(AND(Q585&lt;&gt;"",R585&lt;&gt;""),Q585*R585,"")</f>
        <v/>
      </c>
      <c r="T585" s="45">
        <f>IF(S585="",P585,S585)</f>
        <v/>
      </c>
      <c r="U585" s="7" t="n">
        <v>0</v>
      </c>
      <c r="V585" s="6">
        <f>$T585*U585</f>
        <v/>
      </c>
      <c r="W585" s="7" t="n">
        <v>0.4</v>
      </c>
      <c r="X585" s="6">
        <f>$T585*W585</f>
        <v/>
      </c>
      <c r="Y585" s="7" t="n">
        <v>0</v>
      </c>
      <c r="Z585" s="6">
        <f>$T585*Y585</f>
        <v/>
      </c>
      <c r="AA585" s="7" t="n">
        <v>0</v>
      </c>
      <c r="AB585" s="6">
        <f>$T585*AA585</f>
        <v/>
      </c>
      <c r="AC585" s="7" t="n">
        <v>0</v>
      </c>
      <c r="AD585" s="6">
        <f>$T585*AC585</f>
        <v/>
      </c>
      <c r="AE585" s="7" t="n">
        <v>0</v>
      </c>
      <c r="AF585" s="6">
        <f>$T585*AE585</f>
        <v/>
      </c>
      <c r="AG585" s="7" t="n">
        <v>0</v>
      </c>
      <c r="AH585" s="6">
        <f>$T585*AG585</f>
        <v/>
      </c>
      <c r="AI585" s="7">
        <f>U585+W585+Y585+AA585+AC585+AE585+AG585</f>
        <v/>
      </c>
      <c r="AJ585" s="6">
        <f>V585+X585+Z585+AB585+AD585+AF585+AH585</f>
        <v/>
      </c>
    </row>
    <row r="586" hidden="1" ht="60" customHeight="1" s="46">
      <c r="A586" s="3" t="inlineStr">
        <is>
          <t>LOM252.OC.EEA.PA01.G8235.ZA001.1095</t>
        </is>
      </c>
      <c r="B586" s="4" t="inlineStr">
        <is>
          <t>3/3</t>
        </is>
      </c>
      <c r="C586" s="3" t="inlineStr">
        <is>
          <t>IMPIANTO ELETTRICO</t>
        </is>
      </c>
      <c r="D586" s="4" t="inlineStr">
        <is>
          <t>SPECIALE</t>
        </is>
      </c>
      <c r="E586" s="4" t="inlineStr">
        <is>
          <t>ELETTRICHE SPECIALI</t>
        </is>
      </c>
      <c r="F586" s="3" t="inlineStr">
        <is>
          <t>3_CME IE RADIOFARMACIA PAVIA - REV02 VARIANTE ESECUTIVA.PDF</t>
        </is>
      </c>
      <c r="G586" s="4" t="inlineStr">
        <is>
          <t>90/90</t>
        </is>
      </c>
      <c r="H586" s="3" t="inlineStr">
        <is>
          <t>40 - IMPIANTISTICO</t>
        </is>
      </c>
      <c r="I586" s="3" t="inlineStr">
        <is>
          <t>RADIOFARMACIA</t>
        </is>
      </c>
      <c r="J586" s="3" t="inlineStr">
        <is>
          <t>IMPIANTO DI RIVELAZIONE FUMI</t>
        </is>
      </c>
      <c r="K586" s="3" t="inlineStr">
        <is>
          <t>OPERA: DERIVAZIONE D'IMPIANTO PRESA; FUNZIONE: ATTACCO APPARECCHIATURE DI SEGNALAZIONE INCENDIO; IMPIEGO: DERIVAZIONE D'IMPIANTO DA INCASSO. INCLUSO: LINEA DI ALIMENTAZIONE E SEGNALAZIONE; TUBO PROTET</t>
        </is>
      </c>
      <c r="L586" s="3" t="inlineStr">
        <is>
          <t>OPERA: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LAVORO: INSTALLAZIONE IN OPERA. INCLUSO: LINEA DI COLLEGAMENTO ALLO SPECIFICO PUNTO DI ALIMENTAZIONE; ASSISTENZA PER IL TRASPORTO DEI MATERIALI AL PIANO.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ASSISTENZA PER IL TRASPORTO DEI MATERIALI AL PIANO.</t>
        </is>
      </c>
      <c r="M586" s="4" t="inlineStr">
        <is>
          <t>CAD</t>
        </is>
      </c>
      <c r="N586" s="5" t="n">
        <v>104</v>
      </c>
      <c r="O586" s="45" t="n">
        <v>34.39</v>
      </c>
      <c r="P586" s="45" t="n">
        <v>3576.56</v>
      </c>
      <c r="Q586" s="5" t="n"/>
      <c r="R586" s="6" t="n"/>
      <c r="S586" s="6">
        <f>IF(AND(Q586&lt;&gt;"",R586&lt;&gt;""),Q586*R586,"")</f>
        <v/>
      </c>
      <c r="T586" s="45">
        <f>IF(S586="",P586,S586)</f>
        <v/>
      </c>
      <c r="U586" s="7" t="n">
        <v>0</v>
      </c>
      <c r="V586" s="6">
        <f>$T586*U586</f>
        <v/>
      </c>
      <c r="W586" s="7" t="n">
        <v>0</v>
      </c>
      <c r="X586" s="6">
        <f>$T586*W586</f>
        <v/>
      </c>
      <c r="Y586" s="7" t="n">
        <v>0</v>
      </c>
      <c r="Z586" s="6">
        <f>$T586*Y586</f>
        <v/>
      </c>
      <c r="AA586" s="7" t="n">
        <v>0</v>
      </c>
      <c r="AB586" s="6">
        <f>$T586*AA586</f>
        <v/>
      </c>
      <c r="AC586" s="7" t="n">
        <v>0</v>
      </c>
      <c r="AD586" s="6">
        <f>$T586*AC586</f>
        <v/>
      </c>
      <c r="AE586" s="7" t="n">
        <v>0</v>
      </c>
      <c r="AF586" s="6">
        <f>$T586*AE586</f>
        <v/>
      </c>
      <c r="AG586" s="7" t="n">
        <v>0</v>
      </c>
      <c r="AH586" s="6">
        <f>$T586*AG586</f>
        <v/>
      </c>
      <c r="AI586" s="7">
        <f>U586+W586+Y586+AA586+AC586+AE586+AG586</f>
        <v/>
      </c>
      <c r="AJ586" s="6">
        <f>V586+X586+Z586+AB586+AD586+AF586+AH586</f>
        <v/>
      </c>
    </row>
    <row r="587" hidden="1" ht="60" customHeight="1" s="46">
      <c r="A587" s="3" t="inlineStr">
        <is>
          <t>LOM252.OC.EEA.PA02.L8225.ZA001.1750</t>
        </is>
      </c>
      <c r="B587" s="4" t="inlineStr">
        <is>
          <t>3/3</t>
        </is>
      </c>
      <c r="C587" s="3" t="inlineStr">
        <is>
          <t>IMPIANTO ELETTRICO</t>
        </is>
      </c>
      <c r="D587" s="4" t="inlineStr">
        <is>
          <t>SPECIALE</t>
        </is>
      </c>
      <c r="E587" s="4" t="inlineStr">
        <is>
          <t>ELETTRICHE SPECIALI</t>
        </is>
      </c>
      <c r="F587" s="3" t="inlineStr">
        <is>
          <t>3_CME IE RADIOFARMACIA PAVIA - REV02 VARIANTE ESECUTIVA.PDF</t>
        </is>
      </c>
      <c r="G587" s="4" t="inlineStr">
        <is>
          <t>91/91</t>
        </is>
      </c>
      <c r="H587" s="3" t="inlineStr">
        <is>
          <t>40 - IMPIANTISTICO</t>
        </is>
      </c>
      <c r="I587" s="3" t="inlineStr">
        <is>
          <t>RADIOFARMACIA</t>
        </is>
      </c>
      <c r="J587" s="3" t="inlineStr">
        <is>
          <t>IMPIANTO DI RIVELAZIONE FUMI</t>
        </is>
      </c>
      <c r="K587" s="3" t="inlineStr">
        <is>
          <t xml:space="preserve">OPERA: RIVEVLATORE, OTTICO; IMPIEGO: CENTRALI ANALOGICHE. </t>
        </is>
      </c>
      <c r="L587" s="3" t="inlineStr">
        <is>
          <t>OPERA: RIVEVLATORE, OTTICO; IMPIEGO: CENTRALI ANALOGICHE. 
LAVORO: POSA.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OP RIVEVLATORE, OTTICO; IMPIEGO: CENTRALI ANALOGICHE.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RM RIVELATORE OTTICO; IMPIEGO: CENTRALI ANALOGICHE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LV POSA.
[DIMENSIONI: 61,00 | 29,00]</t>
        </is>
      </c>
      <c r="M587" s="4" t="inlineStr">
        <is>
          <t>CAD</t>
        </is>
      </c>
      <c r="N587" s="5" t="n">
        <v>90</v>
      </c>
      <c r="O587" s="45" t="n">
        <v>92.5</v>
      </c>
      <c r="P587" s="45" t="n">
        <v>8325</v>
      </c>
      <c r="Q587" s="5" t="n"/>
      <c r="R587" s="6" t="n"/>
      <c r="S587" s="6">
        <f>IF(AND(Q587&lt;&gt;"",R587&lt;&gt;""),Q587*R587,"")</f>
        <v/>
      </c>
      <c r="T587" s="45">
        <f>IF(S587="",P587,S587)</f>
        <v/>
      </c>
      <c r="U587" s="7" t="n">
        <v>0</v>
      </c>
      <c r="V587" s="6">
        <f>$T587*U587</f>
        <v/>
      </c>
      <c r="W587" s="7" t="n">
        <v>0</v>
      </c>
      <c r="X587" s="6">
        <f>$T587*W587</f>
        <v/>
      </c>
      <c r="Y587" s="7" t="n">
        <v>0</v>
      </c>
      <c r="Z587" s="6">
        <f>$T587*Y587</f>
        <v/>
      </c>
      <c r="AA587" s="7" t="n">
        <v>0</v>
      </c>
      <c r="AB587" s="6">
        <f>$T587*AA587</f>
        <v/>
      </c>
      <c r="AC587" s="7" t="n">
        <v>0</v>
      </c>
      <c r="AD587" s="6">
        <f>$T587*AC587</f>
        <v/>
      </c>
      <c r="AE587" s="7" t="n">
        <v>0</v>
      </c>
      <c r="AF587" s="6">
        <f>$T587*AE587</f>
        <v/>
      </c>
      <c r="AG587" s="7" t="n">
        <v>0</v>
      </c>
      <c r="AH587" s="6">
        <f>$T587*AG587</f>
        <v/>
      </c>
      <c r="AI587" s="7">
        <f>U587+W587+Y587+AA587+AC587+AE587+AG587</f>
        <v/>
      </c>
      <c r="AJ587" s="6">
        <f>V587+X587+Z587+AB587+AD587+AF587+AH587</f>
        <v/>
      </c>
    </row>
    <row r="588" hidden="1" ht="60" customHeight="1" s="46">
      <c r="A588" s="3" t="inlineStr">
        <is>
          <t>LOM252.OC.EEA.PA02.H8212.ZA001.0520.B</t>
        </is>
      </c>
      <c r="B588" s="4" t="inlineStr">
        <is>
          <t>1/1</t>
        </is>
      </c>
      <c r="C588" s="3" t="inlineStr">
        <is>
          <t>IMPIANTO ELETTRICO</t>
        </is>
      </c>
      <c r="D588" s="4" t="inlineStr">
        <is>
          <t>SPECIALE</t>
        </is>
      </c>
      <c r="E588" s="4" t="inlineStr">
        <is>
          <t>ELETTRICHE SPECIALI</t>
        </is>
      </c>
      <c r="F588" s="3" t="inlineStr">
        <is>
          <t>3_CME IE RADIOFARMACIA PAVIA - REV02 VARIANTE ESECUTIVA.PDF</t>
        </is>
      </c>
      <c r="G588" s="4" t="inlineStr">
        <is>
          <t>92/92</t>
        </is>
      </c>
      <c r="H588" s="3" t="inlineStr">
        <is>
          <t>40 - IMPIANTISTICO</t>
        </is>
      </c>
      <c r="I588" s="3" t="inlineStr">
        <is>
          <t>RADIOFARMACIA</t>
        </is>
      </c>
      <c r="J588" s="3" t="inlineStr">
        <is>
          <t>IMPIANTO DI RIVELAZIONE FUMI</t>
        </is>
      </c>
      <c r="K588" s="3" t="inlineStr">
        <is>
          <t xml:space="preserve">OPERA: SEGNALATORE OTTICO; FUNZIONE: RIPETITORE DI ALLARME; IMPIEGO: IMPIANTI DI RIVELAZIONE INCENDIO. </t>
        </is>
      </c>
      <c r="L588" s="3" t="inlineStr">
        <is>
          <t>OPERA: SEGNALATORE OTTICO; FUNZIONE: RIPETITORE DI ALLARME; IMPIEGO: IMPIANTI DI RIVELAZIONE INCENDIO. 
LAVORO: POSA. 
SPECIFICHE TECNICHE: UTILIZZABILI CON SISTEMI CONVENZIONALI O ANALOGICI. OP SEGNALATORE OTTICO; FUNZIONE: RIPETITORE DI ALLARME; IMPIEGO: IMPIANTI DI RIVELAZIONE INCENDIO. 
SPECIFICHE TECNICHE: UTILIZZABILI CON SISTEMI CONVENZIONALI O ANALOGICI. 
RM SEGNALATORE OTTICO; FUNZIONE: RIPETITORE DI ALLARME; IMPIEGO: IMPIANTI DI RIVELAZIONE INCENDIO 
SPECIFICHE TECNICHE: UTILIZZABILI CON SISTEMI CONVENZIONALI O ANALOGICI 
LV POSA.</t>
        </is>
      </c>
      <c r="M588" s="4" t="inlineStr">
        <is>
          <t>CAD</t>
        </is>
      </c>
      <c r="N588" s="5" t="n">
        <v>41</v>
      </c>
      <c r="O588" s="45" t="n">
        <v>29.15</v>
      </c>
      <c r="P588" s="45" t="n">
        <v>1195.15</v>
      </c>
      <c r="Q588" s="5" t="n"/>
      <c r="R588" s="6" t="n"/>
      <c r="S588" s="6">
        <f>IF(AND(Q588&lt;&gt;"",R588&lt;&gt;""),Q588*R588,"")</f>
        <v/>
      </c>
      <c r="T588" s="45">
        <f>IF(S588="",P588,S588)</f>
        <v/>
      </c>
      <c r="U588" s="7" t="n">
        <v>0</v>
      </c>
      <c r="V588" s="6">
        <f>$T588*U588</f>
        <v/>
      </c>
      <c r="W588" s="7" t="n">
        <v>0</v>
      </c>
      <c r="X588" s="6">
        <f>$T588*W588</f>
        <v/>
      </c>
      <c r="Y588" s="7" t="n">
        <v>0</v>
      </c>
      <c r="Z588" s="6">
        <f>$T588*Y588</f>
        <v/>
      </c>
      <c r="AA588" s="7" t="n">
        <v>0</v>
      </c>
      <c r="AB588" s="6">
        <f>$T588*AA588</f>
        <v/>
      </c>
      <c r="AC588" s="7" t="n">
        <v>0</v>
      </c>
      <c r="AD588" s="6">
        <f>$T588*AC588</f>
        <v/>
      </c>
      <c r="AE588" s="7" t="n">
        <v>0</v>
      </c>
      <c r="AF588" s="6">
        <f>$T588*AE588</f>
        <v/>
      </c>
      <c r="AG588" s="7" t="n">
        <v>0</v>
      </c>
      <c r="AH588" s="6">
        <f>$T588*AG588</f>
        <v/>
      </c>
      <c r="AI588" s="7">
        <f>U588+W588+Y588+AA588+AC588+AE588+AG588</f>
        <v/>
      </c>
      <c r="AJ588" s="6">
        <f>V588+X588+Z588+AB588+AD588+AF588+AH588</f>
        <v/>
      </c>
    </row>
    <row r="589" hidden="1" ht="60" customHeight="1" s="46">
      <c r="A589" s="3" t="inlineStr">
        <is>
          <t>LOM252.OC.EEA.PA01.L8250.ZA001.0250</t>
        </is>
      </c>
      <c r="B589" s="4" t="inlineStr">
        <is>
          <t>3/3</t>
        </is>
      </c>
      <c r="C589" s="3" t="inlineStr">
        <is>
          <t>IMPIANTO ELETTRICO</t>
        </is>
      </c>
      <c r="D589" s="4" t="inlineStr">
        <is>
          <t>SPECIALE</t>
        </is>
      </c>
      <c r="E589" s="4" t="inlineStr">
        <is>
          <t>ELETTRICHE SPECIALI</t>
        </is>
      </c>
      <c r="F589" s="3" t="inlineStr">
        <is>
          <t>3_CME IE RADIOFARMACIA PAVIA - REV02 VARIANTE ESECUTIVA.PDF</t>
        </is>
      </c>
      <c r="G589" s="4" t="inlineStr">
        <is>
          <t>93/93</t>
        </is>
      </c>
      <c r="H589" s="3" t="inlineStr">
        <is>
          <t>40 - IMPIANTISTICO</t>
        </is>
      </c>
      <c r="I589" s="3" t="inlineStr">
        <is>
          <t>RADIOFARMACIA</t>
        </is>
      </c>
      <c r="J589" s="3" t="inlineStr">
        <is>
          <t>IMPIANTO DI RIVELAZIONE FUMI</t>
        </is>
      </c>
      <c r="K589" s="3" t="inlineStr">
        <is>
          <t>OPERA: PULSANTE, MANUALE INDIRIZZABILE; GEOMETRIA: A ROTTURA VETRO; TENSIONE DI ALIMENTAZIONE [VCC] = 15 ÷ 28 | CORRENTE NOMINALE A RIPOSO [ΜA] = 200 | CORRENTE NOMINALE IN ALLARME [ΜA] = 5 | TEMPERAT</t>
        </is>
      </c>
      <c r="L589" s="3" t="inlineStr">
        <is>
          <t>OPERA: PULSANTE, MANUALE INDIRIZZABILE; GEOMETRIA: A ROTTURA VETRO; TENSIONE DI ALIMENTAZIONE [VCC] = 15 ÷ 28 | CORRENTE NOMINALE A RIPOSO [ΜA] = 200 | CORRENTE NOMINALE IN ALLARME [ΜA] = 5 | TEMPERATURA DI FUNZIONAMENTO [°C] = 0 ÷ 50 | UMIDTÀ RELATIVA [%] = 95. INCLUSO: DOPPIO ISOLATORE PER PROTEZIONE DELLA LINEA DI COMUNICAZIONE, CHIAVE DI TEST. 
LAVORO: INSTALLAZIONE. 
SPECIFICHE TECNICHE: PULSANTE INDIRIZZATO DA INTERNO, CERTIFICATO CPR, GRADO DI PROTEZIONE IP24D, LA CORRENTE IN ALLARME È DA CONSIDERARSI CON LED ATTIVO. OP PULSANTE, MANUALE INDIRIZZABILE; GEOMETRIA: A ROTTURA VETRO; TENSIONE DI ALIMENTAZIONE [VCC] = 15 ÷ 28 | CORRENTE NOMINALE A RIPOSO [ΜA] = 200 | CORRENTE NOMINALE IN ALLARME [ΜA] = 5 | TEMPERATURA DI FUNZIONAMENTO [°C] = 0 ÷ 50 | UMIDTÀ RELATIVA [%] = 95. INCLUSO: DOPPIO ISOLATORE PER PROTEZIONE DELLA LINEA DI COMUNICAZIONE, CHIAVE DI TEST. 
SPECIFICHE TECNICHE: PULSANTE INDIRIZZATO DA INTERNO, CERTIFICATO CPR, GRADO DI PROTEZIONE IP24D, LA CORRENTE IN ALLARME È DA CONSIDERARSI CON LED ATTIVO. 
RM PULSANTE MANUALE INDIRIZZABILE; GEOMETRIA: A ROTTURA VETRO; TENSIONE DI ALIMENTAZIONE [VCC] = 15 ÷ 28 | CORRENTE NOMINALE A RIPOSO [ΜA] = 200 | CORRENTE NOMINALE IN ALLARME [ΜA] = 5 | TEMPERATURA DI FUNZIONAMENTO [°C] = 0 ÷ 50 | UMIDTÀ RELATIVA [%] = 95. COMPONENTE: LED, . INCLUSO: DOPPIO ISOLATORE PER PROTEZIONE DELLA LINEA DI COMUNICAZIONE, CHIAVE DI TEST 
SPECIFICHE TECNICHE: PULSANTE INDIRIZZATO DA INTERNO, CERTIFICATO CPR, GRADO DI PROTEZIONE IP24D, LA CORRENTE IN ALLARME È DA CONSIDERARSI CON LED ATTIVO 
LV INSTALLAZIONE.</t>
        </is>
      </c>
      <c r="M589" s="4" t="inlineStr">
        <is>
          <t>CAD</t>
        </is>
      </c>
      <c r="N589" s="5" t="n">
        <v>6</v>
      </c>
      <c r="O589" s="45" t="n">
        <v>96.05</v>
      </c>
      <c r="P589" s="45" t="n">
        <v>576.3</v>
      </c>
      <c r="Q589" s="5" t="n"/>
      <c r="R589" s="6" t="n"/>
      <c r="S589" s="6">
        <f>IF(AND(Q589&lt;&gt;"",R589&lt;&gt;""),Q589*R589,"")</f>
        <v/>
      </c>
      <c r="T589" s="45">
        <f>IF(S589="",P589,S589)</f>
        <v/>
      </c>
      <c r="U589" s="7" t="n">
        <v>0</v>
      </c>
      <c r="V589" s="6">
        <f>$T589*U589</f>
        <v/>
      </c>
      <c r="W589" s="7" t="n">
        <v>0</v>
      </c>
      <c r="X589" s="6">
        <f>$T589*W589</f>
        <v/>
      </c>
      <c r="Y589" s="7" t="n">
        <v>0</v>
      </c>
      <c r="Z589" s="6">
        <f>$T589*Y589</f>
        <v/>
      </c>
      <c r="AA589" s="7" t="n">
        <v>0</v>
      </c>
      <c r="AB589" s="6">
        <f>$T589*AA589</f>
        <v/>
      </c>
      <c r="AC589" s="7" t="n">
        <v>0</v>
      </c>
      <c r="AD589" s="6">
        <f>$T589*AC589</f>
        <v/>
      </c>
      <c r="AE589" s="7" t="n">
        <v>0</v>
      </c>
      <c r="AF589" s="6">
        <f>$T589*AE589</f>
        <v/>
      </c>
      <c r="AG589" s="7" t="n">
        <v>0</v>
      </c>
      <c r="AH589" s="6">
        <f>$T589*AG589</f>
        <v/>
      </c>
      <c r="AI589" s="7">
        <f>U589+W589+Y589+AA589+AC589+AE589+AG589</f>
        <v/>
      </c>
      <c r="AJ589" s="6">
        <f>V589+X589+Z589+AB589+AD589+AF589+AH589</f>
        <v/>
      </c>
    </row>
    <row r="590" hidden="1" ht="60" customHeight="1" s="46">
      <c r="A590" s="3" t="inlineStr">
        <is>
          <t>LOM252.OC.EEA.PA04.L4200.ZA000.0500</t>
        </is>
      </c>
      <c r="B590" s="4" t="inlineStr">
        <is>
          <t>1/1</t>
        </is>
      </c>
      <c r="C590" s="3" t="inlineStr">
        <is>
          <t>IMPIANTO ELETTRICO</t>
        </is>
      </c>
      <c r="D590" s="4" t="inlineStr">
        <is>
          <t>SPECIALE</t>
        </is>
      </c>
      <c r="E590" s="4" t="inlineStr">
        <is>
          <t>ELETTRICHE SPECIALI</t>
        </is>
      </c>
      <c r="F590" s="3" t="inlineStr">
        <is>
          <t>3_CME IE RADIOFARMACIA PAVIA - REV02 VARIANTE ESECUTIVA.PDF</t>
        </is>
      </c>
      <c r="G590" s="4" t="inlineStr">
        <is>
          <t>94/94</t>
        </is>
      </c>
      <c r="H590" s="3" t="inlineStr">
        <is>
          <t>40 - IMPIANTISTICO</t>
        </is>
      </c>
      <c r="I590" s="3" t="inlineStr">
        <is>
          <t>RADIOFARMACIA</t>
        </is>
      </c>
      <c r="J590" s="3" t="inlineStr">
        <is>
          <t>IMPIANTO DI RIVELAZIONE FUMI</t>
        </is>
      </c>
      <c r="K590" s="3" t="inlineStr">
        <is>
          <t xml:space="preserve">OPERA: SEGNALATORE ACUSTICO, SIRENA DI MATERIALE GENERICO; IMPIEGO: IMPIANTI DI RIVELAZIONE INCENDIO. </t>
        </is>
      </c>
      <c r="L590" s="3" t="inlineStr">
        <is>
          <t>OPERA: SEGNALATORE ACUSTICO, SIRENA DI MATERIALE GENERICO; IMPIEGO: IMPIANTI DI RIVELAZIONE INCENDIO. 
LAVORO: FORMAZIONE. 
SPECIFICHE TECNICHE: SIRENA ELETTRONICA INDIRIZZABILE, ALIMENTATA DA LOOP O CON ALIMENTAZIONE ESTERNA. OP SEGNALATORE ACUSTICO, SIRENA DI MATERIALE GENERICO; IMPIEGO: IMPIANTI DI RIVELAZIONE INCENDIO. 
SPECIFICHE TECNICHE: SIRENA ELETTRONICA INDIRIZZABILE, ALIMENTATA DA LOOP O CON ALIMENTAZIONE ESTERNA. 
RM SEGNALATORE ACUSTICO SIRENA DI MATERIALE GENERICO; IMPIEGO: IMPIANTI DI RIVELAZIONE INCENDIO 
SPECIFICHE TECNICHE: SIRENA ELETTRONICA INDIRIZZABILE, ALIMENTATA DA LOOP O CON ALIMENTAZIONE ESTERNA 
LV FORMAZIONE.</t>
        </is>
      </c>
      <c r="M590" s="4" t="inlineStr">
        <is>
          <t>CAD</t>
        </is>
      </c>
      <c r="N590" s="5" t="n">
        <v>1</v>
      </c>
      <c r="O590" s="45" t="n">
        <v>183.81</v>
      </c>
      <c r="P590" s="45" t="n">
        <v>183.81</v>
      </c>
      <c r="Q590" s="5" t="n"/>
      <c r="R590" s="6" t="n"/>
      <c r="S590" s="6">
        <f>IF(AND(Q590&lt;&gt;"",R590&lt;&gt;""),Q590*R590,"")</f>
        <v/>
      </c>
      <c r="T590" s="45">
        <f>IF(S590="",P590,S590)</f>
        <v/>
      </c>
      <c r="U590" s="7" t="n">
        <v>0</v>
      </c>
      <c r="V590" s="6">
        <f>$T590*U590</f>
        <v/>
      </c>
      <c r="W590" s="7" t="n">
        <v>0</v>
      </c>
      <c r="X590" s="6">
        <f>$T590*W590</f>
        <v/>
      </c>
      <c r="Y590" s="7" t="n">
        <v>0</v>
      </c>
      <c r="Z590" s="6">
        <f>$T590*Y590</f>
        <v/>
      </c>
      <c r="AA590" s="7" t="n">
        <v>0</v>
      </c>
      <c r="AB590" s="6">
        <f>$T590*AA590</f>
        <v/>
      </c>
      <c r="AC590" s="7" t="n">
        <v>0</v>
      </c>
      <c r="AD590" s="6">
        <f>$T590*AC590</f>
        <v/>
      </c>
      <c r="AE590" s="7" t="n">
        <v>0</v>
      </c>
      <c r="AF590" s="6">
        <f>$T590*AE590</f>
        <v/>
      </c>
      <c r="AG590" s="7" t="n">
        <v>0</v>
      </c>
      <c r="AH590" s="6">
        <f>$T590*AG590</f>
        <v/>
      </c>
      <c r="AI590" s="7">
        <f>U590+W590+Y590+AA590+AC590+AE590+AG590</f>
        <v/>
      </c>
      <c r="AJ590" s="6">
        <f>V590+X590+Z590+AB590+AD590+AF590+AH590</f>
        <v/>
      </c>
    </row>
    <row r="591" hidden="1" ht="60" customHeight="1" s="46">
      <c r="A591" s="3" t="inlineStr">
        <is>
          <t>LOM252.OC.EEA.PA04.L4200.ZA000.0515</t>
        </is>
      </c>
      <c r="B591" s="4" t="inlineStr">
        <is>
          <t>3/3</t>
        </is>
      </c>
      <c r="C591" s="3" t="inlineStr">
        <is>
          <t>IMPIANTO ELETTRICO</t>
        </is>
      </c>
      <c r="D591" s="4" t="inlineStr">
        <is>
          <t>SPECIALE</t>
        </is>
      </c>
      <c r="E591" s="4" t="inlineStr">
        <is>
          <t>ELETTRICHE SPECIALI</t>
        </is>
      </c>
      <c r="F591" s="3" t="inlineStr">
        <is>
          <t>3_CME IE RADIOFARMACIA PAVIA - REV02 VARIANTE ESECUTIVA.PDF</t>
        </is>
      </c>
      <c r="G591" s="4" t="inlineStr">
        <is>
          <t>95/95</t>
        </is>
      </c>
      <c r="H591" s="3" t="inlineStr">
        <is>
          <t>40 - IMPIANTISTICO</t>
        </is>
      </c>
      <c r="I591" s="3" t="inlineStr">
        <is>
          <t>RADIOFARMACIA</t>
        </is>
      </c>
      <c r="J591" s="3" t="inlineStr">
        <is>
          <t>IMPIANTO DI RIVELAZIONE FUMI</t>
        </is>
      </c>
      <c r="K591" s="3" t="inlineStr">
        <is>
          <t>OPERA: SEGNALATORE ACUSTICO, SIRENA DI MATERIALE GENERICO; FUNZIONE: SEGNALATORE OTTICO; IMPIEGO: IMPIANTI DI RIVELAZIONE INCENDIO | AMBIENTI INTERNI; TENSIONE DI ALIMENTAZIONE CC [V] = 17 ÷ 60. INCLU</t>
        </is>
      </c>
      <c r="L591" s="3" t="inlineStr">
        <is>
          <t>OPERA: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LAVORO: FORMAZIONE. 
SPECIFICHE TECNICHE: SIRENA DI TIPO PIEZO-ELETTRONICA MULTITONO, ATTIVAZIONE REMOTA SELEZIONABILE SU 2 TONI, PROTEZIONE IP21. SIRENA E LAMPEGGIANTE CON COMANDO SEPARATO. OP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SPECIFICHE TECNICHE: SIRENA DI TIPO PIEZO-ELETTRONICA MULTITONO, ATTIVAZIONE REMOTA SELEZIONABILE SU 2 TONI, PROTEZIONE IP21. SIRENA E LAMPEGGIANTE CON COMANDO SEPARATO. 
RM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SPECIFICHE TECNICHE: SIRENA DI TIPO PIEZO-ELETTRONICA MULTITONO, ATTIVAZIONE REMOTA SELEZIONABILE SU 2 TONI, PROTEZIONE IP21. SIRENA E LAMPEGGIANTE CON COMANDO SEPARATO 
LV FORMAZIONE.</t>
        </is>
      </c>
      <c r="M591" s="4" t="inlineStr">
        <is>
          <t>CAD</t>
        </is>
      </c>
      <c r="N591" s="5" t="n">
        <v>6</v>
      </c>
      <c r="O591" s="45" t="n">
        <v>183.81</v>
      </c>
      <c r="P591" s="45" t="n">
        <v>1102.86</v>
      </c>
      <c r="Q591" s="5" t="n"/>
      <c r="R591" s="6" t="n"/>
      <c r="S591" s="6">
        <f>IF(AND(Q591&lt;&gt;"",R591&lt;&gt;""),Q591*R591,"")</f>
        <v/>
      </c>
      <c r="T591" s="45">
        <f>IF(S591="",P591,S591)</f>
        <v/>
      </c>
      <c r="U591" s="7" t="n">
        <v>0</v>
      </c>
      <c r="V591" s="6">
        <f>$T591*U591</f>
        <v/>
      </c>
      <c r="W591" s="7" t="n">
        <v>0</v>
      </c>
      <c r="X591" s="6">
        <f>$T591*W591</f>
        <v/>
      </c>
      <c r="Y591" s="7" t="n">
        <v>0</v>
      </c>
      <c r="Z591" s="6">
        <f>$T591*Y591</f>
        <v/>
      </c>
      <c r="AA591" s="7" t="n">
        <v>0</v>
      </c>
      <c r="AB591" s="6">
        <f>$T591*AA591</f>
        <v/>
      </c>
      <c r="AC591" s="7" t="n">
        <v>0</v>
      </c>
      <c r="AD591" s="6">
        <f>$T591*AC591</f>
        <v/>
      </c>
      <c r="AE591" s="7" t="n">
        <v>0</v>
      </c>
      <c r="AF591" s="6">
        <f>$T591*AE591</f>
        <v/>
      </c>
      <c r="AG591" s="7" t="n">
        <v>0</v>
      </c>
      <c r="AH591" s="6">
        <f>$T591*AG591</f>
        <v/>
      </c>
      <c r="AI591" s="7">
        <f>U591+W591+Y591+AA591+AC591+AE591+AG591</f>
        <v/>
      </c>
      <c r="AJ591" s="6">
        <f>V591+X591+Z591+AB591+AD591+AF591+AH591</f>
        <v/>
      </c>
    </row>
    <row r="592" hidden="1" ht="60" customHeight="1" s="46">
      <c r="A592" s="3" t="inlineStr">
        <is>
          <t>LOM252.OC.EEA.PA02.L7415.ZA001.0755</t>
        </is>
      </c>
      <c r="B592" s="4" t="inlineStr">
        <is>
          <t>1/1</t>
        </is>
      </c>
      <c r="C592" s="3" t="inlineStr">
        <is>
          <t>IMPIANTO ELETTRICO</t>
        </is>
      </c>
      <c r="D592" s="4" t="inlineStr">
        <is>
          <t>SPECIALE</t>
        </is>
      </c>
      <c r="E592" s="4" t="inlineStr">
        <is>
          <t>ELETTRICHE SPECIALI</t>
        </is>
      </c>
      <c r="F592" s="3" t="inlineStr">
        <is>
          <t>3_CME IE RADIOFARMACIA PAVIA - REV02 VARIANTE ESECUTIVA.PDF</t>
        </is>
      </c>
      <c r="G592" s="4" t="inlineStr">
        <is>
          <t>96/96</t>
        </is>
      </c>
      <c r="H592" s="3" t="inlineStr">
        <is>
          <t>40 - IMPIANTISTICO</t>
        </is>
      </c>
      <c r="I592" s="3" t="inlineStr">
        <is>
          <t>RADIOFARMACIA</t>
        </is>
      </c>
      <c r="J592" s="3" t="inlineStr">
        <is>
          <t>IMPIANTO DI RIVELAZIONE FUMI</t>
        </is>
      </c>
      <c r="K592" s="3" t="inlineStr">
        <is>
          <t xml:space="preserve">OPERA: CENTRALE DI RIVELAZIONE, INCENDIO ANALOGICO/INDIRIZZATA. INCLUSO: 2 LOOP. </t>
        </is>
      </c>
      <c r="L592" s="3" t="inlineStr">
        <is>
          <t>OPERA: CENTRALE DI RIVELAZIONE, INCENDIO ANALOGICO/INDIRIZZATA. INCLUSO: 2 LOOP. 
LAVORO: POSA. 
SPECIFICHE TECNICHE: CENTRALE A INTELLIGENZA DISTRIBUITA TRAMITE BOX-REMOTI AVENTI CIASCUNO CAPACITÀ MASSIMA DI 2-4 LOOPS COLLEGATI SU DI UNA LINEA BUS AD ANELLO CHIUSO; OGNI LOOP PUÒ SUPPORTARE FINO A 159 RIVELATORI E 159 MODULI DI INGRESSO/USCITA PER LINEA; LINEA BUS CON CAPACITÀ DI COLLEGAMENTO FINO A 7 DISPLAY, PER LA GESTIONE E LA SUPERVISIONE DELL'INTERO SISTEMA INSTALLABILI SIA SUL CAMPO CHE SUI SINGOLI BOX. OP CENTRALE DI RIVELAZIONE, INCENDIO ANALOGICO/INDIRIZZATA. INCLUSO: 2 LOOP. 
SPECIFICHE TECNICHE: CENTRALE A INTELLIGENZA DISTRIBUITA TRAMITE BOX-REMOTI AVENTI CIASCUNO CAPACITÀ MASSIMA DI 2-4 LOOPS COLLEGATI SU DI UNA LINEA BUS AD ANELLO CHIUSO; OGNI LOOP PUÒ SUPPORTARE FINO A 159 RIVELATORI E 159 MODULI DI INGRESSO/USCITA PER LINEA; LINEA BUS CON CAPACITÀ DI COLLEGAMENTO FINO A 7 DISPLAY, PER LA GESTIONE E LA SUPERVISIONE DELL'INTERO SISTEMA INSTALLABILI SIA SUL CAMPO CHE SUI SINGOLI BOX. 
RM CENTRALE DI RIVELAZIONE INCENDIO ANALOGICO/INDIRIZZATA. COMPONENTE: DISPLAY TOUCHSCREEN, . INCLUSO: 2 LOOP 
SPECIFICHE TECNICHE: CENTRALE A INTELLIGENZA DISTRIBUITA TRAMITE BOX-REMOTI AVENTI CIASCUNO CAPACITÀ MASSIMA DI 2-4 LOOPS COLLEGATI SU DI UNA LINEA BUS AD ANELLO CHIUSO; OGNI LOOP PUÒ SUPPORTARE FINO A 159 RIVELATORI E 159 MODULI DI INGRESSO/USCITA PER LINEA; LINEA BUS CON CAPACITÀ DI COLLEGAMENTO FINO A 7 DISPLAY, PER LA GESTIONE E LA SUPERVISIONE DELL'INTERO SISTEMA INSTALLABILI SIA SUL CAMPO CHE SUI SINGOLI BOX 
LV POSA.</t>
        </is>
      </c>
      <c r="M592" s="4" t="inlineStr">
        <is>
          <t>CAD</t>
        </is>
      </c>
      <c r="N592" s="5" t="n">
        <v>1</v>
      </c>
      <c r="O592" s="45" t="n">
        <v>2371.72</v>
      </c>
      <c r="P592" s="45" t="n">
        <v>2371.72</v>
      </c>
      <c r="Q592" s="5" t="n"/>
      <c r="R592" s="6" t="n"/>
      <c r="S592" s="6">
        <f>IF(AND(Q592&lt;&gt;"",R592&lt;&gt;""),Q592*R592,"")</f>
        <v/>
      </c>
      <c r="T592" s="45">
        <f>IF(S592="",P592,S592)</f>
        <v/>
      </c>
      <c r="U592" s="7" t="n">
        <v>0</v>
      </c>
      <c r="V592" s="6">
        <f>$T592*U592</f>
        <v/>
      </c>
      <c r="W592" s="7" t="n">
        <v>0</v>
      </c>
      <c r="X592" s="6">
        <f>$T592*W592</f>
        <v/>
      </c>
      <c r="Y592" s="7" t="n">
        <v>0</v>
      </c>
      <c r="Z592" s="6">
        <f>$T592*Y592</f>
        <v/>
      </c>
      <c r="AA592" s="7" t="n">
        <v>0</v>
      </c>
      <c r="AB592" s="6">
        <f>$T592*AA592</f>
        <v/>
      </c>
      <c r="AC592" s="7" t="n">
        <v>0</v>
      </c>
      <c r="AD592" s="6">
        <f>$T592*AC592</f>
        <v/>
      </c>
      <c r="AE592" s="7" t="n">
        <v>0</v>
      </c>
      <c r="AF592" s="6">
        <f>$T592*AE592</f>
        <v/>
      </c>
      <c r="AG592" s="7" t="n">
        <v>0</v>
      </c>
      <c r="AH592" s="6">
        <f>$T592*AG592</f>
        <v/>
      </c>
      <c r="AI592" s="7">
        <f>U592+W592+Y592+AA592+AC592+AE592+AG592</f>
        <v/>
      </c>
      <c r="AJ592" s="6">
        <f>V592+X592+Z592+AB592+AD592+AF592+AH592</f>
        <v/>
      </c>
    </row>
    <row r="593" hidden="1" ht="60" customHeight="1" s="46">
      <c r="A593" s="3" t="inlineStr">
        <is>
          <t>LOM252.OC.EEA.PA02.G9764.ZA001.0280</t>
        </is>
      </c>
      <c r="B593" s="4" t="inlineStr">
        <is>
          <t>1/1</t>
        </is>
      </c>
      <c r="C593" s="3" t="inlineStr">
        <is>
          <t>IMPIANTO ELETTRICO</t>
        </is>
      </c>
      <c r="D593" s="4" t="inlineStr">
        <is>
          <t>SPECIALE</t>
        </is>
      </c>
      <c r="E593" s="4" t="inlineStr">
        <is>
          <t>ELETTRICHE SPECIALI</t>
        </is>
      </c>
      <c r="F593" s="3" t="inlineStr">
        <is>
          <t>3_CME IE RADIOFARMACIA PAVIA - REV02 VARIANTE ESECUTIVA.PDF</t>
        </is>
      </c>
      <c r="G593" s="4" t="inlineStr">
        <is>
          <t>97/97</t>
        </is>
      </c>
      <c r="H593" s="3" t="inlineStr">
        <is>
          <t>40 - IMPIANTISTICO</t>
        </is>
      </c>
      <c r="I593" s="3" t="inlineStr">
        <is>
          <t>RADIOFARMACIA</t>
        </is>
      </c>
      <c r="J593" s="3" t="inlineStr">
        <is>
          <t>IMPIANTO DI RIVELAZIONE FUMI</t>
        </is>
      </c>
      <c r="K593" s="3" t="inlineStr">
        <is>
          <t xml:space="preserve">OPERA: PANNELLO; FUNZIONE: RIPETIZIONE LOCALE/GLOBALE; IMPIEGO: CENTRALE DI RIVELAZIONE ANTINCENDIO ANALOGICA. INCLUSO: DISPLAY GRAFICO, JOG DIAL DI NAVIGAZIONE, TASTI PER SELEZIONARE LE FUNZIONI. </t>
        </is>
      </c>
      <c r="L593" s="3" t="inlineStr">
        <is>
          <t>OPERA: PANNELLO; FUNZIONE: RIPETIZIONE LOCALE/GLOBALE; IMPIEGO: CENTRALE DI RIVELAZIONE ANTINCENDIO ANALOGICA. INCLUSO: DISPLAY GRAFICO, JOG DIAL DI NAVIGAZIONE, TASTI PER SELEZIONARE LE FUNZIONI. 
LAVORO: POSA. 
SPECIFICHE TECNICHE: DOTATO DI USCITE RS232, USCITE USB, 1 USCITA STANDARD 10/100 BASE T PER CONNESSIONE LOCALE SU LAN O REMOTA WAN TRAMITE RETE ETHERNET, POSSIBILITÀ DI COLLEGAMENTO SU RETE LOCALE E DEDICATA RS485 DI 32 ELEMENTI INDIRIZZATI QUALI CENTRALI E PANNELLI DI RIPETIZIONE GLOBALI. LA PROGRAMMAZIONE È EFFETTUATA TRAMITE PROGRAMMA SPECIFICO CON PC COLLEGATO LOCALMENTE TRAMITE INGRESSI USB O DA REMOTO TRAMITE CONNESSIONE TCP/IP. OP PANNELLO; FUNZIONE: RIPETIZIONE LOCALE/GLOBALE; IMPIEGO: CENTRALE DI RIVELAZIONE ANTINCENDIO ANALOGICA. INCLUSO: DISPLAY GRAFICO, JOG DIAL DI NAVIGAZIONE, TASTI PER SELEZIONARE LE FUNZIONI. 
SPECIFICHE TECNICHE: DOTATO DI USCITE RS232, USCITE USB, 1 USCITA STANDARD 10/100 BASE T PER CONNESSIONE LOCALE SU LAN O REMOTA WAN TRAMITE RETE ETHERNET, POSSIBILITÀ DI COLLEGAMENTO SU RETE LOCALE E DEDICATA RS485 DI 32 ELEMENTI INDIRIZZATI QUALI CENTRALI E PANNELLI DI RIPETIZIONE GLOBALI. LA PROGRAMMAZIONE È EFFETTUATA TRAMITE PROGRAMMA SPECIFICO CON PC COLLEGATO LOCALMENTE TRAMITE INGRESSI USB O DA REMOTO TRAMITE CONNESSIONE TCP/IP. 
RM PANNELLO; FUNZIONE: RIPETIZIONE LOCALE/GLOBALE; IMPIEGO: CENTRALE DI RIVELAZIONE ANTINCENDIO ANALOGICA. INCLUSO: DISPLAY GRAFICO, JOG DIAL DI NAVIGAZIONE, TASTI PER SELEZIONARE LE FUNZIONI 
SPECIFICHE TECNICHE: DOTATO DI USCITE RS232, USCITE USB, 1 USCITA STANDARD 10/100 BASE T PER CONNESSIONE LOCALE SU LAN O REMOTA WAN TRAMITE RETE ETHERNET, POSSIBILITÀ DI COLLEGAMENTO SU RETE LOCALE E DEDICATA RS485 DI 32 ELEMENTI INDIRIZZATI QUALI CENTRALI E PANNELLI DI RIPETIZIONE GLOBALI. LA PROGRAMMAZIONE È EFFETTUATA TRAMITE PROGRAMMA SPECIFICO CON PC COLLEGATO LOCALMENTE TRAMITE INGRESSI USB O DA REMOTO TRAMITE CONNESSIONE TCP/IP 
LV POSA.</t>
        </is>
      </c>
      <c r="M593" s="4" t="inlineStr">
        <is>
          <t>CAD</t>
        </is>
      </c>
      <c r="N593" s="5" t="n">
        <v>1</v>
      </c>
      <c r="O593" s="45" t="n">
        <v>943.95</v>
      </c>
      <c r="P593" s="45" t="n">
        <v>943.95</v>
      </c>
      <c r="Q593" s="5" t="n"/>
      <c r="R593" s="6" t="n"/>
      <c r="S593" s="6">
        <f>IF(AND(Q593&lt;&gt;"",R593&lt;&gt;""),Q593*R593,"")</f>
        <v/>
      </c>
      <c r="T593" s="45">
        <f>IF(S593="",P593,S593)</f>
        <v/>
      </c>
      <c r="U593" s="7" t="n">
        <v>0</v>
      </c>
      <c r="V593" s="6">
        <f>$T593*U593</f>
        <v/>
      </c>
      <c r="W593" s="7" t="n">
        <v>0</v>
      </c>
      <c r="X593" s="6">
        <f>$T593*W593</f>
        <v/>
      </c>
      <c r="Y593" s="7" t="n">
        <v>0</v>
      </c>
      <c r="Z593" s="6">
        <f>$T593*Y593</f>
        <v/>
      </c>
      <c r="AA593" s="7" t="n">
        <v>0</v>
      </c>
      <c r="AB593" s="6">
        <f>$T593*AA593</f>
        <v/>
      </c>
      <c r="AC593" s="7" t="n">
        <v>0</v>
      </c>
      <c r="AD593" s="6">
        <f>$T593*AC593</f>
        <v/>
      </c>
      <c r="AE593" s="7" t="n">
        <v>0</v>
      </c>
      <c r="AF593" s="6">
        <f>$T593*AE593</f>
        <v/>
      </c>
      <c r="AG593" s="7" t="n">
        <v>0</v>
      </c>
      <c r="AH593" s="6">
        <f>$T593*AG593</f>
        <v/>
      </c>
      <c r="AI593" s="7">
        <f>U593+W593+Y593+AA593+AC593+AE593+AG593</f>
        <v/>
      </c>
      <c r="AJ593" s="6">
        <f>V593+X593+Z593+AB593+AD593+AF593+AH593</f>
        <v/>
      </c>
    </row>
    <row r="594" ht="60" customHeight="1" s="46">
      <c r="A594" s="3" t="inlineStr">
        <is>
          <t>LOM252.OC.EEA.PA02.L7430.ZA001.0020</t>
        </is>
      </c>
      <c r="B594" s="4" t="inlineStr">
        <is>
          <t>4/4</t>
        </is>
      </c>
      <c r="C594" s="3" t="inlineStr">
        <is>
          <t>IMPIANTO ELETTRICO</t>
        </is>
      </c>
      <c r="D594" s="4" t="inlineStr">
        <is>
          <t>SPECIALE</t>
        </is>
      </c>
      <c r="E594" s="4" t="inlineStr">
        <is>
          <t>ELETTRICHE SPECIALI</t>
        </is>
      </c>
      <c r="F594" s="3" t="inlineStr">
        <is>
          <t>3_CME IE RADIOFARMACIA PAVIA - REV02 VARIANTE ESECUTIVA.PDF</t>
        </is>
      </c>
      <c r="G594" s="4" t="inlineStr">
        <is>
          <t>98/98</t>
        </is>
      </c>
      <c r="H594" s="3" t="inlineStr">
        <is>
          <t>40 - IMPIANTISTICO</t>
        </is>
      </c>
      <c r="I594" s="3" t="inlineStr">
        <is>
          <t>RADIOFARMACIA</t>
        </is>
      </c>
      <c r="J594" s="3" t="inlineStr">
        <is>
          <t>IMPIANTO DI RIVELAZIONE FUMI</t>
        </is>
      </c>
      <c r="K594" s="3" t="inlineStr">
        <is>
          <t xml:space="preserve">OPERA: CAVO; GEOMETRIA: TWISTATO | SCHERMATO | ROSSO; SEZIONE NOMINALE [MM²] = 2X1,5. </t>
        </is>
      </c>
      <c r="L594" s="3" t="inlineStr">
        <is>
          <t>OPERA: CAVO; GEOMETRIA: TWISTATO | SCHERMATO | ROSSO; SEZIONE NOMINALE [MM²] = 2X1,5. 
LAVORO: POSA. OP CAVO; GEOMETRIA: TWISTATO | SCHERMATO | ROSSO; SEZIONE NOMINALE [MM²] = 2X1,5. 
RM CAVO; GEOMETRIA: TWISTATO | SCHERMATO | ROSSO; FORNITURA: IN OPERA; SEZIONE NOMINALE [MM²] = 2X1,5 
SPECIFICHE TECNICHE: CAVO ANTINCENDIO DI GRADO 3 
LV POSA.
[DIMENSIONI: 600,00 | 400,00]</t>
        </is>
      </c>
      <c r="M594" s="4" t="inlineStr">
        <is>
          <t>M</t>
        </is>
      </c>
      <c r="N594" s="5" t="n">
        <v>1000</v>
      </c>
      <c r="O594" s="45" t="n">
        <v>3.5</v>
      </c>
      <c r="P594" s="45" t="n">
        <v>3500</v>
      </c>
      <c r="Q594" s="5" t="n"/>
      <c r="R594" s="6" t="n"/>
      <c r="S594" s="6">
        <f>IF(AND(Q594&lt;&gt;"",R594&lt;&gt;""),Q594*R594,"")</f>
        <v/>
      </c>
      <c r="T594" s="45">
        <f>IF(S594="",P594,S594)</f>
        <v/>
      </c>
      <c r="U594" s="7" t="n">
        <v>0</v>
      </c>
      <c r="V594" s="6">
        <f>$T594*U594</f>
        <v/>
      </c>
      <c r="W594" s="7" t="n">
        <v>0.3</v>
      </c>
      <c r="X594" s="6">
        <f>$T594*W594</f>
        <v/>
      </c>
      <c r="Y594" s="7" t="n">
        <v>0</v>
      </c>
      <c r="Z594" s="6">
        <f>$T594*Y594</f>
        <v/>
      </c>
      <c r="AA594" s="7" t="n">
        <v>0</v>
      </c>
      <c r="AB594" s="6">
        <f>$T594*AA594</f>
        <v/>
      </c>
      <c r="AC594" s="7" t="n">
        <v>0</v>
      </c>
      <c r="AD594" s="6">
        <f>$T594*AC594</f>
        <v/>
      </c>
      <c r="AE594" s="7" t="n">
        <v>0</v>
      </c>
      <c r="AF594" s="6">
        <f>$T594*AE594</f>
        <v/>
      </c>
      <c r="AG594" s="7" t="n">
        <v>0</v>
      </c>
      <c r="AH594" s="6">
        <f>$T594*AG594</f>
        <v/>
      </c>
      <c r="AI594" s="7">
        <f>U594+W594+Y594+AA594+AC594+AE594+AG594</f>
        <v/>
      </c>
      <c r="AJ594" s="6">
        <f>V594+X594+Z594+AB594+AD594+AF594+AH594</f>
        <v/>
      </c>
    </row>
    <row r="595" hidden="1" ht="60" customHeight="1" s="46">
      <c r="A595" s="3" t="inlineStr">
        <is>
          <t>DEIELE251_115015B</t>
        </is>
      </c>
      <c r="B595" s="4" t="inlineStr">
        <is>
          <t>1/2</t>
        </is>
      </c>
      <c r="C595" s="3" t="inlineStr">
        <is>
          <t>IMPIANTO ELETTRICO</t>
        </is>
      </c>
      <c r="D595" s="4" t="inlineStr">
        <is>
          <t>SPECIALE</t>
        </is>
      </c>
      <c r="E595" s="4" t="inlineStr">
        <is>
          <t>ELETTRICHE SPECIALI</t>
        </is>
      </c>
      <c r="F595" s="3" t="inlineStr">
        <is>
          <t>3_CME IE RADIOFARMACIA PAVIA - REV02 VARIANTE ESECUTIVA.PDF</t>
        </is>
      </c>
      <c r="G595" s="4" t="inlineStr">
        <is>
          <t>2/2</t>
        </is>
      </c>
      <c r="H595" s="3" t="inlineStr">
        <is>
          <t>50 - INSTALLAZIONE</t>
        </is>
      </c>
      <c r="I595" s="3" t="inlineStr">
        <is>
          <t>CABINA DI CONSEGNA MT</t>
        </is>
      </c>
      <c r="J595" s="3" t="inlineStr">
        <is>
          <t>QUADRI ELETTRICI MT</t>
        </is>
      </c>
      <c r="K595" s="3" t="inlineStr">
        <is>
          <t>SCOMPARTO MODULARE MT ARRIVO LINEA E RISALITA SBARRE CON PROTEZIONE ARCO INTERNO SUI TRE LATI IAC AFL FINO A 12,5 KA PER 1S, ADATTO AD ESSERE AMPLIATO CON ALTRE UNITÀ FUNZIONALI SU ENTRAMBI I LATI; CO</t>
        </is>
      </c>
      <c r="L595" s="3" t="inlineStr">
        <is>
          <t>SCOMPARTO MODULARE MT ARRIVO LINEA E RISALITA SBARRE CON PROTEZIONE ARCO INTERNO SUI TRE LATI IAC AFL FINO A 12,5 KA PER 1S, ADATTO AD ESSERE AMPLIATO CON ALTRE UNITÀ FUNZIONALI SU ENTRAMBI I LATI; COSTRUZIONE E COLLAUDO CONFORME SECONDO LE NORMATIVE VIGENTI; INVOLUCRO CON GRADO PROTEZIONE ESTERNO IP 3X E RESISTENZA ALL'IMPATTO MECCANICO IK 08, IN LAMIERA DI ACCIAIO ZINCATA A CALDO, VERNICIATA ALLE POLVERI EPOSSIDICHE CON STRUTTURA PORTANTE IN LAMIERA D'ACCIAIO DI SPESSORE NON INFERIORE A 20/10; COMPLETA DI BLOCCHI A CHIAVE PER APERTURA/CHIUSURA, INTERBLOCCHI MECCANICI (IN ALTERNATIVA PROCEDURA GUIDATA CON L'UTILIZZO DI APPOSITI ATTREZZI), INDICATORI PRESENZA TENSIONE CON DERIVATORI CAPACITIVI, RESISTENZA ANTICONDENSA CON POTENZA 50 W A 230 V, REGOLATA DA TERMOSTATO E PROTETTA DA INTERRUTTORE, SINOTTICO, SUPPORTI TERMINALI; LE STAFFE ANCORAGGIO CAVI E LO SCHEMA ELETTRICO; SEZIONE CAVI IN INGRESSO FINO A 300 MMQ; TENSIONE NOMINALE 24 KV, TENSIONE DI ESERCIZIO FINO 24 KV, TENSIONE DI PROVA 1 MINUTO 50 KV, TENSIONE DI TENUTA AD IMPULSO 1.2/50 MICRONS 125 KV, CORRENTE NOMINALE SBARRE ED APPARECCHIATURA 630 A - 800 A, CORRENTE DI CORTO CIRCUITO PER UN SECONDO 12,5 - 16 KA, CORRENTE NOMINALE DI PICCO 31,5 - 40 KA; TENSIONE NOMINALE DEGLI AUSILIARI ELETTRICI 230 V 50 HZ; CLASSIFICAZIONE CONTINUITÀ DI ESERCIZIO LSC1; DIMENSIONI INDICATIVE LARGHEZZA 400 MM, ALTEZZA (VANO BT ESCLUSO) 1.600 MM, PROFONDITÀ 1.000 MM: UNITÀ ARRIVO LINEA E RISALITA SBARRE 630 A - 16 KA</t>
        </is>
      </c>
      <c r="M595" s="4" t="inlineStr">
        <is>
          <t>CAD</t>
        </is>
      </c>
      <c r="N595" s="5" t="n">
        <v>1</v>
      </c>
      <c r="O595" s="45" t="n">
        <v>0</v>
      </c>
      <c r="P595" s="45" t="n">
        <v>0</v>
      </c>
      <c r="Q595" s="5" t="n"/>
      <c r="R595" s="6" t="n"/>
      <c r="S595" s="6">
        <f>IF(AND(Q595&lt;&gt;"",R595&lt;&gt;""),Q595*R595,"")</f>
        <v/>
      </c>
      <c r="T595" s="45">
        <f>IF(S595="",P595,S595)</f>
        <v/>
      </c>
      <c r="U595" s="7" t="n">
        <v>0</v>
      </c>
      <c r="V595" s="6">
        <f>$T595*U595</f>
        <v/>
      </c>
      <c r="W595" s="7" t="n">
        <v>0</v>
      </c>
      <c r="X595" s="6">
        <f>$T595*W595</f>
        <v/>
      </c>
      <c r="Y595" s="7" t="n">
        <v>0</v>
      </c>
      <c r="Z595" s="6">
        <f>$T595*Y595</f>
        <v/>
      </c>
      <c r="AA595" s="7" t="n">
        <v>0</v>
      </c>
      <c r="AB595" s="6">
        <f>$T595*AA595</f>
        <v/>
      </c>
      <c r="AC595" s="7" t="n">
        <v>0</v>
      </c>
      <c r="AD595" s="6">
        <f>$T595*AC595</f>
        <v/>
      </c>
      <c r="AE595" s="7" t="n">
        <v>0</v>
      </c>
      <c r="AF595" s="6">
        <f>$T595*AE595</f>
        <v/>
      </c>
      <c r="AG595" s="7" t="n">
        <v>0</v>
      </c>
      <c r="AH595" s="6">
        <f>$T595*AG595</f>
        <v/>
      </c>
      <c r="AI595" s="7">
        <f>U595+W595+Y595+AA595+AC595+AE595+AG595</f>
        <v/>
      </c>
      <c r="AJ595" s="6">
        <f>V595+X595+Z595+AB595+AD595+AF595+AH595</f>
        <v/>
      </c>
    </row>
    <row r="596" hidden="1" ht="60" customHeight="1" s="46">
      <c r="A596" s="3" t="inlineStr">
        <is>
          <t>DEIELE251_115021D</t>
        </is>
      </c>
      <c r="B596" s="4" t="inlineStr">
        <is>
          <t>1/2</t>
        </is>
      </c>
      <c r="C596" s="3" t="inlineStr">
        <is>
          <t>IMPIANTO ELETTRICO</t>
        </is>
      </c>
      <c r="D596" s="4" t="inlineStr">
        <is>
          <t>SPECIALE</t>
        </is>
      </c>
      <c r="E596" s="4" t="inlineStr">
        <is>
          <t>ELETTRICHE SPECIALI</t>
        </is>
      </c>
      <c r="F596" s="3" t="inlineStr">
        <is>
          <t>3_CME IE RADIOFARMACIA PAVIA - REV02 VARIANTE ESECUTIVA.PDF</t>
        </is>
      </c>
      <c r="G596" s="4" t="inlineStr">
        <is>
          <t>3/3</t>
        </is>
      </c>
      <c r="H596" s="3" t="inlineStr">
        <is>
          <t>50 - INSTALLAZIONE</t>
        </is>
      </c>
      <c r="I596" s="3" t="inlineStr">
        <is>
          <t>CABINA DI CONSEGNA MT</t>
        </is>
      </c>
      <c r="J596" s="3" t="inlineStr">
        <is>
          <t>QUADRI ELETTRICI MT</t>
        </is>
      </c>
      <c r="K596" s="3" t="inlineStr">
        <is>
          <t>SCOMPARTO MODULARE MT PER PROTEZIONE CON INTERRUTTORE PER PARTENZA LINEA, UNITÀ FUNZIONALE DI PROTEZIONE CON INTERRUTTORE IN SF6 E SEZIONATORE DI MESSA A TERRA, TA OMOPOLARE E RELÈ DI PROTEZIONE, ALIM</t>
        </is>
      </c>
      <c r="L596" s="3" t="inlineStr">
        <is>
          <t>SCOMPARTO MODULARE MT PER PROTEZIONE CON INTERRUTTORE PER PARTENZA LINEA, UNITÀ FUNZIONALE DI PROTEZIONE CON INTERRUTTORE IN SF6 E SEZIONATORE DI MESSA A TERRA, TA OMOPOLARE E RELÈ DI PROTEZIONE, ALIMENTAZIONE IN SBARRA ED USCITA CAVI MT NELLA PARTE INFERIORE; PROTEZIONE ARCO INTERNO SUI TRE LATI IAC AFL FINO A 12,5 KA PER 1S, ADATTO AD ESSERE AMPLIATO CON ALTRE UNITÀ FUNZIONALI SU ENTRAMBI I LATI; COSTRUZIONE E COLLAUDO CONFORMI ALLE NORME CEI EN 62271-200, CEI EN 60068-3-3 PER RESISTENZA AL RISCHIO SISMICO FINO A CLASSE 2; INVOLUCRO CON GRADO PROTEZIONE ESTERNO IP 3X E RESISTENZA ALL'IMPATTO MECCANICO IK 08, IN LAMIERA DI ACCIAIO ZINCATA A CALDO, VERNICIATA ALLE POLVERI EPOSSIDICHE CON STRUTTURA PORTANTE IN LAMIERA D'ACCIAIO DI SPESSORE NON INFERIORE A 20/10; INTERRUTTORE ISOLATO IN SF6 CON POLO IN PRESSIONE DEL TIPO "SIGILLATO A VITA", CLASSIFICAZIONE INTERRUTTORE SECONDO CEI EN 62271-100 M2, E2, C2, BLOCCO CHIAVE SU INTERRUTTORE, CHIAVE LIBERA IN POSIZIONE D'APERTO, BLOCCO A CHIAVE SU SEZIONATORE DI TERRA CHIAVE LIBERA IN POSIZIONE DI CHIUSO, COMPLETA DI INTERBLOCCHI MECCANICI E A CHIAVE PER IMPEDIRE ERRATE MANOVRE, SGANCIATORE DI APERTURA A LANCIO DI CORRENTE, COMANDO MANUALE, CONTATTI AUSILIARI, CONTAMANOVRE, SEZIONATORE ROTATIVO A TRE POSIZIONI (CHIUSO, APERTO E MESSO A TERRA), CON OBLÒ PER LA VISIBILITÀ DIRETTA DEL SEZIONAMENTO, ISOLATO IN SF6 DEL TIPO "SISTEMA A PRESSIONE SIGILLATO A VITA", BLOCCHI A CHIAVE SU SEZIONATORE CHIAVE LIBERA IN POSIZIONE DI APERTO E CHIUSO, BLOCCHI A CHIAVE SU SEZIONATORE DI TERRA CHIAVE LIBERA IN POSIZIONE DI APERTO E CHIUSO, SEZIONATORE DI MESSA A TERRA A VALLE DELL'INTERRUTTORE ISOLATO IN ARIA, 3 TRASFORMATORI AMPEROMETRICI TOROIDALI MULTI-RANGE FINO A 630 A O A BARRA PASSANTE CON ISOLAMENTO IN RESINA EPOSSIDICA, 1 TRASFORMATORE AMPEROMETRICO TOROIDALE OMOPOLARE, 1 RELÈ PER PROTEZIONE E MISURA, SU APPOSITO PANNELLO B.T. FORNITO DI DISPLAY LCD GRAFICO, CON PROTEZIONI I&gt;, I&gt;&gt;, I&gt;&gt;&gt;, IO&gt;, IO&gt;&gt; E MISURA DELLE CORRENTI DI FASE I1, I2, I3 RMS, CORRENTE RESIDUA IO, VALORI MEDI E MASSIMI, MEMORIZZAZIONE DEI VALORI DELLE CORRENTI DI FASE ED OMOPOLARE PRIMA DI UN INTERVENTO SU GUASTO ELETTRICO, RELÈ DI PROTEZIONE CON FUNZIONE DI SISTEMA DI PROTEZIONE GENERALE (SPG) CONFORME NORMA CONFORME SECONDO LE NORMATIVE VIGENTI, SUPERVISIONE PROTEZIONE TRAMITE COLLEGAMENTO MODBUS; SEZIONE CAVI MT ISOLATI IN GOMMA DI SEZIONE MASSIMA 240 MMQ; INDICATORI PRESENZA TENSIONE CON DERIVATORI CAPACITIVI, SINOTTICO, RESISTENZA ANTICONDENSA CON POTENZA 50 W A 230 V, REGOLATA DA TERMOSTATO E PROTETTA DA INTERRUTTORE, CONTATTI AUSILIARI, SGANCIATORE DI APERTURA A LANCIO DI CORRENTE, CONTAMANOVRE, TENSIONE NOMINALE 24 KV, TENSIONE DI ESERCIZIO FINO A 24 KV, TENSIONE DI PROVA 1 MINUTO 50 KV, TENSIONE DI TENUTA AD IMPULSO 1.2/50 MICRONS 125 KV; CORRENTE DI CORTO CIRCUITO PER UN SECONDO 12,5 - 16 KA, CORRENTE NOMINALE DI PICCO 31,5 - 40 KA, TENSIONE NOMINALE DEGLI AUSILIARI ELETTRICI 230 V 50 HZ, CLASSIFICAZIONE CONTINUITÀ DI ESERCIZIO LSC2A PI, DIMENSIONI INDICATIVE LARGHEZZA 750 MM, ALTEZZA (VANO BT ESCLUSO) 1.600 MM, PROFONDITÀ 1.300 MM: UNITÀ INTERRUTTORE PARTENZA LINEA 630 A - 16 KA CON PROTEZIONI DI FASE E DI TERRA (FUNZIONI 50-51-51N-67N)</t>
        </is>
      </c>
      <c r="M596" s="4" t="inlineStr">
        <is>
          <t>CAD</t>
        </is>
      </c>
      <c r="N596" s="5" t="n">
        <v>1</v>
      </c>
      <c r="O596" s="45" t="n">
        <v>0</v>
      </c>
      <c r="P596" s="45" t="n">
        <v>0</v>
      </c>
      <c r="Q596" s="5" t="n"/>
      <c r="R596" s="6" t="n"/>
      <c r="S596" s="6">
        <f>IF(AND(Q596&lt;&gt;"",R596&lt;&gt;""),Q596*R596,"")</f>
        <v/>
      </c>
      <c r="T596" s="45">
        <f>IF(S596="",P596,S596)</f>
        <v/>
      </c>
      <c r="U596" s="7" t="n">
        <v>0</v>
      </c>
      <c r="V596" s="6">
        <f>$T596*U596</f>
        <v/>
      </c>
      <c r="W596" s="7" t="n">
        <v>0</v>
      </c>
      <c r="X596" s="6">
        <f>$T596*W596</f>
        <v/>
      </c>
      <c r="Y596" s="7" t="n">
        <v>0</v>
      </c>
      <c r="Z596" s="6">
        <f>$T596*Y596</f>
        <v/>
      </c>
      <c r="AA596" s="7" t="n">
        <v>0</v>
      </c>
      <c r="AB596" s="6">
        <f>$T596*AA596</f>
        <v/>
      </c>
      <c r="AC596" s="7" t="n">
        <v>0</v>
      </c>
      <c r="AD596" s="6">
        <f>$T596*AC596</f>
        <v/>
      </c>
      <c r="AE596" s="7" t="n">
        <v>0</v>
      </c>
      <c r="AF596" s="6">
        <f>$T596*AE596</f>
        <v/>
      </c>
      <c r="AG596" s="7" t="n">
        <v>0</v>
      </c>
      <c r="AH596" s="6">
        <f>$T596*AG596</f>
        <v/>
      </c>
      <c r="AI596" s="7">
        <f>U596+W596+Y596+AA596+AC596+AE596+AG596</f>
        <v/>
      </c>
      <c r="AJ596" s="6">
        <f>V596+X596+Z596+AB596+AD596+AF596+AH596</f>
        <v/>
      </c>
    </row>
    <row r="597" ht="60" customHeight="1" s="46">
      <c r="A597" s="3" t="inlineStr">
        <is>
          <t>IE_NP_QCONS</t>
        </is>
      </c>
      <c r="B597" s="4" t="inlineStr">
        <is>
          <t>1/1</t>
        </is>
      </c>
      <c r="C597" s="3" t="inlineStr">
        <is>
          <t>IMPIANTO ELETTRICO</t>
        </is>
      </c>
      <c r="D597" s="4" t="inlineStr">
        <is>
          <t>SPECIALE</t>
        </is>
      </c>
      <c r="E597" s="4" t="inlineStr">
        <is>
          <t>ELETTRICHE SPECIALI</t>
        </is>
      </c>
      <c r="F597" s="3" t="inlineStr">
        <is>
          <t>3_CME IE RADIOFARMACIA PAVIA - REV02 VARIANTE ESECUTIVA.PDF</t>
        </is>
      </c>
      <c r="G597" s="4" t="inlineStr">
        <is>
          <t>4/4</t>
        </is>
      </c>
      <c r="H597" s="3" t="inlineStr">
        <is>
          <t>50 - INSTALLAZIONE</t>
        </is>
      </c>
      <c r="I597" s="3" t="inlineStr">
        <is>
          <t>CABINA DI CONSEGNA MT</t>
        </is>
      </c>
      <c r="J597" s="3" t="inlineStr">
        <is>
          <t>QUADRI ELETTRICI BT E UPS</t>
        </is>
      </c>
      <c r="K597" s="3" t="inlineStr">
        <is>
          <t>FORNITURA E POSA IN OPERA DI QUADRO ELETTRICO CABINA DI CONSEGNA MT COSTITUITO DA ARMADIO METALLICO DA PARETE/PAVIMENTO, CON GRADO DI PROTEZIONE IP66 (SECONDO IEC 60529), COLORE RAL 7035,  STRUTTURA M</t>
        </is>
      </c>
      <c r="L597" s="3" t="inlineStr">
        <is>
          <t>FORNITURA E POSA IN OPERA DI QUADRO ELETTRICO CABINA DI CONSEGNA MT COSTITUITO DA ARMADIO METALLICO DA PARETE/PAVIMENTO, CON GRADO DI PROTEZIONE IP66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597" s="4" t="inlineStr">
        <is>
          <t>A CORPO</t>
        </is>
      </c>
      <c r="N597" s="5" t="n">
        <v>1</v>
      </c>
      <c r="O597" s="45" t="n">
        <v>33067.1</v>
      </c>
      <c r="P597" s="45" t="n">
        <v>33067.1</v>
      </c>
      <c r="Q597" s="5" t="n"/>
      <c r="R597" s="6" t="n"/>
      <c r="S597" s="6">
        <f>IF(AND(Q597&lt;&gt;"",R597&lt;&gt;""),Q597*R597,"")</f>
        <v/>
      </c>
      <c r="T597" s="45">
        <f>IF(S597="",P597,S597)</f>
        <v/>
      </c>
      <c r="U597" s="7" t="n">
        <v>0.4</v>
      </c>
      <c r="V597" s="6">
        <f>$T597*U597</f>
        <v/>
      </c>
      <c r="W597" s="7" t="n">
        <v>0.2</v>
      </c>
      <c r="X597" s="6">
        <f>$T597*W597</f>
        <v/>
      </c>
      <c r="Y597" s="7" t="n">
        <v>0</v>
      </c>
      <c r="Z597" s="6">
        <f>$T597*Y597</f>
        <v/>
      </c>
      <c r="AA597" s="7" t="n">
        <v>0</v>
      </c>
      <c r="AB597" s="6">
        <f>$T597*AA597</f>
        <v/>
      </c>
      <c r="AC597" s="7" t="n">
        <v>0</v>
      </c>
      <c r="AD597" s="6">
        <f>$T597*AC597</f>
        <v/>
      </c>
      <c r="AE597" s="7" t="n">
        <v>0</v>
      </c>
      <c r="AF597" s="6">
        <f>$T597*AE597</f>
        <v/>
      </c>
      <c r="AG597" s="7" t="n">
        <v>0</v>
      </c>
      <c r="AH597" s="6">
        <f>$T597*AG597</f>
        <v/>
      </c>
      <c r="AI597" s="7">
        <f>U597+W597+Y597+AA597+AC597+AE597+AG597</f>
        <v/>
      </c>
      <c r="AJ597" s="6">
        <f>V597+X597+Z597+AB597+AD597+AF597+AH597</f>
        <v/>
      </c>
    </row>
    <row r="598" ht="60" customHeight="1" s="46">
      <c r="A598" s="3" t="inlineStr">
        <is>
          <t>LOM252.OC.EEA.PA01.G6010.ZA001.0300</t>
        </is>
      </c>
      <c r="B598" s="4" t="inlineStr">
        <is>
          <t>1/2</t>
        </is>
      </c>
      <c r="C598" s="3" t="inlineStr">
        <is>
          <t>IMPIANTO ELETTRICO</t>
        </is>
      </c>
      <c r="D598" s="4" t="inlineStr">
        <is>
          <t>SPECIALE</t>
        </is>
      </c>
      <c r="E598" s="4" t="inlineStr">
        <is>
          <t>ELETTRICHE SPECIALI</t>
        </is>
      </c>
      <c r="F598" s="3" t="inlineStr">
        <is>
          <t>3_CME IE RADIOFARMACIA PAVIA - REV02 VARIANTE ESECUTIVA.PDF</t>
        </is>
      </c>
      <c r="G598" s="4" t="inlineStr">
        <is>
          <t>5/5</t>
        </is>
      </c>
      <c r="H598" s="3" t="inlineStr">
        <is>
          <t>50 - INSTALLAZIONE</t>
        </is>
      </c>
      <c r="I598" s="3" t="inlineStr">
        <is>
          <t>CABINA DI CONSEGNA MT</t>
        </is>
      </c>
      <c r="J598" s="3" t="inlineStr">
        <is>
          <t>QUADRI ELETTRICI BT E UPS</t>
        </is>
      </c>
      <c r="K598" s="3" t="inlineStr">
        <is>
          <t>OPERA: GRUPPO DI CONTINUITÀ; POTENZA NOMINALE [VA] = 3300 | POTENZA ATTIVA [W] = 2300 | AUTONOMIA [MIN] = 6 | TENSIONE DI ALIMENTAZIONE [V] = 220 ÷ 240 | FREQUENZA [HZ] = 50 ÷ 60 | VARIAZIONE FREQUENZ</t>
        </is>
      </c>
      <c r="L598" s="3" t="inlineStr">
        <is>
          <t>OPERA: GRUPPO DI CONTINUITÀ; POTENZA NOMINALE [VA] = 3300 | POTENZA ATTIVA [W] = 2300 | AUTONOMIA [MIN] = 6 | TENSIONE DI ALIMENTAZIONE [V] = 220 ÷ 240 | FREQUENZA [HZ] = 50 ÷ 60 | VARIAZIONE FREQUENZA [%] = ±5 | TENSIONE IN USCITA [V] = 220 ÷ 240 | TOLLERANZA TENSIONE IN USCITA [%] = ±2 | RENDIMENTO MINIMO [%] = 89. INCLUSO: PORTA DI COMUNICAZIONE RS232, CONTATTI DI SEGNALAZIONE, ADAPTER. 
LAVORO: INSTALLAZIONE. 
SPECIFICHE TECNICHE: GESTIONE E CONTROLLO A MICROPROCESSORE, TECNOLOGIA DOPPIA CONVERSIONE PER GARANTIRE LA TENSIONE IN USCITA COMPLETAMENTE IMMUNE DALLE PERTURBAZIONI DI RETE (VFI - VOLTAGE AND FREQUENCY INDIPENDENT - ON-LINE), TEST BATTERIA AUTOMATICO E PERIODICO, FREQUENZA D'ONDA SINUSOIDALE [HZ] = 50 ÷ 60 SELEZIONABILE CON TOLLERANZA [%] = ±1,5, IN GRADO DI SOPPORTARE SOVRACCARICHI DEL 150% PER ALMENO 4 SECONDI, SISTEMA CON TEMPO D'INTERVENTO TIPICO [MS] = 0 (NO BREAK), RIDOTTA RUMOROSITÀ A 1 M [DB] &lt; 40. OP GRUPPO DI CONTINUITÀ; POTENZA NOMINALE [VA] = 3300 | POTENZA ATTIVA [W] = 2300 | AUTONOMIA [MIN] = 6 | TENSIONE DI ALIMENTAZIONE [V] = 220 ÷ 240 | FREQUENZA [HZ] = 50 ÷ 60 | VARIAZIONE FREQUENZA [%] = ±5 | TENSIONE IN USCITA [V] = 220 ÷ 240 | TOLLERANZA TENSIONE IN USCITA [%] = ±2 | RENDIMENTO MINIMO [%] = 89. INCLUSO: PORTA DI COMUNICAZIONE RS232, CONTATTI DI SEGNALAZIONE, ADAPTER. 
SPECIFICHE TECNICHE: GESTIONE E CONTROLLO A MICROPROCESSORE, TECNOLOGIA DOPPIA CONVERSIONE PER GARANTIRE LA TENSIONE IN USCITA COMPLETAMENTE IMMUNE DALLE PERTURBAZIONI DI RETE (VFI - VOLTAGE AND FREQUENCY INDIPENDENT - ON-LINE), TEST BATTERIA AUTOMATICO E PERIODICO, FREQUENZA D'ONDA SINUSOIDALE [HZ] = 50 ÷ 60 SELEZIONABILE CON TOLLERANZA [%] = ±1,5, IN GRADO DI SOPPORTARE SOVRACCARICHI DEL 150% PER ALMENO 4 SECONDI, SISTEMA CON TEMPO D'INTERVENTO TIPICO [MS] = 0 (NO BREAK), RIDOTTA RUMOROSITÀ A 1 M [DB] &lt; 40. 
RM GRUPPO DI CONTINUITÀ; POTENZA NOMINALE [VA] = 3300 | POTENZA ATTIVA [W] = 2300 | AUTONOMIA [MIN] = 6 | TENSIONE DI ALIMENTAZIONE [V] = 220 ÷ 240 | FREQUENZA [HZ] = 50 ÷ 60 | VARIAZIONE FREQUENZA [%] = ±5 | TENSIONE IN USCITA [V] = 220 ÷ 240 | TOLLERANZA TENSIONE IN USCITA [%] = ±2 | RENDIMENTO MINIMO [%] = 89 | TEMPERATURA D'ESERCIZIO [°C] = 0 ÷ 40. COMPONENTI: BATTERIA ERMETICA, SOFTWARE, DISPOSITIVO DI PROTEZIONE, PRESA IEC, PRESA IEC. INCLUSO: PORTA DI COMUNICAZIONE RS232, CONTATTI DI SEGNALAZIONE, ADAPTER 
SPECIFICHE TECNICHE: GESTIONE E CONTROLLO A MICROPROCESSORE, TECNOLOGIA DOPPIA CONVERSIONE PER GARANTIRE LA TENSIONE IN USCITA COMPLETAMENTE IMMUNE DALLE PERTURBAZIONI DI RETE (VFI - VOLTAGE AND FREQUENCY INDIPENDENT - ON-LINE), TEST BATTERIA AUTOMATICO E PERIODICO, FREQUENZA D'ONDA SINUSOIDALE [HZ] = 50 ÷ 60 SELEZIONABILE CON TOLLERANZA [%] = ±1,5, IN GRADO DI SOPPORTARE SOVRACCARICHI DEL 150% PER ALMENO 4 SECONDI, SISTEMA CON TEMPO D'INTERVENTO TIPICO [MS] = 0 (NO BREAK), RIDOTTA RUMOROSITÀ A 1 M [DB] &lt; 40 
LV INSTALLAZIONE.</t>
        </is>
      </c>
      <c r="M598" s="4" t="inlineStr">
        <is>
          <t>CAD</t>
        </is>
      </c>
      <c r="N598" s="5" t="n">
        <v>1</v>
      </c>
      <c r="O598" s="45" t="n">
        <v>1315.6</v>
      </c>
      <c r="P598" s="45" t="n">
        <v>1315.6</v>
      </c>
      <c r="Q598" s="5" t="n"/>
      <c r="R598" s="6" t="n"/>
      <c r="S598" s="6">
        <f>IF(AND(Q598&lt;&gt;"",R598&lt;&gt;""),Q598*R598,"")</f>
        <v/>
      </c>
      <c r="T598" s="45">
        <f>IF(S598="",P598,S598)</f>
        <v/>
      </c>
      <c r="U598" s="7" t="n">
        <v>0.4</v>
      </c>
      <c r="V598" s="6">
        <f>$T598*U598</f>
        <v/>
      </c>
      <c r="W598" s="7" t="n">
        <v>0.2</v>
      </c>
      <c r="X598" s="6">
        <f>$T598*W598</f>
        <v/>
      </c>
      <c r="Y598" s="7" t="n">
        <v>0</v>
      </c>
      <c r="Z598" s="6">
        <f>$T598*Y598</f>
        <v/>
      </c>
      <c r="AA598" s="7" t="n">
        <v>0</v>
      </c>
      <c r="AB598" s="6">
        <f>$T598*AA598</f>
        <v/>
      </c>
      <c r="AC598" s="7" t="n">
        <v>0</v>
      </c>
      <c r="AD598" s="6">
        <f>$T598*AC598</f>
        <v/>
      </c>
      <c r="AE598" s="7" t="n">
        <v>0</v>
      </c>
      <c r="AF598" s="6">
        <f>$T598*AE598</f>
        <v/>
      </c>
      <c r="AG598" s="7" t="n">
        <v>0</v>
      </c>
      <c r="AH598" s="6">
        <f>$T598*AG598</f>
        <v/>
      </c>
      <c r="AI598" s="7">
        <f>U598+W598+Y598+AA598+AC598+AE598+AG598</f>
        <v/>
      </c>
      <c r="AJ598" s="6">
        <f>V598+X598+Z598+AB598+AD598+AF598+AH598</f>
        <v/>
      </c>
    </row>
    <row r="599" ht="60" customHeight="1" s="46">
      <c r="A599" s="3" t="inlineStr">
        <is>
          <t>DEIELE251_115015B</t>
        </is>
      </c>
      <c r="B599" s="4" t="inlineStr">
        <is>
          <t>2/2</t>
        </is>
      </c>
      <c r="C599" s="3" t="inlineStr">
        <is>
          <t>IMPIANTO ELETTRICO</t>
        </is>
      </c>
      <c r="D599" s="4" t="inlineStr">
        <is>
          <t>SPECIALE</t>
        </is>
      </c>
      <c r="E599" s="4" t="inlineStr">
        <is>
          <t>ELETTRICHE SPECIALI</t>
        </is>
      </c>
      <c r="F599" s="3" t="inlineStr">
        <is>
          <t>3_CME IE RADIOFARMACIA PAVIA - REV02 VARIANTE ESECUTIVA.PDF</t>
        </is>
      </c>
      <c r="G599" s="4" t="inlineStr">
        <is>
          <t>7/7</t>
        </is>
      </c>
      <c r="H599" s="3" t="inlineStr">
        <is>
          <t>50 - INSTALLAZIONE</t>
        </is>
      </c>
      <c r="I599" s="3" t="inlineStr">
        <is>
          <t>CABINA DI TRASFORMAZIONE MT/BT</t>
        </is>
      </c>
      <c r="J599" s="3" t="inlineStr">
        <is>
          <t>QUADRI ELETTRICI MT</t>
        </is>
      </c>
      <c r="K599" s="3" t="inlineStr">
        <is>
          <t>SCOMPARTO MODULARE MT ARRIVO LINEA E RISALITA SBARRE CON PROTEZIONE ARCO INTERNO SUI TRE LATI IAC AFL FINO A 12,5 KA PER 1S, ADATTO AD ESSERE AMPLIATO CON ALTRE UNITÀ FUNZIONALI SU ENTRAMBI I LATI; CO</t>
        </is>
      </c>
      <c r="L599" s="3" t="inlineStr">
        <is>
          <t>SCOMPARTO MODULARE MT ARRIVO LINEA E RISALITA SBARRE CON PROTEZIONE ARCO INTERNO SUI TRE LATI IAC AFL FINO A 12,5 KA PER 1S, ADATTO AD ESSERE AMPLIATO CON ALTRE UNITÀ FUNZIONALI SU ENTRAMBI I LATI; COSTRUZIONE E COLLAUDO CONFORME SECONDO LE NORMATIVE VIGENTI; INVOLUCRO CON GRADO PROTEZIONE ESTERNO IP 3X E RESISTENZA ALL'IMPATTO MECCANICO IK 08, IN LAMIERA DI ACCIAIO ZINCATA A CALDO, VERNICIATA ALLE POLVERI EPOSSIDICHE CON STRUTTURA PORTANTE IN LAMIERA D'ACCIAIO DI SPESSORE NON INFERIORE A 20/10; COMPLETA DI BLOCCHI A CHIAVE PER APERTURA/CHIUSURA, INTERBLOCCHI MECCANICI (IN ALTERNATIVA PROCEDURA GUIDATA CON L'UTILIZZO DI APPOSITI ATTREZZI), INDICATORI PRESENZA TENSIONE CON DERIVATORI CAPACITIVI, RESISTENZA ANTICONDENSA CON POTENZA 50 W A 230 V, REGOLATA DA TERMOSTATO E PROTETTA DA INTERRUTTORE, SINOTTICO, SUPPORTI TERMINALI; LE STAFFE ANCORAGGIO CAVI E LO SCHEMA ELETTRICO; SEZIONE CAVI IN INGRESSO FINO A 300 MMQ; TENSIONE NOMINALE 24 KV, TENSIONE DI ESERCIZIO FINO 24 KV, TENSIONE DI PROVA 1 MINUTO 50 KV, TENSIONE DI TENUTA AD IMPULSO 1.2/50 MICRONS 125 KV, CORRENTE NOMINALE SBARRE ED APPARECCHIATURA 630 A - 800 A, CORRENTE DI CORTO CIRCUITO PER UN SECONDO 12,5 - 16 KA, CORRENTE NOMINALE DI PICCO 31,5 - 40 KA; TENSIONE NOMINALE DEGLI AUSILIARI ELETTRICI 230 V 50 HZ; CLASSIFICAZIONE CONTINUITÀ DI ESERCIZIO LSC1; DIMENSIONI INDICATIVE LARGHEZZA 400 MM, ALTEZZA (VANO BT ESCLUSO) 1.600 MM, PROFONDITÀ 1.000 MM: UNITÀ ARRIVO LINEA E RISALITA SBARRE 630 A - 16 KA</t>
        </is>
      </c>
      <c r="M599" s="4" t="inlineStr">
        <is>
          <t>CAD</t>
        </is>
      </c>
      <c r="N599" s="5" t="n">
        <v>1</v>
      </c>
      <c r="O599" s="45" t="n">
        <v>13708.56</v>
      </c>
      <c r="P599" s="45" t="n">
        <v>13708.56</v>
      </c>
      <c r="Q599" s="5" t="n"/>
      <c r="R599" s="6" t="n"/>
      <c r="S599" s="6">
        <f>IF(AND(Q599&lt;&gt;"",R599&lt;&gt;""),Q599*R599,"")</f>
        <v/>
      </c>
      <c r="T599" s="45">
        <f>IF(S599="",P599,S599)</f>
        <v/>
      </c>
      <c r="U599" s="7" t="n">
        <v>0.3</v>
      </c>
      <c r="V599" s="6">
        <f>$T599*U599</f>
        <v/>
      </c>
      <c r="W599" s="7" t="n">
        <v>0.3</v>
      </c>
      <c r="X599" s="6">
        <f>$T599*W599</f>
        <v/>
      </c>
      <c r="Y599" s="7" t="n">
        <v>0</v>
      </c>
      <c r="Z599" s="6">
        <f>$T599*Y599</f>
        <v/>
      </c>
      <c r="AA599" s="7" t="n">
        <v>0</v>
      </c>
      <c r="AB599" s="6">
        <f>$T599*AA599</f>
        <v/>
      </c>
      <c r="AC599" s="7" t="n">
        <v>0</v>
      </c>
      <c r="AD599" s="6">
        <f>$T599*AC599</f>
        <v/>
      </c>
      <c r="AE599" s="7" t="n">
        <v>0</v>
      </c>
      <c r="AF599" s="6">
        <f>$T599*AE599</f>
        <v/>
      </c>
      <c r="AG599" s="7" t="n">
        <v>0</v>
      </c>
      <c r="AH599" s="6">
        <f>$T599*AG599</f>
        <v/>
      </c>
      <c r="AI599" s="7">
        <f>U599+W599+Y599+AA599+AC599+AE599+AG599</f>
        <v/>
      </c>
      <c r="AJ599" s="6">
        <f>V599+X599+Z599+AB599+AD599+AF599+AH599</f>
        <v/>
      </c>
    </row>
    <row r="600" ht="60" customHeight="1" s="46">
      <c r="A600" s="3" t="inlineStr">
        <is>
          <t>DEIELE251_115028B</t>
        </is>
      </c>
      <c r="B600" s="4" t="inlineStr">
        <is>
          <t>1/1</t>
        </is>
      </c>
      <c r="C600" s="3" t="inlineStr">
        <is>
          <t>IMPIANTO ELETTRICO</t>
        </is>
      </c>
      <c r="D600" s="4" t="inlineStr">
        <is>
          <t>SPECIALE</t>
        </is>
      </c>
      <c r="E600" s="4" t="inlineStr">
        <is>
          <t>ELETTRICHE SPECIALI</t>
        </is>
      </c>
      <c r="F600" s="3" t="inlineStr">
        <is>
          <t>3_CME IE RADIOFARMACIA PAVIA - REV02 VARIANTE ESECUTIVA.PDF</t>
        </is>
      </c>
      <c r="G600" s="4" t="inlineStr">
        <is>
          <t>8/8</t>
        </is>
      </c>
      <c r="H600" s="3" t="inlineStr">
        <is>
          <t>50 - INSTALLAZIONE</t>
        </is>
      </c>
      <c r="I600" s="3" t="inlineStr">
        <is>
          <t>CABINA DI TRASFORMAZIONE MT/BT</t>
        </is>
      </c>
      <c r="J600" s="3" t="inlineStr">
        <is>
          <t>QUADRI ELETTRICI MT</t>
        </is>
      </c>
      <c r="K600" s="3" t="inlineStr">
        <is>
          <t>SCOMPARTO MODULARE MT PER MISURE TENSIONE DI SBARRA, CON SEZIONATORE E SEZIONATORE DI MESSA A TERRA IN SF6, TV, FUSIBILI MT, COSTRUZIONE E COLLAUDO CONFORMI ALLE NORME CEI EN 62271-200, CEI EN 62271-1</t>
        </is>
      </c>
      <c r="L600" s="3" t="inlineStr">
        <is>
          <t>SCOMPARTO MODULARE MT PER MISURE TENSIONE DI SBARRA, CON SEZIONATORE E SEZIONATORE DI MESSA A TERRA IN SF6, TV, FUSIBILI MT, COSTRUZIONE E COLLAUDO CONFORMI ALLE NORME CEI EN 62271-200, CEI EN 62271-100, E ALLA NORMA CEI EN 60068-3-3 PER RESISTENZA AL RISCHIO SISMICO FINO A CLASSE 2, GRADO PROTEZIONE INVOLUCRO ESTERNO IP 3X E RESISTENZA ALL'IMPATTO MECCANICO IK 08, IN LAMIERA ZINCATA A CALDO, VERNICIATA ALLE POLVERI EPOSSIDICHE CON STRUTTURA PORTANTE IN LAMIERA D'ACCIAIO DI SPESSORE NON INFERIORE A 20/10, PROTEZIONE ARCO INTERNO SUI TRE LATI IAC AFL FINO A 12,5 KA PER 1S, ADATTA AD ESSERE AMPLIATA CON ALTRE UNITÀ FUNZIONALI SU ENTRAMBI I LATI; SEZIONATORE ROTATIVO A TRE POSIZIONI (CHIUSO, APERTO E MESSO A TERRA), CON OBLÒ PER LA VISIBILITÀ DIRETTA DEL SEZIONAMENTO, ISOLATO IN SF6 DEL TIPO "SISTEMA A PRESSIONE SIGILLATO A VITA", BLOCCO A CHIAVE SUL SEZIONATORE DI MESSA A TERRA CHIAVE LIBERA IN POSIZIONE DI CHIUSO, CONTATTI AUSILIARI, CONTATTO DI SEGNALAZIONE FUSIONE FUSIBILE, TRASFORMATORI VOLTMETRICI CON ISOLAMENTO IN RESINA EPOSSIDICA E RESISTENZA ANTIFERRORISONANZA CABLATA (RAPPORTO DA DEFINIRSI), 3 FUSIBILI MT 24 KV 6,3 A, COMPLETO DI INTERBLOCCHI MECCANICI E A CHIAVE PER IMPEDIRE MANOVRE ERRATE, SINOTTICO, RESISTENZA ANTICONDENSA CON POTENZA 50 W A 230 V, REGOLATA DA TERMOSTATO E PROTETTA DA INTERRUTTORE; TENSIONE NOMINALE 24 KV , TENSIONE DI ESERCIZIO FINO A 24 KV, TENSIONE DI PROVA 1 MINUTO 50 KV, TENSIONE DI TENUTA AD IMPULSO 1.2/50 MICRONS 125 KV; CORRENTE DI CORTO CIRCUITO PER UN SECONDO 12,5 - 16 KA, CORRENTE NOMINALE DI PICCO 31,5 - 40 KA, TENSIONE NOMINALE DEGLI AUSILIARI ELETTRICI 230 V 50 HZ, CLASSIFICAZIONE CONTINUITÀ DI ESERCIZIO LSC2A PI, DIMENSIONI INDICATIVE LARGHEZZA 400 MM, ALTEZZA (VANO BT ESCLUSO) 1.600 MM, PROFONDITÀ 1.000 MM: UNITÀ MISURE DI SBARRA 3 TV CON COLLEGAMENTO FASE-TERRA, IN 630 A 16 KA</t>
        </is>
      </c>
      <c r="M600" s="4" t="inlineStr">
        <is>
          <t>CAD</t>
        </is>
      </c>
      <c r="N600" s="5" t="n">
        <v>1</v>
      </c>
      <c r="O600" s="45" t="n">
        <v>6937.29</v>
      </c>
      <c r="P600" s="45" t="n">
        <v>6937.29</v>
      </c>
      <c r="Q600" s="5" t="n"/>
      <c r="R600" s="6" t="n"/>
      <c r="S600" s="6">
        <f>IF(AND(Q600&lt;&gt;"",R600&lt;&gt;""),Q600*R600,"")</f>
        <v/>
      </c>
      <c r="T600" s="45">
        <f>IF(S600="",P600,S600)</f>
        <v/>
      </c>
      <c r="U600" s="7" t="n">
        <v>0.3</v>
      </c>
      <c r="V600" s="6">
        <f>$T600*U600</f>
        <v/>
      </c>
      <c r="W600" s="7" t="n">
        <v>0.3</v>
      </c>
      <c r="X600" s="6">
        <f>$T600*W600</f>
        <v/>
      </c>
      <c r="Y600" s="7" t="n">
        <v>0</v>
      </c>
      <c r="Z600" s="6">
        <f>$T600*Y600</f>
        <v/>
      </c>
      <c r="AA600" s="7" t="n">
        <v>0</v>
      </c>
      <c r="AB600" s="6">
        <f>$T600*AA600</f>
        <v/>
      </c>
      <c r="AC600" s="7" t="n">
        <v>0</v>
      </c>
      <c r="AD600" s="6">
        <f>$T600*AC600</f>
        <v/>
      </c>
      <c r="AE600" s="7" t="n">
        <v>0</v>
      </c>
      <c r="AF600" s="6">
        <f>$T600*AE600</f>
        <v/>
      </c>
      <c r="AG600" s="7" t="n">
        <v>0</v>
      </c>
      <c r="AH600" s="6">
        <f>$T600*AG600</f>
        <v/>
      </c>
      <c r="AI600" s="7">
        <f>U600+W600+Y600+AA600+AC600+AE600+AG600</f>
        <v/>
      </c>
      <c r="AJ600" s="6">
        <f>V600+X600+Z600+AB600+AD600+AF600+AH600</f>
        <v/>
      </c>
    </row>
    <row r="601" ht="60" customHeight="1" s="46">
      <c r="A601" s="3" t="inlineStr">
        <is>
          <t>DEIELE251_115021D</t>
        </is>
      </c>
      <c r="B601" s="4" t="inlineStr">
        <is>
          <t>2/2</t>
        </is>
      </c>
      <c r="C601" s="3" t="inlineStr">
        <is>
          <t>IMPIANTO ELETTRICO</t>
        </is>
      </c>
      <c r="D601" s="4" t="inlineStr">
        <is>
          <t>SPECIALE</t>
        </is>
      </c>
      <c r="E601" s="4" t="inlineStr">
        <is>
          <t>ELETTRICHE SPECIALI</t>
        </is>
      </c>
      <c r="F601" s="3" t="inlineStr">
        <is>
          <t>3_CME IE RADIOFARMACIA PAVIA - REV02 VARIANTE ESECUTIVA.PDF</t>
        </is>
      </c>
      <c r="G601" s="4" t="inlineStr">
        <is>
          <t>9/9</t>
        </is>
      </c>
      <c r="H601" s="3" t="inlineStr">
        <is>
          <t>50 - INSTALLAZIONE</t>
        </is>
      </c>
      <c r="I601" s="3" t="inlineStr">
        <is>
          <t>CABINA DI TRASFORMAZIONE MT/BT</t>
        </is>
      </c>
      <c r="J601" s="3" t="inlineStr">
        <is>
          <t>QUADRI ELETTRICI MT</t>
        </is>
      </c>
      <c r="K601" s="3" t="inlineStr">
        <is>
          <t>SCOMPARTO MODULARE MT PER PROTEZIONE CON INTERRUTTORE PER PARTENZA LINEA, UNITÀ FUNZIONALE DI PROTEZIONE CON INTERRUTTORE IN SF6 E SEZIONATORE DI MESSA A TERRA, TA OMOPOLARE E RELÈ DI PROTEZIONE, ALIM</t>
        </is>
      </c>
      <c r="L601" s="3" t="inlineStr">
        <is>
          <t>SCOMPARTO MODULARE MT PER PROTEZIONE CON INTERRUTTORE PER PARTENZA LINEA, UNITÀ FUNZIONALE DI PROTEZIONE CON INTERRUTTORE IN SF6 E SEZIONATORE DI MESSA A TERRA, TA OMOPOLARE E RELÈ DI PROTEZIONE, ALIMENTAZIONE IN SBARRA ED USCITA CAVI MT NELLA PARTE INFERIORE; PROTEZIONE ARCO INTERNO SUI TRE LATI IAC AFL FINO A 12,5 KA PER 1S, ADATTO AD ESSERE AMPLIATO CON ALTRE UNITÀ FUNZIONALI SU ENTRAMBI I LATI; COSTRUZIONE E COLLAUDO CONFORMI ALLE NORME CEI EN 62271-200, CEI EN 60068-3-3 PER RESISTENZA AL RISCHIO SISMICO FINO A CLASSE 2; INVOLUCRO CON GRADO PROTEZIONE ESTERNO IP 3X E RESISTENZA ALL'IMPATTO MECCANICO IK 08, IN LAMIERA DI ACCIAIO ZINCATA A CALDO, VERNICIATA ALLE POLVERI EPOSSIDICHE CON STRUTTURA PORTANTE IN LAMIERA D'ACCIAIO DI SPESSORE NON INFERIORE A 20/10; INTERRUTTORE ISOLATO IN SF6 CON POLO IN PRESSIONE DEL TIPO "SIGILLATO A VITA", CLASSIFICAZIONE INTERRUTTORE SECONDO CEI EN 62271-100 M2, E2, C2, BLOCCO CHIAVE SU INTERRUTTORE, CHIAVE LIBERA IN POSIZIONE D'APERTO, BLOCCO A CHIAVE SU SEZIONATORE DI TERRA CHIAVE LIBERA IN POSIZIONE DI CHIUSO, COMPLETA DI INTERBLOCCHI MECCANICI E A CHIAVE PER IMPEDIRE ERRATE MANOVRE, SGANCIATORE DI APERTURA A LANCIO DI CORRENTE, COMANDO MANUALE, CONTATTI AUSILIARI, CONTAMANOVRE, SEZIONATORE ROTATIVO A TRE POSIZIONI (CHIUSO, APERTO E MESSO A TERRA), CON OBLÒ PER LA VISIBILITÀ DIRETTA DEL SEZIONAMENTO, ISOLATO IN SF6 DEL TIPO "SISTEMA A PRESSIONE SIGILLATO A VITA", BLOCCHI A CHIAVE SU SEZIONATORE CHIAVE LIBERA IN POSIZIONE DI APERTO E CHIUSO, BLOCCHI A CHIAVE SU SEZIONATORE DI TERRA CHIAVE LIBERA IN POSIZIONE DI APERTO E CHIUSO, SEZIONATORE DI MESSA A TERRA A VALLE DELL'INTERRUTTORE ISOLATO IN ARIA, 3 TRASFORMATORI AMPEROMETRICI TOROIDALI MULTI-RANGE FINO A 630 A O A BARRA PASSANTE CON ISOLAMENTO IN RESINA EPOSSIDICA, 1 TRASFORMATORE AMPEROMETRICO TOROIDALE OMOPOLARE, 1 RELÈ PER PROTEZIONE E MISURA, SU APPOSITO PANNELLO B.T. FORNITO DI DISPLAY LCD GRAFICO, CON PROTEZIONI I&gt;, I&gt;&gt;, I&gt;&gt;&gt;, IO&gt;, IO&gt;&gt; E MISURA DELLE CORRENTI DI FASE I1, I2, I3 RMS, CORRENTE RESIDUA IO, VALORI MEDI E MASSIMI, MEMORIZZAZIONE DEI VALORI DELLE CORRENTI DI FASE ED OMOPOLARE PRIMA DI UN INTERVENTO SU GUASTO ELETTRICO, RELÈ DI PROTEZIONE CON FUNZIONE DI SISTEMA DI PROTEZIONE GENERALE (SPG) CONFORME NORMA CONFORME SECONDO LE NORMATIVE VIGENTI, SUPERVISIONE PROTEZIONE TRAMITE COLLEGAMENTO MODBUS; SEZIONE CAVI MT ISOLATI IN GOMMA DI SEZIONE MASSIMA 240 MMQ; INDICATORI PRESENZA TENSIONE CON DERIVATORI CAPACITIVI, SINOTTICO, RESISTENZA ANTICONDENSA CON POTENZA 50 W A 230 V, REGOLATA DA TERMOSTATO E PROTETTA DA INTERRUTTORE, CONTATTI AUSILIARI, SGANCIATORE DI APERTURA A LANCIO DI CORRENTE, CONTAMANOVRE, TENSIONE NOMINALE 24 KV, TENSIONE DI ESERCIZIO FINO A 24 KV, TENSIONE DI PROVA 1 MINUTO 50 KV, TENSIONE DI TENUTA AD IMPULSO 1.2/50 MICRONS 125 KV; CORRENTE DI CORTO CIRCUITO PER UN SECONDO 12,5 - 16 KA, CORRENTE NOMINALE DI PICCO 31,5 - 40 KA, TENSIONE NOMINALE DEGLI AUSILIARI ELETTRICI 230 V 50 HZ, CLASSIFICAZIONE CONTINUITÀ DI ESERCIZIO LSC2A PI, DIMENSIONI INDICATIVE LARGHEZZA 750 MM, ALTEZZA (VANO BT ESCLUSO) 1.600 MM, PROFONDITÀ 1.300 MM: UNITÀ INTERRUTTORE PARTENZA LINEA 630 A - 16 KA CON PROTEZIONI DI FASE E DI TERRA (FUNZIONI 50-51-51N-67N)</t>
        </is>
      </c>
      <c r="M601" s="4" t="inlineStr">
        <is>
          <t>CAD</t>
        </is>
      </c>
      <c r="N601" s="5" t="n">
        <v>1</v>
      </c>
      <c r="O601" s="45" t="n">
        <v>13708.56</v>
      </c>
      <c r="P601" s="45" t="n">
        <v>13708.56</v>
      </c>
      <c r="Q601" s="5" t="n"/>
      <c r="R601" s="6" t="n"/>
      <c r="S601" s="6">
        <f>IF(AND(Q601&lt;&gt;"",R601&lt;&gt;""),Q601*R601,"")</f>
        <v/>
      </c>
      <c r="T601" s="45">
        <f>IF(S601="",P601,S601)</f>
        <v/>
      </c>
      <c r="U601" s="7" t="n">
        <v>0.3</v>
      </c>
      <c r="V601" s="6">
        <f>$T601*U601</f>
        <v/>
      </c>
      <c r="W601" s="7" t="n">
        <v>0.3</v>
      </c>
      <c r="X601" s="6">
        <f>$T601*W601</f>
        <v/>
      </c>
      <c r="Y601" s="7" t="n">
        <v>0</v>
      </c>
      <c r="Z601" s="6">
        <f>$T601*Y601</f>
        <v/>
      </c>
      <c r="AA601" s="7" t="n">
        <v>0</v>
      </c>
      <c r="AB601" s="6">
        <f>$T601*AA601</f>
        <v/>
      </c>
      <c r="AC601" s="7" t="n">
        <v>0</v>
      </c>
      <c r="AD601" s="6">
        <f>$T601*AC601</f>
        <v/>
      </c>
      <c r="AE601" s="7" t="n">
        <v>0</v>
      </c>
      <c r="AF601" s="6">
        <f>$T601*AE601</f>
        <v/>
      </c>
      <c r="AG601" s="7" t="n">
        <v>0</v>
      </c>
      <c r="AH601" s="6">
        <f>$T601*AG601</f>
        <v/>
      </c>
      <c r="AI601" s="7">
        <f>U601+W601+Y601+AA601+AC601+AE601+AG601</f>
        <v/>
      </c>
      <c r="AJ601" s="6">
        <f>V601+X601+Z601+AB601+AD601+AF601+AH601</f>
        <v/>
      </c>
    </row>
    <row r="602" hidden="1" ht="54" customHeight="1" s="46">
      <c r="A602" s="3" t="inlineStr">
        <is>
          <t>DEIELE251_115004I</t>
        </is>
      </c>
      <c r="B602" s="4" t="inlineStr">
        <is>
          <t>1/1</t>
        </is>
      </c>
      <c r="C602" s="3" t="inlineStr">
        <is>
          <t>IMPIANTO ELETTRICO</t>
        </is>
      </c>
      <c r="D602" s="4" t="inlineStr">
        <is>
          <t>SPECIALE</t>
        </is>
      </c>
      <c r="E602" s="4" t="inlineStr">
        <is>
          <t>ELETTRICHE SPECIALI</t>
        </is>
      </c>
      <c r="F602" s="3" t="inlineStr">
        <is>
          <t>3_CME IE RADIOFARMACIA PAVIA - REV02 VARIANTE ESECUTIVA.PDF</t>
        </is>
      </c>
      <c r="G602" s="4" t="inlineStr">
        <is>
          <t>10/10</t>
        </is>
      </c>
      <c r="H602" s="3" t="inlineStr">
        <is>
          <t>50 - INSTALLAZIONE</t>
        </is>
      </c>
      <c r="I602" s="3" t="inlineStr">
        <is>
          <t>CABINA DI TRASFORMAZIONE MT/BT</t>
        </is>
      </c>
      <c r="J602" s="3" t="inlineStr">
        <is>
          <t>QUADRI ELETTRICI MT</t>
        </is>
      </c>
      <c r="K602" s="3" t="inlineStr">
        <is>
          <t>TRASFORMATORE TRIFASE IN RESINA, CLASSE F TENSIONE SECONDARIA 400/230 V, MORSETTI DI REGOLAZIONE ± 2 X 2,5%, ESECUZIONE CONFORME SECONDO LE NORMATIVE VIGENTI: TENSIONE PRIMARIA 17.5 KV: POTENZA 630 KV</t>
        </is>
      </c>
      <c r="L602" s="3" t="inlineStr">
        <is>
          <t>TRASFORMATORE TRIFASE IN RESINA, CLASSE F TENSIONE SECONDARIA 400/230 V, MORSETTI DI REGOLAZIONE ± 2 X 2,5%, ESECUZIONE CONFORME SECONDO LE NORMATIVE VIGENTI: TENSIONE PRIMARIA 17.5 KV: POTENZA 630 KVA</t>
        </is>
      </c>
      <c r="M602" s="4" t="inlineStr">
        <is>
          <t>CAD</t>
        </is>
      </c>
      <c r="N602" s="5" t="n">
        <v>1</v>
      </c>
      <c r="O602" s="45" t="n">
        <v>20159.65</v>
      </c>
      <c r="P602" s="45" t="n">
        <v>20159.65</v>
      </c>
      <c r="Q602" s="5" t="n"/>
      <c r="R602" s="6" t="n"/>
      <c r="S602" s="6">
        <f>IF(AND(Q602&lt;&gt;"",R602&lt;&gt;""),Q602*R602,"")</f>
        <v/>
      </c>
      <c r="T602" s="45">
        <f>IF(S602="",P602,S602)</f>
        <v/>
      </c>
      <c r="U602" s="7" t="n">
        <v>0.6</v>
      </c>
      <c r="V602" s="6">
        <f>$T602*U602</f>
        <v/>
      </c>
      <c r="W602" s="7" t="n">
        <v>0</v>
      </c>
      <c r="X602" s="6">
        <f>$T602*W602</f>
        <v/>
      </c>
      <c r="Y602" s="7" t="n">
        <v>0</v>
      </c>
      <c r="Z602" s="6">
        <f>$T602*Y602</f>
        <v/>
      </c>
      <c r="AA602" s="7" t="n">
        <v>0</v>
      </c>
      <c r="AB602" s="6">
        <f>$T602*AA602</f>
        <v/>
      </c>
      <c r="AC602" s="7" t="n">
        <v>0</v>
      </c>
      <c r="AD602" s="6">
        <f>$T602*AC602</f>
        <v/>
      </c>
      <c r="AE602" s="7" t="n">
        <v>0</v>
      </c>
      <c r="AF602" s="6">
        <f>$T602*AE602</f>
        <v/>
      </c>
      <c r="AG602" s="7" t="n">
        <v>0</v>
      </c>
      <c r="AH602" s="6">
        <f>$T602*AG602</f>
        <v/>
      </c>
      <c r="AI602" s="7">
        <f>U602+W602+Y602+AA602+AC602+AE602+AG602</f>
        <v/>
      </c>
      <c r="AJ602" s="6">
        <f>V602+X602+Z602+AB602+AD602+AF602+AH602</f>
        <v/>
      </c>
    </row>
    <row r="603" hidden="1" ht="30" customHeight="1" s="46">
      <c r="A603" s="3" t="inlineStr">
        <is>
          <t>DEIELE251_115006D</t>
        </is>
      </c>
      <c r="B603" s="4" t="inlineStr">
        <is>
          <t>1/1</t>
        </is>
      </c>
      <c r="C603" s="3" t="inlineStr">
        <is>
          <t>IMPIANTO ELETTRICO</t>
        </is>
      </c>
      <c r="D603" s="4" t="inlineStr">
        <is>
          <t>SPECIALE</t>
        </is>
      </c>
      <c r="E603" s="4" t="inlineStr">
        <is>
          <t>ELETTRICHE SPECIALI</t>
        </is>
      </c>
      <c r="F603" s="3" t="inlineStr">
        <is>
          <t>3_CME IE RADIOFARMACIA PAVIA - REV02 VARIANTE ESECUTIVA.PDF</t>
        </is>
      </c>
      <c r="G603" s="4" t="inlineStr">
        <is>
          <t>11/11</t>
        </is>
      </c>
      <c r="H603" s="3" t="inlineStr">
        <is>
          <t>50 - INSTALLAZIONE</t>
        </is>
      </c>
      <c r="I603" s="3" t="inlineStr">
        <is>
          <t>CABINA DI TRASFORMAZIONE MT/BT</t>
        </is>
      </c>
      <c r="J603" s="3" t="inlineStr">
        <is>
          <t>QUADRI ELETTRICI MT</t>
        </is>
      </c>
      <c r="K603" s="3" t="inlineStr">
        <is>
          <t>ACCESSORI PER TRASFORMATORI: CENTRALINA TERMOMETRICA DIGITALE CON ESCLUSIONE DELLE RESISTENZE</t>
        </is>
      </c>
      <c r="L603" s="3" t="inlineStr">
        <is>
          <t>ACCESSORI PER TRASFORMATORI: CENTRALINA TERMOMETRICA DIGITALE CON ESCLUSIONE DELLE RESISTENZE</t>
        </is>
      </c>
      <c r="M603" s="4" t="inlineStr">
        <is>
          <t>CAD</t>
        </is>
      </c>
      <c r="N603" s="5" t="n">
        <v>1</v>
      </c>
      <c r="O603" s="45" t="n">
        <v>219.38</v>
      </c>
      <c r="P603" s="45" t="n">
        <v>219.38</v>
      </c>
      <c r="Q603" s="5" t="n"/>
      <c r="R603" s="6" t="n"/>
      <c r="S603" s="6">
        <f>IF(AND(Q603&lt;&gt;"",R603&lt;&gt;""),Q603*R603,"")</f>
        <v/>
      </c>
      <c r="T603" s="45">
        <f>IF(S603="",P603,S603)</f>
        <v/>
      </c>
      <c r="U603" s="7" t="n">
        <v>0.6</v>
      </c>
      <c r="V603" s="6">
        <f>$T603*U603</f>
        <v/>
      </c>
      <c r="W603" s="7" t="n">
        <v>0</v>
      </c>
      <c r="X603" s="6">
        <f>$T603*W603</f>
        <v/>
      </c>
      <c r="Y603" s="7" t="n">
        <v>0</v>
      </c>
      <c r="Z603" s="6">
        <f>$T603*Y603</f>
        <v/>
      </c>
      <c r="AA603" s="7" t="n">
        <v>0</v>
      </c>
      <c r="AB603" s="6">
        <f>$T603*AA603</f>
        <v/>
      </c>
      <c r="AC603" s="7" t="n">
        <v>0</v>
      </c>
      <c r="AD603" s="6">
        <f>$T603*AC603</f>
        <v/>
      </c>
      <c r="AE603" s="7" t="n">
        <v>0</v>
      </c>
      <c r="AF603" s="6">
        <f>$T603*AE603</f>
        <v/>
      </c>
      <c r="AG603" s="7" t="n">
        <v>0</v>
      </c>
      <c r="AH603" s="6">
        <f>$T603*AG603</f>
        <v/>
      </c>
      <c r="AI603" s="7">
        <f>U603+W603+Y603+AA603+AC603+AE603+AG603</f>
        <v/>
      </c>
      <c r="AJ603" s="6">
        <f>V603+X603+Z603+AB603+AD603+AF603+AH603</f>
        <v/>
      </c>
    </row>
    <row r="604" hidden="1" ht="30" customHeight="1" s="46">
      <c r="A604" s="3" t="inlineStr">
        <is>
          <t>DEIELE251_115006E</t>
        </is>
      </c>
      <c r="B604" s="4" t="inlineStr">
        <is>
          <t>1/1</t>
        </is>
      </c>
      <c r="C604" s="3" t="inlineStr">
        <is>
          <t>IMPIANTO ELETTRICO</t>
        </is>
      </c>
      <c r="D604" s="4" t="inlineStr">
        <is>
          <t>SPECIALE</t>
        </is>
      </c>
      <c r="E604" s="4" t="inlineStr">
        <is>
          <t>ELETTRICHE SPECIALI</t>
        </is>
      </c>
      <c r="F604" s="3" t="inlineStr">
        <is>
          <t>3_CME IE RADIOFARMACIA PAVIA - REV02 VARIANTE ESECUTIVA.PDF</t>
        </is>
      </c>
      <c r="G604" s="4" t="inlineStr">
        <is>
          <t>12/12</t>
        </is>
      </c>
      <c r="H604" s="3" t="inlineStr">
        <is>
          <t>50 - INSTALLAZIONE</t>
        </is>
      </c>
      <c r="I604" s="3" t="inlineStr">
        <is>
          <t>CABINA DI TRASFORMAZIONE MT/BT</t>
        </is>
      </c>
      <c r="J604" s="3" t="inlineStr">
        <is>
          <t>QUADRI ELETTRICI MT</t>
        </is>
      </c>
      <c r="K604" s="3" t="inlineStr">
        <is>
          <t>ACCESSORI PER TRASFORMATORI: TERNA DI TERMORESISTENZE DA 100 OHM</t>
        </is>
      </c>
      <c r="L604" s="3" t="inlineStr">
        <is>
          <t>ACCESSORI PER TRASFORMATORI: TERNA DI TERMORESISTENZE DA 100 OHM</t>
        </is>
      </c>
      <c r="M604" s="4" t="inlineStr">
        <is>
          <t>CAD</t>
        </is>
      </c>
      <c r="N604" s="5" t="n">
        <v>1</v>
      </c>
      <c r="O604" s="45" t="n">
        <v>278.68</v>
      </c>
      <c r="P604" s="45" t="n">
        <v>278.68</v>
      </c>
      <c r="Q604" s="5" t="n"/>
      <c r="R604" s="6" t="n"/>
      <c r="S604" s="6">
        <f>IF(AND(Q604&lt;&gt;"",R604&lt;&gt;""),Q604*R604,"")</f>
        <v/>
      </c>
      <c r="T604" s="45">
        <f>IF(S604="",P604,S604)</f>
        <v/>
      </c>
      <c r="U604" s="7" t="n">
        <v>0.6</v>
      </c>
      <c r="V604" s="6">
        <f>$T604*U604</f>
        <v/>
      </c>
      <c r="W604" s="7" t="n">
        <v>0</v>
      </c>
      <c r="X604" s="6">
        <f>$T604*W604</f>
        <v/>
      </c>
      <c r="Y604" s="7" t="n">
        <v>0</v>
      </c>
      <c r="Z604" s="6">
        <f>$T604*Y604</f>
        <v/>
      </c>
      <c r="AA604" s="7" t="n">
        <v>0</v>
      </c>
      <c r="AB604" s="6">
        <f>$T604*AA604</f>
        <v/>
      </c>
      <c r="AC604" s="7" t="n">
        <v>0</v>
      </c>
      <c r="AD604" s="6">
        <f>$T604*AC604</f>
        <v/>
      </c>
      <c r="AE604" s="7" t="n">
        <v>0</v>
      </c>
      <c r="AF604" s="6">
        <f>$T604*AE604</f>
        <v/>
      </c>
      <c r="AG604" s="7" t="n">
        <v>0</v>
      </c>
      <c r="AH604" s="6">
        <f>$T604*AG604</f>
        <v/>
      </c>
      <c r="AI604" s="7">
        <f>U604+W604+Y604+AA604+AC604+AE604+AG604</f>
        <v/>
      </c>
      <c r="AJ604" s="6">
        <f>V604+X604+Z604+AB604+AD604+AF604+AH604</f>
        <v/>
      </c>
    </row>
    <row r="605" hidden="1" ht="60" customHeight="1" s="46">
      <c r="A605" s="3" t="inlineStr">
        <is>
          <t>IE_NP_BOXTRAFO</t>
        </is>
      </c>
      <c r="B605" s="4" t="inlineStr">
        <is>
          <t>1/1</t>
        </is>
      </c>
      <c r="C605" s="3" t="inlineStr">
        <is>
          <t>IMPIANTO ELETTRICO</t>
        </is>
      </c>
      <c r="D605" s="4" t="inlineStr">
        <is>
          <t>SPECIALE</t>
        </is>
      </c>
      <c r="E605" s="4" t="inlineStr">
        <is>
          <t>ELETTRICHE SPECIALI</t>
        </is>
      </c>
      <c r="F605" s="3" t="inlineStr">
        <is>
          <t>3_CME IE RADIOFARMACIA PAVIA - REV02 VARIANTE ESECUTIVA.PDF</t>
        </is>
      </c>
      <c r="G605" s="4" t="inlineStr">
        <is>
          <t>13/13</t>
        </is>
      </c>
      <c r="H605" s="3" t="inlineStr">
        <is>
          <t>50 - INSTALLAZIONE</t>
        </is>
      </c>
      <c r="I605" s="3" t="inlineStr">
        <is>
          <t>CABINA DI TRASFORMAZIONE MT/BT</t>
        </is>
      </c>
      <c r="J605" s="3" t="inlineStr">
        <is>
          <t>QUADRI ELETTRICI MT</t>
        </is>
      </c>
      <c r="K605" s="3" t="inlineStr">
        <is>
          <t>FORNITURA E POSA IN OPERA DI INVOLUCRO DI CONTENIMENTO PER TRASFORMATORE MT/BT 15 KV, GRADO DI PROTEZIONE IP23, COSTITUITO DA PROFILATI IN ACCIAIO E LAMIERE LUCIDE VERNICIATE DOPO OPPORTUNO TRATTAMENT</t>
        </is>
      </c>
      <c r="L605" s="3" t="inlineStr">
        <is>
          <t>FORNITURA E POSA IN OPERA DI INVOLUCRO DI CONTENIMENTO PER TRASFORMATORE MT/BT 15 KV, GRADO DI PROTEZIONE IP23, COSTITUITO DA PROFILATI IN ACCIAIO E LAMIERE LUCIDE VERNICIATE DOPO OPPORTUNO TRATTAMENTO ANTIRUGGINE, PER TRASFORMATORI DELLE SEGUENTI TAGLIE: - DA 315 KVA A 1250 KVA</t>
        </is>
      </c>
      <c r="M605" s="4" t="inlineStr">
        <is>
          <t>A CORPO</t>
        </is>
      </c>
      <c r="N605" s="5" t="n">
        <v>1</v>
      </c>
      <c r="O605" s="45" t="n">
        <v>2383.58</v>
      </c>
      <c r="P605" s="45" t="n">
        <v>2383.58</v>
      </c>
      <c r="Q605" s="5" t="n"/>
      <c r="R605" s="6" t="n"/>
      <c r="S605" s="6">
        <f>IF(AND(Q605&lt;&gt;"",R605&lt;&gt;""),Q605*R605,"")</f>
        <v/>
      </c>
      <c r="T605" s="45">
        <f>IF(S605="",P605,S605)</f>
        <v/>
      </c>
      <c r="U605" s="7" t="n">
        <v>0.6</v>
      </c>
      <c r="V605" s="6">
        <f>$T605*U605</f>
        <v/>
      </c>
      <c r="W605" s="7" t="n">
        <v>0</v>
      </c>
      <c r="X605" s="6">
        <f>$T605*W605</f>
        <v/>
      </c>
      <c r="Y605" s="7" t="n">
        <v>0</v>
      </c>
      <c r="Z605" s="6">
        <f>$T605*Y605</f>
        <v/>
      </c>
      <c r="AA605" s="7" t="n">
        <v>0</v>
      </c>
      <c r="AB605" s="6">
        <f>$T605*AA605</f>
        <v/>
      </c>
      <c r="AC605" s="7" t="n">
        <v>0</v>
      </c>
      <c r="AD605" s="6">
        <f>$T605*AC605</f>
        <v/>
      </c>
      <c r="AE605" s="7" t="n">
        <v>0</v>
      </c>
      <c r="AF605" s="6">
        <f>$T605*AE605</f>
        <v/>
      </c>
      <c r="AG605" s="7" t="n">
        <v>0</v>
      </c>
      <c r="AH605" s="6">
        <f>$T605*AG605</f>
        <v/>
      </c>
      <c r="AI605" s="7">
        <f>U605+W605+Y605+AA605+AC605+AE605+AG605</f>
        <v/>
      </c>
      <c r="AJ605" s="6">
        <f>V605+X605+Z605+AB605+AD605+AF605+AH605</f>
        <v/>
      </c>
    </row>
    <row r="606" ht="60" customHeight="1" s="46">
      <c r="A606" s="3" t="inlineStr">
        <is>
          <t>IE_NP_QGBT</t>
        </is>
      </c>
      <c r="B606" s="4" t="inlineStr">
        <is>
          <t>1/1</t>
        </is>
      </c>
      <c r="C606" s="3" t="inlineStr">
        <is>
          <t>IMPIANTO ELETTRICO</t>
        </is>
      </c>
      <c r="D606" s="4" t="inlineStr">
        <is>
          <t>SPECIALE</t>
        </is>
      </c>
      <c r="E606" s="4" t="inlineStr">
        <is>
          <t>ELETTRICHE SPECIALI</t>
        </is>
      </c>
      <c r="F606" s="3" t="inlineStr">
        <is>
          <t>3_CME IE RADIOFARMACIA PAVIA - REV02 VARIANTE ESECUTIVA.PDF</t>
        </is>
      </c>
      <c r="G606" s="4" t="inlineStr">
        <is>
          <t>19/19</t>
        </is>
      </c>
      <c r="H606" s="3" t="inlineStr">
        <is>
          <t>50 - INSTALLAZIONE</t>
        </is>
      </c>
      <c r="I606" s="3" t="inlineStr">
        <is>
          <t>CABINA BT</t>
        </is>
      </c>
      <c r="J606" s="3" t="inlineStr">
        <is>
          <t>QUADRI ELETTRICI BT E UPS</t>
        </is>
      </c>
      <c r="K606" s="3" t="inlineStr">
        <is>
          <t>FORNITURA E POSA IN OPERA DI QUADRO ELETTRICO GENERALE DI BASSA TENSIONE QGBT COSTITUITO DA ARMADIO METALLICO DA PAVIMENTO, CON GRADO DI PROTEZIONE IP42 (SECONDO IEC 60529), COLORE RAL 7035,  STRUTTUR</t>
        </is>
      </c>
      <c r="L606" s="3" t="inlineStr">
        <is>
          <t>FORNITURA E POSA IN OPERA DI QUADRO ELETTRICO GENERALE DI BASSA TENSIONE QGBT COSTITUITO DA ARMADIO METALLICO DA 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606" s="4" t="inlineStr">
        <is>
          <t>A CORPO</t>
        </is>
      </c>
      <c r="N606" s="5" t="n">
        <v>1</v>
      </c>
      <c r="O606" s="45" t="n">
        <v>35220.09</v>
      </c>
      <c r="P606" s="45" t="n">
        <v>35220.09</v>
      </c>
      <c r="Q606" s="5" t="n"/>
      <c r="R606" s="6" t="n"/>
      <c r="S606" s="6">
        <f>IF(AND(Q606&lt;&gt;"",R606&lt;&gt;""),Q606*R606,"")</f>
        <v/>
      </c>
      <c r="T606" s="45">
        <f>IF(S606="",P606,S606)</f>
        <v/>
      </c>
      <c r="U606" s="7" t="n">
        <v>0.5</v>
      </c>
      <c r="V606" s="6">
        <f>$T606*U606</f>
        <v/>
      </c>
      <c r="W606" s="7" t="n">
        <v>0.1</v>
      </c>
      <c r="X606" s="6">
        <f>$T606*W606</f>
        <v/>
      </c>
      <c r="Y606" s="7" t="n">
        <v>0</v>
      </c>
      <c r="Z606" s="6">
        <f>$T606*Y606</f>
        <v/>
      </c>
      <c r="AA606" s="7" t="n">
        <v>0</v>
      </c>
      <c r="AB606" s="6">
        <f>$T606*AA606</f>
        <v/>
      </c>
      <c r="AC606" s="7" t="n">
        <v>0</v>
      </c>
      <c r="AD606" s="6">
        <f>$T606*AC606</f>
        <v/>
      </c>
      <c r="AE606" s="7" t="n">
        <v>0</v>
      </c>
      <c r="AF606" s="6">
        <f>$T606*AE606</f>
        <v/>
      </c>
      <c r="AG606" s="7" t="n">
        <v>0</v>
      </c>
      <c r="AH606" s="6">
        <f>$T606*AG606</f>
        <v/>
      </c>
      <c r="AI606" s="7">
        <f>U606+W606+Y606+AA606+AC606+AE606+AG606</f>
        <v/>
      </c>
      <c r="AJ606" s="6">
        <f>V606+X606+Z606+AB606+AD606+AF606+AH606</f>
        <v/>
      </c>
    </row>
    <row r="607" ht="60" customHeight="1" s="46">
      <c r="A607" s="3" t="inlineStr">
        <is>
          <t>LOM252.OC.EEA.PA01.G6010.ZA001.0300</t>
        </is>
      </c>
      <c r="B607" s="4" t="inlineStr">
        <is>
          <t>2/2</t>
        </is>
      </c>
      <c r="C607" s="3" t="inlineStr">
        <is>
          <t>IMPIANTO ELETTRICO</t>
        </is>
      </c>
      <c r="D607" s="4" t="inlineStr">
        <is>
          <t>SPECIALE</t>
        </is>
      </c>
      <c r="E607" s="4" t="inlineStr">
        <is>
          <t>ELETTRICHE SPECIALI</t>
        </is>
      </c>
      <c r="F607" s="3" t="inlineStr">
        <is>
          <t>3_CME IE RADIOFARMACIA PAVIA - REV02 VARIANTE ESECUTIVA.PDF</t>
        </is>
      </c>
      <c r="G607" s="4" t="inlineStr">
        <is>
          <t>20/20</t>
        </is>
      </c>
      <c r="H607" s="3" t="inlineStr">
        <is>
          <t>50 - INSTALLAZIONE</t>
        </is>
      </c>
      <c r="I607" s="3" t="inlineStr">
        <is>
          <t>CABINA BT</t>
        </is>
      </c>
      <c r="J607" s="3" t="inlineStr">
        <is>
          <t>QUADRI ELETTRICI BT E UPS</t>
        </is>
      </c>
      <c r="K607" s="3" t="inlineStr">
        <is>
          <t>OPERA: GRUPPO DI CONTINUITÀ; POTENZA NOMINALE [VA] = 3300 | POTENZA ATTIVA [W] = 2300 | AUTONOMIA [MIN] = 6 | TENSIONE DI ALIMENTAZIONE [V] = 220 ÷ 240 | FREQUENZA [HZ] = 50 ÷ 60 | VARIAZIONE FREQUENZ</t>
        </is>
      </c>
      <c r="L607" s="3" t="inlineStr">
        <is>
          <t>OPERA: GRUPPO DI CONTINUITÀ; POTENZA NOMINALE [VA] = 3300 | POTENZA ATTIVA [W] = 2300 | AUTONOMIA [MIN] = 6 | TENSIONE DI ALIMENTAZIONE [V] = 220 ÷ 240 | FREQUENZA [HZ] = 50 ÷ 60 | VARIAZIONE FREQUENZA [%] = ±5 | TENSIONE IN USCITA [V] = 220 ÷ 240 | TOLLERANZA TENSIONE IN USCITA [%] = ±2 | RENDIMENTO MINIMO [%] = 89. INCLUSO: PORTA DI COMUNICAZIONE RS232, CONTATTI DI SEGNALAZIONE, ADAPTER. 
LAVORO: INSTALLAZIONE. 
SPECIFICHE TECNICHE: GESTIONE E CONTROLLO A MICROPROCESSORE, TECNOLOGIA DOPPIA CONVERSIONE PER GARANTIRE LA TENSIONE IN USCITA COMPLETAMENTE IMMUNE DALLE PERTURBAZIONI DI RETE (VFI - VOLTAGE AND FREQUENCY INDIPENDENT - ON-LINE), TEST BATTERIA AUTOMATICO E PERIODICO, FREQUENZA D'ONDA SINUSOIDALE [HZ] = 50 ÷ 60 SELEZIONABILE CON TOLLERANZA [%] = ±1,5, IN GRADO DI SOPPORTARE SOVRACCARICHI DEL 150% PER ALMENO 4 SECONDI, SISTEMA CON TEMPO D'INTERVENTO TIPICO [MS] = 0 (NO BREAK), RIDOTTA RUMOROSITÀ A 1 M [DB] &lt; 40. OP GRUPPO DI CONTINUITÀ; POTENZA NOMINALE [VA] = 3300 | POTENZA ATTIVA [W] = 2300 | AUTONOMIA [MIN] = 6 | TENSIONE DI ALIMENTAZIONE [V] = 220 ÷ 240 | FREQUENZA [HZ] = 50 ÷ 60 | VARIAZIONE FREQUENZA [%] = ±5 | TENSIONE IN USCITA [V] = 220 ÷ 240 | TOLLERANZA TENSIONE IN USCITA [%] = ±2 | RENDIMENTO MINIMO [%] = 89. INCLUSO: PORTA DI COMUNICAZIONE RS232, CONTATTI DI SEGNALAZIONE, ADAPTER. 
SPECIFICHE TECNICHE: GESTIONE E CONTROLLO A MICROPROCESSORE, TECNOLOGIA DOPPIA CONVERSIONE PER GARANTIRE LA TENSIONE IN USCITA COMPLETAMENTE IMMUNE DALLE PERTURBAZIONI DI RETE (VFI - VOLTAGE AND FREQUENCY INDIPENDENT - ON-LINE), TEST BATTERIA AUTOMATICO E PERIODICO, FREQUENZA D'ONDA SINUSOIDALE [HZ] = 50 ÷ 60 SELEZIONABILE CON TOLLERANZA [%] = ±1,5, IN GRADO DI SOPPORTARE SOVRACCARICHI DEL 150% PER ALMENO 4 SECONDI, SISTEMA CON TEMPO D'INTERVENTO TIPICO [MS] = 0 (NO BREAK), RIDOTTA RUMOROSITÀ A 1 M [DB] &lt; 40. 
RM GRUPPO DI CONTINUITÀ; POTENZA NOMINALE [VA] = 3300 | POTENZA ATTIVA [W] = 2300 | AUTONOMIA [MIN] = 6 | TENSIONE DI ALIMENTAZIONE [V] = 220 ÷ 240 | FREQUENZA [HZ] = 50 ÷ 60 | VARIAZIONE FREQUENZA [%] = ±5 | TENSIONE IN USCITA [V] = 220 ÷ 240 | TOLLERANZA TENSIONE IN USCITA [%] = ±2 | RENDIMENTO MINIMO [%] = 89 | TEMPERATURA D'ESERCIZIO [°C] = 0 ÷ 40. COMPONENTI: BATTERIA ERMETICA, SOFTWARE, DISPOSITIVO DI PROTEZIONE, PRESA IEC, PRESA IEC. INCLUSO: PORTA DI COMUNICAZIONE RS232, CONTATTI DI SEGNALAZIONE, ADAPTER 
SPECIFICHE TECNICHE: GESTIONE E CONTROLLO A MICROPROCESSORE, TECNOLOGIA DOPPIA CONVERSIONE PER GARANTIRE LA TENSIONE IN USCITA COMPLETAMENTE IMMUNE DALLE PERTURBAZIONI DI RETE (VFI - VOLTAGE AND FREQUENCY INDIPENDENT - ON-LINE), TEST BATTERIA AUTOMATICO E PERIODICO, FREQUENZA D'ONDA SINUSOIDALE [HZ] = 50 ÷ 60 SELEZIONABILE CON TOLLERANZA [%] = ±1,5, IN GRADO DI SOPPORTARE SOVRACCARICHI DEL 150% PER ALMENO 4 SECONDI, SISTEMA CON TEMPO D'INTERVENTO TIPICO [MS] = 0 (NO BREAK), RIDOTTA RUMOROSITÀ A 1 M [DB] &lt; 40 
LV INSTALLAZIONE.</t>
        </is>
      </c>
      <c r="M607" s="4" t="inlineStr">
        <is>
          <t>CAD</t>
        </is>
      </c>
      <c r="N607" s="5" t="n">
        <v>1</v>
      </c>
      <c r="O607" s="45" t="n">
        <v>1233.3</v>
      </c>
      <c r="P607" s="45" t="n">
        <v>1233.3</v>
      </c>
      <c r="Q607" s="5" t="n"/>
      <c r="R607" s="6" t="n"/>
      <c r="S607" s="6">
        <f>IF(AND(Q607&lt;&gt;"",R607&lt;&gt;""),Q607*R607,"")</f>
        <v/>
      </c>
      <c r="T607" s="45">
        <f>IF(S607="",P607,S607)</f>
        <v/>
      </c>
      <c r="U607" s="7" t="n">
        <v>0.5</v>
      </c>
      <c r="V607" s="6">
        <f>$T607*U607</f>
        <v/>
      </c>
      <c r="W607" s="7" t="n">
        <v>0.1</v>
      </c>
      <c r="X607" s="6">
        <f>$T607*W607</f>
        <v/>
      </c>
      <c r="Y607" s="7" t="n">
        <v>0</v>
      </c>
      <c r="Z607" s="6">
        <f>$T607*Y607</f>
        <v/>
      </c>
      <c r="AA607" s="7" t="n">
        <v>0</v>
      </c>
      <c r="AB607" s="6">
        <f>$T607*AA607</f>
        <v/>
      </c>
      <c r="AC607" s="7" t="n">
        <v>0</v>
      </c>
      <c r="AD607" s="6">
        <f>$T607*AC607</f>
        <v/>
      </c>
      <c r="AE607" s="7" t="n">
        <v>0</v>
      </c>
      <c r="AF607" s="6">
        <f>$T607*AE607</f>
        <v/>
      </c>
      <c r="AG607" s="7" t="n">
        <v>0</v>
      </c>
      <c r="AH607" s="6">
        <f>$T607*AG607</f>
        <v/>
      </c>
      <c r="AI607" s="7">
        <f>U607+W607+Y607+AA607+AC607+AE607+AG607</f>
        <v/>
      </c>
      <c r="AJ607" s="6">
        <f>V607+X607+Z607+AB607+AD607+AF607+AH607</f>
        <v/>
      </c>
    </row>
    <row r="608" ht="60" customHeight="1" s="46">
      <c r="A608" s="3" t="inlineStr">
        <is>
          <t>IE_NP_UPS</t>
        </is>
      </c>
      <c r="B608" s="4" t="inlineStr">
        <is>
          <t>1/1</t>
        </is>
      </c>
      <c r="C608" s="3" t="inlineStr">
        <is>
          <t>IMPIANTO ELETTRICO</t>
        </is>
      </c>
      <c r="D608" s="4" t="inlineStr">
        <is>
          <t>SPECIALE</t>
        </is>
      </c>
      <c r="E608" s="4" t="inlineStr">
        <is>
          <t>ELETTRICHE SPECIALI</t>
        </is>
      </c>
      <c r="F608" s="3" t="inlineStr">
        <is>
          <t>3_CME IE RADIOFARMACIA PAVIA - REV02 VARIANTE ESECUTIVA.PDF</t>
        </is>
      </c>
      <c r="G608" s="4" t="inlineStr">
        <is>
          <t>21/21</t>
        </is>
      </c>
      <c r="H608" s="3" t="inlineStr">
        <is>
          <t>50 - INSTALLAZIONE</t>
        </is>
      </c>
      <c r="I608" s="3" t="inlineStr">
        <is>
          <t>CABINA BT</t>
        </is>
      </c>
      <c r="J608" s="3" t="inlineStr">
        <is>
          <t>QUADRI ELETTRICI BT E UPS</t>
        </is>
      </c>
      <c r="K608" s="3" t="inlineStr">
        <is>
          <t>GRUPPO STATICO DI CONTINUITÀ MODULARE TRIFASE/TRIFASE ON-LINE A DOPPIA CONVERSIONE AD ALTO RENDIMENTO COMPOSTO DA: INVOLUCRO PREDISPOSTO PER ALLOGGIAMENTO DEI MODULI, MODULI DI POTENZA 50KVA, BYPASS S</t>
        </is>
      </c>
      <c r="L608" s="3" t="inlineStr">
        <is>
          <t>GRUPPO STATICO DI CONTINUITÀ MODULARE TRIFASE/TRIFASE ON-LINE A DOPPIA CONVERSIONE AD ALTO RENDIMENTO COMPOSTO DA: INVOLUCRO PREDISPOSTO PER ALLOGGIAMENTO DEI MODULI, MODULI DI POTENZA 50KVA, BYPASS STATICO IBRIDO E BYPASS MANUALE DI MANUTENZIONE DI PIENA POTENZA E AVENTE LE SEGUENTI CARATTERISTICHE: TENSIONE DI INGRESSO NOMINALE RADDRIZZATORE: 400 V TRIFASE CON NEUTRO (-15/+20%). FREQUENZA NOMINALE INGRESSO 50/60HZ (± 10%). TENSIONE DI INGRESSO NOMINALE BYPASS: 400 V TRIFASE CON NEUTRO (± 15%). FATTORE DI POTENZA IN INGRESSO &gt; 0,99 AL 100% DELLA POTENZA NOMINALE, THDI A MONTE &lt; 3% ALLA PN. POTENZA ATTIVA NOMINALE A PF1 (KVA=KW). PRESTAZIONI VERIFICATE DA UN ORGANISMO INDIPENDENTE ACCREDITATO. TENSIONE DI USCITA NOMINALE SELEZIONABILE: 380/400/415 V TRIFASE CON NEUTRO. THDU IN USCITA SU CARICO LINEARE: &lt; 1% . THDU IN USCITA SU CARICO NON LINEARE CONFORME A VFI-SS-111. SOVRACCARICO DA INVERTER AMMESSO: 150% PER 1 MIN E 125% PER 10 MIN. FREQUENZA DI USCITA: 50 HZ / 60 HZ +/-0,1%. RENDIMENTO IN MODALITÀ ON-LINE (DOPPIA CONVERSIONE) PARI A 96,5%. RENDIMENTO IN MODALITÀ ECO-MODE PARI A 99,3%. EFFICIENZA VERIFICATA E CERTIFICATA DA UN ORGANISMO INDIPENDENTE ACCREDITATO. POSSIBILITÀ DI ALIMENTAZIONE DA GRUPPO ELETTROGENO CON AVVIAMENTO A RAMPA (POWER WALK-IN) CONFIGURABILE IN TEMPO E AMPIEZZA. I MODULI DI POTENZA CON MTBF MAGGIORE DI 1.000.000 ORE IN CONFORMITÀ CON LA NORMA IEC/EN62830 CALCOLATO E VERIFICATO DA UN ORGANISMO INDIPENDENTE ACCREDITATO. MODULO DI POTENZA IN UN INVOLUCRO MECCANICAMENTE SEGREGATO ED INDIPENDENTE CONTENENTE: RADDRIZZATORE, INVERTER, CONTROLLORE, ALIMENTAZIONE, CARICABATTERIA E SEGNALAZIONE LUMINOSA DI STATO PER GARANTIRE LA COMPLETA AUTOSUFFICIENZA DEI MODULI. MODULI CON ESTRAIBILITÀ A CALDO CON IL SISTEMA IN MODALITÀ “ON-LINE DOPPIA CONVERSIONE” SENZA RICHIEDERE LO SPEGNIMENTO MANUALE DEL MODULO, LA COMMUTAZIONE IN MODALITÀ DI BYPASS O PASSAGGIO SU BYPASS MANUALE. MODULI IN GRADO DI AGGIORNARE IL FIRMWARE SENZA ALCUN INTERVENTO DELL’ OPERATORE E SENZA PERTURBARE LO STATO DELL’ UPS IN CASO DI INSERIMENTO A CALDO IN UN SISTEMA IN ESERCIZIO. CIRCUITO DI RILEVAZIONE DEL RITORNO DI ENERGIA VERSO RETE (BACKFEED) E SEGNALE DI COMANDO PER BOBINA ESTERNA INCLUSO. COMPONENTE DI BYPASS STATICO DI SISTEMA ESTRAIBILE A CALDO CON IL SISTEMA FUNZIONANTE IN MODALITÀ “ON-LINE DOPPIA CONVERSIONE” SENZA RICHIEDERE LO SPEGNIMENTO DEL SISTEMA O LA COMMUTAZIONE SU BYPASS MANUALE. UPS IN GRADO DI FUNZIONARE CON I SEGUENTI TIPI DI ACCUMULATORI: AL PIOMBO ERMETICO (VRLA) / PIOMBO A VASO APERTO / NICD / IONI DI LITIO. L'INTERFACCIA UTENTE DELL'UPS DEVE ESSERE COSTITUITA DA UN DISPLAY GRAFICO A COLORI TOUCH-SCREEN. UPS COMPLETO DI SCHEDA CONTATTI AUSILIARI LIBERI DA POTENZIALE CON PORTA DI COMUNICAZIONE SERIALE RS485 OPTOISOLATA (ADC) E CONTATTO DI SPEGNIMENTO E.P.O. SOLUZIONE COMPLETA DI SCHEDA DI COMUNICAZIONE ETHERNET IOT READY (NETVISION) CON COLLEGAMENTO ETHERNET CON I SEGUENTI PROTOCOLLI DI COMUNICAZIONE: SNMP V1 / V3, MODBUS SU TCP/IP, HTTP, SMTP, PROFIBUS, PROFINET. SCHEDA IN GRADO DI COLLEGARE L’ UPS AD UN CLOUD REMOTO PER GESTIONE NOTIFICHE TRAMITE APP (SOLIVE) PER DISPOSITIVI MOBILI. GRADO DI PROTEZIONE IP 20; COLORE RAL7016. CONFORMITÀ ALLE NORME EN62040-1, EN62040-2, EN62040-3. IL COSTRUTTORE DELLE APPARECCHIATURE DEVE ESSERE CERTIFICATO ISO9001 E ISO14001 E DEVE POTER FORNIRE UN CERTIFICATO DI ORIGINE DICHIARANTE CHE L'UPS È STATO PROGETTATO, PRODOTTO E TESTATO ALL'INTERNO DELLA COMUNITÀ EUROPEA. DIMENSIONI INDICATIVE UPS (LXPXH): 600X890X1990 MM. PRIMA ACCENSIONE DELLA MACCHINA DA PARTE DI TECNICO SPECIALIZZATO DEL COSTRUTTORE. L'OPERA S'INTENDE COMPRENSIVA DI OGNI ONERE ANNESSO E CONNESSO PER RENDERLA PERFETTAMENTE FUNZIONANTE E REALIZZATA A REGOLA D'ARTE.  UPS CON MODULI DI POTENZA PER 250 KVA TIPO SOCOMEC MODULYS XM 300KVA O EQUIVALENTE; AUTONOMIA 13 MIN. CON CARICO APPLICATO PARI A 200 KW - SISTEMA RIDONDANTE N+1 (200KW + 50KW DI RIDONDANZA)  INCLUSO ARMADIO BATTERIE MONOLITICO AVENTE LE SEGUENTI CARATTERISTICHE: ARMADIO CON GRADO DI PROTEZIONE IP 20 ADATTO AD ALLOGGIARE BATTERIE AGM-VRLA CON VITA ATTESA 10 ANNI (TIPOLOGIA LONG LIFE (LL) SECONDO EUROBAT). IDONEO ALL' INSTALLAZIONE INDOOR IN AMBIENTI PRIVO DI POLVERI CONDUTTORI, INFIAMMABILI, ESPLOSIVI O CORROSIVI E CON LIVELLO DI INQUINAMENTO INFERIORE AL GRADO 2 SECONDO NORMA IEC 60664-1. L'ARMADIO BATTERIE DEVE ESSERE COMPATIBILE CON UPS EQUIPAGGIATI CON CARICA BATTERIE CON FUNZIONAMENTO A 3 FILI CON NEUTRO CENTRALE (A+/N/A-). ARMADIO COMPLETO DI PROTEZIONE (SEZIONATORE A FUSIBILI O INTERRUTTORE MAGNETOTERMICO) E COMPLETO DEGLI ACCESSORI PER LA CONNESSIONE TRA MONOBLOCCHI E PROTEZIONE. MASSIMA POTENZA IN SCARICA 125KW/ARMADIO. ALMENO UN ARMADIO OGNI 5 MODULI DI POTENZA. COLLEGAMENTO CAVI DAL BASSO FRONTALMENTE. GRADO DI PROTEZIONE IP 20; COLORE RAL7012.SOLUZIONE IN SINGOLO ARMADIO CON BATTERIE PRE-ASSEMBLATE PRIMA DELL' INVIO. CAVI DI CONNESSIONE CON L' UPS FORNITI DI SERIE PER INSTALLAZIONE AFFIANCATA.DIMENSIONI INDICATIVE ARMADIO BATTERIE (LXPXH): 810X890X1990 MM. PRIMA ACCENSIONE DELLA MACCHINA DA PARTE DI TECNICO SPECIALIZZATO DEL COSTRUTTORE. L'OPERA S'INTENDE COMPRENSIVA DI OGNI ONERE ANNESSO E CONNESSO PER RENDERLA PERFETTAMENTE FUNZIONANTE E REALIZZATA A REGOLA D'ARTE.  ARMADIO BATTERIE TIPO SOCOMEC O EQUIVALENTE. N.2 ARMADI BATTERIE</t>
        </is>
      </c>
      <c r="M608" s="4" t="inlineStr">
        <is>
          <t>A CORPO</t>
        </is>
      </c>
      <c r="N608" s="5" t="n">
        <v>1</v>
      </c>
      <c r="O608" s="45" t="n">
        <v>65696.73</v>
      </c>
      <c r="P608" s="45" t="n">
        <v>65696.73</v>
      </c>
      <c r="Q608" s="5" t="n"/>
      <c r="R608" s="6" t="n"/>
      <c r="S608" s="6">
        <f>IF(AND(Q608&lt;&gt;"",R608&lt;&gt;""),Q608*R608,"")</f>
        <v/>
      </c>
      <c r="T608" s="45">
        <f>IF(S608="",P608,S608)</f>
        <v/>
      </c>
      <c r="U608" s="7" t="n">
        <v>0.5</v>
      </c>
      <c r="V608" s="6">
        <f>$T608*U608</f>
        <v/>
      </c>
      <c r="W608" s="7" t="n">
        <v>0.1</v>
      </c>
      <c r="X608" s="6">
        <f>$T608*W608</f>
        <v/>
      </c>
      <c r="Y608" s="7" t="n">
        <v>0</v>
      </c>
      <c r="Z608" s="6">
        <f>$T608*Y608</f>
        <v/>
      </c>
      <c r="AA608" s="7" t="n">
        <v>0</v>
      </c>
      <c r="AB608" s="6">
        <f>$T608*AA608</f>
        <v/>
      </c>
      <c r="AC608" s="7" t="n">
        <v>0</v>
      </c>
      <c r="AD608" s="6">
        <f>$T608*AC608</f>
        <v/>
      </c>
      <c r="AE608" s="7" t="n">
        <v>0</v>
      </c>
      <c r="AF608" s="6">
        <f>$T608*AE608</f>
        <v/>
      </c>
      <c r="AG608" s="7" t="n">
        <v>0</v>
      </c>
      <c r="AH608" s="6">
        <f>$T608*AG608</f>
        <v/>
      </c>
      <c r="AI608" s="7">
        <f>U608+W608+Y608+AA608+AC608+AE608+AG608</f>
        <v/>
      </c>
      <c r="AJ608" s="6">
        <f>V608+X608+Z608+AB608+AD608+AF608+AH608</f>
        <v/>
      </c>
    </row>
    <row r="609">
      <c r="U609" s="19" t="n"/>
    </row>
  </sheetData>
  <autoFilter ref="A2:AJ608">
    <filterColumn colId="20" hiddenButton="0" showButton="0"/>
    <filterColumn colId="22" hiddenButton="0" showButton="0">
      <filters>
        <filter val="10,0%"/>
        <filter val="100,0%"/>
        <filter val="15,0%"/>
        <filter val="20,0%"/>
        <filter val="25,0%"/>
        <filter val="30,0%"/>
        <filter val="40,0%"/>
        <filter val="45,0%"/>
        <filter val="50,0%"/>
        <filter val="60,0%"/>
        <filter val="70,0%"/>
        <filter val="75,0%"/>
        <filter val="80,0%"/>
      </filters>
    </filterColumn>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autoFilter>
  <mergeCells count="29">
    <mergeCell ref="M2:M3"/>
    <mergeCell ref="B2:B3"/>
    <mergeCell ref="N2:N3"/>
    <mergeCell ref="D2:D3"/>
    <mergeCell ref="F2:F3"/>
    <mergeCell ref="P2:P3"/>
    <mergeCell ref="H2:H3"/>
    <mergeCell ref="A1:T1"/>
    <mergeCell ref="U2:V2"/>
    <mergeCell ref="Y2:Z2"/>
    <mergeCell ref="AE2:AF2"/>
    <mergeCell ref="AG2:AH2"/>
    <mergeCell ref="A2:A3"/>
    <mergeCell ref="T2:T3"/>
    <mergeCell ref="C2:C3"/>
    <mergeCell ref="E2:E3"/>
    <mergeCell ref="K2:K3"/>
    <mergeCell ref="O2:O3"/>
    <mergeCell ref="Q2:Q3"/>
    <mergeCell ref="R2:R3"/>
    <mergeCell ref="J2:J3"/>
    <mergeCell ref="L2:L3"/>
    <mergeCell ref="W2:X2"/>
    <mergeCell ref="AA2:AB2"/>
    <mergeCell ref="AC2:AD2"/>
    <mergeCell ref="AI2:AJ2"/>
    <mergeCell ref="G2:G3"/>
    <mergeCell ref="S2:S3"/>
    <mergeCell ref="I2:I3"/>
  </mergeCells>
  <conditionalFormatting sqref="Q4:S608">
    <cfRule type="expression" priority="2" dxfId="1">
      <formula>AND(Q4&lt;&gt;"",Q4&gt;N4)</formula>
    </cfRule>
    <cfRule type="expression" priority="3" dxfId="0">
      <formula>AND(Q4&lt;&gt;"",Q4&lt;N4)</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AD127"/>
  <sheetViews>
    <sheetView showGridLines="0" view="pageBreakPreview" zoomScale="87" zoomScaleNormal="100" workbookViewId="0">
      <pane xSplit="6" ySplit="4" topLeftCell="G118" activePane="bottomRight" state="frozen"/>
      <selection pane="topRight" activeCell="G1" sqref="G1"/>
      <selection pane="bottomLeft" activeCell="A4" sqref="A4"/>
      <selection pane="bottomRight" activeCell="R128" sqref="R128"/>
    </sheetView>
  </sheetViews>
  <sheetFormatPr baseColWidth="10" defaultColWidth="8.6640625" defaultRowHeight="71" customHeight="1"/>
  <cols>
    <col width="8.6640625" customWidth="1" style="21" min="1" max="1"/>
    <col width="7" customWidth="1" style="21" min="2" max="2"/>
    <col width="22" customWidth="1" style="21" min="3" max="3"/>
    <col width="36" customWidth="1" style="21" min="4" max="4"/>
    <col width="16" customWidth="1" style="21" min="5" max="5"/>
    <col width="7" customWidth="1" style="21" min="6" max="6"/>
    <col width="9" customWidth="1" style="21" min="7" max="7"/>
    <col width="11" customWidth="1" style="21" min="8" max="8"/>
    <col width="13" customWidth="1" style="21" min="9" max="9"/>
    <col hidden="1" width="9" customWidth="1" style="21" min="10" max="10"/>
    <col hidden="1" width="11" customWidth="1" style="21" min="11" max="11"/>
    <col hidden="1" width="13" customWidth="1" style="21" min="12" max="12"/>
    <col width="13" customWidth="1" style="21" min="13" max="13"/>
    <col width="8.6640625" customWidth="1" style="21" min="14" max="14"/>
    <col width="6" customWidth="1" style="21" min="15" max="15"/>
    <col width="12" customWidth="1" style="21" min="16" max="16"/>
    <col width="6" customWidth="1" style="21" min="17" max="17"/>
    <col width="12" customWidth="1" style="21" min="18" max="18"/>
    <col width="6" customWidth="1" style="21" min="19" max="19"/>
    <col width="12" customWidth="1" style="21" min="20" max="20"/>
    <col width="6" customWidth="1" style="21" min="21" max="21"/>
    <col width="12" customWidth="1" style="21" min="22" max="22"/>
    <col width="6" customWidth="1" style="21" min="23" max="23"/>
    <col width="12" customWidth="1" style="21" min="24" max="24"/>
    <col width="6" customWidth="1" style="21" min="25" max="25"/>
    <col width="12" customWidth="1" style="21" min="26" max="26"/>
    <col width="6" customWidth="1" style="21" min="27" max="27"/>
    <col width="12" customWidth="1" style="21" min="28" max="28"/>
    <col width="7" customWidth="1" style="21" min="29" max="29"/>
    <col width="13" customWidth="1" style="21" min="30" max="30"/>
    <col width="8.6640625" customWidth="1" style="21" min="31" max="31"/>
    <col width="8.6640625" customWidth="1" style="21" min="32" max="16384"/>
  </cols>
  <sheetData>
    <row r="2" ht="71" customHeight="1" s="46">
      <c r="B2" s="38" t="inlineStr">
        <is>
          <t>DETTAGLIO SAL — OPERE EDILI</t>
        </is>
      </c>
      <c r="C2" s="34" t="n"/>
      <c r="D2" s="34" t="n"/>
      <c r="E2" s="34" t="n"/>
      <c r="F2" s="34" t="n"/>
      <c r="G2" s="34" t="n"/>
      <c r="H2" s="34" t="n"/>
      <c r="I2" s="34" t="n"/>
      <c r="J2" s="34" t="n"/>
      <c r="K2" s="34" t="n"/>
      <c r="L2" s="32" t="n"/>
      <c r="M2" s="22" t="n"/>
    </row>
    <row r="3" ht="71" customHeight="1" s="46">
      <c r="B3" s="31" t="inlineStr">
        <is>
          <t>Nr.Ord.</t>
        </is>
      </c>
      <c r="C3" s="31" t="inlineStr">
        <is>
          <t>TARIFFA</t>
        </is>
      </c>
      <c r="D3" s="31" t="inlineStr">
        <is>
          <t>DESIGNAZIONE</t>
        </is>
      </c>
      <c r="E3" s="31" t="inlineStr">
        <is>
          <t>STEP</t>
        </is>
      </c>
      <c r="F3" s="31" t="inlineStr">
        <is>
          <t>U.M.</t>
        </is>
      </c>
      <c r="G3" s="31" t="inlineStr">
        <is>
          <t>Q.tà PREV</t>
        </is>
      </c>
      <c r="H3" s="31" t="inlineStr">
        <is>
          <t>VAL.UNIT PREV</t>
        </is>
      </c>
      <c r="I3" s="31" t="inlineStr">
        <is>
          <t>TOTALE PREV</t>
        </is>
      </c>
      <c r="J3" s="31" t="inlineStr">
        <is>
          <t>Q.tà CONS</t>
        </is>
      </c>
      <c r="K3" s="31" t="inlineStr">
        <is>
          <t>VAL.UNIT CONS</t>
        </is>
      </c>
      <c r="L3" s="31" t="inlineStr">
        <is>
          <t>TOTALE CONS</t>
        </is>
      </c>
      <c r="M3" s="31" t="inlineStr">
        <is>
          <t>VALORE PER SAL</t>
        </is>
      </c>
      <c r="O3" s="35" t="inlineStr">
        <is>
          <t>SAL 01 APRILE</t>
        </is>
      </c>
      <c r="P3" s="32" t="n"/>
      <c r="Q3" s="51" t="inlineStr">
        <is>
          <t>SAL 02 MAGGIO</t>
        </is>
      </c>
      <c r="R3" s="32" t="n"/>
      <c r="S3" s="31" t="inlineStr">
        <is>
          <t>SAL 03 GIUGNO</t>
        </is>
      </c>
      <c r="T3" s="32" t="n"/>
      <c r="U3" s="31" t="inlineStr">
        <is>
          <t>SAL 04 LUGLIO</t>
        </is>
      </c>
      <c r="V3" s="32" t="n"/>
      <c r="W3" s="31" t="inlineStr">
        <is>
          <t>SAL 05 AGOSTO</t>
        </is>
      </c>
      <c r="X3" s="32" t="n"/>
      <c r="Y3" s="31" t="inlineStr">
        <is>
          <t>SAL 06 SETTEMBRE</t>
        </is>
      </c>
      <c r="Z3" s="32" t="n"/>
      <c r="AA3" s="31" t="inlineStr">
        <is>
          <t>SAL 07 OTTOBRE</t>
        </is>
      </c>
      <c r="AB3" s="32" t="n"/>
      <c r="AC3" s="31" t="inlineStr">
        <is>
          <t>TOTALE COMPL.</t>
        </is>
      </c>
      <c r="AD3" s="32" t="n"/>
    </row>
    <row r="4" ht="71" customHeight="1" s="46">
      <c r="O4" s="12" t="inlineStr">
        <is>
          <t>%</t>
        </is>
      </c>
      <c r="P4" s="26" t="inlineStr">
        <is>
          <t>TOTALE</t>
        </is>
      </c>
      <c r="Q4" s="12" t="inlineStr">
        <is>
          <t>%</t>
        </is>
      </c>
      <c r="R4" s="12" t="inlineStr">
        <is>
          <t>TOTALE</t>
        </is>
      </c>
      <c r="S4" s="12" t="inlineStr">
        <is>
          <t>%</t>
        </is>
      </c>
      <c r="T4" s="12" t="inlineStr">
        <is>
          <t>TOTALE</t>
        </is>
      </c>
      <c r="U4" s="12" t="inlineStr">
        <is>
          <t>%</t>
        </is>
      </c>
      <c r="V4" s="12" t="inlineStr">
        <is>
          <t>TOTALE</t>
        </is>
      </c>
      <c r="W4" s="12" t="inlineStr">
        <is>
          <t>%</t>
        </is>
      </c>
      <c r="X4" s="12" t="inlineStr">
        <is>
          <t>TOTALE</t>
        </is>
      </c>
      <c r="Y4" s="12" t="inlineStr">
        <is>
          <t>%</t>
        </is>
      </c>
      <c r="Z4" s="12" t="inlineStr">
        <is>
          <t>TOTALE</t>
        </is>
      </c>
      <c r="AA4" s="12" t="inlineStr">
        <is>
          <t>%</t>
        </is>
      </c>
      <c r="AB4" s="12" t="inlineStr">
        <is>
          <t>TOTALE</t>
        </is>
      </c>
      <c r="AC4" s="12" t="inlineStr">
        <is>
          <t>%</t>
        </is>
      </c>
      <c r="AD4" s="12" t="inlineStr">
        <is>
          <t>TOTALE</t>
        </is>
      </c>
    </row>
    <row r="5" ht="71" customHeight="1" s="46">
      <c r="B5" s="4">
        <f>LAVORAZIONI!G4</f>
        <v/>
      </c>
      <c r="C5" s="3">
        <f>LAVORAZIONI!A4</f>
        <v/>
      </c>
      <c r="D5" s="3">
        <f>LAVORAZIONI!K4</f>
        <v/>
      </c>
      <c r="E5" s="4">
        <f>LAVORAZIONI!H4</f>
        <v/>
      </c>
      <c r="F5" s="4">
        <f>LAVORAZIONI!M4</f>
        <v/>
      </c>
      <c r="G5" s="5">
        <f>LAVORAZIONI!N4</f>
        <v/>
      </c>
      <c r="H5" s="6">
        <f>LAVORAZIONI!O4</f>
        <v/>
      </c>
      <c r="I5" s="13">
        <f>LAVORAZIONI!P4</f>
        <v/>
      </c>
      <c r="J5" s="5">
        <f>IF(LAVORAZIONI!Q4="","",LAVORAZIONI!Q4)</f>
        <v/>
      </c>
      <c r="K5" s="6">
        <f>IF(LAVORAZIONI!R4="","",LAVORAZIONI!R4)</f>
        <v/>
      </c>
      <c r="L5" s="13">
        <f>IF(LAVORAZIONI!S4="","",LAVORAZIONI!S4)</f>
        <v/>
      </c>
      <c r="M5" s="13">
        <f>LAVORAZIONI!T4</f>
        <v/>
      </c>
      <c r="O5" s="7">
        <f>LAVORAZIONI!U4</f>
        <v/>
      </c>
      <c r="P5" s="45">
        <f>LAVORAZIONI!V4</f>
        <v/>
      </c>
      <c r="Q5" s="7">
        <f>LAVORAZIONI!W4</f>
        <v/>
      </c>
      <c r="R5" s="6">
        <f>LAVORAZIONI!X4</f>
        <v/>
      </c>
      <c r="S5" s="7">
        <f>LAVORAZIONI!Y4</f>
        <v/>
      </c>
      <c r="T5" s="6">
        <f>LAVORAZIONI!Z4</f>
        <v/>
      </c>
      <c r="U5" s="7">
        <f>LAVORAZIONI!AA4</f>
        <v/>
      </c>
      <c r="V5" s="6">
        <f>LAVORAZIONI!AB4</f>
        <v/>
      </c>
      <c r="W5" s="7">
        <f>LAVORAZIONI!AC4</f>
        <v/>
      </c>
      <c r="X5" s="6">
        <f>LAVORAZIONI!AD4</f>
        <v/>
      </c>
      <c r="Y5" s="7">
        <f>LAVORAZIONI!AE4</f>
        <v/>
      </c>
      <c r="Z5" s="6">
        <f>LAVORAZIONI!AF4</f>
        <v/>
      </c>
      <c r="AA5" s="7">
        <f>LAVORAZIONI!AG4</f>
        <v/>
      </c>
      <c r="AB5" s="6">
        <f>LAVORAZIONI!AH4</f>
        <v/>
      </c>
      <c r="AC5" s="7">
        <f>LAVORAZIONI!AI4</f>
        <v/>
      </c>
      <c r="AD5" s="13">
        <f>LAVORAZIONI!AJ4</f>
        <v/>
      </c>
    </row>
    <row r="6" ht="71" customHeight="1" s="46">
      <c r="B6" s="4">
        <f>LAVORAZIONI!G5</f>
        <v/>
      </c>
      <c r="C6" s="3">
        <f>LAVORAZIONI!A5</f>
        <v/>
      </c>
      <c r="D6" s="3">
        <f>LAVORAZIONI!K5</f>
        <v/>
      </c>
      <c r="E6" s="4">
        <f>LAVORAZIONI!H5</f>
        <v/>
      </c>
      <c r="F6" s="4">
        <f>LAVORAZIONI!M5</f>
        <v/>
      </c>
      <c r="G6" s="5">
        <f>LAVORAZIONI!N5</f>
        <v/>
      </c>
      <c r="H6" s="6">
        <f>LAVORAZIONI!O5</f>
        <v/>
      </c>
      <c r="I6" s="13">
        <f>LAVORAZIONI!P5</f>
        <v/>
      </c>
      <c r="J6" s="5">
        <f>IF(LAVORAZIONI!Q5="","",LAVORAZIONI!Q5)</f>
        <v/>
      </c>
      <c r="K6" s="6">
        <f>IF(LAVORAZIONI!R5="","",LAVORAZIONI!R5)</f>
        <v/>
      </c>
      <c r="L6" s="13">
        <f>IF(LAVORAZIONI!S5="","",LAVORAZIONI!S5)</f>
        <v/>
      </c>
      <c r="M6" s="13">
        <f>LAVORAZIONI!T5</f>
        <v/>
      </c>
      <c r="O6" s="7">
        <f>LAVORAZIONI!U5</f>
        <v/>
      </c>
      <c r="P6" s="45">
        <f>LAVORAZIONI!V5</f>
        <v/>
      </c>
      <c r="Q6" s="7">
        <f>LAVORAZIONI!W5</f>
        <v/>
      </c>
      <c r="R6" s="6">
        <f>LAVORAZIONI!X5</f>
        <v/>
      </c>
      <c r="S6" s="7">
        <f>LAVORAZIONI!Y5</f>
        <v/>
      </c>
      <c r="T6" s="6">
        <f>LAVORAZIONI!Z5</f>
        <v/>
      </c>
      <c r="U6" s="7">
        <f>LAVORAZIONI!AA5</f>
        <v/>
      </c>
      <c r="V6" s="6">
        <f>LAVORAZIONI!AB5</f>
        <v/>
      </c>
      <c r="W6" s="7">
        <f>LAVORAZIONI!AC5</f>
        <v/>
      </c>
      <c r="X6" s="6">
        <f>LAVORAZIONI!AD5</f>
        <v/>
      </c>
      <c r="Y6" s="7">
        <f>LAVORAZIONI!AE5</f>
        <v/>
      </c>
      <c r="Z6" s="6">
        <f>LAVORAZIONI!AF5</f>
        <v/>
      </c>
      <c r="AA6" s="7">
        <f>LAVORAZIONI!AG5</f>
        <v/>
      </c>
      <c r="AB6" s="6">
        <f>LAVORAZIONI!AH5</f>
        <v/>
      </c>
      <c r="AC6" s="7">
        <f>LAVORAZIONI!AI5</f>
        <v/>
      </c>
      <c r="AD6" s="13">
        <f>LAVORAZIONI!AJ5</f>
        <v/>
      </c>
    </row>
    <row r="7" ht="71" customHeight="1" s="46">
      <c r="B7" s="4">
        <f>LAVORAZIONI!G6</f>
        <v/>
      </c>
      <c r="C7" s="3">
        <f>LAVORAZIONI!A6</f>
        <v/>
      </c>
      <c r="D7" s="3">
        <f>LAVORAZIONI!K6</f>
        <v/>
      </c>
      <c r="E7" s="4">
        <f>LAVORAZIONI!H6</f>
        <v/>
      </c>
      <c r="F7" s="4">
        <f>LAVORAZIONI!M6</f>
        <v/>
      </c>
      <c r="G7" s="5">
        <f>LAVORAZIONI!N6</f>
        <v/>
      </c>
      <c r="H7" s="6">
        <f>LAVORAZIONI!O6</f>
        <v/>
      </c>
      <c r="I7" s="13">
        <f>LAVORAZIONI!P6</f>
        <v/>
      </c>
      <c r="J7" s="5">
        <f>IF(LAVORAZIONI!Q6="","",LAVORAZIONI!Q6)</f>
        <v/>
      </c>
      <c r="K7" s="6">
        <f>IF(LAVORAZIONI!R6="","",LAVORAZIONI!R6)</f>
        <v/>
      </c>
      <c r="L7" s="13">
        <f>IF(LAVORAZIONI!S6="","",LAVORAZIONI!S6)</f>
        <v/>
      </c>
      <c r="M7" s="13">
        <f>LAVORAZIONI!T6</f>
        <v/>
      </c>
      <c r="O7" s="7">
        <f>LAVORAZIONI!U6</f>
        <v/>
      </c>
      <c r="P7" s="45">
        <f>LAVORAZIONI!V6</f>
        <v/>
      </c>
      <c r="Q7" s="7">
        <f>LAVORAZIONI!W6</f>
        <v/>
      </c>
      <c r="R7" s="6">
        <f>LAVORAZIONI!X6</f>
        <v/>
      </c>
      <c r="S7" s="7">
        <f>LAVORAZIONI!Y6</f>
        <v/>
      </c>
      <c r="T7" s="6">
        <f>LAVORAZIONI!Z6</f>
        <v/>
      </c>
      <c r="U7" s="7">
        <f>LAVORAZIONI!AA6</f>
        <v/>
      </c>
      <c r="V7" s="6">
        <f>LAVORAZIONI!AB6</f>
        <v/>
      </c>
      <c r="W7" s="7">
        <f>LAVORAZIONI!AC6</f>
        <v/>
      </c>
      <c r="X7" s="6">
        <f>LAVORAZIONI!AD6</f>
        <v/>
      </c>
      <c r="Y7" s="7">
        <f>LAVORAZIONI!AE6</f>
        <v/>
      </c>
      <c r="Z7" s="6">
        <f>LAVORAZIONI!AF6</f>
        <v/>
      </c>
      <c r="AA7" s="7">
        <f>LAVORAZIONI!AG6</f>
        <v/>
      </c>
      <c r="AB7" s="6">
        <f>LAVORAZIONI!AH6</f>
        <v/>
      </c>
      <c r="AC7" s="7">
        <f>LAVORAZIONI!AI6</f>
        <v/>
      </c>
      <c r="AD7" s="13">
        <f>LAVORAZIONI!AJ6</f>
        <v/>
      </c>
    </row>
    <row r="8" ht="71" customHeight="1" s="46">
      <c r="B8" s="4">
        <f>LAVORAZIONI!G7</f>
        <v/>
      </c>
      <c r="C8" s="3">
        <f>LAVORAZIONI!A7</f>
        <v/>
      </c>
      <c r="D8" s="3">
        <f>LAVORAZIONI!K7</f>
        <v/>
      </c>
      <c r="E8" s="4">
        <f>LAVORAZIONI!H7</f>
        <v/>
      </c>
      <c r="F8" s="4">
        <f>LAVORAZIONI!M7</f>
        <v/>
      </c>
      <c r="G8" s="5">
        <f>LAVORAZIONI!N7</f>
        <v/>
      </c>
      <c r="H8" s="6">
        <f>LAVORAZIONI!O7</f>
        <v/>
      </c>
      <c r="I8" s="13">
        <f>LAVORAZIONI!P7</f>
        <v/>
      </c>
      <c r="J8" s="5">
        <f>IF(LAVORAZIONI!Q7="","",LAVORAZIONI!Q7)</f>
        <v/>
      </c>
      <c r="K8" s="6">
        <f>IF(LAVORAZIONI!R7="","",LAVORAZIONI!R7)</f>
        <v/>
      </c>
      <c r="L8" s="13">
        <f>IF(LAVORAZIONI!S7="","",LAVORAZIONI!S7)</f>
        <v/>
      </c>
      <c r="M8" s="13">
        <f>LAVORAZIONI!T7</f>
        <v/>
      </c>
      <c r="O8" s="7">
        <f>LAVORAZIONI!U7</f>
        <v/>
      </c>
      <c r="P8" s="45">
        <f>LAVORAZIONI!V7</f>
        <v/>
      </c>
      <c r="Q8" s="7">
        <f>LAVORAZIONI!W7</f>
        <v/>
      </c>
      <c r="R8" s="6">
        <f>LAVORAZIONI!X7</f>
        <v/>
      </c>
      <c r="S8" s="7">
        <f>LAVORAZIONI!Y7</f>
        <v/>
      </c>
      <c r="T8" s="6">
        <f>LAVORAZIONI!Z7</f>
        <v/>
      </c>
      <c r="U8" s="7">
        <f>LAVORAZIONI!AA7</f>
        <v/>
      </c>
      <c r="V8" s="6">
        <f>LAVORAZIONI!AB7</f>
        <v/>
      </c>
      <c r="W8" s="7">
        <f>LAVORAZIONI!AC7</f>
        <v/>
      </c>
      <c r="X8" s="6">
        <f>LAVORAZIONI!AD7</f>
        <v/>
      </c>
      <c r="Y8" s="7">
        <f>LAVORAZIONI!AE7</f>
        <v/>
      </c>
      <c r="Z8" s="6">
        <f>LAVORAZIONI!AF7</f>
        <v/>
      </c>
      <c r="AA8" s="7">
        <f>LAVORAZIONI!AG7</f>
        <v/>
      </c>
      <c r="AB8" s="6">
        <f>LAVORAZIONI!AH7</f>
        <v/>
      </c>
      <c r="AC8" s="7">
        <f>LAVORAZIONI!AI7</f>
        <v/>
      </c>
      <c r="AD8" s="13">
        <f>LAVORAZIONI!AJ7</f>
        <v/>
      </c>
    </row>
    <row r="9" ht="71" customHeight="1" s="46">
      <c r="B9" s="4">
        <f>LAVORAZIONI!G8</f>
        <v/>
      </c>
      <c r="C9" s="3">
        <f>LAVORAZIONI!A8</f>
        <v/>
      </c>
      <c r="D9" s="3">
        <f>LAVORAZIONI!K8</f>
        <v/>
      </c>
      <c r="E9" s="4">
        <f>LAVORAZIONI!H8</f>
        <v/>
      </c>
      <c r="F9" s="4">
        <f>LAVORAZIONI!M8</f>
        <v/>
      </c>
      <c r="G9" s="5">
        <f>LAVORAZIONI!N8</f>
        <v/>
      </c>
      <c r="H9" s="6">
        <f>LAVORAZIONI!O8</f>
        <v/>
      </c>
      <c r="I9" s="13">
        <f>LAVORAZIONI!P8</f>
        <v/>
      </c>
      <c r="J9" s="5">
        <f>IF(LAVORAZIONI!Q8="","",LAVORAZIONI!Q8)</f>
        <v/>
      </c>
      <c r="K9" s="6">
        <f>IF(LAVORAZIONI!R8="","",LAVORAZIONI!R8)</f>
        <v/>
      </c>
      <c r="L9" s="13">
        <f>IF(LAVORAZIONI!S8="","",LAVORAZIONI!S8)</f>
        <v/>
      </c>
      <c r="M9" s="13">
        <f>LAVORAZIONI!T8</f>
        <v/>
      </c>
      <c r="O9" s="7">
        <f>LAVORAZIONI!U8</f>
        <v/>
      </c>
      <c r="P9" s="45">
        <f>LAVORAZIONI!V8</f>
        <v/>
      </c>
      <c r="Q9" s="7">
        <f>LAVORAZIONI!W8</f>
        <v/>
      </c>
      <c r="R9" s="6">
        <f>LAVORAZIONI!X8</f>
        <v/>
      </c>
      <c r="S9" s="7">
        <f>LAVORAZIONI!Y8</f>
        <v/>
      </c>
      <c r="T9" s="6">
        <f>LAVORAZIONI!Z8</f>
        <v/>
      </c>
      <c r="U9" s="7">
        <f>LAVORAZIONI!AA8</f>
        <v/>
      </c>
      <c r="V9" s="6">
        <f>LAVORAZIONI!AB8</f>
        <v/>
      </c>
      <c r="W9" s="7">
        <f>LAVORAZIONI!AC8</f>
        <v/>
      </c>
      <c r="X9" s="6">
        <f>LAVORAZIONI!AD8</f>
        <v/>
      </c>
      <c r="Y9" s="7">
        <f>LAVORAZIONI!AE8</f>
        <v/>
      </c>
      <c r="Z9" s="6">
        <f>LAVORAZIONI!AF8</f>
        <v/>
      </c>
      <c r="AA9" s="7">
        <f>LAVORAZIONI!AG8</f>
        <v/>
      </c>
      <c r="AB9" s="6">
        <f>LAVORAZIONI!AH8</f>
        <v/>
      </c>
      <c r="AC9" s="7">
        <f>LAVORAZIONI!AI8</f>
        <v/>
      </c>
      <c r="AD9" s="13">
        <f>LAVORAZIONI!AJ8</f>
        <v/>
      </c>
    </row>
    <row r="10" ht="71" customHeight="1" s="46">
      <c r="B10" s="4">
        <f>LAVORAZIONI!G9</f>
        <v/>
      </c>
      <c r="C10" s="3">
        <f>LAVORAZIONI!A9</f>
        <v/>
      </c>
      <c r="D10" s="3">
        <f>LAVORAZIONI!K9</f>
        <v/>
      </c>
      <c r="E10" s="4">
        <f>LAVORAZIONI!H9</f>
        <v/>
      </c>
      <c r="F10" s="4">
        <f>LAVORAZIONI!M9</f>
        <v/>
      </c>
      <c r="G10" s="5">
        <f>LAVORAZIONI!N9</f>
        <v/>
      </c>
      <c r="H10" s="6">
        <f>LAVORAZIONI!O9</f>
        <v/>
      </c>
      <c r="I10" s="13">
        <f>LAVORAZIONI!P9</f>
        <v/>
      </c>
      <c r="J10" s="5">
        <f>IF(LAVORAZIONI!Q9="","",LAVORAZIONI!Q9)</f>
        <v/>
      </c>
      <c r="K10" s="6">
        <f>IF(LAVORAZIONI!R9="","",LAVORAZIONI!R9)</f>
        <v/>
      </c>
      <c r="L10" s="13">
        <f>IF(LAVORAZIONI!S9="","",LAVORAZIONI!S9)</f>
        <v/>
      </c>
      <c r="M10" s="13">
        <f>LAVORAZIONI!T9</f>
        <v/>
      </c>
      <c r="O10" s="7">
        <f>LAVORAZIONI!U9</f>
        <v/>
      </c>
      <c r="P10" s="45">
        <f>LAVORAZIONI!V9</f>
        <v/>
      </c>
      <c r="Q10" s="7">
        <f>LAVORAZIONI!W9</f>
        <v/>
      </c>
      <c r="R10" s="6">
        <f>LAVORAZIONI!X9</f>
        <v/>
      </c>
      <c r="S10" s="7">
        <f>LAVORAZIONI!Y9</f>
        <v/>
      </c>
      <c r="T10" s="6">
        <f>LAVORAZIONI!Z9</f>
        <v/>
      </c>
      <c r="U10" s="7">
        <f>LAVORAZIONI!AA9</f>
        <v/>
      </c>
      <c r="V10" s="6">
        <f>LAVORAZIONI!AB9</f>
        <v/>
      </c>
      <c r="W10" s="7">
        <f>LAVORAZIONI!AC9</f>
        <v/>
      </c>
      <c r="X10" s="6">
        <f>LAVORAZIONI!AD9</f>
        <v/>
      </c>
      <c r="Y10" s="7">
        <f>LAVORAZIONI!AE9</f>
        <v/>
      </c>
      <c r="Z10" s="6">
        <f>LAVORAZIONI!AF9</f>
        <v/>
      </c>
      <c r="AA10" s="7">
        <f>LAVORAZIONI!AG9</f>
        <v/>
      </c>
      <c r="AB10" s="6">
        <f>LAVORAZIONI!AH9</f>
        <v/>
      </c>
      <c r="AC10" s="7">
        <f>LAVORAZIONI!AI9</f>
        <v/>
      </c>
      <c r="AD10" s="13">
        <f>LAVORAZIONI!AJ9</f>
        <v/>
      </c>
    </row>
    <row r="11" ht="71" customHeight="1" s="46">
      <c r="B11" s="4">
        <f>LAVORAZIONI!G10</f>
        <v/>
      </c>
      <c r="C11" s="3">
        <f>LAVORAZIONI!A10</f>
        <v/>
      </c>
      <c r="D11" s="3">
        <f>LAVORAZIONI!K10</f>
        <v/>
      </c>
      <c r="E11" s="4">
        <f>LAVORAZIONI!H10</f>
        <v/>
      </c>
      <c r="F11" s="4">
        <f>LAVORAZIONI!M10</f>
        <v/>
      </c>
      <c r="G11" s="5">
        <f>LAVORAZIONI!N10</f>
        <v/>
      </c>
      <c r="H11" s="6">
        <f>LAVORAZIONI!O10</f>
        <v/>
      </c>
      <c r="I11" s="13">
        <f>LAVORAZIONI!P10</f>
        <v/>
      </c>
      <c r="J11" s="5">
        <f>IF(LAVORAZIONI!Q10="","",LAVORAZIONI!Q10)</f>
        <v/>
      </c>
      <c r="K11" s="6">
        <f>IF(LAVORAZIONI!R10="","",LAVORAZIONI!R10)</f>
        <v/>
      </c>
      <c r="L11" s="13">
        <f>IF(LAVORAZIONI!S10="","",LAVORAZIONI!S10)</f>
        <v/>
      </c>
      <c r="M11" s="13">
        <f>LAVORAZIONI!T10</f>
        <v/>
      </c>
      <c r="O11" s="7">
        <f>LAVORAZIONI!U10</f>
        <v/>
      </c>
      <c r="P11" s="45">
        <f>LAVORAZIONI!V10</f>
        <v/>
      </c>
      <c r="Q11" s="7">
        <f>LAVORAZIONI!W10</f>
        <v/>
      </c>
      <c r="R11" s="6">
        <f>LAVORAZIONI!X10</f>
        <v/>
      </c>
      <c r="S11" s="7">
        <f>LAVORAZIONI!Y10</f>
        <v/>
      </c>
      <c r="T11" s="6">
        <f>LAVORAZIONI!Z10</f>
        <v/>
      </c>
      <c r="U11" s="7">
        <f>LAVORAZIONI!AA10</f>
        <v/>
      </c>
      <c r="V11" s="6">
        <f>LAVORAZIONI!AB10</f>
        <v/>
      </c>
      <c r="W11" s="7">
        <f>LAVORAZIONI!AC10</f>
        <v/>
      </c>
      <c r="X11" s="6">
        <f>LAVORAZIONI!AD10</f>
        <v/>
      </c>
      <c r="Y11" s="7">
        <f>LAVORAZIONI!AE10</f>
        <v/>
      </c>
      <c r="Z11" s="6">
        <f>LAVORAZIONI!AF10</f>
        <v/>
      </c>
      <c r="AA11" s="7">
        <f>LAVORAZIONI!AG10</f>
        <v/>
      </c>
      <c r="AB11" s="6">
        <f>LAVORAZIONI!AH10</f>
        <v/>
      </c>
      <c r="AC11" s="7">
        <f>LAVORAZIONI!AI10</f>
        <v/>
      </c>
      <c r="AD11" s="13">
        <f>LAVORAZIONI!AJ10</f>
        <v/>
      </c>
    </row>
    <row r="12" ht="71" customHeight="1" s="46">
      <c r="B12" s="4">
        <f>LAVORAZIONI!G11</f>
        <v/>
      </c>
      <c r="C12" s="3">
        <f>LAVORAZIONI!A11</f>
        <v/>
      </c>
      <c r="D12" s="3">
        <f>LAVORAZIONI!K11</f>
        <v/>
      </c>
      <c r="E12" s="4">
        <f>LAVORAZIONI!H11</f>
        <v/>
      </c>
      <c r="F12" s="4">
        <f>LAVORAZIONI!M11</f>
        <v/>
      </c>
      <c r="G12" s="5">
        <f>LAVORAZIONI!N11</f>
        <v/>
      </c>
      <c r="H12" s="6">
        <f>LAVORAZIONI!O11</f>
        <v/>
      </c>
      <c r="I12" s="13">
        <f>LAVORAZIONI!P11</f>
        <v/>
      </c>
      <c r="J12" s="5">
        <f>IF(LAVORAZIONI!Q11="","",LAVORAZIONI!Q11)</f>
        <v/>
      </c>
      <c r="K12" s="6">
        <f>IF(LAVORAZIONI!R11="","",LAVORAZIONI!R11)</f>
        <v/>
      </c>
      <c r="L12" s="13">
        <f>IF(LAVORAZIONI!S11="","",LAVORAZIONI!S11)</f>
        <v/>
      </c>
      <c r="M12" s="13">
        <f>LAVORAZIONI!T11</f>
        <v/>
      </c>
      <c r="O12" s="7">
        <f>LAVORAZIONI!U11</f>
        <v/>
      </c>
      <c r="P12" s="45">
        <f>LAVORAZIONI!V11</f>
        <v/>
      </c>
      <c r="Q12" s="7">
        <f>LAVORAZIONI!W11</f>
        <v/>
      </c>
      <c r="R12" s="6">
        <f>LAVORAZIONI!X11</f>
        <v/>
      </c>
      <c r="S12" s="7">
        <f>LAVORAZIONI!Y11</f>
        <v/>
      </c>
      <c r="T12" s="6">
        <f>LAVORAZIONI!Z11</f>
        <v/>
      </c>
      <c r="U12" s="7">
        <f>LAVORAZIONI!AA11</f>
        <v/>
      </c>
      <c r="V12" s="6">
        <f>LAVORAZIONI!AB11</f>
        <v/>
      </c>
      <c r="W12" s="7">
        <f>LAVORAZIONI!AC11</f>
        <v/>
      </c>
      <c r="X12" s="6">
        <f>LAVORAZIONI!AD11</f>
        <v/>
      </c>
      <c r="Y12" s="7">
        <f>LAVORAZIONI!AE11</f>
        <v/>
      </c>
      <c r="Z12" s="6">
        <f>LAVORAZIONI!AF11</f>
        <v/>
      </c>
      <c r="AA12" s="7">
        <f>LAVORAZIONI!AG11</f>
        <v/>
      </c>
      <c r="AB12" s="6">
        <f>LAVORAZIONI!AH11</f>
        <v/>
      </c>
      <c r="AC12" s="7">
        <f>LAVORAZIONI!AI11</f>
        <v/>
      </c>
      <c r="AD12" s="13">
        <f>LAVORAZIONI!AJ11</f>
        <v/>
      </c>
    </row>
    <row r="13" ht="71" customHeight="1" s="46">
      <c r="B13" s="4">
        <f>LAVORAZIONI!G12</f>
        <v/>
      </c>
      <c r="C13" s="3">
        <f>LAVORAZIONI!A12</f>
        <v/>
      </c>
      <c r="D13" s="3">
        <f>LAVORAZIONI!K12</f>
        <v/>
      </c>
      <c r="E13" s="4">
        <f>LAVORAZIONI!H12</f>
        <v/>
      </c>
      <c r="F13" s="4">
        <f>LAVORAZIONI!M12</f>
        <v/>
      </c>
      <c r="G13" s="5">
        <f>LAVORAZIONI!N12</f>
        <v/>
      </c>
      <c r="H13" s="6">
        <f>LAVORAZIONI!O12</f>
        <v/>
      </c>
      <c r="I13" s="13">
        <f>LAVORAZIONI!P12</f>
        <v/>
      </c>
      <c r="J13" s="5">
        <f>IF(LAVORAZIONI!Q12="","",LAVORAZIONI!Q12)</f>
        <v/>
      </c>
      <c r="K13" s="6">
        <f>IF(LAVORAZIONI!R12="","",LAVORAZIONI!R12)</f>
        <v/>
      </c>
      <c r="L13" s="13">
        <f>IF(LAVORAZIONI!S12="","",LAVORAZIONI!S12)</f>
        <v/>
      </c>
      <c r="M13" s="13">
        <f>LAVORAZIONI!T12</f>
        <v/>
      </c>
      <c r="O13" s="7">
        <f>LAVORAZIONI!U12</f>
        <v/>
      </c>
      <c r="P13" s="45">
        <f>LAVORAZIONI!V12</f>
        <v/>
      </c>
      <c r="Q13" s="7">
        <f>LAVORAZIONI!W12</f>
        <v/>
      </c>
      <c r="R13" s="6">
        <f>LAVORAZIONI!X12</f>
        <v/>
      </c>
      <c r="S13" s="7">
        <f>LAVORAZIONI!Y12</f>
        <v/>
      </c>
      <c r="T13" s="6">
        <f>LAVORAZIONI!Z12</f>
        <v/>
      </c>
      <c r="U13" s="7">
        <f>LAVORAZIONI!AA12</f>
        <v/>
      </c>
      <c r="V13" s="6">
        <f>LAVORAZIONI!AB12</f>
        <v/>
      </c>
      <c r="W13" s="7">
        <f>LAVORAZIONI!AC12</f>
        <v/>
      </c>
      <c r="X13" s="6">
        <f>LAVORAZIONI!AD12</f>
        <v/>
      </c>
      <c r="Y13" s="7">
        <f>LAVORAZIONI!AE12</f>
        <v/>
      </c>
      <c r="Z13" s="6">
        <f>LAVORAZIONI!AF12</f>
        <v/>
      </c>
      <c r="AA13" s="7">
        <f>LAVORAZIONI!AG12</f>
        <v/>
      </c>
      <c r="AB13" s="6">
        <f>LAVORAZIONI!AH12</f>
        <v/>
      </c>
      <c r="AC13" s="7">
        <f>LAVORAZIONI!AI12</f>
        <v/>
      </c>
      <c r="AD13" s="13">
        <f>LAVORAZIONI!AJ12</f>
        <v/>
      </c>
    </row>
    <row r="14" ht="71" customHeight="1" s="46">
      <c r="B14" s="4">
        <f>LAVORAZIONI!G13</f>
        <v/>
      </c>
      <c r="C14" s="3">
        <f>LAVORAZIONI!A13</f>
        <v/>
      </c>
      <c r="D14" s="3">
        <f>LAVORAZIONI!K13</f>
        <v/>
      </c>
      <c r="E14" s="4">
        <f>LAVORAZIONI!H13</f>
        <v/>
      </c>
      <c r="F14" s="4">
        <f>LAVORAZIONI!M13</f>
        <v/>
      </c>
      <c r="G14" s="5">
        <f>LAVORAZIONI!N13</f>
        <v/>
      </c>
      <c r="H14" s="6">
        <f>LAVORAZIONI!O13</f>
        <v/>
      </c>
      <c r="I14" s="13">
        <f>LAVORAZIONI!P13</f>
        <v/>
      </c>
      <c r="J14" s="5">
        <f>IF(LAVORAZIONI!Q13="","",LAVORAZIONI!Q13)</f>
        <v/>
      </c>
      <c r="K14" s="6">
        <f>IF(LAVORAZIONI!R13="","",LAVORAZIONI!R13)</f>
        <v/>
      </c>
      <c r="L14" s="13">
        <f>IF(LAVORAZIONI!S13="","",LAVORAZIONI!S13)</f>
        <v/>
      </c>
      <c r="M14" s="13">
        <f>LAVORAZIONI!T13</f>
        <v/>
      </c>
      <c r="O14" s="7">
        <f>LAVORAZIONI!U13</f>
        <v/>
      </c>
      <c r="P14" s="45">
        <f>LAVORAZIONI!V13</f>
        <v/>
      </c>
      <c r="Q14" s="7">
        <f>LAVORAZIONI!W13</f>
        <v/>
      </c>
      <c r="R14" s="6">
        <f>LAVORAZIONI!X13</f>
        <v/>
      </c>
      <c r="S14" s="7">
        <f>LAVORAZIONI!Y13</f>
        <v/>
      </c>
      <c r="T14" s="6">
        <f>LAVORAZIONI!Z13</f>
        <v/>
      </c>
      <c r="U14" s="7">
        <f>LAVORAZIONI!AA13</f>
        <v/>
      </c>
      <c r="V14" s="6">
        <f>LAVORAZIONI!AB13</f>
        <v/>
      </c>
      <c r="W14" s="7">
        <f>LAVORAZIONI!AC13</f>
        <v/>
      </c>
      <c r="X14" s="6">
        <f>LAVORAZIONI!AD13</f>
        <v/>
      </c>
      <c r="Y14" s="7">
        <f>LAVORAZIONI!AE13</f>
        <v/>
      </c>
      <c r="Z14" s="6">
        <f>LAVORAZIONI!AF13</f>
        <v/>
      </c>
      <c r="AA14" s="7">
        <f>LAVORAZIONI!AG13</f>
        <v/>
      </c>
      <c r="AB14" s="6">
        <f>LAVORAZIONI!AH13</f>
        <v/>
      </c>
      <c r="AC14" s="7">
        <f>LAVORAZIONI!AI13</f>
        <v/>
      </c>
      <c r="AD14" s="13">
        <f>LAVORAZIONI!AJ13</f>
        <v/>
      </c>
    </row>
    <row r="15" ht="71" customHeight="1" s="46">
      <c r="B15" s="4">
        <f>LAVORAZIONI!G14</f>
        <v/>
      </c>
      <c r="C15" s="3">
        <f>LAVORAZIONI!A14</f>
        <v/>
      </c>
      <c r="D15" s="3">
        <f>LAVORAZIONI!K14</f>
        <v/>
      </c>
      <c r="E15" s="4">
        <f>LAVORAZIONI!H14</f>
        <v/>
      </c>
      <c r="F15" s="4">
        <f>LAVORAZIONI!M14</f>
        <v/>
      </c>
      <c r="G15" s="5">
        <f>LAVORAZIONI!N14</f>
        <v/>
      </c>
      <c r="H15" s="6">
        <f>LAVORAZIONI!O14</f>
        <v/>
      </c>
      <c r="I15" s="13">
        <f>LAVORAZIONI!P14</f>
        <v/>
      </c>
      <c r="J15" s="5">
        <f>IF(LAVORAZIONI!Q14="","",LAVORAZIONI!Q14)</f>
        <v/>
      </c>
      <c r="K15" s="6">
        <f>IF(LAVORAZIONI!R14="","",LAVORAZIONI!R14)</f>
        <v/>
      </c>
      <c r="L15" s="13">
        <f>IF(LAVORAZIONI!S14="","",LAVORAZIONI!S14)</f>
        <v/>
      </c>
      <c r="M15" s="13">
        <f>LAVORAZIONI!T14</f>
        <v/>
      </c>
      <c r="O15" s="7">
        <f>LAVORAZIONI!U14</f>
        <v/>
      </c>
      <c r="P15" s="45">
        <f>LAVORAZIONI!V14</f>
        <v/>
      </c>
      <c r="Q15" s="7">
        <f>LAVORAZIONI!W14</f>
        <v/>
      </c>
      <c r="R15" s="6">
        <f>LAVORAZIONI!X14</f>
        <v/>
      </c>
      <c r="S15" s="7">
        <f>LAVORAZIONI!Y14</f>
        <v/>
      </c>
      <c r="T15" s="6">
        <f>LAVORAZIONI!Z14</f>
        <v/>
      </c>
      <c r="U15" s="7">
        <f>LAVORAZIONI!AA14</f>
        <v/>
      </c>
      <c r="V15" s="6">
        <f>LAVORAZIONI!AB14</f>
        <v/>
      </c>
      <c r="W15" s="7">
        <f>LAVORAZIONI!AC14</f>
        <v/>
      </c>
      <c r="X15" s="6">
        <f>LAVORAZIONI!AD14</f>
        <v/>
      </c>
      <c r="Y15" s="7">
        <f>LAVORAZIONI!AE14</f>
        <v/>
      </c>
      <c r="Z15" s="6">
        <f>LAVORAZIONI!AF14</f>
        <v/>
      </c>
      <c r="AA15" s="7">
        <f>LAVORAZIONI!AG14</f>
        <v/>
      </c>
      <c r="AB15" s="6">
        <f>LAVORAZIONI!AH14</f>
        <v/>
      </c>
      <c r="AC15" s="7">
        <f>LAVORAZIONI!AI14</f>
        <v/>
      </c>
      <c r="AD15" s="13">
        <f>LAVORAZIONI!AJ14</f>
        <v/>
      </c>
    </row>
    <row r="16" ht="71" customHeight="1" s="46">
      <c r="B16" s="4">
        <f>LAVORAZIONI!G15</f>
        <v/>
      </c>
      <c r="C16" s="3">
        <f>LAVORAZIONI!A15</f>
        <v/>
      </c>
      <c r="D16" s="3">
        <f>LAVORAZIONI!K15</f>
        <v/>
      </c>
      <c r="E16" s="4">
        <f>LAVORAZIONI!H15</f>
        <v/>
      </c>
      <c r="F16" s="4">
        <f>LAVORAZIONI!M15</f>
        <v/>
      </c>
      <c r="G16" s="5">
        <f>LAVORAZIONI!N15</f>
        <v/>
      </c>
      <c r="H16" s="6">
        <f>LAVORAZIONI!O15</f>
        <v/>
      </c>
      <c r="I16" s="13">
        <f>LAVORAZIONI!P15</f>
        <v/>
      </c>
      <c r="J16" s="5">
        <f>IF(LAVORAZIONI!Q15="","",LAVORAZIONI!Q15)</f>
        <v/>
      </c>
      <c r="K16" s="6">
        <f>IF(LAVORAZIONI!R15="","",LAVORAZIONI!R15)</f>
        <v/>
      </c>
      <c r="L16" s="13">
        <f>IF(LAVORAZIONI!S15="","",LAVORAZIONI!S15)</f>
        <v/>
      </c>
      <c r="M16" s="13">
        <f>LAVORAZIONI!T15</f>
        <v/>
      </c>
      <c r="O16" s="7">
        <f>LAVORAZIONI!U15</f>
        <v/>
      </c>
      <c r="P16" s="45">
        <f>LAVORAZIONI!V15</f>
        <v/>
      </c>
      <c r="Q16" s="7">
        <f>LAVORAZIONI!W15</f>
        <v/>
      </c>
      <c r="R16" s="6">
        <f>LAVORAZIONI!X15</f>
        <v/>
      </c>
      <c r="S16" s="7">
        <f>LAVORAZIONI!Y15</f>
        <v/>
      </c>
      <c r="T16" s="6">
        <f>LAVORAZIONI!Z15</f>
        <v/>
      </c>
      <c r="U16" s="7">
        <f>LAVORAZIONI!AA15</f>
        <v/>
      </c>
      <c r="V16" s="6">
        <f>LAVORAZIONI!AB15</f>
        <v/>
      </c>
      <c r="W16" s="7">
        <f>LAVORAZIONI!AC15</f>
        <v/>
      </c>
      <c r="X16" s="6">
        <f>LAVORAZIONI!AD15</f>
        <v/>
      </c>
      <c r="Y16" s="7">
        <f>LAVORAZIONI!AE15</f>
        <v/>
      </c>
      <c r="Z16" s="6">
        <f>LAVORAZIONI!AF15</f>
        <v/>
      </c>
      <c r="AA16" s="7">
        <f>LAVORAZIONI!AG15</f>
        <v/>
      </c>
      <c r="AB16" s="6">
        <f>LAVORAZIONI!AH15</f>
        <v/>
      </c>
      <c r="AC16" s="7">
        <f>LAVORAZIONI!AI15</f>
        <v/>
      </c>
      <c r="AD16" s="13">
        <f>LAVORAZIONI!AJ15</f>
        <v/>
      </c>
    </row>
    <row r="17" ht="71" customHeight="1" s="46">
      <c r="B17" s="4">
        <f>LAVORAZIONI!G16</f>
        <v/>
      </c>
      <c r="C17" s="3">
        <f>LAVORAZIONI!A16</f>
        <v/>
      </c>
      <c r="D17" s="3">
        <f>LAVORAZIONI!K16</f>
        <v/>
      </c>
      <c r="E17" s="4">
        <f>LAVORAZIONI!H16</f>
        <v/>
      </c>
      <c r="F17" s="4">
        <f>LAVORAZIONI!M16</f>
        <v/>
      </c>
      <c r="G17" s="5">
        <f>LAVORAZIONI!N16</f>
        <v/>
      </c>
      <c r="H17" s="6">
        <f>LAVORAZIONI!O16</f>
        <v/>
      </c>
      <c r="I17" s="13">
        <f>LAVORAZIONI!P16</f>
        <v/>
      </c>
      <c r="J17" s="5">
        <f>IF(LAVORAZIONI!Q16="","",LAVORAZIONI!Q16)</f>
        <v/>
      </c>
      <c r="K17" s="6">
        <f>IF(LAVORAZIONI!R16="","",LAVORAZIONI!R16)</f>
        <v/>
      </c>
      <c r="L17" s="13">
        <f>IF(LAVORAZIONI!S16="","",LAVORAZIONI!S16)</f>
        <v/>
      </c>
      <c r="M17" s="13">
        <f>LAVORAZIONI!T16</f>
        <v/>
      </c>
      <c r="O17" s="7">
        <f>LAVORAZIONI!U16</f>
        <v/>
      </c>
      <c r="P17" s="45">
        <f>LAVORAZIONI!V16</f>
        <v/>
      </c>
      <c r="Q17" s="7">
        <f>LAVORAZIONI!W16</f>
        <v/>
      </c>
      <c r="R17" s="6">
        <f>LAVORAZIONI!X16</f>
        <v/>
      </c>
      <c r="S17" s="7">
        <f>LAVORAZIONI!Y16</f>
        <v/>
      </c>
      <c r="T17" s="6">
        <f>LAVORAZIONI!Z16</f>
        <v/>
      </c>
      <c r="U17" s="7">
        <f>LAVORAZIONI!AA16</f>
        <v/>
      </c>
      <c r="V17" s="6">
        <f>LAVORAZIONI!AB16</f>
        <v/>
      </c>
      <c r="W17" s="7">
        <f>LAVORAZIONI!AC16</f>
        <v/>
      </c>
      <c r="X17" s="6">
        <f>LAVORAZIONI!AD16</f>
        <v/>
      </c>
      <c r="Y17" s="7">
        <f>LAVORAZIONI!AE16</f>
        <v/>
      </c>
      <c r="Z17" s="6">
        <f>LAVORAZIONI!AF16</f>
        <v/>
      </c>
      <c r="AA17" s="7">
        <f>LAVORAZIONI!AG16</f>
        <v/>
      </c>
      <c r="AB17" s="6">
        <f>LAVORAZIONI!AH16</f>
        <v/>
      </c>
      <c r="AC17" s="7">
        <f>LAVORAZIONI!AI16</f>
        <v/>
      </c>
      <c r="AD17" s="13">
        <f>LAVORAZIONI!AJ16</f>
        <v/>
      </c>
    </row>
    <row r="18" ht="71" customHeight="1" s="46">
      <c r="B18" s="4">
        <f>LAVORAZIONI!G17</f>
        <v/>
      </c>
      <c r="C18" s="3">
        <f>LAVORAZIONI!A17</f>
        <v/>
      </c>
      <c r="D18" s="3">
        <f>LAVORAZIONI!K17</f>
        <v/>
      </c>
      <c r="E18" s="4">
        <f>LAVORAZIONI!H17</f>
        <v/>
      </c>
      <c r="F18" s="4">
        <f>LAVORAZIONI!M17</f>
        <v/>
      </c>
      <c r="G18" s="5">
        <f>LAVORAZIONI!N17</f>
        <v/>
      </c>
      <c r="H18" s="6">
        <f>LAVORAZIONI!O17</f>
        <v/>
      </c>
      <c r="I18" s="13">
        <f>LAVORAZIONI!P17</f>
        <v/>
      </c>
      <c r="J18" s="5">
        <f>IF(LAVORAZIONI!Q17="","",LAVORAZIONI!Q17)</f>
        <v/>
      </c>
      <c r="K18" s="6">
        <f>IF(LAVORAZIONI!R17="","",LAVORAZIONI!R17)</f>
        <v/>
      </c>
      <c r="L18" s="13">
        <f>IF(LAVORAZIONI!S17="","",LAVORAZIONI!S17)</f>
        <v/>
      </c>
      <c r="M18" s="13">
        <f>LAVORAZIONI!T17</f>
        <v/>
      </c>
      <c r="O18" s="7">
        <f>LAVORAZIONI!U17</f>
        <v/>
      </c>
      <c r="P18" s="45">
        <f>LAVORAZIONI!V17</f>
        <v/>
      </c>
      <c r="Q18" s="7">
        <f>LAVORAZIONI!W17</f>
        <v/>
      </c>
      <c r="R18" s="6">
        <f>LAVORAZIONI!X17</f>
        <v/>
      </c>
      <c r="S18" s="7">
        <f>LAVORAZIONI!Y17</f>
        <v/>
      </c>
      <c r="T18" s="6">
        <f>LAVORAZIONI!Z17</f>
        <v/>
      </c>
      <c r="U18" s="7">
        <f>LAVORAZIONI!AA17</f>
        <v/>
      </c>
      <c r="V18" s="6">
        <f>LAVORAZIONI!AB17</f>
        <v/>
      </c>
      <c r="W18" s="7">
        <f>LAVORAZIONI!AC17</f>
        <v/>
      </c>
      <c r="X18" s="6">
        <f>LAVORAZIONI!AD17</f>
        <v/>
      </c>
      <c r="Y18" s="7">
        <f>LAVORAZIONI!AE17</f>
        <v/>
      </c>
      <c r="Z18" s="6">
        <f>LAVORAZIONI!AF17</f>
        <v/>
      </c>
      <c r="AA18" s="7">
        <f>LAVORAZIONI!AG17</f>
        <v/>
      </c>
      <c r="AB18" s="6">
        <f>LAVORAZIONI!AH17</f>
        <v/>
      </c>
      <c r="AC18" s="7">
        <f>LAVORAZIONI!AI17</f>
        <v/>
      </c>
      <c r="AD18" s="13">
        <f>LAVORAZIONI!AJ17</f>
        <v/>
      </c>
    </row>
    <row r="19" ht="71" customHeight="1" s="46">
      <c r="B19" s="4">
        <f>LAVORAZIONI!G18</f>
        <v/>
      </c>
      <c r="C19" s="3">
        <f>LAVORAZIONI!A18</f>
        <v/>
      </c>
      <c r="D19" s="3">
        <f>LAVORAZIONI!K18</f>
        <v/>
      </c>
      <c r="E19" s="4">
        <f>LAVORAZIONI!H18</f>
        <v/>
      </c>
      <c r="F19" s="4">
        <f>LAVORAZIONI!M18</f>
        <v/>
      </c>
      <c r="G19" s="5">
        <f>LAVORAZIONI!N18</f>
        <v/>
      </c>
      <c r="H19" s="6">
        <f>LAVORAZIONI!O18</f>
        <v/>
      </c>
      <c r="I19" s="13">
        <f>LAVORAZIONI!P18</f>
        <v/>
      </c>
      <c r="J19" s="5">
        <f>IF(LAVORAZIONI!Q18="","",LAVORAZIONI!Q18)</f>
        <v/>
      </c>
      <c r="K19" s="6">
        <f>IF(LAVORAZIONI!R18="","",LAVORAZIONI!R18)</f>
        <v/>
      </c>
      <c r="L19" s="13">
        <f>IF(LAVORAZIONI!S18="","",LAVORAZIONI!S18)</f>
        <v/>
      </c>
      <c r="M19" s="13">
        <f>LAVORAZIONI!T18</f>
        <v/>
      </c>
      <c r="O19" s="7">
        <f>LAVORAZIONI!U18</f>
        <v/>
      </c>
      <c r="P19" s="45">
        <f>LAVORAZIONI!V18</f>
        <v/>
      </c>
      <c r="Q19" s="7">
        <f>LAVORAZIONI!W18</f>
        <v/>
      </c>
      <c r="R19" s="6">
        <f>LAVORAZIONI!X18</f>
        <v/>
      </c>
      <c r="S19" s="7">
        <f>LAVORAZIONI!Y18</f>
        <v/>
      </c>
      <c r="T19" s="6">
        <f>LAVORAZIONI!Z18</f>
        <v/>
      </c>
      <c r="U19" s="7">
        <f>LAVORAZIONI!AA18</f>
        <v/>
      </c>
      <c r="V19" s="6">
        <f>LAVORAZIONI!AB18</f>
        <v/>
      </c>
      <c r="W19" s="7">
        <f>LAVORAZIONI!AC18</f>
        <v/>
      </c>
      <c r="X19" s="6">
        <f>LAVORAZIONI!AD18</f>
        <v/>
      </c>
      <c r="Y19" s="7">
        <f>LAVORAZIONI!AE18</f>
        <v/>
      </c>
      <c r="Z19" s="6">
        <f>LAVORAZIONI!AF18</f>
        <v/>
      </c>
      <c r="AA19" s="7">
        <f>LAVORAZIONI!AG18</f>
        <v/>
      </c>
      <c r="AB19" s="6">
        <f>LAVORAZIONI!AH18</f>
        <v/>
      </c>
      <c r="AC19" s="7">
        <f>LAVORAZIONI!AI18</f>
        <v/>
      </c>
      <c r="AD19" s="13">
        <f>LAVORAZIONI!AJ18</f>
        <v/>
      </c>
    </row>
    <row r="20" ht="71" customHeight="1" s="46">
      <c r="B20" s="4">
        <f>LAVORAZIONI!G19</f>
        <v/>
      </c>
      <c r="C20" s="3">
        <f>LAVORAZIONI!A19</f>
        <v/>
      </c>
      <c r="D20" s="3">
        <f>LAVORAZIONI!K19</f>
        <v/>
      </c>
      <c r="E20" s="4">
        <f>LAVORAZIONI!H19</f>
        <v/>
      </c>
      <c r="F20" s="4">
        <f>LAVORAZIONI!M19</f>
        <v/>
      </c>
      <c r="G20" s="5">
        <f>LAVORAZIONI!N19</f>
        <v/>
      </c>
      <c r="H20" s="6">
        <f>LAVORAZIONI!O19</f>
        <v/>
      </c>
      <c r="I20" s="13">
        <f>LAVORAZIONI!P19</f>
        <v/>
      </c>
      <c r="J20" s="5">
        <f>IF(LAVORAZIONI!Q19="","",LAVORAZIONI!Q19)</f>
        <v/>
      </c>
      <c r="K20" s="6">
        <f>IF(LAVORAZIONI!R19="","",LAVORAZIONI!R19)</f>
        <v/>
      </c>
      <c r="L20" s="13">
        <f>IF(LAVORAZIONI!S19="","",LAVORAZIONI!S19)</f>
        <v/>
      </c>
      <c r="M20" s="13">
        <f>LAVORAZIONI!T19</f>
        <v/>
      </c>
      <c r="O20" s="7">
        <f>LAVORAZIONI!U19</f>
        <v/>
      </c>
      <c r="P20" s="45">
        <f>LAVORAZIONI!V19</f>
        <v/>
      </c>
      <c r="Q20" s="7">
        <f>LAVORAZIONI!W19</f>
        <v/>
      </c>
      <c r="R20" s="6">
        <f>LAVORAZIONI!X19</f>
        <v/>
      </c>
      <c r="S20" s="7">
        <f>LAVORAZIONI!Y19</f>
        <v/>
      </c>
      <c r="T20" s="6">
        <f>LAVORAZIONI!Z19</f>
        <v/>
      </c>
      <c r="U20" s="7">
        <f>LAVORAZIONI!AA19</f>
        <v/>
      </c>
      <c r="V20" s="6">
        <f>LAVORAZIONI!AB19</f>
        <v/>
      </c>
      <c r="W20" s="7">
        <f>LAVORAZIONI!AC19</f>
        <v/>
      </c>
      <c r="X20" s="6">
        <f>LAVORAZIONI!AD19</f>
        <v/>
      </c>
      <c r="Y20" s="7">
        <f>LAVORAZIONI!AE19</f>
        <v/>
      </c>
      <c r="Z20" s="6">
        <f>LAVORAZIONI!AF19</f>
        <v/>
      </c>
      <c r="AA20" s="7">
        <f>LAVORAZIONI!AG19</f>
        <v/>
      </c>
      <c r="AB20" s="6">
        <f>LAVORAZIONI!AH19</f>
        <v/>
      </c>
      <c r="AC20" s="7">
        <f>LAVORAZIONI!AI19</f>
        <v/>
      </c>
      <c r="AD20" s="13">
        <f>LAVORAZIONI!AJ19</f>
        <v/>
      </c>
    </row>
    <row r="21" ht="71" customHeight="1" s="46">
      <c r="B21" s="4">
        <f>LAVORAZIONI!G20</f>
        <v/>
      </c>
      <c r="C21" s="3">
        <f>LAVORAZIONI!A20</f>
        <v/>
      </c>
      <c r="D21" s="3">
        <f>LAVORAZIONI!K20</f>
        <v/>
      </c>
      <c r="E21" s="4">
        <f>LAVORAZIONI!H20</f>
        <v/>
      </c>
      <c r="F21" s="4">
        <f>LAVORAZIONI!M20</f>
        <v/>
      </c>
      <c r="G21" s="5">
        <f>LAVORAZIONI!N20</f>
        <v/>
      </c>
      <c r="H21" s="6">
        <f>LAVORAZIONI!O20</f>
        <v/>
      </c>
      <c r="I21" s="13">
        <f>LAVORAZIONI!P20</f>
        <v/>
      </c>
      <c r="J21" s="5">
        <f>IF(LAVORAZIONI!Q20="","",LAVORAZIONI!Q20)</f>
        <v/>
      </c>
      <c r="K21" s="6">
        <f>IF(LAVORAZIONI!R20="","",LAVORAZIONI!R20)</f>
        <v/>
      </c>
      <c r="L21" s="13">
        <f>IF(LAVORAZIONI!S20="","",LAVORAZIONI!S20)</f>
        <v/>
      </c>
      <c r="M21" s="13">
        <f>LAVORAZIONI!T20</f>
        <v/>
      </c>
      <c r="O21" s="7">
        <f>LAVORAZIONI!U20</f>
        <v/>
      </c>
      <c r="P21" s="45">
        <f>LAVORAZIONI!V20</f>
        <v/>
      </c>
      <c r="Q21" s="7">
        <f>LAVORAZIONI!W20</f>
        <v/>
      </c>
      <c r="R21" s="6">
        <f>LAVORAZIONI!X20</f>
        <v/>
      </c>
      <c r="S21" s="7">
        <f>LAVORAZIONI!Y20</f>
        <v/>
      </c>
      <c r="T21" s="6">
        <f>LAVORAZIONI!Z20</f>
        <v/>
      </c>
      <c r="U21" s="7">
        <f>LAVORAZIONI!AA20</f>
        <v/>
      </c>
      <c r="V21" s="6">
        <f>LAVORAZIONI!AB20</f>
        <v/>
      </c>
      <c r="W21" s="7">
        <f>LAVORAZIONI!AC20</f>
        <v/>
      </c>
      <c r="X21" s="6">
        <f>LAVORAZIONI!AD20</f>
        <v/>
      </c>
      <c r="Y21" s="7">
        <f>LAVORAZIONI!AE20</f>
        <v/>
      </c>
      <c r="Z21" s="6">
        <f>LAVORAZIONI!AF20</f>
        <v/>
      </c>
      <c r="AA21" s="7">
        <f>LAVORAZIONI!AG20</f>
        <v/>
      </c>
      <c r="AB21" s="6">
        <f>LAVORAZIONI!AH20</f>
        <v/>
      </c>
      <c r="AC21" s="7">
        <f>LAVORAZIONI!AI20</f>
        <v/>
      </c>
      <c r="AD21" s="13">
        <f>LAVORAZIONI!AJ20</f>
        <v/>
      </c>
    </row>
    <row r="22" ht="71" customHeight="1" s="46">
      <c r="B22" s="4">
        <f>LAVORAZIONI!G21</f>
        <v/>
      </c>
      <c r="C22" s="3">
        <f>LAVORAZIONI!A21</f>
        <v/>
      </c>
      <c r="D22" s="3">
        <f>LAVORAZIONI!K21</f>
        <v/>
      </c>
      <c r="E22" s="4">
        <f>LAVORAZIONI!H21</f>
        <v/>
      </c>
      <c r="F22" s="4">
        <f>LAVORAZIONI!M21</f>
        <v/>
      </c>
      <c r="G22" s="5">
        <f>LAVORAZIONI!N21</f>
        <v/>
      </c>
      <c r="H22" s="6">
        <f>LAVORAZIONI!O21</f>
        <v/>
      </c>
      <c r="I22" s="13">
        <f>LAVORAZIONI!P21</f>
        <v/>
      </c>
      <c r="J22" s="5">
        <f>IF(LAVORAZIONI!Q21="","",LAVORAZIONI!Q21)</f>
        <v/>
      </c>
      <c r="K22" s="6">
        <f>IF(LAVORAZIONI!R21="","",LAVORAZIONI!R21)</f>
        <v/>
      </c>
      <c r="L22" s="13">
        <f>IF(LAVORAZIONI!S21="","",LAVORAZIONI!S21)</f>
        <v/>
      </c>
      <c r="M22" s="13">
        <f>LAVORAZIONI!T21</f>
        <v/>
      </c>
      <c r="O22" s="7">
        <f>LAVORAZIONI!U21</f>
        <v/>
      </c>
      <c r="P22" s="45">
        <f>LAVORAZIONI!V21</f>
        <v/>
      </c>
      <c r="Q22" s="7">
        <f>LAVORAZIONI!W21</f>
        <v/>
      </c>
      <c r="R22" s="6">
        <f>LAVORAZIONI!X21</f>
        <v/>
      </c>
      <c r="S22" s="7">
        <f>LAVORAZIONI!Y21</f>
        <v/>
      </c>
      <c r="T22" s="6">
        <f>LAVORAZIONI!Z21</f>
        <v/>
      </c>
      <c r="U22" s="7">
        <f>LAVORAZIONI!AA21</f>
        <v/>
      </c>
      <c r="V22" s="6">
        <f>LAVORAZIONI!AB21</f>
        <v/>
      </c>
      <c r="W22" s="7">
        <f>LAVORAZIONI!AC21</f>
        <v/>
      </c>
      <c r="X22" s="6">
        <f>LAVORAZIONI!AD21</f>
        <v/>
      </c>
      <c r="Y22" s="7">
        <f>LAVORAZIONI!AE21</f>
        <v/>
      </c>
      <c r="Z22" s="6">
        <f>LAVORAZIONI!AF21</f>
        <v/>
      </c>
      <c r="AA22" s="7">
        <f>LAVORAZIONI!AG21</f>
        <v/>
      </c>
      <c r="AB22" s="6">
        <f>LAVORAZIONI!AH21</f>
        <v/>
      </c>
      <c r="AC22" s="7">
        <f>LAVORAZIONI!AI21</f>
        <v/>
      </c>
      <c r="AD22" s="13">
        <f>LAVORAZIONI!AJ21</f>
        <v/>
      </c>
    </row>
    <row r="23" ht="71" customHeight="1" s="46">
      <c r="B23" s="4">
        <f>LAVORAZIONI!G22</f>
        <v/>
      </c>
      <c r="C23" s="3">
        <f>LAVORAZIONI!A22</f>
        <v/>
      </c>
      <c r="D23" s="3">
        <f>LAVORAZIONI!K22</f>
        <v/>
      </c>
      <c r="E23" s="4">
        <f>LAVORAZIONI!H22</f>
        <v/>
      </c>
      <c r="F23" s="4">
        <f>LAVORAZIONI!M22</f>
        <v/>
      </c>
      <c r="G23" s="5">
        <f>LAVORAZIONI!N22</f>
        <v/>
      </c>
      <c r="H23" s="6">
        <f>LAVORAZIONI!O22</f>
        <v/>
      </c>
      <c r="I23" s="13">
        <f>LAVORAZIONI!P22</f>
        <v/>
      </c>
      <c r="J23" s="5">
        <f>IF(LAVORAZIONI!Q22="","",LAVORAZIONI!Q22)</f>
        <v/>
      </c>
      <c r="K23" s="6">
        <f>IF(LAVORAZIONI!R22="","",LAVORAZIONI!R22)</f>
        <v/>
      </c>
      <c r="L23" s="13">
        <f>IF(LAVORAZIONI!S22="","",LAVORAZIONI!S22)</f>
        <v/>
      </c>
      <c r="M23" s="13">
        <f>LAVORAZIONI!T22</f>
        <v/>
      </c>
      <c r="O23" s="7">
        <f>LAVORAZIONI!U22</f>
        <v/>
      </c>
      <c r="P23" s="45">
        <f>LAVORAZIONI!V22</f>
        <v/>
      </c>
      <c r="Q23" s="7">
        <f>LAVORAZIONI!W22</f>
        <v/>
      </c>
      <c r="R23" s="6">
        <f>LAVORAZIONI!X22</f>
        <v/>
      </c>
      <c r="S23" s="7">
        <f>LAVORAZIONI!Y22</f>
        <v/>
      </c>
      <c r="T23" s="6">
        <f>LAVORAZIONI!Z22</f>
        <v/>
      </c>
      <c r="U23" s="7">
        <f>LAVORAZIONI!AA22</f>
        <v/>
      </c>
      <c r="V23" s="6">
        <f>LAVORAZIONI!AB22</f>
        <v/>
      </c>
      <c r="W23" s="7">
        <f>LAVORAZIONI!AC22</f>
        <v/>
      </c>
      <c r="X23" s="6">
        <f>LAVORAZIONI!AD22</f>
        <v/>
      </c>
      <c r="Y23" s="7">
        <f>LAVORAZIONI!AE22</f>
        <v/>
      </c>
      <c r="Z23" s="6">
        <f>LAVORAZIONI!AF22</f>
        <v/>
      </c>
      <c r="AA23" s="7">
        <f>LAVORAZIONI!AG22</f>
        <v/>
      </c>
      <c r="AB23" s="6">
        <f>LAVORAZIONI!AH22</f>
        <v/>
      </c>
      <c r="AC23" s="7">
        <f>LAVORAZIONI!AI22</f>
        <v/>
      </c>
      <c r="AD23" s="13">
        <f>LAVORAZIONI!AJ22</f>
        <v/>
      </c>
    </row>
    <row r="24" ht="71" customHeight="1" s="46">
      <c r="B24" s="4">
        <f>LAVORAZIONI!G23</f>
        <v/>
      </c>
      <c r="C24" s="3">
        <f>LAVORAZIONI!A23</f>
        <v/>
      </c>
      <c r="D24" s="3">
        <f>LAVORAZIONI!K23</f>
        <v/>
      </c>
      <c r="E24" s="4">
        <f>LAVORAZIONI!H23</f>
        <v/>
      </c>
      <c r="F24" s="4">
        <f>LAVORAZIONI!M23</f>
        <v/>
      </c>
      <c r="G24" s="5">
        <f>LAVORAZIONI!N23</f>
        <v/>
      </c>
      <c r="H24" s="6">
        <f>LAVORAZIONI!O23</f>
        <v/>
      </c>
      <c r="I24" s="13">
        <f>LAVORAZIONI!P23</f>
        <v/>
      </c>
      <c r="J24" s="5">
        <f>IF(LAVORAZIONI!Q23="","",LAVORAZIONI!Q23)</f>
        <v/>
      </c>
      <c r="K24" s="6">
        <f>IF(LAVORAZIONI!R23="","",LAVORAZIONI!R23)</f>
        <v/>
      </c>
      <c r="L24" s="13">
        <f>IF(LAVORAZIONI!S23="","",LAVORAZIONI!S23)</f>
        <v/>
      </c>
      <c r="M24" s="13">
        <f>LAVORAZIONI!T23</f>
        <v/>
      </c>
      <c r="O24" s="7">
        <f>LAVORAZIONI!U23</f>
        <v/>
      </c>
      <c r="P24" s="45">
        <f>LAVORAZIONI!V23</f>
        <v/>
      </c>
      <c r="Q24" s="7">
        <f>LAVORAZIONI!W23</f>
        <v/>
      </c>
      <c r="R24" s="6">
        <f>LAVORAZIONI!X23</f>
        <v/>
      </c>
      <c r="S24" s="7">
        <f>LAVORAZIONI!Y23</f>
        <v/>
      </c>
      <c r="T24" s="6">
        <f>LAVORAZIONI!Z23</f>
        <v/>
      </c>
      <c r="U24" s="7">
        <f>LAVORAZIONI!AA23</f>
        <v/>
      </c>
      <c r="V24" s="6">
        <f>LAVORAZIONI!AB23</f>
        <v/>
      </c>
      <c r="W24" s="7">
        <f>LAVORAZIONI!AC23</f>
        <v/>
      </c>
      <c r="X24" s="6">
        <f>LAVORAZIONI!AD23</f>
        <v/>
      </c>
      <c r="Y24" s="7">
        <f>LAVORAZIONI!AE23</f>
        <v/>
      </c>
      <c r="Z24" s="6">
        <f>LAVORAZIONI!AF23</f>
        <v/>
      </c>
      <c r="AA24" s="7">
        <f>LAVORAZIONI!AG23</f>
        <v/>
      </c>
      <c r="AB24" s="6">
        <f>LAVORAZIONI!AH23</f>
        <v/>
      </c>
      <c r="AC24" s="7">
        <f>LAVORAZIONI!AI23</f>
        <v/>
      </c>
      <c r="AD24" s="13">
        <f>LAVORAZIONI!AJ23</f>
        <v/>
      </c>
    </row>
    <row r="25" ht="71" customHeight="1" s="46">
      <c r="B25" s="4">
        <f>LAVORAZIONI!G24</f>
        <v/>
      </c>
      <c r="C25" s="3">
        <f>LAVORAZIONI!A24</f>
        <v/>
      </c>
      <c r="D25" s="3">
        <f>LAVORAZIONI!K24</f>
        <v/>
      </c>
      <c r="E25" s="4">
        <f>LAVORAZIONI!H24</f>
        <v/>
      </c>
      <c r="F25" s="4">
        <f>LAVORAZIONI!M24</f>
        <v/>
      </c>
      <c r="G25" s="5">
        <f>LAVORAZIONI!N24</f>
        <v/>
      </c>
      <c r="H25" s="6">
        <f>LAVORAZIONI!O24</f>
        <v/>
      </c>
      <c r="I25" s="13">
        <f>LAVORAZIONI!P24</f>
        <v/>
      </c>
      <c r="J25" s="5">
        <f>IF(LAVORAZIONI!Q24="","",LAVORAZIONI!Q24)</f>
        <v/>
      </c>
      <c r="K25" s="6">
        <f>IF(LAVORAZIONI!R24="","",LAVORAZIONI!R24)</f>
        <v/>
      </c>
      <c r="L25" s="13">
        <f>IF(LAVORAZIONI!S24="","",LAVORAZIONI!S24)</f>
        <v/>
      </c>
      <c r="M25" s="13">
        <f>LAVORAZIONI!T24</f>
        <v/>
      </c>
      <c r="O25" s="7">
        <f>LAVORAZIONI!U24</f>
        <v/>
      </c>
      <c r="P25" s="45">
        <f>LAVORAZIONI!V24</f>
        <v/>
      </c>
      <c r="Q25" s="7">
        <f>LAVORAZIONI!W24</f>
        <v/>
      </c>
      <c r="R25" s="6">
        <f>LAVORAZIONI!X24</f>
        <v/>
      </c>
      <c r="S25" s="7">
        <f>LAVORAZIONI!Y24</f>
        <v/>
      </c>
      <c r="T25" s="6">
        <f>LAVORAZIONI!Z24</f>
        <v/>
      </c>
      <c r="U25" s="7">
        <f>LAVORAZIONI!AA24</f>
        <v/>
      </c>
      <c r="V25" s="6">
        <f>LAVORAZIONI!AB24</f>
        <v/>
      </c>
      <c r="W25" s="7">
        <f>LAVORAZIONI!AC24</f>
        <v/>
      </c>
      <c r="X25" s="6">
        <f>LAVORAZIONI!AD24</f>
        <v/>
      </c>
      <c r="Y25" s="7">
        <f>LAVORAZIONI!AE24</f>
        <v/>
      </c>
      <c r="Z25" s="6">
        <f>LAVORAZIONI!AF24</f>
        <v/>
      </c>
      <c r="AA25" s="7">
        <f>LAVORAZIONI!AG24</f>
        <v/>
      </c>
      <c r="AB25" s="6">
        <f>LAVORAZIONI!AH24</f>
        <v/>
      </c>
      <c r="AC25" s="7">
        <f>LAVORAZIONI!AI24</f>
        <v/>
      </c>
      <c r="AD25" s="13">
        <f>LAVORAZIONI!AJ24</f>
        <v/>
      </c>
    </row>
    <row r="26" ht="71" customHeight="1" s="46">
      <c r="B26" s="4">
        <f>LAVORAZIONI!G25</f>
        <v/>
      </c>
      <c r="C26" s="3">
        <f>LAVORAZIONI!A25</f>
        <v/>
      </c>
      <c r="D26" s="3">
        <f>LAVORAZIONI!K25</f>
        <v/>
      </c>
      <c r="E26" s="4">
        <f>LAVORAZIONI!H25</f>
        <v/>
      </c>
      <c r="F26" s="4">
        <f>LAVORAZIONI!M25</f>
        <v/>
      </c>
      <c r="G26" s="5">
        <f>LAVORAZIONI!N25</f>
        <v/>
      </c>
      <c r="H26" s="6">
        <f>LAVORAZIONI!O25</f>
        <v/>
      </c>
      <c r="I26" s="13">
        <f>LAVORAZIONI!P25</f>
        <v/>
      </c>
      <c r="J26" s="5">
        <f>IF(LAVORAZIONI!Q25="","",LAVORAZIONI!Q25)</f>
        <v/>
      </c>
      <c r="K26" s="6">
        <f>IF(LAVORAZIONI!R25="","",LAVORAZIONI!R25)</f>
        <v/>
      </c>
      <c r="L26" s="13">
        <f>IF(LAVORAZIONI!S25="","",LAVORAZIONI!S25)</f>
        <v/>
      </c>
      <c r="M26" s="13">
        <f>LAVORAZIONI!T25</f>
        <v/>
      </c>
      <c r="O26" s="7">
        <f>LAVORAZIONI!U25</f>
        <v/>
      </c>
      <c r="P26" s="45">
        <f>LAVORAZIONI!V25</f>
        <v/>
      </c>
      <c r="Q26" s="7">
        <f>LAVORAZIONI!W25</f>
        <v/>
      </c>
      <c r="R26" s="6">
        <f>LAVORAZIONI!X25</f>
        <v/>
      </c>
      <c r="S26" s="7">
        <f>LAVORAZIONI!Y25</f>
        <v/>
      </c>
      <c r="T26" s="6">
        <f>LAVORAZIONI!Z25</f>
        <v/>
      </c>
      <c r="U26" s="7">
        <f>LAVORAZIONI!AA25</f>
        <v/>
      </c>
      <c r="V26" s="6">
        <f>LAVORAZIONI!AB25</f>
        <v/>
      </c>
      <c r="W26" s="7">
        <f>LAVORAZIONI!AC25</f>
        <v/>
      </c>
      <c r="X26" s="6">
        <f>LAVORAZIONI!AD25</f>
        <v/>
      </c>
      <c r="Y26" s="7">
        <f>LAVORAZIONI!AE25</f>
        <v/>
      </c>
      <c r="Z26" s="6">
        <f>LAVORAZIONI!AF25</f>
        <v/>
      </c>
      <c r="AA26" s="7">
        <f>LAVORAZIONI!AG25</f>
        <v/>
      </c>
      <c r="AB26" s="6">
        <f>LAVORAZIONI!AH25</f>
        <v/>
      </c>
      <c r="AC26" s="7">
        <f>LAVORAZIONI!AI25</f>
        <v/>
      </c>
      <c r="AD26" s="13">
        <f>LAVORAZIONI!AJ25</f>
        <v/>
      </c>
    </row>
    <row r="27" ht="71" customHeight="1" s="46">
      <c r="B27" s="4">
        <f>LAVORAZIONI!G26</f>
        <v/>
      </c>
      <c r="C27" s="3">
        <f>LAVORAZIONI!A26</f>
        <v/>
      </c>
      <c r="D27" s="3">
        <f>LAVORAZIONI!K26</f>
        <v/>
      </c>
      <c r="E27" s="4">
        <f>LAVORAZIONI!H26</f>
        <v/>
      </c>
      <c r="F27" s="4">
        <f>LAVORAZIONI!M26</f>
        <v/>
      </c>
      <c r="G27" s="5">
        <f>LAVORAZIONI!N26</f>
        <v/>
      </c>
      <c r="H27" s="6">
        <f>LAVORAZIONI!O26</f>
        <v/>
      </c>
      <c r="I27" s="13">
        <f>LAVORAZIONI!P26</f>
        <v/>
      </c>
      <c r="J27" s="5">
        <f>IF(LAVORAZIONI!Q26="","",LAVORAZIONI!Q26)</f>
        <v/>
      </c>
      <c r="K27" s="6">
        <f>IF(LAVORAZIONI!R26="","",LAVORAZIONI!R26)</f>
        <v/>
      </c>
      <c r="L27" s="13">
        <f>IF(LAVORAZIONI!S26="","",LAVORAZIONI!S26)</f>
        <v/>
      </c>
      <c r="M27" s="13">
        <f>LAVORAZIONI!T26</f>
        <v/>
      </c>
      <c r="O27" s="7">
        <f>LAVORAZIONI!U26</f>
        <v/>
      </c>
      <c r="P27" s="45">
        <f>LAVORAZIONI!V26</f>
        <v/>
      </c>
      <c r="Q27" s="7">
        <f>LAVORAZIONI!W26</f>
        <v/>
      </c>
      <c r="R27" s="6">
        <f>LAVORAZIONI!X26</f>
        <v/>
      </c>
      <c r="S27" s="7">
        <f>LAVORAZIONI!Y26</f>
        <v/>
      </c>
      <c r="T27" s="6">
        <f>LAVORAZIONI!Z26</f>
        <v/>
      </c>
      <c r="U27" s="7">
        <f>LAVORAZIONI!AA26</f>
        <v/>
      </c>
      <c r="V27" s="6">
        <f>LAVORAZIONI!AB26</f>
        <v/>
      </c>
      <c r="W27" s="7">
        <f>LAVORAZIONI!AC26</f>
        <v/>
      </c>
      <c r="X27" s="6">
        <f>LAVORAZIONI!AD26</f>
        <v/>
      </c>
      <c r="Y27" s="7">
        <f>LAVORAZIONI!AE26</f>
        <v/>
      </c>
      <c r="Z27" s="6">
        <f>LAVORAZIONI!AF26</f>
        <v/>
      </c>
      <c r="AA27" s="7">
        <f>LAVORAZIONI!AG26</f>
        <v/>
      </c>
      <c r="AB27" s="6">
        <f>LAVORAZIONI!AH26</f>
        <v/>
      </c>
      <c r="AC27" s="7">
        <f>LAVORAZIONI!AI26</f>
        <v/>
      </c>
      <c r="AD27" s="13">
        <f>LAVORAZIONI!AJ26</f>
        <v/>
      </c>
    </row>
    <row r="28" ht="71" customHeight="1" s="46">
      <c r="B28" s="4">
        <f>LAVORAZIONI!G27</f>
        <v/>
      </c>
      <c r="C28" s="3">
        <f>LAVORAZIONI!A27</f>
        <v/>
      </c>
      <c r="D28" s="3">
        <f>LAVORAZIONI!K27</f>
        <v/>
      </c>
      <c r="E28" s="4">
        <f>LAVORAZIONI!H27</f>
        <v/>
      </c>
      <c r="F28" s="4">
        <f>LAVORAZIONI!M27</f>
        <v/>
      </c>
      <c r="G28" s="5">
        <f>LAVORAZIONI!N27</f>
        <v/>
      </c>
      <c r="H28" s="6">
        <f>LAVORAZIONI!O27</f>
        <v/>
      </c>
      <c r="I28" s="13">
        <f>LAVORAZIONI!P27</f>
        <v/>
      </c>
      <c r="J28" s="5">
        <f>IF(LAVORAZIONI!Q27="","",LAVORAZIONI!Q27)</f>
        <v/>
      </c>
      <c r="K28" s="6">
        <f>IF(LAVORAZIONI!R27="","",LAVORAZIONI!R27)</f>
        <v/>
      </c>
      <c r="L28" s="13">
        <f>IF(LAVORAZIONI!S27="","",LAVORAZIONI!S27)</f>
        <v/>
      </c>
      <c r="M28" s="13">
        <f>LAVORAZIONI!T27</f>
        <v/>
      </c>
      <c r="O28" s="7">
        <f>LAVORAZIONI!U27</f>
        <v/>
      </c>
      <c r="P28" s="45">
        <f>LAVORAZIONI!V27</f>
        <v/>
      </c>
      <c r="Q28" s="7">
        <f>LAVORAZIONI!W27</f>
        <v/>
      </c>
      <c r="R28" s="6">
        <f>LAVORAZIONI!X27</f>
        <v/>
      </c>
      <c r="S28" s="7">
        <f>LAVORAZIONI!Y27</f>
        <v/>
      </c>
      <c r="T28" s="6">
        <f>LAVORAZIONI!Z27</f>
        <v/>
      </c>
      <c r="U28" s="7">
        <f>LAVORAZIONI!AA27</f>
        <v/>
      </c>
      <c r="V28" s="6">
        <f>LAVORAZIONI!AB27</f>
        <v/>
      </c>
      <c r="W28" s="7">
        <f>LAVORAZIONI!AC27</f>
        <v/>
      </c>
      <c r="X28" s="6">
        <f>LAVORAZIONI!AD27</f>
        <v/>
      </c>
      <c r="Y28" s="7">
        <f>LAVORAZIONI!AE27</f>
        <v/>
      </c>
      <c r="Z28" s="6">
        <f>LAVORAZIONI!AF27</f>
        <v/>
      </c>
      <c r="AA28" s="7">
        <f>LAVORAZIONI!AG27</f>
        <v/>
      </c>
      <c r="AB28" s="6">
        <f>LAVORAZIONI!AH27</f>
        <v/>
      </c>
      <c r="AC28" s="7">
        <f>LAVORAZIONI!AI27</f>
        <v/>
      </c>
      <c r="AD28" s="13">
        <f>LAVORAZIONI!AJ27</f>
        <v/>
      </c>
    </row>
    <row r="29" ht="71" customHeight="1" s="46">
      <c r="B29" s="4">
        <f>LAVORAZIONI!G28</f>
        <v/>
      </c>
      <c r="C29" s="3">
        <f>LAVORAZIONI!A28</f>
        <v/>
      </c>
      <c r="D29" s="3">
        <f>LAVORAZIONI!K28</f>
        <v/>
      </c>
      <c r="E29" s="4">
        <f>LAVORAZIONI!H28</f>
        <v/>
      </c>
      <c r="F29" s="4">
        <f>LAVORAZIONI!M28</f>
        <v/>
      </c>
      <c r="G29" s="5">
        <f>LAVORAZIONI!N28</f>
        <v/>
      </c>
      <c r="H29" s="6">
        <f>LAVORAZIONI!O28</f>
        <v/>
      </c>
      <c r="I29" s="13">
        <f>LAVORAZIONI!P28</f>
        <v/>
      </c>
      <c r="J29" s="5">
        <f>IF(LAVORAZIONI!Q28="","",LAVORAZIONI!Q28)</f>
        <v/>
      </c>
      <c r="K29" s="6">
        <f>IF(LAVORAZIONI!R28="","",LAVORAZIONI!R28)</f>
        <v/>
      </c>
      <c r="L29" s="13">
        <f>IF(LAVORAZIONI!S28="","",LAVORAZIONI!S28)</f>
        <v/>
      </c>
      <c r="M29" s="13">
        <f>LAVORAZIONI!T28</f>
        <v/>
      </c>
      <c r="O29" s="7">
        <f>LAVORAZIONI!U28</f>
        <v/>
      </c>
      <c r="P29" s="45">
        <f>LAVORAZIONI!V28</f>
        <v/>
      </c>
      <c r="Q29" s="7">
        <f>LAVORAZIONI!W28</f>
        <v/>
      </c>
      <c r="R29" s="6">
        <f>LAVORAZIONI!X28</f>
        <v/>
      </c>
      <c r="S29" s="7">
        <f>LAVORAZIONI!Y28</f>
        <v/>
      </c>
      <c r="T29" s="6">
        <f>LAVORAZIONI!Z28</f>
        <v/>
      </c>
      <c r="U29" s="7">
        <f>LAVORAZIONI!AA28</f>
        <v/>
      </c>
      <c r="V29" s="6">
        <f>LAVORAZIONI!AB28</f>
        <v/>
      </c>
      <c r="W29" s="7">
        <f>LAVORAZIONI!AC28</f>
        <v/>
      </c>
      <c r="X29" s="6">
        <f>LAVORAZIONI!AD28</f>
        <v/>
      </c>
      <c r="Y29" s="7">
        <f>LAVORAZIONI!AE28</f>
        <v/>
      </c>
      <c r="Z29" s="6">
        <f>LAVORAZIONI!AF28</f>
        <v/>
      </c>
      <c r="AA29" s="7">
        <f>LAVORAZIONI!AG28</f>
        <v/>
      </c>
      <c r="AB29" s="6">
        <f>LAVORAZIONI!AH28</f>
        <v/>
      </c>
      <c r="AC29" s="7">
        <f>LAVORAZIONI!AI28</f>
        <v/>
      </c>
      <c r="AD29" s="13">
        <f>LAVORAZIONI!AJ28</f>
        <v/>
      </c>
    </row>
    <row r="30" ht="71" customHeight="1" s="46">
      <c r="B30" s="4">
        <f>LAVORAZIONI!G29</f>
        <v/>
      </c>
      <c r="C30" s="3">
        <f>LAVORAZIONI!A29</f>
        <v/>
      </c>
      <c r="D30" s="3">
        <f>LAVORAZIONI!K29</f>
        <v/>
      </c>
      <c r="E30" s="4">
        <f>LAVORAZIONI!H29</f>
        <v/>
      </c>
      <c r="F30" s="4">
        <f>LAVORAZIONI!M29</f>
        <v/>
      </c>
      <c r="G30" s="5">
        <f>LAVORAZIONI!N29</f>
        <v/>
      </c>
      <c r="H30" s="6">
        <f>LAVORAZIONI!O29</f>
        <v/>
      </c>
      <c r="I30" s="13">
        <f>LAVORAZIONI!P29</f>
        <v/>
      </c>
      <c r="J30" s="5">
        <f>IF(LAVORAZIONI!Q29="","",LAVORAZIONI!Q29)</f>
        <v/>
      </c>
      <c r="K30" s="6">
        <f>IF(LAVORAZIONI!R29="","",LAVORAZIONI!R29)</f>
        <v/>
      </c>
      <c r="L30" s="13">
        <f>IF(LAVORAZIONI!S29="","",LAVORAZIONI!S29)</f>
        <v/>
      </c>
      <c r="M30" s="13">
        <f>LAVORAZIONI!T29</f>
        <v/>
      </c>
      <c r="O30" s="7">
        <f>LAVORAZIONI!U29</f>
        <v/>
      </c>
      <c r="P30" s="45">
        <f>LAVORAZIONI!V29</f>
        <v/>
      </c>
      <c r="Q30" s="7">
        <f>LAVORAZIONI!W29</f>
        <v/>
      </c>
      <c r="R30" s="6">
        <f>LAVORAZIONI!X29</f>
        <v/>
      </c>
      <c r="S30" s="7">
        <f>LAVORAZIONI!Y29</f>
        <v/>
      </c>
      <c r="T30" s="6">
        <f>LAVORAZIONI!Z29</f>
        <v/>
      </c>
      <c r="U30" s="7">
        <f>LAVORAZIONI!AA29</f>
        <v/>
      </c>
      <c r="V30" s="6">
        <f>LAVORAZIONI!AB29</f>
        <v/>
      </c>
      <c r="W30" s="7">
        <f>LAVORAZIONI!AC29</f>
        <v/>
      </c>
      <c r="X30" s="6">
        <f>LAVORAZIONI!AD29</f>
        <v/>
      </c>
      <c r="Y30" s="7">
        <f>LAVORAZIONI!AE29</f>
        <v/>
      </c>
      <c r="Z30" s="6">
        <f>LAVORAZIONI!AF29</f>
        <v/>
      </c>
      <c r="AA30" s="7">
        <f>LAVORAZIONI!AG29</f>
        <v/>
      </c>
      <c r="AB30" s="6">
        <f>LAVORAZIONI!AH29</f>
        <v/>
      </c>
      <c r="AC30" s="7">
        <f>LAVORAZIONI!AI29</f>
        <v/>
      </c>
      <c r="AD30" s="13">
        <f>LAVORAZIONI!AJ29</f>
        <v/>
      </c>
    </row>
    <row r="31" ht="71" customHeight="1" s="46">
      <c r="B31" s="4">
        <f>LAVORAZIONI!G30</f>
        <v/>
      </c>
      <c r="C31" s="3">
        <f>LAVORAZIONI!A30</f>
        <v/>
      </c>
      <c r="D31" s="3">
        <f>LAVORAZIONI!K30</f>
        <v/>
      </c>
      <c r="E31" s="4">
        <f>LAVORAZIONI!H30</f>
        <v/>
      </c>
      <c r="F31" s="4">
        <f>LAVORAZIONI!M30</f>
        <v/>
      </c>
      <c r="G31" s="5">
        <f>LAVORAZIONI!N30</f>
        <v/>
      </c>
      <c r="H31" s="6">
        <f>LAVORAZIONI!O30</f>
        <v/>
      </c>
      <c r="I31" s="13">
        <f>LAVORAZIONI!P30</f>
        <v/>
      </c>
      <c r="J31" s="5">
        <f>IF(LAVORAZIONI!Q30="","",LAVORAZIONI!Q30)</f>
        <v/>
      </c>
      <c r="K31" s="6">
        <f>IF(LAVORAZIONI!R30="","",LAVORAZIONI!R30)</f>
        <v/>
      </c>
      <c r="L31" s="13">
        <f>IF(LAVORAZIONI!S30="","",LAVORAZIONI!S30)</f>
        <v/>
      </c>
      <c r="M31" s="13">
        <f>LAVORAZIONI!T30</f>
        <v/>
      </c>
      <c r="O31" s="7">
        <f>LAVORAZIONI!U30</f>
        <v/>
      </c>
      <c r="P31" s="45">
        <f>LAVORAZIONI!V30</f>
        <v/>
      </c>
      <c r="Q31" s="7">
        <f>LAVORAZIONI!W30</f>
        <v/>
      </c>
      <c r="R31" s="6">
        <f>LAVORAZIONI!X30</f>
        <v/>
      </c>
      <c r="S31" s="7">
        <f>LAVORAZIONI!Y30</f>
        <v/>
      </c>
      <c r="T31" s="6">
        <f>LAVORAZIONI!Z30</f>
        <v/>
      </c>
      <c r="U31" s="7">
        <f>LAVORAZIONI!AA30</f>
        <v/>
      </c>
      <c r="V31" s="6">
        <f>LAVORAZIONI!AB30</f>
        <v/>
      </c>
      <c r="W31" s="7">
        <f>LAVORAZIONI!AC30</f>
        <v/>
      </c>
      <c r="X31" s="6">
        <f>LAVORAZIONI!AD30</f>
        <v/>
      </c>
      <c r="Y31" s="7">
        <f>LAVORAZIONI!AE30</f>
        <v/>
      </c>
      <c r="Z31" s="6">
        <f>LAVORAZIONI!AF30</f>
        <v/>
      </c>
      <c r="AA31" s="7">
        <f>LAVORAZIONI!AG30</f>
        <v/>
      </c>
      <c r="AB31" s="6">
        <f>LAVORAZIONI!AH30</f>
        <v/>
      </c>
      <c r="AC31" s="7">
        <f>LAVORAZIONI!AI30</f>
        <v/>
      </c>
      <c r="AD31" s="13">
        <f>LAVORAZIONI!AJ30</f>
        <v/>
      </c>
    </row>
    <row r="32" ht="71" customHeight="1" s="46">
      <c r="B32" s="4">
        <f>LAVORAZIONI!G31</f>
        <v/>
      </c>
      <c r="C32" s="3">
        <f>LAVORAZIONI!A31</f>
        <v/>
      </c>
      <c r="D32" s="3">
        <f>LAVORAZIONI!K31</f>
        <v/>
      </c>
      <c r="E32" s="4">
        <f>LAVORAZIONI!H31</f>
        <v/>
      </c>
      <c r="F32" s="4">
        <f>LAVORAZIONI!M31</f>
        <v/>
      </c>
      <c r="G32" s="5">
        <f>LAVORAZIONI!N31</f>
        <v/>
      </c>
      <c r="H32" s="6">
        <f>LAVORAZIONI!O31</f>
        <v/>
      </c>
      <c r="I32" s="13">
        <f>LAVORAZIONI!P31</f>
        <v/>
      </c>
      <c r="J32" s="5">
        <f>IF(LAVORAZIONI!Q31="","",LAVORAZIONI!Q31)</f>
        <v/>
      </c>
      <c r="K32" s="6">
        <f>IF(LAVORAZIONI!R31="","",LAVORAZIONI!R31)</f>
        <v/>
      </c>
      <c r="L32" s="13">
        <f>IF(LAVORAZIONI!S31="","",LAVORAZIONI!S31)</f>
        <v/>
      </c>
      <c r="M32" s="13">
        <f>LAVORAZIONI!T31</f>
        <v/>
      </c>
      <c r="O32" s="7">
        <f>LAVORAZIONI!U31</f>
        <v/>
      </c>
      <c r="P32" s="45">
        <f>LAVORAZIONI!V31</f>
        <v/>
      </c>
      <c r="Q32" s="7">
        <f>LAVORAZIONI!W31</f>
        <v/>
      </c>
      <c r="R32" s="6">
        <f>LAVORAZIONI!X31</f>
        <v/>
      </c>
      <c r="S32" s="7">
        <f>LAVORAZIONI!Y31</f>
        <v/>
      </c>
      <c r="T32" s="6">
        <f>LAVORAZIONI!Z31</f>
        <v/>
      </c>
      <c r="U32" s="7">
        <f>LAVORAZIONI!AA31</f>
        <v/>
      </c>
      <c r="V32" s="6">
        <f>LAVORAZIONI!AB31</f>
        <v/>
      </c>
      <c r="W32" s="7">
        <f>LAVORAZIONI!AC31</f>
        <v/>
      </c>
      <c r="X32" s="6">
        <f>LAVORAZIONI!AD31</f>
        <v/>
      </c>
      <c r="Y32" s="7">
        <f>LAVORAZIONI!AE31</f>
        <v/>
      </c>
      <c r="Z32" s="6">
        <f>LAVORAZIONI!AF31</f>
        <v/>
      </c>
      <c r="AA32" s="7">
        <f>LAVORAZIONI!AG31</f>
        <v/>
      </c>
      <c r="AB32" s="6">
        <f>LAVORAZIONI!AH31</f>
        <v/>
      </c>
      <c r="AC32" s="7">
        <f>LAVORAZIONI!AI31</f>
        <v/>
      </c>
      <c r="AD32" s="13">
        <f>LAVORAZIONI!AJ31</f>
        <v/>
      </c>
    </row>
    <row r="33" ht="71" customHeight="1" s="46">
      <c r="B33" s="4">
        <f>LAVORAZIONI!G32</f>
        <v/>
      </c>
      <c r="C33" s="3">
        <f>LAVORAZIONI!A32</f>
        <v/>
      </c>
      <c r="D33" s="3">
        <f>LAVORAZIONI!K32</f>
        <v/>
      </c>
      <c r="E33" s="4">
        <f>LAVORAZIONI!H32</f>
        <v/>
      </c>
      <c r="F33" s="4">
        <f>LAVORAZIONI!M32</f>
        <v/>
      </c>
      <c r="G33" s="5">
        <f>LAVORAZIONI!N32</f>
        <v/>
      </c>
      <c r="H33" s="6">
        <f>LAVORAZIONI!O32</f>
        <v/>
      </c>
      <c r="I33" s="13">
        <f>LAVORAZIONI!P32</f>
        <v/>
      </c>
      <c r="J33" s="5">
        <f>IF(LAVORAZIONI!Q32="","",LAVORAZIONI!Q32)</f>
        <v/>
      </c>
      <c r="K33" s="6">
        <f>IF(LAVORAZIONI!R32="","",LAVORAZIONI!R32)</f>
        <v/>
      </c>
      <c r="L33" s="13">
        <f>IF(LAVORAZIONI!S32="","",LAVORAZIONI!S32)</f>
        <v/>
      </c>
      <c r="M33" s="13">
        <f>LAVORAZIONI!T32</f>
        <v/>
      </c>
      <c r="O33" s="7">
        <f>LAVORAZIONI!U32</f>
        <v/>
      </c>
      <c r="P33" s="45">
        <f>LAVORAZIONI!V32</f>
        <v/>
      </c>
      <c r="Q33" s="7">
        <f>LAVORAZIONI!W32</f>
        <v/>
      </c>
      <c r="R33" s="6">
        <f>LAVORAZIONI!X32</f>
        <v/>
      </c>
      <c r="S33" s="7">
        <f>LAVORAZIONI!Y32</f>
        <v/>
      </c>
      <c r="T33" s="6">
        <f>LAVORAZIONI!Z32</f>
        <v/>
      </c>
      <c r="U33" s="7">
        <f>LAVORAZIONI!AA32</f>
        <v/>
      </c>
      <c r="V33" s="6">
        <f>LAVORAZIONI!AB32</f>
        <v/>
      </c>
      <c r="W33" s="7">
        <f>LAVORAZIONI!AC32</f>
        <v/>
      </c>
      <c r="X33" s="6">
        <f>LAVORAZIONI!AD32</f>
        <v/>
      </c>
      <c r="Y33" s="7">
        <f>LAVORAZIONI!AE32</f>
        <v/>
      </c>
      <c r="Z33" s="6">
        <f>LAVORAZIONI!AF32</f>
        <v/>
      </c>
      <c r="AA33" s="7">
        <f>LAVORAZIONI!AG32</f>
        <v/>
      </c>
      <c r="AB33" s="6">
        <f>LAVORAZIONI!AH32</f>
        <v/>
      </c>
      <c r="AC33" s="7">
        <f>LAVORAZIONI!AI32</f>
        <v/>
      </c>
      <c r="AD33" s="13">
        <f>LAVORAZIONI!AJ32</f>
        <v/>
      </c>
    </row>
    <row r="34" ht="71" customHeight="1" s="46">
      <c r="B34" s="4">
        <f>LAVORAZIONI!G33</f>
        <v/>
      </c>
      <c r="C34" s="3">
        <f>LAVORAZIONI!A33</f>
        <v/>
      </c>
      <c r="D34" s="3">
        <f>LAVORAZIONI!K33</f>
        <v/>
      </c>
      <c r="E34" s="4">
        <f>LAVORAZIONI!H33</f>
        <v/>
      </c>
      <c r="F34" s="4">
        <f>LAVORAZIONI!M33</f>
        <v/>
      </c>
      <c r="G34" s="5">
        <f>LAVORAZIONI!N33</f>
        <v/>
      </c>
      <c r="H34" s="6">
        <f>LAVORAZIONI!O33</f>
        <v/>
      </c>
      <c r="I34" s="13">
        <f>LAVORAZIONI!P33</f>
        <v/>
      </c>
      <c r="J34" s="5">
        <f>IF(LAVORAZIONI!Q33="","",LAVORAZIONI!Q33)</f>
        <v/>
      </c>
      <c r="K34" s="6">
        <f>IF(LAVORAZIONI!R33="","",LAVORAZIONI!R33)</f>
        <v/>
      </c>
      <c r="L34" s="13">
        <f>IF(LAVORAZIONI!S33="","",LAVORAZIONI!S33)</f>
        <v/>
      </c>
      <c r="M34" s="13">
        <f>LAVORAZIONI!T33</f>
        <v/>
      </c>
      <c r="O34" s="7">
        <f>LAVORAZIONI!U33</f>
        <v/>
      </c>
      <c r="P34" s="45">
        <f>LAVORAZIONI!V33</f>
        <v/>
      </c>
      <c r="Q34" s="7">
        <f>LAVORAZIONI!W33</f>
        <v/>
      </c>
      <c r="R34" s="6">
        <f>LAVORAZIONI!X33</f>
        <v/>
      </c>
      <c r="S34" s="7">
        <f>LAVORAZIONI!Y33</f>
        <v/>
      </c>
      <c r="T34" s="6">
        <f>LAVORAZIONI!Z33</f>
        <v/>
      </c>
      <c r="U34" s="7">
        <f>LAVORAZIONI!AA33</f>
        <v/>
      </c>
      <c r="V34" s="6">
        <f>LAVORAZIONI!AB33</f>
        <v/>
      </c>
      <c r="W34" s="7">
        <f>LAVORAZIONI!AC33</f>
        <v/>
      </c>
      <c r="X34" s="6">
        <f>LAVORAZIONI!AD33</f>
        <v/>
      </c>
      <c r="Y34" s="7">
        <f>LAVORAZIONI!AE33</f>
        <v/>
      </c>
      <c r="Z34" s="6">
        <f>LAVORAZIONI!AF33</f>
        <v/>
      </c>
      <c r="AA34" s="7">
        <f>LAVORAZIONI!AG33</f>
        <v/>
      </c>
      <c r="AB34" s="6">
        <f>LAVORAZIONI!AH33</f>
        <v/>
      </c>
      <c r="AC34" s="7">
        <f>LAVORAZIONI!AI33</f>
        <v/>
      </c>
      <c r="AD34" s="13">
        <f>LAVORAZIONI!AJ33</f>
        <v/>
      </c>
    </row>
    <row r="35" ht="71" customHeight="1" s="46">
      <c r="B35" s="4">
        <f>LAVORAZIONI!G34</f>
        <v/>
      </c>
      <c r="C35" s="3">
        <f>LAVORAZIONI!A34</f>
        <v/>
      </c>
      <c r="D35" s="3">
        <f>LAVORAZIONI!K34</f>
        <v/>
      </c>
      <c r="E35" s="4">
        <f>LAVORAZIONI!H34</f>
        <v/>
      </c>
      <c r="F35" s="4">
        <f>LAVORAZIONI!M34</f>
        <v/>
      </c>
      <c r="G35" s="5">
        <f>LAVORAZIONI!N34</f>
        <v/>
      </c>
      <c r="H35" s="6">
        <f>LAVORAZIONI!O34</f>
        <v/>
      </c>
      <c r="I35" s="13">
        <f>LAVORAZIONI!P34</f>
        <v/>
      </c>
      <c r="J35" s="5">
        <f>IF(LAVORAZIONI!Q34="","",LAVORAZIONI!Q34)</f>
        <v/>
      </c>
      <c r="K35" s="6">
        <f>IF(LAVORAZIONI!R34="","",LAVORAZIONI!R34)</f>
        <v/>
      </c>
      <c r="L35" s="13">
        <f>IF(LAVORAZIONI!S34="","",LAVORAZIONI!S34)</f>
        <v/>
      </c>
      <c r="M35" s="13">
        <f>LAVORAZIONI!T34</f>
        <v/>
      </c>
      <c r="O35" s="7">
        <f>LAVORAZIONI!U34</f>
        <v/>
      </c>
      <c r="P35" s="45">
        <f>LAVORAZIONI!V34</f>
        <v/>
      </c>
      <c r="Q35" s="7">
        <f>LAVORAZIONI!W34</f>
        <v/>
      </c>
      <c r="R35" s="6">
        <f>LAVORAZIONI!X34</f>
        <v/>
      </c>
      <c r="S35" s="7">
        <f>LAVORAZIONI!Y34</f>
        <v/>
      </c>
      <c r="T35" s="6">
        <f>LAVORAZIONI!Z34</f>
        <v/>
      </c>
      <c r="U35" s="7">
        <f>LAVORAZIONI!AA34</f>
        <v/>
      </c>
      <c r="V35" s="6">
        <f>LAVORAZIONI!AB34</f>
        <v/>
      </c>
      <c r="W35" s="7">
        <f>LAVORAZIONI!AC34</f>
        <v/>
      </c>
      <c r="X35" s="6">
        <f>LAVORAZIONI!AD34</f>
        <v/>
      </c>
      <c r="Y35" s="7">
        <f>LAVORAZIONI!AE34</f>
        <v/>
      </c>
      <c r="Z35" s="6">
        <f>LAVORAZIONI!AF34</f>
        <v/>
      </c>
      <c r="AA35" s="7">
        <f>LAVORAZIONI!AG34</f>
        <v/>
      </c>
      <c r="AB35" s="6">
        <f>LAVORAZIONI!AH34</f>
        <v/>
      </c>
      <c r="AC35" s="7">
        <f>LAVORAZIONI!AI34</f>
        <v/>
      </c>
      <c r="AD35" s="13">
        <f>LAVORAZIONI!AJ34</f>
        <v/>
      </c>
    </row>
    <row r="36" ht="71" customHeight="1" s="46">
      <c r="B36" s="4">
        <f>LAVORAZIONI!G35</f>
        <v/>
      </c>
      <c r="C36" s="3">
        <f>LAVORAZIONI!A35</f>
        <v/>
      </c>
      <c r="D36" s="3">
        <f>LAVORAZIONI!K35</f>
        <v/>
      </c>
      <c r="E36" s="4">
        <f>LAVORAZIONI!H35</f>
        <v/>
      </c>
      <c r="F36" s="4">
        <f>LAVORAZIONI!M35</f>
        <v/>
      </c>
      <c r="G36" s="5">
        <f>LAVORAZIONI!N35</f>
        <v/>
      </c>
      <c r="H36" s="6">
        <f>LAVORAZIONI!O35</f>
        <v/>
      </c>
      <c r="I36" s="13">
        <f>LAVORAZIONI!P35</f>
        <v/>
      </c>
      <c r="J36" s="5">
        <f>IF(LAVORAZIONI!Q35="","",LAVORAZIONI!Q35)</f>
        <v/>
      </c>
      <c r="K36" s="6">
        <f>IF(LAVORAZIONI!R35="","",LAVORAZIONI!R35)</f>
        <v/>
      </c>
      <c r="L36" s="13">
        <f>IF(LAVORAZIONI!S35="","",LAVORAZIONI!S35)</f>
        <v/>
      </c>
      <c r="M36" s="13">
        <f>LAVORAZIONI!T35</f>
        <v/>
      </c>
      <c r="O36" s="7">
        <f>LAVORAZIONI!U35</f>
        <v/>
      </c>
      <c r="P36" s="45">
        <f>LAVORAZIONI!V35</f>
        <v/>
      </c>
      <c r="Q36" s="7">
        <f>LAVORAZIONI!W35</f>
        <v/>
      </c>
      <c r="R36" s="6">
        <f>LAVORAZIONI!X35</f>
        <v/>
      </c>
      <c r="S36" s="7">
        <f>LAVORAZIONI!Y35</f>
        <v/>
      </c>
      <c r="T36" s="6">
        <f>LAVORAZIONI!Z35</f>
        <v/>
      </c>
      <c r="U36" s="7">
        <f>LAVORAZIONI!AA35</f>
        <v/>
      </c>
      <c r="V36" s="6">
        <f>LAVORAZIONI!AB35</f>
        <v/>
      </c>
      <c r="W36" s="7">
        <f>LAVORAZIONI!AC35</f>
        <v/>
      </c>
      <c r="X36" s="6">
        <f>LAVORAZIONI!AD35</f>
        <v/>
      </c>
      <c r="Y36" s="7">
        <f>LAVORAZIONI!AE35</f>
        <v/>
      </c>
      <c r="Z36" s="6">
        <f>LAVORAZIONI!AF35</f>
        <v/>
      </c>
      <c r="AA36" s="7">
        <f>LAVORAZIONI!AG35</f>
        <v/>
      </c>
      <c r="AB36" s="6">
        <f>LAVORAZIONI!AH35</f>
        <v/>
      </c>
      <c r="AC36" s="7">
        <f>LAVORAZIONI!AI35</f>
        <v/>
      </c>
      <c r="AD36" s="13">
        <f>LAVORAZIONI!AJ35</f>
        <v/>
      </c>
    </row>
    <row r="37" ht="71" customHeight="1" s="46">
      <c r="B37" s="4">
        <f>LAVORAZIONI!G36</f>
        <v/>
      </c>
      <c r="C37" s="3">
        <f>LAVORAZIONI!A36</f>
        <v/>
      </c>
      <c r="D37" s="3">
        <f>LAVORAZIONI!K36</f>
        <v/>
      </c>
      <c r="E37" s="4">
        <f>LAVORAZIONI!H36</f>
        <v/>
      </c>
      <c r="F37" s="4">
        <f>LAVORAZIONI!M36</f>
        <v/>
      </c>
      <c r="G37" s="5">
        <f>LAVORAZIONI!N36</f>
        <v/>
      </c>
      <c r="H37" s="6">
        <f>LAVORAZIONI!O36</f>
        <v/>
      </c>
      <c r="I37" s="13">
        <f>LAVORAZIONI!P36</f>
        <v/>
      </c>
      <c r="J37" s="5">
        <f>IF(LAVORAZIONI!Q36="","",LAVORAZIONI!Q36)</f>
        <v/>
      </c>
      <c r="K37" s="6">
        <f>IF(LAVORAZIONI!R36="","",LAVORAZIONI!R36)</f>
        <v/>
      </c>
      <c r="L37" s="13">
        <f>IF(LAVORAZIONI!S36="","",LAVORAZIONI!S36)</f>
        <v/>
      </c>
      <c r="M37" s="13">
        <f>LAVORAZIONI!T36</f>
        <v/>
      </c>
      <c r="O37" s="7">
        <f>LAVORAZIONI!U36</f>
        <v/>
      </c>
      <c r="P37" s="45">
        <f>LAVORAZIONI!V36</f>
        <v/>
      </c>
      <c r="Q37" s="7">
        <f>LAVORAZIONI!W36</f>
        <v/>
      </c>
      <c r="R37" s="6">
        <f>LAVORAZIONI!X36</f>
        <v/>
      </c>
      <c r="S37" s="7">
        <f>LAVORAZIONI!Y36</f>
        <v/>
      </c>
      <c r="T37" s="6">
        <f>LAVORAZIONI!Z36</f>
        <v/>
      </c>
      <c r="U37" s="7">
        <f>LAVORAZIONI!AA36</f>
        <v/>
      </c>
      <c r="V37" s="6">
        <f>LAVORAZIONI!AB36</f>
        <v/>
      </c>
      <c r="W37" s="7">
        <f>LAVORAZIONI!AC36</f>
        <v/>
      </c>
      <c r="X37" s="6">
        <f>LAVORAZIONI!AD36</f>
        <v/>
      </c>
      <c r="Y37" s="7">
        <f>LAVORAZIONI!AE36</f>
        <v/>
      </c>
      <c r="Z37" s="6">
        <f>LAVORAZIONI!AF36</f>
        <v/>
      </c>
      <c r="AA37" s="7">
        <f>LAVORAZIONI!AG36</f>
        <v/>
      </c>
      <c r="AB37" s="6">
        <f>LAVORAZIONI!AH36</f>
        <v/>
      </c>
      <c r="AC37" s="7">
        <f>LAVORAZIONI!AI36</f>
        <v/>
      </c>
      <c r="AD37" s="13">
        <f>LAVORAZIONI!AJ36</f>
        <v/>
      </c>
    </row>
    <row r="38" ht="71" customHeight="1" s="46">
      <c r="B38" s="4">
        <f>LAVORAZIONI!G37</f>
        <v/>
      </c>
      <c r="C38" s="3">
        <f>LAVORAZIONI!A37</f>
        <v/>
      </c>
      <c r="D38" s="3">
        <f>LAVORAZIONI!K37</f>
        <v/>
      </c>
      <c r="E38" s="4">
        <f>LAVORAZIONI!H37</f>
        <v/>
      </c>
      <c r="F38" s="4">
        <f>LAVORAZIONI!M37</f>
        <v/>
      </c>
      <c r="G38" s="5">
        <f>LAVORAZIONI!N37</f>
        <v/>
      </c>
      <c r="H38" s="6">
        <f>LAVORAZIONI!O37</f>
        <v/>
      </c>
      <c r="I38" s="13">
        <f>LAVORAZIONI!P37</f>
        <v/>
      </c>
      <c r="J38" s="5">
        <f>IF(LAVORAZIONI!Q37="","",LAVORAZIONI!Q37)</f>
        <v/>
      </c>
      <c r="K38" s="6">
        <f>IF(LAVORAZIONI!R37="","",LAVORAZIONI!R37)</f>
        <v/>
      </c>
      <c r="L38" s="13">
        <f>IF(LAVORAZIONI!S37="","",LAVORAZIONI!S37)</f>
        <v/>
      </c>
      <c r="M38" s="13">
        <f>LAVORAZIONI!T37</f>
        <v/>
      </c>
      <c r="O38" s="7">
        <f>LAVORAZIONI!U37</f>
        <v/>
      </c>
      <c r="P38" s="45">
        <f>LAVORAZIONI!V37</f>
        <v/>
      </c>
      <c r="Q38" s="7">
        <f>LAVORAZIONI!W37</f>
        <v/>
      </c>
      <c r="R38" s="6">
        <f>LAVORAZIONI!X37</f>
        <v/>
      </c>
      <c r="S38" s="7">
        <f>LAVORAZIONI!Y37</f>
        <v/>
      </c>
      <c r="T38" s="6">
        <f>LAVORAZIONI!Z37</f>
        <v/>
      </c>
      <c r="U38" s="7">
        <f>LAVORAZIONI!AA37</f>
        <v/>
      </c>
      <c r="V38" s="6">
        <f>LAVORAZIONI!AB37</f>
        <v/>
      </c>
      <c r="W38" s="7">
        <f>LAVORAZIONI!AC37</f>
        <v/>
      </c>
      <c r="X38" s="6">
        <f>LAVORAZIONI!AD37</f>
        <v/>
      </c>
      <c r="Y38" s="7">
        <f>LAVORAZIONI!AE37</f>
        <v/>
      </c>
      <c r="Z38" s="6">
        <f>LAVORAZIONI!AF37</f>
        <v/>
      </c>
      <c r="AA38" s="7">
        <f>LAVORAZIONI!AG37</f>
        <v/>
      </c>
      <c r="AB38" s="6">
        <f>LAVORAZIONI!AH37</f>
        <v/>
      </c>
      <c r="AC38" s="7">
        <f>LAVORAZIONI!AI37</f>
        <v/>
      </c>
      <c r="AD38" s="13">
        <f>LAVORAZIONI!AJ37</f>
        <v/>
      </c>
    </row>
    <row r="39" ht="71" customHeight="1" s="46">
      <c r="B39" s="4">
        <f>LAVORAZIONI!G38</f>
        <v/>
      </c>
      <c r="C39" s="3">
        <f>LAVORAZIONI!A38</f>
        <v/>
      </c>
      <c r="D39" s="3">
        <f>LAVORAZIONI!K38</f>
        <v/>
      </c>
      <c r="E39" s="4">
        <f>LAVORAZIONI!H38</f>
        <v/>
      </c>
      <c r="F39" s="4">
        <f>LAVORAZIONI!M38</f>
        <v/>
      </c>
      <c r="G39" s="5">
        <f>LAVORAZIONI!N38</f>
        <v/>
      </c>
      <c r="H39" s="6">
        <f>LAVORAZIONI!O38</f>
        <v/>
      </c>
      <c r="I39" s="13">
        <f>LAVORAZIONI!P38</f>
        <v/>
      </c>
      <c r="J39" s="5">
        <f>IF(LAVORAZIONI!Q38="","",LAVORAZIONI!Q38)</f>
        <v/>
      </c>
      <c r="K39" s="6">
        <f>IF(LAVORAZIONI!R38="","",LAVORAZIONI!R38)</f>
        <v/>
      </c>
      <c r="L39" s="13">
        <f>IF(LAVORAZIONI!S38="","",LAVORAZIONI!S38)</f>
        <v/>
      </c>
      <c r="M39" s="13">
        <f>LAVORAZIONI!T38</f>
        <v/>
      </c>
      <c r="O39" s="7">
        <f>LAVORAZIONI!U38</f>
        <v/>
      </c>
      <c r="P39" s="45">
        <f>LAVORAZIONI!V38</f>
        <v/>
      </c>
      <c r="Q39" s="7">
        <f>LAVORAZIONI!W38</f>
        <v/>
      </c>
      <c r="R39" s="6">
        <f>LAVORAZIONI!X38</f>
        <v/>
      </c>
      <c r="S39" s="7">
        <f>LAVORAZIONI!Y38</f>
        <v/>
      </c>
      <c r="T39" s="6">
        <f>LAVORAZIONI!Z38</f>
        <v/>
      </c>
      <c r="U39" s="7">
        <f>LAVORAZIONI!AA38</f>
        <v/>
      </c>
      <c r="V39" s="6">
        <f>LAVORAZIONI!AB38</f>
        <v/>
      </c>
      <c r="W39" s="7">
        <f>LAVORAZIONI!AC38</f>
        <v/>
      </c>
      <c r="X39" s="6">
        <f>LAVORAZIONI!AD38</f>
        <v/>
      </c>
      <c r="Y39" s="7">
        <f>LAVORAZIONI!AE38</f>
        <v/>
      </c>
      <c r="Z39" s="6">
        <f>LAVORAZIONI!AF38</f>
        <v/>
      </c>
      <c r="AA39" s="7">
        <f>LAVORAZIONI!AG38</f>
        <v/>
      </c>
      <c r="AB39" s="6">
        <f>LAVORAZIONI!AH38</f>
        <v/>
      </c>
      <c r="AC39" s="7">
        <f>LAVORAZIONI!AI38</f>
        <v/>
      </c>
      <c r="AD39" s="13">
        <f>LAVORAZIONI!AJ38</f>
        <v/>
      </c>
    </row>
    <row r="40" ht="71" customHeight="1" s="46">
      <c r="B40" s="4">
        <f>LAVORAZIONI!G39</f>
        <v/>
      </c>
      <c r="C40" s="3">
        <f>LAVORAZIONI!A39</f>
        <v/>
      </c>
      <c r="D40" s="3">
        <f>LAVORAZIONI!K39</f>
        <v/>
      </c>
      <c r="E40" s="4">
        <f>LAVORAZIONI!H39</f>
        <v/>
      </c>
      <c r="F40" s="4">
        <f>LAVORAZIONI!M39</f>
        <v/>
      </c>
      <c r="G40" s="5">
        <f>LAVORAZIONI!N39</f>
        <v/>
      </c>
      <c r="H40" s="6">
        <f>LAVORAZIONI!O39</f>
        <v/>
      </c>
      <c r="I40" s="13">
        <f>LAVORAZIONI!P39</f>
        <v/>
      </c>
      <c r="J40" s="5">
        <f>IF(LAVORAZIONI!Q39="","",LAVORAZIONI!Q39)</f>
        <v/>
      </c>
      <c r="K40" s="6">
        <f>IF(LAVORAZIONI!R39="","",LAVORAZIONI!R39)</f>
        <v/>
      </c>
      <c r="L40" s="13">
        <f>IF(LAVORAZIONI!S39="","",LAVORAZIONI!S39)</f>
        <v/>
      </c>
      <c r="M40" s="13">
        <f>LAVORAZIONI!T39</f>
        <v/>
      </c>
      <c r="O40" s="7">
        <f>LAVORAZIONI!U39</f>
        <v/>
      </c>
      <c r="P40" s="45">
        <f>LAVORAZIONI!V39</f>
        <v/>
      </c>
      <c r="Q40" s="7">
        <f>LAVORAZIONI!W39</f>
        <v/>
      </c>
      <c r="R40" s="6">
        <f>LAVORAZIONI!X39</f>
        <v/>
      </c>
      <c r="S40" s="7">
        <f>LAVORAZIONI!Y39</f>
        <v/>
      </c>
      <c r="T40" s="6">
        <f>LAVORAZIONI!Z39</f>
        <v/>
      </c>
      <c r="U40" s="7">
        <f>LAVORAZIONI!AA39</f>
        <v/>
      </c>
      <c r="V40" s="6">
        <f>LAVORAZIONI!AB39</f>
        <v/>
      </c>
      <c r="W40" s="7">
        <f>LAVORAZIONI!AC39</f>
        <v/>
      </c>
      <c r="X40" s="6">
        <f>LAVORAZIONI!AD39</f>
        <v/>
      </c>
      <c r="Y40" s="7">
        <f>LAVORAZIONI!AE39</f>
        <v/>
      </c>
      <c r="Z40" s="6">
        <f>LAVORAZIONI!AF39</f>
        <v/>
      </c>
      <c r="AA40" s="7">
        <f>LAVORAZIONI!AG39</f>
        <v/>
      </c>
      <c r="AB40" s="6">
        <f>LAVORAZIONI!AH39</f>
        <v/>
      </c>
      <c r="AC40" s="7">
        <f>LAVORAZIONI!AI39</f>
        <v/>
      </c>
      <c r="AD40" s="13">
        <f>LAVORAZIONI!AJ39</f>
        <v/>
      </c>
    </row>
    <row r="41" ht="71" customHeight="1" s="46">
      <c r="B41" s="4">
        <f>LAVORAZIONI!G40</f>
        <v/>
      </c>
      <c r="C41" s="3">
        <f>LAVORAZIONI!A40</f>
        <v/>
      </c>
      <c r="D41" s="3">
        <f>LAVORAZIONI!K40</f>
        <v/>
      </c>
      <c r="E41" s="4">
        <f>LAVORAZIONI!H40</f>
        <v/>
      </c>
      <c r="F41" s="4">
        <f>LAVORAZIONI!M40</f>
        <v/>
      </c>
      <c r="G41" s="5">
        <f>LAVORAZIONI!N40</f>
        <v/>
      </c>
      <c r="H41" s="6">
        <f>LAVORAZIONI!O40</f>
        <v/>
      </c>
      <c r="I41" s="13">
        <f>LAVORAZIONI!P40</f>
        <v/>
      </c>
      <c r="J41" s="5">
        <f>IF(LAVORAZIONI!Q40="","",LAVORAZIONI!Q40)</f>
        <v/>
      </c>
      <c r="K41" s="6">
        <f>IF(LAVORAZIONI!R40="","",LAVORAZIONI!R40)</f>
        <v/>
      </c>
      <c r="L41" s="13">
        <f>IF(LAVORAZIONI!S40="","",LAVORAZIONI!S40)</f>
        <v/>
      </c>
      <c r="M41" s="13">
        <f>LAVORAZIONI!T40</f>
        <v/>
      </c>
      <c r="O41" s="7">
        <f>LAVORAZIONI!U40</f>
        <v/>
      </c>
      <c r="P41" s="45">
        <f>LAVORAZIONI!V40</f>
        <v/>
      </c>
      <c r="Q41" s="7">
        <f>LAVORAZIONI!W40</f>
        <v/>
      </c>
      <c r="R41" s="6">
        <f>LAVORAZIONI!X40</f>
        <v/>
      </c>
      <c r="S41" s="7">
        <f>LAVORAZIONI!Y40</f>
        <v/>
      </c>
      <c r="T41" s="6">
        <f>LAVORAZIONI!Z40</f>
        <v/>
      </c>
      <c r="U41" s="7">
        <f>LAVORAZIONI!AA40</f>
        <v/>
      </c>
      <c r="V41" s="6">
        <f>LAVORAZIONI!AB40</f>
        <v/>
      </c>
      <c r="W41" s="7">
        <f>LAVORAZIONI!AC40</f>
        <v/>
      </c>
      <c r="X41" s="6">
        <f>LAVORAZIONI!AD40</f>
        <v/>
      </c>
      <c r="Y41" s="7">
        <f>LAVORAZIONI!AE40</f>
        <v/>
      </c>
      <c r="Z41" s="6">
        <f>LAVORAZIONI!AF40</f>
        <v/>
      </c>
      <c r="AA41" s="7">
        <f>LAVORAZIONI!AG40</f>
        <v/>
      </c>
      <c r="AB41" s="6">
        <f>LAVORAZIONI!AH40</f>
        <v/>
      </c>
      <c r="AC41" s="7">
        <f>LAVORAZIONI!AI40</f>
        <v/>
      </c>
      <c r="AD41" s="13">
        <f>LAVORAZIONI!AJ40</f>
        <v/>
      </c>
    </row>
    <row r="42" ht="71" customHeight="1" s="46">
      <c r="B42" s="4">
        <f>LAVORAZIONI!G41</f>
        <v/>
      </c>
      <c r="C42" s="3">
        <f>LAVORAZIONI!A41</f>
        <v/>
      </c>
      <c r="D42" s="3">
        <f>LAVORAZIONI!K41</f>
        <v/>
      </c>
      <c r="E42" s="4">
        <f>LAVORAZIONI!H41</f>
        <v/>
      </c>
      <c r="F42" s="4">
        <f>LAVORAZIONI!M41</f>
        <v/>
      </c>
      <c r="G42" s="5">
        <f>LAVORAZIONI!N41</f>
        <v/>
      </c>
      <c r="H42" s="6">
        <f>LAVORAZIONI!O41</f>
        <v/>
      </c>
      <c r="I42" s="13">
        <f>LAVORAZIONI!P41</f>
        <v/>
      </c>
      <c r="J42" s="5">
        <f>IF(LAVORAZIONI!Q41="","",LAVORAZIONI!Q41)</f>
        <v/>
      </c>
      <c r="K42" s="6">
        <f>IF(LAVORAZIONI!R41="","",LAVORAZIONI!R41)</f>
        <v/>
      </c>
      <c r="L42" s="13">
        <f>IF(LAVORAZIONI!S41="","",LAVORAZIONI!S41)</f>
        <v/>
      </c>
      <c r="M42" s="13">
        <f>LAVORAZIONI!T41</f>
        <v/>
      </c>
      <c r="O42" s="7">
        <f>LAVORAZIONI!U41</f>
        <v/>
      </c>
      <c r="P42" s="45">
        <f>LAVORAZIONI!V41</f>
        <v/>
      </c>
      <c r="Q42" s="7">
        <f>LAVORAZIONI!W41</f>
        <v/>
      </c>
      <c r="R42" s="6">
        <f>LAVORAZIONI!X41</f>
        <v/>
      </c>
      <c r="S42" s="7">
        <f>LAVORAZIONI!Y41</f>
        <v/>
      </c>
      <c r="T42" s="6">
        <f>LAVORAZIONI!Z41</f>
        <v/>
      </c>
      <c r="U42" s="7">
        <f>LAVORAZIONI!AA41</f>
        <v/>
      </c>
      <c r="V42" s="6">
        <f>LAVORAZIONI!AB41</f>
        <v/>
      </c>
      <c r="W42" s="7">
        <f>LAVORAZIONI!AC41</f>
        <v/>
      </c>
      <c r="X42" s="6">
        <f>LAVORAZIONI!AD41</f>
        <v/>
      </c>
      <c r="Y42" s="7">
        <f>LAVORAZIONI!AE41</f>
        <v/>
      </c>
      <c r="Z42" s="6">
        <f>LAVORAZIONI!AF41</f>
        <v/>
      </c>
      <c r="AA42" s="7">
        <f>LAVORAZIONI!AG41</f>
        <v/>
      </c>
      <c r="AB42" s="6">
        <f>LAVORAZIONI!AH41</f>
        <v/>
      </c>
      <c r="AC42" s="7">
        <f>LAVORAZIONI!AI41</f>
        <v/>
      </c>
      <c r="AD42" s="13">
        <f>LAVORAZIONI!AJ41</f>
        <v/>
      </c>
    </row>
    <row r="43" ht="71" customHeight="1" s="46">
      <c r="B43" s="4">
        <f>LAVORAZIONI!G42</f>
        <v/>
      </c>
      <c r="C43" s="3">
        <f>LAVORAZIONI!A42</f>
        <v/>
      </c>
      <c r="D43" s="3">
        <f>LAVORAZIONI!K42</f>
        <v/>
      </c>
      <c r="E43" s="4">
        <f>LAVORAZIONI!H42</f>
        <v/>
      </c>
      <c r="F43" s="4">
        <f>LAVORAZIONI!M42</f>
        <v/>
      </c>
      <c r="G43" s="5">
        <f>LAVORAZIONI!N42</f>
        <v/>
      </c>
      <c r="H43" s="6">
        <f>LAVORAZIONI!O42</f>
        <v/>
      </c>
      <c r="I43" s="13">
        <f>LAVORAZIONI!P42</f>
        <v/>
      </c>
      <c r="J43" s="5">
        <f>IF(LAVORAZIONI!Q42="","",LAVORAZIONI!Q42)</f>
        <v/>
      </c>
      <c r="K43" s="6">
        <f>IF(LAVORAZIONI!R42="","",LAVORAZIONI!R42)</f>
        <v/>
      </c>
      <c r="L43" s="13">
        <f>IF(LAVORAZIONI!S42="","",LAVORAZIONI!S42)</f>
        <v/>
      </c>
      <c r="M43" s="13">
        <f>LAVORAZIONI!T42</f>
        <v/>
      </c>
      <c r="O43" s="7">
        <f>LAVORAZIONI!U42</f>
        <v/>
      </c>
      <c r="P43" s="45">
        <f>LAVORAZIONI!V42</f>
        <v/>
      </c>
      <c r="Q43" s="7">
        <f>LAVORAZIONI!W42</f>
        <v/>
      </c>
      <c r="R43" s="6">
        <f>LAVORAZIONI!X42</f>
        <v/>
      </c>
      <c r="S43" s="7">
        <f>LAVORAZIONI!Y42</f>
        <v/>
      </c>
      <c r="T43" s="6">
        <f>LAVORAZIONI!Z42</f>
        <v/>
      </c>
      <c r="U43" s="7">
        <f>LAVORAZIONI!AA42</f>
        <v/>
      </c>
      <c r="V43" s="6">
        <f>LAVORAZIONI!AB42</f>
        <v/>
      </c>
      <c r="W43" s="7">
        <f>LAVORAZIONI!AC42</f>
        <v/>
      </c>
      <c r="X43" s="6">
        <f>LAVORAZIONI!AD42</f>
        <v/>
      </c>
      <c r="Y43" s="7">
        <f>LAVORAZIONI!AE42</f>
        <v/>
      </c>
      <c r="Z43" s="6">
        <f>LAVORAZIONI!AF42</f>
        <v/>
      </c>
      <c r="AA43" s="7">
        <f>LAVORAZIONI!AG42</f>
        <v/>
      </c>
      <c r="AB43" s="6">
        <f>LAVORAZIONI!AH42</f>
        <v/>
      </c>
      <c r="AC43" s="7">
        <f>LAVORAZIONI!AI42</f>
        <v/>
      </c>
      <c r="AD43" s="13">
        <f>LAVORAZIONI!AJ42</f>
        <v/>
      </c>
    </row>
    <row r="44" ht="71" customHeight="1" s="46">
      <c r="B44" s="4">
        <f>LAVORAZIONI!G43</f>
        <v/>
      </c>
      <c r="C44" s="3">
        <f>LAVORAZIONI!A43</f>
        <v/>
      </c>
      <c r="D44" s="3">
        <f>LAVORAZIONI!K43</f>
        <v/>
      </c>
      <c r="E44" s="4">
        <f>LAVORAZIONI!H43</f>
        <v/>
      </c>
      <c r="F44" s="4">
        <f>LAVORAZIONI!M43</f>
        <v/>
      </c>
      <c r="G44" s="5">
        <f>LAVORAZIONI!N43</f>
        <v/>
      </c>
      <c r="H44" s="6">
        <f>LAVORAZIONI!O43</f>
        <v/>
      </c>
      <c r="I44" s="13">
        <f>LAVORAZIONI!P43</f>
        <v/>
      </c>
      <c r="J44" s="5">
        <f>IF(LAVORAZIONI!Q43="","",LAVORAZIONI!Q43)</f>
        <v/>
      </c>
      <c r="K44" s="6">
        <f>IF(LAVORAZIONI!R43="","",LAVORAZIONI!R43)</f>
        <v/>
      </c>
      <c r="L44" s="13">
        <f>IF(LAVORAZIONI!S43="","",LAVORAZIONI!S43)</f>
        <v/>
      </c>
      <c r="M44" s="13">
        <f>LAVORAZIONI!T43</f>
        <v/>
      </c>
      <c r="O44" s="7">
        <f>LAVORAZIONI!U43</f>
        <v/>
      </c>
      <c r="P44" s="45">
        <f>LAVORAZIONI!V43</f>
        <v/>
      </c>
      <c r="Q44" s="7">
        <f>LAVORAZIONI!W43</f>
        <v/>
      </c>
      <c r="R44" s="6">
        <f>LAVORAZIONI!X43</f>
        <v/>
      </c>
      <c r="S44" s="7">
        <f>LAVORAZIONI!Y43</f>
        <v/>
      </c>
      <c r="T44" s="6">
        <f>LAVORAZIONI!Z43</f>
        <v/>
      </c>
      <c r="U44" s="7">
        <f>LAVORAZIONI!AA43</f>
        <v/>
      </c>
      <c r="V44" s="6">
        <f>LAVORAZIONI!AB43</f>
        <v/>
      </c>
      <c r="W44" s="7">
        <f>LAVORAZIONI!AC43</f>
        <v/>
      </c>
      <c r="X44" s="6">
        <f>LAVORAZIONI!AD43</f>
        <v/>
      </c>
      <c r="Y44" s="7">
        <f>LAVORAZIONI!AE43</f>
        <v/>
      </c>
      <c r="Z44" s="6">
        <f>LAVORAZIONI!AF43</f>
        <v/>
      </c>
      <c r="AA44" s="7">
        <f>LAVORAZIONI!AG43</f>
        <v/>
      </c>
      <c r="AB44" s="6">
        <f>LAVORAZIONI!AH43</f>
        <v/>
      </c>
      <c r="AC44" s="7">
        <f>LAVORAZIONI!AI43</f>
        <v/>
      </c>
      <c r="AD44" s="13">
        <f>LAVORAZIONI!AJ43</f>
        <v/>
      </c>
    </row>
    <row r="45" ht="71" customHeight="1" s="46">
      <c r="B45" s="4">
        <f>LAVORAZIONI!G44</f>
        <v/>
      </c>
      <c r="C45" s="3">
        <f>LAVORAZIONI!A44</f>
        <v/>
      </c>
      <c r="D45" s="3">
        <f>LAVORAZIONI!K44</f>
        <v/>
      </c>
      <c r="E45" s="4">
        <f>LAVORAZIONI!H44</f>
        <v/>
      </c>
      <c r="F45" s="4">
        <f>LAVORAZIONI!M44</f>
        <v/>
      </c>
      <c r="G45" s="5">
        <f>LAVORAZIONI!N44</f>
        <v/>
      </c>
      <c r="H45" s="6">
        <f>LAVORAZIONI!O44</f>
        <v/>
      </c>
      <c r="I45" s="13">
        <f>LAVORAZIONI!P44</f>
        <v/>
      </c>
      <c r="J45" s="5">
        <f>IF(LAVORAZIONI!Q44="","",LAVORAZIONI!Q44)</f>
        <v/>
      </c>
      <c r="K45" s="6">
        <f>IF(LAVORAZIONI!R44="","",LAVORAZIONI!R44)</f>
        <v/>
      </c>
      <c r="L45" s="13">
        <f>IF(LAVORAZIONI!S44="","",LAVORAZIONI!S44)</f>
        <v/>
      </c>
      <c r="M45" s="13">
        <f>LAVORAZIONI!T44</f>
        <v/>
      </c>
      <c r="O45" s="7">
        <f>LAVORAZIONI!U44</f>
        <v/>
      </c>
      <c r="P45" s="45">
        <f>LAVORAZIONI!V44</f>
        <v/>
      </c>
      <c r="Q45" s="7">
        <f>LAVORAZIONI!W44</f>
        <v/>
      </c>
      <c r="R45" s="6">
        <f>LAVORAZIONI!X44</f>
        <v/>
      </c>
      <c r="S45" s="7">
        <f>LAVORAZIONI!Y44</f>
        <v/>
      </c>
      <c r="T45" s="6">
        <f>LAVORAZIONI!Z44</f>
        <v/>
      </c>
      <c r="U45" s="7">
        <f>LAVORAZIONI!AA44</f>
        <v/>
      </c>
      <c r="V45" s="6">
        <f>LAVORAZIONI!AB44</f>
        <v/>
      </c>
      <c r="W45" s="7">
        <f>LAVORAZIONI!AC44</f>
        <v/>
      </c>
      <c r="X45" s="6">
        <f>LAVORAZIONI!AD44</f>
        <v/>
      </c>
      <c r="Y45" s="7">
        <f>LAVORAZIONI!AE44</f>
        <v/>
      </c>
      <c r="Z45" s="6">
        <f>LAVORAZIONI!AF44</f>
        <v/>
      </c>
      <c r="AA45" s="7">
        <f>LAVORAZIONI!AG44</f>
        <v/>
      </c>
      <c r="AB45" s="6">
        <f>LAVORAZIONI!AH44</f>
        <v/>
      </c>
      <c r="AC45" s="7">
        <f>LAVORAZIONI!AI44</f>
        <v/>
      </c>
      <c r="AD45" s="13">
        <f>LAVORAZIONI!AJ44</f>
        <v/>
      </c>
    </row>
    <row r="46" ht="71" customHeight="1" s="46">
      <c r="B46" s="4">
        <f>LAVORAZIONI!G45</f>
        <v/>
      </c>
      <c r="C46" s="3">
        <f>LAVORAZIONI!A45</f>
        <v/>
      </c>
      <c r="D46" s="3">
        <f>LAVORAZIONI!K45</f>
        <v/>
      </c>
      <c r="E46" s="4">
        <f>LAVORAZIONI!H45</f>
        <v/>
      </c>
      <c r="F46" s="4">
        <f>LAVORAZIONI!M45</f>
        <v/>
      </c>
      <c r="G46" s="5">
        <f>LAVORAZIONI!N45</f>
        <v/>
      </c>
      <c r="H46" s="6">
        <f>LAVORAZIONI!O45</f>
        <v/>
      </c>
      <c r="I46" s="13">
        <f>LAVORAZIONI!P45</f>
        <v/>
      </c>
      <c r="J46" s="5">
        <f>IF(LAVORAZIONI!Q45="","",LAVORAZIONI!Q45)</f>
        <v/>
      </c>
      <c r="K46" s="6">
        <f>IF(LAVORAZIONI!R45="","",LAVORAZIONI!R45)</f>
        <v/>
      </c>
      <c r="L46" s="13">
        <f>IF(LAVORAZIONI!S45="","",LAVORAZIONI!S45)</f>
        <v/>
      </c>
      <c r="M46" s="13">
        <f>LAVORAZIONI!T45</f>
        <v/>
      </c>
      <c r="O46" s="7">
        <f>LAVORAZIONI!U45</f>
        <v/>
      </c>
      <c r="P46" s="45">
        <f>LAVORAZIONI!V45</f>
        <v/>
      </c>
      <c r="Q46" s="7">
        <f>LAVORAZIONI!W45</f>
        <v/>
      </c>
      <c r="R46" s="6">
        <f>LAVORAZIONI!X45</f>
        <v/>
      </c>
      <c r="S46" s="7">
        <f>LAVORAZIONI!Y45</f>
        <v/>
      </c>
      <c r="T46" s="6">
        <f>LAVORAZIONI!Z45</f>
        <v/>
      </c>
      <c r="U46" s="7">
        <f>LAVORAZIONI!AA45</f>
        <v/>
      </c>
      <c r="V46" s="6">
        <f>LAVORAZIONI!AB45</f>
        <v/>
      </c>
      <c r="W46" s="7">
        <f>LAVORAZIONI!AC45</f>
        <v/>
      </c>
      <c r="X46" s="6">
        <f>LAVORAZIONI!AD45</f>
        <v/>
      </c>
      <c r="Y46" s="7">
        <f>LAVORAZIONI!AE45</f>
        <v/>
      </c>
      <c r="Z46" s="6">
        <f>LAVORAZIONI!AF45</f>
        <v/>
      </c>
      <c r="AA46" s="7">
        <f>LAVORAZIONI!AG45</f>
        <v/>
      </c>
      <c r="AB46" s="6">
        <f>LAVORAZIONI!AH45</f>
        <v/>
      </c>
      <c r="AC46" s="7">
        <f>LAVORAZIONI!AI45</f>
        <v/>
      </c>
      <c r="AD46" s="13">
        <f>LAVORAZIONI!AJ45</f>
        <v/>
      </c>
    </row>
    <row r="47" ht="71" customHeight="1" s="46">
      <c r="B47" s="4">
        <f>LAVORAZIONI!G46</f>
        <v/>
      </c>
      <c r="C47" s="3">
        <f>LAVORAZIONI!A46</f>
        <v/>
      </c>
      <c r="D47" s="3">
        <f>LAVORAZIONI!K46</f>
        <v/>
      </c>
      <c r="E47" s="4">
        <f>LAVORAZIONI!H46</f>
        <v/>
      </c>
      <c r="F47" s="4">
        <f>LAVORAZIONI!M46</f>
        <v/>
      </c>
      <c r="G47" s="5">
        <f>LAVORAZIONI!N46</f>
        <v/>
      </c>
      <c r="H47" s="6">
        <f>LAVORAZIONI!O46</f>
        <v/>
      </c>
      <c r="I47" s="13">
        <f>LAVORAZIONI!P46</f>
        <v/>
      </c>
      <c r="J47" s="5">
        <f>IF(LAVORAZIONI!Q46="","",LAVORAZIONI!Q46)</f>
        <v/>
      </c>
      <c r="K47" s="6">
        <f>IF(LAVORAZIONI!R46="","",LAVORAZIONI!R46)</f>
        <v/>
      </c>
      <c r="L47" s="13">
        <f>IF(LAVORAZIONI!S46="","",LAVORAZIONI!S46)</f>
        <v/>
      </c>
      <c r="M47" s="13">
        <f>LAVORAZIONI!T46</f>
        <v/>
      </c>
      <c r="O47" s="7">
        <f>LAVORAZIONI!U46</f>
        <v/>
      </c>
      <c r="P47" s="45">
        <f>LAVORAZIONI!V46</f>
        <v/>
      </c>
      <c r="Q47" s="7">
        <f>LAVORAZIONI!W46</f>
        <v/>
      </c>
      <c r="R47" s="6">
        <f>LAVORAZIONI!X46</f>
        <v/>
      </c>
      <c r="S47" s="7">
        <f>LAVORAZIONI!Y46</f>
        <v/>
      </c>
      <c r="T47" s="6">
        <f>LAVORAZIONI!Z46</f>
        <v/>
      </c>
      <c r="U47" s="7">
        <f>LAVORAZIONI!AA46</f>
        <v/>
      </c>
      <c r="V47" s="6">
        <f>LAVORAZIONI!AB46</f>
        <v/>
      </c>
      <c r="W47" s="7">
        <f>LAVORAZIONI!AC46</f>
        <v/>
      </c>
      <c r="X47" s="6">
        <f>LAVORAZIONI!AD46</f>
        <v/>
      </c>
      <c r="Y47" s="7">
        <f>LAVORAZIONI!AE46</f>
        <v/>
      </c>
      <c r="Z47" s="6">
        <f>LAVORAZIONI!AF46</f>
        <v/>
      </c>
      <c r="AA47" s="7">
        <f>LAVORAZIONI!AG46</f>
        <v/>
      </c>
      <c r="AB47" s="6">
        <f>LAVORAZIONI!AH46</f>
        <v/>
      </c>
      <c r="AC47" s="7">
        <f>LAVORAZIONI!AI46</f>
        <v/>
      </c>
      <c r="AD47" s="13">
        <f>LAVORAZIONI!AJ46</f>
        <v/>
      </c>
    </row>
    <row r="48" ht="71" customHeight="1" s="46">
      <c r="B48" s="4">
        <f>LAVORAZIONI!G47</f>
        <v/>
      </c>
      <c r="C48" s="3">
        <f>LAVORAZIONI!A47</f>
        <v/>
      </c>
      <c r="D48" s="3">
        <f>LAVORAZIONI!K47</f>
        <v/>
      </c>
      <c r="E48" s="4">
        <f>LAVORAZIONI!H47</f>
        <v/>
      </c>
      <c r="F48" s="4">
        <f>LAVORAZIONI!M47</f>
        <v/>
      </c>
      <c r="G48" s="5">
        <f>LAVORAZIONI!N47</f>
        <v/>
      </c>
      <c r="H48" s="6">
        <f>LAVORAZIONI!O47</f>
        <v/>
      </c>
      <c r="I48" s="13">
        <f>LAVORAZIONI!P47</f>
        <v/>
      </c>
      <c r="J48" s="5">
        <f>IF(LAVORAZIONI!Q47="","",LAVORAZIONI!Q47)</f>
        <v/>
      </c>
      <c r="K48" s="6">
        <f>IF(LAVORAZIONI!R47="","",LAVORAZIONI!R47)</f>
        <v/>
      </c>
      <c r="L48" s="13">
        <f>IF(LAVORAZIONI!S47="","",LAVORAZIONI!S47)</f>
        <v/>
      </c>
      <c r="M48" s="13">
        <f>LAVORAZIONI!T47</f>
        <v/>
      </c>
      <c r="O48" s="7">
        <f>LAVORAZIONI!U47</f>
        <v/>
      </c>
      <c r="P48" s="45">
        <f>LAVORAZIONI!V47</f>
        <v/>
      </c>
      <c r="Q48" s="7">
        <f>LAVORAZIONI!W47</f>
        <v/>
      </c>
      <c r="R48" s="6">
        <f>LAVORAZIONI!X47</f>
        <v/>
      </c>
      <c r="S48" s="7">
        <f>LAVORAZIONI!Y47</f>
        <v/>
      </c>
      <c r="T48" s="6">
        <f>LAVORAZIONI!Z47</f>
        <v/>
      </c>
      <c r="U48" s="7">
        <f>LAVORAZIONI!AA47</f>
        <v/>
      </c>
      <c r="V48" s="6">
        <f>LAVORAZIONI!AB47</f>
        <v/>
      </c>
      <c r="W48" s="7">
        <f>LAVORAZIONI!AC47</f>
        <v/>
      </c>
      <c r="X48" s="6">
        <f>LAVORAZIONI!AD47</f>
        <v/>
      </c>
      <c r="Y48" s="7">
        <f>LAVORAZIONI!AE47</f>
        <v/>
      </c>
      <c r="Z48" s="6">
        <f>LAVORAZIONI!AF47</f>
        <v/>
      </c>
      <c r="AA48" s="7">
        <f>LAVORAZIONI!AG47</f>
        <v/>
      </c>
      <c r="AB48" s="6">
        <f>LAVORAZIONI!AH47</f>
        <v/>
      </c>
      <c r="AC48" s="7">
        <f>LAVORAZIONI!AI47</f>
        <v/>
      </c>
      <c r="AD48" s="13">
        <f>LAVORAZIONI!AJ47</f>
        <v/>
      </c>
    </row>
    <row r="49" ht="71" customHeight="1" s="46">
      <c r="B49" s="4">
        <f>LAVORAZIONI!G48</f>
        <v/>
      </c>
      <c r="C49" s="3">
        <f>LAVORAZIONI!A48</f>
        <v/>
      </c>
      <c r="D49" s="3">
        <f>LAVORAZIONI!K48</f>
        <v/>
      </c>
      <c r="E49" s="4">
        <f>LAVORAZIONI!H48</f>
        <v/>
      </c>
      <c r="F49" s="4">
        <f>LAVORAZIONI!M48</f>
        <v/>
      </c>
      <c r="G49" s="5">
        <f>LAVORAZIONI!N48</f>
        <v/>
      </c>
      <c r="H49" s="6">
        <f>LAVORAZIONI!O48</f>
        <v/>
      </c>
      <c r="I49" s="13">
        <f>LAVORAZIONI!P48</f>
        <v/>
      </c>
      <c r="J49" s="5">
        <f>IF(LAVORAZIONI!Q48="","",LAVORAZIONI!Q48)</f>
        <v/>
      </c>
      <c r="K49" s="6">
        <f>IF(LAVORAZIONI!R48="","",LAVORAZIONI!R48)</f>
        <v/>
      </c>
      <c r="L49" s="13">
        <f>IF(LAVORAZIONI!S48="","",LAVORAZIONI!S48)</f>
        <v/>
      </c>
      <c r="M49" s="13">
        <f>LAVORAZIONI!T48</f>
        <v/>
      </c>
      <c r="O49" s="7">
        <f>LAVORAZIONI!U48</f>
        <v/>
      </c>
      <c r="P49" s="45">
        <f>LAVORAZIONI!V48</f>
        <v/>
      </c>
      <c r="Q49" s="7">
        <f>LAVORAZIONI!W48</f>
        <v/>
      </c>
      <c r="R49" s="6">
        <f>LAVORAZIONI!X48</f>
        <v/>
      </c>
      <c r="S49" s="7">
        <f>LAVORAZIONI!Y48</f>
        <v/>
      </c>
      <c r="T49" s="6">
        <f>LAVORAZIONI!Z48</f>
        <v/>
      </c>
      <c r="U49" s="7">
        <f>LAVORAZIONI!AA48</f>
        <v/>
      </c>
      <c r="V49" s="6">
        <f>LAVORAZIONI!AB48</f>
        <v/>
      </c>
      <c r="W49" s="7">
        <f>LAVORAZIONI!AC48</f>
        <v/>
      </c>
      <c r="X49" s="6">
        <f>LAVORAZIONI!AD48</f>
        <v/>
      </c>
      <c r="Y49" s="7">
        <f>LAVORAZIONI!AE48</f>
        <v/>
      </c>
      <c r="Z49" s="6">
        <f>LAVORAZIONI!AF48</f>
        <v/>
      </c>
      <c r="AA49" s="7">
        <f>LAVORAZIONI!AG48</f>
        <v/>
      </c>
      <c r="AB49" s="6">
        <f>LAVORAZIONI!AH48</f>
        <v/>
      </c>
      <c r="AC49" s="7">
        <f>LAVORAZIONI!AI48</f>
        <v/>
      </c>
      <c r="AD49" s="13">
        <f>LAVORAZIONI!AJ48</f>
        <v/>
      </c>
    </row>
    <row r="50" ht="71" customHeight="1" s="46">
      <c r="B50" s="4">
        <f>LAVORAZIONI!G49</f>
        <v/>
      </c>
      <c r="C50" s="3">
        <f>LAVORAZIONI!A49</f>
        <v/>
      </c>
      <c r="D50" s="3">
        <f>LAVORAZIONI!K49</f>
        <v/>
      </c>
      <c r="E50" s="4">
        <f>LAVORAZIONI!H49</f>
        <v/>
      </c>
      <c r="F50" s="4">
        <f>LAVORAZIONI!M49</f>
        <v/>
      </c>
      <c r="G50" s="5">
        <f>LAVORAZIONI!N49</f>
        <v/>
      </c>
      <c r="H50" s="6">
        <f>LAVORAZIONI!O49</f>
        <v/>
      </c>
      <c r="I50" s="13">
        <f>LAVORAZIONI!P49</f>
        <v/>
      </c>
      <c r="J50" s="5">
        <f>IF(LAVORAZIONI!Q49="","",LAVORAZIONI!Q49)</f>
        <v/>
      </c>
      <c r="K50" s="6">
        <f>IF(LAVORAZIONI!R49="","",LAVORAZIONI!R49)</f>
        <v/>
      </c>
      <c r="L50" s="13">
        <f>IF(LAVORAZIONI!S49="","",LAVORAZIONI!S49)</f>
        <v/>
      </c>
      <c r="M50" s="13">
        <f>LAVORAZIONI!T49</f>
        <v/>
      </c>
      <c r="O50" s="7">
        <f>LAVORAZIONI!U49</f>
        <v/>
      </c>
      <c r="P50" s="45">
        <f>LAVORAZIONI!V49</f>
        <v/>
      </c>
      <c r="Q50" s="7">
        <f>LAVORAZIONI!W49</f>
        <v/>
      </c>
      <c r="R50" s="6">
        <f>LAVORAZIONI!X49</f>
        <v/>
      </c>
      <c r="S50" s="7">
        <f>LAVORAZIONI!Y49</f>
        <v/>
      </c>
      <c r="T50" s="6">
        <f>LAVORAZIONI!Z49</f>
        <v/>
      </c>
      <c r="U50" s="7">
        <f>LAVORAZIONI!AA49</f>
        <v/>
      </c>
      <c r="V50" s="6">
        <f>LAVORAZIONI!AB49</f>
        <v/>
      </c>
      <c r="W50" s="7">
        <f>LAVORAZIONI!AC49</f>
        <v/>
      </c>
      <c r="X50" s="6">
        <f>LAVORAZIONI!AD49</f>
        <v/>
      </c>
      <c r="Y50" s="7">
        <f>LAVORAZIONI!AE49</f>
        <v/>
      </c>
      <c r="Z50" s="6">
        <f>LAVORAZIONI!AF49</f>
        <v/>
      </c>
      <c r="AA50" s="7">
        <f>LAVORAZIONI!AG49</f>
        <v/>
      </c>
      <c r="AB50" s="6">
        <f>LAVORAZIONI!AH49</f>
        <v/>
      </c>
      <c r="AC50" s="7">
        <f>LAVORAZIONI!AI49</f>
        <v/>
      </c>
      <c r="AD50" s="13">
        <f>LAVORAZIONI!AJ49</f>
        <v/>
      </c>
    </row>
    <row r="51" ht="71" customHeight="1" s="46">
      <c r="B51" s="4">
        <f>LAVORAZIONI!G50</f>
        <v/>
      </c>
      <c r="C51" s="3">
        <f>LAVORAZIONI!A50</f>
        <v/>
      </c>
      <c r="D51" s="3">
        <f>LAVORAZIONI!K50</f>
        <v/>
      </c>
      <c r="E51" s="4">
        <f>LAVORAZIONI!H50</f>
        <v/>
      </c>
      <c r="F51" s="4">
        <f>LAVORAZIONI!M50</f>
        <v/>
      </c>
      <c r="G51" s="5">
        <f>LAVORAZIONI!N50</f>
        <v/>
      </c>
      <c r="H51" s="6">
        <f>LAVORAZIONI!O50</f>
        <v/>
      </c>
      <c r="I51" s="13">
        <f>LAVORAZIONI!P50</f>
        <v/>
      </c>
      <c r="J51" s="5">
        <f>IF(LAVORAZIONI!Q50="","",LAVORAZIONI!Q50)</f>
        <v/>
      </c>
      <c r="K51" s="6">
        <f>IF(LAVORAZIONI!R50="","",LAVORAZIONI!R50)</f>
        <v/>
      </c>
      <c r="L51" s="13">
        <f>IF(LAVORAZIONI!S50="","",LAVORAZIONI!S50)</f>
        <v/>
      </c>
      <c r="M51" s="13">
        <f>LAVORAZIONI!T50</f>
        <v/>
      </c>
      <c r="O51" s="7">
        <f>LAVORAZIONI!U50</f>
        <v/>
      </c>
      <c r="P51" s="45">
        <f>LAVORAZIONI!V50</f>
        <v/>
      </c>
      <c r="Q51" s="7">
        <f>LAVORAZIONI!W50</f>
        <v/>
      </c>
      <c r="R51" s="6">
        <f>LAVORAZIONI!X50</f>
        <v/>
      </c>
      <c r="S51" s="7">
        <f>LAVORAZIONI!Y50</f>
        <v/>
      </c>
      <c r="T51" s="6">
        <f>LAVORAZIONI!Z50</f>
        <v/>
      </c>
      <c r="U51" s="7">
        <f>LAVORAZIONI!AA50</f>
        <v/>
      </c>
      <c r="V51" s="6">
        <f>LAVORAZIONI!AB50</f>
        <v/>
      </c>
      <c r="W51" s="7">
        <f>LAVORAZIONI!AC50</f>
        <v/>
      </c>
      <c r="X51" s="6">
        <f>LAVORAZIONI!AD50</f>
        <v/>
      </c>
      <c r="Y51" s="7">
        <f>LAVORAZIONI!AE50</f>
        <v/>
      </c>
      <c r="Z51" s="6">
        <f>LAVORAZIONI!AF50</f>
        <v/>
      </c>
      <c r="AA51" s="7">
        <f>LAVORAZIONI!AG50</f>
        <v/>
      </c>
      <c r="AB51" s="6">
        <f>LAVORAZIONI!AH50</f>
        <v/>
      </c>
      <c r="AC51" s="7">
        <f>LAVORAZIONI!AI50</f>
        <v/>
      </c>
      <c r="AD51" s="13">
        <f>LAVORAZIONI!AJ50</f>
        <v/>
      </c>
    </row>
    <row r="52" ht="71" customHeight="1" s="46">
      <c r="B52" s="4">
        <f>LAVORAZIONI!G51</f>
        <v/>
      </c>
      <c r="C52" s="3">
        <f>LAVORAZIONI!A51</f>
        <v/>
      </c>
      <c r="D52" s="3">
        <f>LAVORAZIONI!K51</f>
        <v/>
      </c>
      <c r="E52" s="4">
        <f>LAVORAZIONI!H51</f>
        <v/>
      </c>
      <c r="F52" s="4">
        <f>LAVORAZIONI!M51</f>
        <v/>
      </c>
      <c r="G52" s="5">
        <f>LAVORAZIONI!N51</f>
        <v/>
      </c>
      <c r="H52" s="6">
        <f>LAVORAZIONI!O51</f>
        <v/>
      </c>
      <c r="I52" s="13">
        <f>LAVORAZIONI!P51</f>
        <v/>
      </c>
      <c r="J52" s="5">
        <f>IF(LAVORAZIONI!Q51="","",LAVORAZIONI!Q51)</f>
        <v/>
      </c>
      <c r="K52" s="6">
        <f>IF(LAVORAZIONI!R51="","",LAVORAZIONI!R51)</f>
        <v/>
      </c>
      <c r="L52" s="13">
        <f>IF(LAVORAZIONI!S51="","",LAVORAZIONI!S51)</f>
        <v/>
      </c>
      <c r="M52" s="13">
        <f>LAVORAZIONI!T51</f>
        <v/>
      </c>
      <c r="O52" s="7">
        <f>LAVORAZIONI!U51</f>
        <v/>
      </c>
      <c r="P52" s="45">
        <f>LAVORAZIONI!V51</f>
        <v/>
      </c>
      <c r="Q52" s="7">
        <f>LAVORAZIONI!W51</f>
        <v/>
      </c>
      <c r="R52" s="6">
        <f>LAVORAZIONI!X51</f>
        <v/>
      </c>
      <c r="S52" s="7">
        <f>LAVORAZIONI!Y51</f>
        <v/>
      </c>
      <c r="T52" s="6">
        <f>LAVORAZIONI!Z51</f>
        <v/>
      </c>
      <c r="U52" s="7">
        <f>LAVORAZIONI!AA51</f>
        <v/>
      </c>
      <c r="V52" s="6">
        <f>LAVORAZIONI!AB51</f>
        <v/>
      </c>
      <c r="W52" s="7">
        <f>LAVORAZIONI!AC51</f>
        <v/>
      </c>
      <c r="X52" s="6">
        <f>LAVORAZIONI!AD51</f>
        <v/>
      </c>
      <c r="Y52" s="7">
        <f>LAVORAZIONI!AE51</f>
        <v/>
      </c>
      <c r="Z52" s="6">
        <f>LAVORAZIONI!AF51</f>
        <v/>
      </c>
      <c r="AA52" s="7">
        <f>LAVORAZIONI!AG51</f>
        <v/>
      </c>
      <c r="AB52" s="6">
        <f>LAVORAZIONI!AH51</f>
        <v/>
      </c>
      <c r="AC52" s="7">
        <f>LAVORAZIONI!AI51</f>
        <v/>
      </c>
      <c r="AD52" s="13">
        <f>LAVORAZIONI!AJ51</f>
        <v/>
      </c>
    </row>
    <row r="53" ht="71" customHeight="1" s="46">
      <c r="B53" s="4">
        <f>LAVORAZIONI!G52</f>
        <v/>
      </c>
      <c r="C53" s="3">
        <f>LAVORAZIONI!A52</f>
        <v/>
      </c>
      <c r="D53" s="3">
        <f>LAVORAZIONI!K52</f>
        <v/>
      </c>
      <c r="E53" s="4">
        <f>LAVORAZIONI!H52</f>
        <v/>
      </c>
      <c r="F53" s="4">
        <f>LAVORAZIONI!M52</f>
        <v/>
      </c>
      <c r="G53" s="5">
        <f>LAVORAZIONI!N52</f>
        <v/>
      </c>
      <c r="H53" s="6">
        <f>LAVORAZIONI!O52</f>
        <v/>
      </c>
      <c r="I53" s="13">
        <f>LAVORAZIONI!P52</f>
        <v/>
      </c>
      <c r="J53" s="5">
        <f>IF(LAVORAZIONI!Q52="","",LAVORAZIONI!Q52)</f>
        <v/>
      </c>
      <c r="K53" s="6">
        <f>IF(LAVORAZIONI!R52="","",LAVORAZIONI!R52)</f>
        <v/>
      </c>
      <c r="L53" s="13">
        <f>IF(LAVORAZIONI!S52="","",LAVORAZIONI!S52)</f>
        <v/>
      </c>
      <c r="M53" s="13">
        <f>LAVORAZIONI!T52</f>
        <v/>
      </c>
      <c r="O53" s="7">
        <f>LAVORAZIONI!U52</f>
        <v/>
      </c>
      <c r="P53" s="45">
        <f>LAVORAZIONI!V52</f>
        <v/>
      </c>
      <c r="Q53" s="7">
        <f>LAVORAZIONI!W52</f>
        <v/>
      </c>
      <c r="R53" s="6">
        <f>LAVORAZIONI!X52</f>
        <v/>
      </c>
      <c r="S53" s="7">
        <f>LAVORAZIONI!Y52</f>
        <v/>
      </c>
      <c r="T53" s="6">
        <f>LAVORAZIONI!Z52</f>
        <v/>
      </c>
      <c r="U53" s="7">
        <f>LAVORAZIONI!AA52</f>
        <v/>
      </c>
      <c r="V53" s="6">
        <f>LAVORAZIONI!AB52</f>
        <v/>
      </c>
      <c r="W53" s="7">
        <f>LAVORAZIONI!AC52</f>
        <v/>
      </c>
      <c r="X53" s="6">
        <f>LAVORAZIONI!AD52</f>
        <v/>
      </c>
      <c r="Y53" s="7">
        <f>LAVORAZIONI!AE52</f>
        <v/>
      </c>
      <c r="Z53" s="6">
        <f>LAVORAZIONI!AF52</f>
        <v/>
      </c>
      <c r="AA53" s="7">
        <f>LAVORAZIONI!AG52</f>
        <v/>
      </c>
      <c r="AB53" s="6">
        <f>LAVORAZIONI!AH52</f>
        <v/>
      </c>
      <c r="AC53" s="7">
        <f>LAVORAZIONI!AI52</f>
        <v/>
      </c>
      <c r="AD53" s="13">
        <f>LAVORAZIONI!AJ52</f>
        <v/>
      </c>
    </row>
    <row r="54" ht="71" customHeight="1" s="46">
      <c r="B54" s="4">
        <f>LAVORAZIONI!G53</f>
        <v/>
      </c>
      <c r="C54" s="3">
        <f>LAVORAZIONI!A53</f>
        <v/>
      </c>
      <c r="D54" s="3">
        <f>LAVORAZIONI!K53</f>
        <v/>
      </c>
      <c r="E54" s="4">
        <f>LAVORAZIONI!H53</f>
        <v/>
      </c>
      <c r="F54" s="4">
        <f>LAVORAZIONI!M53</f>
        <v/>
      </c>
      <c r="G54" s="5">
        <f>LAVORAZIONI!N53</f>
        <v/>
      </c>
      <c r="H54" s="6">
        <f>LAVORAZIONI!O53</f>
        <v/>
      </c>
      <c r="I54" s="13">
        <f>LAVORAZIONI!P53</f>
        <v/>
      </c>
      <c r="J54" s="5">
        <f>IF(LAVORAZIONI!Q53="","",LAVORAZIONI!Q53)</f>
        <v/>
      </c>
      <c r="K54" s="6">
        <f>IF(LAVORAZIONI!R53="","",LAVORAZIONI!R53)</f>
        <v/>
      </c>
      <c r="L54" s="13">
        <f>IF(LAVORAZIONI!S53="","",LAVORAZIONI!S53)</f>
        <v/>
      </c>
      <c r="M54" s="13">
        <f>LAVORAZIONI!T53</f>
        <v/>
      </c>
      <c r="O54" s="7">
        <f>LAVORAZIONI!U53</f>
        <v/>
      </c>
      <c r="P54" s="45">
        <f>LAVORAZIONI!V53</f>
        <v/>
      </c>
      <c r="Q54" s="7">
        <f>LAVORAZIONI!W53</f>
        <v/>
      </c>
      <c r="R54" s="6">
        <f>LAVORAZIONI!X53</f>
        <v/>
      </c>
      <c r="S54" s="7">
        <f>LAVORAZIONI!Y53</f>
        <v/>
      </c>
      <c r="T54" s="6">
        <f>LAVORAZIONI!Z53</f>
        <v/>
      </c>
      <c r="U54" s="7">
        <f>LAVORAZIONI!AA53</f>
        <v/>
      </c>
      <c r="V54" s="6">
        <f>LAVORAZIONI!AB53</f>
        <v/>
      </c>
      <c r="W54" s="7">
        <f>LAVORAZIONI!AC53</f>
        <v/>
      </c>
      <c r="X54" s="6">
        <f>LAVORAZIONI!AD53</f>
        <v/>
      </c>
      <c r="Y54" s="7">
        <f>LAVORAZIONI!AE53</f>
        <v/>
      </c>
      <c r="Z54" s="6">
        <f>LAVORAZIONI!AF53</f>
        <v/>
      </c>
      <c r="AA54" s="7">
        <f>LAVORAZIONI!AG53</f>
        <v/>
      </c>
      <c r="AB54" s="6">
        <f>LAVORAZIONI!AH53</f>
        <v/>
      </c>
      <c r="AC54" s="7">
        <f>LAVORAZIONI!AI53</f>
        <v/>
      </c>
      <c r="AD54" s="13">
        <f>LAVORAZIONI!AJ53</f>
        <v/>
      </c>
    </row>
    <row r="55" ht="71" customHeight="1" s="46">
      <c r="B55" s="4">
        <f>LAVORAZIONI!G54</f>
        <v/>
      </c>
      <c r="C55" s="3">
        <f>LAVORAZIONI!A54</f>
        <v/>
      </c>
      <c r="D55" s="3">
        <f>LAVORAZIONI!K54</f>
        <v/>
      </c>
      <c r="E55" s="4">
        <f>LAVORAZIONI!H54</f>
        <v/>
      </c>
      <c r="F55" s="4">
        <f>LAVORAZIONI!M54</f>
        <v/>
      </c>
      <c r="G55" s="5">
        <f>LAVORAZIONI!N54</f>
        <v/>
      </c>
      <c r="H55" s="6">
        <f>LAVORAZIONI!O54</f>
        <v/>
      </c>
      <c r="I55" s="13">
        <f>LAVORAZIONI!P54</f>
        <v/>
      </c>
      <c r="J55" s="5">
        <f>IF(LAVORAZIONI!Q54="","",LAVORAZIONI!Q54)</f>
        <v/>
      </c>
      <c r="K55" s="6">
        <f>IF(LAVORAZIONI!R54="","",LAVORAZIONI!R54)</f>
        <v/>
      </c>
      <c r="L55" s="13">
        <f>IF(LAVORAZIONI!S54="","",LAVORAZIONI!S54)</f>
        <v/>
      </c>
      <c r="M55" s="13">
        <f>LAVORAZIONI!T54</f>
        <v/>
      </c>
      <c r="O55" s="7">
        <f>LAVORAZIONI!U54</f>
        <v/>
      </c>
      <c r="P55" s="45">
        <f>LAVORAZIONI!V54</f>
        <v/>
      </c>
      <c r="Q55" s="7">
        <f>LAVORAZIONI!W54</f>
        <v/>
      </c>
      <c r="R55" s="6">
        <f>LAVORAZIONI!X54</f>
        <v/>
      </c>
      <c r="S55" s="7">
        <f>LAVORAZIONI!Y54</f>
        <v/>
      </c>
      <c r="T55" s="6">
        <f>LAVORAZIONI!Z54</f>
        <v/>
      </c>
      <c r="U55" s="7">
        <f>LAVORAZIONI!AA54</f>
        <v/>
      </c>
      <c r="V55" s="6">
        <f>LAVORAZIONI!AB54</f>
        <v/>
      </c>
      <c r="W55" s="7">
        <f>LAVORAZIONI!AC54</f>
        <v/>
      </c>
      <c r="X55" s="6">
        <f>LAVORAZIONI!AD54</f>
        <v/>
      </c>
      <c r="Y55" s="7">
        <f>LAVORAZIONI!AE54</f>
        <v/>
      </c>
      <c r="Z55" s="6">
        <f>LAVORAZIONI!AF54</f>
        <v/>
      </c>
      <c r="AA55" s="7">
        <f>LAVORAZIONI!AG54</f>
        <v/>
      </c>
      <c r="AB55" s="6">
        <f>LAVORAZIONI!AH54</f>
        <v/>
      </c>
      <c r="AC55" s="7">
        <f>LAVORAZIONI!AI54</f>
        <v/>
      </c>
      <c r="AD55" s="13">
        <f>LAVORAZIONI!AJ54</f>
        <v/>
      </c>
    </row>
    <row r="56" ht="71" customHeight="1" s="46">
      <c r="B56" s="4">
        <f>LAVORAZIONI!G55</f>
        <v/>
      </c>
      <c r="C56" s="3">
        <f>LAVORAZIONI!A55</f>
        <v/>
      </c>
      <c r="D56" s="3">
        <f>LAVORAZIONI!K55</f>
        <v/>
      </c>
      <c r="E56" s="4">
        <f>LAVORAZIONI!H55</f>
        <v/>
      </c>
      <c r="F56" s="4">
        <f>LAVORAZIONI!M55</f>
        <v/>
      </c>
      <c r="G56" s="5">
        <f>LAVORAZIONI!N55</f>
        <v/>
      </c>
      <c r="H56" s="6">
        <f>LAVORAZIONI!O55</f>
        <v/>
      </c>
      <c r="I56" s="13">
        <f>LAVORAZIONI!P55</f>
        <v/>
      </c>
      <c r="J56" s="5">
        <f>IF(LAVORAZIONI!Q55="","",LAVORAZIONI!Q55)</f>
        <v/>
      </c>
      <c r="K56" s="6">
        <f>IF(LAVORAZIONI!R55="","",LAVORAZIONI!R55)</f>
        <v/>
      </c>
      <c r="L56" s="13">
        <f>IF(LAVORAZIONI!S55="","",LAVORAZIONI!S55)</f>
        <v/>
      </c>
      <c r="M56" s="13">
        <f>LAVORAZIONI!T55</f>
        <v/>
      </c>
      <c r="O56" s="7">
        <f>LAVORAZIONI!U55</f>
        <v/>
      </c>
      <c r="P56" s="45">
        <f>LAVORAZIONI!V55</f>
        <v/>
      </c>
      <c r="Q56" s="7">
        <f>LAVORAZIONI!W55</f>
        <v/>
      </c>
      <c r="R56" s="6">
        <f>LAVORAZIONI!X55</f>
        <v/>
      </c>
      <c r="S56" s="7">
        <f>LAVORAZIONI!Y55</f>
        <v/>
      </c>
      <c r="T56" s="6">
        <f>LAVORAZIONI!Z55</f>
        <v/>
      </c>
      <c r="U56" s="7">
        <f>LAVORAZIONI!AA55</f>
        <v/>
      </c>
      <c r="V56" s="6">
        <f>LAVORAZIONI!AB55</f>
        <v/>
      </c>
      <c r="W56" s="7">
        <f>LAVORAZIONI!AC55</f>
        <v/>
      </c>
      <c r="X56" s="6">
        <f>LAVORAZIONI!AD55</f>
        <v/>
      </c>
      <c r="Y56" s="7">
        <f>LAVORAZIONI!AE55</f>
        <v/>
      </c>
      <c r="Z56" s="6">
        <f>LAVORAZIONI!AF55</f>
        <v/>
      </c>
      <c r="AA56" s="7">
        <f>LAVORAZIONI!AG55</f>
        <v/>
      </c>
      <c r="AB56" s="6">
        <f>LAVORAZIONI!AH55</f>
        <v/>
      </c>
      <c r="AC56" s="7">
        <f>LAVORAZIONI!AI55</f>
        <v/>
      </c>
      <c r="AD56" s="13">
        <f>LAVORAZIONI!AJ55</f>
        <v/>
      </c>
    </row>
    <row r="57" ht="71" customHeight="1" s="46">
      <c r="B57" s="4">
        <f>LAVORAZIONI!G56</f>
        <v/>
      </c>
      <c r="C57" s="3">
        <f>LAVORAZIONI!A56</f>
        <v/>
      </c>
      <c r="D57" s="3">
        <f>LAVORAZIONI!K56</f>
        <v/>
      </c>
      <c r="E57" s="4">
        <f>LAVORAZIONI!H56</f>
        <v/>
      </c>
      <c r="F57" s="4">
        <f>LAVORAZIONI!M56</f>
        <v/>
      </c>
      <c r="G57" s="5">
        <f>LAVORAZIONI!N56</f>
        <v/>
      </c>
      <c r="H57" s="6">
        <f>LAVORAZIONI!O56</f>
        <v/>
      </c>
      <c r="I57" s="13">
        <f>LAVORAZIONI!P56</f>
        <v/>
      </c>
      <c r="J57" s="5">
        <f>IF(LAVORAZIONI!Q56="","",LAVORAZIONI!Q56)</f>
        <v/>
      </c>
      <c r="K57" s="6">
        <f>IF(LAVORAZIONI!R56="","",LAVORAZIONI!R56)</f>
        <v/>
      </c>
      <c r="L57" s="13">
        <f>IF(LAVORAZIONI!S56="","",LAVORAZIONI!S56)</f>
        <v/>
      </c>
      <c r="M57" s="13">
        <f>LAVORAZIONI!T56</f>
        <v/>
      </c>
      <c r="O57" s="7">
        <f>LAVORAZIONI!U56</f>
        <v/>
      </c>
      <c r="P57" s="45">
        <f>LAVORAZIONI!V56</f>
        <v/>
      </c>
      <c r="Q57" s="7">
        <f>LAVORAZIONI!W56</f>
        <v/>
      </c>
      <c r="R57" s="6">
        <f>LAVORAZIONI!X56</f>
        <v/>
      </c>
      <c r="S57" s="7">
        <f>LAVORAZIONI!Y56</f>
        <v/>
      </c>
      <c r="T57" s="6">
        <f>LAVORAZIONI!Z56</f>
        <v/>
      </c>
      <c r="U57" s="7">
        <f>LAVORAZIONI!AA56</f>
        <v/>
      </c>
      <c r="V57" s="6">
        <f>LAVORAZIONI!AB56</f>
        <v/>
      </c>
      <c r="W57" s="7">
        <f>LAVORAZIONI!AC56</f>
        <v/>
      </c>
      <c r="X57" s="6">
        <f>LAVORAZIONI!AD56</f>
        <v/>
      </c>
      <c r="Y57" s="7">
        <f>LAVORAZIONI!AE56</f>
        <v/>
      </c>
      <c r="Z57" s="6">
        <f>LAVORAZIONI!AF56</f>
        <v/>
      </c>
      <c r="AA57" s="7">
        <f>LAVORAZIONI!AG56</f>
        <v/>
      </c>
      <c r="AB57" s="6">
        <f>LAVORAZIONI!AH56</f>
        <v/>
      </c>
      <c r="AC57" s="7">
        <f>LAVORAZIONI!AI56</f>
        <v/>
      </c>
      <c r="AD57" s="13">
        <f>LAVORAZIONI!AJ56</f>
        <v/>
      </c>
    </row>
    <row r="58" ht="71" customHeight="1" s="46">
      <c r="B58" s="4">
        <f>LAVORAZIONI!G57</f>
        <v/>
      </c>
      <c r="C58" s="3">
        <f>LAVORAZIONI!A57</f>
        <v/>
      </c>
      <c r="D58" s="3">
        <f>LAVORAZIONI!K57</f>
        <v/>
      </c>
      <c r="E58" s="4">
        <f>LAVORAZIONI!H57</f>
        <v/>
      </c>
      <c r="F58" s="4">
        <f>LAVORAZIONI!M57</f>
        <v/>
      </c>
      <c r="G58" s="5">
        <f>LAVORAZIONI!N57</f>
        <v/>
      </c>
      <c r="H58" s="6">
        <f>LAVORAZIONI!O57</f>
        <v/>
      </c>
      <c r="I58" s="13">
        <f>LAVORAZIONI!P57</f>
        <v/>
      </c>
      <c r="J58" s="5">
        <f>IF(LAVORAZIONI!Q57="","",LAVORAZIONI!Q57)</f>
        <v/>
      </c>
      <c r="K58" s="6">
        <f>IF(LAVORAZIONI!R57="","",LAVORAZIONI!R57)</f>
        <v/>
      </c>
      <c r="L58" s="13">
        <f>IF(LAVORAZIONI!S57="","",LAVORAZIONI!S57)</f>
        <v/>
      </c>
      <c r="M58" s="13">
        <f>LAVORAZIONI!T57</f>
        <v/>
      </c>
      <c r="O58" s="7">
        <f>LAVORAZIONI!U57</f>
        <v/>
      </c>
      <c r="P58" s="45">
        <f>LAVORAZIONI!V57</f>
        <v/>
      </c>
      <c r="Q58" s="7">
        <f>LAVORAZIONI!W57</f>
        <v/>
      </c>
      <c r="R58" s="6">
        <f>LAVORAZIONI!X57</f>
        <v/>
      </c>
      <c r="S58" s="7">
        <f>LAVORAZIONI!Y57</f>
        <v/>
      </c>
      <c r="T58" s="6">
        <f>LAVORAZIONI!Z57</f>
        <v/>
      </c>
      <c r="U58" s="7">
        <f>LAVORAZIONI!AA57</f>
        <v/>
      </c>
      <c r="V58" s="6">
        <f>LAVORAZIONI!AB57</f>
        <v/>
      </c>
      <c r="W58" s="7">
        <f>LAVORAZIONI!AC57</f>
        <v/>
      </c>
      <c r="X58" s="6">
        <f>LAVORAZIONI!AD57</f>
        <v/>
      </c>
      <c r="Y58" s="7">
        <f>LAVORAZIONI!AE57</f>
        <v/>
      </c>
      <c r="Z58" s="6">
        <f>LAVORAZIONI!AF57</f>
        <v/>
      </c>
      <c r="AA58" s="7">
        <f>LAVORAZIONI!AG57</f>
        <v/>
      </c>
      <c r="AB58" s="6">
        <f>LAVORAZIONI!AH57</f>
        <v/>
      </c>
      <c r="AC58" s="7">
        <f>LAVORAZIONI!AI57</f>
        <v/>
      </c>
      <c r="AD58" s="13">
        <f>LAVORAZIONI!AJ57</f>
        <v/>
      </c>
    </row>
    <row r="59" ht="71" customHeight="1" s="46">
      <c r="B59" s="4">
        <f>LAVORAZIONI!G58</f>
        <v/>
      </c>
      <c r="C59" s="3">
        <f>LAVORAZIONI!A58</f>
        <v/>
      </c>
      <c r="D59" s="3">
        <f>LAVORAZIONI!K58</f>
        <v/>
      </c>
      <c r="E59" s="4">
        <f>LAVORAZIONI!H58</f>
        <v/>
      </c>
      <c r="F59" s="4">
        <f>LAVORAZIONI!M58</f>
        <v/>
      </c>
      <c r="G59" s="5">
        <f>LAVORAZIONI!N58</f>
        <v/>
      </c>
      <c r="H59" s="6">
        <f>LAVORAZIONI!O58</f>
        <v/>
      </c>
      <c r="I59" s="13">
        <f>LAVORAZIONI!P58</f>
        <v/>
      </c>
      <c r="J59" s="5">
        <f>IF(LAVORAZIONI!Q58="","",LAVORAZIONI!Q58)</f>
        <v/>
      </c>
      <c r="K59" s="6">
        <f>IF(LAVORAZIONI!R58="","",LAVORAZIONI!R58)</f>
        <v/>
      </c>
      <c r="L59" s="13">
        <f>IF(LAVORAZIONI!S58="","",LAVORAZIONI!S58)</f>
        <v/>
      </c>
      <c r="M59" s="13">
        <f>LAVORAZIONI!T58</f>
        <v/>
      </c>
      <c r="O59" s="7">
        <f>LAVORAZIONI!U58</f>
        <v/>
      </c>
      <c r="P59" s="45">
        <f>LAVORAZIONI!V58</f>
        <v/>
      </c>
      <c r="Q59" s="7">
        <f>LAVORAZIONI!W58</f>
        <v/>
      </c>
      <c r="R59" s="6">
        <f>LAVORAZIONI!X58</f>
        <v/>
      </c>
      <c r="S59" s="7">
        <f>LAVORAZIONI!Y58</f>
        <v/>
      </c>
      <c r="T59" s="6">
        <f>LAVORAZIONI!Z58</f>
        <v/>
      </c>
      <c r="U59" s="7">
        <f>LAVORAZIONI!AA58</f>
        <v/>
      </c>
      <c r="V59" s="6">
        <f>LAVORAZIONI!AB58</f>
        <v/>
      </c>
      <c r="W59" s="7">
        <f>LAVORAZIONI!AC58</f>
        <v/>
      </c>
      <c r="X59" s="6">
        <f>LAVORAZIONI!AD58</f>
        <v/>
      </c>
      <c r="Y59" s="7">
        <f>LAVORAZIONI!AE58</f>
        <v/>
      </c>
      <c r="Z59" s="6">
        <f>LAVORAZIONI!AF58</f>
        <v/>
      </c>
      <c r="AA59" s="7">
        <f>LAVORAZIONI!AG58</f>
        <v/>
      </c>
      <c r="AB59" s="6">
        <f>LAVORAZIONI!AH58</f>
        <v/>
      </c>
      <c r="AC59" s="7">
        <f>LAVORAZIONI!AI58</f>
        <v/>
      </c>
      <c r="AD59" s="13">
        <f>LAVORAZIONI!AJ58</f>
        <v/>
      </c>
    </row>
    <row r="60" ht="71" customHeight="1" s="46">
      <c r="B60" s="4">
        <f>LAVORAZIONI!G59</f>
        <v/>
      </c>
      <c r="C60" s="3">
        <f>LAVORAZIONI!A59</f>
        <v/>
      </c>
      <c r="D60" s="3">
        <f>LAVORAZIONI!K59</f>
        <v/>
      </c>
      <c r="E60" s="4">
        <f>LAVORAZIONI!H59</f>
        <v/>
      </c>
      <c r="F60" s="4">
        <f>LAVORAZIONI!M59</f>
        <v/>
      </c>
      <c r="G60" s="5">
        <f>LAVORAZIONI!N59</f>
        <v/>
      </c>
      <c r="H60" s="6">
        <f>LAVORAZIONI!O59</f>
        <v/>
      </c>
      <c r="I60" s="13">
        <f>LAVORAZIONI!P59</f>
        <v/>
      </c>
      <c r="J60" s="5">
        <f>IF(LAVORAZIONI!Q59="","",LAVORAZIONI!Q59)</f>
        <v/>
      </c>
      <c r="K60" s="6">
        <f>IF(LAVORAZIONI!R59="","",LAVORAZIONI!R59)</f>
        <v/>
      </c>
      <c r="L60" s="13">
        <f>IF(LAVORAZIONI!S59="","",LAVORAZIONI!S59)</f>
        <v/>
      </c>
      <c r="M60" s="13">
        <f>LAVORAZIONI!T59</f>
        <v/>
      </c>
      <c r="O60" s="7">
        <f>LAVORAZIONI!U59</f>
        <v/>
      </c>
      <c r="P60" s="45">
        <f>LAVORAZIONI!V59</f>
        <v/>
      </c>
      <c r="Q60" s="7">
        <f>LAVORAZIONI!W59</f>
        <v/>
      </c>
      <c r="R60" s="6">
        <f>LAVORAZIONI!X59</f>
        <v/>
      </c>
      <c r="S60" s="7">
        <f>LAVORAZIONI!Y59</f>
        <v/>
      </c>
      <c r="T60" s="6">
        <f>LAVORAZIONI!Z59</f>
        <v/>
      </c>
      <c r="U60" s="7">
        <f>LAVORAZIONI!AA59</f>
        <v/>
      </c>
      <c r="V60" s="6">
        <f>LAVORAZIONI!AB59</f>
        <v/>
      </c>
      <c r="W60" s="7">
        <f>LAVORAZIONI!AC59</f>
        <v/>
      </c>
      <c r="X60" s="6">
        <f>LAVORAZIONI!AD59</f>
        <v/>
      </c>
      <c r="Y60" s="7">
        <f>LAVORAZIONI!AE59</f>
        <v/>
      </c>
      <c r="Z60" s="6">
        <f>LAVORAZIONI!AF59</f>
        <v/>
      </c>
      <c r="AA60" s="7">
        <f>LAVORAZIONI!AG59</f>
        <v/>
      </c>
      <c r="AB60" s="6">
        <f>LAVORAZIONI!AH59</f>
        <v/>
      </c>
      <c r="AC60" s="7">
        <f>LAVORAZIONI!AI59</f>
        <v/>
      </c>
      <c r="AD60" s="13">
        <f>LAVORAZIONI!AJ59</f>
        <v/>
      </c>
    </row>
    <row r="61" ht="71" customHeight="1" s="46">
      <c r="B61" s="4">
        <f>LAVORAZIONI!G60</f>
        <v/>
      </c>
      <c r="C61" s="3">
        <f>LAVORAZIONI!A60</f>
        <v/>
      </c>
      <c r="D61" s="3">
        <f>LAVORAZIONI!K60</f>
        <v/>
      </c>
      <c r="E61" s="4">
        <f>LAVORAZIONI!H60</f>
        <v/>
      </c>
      <c r="F61" s="4">
        <f>LAVORAZIONI!M60</f>
        <v/>
      </c>
      <c r="G61" s="5">
        <f>LAVORAZIONI!N60</f>
        <v/>
      </c>
      <c r="H61" s="6">
        <f>LAVORAZIONI!O60</f>
        <v/>
      </c>
      <c r="I61" s="13">
        <f>LAVORAZIONI!P60</f>
        <v/>
      </c>
      <c r="J61" s="5">
        <f>IF(LAVORAZIONI!Q60="","",LAVORAZIONI!Q60)</f>
        <v/>
      </c>
      <c r="K61" s="6">
        <f>IF(LAVORAZIONI!R60="","",LAVORAZIONI!R60)</f>
        <v/>
      </c>
      <c r="L61" s="13">
        <f>IF(LAVORAZIONI!S60="","",LAVORAZIONI!S60)</f>
        <v/>
      </c>
      <c r="M61" s="13">
        <f>LAVORAZIONI!T60</f>
        <v/>
      </c>
      <c r="O61" s="7">
        <f>LAVORAZIONI!U60</f>
        <v/>
      </c>
      <c r="P61" s="45">
        <f>LAVORAZIONI!V60</f>
        <v/>
      </c>
      <c r="Q61" s="7">
        <f>LAVORAZIONI!W60</f>
        <v/>
      </c>
      <c r="R61" s="6">
        <f>LAVORAZIONI!X60</f>
        <v/>
      </c>
      <c r="S61" s="7">
        <f>LAVORAZIONI!Y60</f>
        <v/>
      </c>
      <c r="T61" s="6">
        <f>LAVORAZIONI!Z60</f>
        <v/>
      </c>
      <c r="U61" s="7">
        <f>LAVORAZIONI!AA60</f>
        <v/>
      </c>
      <c r="V61" s="6">
        <f>LAVORAZIONI!AB60</f>
        <v/>
      </c>
      <c r="W61" s="7">
        <f>LAVORAZIONI!AC60</f>
        <v/>
      </c>
      <c r="X61" s="6">
        <f>LAVORAZIONI!AD60</f>
        <v/>
      </c>
      <c r="Y61" s="7">
        <f>LAVORAZIONI!AE60</f>
        <v/>
      </c>
      <c r="Z61" s="6">
        <f>LAVORAZIONI!AF60</f>
        <v/>
      </c>
      <c r="AA61" s="7">
        <f>LAVORAZIONI!AG60</f>
        <v/>
      </c>
      <c r="AB61" s="6">
        <f>LAVORAZIONI!AH60</f>
        <v/>
      </c>
      <c r="AC61" s="7">
        <f>LAVORAZIONI!AI60</f>
        <v/>
      </c>
      <c r="AD61" s="13">
        <f>LAVORAZIONI!AJ60</f>
        <v/>
      </c>
    </row>
    <row r="62" ht="71" customHeight="1" s="46">
      <c r="B62" s="4">
        <f>LAVORAZIONI!G61</f>
        <v/>
      </c>
      <c r="C62" s="3">
        <f>LAVORAZIONI!A61</f>
        <v/>
      </c>
      <c r="D62" s="3">
        <f>LAVORAZIONI!K61</f>
        <v/>
      </c>
      <c r="E62" s="4">
        <f>LAVORAZIONI!H61</f>
        <v/>
      </c>
      <c r="F62" s="4">
        <f>LAVORAZIONI!M61</f>
        <v/>
      </c>
      <c r="G62" s="5">
        <f>LAVORAZIONI!N61</f>
        <v/>
      </c>
      <c r="H62" s="6">
        <f>LAVORAZIONI!O61</f>
        <v/>
      </c>
      <c r="I62" s="13">
        <f>LAVORAZIONI!P61</f>
        <v/>
      </c>
      <c r="J62" s="5">
        <f>IF(LAVORAZIONI!Q61="","",LAVORAZIONI!Q61)</f>
        <v/>
      </c>
      <c r="K62" s="6">
        <f>IF(LAVORAZIONI!R61="","",LAVORAZIONI!R61)</f>
        <v/>
      </c>
      <c r="L62" s="13">
        <f>IF(LAVORAZIONI!S61="","",LAVORAZIONI!S61)</f>
        <v/>
      </c>
      <c r="M62" s="13">
        <f>LAVORAZIONI!T61</f>
        <v/>
      </c>
      <c r="O62" s="7">
        <f>LAVORAZIONI!U61</f>
        <v/>
      </c>
      <c r="P62" s="45">
        <f>LAVORAZIONI!V61</f>
        <v/>
      </c>
      <c r="Q62" s="7">
        <f>LAVORAZIONI!W61</f>
        <v/>
      </c>
      <c r="R62" s="6">
        <f>LAVORAZIONI!X61</f>
        <v/>
      </c>
      <c r="S62" s="7">
        <f>LAVORAZIONI!Y61</f>
        <v/>
      </c>
      <c r="T62" s="6">
        <f>LAVORAZIONI!Z61</f>
        <v/>
      </c>
      <c r="U62" s="7">
        <f>LAVORAZIONI!AA61</f>
        <v/>
      </c>
      <c r="V62" s="6">
        <f>LAVORAZIONI!AB61</f>
        <v/>
      </c>
      <c r="W62" s="7">
        <f>LAVORAZIONI!AC61</f>
        <v/>
      </c>
      <c r="X62" s="6">
        <f>LAVORAZIONI!AD61</f>
        <v/>
      </c>
      <c r="Y62" s="7">
        <f>LAVORAZIONI!AE61</f>
        <v/>
      </c>
      <c r="Z62" s="6">
        <f>LAVORAZIONI!AF61</f>
        <v/>
      </c>
      <c r="AA62" s="7">
        <f>LAVORAZIONI!AG61</f>
        <v/>
      </c>
      <c r="AB62" s="6">
        <f>LAVORAZIONI!AH61</f>
        <v/>
      </c>
      <c r="AC62" s="7">
        <f>LAVORAZIONI!AI61</f>
        <v/>
      </c>
      <c r="AD62" s="13">
        <f>LAVORAZIONI!AJ61</f>
        <v/>
      </c>
    </row>
    <row r="63" ht="71" customHeight="1" s="46">
      <c r="B63" s="4">
        <f>LAVORAZIONI!G62</f>
        <v/>
      </c>
      <c r="C63" s="3">
        <f>LAVORAZIONI!A62</f>
        <v/>
      </c>
      <c r="D63" s="3">
        <f>LAVORAZIONI!K62</f>
        <v/>
      </c>
      <c r="E63" s="4">
        <f>LAVORAZIONI!H62</f>
        <v/>
      </c>
      <c r="F63" s="4">
        <f>LAVORAZIONI!M62</f>
        <v/>
      </c>
      <c r="G63" s="5">
        <f>LAVORAZIONI!N62</f>
        <v/>
      </c>
      <c r="H63" s="6">
        <f>LAVORAZIONI!O62</f>
        <v/>
      </c>
      <c r="I63" s="13">
        <f>LAVORAZIONI!P62</f>
        <v/>
      </c>
      <c r="J63" s="5">
        <f>IF(LAVORAZIONI!Q62="","",LAVORAZIONI!Q62)</f>
        <v/>
      </c>
      <c r="K63" s="6">
        <f>IF(LAVORAZIONI!R62="","",LAVORAZIONI!R62)</f>
        <v/>
      </c>
      <c r="L63" s="13">
        <f>IF(LAVORAZIONI!S62="","",LAVORAZIONI!S62)</f>
        <v/>
      </c>
      <c r="M63" s="13">
        <f>LAVORAZIONI!T62</f>
        <v/>
      </c>
      <c r="O63" s="7">
        <f>LAVORAZIONI!U62</f>
        <v/>
      </c>
      <c r="P63" s="45">
        <f>LAVORAZIONI!V62</f>
        <v/>
      </c>
      <c r="Q63" s="7">
        <f>LAVORAZIONI!W62</f>
        <v/>
      </c>
      <c r="R63" s="6">
        <f>LAVORAZIONI!X62</f>
        <v/>
      </c>
      <c r="S63" s="7">
        <f>LAVORAZIONI!Y62</f>
        <v/>
      </c>
      <c r="T63" s="6">
        <f>LAVORAZIONI!Z62</f>
        <v/>
      </c>
      <c r="U63" s="7">
        <f>LAVORAZIONI!AA62</f>
        <v/>
      </c>
      <c r="V63" s="6">
        <f>LAVORAZIONI!AB62</f>
        <v/>
      </c>
      <c r="W63" s="7">
        <f>LAVORAZIONI!AC62</f>
        <v/>
      </c>
      <c r="X63" s="6">
        <f>LAVORAZIONI!AD62</f>
        <v/>
      </c>
      <c r="Y63" s="7">
        <f>LAVORAZIONI!AE62</f>
        <v/>
      </c>
      <c r="Z63" s="6">
        <f>LAVORAZIONI!AF62</f>
        <v/>
      </c>
      <c r="AA63" s="7">
        <f>LAVORAZIONI!AG62</f>
        <v/>
      </c>
      <c r="AB63" s="6">
        <f>LAVORAZIONI!AH62</f>
        <v/>
      </c>
      <c r="AC63" s="7">
        <f>LAVORAZIONI!AI62</f>
        <v/>
      </c>
      <c r="AD63" s="13">
        <f>LAVORAZIONI!AJ62</f>
        <v/>
      </c>
    </row>
    <row r="64" ht="71" customHeight="1" s="46">
      <c r="B64" s="4">
        <f>LAVORAZIONI!G63</f>
        <v/>
      </c>
      <c r="C64" s="3">
        <f>LAVORAZIONI!A63</f>
        <v/>
      </c>
      <c r="D64" s="3">
        <f>LAVORAZIONI!K63</f>
        <v/>
      </c>
      <c r="E64" s="4">
        <f>LAVORAZIONI!H63</f>
        <v/>
      </c>
      <c r="F64" s="4">
        <f>LAVORAZIONI!M63</f>
        <v/>
      </c>
      <c r="G64" s="5">
        <f>LAVORAZIONI!N63</f>
        <v/>
      </c>
      <c r="H64" s="6">
        <f>LAVORAZIONI!O63</f>
        <v/>
      </c>
      <c r="I64" s="13">
        <f>LAVORAZIONI!P63</f>
        <v/>
      </c>
      <c r="J64" s="5">
        <f>IF(LAVORAZIONI!Q63="","",LAVORAZIONI!Q63)</f>
        <v/>
      </c>
      <c r="K64" s="6">
        <f>IF(LAVORAZIONI!R63="","",LAVORAZIONI!R63)</f>
        <v/>
      </c>
      <c r="L64" s="13">
        <f>IF(LAVORAZIONI!S63="","",LAVORAZIONI!S63)</f>
        <v/>
      </c>
      <c r="M64" s="13">
        <f>LAVORAZIONI!T63</f>
        <v/>
      </c>
      <c r="O64" s="7">
        <f>LAVORAZIONI!U63</f>
        <v/>
      </c>
      <c r="P64" s="45">
        <f>LAVORAZIONI!V63</f>
        <v/>
      </c>
      <c r="Q64" s="7">
        <f>LAVORAZIONI!W63</f>
        <v/>
      </c>
      <c r="R64" s="6">
        <f>LAVORAZIONI!X63</f>
        <v/>
      </c>
      <c r="S64" s="7">
        <f>LAVORAZIONI!Y63</f>
        <v/>
      </c>
      <c r="T64" s="6">
        <f>LAVORAZIONI!Z63</f>
        <v/>
      </c>
      <c r="U64" s="7">
        <f>LAVORAZIONI!AA63</f>
        <v/>
      </c>
      <c r="V64" s="6">
        <f>LAVORAZIONI!AB63</f>
        <v/>
      </c>
      <c r="W64" s="7">
        <f>LAVORAZIONI!AC63</f>
        <v/>
      </c>
      <c r="X64" s="6">
        <f>LAVORAZIONI!AD63</f>
        <v/>
      </c>
      <c r="Y64" s="7">
        <f>LAVORAZIONI!AE63</f>
        <v/>
      </c>
      <c r="Z64" s="6">
        <f>LAVORAZIONI!AF63</f>
        <v/>
      </c>
      <c r="AA64" s="7">
        <f>LAVORAZIONI!AG63</f>
        <v/>
      </c>
      <c r="AB64" s="6">
        <f>LAVORAZIONI!AH63</f>
        <v/>
      </c>
      <c r="AC64" s="7">
        <f>LAVORAZIONI!AI63</f>
        <v/>
      </c>
      <c r="AD64" s="13">
        <f>LAVORAZIONI!AJ63</f>
        <v/>
      </c>
    </row>
    <row r="65" ht="71" customHeight="1" s="46">
      <c r="B65" s="4">
        <f>LAVORAZIONI!G64</f>
        <v/>
      </c>
      <c r="C65" s="3">
        <f>LAVORAZIONI!A64</f>
        <v/>
      </c>
      <c r="D65" s="3">
        <f>LAVORAZIONI!K64</f>
        <v/>
      </c>
      <c r="E65" s="4">
        <f>LAVORAZIONI!H64</f>
        <v/>
      </c>
      <c r="F65" s="4">
        <f>LAVORAZIONI!M64</f>
        <v/>
      </c>
      <c r="G65" s="5">
        <f>LAVORAZIONI!N64</f>
        <v/>
      </c>
      <c r="H65" s="6">
        <f>LAVORAZIONI!O64</f>
        <v/>
      </c>
      <c r="I65" s="13">
        <f>LAVORAZIONI!P64</f>
        <v/>
      </c>
      <c r="J65" s="5">
        <f>IF(LAVORAZIONI!Q64="","",LAVORAZIONI!Q64)</f>
        <v/>
      </c>
      <c r="K65" s="6">
        <f>IF(LAVORAZIONI!R64="","",LAVORAZIONI!R64)</f>
        <v/>
      </c>
      <c r="L65" s="13">
        <f>IF(LAVORAZIONI!S64="","",LAVORAZIONI!S64)</f>
        <v/>
      </c>
      <c r="M65" s="13">
        <f>LAVORAZIONI!T64</f>
        <v/>
      </c>
      <c r="O65" s="7">
        <f>LAVORAZIONI!U64</f>
        <v/>
      </c>
      <c r="P65" s="45">
        <f>LAVORAZIONI!V64</f>
        <v/>
      </c>
      <c r="Q65" s="7">
        <f>LAVORAZIONI!W64</f>
        <v/>
      </c>
      <c r="R65" s="6">
        <f>LAVORAZIONI!X64</f>
        <v/>
      </c>
      <c r="S65" s="7">
        <f>LAVORAZIONI!Y64</f>
        <v/>
      </c>
      <c r="T65" s="6">
        <f>LAVORAZIONI!Z64</f>
        <v/>
      </c>
      <c r="U65" s="7">
        <f>LAVORAZIONI!AA64</f>
        <v/>
      </c>
      <c r="V65" s="6">
        <f>LAVORAZIONI!AB64</f>
        <v/>
      </c>
      <c r="W65" s="7">
        <f>LAVORAZIONI!AC64</f>
        <v/>
      </c>
      <c r="X65" s="6">
        <f>LAVORAZIONI!AD64</f>
        <v/>
      </c>
      <c r="Y65" s="7">
        <f>LAVORAZIONI!AE64</f>
        <v/>
      </c>
      <c r="Z65" s="6">
        <f>LAVORAZIONI!AF64</f>
        <v/>
      </c>
      <c r="AA65" s="7">
        <f>LAVORAZIONI!AG64</f>
        <v/>
      </c>
      <c r="AB65" s="6">
        <f>LAVORAZIONI!AH64</f>
        <v/>
      </c>
      <c r="AC65" s="7">
        <f>LAVORAZIONI!AI64</f>
        <v/>
      </c>
      <c r="AD65" s="13">
        <f>LAVORAZIONI!AJ64</f>
        <v/>
      </c>
    </row>
    <row r="66" ht="71" customHeight="1" s="46">
      <c r="B66" s="4">
        <f>LAVORAZIONI!G65</f>
        <v/>
      </c>
      <c r="C66" s="3">
        <f>LAVORAZIONI!A65</f>
        <v/>
      </c>
      <c r="D66" s="3">
        <f>LAVORAZIONI!K65</f>
        <v/>
      </c>
      <c r="E66" s="4">
        <f>LAVORAZIONI!H65</f>
        <v/>
      </c>
      <c r="F66" s="4">
        <f>LAVORAZIONI!M65</f>
        <v/>
      </c>
      <c r="G66" s="5">
        <f>LAVORAZIONI!N65</f>
        <v/>
      </c>
      <c r="H66" s="6">
        <f>LAVORAZIONI!O65</f>
        <v/>
      </c>
      <c r="I66" s="13">
        <f>LAVORAZIONI!P65</f>
        <v/>
      </c>
      <c r="J66" s="5">
        <f>IF(LAVORAZIONI!Q65="","",LAVORAZIONI!Q65)</f>
        <v/>
      </c>
      <c r="K66" s="6">
        <f>IF(LAVORAZIONI!R65="","",LAVORAZIONI!R65)</f>
        <v/>
      </c>
      <c r="L66" s="13">
        <f>IF(LAVORAZIONI!S65="","",LAVORAZIONI!S65)</f>
        <v/>
      </c>
      <c r="M66" s="13">
        <f>LAVORAZIONI!T65</f>
        <v/>
      </c>
      <c r="O66" s="7">
        <f>LAVORAZIONI!U65</f>
        <v/>
      </c>
      <c r="P66" s="45">
        <f>LAVORAZIONI!V65</f>
        <v/>
      </c>
      <c r="Q66" s="7">
        <f>LAVORAZIONI!W65</f>
        <v/>
      </c>
      <c r="R66" s="6">
        <f>LAVORAZIONI!X65</f>
        <v/>
      </c>
      <c r="S66" s="7">
        <f>LAVORAZIONI!Y65</f>
        <v/>
      </c>
      <c r="T66" s="6">
        <f>LAVORAZIONI!Z65</f>
        <v/>
      </c>
      <c r="U66" s="7">
        <f>LAVORAZIONI!AA65</f>
        <v/>
      </c>
      <c r="V66" s="6">
        <f>LAVORAZIONI!AB65</f>
        <v/>
      </c>
      <c r="W66" s="7">
        <f>LAVORAZIONI!AC65</f>
        <v/>
      </c>
      <c r="X66" s="6">
        <f>LAVORAZIONI!AD65</f>
        <v/>
      </c>
      <c r="Y66" s="7">
        <f>LAVORAZIONI!AE65</f>
        <v/>
      </c>
      <c r="Z66" s="6">
        <f>LAVORAZIONI!AF65</f>
        <v/>
      </c>
      <c r="AA66" s="7">
        <f>LAVORAZIONI!AG65</f>
        <v/>
      </c>
      <c r="AB66" s="6">
        <f>LAVORAZIONI!AH65</f>
        <v/>
      </c>
      <c r="AC66" s="7">
        <f>LAVORAZIONI!AI65</f>
        <v/>
      </c>
      <c r="AD66" s="13">
        <f>LAVORAZIONI!AJ65</f>
        <v/>
      </c>
    </row>
    <row r="67" ht="71" customHeight="1" s="46">
      <c r="B67" s="4">
        <f>LAVORAZIONI!G66</f>
        <v/>
      </c>
      <c r="C67" s="3">
        <f>LAVORAZIONI!A66</f>
        <v/>
      </c>
      <c r="D67" s="3">
        <f>LAVORAZIONI!K66</f>
        <v/>
      </c>
      <c r="E67" s="4">
        <f>LAVORAZIONI!H66</f>
        <v/>
      </c>
      <c r="F67" s="4">
        <f>LAVORAZIONI!M66</f>
        <v/>
      </c>
      <c r="G67" s="5">
        <f>LAVORAZIONI!N66</f>
        <v/>
      </c>
      <c r="H67" s="6">
        <f>LAVORAZIONI!O66</f>
        <v/>
      </c>
      <c r="I67" s="13">
        <f>LAVORAZIONI!P66</f>
        <v/>
      </c>
      <c r="J67" s="5">
        <f>IF(LAVORAZIONI!Q66="","",LAVORAZIONI!Q66)</f>
        <v/>
      </c>
      <c r="K67" s="6">
        <f>IF(LAVORAZIONI!R66="","",LAVORAZIONI!R66)</f>
        <v/>
      </c>
      <c r="L67" s="13">
        <f>IF(LAVORAZIONI!S66="","",LAVORAZIONI!S66)</f>
        <v/>
      </c>
      <c r="M67" s="13">
        <f>LAVORAZIONI!T66</f>
        <v/>
      </c>
      <c r="O67" s="7">
        <f>LAVORAZIONI!U66</f>
        <v/>
      </c>
      <c r="P67" s="45">
        <f>LAVORAZIONI!V66</f>
        <v/>
      </c>
      <c r="Q67" s="7">
        <f>LAVORAZIONI!W66</f>
        <v/>
      </c>
      <c r="R67" s="6">
        <f>LAVORAZIONI!X66</f>
        <v/>
      </c>
      <c r="S67" s="7">
        <f>LAVORAZIONI!Y66</f>
        <v/>
      </c>
      <c r="T67" s="6">
        <f>LAVORAZIONI!Z66</f>
        <v/>
      </c>
      <c r="U67" s="7">
        <f>LAVORAZIONI!AA66</f>
        <v/>
      </c>
      <c r="V67" s="6">
        <f>LAVORAZIONI!AB66</f>
        <v/>
      </c>
      <c r="W67" s="7">
        <f>LAVORAZIONI!AC66</f>
        <v/>
      </c>
      <c r="X67" s="6">
        <f>LAVORAZIONI!AD66</f>
        <v/>
      </c>
      <c r="Y67" s="7">
        <f>LAVORAZIONI!AE66</f>
        <v/>
      </c>
      <c r="Z67" s="6">
        <f>LAVORAZIONI!AF66</f>
        <v/>
      </c>
      <c r="AA67" s="7">
        <f>LAVORAZIONI!AG66</f>
        <v/>
      </c>
      <c r="AB67" s="6">
        <f>LAVORAZIONI!AH66</f>
        <v/>
      </c>
      <c r="AC67" s="7">
        <f>LAVORAZIONI!AI66</f>
        <v/>
      </c>
      <c r="AD67" s="13">
        <f>LAVORAZIONI!AJ66</f>
        <v/>
      </c>
    </row>
    <row r="68" ht="71" customHeight="1" s="46">
      <c r="B68" s="4">
        <f>LAVORAZIONI!G67</f>
        <v/>
      </c>
      <c r="C68" s="3">
        <f>LAVORAZIONI!A67</f>
        <v/>
      </c>
      <c r="D68" s="3">
        <f>LAVORAZIONI!K67</f>
        <v/>
      </c>
      <c r="E68" s="4">
        <f>LAVORAZIONI!H67</f>
        <v/>
      </c>
      <c r="F68" s="4">
        <f>LAVORAZIONI!M67</f>
        <v/>
      </c>
      <c r="G68" s="5">
        <f>LAVORAZIONI!N67</f>
        <v/>
      </c>
      <c r="H68" s="6">
        <f>LAVORAZIONI!O67</f>
        <v/>
      </c>
      <c r="I68" s="13">
        <f>LAVORAZIONI!P67</f>
        <v/>
      </c>
      <c r="J68" s="5">
        <f>IF(LAVORAZIONI!Q67="","",LAVORAZIONI!Q67)</f>
        <v/>
      </c>
      <c r="K68" s="6">
        <f>IF(LAVORAZIONI!R67="","",LAVORAZIONI!R67)</f>
        <v/>
      </c>
      <c r="L68" s="13">
        <f>IF(LAVORAZIONI!S67="","",LAVORAZIONI!S67)</f>
        <v/>
      </c>
      <c r="M68" s="13">
        <f>LAVORAZIONI!T67</f>
        <v/>
      </c>
      <c r="O68" s="7">
        <f>LAVORAZIONI!U67</f>
        <v/>
      </c>
      <c r="P68" s="45">
        <f>LAVORAZIONI!V67</f>
        <v/>
      </c>
      <c r="Q68" s="7">
        <f>LAVORAZIONI!W67</f>
        <v/>
      </c>
      <c r="R68" s="6">
        <f>LAVORAZIONI!X67</f>
        <v/>
      </c>
      <c r="S68" s="7">
        <f>LAVORAZIONI!Y67</f>
        <v/>
      </c>
      <c r="T68" s="6">
        <f>LAVORAZIONI!Z67</f>
        <v/>
      </c>
      <c r="U68" s="7">
        <f>LAVORAZIONI!AA67</f>
        <v/>
      </c>
      <c r="V68" s="6">
        <f>LAVORAZIONI!AB67</f>
        <v/>
      </c>
      <c r="W68" s="7">
        <f>LAVORAZIONI!AC67</f>
        <v/>
      </c>
      <c r="X68" s="6">
        <f>LAVORAZIONI!AD67</f>
        <v/>
      </c>
      <c r="Y68" s="7">
        <f>LAVORAZIONI!AE67</f>
        <v/>
      </c>
      <c r="Z68" s="6">
        <f>LAVORAZIONI!AF67</f>
        <v/>
      </c>
      <c r="AA68" s="7">
        <f>LAVORAZIONI!AG67</f>
        <v/>
      </c>
      <c r="AB68" s="6">
        <f>LAVORAZIONI!AH67</f>
        <v/>
      </c>
      <c r="AC68" s="7">
        <f>LAVORAZIONI!AI67</f>
        <v/>
      </c>
      <c r="AD68" s="13">
        <f>LAVORAZIONI!AJ67</f>
        <v/>
      </c>
    </row>
    <row r="69" ht="71" customHeight="1" s="46">
      <c r="B69" s="4">
        <f>LAVORAZIONI!G68</f>
        <v/>
      </c>
      <c r="C69" s="3">
        <f>LAVORAZIONI!A68</f>
        <v/>
      </c>
      <c r="D69" s="3">
        <f>LAVORAZIONI!K68</f>
        <v/>
      </c>
      <c r="E69" s="4">
        <f>LAVORAZIONI!H68</f>
        <v/>
      </c>
      <c r="F69" s="4">
        <f>LAVORAZIONI!M68</f>
        <v/>
      </c>
      <c r="G69" s="5">
        <f>LAVORAZIONI!N68</f>
        <v/>
      </c>
      <c r="H69" s="6">
        <f>LAVORAZIONI!O68</f>
        <v/>
      </c>
      <c r="I69" s="13">
        <f>LAVORAZIONI!P68</f>
        <v/>
      </c>
      <c r="J69" s="5">
        <f>IF(LAVORAZIONI!Q68="","",LAVORAZIONI!Q68)</f>
        <v/>
      </c>
      <c r="K69" s="6">
        <f>IF(LAVORAZIONI!R68="","",LAVORAZIONI!R68)</f>
        <v/>
      </c>
      <c r="L69" s="13">
        <f>IF(LAVORAZIONI!S68="","",LAVORAZIONI!S68)</f>
        <v/>
      </c>
      <c r="M69" s="13">
        <f>LAVORAZIONI!T68</f>
        <v/>
      </c>
      <c r="O69" s="7">
        <f>LAVORAZIONI!U68</f>
        <v/>
      </c>
      <c r="P69" s="45">
        <f>LAVORAZIONI!V68</f>
        <v/>
      </c>
      <c r="Q69" s="7">
        <f>LAVORAZIONI!W68</f>
        <v/>
      </c>
      <c r="R69" s="6">
        <f>LAVORAZIONI!X68</f>
        <v/>
      </c>
      <c r="S69" s="7">
        <f>LAVORAZIONI!Y68</f>
        <v/>
      </c>
      <c r="T69" s="6">
        <f>LAVORAZIONI!Z68</f>
        <v/>
      </c>
      <c r="U69" s="7">
        <f>LAVORAZIONI!AA68</f>
        <v/>
      </c>
      <c r="V69" s="6">
        <f>LAVORAZIONI!AB68</f>
        <v/>
      </c>
      <c r="W69" s="7">
        <f>LAVORAZIONI!AC68</f>
        <v/>
      </c>
      <c r="X69" s="6">
        <f>LAVORAZIONI!AD68</f>
        <v/>
      </c>
      <c r="Y69" s="7">
        <f>LAVORAZIONI!AE68</f>
        <v/>
      </c>
      <c r="Z69" s="6">
        <f>LAVORAZIONI!AF68</f>
        <v/>
      </c>
      <c r="AA69" s="7">
        <f>LAVORAZIONI!AG68</f>
        <v/>
      </c>
      <c r="AB69" s="6">
        <f>LAVORAZIONI!AH68</f>
        <v/>
      </c>
      <c r="AC69" s="7">
        <f>LAVORAZIONI!AI68</f>
        <v/>
      </c>
      <c r="AD69" s="13">
        <f>LAVORAZIONI!AJ68</f>
        <v/>
      </c>
    </row>
    <row r="70" ht="71" customHeight="1" s="46">
      <c r="B70" s="4">
        <f>LAVORAZIONI!G69</f>
        <v/>
      </c>
      <c r="C70" s="3">
        <f>LAVORAZIONI!A69</f>
        <v/>
      </c>
      <c r="D70" s="3">
        <f>LAVORAZIONI!K69</f>
        <v/>
      </c>
      <c r="E70" s="4">
        <f>LAVORAZIONI!H69</f>
        <v/>
      </c>
      <c r="F70" s="4">
        <f>LAVORAZIONI!M69</f>
        <v/>
      </c>
      <c r="G70" s="5">
        <f>LAVORAZIONI!N69</f>
        <v/>
      </c>
      <c r="H70" s="6">
        <f>LAVORAZIONI!O69</f>
        <v/>
      </c>
      <c r="I70" s="13">
        <f>LAVORAZIONI!P69</f>
        <v/>
      </c>
      <c r="J70" s="5">
        <f>IF(LAVORAZIONI!Q69="","",LAVORAZIONI!Q69)</f>
        <v/>
      </c>
      <c r="K70" s="6">
        <f>IF(LAVORAZIONI!R69="","",LAVORAZIONI!R69)</f>
        <v/>
      </c>
      <c r="L70" s="13">
        <f>IF(LAVORAZIONI!S69="","",LAVORAZIONI!S69)</f>
        <v/>
      </c>
      <c r="M70" s="13">
        <f>LAVORAZIONI!T69</f>
        <v/>
      </c>
      <c r="O70" s="7">
        <f>LAVORAZIONI!U69</f>
        <v/>
      </c>
      <c r="P70" s="45">
        <f>LAVORAZIONI!V69</f>
        <v/>
      </c>
      <c r="Q70" s="7">
        <f>LAVORAZIONI!W69</f>
        <v/>
      </c>
      <c r="R70" s="6">
        <f>LAVORAZIONI!X69</f>
        <v/>
      </c>
      <c r="S70" s="7">
        <f>LAVORAZIONI!Y69</f>
        <v/>
      </c>
      <c r="T70" s="6">
        <f>LAVORAZIONI!Z69</f>
        <v/>
      </c>
      <c r="U70" s="7">
        <f>LAVORAZIONI!AA69</f>
        <v/>
      </c>
      <c r="V70" s="6">
        <f>LAVORAZIONI!AB69</f>
        <v/>
      </c>
      <c r="W70" s="7">
        <f>LAVORAZIONI!AC69</f>
        <v/>
      </c>
      <c r="X70" s="6">
        <f>LAVORAZIONI!AD69</f>
        <v/>
      </c>
      <c r="Y70" s="7">
        <f>LAVORAZIONI!AE69</f>
        <v/>
      </c>
      <c r="Z70" s="6">
        <f>LAVORAZIONI!AF69</f>
        <v/>
      </c>
      <c r="AA70" s="7">
        <f>LAVORAZIONI!AG69</f>
        <v/>
      </c>
      <c r="AB70" s="6">
        <f>LAVORAZIONI!AH69</f>
        <v/>
      </c>
      <c r="AC70" s="7">
        <f>LAVORAZIONI!AI69</f>
        <v/>
      </c>
      <c r="AD70" s="13">
        <f>LAVORAZIONI!AJ69</f>
        <v/>
      </c>
    </row>
    <row r="71" ht="71" customHeight="1" s="46">
      <c r="B71" s="4">
        <f>LAVORAZIONI!G70</f>
        <v/>
      </c>
      <c r="C71" s="3">
        <f>LAVORAZIONI!A70</f>
        <v/>
      </c>
      <c r="D71" s="3">
        <f>LAVORAZIONI!K70</f>
        <v/>
      </c>
      <c r="E71" s="4">
        <f>LAVORAZIONI!H70</f>
        <v/>
      </c>
      <c r="F71" s="4">
        <f>LAVORAZIONI!M70</f>
        <v/>
      </c>
      <c r="G71" s="5">
        <f>LAVORAZIONI!N70</f>
        <v/>
      </c>
      <c r="H71" s="6">
        <f>LAVORAZIONI!O70</f>
        <v/>
      </c>
      <c r="I71" s="13">
        <f>LAVORAZIONI!P70</f>
        <v/>
      </c>
      <c r="J71" s="5">
        <f>IF(LAVORAZIONI!Q70="","",LAVORAZIONI!Q70)</f>
        <v/>
      </c>
      <c r="K71" s="6">
        <f>IF(LAVORAZIONI!R70="","",LAVORAZIONI!R70)</f>
        <v/>
      </c>
      <c r="L71" s="13">
        <f>IF(LAVORAZIONI!S70="","",LAVORAZIONI!S70)</f>
        <v/>
      </c>
      <c r="M71" s="13">
        <f>LAVORAZIONI!T70</f>
        <v/>
      </c>
      <c r="O71" s="7">
        <f>LAVORAZIONI!U70</f>
        <v/>
      </c>
      <c r="P71" s="45">
        <f>LAVORAZIONI!V70</f>
        <v/>
      </c>
      <c r="Q71" s="7">
        <f>LAVORAZIONI!W70</f>
        <v/>
      </c>
      <c r="R71" s="6">
        <f>LAVORAZIONI!X70</f>
        <v/>
      </c>
      <c r="S71" s="7">
        <f>LAVORAZIONI!Y70</f>
        <v/>
      </c>
      <c r="T71" s="6">
        <f>LAVORAZIONI!Z70</f>
        <v/>
      </c>
      <c r="U71" s="7">
        <f>LAVORAZIONI!AA70</f>
        <v/>
      </c>
      <c r="V71" s="6">
        <f>LAVORAZIONI!AB70</f>
        <v/>
      </c>
      <c r="W71" s="7">
        <f>LAVORAZIONI!AC70</f>
        <v/>
      </c>
      <c r="X71" s="6">
        <f>LAVORAZIONI!AD70</f>
        <v/>
      </c>
      <c r="Y71" s="7">
        <f>LAVORAZIONI!AE70</f>
        <v/>
      </c>
      <c r="Z71" s="6">
        <f>LAVORAZIONI!AF70</f>
        <v/>
      </c>
      <c r="AA71" s="7">
        <f>LAVORAZIONI!AG70</f>
        <v/>
      </c>
      <c r="AB71" s="6">
        <f>LAVORAZIONI!AH70</f>
        <v/>
      </c>
      <c r="AC71" s="7">
        <f>LAVORAZIONI!AI70</f>
        <v/>
      </c>
      <c r="AD71" s="13">
        <f>LAVORAZIONI!AJ70</f>
        <v/>
      </c>
    </row>
    <row r="72" ht="71" customHeight="1" s="46">
      <c r="B72" s="4">
        <f>LAVORAZIONI!G71</f>
        <v/>
      </c>
      <c r="C72" s="3">
        <f>LAVORAZIONI!A71</f>
        <v/>
      </c>
      <c r="D72" s="3">
        <f>LAVORAZIONI!K71</f>
        <v/>
      </c>
      <c r="E72" s="4">
        <f>LAVORAZIONI!H71</f>
        <v/>
      </c>
      <c r="F72" s="4">
        <f>LAVORAZIONI!M71</f>
        <v/>
      </c>
      <c r="G72" s="5">
        <f>LAVORAZIONI!N71</f>
        <v/>
      </c>
      <c r="H72" s="6">
        <f>LAVORAZIONI!O71</f>
        <v/>
      </c>
      <c r="I72" s="13">
        <f>LAVORAZIONI!P71</f>
        <v/>
      </c>
      <c r="J72" s="5">
        <f>IF(LAVORAZIONI!Q71="","",LAVORAZIONI!Q71)</f>
        <v/>
      </c>
      <c r="K72" s="6">
        <f>IF(LAVORAZIONI!R71="","",LAVORAZIONI!R71)</f>
        <v/>
      </c>
      <c r="L72" s="13">
        <f>IF(LAVORAZIONI!S71="","",LAVORAZIONI!S71)</f>
        <v/>
      </c>
      <c r="M72" s="13">
        <f>LAVORAZIONI!T71</f>
        <v/>
      </c>
      <c r="O72" s="7">
        <f>LAVORAZIONI!U71</f>
        <v/>
      </c>
      <c r="P72" s="45">
        <f>LAVORAZIONI!V71</f>
        <v/>
      </c>
      <c r="Q72" s="7">
        <f>LAVORAZIONI!W71</f>
        <v/>
      </c>
      <c r="R72" s="6">
        <f>LAVORAZIONI!X71</f>
        <v/>
      </c>
      <c r="S72" s="7">
        <f>LAVORAZIONI!Y71</f>
        <v/>
      </c>
      <c r="T72" s="6">
        <f>LAVORAZIONI!Z71</f>
        <v/>
      </c>
      <c r="U72" s="7">
        <f>LAVORAZIONI!AA71</f>
        <v/>
      </c>
      <c r="V72" s="6">
        <f>LAVORAZIONI!AB71</f>
        <v/>
      </c>
      <c r="W72" s="7">
        <f>LAVORAZIONI!AC71</f>
        <v/>
      </c>
      <c r="X72" s="6">
        <f>LAVORAZIONI!AD71</f>
        <v/>
      </c>
      <c r="Y72" s="7">
        <f>LAVORAZIONI!AE71</f>
        <v/>
      </c>
      <c r="Z72" s="6">
        <f>LAVORAZIONI!AF71</f>
        <v/>
      </c>
      <c r="AA72" s="7">
        <f>LAVORAZIONI!AG71</f>
        <v/>
      </c>
      <c r="AB72" s="6">
        <f>LAVORAZIONI!AH71</f>
        <v/>
      </c>
      <c r="AC72" s="7">
        <f>LAVORAZIONI!AI71</f>
        <v/>
      </c>
      <c r="AD72" s="13">
        <f>LAVORAZIONI!AJ71</f>
        <v/>
      </c>
    </row>
    <row r="73" ht="71" customHeight="1" s="46">
      <c r="B73" s="4">
        <f>LAVORAZIONI!G72</f>
        <v/>
      </c>
      <c r="C73" s="3">
        <f>LAVORAZIONI!A72</f>
        <v/>
      </c>
      <c r="D73" s="3">
        <f>LAVORAZIONI!K72</f>
        <v/>
      </c>
      <c r="E73" s="4">
        <f>LAVORAZIONI!H72</f>
        <v/>
      </c>
      <c r="F73" s="4">
        <f>LAVORAZIONI!M72</f>
        <v/>
      </c>
      <c r="G73" s="5">
        <f>LAVORAZIONI!N72</f>
        <v/>
      </c>
      <c r="H73" s="6">
        <f>LAVORAZIONI!O72</f>
        <v/>
      </c>
      <c r="I73" s="13">
        <f>LAVORAZIONI!P72</f>
        <v/>
      </c>
      <c r="J73" s="5">
        <f>IF(LAVORAZIONI!Q72="","",LAVORAZIONI!Q72)</f>
        <v/>
      </c>
      <c r="K73" s="6">
        <f>IF(LAVORAZIONI!R72="","",LAVORAZIONI!R72)</f>
        <v/>
      </c>
      <c r="L73" s="13">
        <f>IF(LAVORAZIONI!S72="","",LAVORAZIONI!S72)</f>
        <v/>
      </c>
      <c r="M73" s="13">
        <f>LAVORAZIONI!T72</f>
        <v/>
      </c>
      <c r="O73" s="7">
        <f>LAVORAZIONI!U72</f>
        <v/>
      </c>
      <c r="P73" s="45">
        <f>LAVORAZIONI!V72</f>
        <v/>
      </c>
      <c r="Q73" s="7">
        <f>LAVORAZIONI!W72</f>
        <v/>
      </c>
      <c r="R73" s="6">
        <f>LAVORAZIONI!X72</f>
        <v/>
      </c>
      <c r="S73" s="7">
        <f>LAVORAZIONI!Y72</f>
        <v/>
      </c>
      <c r="T73" s="6">
        <f>LAVORAZIONI!Z72</f>
        <v/>
      </c>
      <c r="U73" s="7">
        <f>LAVORAZIONI!AA72</f>
        <v/>
      </c>
      <c r="V73" s="6">
        <f>LAVORAZIONI!AB72</f>
        <v/>
      </c>
      <c r="W73" s="7">
        <f>LAVORAZIONI!AC72</f>
        <v/>
      </c>
      <c r="X73" s="6">
        <f>LAVORAZIONI!AD72</f>
        <v/>
      </c>
      <c r="Y73" s="7">
        <f>LAVORAZIONI!AE72</f>
        <v/>
      </c>
      <c r="Z73" s="6">
        <f>LAVORAZIONI!AF72</f>
        <v/>
      </c>
      <c r="AA73" s="7">
        <f>LAVORAZIONI!AG72</f>
        <v/>
      </c>
      <c r="AB73" s="6">
        <f>LAVORAZIONI!AH72</f>
        <v/>
      </c>
      <c r="AC73" s="7">
        <f>LAVORAZIONI!AI72</f>
        <v/>
      </c>
      <c r="AD73" s="13">
        <f>LAVORAZIONI!AJ72</f>
        <v/>
      </c>
    </row>
    <row r="74" ht="71" customHeight="1" s="46">
      <c r="B74" s="4">
        <f>LAVORAZIONI!G73</f>
        <v/>
      </c>
      <c r="C74" s="3">
        <f>LAVORAZIONI!A73</f>
        <v/>
      </c>
      <c r="D74" s="3">
        <f>LAVORAZIONI!K73</f>
        <v/>
      </c>
      <c r="E74" s="4">
        <f>LAVORAZIONI!H73</f>
        <v/>
      </c>
      <c r="F74" s="4">
        <f>LAVORAZIONI!M73</f>
        <v/>
      </c>
      <c r="G74" s="5">
        <f>LAVORAZIONI!N73</f>
        <v/>
      </c>
      <c r="H74" s="6">
        <f>LAVORAZIONI!O73</f>
        <v/>
      </c>
      <c r="I74" s="13">
        <f>LAVORAZIONI!P73</f>
        <v/>
      </c>
      <c r="J74" s="5">
        <f>IF(LAVORAZIONI!Q73="","",LAVORAZIONI!Q73)</f>
        <v/>
      </c>
      <c r="K74" s="6">
        <f>IF(LAVORAZIONI!R73="","",LAVORAZIONI!R73)</f>
        <v/>
      </c>
      <c r="L74" s="13">
        <f>IF(LAVORAZIONI!S73="","",LAVORAZIONI!S73)</f>
        <v/>
      </c>
      <c r="M74" s="13">
        <f>LAVORAZIONI!T73</f>
        <v/>
      </c>
      <c r="O74" s="7">
        <f>LAVORAZIONI!U73</f>
        <v/>
      </c>
      <c r="P74" s="45">
        <f>LAVORAZIONI!V73</f>
        <v/>
      </c>
      <c r="Q74" s="7">
        <f>LAVORAZIONI!W73</f>
        <v/>
      </c>
      <c r="R74" s="6">
        <f>LAVORAZIONI!X73</f>
        <v/>
      </c>
      <c r="S74" s="7">
        <f>LAVORAZIONI!Y73</f>
        <v/>
      </c>
      <c r="T74" s="6">
        <f>LAVORAZIONI!Z73</f>
        <v/>
      </c>
      <c r="U74" s="7">
        <f>LAVORAZIONI!AA73</f>
        <v/>
      </c>
      <c r="V74" s="6">
        <f>LAVORAZIONI!AB73</f>
        <v/>
      </c>
      <c r="W74" s="7">
        <f>LAVORAZIONI!AC73</f>
        <v/>
      </c>
      <c r="X74" s="6">
        <f>LAVORAZIONI!AD73</f>
        <v/>
      </c>
      <c r="Y74" s="7">
        <f>LAVORAZIONI!AE73</f>
        <v/>
      </c>
      <c r="Z74" s="6">
        <f>LAVORAZIONI!AF73</f>
        <v/>
      </c>
      <c r="AA74" s="7">
        <f>LAVORAZIONI!AG73</f>
        <v/>
      </c>
      <c r="AB74" s="6">
        <f>LAVORAZIONI!AH73</f>
        <v/>
      </c>
      <c r="AC74" s="7">
        <f>LAVORAZIONI!AI73</f>
        <v/>
      </c>
      <c r="AD74" s="13">
        <f>LAVORAZIONI!AJ73</f>
        <v/>
      </c>
    </row>
    <row r="75" ht="71" customHeight="1" s="46">
      <c r="B75" s="4">
        <f>LAVORAZIONI!G74</f>
        <v/>
      </c>
      <c r="C75" s="3">
        <f>LAVORAZIONI!A74</f>
        <v/>
      </c>
      <c r="D75" s="3">
        <f>LAVORAZIONI!K74</f>
        <v/>
      </c>
      <c r="E75" s="4">
        <f>LAVORAZIONI!H74</f>
        <v/>
      </c>
      <c r="F75" s="4">
        <f>LAVORAZIONI!M74</f>
        <v/>
      </c>
      <c r="G75" s="5">
        <f>LAVORAZIONI!N74</f>
        <v/>
      </c>
      <c r="H75" s="6">
        <f>LAVORAZIONI!O74</f>
        <v/>
      </c>
      <c r="I75" s="13">
        <f>LAVORAZIONI!P74</f>
        <v/>
      </c>
      <c r="J75" s="5">
        <f>IF(LAVORAZIONI!Q74="","",LAVORAZIONI!Q74)</f>
        <v/>
      </c>
      <c r="K75" s="6">
        <f>IF(LAVORAZIONI!R74="","",LAVORAZIONI!R74)</f>
        <v/>
      </c>
      <c r="L75" s="13">
        <f>IF(LAVORAZIONI!S74="","",LAVORAZIONI!S74)</f>
        <v/>
      </c>
      <c r="M75" s="13">
        <f>LAVORAZIONI!T74</f>
        <v/>
      </c>
      <c r="O75" s="7">
        <f>LAVORAZIONI!U74</f>
        <v/>
      </c>
      <c r="P75" s="45">
        <f>LAVORAZIONI!V74</f>
        <v/>
      </c>
      <c r="Q75" s="7">
        <f>LAVORAZIONI!W74</f>
        <v/>
      </c>
      <c r="R75" s="6">
        <f>LAVORAZIONI!X74</f>
        <v/>
      </c>
      <c r="S75" s="7">
        <f>LAVORAZIONI!Y74</f>
        <v/>
      </c>
      <c r="T75" s="6">
        <f>LAVORAZIONI!Z74</f>
        <v/>
      </c>
      <c r="U75" s="7">
        <f>LAVORAZIONI!AA74</f>
        <v/>
      </c>
      <c r="V75" s="6">
        <f>LAVORAZIONI!AB74</f>
        <v/>
      </c>
      <c r="W75" s="7">
        <f>LAVORAZIONI!AC74</f>
        <v/>
      </c>
      <c r="X75" s="6">
        <f>LAVORAZIONI!AD74</f>
        <v/>
      </c>
      <c r="Y75" s="7">
        <f>LAVORAZIONI!AE74</f>
        <v/>
      </c>
      <c r="Z75" s="6">
        <f>LAVORAZIONI!AF74</f>
        <v/>
      </c>
      <c r="AA75" s="7">
        <f>LAVORAZIONI!AG74</f>
        <v/>
      </c>
      <c r="AB75" s="6">
        <f>LAVORAZIONI!AH74</f>
        <v/>
      </c>
      <c r="AC75" s="7">
        <f>LAVORAZIONI!AI74</f>
        <v/>
      </c>
      <c r="AD75" s="13">
        <f>LAVORAZIONI!AJ74</f>
        <v/>
      </c>
    </row>
    <row r="76" ht="71" customHeight="1" s="46">
      <c r="B76" s="4">
        <f>LAVORAZIONI!G75</f>
        <v/>
      </c>
      <c r="C76" s="3">
        <f>LAVORAZIONI!A75</f>
        <v/>
      </c>
      <c r="D76" s="3">
        <f>LAVORAZIONI!K75</f>
        <v/>
      </c>
      <c r="E76" s="4">
        <f>LAVORAZIONI!H75</f>
        <v/>
      </c>
      <c r="F76" s="4">
        <f>LAVORAZIONI!M75</f>
        <v/>
      </c>
      <c r="G76" s="5">
        <f>LAVORAZIONI!N75</f>
        <v/>
      </c>
      <c r="H76" s="6">
        <f>LAVORAZIONI!O75</f>
        <v/>
      </c>
      <c r="I76" s="13">
        <f>LAVORAZIONI!P75</f>
        <v/>
      </c>
      <c r="J76" s="5">
        <f>IF(LAVORAZIONI!Q75="","",LAVORAZIONI!Q75)</f>
        <v/>
      </c>
      <c r="K76" s="6">
        <f>IF(LAVORAZIONI!R75="","",LAVORAZIONI!R75)</f>
        <v/>
      </c>
      <c r="L76" s="13">
        <f>IF(LAVORAZIONI!S75="","",LAVORAZIONI!S75)</f>
        <v/>
      </c>
      <c r="M76" s="13">
        <f>LAVORAZIONI!T75</f>
        <v/>
      </c>
      <c r="O76" s="7">
        <f>LAVORAZIONI!U75</f>
        <v/>
      </c>
      <c r="P76" s="45">
        <f>LAVORAZIONI!V75</f>
        <v/>
      </c>
      <c r="Q76" s="7">
        <f>LAVORAZIONI!W75</f>
        <v/>
      </c>
      <c r="R76" s="6">
        <f>LAVORAZIONI!X75</f>
        <v/>
      </c>
      <c r="S76" s="7">
        <f>LAVORAZIONI!Y75</f>
        <v/>
      </c>
      <c r="T76" s="6">
        <f>LAVORAZIONI!Z75</f>
        <v/>
      </c>
      <c r="U76" s="7">
        <f>LAVORAZIONI!AA75</f>
        <v/>
      </c>
      <c r="V76" s="6">
        <f>LAVORAZIONI!AB75</f>
        <v/>
      </c>
      <c r="W76" s="7">
        <f>LAVORAZIONI!AC75</f>
        <v/>
      </c>
      <c r="X76" s="6">
        <f>LAVORAZIONI!AD75</f>
        <v/>
      </c>
      <c r="Y76" s="7">
        <f>LAVORAZIONI!AE75</f>
        <v/>
      </c>
      <c r="Z76" s="6">
        <f>LAVORAZIONI!AF75</f>
        <v/>
      </c>
      <c r="AA76" s="7">
        <f>LAVORAZIONI!AG75</f>
        <v/>
      </c>
      <c r="AB76" s="6">
        <f>LAVORAZIONI!AH75</f>
        <v/>
      </c>
      <c r="AC76" s="7">
        <f>LAVORAZIONI!AI75</f>
        <v/>
      </c>
      <c r="AD76" s="13">
        <f>LAVORAZIONI!AJ75</f>
        <v/>
      </c>
    </row>
    <row r="77" ht="71" customHeight="1" s="46">
      <c r="B77" s="4">
        <f>LAVORAZIONI!G76</f>
        <v/>
      </c>
      <c r="C77" s="3">
        <f>LAVORAZIONI!A76</f>
        <v/>
      </c>
      <c r="D77" s="3">
        <f>LAVORAZIONI!K76</f>
        <v/>
      </c>
      <c r="E77" s="4">
        <f>LAVORAZIONI!H76</f>
        <v/>
      </c>
      <c r="F77" s="4">
        <f>LAVORAZIONI!M76</f>
        <v/>
      </c>
      <c r="G77" s="5">
        <f>LAVORAZIONI!N76</f>
        <v/>
      </c>
      <c r="H77" s="6">
        <f>LAVORAZIONI!O76</f>
        <v/>
      </c>
      <c r="I77" s="13">
        <f>LAVORAZIONI!P76</f>
        <v/>
      </c>
      <c r="J77" s="5">
        <f>IF(LAVORAZIONI!Q76="","",LAVORAZIONI!Q76)</f>
        <v/>
      </c>
      <c r="K77" s="6">
        <f>IF(LAVORAZIONI!R76="","",LAVORAZIONI!R76)</f>
        <v/>
      </c>
      <c r="L77" s="13">
        <f>IF(LAVORAZIONI!S76="","",LAVORAZIONI!S76)</f>
        <v/>
      </c>
      <c r="M77" s="13">
        <f>LAVORAZIONI!T76</f>
        <v/>
      </c>
      <c r="O77" s="7">
        <f>LAVORAZIONI!U76</f>
        <v/>
      </c>
      <c r="P77" s="45">
        <f>LAVORAZIONI!V76</f>
        <v/>
      </c>
      <c r="Q77" s="7">
        <f>LAVORAZIONI!W76</f>
        <v/>
      </c>
      <c r="R77" s="6">
        <f>LAVORAZIONI!X76</f>
        <v/>
      </c>
      <c r="S77" s="7">
        <f>LAVORAZIONI!Y76</f>
        <v/>
      </c>
      <c r="T77" s="6">
        <f>LAVORAZIONI!Z76</f>
        <v/>
      </c>
      <c r="U77" s="7">
        <f>LAVORAZIONI!AA76</f>
        <v/>
      </c>
      <c r="V77" s="6">
        <f>LAVORAZIONI!AB76</f>
        <v/>
      </c>
      <c r="W77" s="7">
        <f>LAVORAZIONI!AC76</f>
        <v/>
      </c>
      <c r="X77" s="6">
        <f>LAVORAZIONI!AD76</f>
        <v/>
      </c>
      <c r="Y77" s="7">
        <f>LAVORAZIONI!AE76</f>
        <v/>
      </c>
      <c r="Z77" s="6">
        <f>LAVORAZIONI!AF76</f>
        <v/>
      </c>
      <c r="AA77" s="7">
        <f>LAVORAZIONI!AG76</f>
        <v/>
      </c>
      <c r="AB77" s="6">
        <f>LAVORAZIONI!AH76</f>
        <v/>
      </c>
      <c r="AC77" s="7">
        <f>LAVORAZIONI!AI76</f>
        <v/>
      </c>
      <c r="AD77" s="13">
        <f>LAVORAZIONI!AJ76</f>
        <v/>
      </c>
    </row>
    <row r="78" ht="71" customHeight="1" s="46">
      <c r="B78" s="4">
        <f>LAVORAZIONI!G77</f>
        <v/>
      </c>
      <c r="C78" s="3">
        <f>LAVORAZIONI!A77</f>
        <v/>
      </c>
      <c r="D78" s="3">
        <f>LAVORAZIONI!K77</f>
        <v/>
      </c>
      <c r="E78" s="4">
        <f>LAVORAZIONI!H77</f>
        <v/>
      </c>
      <c r="F78" s="4">
        <f>LAVORAZIONI!M77</f>
        <v/>
      </c>
      <c r="G78" s="5">
        <f>LAVORAZIONI!N77</f>
        <v/>
      </c>
      <c r="H78" s="6">
        <f>LAVORAZIONI!O77</f>
        <v/>
      </c>
      <c r="I78" s="13">
        <f>LAVORAZIONI!P77</f>
        <v/>
      </c>
      <c r="J78" s="5">
        <f>IF(LAVORAZIONI!Q77="","",LAVORAZIONI!Q77)</f>
        <v/>
      </c>
      <c r="K78" s="6">
        <f>IF(LAVORAZIONI!R77="","",LAVORAZIONI!R77)</f>
        <v/>
      </c>
      <c r="L78" s="13">
        <f>IF(LAVORAZIONI!S77="","",LAVORAZIONI!S77)</f>
        <v/>
      </c>
      <c r="M78" s="13">
        <f>LAVORAZIONI!T77</f>
        <v/>
      </c>
      <c r="O78" s="7">
        <f>LAVORAZIONI!U77</f>
        <v/>
      </c>
      <c r="P78" s="45">
        <f>LAVORAZIONI!V77</f>
        <v/>
      </c>
      <c r="Q78" s="7">
        <f>LAVORAZIONI!W77</f>
        <v/>
      </c>
      <c r="R78" s="6">
        <f>LAVORAZIONI!X77</f>
        <v/>
      </c>
      <c r="S78" s="7">
        <f>LAVORAZIONI!Y77</f>
        <v/>
      </c>
      <c r="T78" s="6">
        <f>LAVORAZIONI!Z77</f>
        <v/>
      </c>
      <c r="U78" s="7">
        <f>LAVORAZIONI!AA77</f>
        <v/>
      </c>
      <c r="V78" s="6">
        <f>LAVORAZIONI!AB77</f>
        <v/>
      </c>
      <c r="W78" s="7">
        <f>LAVORAZIONI!AC77</f>
        <v/>
      </c>
      <c r="X78" s="6">
        <f>LAVORAZIONI!AD77</f>
        <v/>
      </c>
      <c r="Y78" s="7">
        <f>LAVORAZIONI!AE77</f>
        <v/>
      </c>
      <c r="Z78" s="6">
        <f>LAVORAZIONI!AF77</f>
        <v/>
      </c>
      <c r="AA78" s="7">
        <f>LAVORAZIONI!AG77</f>
        <v/>
      </c>
      <c r="AB78" s="6">
        <f>LAVORAZIONI!AH77</f>
        <v/>
      </c>
      <c r="AC78" s="7">
        <f>LAVORAZIONI!AI77</f>
        <v/>
      </c>
      <c r="AD78" s="13">
        <f>LAVORAZIONI!AJ77</f>
        <v/>
      </c>
    </row>
    <row r="79" ht="71" customHeight="1" s="46">
      <c r="B79" s="4">
        <f>LAVORAZIONI!G78</f>
        <v/>
      </c>
      <c r="C79" s="3">
        <f>LAVORAZIONI!A78</f>
        <v/>
      </c>
      <c r="D79" s="3">
        <f>LAVORAZIONI!K78</f>
        <v/>
      </c>
      <c r="E79" s="4">
        <f>LAVORAZIONI!H78</f>
        <v/>
      </c>
      <c r="F79" s="4">
        <f>LAVORAZIONI!M78</f>
        <v/>
      </c>
      <c r="G79" s="5">
        <f>LAVORAZIONI!N78</f>
        <v/>
      </c>
      <c r="H79" s="6">
        <f>LAVORAZIONI!O78</f>
        <v/>
      </c>
      <c r="I79" s="13">
        <f>LAVORAZIONI!P78</f>
        <v/>
      </c>
      <c r="J79" s="5">
        <f>IF(LAVORAZIONI!Q78="","",LAVORAZIONI!Q78)</f>
        <v/>
      </c>
      <c r="K79" s="6">
        <f>IF(LAVORAZIONI!R78="","",LAVORAZIONI!R78)</f>
        <v/>
      </c>
      <c r="L79" s="13">
        <f>IF(LAVORAZIONI!S78="","",LAVORAZIONI!S78)</f>
        <v/>
      </c>
      <c r="M79" s="13">
        <f>LAVORAZIONI!T78</f>
        <v/>
      </c>
      <c r="O79" s="7">
        <f>LAVORAZIONI!U78</f>
        <v/>
      </c>
      <c r="P79" s="45">
        <f>LAVORAZIONI!V78</f>
        <v/>
      </c>
      <c r="Q79" s="7">
        <f>LAVORAZIONI!W78</f>
        <v/>
      </c>
      <c r="R79" s="6">
        <f>LAVORAZIONI!X78</f>
        <v/>
      </c>
      <c r="S79" s="7">
        <f>LAVORAZIONI!Y78</f>
        <v/>
      </c>
      <c r="T79" s="6">
        <f>LAVORAZIONI!Z78</f>
        <v/>
      </c>
      <c r="U79" s="7">
        <f>LAVORAZIONI!AA78</f>
        <v/>
      </c>
      <c r="V79" s="6">
        <f>LAVORAZIONI!AB78</f>
        <v/>
      </c>
      <c r="W79" s="7">
        <f>LAVORAZIONI!AC78</f>
        <v/>
      </c>
      <c r="X79" s="6">
        <f>LAVORAZIONI!AD78</f>
        <v/>
      </c>
      <c r="Y79" s="7">
        <f>LAVORAZIONI!AE78</f>
        <v/>
      </c>
      <c r="Z79" s="6">
        <f>LAVORAZIONI!AF78</f>
        <v/>
      </c>
      <c r="AA79" s="7">
        <f>LAVORAZIONI!AG78</f>
        <v/>
      </c>
      <c r="AB79" s="6">
        <f>LAVORAZIONI!AH78</f>
        <v/>
      </c>
      <c r="AC79" s="7">
        <f>LAVORAZIONI!AI78</f>
        <v/>
      </c>
      <c r="AD79" s="13">
        <f>LAVORAZIONI!AJ78</f>
        <v/>
      </c>
    </row>
    <row r="80" ht="71" customHeight="1" s="46">
      <c r="B80" s="4">
        <f>LAVORAZIONI!G79</f>
        <v/>
      </c>
      <c r="C80" s="3">
        <f>LAVORAZIONI!A79</f>
        <v/>
      </c>
      <c r="D80" s="3">
        <f>LAVORAZIONI!K79</f>
        <v/>
      </c>
      <c r="E80" s="4">
        <f>LAVORAZIONI!H79</f>
        <v/>
      </c>
      <c r="F80" s="4">
        <f>LAVORAZIONI!M79</f>
        <v/>
      </c>
      <c r="G80" s="5">
        <f>LAVORAZIONI!N79</f>
        <v/>
      </c>
      <c r="H80" s="6">
        <f>LAVORAZIONI!O79</f>
        <v/>
      </c>
      <c r="I80" s="13">
        <f>LAVORAZIONI!P79</f>
        <v/>
      </c>
      <c r="J80" s="5">
        <f>IF(LAVORAZIONI!Q79="","",LAVORAZIONI!Q79)</f>
        <v/>
      </c>
      <c r="K80" s="6">
        <f>IF(LAVORAZIONI!R79="","",LAVORAZIONI!R79)</f>
        <v/>
      </c>
      <c r="L80" s="13">
        <f>IF(LAVORAZIONI!S79="","",LAVORAZIONI!S79)</f>
        <v/>
      </c>
      <c r="M80" s="13">
        <f>LAVORAZIONI!T79</f>
        <v/>
      </c>
      <c r="O80" s="7">
        <f>LAVORAZIONI!U79</f>
        <v/>
      </c>
      <c r="P80" s="45">
        <f>LAVORAZIONI!V79</f>
        <v/>
      </c>
      <c r="Q80" s="7">
        <f>LAVORAZIONI!W79</f>
        <v/>
      </c>
      <c r="R80" s="6">
        <f>LAVORAZIONI!X79</f>
        <v/>
      </c>
      <c r="S80" s="7">
        <f>LAVORAZIONI!Y79</f>
        <v/>
      </c>
      <c r="T80" s="6">
        <f>LAVORAZIONI!Z79</f>
        <v/>
      </c>
      <c r="U80" s="7">
        <f>LAVORAZIONI!AA79</f>
        <v/>
      </c>
      <c r="V80" s="6">
        <f>LAVORAZIONI!AB79</f>
        <v/>
      </c>
      <c r="W80" s="7">
        <f>LAVORAZIONI!AC79</f>
        <v/>
      </c>
      <c r="X80" s="6">
        <f>LAVORAZIONI!AD79</f>
        <v/>
      </c>
      <c r="Y80" s="7">
        <f>LAVORAZIONI!AE79</f>
        <v/>
      </c>
      <c r="Z80" s="6">
        <f>LAVORAZIONI!AF79</f>
        <v/>
      </c>
      <c r="AA80" s="7">
        <f>LAVORAZIONI!AG79</f>
        <v/>
      </c>
      <c r="AB80" s="6">
        <f>LAVORAZIONI!AH79</f>
        <v/>
      </c>
      <c r="AC80" s="7">
        <f>LAVORAZIONI!AI79</f>
        <v/>
      </c>
      <c r="AD80" s="13">
        <f>LAVORAZIONI!AJ79</f>
        <v/>
      </c>
    </row>
    <row r="81" ht="71" customHeight="1" s="46">
      <c r="B81" s="4">
        <f>LAVORAZIONI!G80</f>
        <v/>
      </c>
      <c r="C81" s="3">
        <f>LAVORAZIONI!A80</f>
        <v/>
      </c>
      <c r="D81" s="3">
        <f>LAVORAZIONI!K80</f>
        <v/>
      </c>
      <c r="E81" s="4">
        <f>LAVORAZIONI!H80</f>
        <v/>
      </c>
      <c r="F81" s="4">
        <f>LAVORAZIONI!M80</f>
        <v/>
      </c>
      <c r="G81" s="5">
        <f>LAVORAZIONI!N80</f>
        <v/>
      </c>
      <c r="H81" s="6">
        <f>LAVORAZIONI!O80</f>
        <v/>
      </c>
      <c r="I81" s="13">
        <f>LAVORAZIONI!P80</f>
        <v/>
      </c>
      <c r="J81" s="5">
        <f>IF(LAVORAZIONI!Q80="","",LAVORAZIONI!Q80)</f>
        <v/>
      </c>
      <c r="K81" s="6">
        <f>IF(LAVORAZIONI!R80="","",LAVORAZIONI!R80)</f>
        <v/>
      </c>
      <c r="L81" s="13">
        <f>IF(LAVORAZIONI!S80="","",LAVORAZIONI!S80)</f>
        <v/>
      </c>
      <c r="M81" s="13">
        <f>LAVORAZIONI!T80</f>
        <v/>
      </c>
      <c r="O81" s="7">
        <f>LAVORAZIONI!U80</f>
        <v/>
      </c>
      <c r="P81" s="45">
        <f>LAVORAZIONI!V80</f>
        <v/>
      </c>
      <c r="Q81" s="7">
        <f>LAVORAZIONI!W80</f>
        <v/>
      </c>
      <c r="R81" s="6">
        <f>LAVORAZIONI!X80</f>
        <v/>
      </c>
      <c r="S81" s="7">
        <f>LAVORAZIONI!Y80</f>
        <v/>
      </c>
      <c r="T81" s="6">
        <f>LAVORAZIONI!Z80</f>
        <v/>
      </c>
      <c r="U81" s="7">
        <f>LAVORAZIONI!AA80</f>
        <v/>
      </c>
      <c r="V81" s="6">
        <f>LAVORAZIONI!AB80</f>
        <v/>
      </c>
      <c r="W81" s="7">
        <f>LAVORAZIONI!AC80</f>
        <v/>
      </c>
      <c r="X81" s="6">
        <f>LAVORAZIONI!AD80</f>
        <v/>
      </c>
      <c r="Y81" s="7">
        <f>LAVORAZIONI!AE80</f>
        <v/>
      </c>
      <c r="Z81" s="6">
        <f>LAVORAZIONI!AF80</f>
        <v/>
      </c>
      <c r="AA81" s="7">
        <f>LAVORAZIONI!AG80</f>
        <v/>
      </c>
      <c r="AB81" s="6">
        <f>LAVORAZIONI!AH80</f>
        <v/>
      </c>
      <c r="AC81" s="7">
        <f>LAVORAZIONI!AI80</f>
        <v/>
      </c>
      <c r="AD81" s="13">
        <f>LAVORAZIONI!AJ80</f>
        <v/>
      </c>
    </row>
    <row r="82" ht="71" customHeight="1" s="46">
      <c r="B82" s="4">
        <f>LAVORAZIONI!G81</f>
        <v/>
      </c>
      <c r="C82" s="3">
        <f>LAVORAZIONI!A81</f>
        <v/>
      </c>
      <c r="D82" s="3">
        <f>LAVORAZIONI!K81</f>
        <v/>
      </c>
      <c r="E82" s="4">
        <f>LAVORAZIONI!H81</f>
        <v/>
      </c>
      <c r="F82" s="4">
        <f>LAVORAZIONI!M81</f>
        <v/>
      </c>
      <c r="G82" s="5">
        <f>LAVORAZIONI!N81</f>
        <v/>
      </c>
      <c r="H82" s="6">
        <f>LAVORAZIONI!O81</f>
        <v/>
      </c>
      <c r="I82" s="13">
        <f>LAVORAZIONI!P81</f>
        <v/>
      </c>
      <c r="J82" s="5">
        <f>IF(LAVORAZIONI!Q81="","",LAVORAZIONI!Q81)</f>
        <v/>
      </c>
      <c r="K82" s="6">
        <f>IF(LAVORAZIONI!R81="","",LAVORAZIONI!R81)</f>
        <v/>
      </c>
      <c r="L82" s="13">
        <f>IF(LAVORAZIONI!S81="","",LAVORAZIONI!S81)</f>
        <v/>
      </c>
      <c r="M82" s="13">
        <f>LAVORAZIONI!T81</f>
        <v/>
      </c>
      <c r="O82" s="7">
        <f>LAVORAZIONI!U81</f>
        <v/>
      </c>
      <c r="P82" s="45">
        <f>LAVORAZIONI!V81</f>
        <v/>
      </c>
      <c r="Q82" s="7">
        <f>LAVORAZIONI!W81</f>
        <v/>
      </c>
      <c r="R82" s="6">
        <f>LAVORAZIONI!X81</f>
        <v/>
      </c>
      <c r="S82" s="7">
        <f>LAVORAZIONI!Y81</f>
        <v/>
      </c>
      <c r="T82" s="6">
        <f>LAVORAZIONI!Z81</f>
        <v/>
      </c>
      <c r="U82" s="7">
        <f>LAVORAZIONI!AA81</f>
        <v/>
      </c>
      <c r="V82" s="6">
        <f>LAVORAZIONI!AB81</f>
        <v/>
      </c>
      <c r="W82" s="7">
        <f>LAVORAZIONI!AC81</f>
        <v/>
      </c>
      <c r="X82" s="6">
        <f>LAVORAZIONI!AD81</f>
        <v/>
      </c>
      <c r="Y82" s="7">
        <f>LAVORAZIONI!AE81</f>
        <v/>
      </c>
      <c r="Z82" s="6">
        <f>LAVORAZIONI!AF81</f>
        <v/>
      </c>
      <c r="AA82" s="7">
        <f>LAVORAZIONI!AG81</f>
        <v/>
      </c>
      <c r="AB82" s="6">
        <f>LAVORAZIONI!AH81</f>
        <v/>
      </c>
      <c r="AC82" s="7">
        <f>LAVORAZIONI!AI81</f>
        <v/>
      </c>
      <c r="AD82" s="13">
        <f>LAVORAZIONI!AJ81</f>
        <v/>
      </c>
    </row>
    <row r="83" ht="71" customHeight="1" s="46">
      <c r="B83" s="4">
        <f>LAVORAZIONI!G82</f>
        <v/>
      </c>
      <c r="C83" s="3">
        <f>LAVORAZIONI!A82</f>
        <v/>
      </c>
      <c r="D83" s="3">
        <f>LAVORAZIONI!K82</f>
        <v/>
      </c>
      <c r="E83" s="4">
        <f>LAVORAZIONI!H82</f>
        <v/>
      </c>
      <c r="F83" s="4">
        <f>LAVORAZIONI!M82</f>
        <v/>
      </c>
      <c r="G83" s="5">
        <f>LAVORAZIONI!N82</f>
        <v/>
      </c>
      <c r="H83" s="6">
        <f>LAVORAZIONI!O82</f>
        <v/>
      </c>
      <c r="I83" s="13">
        <f>LAVORAZIONI!P82</f>
        <v/>
      </c>
      <c r="J83" s="5">
        <f>IF(LAVORAZIONI!Q82="","",LAVORAZIONI!Q82)</f>
        <v/>
      </c>
      <c r="K83" s="6">
        <f>IF(LAVORAZIONI!R82="","",LAVORAZIONI!R82)</f>
        <v/>
      </c>
      <c r="L83" s="13">
        <f>IF(LAVORAZIONI!S82="","",LAVORAZIONI!S82)</f>
        <v/>
      </c>
      <c r="M83" s="13">
        <f>LAVORAZIONI!T82</f>
        <v/>
      </c>
      <c r="O83" s="7">
        <f>LAVORAZIONI!U82</f>
        <v/>
      </c>
      <c r="P83" s="45">
        <f>LAVORAZIONI!V82</f>
        <v/>
      </c>
      <c r="Q83" s="7">
        <f>LAVORAZIONI!W82</f>
        <v/>
      </c>
      <c r="R83" s="6">
        <f>LAVORAZIONI!X82</f>
        <v/>
      </c>
      <c r="S83" s="7">
        <f>LAVORAZIONI!Y82</f>
        <v/>
      </c>
      <c r="T83" s="6">
        <f>LAVORAZIONI!Z82</f>
        <v/>
      </c>
      <c r="U83" s="7">
        <f>LAVORAZIONI!AA82</f>
        <v/>
      </c>
      <c r="V83" s="6">
        <f>LAVORAZIONI!AB82</f>
        <v/>
      </c>
      <c r="W83" s="7">
        <f>LAVORAZIONI!AC82</f>
        <v/>
      </c>
      <c r="X83" s="6">
        <f>LAVORAZIONI!AD82</f>
        <v/>
      </c>
      <c r="Y83" s="7">
        <f>LAVORAZIONI!AE82</f>
        <v/>
      </c>
      <c r="Z83" s="6">
        <f>LAVORAZIONI!AF82</f>
        <v/>
      </c>
      <c r="AA83" s="7">
        <f>LAVORAZIONI!AG82</f>
        <v/>
      </c>
      <c r="AB83" s="6">
        <f>LAVORAZIONI!AH82</f>
        <v/>
      </c>
      <c r="AC83" s="7">
        <f>LAVORAZIONI!AI82</f>
        <v/>
      </c>
      <c r="AD83" s="13">
        <f>LAVORAZIONI!AJ82</f>
        <v/>
      </c>
    </row>
    <row r="84" ht="71" customHeight="1" s="46">
      <c r="B84" s="4">
        <f>LAVORAZIONI!G83</f>
        <v/>
      </c>
      <c r="C84" s="3">
        <f>LAVORAZIONI!A83</f>
        <v/>
      </c>
      <c r="D84" s="3">
        <f>LAVORAZIONI!K83</f>
        <v/>
      </c>
      <c r="E84" s="4">
        <f>LAVORAZIONI!H83</f>
        <v/>
      </c>
      <c r="F84" s="4">
        <f>LAVORAZIONI!M83</f>
        <v/>
      </c>
      <c r="G84" s="5">
        <f>LAVORAZIONI!N83</f>
        <v/>
      </c>
      <c r="H84" s="6">
        <f>LAVORAZIONI!O83</f>
        <v/>
      </c>
      <c r="I84" s="13">
        <f>LAVORAZIONI!P83</f>
        <v/>
      </c>
      <c r="J84" s="5">
        <f>IF(LAVORAZIONI!Q83="","",LAVORAZIONI!Q83)</f>
        <v/>
      </c>
      <c r="K84" s="6">
        <f>IF(LAVORAZIONI!R83="","",LAVORAZIONI!R83)</f>
        <v/>
      </c>
      <c r="L84" s="13">
        <f>IF(LAVORAZIONI!S83="","",LAVORAZIONI!S83)</f>
        <v/>
      </c>
      <c r="M84" s="13">
        <f>LAVORAZIONI!T83</f>
        <v/>
      </c>
      <c r="O84" s="7">
        <f>LAVORAZIONI!U83</f>
        <v/>
      </c>
      <c r="P84" s="45">
        <f>LAVORAZIONI!V83</f>
        <v/>
      </c>
      <c r="Q84" s="7">
        <f>LAVORAZIONI!W83</f>
        <v/>
      </c>
      <c r="R84" s="6">
        <f>LAVORAZIONI!X83</f>
        <v/>
      </c>
      <c r="S84" s="7">
        <f>LAVORAZIONI!Y83</f>
        <v/>
      </c>
      <c r="T84" s="6">
        <f>LAVORAZIONI!Z83</f>
        <v/>
      </c>
      <c r="U84" s="7">
        <f>LAVORAZIONI!AA83</f>
        <v/>
      </c>
      <c r="V84" s="6">
        <f>LAVORAZIONI!AB83</f>
        <v/>
      </c>
      <c r="W84" s="7">
        <f>LAVORAZIONI!AC83</f>
        <v/>
      </c>
      <c r="X84" s="6">
        <f>LAVORAZIONI!AD83</f>
        <v/>
      </c>
      <c r="Y84" s="7">
        <f>LAVORAZIONI!AE83</f>
        <v/>
      </c>
      <c r="Z84" s="6">
        <f>LAVORAZIONI!AF83</f>
        <v/>
      </c>
      <c r="AA84" s="7">
        <f>LAVORAZIONI!AG83</f>
        <v/>
      </c>
      <c r="AB84" s="6">
        <f>LAVORAZIONI!AH83</f>
        <v/>
      </c>
      <c r="AC84" s="7">
        <f>LAVORAZIONI!AI83</f>
        <v/>
      </c>
      <c r="AD84" s="13">
        <f>LAVORAZIONI!AJ83</f>
        <v/>
      </c>
    </row>
    <row r="85" ht="71" customHeight="1" s="46">
      <c r="B85" s="4">
        <f>LAVORAZIONI!G84</f>
        <v/>
      </c>
      <c r="C85" s="3">
        <f>LAVORAZIONI!A84</f>
        <v/>
      </c>
      <c r="D85" s="3">
        <f>LAVORAZIONI!K84</f>
        <v/>
      </c>
      <c r="E85" s="4">
        <f>LAVORAZIONI!H84</f>
        <v/>
      </c>
      <c r="F85" s="4">
        <f>LAVORAZIONI!M84</f>
        <v/>
      </c>
      <c r="G85" s="5">
        <f>LAVORAZIONI!N84</f>
        <v/>
      </c>
      <c r="H85" s="6">
        <f>LAVORAZIONI!O84</f>
        <v/>
      </c>
      <c r="I85" s="13">
        <f>LAVORAZIONI!P84</f>
        <v/>
      </c>
      <c r="J85" s="5">
        <f>IF(LAVORAZIONI!Q84="","",LAVORAZIONI!Q84)</f>
        <v/>
      </c>
      <c r="K85" s="6">
        <f>IF(LAVORAZIONI!R84="","",LAVORAZIONI!R84)</f>
        <v/>
      </c>
      <c r="L85" s="13">
        <f>IF(LAVORAZIONI!S84="","",LAVORAZIONI!S84)</f>
        <v/>
      </c>
      <c r="M85" s="13">
        <f>LAVORAZIONI!T84</f>
        <v/>
      </c>
      <c r="O85" s="7">
        <f>LAVORAZIONI!U84</f>
        <v/>
      </c>
      <c r="P85" s="45">
        <f>LAVORAZIONI!V84</f>
        <v/>
      </c>
      <c r="Q85" s="7">
        <f>LAVORAZIONI!W84</f>
        <v/>
      </c>
      <c r="R85" s="6">
        <f>LAVORAZIONI!X84</f>
        <v/>
      </c>
      <c r="S85" s="7">
        <f>LAVORAZIONI!Y84</f>
        <v/>
      </c>
      <c r="T85" s="6">
        <f>LAVORAZIONI!Z84</f>
        <v/>
      </c>
      <c r="U85" s="7">
        <f>LAVORAZIONI!AA84</f>
        <v/>
      </c>
      <c r="V85" s="6">
        <f>LAVORAZIONI!AB84</f>
        <v/>
      </c>
      <c r="W85" s="7">
        <f>LAVORAZIONI!AC84</f>
        <v/>
      </c>
      <c r="X85" s="6">
        <f>LAVORAZIONI!AD84</f>
        <v/>
      </c>
      <c r="Y85" s="7">
        <f>LAVORAZIONI!AE84</f>
        <v/>
      </c>
      <c r="Z85" s="6">
        <f>LAVORAZIONI!AF84</f>
        <v/>
      </c>
      <c r="AA85" s="7">
        <f>LAVORAZIONI!AG84</f>
        <v/>
      </c>
      <c r="AB85" s="6">
        <f>LAVORAZIONI!AH84</f>
        <v/>
      </c>
      <c r="AC85" s="7">
        <f>LAVORAZIONI!AI84</f>
        <v/>
      </c>
      <c r="AD85" s="13">
        <f>LAVORAZIONI!AJ84</f>
        <v/>
      </c>
    </row>
    <row r="86" ht="71" customHeight="1" s="46">
      <c r="B86" s="4">
        <f>LAVORAZIONI!G85</f>
        <v/>
      </c>
      <c r="C86" s="3">
        <f>LAVORAZIONI!A85</f>
        <v/>
      </c>
      <c r="D86" s="3">
        <f>LAVORAZIONI!K85</f>
        <v/>
      </c>
      <c r="E86" s="4">
        <f>LAVORAZIONI!H85</f>
        <v/>
      </c>
      <c r="F86" s="4">
        <f>LAVORAZIONI!M85</f>
        <v/>
      </c>
      <c r="G86" s="5">
        <f>LAVORAZIONI!N85</f>
        <v/>
      </c>
      <c r="H86" s="6">
        <f>LAVORAZIONI!O85</f>
        <v/>
      </c>
      <c r="I86" s="13">
        <f>LAVORAZIONI!P85</f>
        <v/>
      </c>
      <c r="J86" s="5">
        <f>IF(LAVORAZIONI!Q85="","",LAVORAZIONI!Q85)</f>
        <v/>
      </c>
      <c r="K86" s="6">
        <f>IF(LAVORAZIONI!R85="","",LAVORAZIONI!R85)</f>
        <v/>
      </c>
      <c r="L86" s="13">
        <f>IF(LAVORAZIONI!S85="","",LAVORAZIONI!S85)</f>
        <v/>
      </c>
      <c r="M86" s="13">
        <f>LAVORAZIONI!T85</f>
        <v/>
      </c>
      <c r="O86" s="7">
        <f>LAVORAZIONI!U85</f>
        <v/>
      </c>
      <c r="P86" s="45">
        <f>LAVORAZIONI!V85</f>
        <v/>
      </c>
      <c r="Q86" s="7">
        <f>LAVORAZIONI!W85</f>
        <v/>
      </c>
      <c r="R86" s="6">
        <f>LAVORAZIONI!X85</f>
        <v/>
      </c>
      <c r="S86" s="7">
        <f>LAVORAZIONI!Y85</f>
        <v/>
      </c>
      <c r="T86" s="6">
        <f>LAVORAZIONI!Z85</f>
        <v/>
      </c>
      <c r="U86" s="7">
        <f>LAVORAZIONI!AA85</f>
        <v/>
      </c>
      <c r="V86" s="6">
        <f>LAVORAZIONI!AB85</f>
        <v/>
      </c>
      <c r="W86" s="7">
        <f>LAVORAZIONI!AC85</f>
        <v/>
      </c>
      <c r="X86" s="6">
        <f>LAVORAZIONI!AD85</f>
        <v/>
      </c>
      <c r="Y86" s="7">
        <f>LAVORAZIONI!AE85</f>
        <v/>
      </c>
      <c r="Z86" s="6">
        <f>LAVORAZIONI!AF85</f>
        <v/>
      </c>
      <c r="AA86" s="7">
        <f>LAVORAZIONI!AG85</f>
        <v/>
      </c>
      <c r="AB86" s="6">
        <f>LAVORAZIONI!AH85</f>
        <v/>
      </c>
      <c r="AC86" s="7">
        <f>LAVORAZIONI!AI85</f>
        <v/>
      </c>
      <c r="AD86" s="13">
        <f>LAVORAZIONI!AJ85</f>
        <v/>
      </c>
    </row>
    <row r="87" ht="71" customHeight="1" s="46">
      <c r="B87" s="4">
        <f>LAVORAZIONI!G86</f>
        <v/>
      </c>
      <c r="C87" s="3">
        <f>LAVORAZIONI!A86</f>
        <v/>
      </c>
      <c r="D87" s="3">
        <f>LAVORAZIONI!K86</f>
        <v/>
      </c>
      <c r="E87" s="4">
        <f>LAVORAZIONI!H86</f>
        <v/>
      </c>
      <c r="F87" s="4">
        <f>LAVORAZIONI!M86</f>
        <v/>
      </c>
      <c r="G87" s="5">
        <f>LAVORAZIONI!N86</f>
        <v/>
      </c>
      <c r="H87" s="6">
        <f>LAVORAZIONI!O86</f>
        <v/>
      </c>
      <c r="I87" s="13">
        <f>LAVORAZIONI!P86</f>
        <v/>
      </c>
      <c r="J87" s="5">
        <f>IF(LAVORAZIONI!Q86="","",LAVORAZIONI!Q86)</f>
        <v/>
      </c>
      <c r="K87" s="6">
        <f>IF(LAVORAZIONI!R86="","",LAVORAZIONI!R86)</f>
        <v/>
      </c>
      <c r="L87" s="13">
        <f>IF(LAVORAZIONI!S86="","",LAVORAZIONI!S86)</f>
        <v/>
      </c>
      <c r="M87" s="13">
        <f>LAVORAZIONI!T86</f>
        <v/>
      </c>
      <c r="O87" s="7">
        <f>LAVORAZIONI!U86</f>
        <v/>
      </c>
      <c r="P87" s="45">
        <f>LAVORAZIONI!V86</f>
        <v/>
      </c>
      <c r="Q87" s="7">
        <f>LAVORAZIONI!W86</f>
        <v/>
      </c>
      <c r="R87" s="6">
        <f>LAVORAZIONI!X86</f>
        <v/>
      </c>
      <c r="S87" s="7">
        <f>LAVORAZIONI!Y86</f>
        <v/>
      </c>
      <c r="T87" s="6">
        <f>LAVORAZIONI!Z86</f>
        <v/>
      </c>
      <c r="U87" s="7">
        <f>LAVORAZIONI!AA86</f>
        <v/>
      </c>
      <c r="V87" s="6">
        <f>LAVORAZIONI!AB86</f>
        <v/>
      </c>
      <c r="W87" s="7">
        <f>LAVORAZIONI!AC86</f>
        <v/>
      </c>
      <c r="X87" s="6">
        <f>LAVORAZIONI!AD86</f>
        <v/>
      </c>
      <c r="Y87" s="7">
        <f>LAVORAZIONI!AE86</f>
        <v/>
      </c>
      <c r="Z87" s="6">
        <f>LAVORAZIONI!AF86</f>
        <v/>
      </c>
      <c r="AA87" s="7">
        <f>LAVORAZIONI!AG86</f>
        <v/>
      </c>
      <c r="AB87" s="6">
        <f>LAVORAZIONI!AH86</f>
        <v/>
      </c>
      <c r="AC87" s="7">
        <f>LAVORAZIONI!AI86</f>
        <v/>
      </c>
      <c r="AD87" s="13">
        <f>LAVORAZIONI!AJ86</f>
        <v/>
      </c>
    </row>
    <row r="88" ht="71" customHeight="1" s="46">
      <c r="B88" s="4">
        <f>LAVORAZIONI!G87</f>
        <v/>
      </c>
      <c r="C88" s="3">
        <f>LAVORAZIONI!A87</f>
        <v/>
      </c>
      <c r="D88" s="3">
        <f>LAVORAZIONI!K87</f>
        <v/>
      </c>
      <c r="E88" s="4">
        <f>LAVORAZIONI!H87</f>
        <v/>
      </c>
      <c r="F88" s="4">
        <f>LAVORAZIONI!M87</f>
        <v/>
      </c>
      <c r="G88" s="5">
        <f>LAVORAZIONI!N87</f>
        <v/>
      </c>
      <c r="H88" s="6">
        <f>LAVORAZIONI!O87</f>
        <v/>
      </c>
      <c r="I88" s="13">
        <f>LAVORAZIONI!P87</f>
        <v/>
      </c>
      <c r="J88" s="5">
        <f>IF(LAVORAZIONI!Q87="","",LAVORAZIONI!Q87)</f>
        <v/>
      </c>
      <c r="K88" s="6">
        <f>IF(LAVORAZIONI!R87="","",LAVORAZIONI!R87)</f>
        <v/>
      </c>
      <c r="L88" s="13">
        <f>IF(LAVORAZIONI!S87="","",LAVORAZIONI!S87)</f>
        <v/>
      </c>
      <c r="M88" s="13">
        <f>LAVORAZIONI!T87</f>
        <v/>
      </c>
      <c r="O88" s="7">
        <f>LAVORAZIONI!U87</f>
        <v/>
      </c>
      <c r="P88" s="45">
        <f>LAVORAZIONI!V87</f>
        <v/>
      </c>
      <c r="Q88" s="7">
        <f>LAVORAZIONI!W87</f>
        <v/>
      </c>
      <c r="R88" s="6">
        <f>LAVORAZIONI!X87</f>
        <v/>
      </c>
      <c r="S88" s="7">
        <f>LAVORAZIONI!Y87</f>
        <v/>
      </c>
      <c r="T88" s="6">
        <f>LAVORAZIONI!Z87</f>
        <v/>
      </c>
      <c r="U88" s="7">
        <f>LAVORAZIONI!AA87</f>
        <v/>
      </c>
      <c r="V88" s="6">
        <f>LAVORAZIONI!AB87</f>
        <v/>
      </c>
      <c r="W88" s="7">
        <f>LAVORAZIONI!AC87</f>
        <v/>
      </c>
      <c r="X88" s="6">
        <f>LAVORAZIONI!AD87</f>
        <v/>
      </c>
      <c r="Y88" s="7">
        <f>LAVORAZIONI!AE87</f>
        <v/>
      </c>
      <c r="Z88" s="6">
        <f>LAVORAZIONI!AF87</f>
        <v/>
      </c>
      <c r="AA88" s="7">
        <f>LAVORAZIONI!AG87</f>
        <v/>
      </c>
      <c r="AB88" s="6">
        <f>LAVORAZIONI!AH87</f>
        <v/>
      </c>
      <c r="AC88" s="7">
        <f>LAVORAZIONI!AI87</f>
        <v/>
      </c>
      <c r="AD88" s="13">
        <f>LAVORAZIONI!AJ87</f>
        <v/>
      </c>
    </row>
    <row r="89" ht="71" customHeight="1" s="46">
      <c r="B89" s="4">
        <f>LAVORAZIONI!G88</f>
        <v/>
      </c>
      <c r="C89" s="3">
        <f>LAVORAZIONI!A88</f>
        <v/>
      </c>
      <c r="D89" s="3">
        <f>LAVORAZIONI!K88</f>
        <v/>
      </c>
      <c r="E89" s="4">
        <f>LAVORAZIONI!H88</f>
        <v/>
      </c>
      <c r="F89" s="4">
        <f>LAVORAZIONI!M88</f>
        <v/>
      </c>
      <c r="G89" s="5">
        <f>LAVORAZIONI!N88</f>
        <v/>
      </c>
      <c r="H89" s="6">
        <f>LAVORAZIONI!O88</f>
        <v/>
      </c>
      <c r="I89" s="13">
        <f>LAVORAZIONI!P88</f>
        <v/>
      </c>
      <c r="J89" s="5">
        <f>IF(LAVORAZIONI!Q88="","",LAVORAZIONI!Q88)</f>
        <v/>
      </c>
      <c r="K89" s="6">
        <f>IF(LAVORAZIONI!R88="","",LAVORAZIONI!R88)</f>
        <v/>
      </c>
      <c r="L89" s="13">
        <f>IF(LAVORAZIONI!S88="","",LAVORAZIONI!S88)</f>
        <v/>
      </c>
      <c r="M89" s="13">
        <f>LAVORAZIONI!T88</f>
        <v/>
      </c>
      <c r="O89" s="7">
        <f>LAVORAZIONI!U88</f>
        <v/>
      </c>
      <c r="P89" s="45">
        <f>LAVORAZIONI!V88</f>
        <v/>
      </c>
      <c r="Q89" s="7">
        <f>LAVORAZIONI!W88</f>
        <v/>
      </c>
      <c r="R89" s="6">
        <f>LAVORAZIONI!X88</f>
        <v/>
      </c>
      <c r="S89" s="7">
        <f>LAVORAZIONI!Y88</f>
        <v/>
      </c>
      <c r="T89" s="6">
        <f>LAVORAZIONI!Z88</f>
        <v/>
      </c>
      <c r="U89" s="7">
        <f>LAVORAZIONI!AA88</f>
        <v/>
      </c>
      <c r="V89" s="6">
        <f>LAVORAZIONI!AB88</f>
        <v/>
      </c>
      <c r="W89" s="7">
        <f>LAVORAZIONI!AC88</f>
        <v/>
      </c>
      <c r="X89" s="6">
        <f>LAVORAZIONI!AD88</f>
        <v/>
      </c>
      <c r="Y89" s="7">
        <f>LAVORAZIONI!AE88</f>
        <v/>
      </c>
      <c r="Z89" s="6">
        <f>LAVORAZIONI!AF88</f>
        <v/>
      </c>
      <c r="AA89" s="7">
        <f>LAVORAZIONI!AG88</f>
        <v/>
      </c>
      <c r="AB89" s="6">
        <f>LAVORAZIONI!AH88</f>
        <v/>
      </c>
      <c r="AC89" s="7">
        <f>LAVORAZIONI!AI88</f>
        <v/>
      </c>
      <c r="AD89" s="13">
        <f>LAVORAZIONI!AJ88</f>
        <v/>
      </c>
    </row>
    <row r="90" ht="71" customHeight="1" s="46">
      <c r="B90" s="4">
        <f>LAVORAZIONI!G89</f>
        <v/>
      </c>
      <c r="C90" s="3">
        <f>LAVORAZIONI!A89</f>
        <v/>
      </c>
      <c r="D90" s="3">
        <f>LAVORAZIONI!K89</f>
        <v/>
      </c>
      <c r="E90" s="4">
        <f>LAVORAZIONI!H89</f>
        <v/>
      </c>
      <c r="F90" s="4">
        <f>LAVORAZIONI!M89</f>
        <v/>
      </c>
      <c r="G90" s="5">
        <f>LAVORAZIONI!N89</f>
        <v/>
      </c>
      <c r="H90" s="6">
        <f>LAVORAZIONI!O89</f>
        <v/>
      </c>
      <c r="I90" s="13">
        <f>LAVORAZIONI!P89</f>
        <v/>
      </c>
      <c r="J90" s="5">
        <f>IF(LAVORAZIONI!Q89="","",LAVORAZIONI!Q89)</f>
        <v/>
      </c>
      <c r="K90" s="6">
        <f>IF(LAVORAZIONI!R89="","",LAVORAZIONI!R89)</f>
        <v/>
      </c>
      <c r="L90" s="13">
        <f>IF(LAVORAZIONI!S89="","",LAVORAZIONI!S89)</f>
        <v/>
      </c>
      <c r="M90" s="13">
        <f>LAVORAZIONI!T89</f>
        <v/>
      </c>
      <c r="O90" s="7">
        <f>LAVORAZIONI!U89</f>
        <v/>
      </c>
      <c r="P90" s="45">
        <f>LAVORAZIONI!V89</f>
        <v/>
      </c>
      <c r="Q90" s="7">
        <f>LAVORAZIONI!W89</f>
        <v/>
      </c>
      <c r="R90" s="6">
        <f>LAVORAZIONI!X89</f>
        <v/>
      </c>
      <c r="S90" s="7">
        <f>LAVORAZIONI!Y89</f>
        <v/>
      </c>
      <c r="T90" s="6">
        <f>LAVORAZIONI!Z89</f>
        <v/>
      </c>
      <c r="U90" s="7">
        <f>LAVORAZIONI!AA89</f>
        <v/>
      </c>
      <c r="V90" s="6">
        <f>LAVORAZIONI!AB89</f>
        <v/>
      </c>
      <c r="W90" s="7">
        <f>LAVORAZIONI!AC89</f>
        <v/>
      </c>
      <c r="X90" s="6">
        <f>LAVORAZIONI!AD89</f>
        <v/>
      </c>
      <c r="Y90" s="7">
        <f>LAVORAZIONI!AE89</f>
        <v/>
      </c>
      <c r="Z90" s="6">
        <f>LAVORAZIONI!AF89</f>
        <v/>
      </c>
      <c r="AA90" s="7">
        <f>LAVORAZIONI!AG89</f>
        <v/>
      </c>
      <c r="AB90" s="6">
        <f>LAVORAZIONI!AH89</f>
        <v/>
      </c>
      <c r="AC90" s="7">
        <f>LAVORAZIONI!AI89</f>
        <v/>
      </c>
      <c r="AD90" s="13">
        <f>LAVORAZIONI!AJ89</f>
        <v/>
      </c>
    </row>
    <row r="91" ht="71" customHeight="1" s="46">
      <c r="B91" s="4">
        <f>LAVORAZIONI!G90</f>
        <v/>
      </c>
      <c r="C91" s="3">
        <f>LAVORAZIONI!A90</f>
        <v/>
      </c>
      <c r="D91" s="3">
        <f>LAVORAZIONI!K90</f>
        <v/>
      </c>
      <c r="E91" s="4">
        <f>LAVORAZIONI!H90</f>
        <v/>
      </c>
      <c r="F91" s="4">
        <f>LAVORAZIONI!M90</f>
        <v/>
      </c>
      <c r="G91" s="5">
        <f>LAVORAZIONI!N90</f>
        <v/>
      </c>
      <c r="H91" s="6">
        <f>LAVORAZIONI!O90</f>
        <v/>
      </c>
      <c r="I91" s="13">
        <f>LAVORAZIONI!P90</f>
        <v/>
      </c>
      <c r="J91" s="5">
        <f>IF(LAVORAZIONI!Q90="","",LAVORAZIONI!Q90)</f>
        <v/>
      </c>
      <c r="K91" s="6">
        <f>IF(LAVORAZIONI!R90="","",LAVORAZIONI!R90)</f>
        <v/>
      </c>
      <c r="L91" s="13">
        <f>IF(LAVORAZIONI!S90="","",LAVORAZIONI!S90)</f>
        <v/>
      </c>
      <c r="M91" s="13">
        <f>LAVORAZIONI!T90</f>
        <v/>
      </c>
      <c r="O91" s="7">
        <f>LAVORAZIONI!U90</f>
        <v/>
      </c>
      <c r="P91" s="45">
        <f>LAVORAZIONI!V90</f>
        <v/>
      </c>
      <c r="Q91" s="7">
        <f>LAVORAZIONI!W90</f>
        <v/>
      </c>
      <c r="R91" s="6">
        <f>LAVORAZIONI!X90</f>
        <v/>
      </c>
      <c r="S91" s="7">
        <f>LAVORAZIONI!Y90</f>
        <v/>
      </c>
      <c r="T91" s="6">
        <f>LAVORAZIONI!Z90</f>
        <v/>
      </c>
      <c r="U91" s="7">
        <f>LAVORAZIONI!AA90</f>
        <v/>
      </c>
      <c r="V91" s="6">
        <f>LAVORAZIONI!AB90</f>
        <v/>
      </c>
      <c r="W91" s="7">
        <f>LAVORAZIONI!AC90</f>
        <v/>
      </c>
      <c r="X91" s="6">
        <f>LAVORAZIONI!AD90</f>
        <v/>
      </c>
      <c r="Y91" s="7">
        <f>LAVORAZIONI!AE90</f>
        <v/>
      </c>
      <c r="Z91" s="6">
        <f>LAVORAZIONI!AF90</f>
        <v/>
      </c>
      <c r="AA91" s="7">
        <f>LAVORAZIONI!AG90</f>
        <v/>
      </c>
      <c r="AB91" s="6">
        <f>LAVORAZIONI!AH90</f>
        <v/>
      </c>
      <c r="AC91" s="7">
        <f>LAVORAZIONI!AI90</f>
        <v/>
      </c>
      <c r="AD91" s="13">
        <f>LAVORAZIONI!AJ90</f>
        <v/>
      </c>
    </row>
    <row r="92" ht="71" customHeight="1" s="46">
      <c r="B92" s="4">
        <f>LAVORAZIONI!G91</f>
        <v/>
      </c>
      <c r="C92" s="3">
        <f>LAVORAZIONI!A91</f>
        <v/>
      </c>
      <c r="D92" s="3">
        <f>LAVORAZIONI!K91</f>
        <v/>
      </c>
      <c r="E92" s="4">
        <f>LAVORAZIONI!H91</f>
        <v/>
      </c>
      <c r="F92" s="4">
        <f>LAVORAZIONI!M91</f>
        <v/>
      </c>
      <c r="G92" s="5">
        <f>LAVORAZIONI!N91</f>
        <v/>
      </c>
      <c r="H92" s="6">
        <f>LAVORAZIONI!O91</f>
        <v/>
      </c>
      <c r="I92" s="13">
        <f>LAVORAZIONI!P91</f>
        <v/>
      </c>
      <c r="J92" s="5">
        <f>IF(LAVORAZIONI!Q91="","",LAVORAZIONI!Q91)</f>
        <v/>
      </c>
      <c r="K92" s="6">
        <f>IF(LAVORAZIONI!R91="","",LAVORAZIONI!R91)</f>
        <v/>
      </c>
      <c r="L92" s="13">
        <f>IF(LAVORAZIONI!S91="","",LAVORAZIONI!S91)</f>
        <v/>
      </c>
      <c r="M92" s="13">
        <f>LAVORAZIONI!T91</f>
        <v/>
      </c>
      <c r="O92" s="7">
        <f>LAVORAZIONI!U91</f>
        <v/>
      </c>
      <c r="P92" s="45">
        <f>LAVORAZIONI!V91</f>
        <v/>
      </c>
      <c r="Q92" s="7">
        <f>LAVORAZIONI!W91</f>
        <v/>
      </c>
      <c r="R92" s="6">
        <f>LAVORAZIONI!X91</f>
        <v/>
      </c>
      <c r="S92" s="7">
        <f>LAVORAZIONI!Y91</f>
        <v/>
      </c>
      <c r="T92" s="6">
        <f>LAVORAZIONI!Z91</f>
        <v/>
      </c>
      <c r="U92" s="7">
        <f>LAVORAZIONI!AA91</f>
        <v/>
      </c>
      <c r="V92" s="6">
        <f>LAVORAZIONI!AB91</f>
        <v/>
      </c>
      <c r="W92" s="7">
        <f>LAVORAZIONI!AC91</f>
        <v/>
      </c>
      <c r="X92" s="6">
        <f>LAVORAZIONI!AD91</f>
        <v/>
      </c>
      <c r="Y92" s="7">
        <f>LAVORAZIONI!AE91</f>
        <v/>
      </c>
      <c r="Z92" s="6">
        <f>LAVORAZIONI!AF91</f>
        <v/>
      </c>
      <c r="AA92" s="7">
        <f>LAVORAZIONI!AG91</f>
        <v/>
      </c>
      <c r="AB92" s="6">
        <f>LAVORAZIONI!AH91</f>
        <v/>
      </c>
      <c r="AC92" s="7">
        <f>LAVORAZIONI!AI91</f>
        <v/>
      </c>
      <c r="AD92" s="13">
        <f>LAVORAZIONI!AJ91</f>
        <v/>
      </c>
    </row>
    <row r="93" ht="71" customHeight="1" s="46">
      <c r="B93" s="4">
        <f>LAVORAZIONI!G92</f>
        <v/>
      </c>
      <c r="C93" s="3">
        <f>LAVORAZIONI!A92</f>
        <v/>
      </c>
      <c r="D93" s="3">
        <f>LAVORAZIONI!K92</f>
        <v/>
      </c>
      <c r="E93" s="4">
        <f>LAVORAZIONI!H92</f>
        <v/>
      </c>
      <c r="F93" s="4">
        <f>LAVORAZIONI!M92</f>
        <v/>
      </c>
      <c r="G93" s="5">
        <f>LAVORAZIONI!N92</f>
        <v/>
      </c>
      <c r="H93" s="6">
        <f>LAVORAZIONI!O92</f>
        <v/>
      </c>
      <c r="I93" s="13">
        <f>LAVORAZIONI!P92</f>
        <v/>
      </c>
      <c r="J93" s="5">
        <f>IF(LAVORAZIONI!Q92="","",LAVORAZIONI!Q92)</f>
        <v/>
      </c>
      <c r="K93" s="6">
        <f>IF(LAVORAZIONI!R92="","",LAVORAZIONI!R92)</f>
        <v/>
      </c>
      <c r="L93" s="13">
        <f>IF(LAVORAZIONI!S92="","",LAVORAZIONI!S92)</f>
        <v/>
      </c>
      <c r="M93" s="13">
        <f>LAVORAZIONI!T92</f>
        <v/>
      </c>
      <c r="O93" s="7">
        <f>LAVORAZIONI!U92</f>
        <v/>
      </c>
      <c r="P93" s="45">
        <f>LAVORAZIONI!V92</f>
        <v/>
      </c>
      <c r="Q93" s="7">
        <f>LAVORAZIONI!W92</f>
        <v/>
      </c>
      <c r="R93" s="6">
        <f>LAVORAZIONI!X92</f>
        <v/>
      </c>
      <c r="S93" s="7">
        <f>LAVORAZIONI!Y92</f>
        <v/>
      </c>
      <c r="T93" s="6">
        <f>LAVORAZIONI!Z92</f>
        <v/>
      </c>
      <c r="U93" s="7">
        <f>LAVORAZIONI!AA92</f>
        <v/>
      </c>
      <c r="V93" s="6">
        <f>LAVORAZIONI!AB92</f>
        <v/>
      </c>
      <c r="W93" s="7">
        <f>LAVORAZIONI!AC92</f>
        <v/>
      </c>
      <c r="X93" s="6">
        <f>LAVORAZIONI!AD92</f>
        <v/>
      </c>
      <c r="Y93" s="7">
        <f>LAVORAZIONI!AE92</f>
        <v/>
      </c>
      <c r="Z93" s="6">
        <f>LAVORAZIONI!AF92</f>
        <v/>
      </c>
      <c r="AA93" s="7">
        <f>LAVORAZIONI!AG92</f>
        <v/>
      </c>
      <c r="AB93" s="6">
        <f>LAVORAZIONI!AH92</f>
        <v/>
      </c>
      <c r="AC93" s="7">
        <f>LAVORAZIONI!AI92</f>
        <v/>
      </c>
      <c r="AD93" s="13">
        <f>LAVORAZIONI!AJ92</f>
        <v/>
      </c>
    </row>
    <row r="94" ht="71" customHeight="1" s="46">
      <c r="B94" s="4">
        <f>LAVORAZIONI!G93</f>
        <v/>
      </c>
      <c r="C94" s="3">
        <f>LAVORAZIONI!A93</f>
        <v/>
      </c>
      <c r="D94" s="3">
        <f>LAVORAZIONI!K93</f>
        <v/>
      </c>
      <c r="E94" s="4">
        <f>LAVORAZIONI!H93</f>
        <v/>
      </c>
      <c r="F94" s="4">
        <f>LAVORAZIONI!M93</f>
        <v/>
      </c>
      <c r="G94" s="5">
        <f>LAVORAZIONI!N93</f>
        <v/>
      </c>
      <c r="H94" s="6">
        <f>LAVORAZIONI!O93</f>
        <v/>
      </c>
      <c r="I94" s="13">
        <f>LAVORAZIONI!P93</f>
        <v/>
      </c>
      <c r="J94" s="5">
        <f>IF(LAVORAZIONI!Q93="","",LAVORAZIONI!Q93)</f>
        <v/>
      </c>
      <c r="K94" s="6">
        <f>IF(LAVORAZIONI!R93="","",LAVORAZIONI!R93)</f>
        <v/>
      </c>
      <c r="L94" s="13">
        <f>IF(LAVORAZIONI!S93="","",LAVORAZIONI!S93)</f>
        <v/>
      </c>
      <c r="M94" s="13">
        <f>LAVORAZIONI!T93</f>
        <v/>
      </c>
      <c r="O94" s="7">
        <f>LAVORAZIONI!U93</f>
        <v/>
      </c>
      <c r="P94" s="45">
        <f>LAVORAZIONI!V93</f>
        <v/>
      </c>
      <c r="Q94" s="7">
        <f>LAVORAZIONI!W93</f>
        <v/>
      </c>
      <c r="R94" s="6">
        <f>LAVORAZIONI!X93</f>
        <v/>
      </c>
      <c r="S94" s="7">
        <f>LAVORAZIONI!Y93</f>
        <v/>
      </c>
      <c r="T94" s="6">
        <f>LAVORAZIONI!Z93</f>
        <v/>
      </c>
      <c r="U94" s="7">
        <f>LAVORAZIONI!AA93</f>
        <v/>
      </c>
      <c r="V94" s="6">
        <f>LAVORAZIONI!AB93</f>
        <v/>
      </c>
      <c r="W94" s="7">
        <f>LAVORAZIONI!AC93</f>
        <v/>
      </c>
      <c r="X94" s="6">
        <f>LAVORAZIONI!AD93</f>
        <v/>
      </c>
      <c r="Y94" s="7">
        <f>LAVORAZIONI!AE93</f>
        <v/>
      </c>
      <c r="Z94" s="6">
        <f>LAVORAZIONI!AF93</f>
        <v/>
      </c>
      <c r="AA94" s="7">
        <f>LAVORAZIONI!AG93</f>
        <v/>
      </c>
      <c r="AB94" s="6">
        <f>LAVORAZIONI!AH93</f>
        <v/>
      </c>
      <c r="AC94" s="7">
        <f>LAVORAZIONI!AI93</f>
        <v/>
      </c>
      <c r="AD94" s="13">
        <f>LAVORAZIONI!AJ93</f>
        <v/>
      </c>
    </row>
    <row r="95" ht="71" customHeight="1" s="46">
      <c r="B95" s="4">
        <f>LAVORAZIONI!G94</f>
        <v/>
      </c>
      <c r="C95" s="3">
        <f>LAVORAZIONI!A94</f>
        <v/>
      </c>
      <c r="D95" s="3">
        <f>LAVORAZIONI!K94</f>
        <v/>
      </c>
      <c r="E95" s="4">
        <f>LAVORAZIONI!H94</f>
        <v/>
      </c>
      <c r="F95" s="4">
        <f>LAVORAZIONI!M94</f>
        <v/>
      </c>
      <c r="G95" s="5">
        <f>LAVORAZIONI!N94</f>
        <v/>
      </c>
      <c r="H95" s="6">
        <f>LAVORAZIONI!O94</f>
        <v/>
      </c>
      <c r="I95" s="13">
        <f>LAVORAZIONI!P94</f>
        <v/>
      </c>
      <c r="J95" s="5">
        <f>IF(LAVORAZIONI!Q94="","",LAVORAZIONI!Q94)</f>
        <v/>
      </c>
      <c r="K95" s="6">
        <f>IF(LAVORAZIONI!R94="","",LAVORAZIONI!R94)</f>
        <v/>
      </c>
      <c r="L95" s="13">
        <f>IF(LAVORAZIONI!S94="","",LAVORAZIONI!S94)</f>
        <v/>
      </c>
      <c r="M95" s="13">
        <f>LAVORAZIONI!T94</f>
        <v/>
      </c>
      <c r="O95" s="7">
        <f>LAVORAZIONI!U94</f>
        <v/>
      </c>
      <c r="P95" s="45">
        <f>LAVORAZIONI!V94</f>
        <v/>
      </c>
      <c r="Q95" s="7">
        <f>LAVORAZIONI!W94</f>
        <v/>
      </c>
      <c r="R95" s="6">
        <f>LAVORAZIONI!X94</f>
        <v/>
      </c>
      <c r="S95" s="7">
        <f>LAVORAZIONI!Y94</f>
        <v/>
      </c>
      <c r="T95" s="6">
        <f>LAVORAZIONI!Z94</f>
        <v/>
      </c>
      <c r="U95" s="7">
        <f>LAVORAZIONI!AA94</f>
        <v/>
      </c>
      <c r="V95" s="6">
        <f>LAVORAZIONI!AB94</f>
        <v/>
      </c>
      <c r="W95" s="7">
        <f>LAVORAZIONI!AC94</f>
        <v/>
      </c>
      <c r="X95" s="6">
        <f>LAVORAZIONI!AD94</f>
        <v/>
      </c>
      <c r="Y95" s="7">
        <f>LAVORAZIONI!AE94</f>
        <v/>
      </c>
      <c r="Z95" s="6">
        <f>LAVORAZIONI!AF94</f>
        <v/>
      </c>
      <c r="AA95" s="7">
        <f>LAVORAZIONI!AG94</f>
        <v/>
      </c>
      <c r="AB95" s="6">
        <f>LAVORAZIONI!AH94</f>
        <v/>
      </c>
      <c r="AC95" s="7">
        <f>LAVORAZIONI!AI94</f>
        <v/>
      </c>
      <c r="AD95" s="13">
        <f>LAVORAZIONI!AJ94</f>
        <v/>
      </c>
    </row>
    <row r="96" ht="71" customHeight="1" s="46">
      <c r="B96" s="4">
        <f>LAVORAZIONI!G95</f>
        <v/>
      </c>
      <c r="C96" s="3">
        <f>LAVORAZIONI!A95</f>
        <v/>
      </c>
      <c r="D96" s="3">
        <f>LAVORAZIONI!K95</f>
        <v/>
      </c>
      <c r="E96" s="4">
        <f>LAVORAZIONI!H95</f>
        <v/>
      </c>
      <c r="F96" s="4">
        <f>LAVORAZIONI!M95</f>
        <v/>
      </c>
      <c r="G96" s="5">
        <f>LAVORAZIONI!N95</f>
        <v/>
      </c>
      <c r="H96" s="6">
        <f>LAVORAZIONI!O95</f>
        <v/>
      </c>
      <c r="I96" s="13">
        <f>LAVORAZIONI!P95</f>
        <v/>
      </c>
      <c r="J96" s="5">
        <f>IF(LAVORAZIONI!Q95="","",LAVORAZIONI!Q95)</f>
        <v/>
      </c>
      <c r="K96" s="6">
        <f>IF(LAVORAZIONI!R95="","",LAVORAZIONI!R95)</f>
        <v/>
      </c>
      <c r="L96" s="13">
        <f>IF(LAVORAZIONI!S95="","",LAVORAZIONI!S95)</f>
        <v/>
      </c>
      <c r="M96" s="13">
        <f>LAVORAZIONI!T95</f>
        <v/>
      </c>
      <c r="O96" s="7">
        <f>LAVORAZIONI!U95</f>
        <v/>
      </c>
      <c r="P96" s="45">
        <f>LAVORAZIONI!V95</f>
        <v/>
      </c>
      <c r="Q96" s="7">
        <f>LAVORAZIONI!W95</f>
        <v/>
      </c>
      <c r="R96" s="6">
        <f>LAVORAZIONI!X95</f>
        <v/>
      </c>
      <c r="S96" s="7">
        <f>LAVORAZIONI!Y95</f>
        <v/>
      </c>
      <c r="T96" s="6">
        <f>LAVORAZIONI!Z95</f>
        <v/>
      </c>
      <c r="U96" s="7">
        <f>LAVORAZIONI!AA95</f>
        <v/>
      </c>
      <c r="V96" s="6">
        <f>LAVORAZIONI!AB95</f>
        <v/>
      </c>
      <c r="W96" s="7">
        <f>LAVORAZIONI!AC95</f>
        <v/>
      </c>
      <c r="X96" s="6">
        <f>LAVORAZIONI!AD95</f>
        <v/>
      </c>
      <c r="Y96" s="7">
        <f>LAVORAZIONI!AE95</f>
        <v/>
      </c>
      <c r="Z96" s="6">
        <f>LAVORAZIONI!AF95</f>
        <v/>
      </c>
      <c r="AA96" s="7">
        <f>LAVORAZIONI!AG95</f>
        <v/>
      </c>
      <c r="AB96" s="6">
        <f>LAVORAZIONI!AH95</f>
        <v/>
      </c>
      <c r="AC96" s="7">
        <f>LAVORAZIONI!AI95</f>
        <v/>
      </c>
      <c r="AD96" s="13">
        <f>LAVORAZIONI!AJ95</f>
        <v/>
      </c>
    </row>
    <row r="97" ht="71" customHeight="1" s="46">
      <c r="B97" s="4">
        <f>LAVORAZIONI!G96</f>
        <v/>
      </c>
      <c r="C97" s="3">
        <f>LAVORAZIONI!A96</f>
        <v/>
      </c>
      <c r="D97" s="3">
        <f>LAVORAZIONI!K96</f>
        <v/>
      </c>
      <c r="E97" s="4">
        <f>LAVORAZIONI!H96</f>
        <v/>
      </c>
      <c r="F97" s="4">
        <f>LAVORAZIONI!M96</f>
        <v/>
      </c>
      <c r="G97" s="5">
        <f>LAVORAZIONI!N96</f>
        <v/>
      </c>
      <c r="H97" s="6">
        <f>LAVORAZIONI!O96</f>
        <v/>
      </c>
      <c r="I97" s="13">
        <f>LAVORAZIONI!P96</f>
        <v/>
      </c>
      <c r="J97" s="5">
        <f>IF(LAVORAZIONI!Q96="","",LAVORAZIONI!Q96)</f>
        <v/>
      </c>
      <c r="K97" s="6">
        <f>IF(LAVORAZIONI!R96="","",LAVORAZIONI!R96)</f>
        <v/>
      </c>
      <c r="L97" s="13">
        <f>IF(LAVORAZIONI!S96="","",LAVORAZIONI!S96)</f>
        <v/>
      </c>
      <c r="M97" s="13">
        <f>LAVORAZIONI!T96</f>
        <v/>
      </c>
      <c r="O97" s="7">
        <f>LAVORAZIONI!U96</f>
        <v/>
      </c>
      <c r="P97" s="45">
        <f>LAVORAZIONI!V96</f>
        <v/>
      </c>
      <c r="Q97" s="7">
        <f>LAVORAZIONI!W96</f>
        <v/>
      </c>
      <c r="R97" s="6">
        <f>LAVORAZIONI!X96</f>
        <v/>
      </c>
      <c r="S97" s="7">
        <f>LAVORAZIONI!Y96</f>
        <v/>
      </c>
      <c r="T97" s="6">
        <f>LAVORAZIONI!Z96</f>
        <v/>
      </c>
      <c r="U97" s="7">
        <f>LAVORAZIONI!AA96</f>
        <v/>
      </c>
      <c r="V97" s="6">
        <f>LAVORAZIONI!AB96</f>
        <v/>
      </c>
      <c r="W97" s="7">
        <f>LAVORAZIONI!AC96</f>
        <v/>
      </c>
      <c r="X97" s="6">
        <f>LAVORAZIONI!AD96</f>
        <v/>
      </c>
      <c r="Y97" s="7">
        <f>LAVORAZIONI!AE96</f>
        <v/>
      </c>
      <c r="Z97" s="6">
        <f>LAVORAZIONI!AF96</f>
        <v/>
      </c>
      <c r="AA97" s="7">
        <f>LAVORAZIONI!AG96</f>
        <v/>
      </c>
      <c r="AB97" s="6">
        <f>LAVORAZIONI!AH96</f>
        <v/>
      </c>
      <c r="AC97" s="7">
        <f>LAVORAZIONI!AI96</f>
        <v/>
      </c>
      <c r="AD97" s="13">
        <f>LAVORAZIONI!AJ96</f>
        <v/>
      </c>
    </row>
    <row r="98" ht="71" customHeight="1" s="46">
      <c r="B98" s="4">
        <f>LAVORAZIONI!G97</f>
        <v/>
      </c>
      <c r="C98" s="3">
        <f>LAVORAZIONI!A97</f>
        <v/>
      </c>
      <c r="D98" s="3">
        <f>LAVORAZIONI!K97</f>
        <v/>
      </c>
      <c r="E98" s="4">
        <f>LAVORAZIONI!H97</f>
        <v/>
      </c>
      <c r="F98" s="4">
        <f>LAVORAZIONI!M97</f>
        <v/>
      </c>
      <c r="G98" s="5">
        <f>LAVORAZIONI!N97</f>
        <v/>
      </c>
      <c r="H98" s="6">
        <f>LAVORAZIONI!O97</f>
        <v/>
      </c>
      <c r="I98" s="13">
        <f>LAVORAZIONI!P97</f>
        <v/>
      </c>
      <c r="J98" s="5">
        <f>IF(LAVORAZIONI!Q97="","",LAVORAZIONI!Q97)</f>
        <v/>
      </c>
      <c r="K98" s="6">
        <f>IF(LAVORAZIONI!R97="","",LAVORAZIONI!R97)</f>
        <v/>
      </c>
      <c r="L98" s="13">
        <f>IF(LAVORAZIONI!S97="","",LAVORAZIONI!S97)</f>
        <v/>
      </c>
      <c r="M98" s="13">
        <f>LAVORAZIONI!T97</f>
        <v/>
      </c>
      <c r="O98" s="7">
        <f>LAVORAZIONI!U97</f>
        <v/>
      </c>
      <c r="P98" s="45">
        <f>LAVORAZIONI!V97</f>
        <v/>
      </c>
      <c r="Q98" s="7">
        <f>LAVORAZIONI!W97</f>
        <v/>
      </c>
      <c r="R98" s="6">
        <f>LAVORAZIONI!X97</f>
        <v/>
      </c>
      <c r="S98" s="7">
        <f>LAVORAZIONI!Y97</f>
        <v/>
      </c>
      <c r="T98" s="6">
        <f>LAVORAZIONI!Z97</f>
        <v/>
      </c>
      <c r="U98" s="7">
        <f>LAVORAZIONI!AA97</f>
        <v/>
      </c>
      <c r="V98" s="6">
        <f>LAVORAZIONI!AB97</f>
        <v/>
      </c>
      <c r="W98" s="7">
        <f>LAVORAZIONI!AC97</f>
        <v/>
      </c>
      <c r="X98" s="6">
        <f>LAVORAZIONI!AD97</f>
        <v/>
      </c>
      <c r="Y98" s="7">
        <f>LAVORAZIONI!AE97</f>
        <v/>
      </c>
      <c r="Z98" s="6">
        <f>LAVORAZIONI!AF97</f>
        <v/>
      </c>
      <c r="AA98" s="7">
        <f>LAVORAZIONI!AG97</f>
        <v/>
      </c>
      <c r="AB98" s="6">
        <f>LAVORAZIONI!AH97</f>
        <v/>
      </c>
      <c r="AC98" s="7">
        <f>LAVORAZIONI!AI97</f>
        <v/>
      </c>
      <c r="AD98" s="13">
        <f>LAVORAZIONI!AJ97</f>
        <v/>
      </c>
    </row>
    <row r="99" ht="71" customHeight="1" s="46">
      <c r="B99" s="4">
        <f>LAVORAZIONI!G98</f>
        <v/>
      </c>
      <c r="C99" s="3">
        <f>LAVORAZIONI!A98</f>
        <v/>
      </c>
      <c r="D99" s="3">
        <f>LAVORAZIONI!K98</f>
        <v/>
      </c>
      <c r="E99" s="4">
        <f>LAVORAZIONI!H98</f>
        <v/>
      </c>
      <c r="F99" s="4">
        <f>LAVORAZIONI!M98</f>
        <v/>
      </c>
      <c r="G99" s="5">
        <f>LAVORAZIONI!N98</f>
        <v/>
      </c>
      <c r="H99" s="6">
        <f>LAVORAZIONI!O98</f>
        <v/>
      </c>
      <c r="I99" s="13">
        <f>LAVORAZIONI!P98</f>
        <v/>
      </c>
      <c r="J99" s="5">
        <f>IF(LAVORAZIONI!Q98="","",LAVORAZIONI!Q98)</f>
        <v/>
      </c>
      <c r="K99" s="6">
        <f>IF(LAVORAZIONI!R98="","",LAVORAZIONI!R98)</f>
        <v/>
      </c>
      <c r="L99" s="13">
        <f>IF(LAVORAZIONI!S98="","",LAVORAZIONI!S98)</f>
        <v/>
      </c>
      <c r="M99" s="13">
        <f>LAVORAZIONI!T98</f>
        <v/>
      </c>
      <c r="O99" s="7">
        <f>LAVORAZIONI!U98</f>
        <v/>
      </c>
      <c r="P99" s="45">
        <f>LAVORAZIONI!V98</f>
        <v/>
      </c>
      <c r="Q99" s="7">
        <f>LAVORAZIONI!W98</f>
        <v/>
      </c>
      <c r="R99" s="6">
        <f>LAVORAZIONI!X98</f>
        <v/>
      </c>
      <c r="S99" s="7">
        <f>LAVORAZIONI!Y98</f>
        <v/>
      </c>
      <c r="T99" s="6">
        <f>LAVORAZIONI!Z98</f>
        <v/>
      </c>
      <c r="U99" s="7">
        <f>LAVORAZIONI!AA98</f>
        <v/>
      </c>
      <c r="V99" s="6">
        <f>LAVORAZIONI!AB98</f>
        <v/>
      </c>
      <c r="W99" s="7">
        <f>LAVORAZIONI!AC98</f>
        <v/>
      </c>
      <c r="X99" s="6">
        <f>LAVORAZIONI!AD98</f>
        <v/>
      </c>
      <c r="Y99" s="7">
        <f>LAVORAZIONI!AE98</f>
        <v/>
      </c>
      <c r="Z99" s="6">
        <f>LAVORAZIONI!AF98</f>
        <v/>
      </c>
      <c r="AA99" s="7">
        <f>LAVORAZIONI!AG98</f>
        <v/>
      </c>
      <c r="AB99" s="6">
        <f>LAVORAZIONI!AH98</f>
        <v/>
      </c>
      <c r="AC99" s="7">
        <f>LAVORAZIONI!AI98</f>
        <v/>
      </c>
      <c r="AD99" s="13">
        <f>LAVORAZIONI!AJ98</f>
        <v/>
      </c>
    </row>
    <row r="100" ht="71" customHeight="1" s="46">
      <c r="B100" s="4">
        <f>LAVORAZIONI!G99</f>
        <v/>
      </c>
      <c r="C100" s="3">
        <f>LAVORAZIONI!A99</f>
        <v/>
      </c>
      <c r="D100" s="3">
        <f>LAVORAZIONI!K99</f>
        <v/>
      </c>
      <c r="E100" s="4">
        <f>LAVORAZIONI!H99</f>
        <v/>
      </c>
      <c r="F100" s="4">
        <f>LAVORAZIONI!M99</f>
        <v/>
      </c>
      <c r="G100" s="5">
        <f>LAVORAZIONI!N99</f>
        <v/>
      </c>
      <c r="H100" s="6">
        <f>LAVORAZIONI!O99</f>
        <v/>
      </c>
      <c r="I100" s="13">
        <f>LAVORAZIONI!P99</f>
        <v/>
      </c>
      <c r="J100" s="5">
        <f>IF(LAVORAZIONI!Q99="","",LAVORAZIONI!Q99)</f>
        <v/>
      </c>
      <c r="K100" s="6">
        <f>IF(LAVORAZIONI!R99="","",LAVORAZIONI!R99)</f>
        <v/>
      </c>
      <c r="L100" s="13">
        <f>IF(LAVORAZIONI!S99="","",LAVORAZIONI!S99)</f>
        <v/>
      </c>
      <c r="M100" s="13">
        <f>LAVORAZIONI!T99</f>
        <v/>
      </c>
      <c r="O100" s="7">
        <f>LAVORAZIONI!U99</f>
        <v/>
      </c>
      <c r="P100" s="45">
        <f>LAVORAZIONI!V99</f>
        <v/>
      </c>
      <c r="Q100" s="7">
        <f>LAVORAZIONI!W99</f>
        <v/>
      </c>
      <c r="R100" s="6">
        <f>LAVORAZIONI!X99</f>
        <v/>
      </c>
      <c r="S100" s="7">
        <f>LAVORAZIONI!Y99</f>
        <v/>
      </c>
      <c r="T100" s="6">
        <f>LAVORAZIONI!Z99</f>
        <v/>
      </c>
      <c r="U100" s="7">
        <f>LAVORAZIONI!AA99</f>
        <v/>
      </c>
      <c r="V100" s="6">
        <f>LAVORAZIONI!AB99</f>
        <v/>
      </c>
      <c r="W100" s="7">
        <f>LAVORAZIONI!AC99</f>
        <v/>
      </c>
      <c r="X100" s="6">
        <f>LAVORAZIONI!AD99</f>
        <v/>
      </c>
      <c r="Y100" s="7">
        <f>LAVORAZIONI!AE99</f>
        <v/>
      </c>
      <c r="Z100" s="6">
        <f>LAVORAZIONI!AF99</f>
        <v/>
      </c>
      <c r="AA100" s="7">
        <f>LAVORAZIONI!AG99</f>
        <v/>
      </c>
      <c r="AB100" s="6">
        <f>LAVORAZIONI!AH99</f>
        <v/>
      </c>
      <c r="AC100" s="7">
        <f>LAVORAZIONI!AI99</f>
        <v/>
      </c>
      <c r="AD100" s="13">
        <f>LAVORAZIONI!AJ99</f>
        <v/>
      </c>
    </row>
    <row r="101" ht="71" customHeight="1" s="46">
      <c r="B101" s="4">
        <f>LAVORAZIONI!G100</f>
        <v/>
      </c>
      <c r="C101" s="3">
        <f>LAVORAZIONI!A100</f>
        <v/>
      </c>
      <c r="D101" s="3">
        <f>LAVORAZIONI!K100</f>
        <v/>
      </c>
      <c r="E101" s="4">
        <f>LAVORAZIONI!H100</f>
        <v/>
      </c>
      <c r="F101" s="4">
        <f>LAVORAZIONI!M100</f>
        <v/>
      </c>
      <c r="G101" s="5">
        <f>LAVORAZIONI!N100</f>
        <v/>
      </c>
      <c r="H101" s="6">
        <f>LAVORAZIONI!O100</f>
        <v/>
      </c>
      <c r="I101" s="13">
        <f>LAVORAZIONI!P100</f>
        <v/>
      </c>
      <c r="J101" s="5">
        <f>IF(LAVORAZIONI!Q100="","",LAVORAZIONI!Q100)</f>
        <v/>
      </c>
      <c r="K101" s="6">
        <f>IF(LAVORAZIONI!R100="","",LAVORAZIONI!R100)</f>
        <v/>
      </c>
      <c r="L101" s="13">
        <f>IF(LAVORAZIONI!S100="","",LAVORAZIONI!S100)</f>
        <v/>
      </c>
      <c r="M101" s="13">
        <f>LAVORAZIONI!T100</f>
        <v/>
      </c>
      <c r="O101" s="7">
        <f>LAVORAZIONI!U100</f>
        <v/>
      </c>
      <c r="P101" s="45">
        <f>LAVORAZIONI!V100</f>
        <v/>
      </c>
      <c r="Q101" s="7">
        <f>LAVORAZIONI!W100</f>
        <v/>
      </c>
      <c r="R101" s="6">
        <f>LAVORAZIONI!X100</f>
        <v/>
      </c>
      <c r="S101" s="7">
        <f>LAVORAZIONI!Y100</f>
        <v/>
      </c>
      <c r="T101" s="6">
        <f>LAVORAZIONI!Z100</f>
        <v/>
      </c>
      <c r="U101" s="7">
        <f>LAVORAZIONI!AA100</f>
        <v/>
      </c>
      <c r="V101" s="6">
        <f>LAVORAZIONI!AB100</f>
        <v/>
      </c>
      <c r="W101" s="7">
        <f>LAVORAZIONI!AC100</f>
        <v/>
      </c>
      <c r="X101" s="6">
        <f>LAVORAZIONI!AD100</f>
        <v/>
      </c>
      <c r="Y101" s="7">
        <f>LAVORAZIONI!AE100</f>
        <v/>
      </c>
      <c r="Z101" s="6">
        <f>LAVORAZIONI!AF100</f>
        <v/>
      </c>
      <c r="AA101" s="7">
        <f>LAVORAZIONI!AG100</f>
        <v/>
      </c>
      <c r="AB101" s="6">
        <f>LAVORAZIONI!AH100</f>
        <v/>
      </c>
      <c r="AC101" s="7">
        <f>LAVORAZIONI!AI100</f>
        <v/>
      </c>
      <c r="AD101" s="13">
        <f>LAVORAZIONI!AJ100</f>
        <v/>
      </c>
    </row>
    <row r="102" ht="71" customHeight="1" s="46">
      <c r="B102" s="4">
        <f>LAVORAZIONI!G101</f>
        <v/>
      </c>
      <c r="C102" s="3">
        <f>LAVORAZIONI!A101</f>
        <v/>
      </c>
      <c r="D102" s="3">
        <f>LAVORAZIONI!K101</f>
        <v/>
      </c>
      <c r="E102" s="4">
        <f>LAVORAZIONI!H101</f>
        <v/>
      </c>
      <c r="F102" s="4">
        <f>LAVORAZIONI!M101</f>
        <v/>
      </c>
      <c r="G102" s="5">
        <f>LAVORAZIONI!N101</f>
        <v/>
      </c>
      <c r="H102" s="6">
        <f>LAVORAZIONI!O101</f>
        <v/>
      </c>
      <c r="I102" s="13">
        <f>LAVORAZIONI!P101</f>
        <v/>
      </c>
      <c r="J102" s="5">
        <f>IF(LAVORAZIONI!Q101="","",LAVORAZIONI!Q101)</f>
        <v/>
      </c>
      <c r="K102" s="6">
        <f>IF(LAVORAZIONI!R101="","",LAVORAZIONI!R101)</f>
        <v/>
      </c>
      <c r="L102" s="13">
        <f>IF(LAVORAZIONI!S101="","",LAVORAZIONI!S101)</f>
        <v/>
      </c>
      <c r="M102" s="13">
        <f>LAVORAZIONI!T101</f>
        <v/>
      </c>
      <c r="O102" s="7">
        <f>LAVORAZIONI!U101</f>
        <v/>
      </c>
      <c r="P102" s="45">
        <f>LAVORAZIONI!V101</f>
        <v/>
      </c>
      <c r="Q102" s="7">
        <f>LAVORAZIONI!W101</f>
        <v/>
      </c>
      <c r="R102" s="6">
        <f>LAVORAZIONI!X101</f>
        <v/>
      </c>
      <c r="S102" s="7">
        <f>LAVORAZIONI!Y101</f>
        <v/>
      </c>
      <c r="T102" s="6">
        <f>LAVORAZIONI!Z101</f>
        <v/>
      </c>
      <c r="U102" s="7">
        <f>LAVORAZIONI!AA101</f>
        <v/>
      </c>
      <c r="V102" s="6">
        <f>LAVORAZIONI!AB101</f>
        <v/>
      </c>
      <c r="W102" s="7">
        <f>LAVORAZIONI!AC101</f>
        <v/>
      </c>
      <c r="X102" s="6">
        <f>LAVORAZIONI!AD101</f>
        <v/>
      </c>
      <c r="Y102" s="7">
        <f>LAVORAZIONI!AE101</f>
        <v/>
      </c>
      <c r="Z102" s="6">
        <f>LAVORAZIONI!AF101</f>
        <v/>
      </c>
      <c r="AA102" s="7">
        <f>LAVORAZIONI!AG101</f>
        <v/>
      </c>
      <c r="AB102" s="6">
        <f>LAVORAZIONI!AH101</f>
        <v/>
      </c>
      <c r="AC102" s="7">
        <f>LAVORAZIONI!AI101</f>
        <v/>
      </c>
      <c r="AD102" s="13">
        <f>LAVORAZIONI!AJ101</f>
        <v/>
      </c>
    </row>
    <row r="103" ht="71" customHeight="1" s="46">
      <c r="B103" s="4">
        <f>LAVORAZIONI!G102</f>
        <v/>
      </c>
      <c r="C103" s="3">
        <f>LAVORAZIONI!A102</f>
        <v/>
      </c>
      <c r="D103" s="3">
        <f>LAVORAZIONI!K102</f>
        <v/>
      </c>
      <c r="E103" s="4">
        <f>LAVORAZIONI!H102</f>
        <v/>
      </c>
      <c r="F103" s="4">
        <f>LAVORAZIONI!M102</f>
        <v/>
      </c>
      <c r="G103" s="5">
        <f>LAVORAZIONI!N102</f>
        <v/>
      </c>
      <c r="H103" s="6">
        <f>LAVORAZIONI!O102</f>
        <v/>
      </c>
      <c r="I103" s="13">
        <f>LAVORAZIONI!P102</f>
        <v/>
      </c>
      <c r="J103" s="5">
        <f>IF(LAVORAZIONI!Q102="","",LAVORAZIONI!Q102)</f>
        <v/>
      </c>
      <c r="K103" s="6">
        <f>IF(LAVORAZIONI!R102="","",LAVORAZIONI!R102)</f>
        <v/>
      </c>
      <c r="L103" s="13">
        <f>IF(LAVORAZIONI!S102="","",LAVORAZIONI!S102)</f>
        <v/>
      </c>
      <c r="M103" s="13">
        <f>LAVORAZIONI!T102</f>
        <v/>
      </c>
      <c r="O103" s="7">
        <f>LAVORAZIONI!U102</f>
        <v/>
      </c>
      <c r="P103" s="45">
        <f>LAVORAZIONI!V102</f>
        <v/>
      </c>
      <c r="Q103" s="7">
        <f>LAVORAZIONI!W102</f>
        <v/>
      </c>
      <c r="R103" s="6">
        <f>LAVORAZIONI!X102</f>
        <v/>
      </c>
      <c r="S103" s="7">
        <f>LAVORAZIONI!Y102</f>
        <v/>
      </c>
      <c r="T103" s="6">
        <f>LAVORAZIONI!Z102</f>
        <v/>
      </c>
      <c r="U103" s="7">
        <f>LAVORAZIONI!AA102</f>
        <v/>
      </c>
      <c r="V103" s="6">
        <f>LAVORAZIONI!AB102</f>
        <v/>
      </c>
      <c r="W103" s="7">
        <f>LAVORAZIONI!AC102</f>
        <v/>
      </c>
      <c r="X103" s="6">
        <f>LAVORAZIONI!AD102</f>
        <v/>
      </c>
      <c r="Y103" s="7">
        <f>LAVORAZIONI!AE102</f>
        <v/>
      </c>
      <c r="Z103" s="6">
        <f>LAVORAZIONI!AF102</f>
        <v/>
      </c>
      <c r="AA103" s="7">
        <f>LAVORAZIONI!AG102</f>
        <v/>
      </c>
      <c r="AB103" s="6">
        <f>LAVORAZIONI!AH102</f>
        <v/>
      </c>
      <c r="AC103" s="7">
        <f>LAVORAZIONI!AI102</f>
        <v/>
      </c>
      <c r="AD103" s="13">
        <f>LAVORAZIONI!AJ102</f>
        <v/>
      </c>
    </row>
    <row r="104" ht="71" customHeight="1" s="46">
      <c r="B104" s="4">
        <f>LAVORAZIONI!G103</f>
        <v/>
      </c>
      <c r="C104" s="3">
        <f>LAVORAZIONI!A103</f>
        <v/>
      </c>
      <c r="D104" s="3">
        <f>LAVORAZIONI!K103</f>
        <v/>
      </c>
      <c r="E104" s="4">
        <f>LAVORAZIONI!H103</f>
        <v/>
      </c>
      <c r="F104" s="4">
        <f>LAVORAZIONI!M103</f>
        <v/>
      </c>
      <c r="G104" s="5">
        <f>LAVORAZIONI!N103</f>
        <v/>
      </c>
      <c r="H104" s="6">
        <f>LAVORAZIONI!O103</f>
        <v/>
      </c>
      <c r="I104" s="13">
        <f>LAVORAZIONI!P103</f>
        <v/>
      </c>
      <c r="J104" s="5">
        <f>IF(LAVORAZIONI!Q103="","",LAVORAZIONI!Q103)</f>
        <v/>
      </c>
      <c r="K104" s="6">
        <f>IF(LAVORAZIONI!R103="","",LAVORAZIONI!R103)</f>
        <v/>
      </c>
      <c r="L104" s="13">
        <f>IF(LAVORAZIONI!S103="","",LAVORAZIONI!S103)</f>
        <v/>
      </c>
      <c r="M104" s="13">
        <f>LAVORAZIONI!T103</f>
        <v/>
      </c>
      <c r="O104" s="7">
        <f>LAVORAZIONI!U103</f>
        <v/>
      </c>
      <c r="P104" s="45">
        <f>LAVORAZIONI!V103</f>
        <v/>
      </c>
      <c r="Q104" s="7">
        <f>LAVORAZIONI!W103</f>
        <v/>
      </c>
      <c r="R104" s="6">
        <f>LAVORAZIONI!X103</f>
        <v/>
      </c>
      <c r="S104" s="7">
        <f>LAVORAZIONI!Y103</f>
        <v/>
      </c>
      <c r="T104" s="6">
        <f>LAVORAZIONI!Z103</f>
        <v/>
      </c>
      <c r="U104" s="7">
        <f>LAVORAZIONI!AA103</f>
        <v/>
      </c>
      <c r="V104" s="6">
        <f>LAVORAZIONI!AB103</f>
        <v/>
      </c>
      <c r="W104" s="7">
        <f>LAVORAZIONI!AC103</f>
        <v/>
      </c>
      <c r="X104" s="6">
        <f>LAVORAZIONI!AD103</f>
        <v/>
      </c>
      <c r="Y104" s="7">
        <f>LAVORAZIONI!AE103</f>
        <v/>
      </c>
      <c r="Z104" s="6">
        <f>LAVORAZIONI!AF103</f>
        <v/>
      </c>
      <c r="AA104" s="7">
        <f>LAVORAZIONI!AG103</f>
        <v/>
      </c>
      <c r="AB104" s="6">
        <f>LAVORAZIONI!AH103</f>
        <v/>
      </c>
      <c r="AC104" s="7">
        <f>LAVORAZIONI!AI103</f>
        <v/>
      </c>
      <c r="AD104" s="13">
        <f>LAVORAZIONI!AJ103</f>
        <v/>
      </c>
    </row>
    <row r="105" ht="71" customHeight="1" s="46">
      <c r="B105" s="4">
        <f>LAVORAZIONI!G104</f>
        <v/>
      </c>
      <c r="C105" s="3">
        <f>LAVORAZIONI!A104</f>
        <v/>
      </c>
      <c r="D105" s="3">
        <f>LAVORAZIONI!K104</f>
        <v/>
      </c>
      <c r="E105" s="4">
        <f>LAVORAZIONI!H104</f>
        <v/>
      </c>
      <c r="F105" s="4">
        <f>LAVORAZIONI!M104</f>
        <v/>
      </c>
      <c r="G105" s="5">
        <f>LAVORAZIONI!N104</f>
        <v/>
      </c>
      <c r="H105" s="6">
        <f>LAVORAZIONI!O104</f>
        <v/>
      </c>
      <c r="I105" s="13">
        <f>LAVORAZIONI!P104</f>
        <v/>
      </c>
      <c r="J105" s="5">
        <f>IF(LAVORAZIONI!Q104="","",LAVORAZIONI!Q104)</f>
        <v/>
      </c>
      <c r="K105" s="6">
        <f>IF(LAVORAZIONI!R104="","",LAVORAZIONI!R104)</f>
        <v/>
      </c>
      <c r="L105" s="13">
        <f>IF(LAVORAZIONI!S104="","",LAVORAZIONI!S104)</f>
        <v/>
      </c>
      <c r="M105" s="13">
        <f>LAVORAZIONI!T104</f>
        <v/>
      </c>
      <c r="O105" s="7">
        <f>LAVORAZIONI!U104</f>
        <v/>
      </c>
      <c r="P105" s="45">
        <f>LAVORAZIONI!V104</f>
        <v/>
      </c>
      <c r="Q105" s="7">
        <f>LAVORAZIONI!W104</f>
        <v/>
      </c>
      <c r="R105" s="6">
        <f>LAVORAZIONI!X104</f>
        <v/>
      </c>
      <c r="S105" s="7">
        <f>LAVORAZIONI!Y104</f>
        <v/>
      </c>
      <c r="T105" s="6">
        <f>LAVORAZIONI!Z104</f>
        <v/>
      </c>
      <c r="U105" s="7">
        <f>LAVORAZIONI!AA104</f>
        <v/>
      </c>
      <c r="V105" s="6">
        <f>LAVORAZIONI!AB104</f>
        <v/>
      </c>
      <c r="W105" s="7">
        <f>LAVORAZIONI!AC104</f>
        <v/>
      </c>
      <c r="X105" s="6">
        <f>LAVORAZIONI!AD104</f>
        <v/>
      </c>
      <c r="Y105" s="7">
        <f>LAVORAZIONI!AE104</f>
        <v/>
      </c>
      <c r="Z105" s="6">
        <f>LAVORAZIONI!AF104</f>
        <v/>
      </c>
      <c r="AA105" s="7">
        <f>LAVORAZIONI!AG104</f>
        <v/>
      </c>
      <c r="AB105" s="6">
        <f>LAVORAZIONI!AH104</f>
        <v/>
      </c>
      <c r="AC105" s="7">
        <f>LAVORAZIONI!AI104</f>
        <v/>
      </c>
      <c r="AD105" s="13">
        <f>LAVORAZIONI!AJ104</f>
        <v/>
      </c>
    </row>
    <row r="106" ht="71" customHeight="1" s="46">
      <c r="B106" s="4">
        <f>LAVORAZIONI!G105</f>
        <v/>
      </c>
      <c r="C106" s="3">
        <f>LAVORAZIONI!A105</f>
        <v/>
      </c>
      <c r="D106" s="3">
        <f>LAVORAZIONI!K105</f>
        <v/>
      </c>
      <c r="E106" s="4">
        <f>LAVORAZIONI!H105</f>
        <v/>
      </c>
      <c r="F106" s="4">
        <f>LAVORAZIONI!M105</f>
        <v/>
      </c>
      <c r="G106" s="5">
        <f>LAVORAZIONI!N105</f>
        <v/>
      </c>
      <c r="H106" s="6">
        <f>LAVORAZIONI!O105</f>
        <v/>
      </c>
      <c r="I106" s="13">
        <f>LAVORAZIONI!P105</f>
        <v/>
      </c>
      <c r="J106" s="5">
        <f>IF(LAVORAZIONI!Q105="","",LAVORAZIONI!Q105)</f>
        <v/>
      </c>
      <c r="K106" s="6">
        <f>IF(LAVORAZIONI!R105="","",LAVORAZIONI!R105)</f>
        <v/>
      </c>
      <c r="L106" s="13">
        <f>IF(LAVORAZIONI!S105="","",LAVORAZIONI!S105)</f>
        <v/>
      </c>
      <c r="M106" s="13">
        <f>LAVORAZIONI!T105</f>
        <v/>
      </c>
      <c r="O106" s="7">
        <f>LAVORAZIONI!U105</f>
        <v/>
      </c>
      <c r="P106" s="45">
        <f>LAVORAZIONI!V105</f>
        <v/>
      </c>
      <c r="Q106" s="7">
        <f>LAVORAZIONI!W105</f>
        <v/>
      </c>
      <c r="R106" s="6">
        <f>LAVORAZIONI!X105</f>
        <v/>
      </c>
      <c r="S106" s="7">
        <f>LAVORAZIONI!Y105</f>
        <v/>
      </c>
      <c r="T106" s="6">
        <f>LAVORAZIONI!Z105</f>
        <v/>
      </c>
      <c r="U106" s="7">
        <f>LAVORAZIONI!AA105</f>
        <v/>
      </c>
      <c r="V106" s="6">
        <f>LAVORAZIONI!AB105</f>
        <v/>
      </c>
      <c r="W106" s="7">
        <f>LAVORAZIONI!AC105</f>
        <v/>
      </c>
      <c r="X106" s="6">
        <f>LAVORAZIONI!AD105</f>
        <v/>
      </c>
      <c r="Y106" s="7">
        <f>LAVORAZIONI!AE105</f>
        <v/>
      </c>
      <c r="Z106" s="6">
        <f>LAVORAZIONI!AF105</f>
        <v/>
      </c>
      <c r="AA106" s="7">
        <f>LAVORAZIONI!AG105</f>
        <v/>
      </c>
      <c r="AB106" s="6">
        <f>LAVORAZIONI!AH105</f>
        <v/>
      </c>
      <c r="AC106" s="7">
        <f>LAVORAZIONI!AI105</f>
        <v/>
      </c>
      <c r="AD106" s="13">
        <f>LAVORAZIONI!AJ105</f>
        <v/>
      </c>
    </row>
    <row r="107" ht="71" customHeight="1" s="46">
      <c r="B107" s="4">
        <f>LAVORAZIONI!G106</f>
        <v/>
      </c>
      <c r="C107" s="3">
        <f>LAVORAZIONI!A106</f>
        <v/>
      </c>
      <c r="D107" s="3">
        <f>LAVORAZIONI!K106</f>
        <v/>
      </c>
      <c r="E107" s="4">
        <f>LAVORAZIONI!H106</f>
        <v/>
      </c>
      <c r="F107" s="4">
        <f>LAVORAZIONI!M106</f>
        <v/>
      </c>
      <c r="G107" s="5">
        <f>LAVORAZIONI!N106</f>
        <v/>
      </c>
      <c r="H107" s="6">
        <f>LAVORAZIONI!O106</f>
        <v/>
      </c>
      <c r="I107" s="13">
        <f>LAVORAZIONI!P106</f>
        <v/>
      </c>
      <c r="J107" s="5">
        <f>IF(LAVORAZIONI!Q106="","",LAVORAZIONI!Q106)</f>
        <v/>
      </c>
      <c r="K107" s="6">
        <f>IF(LAVORAZIONI!R106="","",LAVORAZIONI!R106)</f>
        <v/>
      </c>
      <c r="L107" s="13">
        <f>IF(LAVORAZIONI!S106="","",LAVORAZIONI!S106)</f>
        <v/>
      </c>
      <c r="M107" s="13">
        <f>LAVORAZIONI!T106</f>
        <v/>
      </c>
      <c r="O107" s="7">
        <f>LAVORAZIONI!U106</f>
        <v/>
      </c>
      <c r="P107" s="45">
        <f>LAVORAZIONI!V106</f>
        <v/>
      </c>
      <c r="Q107" s="7">
        <f>LAVORAZIONI!W106</f>
        <v/>
      </c>
      <c r="R107" s="6">
        <f>LAVORAZIONI!X106</f>
        <v/>
      </c>
      <c r="S107" s="7">
        <f>LAVORAZIONI!Y106</f>
        <v/>
      </c>
      <c r="T107" s="6">
        <f>LAVORAZIONI!Z106</f>
        <v/>
      </c>
      <c r="U107" s="7">
        <f>LAVORAZIONI!AA106</f>
        <v/>
      </c>
      <c r="V107" s="6">
        <f>LAVORAZIONI!AB106</f>
        <v/>
      </c>
      <c r="W107" s="7">
        <f>LAVORAZIONI!AC106</f>
        <v/>
      </c>
      <c r="X107" s="6">
        <f>LAVORAZIONI!AD106</f>
        <v/>
      </c>
      <c r="Y107" s="7">
        <f>LAVORAZIONI!AE106</f>
        <v/>
      </c>
      <c r="Z107" s="6">
        <f>LAVORAZIONI!AF106</f>
        <v/>
      </c>
      <c r="AA107" s="7">
        <f>LAVORAZIONI!AG106</f>
        <v/>
      </c>
      <c r="AB107" s="6">
        <f>LAVORAZIONI!AH106</f>
        <v/>
      </c>
      <c r="AC107" s="7">
        <f>LAVORAZIONI!AI106</f>
        <v/>
      </c>
      <c r="AD107" s="13">
        <f>LAVORAZIONI!AJ106</f>
        <v/>
      </c>
    </row>
    <row r="108" ht="71" customHeight="1" s="46">
      <c r="B108" s="4">
        <f>LAVORAZIONI!G107</f>
        <v/>
      </c>
      <c r="C108" s="3">
        <f>LAVORAZIONI!A107</f>
        <v/>
      </c>
      <c r="D108" s="3">
        <f>LAVORAZIONI!K107</f>
        <v/>
      </c>
      <c r="E108" s="4">
        <f>LAVORAZIONI!H107</f>
        <v/>
      </c>
      <c r="F108" s="4">
        <f>LAVORAZIONI!M107</f>
        <v/>
      </c>
      <c r="G108" s="5">
        <f>LAVORAZIONI!N107</f>
        <v/>
      </c>
      <c r="H108" s="6">
        <f>LAVORAZIONI!O107</f>
        <v/>
      </c>
      <c r="I108" s="13">
        <f>LAVORAZIONI!P107</f>
        <v/>
      </c>
      <c r="J108" s="5">
        <f>IF(LAVORAZIONI!Q107="","",LAVORAZIONI!Q107)</f>
        <v/>
      </c>
      <c r="K108" s="6">
        <f>IF(LAVORAZIONI!R107="","",LAVORAZIONI!R107)</f>
        <v/>
      </c>
      <c r="L108" s="13">
        <f>IF(LAVORAZIONI!S107="","",LAVORAZIONI!S107)</f>
        <v/>
      </c>
      <c r="M108" s="13">
        <f>LAVORAZIONI!T107</f>
        <v/>
      </c>
      <c r="O108" s="7">
        <f>LAVORAZIONI!U107</f>
        <v/>
      </c>
      <c r="P108" s="45">
        <f>LAVORAZIONI!V107</f>
        <v/>
      </c>
      <c r="Q108" s="7">
        <f>LAVORAZIONI!W107</f>
        <v/>
      </c>
      <c r="R108" s="6">
        <f>LAVORAZIONI!X107</f>
        <v/>
      </c>
      <c r="S108" s="7">
        <f>LAVORAZIONI!Y107</f>
        <v/>
      </c>
      <c r="T108" s="6">
        <f>LAVORAZIONI!Z107</f>
        <v/>
      </c>
      <c r="U108" s="7">
        <f>LAVORAZIONI!AA107</f>
        <v/>
      </c>
      <c r="V108" s="6">
        <f>LAVORAZIONI!AB107</f>
        <v/>
      </c>
      <c r="W108" s="7">
        <f>LAVORAZIONI!AC107</f>
        <v/>
      </c>
      <c r="X108" s="6">
        <f>LAVORAZIONI!AD107</f>
        <v/>
      </c>
      <c r="Y108" s="7">
        <f>LAVORAZIONI!AE107</f>
        <v/>
      </c>
      <c r="Z108" s="6">
        <f>LAVORAZIONI!AF107</f>
        <v/>
      </c>
      <c r="AA108" s="7">
        <f>LAVORAZIONI!AG107</f>
        <v/>
      </c>
      <c r="AB108" s="6">
        <f>LAVORAZIONI!AH107</f>
        <v/>
      </c>
      <c r="AC108" s="7">
        <f>LAVORAZIONI!AI107</f>
        <v/>
      </c>
      <c r="AD108" s="13">
        <f>LAVORAZIONI!AJ107</f>
        <v/>
      </c>
    </row>
    <row r="109" ht="71" customHeight="1" s="46">
      <c r="B109" s="4">
        <f>LAVORAZIONI!G108</f>
        <v/>
      </c>
      <c r="C109" s="3">
        <f>LAVORAZIONI!A108</f>
        <v/>
      </c>
      <c r="D109" s="3">
        <f>LAVORAZIONI!K108</f>
        <v/>
      </c>
      <c r="E109" s="4">
        <f>LAVORAZIONI!H108</f>
        <v/>
      </c>
      <c r="F109" s="4">
        <f>LAVORAZIONI!M108</f>
        <v/>
      </c>
      <c r="G109" s="5">
        <f>LAVORAZIONI!N108</f>
        <v/>
      </c>
      <c r="H109" s="6">
        <f>LAVORAZIONI!O108</f>
        <v/>
      </c>
      <c r="I109" s="13">
        <f>LAVORAZIONI!P108</f>
        <v/>
      </c>
      <c r="J109" s="5">
        <f>IF(LAVORAZIONI!Q108="","",LAVORAZIONI!Q108)</f>
        <v/>
      </c>
      <c r="K109" s="6">
        <f>IF(LAVORAZIONI!R108="","",LAVORAZIONI!R108)</f>
        <v/>
      </c>
      <c r="L109" s="13">
        <f>IF(LAVORAZIONI!S108="","",LAVORAZIONI!S108)</f>
        <v/>
      </c>
      <c r="M109" s="13">
        <f>LAVORAZIONI!T108</f>
        <v/>
      </c>
      <c r="O109" s="7">
        <f>LAVORAZIONI!U108</f>
        <v/>
      </c>
      <c r="P109" s="45">
        <f>LAVORAZIONI!V108</f>
        <v/>
      </c>
      <c r="Q109" s="7">
        <f>LAVORAZIONI!W108</f>
        <v/>
      </c>
      <c r="R109" s="6">
        <f>LAVORAZIONI!X108</f>
        <v/>
      </c>
      <c r="S109" s="7">
        <f>LAVORAZIONI!Y108</f>
        <v/>
      </c>
      <c r="T109" s="6">
        <f>LAVORAZIONI!Z108</f>
        <v/>
      </c>
      <c r="U109" s="7">
        <f>LAVORAZIONI!AA108</f>
        <v/>
      </c>
      <c r="V109" s="6">
        <f>LAVORAZIONI!AB108</f>
        <v/>
      </c>
      <c r="W109" s="7">
        <f>LAVORAZIONI!AC108</f>
        <v/>
      </c>
      <c r="X109" s="6">
        <f>LAVORAZIONI!AD108</f>
        <v/>
      </c>
      <c r="Y109" s="7">
        <f>LAVORAZIONI!AE108</f>
        <v/>
      </c>
      <c r="Z109" s="6">
        <f>LAVORAZIONI!AF108</f>
        <v/>
      </c>
      <c r="AA109" s="7">
        <f>LAVORAZIONI!AG108</f>
        <v/>
      </c>
      <c r="AB109" s="6">
        <f>LAVORAZIONI!AH108</f>
        <v/>
      </c>
      <c r="AC109" s="7">
        <f>LAVORAZIONI!AI108</f>
        <v/>
      </c>
      <c r="AD109" s="13">
        <f>LAVORAZIONI!AJ108</f>
        <v/>
      </c>
    </row>
    <row r="110" ht="71" customHeight="1" s="46">
      <c r="B110" s="4">
        <f>LAVORAZIONI!G109</f>
        <v/>
      </c>
      <c r="C110" s="3">
        <f>LAVORAZIONI!A109</f>
        <v/>
      </c>
      <c r="D110" s="3">
        <f>LAVORAZIONI!K109</f>
        <v/>
      </c>
      <c r="E110" s="4">
        <f>LAVORAZIONI!H109</f>
        <v/>
      </c>
      <c r="F110" s="4">
        <f>LAVORAZIONI!M109</f>
        <v/>
      </c>
      <c r="G110" s="5">
        <f>LAVORAZIONI!N109</f>
        <v/>
      </c>
      <c r="H110" s="6">
        <f>LAVORAZIONI!O109</f>
        <v/>
      </c>
      <c r="I110" s="13">
        <f>LAVORAZIONI!P109</f>
        <v/>
      </c>
      <c r="J110" s="5">
        <f>IF(LAVORAZIONI!Q109="","",LAVORAZIONI!Q109)</f>
        <v/>
      </c>
      <c r="K110" s="6">
        <f>IF(LAVORAZIONI!R109="","",LAVORAZIONI!R109)</f>
        <v/>
      </c>
      <c r="L110" s="13">
        <f>IF(LAVORAZIONI!S109="","",LAVORAZIONI!S109)</f>
        <v/>
      </c>
      <c r="M110" s="13">
        <f>LAVORAZIONI!T109</f>
        <v/>
      </c>
      <c r="O110" s="7">
        <f>LAVORAZIONI!U109</f>
        <v/>
      </c>
      <c r="P110" s="45">
        <f>LAVORAZIONI!V109</f>
        <v/>
      </c>
      <c r="Q110" s="7">
        <f>LAVORAZIONI!W109</f>
        <v/>
      </c>
      <c r="R110" s="6">
        <f>LAVORAZIONI!X109</f>
        <v/>
      </c>
      <c r="S110" s="7">
        <f>LAVORAZIONI!Y109</f>
        <v/>
      </c>
      <c r="T110" s="6">
        <f>LAVORAZIONI!Z109</f>
        <v/>
      </c>
      <c r="U110" s="7">
        <f>LAVORAZIONI!AA109</f>
        <v/>
      </c>
      <c r="V110" s="6">
        <f>LAVORAZIONI!AB109</f>
        <v/>
      </c>
      <c r="W110" s="7">
        <f>LAVORAZIONI!AC109</f>
        <v/>
      </c>
      <c r="X110" s="6">
        <f>LAVORAZIONI!AD109</f>
        <v/>
      </c>
      <c r="Y110" s="7">
        <f>LAVORAZIONI!AE109</f>
        <v/>
      </c>
      <c r="Z110" s="6">
        <f>LAVORAZIONI!AF109</f>
        <v/>
      </c>
      <c r="AA110" s="7">
        <f>LAVORAZIONI!AG109</f>
        <v/>
      </c>
      <c r="AB110" s="6">
        <f>LAVORAZIONI!AH109</f>
        <v/>
      </c>
      <c r="AC110" s="7">
        <f>LAVORAZIONI!AI109</f>
        <v/>
      </c>
      <c r="AD110" s="13">
        <f>LAVORAZIONI!AJ109</f>
        <v/>
      </c>
    </row>
    <row r="111" ht="71" customHeight="1" s="46">
      <c r="B111" s="4">
        <f>LAVORAZIONI!G110</f>
        <v/>
      </c>
      <c r="C111" s="3">
        <f>LAVORAZIONI!A110</f>
        <v/>
      </c>
      <c r="D111" s="3">
        <f>LAVORAZIONI!K110</f>
        <v/>
      </c>
      <c r="E111" s="4">
        <f>LAVORAZIONI!H110</f>
        <v/>
      </c>
      <c r="F111" s="4">
        <f>LAVORAZIONI!M110</f>
        <v/>
      </c>
      <c r="G111" s="5">
        <f>LAVORAZIONI!N110</f>
        <v/>
      </c>
      <c r="H111" s="6">
        <f>LAVORAZIONI!O110</f>
        <v/>
      </c>
      <c r="I111" s="13">
        <f>LAVORAZIONI!P110</f>
        <v/>
      </c>
      <c r="J111" s="5">
        <f>IF(LAVORAZIONI!Q110="","",LAVORAZIONI!Q110)</f>
        <v/>
      </c>
      <c r="K111" s="6">
        <f>IF(LAVORAZIONI!R110="","",LAVORAZIONI!R110)</f>
        <v/>
      </c>
      <c r="L111" s="13">
        <f>IF(LAVORAZIONI!S110="","",LAVORAZIONI!S110)</f>
        <v/>
      </c>
      <c r="M111" s="13">
        <f>LAVORAZIONI!T110</f>
        <v/>
      </c>
      <c r="O111" s="7">
        <f>LAVORAZIONI!U110</f>
        <v/>
      </c>
      <c r="P111" s="45">
        <f>LAVORAZIONI!V110</f>
        <v/>
      </c>
      <c r="Q111" s="7">
        <f>LAVORAZIONI!W110</f>
        <v/>
      </c>
      <c r="R111" s="6">
        <f>LAVORAZIONI!X110</f>
        <v/>
      </c>
      <c r="S111" s="7">
        <f>LAVORAZIONI!Y110</f>
        <v/>
      </c>
      <c r="T111" s="6">
        <f>LAVORAZIONI!Z110</f>
        <v/>
      </c>
      <c r="U111" s="7">
        <f>LAVORAZIONI!AA110</f>
        <v/>
      </c>
      <c r="V111" s="6">
        <f>LAVORAZIONI!AB110</f>
        <v/>
      </c>
      <c r="W111" s="7">
        <f>LAVORAZIONI!AC110</f>
        <v/>
      </c>
      <c r="X111" s="6">
        <f>LAVORAZIONI!AD110</f>
        <v/>
      </c>
      <c r="Y111" s="7">
        <f>LAVORAZIONI!AE110</f>
        <v/>
      </c>
      <c r="Z111" s="6">
        <f>LAVORAZIONI!AF110</f>
        <v/>
      </c>
      <c r="AA111" s="7">
        <f>LAVORAZIONI!AG110</f>
        <v/>
      </c>
      <c r="AB111" s="6">
        <f>LAVORAZIONI!AH110</f>
        <v/>
      </c>
      <c r="AC111" s="7">
        <f>LAVORAZIONI!AI110</f>
        <v/>
      </c>
      <c r="AD111" s="13">
        <f>LAVORAZIONI!AJ110</f>
        <v/>
      </c>
    </row>
    <row r="112" ht="71" customHeight="1" s="46">
      <c r="B112" s="4">
        <f>LAVORAZIONI!G111</f>
        <v/>
      </c>
      <c r="C112" s="3">
        <f>LAVORAZIONI!A111</f>
        <v/>
      </c>
      <c r="D112" s="3">
        <f>LAVORAZIONI!K111</f>
        <v/>
      </c>
      <c r="E112" s="4">
        <f>LAVORAZIONI!H111</f>
        <v/>
      </c>
      <c r="F112" s="4">
        <f>LAVORAZIONI!M111</f>
        <v/>
      </c>
      <c r="G112" s="5">
        <f>LAVORAZIONI!N111</f>
        <v/>
      </c>
      <c r="H112" s="6">
        <f>LAVORAZIONI!O111</f>
        <v/>
      </c>
      <c r="I112" s="13">
        <f>LAVORAZIONI!P111</f>
        <v/>
      </c>
      <c r="J112" s="5">
        <f>IF(LAVORAZIONI!Q111="","",LAVORAZIONI!Q111)</f>
        <v/>
      </c>
      <c r="K112" s="6">
        <f>IF(LAVORAZIONI!R111="","",LAVORAZIONI!R111)</f>
        <v/>
      </c>
      <c r="L112" s="13">
        <f>IF(LAVORAZIONI!S111="","",LAVORAZIONI!S111)</f>
        <v/>
      </c>
      <c r="M112" s="13">
        <f>LAVORAZIONI!T111</f>
        <v/>
      </c>
      <c r="O112" s="7">
        <f>LAVORAZIONI!U111</f>
        <v/>
      </c>
      <c r="P112" s="45">
        <f>LAVORAZIONI!V111</f>
        <v/>
      </c>
      <c r="Q112" s="7">
        <f>LAVORAZIONI!W111</f>
        <v/>
      </c>
      <c r="R112" s="6">
        <f>LAVORAZIONI!X111</f>
        <v/>
      </c>
      <c r="S112" s="7">
        <f>LAVORAZIONI!Y111</f>
        <v/>
      </c>
      <c r="T112" s="6">
        <f>LAVORAZIONI!Z111</f>
        <v/>
      </c>
      <c r="U112" s="7">
        <f>LAVORAZIONI!AA111</f>
        <v/>
      </c>
      <c r="V112" s="6">
        <f>LAVORAZIONI!AB111</f>
        <v/>
      </c>
      <c r="W112" s="7">
        <f>LAVORAZIONI!AC111</f>
        <v/>
      </c>
      <c r="X112" s="6">
        <f>LAVORAZIONI!AD111</f>
        <v/>
      </c>
      <c r="Y112" s="7">
        <f>LAVORAZIONI!AE111</f>
        <v/>
      </c>
      <c r="Z112" s="6">
        <f>LAVORAZIONI!AF111</f>
        <v/>
      </c>
      <c r="AA112" s="7">
        <f>LAVORAZIONI!AG111</f>
        <v/>
      </c>
      <c r="AB112" s="6">
        <f>LAVORAZIONI!AH111</f>
        <v/>
      </c>
      <c r="AC112" s="7">
        <f>LAVORAZIONI!AI111</f>
        <v/>
      </c>
      <c r="AD112" s="13">
        <f>LAVORAZIONI!AJ111</f>
        <v/>
      </c>
    </row>
    <row r="113" ht="71" customHeight="1" s="46">
      <c r="B113" s="4">
        <f>LAVORAZIONI!G112</f>
        <v/>
      </c>
      <c r="C113" s="3">
        <f>LAVORAZIONI!A112</f>
        <v/>
      </c>
      <c r="D113" s="3">
        <f>LAVORAZIONI!K112</f>
        <v/>
      </c>
      <c r="E113" s="4">
        <f>LAVORAZIONI!H112</f>
        <v/>
      </c>
      <c r="F113" s="4">
        <f>LAVORAZIONI!M112</f>
        <v/>
      </c>
      <c r="G113" s="5">
        <f>LAVORAZIONI!N112</f>
        <v/>
      </c>
      <c r="H113" s="6">
        <f>LAVORAZIONI!O112</f>
        <v/>
      </c>
      <c r="I113" s="13">
        <f>LAVORAZIONI!P112</f>
        <v/>
      </c>
      <c r="J113" s="5">
        <f>IF(LAVORAZIONI!Q112="","",LAVORAZIONI!Q112)</f>
        <v/>
      </c>
      <c r="K113" s="6">
        <f>IF(LAVORAZIONI!R112="","",LAVORAZIONI!R112)</f>
        <v/>
      </c>
      <c r="L113" s="13">
        <f>IF(LAVORAZIONI!S112="","",LAVORAZIONI!S112)</f>
        <v/>
      </c>
      <c r="M113" s="13">
        <f>LAVORAZIONI!T112</f>
        <v/>
      </c>
      <c r="O113" s="7">
        <f>LAVORAZIONI!U112</f>
        <v/>
      </c>
      <c r="P113" s="45">
        <f>LAVORAZIONI!V112</f>
        <v/>
      </c>
      <c r="Q113" s="7">
        <f>LAVORAZIONI!W112</f>
        <v/>
      </c>
      <c r="R113" s="6">
        <f>LAVORAZIONI!X112</f>
        <v/>
      </c>
      <c r="S113" s="7">
        <f>LAVORAZIONI!Y112</f>
        <v/>
      </c>
      <c r="T113" s="6">
        <f>LAVORAZIONI!Z112</f>
        <v/>
      </c>
      <c r="U113" s="7">
        <f>LAVORAZIONI!AA112</f>
        <v/>
      </c>
      <c r="V113" s="6">
        <f>LAVORAZIONI!AB112</f>
        <v/>
      </c>
      <c r="W113" s="7">
        <f>LAVORAZIONI!AC112</f>
        <v/>
      </c>
      <c r="X113" s="6">
        <f>LAVORAZIONI!AD112</f>
        <v/>
      </c>
      <c r="Y113" s="7">
        <f>LAVORAZIONI!AE112</f>
        <v/>
      </c>
      <c r="Z113" s="6">
        <f>LAVORAZIONI!AF112</f>
        <v/>
      </c>
      <c r="AA113" s="7">
        <f>LAVORAZIONI!AG112</f>
        <v/>
      </c>
      <c r="AB113" s="6">
        <f>LAVORAZIONI!AH112</f>
        <v/>
      </c>
      <c r="AC113" s="7">
        <f>LAVORAZIONI!AI112</f>
        <v/>
      </c>
      <c r="AD113" s="13">
        <f>LAVORAZIONI!AJ112</f>
        <v/>
      </c>
    </row>
    <row r="114" ht="71" customHeight="1" s="46">
      <c r="B114" s="4">
        <f>LAVORAZIONI!G113</f>
        <v/>
      </c>
      <c r="C114" s="3">
        <f>LAVORAZIONI!A113</f>
        <v/>
      </c>
      <c r="D114" s="3">
        <f>LAVORAZIONI!K113</f>
        <v/>
      </c>
      <c r="E114" s="4">
        <f>LAVORAZIONI!H113</f>
        <v/>
      </c>
      <c r="F114" s="4">
        <f>LAVORAZIONI!M113</f>
        <v/>
      </c>
      <c r="G114" s="5">
        <f>LAVORAZIONI!N113</f>
        <v/>
      </c>
      <c r="H114" s="6">
        <f>LAVORAZIONI!O113</f>
        <v/>
      </c>
      <c r="I114" s="13">
        <f>LAVORAZIONI!P113</f>
        <v/>
      </c>
      <c r="J114" s="5">
        <f>IF(LAVORAZIONI!Q113="","",LAVORAZIONI!Q113)</f>
        <v/>
      </c>
      <c r="K114" s="6">
        <f>IF(LAVORAZIONI!R113="","",LAVORAZIONI!R113)</f>
        <v/>
      </c>
      <c r="L114" s="13">
        <f>IF(LAVORAZIONI!S113="","",LAVORAZIONI!S113)</f>
        <v/>
      </c>
      <c r="M114" s="13">
        <f>LAVORAZIONI!T113</f>
        <v/>
      </c>
      <c r="O114" s="7">
        <f>LAVORAZIONI!U113</f>
        <v/>
      </c>
      <c r="P114" s="45">
        <f>LAVORAZIONI!V113</f>
        <v/>
      </c>
      <c r="Q114" s="7">
        <f>LAVORAZIONI!W113</f>
        <v/>
      </c>
      <c r="R114" s="6">
        <f>LAVORAZIONI!X113</f>
        <v/>
      </c>
      <c r="S114" s="7">
        <f>LAVORAZIONI!Y113</f>
        <v/>
      </c>
      <c r="T114" s="6">
        <f>LAVORAZIONI!Z113</f>
        <v/>
      </c>
      <c r="U114" s="7">
        <f>LAVORAZIONI!AA113</f>
        <v/>
      </c>
      <c r="V114" s="6">
        <f>LAVORAZIONI!AB113</f>
        <v/>
      </c>
      <c r="W114" s="7">
        <f>LAVORAZIONI!AC113</f>
        <v/>
      </c>
      <c r="X114" s="6">
        <f>LAVORAZIONI!AD113</f>
        <v/>
      </c>
      <c r="Y114" s="7">
        <f>LAVORAZIONI!AE113</f>
        <v/>
      </c>
      <c r="Z114" s="6">
        <f>LAVORAZIONI!AF113</f>
        <v/>
      </c>
      <c r="AA114" s="7">
        <f>LAVORAZIONI!AG113</f>
        <v/>
      </c>
      <c r="AB114" s="6">
        <f>LAVORAZIONI!AH113</f>
        <v/>
      </c>
      <c r="AC114" s="7">
        <f>LAVORAZIONI!AI113</f>
        <v/>
      </c>
      <c r="AD114" s="13">
        <f>LAVORAZIONI!AJ113</f>
        <v/>
      </c>
    </row>
    <row r="115" ht="71" customHeight="1" s="46">
      <c r="B115" s="4">
        <f>LAVORAZIONI!G114</f>
        <v/>
      </c>
      <c r="C115" s="3">
        <f>LAVORAZIONI!A114</f>
        <v/>
      </c>
      <c r="D115" s="3">
        <f>LAVORAZIONI!K114</f>
        <v/>
      </c>
      <c r="E115" s="4">
        <f>LAVORAZIONI!H114</f>
        <v/>
      </c>
      <c r="F115" s="4">
        <f>LAVORAZIONI!M114</f>
        <v/>
      </c>
      <c r="G115" s="5">
        <f>LAVORAZIONI!N114</f>
        <v/>
      </c>
      <c r="H115" s="6">
        <f>LAVORAZIONI!O114</f>
        <v/>
      </c>
      <c r="I115" s="13">
        <f>LAVORAZIONI!P114</f>
        <v/>
      </c>
      <c r="J115" s="5">
        <f>IF(LAVORAZIONI!Q114="","",LAVORAZIONI!Q114)</f>
        <v/>
      </c>
      <c r="K115" s="6">
        <f>IF(LAVORAZIONI!R114="","",LAVORAZIONI!R114)</f>
        <v/>
      </c>
      <c r="L115" s="13">
        <f>IF(LAVORAZIONI!S114="","",LAVORAZIONI!S114)</f>
        <v/>
      </c>
      <c r="M115" s="13">
        <f>LAVORAZIONI!T114</f>
        <v/>
      </c>
      <c r="O115" s="7">
        <f>LAVORAZIONI!U114</f>
        <v/>
      </c>
      <c r="P115" s="45">
        <f>LAVORAZIONI!V114</f>
        <v/>
      </c>
      <c r="Q115" s="7">
        <f>LAVORAZIONI!W114</f>
        <v/>
      </c>
      <c r="R115" s="6">
        <f>LAVORAZIONI!X114</f>
        <v/>
      </c>
      <c r="S115" s="7">
        <f>LAVORAZIONI!Y114</f>
        <v/>
      </c>
      <c r="T115" s="6">
        <f>LAVORAZIONI!Z114</f>
        <v/>
      </c>
      <c r="U115" s="7">
        <f>LAVORAZIONI!AA114</f>
        <v/>
      </c>
      <c r="V115" s="6">
        <f>LAVORAZIONI!AB114</f>
        <v/>
      </c>
      <c r="W115" s="7">
        <f>LAVORAZIONI!AC114</f>
        <v/>
      </c>
      <c r="X115" s="6">
        <f>LAVORAZIONI!AD114</f>
        <v/>
      </c>
      <c r="Y115" s="7">
        <f>LAVORAZIONI!AE114</f>
        <v/>
      </c>
      <c r="Z115" s="6">
        <f>LAVORAZIONI!AF114</f>
        <v/>
      </c>
      <c r="AA115" s="7">
        <f>LAVORAZIONI!AG114</f>
        <v/>
      </c>
      <c r="AB115" s="6">
        <f>LAVORAZIONI!AH114</f>
        <v/>
      </c>
      <c r="AC115" s="7">
        <f>LAVORAZIONI!AI114</f>
        <v/>
      </c>
      <c r="AD115" s="13">
        <f>LAVORAZIONI!AJ114</f>
        <v/>
      </c>
    </row>
    <row r="116" ht="71" customHeight="1" s="46">
      <c r="B116" s="4">
        <f>LAVORAZIONI!G115</f>
        <v/>
      </c>
      <c r="C116" s="3">
        <f>LAVORAZIONI!A115</f>
        <v/>
      </c>
      <c r="D116" s="3">
        <f>LAVORAZIONI!K115</f>
        <v/>
      </c>
      <c r="E116" s="4">
        <f>LAVORAZIONI!H115</f>
        <v/>
      </c>
      <c r="F116" s="4">
        <f>LAVORAZIONI!M115</f>
        <v/>
      </c>
      <c r="G116" s="5">
        <f>LAVORAZIONI!N115</f>
        <v/>
      </c>
      <c r="H116" s="6">
        <f>LAVORAZIONI!O115</f>
        <v/>
      </c>
      <c r="I116" s="13">
        <f>LAVORAZIONI!P115</f>
        <v/>
      </c>
      <c r="J116" s="5">
        <f>IF(LAVORAZIONI!Q115="","",LAVORAZIONI!Q115)</f>
        <v/>
      </c>
      <c r="K116" s="6">
        <f>IF(LAVORAZIONI!R115="","",LAVORAZIONI!R115)</f>
        <v/>
      </c>
      <c r="L116" s="13">
        <f>IF(LAVORAZIONI!S115="","",LAVORAZIONI!S115)</f>
        <v/>
      </c>
      <c r="M116" s="13">
        <f>LAVORAZIONI!T115</f>
        <v/>
      </c>
      <c r="O116" s="7">
        <f>LAVORAZIONI!U115</f>
        <v/>
      </c>
      <c r="P116" s="45">
        <f>LAVORAZIONI!V115</f>
        <v/>
      </c>
      <c r="Q116" s="7">
        <f>LAVORAZIONI!W115</f>
        <v/>
      </c>
      <c r="R116" s="6">
        <f>LAVORAZIONI!X115</f>
        <v/>
      </c>
      <c r="S116" s="7">
        <f>LAVORAZIONI!Y115</f>
        <v/>
      </c>
      <c r="T116" s="6">
        <f>LAVORAZIONI!Z115</f>
        <v/>
      </c>
      <c r="U116" s="7">
        <f>LAVORAZIONI!AA115</f>
        <v/>
      </c>
      <c r="V116" s="6">
        <f>LAVORAZIONI!AB115</f>
        <v/>
      </c>
      <c r="W116" s="7">
        <f>LAVORAZIONI!AC115</f>
        <v/>
      </c>
      <c r="X116" s="6">
        <f>LAVORAZIONI!AD115</f>
        <v/>
      </c>
      <c r="Y116" s="7">
        <f>LAVORAZIONI!AE115</f>
        <v/>
      </c>
      <c r="Z116" s="6">
        <f>LAVORAZIONI!AF115</f>
        <v/>
      </c>
      <c r="AA116" s="7">
        <f>LAVORAZIONI!AG115</f>
        <v/>
      </c>
      <c r="AB116" s="6">
        <f>LAVORAZIONI!AH115</f>
        <v/>
      </c>
      <c r="AC116" s="7">
        <f>LAVORAZIONI!AI115</f>
        <v/>
      </c>
      <c r="AD116" s="13">
        <f>LAVORAZIONI!AJ115</f>
        <v/>
      </c>
    </row>
    <row r="117" ht="71" customHeight="1" s="46">
      <c r="B117" s="4">
        <f>LAVORAZIONI!G116</f>
        <v/>
      </c>
      <c r="C117" s="3">
        <f>LAVORAZIONI!A116</f>
        <v/>
      </c>
      <c r="D117" s="3">
        <f>LAVORAZIONI!K116</f>
        <v/>
      </c>
      <c r="E117" s="4">
        <f>LAVORAZIONI!H116</f>
        <v/>
      </c>
      <c r="F117" s="4">
        <f>LAVORAZIONI!M116</f>
        <v/>
      </c>
      <c r="G117" s="5">
        <f>LAVORAZIONI!N116</f>
        <v/>
      </c>
      <c r="H117" s="6">
        <f>LAVORAZIONI!O116</f>
        <v/>
      </c>
      <c r="I117" s="13">
        <f>LAVORAZIONI!P116</f>
        <v/>
      </c>
      <c r="J117" s="5">
        <f>IF(LAVORAZIONI!Q116="","",LAVORAZIONI!Q116)</f>
        <v/>
      </c>
      <c r="K117" s="6">
        <f>IF(LAVORAZIONI!R116="","",LAVORAZIONI!R116)</f>
        <v/>
      </c>
      <c r="L117" s="13">
        <f>IF(LAVORAZIONI!S116="","",LAVORAZIONI!S116)</f>
        <v/>
      </c>
      <c r="M117" s="13">
        <f>LAVORAZIONI!T116</f>
        <v/>
      </c>
      <c r="O117" s="7">
        <f>LAVORAZIONI!U116</f>
        <v/>
      </c>
      <c r="P117" s="45">
        <f>LAVORAZIONI!V116</f>
        <v/>
      </c>
      <c r="Q117" s="7">
        <f>LAVORAZIONI!W116</f>
        <v/>
      </c>
      <c r="R117" s="6">
        <f>LAVORAZIONI!X116</f>
        <v/>
      </c>
      <c r="S117" s="7">
        <f>LAVORAZIONI!Y116</f>
        <v/>
      </c>
      <c r="T117" s="6">
        <f>LAVORAZIONI!Z116</f>
        <v/>
      </c>
      <c r="U117" s="7">
        <f>LAVORAZIONI!AA116</f>
        <v/>
      </c>
      <c r="V117" s="6">
        <f>LAVORAZIONI!AB116</f>
        <v/>
      </c>
      <c r="W117" s="7">
        <f>LAVORAZIONI!AC116</f>
        <v/>
      </c>
      <c r="X117" s="6">
        <f>LAVORAZIONI!AD116</f>
        <v/>
      </c>
      <c r="Y117" s="7">
        <f>LAVORAZIONI!AE116</f>
        <v/>
      </c>
      <c r="Z117" s="6">
        <f>LAVORAZIONI!AF116</f>
        <v/>
      </c>
      <c r="AA117" s="7">
        <f>LAVORAZIONI!AG116</f>
        <v/>
      </c>
      <c r="AB117" s="6">
        <f>LAVORAZIONI!AH116</f>
        <v/>
      </c>
      <c r="AC117" s="7">
        <f>LAVORAZIONI!AI116</f>
        <v/>
      </c>
      <c r="AD117" s="13">
        <f>LAVORAZIONI!AJ116</f>
        <v/>
      </c>
    </row>
    <row r="118" ht="71" customHeight="1" s="46">
      <c r="B118" s="4">
        <f>LAVORAZIONI!G117</f>
        <v/>
      </c>
      <c r="C118" s="3">
        <f>LAVORAZIONI!A117</f>
        <v/>
      </c>
      <c r="D118" s="3">
        <f>LAVORAZIONI!K117</f>
        <v/>
      </c>
      <c r="E118" s="4">
        <f>LAVORAZIONI!H117</f>
        <v/>
      </c>
      <c r="F118" s="4">
        <f>LAVORAZIONI!M117</f>
        <v/>
      </c>
      <c r="G118" s="5">
        <f>LAVORAZIONI!N117</f>
        <v/>
      </c>
      <c r="H118" s="6">
        <f>LAVORAZIONI!O117</f>
        <v/>
      </c>
      <c r="I118" s="13">
        <f>LAVORAZIONI!P117</f>
        <v/>
      </c>
      <c r="J118" s="5">
        <f>IF(LAVORAZIONI!Q117="","",LAVORAZIONI!Q117)</f>
        <v/>
      </c>
      <c r="K118" s="6">
        <f>IF(LAVORAZIONI!R117="","",LAVORAZIONI!R117)</f>
        <v/>
      </c>
      <c r="L118" s="13">
        <f>IF(LAVORAZIONI!S117="","",LAVORAZIONI!S117)</f>
        <v/>
      </c>
      <c r="M118" s="13">
        <f>LAVORAZIONI!T117</f>
        <v/>
      </c>
      <c r="O118" s="7">
        <f>LAVORAZIONI!U117</f>
        <v/>
      </c>
      <c r="P118" s="45">
        <f>LAVORAZIONI!V117</f>
        <v/>
      </c>
      <c r="Q118" s="7">
        <f>LAVORAZIONI!W117</f>
        <v/>
      </c>
      <c r="R118" s="6">
        <f>LAVORAZIONI!X117</f>
        <v/>
      </c>
      <c r="S118" s="7">
        <f>LAVORAZIONI!Y117</f>
        <v/>
      </c>
      <c r="T118" s="6">
        <f>LAVORAZIONI!Z117</f>
        <v/>
      </c>
      <c r="U118" s="7">
        <f>LAVORAZIONI!AA117</f>
        <v/>
      </c>
      <c r="V118" s="6">
        <f>LAVORAZIONI!AB117</f>
        <v/>
      </c>
      <c r="W118" s="7">
        <f>LAVORAZIONI!AC117</f>
        <v/>
      </c>
      <c r="X118" s="6">
        <f>LAVORAZIONI!AD117</f>
        <v/>
      </c>
      <c r="Y118" s="7">
        <f>LAVORAZIONI!AE117</f>
        <v/>
      </c>
      <c r="Z118" s="6">
        <f>LAVORAZIONI!AF117</f>
        <v/>
      </c>
      <c r="AA118" s="7">
        <f>LAVORAZIONI!AG117</f>
        <v/>
      </c>
      <c r="AB118" s="6">
        <f>LAVORAZIONI!AH117</f>
        <v/>
      </c>
      <c r="AC118" s="7">
        <f>LAVORAZIONI!AI117</f>
        <v/>
      </c>
      <c r="AD118" s="13">
        <f>LAVORAZIONI!AJ117</f>
        <v/>
      </c>
    </row>
    <row r="119" ht="71" customHeight="1" s="46">
      <c r="B119" s="4">
        <f>LAVORAZIONI!G118</f>
        <v/>
      </c>
      <c r="C119" s="3">
        <f>LAVORAZIONI!A118</f>
        <v/>
      </c>
      <c r="D119" s="3">
        <f>LAVORAZIONI!K118</f>
        <v/>
      </c>
      <c r="E119" s="4">
        <f>LAVORAZIONI!H118</f>
        <v/>
      </c>
      <c r="F119" s="4">
        <f>LAVORAZIONI!M118</f>
        <v/>
      </c>
      <c r="G119" s="5">
        <f>LAVORAZIONI!N118</f>
        <v/>
      </c>
      <c r="H119" s="6">
        <f>LAVORAZIONI!O118</f>
        <v/>
      </c>
      <c r="I119" s="13">
        <f>LAVORAZIONI!P118</f>
        <v/>
      </c>
      <c r="J119" s="5">
        <f>IF(LAVORAZIONI!Q118="","",LAVORAZIONI!Q118)</f>
        <v/>
      </c>
      <c r="K119" s="6">
        <f>IF(LAVORAZIONI!R118="","",LAVORAZIONI!R118)</f>
        <v/>
      </c>
      <c r="L119" s="13">
        <f>IF(LAVORAZIONI!S118="","",LAVORAZIONI!S118)</f>
        <v/>
      </c>
      <c r="M119" s="13">
        <f>LAVORAZIONI!T118</f>
        <v/>
      </c>
      <c r="O119" s="7">
        <f>LAVORAZIONI!U118</f>
        <v/>
      </c>
      <c r="P119" s="45">
        <f>LAVORAZIONI!V118</f>
        <v/>
      </c>
      <c r="Q119" s="7">
        <f>LAVORAZIONI!W118</f>
        <v/>
      </c>
      <c r="R119" s="6">
        <f>LAVORAZIONI!X118</f>
        <v/>
      </c>
      <c r="S119" s="7">
        <f>LAVORAZIONI!Y118</f>
        <v/>
      </c>
      <c r="T119" s="6">
        <f>LAVORAZIONI!Z118</f>
        <v/>
      </c>
      <c r="U119" s="7">
        <f>LAVORAZIONI!AA118</f>
        <v/>
      </c>
      <c r="V119" s="6">
        <f>LAVORAZIONI!AB118</f>
        <v/>
      </c>
      <c r="W119" s="7">
        <f>LAVORAZIONI!AC118</f>
        <v/>
      </c>
      <c r="X119" s="6">
        <f>LAVORAZIONI!AD118</f>
        <v/>
      </c>
      <c r="Y119" s="7">
        <f>LAVORAZIONI!AE118</f>
        <v/>
      </c>
      <c r="Z119" s="6">
        <f>LAVORAZIONI!AF118</f>
        <v/>
      </c>
      <c r="AA119" s="7">
        <f>LAVORAZIONI!AG118</f>
        <v/>
      </c>
      <c r="AB119" s="6">
        <f>LAVORAZIONI!AH118</f>
        <v/>
      </c>
      <c r="AC119" s="7">
        <f>LAVORAZIONI!AI118</f>
        <v/>
      </c>
      <c r="AD119" s="13">
        <f>LAVORAZIONI!AJ118</f>
        <v/>
      </c>
    </row>
    <row r="120" ht="71" customHeight="1" s="46">
      <c r="B120" s="4">
        <f>LAVORAZIONI!G119</f>
        <v/>
      </c>
      <c r="C120" s="3">
        <f>LAVORAZIONI!A119</f>
        <v/>
      </c>
      <c r="D120" s="3">
        <f>LAVORAZIONI!K119</f>
        <v/>
      </c>
      <c r="E120" s="4">
        <f>LAVORAZIONI!H119</f>
        <v/>
      </c>
      <c r="F120" s="4">
        <f>LAVORAZIONI!M119</f>
        <v/>
      </c>
      <c r="G120" s="5">
        <f>LAVORAZIONI!N119</f>
        <v/>
      </c>
      <c r="H120" s="6">
        <f>LAVORAZIONI!O119</f>
        <v/>
      </c>
      <c r="I120" s="13">
        <f>LAVORAZIONI!P119</f>
        <v/>
      </c>
      <c r="J120" s="5">
        <f>IF(LAVORAZIONI!Q119="","",LAVORAZIONI!Q119)</f>
        <v/>
      </c>
      <c r="K120" s="6">
        <f>IF(LAVORAZIONI!R119="","",LAVORAZIONI!R119)</f>
        <v/>
      </c>
      <c r="L120" s="13">
        <f>IF(LAVORAZIONI!S119="","",LAVORAZIONI!S119)</f>
        <v/>
      </c>
      <c r="M120" s="13">
        <f>LAVORAZIONI!T119</f>
        <v/>
      </c>
      <c r="O120" s="7">
        <f>LAVORAZIONI!U119</f>
        <v/>
      </c>
      <c r="P120" s="45">
        <f>LAVORAZIONI!V119</f>
        <v/>
      </c>
      <c r="Q120" s="7">
        <f>LAVORAZIONI!W119</f>
        <v/>
      </c>
      <c r="R120" s="6">
        <f>LAVORAZIONI!X119</f>
        <v/>
      </c>
      <c r="S120" s="7">
        <f>LAVORAZIONI!Y119</f>
        <v/>
      </c>
      <c r="T120" s="6">
        <f>LAVORAZIONI!Z119</f>
        <v/>
      </c>
      <c r="U120" s="7">
        <f>LAVORAZIONI!AA119</f>
        <v/>
      </c>
      <c r="V120" s="6">
        <f>LAVORAZIONI!AB119</f>
        <v/>
      </c>
      <c r="W120" s="7">
        <f>LAVORAZIONI!AC119</f>
        <v/>
      </c>
      <c r="X120" s="6">
        <f>LAVORAZIONI!AD119</f>
        <v/>
      </c>
      <c r="Y120" s="7">
        <f>LAVORAZIONI!AE119</f>
        <v/>
      </c>
      <c r="Z120" s="6">
        <f>LAVORAZIONI!AF119</f>
        <v/>
      </c>
      <c r="AA120" s="7">
        <f>LAVORAZIONI!AG119</f>
        <v/>
      </c>
      <c r="AB120" s="6">
        <f>LAVORAZIONI!AH119</f>
        <v/>
      </c>
      <c r="AC120" s="7">
        <f>LAVORAZIONI!AI119</f>
        <v/>
      </c>
      <c r="AD120" s="13">
        <f>LAVORAZIONI!AJ119</f>
        <v/>
      </c>
    </row>
    <row r="121" ht="71" customHeight="1" s="46">
      <c r="B121" s="4">
        <f>LAVORAZIONI!G120</f>
        <v/>
      </c>
      <c r="C121" s="3">
        <f>LAVORAZIONI!A120</f>
        <v/>
      </c>
      <c r="D121" s="3">
        <f>LAVORAZIONI!K120</f>
        <v/>
      </c>
      <c r="E121" s="4">
        <f>LAVORAZIONI!H120</f>
        <v/>
      </c>
      <c r="F121" s="4">
        <f>LAVORAZIONI!M120</f>
        <v/>
      </c>
      <c r="G121" s="5">
        <f>LAVORAZIONI!N120</f>
        <v/>
      </c>
      <c r="H121" s="6">
        <f>LAVORAZIONI!O120</f>
        <v/>
      </c>
      <c r="I121" s="13">
        <f>LAVORAZIONI!P120</f>
        <v/>
      </c>
      <c r="J121" s="5">
        <f>IF(LAVORAZIONI!Q120="","",LAVORAZIONI!Q120)</f>
        <v/>
      </c>
      <c r="K121" s="6">
        <f>IF(LAVORAZIONI!R120="","",LAVORAZIONI!R120)</f>
        <v/>
      </c>
      <c r="L121" s="13">
        <f>IF(LAVORAZIONI!S120="","",LAVORAZIONI!S120)</f>
        <v/>
      </c>
      <c r="M121" s="13">
        <f>LAVORAZIONI!T120</f>
        <v/>
      </c>
      <c r="O121" s="7">
        <f>LAVORAZIONI!U120</f>
        <v/>
      </c>
      <c r="P121" s="45">
        <f>LAVORAZIONI!V120</f>
        <v/>
      </c>
      <c r="Q121" s="7">
        <f>LAVORAZIONI!W120</f>
        <v/>
      </c>
      <c r="R121" s="6">
        <f>LAVORAZIONI!X120</f>
        <v/>
      </c>
      <c r="S121" s="7">
        <f>LAVORAZIONI!Y120</f>
        <v/>
      </c>
      <c r="T121" s="6">
        <f>LAVORAZIONI!Z120</f>
        <v/>
      </c>
      <c r="U121" s="7">
        <f>LAVORAZIONI!AA120</f>
        <v/>
      </c>
      <c r="V121" s="6">
        <f>LAVORAZIONI!AB120</f>
        <v/>
      </c>
      <c r="W121" s="7">
        <f>LAVORAZIONI!AC120</f>
        <v/>
      </c>
      <c r="X121" s="6">
        <f>LAVORAZIONI!AD120</f>
        <v/>
      </c>
      <c r="Y121" s="7">
        <f>LAVORAZIONI!AE120</f>
        <v/>
      </c>
      <c r="Z121" s="6">
        <f>LAVORAZIONI!AF120</f>
        <v/>
      </c>
      <c r="AA121" s="7">
        <f>LAVORAZIONI!AG120</f>
        <v/>
      </c>
      <c r="AB121" s="6">
        <f>LAVORAZIONI!AH120</f>
        <v/>
      </c>
      <c r="AC121" s="7">
        <f>LAVORAZIONI!AI120</f>
        <v/>
      </c>
      <c r="AD121" s="13">
        <f>LAVORAZIONI!AJ120</f>
        <v/>
      </c>
    </row>
    <row r="122" ht="71" customHeight="1" s="46">
      <c r="B122" s="4">
        <f>LAVORAZIONI!G121</f>
        <v/>
      </c>
      <c r="C122" s="3">
        <f>LAVORAZIONI!A121</f>
        <v/>
      </c>
      <c r="D122" s="3">
        <f>LAVORAZIONI!K121</f>
        <v/>
      </c>
      <c r="E122" s="4">
        <f>LAVORAZIONI!H121</f>
        <v/>
      </c>
      <c r="F122" s="4">
        <f>LAVORAZIONI!M121</f>
        <v/>
      </c>
      <c r="G122" s="5">
        <f>LAVORAZIONI!N121</f>
        <v/>
      </c>
      <c r="H122" s="6">
        <f>LAVORAZIONI!O121</f>
        <v/>
      </c>
      <c r="I122" s="13">
        <f>LAVORAZIONI!P121</f>
        <v/>
      </c>
      <c r="J122" s="5">
        <f>IF(LAVORAZIONI!Q121="","",LAVORAZIONI!Q121)</f>
        <v/>
      </c>
      <c r="K122" s="6">
        <f>IF(LAVORAZIONI!R121="","",LAVORAZIONI!R121)</f>
        <v/>
      </c>
      <c r="L122" s="13">
        <f>IF(LAVORAZIONI!S121="","",LAVORAZIONI!S121)</f>
        <v/>
      </c>
      <c r="M122" s="13">
        <f>LAVORAZIONI!T121</f>
        <v/>
      </c>
      <c r="O122" s="7">
        <f>LAVORAZIONI!U121</f>
        <v/>
      </c>
      <c r="P122" s="45">
        <f>LAVORAZIONI!V121</f>
        <v/>
      </c>
      <c r="Q122" s="7">
        <f>LAVORAZIONI!W121</f>
        <v/>
      </c>
      <c r="R122" s="6">
        <f>LAVORAZIONI!X121</f>
        <v/>
      </c>
      <c r="S122" s="7">
        <f>LAVORAZIONI!Y121</f>
        <v/>
      </c>
      <c r="T122" s="6">
        <f>LAVORAZIONI!Z121</f>
        <v/>
      </c>
      <c r="U122" s="7">
        <f>LAVORAZIONI!AA121</f>
        <v/>
      </c>
      <c r="V122" s="6">
        <f>LAVORAZIONI!AB121</f>
        <v/>
      </c>
      <c r="W122" s="7">
        <f>LAVORAZIONI!AC121</f>
        <v/>
      </c>
      <c r="X122" s="6">
        <f>LAVORAZIONI!AD121</f>
        <v/>
      </c>
      <c r="Y122" s="7">
        <f>LAVORAZIONI!AE121</f>
        <v/>
      </c>
      <c r="Z122" s="6">
        <f>LAVORAZIONI!AF121</f>
        <v/>
      </c>
      <c r="AA122" s="7">
        <f>LAVORAZIONI!AG121</f>
        <v/>
      </c>
      <c r="AB122" s="6">
        <f>LAVORAZIONI!AH121</f>
        <v/>
      </c>
      <c r="AC122" s="7">
        <f>LAVORAZIONI!AI121</f>
        <v/>
      </c>
      <c r="AD122" s="13">
        <f>LAVORAZIONI!AJ121</f>
        <v/>
      </c>
    </row>
    <row r="123" ht="71" customHeight="1" s="46">
      <c r="B123" s="4">
        <f>LAVORAZIONI!G122</f>
        <v/>
      </c>
      <c r="C123" s="3">
        <f>LAVORAZIONI!A122</f>
        <v/>
      </c>
      <c r="D123" s="3">
        <f>LAVORAZIONI!K122</f>
        <v/>
      </c>
      <c r="E123" s="4">
        <f>LAVORAZIONI!H122</f>
        <v/>
      </c>
      <c r="F123" s="4">
        <f>LAVORAZIONI!M122</f>
        <v/>
      </c>
      <c r="G123" s="5">
        <f>LAVORAZIONI!N122</f>
        <v/>
      </c>
      <c r="H123" s="6">
        <f>LAVORAZIONI!O122</f>
        <v/>
      </c>
      <c r="I123" s="13">
        <f>LAVORAZIONI!P122</f>
        <v/>
      </c>
      <c r="J123" s="5">
        <f>IF(LAVORAZIONI!Q122="","",LAVORAZIONI!Q122)</f>
        <v/>
      </c>
      <c r="K123" s="6">
        <f>IF(LAVORAZIONI!R122="","",LAVORAZIONI!R122)</f>
        <v/>
      </c>
      <c r="L123" s="13">
        <f>IF(LAVORAZIONI!S122="","",LAVORAZIONI!S122)</f>
        <v/>
      </c>
      <c r="M123" s="13">
        <f>LAVORAZIONI!T122</f>
        <v/>
      </c>
      <c r="O123" s="7">
        <f>LAVORAZIONI!U122</f>
        <v/>
      </c>
      <c r="P123" s="45">
        <f>LAVORAZIONI!V122</f>
        <v/>
      </c>
      <c r="Q123" s="7">
        <f>LAVORAZIONI!W122</f>
        <v/>
      </c>
      <c r="R123" s="6">
        <f>LAVORAZIONI!X122</f>
        <v/>
      </c>
      <c r="S123" s="7">
        <f>LAVORAZIONI!Y122</f>
        <v/>
      </c>
      <c r="T123" s="6">
        <f>LAVORAZIONI!Z122</f>
        <v/>
      </c>
      <c r="U123" s="7">
        <f>LAVORAZIONI!AA122</f>
        <v/>
      </c>
      <c r="V123" s="6">
        <f>LAVORAZIONI!AB122</f>
        <v/>
      </c>
      <c r="W123" s="7">
        <f>LAVORAZIONI!AC122</f>
        <v/>
      </c>
      <c r="X123" s="6">
        <f>LAVORAZIONI!AD122</f>
        <v/>
      </c>
      <c r="Y123" s="7">
        <f>LAVORAZIONI!AE122</f>
        <v/>
      </c>
      <c r="Z123" s="6">
        <f>LAVORAZIONI!AF122</f>
        <v/>
      </c>
      <c r="AA123" s="7">
        <f>LAVORAZIONI!AG122</f>
        <v/>
      </c>
      <c r="AB123" s="6">
        <f>LAVORAZIONI!AH122</f>
        <v/>
      </c>
      <c r="AC123" s="7">
        <f>LAVORAZIONI!AI122</f>
        <v/>
      </c>
      <c r="AD123" s="13">
        <f>LAVORAZIONI!AJ122</f>
        <v/>
      </c>
    </row>
    <row r="124" ht="71" customHeight="1" s="46">
      <c r="B124" s="4">
        <f>LAVORAZIONI!G123</f>
        <v/>
      </c>
      <c r="C124" s="3">
        <f>LAVORAZIONI!A123</f>
        <v/>
      </c>
      <c r="D124" s="3">
        <f>LAVORAZIONI!K123</f>
        <v/>
      </c>
      <c r="E124" s="4">
        <f>LAVORAZIONI!H123</f>
        <v/>
      </c>
      <c r="F124" s="4">
        <f>LAVORAZIONI!M123</f>
        <v/>
      </c>
      <c r="G124" s="5">
        <f>LAVORAZIONI!N123</f>
        <v/>
      </c>
      <c r="H124" s="6">
        <f>LAVORAZIONI!O123</f>
        <v/>
      </c>
      <c r="I124" s="13">
        <f>LAVORAZIONI!P123</f>
        <v/>
      </c>
      <c r="J124" s="5">
        <f>IF(LAVORAZIONI!Q123="","",LAVORAZIONI!Q123)</f>
        <v/>
      </c>
      <c r="K124" s="6">
        <f>IF(LAVORAZIONI!R123="","",LAVORAZIONI!R123)</f>
        <v/>
      </c>
      <c r="L124" s="13">
        <f>IF(LAVORAZIONI!S123="","",LAVORAZIONI!S123)</f>
        <v/>
      </c>
      <c r="M124" s="13">
        <f>LAVORAZIONI!T123</f>
        <v/>
      </c>
      <c r="O124" s="7">
        <f>LAVORAZIONI!U123</f>
        <v/>
      </c>
      <c r="P124" s="45">
        <f>LAVORAZIONI!V123</f>
        <v/>
      </c>
      <c r="Q124" s="7">
        <f>LAVORAZIONI!W123</f>
        <v/>
      </c>
      <c r="R124" s="6">
        <f>LAVORAZIONI!X123</f>
        <v/>
      </c>
      <c r="S124" s="7">
        <f>LAVORAZIONI!Y123</f>
        <v/>
      </c>
      <c r="T124" s="6">
        <f>LAVORAZIONI!Z123</f>
        <v/>
      </c>
      <c r="U124" s="7">
        <f>LAVORAZIONI!AA123</f>
        <v/>
      </c>
      <c r="V124" s="6">
        <f>LAVORAZIONI!AB123</f>
        <v/>
      </c>
      <c r="W124" s="7">
        <f>LAVORAZIONI!AC123</f>
        <v/>
      </c>
      <c r="X124" s="6">
        <f>LAVORAZIONI!AD123</f>
        <v/>
      </c>
      <c r="Y124" s="7">
        <f>LAVORAZIONI!AE123</f>
        <v/>
      </c>
      <c r="Z124" s="6">
        <f>LAVORAZIONI!AF123</f>
        <v/>
      </c>
      <c r="AA124" s="7">
        <f>LAVORAZIONI!AG123</f>
        <v/>
      </c>
      <c r="AB124" s="6">
        <f>LAVORAZIONI!AH123</f>
        <v/>
      </c>
      <c r="AC124" s="7">
        <f>LAVORAZIONI!AI123</f>
        <v/>
      </c>
      <c r="AD124" s="13">
        <f>LAVORAZIONI!AJ123</f>
        <v/>
      </c>
    </row>
    <row r="125" ht="71" customHeight="1" s="46">
      <c r="B125" s="4">
        <f>LAVORAZIONI!G124</f>
        <v/>
      </c>
      <c r="C125" s="3">
        <f>LAVORAZIONI!A124</f>
        <v/>
      </c>
      <c r="D125" s="3">
        <f>LAVORAZIONI!K124</f>
        <v/>
      </c>
      <c r="E125" s="4">
        <f>LAVORAZIONI!H124</f>
        <v/>
      </c>
      <c r="F125" s="4">
        <f>LAVORAZIONI!M124</f>
        <v/>
      </c>
      <c r="G125" s="5">
        <f>LAVORAZIONI!N124</f>
        <v/>
      </c>
      <c r="H125" s="6">
        <f>LAVORAZIONI!O124</f>
        <v/>
      </c>
      <c r="I125" s="13">
        <f>LAVORAZIONI!P124</f>
        <v/>
      </c>
      <c r="J125" s="5">
        <f>IF(LAVORAZIONI!Q124="","",LAVORAZIONI!Q124)</f>
        <v/>
      </c>
      <c r="K125" s="6">
        <f>IF(LAVORAZIONI!R124="","",LAVORAZIONI!R124)</f>
        <v/>
      </c>
      <c r="L125" s="13">
        <f>IF(LAVORAZIONI!S124="","",LAVORAZIONI!S124)</f>
        <v/>
      </c>
      <c r="M125" s="13">
        <f>LAVORAZIONI!T124</f>
        <v/>
      </c>
      <c r="O125" s="7">
        <f>LAVORAZIONI!U124</f>
        <v/>
      </c>
      <c r="P125" s="45">
        <f>LAVORAZIONI!V124</f>
        <v/>
      </c>
      <c r="Q125" s="7">
        <f>LAVORAZIONI!W124</f>
        <v/>
      </c>
      <c r="R125" s="6">
        <f>LAVORAZIONI!X124</f>
        <v/>
      </c>
      <c r="S125" s="7">
        <f>LAVORAZIONI!Y124</f>
        <v/>
      </c>
      <c r="T125" s="6">
        <f>LAVORAZIONI!Z124</f>
        <v/>
      </c>
      <c r="U125" s="7">
        <f>LAVORAZIONI!AA124</f>
        <v/>
      </c>
      <c r="V125" s="6">
        <f>LAVORAZIONI!AB124</f>
        <v/>
      </c>
      <c r="W125" s="7">
        <f>LAVORAZIONI!AC124</f>
        <v/>
      </c>
      <c r="X125" s="6">
        <f>LAVORAZIONI!AD124</f>
        <v/>
      </c>
      <c r="Y125" s="7">
        <f>LAVORAZIONI!AE124</f>
        <v/>
      </c>
      <c r="Z125" s="6">
        <f>LAVORAZIONI!AF124</f>
        <v/>
      </c>
      <c r="AA125" s="7">
        <f>LAVORAZIONI!AG124</f>
        <v/>
      </c>
      <c r="AB125" s="6">
        <f>LAVORAZIONI!AH124</f>
        <v/>
      </c>
      <c r="AC125" s="7">
        <f>LAVORAZIONI!AI124</f>
        <v/>
      </c>
      <c r="AD125" s="13">
        <f>LAVORAZIONI!AJ124</f>
        <v/>
      </c>
    </row>
    <row r="126" ht="36" customHeight="1" s="46">
      <c r="D126" s="14" t="inlineStr">
        <is>
          <t>TOTALE EDILI</t>
        </is>
      </c>
      <c r="I126" s="10">
        <f>SUM(I5:I125)</f>
        <v/>
      </c>
      <c r="L126" s="10">
        <f>SUM(L5:L125)</f>
        <v/>
      </c>
      <c r="M126" s="10">
        <f>SUM(M5:M125)</f>
        <v/>
      </c>
      <c r="P126" s="28">
        <f>SUM(P5:P125)</f>
        <v/>
      </c>
      <c r="R126" s="10">
        <f>SUM(R5:R125)</f>
        <v/>
      </c>
      <c r="T126" s="10">
        <f>SUM(T5:T125)</f>
        <v/>
      </c>
      <c r="V126" s="10">
        <f>SUM(V5:V125)</f>
        <v/>
      </c>
      <c r="X126" s="10">
        <f>SUM(X5:X125)</f>
        <v/>
      </c>
      <c r="Z126" s="10">
        <f>SUM(Z5:Z125)</f>
        <v/>
      </c>
      <c r="AB126" s="10">
        <f>SUM(AB5:AB125)</f>
        <v/>
      </c>
      <c r="AD126" s="10">
        <f>SUM(AD5:AD125)</f>
        <v/>
      </c>
    </row>
    <row r="127" ht="71" customHeight="1" s="46">
      <c r="R127" s="42">
        <f>R126+'EDILI SPECIALI'!R51</f>
        <v/>
      </c>
    </row>
  </sheetData>
  <autoFilter ref="B2:M3">
    <filterColumn colId="0" hiddenButton="0" showButton="0"/>
    <filterColumn colId="1" hiddenButton="0" showButton="0"/>
    <filterColumn colId="2" hiddenButton="0" showButton="0"/>
    <filterColumn colId="3" hiddenButton="0" showButton="0"/>
    <filterColumn colId="4" hiddenButton="0" showButton="0"/>
    <filterColumn colId="5" hiddenButton="0" showButton="0"/>
    <filterColumn colId="6" hiddenButton="0" showButton="0"/>
    <filterColumn colId="7" hiddenButton="0" showButton="0"/>
    <filterColumn colId="8" hiddenButton="0" showButton="0"/>
    <filterColumn colId="9" hiddenButton="0" showButton="0"/>
  </autoFilter>
  <mergeCells count="9">
    <mergeCell ref="AC3:AD3"/>
    <mergeCell ref="AA3:AB3"/>
    <mergeCell ref="O3:P3"/>
    <mergeCell ref="Q3:R3"/>
    <mergeCell ref="U3:V3"/>
    <mergeCell ref="Y3:Z3"/>
    <mergeCell ref="B2:L2"/>
    <mergeCell ref="W3:X3"/>
    <mergeCell ref="S3:T3"/>
  </mergeCells>
  <printOptions horizontalCentered="1" verticalCentered="1"/>
  <pageMargins left="0.75" right="0.75" top="1" bottom="1" header="0.511811023622047" footer="0.511811023622047"/>
  <pageSetup orientation="landscape" paperSize="9" scale="68" horizontalDpi="300" verticalDpi="300"/>
  <headerFooter>
    <oddHeader>&amp;C&amp;K000000SAL APRILE 26 - OPERE EDILI</oddHeader>
    <oddFooter>&amp;L&amp;C&amp;R</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B1:AD51"/>
  <sheetViews>
    <sheetView zoomScaleNormal="100" workbookViewId="0">
      <pane xSplit="6" ySplit="3" topLeftCell="L39" activePane="bottomRight" state="frozen"/>
      <selection pane="topRight" activeCell="G1" sqref="G1"/>
      <selection pane="bottomLeft" activeCell="A4" sqref="A4"/>
      <selection pane="bottomRight" activeCell="Q2" sqref="Q2:R2"/>
    </sheetView>
  </sheetViews>
  <sheetFormatPr baseColWidth="10" defaultColWidth="8.6640625" defaultRowHeight="35" customHeight="1"/>
  <cols>
    <col width="7" customWidth="1" style="46" min="2" max="2"/>
    <col width="22" customWidth="1" style="46" min="3" max="3"/>
    <col width="36" customWidth="1" style="46" min="4" max="4"/>
    <col width="16" customWidth="1" style="46" min="5" max="5"/>
    <col width="7" customWidth="1" style="46" min="6" max="6"/>
    <col width="9" customWidth="1" style="46" min="7" max="7"/>
    <col width="11" customWidth="1" style="46" min="8" max="8"/>
    <col width="13" customWidth="1" style="46" min="9" max="9"/>
    <col width="9" customWidth="1" style="46" min="10" max="10"/>
    <col width="11" customWidth="1" style="46" min="11" max="11"/>
    <col width="13" customWidth="1" style="46" min="12" max="13"/>
    <col width="6" customWidth="1" style="46" min="15" max="15"/>
    <col width="12" customWidth="1" style="46" min="16" max="16"/>
    <col width="6" customWidth="1" style="46" min="17" max="17"/>
    <col width="12" customWidth="1" style="46" min="18" max="18"/>
    <col width="6" customWidth="1" style="46" min="19" max="19"/>
    <col width="12" customWidth="1" style="46" min="20" max="20"/>
    <col width="6" customWidth="1" style="46" min="21" max="21"/>
    <col width="12" customWidth="1" style="46" min="22" max="22"/>
    <col width="6" customWidth="1" style="46" min="23" max="23"/>
    <col width="12" customWidth="1" style="46" min="24" max="24"/>
    <col width="6" customWidth="1" style="46" min="25" max="25"/>
    <col width="12" customWidth="1" style="46" min="26" max="26"/>
    <col width="6" customWidth="1" style="46" min="27" max="27"/>
    <col width="12" customWidth="1" style="46" min="28" max="28"/>
    <col width="7" customWidth="1" style="46" min="29" max="29"/>
    <col width="13" customWidth="1" style="46" min="30" max="30"/>
  </cols>
  <sheetData>
    <row r="1" ht="35" customHeight="1" s="46">
      <c r="B1" s="38" t="inlineStr">
        <is>
          <t>DETTAGLIO SAL — EDILI SPECIALI</t>
        </is>
      </c>
      <c r="C1" s="34" t="n"/>
      <c r="D1" s="34" t="n"/>
      <c r="E1" s="34" t="n"/>
      <c r="F1" s="34" t="n"/>
      <c r="G1" s="34" t="n"/>
      <c r="H1" s="34" t="n"/>
      <c r="I1" s="34" t="n"/>
      <c r="J1" s="34" t="n"/>
      <c r="K1" s="34" t="n"/>
      <c r="L1" s="32" t="n"/>
    </row>
    <row r="2" ht="35" customHeight="1" s="46">
      <c r="B2" s="31" t="inlineStr">
        <is>
          <t>Nr.Ord.</t>
        </is>
      </c>
      <c r="C2" s="31" t="inlineStr">
        <is>
          <t>TARIFFA</t>
        </is>
      </c>
      <c r="D2" s="31" t="inlineStr">
        <is>
          <t>DESIGNAZIONE</t>
        </is>
      </c>
      <c r="E2" s="31" t="inlineStr">
        <is>
          <t>STEP</t>
        </is>
      </c>
      <c r="F2" s="31" t="inlineStr">
        <is>
          <t>U.M.</t>
        </is>
      </c>
      <c r="G2" s="31" t="inlineStr">
        <is>
          <t>Q.tà PREV</t>
        </is>
      </c>
      <c r="H2" s="31" t="inlineStr">
        <is>
          <t>VAL.UNIT PREV</t>
        </is>
      </c>
      <c r="I2" s="31" t="inlineStr">
        <is>
          <t>TOTALE PREV</t>
        </is>
      </c>
      <c r="J2" s="31" t="inlineStr">
        <is>
          <t>Q.tà CONS</t>
        </is>
      </c>
      <c r="K2" s="31" t="inlineStr">
        <is>
          <t>VAL.UNIT CONS</t>
        </is>
      </c>
      <c r="L2" s="31" t="inlineStr">
        <is>
          <t>TOTALE CONS</t>
        </is>
      </c>
      <c r="M2" s="31" t="inlineStr">
        <is>
          <t>VALORE PER SAL</t>
        </is>
      </c>
      <c r="O2" s="35" t="inlineStr">
        <is>
          <t>SAL 01 APRILE</t>
        </is>
      </c>
      <c r="P2" s="32" t="n"/>
      <c r="Q2" s="51" t="inlineStr">
        <is>
          <t>SAL 02 MAGGIO</t>
        </is>
      </c>
      <c r="R2" s="32" t="n"/>
      <c r="S2" s="31" t="inlineStr">
        <is>
          <t>SAL 03 GIUGNO</t>
        </is>
      </c>
      <c r="T2" s="32" t="n"/>
      <c r="U2" s="31" t="inlineStr">
        <is>
          <t>SAL 04 LUGLIO</t>
        </is>
      </c>
      <c r="V2" s="32" t="n"/>
      <c r="W2" s="31" t="inlineStr">
        <is>
          <t>SAL 05 AGOSTO</t>
        </is>
      </c>
      <c r="X2" s="32" t="n"/>
      <c r="Y2" s="31" t="inlineStr">
        <is>
          <t>SAL 06 SETTEMBRE</t>
        </is>
      </c>
      <c r="Z2" s="32" t="n"/>
      <c r="AA2" s="31" t="inlineStr">
        <is>
          <t>SAL 07 OTTOBRE</t>
        </is>
      </c>
      <c r="AB2" s="32" t="n"/>
      <c r="AC2" s="31" t="inlineStr">
        <is>
          <t>TOTALE COMPL.</t>
        </is>
      </c>
      <c r="AD2" s="32" t="n"/>
    </row>
    <row r="3" ht="35" customHeight="1" s="46">
      <c r="O3" s="12" t="inlineStr">
        <is>
          <t>%</t>
        </is>
      </c>
      <c r="P3" s="26" t="inlineStr">
        <is>
          <t>TOTALE</t>
        </is>
      </c>
      <c r="Q3" s="12" t="inlineStr">
        <is>
          <t>%</t>
        </is>
      </c>
      <c r="R3" s="12" t="inlineStr">
        <is>
          <t>TOTALE</t>
        </is>
      </c>
      <c r="S3" s="12" t="inlineStr">
        <is>
          <t>%</t>
        </is>
      </c>
      <c r="T3" s="12" t="inlineStr">
        <is>
          <t>TOTALE</t>
        </is>
      </c>
      <c r="U3" s="12" t="inlineStr">
        <is>
          <t>%</t>
        </is>
      </c>
      <c r="V3" s="12" t="inlineStr">
        <is>
          <t>TOTALE</t>
        </is>
      </c>
      <c r="W3" s="12" t="inlineStr">
        <is>
          <t>%</t>
        </is>
      </c>
      <c r="X3" s="12" t="inlineStr">
        <is>
          <t>TOTALE</t>
        </is>
      </c>
      <c r="Y3" s="12" t="inlineStr">
        <is>
          <t>%</t>
        </is>
      </c>
      <c r="Z3" s="12" t="inlineStr">
        <is>
          <t>TOTALE</t>
        </is>
      </c>
      <c r="AA3" s="12" t="inlineStr">
        <is>
          <t>%</t>
        </is>
      </c>
      <c r="AB3" s="12" t="inlineStr">
        <is>
          <t>TOTALE</t>
        </is>
      </c>
      <c r="AC3" s="12" t="inlineStr">
        <is>
          <t>%</t>
        </is>
      </c>
      <c r="AD3" s="12" t="inlineStr">
        <is>
          <t>TOTALE</t>
        </is>
      </c>
    </row>
    <row r="4" ht="35" customHeight="1" s="46">
      <c r="B4" s="4">
        <f>LAVORAZIONI!G125</f>
        <v/>
      </c>
      <c r="C4" s="3">
        <f>LAVORAZIONI!A125</f>
        <v/>
      </c>
      <c r="D4" s="3">
        <f>LAVORAZIONI!K125</f>
        <v/>
      </c>
      <c r="E4" s="4">
        <f>LAVORAZIONI!H125</f>
        <v/>
      </c>
      <c r="F4" s="4">
        <f>LAVORAZIONI!M125</f>
        <v/>
      </c>
      <c r="G4" s="5">
        <f>LAVORAZIONI!N125</f>
        <v/>
      </c>
      <c r="H4" s="6">
        <f>LAVORAZIONI!O125</f>
        <v/>
      </c>
      <c r="I4" s="13">
        <f>LAVORAZIONI!P125</f>
        <v/>
      </c>
      <c r="J4" s="5">
        <f>IF(LAVORAZIONI!Q125="","",LAVORAZIONI!Q125)</f>
        <v/>
      </c>
      <c r="K4" s="6">
        <f>IF(LAVORAZIONI!R125="","",LAVORAZIONI!R125)</f>
        <v/>
      </c>
      <c r="L4" s="13">
        <f>IF(LAVORAZIONI!S125="","",LAVORAZIONI!S125)</f>
        <v/>
      </c>
      <c r="M4" s="13">
        <f>LAVORAZIONI!T125</f>
        <v/>
      </c>
      <c r="O4" s="7">
        <f>LAVORAZIONI!U125</f>
        <v/>
      </c>
      <c r="P4" s="45">
        <f>LAVORAZIONI!V125</f>
        <v/>
      </c>
      <c r="Q4" s="7">
        <f>LAVORAZIONI!W125</f>
        <v/>
      </c>
      <c r="R4" s="6">
        <f>LAVORAZIONI!X125</f>
        <v/>
      </c>
      <c r="S4" s="7">
        <f>LAVORAZIONI!Y125</f>
        <v/>
      </c>
      <c r="T4" s="6">
        <f>LAVORAZIONI!Z125</f>
        <v/>
      </c>
      <c r="U4" s="7">
        <f>LAVORAZIONI!AA125</f>
        <v/>
      </c>
      <c r="V4" s="6">
        <f>LAVORAZIONI!AB125</f>
        <v/>
      </c>
      <c r="W4" s="7">
        <f>LAVORAZIONI!AC125</f>
        <v/>
      </c>
      <c r="X4" s="6">
        <f>LAVORAZIONI!AD125</f>
        <v/>
      </c>
      <c r="Y4" s="7">
        <f>LAVORAZIONI!AE125</f>
        <v/>
      </c>
      <c r="Z4" s="6">
        <f>LAVORAZIONI!AF125</f>
        <v/>
      </c>
      <c r="AA4" s="7">
        <f>LAVORAZIONI!AG125</f>
        <v/>
      </c>
      <c r="AB4" s="6">
        <f>LAVORAZIONI!AH125</f>
        <v/>
      </c>
      <c r="AC4" s="7">
        <f>LAVORAZIONI!AI125</f>
        <v/>
      </c>
      <c r="AD4" s="13">
        <f>LAVORAZIONI!AJ125</f>
        <v/>
      </c>
    </row>
    <row r="5" ht="35" customHeight="1" s="46">
      <c r="B5" s="4">
        <f>LAVORAZIONI!G126</f>
        <v/>
      </c>
      <c r="C5" s="3">
        <f>LAVORAZIONI!A126</f>
        <v/>
      </c>
      <c r="D5" s="3">
        <f>LAVORAZIONI!K126</f>
        <v/>
      </c>
      <c r="E5" s="4">
        <f>LAVORAZIONI!H126</f>
        <v/>
      </c>
      <c r="F5" s="4">
        <f>LAVORAZIONI!M126</f>
        <v/>
      </c>
      <c r="G5" s="5">
        <f>LAVORAZIONI!N126</f>
        <v/>
      </c>
      <c r="H5" s="6">
        <f>LAVORAZIONI!O126</f>
        <v/>
      </c>
      <c r="I5" s="13">
        <f>LAVORAZIONI!P126</f>
        <v/>
      </c>
      <c r="J5" s="5">
        <f>IF(LAVORAZIONI!Q126="","",LAVORAZIONI!Q126)</f>
        <v/>
      </c>
      <c r="K5" s="6">
        <f>IF(LAVORAZIONI!R126="","",LAVORAZIONI!R126)</f>
        <v/>
      </c>
      <c r="L5" s="13">
        <f>IF(LAVORAZIONI!S126="","",LAVORAZIONI!S126)</f>
        <v/>
      </c>
      <c r="M5" s="13">
        <f>LAVORAZIONI!T126</f>
        <v/>
      </c>
      <c r="O5" s="7">
        <f>LAVORAZIONI!U126</f>
        <v/>
      </c>
      <c r="P5" s="45">
        <f>LAVORAZIONI!V126</f>
        <v/>
      </c>
      <c r="Q5" s="7">
        <f>LAVORAZIONI!W126</f>
        <v/>
      </c>
      <c r="R5" s="6">
        <f>LAVORAZIONI!X126</f>
        <v/>
      </c>
      <c r="S5" s="7">
        <f>LAVORAZIONI!Y126</f>
        <v/>
      </c>
      <c r="T5" s="6">
        <f>LAVORAZIONI!Z126</f>
        <v/>
      </c>
      <c r="U5" s="7">
        <f>LAVORAZIONI!AA126</f>
        <v/>
      </c>
      <c r="V5" s="6">
        <f>LAVORAZIONI!AB126</f>
        <v/>
      </c>
      <c r="W5" s="7">
        <f>LAVORAZIONI!AC126</f>
        <v/>
      </c>
      <c r="X5" s="6">
        <f>LAVORAZIONI!AD126</f>
        <v/>
      </c>
      <c r="Y5" s="7">
        <f>LAVORAZIONI!AE126</f>
        <v/>
      </c>
      <c r="Z5" s="6">
        <f>LAVORAZIONI!AF126</f>
        <v/>
      </c>
      <c r="AA5" s="7">
        <f>LAVORAZIONI!AG126</f>
        <v/>
      </c>
      <c r="AB5" s="6">
        <f>LAVORAZIONI!AH126</f>
        <v/>
      </c>
      <c r="AC5" s="7">
        <f>LAVORAZIONI!AI126</f>
        <v/>
      </c>
      <c r="AD5" s="13">
        <f>LAVORAZIONI!AJ126</f>
        <v/>
      </c>
    </row>
    <row r="6" ht="35" customHeight="1" s="46">
      <c r="B6" s="4">
        <f>LAVORAZIONI!G127</f>
        <v/>
      </c>
      <c r="C6" s="3">
        <f>LAVORAZIONI!A127</f>
        <v/>
      </c>
      <c r="D6" s="3">
        <f>LAVORAZIONI!K127</f>
        <v/>
      </c>
      <c r="E6" s="4">
        <f>LAVORAZIONI!H127</f>
        <v/>
      </c>
      <c r="F6" s="4">
        <f>LAVORAZIONI!M127</f>
        <v/>
      </c>
      <c r="G6" s="5">
        <f>LAVORAZIONI!N127</f>
        <v/>
      </c>
      <c r="H6" s="6">
        <f>LAVORAZIONI!O127</f>
        <v/>
      </c>
      <c r="I6" s="13">
        <f>LAVORAZIONI!P127</f>
        <v/>
      </c>
      <c r="J6" s="5">
        <f>IF(LAVORAZIONI!Q127="","",LAVORAZIONI!Q127)</f>
        <v/>
      </c>
      <c r="K6" s="6">
        <f>IF(LAVORAZIONI!R127="","",LAVORAZIONI!R127)</f>
        <v/>
      </c>
      <c r="L6" s="13">
        <f>IF(LAVORAZIONI!S127="","",LAVORAZIONI!S127)</f>
        <v/>
      </c>
      <c r="M6" s="13">
        <f>LAVORAZIONI!T127</f>
        <v/>
      </c>
      <c r="O6" s="7">
        <f>LAVORAZIONI!U127</f>
        <v/>
      </c>
      <c r="P6" s="45">
        <f>LAVORAZIONI!V127</f>
        <v/>
      </c>
      <c r="Q6" s="7">
        <f>LAVORAZIONI!W127</f>
        <v/>
      </c>
      <c r="R6" s="6">
        <f>LAVORAZIONI!X127</f>
        <v/>
      </c>
      <c r="S6" s="7">
        <f>LAVORAZIONI!Y127</f>
        <v/>
      </c>
      <c r="T6" s="6">
        <f>LAVORAZIONI!Z127</f>
        <v/>
      </c>
      <c r="U6" s="7">
        <f>LAVORAZIONI!AA127</f>
        <v/>
      </c>
      <c r="V6" s="6">
        <f>LAVORAZIONI!AB127</f>
        <v/>
      </c>
      <c r="W6" s="7">
        <f>LAVORAZIONI!AC127</f>
        <v/>
      </c>
      <c r="X6" s="6">
        <f>LAVORAZIONI!AD127</f>
        <v/>
      </c>
      <c r="Y6" s="7">
        <f>LAVORAZIONI!AE127</f>
        <v/>
      </c>
      <c r="Z6" s="6">
        <f>LAVORAZIONI!AF127</f>
        <v/>
      </c>
      <c r="AA6" s="7">
        <f>LAVORAZIONI!AG127</f>
        <v/>
      </c>
      <c r="AB6" s="6">
        <f>LAVORAZIONI!AH127</f>
        <v/>
      </c>
      <c r="AC6" s="7">
        <f>LAVORAZIONI!AI127</f>
        <v/>
      </c>
      <c r="AD6" s="13">
        <f>LAVORAZIONI!AJ127</f>
        <v/>
      </c>
    </row>
    <row r="7" ht="35" customHeight="1" s="46">
      <c r="B7" s="4">
        <f>LAVORAZIONI!G128</f>
        <v/>
      </c>
      <c r="C7" s="3">
        <f>LAVORAZIONI!A128</f>
        <v/>
      </c>
      <c r="D7" s="3">
        <f>LAVORAZIONI!K128</f>
        <v/>
      </c>
      <c r="E7" s="4">
        <f>LAVORAZIONI!H128</f>
        <v/>
      </c>
      <c r="F7" s="4">
        <f>LAVORAZIONI!M128</f>
        <v/>
      </c>
      <c r="G7" s="5">
        <f>LAVORAZIONI!N128</f>
        <v/>
      </c>
      <c r="H7" s="6">
        <f>LAVORAZIONI!O128</f>
        <v/>
      </c>
      <c r="I7" s="13">
        <f>LAVORAZIONI!P128</f>
        <v/>
      </c>
      <c r="J7" s="5">
        <f>IF(LAVORAZIONI!Q128="","",LAVORAZIONI!Q128)</f>
        <v/>
      </c>
      <c r="K7" s="6">
        <f>IF(LAVORAZIONI!R128="","",LAVORAZIONI!R128)</f>
        <v/>
      </c>
      <c r="L7" s="13">
        <f>IF(LAVORAZIONI!S128="","",LAVORAZIONI!S128)</f>
        <v/>
      </c>
      <c r="M7" s="13">
        <f>LAVORAZIONI!T128</f>
        <v/>
      </c>
      <c r="O7" s="7">
        <f>LAVORAZIONI!U128</f>
        <v/>
      </c>
      <c r="P7" s="45">
        <f>LAVORAZIONI!V128</f>
        <v/>
      </c>
      <c r="Q7" s="7">
        <f>LAVORAZIONI!W128</f>
        <v/>
      </c>
      <c r="R7" s="6">
        <f>LAVORAZIONI!X128</f>
        <v/>
      </c>
      <c r="S7" s="7">
        <f>LAVORAZIONI!Y128</f>
        <v/>
      </c>
      <c r="T7" s="6">
        <f>LAVORAZIONI!Z128</f>
        <v/>
      </c>
      <c r="U7" s="7">
        <f>LAVORAZIONI!AA128</f>
        <v/>
      </c>
      <c r="V7" s="6">
        <f>LAVORAZIONI!AB128</f>
        <v/>
      </c>
      <c r="W7" s="7">
        <f>LAVORAZIONI!AC128</f>
        <v/>
      </c>
      <c r="X7" s="6">
        <f>LAVORAZIONI!AD128</f>
        <v/>
      </c>
      <c r="Y7" s="7">
        <f>LAVORAZIONI!AE128</f>
        <v/>
      </c>
      <c r="Z7" s="6">
        <f>LAVORAZIONI!AF128</f>
        <v/>
      </c>
      <c r="AA7" s="7">
        <f>LAVORAZIONI!AG128</f>
        <v/>
      </c>
      <c r="AB7" s="6">
        <f>LAVORAZIONI!AH128</f>
        <v/>
      </c>
      <c r="AC7" s="7">
        <f>LAVORAZIONI!AI128</f>
        <v/>
      </c>
      <c r="AD7" s="13">
        <f>LAVORAZIONI!AJ128</f>
        <v/>
      </c>
    </row>
    <row r="8" ht="35" customHeight="1" s="46">
      <c r="B8" s="4">
        <f>LAVORAZIONI!G129</f>
        <v/>
      </c>
      <c r="C8" s="3">
        <f>LAVORAZIONI!A129</f>
        <v/>
      </c>
      <c r="D8" s="3">
        <f>LAVORAZIONI!K129</f>
        <v/>
      </c>
      <c r="E8" s="4">
        <f>LAVORAZIONI!H129</f>
        <v/>
      </c>
      <c r="F8" s="4">
        <f>LAVORAZIONI!M129</f>
        <v/>
      </c>
      <c r="G8" s="5">
        <f>LAVORAZIONI!N129</f>
        <v/>
      </c>
      <c r="H8" s="6">
        <f>LAVORAZIONI!O129</f>
        <v/>
      </c>
      <c r="I8" s="13">
        <f>LAVORAZIONI!P129</f>
        <v/>
      </c>
      <c r="J8" s="5">
        <f>IF(LAVORAZIONI!Q129="","",LAVORAZIONI!Q129)</f>
        <v/>
      </c>
      <c r="K8" s="6">
        <f>IF(LAVORAZIONI!R129="","",LAVORAZIONI!R129)</f>
        <v/>
      </c>
      <c r="L8" s="13">
        <f>IF(LAVORAZIONI!S129="","",LAVORAZIONI!S129)</f>
        <v/>
      </c>
      <c r="M8" s="13">
        <f>LAVORAZIONI!T129</f>
        <v/>
      </c>
      <c r="O8" s="7">
        <f>LAVORAZIONI!U129</f>
        <v/>
      </c>
      <c r="P8" s="45">
        <f>LAVORAZIONI!V129</f>
        <v/>
      </c>
      <c r="Q8" s="7">
        <f>LAVORAZIONI!W129</f>
        <v/>
      </c>
      <c r="R8" s="6">
        <f>LAVORAZIONI!X129</f>
        <v/>
      </c>
      <c r="S8" s="7">
        <f>LAVORAZIONI!Y129</f>
        <v/>
      </c>
      <c r="T8" s="6">
        <f>LAVORAZIONI!Z129</f>
        <v/>
      </c>
      <c r="U8" s="7">
        <f>LAVORAZIONI!AA129</f>
        <v/>
      </c>
      <c r="V8" s="6">
        <f>LAVORAZIONI!AB129</f>
        <v/>
      </c>
      <c r="W8" s="7">
        <f>LAVORAZIONI!AC129</f>
        <v/>
      </c>
      <c r="X8" s="6">
        <f>LAVORAZIONI!AD129</f>
        <v/>
      </c>
      <c r="Y8" s="7">
        <f>LAVORAZIONI!AE129</f>
        <v/>
      </c>
      <c r="Z8" s="6">
        <f>LAVORAZIONI!AF129</f>
        <v/>
      </c>
      <c r="AA8" s="7">
        <f>LAVORAZIONI!AG129</f>
        <v/>
      </c>
      <c r="AB8" s="6">
        <f>LAVORAZIONI!AH129</f>
        <v/>
      </c>
      <c r="AC8" s="7">
        <f>LAVORAZIONI!AI129</f>
        <v/>
      </c>
      <c r="AD8" s="13">
        <f>LAVORAZIONI!AJ129</f>
        <v/>
      </c>
    </row>
    <row r="9" ht="35" customHeight="1" s="46">
      <c r="B9" s="4">
        <f>LAVORAZIONI!G130</f>
        <v/>
      </c>
      <c r="C9" s="3">
        <f>LAVORAZIONI!A130</f>
        <v/>
      </c>
      <c r="D9" s="3">
        <f>LAVORAZIONI!K130</f>
        <v/>
      </c>
      <c r="E9" s="4">
        <f>LAVORAZIONI!H130</f>
        <v/>
      </c>
      <c r="F9" s="4">
        <f>LAVORAZIONI!M130</f>
        <v/>
      </c>
      <c r="G9" s="5">
        <f>LAVORAZIONI!N130</f>
        <v/>
      </c>
      <c r="H9" s="6">
        <f>LAVORAZIONI!O130</f>
        <v/>
      </c>
      <c r="I9" s="13">
        <f>LAVORAZIONI!P130</f>
        <v/>
      </c>
      <c r="J9" s="5">
        <f>IF(LAVORAZIONI!Q130="","",LAVORAZIONI!Q130)</f>
        <v/>
      </c>
      <c r="K9" s="6">
        <f>IF(LAVORAZIONI!R130="","",LAVORAZIONI!R130)</f>
        <v/>
      </c>
      <c r="L9" s="13">
        <f>IF(LAVORAZIONI!S130="","",LAVORAZIONI!S130)</f>
        <v/>
      </c>
      <c r="M9" s="13">
        <f>LAVORAZIONI!T130</f>
        <v/>
      </c>
      <c r="O9" s="7">
        <f>LAVORAZIONI!U130</f>
        <v/>
      </c>
      <c r="P9" s="45">
        <f>LAVORAZIONI!V130</f>
        <v/>
      </c>
      <c r="Q9" s="7">
        <f>LAVORAZIONI!W130</f>
        <v/>
      </c>
      <c r="R9" s="6">
        <f>LAVORAZIONI!X130</f>
        <v/>
      </c>
      <c r="S9" s="7">
        <f>LAVORAZIONI!Y130</f>
        <v/>
      </c>
      <c r="T9" s="6">
        <f>LAVORAZIONI!Z130</f>
        <v/>
      </c>
      <c r="U9" s="7">
        <f>LAVORAZIONI!AA130</f>
        <v/>
      </c>
      <c r="V9" s="6">
        <f>LAVORAZIONI!AB130</f>
        <v/>
      </c>
      <c r="W9" s="7">
        <f>LAVORAZIONI!AC130</f>
        <v/>
      </c>
      <c r="X9" s="6">
        <f>LAVORAZIONI!AD130</f>
        <v/>
      </c>
      <c r="Y9" s="7">
        <f>LAVORAZIONI!AE130</f>
        <v/>
      </c>
      <c r="Z9" s="6">
        <f>LAVORAZIONI!AF130</f>
        <v/>
      </c>
      <c r="AA9" s="7">
        <f>LAVORAZIONI!AG130</f>
        <v/>
      </c>
      <c r="AB9" s="6">
        <f>LAVORAZIONI!AH130</f>
        <v/>
      </c>
      <c r="AC9" s="7">
        <f>LAVORAZIONI!AI130</f>
        <v/>
      </c>
      <c r="AD9" s="13">
        <f>LAVORAZIONI!AJ130</f>
        <v/>
      </c>
    </row>
    <row r="10" ht="35" customHeight="1" s="46">
      <c r="B10" s="4">
        <f>LAVORAZIONI!G131</f>
        <v/>
      </c>
      <c r="C10" s="3">
        <f>LAVORAZIONI!A131</f>
        <v/>
      </c>
      <c r="D10" s="3">
        <f>LAVORAZIONI!K131</f>
        <v/>
      </c>
      <c r="E10" s="4">
        <f>LAVORAZIONI!H131</f>
        <v/>
      </c>
      <c r="F10" s="4">
        <f>LAVORAZIONI!M131</f>
        <v/>
      </c>
      <c r="G10" s="5">
        <f>LAVORAZIONI!N131</f>
        <v/>
      </c>
      <c r="H10" s="6">
        <f>LAVORAZIONI!O131</f>
        <v/>
      </c>
      <c r="I10" s="13">
        <f>LAVORAZIONI!P131</f>
        <v/>
      </c>
      <c r="J10" s="5">
        <f>IF(LAVORAZIONI!Q131="","",LAVORAZIONI!Q131)</f>
        <v/>
      </c>
      <c r="K10" s="6">
        <f>IF(LAVORAZIONI!R131="","",LAVORAZIONI!R131)</f>
        <v/>
      </c>
      <c r="L10" s="13">
        <f>IF(LAVORAZIONI!S131="","",LAVORAZIONI!S131)</f>
        <v/>
      </c>
      <c r="M10" s="13">
        <f>LAVORAZIONI!T131</f>
        <v/>
      </c>
      <c r="O10" s="7">
        <f>LAVORAZIONI!U131</f>
        <v/>
      </c>
      <c r="P10" s="45">
        <f>LAVORAZIONI!V131</f>
        <v/>
      </c>
      <c r="Q10" s="7">
        <f>LAVORAZIONI!W131</f>
        <v/>
      </c>
      <c r="R10" s="6">
        <f>LAVORAZIONI!X131</f>
        <v/>
      </c>
      <c r="S10" s="7">
        <f>LAVORAZIONI!Y131</f>
        <v/>
      </c>
      <c r="T10" s="6">
        <f>LAVORAZIONI!Z131</f>
        <v/>
      </c>
      <c r="U10" s="7">
        <f>LAVORAZIONI!AA131</f>
        <v/>
      </c>
      <c r="V10" s="6">
        <f>LAVORAZIONI!AB131</f>
        <v/>
      </c>
      <c r="W10" s="7">
        <f>LAVORAZIONI!AC131</f>
        <v/>
      </c>
      <c r="X10" s="6">
        <f>LAVORAZIONI!AD131</f>
        <v/>
      </c>
      <c r="Y10" s="7">
        <f>LAVORAZIONI!AE131</f>
        <v/>
      </c>
      <c r="Z10" s="6">
        <f>LAVORAZIONI!AF131</f>
        <v/>
      </c>
      <c r="AA10" s="7">
        <f>LAVORAZIONI!AG131</f>
        <v/>
      </c>
      <c r="AB10" s="6">
        <f>LAVORAZIONI!AH131</f>
        <v/>
      </c>
      <c r="AC10" s="7">
        <f>LAVORAZIONI!AI131</f>
        <v/>
      </c>
      <c r="AD10" s="13">
        <f>LAVORAZIONI!AJ131</f>
        <v/>
      </c>
    </row>
    <row r="11" ht="35" customHeight="1" s="46">
      <c r="B11" s="4">
        <f>LAVORAZIONI!G132</f>
        <v/>
      </c>
      <c r="C11" s="3">
        <f>LAVORAZIONI!A132</f>
        <v/>
      </c>
      <c r="D11" s="3">
        <f>LAVORAZIONI!K132</f>
        <v/>
      </c>
      <c r="E11" s="4">
        <f>LAVORAZIONI!H132</f>
        <v/>
      </c>
      <c r="F11" s="4">
        <f>LAVORAZIONI!M132</f>
        <v/>
      </c>
      <c r="G11" s="5">
        <f>LAVORAZIONI!N132</f>
        <v/>
      </c>
      <c r="H11" s="6">
        <f>LAVORAZIONI!O132</f>
        <v/>
      </c>
      <c r="I11" s="13">
        <f>LAVORAZIONI!P132</f>
        <v/>
      </c>
      <c r="J11" s="5">
        <f>IF(LAVORAZIONI!Q132="","",LAVORAZIONI!Q132)</f>
        <v/>
      </c>
      <c r="K11" s="6">
        <f>IF(LAVORAZIONI!R132="","",LAVORAZIONI!R132)</f>
        <v/>
      </c>
      <c r="L11" s="13">
        <f>IF(LAVORAZIONI!S132="","",LAVORAZIONI!S132)</f>
        <v/>
      </c>
      <c r="M11" s="13">
        <f>LAVORAZIONI!T132</f>
        <v/>
      </c>
      <c r="O11" s="7">
        <f>LAVORAZIONI!U132</f>
        <v/>
      </c>
      <c r="P11" s="45">
        <f>LAVORAZIONI!V132</f>
        <v/>
      </c>
      <c r="Q11" s="7">
        <f>LAVORAZIONI!W132</f>
        <v/>
      </c>
      <c r="R11" s="6">
        <f>LAVORAZIONI!X132</f>
        <v/>
      </c>
      <c r="S11" s="7">
        <f>LAVORAZIONI!Y132</f>
        <v/>
      </c>
      <c r="T11" s="6">
        <f>LAVORAZIONI!Z132</f>
        <v/>
      </c>
      <c r="U11" s="7">
        <f>LAVORAZIONI!AA132</f>
        <v/>
      </c>
      <c r="V11" s="6">
        <f>LAVORAZIONI!AB132</f>
        <v/>
      </c>
      <c r="W11" s="7">
        <f>LAVORAZIONI!AC132</f>
        <v/>
      </c>
      <c r="X11" s="6">
        <f>LAVORAZIONI!AD132</f>
        <v/>
      </c>
      <c r="Y11" s="7">
        <f>LAVORAZIONI!AE132</f>
        <v/>
      </c>
      <c r="Z11" s="6">
        <f>LAVORAZIONI!AF132</f>
        <v/>
      </c>
      <c r="AA11" s="7">
        <f>LAVORAZIONI!AG132</f>
        <v/>
      </c>
      <c r="AB11" s="6">
        <f>LAVORAZIONI!AH132</f>
        <v/>
      </c>
      <c r="AC11" s="7">
        <f>LAVORAZIONI!AI132</f>
        <v/>
      </c>
      <c r="AD11" s="13">
        <f>LAVORAZIONI!AJ132</f>
        <v/>
      </c>
    </row>
    <row r="12" ht="35" customHeight="1" s="46">
      <c r="B12" s="4">
        <f>LAVORAZIONI!G133</f>
        <v/>
      </c>
      <c r="C12" s="3">
        <f>LAVORAZIONI!A133</f>
        <v/>
      </c>
      <c r="D12" s="3">
        <f>LAVORAZIONI!K133</f>
        <v/>
      </c>
      <c r="E12" s="4">
        <f>LAVORAZIONI!H133</f>
        <v/>
      </c>
      <c r="F12" s="4">
        <f>LAVORAZIONI!M133</f>
        <v/>
      </c>
      <c r="G12" s="5">
        <f>LAVORAZIONI!N133</f>
        <v/>
      </c>
      <c r="H12" s="6">
        <f>LAVORAZIONI!O133</f>
        <v/>
      </c>
      <c r="I12" s="13">
        <f>LAVORAZIONI!P133</f>
        <v/>
      </c>
      <c r="J12" s="5">
        <f>IF(LAVORAZIONI!Q133="","",LAVORAZIONI!Q133)</f>
        <v/>
      </c>
      <c r="K12" s="6">
        <f>IF(LAVORAZIONI!R133="","",LAVORAZIONI!R133)</f>
        <v/>
      </c>
      <c r="L12" s="13">
        <f>IF(LAVORAZIONI!S133="","",LAVORAZIONI!S133)</f>
        <v/>
      </c>
      <c r="M12" s="13">
        <f>LAVORAZIONI!T133</f>
        <v/>
      </c>
      <c r="O12" s="7">
        <f>LAVORAZIONI!U133</f>
        <v/>
      </c>
      <c r="P12" s="45">
        <f>LAVORAZIONI!V133</f>
        <v/>
      </c>
      <c r="Q12" s="7">
        <f>LAVORAZIONI!W133</f>
        <v/>
      </c>
      <c r="R12" s="6">
        <f>LAVORAZIONI!X133</f>
        <v/>
      </c>
      <c r="S12" s="7">
        <f>LAVORAZIONI!Y133</f>
        <v/>
      </c>
      <c r="T12" s="6">
        <f>LAVORAZIONI!Z133</f>
        <v/>
      </c>
      <c r="U12" s="7">
        <f>LAVORAZIONI!AA133</f>
        <v/>
      </c>
      <c r="V12" s="6">
        <f>LAVORAZIONI!AB133</f>
        <v/>
      </c>
      <c r="W12" s="7">
        <f>LAVORAZIONI!AC133</f>
        <v/>
      </c>
      <c r="X12" s="6">
        <f>LAVORAZIONI!AD133</f>
        <v/>
      </c>
      <c r="Y12" s="7">
        <f>LAVORAZIONI!AE133</f>
        <v/>
      </c>
      <c r="Z12" s="6">
        <f>LAVORAZIONI!AF133</f>
        <v/>
      </c>
      <c r="AA12" s="7">
        <f>LAVORAZIONI!AG133</f>
        <v/>
      </c>
      <c r="AB12" s="6">
        <f>LAVORAZIONI!AH133</f>
        <v/>
      </c>
      <c r="AC12" s="7">
        <f>LAVORAZIONI!AI133</f>
        <v/>
      </c>
      <c r="AD12" s="13">
        <f>LAVORAZIONI!AJ133</f>
        <v/>
      </c>
    </row>
    <row r="13" ht="35" customHeight="1" s="46">
      <c r="B13" s="4">
        <f>LAVORAZIONI!G134</f>
        <v/>
      </c>
      <c r="C13" s="3">
        <f>LAVORAZIONI!A134</f>
        <v/>
      </c>
      <c r="D13" s="3">
        <f>LAVORAZIONI!K134</f>
        <v/>
      </c>
      <c r="E13" s="4">
        <f>LAVORAZIONI!H134</f>
        <v/>
      </c>
      <c r="F13" s="4">
        <f>LAVORAZIONI!M134</f>
        <v/>
      </c>
      <c r="G13" s="5">
        <f>LAVORAZIONI!N134</f>
        <v/>
      </c>
      <c r="H13" s="6">
        <f>LAVORAZIONI!O134</f>
        <v/>
      </c>
      <c r="I13" s="13">
        <f>LAVORAZIONI!P134</f>
        <v/>
      </c>
      <c r="J13" s="5">
        <f>IF(LAVORAZIONI!Q134="","",LAVORAZIONI!Q134)</f>
        <v/>
      </c>
      <c r="K13" s="6">
        <f>IF(LAVORAZIONI!R134="","",LAVORAZIONI!R134)</f>
        <v/>
      </c>
      <c r="L13" s="13">
        <f>IF(LAVORAZIONI!S134="","",LAVORAZIONI!S134)</f>
        <v/>
      </c>
      <c r="M13" s="13">
        <f>LAVORAZIONI!T134</f>
        <v/>
      </c>
      <c r="O13" s="7">
        <f>LAVORAZIONI!U134</f>
        <v/>
      </c>
      <c r="P13" s="45">
        <f>LAVORAZIONI!V134</f>
        <v/>
      </c>
      <c r="Q13" s="7">
        <f>LAVORAZIONI!W134</f>
        <v/>
      </c>
      <c r="R13" s="6">
        <f>LAVORAZIONI!X134</f>
        <v/>
      </c>
      <c r="S13" s="7">
        <f>LAVORAZIONI!Y134</f>
        <v/>
      </c>
      <c r="T13" s="6">
        <f>LAVORAZIONI!Z134</f>
        <v/>
      </c>
      <c r="U13" s="7">
        <f>LAVORAZIONI!AA134</f>
        <v/>
      </c>
      <c r="V13" s="6">
        <f>LAVORAZIONI!AB134</f>
        <v/>
      </c>
      <c r="W13" s="7">
        <f>LAVORAZIONI!AC134</f>
        <v/>
      </c>
      <c r="X13" s="6">
        <f>LAVORAZIONI!AD134</f>
        <v/>
      </c>
      <c r="Y13" s="7">
        <f>LAVORAZIONI!AE134</f>
        <v/>
      </c>
      <c r="Z13" s="6">
        <f>LAVORAZIONI!AF134</f>
        <v/>
      </c>
      <c r="AA13" s="7">
        <f>LAVORAZIONI!AG134</f>
        <v/>
      </c>
      <c r="AB13" s="6">
        <f>LAVORAZIONI!AH134</f>
        <v/>
      </c>
      <c r="AC13" s="7">
        <f>LAVORAZIONI!AI134</f>
        <v/>
      </c>
      <c r="AD13" s="13">
        <f>LAVORAZIONI!AJ134</f>
        <v/>
      </c>
    </row>
    <row r="14" ht="35" customHeight="1" s="46">
      <c r="B14" s="4">
        <f>LAVORAZIONI!G135</f>
        <v/>
      </c>
      <c r="C14" s="3">
        <f>LAVORAZIONI!A135</f>
        <v/>
      </c>
      <c r="D14" s="3">
        <f>LAVORAZIONI!K135</f>
        <v/>
      </c>
      <c r="E14" s="4">
        <f>LAVORAZIONI!H135</f>
        <v/>
      </c>
      <c r="F14" s="4">
        <f>LAVORAZIONI!M135</f>
        <v/>
      </c>
      <c r="G14" s="5">
        <f>LAVORAZIONI!N135</f>
        <v/>
      </c>
      <c r="H14" s="6">
        <f>LAVORAZIONI!O135</f>
        <v/>
      </c>
      <c r="I14" s="13">
        <f>LAVORAZIONI!P135</f>
        <v/>
      </c>
      <c r="J14" s="5">
        <f>IF(LAVORAZIONI!Q135="","",LAVORAZIONI!Q135)</f>
        <v/>
      </c>
      <c r="K14" s="6">
        <f>IF(LAVORAZIONI!R135="","",LAVORAZIONI!R135)</f>
        <v/>
      </c>
      <c r="L14" s="13">
        <f>IF(LAVORAZIONI!S135="","",LAVORAZIONI!S135)</f>
        <v/>
      </c>
      <c r="M14" s="13">
        <f>LAVORAZIONI!T135</f>
        <v/>
      </c>
      <c r="O14" s="7">
        <f>LAVORAZIONI!U135</f>
        <v/>
      </c>
      <c r="P14" s="45">
        <f>LAVORAZIONI!V135</f>
        <v/>
      </c>
      <c r="Q14" s="7">
        <f>LAVORAZIONI!W135</f>
        <v/>
      </c>
      <c r="R14" s="6">
        <f>LAVORAZIONI!X135</f>
        <v/>
      </c>
      <c r="S14" s="7">
        <f>LAVORAZIONI!Y135</f>
        <v/>
      </c>
      <c r="T14" s="6">
        <f>LAVORAZIONI!Z135</f>
        <v/>
      </c>
      <c r="U14" s="7">
        <f>LAVORAZIONI!AA135</f>
        <v/>
      </c>
      <c r="V14" s="6">
        <f>LAVORAZIONI!AB135</f>
        <v/>
      </c>
      <c r="W14" s="7">
        <f>LAVORAZIONI!AC135</f>
        <v/>
      </c>
      <c r="X14" s="6">
        <f>LAVORAZIONI!AD135</f>
        <v/>
      </c>
      <c r="Y14" s="7">
        <f>LAVORAZIONI!AE135</f>
        <v/>
      </c>
      <c r="Z14" s="6">
        <f>LAVORAZIONI!AF135</f>
        <v/>
      </c>
      <c r="AA14" s="7">
        <f>LAVORAZIONI!AG135</f>
        <v/>
      </c>
      <c r="AB14" s="6">
        <f>LAVORAZIONI!AH135</f>
        <v/>
      </c>
      <c r="AC14" s="7">
        <f>LAVORAZIONI!AI135</f>
        <v/>
      </c>
      <c r="AD14" s="13">
        <f>LAVORAZIONI!AJ135</f>
        <v/>
      </c>
    </row>
    <row r="15" ht="35" customHeight="1" s="46">
      <c r="B15" s="4">
        <f>LAVORAZIONI!G136</f>
        <v/>
      </c>
      <c r="C15" s="3">
        <f>LAVORAZIONI!A136</f>
        <v/>
      </c>
      <c r="D15" s="3">
        <f>LAVORAZIONI!K136</f>
        <v/>
      </c>
      <c r="E15" s="4">
        <f>LAVORAZIONI!H136</f>
        <v/>
      </c>
      <c r="F15" s="4">
        <f>LAVORAZIONI!M136</f>
        <v/>
      </c>
      <c r="G15" s="5">
        <f>LAVORAZIONI!N136</f>
        <v/>
      </c>
      <c r="H15" s="6">
        <f>LAVORAZIONI!O136</f>
        <v/>
      </c>
      <c r="I15" s="13">
        <f>LAVORAZIONI!P136</f>
        <v/>
      </c>
      <c r="J15" s="5">
        <f>IF(LAVORAZIONI!Q136="","",LAVORAZIONI!Q136)</f>
        <v/>
      </c>
      <c r="K15" s="6">
        <f>IF(LAVORAZIONI!R136="","",LAVORAZIONI!R136)</f>
        <v/>
      </c>
      <c r="L15" s="13">
        <f>IF(LAVORAZIONI!S136="","",LAVORAZIONI!S136)</f>
        <v/>
      </c>
      <c r="M15" s="13">
        <f>LAVORAZIONI!T136</f>
        <v/>
      </c>
      <c r="O15" s="7">
        <f>LAVORAZIONI!U136</f>
        <v/>
      </c>
      <c r="P15" s="45">
        <f>LAVORAZIONI!V136</f>
        <v/>
      </c>
      <c r="Q15" s="7">
        <f>LAVORAZIONI!W136</f>
        <v/>
      </c>
      <c r="R15" s="6">
        <f>LAVORAZIONI!X136</f>
        <v/>
      </c>
      <c r="S15" s="7">
        <f>LAVORAZIONI!Y136</f>
        <v/>
      </c>
      <c r="T15" s="6">
        <f>LAVORAZIONI!Z136</f>
        <v/>
      </c>
      <c r="U15" s="7">
        <f>LAVORAZIONI!AA136</f>
        <v/>
      </c>
      <c r="V15" s="6">
        <f>LAVORAZIONI!AB136</f>
        <v/>
      </c>
      <c r="W15" s="7">
        <f>LAVORAZIONI!AC136</f>
        <v/>
      </c>
      <c r="X15" s="6">
        <f>LAVORAZIONI!AD136</f>
        <v/>
      </c>
      <c r="Y15" s="7">
        <f>LAVORAZIONI!AE136</f>
        <v/>
      </c>
      <c r="Z15" s="6">
        <f>LAVORAZIONI!AF136</f>
        <v/>
      </c>
      <c r="AA15" s="7">
        <f>LAVORAZIONI!AG136</f>
        <v/>
      </c>
      <c r="AB15" s="6">
        <f>LAVORAZIONI!AH136</f>
        <v/>
      </c>
      <c r="AC15" s="7">
        <f>LAVORAZIONI!AI136</f>
        <v/>
      </c>
      <c r="AD15" s="13">
        <f>LAVORAZIONI!AJ136</f>
        <v/>
      </c>
    </row>
    <row r="16" ht="35" customHeight="1" s="46">
      <c r="B16" s="4">
        <f>LAVORAZIONI!G137</f>
        <v/>
      </c>
      <c r="C16" s="3">
        <f>LAVORAZIONI!A137</f>
        <v/>
      </c>
      <c r="D16" s="3">
        <f>LAVORAZIONI!K137</f>
        <v/>
      </c>
      <c r="E16" s="4">
        <f>LAVORAZIONI!H137</f>
        <v/>
      </c>
      <c r="F16" s="4">
        <f>LAVORAZIONI!M137</f>
        <v/>
      </c>
      <c r="G16" s="5">
        <f>LAVORAZIONI!N137</f>
        <v/>
      </c>
      <c r="H16" s="6">
        <f>LAVORAZIONI!O137</f>
        <v/>
      </c>
      <c r="I16" s="13">
        <f>LAVORAZIONI!P137</f>
        <v/>
      </c>
      <c r="J16" s="5">
        <f>IF(LAVORAZIONI!Q137="","",LAVORAZIONI!Q137)</f>
        <v/>
      </c>
      <c r="K16" s="6">
        <f>IF(LAVORAZIONI!R137="","",LAVORAZIONI!R137)</f>
        <v/>
      </c>
      <c r="L16" s="13">
        <f>IF(LAVORAZIONI!S137="","",LAVORAZIONI!S137)</f>
        <v/>
      </c>
      <c r="M16" s="13">
        <f>LAVORAZIONI!T137</f>
        <v/>
      </c>
      <c r="O16" s="7">
        <f>LAVORAZIONI!U137</f>
        <v/>
      </c>
      <c r="P16" s="45">
        <f>LAVORAZIONI!V137</f>
        <v/>
      </c>
      <c r="Q16" s="7">
        <f>LAVORAZIONI!W137</f>
        <v/>
      </c>
      <c r="R16" s="6">
        <f>LAVORAZIONI!X137</f>
        <v/>
      </c>
      <c r="S16" s="7">
        <f>LAVORAZIONI!Y137</f>
        <v/>
      </c>
      <c r="T16" s="6">
        <f>LAVORAZIONI!Z137</f>
        <v/>
      </c>
      <c r="U16" s="7">
        <f>LAVORAZIONI!AA137</f>
        <v/>
      </c>
      <c r="V16" s="6">
        <f>LAVORAZIONI!AB137</f>
        <v/>
      </c>
      <c r="W16" s="7">
        <f>LAVORAZIONI!AC137</f>
        <v/>
      </c>
      <c r="X16" s="6">
        <f>LAVORAZIONI!AD137</f>
        <v/>
      </c>
      <c r="Y16" s="7">
        <f>LAVORAZIONI!AE137</f>
        <v/>
      </c>
      <c r="Z16" s="6">
        <f>LAVORAZIONI!AF137</f>
        <v/>
      </c>
      <c r="AA16" s="7">
        <f>LAVORAZIONI!AG137</f>
        <v/>
      </c>
      <c r="AB16" s="6">
        <f>LAVORAZIONI!AH137</f>
        <v/>
      </c>
      <c r="AC16" s="7">
        <f>LAVORAZIONI!AI137</f>
        <v/>
      </c>
      <c r="AD16" s="13">
        <f>LAVORAZIONI!AJ137</f>
        <v/>
      </c>
    </row>
    <row r="17" ht="35" customHeight="1" s="46">
      <c r="B17" s="4">
        <f>LAVORAZIONI!G138</f>
        <v/>
      </c>
      <c r="C17" s="3">
        <f>LAVORAZIONI!A138</f>
        <v/>
      </c>
      <c r="D17" s="3">
        <f>LAVORAZIONI!K138</f>
        <v/>
      </c>
      <c r="E17" s="4">
        <f>LAVORAZIONI!H138</f>
        <v/>
      </c>
      <c r="F17" s="4">
        <f>LAVORAZIONI!M138</f>
        <v/>
      </c>
      <c r="G17" s="5">
        <f>LAVORAZIONI!N138</f>
        <v/>
      </c>
      <c r="H17" s="6">
        <f>LAVORAZIONI!O138</f>
        <v/>
      </c>
      <c r="I17" s="13">
        <f>LAVORAZIONI!P138</f>
        <v/>
      </c>
      <c r="J17" s="5">
        <f>IF(LAVORAZIONI!Q138="","",LAVORAZIONI!Q138)</f>
        <v/>
      </c>
      <c r="K17" s="6">
        <f>IF(LAVORAZIONI!R138="","",LAVORAZIONI!R138)</f>
        <v/>
      </c>
      <c r="L17" s="13">
        <f>IF(LAVORAZIONI!S138="","",LAVORAZIONI!S138)</f>
        <v/>
      </c>
      <c r="M17" s="13">
        <f>LAVORAZIONI!T138</f>
        <v/>
      </c>
      <c r="O17" s="7">
        <f>LAVORAZIONI!U138</f>
        <v/>
      </c>
      <c r="P17" s="45">
        <f>LAVORAZIONI!V138</f>
        <v/>
      </c>
      <c r="Q17" s="7">
        <f>LAVORAZIONI!W138</f>
        <v/>
      </c>
      <c r="R17" s="6">
        <f>LAVORAZIONI!X138</f>
        <v/>
      </c>
      <c r="S17" s="7">
        <f>LAVORAZIONI!Y138</f>
        <v/>
      </c>
      <c r="T17" s="6">
        <f>LAVORAZIONI!Z138</f>
        <v/>
      </c>
      <c r="U17" s="7">
        <f>LAVORAZIONI!AA138</f>
        <v/>
      </c>
      <c r="V17" s="6">
        <f>LAVORAZIONI!AB138</f>
        <v/>
      </c>
      <c r="W17" s="7">
        <f>LAVORAZIONI!AC138</f>
        <v/>
      </c>
      <c r="X17" s="6">
        <f>LAVORAZIONI!AD138</f>
        <v/>
      </c>
      <c r="Y17" s="7">
        <f>LAVORAZIONI!AE138</f>
        <v/>
      </c>
      <c r="Z17" s="6">
        <f>LAVORAZIONI!AF138</f>
        <v/>
      </c>
      <c r="AA17" s="7">
        <f>LAVORAZIONI!AG138</f>
        <v/>
      </c>
      <c r="AB17" s="6">
        <f>LAVORAZIONI!AH138</f>
        <v/>
      </c>
      <c r="AC17" s="7">
        <f>LAVORAZIONI!AI138</f>
        <v/>
      </c>
      <c r="AD17" s="13">
        <f>LAVORAZIONI!AJ138</f>
        <v/>
      </c>
    </row>
    <row r="18" ht="35" customHeight="1" s="46">
      <c r="B18" s="4">
        <f>LAVORAZIONI!G139</f>
        <v/>
      </c>
      <c r="C18" s="3">
        <f>LAVORAZIONI!A139</f>
        <v/>
      </c>
      <c r="D18" s="3">
        <f>LAVORAZIONI!K139</f>
        <v/>
      </c>
      <c r="E18" s="4">
        <f>LAVORAZIONI!H139</f>
        <v/>
      </c>
      <c r="F18" s="4">
        <f>LAVORAZIONI!M139</f>
        <v/>
      </c>
      <c r="G18" s="5">
        <f>LAVORAZIONI!N139</f>
        <v/>
      </c>
      <c r="H18" s="6">
        <f>LAVORAZIONI!O139</f>
        <v/>
      </c>
      <c r="I18" s="13">
        <f>LAVORAZIONI!P139</f>
        <v/>
      </c>
      <c r="J18" s="5">
        <f>IF(LAVORAZIONI!Q139="","",LAVORAZIONI!Q139)</f>
        <v/>
      </c>
      <c r="K18" s="6">
        <f>IF(LAVORAZIONI!R139="","",LAVORAZIONI!R139)</f>
        <v/>
      </c>
      <c r="L18" s="13">
        <f>IF(LAVORAZIONI!S139="","",LAVORAZIONI!S139)</f>
        <v/>
      </c>
      <c r="M18" s="13">
        <f>LAVORAZIONI!T139</f>
        <v/>
      </c>
      <c r="O18" s="7">
        <f>LAVORAZIONI!U139</f>
        <v/>
      </c>
      <c r="P18" s="45">
        <f>LAVORAZIONI!V139</f>
        <v/>
      </c>
      <c r="Q18" s="7">
        <f>LAVORAZIONI!W139</f>
        <v/>
      </c>
      <c r="R18" s="6">
        <f>LAVORAZIONI!X139</f>
        <v/>
      </c>
      <c r="S18" s="7">
        <f>LAVORAZIONI!Y139</f>
        <v/>
      </c>
      <c r="T18" s="6">
        <f>LAVORAZIONI!Z139</f>
        <v/>
      </c>
      <c r="U18" s="7">
        <f>LAVORAZIONI!AA139</f>
        <v/>
      </c>
      <c r="V18" s="6">
        <f>LAVORAZIONI!AB139</f>
        <v/>
      </c>
      <c r="W18" s="7">
        <f>LAVORAZIONI!AC139</f>
        <v/>
      </c>
      <c r="X18" s="6">
        <f>LAVORAZIONI!AD139</f>
        <v/>
      </c>
      <c r="Y18" s="7">
        <f>LAVORAZIONI!AE139</f>
        <v/>
      </c>
      <c r="Z18" s="6">
        <f>LAVORAZIONI!AF139</f>
        <v/>
      </c>
      <c r="AA18" s="7">
        <f>LAVORAZIONI!AG139</f>
        <v/>
      </c>
      <c r="AB18" s="6">
        <f>LAVORAZIONI!AH139</f>
        <v/>
      </c>
      <c r="AC18" s="7">
        <f>LAVORAZIONI!AI139</f>
        <v/>
      </c>
      <c r="AD18" s="13">
        <f>LAVORAZIONI!AJ139</f>
        <v/>
      </c>
    </row>
    <row r="19" ht="35" customHeight="1" s="46">
      <c r="B19" s="4">
        <f>LAVORAZIONI!G140</f>
        <v/>
      </c>
      <c r="C19" s="3">
        <f>LAVORAZIONI!A140</f>
        <v/>
      </c>
      <c r="D19" s="3">
        <f>LAVORAZIONI!K140</f>
        <v/>
      </c>
      <c r="E19" s="4">
        <f>LAVORAZIONI!H140</f>
        <v/>
      </c>
      <c r="F19" s="4">
        <f>LAVORAZIONI!M140</f>
        <v/>
      </c>
      <c r="G19" s="5">
        <f>LAVORAZIONI!N140</f>
        <v/>
      </c>
      <c r="H19" s="6">
        <f>LAVORAZIONI!O140</f>
        <v/>
      </c>
      <c r="I19" s="13">
        <f>LAVORAZIONI!P140</f>
        <v/>
      </c>
      <c r="J19" s="5">
        <f>IF(LAVORAZIONI!Q140="","",LAVORAZIONI!Q140)</f>
        <v/>
      </c>
      <c r="K19" s="6">
        <f>IF(LAVORAZIONI!R140="","",LAVORAZIONI!R140)</f>
        <v/>
      </c>
      <c r="L19" s="13">
        <f>IF(LAVORAZIONI!S140="","",LAVORAZIONI!S140)</f>
        <v/>
      </c>
      <c r="M19" s="13">
        <f>LAVORAZIONI!T140</f>
        <v/>
      </c>
      <c r="O19" s="7">
        <f>LAVORAZIONI!U140</f>
        <v/>
      </c>
      <c r="P19" s="45">
        <f>LAVORAZIONI!V140</f>
        <v/>
      </c>
      <c r="Q19" s="7">
        <f>LAVORAZIONI!W140</f>
        <v/>
      </c>
      <c r="R19" s="6">
        <f>LAVORAZIONI!X140</f>
        <v/>
      </c>
      <c r="S19" s="7">
        <f>LAVORAZIONI!Y140</f>
        <v/>
      </c>
      <c r="T19" s="6">
        <f>LAVORAZIONI!Z140</f>
        <v/>
      </c>
      <c r="U19" s="7">
        <f>LAVORAZIONI!AA140</f>
        <v/>
      </c>
      <c r="V19" s="6">
        <f>LAVORAZIONI!AB140</f>
        <v/>
      </c>
      <c r="W19" s="7">
        <f>LAVORAZIONI!AC140</f>
        <v/>
      </c>
      <c r="X19" s="6">
        <f>LAVORAZIONI!AD140</f>
        <v/>
      </c>
      <c r="Y19" s="7">
        <f>LAVORAZIONI!AE140</f>
        <v/>
      </c>
      <c r="Z19" s="6">
        <f>LAVORAZIONI!AF140</f>
        <v/>
      </c>
      <c r="AA19" s="7">
        <f>LAVORAZIONI!AG140</f>
        <v/>
      </c>
      <c r="AB19" s="6">
        <f>LAVORAZIONI!AH140</f>
        <v/>
      </c>
      <c r="AC19" s="7">
        <f>LAVORAZIONI!AI140</f>
        <v/>
      </c>
      <c r="AD19" s="13">
        <f>LAVORAZIONI!AJ140</f>
        <v/>
      </c>
    </row>
    <row r="20" ht="35" customHeight="1" s="46">
      <c r="B20" s="4">
        <f>LAVORAZIONI!G141</f>
        <v/>
      </c>
      <c r="C20" s="3">
        <f>LAVORAZIONI!A141</f>
        <v/>
      </c>
      <c r="D20" s="3">
        <f>LAVORAZIONI!K141</f>
        <v/>
      </c>
      <c r="E20" s="4">
        <f>LAVORAZIONI!H141</f>
        <v/>
      </c>
      <c r="F20" s="4">
        <f>LAVORAZIONI!M141</f>
        <v/>
      </c>
      <c r="G20" s="5">
        <f>LAVORAZIONI!N141</f>
        <v/>
      </c>
      <c r="H20" s="6">
        <f>LAVORAZIONI!O141</f>
        <v/>
      </c>
      <c r="I20" s="13">
        <f>LAVORAZIONI!P141</f>
        <v/>
      </c>
      <c r="J20" s="5">
        <f>IF(LAVORAZIONI!Q141="","",LAVORAZIONI!Q141)</f>
        <v/>
      </c>
      <c r="K20" s="6">
        <f>IF(LAVORAZIONI!R141="","",LAVORAZIONI!R141)</f>
        <v/>
      </c>
      <c r="L20" s="13">
        <f>IF(LAVORAZIONI!S141="","",LAVORAZIONI!S141)</f>
        <v/>
      </c>
      <c r="M20" s="13">
        <f>LAVORAZIONI!T141</f>
        <v/>
      </c>
      <c r="O20" s="7">
        <f>LAVORAZIONI!U141</f>
        <v/>
      </c>
      <c r="P20" s="45">
        <f>LAVORAZIONI!V141</f>
        <v/>
      </c>
      <c r="Q20" s="7">
        <f>LAVORAZIONI!W141</f>
        <v/>
      </c>
      <c r="R20" s="6">
        <f>LAVORAZIONI!X141</f>
        <v/>
      </c>
      <c r="S20" s="7">
        <f>LAVORAZIONI!Y141</f>
        <v/>
      </c>
      <c r="T20" s="6">
        <f>LAVORAZIONI!Z141</f>
        <v/>
      </c>
      <c r="U20" s="7">
        <f>LAVORAZIONI!AA141</f>
        <v/>
      </c>
      <c r="V20" s="6">
        <f>LAVORAZIONI!AB141</f>
        <v/>
      </c>
      <c r="W20" s="7">
        <f>LAVORAZIONI!AC141</f>
        <v/>
      </c>
      <c r="X20" s="6">
        <f>LAVORAZIONI!AD141</f>
        <v/>
      </c>
      <c r="Y20" s="7">
        <f>LAVORAZIONI!AE141</f>
        <v/>
      </c>
      <c r="Z20" s="6">
        <f>LAVORAZIONI!AF141</f>
        <v/>
      </c>
      <c r="AA20" s="7">
        <f>LAVORAZIONI!AG141</f>
        <v/>
      </c>
      <c r="AB20" s="6">
        <f>LAVORAZIONI!AH141</f>
        <v/>
      </c>
      <c r="AC20" s="7">
        <f>LAVORAZIONI!AI141</f>
        <v/>
      </c>
      <c r="AD20" s="13">
        <f>LAVORAZIONI!AJ141</f>
        <v/>
      </c>
    </row>
    <row r="21" ht="35" customHeight="1" s="46">
      <c r="B21" s="4">
        <f>LAVORAZIONI!G142</f>
        <v/>
      </c>
      <c r="C21" s="3">
        <f>LAVORAZIONI!A142</f>
        <v/>
      </c>
      <c r="D21" s="3">
        <f>LAVORAZIONI!K142</f>
        <v/>
      </c>
      <c r="E21" s="4">
        <f>LAVORAZIONI!H142</f>
        <v/>
      </c>
      <c r="F21" s="4">
        <f>LAVORAZIONI!M142</f>
        <v/>
      </c>
      <c r="G21" s="5">
        <f>LAVORAZIONI!N142</f>
        <v/>
      </c>
      <c r="H21" s="6">
        <f>LAVORAZIONI!O142</f>
        <v/>
      </c>
      <c r="I21" s="13">
        <f>LAVORAZIONI!P142</f>
        <v/>
      </c>
      <c r="J21" s="5">
        <f>IF(LAVORAZIONI!Q142="","",LAVORAZIONI!Q142)</f>
        <v/>
      </c>
      <c r="K21" s="6">
        <f>IF(LAVORAZIONI!R142="","",LAVORAZIONI!R142)</f>
        <v/>
      </c>
      <c r="L21" s="13">
        <f>IF(LAVORAZIONI!S142="","",LAVORAZIONI!S142)</f>
        <v/>
      </c>
      <c r="M21" s="13">
        <f>LAVORAZIONI!T142</f>
        <v/>
      </c>
      <c r="O21" s="7">
        <f>LAVORAZIONI!U142</f>
        <v/>
      </c>
      <c r="P21" s="45">
        <f>LAVORAZIONI!V142</f>
        <v/>
      </c>
      <c r="Q21" s="7">
        <f>LAVORAZIONI!W142</f>
        <v/>
      </c>
      <c r="R21" s="6">
        <f>LAVORAZIONI!X142</f>
        <v/>
      </c>
      <c r="S21" s="7">
        <f>LAVORAZIONI!Y142</f>
        <v/>
      </c>
      <c r="T21" s="6">
        <f>LAVORAZIONI!Z142</f>
        <v/>
      </c>
      <c r="U21" s="7">
        <f>LAVORAZIONI!AA142</f>
        <v/>
      </c>
      <c r="V21" s="6">
        <f>LAVORAZIONI!AB142</f>
        <v/>
      </c>
      <c r="W21" s="7">
        <f>LAVORAZIONI!AC142</f>
        <v/>
      </c>
      <c r="X21" s="6">
        <f>LAVORAZIONI!AD142</f>
        <v/>
      </c>
      <c r="Y21" s="7">
        <f>LAVORAZIONI!AE142</f>
        <v/>
      </c>
      <c r="Z21" s="6">
        <f>LAVORAZIONI!AF142</f>
        <v/>
      </c>
      <c r="AA21" s="7">
        <f>LAVORAZIONI!AG142</f>
        <v/>
      </c>
      <c r="AB21" s="6">
        <f>LAVORAZIONI!AH142</f>
        <v/>
      </c>
      <c r="AC21" s="7">
        <f>LAVORAZIONI!AI142</f>
        <v/>
      </c>
      <c r="AD21" s="13">
        <f>LAVORAZIONI!AJ142</f>
        <v/>
      </c>
    </row>
    <row r="22" ht="35" customHeight="1" s="46">
      <c r="B22" s="4">
        <f>LAVORAZIONI!G143</f>
        <v/>
      </c>
      <c r="C22" s="3">
        <f>LAVORAZIONI!A143</f>
        <v/>
      </c>
      <c r="D22" s="3">
        <f>LAVORAZIONI!K143</f>
        <v/>
      </c>
      <c r="E22" s="4">
        <f>LAVORAZIONI!H143</f>
        <v/>
      </c>
      <c r="F22" s="4">
        <f>LAVORAZIONI!M143</f>
        <v/>
      </c>
      <c r="G22" s="5">
        <f>LAVORAZIONI!N143</f>
        <v/>
      </c>
      <c r="H22" s="6">
        <f>LAVORAZIONI!O143</f>
        <v/>
      </c>
      <c r="I22" s="13">
        <f>LAVORAZIONI!P143</f>
        <v/>
      </c>
      <c r="J22" s="5">
        <f>IF(LAVORAZIONI!Q143="","",LAVORAZIONI!Q143)</f>
        <v/>
      </c>
      <c r="K22" s="6">
        <f>IF(LAVORAZIONI!R143="","",LAVORAZIONI!R143)</f>
        <v/>
      </c>
      <c r="L22" s="13">
        <f>IF(LAVORAZIONI!S143="","",LAVORAZIONI!S143)</f>
        <v/>
      </c>
      <c r="M22" s="13">
        <f>LAVORAZIONI!T143</f>
        <v/>
      </c>
      <c r="O22" s="7">
        <f>LAVORAZIONI!U143</f>
        <v/>
      </c>
      <c r="P22" s="45">
        <f>LAVORAZIONI!V143</f>
        <v/>
      </c>
      <c r="Q22" s="7">
        <f>LAVORAZIONI!W143</f>
        <v/>
      </c>
      <c r="R22" s="6">
        <f>LAVORAZIONI!X143</f>
        <v/>
      </c>
      <c r="S22" s="7">
        <f>LAVORAZIONI!Y143</f>
        <v/>
      </c>
      <c r="T22" s="6">
        <f>LAVORAZIONI!Z143</f>
        <v/>
      </c>
      <c r="U22" s="7">
        <f>LAVORAZIONI!AA143</f>
        <v/>
      </c>
      <c r="V22" s="6">
        <f>LAVORAZIONI!AB143</f>
        <v/>
      </c>
      <c r="W22" s="7">
        <f>LAVORAZIONI!AC143</f>
        <v/>
      </c>
      <c r="X22" s="6">
        <f>LAVORAZIONI!AD143</f>
        <v/>
      </c>
      <c r="Y22" s="7">
        <f>LAVORAZIONI!AE143</f>
        <v/>
      </c>
      <c r="Z22" s="6">
        <f>LAVORAZIONI!AF143</f>
        <v/>
      </c>
      <c r="AA22" s="7">
        <f>LAVORAZIONI!AG143</f>
        <v/>
      </c>
      <c r="AB22" s="6">
        <f>LAVORAZIONI!AH143</f>
        <v/>
      </c>
      <c r="AC22" s="7">
        <f>LAVORAZIONI!AI143</f>
        <v/>
      </c>
      <c r="AD22" s="13">
        <f>LAVORAZIONI!AJ143</f>
        <v/>
      </c>
    </row>
    <row r="23" ht="35" customHeight="1" s="46">
      <c r="B23" s="4">
        <f>LAVORAZIONI!G144</f>
        <v/>
      </c>
      <c r="C23" s="3">
        <f>LAVORAZIONI!A144</f>
        <v/>
      </c>
      <c r="D23" s="3">
        <f>LAVORAZIONI!K144</f>
        <v/>
      </c>
      <c r="E23" s="4">
        <f>LAVORAZIONI!H144</f>
        <v/>
      </c>
      <c r="F23" s="4">
        <f>LAVORAZIONI!M144</f>
        <v/>
      </c>
      <c r="G23" s="5">
        <f>LAVORAZIONI!N144</f>
        <v/>
      </c>
      <c r="H23" s="6">
        <f>LAVORAZIONI!O144</f>
        <v/>
      </c>
      <c r="I23" s="13">
        <f>LAVORAZIONI!P144</f>
        <v/>
      </c>
      <c r="J23" s="5">
        <f>IF(LAVORAZIONI!Q144="","",LAVORAZIONI!Q144)</f>
        <v/>
      </c>
      <c r="K23" s="6">
        <f>IF(LAVORAZIONI!R144="","",LAVORAZIONI!R144)</f>
        <v/>
      </c>
      <c r="L23" s="13">
        <f>IF(LAVORAZIONI!S144="","",LAVORAZIONI!S144)</f>
        <v/>
      </c>
      <c r="M23" s="13">
        <f>LAVORAZIONI!T144</f>
        <v/>
      </c>
      <c r="O23" s="7">
        <f>LAVORAZIONI!U144</f>
        <v/>
      </c>
      <c r="P23" s="45">
        <f>LAVORAZIONI!V144</f>
        <v/>
      </c>
      <c r="Q23" s="7">
        <f>LAVORAZIONI!W144</f>
        <v/>
      </c>
      <c r="R23" s="6">
        <f>LAVORAZIONI!X144</f>
        <v/>
      </c>
      <c r="S23" s="7">
        <f>LAVORAZIONI!Y144</f>
        <v/>
      </c>
      <c r="T23" s="6">
        <f>LAVORAZIONI!Z144</f>
        <v/>
      </c>
      <c r="U23" s="7">
        <f>LAVORAZIONI!AA144</f>
        <v/>
      </c>
      <c r="V23" s="6">
        <f>LAVORAZIONI!AB144</f>
        <v/>
      </c>
      <c r="W23" s="7">
        <f>LAVORAZIONI!AC144</f>
        <v/>
      </c>
      <c r="X23" s="6">
        <f>LAVORAZIONI!AD144</f>
        <v/>
      </c>
      <c r="Y23" s="7">
        <f>LAVORAZIONI!AE144</f>
        <v/>
      </c>
      <c r="Z23" s="6">
        <f>LAVORAZIONI!AF144</f>
        <v/>
      </c>
      <c r="AA23" s="7">
        <f>LAVORAZIONI!AG144</f>
        <v/>
      </c>
      <c r="AB23" s="6">
        <f>LAVORAZIONI!AH144</f>
        <v/>
      </c>
      <c r="AC23" s="7">
        <f>LAVORAZIONI!AI144</f>
        <v/>
      </c>
      <c r="AD23" s="13">
        <f>LAVORAZIONI!AJ144</f>
        <v/>
      </c>
    </row>
    <row r="24" ht="35" customHeight="1" s="46">
      <c r="B24" s="4">
        <f>LAVORAZIONI!G145</f>
        <v/>
      </c>
      <c r="C24" s="3">
        <f>LAVORAZIONI!A145</f>
        <v/>
      </c>
      <c r="D24" s="3">
        <f>LAVORAZIONI!K145</f>
        <v/>
      </c>
      <c r="E24" s="4">
        <f>LAVORAZIONI!H145</f>
        <v/>
      </c>
      <c r="F24" s="4">
        <f>LAVORAZIONI!M145</f>
        <v/>
      </c>
      <c r="G24" s="5">
        <f>LAVORAZIONI!N145</f>
        <v/>
      </c>
      <c r="H24" s="6">
        <f>LAVORAZIONI!O145</f>
        <v/>
      </c>
      <c r="I24" s="13">
        <f>LAVORAZIONI!P145</f>
        <v/>
      </c>
      <c r="J24" s="5">
        <f>IF(LAVORAZIONI!Q145="","",LAVORAZIONI!Q145)</f>
        <v/>
      </c>
      <c r="K24" s="6">
        <f>IF(LAVORAZIONI!R145="","",LAVORAZIONI!R145)</f>
        <v/>
      </c>
      <c r="L24" s="13">
        <f>IF(LAVORAZIONI!S145="","",LAVORAZIONI!S145)</f>
        <v/>
      </c>
      <c r="M24" s="13">
        <f>LAVORAZIONI!T145</f>
        <v/>
      </c>
      <c r="O24" s="7">
        <f>LAVORAZIONI!U145</f>
        <v/>
      </c>
      <c r="P24" s="45">
        <f>LAVORAZIONI!V145</f>
        <v/>
      </c>
      <c r="Q24" s="7">
        <f>LAVORAZIONI!W145</f>
        <v/>
      </c>
      <c r="R24" s="6">
        <f>LAVORAZIONI!X145</f>
        <v/>
      </c>
      <c r="S24" s="7">
        <f>LAVORAZIONI!Y145</f>
        <v/>
      </c>
      <c r="T24" s="6">
        <f>LAVORAZIONI!Z145</f>
        <v/>
      </c>
      <c r="U24" s="7">
        <f>LAVORAZIONI!AA145</f>
        <v/>
      </c>
      <c r="V24" s="6">
        <f>LAVORAZIONI!AB145</f>
        <v/>
      </c>
      <c r="W24" s="7">
        <f>LAVORAZIONI!AC145</f>
        <v/>
      </c>
      <c r="X24" s="6">
        <f>LAVORAZIONI!AD145</f>
        <v/>
      </c>
      <c r="Y24" s="7">
        <f>LAVORAZIONI!AE145</f>
        <v/>
      </c>
      <c r="Z24" s="6">
        <f>LAVORAZIONI!AF145</f>
        <v/>
      </c>
      <c r="AA24" s="7">
        <f>LAVORAZIONI!AG145</f>
        <v/>
      </c>
      <c r="AB24" s="6">
        <f>LAVORAZIONI!AH145</f>
        <v/>
      </c>
      <c r="AC24" s="7">
        <f>LAVORAZIONI!AI145</f>
        <v/>
      </c>
      <c r="AD24" s="13">
        <f>LAVORAZIONI!AJ145</f>
        <v/>
      </c>
    </row>
    <row r="25" ht="35" customHeight="1" s="46">
      <c r="B25" s="4">
        <f>LAVORAZIONI!G146</f>
        <v/>
      </c>
      <c r="C25" s="3">
        <f>LAVORAZIONI!A146</f>
        <v/>
      </c>
      <c r="D25" s="3">
        <f>LAVORAZIONI!K146</f>
        <v/>
      </c>
      <c r="E25" s="4">
        <f>LAVORAZIONI!H146</f>
        <v/>
      </c>
      <c r="F25" s="4">
        <f>LAVORAZIONI!M146</f>
        <v/>
      </c>
      <c r="G25" s="5">
        <f>LAVORAZIONI!N146</f>
        <v/>
      </c>
      <c r="H25" s="6">
        <f>LAVORAZIONI!O146</f>
        <v/>
      </c>
      <c r="I25" s="13">
        <f>LAVORAZIONI!P146</f>
        <v/>
      </c>
      <c r="J25" s="5">
        <f>IF(LAVORAZIONI!Q146="","",LAVORAZIONI!Q146)</f>
        <v/>
      </c>
      <c r="K25" s="6">
        <f>IF(LAVORAZIONI!R146="","",LAVORAZIONI!R146)</f>
        <v/>
      </c>
      <c r="L25" s="13">
        <f>IF(LAVORAZIONI!S146="","",LAVORAZIONI!S146)</f>
        <v/>
      </c>
      <c r="M25" s="13">
        <f>LAVORAZIONI!T146</f>
        <v/>
      </c>
      <c r="O25" s="7">
        <f>LAVORAZIONI!U146</f>
        <v/>
      </c>
      <c r="P25" s="45">
        <f>LAVORAZIONI!V146</f>
        <v/>
      </c>
      <c r="Q25" s="7">
        <f>LAVORAZIONI!W146</f>
        <v/>
      </c>
      <c r="R25" s="6">
        <f>LAVORAZIONI!X146</f>
        <v/>
      </c>
      <c r="S25" s="7">
        <f>LAVORAZIONI!Y146</f>
        <v/>
      </c>
      <c r="T25" s="6">
        <f>LAVORAZIONI!Z146</f>
        <v/>
      </c>
      <c r="U25" s="7">
        <f>LAVORAZIONI!AA146</f>
        <v/>
      </c>
      <c r="V25" s="6">
        <f>LAVORAZIONI!AB146</f>
        <v/>
      </c>
      <c r="W25" s="7">
        <f>LAVORAZIONI!AC146</f>
        <v/>
      </c>
      <c r="X25" s="6">
        <f>LAVORAZIONI!AD146</f>
        <v/>
      </c>
      <c r="Y25" s="7">
        <f>LAVORAZIONI!AE146</f>
        <v/>
      </c>
      <c r="Z25" s="6">
        <f>LAVORAZIONI!AF146</f>
        <v/>
      </c>
      <c r="AA25" s="7">
        <f>LAVORAZIONI!AG146</f>
        <v/>
      </c>
      <c r="AB25" s="6">
        <f>LAVORAZIONI!AH146</f>
        <v/>
      </c>
      <c r="AC25" s="7">
        <f>LAVORAZIONI!AI146</f>
        <v/>
      </c>
      <c r="AD25" s="13">
        <f>LAVORAZIONI!AJ146</f>
        <v/>
      </c>
    </row>
    <row r="26" ht="35" customHeight="1" s="46">
      <c r="B26" s="4">
        <f>LAVORAZIONI!G147</f>
        <v/>
      </c>
      <c r="C26" s="3">
        <f>LAVORAZIONI!A147</f>
        <v/>
      </c>
      <c r="D26" s="3">
        <f>LAVORAZIONI!K147</f>
        <v/>
      </c>
      <c r="E26" s="4">
        <f>LAVORAZIONI!H147</f>
        <v/>
      </c>
      <c r="F26" s="4">
        <f>LAVORAZIONI!M147</f>
        <v/>
      </c>
      <c r="G26" s="5">
        <f>LAVORAZIONI!N147</f>
        <v/>
      </c>
      <c r="H26" s="6">
        <f>LAVORAZIONI!O147</f>
        <v/>
      </c>
      <c r="I26" s="13">
        <f>LAVORAZIONI!P147</f>
        <v/>
      </c>
      <c r="J26" s="5">
        <f>IF(LAVORAZIONI!Q147="","",LAVORAZIONI!Q147)</f>
        <v/>
      </c>
      <c r="K26" s="6">
        <f>IF(LAVORAZIONI!R147="","",LAVORAZIONI!R147)</f>
        <v/>
      </c>
      <c r="L26" s="13">
        <f>IF(LAVORAZIONI!S147="","",LAVORAZIONI!S147)</f>
        <v/>
      </c>
      <c r="M26" s="13">
        <f>LAVORAZIONI!T147</f>
        <v/>
      </c>
      <c r="O26" s="7">
        <f>LAVORAZIONI!U147</f>
        <v/>
      </c>
      <c r="P26" s="45">
        <f>LAVORAZIONI!V147</f>
        <v/>
      </c>
      <c r="Q26" s="7">
        <f>LAVORAZIONI!W147</f>
        <v/>
      </c>
      <c r="R26" s="6">
        <f>LAVORAZIONI!X147</f>
        <v/>
      </c>
      <c r="S26" s="7">
        <f>LAVORAZIONI!Y147</f>
        <v/>
      </c>
      <c r="T26" s="6">
        <f>LAVORAZIONI!Z147</f>
        <v/>
      </c>
      <c r="U26" s="7">
        <f>LAVORAZIONI!AA147</f>
        <v/>
      </c>
      <c r="V26" s="6">
        <f>LAVORAZIONI!AB147</f>
        <v/>
      </c>
      <c r="W26" s="7">
        <f>LAVORAZIONI!AC147</f>
        <v/>
      </c>
      <c r="X26" s="6">
        <f>LAVORAZIONI!AD147</f>
        <v/>
      </c>
      <c r="Y26" s="7">
        <f>LAVORAZIONI!AE147</f>
        <v/>
      </c>
      <c r="Z26" s="6">
        <f>LAVORAZIONI!AF147</f>
        <v/>
      </c>
      <c r="AA26" s="7">
        <f>LAVORAZIONI!AG147</f>
        <v/>
      </c>
      <c r="AB26" s="6">
        <f>LAVORAZIONI!AH147</f>
        <v/>
      </c>
      <c r="AC26" s="7">
        <f>LAVORAZIONI!AI147</f>
        <v/>
      </c>
      <c r="AD26" s="13">
        <f>LAVORAZIONI!AJ147</f>
        <v/>
      </c>
    </row>
    <row r="27" ht="35" customHeight="1" s="46">
      <c r="B27" s="4">
        <f>LAVORAZIONI!G148</f>
        <v/>
      </c>
      <c r="C27" s="3">
        <f>LAVORAZIONI!A148</f>
        <v/>
      </c>
      <c r="D27" s="3">
        <f>LAVORAZIONI!K148</f>
        <v/>
      </c>
      <c r="E27" s="4">
        <f>LAVORAZIONI!H148</f>
        <v/>
      </c>
      <c r="F27" s="4">
        <f>LAVORAZIONI!M148</f>
        <v/>
      </c>
      <c r="G27" s="5">
        <f>LAVORAZIONI!N148</f>
        <v/>
      </c>
      <c r="H27" s="6">
        <f>LAVORAZIONI!O148</f>
        <v/>
      </c>
      <c r="I27" s="13">
        <f>LAVORAZIONI!P148</f>
        <v/>
      </c>
      <c r="J27" s="5">
        <f>IF(LAVORAZIONI!Q148="","",LAVORAZIONI!Q148)</f>
        <v/>
      </c>
      <c r="K27" s="6">
        <f>IF(LAVORAZIONI!R148="","",LAVORAZIONI!R148)</f>
        <v/>
      </c>
      <c r="L27" s="13">
        <f>IF(LAVORAZIONI!S148="","",LAVORAZIONI!S148)</f>
        <v/>
      </c>
      <c r="M27" s="13">
        <f>LAVORAZIONI!T148</f>
        <v/>
      </c>
      <c r="O27" s="7">
        <f>LAVORAZIONI!U148</f>
        <v/>
      </c>
      <c r="P27" s="45">
        <f>LAVORAZIONI!V148</f>
        <v/>
      </c>
      <c r="Q27" s="7">
        <f>LAVORAZIONI!W148</f>
        <v/>
      </c>
      <c r="R27" s="6">
        <f>LAVORAZIONI!X148</f>
        <v/>
      </c>
      <c r="S27" s="7">
        <f>LAVORAZIONI!Y148</f>
        <v/>
      </c>
      <c r="T27" s="6">
        <f>LAVORAZIONI!Z148</f>
        <v/>
      </c>
      <c r="U27" s="7">
        <f>LAVORAZIONI!AA148</f>
        <v/>
      </c>
      <c r="V27" s="6">
        <f>LAVORAZIONI!AB148</f>
        <v/>
      </c>
      <c r="W27" s="7">
        <f>LAVORAZIONI!AC148</f>
        <v/>
      </c>
      <c r="X27" s="6">
        <f>LAVORAZIONI!AD148</f>
        <v/>
      </c>
      <c r="Y27" s="7">
        <f>LAVORAZIONI!AE148</f>
        <v/>
      </c>
      <c r="Z27" s="6">
        <f>LAVORAZIONI!AF148</f>
        <v/>
      </c>
      <c r="AA27" s="7">
        <f>LAVORAZIONI!AG148</f>
        <v/>
      </c>
      <c r="AB27" s="6">
        <f>LAVORAZIONI!AH148</f>
        <v/>
      </c>
      <c r="AC27" s="7">
        <f>LAVORAZIONI!AI148</f>
        <v/>
      </c>
      <c r="AD27" s="13">
        <f>LAVORAZIONI!AJ148</f>
        <v/>
      </c>
    </row>
    <row r="28" ht="35" customHeight="1" s="46">
      <c r="B28" s="4">
        <f>LAVORAZIONI!G149</f>
        <v/>
      </c>
      <c r="C28" s="3">
        <f>LAVORAZIONI!A149</f>
        <v/>
      </c>
      <c r="D28" s="3">
        <f>LAVORAZIONI!K149</f>
        <v/>
      </c>
      <c r="E28" s="4">
        <f>LAVORAZIONI!H149</f>
        <v/>
      </c>
      <c r="F28" s="4">
        <f>LAVORAZIONI!M149</f>
        <v/>
      </c>
      <c r="G28" s="5">
        <f>LAVORAZIONI!N149</f>
        <v/>
      </c>
      <c r="H28" s="6">
        <f>LAVORAZIONI!O149</f>
        <v/>
      </c>
      <c r="I28" s="13">
        <f>LAVORAZIONI!P149</f>
        <v/>
      </c>
      <c r="J28" s="5">
        <f>IF(LAVORAZIONI!Q149="","",LAVORAZIONI!Q149)</f>
        <v/>
      </c>
      <c r="K28" s="6">
        <f>IF(LAVORAZIONI!R149="","",LAVORAZIONI!R149)</f>
        <v/>
      </c>
      <c r="L28" s="13">
        <f>IF(LAVORAZIONI!S149="","",LAVORAZIONI!S149)</f>
        <v/>
      </c>
      <c r="M28" s="13">
        <f>LAVORAZIONI!T149</f>
        <v/>
      </c>
      <c r="O28" s="7">
        <f>LAVORAZIONI!U149</f>
        <v/>
      </c>
      <c r="P28" s="45">
        <f>LAVORAZIONI!V149</f>
        <v/>
      </c>
      <c r="Q28" s="7">
        <f>LAVORAZIONI!W149</f>
        <v/>
      </c>
      <c r="R28" s="6">
        <f>LAVORAZIONI!X149</f>
        <v/>
      </c>
      <c r="S28" s="7">
        <f>LAVORAZIONI!Y149</f>
        <v/>
      </c>
      <c r="T28" s="6">
        <f>LAVORAZIONI!Z149</f>
        <v/>
      </c>
      <c r="U28" s="7">
        <f>LAVORAZIONI!AA149</f>
        <v/>
      </c>
      <c r="V28" s="6">
        <f>LAVORAZIONI!AB149</f>
        <v/>
      </c>
      <c r="W28" s="7">
        <f>LAVORAZIONI!AC149</f>
        <v/>
      </c>
      <c r="X28" s="6">
        <f>LAVORAZIONI!AD149</f>
        <v/>
      </c>
      <c r="Y28" s="7">
        <f>LAVORAZIONI!AE149</f>
        <v/>
      </c>
      <c r="Z28" s="6">
        <f>LAVORAZIONI!AF149</f>
        <v/>
      </c>
      <c r="AA28" s="7">
        <f>LAVORAZIONI!AG149</f>
        <v/>
      </c>
      <c r="AB28" s="6">
        <f>LAVORAZIONI!AH149</f>
        <v/>
      </c>
      <c r="AC28" s="7">
        <f>LAVORAZIONI!AI149</f>
        <v/>
      </c>
      <c r="AD28" s="13">
        <f>LAVORAZIONI!AJ149</f>
        <v/>
      </c>
    </row>
    <row r="29" ht="35" customHeight="1" s="46">
      <c r="B29" s="4">
        <f>LAVORAZIONI!G150</f>
        <v/>
      </c>
      <c r="C29" s="3">
        <f>LAVORAZIONI!A150</f>
        <v/>
      </c>
      <c r="D29" s="3">
        <f>LAVORAZIONI!K150</f>
        <v/>
      </c>
      <c r="E29" s="4">
        <f>LAVORAZIONI!H150</f>
        <v/>
      </c>
      <c r="F29" s="4">
        <f>LAVORAZIONI!M150</f>
        <v/>
      </c>
      <c r="G29" s="5">
        <f>LAVORAZIONI!N150</f>
        <v/>
      </c>
      <c r="H29" s="6">
        <f>LAVORAZIONI!O150</f>
        <v/>
      </c>
      <c r="I29" s="13">
        <f>LAVORAZIONI!P150</f>
        <v/>
      </c>
      <c r="J29" s="5">
        <f>IF(LAVORAZIONI!Q150="","",LAVORAZIONI!Q150)</f>
        <v/>
      </c>
      <c r="K29" s="6">
        <f>IF(LAVORAZIONI!R150="","",LAVORAZIONI!R150)</f>
        <v/>
      </c>
      <c r="L29" s="13">
        <f>IF(LAVORAZIONI!S150="","",LAVORAZIONI!S150)</f>
        <v/>
      </c>
      <c r="M29" s="13">
        <f>LAVORAZIONI!T150</f>
        <v/>
      </c>
      <c r="O29" s="7">
        <f>LAVORAZIONI!U150</f>
        <v/>
      </c>
      <c r="P29" s="45">
        <f>LAVORAZIONI!V150</f>
        <v/>
      </c>
      <c r="Q29" s="7">
        <f>LAVORAZIONI!W150</f>
        <v/>
      </c>
      <c r="R29" s="6">
        <f>LAVORAZIONI!X150</f>
        <v/>
      </c>
      <c r="S29" s="7">
        <f>LAVORAZIONI!Y150</f>
        <v/>
      </c>
      <c r="T29" s="6">
        <f>LAVORAZIONI!Z150</f>
        <v/>
      </c>
      <c r="U29" s="7">
        <f>LAVORAZIONI!AA150</f>
        <v/>
      </c>
      <c r="V29" s="6">
        <f>LAVORAZIONI!AB150</f>
        <v/>
      </c>
      <c r="W29" s="7">
        <f>LAVORAZIONI!AC150</f>
        <v/>
      </c>
      <c r="X29" s="6">
        <f>LAVORAZIONI!AD150</f>
        <v/>
      </c>
      <c r="Y29" s="7">
        <f>LAVORAZIONI!AE150</f>
        <v/>
      </c>
      <c r="Z29" s="6">
        <f>LAVORAZIONI!AF150</f>
        <v/>
      </c>
      <c r="AA29" s="7">
        <f>LAVORAZIONI!AG150</f>
        <v/>
      </c>
      <c r="AB29" s="6">
        <f>LAVORAZIONI!AH150</f>
        <v/>
      </c>
      <c r="AC29" s="7">
        <f>LAVORAZIONI!AI150</f>
        <v/>
      </c>
      <c r="AD29" s="13">
        <f>LAVORAZIONI!AJ150</f>
        <v/>
      </c>
    </row>
    <row r="30" ht="35" customHeight="1" s="46">
      <c r="B30" s="4">
        <f>LAVORAZIONI!G151</f>
        <v/>
      </c>
      <c r="C30" s="3">
        <f>LAVORAZIONI!A151</f>
        <v/>
      </c>
      <c r="D30" s="3">
        <f>LAVORAZIONI!K151</f>
        <v/>
      </c>
      <c r="E30" s="4">
        <f>LAVORAZIONI!H151</f>
        <v/>
      </c>
      <c r="F30" s="4">
        <f>LAVORAZIONI!M151</f>
        <v/>
      </c>
      <c r="G30" s="5">
        <f>LAVORAZIONI!N151</f>
        <v/>
      </c>
      <c r="H30" s="6">
        <f>LAVORAZIONI!O151</f>
        <v/>
      </c>
      <c r="I30" s="13">
        <f>LAVORAZIONI!P151</f>
        <v/>
      </c>
      <c r="J30" s="5">
        <f>IF(LAVORAZIONI!Q151="","",LAVORAZIONI!Q151)</f>
        <v/>
      </c>
      <c r="K30" s="6">
        <f>IF(LAVORAZIONI!R151="","",LAVORAZIONI!R151)</f>
        <v/>
      </c>
      <c r="L30" s="13">
        <f>IF(LAVORAZIONI!S151="","",LAVORAZIONI!S151)</f>
        <v/>
      </c>
      <c r="M30" s="13">
        <f>LAVORAZIONI!T151</f>
        <v/>
      </c>
      <c r="O30" s="7">
        <f>LAVORAZIONI!U151</f>
        <v/>
      </c>
      <c r="P30" s="45">
        <f>LAVORAZIONI!V151</f>
        <v/>
      </c>
      <c r="Q30" s="7">
        <f>LAVORAZIONI!W151</f>
        <v/>
      </c>
      <c r="R30" s="6">
        <f>LAVORAZIONI!X151</f>
        <v/>
      </c>
      <c r="S30" s="7">
        <f>LAVORAZIONI!Y151</f>
        <v/>
      </c>
      <c r="T30" s="6">
        <f>LAVORAZIONI!Z151</f>
        <v/>
      </c>
      <c r="U30" s="7">
        <f>LAVORAZIONI!AA151</f>
        <v/>
      </c>
      <c r="V30" s="6">
        <f>LAVORAZIONI!AB151</f>
        <v/>
      </c>
      <c r="W30" s="7">
        <f>LAVORAZIONI!AC151</f>
        <v/>
      </c>
      <c r="X30" s="6">
        <f>LAVORAZIONI!AD151</f>
        <v/>
      </c>
      <c r="Y30" s="7">
        <f>LAVORAZIONI!AE151</f>
        <v/>
      </c>
      <c r="Z30" s="6">
        <f>LAVORAZIONI!AF151</f>
        <v/>
      </c>
      <c r="AA30" s="7">
        <f>LAVORAZIONI!AG151</f>
        <v/>
      </c>
      <c r="AB30" s="6">
        <f>LAVORAZIONI!AH151</f>
        <v/>
      </c>
      <c r="AC30" s="7">
        <f>LAVORAZIONI!AI151</f>
        <v/>
      </c>
      <c r="AD30" s="13">
        <f>LAVORAZIONI!AJ151</f>
        <v/>
      </c>
    </row>
    <row r="31" ht="35" customHeight="1" s="46">
      <c r="B31" s="4">
        <f>LAVORAZIONI!G152</f>
        <v/>
      </c>
      <c r="C31" s="3">
        <f>LAVORAZIONI!A152</f>
        <v/>
      </c>
      <c r="D31" s="3">
        <f>LAVORAZIONI!K152</f>
        <v/>
      </c>
      <c r="E31" s="4">
        <f>LAVORAZIONI!H152</f>
        <v/>
      </c>
      <c r="F31" s="4">
        <f>LAVORAZIONI!M152</f>
        <v/>
      </c>
      <c r="G31" s="5">
        <f>LAVORAZIONI!N152</f>
        <v/>
      </c>
      <c r="H31" s="6">
        <f>LAVORAZIONI!O152</f>
        <v/>
      </c>
      <c r="I31" s="13">
        <f>LAVORAZIONI!P152</f>
        <v/>
      </c>
      <c r="J31" s="5">
        <f>IF(LAVORAZIONI!Q152="","",LAVORAZIONI!Q152)</f>
        <v/>
      </c>
      <c r="K31" s="6">
        <f>IF(LAVORAZIONI!R152="","",LAVORAZIONI!R152)</f>
        <v/>
      </c>
      <c r="L31" s="13">
        <f>IF(LAVORAZIONI!S152="","",LAVORAZIONI!S152)</f>
        <v/>
      </c>
      <c r="M31" s="13">
        <f>LAVORAZIONI!T152</f>
        <v/>
      </c>
      <c r="O31" s="7">
        <f>LAVORAZIONI!U152</f>
        <v/>
      </c>
      <c r="P31" s="45">
        <f>LAVORAZIONI!V152</f>
        <v/>
      </c>
      <c r="Q31" s="7">
        <f>LAVORAZIONI!W152</f>
        <v/>
      </c>
      <c r="R31" s="6">
        <f>LAVORAZIONI!X152</f>
        <v/>
      </c>
      <c r="S31" s="7">
        <f>LAVORAZIONI!Y152</f>
        <v/>
      </c>
      <c r="T31" s="6">
        <f>LAVORAZIONI!Z152</f>
        <v/>
      </c>
      <c r="U31" s="7">
        <f>LAVORAZIONI!AA152</f>
        <v/>
      </c>
      <c r="V31" s="6">
        <f>LAVORAZIONI!AB152</f>
        <v/>
      </c>
      <c r="W31" s="7">
        <f>LAVORAZIONI!AC152</f>
        <v/>
      </c>
      <c r="X31" s="6">
        <f>LAVORAZIONI!AD152</f>
        <v/>
      </c>
      <c r="Y31" s="7">
        <f>LAVORAZIONI!AE152</f>
        <v/>
      </c>
      <c r="Z31" s="6">
        <f>LAVORAZIONI!AF152</f>
        <v/>
      </c>
      <c r="AA31" s="7">
        <f>LAVORAZIONI!AG152</f>
        <v/>
      </c>
      <c r="AB31" s="6">
        <f>LAVORAZIONI!AH152</f>
        <v/>
      </c>
      <c r="AC31" s="7">
        <f>LAVORAZIONI!AI152</f>
        <v/>
      </c>
      <c r="AD31" s="13">
        <f>LAVORAZIONI!AJ152</f>
        <v/>
      </c>
    </row>
    <row r="32" ht="35" customHeight="1" s="46">
      <c r="B32" s="4">
        <f>LAVORAZIONI!G153</f>
        <v/>
      </c>
      <c r="C32" s="3">
        <f>LAVORAZIONI!A153</f>
        <v/>
      </c>
      <c r="D32" s="3">
        <f>LAVORAZIONI!K153</f>
        <v/>
      </c>
      <c r="E32" s="4">
        <f>LAVORAZIONI!H153</f>
        <v/>
      </c>
      <c r="F32" s="4">
        <f>LAVORAZIONI!M153</f>
        <v/>
      </c>
      <c r="G32" s="5">
        <f>LAVORAZIONI!N153</f>
        <v/>
      </c>
      <c r="H32" s="6">
        <f>LAVORAZIONI!O153</f>
        <v/>
      </c>
      <c r="I32" s="13">
        <f>LAVORAZIONI!P153</f>
        <v/>
      </c>
      <c r="J32" s="5">
        <f>IF(LAVORAZIONI!Q153="","",LAVORAZIONI!Q153)</f>
        <v/>
      </c>
      <c r="K32" s="6">
        <f>IF(LAVORAZIONI!R153="","",LAVORAZIONI!R153)</f>
        <v/>
      </c>
      <c r="L32" s="13">
        <f>IF(LAVORAZIONI!S153="","",LAVORAZIONI!S153)</f>
        <v/>
      </c>
      <c r="M32" s="13">
        <f>LAVORAZIONI!T153</f>
        <v/>
      </c>
      <c r="O32" s="7">
        <f>LAVORAZIONI!U153</f>
        <v/>
      </c>
      <c r="P32" s="45">
        <f>LAVORAZIONI!V153</f>
        <v/>
      </c>
      <c r="Q32" s="7">
        <f>LAVORAZIONI!W153</f>
        <v/>
      </c>
      <c r="R32" s="6">
        <f>LAVORAZIONI!X153</f>
        <v/>
      </c>
      <c r="S32" s="7">
        <f>LAVORAZIONI!Y153</f>
        <v/>
      </c>
      <c r="T32" s="6">
        <f>LAVORAZIONI!Z153</f>
        <v/>
      </c>
      <c r="U32" s="7">
        <f>LAVORAZIONI!AA153</f>
        <v/>
      </c>
      <c r="V32" s="6">
        <f>LAVORAZIONI!AB153</f>
        <v/>
      </c>
      <c r="W32" s="7">
        <f>LAVORAZIONI!AC153</f>
        <v/>
      </c>
      <c r="X32" s="6">
        <f>LAVORAZIONI!AD153</f>
        <v/>
      </c>
      <c r="Y32" s="7">
        <f>LAVORAZIONI!AE153</f>
        <v/>
      </c>
      <c r="Z32" s="6">
        <f>LAVORAZIONI!AF153</f>
        <v/>
      </c>
      <c r="AA32" s="7">
        <f>LAVORAZIONI!AG153</f>
        <v/>
      </c>
      <c r="AB32" s="6">
        <f>LAVORAZIONI!AH153</f>
        <v/>
      </c>
      <c r="AC32" s="7">
        <f>LAVORAZIONI!AI153</f>
        <v/>
      </c>
      <c r="AD32" s="13">
        <f>LAVORAZIONI!AJ153</f>
        <v/>
      </c>
    </row>
    <row r="33" ht="35" customHeight="1" s="46">
      <c r="B33" s="4">
        <f>LAVORAZIONI!G154</f>
        <v/>
      </c>
      <c r="C33" s="3">
        <f>LAVORAZIONI!A154</f>
        <v/>
      </c>
      <c r="D33" s="3">
        <f>LAVORAZIONI!K154</f>
        <v/>
      </c>
      <c r="E33" s="4">
        <f>LAVORAZIONI!H154</f>
        <v/>
      </c>
      <c r="F33" s="4">
        <f>LAVORAZIONI!M154</f>
        <v/>
      </c>
      <c r="G33" s="5">
        <f>LAVORAZIONI!N154</f>
        <v/>
      </c>
      <c r="H33" s="6">
        <f>LAVORAZIONI!O154</f>
        <v/>
      </c>
      <c r="I33" s="13">
        <f>LAVORAZIONI!P154</f>
        <v/>
      </c>
      <c r="J33" s="5">
        <f>IF(LAVORAZIONI!Q154="","",LAVORAZIONI!Q154)</f>
        <v/>
      </c>
      <c r="K33" s="6">
        <f>IF(LAVORAZIONI!R154="","",LAVORAZIONI!R154)</f>
        <v/>
      </c>
      <c r="L33" s="13">
        <f>IF(LAVORAZIONI!S154="","",LAVORAZIONI!S154)</f>
        <v/>
      </c>
      <c r="M33" s="13">
        <f>LAVORAZIONI!T154</f>
        <v/>
      </c>
      <c r="O33" s="7">
        <f>LAVORAZIONI!U154</f>
        <v/>
      </c>
      <c r="P33" s="45">
        <f>LAVORAZIONI!V154</f>
        <v/>
      </c>
      <c r="Q33" s="7">
        <f>LAVORAZIONI!W154</f>
        <v/>
      </c>
      <c r="R33" s="6">
        <f>LAVORAZIONI!X154</f>
        <v/>
      </c>
      <c r="S33" s="7">
        <f>LAVORAZIONI!Y154</f>
        <v/>
      </c>
      <c r="T33" s="6">
        <f>LAVORAZIONI!Z154</f>
        <v/>
      </c>
      <c r="U33" s="7">
        <f>LAVORAZIONI!AA154</f>
        <v/>
      </c>
      <c r="V33" s="6">
        <f>LAVORAZIONI!AB154</f>
        <v/>
      </c>
      <c r="W33" s="7">
        <f>LAVORAZIONI!AC154</f>
        <v/>
      </c>
      <c r="X33" s="6">
        <f>LAVORAZIONI!AD154</f>
        <v/>
      </c>
      <c r="Y33" s="7">
        <f>LAVORAZIONI!AE154</f>
        <v/>
      </c>
      <c r="Z33" s="6">
        <f>LAVORAZIONI!AF154</f>
        <v/>
      </c>
      <c r="AA33" s="7">
        <f>LAVORAZIONI!AG154</f>
        <v/>
      </c>
      <c r="AB33" s="6">
        <f>LAVORAZIONI!AH154</f>
        <v/>
      </c>
      <c r="AC33" s="7">
        <f>LAVORAZIONI!AI154</f>
        <v/>
      </c>
      <c r="AD33" s="13">
        <f>LAVORAZIONI!AJ154</f>
        <v/>
      </c>
    </row>
    <row r="34" ht="35" customHeight="1" s="46">
      <c r="B34" s="4">
        <f>LAVORAZIONI!G155</f>
        <v/>
      </c>
      <c r="C34" s="3">
        <f>LAVORAZIONI!A155</f>
        <v/>
      </c>
      <c r="D34" s="3">
        <f>LAVORAZIONI!K155</f>
        <v/>
      </c>
      <c r="E34" s="4">
        <f>LAVORAZIONI!H155</f>
        <v/>
      </c>
      <c r="F34" s="4">
        <f>LAVORAZIONI!M155</f>
        <v/>
      </c>
      <c r="G34" s="5">
        <f>LAVORAZIONI!N155</f>
        <v/>
      </c>
      <c r="H34" s="6">
        <f>LAVORAZIONI!O155</f>
        <v/>
      </c>
      <c r="I34" s="13">
        <f>LAVORAZIONI!P155</f>
        <v/>
      </c>
      <c r="J34" s="5">
        <f>IF(LAVORAZIONI!Q155="","",LAVORAZIONI!Q155)</f>
        <v/>
      </c>
      <c r="K34" s="6">
        <f>IF(LAVORAZIONI!R155="","",LAVORAZIONI!R155)</f>
        <v/>
      </c>
      <c r="L34" s="13">
        <f>IF(LAVORAZIONI!S155="","",LAVORAZIONI!S155)</f>
        <v/>
      </c>
      <c r="M34" s="13">
        <f>LAVORAZIONI!T155</f>
        <v/>
      </c>
      <c r="O34" s="7">
        <f>LAVORAZIONI!U155</f>
        <v/>
      </c>
      <c r="P34" s="45">
        <f>LAVORAZIONI!V155</f>
        <v/>
      </c>
      <c r="Q34" s="7">
        <f>LAVORAZIONI!W155</f>
        <v/>
      </c>
      <c r="R34" s="6">
        <f>LAVORAZIONI!X155</f>
        <v/>
      </c>
      <c r="S34" s="7">
        <f>LAVORAZIONI!Y155</f>
        <v/>
      </c>
      <c r="T34" s="6">
        <f>LAVORAZIONI!Z155</f>
        <v/>
      </c>
      <c r="U34" s="7">
        <f>LAVORAZIONI!AA155</f>
        <v/>
      </c>
      <c r="V34" s="6">
        <f>LAVORAZIONI!AB155</f>
        <v/>
      </c>
      <c r="W34" s="7">
        <f>LAVORAZIONI!AC155</f>
        <v/>
      </c>
      <c r="X34" s="6">
        <f>LAVORAZIONI!AD155</f>
        <v/>
      </c>
      <c r="Y34" s="7">
        <f>LAVORAZIONI!AE155</f>
        <v/>
      </c>
      <c r="Z34" s="6">
        <f>LAVORAZIONI!AF155</f>
        <v/>
      </c>
      <c r="AA34" s="7">
        <f>LAVORAZIONI!AG155</f>
        <v/>
      </c>
      <c r="AB34" s="6">
        <f>LAVORAZIONI!AH155</f>
        <v/>
      </c>
      <c r="AC34" s="7">
        <f>LAVORAZIONI!AI155</f>
        <v/>
      </c>
      <c r="AD34" s="13">
        <f>LAVORAZIONI!AJ155</f>
        <v/>
      </c>
    </row>
    <row r="35" ht="35" customHeight="1" s="46">
      <c r="B35" s="4">
        <f>LAVORAZIONI!G156</f>
        <v/>
      </c>
      <c r="C35" s="3">
        <f>LAVORAZIONI!A156</f>
        <v/>
      </c>
      <c r="D35" s="3">
        <f>LAVORAZIONI!K156</f>
        <v/>
      </c>
      <c r="E35" s="4">
        <f>LAVORAZIONI!H156</f>
        <v/>
      </c>
      <c r="F35" s="4">
        <f>LAVORAZIONI!M156</f>
        <v/>
      </c>
      <c r="G35" s="5">
        <f>LAVORAZIONI!N156</f>
        <v/>
      </c>
      <c r="H35" s="6">
        <f>LAVORAZIONI!O156</f>
        <v/>
      </c>
      <c r="I35" s="13">
        <f>LAVORAZIONI!P156</f>
        <v/>
      </c>
      <c r="J35" s="5">
        <f>IF(LAVORAZIONI!Q156="","",LAVORAZIONI!Q156)</f>
        <v/>
      </c>
      <c r="K35" s="6">
        <f>IF(LAVORAZIONI!R156="","",LAVORAZIONI!R156)</f>
        <v/>
      </c>
      <c r="L35" s="13">
        <f>IF(LAVORAZIONI!S156="","",LAVORAZIONI!S156)</f>
        <v/>
      </c>
      <c r="M35" s="13">
        <f>LAVORAZIONI!T156</f>
        <v/>
      </c>
      <c r="O35" s="7">
        <f>LAVORAZIONI!U156</f>
        <v/>
      </c>
      <c r="P35" s="45">
        <f>LAVORAZIONI!V156</f>
        <v/>
      </c>
      <c r="Q35" s="7">
        <f>LAVORAZIONI!W156</f>
        <v/>
      </c>
      <c r="R35" s="6">
        <f>LAVORAZIONI!X156</f>
        <v/>
      </c>
      <c r="S35" s="7">
        <f>LAVORAZIONI!Y156</f>
        <v/>
      </c>
      <c r="T35" s="6">
        <f>LAVORAZIONI!Z156</f>
        <v/>
      </c>
      <c r="U35" s="7">
        <f>LAVORAZIONI!AA156</f>
        <v/>
      </c>
      <c r="V35" s="6">
        <f>LAVORAZIONI!AB156</f>
        <v/>
      </c>
      <c r="W35" s="7">
        <f>LAVORAZIONI!AC156</f>
        <v/>
      </c>
      <c r="X35" s="6">
        <f>LAVORAZIONI!AD156</f>
        <v/>
      </c>
      <c r="Y35" s="7">
        <f>LAVORAZIONI!AE156</f>
        <v/>
      </c>
      <c r="Z35" s="6">
        <f>LAVORAZIONI!AF156</f>
        <v/>
      </c>
      <c r="AA35" s="7">
        <f>LAVORAZIONI!AG156</f>
        <v/>
      </c>
      <c r="AB35" s="6">
        <f>LAVORAZIONI!AH156</f>
        <v/>
      </c>
      <c r="AC35" s="7">
        <f>LAVORAZIONI!AI156</f>
        <v/>
      </c>
      <c r="AD35" s="13">
        <f>LAVORAZIONI!AJ156</f>
        <v/>
      </c>
    </row>
    <row r="36" ht="35" customHeight="1" s="46">
      <c r="B36" s="4">
        <f>LAVORAZIONI!G157</f>
        <v/>
      </c>
      <c r="C36" s="3">
        <f>LAVORAZIONI!A157</f>
        <v/>
      </c>
      <c r="D36" s="3">
        <f>LAVORAZIONI!K157</f>
        <v/>
      </c>
      <c r="E36" s="4">
        <f>LAVORAZIONI!H157</f>
        <v/>
      </c>
      <c r="F36" s="4">
        <f>LAVORAZIONI!M157</f>
        <v/>
      </c>
      <c r="G36" s="5">
        <f>LAVORAZIONI!N157</f>
        <v/>
      </c>
      <c r="H36" s="6">
        <f>LAVORAZIONI!O157</f>
        <v/>
      </c>
      <c r="I36" s="13">
        <f>LAVORAZIONI!P157</f>
        <v/>
      </c>
      <c r="J36" s="5">
        <f>IF(LAVORAZIONI!Q157="","",LAVORAZIONI!Q157)</f>
        <v/>
      </c>
      <c r="K36" s="6">
        <f>IF(LAVORAZIONI!R157="","",LAVORAZIONI!R157)</f>
        <v/>
      </c>
      <c r="L36" s="13">
        <f>IF(LAVORAZIONI!S157="","",LAVORAZIONI!S157)</f>
        <v/>
      </c>
      <c r="M36" s="13">
        <f>LAVORAZIONI!T157</f>
        <v/>
      </c>
      <c r="O36" s="7">
        <f>LAVORAZIONI!U157</f>
        <v/>
      </c>
      <c r="P36" s="45">
        <f>LAVORAZIONI!V157</f>
        <v/>
      </c>
      <c r="Q36" s="7">
        <f>LAVORAZIONI!W157</f>
        <v/>
      </c>
      <c r="R36" s="6">
        <f>LAVORAZIONI!X157</f>
        <v/>
      </c>
      <c r="S36" s="7">
        <f>LAVORAZIONI!Y157</f>
        <v/>
      </c>
      <c r="T36" s="6">
        <f>LAVORAZIONI!Z157</f>
        <v/>
      </c>
      <c r="U36" s="7">
        <f>LAVORAZIONI!AA157</f>
        <v/>
      </c>
      <c r="V36" s="6">
        <f>LAVORAZIONI!AB157</f>
        <v/>
      </c>
      <c r="W36" s="7">
        <f>LAVORAZIONI!AC157</f>
        <v/>
      </c>
      <c r="X36" s="6">
        <f>LAVORAZIONI!AD157</f>
        <v/>
      </c>
      <c r="Y36" s="7">
        <f>LAVORAZIONI!AE157</f>
        <v/>
      </c>
      <c r="Z36" s="6">
        <f>LAVORAZIONI!AF157</f>
        <v/>
      </c>
      <c r="AA36" s="7">
        <f>LAVORAZIONI!AG157</f>
        <v/>
      </c>
      <c r="AB36" s="6">
        <f>LAVORAZIONI!AH157</f>
        <v/>
      </c>
      <c r="AC36" s="7">
        <f>LAVORAZIONI!AI157</f>
        <v/>
      </c>
      <c r="AD36" s="13">
        <f>LAVORAZIONI!AJ157</f>
        <v/>
      </c>
    </row>
    <row r="37" ht="35" customHeight="1" s="46">
      <c r="B37" s="4">
        <f>LAVORAZIONI!G158</f>
        <v/>
      </c>
      <c r="C37" s="3">
        <f>LAVORAZIONI!A158</f>
        <v/>
      </c>
      <c r="D37" s="3">
        <f>LAVORAZIONI!K158</f>
        <v/>
      </c>
      <c r="E37" s="4">
        <f>LAVORAZIONI!H158</f>
        <v/>
      </c>
      <c r="F37" s="4">
        <f>LAVORAZIONI!M158</f>
        <v/>
      </c>
      <c r="G37" s="5">
        <f>LAVORAZIONI!N158</f>
        <v/>
      </c>
      <c r="H37" s="6">
        <f>LAVORAZIONI!O158</f>
        <v/>
      </c>
      <c r="I37" s="13">
        <f>LAVORAZIONI!P158</f>
        <v/>
      </c>
      <c r="J37" s="5">
        <f>IF(LAVORAZIONI!Q158="","",LAVORAZIONI!Q158)</f>
        <v/>
      </c>
      <c r="K37" s="6">
        <f>IF(LAVORAZIONI!R158="","",LAVORAZIONI!R158)</f>
        <v/>
      </c>
      <c r="L37" s="13">
        <f>IF(LAVORAZIONI!S158="","",LAVORAZIONI!S158)</f>
        <v/>
      </c>
      <c r="M37" s="13">
        <f>LAVORAZIONI!T158</f>
        <v/>
      </c>
      <c r="O37" s="7">
        <f>LAVORAZIONI!U158</f>
        <v/>
      </c>
      <c r="P37" s="45">
        <f>LAVORAZIONI!V158</f>
        <v/>
      </c>
      <c r="Q37" s="7">
        <f>LAVORAZIONI!W158</f>
        <v/>
      </c>
      <c r="R37" s="6">
        <f>LAVORAZIONI!X158</f>
        <v/>
      </c>
      <c r="S37" s="7">
        <f>LAVORAZIONI!Y158</f>
        <v/>
      </c>
      <c r="T37" s="6">
        <f>LAVORAZIONI!Z158</f>
        <v/>
      </c>
      <c r="U37" s="7">
        <f>LAVORAZIONI!AA158</f>
        <v/>
      </c>
      <c r="V37" s="6">
        <f>LAVORAZIONI!AB158</f>
        <v/>
      </c>
      <c r="W37" s="7">
        <f>LAVORAZIONI!AC158</f>
        <v/>
      </c>
      <c r="X37" s="6">
        <f>LAVORAZIONI!AD158</f>
        <v/>
      </c>
      <c r="Y37" s="7">
        <f>LAVORAZIONI!AE158</f>
        <v/>
      </c>
      <c r="Z37" s="6">
        <f>LAVORAZIONI!AF158</f>
        <v/>
      </c>
      <c r="AA37" s="7">
        <f>LAVORAZIONI!AG158</f>
        <v/>
      </c>
      <c r="AB37" s="6">
        <f>LAVORAZIONI!AH158</f>
        <v/>
      </c>
      <c r="AC37" s="7">
        <f>LAVORAZIONI!AI158</f>
        <v/>
      </c>
      <c r="AD37" s="13">
        <f>LAVORAZIONI!AJ158</f>
        <v/>
      </c>
    </row>
    <row r="38" ht="35" customHeight="1" s="46">
      <c r="B38" s="4">
        <f>LAVORAZIONI!G159</f>
        <v/>
      </c>
      <c r="C38" s="3">
        <f>LAVORAZIONI!A159</f>
        <v/>
      </c>
      <c r="D38" s="3">
        <f>LAVORAZIONI!K159</f>
        <v/>
      </c>
      <c r="E38" s="4">
        <f>LAVORAZIONI!H159</f>
        <v/>
      </c>
      <c r="F38" s="4">
        <f>LAVORAZIONI!M159</f>
        <v/>
      </c>
      <c r="G38" s="5">
        <f>LAVORAZIONI!N159</f>
        <v/>
      </c>
      <c r="H38" s="6">
        <f>LAVORAZIONI!O159</f>
        <v/>
      </c>
      <c r="I38" s="13">
        <f>LAVORAZIONI!P159</f>
        <v/>
      </c>
      <c r="J38" s="5">
        <f>IF(LAVORAZIONI!Q159="","",LAVORAZIONI!Q159)</f>
        <v/>
      </c>
      <c r="K38" s="6">
        <f>IF(LAVORAZIONI!R159="","",LAVORAZIONI!R159)</f>
        <v/>
      </c>
      <c r="L38" s="13">
        <f>IF(LAVORAZIONI!S159="","",LAVORAZIONI!S159)</f>
        <v/>
      </c>
      <c r="M38" s="13">
        <f>LAVORAZIONI!T159</f>
        <v/>
      </c>
      <c r="O38" s="7">
        <f>LAVORAZIONI!U159</f>
        <v/>
      </c>
      <c r="P38" s="45">
        <f>LAVORAZIONI!V159</f>
        <v/>
      </c>
      <c r="Q38" s="7">
        <f>LAVORAZIONI!W159</f>
        <v/>
      </c>
      <c r="R38" s="6">
        <f>LAVORAZIONI!X159</f>
        <v/>
      </c>
      <c r="S38" s="7">
        <f>LAVORAZIONI!Y159</f>
        <v/>
      </c>
      <c r="T38" s="6">
        <f>LAVORAZIONI!Z159</f>
        <v/>
      </c>
      <c r="U38" s="7">
        <f>LAVORAZIONI!AA159</f>
        <v/>
      </c>
      <c r="V38" s="6">
        <f>LAVORAZIONI!AB159</f>
        <v/>
      </c>
      <c r="W38" s="7">
        <f>LAVORAZIONI!AC159</f>
        <v/>
      </c>
      <c r="X38" s="6">
        <f>LAVORAZIONI!AD159</f>
        <v/>
      </c>
      <c r="Y38" s="7">
        <f>LAVORAZIONI!AE159</f>
        <v/>
      </c>
      <c r="Z38" s="6">
        <f>LAVORAZIONI!AF159</f>
        <v/>
      </c>
      <c r="AA38" s="7">
        <f>LAVORAZIONI!AG159</f>
        <v/>
      </c>
      <c r="AB38" s="6">
        <f>LAVORAZIONI!AH159</f>
        <v/>
      </c>
      <c r="AC38" s="7">
        <f>LAVORAZIONI!AI159</f>
        <v/>
      </c>
      <c r="AD38" s="13">
        <f>LAVORAZIONI!AJ159</f>
        <v/>
      </c>
    </row>
    <row r="39" ht="35" customHeight="1" s="46">
      <c r="B39" s="4">
        <f>LAVORAZIONI!G160</f>
        <v/>
      </c>
      <c r="C39" s="3">
        <f>LAVORAZIONI!A160</f>
        <v/>
      </c>
      <c r="D39" s="3">
        <f>LAVORAZIONI!K160</f>
        <v/>
      </c>
      <c r="E39" s="4">
        <f>LAVORAZIONI!H160</f>
        <v/>
      </c>
      <c r="F39" s="4">
        <f>LAVORAZIONI!M160</f>
        <v/>
      </c>
      <c r="G39" s="5">
        <f>LAVORAZIONI!N160</f>
        <v/>
      </c>
      <c r="H39" s="6">
        <f>LAVORAZIONI!O160</f>
        <v/>
      </c>
      <c r="I39" s="13">
        <f>LAVORAZIONI!P160</f>
        <v/>
      </c>
      <c r="J39" s="5">
        <f>IF(LAVORAZIONI!Q160="","",LAVORAZIONI!Q160)</f>
        <v/>
      </c>
      <c r="K39" s="6">
        <f>IF(LAVORAZIONI!R160="","",LAVORAZIONI!R160)</f>
        <v/>
      </c>
      <c r="L39" s="13">
        <f>IF(LAVORAZIONI!S160="","",LAVORAZIONI!S160)</f>
        <v/>
      </c>
      <c r="M39" s="13">
        <f>LAVORAZIONI!T160</f>
        <v/>
      </c>
      <c r="O39" s="7">
        <f>LAVORAZIONI!U160</f>
        <v/>
      </c>
      <c r="P39" s="45">
        <f>LAVORAZIONI!V160</f>
        <v/>
      </c>
      <c r="Q39" s="7">
        <f>LAVORAZIONI!W160</f>
        <v/>
      </c>
      <c r="R39" s="6">
        <f>LAVORAZIONI!X160</f>
        <v/>
      </c>
      <c r="S39" s="7">
        <f>LAVORAZIONI!Y160</f>
        <v/>
      </c>
      <c r="T39" s="6">
        <f>LAVORAZIONI!Z160</f>
        <v/>
      </c>
      <c r="U39" s="7">
        <f>LAVORAZIONI!AA160</f>
        <v/>
      </c>
      <c r="V39" s="6">
        <f>LAVORAZIONI!AB160</f>
        <v/>
      </c>
      <c r="W39" s="7">
        <f>LAVORAZIONI!AC160</f>
        <v/>
      </c>
      <c r="X39" s="6">
        <f>LAVORAZIONI!AD160</f>
        <v/>
      </c>
      <c r="Y39" s="7">
        <f>LAVORAZIONI!AE160</f>
        <v/>
      </c>
      <c r="Z39" s="6">
        <f>LAVORAZIONI!AF160</f>
        <v/>
      </c>
      <c r="AA39" s="7">
        <f>LAVORAZIONI!AG160</f>
        <v/>
      </c>
      <c r="AB39" s="6">
        <f>LAVORAZIONI!AH160</f>
        <v/>
      </c>
      <c r="AC39" s="7">
        <f>LAVORAZIONI!AI160</f>
        <v/>
      </c>
      <c r="AD39" s="13">
        <f>LAVORAZIONI!AJ160</f>
        <v/>
      </c>
    </row>
    <row r="40" ht="35" customHeight="1" s="46">
      <c r="B40" s="4">
        <f>LAVORAZIONI!G161</f>
        <v/>
      </c>
      <c r="C40" s="3">
        <f>LAVORAZIONI!A161</f>
        <v/>
      </c>
      <c r="D40" s="3">
        <f>LAVORAZIONI!K161</f>
        <v/>
      </c>
      <c r="E40" s="4">
        <f>LAVORAZIONI!H161</f>
        <v/>
      </c>
      <c r="F40" s="4">
        <f>LAVORAZIONI!M161</f>
        <v/>
      </c>
      <c r="G40" s="5">
        <f>LAVORAZIONI!N161</f>
        <v/>
      </c>
      <c r="H40" s="6">
        <f>LAVORAZIONI!O161</f>
        <v/>
      </c>
      <c r="I40" s="13">
        <f>LAVORAZIONI!P161</f>
        <v/>
      </c>
      <c r="J40" s="5">
        <f>IF(LAVORAZIONI!Q161="","",LAVORAZIONI!Q161)</f>
        <v/>
      </c>
      <c r="K40" s="6">
        <f>IF(LAVORAZIONI!R161="","",LAVORAZIONI!R161)</f>
        <v/>
      </c>
      <c r="L40" s="13">
        <f>IF(LAVORAZIONI!S161="","",LAVORAZIONI!S161)</f>
        <v/>
      </c>
      <c r="M40" s="13">
        <f>LAVORAZIONI!T161</f>
        <v/>
      </c>
      <c r="O40" s="7">
        <f>LAVORAZIONI!U161</f>
        <v/>
      </c>
      <c r="P40" s="45">
        <f>LAVORAZIONI!V161</f>
        <v/>
      </c>
      <c r="Q40" s="7">
        <f>LAVORAZIONI!W161</f>
        <v/>
      </c>
      <c r="R40" s="6">
        <f>LAVORAZIONI!X161</f>
        <v/>
      </c>
      <c r="S40" s="7">
        <f>LAVORAZIONI!Y161</f>
        <v/>
      </c>
      <c r="T40" s="6">
        <f>LAVORAZIONI!Z161</f>
        <v/>
      </c>
      <c r="U40" s="7">
        <f>LAVORAZIONI!AA161</f>
        <v/>
      </c>
      <c r="V40" s="6">
        <f>LAVORAZIONI!AB161</f>
        <v/>
      </c>
      <c r="W40" s="7">
        <f>LAVORAZIONI!AC161</f>
        <v/>
      </c>
      <c r="X40" s="6">
        <f>LAVORAZIONI!AD161</f>
        <v/>
      </c>
      <c r="Y40" s="7">
        <f>LAVORAZIONI!AE161</f>
        <v/>
      </c>
      <c r="Z40" s="6">
        <f>LAVORAZIONI!AF161</f>
        <v/>
      </c>
      <c r="AA40" s="7">
        <f>LAVORAZIONI!AG161</f>
        <v/>
      </c>
      <c r="AB40" s="6">
        <f>LAVORAZIONI!AH161</f>
        <v/>
      </c>
      <c r="AC40" s="7">
        <f>LAVORAZIONI!AI161</f>
        <v/>
      </c>
      <c r="AD40" s="13">
        <f>LAVORAZIONI!AJ161</f>
        <v/>
      </c>
    </row>
    <row r="41" ht="35" customHeight="1" s="46">
      <c r="B41" s="4">
        <f>LAVORAZIONI!G162</f>
        <v/>
      </c>
      <c r="C41" s="3">
        <f>LAVORAZIONI!A162</f>
        <v/>
      </c>
      <c r="D41" s="3">
        <f>LAVORAZIONI!K162</f>
        <v/>
      </c>
      <c r="E41" s="4">
        <f>LAVORAZIONI!H162</f>
        <v/>
      </c>
      <c r="F41" s="4">
        <f>LAVORAZIONI!M162</f>
        <v/>
      </c>
      <c r="G41" s="5">
        <f>LAVORAZIONI!N162</f>
        <v/>
      </c>
      <c r="H41" s="6">
        <f>LAVORAZIONI!O162</f>
        <v/>
      </c>
      <c r="I41" s="13">
        <f>LAVORAZIONI!P162</f>
        <v/>
      </c>
      <c r="J41" s="5">
        <f>IF(LAVORAZIONI!Q162="","",LAVORAZIONI!Q162)</f>
        <v/>
      </c>
      <c r="K41" s="6">
        <f>IF(LAVORAZIONI!R162="","",LAVORAZIONI!R162)</f>
        <v/>
      </c>
      <c r="L41" s="13">
        <f>IF(LAVORAZIONI!S162="","",LAVORAZIONI!S162)</f>
        <v/>
      </c>
      <c r="M41" s="13">
        <f>LAVORAZIONI!T162</f>
        <v/>
      </c>
      <c r="O41" s="7">
        <f>LAVORAZIONI!U162</f>
        <v/>
      </c>
      <c r="P41" s="45">
        <f>LAVORAZIONI!V162</f>
        <v/>
      </c>
      <c r="Q41" s="7">
        <f>LAVORAZIONI!W162</f>
        <v/>
      </c>
      <c r="R41" s="6">
        <f>LAVORAZIONI!X162</f>
        <v/>
      </c>
      <c r="S41" s="7">
        <f>LAVORAZIONI!Y162</f>
        <v/>
      </c>
      <c r="T41" s="6">
        <f>LAVORAZIONI!Z162</f>
        <v/>
      </c>
      <c r="U41" s="7">
        <f>LAVORAZIONI!AA162</f>
        <v/>
      </c>
      <c r="V41" s="6">
        <f>LAVORAZIONI!AB162</f>
        <v/>
      </c>
      <c r="W41" s="7">
        <f>LAVORAZIONI!AC162</f>
        <v/>
      </c>
      <c r="X41" s="6">
        <f>LAVORAZIONI!AD162</f>
        <v/>
      </c>
      <c r="Y41" s="7">
        <f>LAVORAZIONI!AE162</f>
        <v/>
      </c>
      <c r="Z41" s="6">
        <f>LAVORAZIONI!AF162</f>
        <v/>
      </c>
      <c r="AA41" s="7">
        <f>LAVORAZIONI!AG162</f>
        <v/>
      </c>
      <c r="AB41" s="6">
        <f>LAVORAZIONI!AH162</f>
        <v/>
      </c>
      <c r="AC41" s="7">
        <f>LAVORAZIONI!AI162</f>
        <v/>
      </c>
      <c r="AD41" s="13">
        <f>LAVORAZIONI!AJ162</f>
        <v/>
      </c>
    </row>
    <row r="42" ht="35" customHeight="1" s="46">
      <c r="B42" s="4">
        <f>LAVORAZIONI!G163</f>
        <v/>
      </c>
      <c r="C42" s="3">
        <f>LAVORAZIONI!A163</f>
        <v/>
      </c>
      <c r="D42" s="3">
        <f>LAVORAZIONI!K163</f>
        <v/>
      </c>
      <c r="E42" s="4">
        <f>LAVORAZIONI!H163</f>
        <v/>
      </c>
      <c r="F42" s="4">
        <f>LAVORAZIONI!M163</f>
        <v/>
      </c>
      <c r="G42" s="5">
        <f>LAVORAZIONI!N163</f>
        <v/>
      </c>
      <c r="H42" s="6">
        <f>LAVORAZIONI!O163</f>
        <v/>
      </c>
      <c r="I42" s="13">
        <f>LAVORAZIONI!P163</f>
        <v/>
      </c>
      <c r="J42" s="5">
        <f>IF(LAVORAZIONI!Q163="","",LAVORAZIONI!Q163)</f>
        <v/>
      </c>
      <c r="K42" s="6">
        <f>IF(LAVORAZIONI!R163="","",LAVORAZIONI!R163)</f>
        <v/>
      </c>
      <c r="L42" s="13">
        <f>IF(LAVORAZIONI!S163="","",LAVORAZIONI!S163)</f>
        <v/>
      </c>
      <c r="M42" s="13">
        <f>LAVORAZIONI!T163</f>
        <v/>
      </c>
      <c r="O42" s="7">
        <f>LAVORAZIONI!U163</f>
        <v/>
      </c>
      <c r="P42" s="45">
        <f>LAVORAZIONI!V163</f>
        <v/>
      </c>
      <c r="Q42" s="7">
        <f>LAVORAZIONI!W163</f>
        <v/>
      </c>
      <c r="R42" s="6">
        <f>LAVORAZIONI!X163</f>
        <v/>
      </c>
      <c r="S42" s="7">
        <f>LAVORAZIONI!Y163</f>
        <v/>
      </c>
      <c r="T42" s="6">
        <f>LAVORAZIONI!Z163</f>
        <v/>
      </c>
      <c r="U42" s="7">
        <f>LAVORAZIONI!AA163</f>
        <v/>
      </c>
      <c r="V42" s="6">
        <f>LAVORAZIONI!AB163</f>
        <v/>
      </c>
      <c r="W42" s="7">
        <f>LAVORAZIONI!AC163</f>
        <v/>
      </c>
      <c r="X42" s="6">
        <f>LAVORAZIONI!AD163</f>
        <v/>
      </c>
      <c r="Y42" s="7">
        <f>LAVORAZIONI!AE163</f>
        <v/>
      </c>
      <c r="Z42" s="6">
        <f>LAVORAZIONI!AF163</f>
        <v/>
      </c>
      <c r="AA42" s="7">
        <f>LAVORAZIONI!AG163</f>
        <v/>
      </c>
      <c r="AB42" s="6">
        <f>LAVORAZIONI!AH163</f>
        <v/>
      </c>
      <c r="AC42" s="7">
        <f>LAVORAZIONI!AI163</f>
        <v/>
      </c>
      <c r="AD42" s="13">
        <f>LAVORAZIONI!AJ163</f>
        <v/>
      </c>
    </row>
    <row r="43" ht="35" customHeight="1" s="46">
      <c r="B43" s="4">
        <f>LAVORAZIONI!G164</f>
        <v/>
      </c>
      <c r="C43" s="3">
        <f>LAVORAZIONI!A164</f>
        <v/>
      </c>
      <c r="D43" s="3">
        <f>LAVORAZIONI!K164</f>
        <v/>
      </c>
      <c r="E43" s="4">
        <f>LAVORAZIONI!H164</f>
        <v/>
      </c>
      <c r="F43" s="4">
        <f>LAVORAZIONI!M164</f>
        <v/>
      </c>
      <c r="G43" s="5">
        <f>LAVORAZIONI!N164</f>
        <v/>
      </c>
      <c r="H43" s="6">
        <f>LAVORAZIONI!O164</f>
        <v/>
      </c>
      <c r="I43" s="13">
        <f>LAVORAZIONI!P164</f>
        <v/>
      </c>
      <c r="J43" s="5">
        <f>IF(LAVORAZIONI!Q164="","",LAVORAZIONI!Q164)</f>
        <v/>
      </c>
      <c r="K43" s="6">
        <f>IF(LAVORAZIONI!R164="","",LAVORAZIONI!R164)</f>
        <v/>
      </c>
      <c r="L43" s="13">
        <f>IF(LAVORAZIONI!S164="","",LAVORAZIONI!S164)</f>
        <v/>
      </c>
      <c r="M43" s="13">
        <f>LAVORAZIONI!T164</f>
        <v/>
      </c>
      <c r="O43" s="7">
        <f>LAVORAZIONI!U164</f>
        <v/>
      </c>
      <c r="P43" s="45">
        <f>LAVORAZIONI!V164</f>
        <v/>
      </c>
      <c r="Q43" s="7">
        <f>LAVORAZIONI!W164</f>
        <v/>
      </c>
      <c r="R43" s="6">
        <f>LAVORAZIONI!X164</f>
        <v/>
      </c>
      <c r="S43" s="7">
        <f>LAVORAZIONI!Y164</f>
        <v/>
      </c>
      <c r="T43" s="6">
        <f>LAVORAZIONI!Z164</f>
        <v/>
      </c>
      <c r="U43" s="7">
        <f>LAVORAZIONI!AA164</f>
        <v/>
      </c>
      <c r="V43" s="6">
        <f>LAVORAZIONI!AB164</f>
        <v/>
      </c>
      <c r="W43" s="7">
        <f>LAVORAZIONI!AC164</f>
        <v/>
      </c>
      <c r="X43" s="6">
        <f>LAVORAZIONI!AD164</f>
        <v/>
      </c>
      <c r="Y43" s="7">
        <f>LAVORAZIONI!AE164</f>
        <v/>
      </c>
      <c r="Z43" s="6">
        <f>LAVORAZIONI!AF164</f>
        <v/>
      </c>
      <c r="AA43" s="7">
        <f>LAVORAZIONI!AG164</f>
        <v/>
      </c>
      <c r="AB43" s="6">
        <f>LAVORAZIONI!AH164</f>
        <v/>
      </c>
      <c r="AC43" s="7">
        <f>LAVORAZIONI!AI164</f>
        <v/>
      </c>
      <c r="AD43" s="13">
        <f>LAVORAZIONI!AJ164</f>
        <v/>
      </c>
    </row>
    <row r="44" ht="35" customHeight="1" s="46">
      <c r="B44" s="4">
        <f>LAVORAZIONI!G165</f>
        <v/>
      </c>
      <c r="C44" s="3">
        <f>LAVORAZIONI!A165</f>
        <v/>
      </c>
      <c r="D44" s="3">
        <f>LAVORAZIONI!K165</f>
        <v/>
      </c>
      <c r="E44" s="4">
        <f>LAVORAZIONI!H165</f>
        <v/>
      </c>
      <c r="F44" s="4">
        <f>LAVORAZIONI!M165</f>
        <v/>
      </c>
      <c r="G44" s="5">
        <f>LAVORAZIONI!N165</f>
        <v/>
      </c>
      <c r="H44" s="6">
        <f>LAVORAZIONI!O165</f>
        <v/>
      </c>
      <c r="I44" s="13">
        <f>LAVORAZIONI!P165</f>
        <v/>
      </c>
      <c r="J44" s="5">
        <f>IF(LAVORAZIONI!Q165="","",LAVORAZIONI!Q165)</f>
        <v/>
      </c>
      <c r="K44" s="6">
        <f>IF(LAVORAZIONI!R165="","",LAVORAZIONI!R165)</f>
        <v/>
      </c>
      <c r="L44" s="13">
        <f>IF(LAVORAZIONI!S165="","",LAVORAZIONI!S165)</f>
        <v/>
      </c>
      <c r="M44" s="13">
        <f>LAVORAZIONI!T165</f>
        <v/>
      </c>
      <c r="O44" s="7">
        <f>LAVORAZIONI!U165</f>
        <v/>
      </c>
      <c r="P44" s="45">
        <f>LAVORAZIONI!V165</f>
        <v/>
      </c>
      <c r="Q44" s="7">
        <f>LAVORAZIONI!W165</f>
        <v/>
      </c>
      <c r="R44" s="6">
        <f>LAVORAZIONI!X165</f>
        <v/>
      </c>
      <c r="S44" s="7">
        <f>LAVORAZIONI!Y165</f>
        <v/>
      </c>
      <c r="T44" s="6">
        <f>LAVORAZIONI!Z165</f>
        <v/>
      </c>
      <c r="U44" s="7">
        <f>LAVORAZIONI!AA165</f>
        <v/>
      </c>
      <c r="V44" s="6">
        <f>LAVORAZIONI!AB165</f>
        <v/>
      </c>
      <c r="W44" s="7">
        <f>LAVORAZIONI!AC165</f>
        <v/>
      </c>
      <c r="X44" s="6">
        <f>LAVORAZIONI!AD165</f>
        <v/>
      </c>
      <c r="Y44" s="7">
        <f>LAVORAZIONI!AE165</f>
        <v/>
      </c>
      <c r="Z44" s="6">
        <f>LAVORAZIONI!AF165</f>
        <v/>
      </c>
      <c r="AA44" s="7">
        <f>LAVORAZIONI!AG165</f>
        <v/>
      </c>
      <c r="AB44" s="6">
        <f>LAVORAZIONI!AH165</f>
        <v/>
      </c>
      <c r="AC44" s="7">
        <f>LAVORAZIONI!AI165</f>
        <v/>
      </c>
      <c r="AD44" s="13">
        <f>LAVORAZIONI!AJ165</f>
        <v/>
      </c>
    </row>
    <row r="45" ht="35" customHeight="1" s="46">
      <c r="B45" s="4">
        <f>LAVORAZIONI!G166</f>
        <v/>
      </c>
      <c r="C45" s="3">
        <f>LAVORAZIONI!A166</f>
        <v/>
      </c>
      <c r="D45" s="3">
        <f>LAVORAZIONI!K166</f>
        <v/>
      </c>
      <c r="E45" s="4">
        <f>LAVORAZIONI!H166</f>
        <v/>
      </c>
      <c r="F45" s="4">
        <f>LAVORAZIONI!M166</f>
        <v/>
      </c>
      <c r="G45" s="5">
        <f>LAVORAZIONI!N166</f>
        <v/>
      </c>
      <c r="H45" s="6">
        <f>LAVORAZIONI!O166</f>
        <v/>
      </c>
      <c r="I45" s="13">
        <f>LAVORAZIONI!P166</f>
        <v/>
      </c>
      <c r="J45" s="5">
        <f>IF(LAVORAZIONI!Q166="","",LAVORAZIONI!Q166)</f>
        <v/>
      </c>
      <c r="K45" s="6">
        <f>IF(LAVORAZIONI!R166="","",LAVORAZIONI!R166)</f>
        <v/>
      </c>
      <c r="L45" s="13">
        <f>IF(LAVORAZIONI!S166="","",LAVORAZIONI!S166)</f>
        <v/>
      </c>
      <c r="M45" s="13">
        <f>LAVORAZIONI!T166</f>
        <v/>
      </c>
      <c r="O45" s="7">
        <f>LAVORAZIONI!U166</f>
        <v/>
      </c>
      <c r="P45" s="45">
        <f>LAVORAZIONI!V166</f>
        <v/>
      </c>
      <c r="Q45" s="7">
        <f>LAVORAZIONI!W166</f>
        <v/>
      </c>
      <c r="R45" s="6">
        <f>LAVORAZIONI!X166</f>
        <v/>
      </c>
      <c r="S45" s="7">
        <f>LAVORAZIONI!Y166</f>
        <v/>
      </c>
      <c r="T45" s="6">
        <f>LAVORAZIONI!Z166</f>
        <v/>
      </c>
      <c r="U45" s="7">
        <f>LAVORAZIONI!AA166</f>
        <v/>
      </c>
      <c r="V45" s="6">
        <f>LAVORAZIONI!AB166</f>
        <v/>
      </c>
      <c r="W45" s="7">
        <f>LAVORAZIONI!AC166</f>
        <v/>
      </c>
      <c r="X45" s="6">
        <f>LAVORAZIONI!AD166</f>
        <v/>
      </c>
      <c r="Y45" s="7">
        <f>LAVORAZIONI!AE166</f>
        <v/>
      </c>
      <c r="Z45" s="6">
        <f>LAVORAZIONI!AF166</f>
        <v/>
      </c>
      <c r="AA45" s="7">
        <f>LAVORAZIONI!AG166</f>
        <v/>
      </c>
      <c r="AB45" s="6">
        <f>LAVORAZIONI!AH166</f>
        <v/>
      </c>
      <c r="AC45" s="7">
        <f>LAVORAZIONI!AI166</f>
        <v/>
      </c>
      <c r="AD45" s="13">
        <f>LAVORAZIONI!AJ166</f>
        <v/>
      </c>
    </row>
    <row r="46" ht="35" customHeight="1" s="46">
      <c r="B46" s="4">
        <f>LAVORAZIONI!G167</f>
        <v/>
      </c>
      <c r="C46" s="3">
        <f>LAVORAZIONI!A167</f>
        <v/>
      </c>
      <c r="D46" s="3">
        <f>LAVORAZIONI!K167</f>
        <v/>
      </c>
      <c r="E46" s="4">
        <f>LAVORAZIONI!H167</f>
        <v/>
      </c>
      <c r="F46" s="4">
        <f>LAVORAZIONI!M167</f>
        <v/>
      </c>
      <c r="G46" s="5">
        <f>LAVORAZIONI!N167</f>
        <v/>
      </c>
      <c r="H46" s="6">
        <f>LAVORAZIONI!O167</f>
        <v/>
      </c>
      <c r="I46" s="13">
        <f>LAVORAZIONI!P167</f>
        <v/>
      </c>
      <c r="J46" s="5">
        <f>IF(LAVORAZIONI!Q167="","",LAVORAZIONI!Q167)</f>
        <v/>
      </c>
      <c r="K46" s="6">
        <f>IF(LAVORAZIONI!R167="","",LAVORAZIONI!R167)</f>
        <v/>
      </c>
      <c r="L46" s="13">
        <f>IF(LAVORAZIONI!S167="","",LAVORAZIONI!S167)</f>
        <v/>
      </c>
      <c r="M46" s="13">
        <f>LAVORAZIONI!T167</f>
        <v/>
      </c>
      <c r="O46" s="7">
        <f>LAVORAZIONI!U167</f>
        <v/>
      </c>
      <c r="P46" s="45">
        <f>LAVORAZIONI!V167</f>
        <v/>
      </c>
      <c r="Q46" s="7">
        <f>LAVORAZIONI!W167</f>
        <v/>
      </c>
      <c r="R46" s="6">
        <f>LAVORAZIONI!X167</f>
        <v/>
      </c>
      <c r="S46" s="7">
        <f>LAVORAZIONI!Y167</f>
        <v/>
      </c>
      <c r="T46" s="6">
        <f>LAVORAZIONI!Z167</f>
        <v/>
      </c>
      <c r="U46" s="7">
        <f>LAVORAZIONI!AA167</f>
        <v/>
      </c>
      <c r="V46" s="6">
        <f>LAVORAZIONI!AB167</f>
        <v/>
      </c>
      <c r="W46" s="7">
        <f>LAVORAZIONI!AC167</f>
        <v/>
      </c>
      <c r="X46" s="6">
        <f>LAVORAZIONI!AD167</f>
        <v/>
      </c>
      <c r="Y46" s="7">
        <f>LAVORAZIONI!AE167</f>
        <v/>
      </c>
      <c r="Z46" s="6">
        <f>LAVORAZIONI!AF167</f>
        <v/>
      </c>
      <c r="AA46" s="7">
        <f>LAVORAZIONI!AG167</f>
        <v/>
      </c>
      <c r="AB46" s="6">
        <f>LAVORAZIONI!AH167</f>
        <v/>
      </c>
      <c r="AC46" s="7">
        <f>LAVORAZIONI!AI167</f>
        <v/>
      </c>
      <c r="AD46" s="13">
        <f>LAVORAZIONI!AJ167</f>
        <v/>
      </c>
    </row>
    <row r="47" ht="35" customHeight="1" s="46">
      <c r="B47" s="4">
        <f>LAVORAZIONI!G168</f>
        <v/>
      </c>
      <c r="C47" s="3">
        <f>LAVORAZIONI!A168</f>
        <v/>
      </c>
      <c r="D47" s="3">
        <f>LAVORAZIONI!K168</f>
        <v/>
      </c>
      <c r="E47" s="4">
        <f>LAVORAZIONI!H168</f>
        <v/>
      </c>
      <c r="F47" s="4">
        <f>LAVORAZIONI!M168</f>
        <v/>
      </c>
      <c r="G47" s="5">
        <f>LAVORAZIONI!N168</f>
        <v/>
      </c>
      <c r="H47" s="6">
        <f>LAVORAZIONI!O168</f>
        <v/>
      </c>
      <c r="I47" s="13">
        <f>LAVORAZIONI!P168</f>
        <v/>
      </c>
      <c r="J47" s="5">
        <f>IF(LAVORAZIONI!Q168="","",LAVORAZIONI!Q168)</f>
        <v/>
      </c>
      <c r="K47" s="6">
        <f>IF(LAVORAZIONI!R168="","",LAVORAZIONI!R168)</f>
        <v/>
      </c>
      <c r="L47" s="13">
        <f>IF(LAVORAZIONI!S168="","",LAVORAZIONI!S168)</f>
        <v/>
      </c>
      <c r="M47" s="13">
        <f>LAVORAZIONI!T168</f>
        <v/>
      </c>
      <c r="O47" s="7">
        <f>LAVORAZIONI!U168</f>
        <v/>
      </c>
      <c r="P47" s="45">
        <f>LAVORAZIONI!V168</f>
        <v/>
      </c>
      <c r="Q47" s="7">
        <f>LAVORAZIONI!W168</f>
        <v/>
      </c>
      <c r="R47" s="6">
        <f>LAVORAZIONI!X168</f>
        <v/>
      </c>
      <c r="S47" s="7">
        <f>LAVORAZIONI!Y168</f>
        <v/>
      </c>
      <c r="T47" s="6">
        <f>LAVORAZIONI!Z168</f>
        <v/>
      </c>
      <c r="U47" s="7">
        <f>LAVORAZIONI!AA168</f>
        <v/>
      </c>
      <c r="V47" s="6">
        <f>LAVORAZIONI!AB168</f>
        <v/>
      </c>
      <c r="W47" s="7">
        <f>LAVORAZIONI!AC168</f>
        <v/>
      </c>
      <c r="X47" s="6">
        <f>LAVORAZIONI!AD168</f>
        <v/>
      </c>
      <c r="Y47" s="7">
        <f>LAVORAZIONI!AE168</f>
        <v/>
      </c>
      <c r="Z47" s="6">
        <f>LAVORAZIONI!AF168</f>
        <v/>
      </c>
      <c r="AA47" s="7">
        <f>LAVORAZIONI!AG168</f>
        <v/>
      </c>
      <c r="AB47" s="6">
        <f>LAVORAZIONI!AH168</f>
        <v/>
      </c>
      <c r="AC47" s="7">
        <f>LAVORAZIONI!AI168</f>
        <v/>
      </c>
      <c r="AD47" s="13">
        <f>LAVORAZIONI!AJ168</f>
        <v/>
      </c>
    </row>
    <row r="48" ht="35" customHeight="1" s="46">
      <c r="B48" s="4">
        <f>LAVORAZIONI!G169</f>
        <v/>
      </c>
      <c r="C48" s="3">
        <f>LAVORAZIONI!A169</f>
        <v/>
      </c>
      <c r="D48" s="3">
        <f>LAVORAZIONI!K169</f>
        <v/>
      </c>
      <c r="E48" s="4">
        <f>LAVORAZIONI!H169</f>
        <v/>
      </c>
      <c r="F48" s="4">
        <f>LAVORAZIONI!M169</f>
        <v/>
      </c>
      <c r="G48" s="5">
        <f>LAVORAZIONI!N169</f>
        <v/>
      </c>
      <c r="H48" s="6">
        <f>LAVORAZIONI!O169</f>
        <v/>
      </c>
      <c r="I48" s="13">
        <f>LAVORAZIONI!P169</f>
        <v/>
      </c>
      <c r="J48" s="5">
        <f>IF(LAVORAZIONI!Q169="","",LAVORAZIONI!Q169)</f>
        <v/>
      </c>
      <c r="K48" s="6">
        <f>IF(LAVORAZIONI!R169="","",LAVORAZIONI!R169)</f>
        <v/>
      </c>
      <c r="L48" s="13">
        <f>IF(LAVORAZIONI!S169="","",LAVORAZIONI!S169)</f>
        <v/>
      </c>
      <c r="M48" s="13">
        <f>LAVORAZIONI!T169</f>
        <v/>
      </c>
      <c r="O48" s="7">
        <f>LAVORAZIONI!U169</f>
        <v/>
      </c>
      <c r="P48" s="45">
        <f>LAVORAZIONI!V169</f>
        <v/>
      </c>
      <c r="Q48" s="7">
        <f>LAVORAZIONI!W169</f>
        <v/>
      </c>
      <c r="R48" s="6">
        <f>LAVORAZIONI!X169</f>
        <v/>
      </c>
      <c r="S48" s="7">
        <f>LAVORAZIONI!Y169</f>
        <v/>
      </c>
      <c r="T48" s="6">
        <f>LAVORAZIONI!Z169</f>
        <v/>
      </c>
      <c r="U48" s="7">
        <f>LAVORAZIONI!AA169</f>
        <v/>
      </c>
      <c r="V48" s="6">
        <f>LAVORAZIONI!AB169</f>
        <v/>
      </c>
      <c r="W48" s="7">
        <f>LAVORAZIONI!AC169</f>
        <v/>
      </c>
      <c r="X48" s="6">
        <f>LAVORAZIONI!AD169</f>
        <v/>
      </c>
      <c r="Y48" s="7">
        <f>LAVORAZIONI!AE169</f>
        <v/>
      </c>
      <c r="Z48" s="6">
        <f>LAVORAZIONI!AF169</f>
        <v/>
      </c>
      <c r="AA48" s="7">
        <f>LAVORAZIONI!AG169</f>
        <v/>
      </c>
      <c r="AB48" s="6">
        <f>LAVORAZIONI!AH169</f>
        <v/>
      </c>
      <c r="AC48" s="7">
        <f>LAVORAZIONI!AI169</f>
        <v/>
      </c>
      <c r="AD48" s="13">
        <f>LAVORAZIONI!AJ169</f>
        <v/>
      </c>
    </row>
    <row r="49" ht="35" customHeight="1" s="46">
      <c r="B49" s="4">
        <f>LAVORAZIONI!G170</f>
        <v/>
      </c>
      <c r="C49" s="3">
        <f>LAVORAZIONI!A170</f>
        <v/>
      </c>
      <c r="D49" s="3">
        <f>LAVORAZIONI!K170</f>
        <v/>
      </c>
      <c r="E49" s="4">
        <f>LAVORAZIONI!H170</f>
        <v/>
      </c>
      <c r="F49" s="4">
        <f>LAVORAZIONI!M170</f>
        <v/>
      </c>
      <c r="G49" s="5">
        <f>LAVORAZIONI!N170</f>
        <v/>
      </c>
      <c r="H49" s="6">
        <f>LAVORAZIONI!O170</f>
        <v/>
      </c>
      <c r="I49" s="13">
        <f>LAVORAZIONI!P170</f>
        <v/>
      </c>
      <c r="J49" s="5">
        <f>IF(LAVORAZIONI!Q170="","",LAVORAZIONI!Q170)</f>
        <v/>
      </c>
      <c r="K49" s="6">
        <f>IF(LAVORAZIONI!R170="","",LAVORAZIONI!R170)</f>
        <v/>
      </c>
      <c r="L49" s="13">
        <f>IF(LAVORAZIONI!S170="","",LAVORAZIONI!S170)</f>
        <v/>
      </c>
      <c r="M49" s="13">
        <f>LAVORAZIONI!T170</f>
        <v/>
      </c>
      <c r="O49" s="7">
        <f>LAVORAZIONI!U170</f>
        <v/>
      </c>
      <c r="P49" s="45">
        <f>LAVORAZIONI!V170</f>
        <v/>
      </c>
      <c r="Q49" s="7">
        <f>LAVORAZIONI!W170</f>
        <v/>
      </c>
      <c r="R49" s="6">
        <f>LAVORAZIONI!X170</f>
        <v/>
      </c>
      <c r="S49" s="7">
        <f>LAVORAZIONI!Y170</f>
        <v/>
      </c>
      <c r="T49" s="6">
        <f>LAVORAZIONI!Z170</f>
        <v/>
      </c>
      <c r="U49" s="7">
        <f>LAVORAZIONI!AA170</f>
        <v/>
      </c>
      <c r="V49" s="6">
        <f>LAVORAZIONI!AB170</f>
        <v/>
      </c>
      <c r="W49" s="7">
        <f>LAVORAZIONI!AC170</f>
        <v/>
      </c>
      <c r="X49" s="6">
        <f>LAVORAZIONI!AD170</f>
        <v/>
      </c>
      <c r="Y49" s="7">
        <f>LAVORAZIONI!AE170</f>
        <v/>
      </c>
      <c r="Z49" s="6">
        <f>LAVORAZIONI!AF170</f>
        <v/>
      </c>
      <c r="AA49" s="7">
        <f>LAVORAZIONI!AG170</f>
        <v/>
      </c>
      <c r="AB49" s="6">
        <f>LAVORAZIONI!AH170</f>
        <v/>
      </c>
      <c r="AC49" s="7">
        <f>LAVORAZIONI!AI170</f>
        <v/>
      </c>
      <c r="AD49" s="13">
        <f>LAVORAZIONI!AJ170</f>
        <v/>
      </c>
    </row>
    <row r="50" ht="35" customHeight="1" s="46">
      <c r="B50" s="4">
        <f>LAVORAZIONI!G171</f>
        <v/>
      </c>
      <c r="C50" s="3">
        <f>LAVORAZIONI!A171</f>
        <v/>
      </c>
      <c r="D50" s="3">
        <f>LAVORAZIONI!K171</f>
        <v/>
      </c>
      <c r="E50" s="4">
        <f>LAVORAZIONI!H171</f>
        <v/>
      </c>
      <c r="F50" s="4">
        <f>LAVORAZIONI!M171</f>
        <v/>
      </c>
      <c r="G50" s="5">
        <f>LAVORAZIONI!N171</f>
        <v/>
      </c>
      <c r="H50" s="6">
        <f>LAVORAZIONI!O171</f>
        <v/>
      </c>
      <c r="I50" s="13">
        <f>LAVORAZIONI!P171</f>
        <v/>
      </c>
      <c r="J50" s="5">
        <f>IF(LAVORAZIONI!Q171="","",LAVORAZIONI!Q171)</f>
        <v/>
      </c>
      <c r="K50" s="6">
        <f>IF(LAVORAZIONI!R171="","",LAVORAZIONI!R171)</f>
        <v/>
      </c>
      <c r="L50" s="13">
        <f>IF(LAVORAZIONI!S171="","",LAVORAZIONI!S171)</f>
        <v/>
      </c>
      <c r="M50" s="13">
        <f>LAVORAZIONI!T171</f>
        <v/>
      </c>
      <c r="O50" s="7">
        <f>LAVORAZIONI!U171</f>
        <v/>
      </c>
      <c r="P50" s="45">
        <f>LAVORAZIONI!V171</f>
        <v/>
      </c>
      <c r="Q50" s="7">
        <f>LAVORAZIONI!W171</f>
        <v/>
      </c>
      <c r="R50" s="6">
        <f>LAVORAZIONI!X171</f>
        <v/>
      </c>
      <c r="S50" s="7">
        <f>LAVORAZIONI!Y171</f>
        <v/>
      </c>
      <c r="T50" s="6">
        <f>LAVORAZIONI!Z171</f>
        <v/>
      </c>
      <c r="U50" s="7">
        <f>LAVORAZIONI!AA171</f>
        <v/>
      </c>
      <c r="V50" s="6">
        <f>LAVORAZIONI!AB171</f>
        <v/>
      </c>
      <c r="W50" s="7">
        <f>LAVORAZIONI!AC171</f>
        <v/>
      </c>
      <c r="X50" s="6">
        <f>LAVORAZIONI!AD171</f>
        <v/>
      </c>
      <c r="Y50" s="7">
        <f>LAVORAZIONI!AE171</f>
        <v/>
      </c>
      <c r="Z50" s="6">
        <f>LAVORAZIONI!AF171</f>
        <v/>
      </c>
      <c r="AA50" s="7">
        <f>LAVORAZIONI!AG171</f>
        <v/>
      </c>
      <c r="AB50" s="6">
        <f>LAVORAZIONI!AH171</f>
        <v/>
      </c>
      <c r="AC50" s="7">
        <f>LAVORAZIONI!AI171</f>
        <v/>
      </c>
      <c r="AD50" s="13">
        <f>LAVORAZIONI!AJ171</f>
        <v/>
      </c>
    </row>
    <row r="51" ht="35" customHeight="1" s="46">
      <c r="D51" s="14" t="inlineStr">
        <is>
          <t>TOTALE EDILI SPECIALI</t>
        </is>
      </c>
      <c r="I51" s="10">
        <f>SUM(I4:I50)</f>
        <v/>
      </c>
      <c r="L51" s="10">
        <f>SUM(L4:L50)</f>
        <v/>
      </c>
      <c r="M51" s="10">
        <f>SUM(M4:M50)</f>
        <v/>
      </c>
      <c r="P51" s="28">
        <f>SUM(P4:P50)</f>
        <v/>
      </c>
      <c r="R51" s="10">
        <f>SUM(R4:R50)</f>
        <v/>
      </c>
      <c r="T51" s="10">
        <f>SUM(T4:T50)</f>
        <v/>
      </c>
      <c r="V51" s="10">
        <f>SUM(V4:V50)</f>
        <v/>
      </c>
      <c r="X51" s="10">
        <f>SUM(X4:X50)</f>
        <v/>
      </c>
      <c r="Z51" s="10">
        <f>SUM(Z4:Z50)</f>
        <v/>
      </c>
      <c r="AB51" s="10">
        <f>SUM(AB4:AB50)</f>
        <v/>
      </c>
      <c r="AD51" s="10">
        <f>SUM(AD4:AD50)</f>
        <v/>
      </c>
    </row>
  </sheetData>
  <mergeCells count="9">
    <mergeCell ref="O2:P2"/>
    <mergeCell ref="S2:T2"/>
    <mergeCell ref="Q2:R2"/>
    <mergeCell ref="W2:X2"/>
    <mergeCell ref="U2:V2"/>
    <mergeCell ref="AA2:AB2"/>
    <mergeCell ref="Y2:Z2"/>
    <mergeCell ref="AC2:AD2"/>
    <mergeCell ref="B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1:AD90"/>
  <sheetViews>
    <sheetView showGridLines="0" zoomScaleNormal="100" workbookViewId="0">
      <pane xSplit="6" ySplit="3" topLeftCell="H82" activePane="bottomRight" state="frozen"/>
      <selection pane="topRight" activeCell="G1" sqref="G1"/>
      <selection pane="bottomLeft" activeCell="A4" sqref="A4"/>
      <selection pane="bottomRight" activeCell="R87" sqref="R87"/>
    </sheetView>
  </sheetViews>
  <sheetFormatPr baseColWidth="10" defaultColWidth="8.6640625" defaultRowHeight="75" customHeight="1"/>
  <cols>
    <col width="7" customWidth="1" style="46" min="2" max="2"/>
    <col width="22" customWidth="1" style="46" min="3" max="3"/>
    <col width="36" customWidth="1" style="46" min="4" max="4"/>
    <col width="16" customWidth="1" style="46" min="5" max="5"/>
    <col width="7" customWidth="1" style="46" min="6" max="6"/>
    <col width="9" customWidth="1" style="46" min="7" max="7"/>
    <col width="11" customWidth="1" style="46" min="8" max="8"/>
    <col width="13" customWidth="1" style="46" min="9" max="9"/>
    <col hidden="1" width="9" customWidth="1" style="46" min="10" max="10"/>
    <col hidden="1" width="11" customWidth="1" style="46" min="11" max="11"/>
    <col hidden="1" width="13" customWidth="1" style="46" min="12" max="12"/>
    <col width="13" customWidth="1" style="46" min="13" max="13"/>
    <col width="6" customWidth="1" style="46" min="15" max="15"/>
    <col width="12" customWidth="1" style="46" min="16" max="16"/>
    <col width="6" customWidth="1" style="46" min="17" max="17"/>
    <col width="12" customWidth="1" style="46" min="18" max="18"/>
    <col width="6" customWidth="1" style="46" min="19" max="19"/>
    <col width="12" customWidth="1" style="46" min="20" max="20"/>
    <col width="6" customWidth="1" style="46" min="21" max="21"/>
    <col width="12" customWidth="1" style="46" min="22" max="22"/>
    <col width="6" customWidth="1" style="46" min="23" max="23"/>
    <col width="12" customWidth="1" style="46" min="24" max="24"/>
    <col width="6" customWidth="1" style="46" min="25" max="25"/>
    <col width="12" customWidth="1" style="46" min="26" max="26"/>
    <col width="6" customWidth="1" style="46" min="27" max="27"/>
    <col width="12" customWidth="1" style="46" min="28" max="28"/>
    <col width="7" customWidth="1" style="46" min="29" max="29"/>
    <col width="13" customWidth="1" style="46" min="30" max="30"/>
  </cols>
  <sheetData>
    <row r="1" ht="75" customHeight="1" s="46">
      <c r="B1" s="38" t="inlineStr">
        <is>
          <t>DETTAGLIO SAL — OPERE MECCANICHE</t>
        </is>
      </c>
      <c r="C1" s="34" t="n"/>
      <c r="D1" s="34" t="n"/>
      <c r="E1" s="34" t="n"/>
      <c r="F1" s="34" t="n"/>
      <c r="G1" s="34" t="n"/>
      <c r="H1" s="34" t="n"/>
      <c r="I1" s="34" t="n"/>
      <c r="J1" s="34" t="n"/>
      <c r="K1" s="34" t="n"/>
      <c r="L1" s="32" t="n"/>
    </row>
    <row r="2" ht="53" customHeight="1" s="46">
      <c r="B2" s="31" t="inlineStr">
        <is>
          <t>Nr.Ord.</t>
        </is>
      </c>
      <c r="C2" s="31" t="inlineStr">
        <is>
          <t>TARIFFA</t>
        </is>
      </c>
      <c r="D2" s="31" t="inlineStr">
        <is>
          <t>DESIGNAZIONE</t>
        </is>
      </c>
      <c r="E2" s="31" t="inlineStr">
        <is>
          <t>STEP</t>
        </is>
      </c>
      <c r="F2" s="31" t="inlineStr">
        <is>
          <t>U.M.</t>
        </is>
      </c>
      <c r="G2" s="31" t="inlineStr">
        <is>
          <t>Q.tà PREV</t>
        </is>
      </c>
      <c r="H2" s="31" t="inlineStr">
        <is>
          <t>VAL.UNIT PREV</t>
        </is>
      </c>
      <c r="I2" s="31" t="inlineStr">
        <is>
          <t>TOTALE PREV</t>
        </is>
      </c>
      <c r="J2" s="31" t="inlineStr">
        <is>
          <t>Q.tà CONS</t>
        </is>
      </c>
      <c r="K2" s="31" t="inlineStr">
        <is>
          <t>VAL.UNIT CONS</t>
        </is>
      </c>
      <c r="L2" s="31" t="inlineStr">
        <is>
          <t>TOTALE CONS</t>
        </is>
      </c>
      <c r="M2" s="31" t="inlineStr">
        <is>
          <t>VALORE PER SAL</t>
        </is>
      </c>
      <c r="O2" s="35" t="inlineStr">
        <is>
          <t>SAL 01 APRILE</t>
        </is>
      </c>
      <c r="P2" s="32" t="n"/>
      <c r="Q2" s="40" t="inlineStr">
        <is>
          <t>SAL 02 MAGGIO</t>
        </is>
      </c>
      <c r="R2" s="32" t="n"/>
      <c r="S2" s="31" t="inlineStr">
        <is>
          <t>SAL 03 GIUGNO</t>
        </is>
      </c>
      <c r="T2" s="32" t="n"/>
      <c r="U2" s="31" t="inlineStr">
        <is>
          <t>SAL 04 LUGLIO</t>
        </is>
      </c>
      <c r="V2" s="32" t="n"/>
      <c r="W2" s="31" t="inlineStr">
        <is>
          <t>SAL 05 AGOSTO</t>
        </is>
      </c>
      <c r="X2" s="32" t="n"/>
      <c r="Y2" s="31" t="inlineStr">
        <is>
          <t>SAL 06 SETTEMBRE</t>
        </is>
      </c>
      <c r="Z2" s="32" t="n"/>
      <c r="AA2" s="31" t="inlineStr">
        <is>
          <t>SAL 07 OTTOBRE</t>
        </is>
      </c>
      <c r="AB2" s="32" t="n"/>
      <c r="AC2" s="31" t="inlineStr">
        <is>
          <t>TOTALE COMPL.</t>
        </is>
      </c>
      <c r="AD2" s="32" t="n"/>
    </row>
    <row r="3" ht="39" customHeight="1" s="46">
      <c r="O3" s="12" t="inlineStr">
        <is>
          <t>%</t>
        </is>
      </c>
      <c r="P3" s="26" t="inlineStr">
        <is>
          <t>TOTALE</t>
        </is>
      </c>
      <c r="Q3" s="12" t="inlineStr">
        <is>
          <t>%</t>
        </is>
      </c>
      <c r="R3" s="12" t="inlineStr">
        <is>
          <t>TOTALE</t>
        </is>
      </c>
      <c r="S3" s="12" t="inlineStr">
        <is>
          <t>%</t>
        </is>
      </c>
      <c r="T3" s="12" t="inlineStr">
        <is>
          <t>TOTALE</t>
        </is>
      </c>
      <c r="U3" s="12" t="inlineStr">
        <is>
          <t>%</t>
        </is>
      </c>
      <c r="V3" s="12" t="inlineStr">
        <is>
          <t>TOTALE</t>
        </is>
      </c>
      <c r="W3" s="12" t="inlineStr">
        <is>
          <t>%</t>
        </is>
      </c>
      <c r="X3" s="12" t="inlineStr">
        <is>
          <t>TOTALE</t>
        </is>
      </c>
      <c r="Y3" s="12" t="inlineStr">
        <is>
          <t>%</t>
        </is>
      </c>
      <c r="Z3" s="12" t="inlineStr">
        <is>
          <t>TOTALE</t>
        </is>
      </c>
      <c r="AA3" s="12" t="inlineStr">
        <is>
          <t>%</t>
        </is>
      </c>
      <c r="AB3" s="12" t="inlineStr">
        <is>
          <t>TOTALE</t>
        </is>
      </c>
      <c r="AC3" s="12" t="inlineStr">
        <is>
          <t>%</t>
        </is>
      </c>
      <c r="AD3" s="12" t="inlineStr">
        <is>
          <t>TOTALE</t>
        </is>
      </c>
    </row>
    <row r="4" ht="75" customHeight="1" s="46">
      <c r="B4" s="4">
        <f>LAVORAZIONI!G172</f>
        <v/>
      </c>
      <c r="C4" s="3">
        <f>LAVORAZIONI!A172</f>
        <v/>
      </c>
      <c r="D4" s="3">
        <f>LAVORAZIONI!K172</f>
        <v/>
      </c>
      <c r="E4" s="4">
        <f>LAVORAZIONI!H172</f>
        <v/>
      </c>
      <c r="F4" s="4">
        <f>LAVORAZIONI!M172</f>
        <v/>
      </c>
      <c r="G4" s="5">
        <f>LAVORAZIONI!N172</f>
        <v/>
      </c>
      <c r="H4" s="6">
        <f>LAVORAZIONI!O172</f>
        <v/>
      </c>
      <c r="I4" s="13">
        <f>LAVORAZIONI!P172</f>
        <v/>
      </c>
      <c r="J4" s="5">
        <f>IF(LAVORAZIONI!Q172="","",LAVORAZIONI!Q172)</f>
        <v/>
      </c>
      <c r="K4" s="6">
        <f>IF(LAVORAZIONI!R172="","",LAVORAZIONI!R172)</f>
        <v/>
      </c>
      <c r="L4" s="13">
        <f>IF(LAVORAZIONI!S172="","",LAVORAZIONI!S172)</f>
        <v/>
      </c>
      <c r="M4" s="13">
        <f>LAVORAZIONI!T172</f>
        <v/>
      </c>
      <c r="O4" s="7">
        <f>LAVORAZIONI!U172</f>
        <v/>
      </c>
      <c r="P4" s="45">
        <f>LAVORAZIONI!V172</f>
        <v/>
      </c>
      <c r="Q4" s="7">
        <f>LAVORAZIONI!W172</f>
        <v/>
      </c>
      <c r="R4" s="6">
        <f>LAVORAZIONI!X172</f>
        <v/>
      </c>
      <c r="S4" s="7">
        <f>LAVORAZIONI!Y172</f>
        <v/>
      </c>
      <c r="T4" s="6">
        <f>LAVORAZIONI!Z172</f>
        <v/>
      </c>
      <c r="U4" s="7">
        <f>LAVORAZIONI!AA172</f>
        <v/>
      </c>
      <c r="V4" s="6">
        <f>LAVORAZIONI!AB172</f>
        <v/>
      </c>
      <c r="W4" s="7">
        <f>LAVORAZIONI!AC172</f>
        <v/>
      </c>
      <c r="X4" s="6">
        <f>LAVORAZIONI!AD172</f>
        <v/>
      </c>
      <c r="Y4" s="7">
        <f>LAVORAZIONI!AE172</f>
        <v/>
      </c>
      <c r="Z4" s="6">
        <f>LAVORAZIONI!AF172</f>
        <v/>
      </c>
      <c r="AA4" s="7">
        <f>LAVORAZIONI!AG172</f>
        <v/>
      </c>
      <c r="AB4" s="6">
        <f>LAVORAZIONI!AH172</f>
        <v/>
      </c>
      <c r="AC4" s="7">
        <f>LAVORAZIONI!AI172</f>
        <v/>
      </c>
      <c r="AD4" s="13">
        <f>LAVORAZIONI!AJ172</f>
        <v/>
      </c>
    </row>
    <row r="5" ht="75" customHeight="1" s="46">
      <c r="B5" s="4">
        <f>LAVORAZIONI!G173</f>
        <v/>
      </c>
      <c r="C5" s="3">
        <f>LAVORAZIONI!A173</f>
        <v/>
      </c>
      <c r="D5" s="3">
        <f>LAVORAZIONI!K173</f>
        <v/>
      </c>
      <c r="E5" s="4">
        <f>LAVORAZIONI!H173</f>
        <v/>
      </c>
      <c r="F5" s="4">
        <f>LAVORAZIONI!M173</f>
        <v/>
      </c>
      <c r="G5" s="5">
        <f>LAVORAZIONI!N173</f>
        <v/>
      </c>
      <c r="H5" s="6">
        <f>LAVORAZIONI!O173</f>
        <v/>
      </c>
      <c r="I5" s="13">
        <f>LAVORAZIONI!P173</f>
        <v/>
      </c>
      <c r="J5" s="5">
        <f>IF(LAVORAZIONI!Q173="","",LAVORAZIONI!Q173)</f>
        <v/>
      </c>
      <c r="K5" s="6">
        <f>IF(LAVORAZIONI!R173="","",LAVORAZIONI!R173)</f>
        <v/>
      </c>
      <c r="L5" s="13">
        <f>IF(LAVORAZIONI!S173="","",LAVORAZIONI!S173)</f>
        <v/>
      </c>
      <c r="M5" s="13">
        <f>LAVORAZIONI!T173</f>
        <v/>
      </c>
      <c r="O5" s="7">
        <f>LAVORAZIONI!U173</f>
        <v/>
      </c>
      <c r="P5" s="45">
        <f>LAVORAZIONI!V173</f>
        <v/>
      </c>
      <c r="Q5" s="7">
        <f>LAVORAZIONI!W173</f>
        <v/>
      </c>
      <c r="R5" s="6">
        <f>LAVORAZIONI!X173</f>
        <v/>
      </c>
      <c r="S5" s="7">
        <f>LAVORAZIONI!Y173</f>
        <v/>
      </c>
      <c r="T5" s="6">
        <f>LAVORAZIONI!Z173</f>
        <v/>
      </c>
      <c r="U5" s="7">
        <f>LAVORAZIONI!AA173</f>
        <v/>
      </c>
      <c r="V5" s="6">
        <f>LAVORAZIONI!AB173</f>
        <v/>
      </c>
      <c r="W5" s="7">
        <f>LAVORAZIONI!AC173</f>
        <v/>
      </c>
      <c r="X5" s="6">
        <f>LAVORAZIONI!AD173</f>
        <v/>
      </c>
      <c r="Y5" s="7">
        <f>LAVORAZIONI!AE173</f>
        <v/>
      </c>
      <c r="Z5" s="6">
        <f>LAVORAZIONI!AF173</f>
        <v/>
      </c>
      <c r="AA5" s="7">
        <f>LAVORAZIONI!AG173</f>
        <v/>
      </c>
      <c r="AB5" s="6">
        <f>LAVORAZIONI!AH173</f>
        <v/>
      </c>
      <c r="AC5" s="7">
        <f>LAVORAZIONI!AI173</f>
        <v/>
      </c>
      <c r="AD5" s="13">
        <f>LAVORAZIONI!AJ173</f>
        <v/>
      </c>
    </row>
    <row r="6" ht="75" customHeight="1" s="46">
      <c r="B6" s="4">
        <f>LAVORAZIONI!G174</f>
        <v/>
      </c>
      <c r="C6" s="3">
        <f>LAVORAZIONI!A174</f>
        <v/>
      </c>
      <c r="D6" s="3">
        <f>LAVORAZIONI!K174</f>
        <v/>
      </c>
      <c r="E6" s="4">
        <f>LAVORAZIONI!H174</f>
        <v/>
      </c>
      <c r="F6" s="4">
        <f>LAVORAZIONI!M174</f>
        <v/>
      </c>
      <c r="G6" s="5">
        <f>LAVORAZIONI!N174</f>
        <v/>
      </c>
      <c r="H6" s="6">
        <f>LAVORAZIONI!O174</f>
        <v/>
      </c>
      <c r="I6" s="13">
        <f>LAVORAZIONI!P174</f>
        <v/>
      </c>
      <c r="J6" s="5">
        <f>IF(LAVORAZIONI!Q174="","",LAVORAZIONI!Q174)</f>
        <v/>
      </c>
      <c r="K6" s="6">
        <f>IF(LAVORAZIONI!R174="","",LAVORAZIONI!R174)</f>
        <v/>
      </c>
      <c r="L6" s="13">
        <f>IF(LAVORAZIONI!S174="","",LAVORAZIONI!S174)</f>
        <v/>
      </c>
      <c r="M6" s="13">
        <f>LAVORAZIONI!T174</f>
        <v/>
      </c>
      <c r="O6" s="7">
        <f>LAVORAZIONI!U174</f>
        <v/>
      </c>
      <c r="P6" s="45">
        <f>LAVORAZIONI!V174</f>
        <v/>
      </c>
      <c r="Q6" s="7">
        <f>LAVORAZIONI!W174</f>
        <v/>
      </c>
      <c r="R6" s="6">
        <f>LAVORAZIONI!X174</f>
        <v/>
      </c>
      <c r="S6" s="7">
        <f>LAVORAZIONI!Y174</f>
        <v/>
      </c>
      <c r="T6" s="6">
        <f>LAVORAZIONI!Z174</f>
        <v/>
      </c>
      <c r="U6" s="7">
        <f>LAVORAZIONI!AA174</f>
        <v/>
      </c>
      <c r="V6" s="6">
        <f>LAVORAZIONI!AB174</f>
        <v/>
      </c>
      <c r="W6" s="7">
        <f>LAVORAZIONI!AC174</f>
        <v/>
      </c>
      <c r="X6" s="6">
        <f>LAVORAZIONI!AD174</f>
        <v/>
      </c>
      <c r="Y6" s="7">
        <f>LAVORAZIONI!AE174</f>
        <v/>
      </c>
      <c r="Z6" s="6">
        <f>LAVORAZIONI!AF174</f>
        <v/>
      </c>
      <c r="AA6" s="7">
        <f>LAVORAZIONI!AG174</f>
        <v/>
      </c>
      <c r="AB6" s="6">
        <f>LAVORAZIONI!AH174</f>
        <v/>
      </c>
      <c r="AC6" s="7">
        <f>LAVORAZIONI!AI174</f>
        <v/>
      </c>
      <c r="AD6" s="13">
        <f>LAVORAZIONI!AJ174</f>
        <v/>
      </c>
    </row>
    <row r="7" ht="75" customHeight="1" s="46">
      <c r="B7" s="4">
        <f>LAVORAZIONI!G175</f>
        <v/>
      </c>
      <c r="C7" s="3">
        <f>LAVORAZIONI!A175</f>
        <v/>
      </c>
      <c r="D7" s="3">
        <f>LAVORAZIONI!K175</f>
        <v/>
      </c>
      <c r="E7" s="4">
        <f>LAVORAZIONI!H175</f>
        <v/>
      </c>
      <c r="F7" s="4">
        <f>LAVORAZIONI!M175</f>
        <v/>
      </c>
      <c r="G7" s="5">
        <f>LAVORAZIONI!N175</f>
        <v/>
      </c>
      <c r="H7" s="6">
        <f>LAVORAZIONI!O175</f>
        <v/>
      </c>
      <c r="I7" s="13">
        <f>LAVORAZIONI!P175</f>
        <v/>
      </c>
      <c r="J7" s="5">
        <f>IF(LAVORAZIONI!Q175="","",LAVORAZIONI!Q175)</f>
        <v/>
      </c>
      <c r="K7" s="6">
        <f>IF(LAVORAZIONI!R175="","",LAVORAZIONI!R175)</f>
        <v/>
      </c>
      <c r="L7" s="13">
        <f>IF(LAVORAZIONI!S175="","",LAVORAZIONI!S175)</f>
        <v/>
      </c>
      <c r="M7" s="13">
        <f>LAVORAZIONI!T175</f>
        <v/>
      </c>
      <c r="O7" s="7">
        <f>LAVORAZIONI!U175</f>
        <v/>
      </c>
      <c r="P7" s="45">
        <f>LAVORAZIONI!V175</f>
        <v/>
      </c>
      <c r="Q7" s="7">
        <f>LAVORAZIONI!W175</f>
        <v/>
      </c>
      <c r="R7" s="6">
        <f>LAVORAZIONI!X175</f>
        <v/>
      </c>
      <c r="S7" s="7">
        <f>LAVORAZIONI!Y175</f>
        <v/>
      </c>
      <c r="T7" s="6">
        <f>LAVORAZIONI!Z175</f>
        <v/>
      </c>
      <c r="U7" s="7">
        <f>LAVORAZIONI!AA175</f>
        <v/>
      </c>
      <c r="V7" s="6">
        <f>LAVORAZIONI!AB175</f>
        <v/>
      </c>
      <c r="W7" s="7">
        <f>LAVORAZIONI!AC175</f>
        <v/>
      </c>
      <c r="X7" s="6">
        <f>LAVORAZIONI!AD175</f>
        <v/>
      </c>
      <c r="Y7" s="7">
        <f>LAVORAZIONI!AE175</f>
        <v/>
      </c>
      <c r="Z7" s="6">
        <f>LAVORAZIONI!AF175</f>
        <v/>
      </c>
      <c r="AA7" s="7">
        <f>LAVORAZIONI!AG175</f>
        <v/>
      </c>
      <c r="AB7" s="6">
        <f>LAVORAZIONI!AH175</f>
        <v/>
      </c>
      <c r="AC7" s="7">
        <f>LAVORAZIONI!AI175</f>
        <v/>
      </c>
      <c r="AD7" s="13">
        <f>LAVORAZIONI!AJ175</f>
        <v/>
      </c>
    </row>
    <row r="8" ht="75" customHeight="1" s="46">
      <c r="B8" s="4">
        <f>LAVORAZIONI!G176</f>
        <v/>
      </c>
      <c r="C8" s="3">
        <f>LAVORAZIONI!A176</f>
        <v/>
      </c>
      <c r="D8" s="3">
        <f>LAVORAZIONI!K176</f>
        <v/>
      </c>
      <c r="E8" s="4">
        <f>LAVORAZIONI!H176</f>
        <v/>
      </c>
      <c r="F8" s="4">
        <f>LAVORAZIONI!M176</f>
        <v/>
      </c>
      <c r="G8" s="5">
        <f>LAVORAZIONI!N176</f>
        <v/>
      </c>
      <c r="H8" s="6">
        <f>LAVORAZIONI!O176</f>
        <v/>
      </c>
      <c r="I8" s="13">
        <f>LAVORAZIONI!P176</f>
        <v/>
      </c>
      <c r="J8" s="5">
        <f>IF(LAVORAZIONI!Q176="","",LAVORAZIONI!Q176)</f>
        <v/>
      </c>
      <c r="K8" s="6">
        <f>IF(LAVORAZIONI!R176="","",LAVORAZIONI!R176)</f>
        <v/>
      </c>
      <c r="L8" s="13">
        <f>IF(LAVORAZIONI!S176="","",LAVORAZIONI!S176)</f>
        <v/>
      </c>
      <c r="M8" s="13">
        <f>LAVORAZIONI!T176</f>
        <v/>
      </c>
      <c r="O8" s="7">
        <f>LAVORAZIONI!U176</f>
        <v/>
      </c>
      <c r="P8" s="45">
        <f>LAVORAZIONI!V176</f>
        <v/>
      </c>
      <c r="Q8" s="7">
        <f>LAVORAZIONI!W176</f>
        <v/>
      </c>
      <c r="R8" s="6">
        <f>LAVORAZIONI!X176</f>
        <v/>
      </c>
      <c r="S8" s="7">
        <f>LAVORAZIONI!Y176</f>
        <v/>
      </c>
      <c r="T8" s="6">
        <f>LAVORAZIONI!Z176</f>
        <v/>
      </c>
      <c r="U8" s="7">
        <f>LAVORAZIONI!AA176</f>
        <v/>
      </c>
      <c r="V8" s="6">
        <f>LAVORAZIONI!AB176</f>
        <v/>
      </c>
      <c r="W8" s="7">
        <f>LAVORAZIONI!AC176</f>
        <v/>
      </c>
      <c r="X8" s="6">
        <f>LAVORAZIONI!AD176</f>
        <v/>
      </c>
      <c r="Y8" s="7">
        <f>LAVORAZIONI!AE176</f>
        <v/>
      </c>
      <c r="Z8" s="6">
        <f>LAVORAZIONI!AF176</f>
        <v/>
      </c>
      <c r="AA8" s="7">
        <f>LAVORAZIONI!AG176</f>
        <v/>
      </c>
      <c r="AB8" s="6">
        <f>LAVORAZIONI!AH176</f>
        <v/>
      </c>
      <c r="AC8" s="7">
        <f>LAVORAZIONI!AI176</f>
        <v/>
      </c>
      <c r="AD8" s="13">
        <f>LAVORAZIONI!AJ176</f>
        <v/>
      </c>
    </row>
    <row r="9" ht="75" customHeight="1" s="46">
      <c r="B9" s="4">
        <f>LAVORAZIONI!G177</f>
        <v/>
      </c>
      <c r="C9" s="3">
        <f>LAVORAZIONI!A177</f>
        <v/>
      </c>
      <c r="D9" s="3">
        <f>LAVORAZIONI!K177</f>
        <v/>
      </c>
      <c r="E9" s="4">
        <f>LAVORAZIONI!H177</f>
        <v/>
      </c>
      <c r="F9" s="4">
        <f>LAVORAZIONI!M177</f>
        <v/>
      </c>
      <c r="G9" s="5">
        <f>LAVORAZIONI!N177</f>
        <v/>
      </c>
      <c r="H9" s="6">
        <f>LAVORAZIONI!O177</f>
        <v/>
      </c>
      <c r="I9" s="13">
        <f>LAVORAZIONI!P177</f>
        <v/>
      </c>
      <c r="J9" s="5">
        <f>IF(LAVORAZIONI!Q177="","",LAVORAZIONI!Q177)</f>
        <v/>
      </c>
      <c r="K9" s="6">
        <f>IF(LAVORAZIONI!R177="","",LAVORAZIONI!R177)</f>
        <v/>
      </c>
      <c r="L9" s="13">
        <f>IF(LAVORAZIONI!S177="","",LAVORAZIONI!S177)</f>
        <v/>
      </c>
      <c r="M9" s="13">
        <f>LAVORAZIONI!T177</f>
        <v/>
      </c>
      <c r="O9" s="7">
        <f>LAVORAZIONI!U177</f>
        <v/>
      </c>
      <c r="P9" s="45">
        <f>LAVORAZIONI!V177</f>
        <v/>
      </c>
      <c r="Q9" s="7">
        <f>LAVORAZIONI!W177</f>
        <v/>
      </c>
      <c r="R9" s="6">
        <f>LAVORAZIONI!X177</f>
        <v/>
      </c>
      <c r="S9" s="7">
        <f>LAVORAZIONI!Y177</f>
        <v/>
      </c>
      <c r="T9" s="6">
        <f>LAVORAZIONI!Z177</f>
        <v/>
      </c>
      <c r="U9" s="7">
        <f>LAVORAZIONI!AA177</f>
        <v/>
      </c>
      <c r="V9" s="6">
        <f>LAVORAZIONI!AB177</f>
        <v/>
      </c>
      <c r="W9" s="7">
        <f>LAVORAZIONI!AC177</f>
        <v/>
      </c>
      <c r="X9" s="6">
        <f>LAVORAZIONI!AD177</f>
        <v/>
      </c>
      <c r="Y9" s="7">
        <f>LAVORAZIONI!AE177</f>
        <v/>
      </c>
      <c r="Z9" s="6">
        <f>LAVORAZIONI!AF177</f>
        <v/>
      </c>
      <c r="AA9" s="7">
        <f>LAVORAZIONI!AG177</f>
        <v/>
      </c>
      <c r="AB9" s="6">
        <f>LAVORAZIONI!AH177</f>
        <v/>
      </c>
      <c r="AC9" s="7">
        <f>LAVORAZIONI!AI177</f>
        <v/>
      </c>
      <c r="AD9" s="13">
        <f>LAVORAZIONI!AJ177</f>
        <v/>
      </c>
    </row>
    <row r="10" ht="75" customHeight="1" s="46">
      <c r="B10" s="4">
        <f>LAVORAZIONI!G178</f>
        <v/>
      </c>
      <c r="C10" s="3">
        <f>LAVORAZIONI!A178</f>
        <v/>
      </c>
      <c r="D10" s="3">
        <f>LAVORAZIONI!K178</f>
        <v/>
      </c>
      <c r="E10" s="4">
        <f>LAVORAZIONI!H178</f>
        <v/>
      </c>
      <c r="F10" s="4">
        <f>LAVORAZIONI!M178</f>
        <v/>
      </c>
      <c r="G10" s="5">
        <f>LAVORAZIONI!N178</f>
        <v/>
      </c>
      <c r="H10" s="6">
        <f>LAVORAZIONI!O178</f>
        <v/>
      </c>
      <c r="I10" s="13">
        <f>LAVORAZIONI!P178</f>
        <v/>
      </c>
      <c r="J10" s="5">
        <f>IF(LAVORAZIONI!Q178="","",LAVORAZIONI!Q178)</f>
        <v/>
      </c>
      <c r="K10" s="6">
        <f>IF(LAVORAZIONI!R178="","",LAVORAZIONI!R178)</f>
        <v/>
      </c>
      <c r="L10" s="13">
        <f>IF(LAVORAZIONI!S178="","",LAVORAZIONI!S178)</f>
        <v/>
      </c>
      <c r="M10" s="13">
        <f>LAVORAZIONI!T178</f>
        <v/>
      </c>
      <c r="O10" s="7">
        <f>LAVORAZIONI!U178</f>
        <v/>
      </c>
      <c r="P10" s="45">
        <f>LAVORAZIONI!V178</f>
        <v/>
      </c>
      <c r="Q10" s="7">
        <f>LAVORAZIONI!W178</f>
        <v/>
      </c>
      <c r="R10" s="6">
        <f>LAVORAZIONI!X178</f>
        <v/>
      </c>
      <c r="S10" s="7">
        <f>LAVORAZIONI!Y178</f>
        <v/>
      </c>
      <c r="T10" s="6">
        <f>LAVORAZIONI!Z178</f>
        <v/>
      </c>
      <c r="U10" s="7">
        <f>LAVORAZIONI!AA178</f>
        <v/>
      </c>
      <c r="V10" s="6">
        <f>LAVORAZIONI!AB178</f>
        <v/>
      </c>
      <c r="W10" s="7">
        <f>LAVORAZIONI!AC178</f>
        <v/>
      </c>
      <c r="X10" s="6">
        <f>LAVORAZIONI!AD178</f>
        <v/>
      </c>
      <c r="Y10" s="7">
        <f>LAVORAZIONI!AE178</f>
        <v/>
      </c>
      <c r="Z10" s="6">
        <f>LAVORAZIONI!AF178</f>
        <v/>
      </c>
      <c r="AA10" s="7">
        <f>LAVORAZIONI!AG178</f>
        <v/>
      </c>
      <c r="AB10" s="6">
        <f>LAVORAZIONI!AH178</f>
        <v/>
      </c>
      <c r="AC10" s="7">
        <f>LAVORAZIONI!AI178</f>
        <v/>
      </c>
      <c r="AD10" s="13">
        <f>LAVORAZIONI!AJ178</f>
        <v/>
      </c>
    </row>
    <row r="11" ht="75" customHeight="1" s="46">
      <c r="B11" s="4">
        <f>LAVORAZIONI!G179</f>
        <v/>
      </c>
      <c r="C11" s="3">
        <f>LAVORAZIONI!A179</f>
        <v/>
      </c>
      <c r="D11" s="3">
        <f>LAVORAZIONI!K179</f>
        <v/>
      </c>
      <c r="E11" s="4">
        <f>LAVORAZIONI!H179</f>
        <v/>
      </c>
      <c r="F11" s="4">
        <f>LAVORAZIONI!M179</f>
        <v/>
      </c>
      <c r="G11" s="5">
        <f>LAVORAZIONI!N179</f>
        <v/>
      </c>
      <c r="H11" s="6">
        <f>LAVORAZIONI!O179</f>
        <v/>
      </c>
      <c r="I11" s="13">
        <f>LAVORAZIONI!P179</f>
        <v/>
      </c>
      <c r="J11" s="5">
        <f>IF(LAVORAZIONI!Q179="","",LAVORAZIONI!Q179)</f>
        <v/>
      </c>
      <c r="K11" s="6">
        <f>IF(LAVORAZIONI!R179="","",LAVORAZIONI!R179)</f>
        <v/>
      </c>
      <c r="L11" s="13">
        <f>IF(LAVORAZIONI!S179="","",LAVORAZIONI!S179)</f>
        <v/>
      </c>
      <c r="M11" s="13">
        <f>LAVORAZIONI!T179</f>
        <v/>
      </c>
      <c r="O11" s="7">
        <f>LAVORAZIONI!U179</f>
        <v/>
      </c>
      <c r="P11" s="45">
        <f>LAVORAZIONI!V179</f>
        <v/>
      </c>
      <c r="Q11" s="7">
        <f>LAVORAZIONI!W179</f>
        <v/>
      </c>
      <c r="R11" s="6">
        <f>LAVORAZIONI!X179</f>
        <v/>
      </c>
      <c r="S11" s="7">
        <f>LAVORAZIONI!Y179</f>
        <v/>
      </c>
      <c r="T11" s="6">
        <f>LAVORAZIONI!Z179</f>
        <v/>
      </c>
      <c r="U11" s="7">
        <f>LAVORAZIONI!AA179</f>
        <v/>
      </c>
      <c r="V11" s="6">
        <f>LAVORAZIONI!AB179</f>
        <v/>
      </c>
      <c r="W11" s="7">
        <f>LAVORAZIONI!AC179</f>
        <v/>
      </c>
      <c r="X11" s="6">
        <f>LAVORAZIONI!AD179</f>
        <v/>
      </c>
      <c r="Y11" s="7">
        <f>LAVORAZIONI!AE179</f>
        <v/>
      </c>
      <c r="Z11" s="6">
        <f>LAVORAZIONI!AF179</f>
        <v/>
      </c>
      <c r="AA11" s="7">
        <f>LAVORAZIONI!AG179</f>
        <v/>
      </c>
      <c r="AB11" s="6">
        <f>LAVORAZIONI!AH179</f>
        <v/>
      </c>
      <c r="AC11" s="7">
        <f>LAVORAZIONI!AI179</f>
        <v/>
      </c>
      <c r="AD11" s="13">
        <f>LAVORAZIONI!AJ179</f>
        <v/>
      </c>
    </row>
    <row r="12" ht="75" customHeight="1" s="46">
      <c r="B12" s="4">
        <f>LAVORAZIONI!G180</f>
        <v/>
      </c>
      <c r="C12" s="3">
        <f>LAVORAZIONI!A180</f>
        <v/>
      </c>
      <c r="D12" s="3">
        <f>LAVORAZIONI!K180</f>
        <v/>
      </c>
      <c r="E12" s="4">
        <f>LAVORAZIONI!H180</f>
        <v/>
      </c>
      <c r="F12" s="4">
        <f>LAVORAZIONI!M180</f>
        <v/>
      </c>
      <c r="G12" s="5">
        <f>LAVORAZIONI!N180</f>
        <v/>
      </c>
      <c r="H12" s="6">
        <f>LAVORAZIONI!O180</f>
        <v/>
      </c>
      <c r="I12" s="13">
        <f>LAVORAZIONI!P180</f>
        <v/>
      </c>
      <c r="J12" s="5">
        <f>IF(LAVORAZIONI!Q180="","",LAVORAZIONI!Q180)</f>
        <v/>
      </c>
      <c r="K12" s="6">
        <f>IF(LAVORAZIONI!R180="","",LAVORAZIONI!R180)</f>
        <v/>
      </c>
      <c r="L12" s="13">
        <f>IF(LAVORAZIONI!S180="","",LAVORAZIONI!S180)</f>
        <v/>
      </c>
      <c r="M12" s="13">
        <f>LAVORAZIONI!T180</f>
        <v/>
      </c>
      <c r="O12" s="7">
        <f>LAVORAZIONI!U180</f>
        <v/>
      </c>
      <c r="P12" s="45">
        <f>LAVORAZIONI!V180</f>
        <v/>
      </c>
      <c r="Q12" s="7">
        <f>LAVORAZIONI!W180</f>
        <v/>
      </c>
      <c r="R12" s="6">
        <f>LAVORAZIONI!X180</f>
        <v/>
      </c>
      <c r="S12" s="7">
        <f>LAVORAZIONI!Y180</f>
        <v/>
      </c>
      <c r="T12" s="6">
        <f>LAVORAZIONI!Z180</f>
        <v/>
      </c>
      <c r="U12" s="7">
        <f>LAVORAZIONI!AA180</f>
        <v/>
      </c>
      <c r="V12" s="6">
        <f>LAVORAZIONI!AB180</f>
        <v/>
      </c>
      <c r="W12" s="7">
        <f>LAVORAZIONI!AC180</f>
        <v/>
      </c>
      <c r="X12" s="6">
        <f>LAVORAZIONI!AD180</f>
        <v/>
      </c>
      <c r="Y12" s="7">
        <f>LAVORAZIONI!AE180</f>
        <v/>
      </c>
      <c r="Z12" s="6">
        <f>LAVORAZIONI!AF180</f>
        <v/>
      </c>
      <c r="AA12" s="7">
        <f>LAVORAZIONI!AG180</f>
        <v/>
      </c>
      <c r="AB12" s="6">
        <f>LAVORAZIONI!AH180</f>
        <v/>
      </c>
      <c r="AC12" s="7">
        <f>LAVORAZIONI!AI180</f>
        <v/>
      </c>
      <c r="AD12" s="13">
        <f>LAVORAZIONI!AJ180</f>
        <v/>
      </c>
    </row>
    <row r="13" ht="75" customHeight="1" s="46">
      <c r="B13" s="4">
        <f>LAVORAZIONI!G181</f>
        <v/>
      </c>
      <c r="C13" s="3">
        <f>LAVORAZIONI!A181</f>
        <v/>
      </c>
      <c r="D13" s="3">
        <f>LAVORAZIONI!K181</f>
        <v/>
      </c>
      <c r="E13" s="4">
        <f>LAVORAZIONI!H181</f>
        <v/>
      </c>
      <c r="F13" s="4">
        <f>LAVORAZIONI!M181</f>
        <v/>
      </c>
      <c r="G13" s="5">
        <f>LAVORAZIONI!N181</f>
        <v/>
      </c>
      <c r="H13" s="6">
        <f>LAVORAZIONI!O181</f>
        <v/>
      </c>
      <c r="I13" s="13">
        <f>LAVORAZIONI!P181</f>
        <v/>
      </c>
      <c r="J13" s="5">
        <f>IF(LAVORAZIONI!Q181="","",LAVORAZIONI!Q181)</f>
        <v/>
      </c>
      <c r="K13" s="6">
        <f>IF(LAVORAZIONI!R181="","",LAVORAZIONI!R181)</f>
        <v/>
      </c>
      <c r="L13" s="13">
        <f>IF(LAVORAZIONI!S181="","",LAVORAZIONI!S181)</f>
        <v/>
      </c>
      <c r="M13" s="13">
        <f>LAVORAZIONI!T181</f>
        <v/>
      </c>
      <c r="O13" s="7">
        <f>LAVORAZIONI!U181</f>
        <v/>
      </c>
      <c r="P13" s="45">
        <f>LAVORAZIONI!V181</f>
        <v/>
      </c>
      <c r="Q13" s="7">
        <f>LAVORAZIONI!W181</f>
        <v/>
      </c>
      <c r="R13" s="6">
        <f>LAVORAZIONI!X181</f>
        <v/>
      </c>
      <c r="S13" s="7">
        <f>LAVORAZIONI!Y181</f>
        <v/>
      </c>
      <c r="T13" s="6">
        <f>LAVORAZIONI!Z181</f>
        <v/>
      </c>
      <c r="U13" s="7">
        <f>LAVORAZIONI!AA181</f>
        <v/>
      </c>
      <c r="V13" s="6">
        <f>LAVORAZIONI!AB181</f>
        <v/>
      </c>
      <c r="W13" s="7">
        <f>LAVORAZIONI!AC181</f>
        <v/>
      </c>
      <c r="X13" s="6">
        <f>LAVORAZIONI!AD181</f>
        <v/>
      </c>
      <c r="Y13" s="7">
        <f>LAVORAZIONI!AE181</f>
        <v/>
      </c>
      <c r="Z13" s="6">
        <f>LAVORAZIONI!AF181</f>
        <v/>
      </c>
      <c r="AA13" s="7">
        <f>LAVORAZIONI!AG181</f>
        <v/>
      </c>
      <c r="AB13" s="6">
        <f>LAVORAZIONI!AH181</f>
        <v/>
      </c>
      <c r="AC13" s="7">
        <f>LAVORAZIONI!AI181</f>
        <v/>
      </c>
      <c r="AD13" s="13">
        <f>LAVORAZIONI!AJ181</f>
        <v/>
      </c>
    </row>
    <row r="14" ht="75" customHeight="1" s="46">
      <c r="B14" s="4">
        <f>LAVORAZIONI!G182</f>
        <v/>
      </c>
      <c r="C14" s="3">
        <f>LAVORAZIONI!A182</f>
        <v/>
      </c>
      <c r="D14" s="3">
        <f>LAVORAZIONI!K182</f>
        <v/>
      </c>
      <c r="E14" s="4">
        <f>LAVORAZIONI!H182</f>
        <v/>
      </c>
      <c r="F14" s="4">
        <f>LAVORAZIONI!M182</f>
        <v/>
      </c>
      <c r="G14" s="5">
        <f>LAVORAZIONI!N182</f>
        <v/>
      </c>
      <c r="H14" s="6">
        <f>LAVORAZIONI!O182</f>
        <v/>
      </c>
      <c r="I14" s="13">
        <f>LAVORAZIONI!P182</f>
        <v/>
      </c>
      <c r="J14" s="5">
        <f>IF(LAVORAZIONI!Q182="","",LAVORAZIONI!Q182)</f>
        <v/>
      </c>
      <c r="K14" s="6">
        <f>IF(LAVORAZIONI!R182="","",LAVORAZIONI!R182)</f>
        <v/>
      </c>
      <c r="L14" s="13">
        <f>IF(LAVORAZIONI!S182="","",LAVORAZIONI!S182)</f>
        <v/>
      </c>
      <c r="M14" s="13">
        <f>LAVORAZIONI!T182</f>
        <v/>
      </c>
      <c r="O14" s="7">
        <f>LAVORAZIONI!U182</f>
        <v/>
      </c>
      <c r="P14" s="45">
        <f>LAVORAZIONI!V182</f>
        <v/>
      </c>
      <c r="Q14" s="7">
        <f>LAVORAZIONI!W182</f>
        <v/>
      </c>
      <c r="R14" s="6">
        <f>LAVORAZIONI!X182</f>
        <v/>
      </c>
      <c r="S14" s="7">
        <f>LAVORAZIONI!Y182</f>
        <v/>
      </c>
      <c r="T14" s="6">
        <f>LAVORAZIONI!Z182</f>
        <v/>
      </c>
      <c r="U14" s="7">
        <f>LAVORAZIONI!AA182</f>
        <v/>
      </c>
      <c r="V14" s="6">
        <f>LAVORAZIONI!AB182</f>
        <v/>
      </c>
      <c r="W14" s="7">
        <f>LAVORAZIONI!AC182</f>
        <v/>
      </c>
      <c r="X14" s="6">
        <f>LAVORAZIONI!AD182</f>
        <v/>
      </c>
      <c r="Y14" s="7">
        <f>LAVORAZIONI!AE182</f>
        <v/>
      </c>
      <c r="Z14" s="6">
        <f>LAVORAZIONI!AF182</f>
        <v/>
      </c>
      <c r="AA14" s="7">
        <f>LAVORAZIONI!AG182</f>
        <v/>
      </c>
      <c r="AB14" s="6">
        <f>LAVORAZIONI!AH182</f>
        <v/>
      </c>
      <c r="AC14" s="7">
        <f>LAVORAZIONI!AI182</f>
        <v/>
      </c>
      <c r="AD14" s="13">
        <f>LAVORAZIONI!AJ182</f>
        <v/>
      </c>
    </row>
    <row r="15" ht="75" customHeight="1" s="46">
      <c r="B15" s="4">
        <f>LAVORAZIONI!G183</f>
        <v/>
      </c>
      <c r="C15" s="3">
        <f>LAVORAZIONI!A183</f>
        <v/>
      </c>
      <c r="D15" s="3">
        <f>LAVORAZIONI!K183</f>
        <v/>
      </c>
      <c r="E15" s="4">
        <f>LAVORAZIONI!H183</f>
        <v/>
      </c>
      <c r="F15" s="4">
        <f>LAVORAZIONI!M183</f>
        <v/>
      </c>
      <c r="G15" s="5">
        <f>LAVORAZIONI!N183</f>
        <v/>
      </c>
      <c r="H15" s="6">
        <f>LAVORAZIONI!O183</f>
        <v/>
      </c>
      <c r="I15" s="13">
        <f>LAVORAZIONI!P183</f>
        <v/>
      </c>
      <c r="J15" s="5">
        <f>IF(LAVORAZIONI!Q183="","",LAVORAZIONI!Q183)</f>
        <v/>
      </c>
      <c r="K15" s="6">
        <f>IF(LAVORAZIONI!R183="","",LAVORAZIONI!R183)</f>
        <v/>
      </c>
      <c r="L15" s="13">
        <f>IF(LAVORAZIONI!S183="","",LAVORAZIONI!S183)</f>
        <v/>
      </c>
      <c r="M15" s="13">
        <f>LAVORAZIONI!T183</f>
        <v/>
      </c>
      <c r="O15" s="7">
        <f>LAVORAZIONI!U183</f>
        <v/>
      </c>
      <c r="P15" s="45">
        <f>LAVORAZIONI!V183</f>
        <v/>
      </c>
      <c r="Q15" s="7">
        <f>LAVORAZIONI!W183</f>
        <v/>
      </c>
      <c r="R15" s="6">
        <f>LAVORAZIONI!X183</f>
        <v/>
      </c>
      <c r="S15" s="7">
        <f>LAVORAZIONI!Y183</f>
        <v/>
      </c>
      <c r="T15" s="6">
        <f>LAVORAZIONI!Z183</f>
        <v/>
      </c>
      <c r="U15" s="7">
        <f>LAVORAZIONI!AA183</f>
        <v/>
      </c>
      <c r="V15" s="6">
        <f>LAVORAZIONI!AB183</f>
        <v/>
      </c>
      <c r="W15" s="7">
        <f>LAVORAZIONI!AC183</f>
        <v/>
      </c>
      <c r="X15" s="6">
        <f>LAVORAZIONI!AD183</f>
        <v/>
      </c>
      <c r="Y15" s="7">
        <f>LAVORAZIONI!AE183</f>
        <v/>
      </c>
      <c r="Z15" s="6">
        <f>LAVORAZIONI!AF183</f>
        <v/>
      </c>
      <c r="AA15" s="7">
        <f>LAVORAZIONI!AG183</f>
        <v/>
      </c>
      <c r="AB15" s="6">
        <f>LAVORAZIONI!AH183</f>
        <v/>
      </c>
      <c r="AC15" s="7">
        <f>LAVORAZIONI!AI183</f>
        <v/>
      </c>
      <c r="AD15" s="13">
        <f>LAVORAZIONI!AJ183</f>
        <v/>
      </c>
    </row>
    <row r="16" ht="75" customHeight="1" s="46">
      <c r="B16" s="4">
        <f>LAVORAZIONI!G184</f>
        <v/>
      </c>
      <c r="C16" s="3">
        <f>LAVORAZIONI!A184</f>
        <v/>
      </c>
      <c r="D16" s="3">
        <f>LAVORAZIONI!K184</f>
        <v/>
      </c>
      <c r="E16" s="4">
        <f>LAVORAZIONI!H184</f>
        <v/>
      </c>
      <c r="F16" s="4">
        <f>LAVORAZIONI!M184</f>
        <v/>
      </c>
      <c r="G16" s="5">
        <f>LAVORAZIONI!N184</f>
        <v/>
      </c>
      <c r="H16" s="6">
        <f>LAVORAZIONI!O184</f>
        <v/>
      </c>
      <c r="I16" s="13">
        <f>LAVORAZIONI!P184</f>
        <v/>
      </c>
      <c r="J16" s="5">
        <f>IF(LAVORAZIONI!Q184="","",LAVORAZIONI!Q184)</f>
        <v/>
      </c>
      <c r="K16" s="6">
        <f>IF(LAVORAZIONI!R184="","",LAVORAZIONI!R184)</f>
        <v/>
      </c>
      <c r="L16" s="13">
        <f>IF(LAVORAZIONI!S184="","",LAVORAZIONI!S184)</f>
        <v/>
      </c>
      <c r="M16" s="13">
        <f>LAVORAZIONI!T184</f>
        <v/>
      </c>
      <c r="O16" s="7">
        <f>LAVORAZIONI!U184</f>
        <v/>
      </c>
      <c r="P16" s="45">
        <f>LAVORAZIONI!V184</f>
        <v/>
      </c>
      <c r="Q16" s="7">
        <f>LAVORAZIONI!W184</f>
        <v/>
      </c>
      <c r="R16" s="6">
        <f>LAVORAZIONI!X184</f>
        <v/>
      </c>
      <c r="S16" s="7">
        <f>LAVORAZIONI!Y184</f>
        <v/>
      </c>
      <c r="T16" s="6">
        <f>LAVORAZIONI!Z184</f>
        <v/>
      </c>
      <c r="U16" s="7">
        <f>LAVORAZIONI!AA184</f>
        <v/>
      </c>
      <c r="V16" s="6">
        <f>LAVORAZIONI!AB184</f>
        <v/>
      </c>
      <c r="W16" s="7">
        <f>LAVORAZIONI!AC184</f>
        <v/>
      </c>
      <c r="X16" s="6">
        <f>LAVORAZIONI!AD184</f>
        <v/>
      </c>
      <c r="Y16" s="7">
        <f>LAVORAZIONI!AE184</f>
        <v/>
      </c>
      <c r="Z16" s="6">
        <f>LAVORAZIONI!AF184</f>
        <v/>
      </c>
      <c r="AA16" s="7">
        <f>LAVORAZIONI!AG184</f>
        <v/>
      </c>
      <c r="AB16" s="6">
        <f>LAVORAZIONI!AH184</f>
        <v/>
      </c>
      <c r="AC16" s="7">
        <f>LAVORAZIONI!AI184</f>
        <v/>
      </c>
      <c r="AD16" s="13">
        <f>LAVORAZIONI!AJ184</f>
        <v/>
      </c>
    </row>
    <row r="17" ht="75" customHeight="1" s="46">
      <c r="B17" s="4">
        <f>LAVORAZIONI!G185</f>
        <v/>
      </c>
      <c r="C17" s="3">
        <f>LAVORAZIONI!A185</f>
        <v/>
      </c>
      <c r="D17" s="3">
        <f>LAVORAZIONI!K185</f>
        <v/>
      </c>
      <c r="E17" s="4">
        <f>LAVORAZIONI!H185</f>
        <v/>
      </c>
      <c r="F17" s="4">
        <f>LAVORAZIONI!M185</f>
        <v/>
      </c>
      <c r="G17" s="5">
        <f>LAVORAZIONI!N185</f>
        <v/>
      </c>
      <c r="H17" s="6">
        <f>LAVORAZIONI!O185</f>
        <v/>
      </c>
      <c r="I17" s="13">
        <f>LAVORAZIONI!P185</f>
        <v/>
      </c>
      <c r="J17" s="5">
        <f>IF(LAVORAZIONI!Q185="","",LAVORAZIONI!Q185)</f>
        <v/>
      </c>
      <c r="K17" s="6">
        <f>IF(LAVORAZIONI!R185="","",LAVORAZIONI!R185)</f>
        <v/>
      </c>
      <c r="L17" s="13">
        <f>IF(LAVORAZIONI!S185="","",LAVORAZIONI!S185)</f>
        <v/>
      </c>
      <c r="M17" s="13">
        <f>LAVORAZIONI!T185</f>
        <v/>
      </c>
      <c r="O17" s="7">
        <f>LAVORAZIONI!U185</f>
        <v/>
      </c>
      <c r="P17" s="45">
        <f>LAVORAZIONI!V185</f>
        <v/>
      </c>
      <c r="Q17" s="7">
        <f>LAVORAZIONI!W185</f>
        <v/>
      </c>
      <c r="R17" s="6">
        <f>LAVORAZIONI!X185</f>
        <v/>
      </c>
      <c r="S17" s="7">
        <f>LAVORAZIONI!Y185</f>
        <v/>
      </c>
      <c r="T17" s="6">
        <f>LAVORAZIONI!Z185</f>
        <v/>
      </c>
      <c r="U17" s="7">
        <f>LAVORAZIONI!AA185</f>
        <v/>
      </c>
      <c r="V17" s="6">
        <f>LAVORAZIONI!AB185</f>
        <v/>
      </c>
      <c r="W17" s="7">
        <f>LAVORAZIONI!AC185</f>
        <v/>
      </c>
      <c r="X17" s="6">
        <f>LAVORAZIONI!AD185</f>
        <v/>
      </c>
      <c r="Y17" s="7">
        <f>LAVORAZIONI!AE185</f>
        <v/>
      </c>
      <c r="Z17" s="6">
        <f>LAVORAZIONI!AF185</f>
        <v/>
      </c>
      <c r="AA17" s="7">
        <f>LAVORAZIONI!AG185</f>
        <v/>
      </c>
      <c r="AB17" s="6">
        <f>LAVORAZIONI!AH185</f>
        <v/>
      </c>
      <c r="AC17" s="7">
        <f>LAVORAZIONI!AI185</f>
        <v/>
      </c>
      <c r="AD17" s="13">
        <f>LAVORAZIONI!AJ185</f>
        <v/>
      </c>
    </row>
    <row r="18" ht="75" customHeight="1" s="46">
      <c r="B18" s="4">
        <f>LAVORAZIONI!G186</f>
        <v/>
      </c>
      <c r="C18" s="3">
        <f>LAVORAZIONI!A186</f>
        <v/>
      </c>
      <c r="D18" s="3">
        <f>LAVORAZIONI!K186</f>
        <v/>
      </c>
      <c r="E18" s="4">
        <f>LAVORAZIONI!H186</f>
        <v/>
      </c>
      <c r="F18" s="4">
        <f>LAVORAZIONI!M186</f>
        <v/>
      </c>
      <c r="G18" s="5">
        <f>LAVORAZIONI!N186</f>
        <v/>
      </c>
      <c r="H18" s="6">
        <f>LAVORAZIONI!O186</f>
        <v/>
      </c>
      <c r="I18" s="13">
        <f>LAVORAZIONI!P186</f>
        <v/>
      </c>
      <c r="J18" s="5">
        <f>IF(LAVORAZIONI!Q186="","",LAVORAZIONI!Q186)</f>
        <v/>
      </c>
      <c r="K18" s="6">
        <f>IF(LAVORAZIONI!R186="","",LAVORAZIONI!R186)</f>
        <v/>
      </c>
      <c r="L18" s="13">
        <f>IF(LAVORAZIONI!S186="","",LAVORAZIONI!S186)</f>
        <v/>
      </c>
      <c r="M18" s="13">
        <f>LAVORAZIONI!T186</f>
        <v/>
      </c>
      <c r="O18" s="7">
        <f>LAVORAZIONI!U186</f>
        <v/>
      </c>
      <c r="P18" s="45">
        <f>LAVORAZIONI!V186</f>
        <v/>
      </c>
      <c r="Q18" s="7">
        <f>LAVORAZIONI!W186</f>
        <v/>
      </c>
      <c r="R18" s="6">
        <f>LAVORAZIONI!X186</f>
        <v/>
      </c>
      <c r="S18" s="7">
        <f>LAVORAZIONI!Y186</f>
        <v/>
      </c>
      <c r="T18" s="6">
        <f>LAVORAZIONI!Z186</f>
        <v/>
      </c>
      <c r="U18" s="7">
        <f>LAVORAZIONI!AA186</f>
        <v/>
      </c>
      <c r="V18" s="6">
        <f>LAVORAZIONI!AB186</f>
        <v/>
      </c>
      <c r="W18" s="7">
        <f>LAVORAZIONI!AC186</f>
        <v/>
      </c>
      <c r="X18" s="6">
        <f>LAVORAZIONI!AD186</f>
        <v/>
      </c>
      <c r="Y18" s="7">
        <f>LAVORAZIONI!AE186</f>
        <v/>
      </c>
      <c r="Z18" s="6">
        <f>LAVORAZIONI!AF186</f>
        <v/>
      </c>
      <c r="AA18" s="7">
        <f>LAVORAZIONI!AG186</f>
        <v/>
      </c>
      <c r="AB18" s="6">
        <f>LAVORAZIONI!AH186</f>
        <v/>
      </c>
      <c r="AC18" s="7">
        <f>LAVORAZIONI!AI186</f>
        <v/>
      </c>
      <c r="AD18" s="13">
        <f>LAVORAZIONI!AJ186</f>
        <v/>
      </c>
    </row>
    <row r="19" ht="75" customHeight="1" s="46">
      <c r="B19" s="4">
        <f>LAVORAZIONI!G187</f>
        <v/>
      </c>
      <c r="C19" s="3">
        <f>LAVORAZIONI!A187</f>
        <v/>
      </c>
      <c r="D19" s="3">
        <f>LAVORAZIONI!K187</f>
        <v/>
      </c>
      <c r="E19" s="4">
        <f>LAVORAZIONI!H187</f>
        <v/>
      </c>
      <c r="F19" s="4">
        <f>LAVORAZIONI!M187</f>
        <v/>
      </c>
      <c r="G19" s="5">
        <f>LAVORAZIONI!N187</f>
        <v/>
      </c>
      <c r="H19" s="6">
        <f>LAVORAZIONI!O187</f>
        <v/>
      </c>
      <c r="I19" s="13">
        <f>LAVORAZIONI!P187</f>
        <v/>
      </c>
      <c r="J19" s="5">
        <f>IF(LAVORAZIONI!Q187="","",LAVORAZIONI!Q187)</f>
        <v/>
      </c>
      <c r="K19" s="6">
        <f>IF(LAVORAZIONI!R187="","",LAVORAZIONI!R187)</f>
        <v/>
      </c>
      <c r="L19" s="13">
        <f>IF(LAVORAZIONI!S187="","",LAVORAZIONI!S187)</f>
        <v/>
      </c>
      <c r="M19" s="13">
        <f>LAVORAZIONI!T187</f>
        <v/>
      </c>
      <c r="O19" s="7">
        <f>LAVORAZIONI!U187</f>
        <v/>
      </c>
      <c r="P19" s="45">
        <f>LAVORAZIONI!V187</f>
        <v/>
      </c>
      <c r="Q19" s="7">
        <f>LAVORAZIONI!W187</f>
        <v/>
      </c>
      <c r="R19" s="6">
        <f>LAVORAZIONI!X187</f>
        <v/>
      </c>
      <c r="S19" s="7">
        <f>LAVORAZIONI!Y187</f>
        <v/>
      </c>
      <c r="T19" s="6">
        <f>LAVORAZIONI!Z187</f>
        <v/>
      </c>
      <c r="U19" s="7">
        <f>LAVORAZIONI!AA187</f>
        <v/>
      </c>
      <c r="V19" s="6">
        <f>LAVORAZIONI!AB187</f>
        <v/>
      </c>
      <c r="W19" s="7">
        <f>LAVORAZIONI!AC187</f>
        <v/>
      </c>
      <c r="X19" s="6">
        <f>LAVORAZIONI!AD187</f>
        <v/>
      </c>
      <c r="Y19" s="7">
        <f>LAVORAZIONI!AE187</f>
        <v/>
      </c>
      <c r="Z19" s="6">
        <f>LAVORAZIONI!AF187</f>
        <v/>
      </c>
      <c r="AA19" s="7">
        <f>LAVORAZIONI!AG187</f>
        <v/>
      </c>
      <c r="AB19" s="6">
        <f>LAVORAZIONI!AH187</f>
        <v/>
      </c>
      <c r="AC19" s="7">
        <f>LAVORAZIONI!AI187</f>
        <v/>
      </c>
      <c r="AD19" s="13">
        <f>LAVORAZIONI!AJ187</f>
        <v/>
      </c>
    </row>
    <row r="20" ht="75" customHeight="1" s="46">
      <c r="B20" s="4">
        <f>LAVORAZIONI!G188</f>
        <v/>
      </c>
      <c r="C20" s="3">
        <f>LAVORAZIONI!A188</f>
        <v/>
      </c>
      <c r="D20" s="3">
        <f>LAVORAZIONI!K188</f>
        <v/>
      </c>
      <c r="E20" s="4">
        <f>LAVORAZIONI!H188</f>
        <v/>
      </c>
      <c r="F20" s="4">
        <f>LAVORAZIONI!M188</f>
        <v/>
      </c>
      <c r="G20" s="5">
        <f>LAVORAZIONI!N188</f>
        <v/>
      </c>
      <c r="H20" s="6">
        <f>LAVORAZIONI!O188</f>
        <v/>
      </c>
      <c r="I20" s="13">
        <f>LAVORAZIONI!P188</f>
        <v/>
      </c>
      <c r="J20" s="5">
        <f>IF(LAVORAZIONI!Q188="","",LAVORAZIONI!Q188)</f>
        <v/>
      </c>
      <c r="K20" s="6">
        <f>IF(LAVORAZIONI!R188="","",LAVORAZIONI!R188)</f>
        <v/>
      </c>
      <c r="L20" s="13">
        <f>IF(LAVORAZIONI!S188="","",LAVORAZIONI!S188)</f>
        <v/>
      </c>
      <c r="M20" s="13">
        <f>LAVORAZIONI!T188</f>
        <v/>
      </c>
      <c r="O20" s="7">
        <f>LAVORAZIONI!U188</f>
        <v/>
      </c>
      <c r="P20" s="45">
        <f>LAVORAZIONI!V188</f>
        <v/>
      </c>
      <c r="Q20" s="7">
        <f>LAVORAZIONI!W188</f>
        <v/>
      </c>
      <c r="R20" s="6">
        <f>LAVORAZIONI!X188</f>
        <v/>
      </c>
      <c r="S20" s="7">
        <f>LAVORAZIONI!Y188</f>
        <v/>
      </c>
      <c r="T20" s="6">
        <f>LAVORAZIONI!Z188</f>
        <v/>
      </c>
      <c r="U20" s="7">
        <f>LAVORAZIONI!AA188</f>
        <v/>
      </c>
      <c r="V20" s="6">
        <f>LAVORAZIONI!AB188</f>
        <v/>
      </c>
      <c r="W20" s="7">
        <f>LAVORAZIONI!AC188</f>
        <v/>
      </c>
      <c r="X20" s="6">
        <f>LAVORAZIONI!AD188</f>
        <v/>
      </c>
      <c r="Y20" s="7">
        <f>LAVORAZIONI!AE188</f>
        <v/>
      </c>
      <c r="Z20" s="6">
        <f>LAVORAZIONI!AF188</f>
        <v/>
      </c>
      <c r="AA20" s="7">
        <f>LAVORAZIONI!AG188</f>
        <v/>
      </c>
      <c r="AB20" s="6">
        <f>LAVORAZIONI!AH188</f>
        <v/>
      </c>
      <c r="AC20" s="7">
        <f>LAVORAZIONI!AI188</f>
        <v/>
      </c>
      <c r="AD20" s="13">
        <f>LAVORAZIONI!AJ188</f>
        <v/>
      </c>
    </row>
    <row r="21" ht="75" customHeight="1" s="46">
      <c r="B21" s="4">
        <f>LAVORAZIONI!G189</f>
        <v/>
      </c>
      <c r="C21" s="3">
        <f>LAVORAZIONI!A189</f>
        <v/>
      </c>
      <c r="D21" s="3">
        <f>LAVORAZIONI!K189</f>
        <v/>
      </c>
      <c r="E21" s="4">
        <f>LAVORAZIONI!H189</f>
        <v/>
      </c>
      <c r="F21" s="4">
        <f>LAVORAZIONI!M189</f>
        <v/>
      </c>
      <c r="G21" s="5">
        <f>LAVORAZIONI!N189</f>
        <v/>
      </c>
      <c r="H21" s="6">
        <f>LAVORAZIONI!O189</f>
        <v/>
      </c>
      <c r="I21" s="13">
        <f>LAVORAZIONI!P189</f>
        <v/>
      </c>
      <c r="J21" s="5">
        <f>IF(LAVORAZIONI!Q189="","",LAVORAZIONI!Q189)</f>
        <v/>
      </c>
      <c r="K21" s="6">
        <f>IF(LAVORAZIONI!R189="","",LAVORAZIONI!R189)</f>
        <v/>
      </c>
      <c r="L21" s="13">
        <f>IF(LAVORAZIONI!S189="","",LAVORAZIONI!S189)</f>
        <v/>
      </c>
      <c r="M21" s="13">
        <f>LAVORAZIONI!T189</f>
        <v/>
      </c>
      <c r="O21" s="7">
        <f>LAVORAZIONI!U189</f>
        <v/>
      </c>
      <c r="P21" s="45">
        <f>LAVORAZIONI!V189</f>
        <v/>
      </c>
      <c r="Q21" s="7">
        <f>LAVORAZIONI!W189</f>
        <v/>
      </c>
      <c r="R21" s="6">
        <f>LAVORAZIONI!X189</f>
        <v/>
      </c>
      <c r="S21" s="7">
        <f>LAVORAZIONI!Y189</f>
        <v/>
      </c>
      <c r="T21" s="6">
        <f>LAVORAZIONI!Z189</f>
        <v/>
      </c>
      <c r="U21" s="7">
        <f>LAVORAZIONI!AA189</f>
        <v/>
      </c>
      <c r="V21" s="6">
        <f>LAVORAZIONI!AB189</f>
        <v/>
      </c>
      <c r="W21" s="7">
        <f>LAVORAZIONI!AC189</f>
        <v/>
      </c>
      <c r="X21" s="6">
        <f>LAVORAZIONI!AD189</f>
        <v/>
      </c>
      <c r="Y21" s="7">
        <f>LAVORAZIONI!AE189</f>
        <v/>
      </c>
      <c r="Z21" s="6">
        <f>LAVORAZIONI!AF189</f>
        <v/>
      </c>
      <c r="AA21" s="7">
        <f>LAVORAZIONI!AG189</f>
        <v/>
      </c>
      <c r="AB21" s="6">
        <f>LAVORAZIONI!AH189</f>
        <v/>
      </c>
      <c r="AC21" s="7">
        <f>LAVORAZIONI!AI189</f>
        <v/>
      </c>
      <c r="AD21" s="13">
        <f>LAVORAZIONI!AJ189</f>
        <v/>
      </c>
    </row>
    <row r="22" ht="75" customHeight="1" s="46">
      <c r="B22" s="4">
        <f>LAVORAZIONI!G190</f>
        <v/>
      </c>
      <c r="C22" s="3">
        <f>LAVORAZIONI!A190</f>
        <v/>
      </c>
      <c r="D22" s="3">
        <f>LAVORAZIONI!K190</f>
        <v/>
      </c>
      <c r="E22" s="4">
        <f>LAVORAZIONI!H190</f>
        <v/>
      </c>
      <c r="F22" s="4">
        <f>LAVORAZIONI!M190</f>
        <v/>
      </c>
      <c r="G22" s="5">
        <f>LAVORAZIONI!N190</f>
        <v/>
      </c>
      <c r="H22" s="6">
        <f>LAVORAZIONI!O190</f>
        <v/>
      </c>
      <c r="I22" s="13">
        <f>LAVORAZIONI!P190</f>
        <v/>
      </c>
      <c r="J22" s="5">
        <f>IF(LAVORAZIONI!Q190="","",LAVORAZIONI!Q190)</f>
        <v/>
      </c>
      <c r="K22" s="6">
        <f>IF(LAVORAZIONI!R190="","",LAVORAZIONI!R190)</f>
        <v/>
      </c>
      <c r="L22" s="13">
        <f>IF(LAVORAZIONI!S190="","",LAVORAZIONI!S190)</f>
        <v/>
      </c>
      <c r="M22" s="13">
        <f>LAVORAZIONI!T190</f>
        <v/>
      </c>
      <c r="O22" s="7">
        <f>LAVORAZIONI!U190</f>
        <v/>
      </c>
      <c r="P22" s="45">
        <f>LAVORAZIONI!V190</f>
        <v/>
      </c>
      <c r="Q22" s="7">
        <f>LAVORAZIONI!W190</f>
        <v/>
      </c>
      <c r="R22" s="6">
        <f>LAVORAZIONI!X190</f>
        <v/>
      </c>
      <c r="S22" s="7">
        <f>LAVORAZIONI!Y190</f>
        <v/>
      </c>
      <c r="T22" s="6">
        <f>LAVORAZIONI!Z190</f>
        <v/>
      </c>
      <c r="U22" s="7">
        <f>LAVORAZIONI!AA190</f>
        <v/>
      </c>
      <c r="V22" s="6">
        <f>LAVORAZIONI!AB190</f>
        <v/>
      </c>
      <c r="W22" s="7">
        <f>LAVORAZIONI!AC190</f>
        <v/>
      </c>
      <c r="X22" s="6">
        <f>LAVORAZIONI!AD190</f>
        <v/>
      </c>
      <c r="Y22" s="7">
        <f>LAVORAZIONI!AE190</f>
        <v/>
      </c>
      <c r="Z22" s="6">
        <f>LAVORAZIONI!AF190</f>
        <v/>
      </c>
      <c r="AA22" s="7">
        <f>LAVORAZIONI!AG190</f>
        <v/>
      </c>
      <c r="AB22" s="6">
        <f>LAVORAZIONI!AH190</f>
        <v/>
      </c>
      <c r="AC22" s="7">
        <f>LAVORAZIONI!AI190</f>
        <v/>
      </c>
      <c r="AD22" s="13">
        <f>LAVORAZIONI!AJ190</f>
        <v/>
      </c>
    </row>
    <row r="23" ht="75" customHeight="1" s="46">
      <c r="B23" s="4">
        <f>LAVORAZIONI!G191</f>
        <v/>
      </c>
      <c r="C23" s="3">
        <f>LAVORAZIONI!A191</f>
        <v/>
      </c>
      <c r="D23" s="3">
        <f>LAVORAZIONI!K191</f>
        <v/>
      </c>
      <c r="E23" s="4">
        <f>LAVORAZIONI!H191</f>
        <v/>
      </c>
      <c r="F23" s="4">
        <f>LAVORAZIONI!M191</f>
        <v/>
      </c>
      <c r="G23" s="5">
        <f>LAVORAZIONI!N191</f>
        <v/>
      </c>
      <c r="H23" s="6">
        <f>LAVORAZIONI!O191</f>
        <v/>
      </c>
      <c r="I23" s="13">
        <f>LAVORAZIONI!P191</f>
        <v/>
      </c>
      <c r="J23" s="5">
        <f>IF(LAVORAZIONI!Q191="","",LAVORAZIONI!Q191)</f>
        <v/>
      </c>
      <c r="K23" s="6">
        <f>IF(LAVORAZIONI!R191="","",LAVORAZIONI!R191)</f>
        <v/>
      </c>
      <c r="L23" s="13">
        <f>IF(LAVORAZIONI!S191="","",LAVORAZIONI!S191)</f>
        <v/>
      </c>
      <c r="M23" s="13">
        <f>LAVORAZIONI!T191</f>
        <v/>
      </c>
      <c r="O23" s="7">
        <f>LAVORAZIONI!U191</f>
        <v/>
      </c>
      <c r="P23" s="45">
        <f>LAVORAZIONI!V191</f>
        <v/>
      </c>
      <c r="Q23" s="7">
        <f>LAVORAZIONI!W191</f>
        <v/>
      </c>
      <c r="R23" s="6">
        <f>LAVORAZIONI!X191</f>
        <v/>
      </c>
      <c r="S23" s="7">
        <f>LAVORAZIONI!Y191</f>
        <v/>
      </c>
      <c r="T23" s="6">
        <f>LAVORAZIONI!Z191</f>
        <v/>
      </c>
      <c r="U23" s="7">
        <f>LAVORAZIONI!AA191</f>
        <v/>
      </c>
      <c r="V23" s="6">
        <f>LAVORAZIONI!AB191</f>
        <v/>
      </c>
      <c r="W23" s="7">
        <f>LAVORAZIONI!AC191</f>
        <v/>
      </c>
      <c r="X23" s="6">
        <f>LAVORAZIONI!AD191</f>
        <v/>
      </c>
      <c r="Y23" s="7">
        <f>LAVORAZIONI!AE191</f>
        <v/>
      </c>
      <c r="Z23" s="6">
        <f>LAVORAZIONI!AF191</f>
        <v/>
      </c>
      <c r="AA23" s="7">
        <f>LAVORAZIONI!AG191</f>
        <v/>
      </c>
      <c r="AB23" s="6">
        <f>LAVORAZIONI!AH191</f>
        <v/>
      </c>
      <c r="AC23" s="7">
        <f>LAVORAZIONI!AI191</f>
        <v/>
      </c>
      <c r="AD23" s="13">
        <f>LAVORAZIONI!AJ191</f>
        <v/>
      </c>
    </row>
    <row r="24" ht="75" customHeight="1" s="46">
      <c r="B24" s="4">
        <f>LAVORAZIONI!G192</f>
        <v/>
      </c>
      <c r="C24" s="3">
        <f>LAVORAZIONI!A192</f>
        <v/>
      </c>
      <c r="D24" s="3">
        <f>LAVORAZIONI!K192</f>
        <v/>
      </c>
      <c r="E24" s="4">
        <f>LAVORAZIONI!H192</f>
        <v/>
      </c>
      <c r="F24" s="4">
        <f>LAVORAZIONI!M192</f>
        <v/>
      </c>
      <c r="G24" s="5">
        <f>LAVORAZIONI!N192</f>
        <v/>
      </c>
      <c r="H24" s="6">
        <f>LAVORAZIONI!O192</f>
        <v/>
      </c>
      <c r="I24" s="13">
        <f>LAVORAZIONI!P192</f>
        <v/>
      </c>
      <c r="J24" s="5">
        <f>IF(LAVORAZIONI!Q192="","",LAVORAZIONI!Q192)</f>
        <v/>
      </c>
      <c r="K24" s="6">
        <f>IF(LAVORAZIONI!R192="","",LAVORAZIONI!R192)</f>
        <v/>
      </c>
      <c r="L24" s="13">
        <f>IF(LAVORAZIONI!S192="","",LAVORAZIONI!S192)</f>
        <v/>
      </c>
      <c r="M24" s="13">
        <f>LAVORAZIONI!T192</f>
        <v/>
      </c>
      <c r="O24" s="7">
        <f>LAVORAZIONI!U192</f>
        <v/>
      </c>
      <c r="P24" s="45">
        <f>LAVORAZIONI!V192</f>
        <v/>
      </c>
      <c r="Q24" s="7">
        <f>LAVORAZIONI!W192</f>
        <v/>
      </c>
      <c r="R24" s="6">
        <f>LAVORAZIONI!X192</f>
        <v/>
      </c>
      <c r="S24" s="7">
        <f>LAVORAZIONI!Y192</f>
        <v/>
      </c>
      <c r="T24" s="6">
        <f>LAVORAZIONI!Z192</f>
        <v/>
      </c>
      <c r="U24" s="7">
        <f>LAVORAZIONI!AA192</f>
        <v/>
      </c>
      <c r="V24" s="6">
        <f>LAVORAZIONI!AB192</f>
        <v/>
      </c>
      <c r="W24" s="7">
        <f>LAVORAZIONI!AC192</f>
        <v/>
      </c>
      <c r="X24" s="6">
        <f>LAVORAZIONI!AD192</f>
        <v/>
      </c>
      <c r="Y24" s="7">
        <f>LAVORAZIONI!AE192</f>
        <v/>
      </c>
      <c r="Z24" s="6">
        <f>LAVORAZIONI!AF192</f>
        <v/>
      </c>
      <c r="AA24" s="7">
        <f>LAVORAZIONI!AG192</f>
        <v/>
      </c>
      <c r="AB24" s="6">
        <f>LAVORAZIONI!AH192</f>
        <v/>
      </c>
      <c r="AC24" s="7">
        <f>LAVORAZIONI!AI192</f>
        <v/>
      </c>
      <c r="AD24" s="13">
        <f>LAVORAZIONI!AJ192</f>
        <v/>
      </c>
    </row>
    <row r="25" ht="75" customHeight="1" s="46">
      <c r="B25" s="4">
        <f>LAVORAZIONI!G193</f>
        <v/>
      </c>
      <c r="C25" s="3">
        <f>LAVORAZIONI!A193</f>
        <v/>
      </c>
      <c r="D25" s="3">
        <f>LAVORAZIONI!K193</f>
        <v/>
      </c>
      <c r="E25" s="4">
        <f>LAVORAZIONI!H193</f>
        <v/>
      </c>
      <c r="F25" s="4">
        <f>LAVORAZIONI!M193</f>
        <v/>
      </c>
      <c r="G25" s="5">
        <f>LAVORAZIONI!N193</f>
        <v/>
      </c>
      <c r="H25" s="6">
        <f>LAVORAZIONI!O193</f>
        <v/>
      </c>
      <c r="I25" s="13">
        <f>LAVORAZIONI!P193</f>
        <v/>
      </c>
      <c r="J25" s="5">
        <f>IF(LAVORAZIONI!Q193="","",LAVORAZIONI!Q193)</f>
        <v/>
      </c>
      <c r="K25" s="6">
        <f>IF(LAVORAZIONI!R193="","",LAVORAZIONI!R193)</f>
        <v/>
      </c>
      <c r="L25" s="13">
        <f>IF(LAVORAZIONI!S193="","",LAVORAZIONI!S193)</f>
        <v/>
      </c>
      <c r="M25" s="13">
        <f>LAVORAZIONI!T193</f>
        <v/>
      </c>
      <c r="O25" s="7">
        <f>LAVORAZIONI!U193</f>
        <v/>
      </c>
      <c r="P25" s="45">
        <f>LAVORAZIONI!V193</f>
        <v/>
      </c>
      <c r="Q25" s="7">
        <f>LAVORAZIONI!W193</f>
        <v/>
      </c>
      <c r="R25" s="6">
        <f>LAVORAZIONI!X193</f>
        <v/>
      </c>
      <c r="S25" s="7">
        <f>LAVORAZIONI!Y193</f>
        <v/>
      </c>
      <c r="T25" s="6">
        <f>LAVORAZIONI!Z193</f>
        <v/>
      </c>
      <c r="U25" s="7">
        <f>LAVORAZIONI!AA193</f>
        <v/>
      </c>
      <c r="V25" s="6">
        <f>LAVORAZIONI!AB193</f>
        <v/>
      </c>
      <c r="W25" s="7">
        <f>LAVORAZIONI!AC193</f>
        <v/>
      </c>
      <c r="X25" s="6">
        <f>LAVORAZIONI!AD193</f>
        <v/>
      </c>
      <c r="Y25" s="7">
        <f>LAVORAZIONI!AE193</f>
        <v/>
      </c>
      <c r="Z25" s="6">
        <f>LAVORAZIONI!AF193</f>
        <v/>
      </c>
      <c r="AA25" s="7">
        <f>LAVORAZIONI!AG193</f>
        <v/>
      </c>
      <c r="AB25" s="6">
        <f>LAVORAZIONI!AH193</f>
        <v/>
      </c>
      <c r="AC25" s="7">
        <f>LAVORAZIONI!AI193</f>
        <v/>
      </c>
      <c r="AD25" s="13">
        <f>LAVORAZIONI!AJ193</f>
        <v/>
      </c>
    </row>
    <row r="26" ht="75" customHeight="1" s="46">
      <c r="B26" s="4">
        <f>LAVORAZIONI!G194</f>
        <v/>
      </c>
      <c r="C26" s="3">
        <f>LAVORAZIONI!A194</f>
        <v/>
      </c>
      <c r="D26" s="3">
        <f>LAVORAZIONI!K194</f>
        <v/>
      </c>
      <c r="E26" s="4">
        <f>LAVORAZIONI!H194</f>
        <v/>
      </c>
      <c r="F26" s="4">
        <f>LAVORAZIONI!M194</f>
        <v/>
      </c>
      <c r="G26" s="5">
        <f>LAVORAZIONI!N194</f>
        <v/>
      </c>
      <c r="H26" s="6">
        <f>LAVORAZIONI!O194</f>
        <v/>
      </c>
      <c r="I26" s="13">
        <f>LAVORAZIONI!P194</f>
        <v/>
      </c>
      <c r="J26" s="5">
        <f>IF(LAVORAZIONI!Q194="","",LAVORAZIONI!Q194)</f>
        <v/>
      </c>
      <c r="K26" s="6">
        <f>IF(LAVORAZIONI!R194="","",LAVORAZIONI!R194)</f>
        <v/>
      </c>
      <c r="L26" s="13">
        <f>IF(LAVORAZIONI!S194="","",LAVORAZIONI!S194)</f>
        <v/>
      </c>
      <c r="M26" s="13">
        <f>LAVORAZIONI!T194</f>
        <v/>
      </c>
      <c r="O26" s="7">
        <f>LAVORAZIONI!U194</f>
        <v/>
      </c>
      <c r="P26" s="45">
        <f>LAVORAZIONI!V194</f>
        <v/>
      </c>
      <c r="Q26" s="7">
        <f>LAVORAZIONI!W194</f>
        <v/>
      </c>
      <c r="R26" s="6">
        <f>LAVORAZIONI!X194</f>
        <v/>
      </c>
      <c r="S26" s="7">
        <f>LAVORAZIONI!Y194</f>
        <v/>
      </c>
      <c r="T26" s="6">
        <f>LAVORAZIONI!Z194</f>
        <v/>
      </c>
      <c r="U26" s="7">
        <f>LAVORAZIONI!AA194</f>
        <v/>
      </c>
      <c r="V26" s="6">
        <f>LAVORAZIONI!AB194</f>
        <v/>
      </c>
      <c r="W26" s="7">
        <f>LAVORAZIONI!AC194</f>
        <v/>
      </c>
      <c r="X26" s="6">
        <f>LAVORAZIONI!AD194</f>
        <v/>
      </c>
      <c r="Y26" s="7">
        <f>LAVORAZIONI!AE194</f>
        <v/>
      </c>
      <c r="Z26" s="6">
        <f>LAVORAZIONI!AF194</f>
        <v/>
      </c>
      <c r="AA26" s="7">
        <f>LAVORAZIONI!AG194</f>
        <v/>
      </c>
      <c r="AB26" s="6">
        <f>LAVORAZIONI!AH194</f>
        <v/>
      </c>
      <c r="AC26" s="7">
        <f>LAVORAZIONI!AI194</f>
        <v/>
      </c>
      <c r="AD26" s="13">
        <f>LAVORAZIONI!AJ194</f>
        <v/>
      </c>
    </row>
    <row r="27" ht="75" customHeight="1" s="46">
      <c r="B27" s="4">
        <f>LAVORAZIONI!G195</f>
        <v/>
      </c>
      <c r="C27" s="3">
        <f>LAVORAZIONI!A195</f>
        <v/>
      </c>
      <c r="D27" s="3">
        <f>LAVORAZIONI!K195</f>
        <v/>
      </c>
      <c r="E27" s="4">
        <f>LAVORAZIONI!H195</f>
        <v/>
      </c>
      <c r="F27" s="4">
        <f>LAVORAZIONI!M195</f>
        <v/>
      </c>
      <c r="G27" s="5">
        <f>LAVORAZIONI!N195</f>
        <v/>
      </c>
      <c r="H27" s="6">
        <f>LAVORAZIONI!O195</f>
        <v/>
      </c>
      <c r="I27" s="13">
        <f>LAVORAZIONI!P195</f>
        <v/>
      </c>
      <c r="J27" s="5">
        <f>IF(LAVORAZIONI!Q195="","",LAVORAZIONI!Q195)</f>
        <v/>
      </c>
      <c r="K27" s="6">
        <f>IF(LAVORAZIONI!R195="","",LAVORAZIONI!R195)</f>
        <v/>
      </c>
      <c r="L27" s="13">
        <f>IF(LAVORAZIONI!S195="","",LAVORAZIONI!S195)</f>
        <v/>
      </c>
      <c r="M27" s="13">
        <f>LAVORAZIONI!T195</f>
        <v/>
      </c>
      <c r="O27" s="7">
        <f>LAVORAZIONI!U195</f>
        <v/>
      </c>
      <c r="P27" s="45">
        <f>LAVORAZIONI!V195</f>
        <v/>
      </c>
      <c r="Q27" s="7">
        <f>LAVORAZIONI!W195</f>
        <v/>
      </c>
      <c r="R27" s="6">
        <f>LAVORAZIONI!X195</f>
        <v/>
      </c>
      <c r="S27" s="7">
        <f>LAVORAZIONI!Y195</f>
        <v/>
      </c>
      <c r="T27" s="6">
        <f>LAVORAZIONI!Z195</f>
        <v/>
      </c>
      <c r="U27" s="7">
        <f>LAVORAZIONI!AA195</f>
        <v/>
      </c>
      <c r="V27" s="6">
        <f>LAVORAZIONI!AB195</f>
        <v/>
      </c>
      <c r="W27" s="7">
        <f>LAVORAZIONI!AC195</f>
        <v/>
      </c>
      <c r="X27" s="6">
        <f>LAVORAZIONI!AD195</f>
        <v/>
      </c>
      <c r="Y27" s="7">
        <f>LAVORAZIONI!AE195</f>
        <v/>
      </c>
      <c r="Z27" s="6">
        <f>LAVORAZIONI!AF195</f>
        <v/>
      </c>
      <c r="AA27" s="7">
        <f>LAVORAZIONI!AG195</f>
        <v/>
      </c>
      <c r="AB27" s="6">
        <f>LAVORAZIONI!AH195</f>
        <v/>
      </c>
      <c r="AC27" s="7">
        <f>LAVORAZIONI!AI195</f>
        <v/>
      </c>
      <c r="AD27" s="13">
        <f>LAVORAZIONI!AJ195</f>
        <v/>
      </c>
    </row>
    <row r="28" ht="75" customHeight="1" s="46">
      <c r="B28" s="4">
        <f>LAVORAZIONI!G196</f>
        <v/>
      </c>
      <c r="C28" s="3">
        <f>LAVORAZIONI!A196</f>
        <v/>
      </c>
      <c r="D28" s="3">
        <f>LAVORAZIONI!K196</f>
        <v/>
      </c>
      <c r="E28" s="4">
        <f>LAVORAZIONI!H196</f>
        <v/>
      </c>
      <c r="F28" s="4">
        <f>LAVORAZIONI!M196</f>
        <v/>
      </c>
      <c r="G28" s="5">
        <f>LAVORAZIONI!N196</f>
        <v/>
      </c>
      <c r="H28" s="6">
        <f>LAVORAZIONI!O196</f>
        <v/>
      </c>
      <c r="I28" s="13">
        <f>LAVORAZIONI!P196</f>
        <v/>
      </c>
      <c r="J28" s="5">
        <f>IF(LAVORAZIONI!Q196="","",LAVORAZIONI!Q196)</f>
        <v/>
      </c>
      <c r="K28" s="6">
        <f>IF(LAVORAZIONI!R196="","",LAVORAZIONI!R196)</f>
        <v/>
      </c>
      <c r="L28" s="13">
        <f>IF(LAVORAZIONI!S196="","",LAVORAZIONI!S196)</f>
        <v/>
      </c>
      <c r="M28" s="13">
        <f>LAVORAZIONI!T196</f>
        <v/>
      </c>
      <c r="O28" s="7">
        <f>LAVORAZIONI!U196</f>
        <v/>
      </c>
      <c r="P28" s="45">
        <f>LAVORAZIONI!V196</f>
        <v/>
      </c>
      <c r="Q28" s="7">
        <f>LAVORAZIONI!W196</f>
        <v/>
      </c>
      <c r="R28" s="6">
        <f>LAVORAZIONI!X196</f>
        <v/>
      </c>
      <c r="S28" s="7">
        <f>LAVORAZIONI!Y196</f>
        <v/>
      </c>
      <c r="T28" s="6">
        <f>LAVORAZIONI!Z196</f>
        <v/>
      </c>
      <c r="U28" s="7">
        <f>LAVORAZIONI!AA196</f>
        <v/>
      </c>
      <c r="V28" s="6">
        <f>LAVORAZIONI!AB196</f>
        <v/>
      </c>
      <c r="W28" s="7">
        <f>LAVORAZIONI!AC196</f>
        <v/>
      </c>
      <c r="X28" s="6">
        <f>LAVORAZIONI!AD196</f>
        <v/>
      </c>
      <c r="Y28" s="7">
        <f>LAVORAZIONI!AE196</f>
        <v/>
      </c>
      <c r="Z28" s="6">
        <f>LAVORAZIONI!AF196</f>
        <v/>
      </c>
      <c r="AA28" s="7">
        <f>LAVORAZIONI!AG196</f>
        <v/>
      </c>
      <c r="AB28" s="6">
        <f>LAVORAZIONI!AH196</f>
        <v/>
      </c>
      <c r="AC28" s="7">
        <f>LAVORAZIONI!AI196</f>
        <v/>
      </c>
      <c r="AD28" s="13">
        <f>LAVORAZIONI!AJ196</f>
        <v/>
      </c>
    </row>
    <row r="29" ht="75" customHeight="1" s="46">
      <c r="B29" s="4">
        <f>LAVORAZIONI!G197</f>
        <v/>
      </c>
      <c r="C29" s="3">
        <f>LAVORAZIONI!A197</f>
        <v/>
      </c>
      <c r="D29" s="3">
        <f>LAVORAZIONI!K197</f>
        <v/>
      </c>
      <c r="E29" s="4">
        <f>LAVORAZIONI!H197</f>
        <v/>
      </c>
      <c r="F29" s="4">
        <f>LAVORAZIONI!M197</f>
        <v/>
      </c>
      <c r="G29" s="5">
        <f>LAVORAZIONI!N197</f>
        <v/>
      </c>
      <c r="H29" s="6">
        <f>LAVORAZIONI!O197</f>
        <v/>
      </c>
      <c r="I29" s="13">
        <f>LAVORAZIONI!P197</f>
        <v/>
      </c>
      <c r="J29" s="5">
        <f>IF(LAVORAZIONI!Q197="","",LAVORAZIONI!Q197)</f>
        <v/>
      </c>
      <c r="K29" s="6">
        <f>IF(LAVORAZIONI!R197="","",LAVORAZIONI!R197)</f>
        <v/>
      </c>
      <c r="L29" s="13">
        <f>IF(LAVORAZIONI!S197="","",LAVORAZIONI!S197)</f>
        <v/>
      </c>
      <c r="M29" s="13">
        <f>LAVORAZIONI!T197</f>
        <v/>
      </c>
      <c r="O29" s="7">
        <f>LAVORAZIONI!U197</f>
        <v/>
      </c>
      <c r="P29" s="45">
        <f>LAVORAZIONI!V197</f>
        <v/>
      </c>
      <c r="Q29" s="7">
        <f>LAVORAZIONI!W197</f>
        <v/>
      </c>
      <c r="R29" s="6">
        <f>LAVORAZIONI!X197</f>
        <v/>
      </c>
      <c r="S29" s="7">
        <f>LAVORAZIONI!Y197</f>
        <v/>
      </c>
      <c r="T29" s="6">
        <f>LAVORAZIONI!Z197</f>
        <v/>
      </c>
      <c r="U29" s="7">
        <f>LAVORAZIONI!AA197</f>
        <v/>
      </c>
      <c r="V29" s="6">
        <f>LAVORAZIONI!AB197</f>
        <v/>
      </c>
      <c r="W29" s="7">
        <f>LAVORAZIONI!AC197</f>
        <v/>
      </c>
      <c r="X29" s="6">
        <f>LAVORAZIONI!AD197</f>
        <v/>
      </c>
      <c r="Y29" s="7">
        <f>LAVORAZIONI!AE197</f>
        <v/>
      </c>
      <c r="Z29" s="6">
        <f>LAVORAZIONI!AF197</f>
        <v/>
      </c>
      <c r="AA29" s="7">
        <f>LAVORAZIONI!AG197</f>
        <v/>
      </c>
      <c r="AB29" s="6">
        <f>LAVORAZIONI!AH197</f>
        <v/>
      </c>
      <c r="AC29" s="7">
        <f>LAVORAZIONI!AI197</f>
        <v/>
      </c>
      <c r="AD29" s="13">
        <f>LAVORAZIONI!AJ197</f>
        <v/>
      </c>
    </row>
    <row r="30" ht="75" customHeight="1" s="46">
      <c r="B30" s="4">
        <f>LAVORAZIONI!G198</f>
        <v/>
      </c>
      <c r="C30" s="3">
        <f>LAVORAZIONI!A198</f>
        <v/>
      </c>
      <c r="D30" s="3">
        <f>LAVORAZIONI!K198</f>
        <v/>
      </c>
      <c r="E30" s="4">
        <f>LAVORAZIONI!H198</f>
        <v/>
      </c>
      <c r="F30" s="4">
        <f>LAVORAZIONI!M198</f>
        <v/>
      </c>
      <c r="G30" s="5">
        <f>LAVORAZIONI!N198</f>
        <v/>
      </c>
      <c r="H30" s="6">
        <f>LAVORAZIONI!O198</f>
        <v/>
      </c>
      <c r="I30" s="13">
        <f>LAVORAZIONI!P198</f>
        <v/>
      </c>
      <c r="J30" s="5">
        <f>IF(LAVORAZIONI!Q198="","",LAVORAZIONI!Q198)</f>
        <v/>
      </c>
      <c r="K30" s="6">
        <f>IF(LAVORAZIONI!R198="","",LAVORAZIONI!R198)</f>
        <v/>
      </c>
      <c r="L30" s="13">
        <f>IF(LAVORAZIONI!S198="","",LAVORAZIONI!S198)</f>
        <v/>
      </c>
      <c r="M30" s="13">
        <f>LAVORAZIONI!T198</f>
        <v/>
      </c>
      <c r="O30" s="7">
        <f>LAVORAZIONI!U198</f>
        <v/>
      </c>
      <c r="P30" s="45">
        <f>LAVORAZIONI!V198</f>
        <v/>
      </c>
      <c r="Q30" s="7">
        <f>LAVORAZIONI!W198</f>
        <v/>
      </c>
      <c r="R30" s="6">
        <f>LAVORAZIONI!X198</f>
        <v/>
      </c>
      <c r="S30" s="7">
        <f>LAVORAZIONI!Y198</f>
        <v/>
      </c>
      <c r="T30" s="6">
        <f>LAVORAZIONI!Z198</f>
        <v/>
      </c>
      <c r="U30" s="7">
        <f>LAVORAZIONI!AA198</f>
        <v/>
      </c>
      <c r="V30" s="6">
        <f>LAVORAZIONI!AB198</f>
        <v/>
      </c>
      <c r="W30" s="7">
        <f>LAVORAZIONI!AC198</f>
        <v/>
      </c>
      <c r="X30" s="6">
        <f>LAVORAZIONI!AD198</f>
        <v/>
      </c>
      <c r="Y30" s="7">
        <f>LAVORAZIONI!AE198</f>
        <v/>
      </c>
      <c r="Z30" s="6">
        <f>LAVORAZIONI!AF198</f>
        <v/>
      </c>
      <c r="AA30" s="7">
        <f>LAVORAZIONI!AG198</f>
        <v/>
      </c>
      <c r="AB30" s="6">
        <f>LAVORAZIONI!AH198</f>
        <v/>
      </c>
      <c r="AC30" s="7">
        <f>LAVORAZIONI!AI198</f>
        <v/>
      </c>
      <c r="AD30" s="13">
        <f>LAVORAZIONI!AJ198</f>
        <v/>
      </c>
    </row>
    <row r="31" ht="75" customHeight="1" s="46">
      <c r="B31" s="4">
        <f>LAVORAZIONI!G199</f>
        <v/>
      </c>
      <c r="C31" s="3">
        <f>LAVORAZIONI!A199</f>
        <v/>
      </c>
      <c r="D31" s="3">
        <f>LAVORAZIONI!K199</f>
        <v/>
      </c>
      <c r="E31" s="4">
        <f>LAVORAZIONI!H199</f>
        <v/>
      </c>
      <c r="F31" s="4">
        <f>LAVORAZIONI!M199</f>
        <v/>
      </c>
      <c r="G31" s="5">
        <f>LAVORAZIONI!N199</f>
        <v/>
      </c>
      <c r="H31" s="6">
        <f>LAVORAZIONI!O199</f>
        <v/>
      </c>
      <c r="I31" s="13">
        <f>LAVORAZIONI!P199</f>
        <v/>
      </c>
      <c r="J31" s="5">
        <f>IF(LAVORAZIONI!Q199="","",LAVORAZIONI!Q199)</f>
        <v/>
      </c>
      <c r="K31" s="6">
        <f>IF(LAVORAZIONI!R199="","",LAVORAZIONI!R199)</f>
        <v/>
      </c>
      <c r="L31" s="13">
        <f>IF(LAVORAZIONI!S199="","",LAVORAZIONI!S199)</f>
        <v/>
      </c>
      <c r="M31" s="13">
        <f>LAVORAZIONI!T199</f>
        <v/>
      </c>
      <c r="O31" s="7">
        <f>LAVORAZIONI!U199</f>
        <v/>
      </c>
      <c r="P31" s="45">
        <f>LAVORAZIONI!V199</f>
        <v/>
      </c>
      <c r="Q31" s="7">
        <f>LAVORAZIONI!W199</f>
        <v/>
      </c>
      <c r="R31" s="6">
        <f>LAVORAZIONI!X199</f>
        <v/>
      </c>
      <c r="S31" s="7">
        <f>LAVORAZIONI!Y199</f>
        <v/>
      </c>
      <c r="T31" s="6">
        <f>LAVORAZIONI!Z199</f>
        <v/>
      </c>
      <c r="U31" s="7">
        <f>LAVORAZIONI!AA199</f>
        <v/>
      </c>
      <c r="V31" s="6">
        <f>LAVORAZIONI!AB199</f>
        <v/>
      </c>
      <c r="W31" s="7">
        <f>LAVORAZIONI!AC199</f>
        <v/>
      </c>
      <c r="X31" s="6">
        <f>LAVORAZIONI!AD199</f>
        <v/>
      </c>
      <c r="Y31" s="7">
        <f>LAVORAZIONI!AE199</f>
        <v/>
      </c>
      <c r="Z31" s="6">
        <f>LAVORAZIONI!AF199</f>
        <v/>
      </c>
      <c r="AA31" s="7">
        <f>LAVORAZIONI!AG199</f>
        <v/>
      </c>
      <c r="AB31" s="6">
        <f>LAVORAZIONI!AH199</f>
        <v/>
      </c>
      <c r="AC31" s="7">
        <f>LAVORAZIONI!AI199</f>
        <v/>
      </c>
      <c r="AD31" s="13">
        <f>LAVORAZIONI!AJ199</f>
        <v/>
      </c>
    </row>
    <row r="32" ht="75" customHeight="1" s="46">
      <c r="B32" s="4">
        <f>LAVORAZIONI!G200</f>
        <v/>
      </c>
      <c r="C32" s="3">
        <f>LAVORAZIONI!A200</f>
        <v/>
      </c>
      <c r="D32" s="3">
        <f>LAVORAZIONI!K200</f>
        <v/>
      </c>
      <c r="E32" s="4">
        <f>LAVORAZIONI!H200</f>
        <v/>
      </c>
      <c r="F32" s="4">
        <f>LAVORAZIONI!M200</f>
        <v/>
      </c>
      <c r="G32" s="5">
        <f>LAVORAZIONI!N200</f>
        <v/>
      </c>
      <c r="H32" s="6">
        <f>LAVORAZIONI!O200</f>
        <v/>
      </c>
      <c r="I32" s="13">
        <f>LAVORAZIONI!P200</f>
        <v/>
      </c>
      <c r="J32" s="5">
        <f>IF(LAVORAZIONI!Q200="","",LAVORAZIONI!Q200)</f>
        <v/>
      </c>
      <c r="K32" s="6">
        <f>IF(LAVORAZIONI!R200="","",LAVORAZIONI!R200)</f>
        <v/>
      </c>
      <c r="L32" s="13">
        <f>IF(LAVORAZIONI!S200="","",LAVORAZIONI!S200)</f>
        <v/>
      </c>
      <c r="M32" s="13">
        <f>LAVORAZIONI!T200</f>
        <v/>
      </c>
      <c r="O32" s="7">
        <f>LAVORAZIONI!U200</f>
        <v/>
      </c>
      <c r="P32" s="45">
        <f>LAVORAZIONI!V200</f>
        <v/>
      </c>
      <c r="Q32" s="7">
        <f>LAVORAZIONI!W200</f>
        <v/>
      </c>
      <c r="R32" s="6">
        <f>LAVORAZIONI!X200</f>
        <v/>
      </c>
      <c r="S32" s="7">
        <f>LAVORAZIONI!Y200</f>
        <v/>
      </c>
      <c r="T32" s="6">
        <f>LAVORAZIONI!Z200</f>
        <v/>
      </c>
      <c r="U32" s="7">
        <f>LAVORAZIONI!AA200</f>
        <v/>
      </c>
      <c r="V32" s="6">
        <f>LAVORAZIONI!AB200</f>
        <v/>
      </c>
      <c r="W32" s="7">
        <f>LAVORAZIONI!AC200</f>
        <v/>
      </c>
      <c r="X32" s="6">
        <f>LAVORAZIONI!AD200</f>
        <v/>
      </c>
      <c r="Y32" s="7">
        <f>LAVORAZIONI!AE200</f>
        <v/>
      </c>
      <c r="Z32" s="6">
        <f>LAVORAZIONI!AF200</f>
        <v/>
      </c>
      <c r="AA32" s="7">
        <f>LAVORAZIONI!AG200</f>
        <v/>
      </c>
      <c r="AB32" s="6">
        <f>LAVORAZIONI!AH200</f>
        <v/>
      </c>
      <c r="AC32" s="7">
        <f>LAVORAZIONI!AI200</f>
        <v/>
      </c>
      <c r="AD32" s="13">
        <f>LAVORAZIONI!AJ200</f>
        <v/>
      </c>
    </row>
    <row r="33" ht="75" customHeight="1" s="46">
      <c r="B33" s="4">
        <f>LAVORAZIONI!G201</f>
        <v/>
      </c>
      <c r="C33" s="3">
        <f>LAVORAZIONI!A201</f>
        <v/>
      </c>
      <c r="D33" s="3">
        <f>LAVORAZIONI!K201</f>
        <v/>
      </c>
      <c r="E33" s="4">
        <f>LAVORAZIONI!H201</f>
        <v/>
      </c>
      <c r="F33" s="4">
        <f>LAVORAZIONI!M201</f>
        <v/>
      </c>
      <c r="G33" s="5">
        <f>LAVORAZIONI!N201</f>
        <v/>
      </c>
      <c r="H33" s="6">
        <f>LAVORAZIONI!O201</f>
        <v/>
      </c>
      <c r="I33" s="13">
        <f>LAVORAZIONI!P201</f>
        <v/>
      </c>
      <c r="J33" s="5">
        <f>IF(LAVORAZIONI!Q201="","",LAVORAZIONI!Q201)</f>
        <v/>
      </c>
      <c r="K33" s="6">
        <f>IF(LAVORAZIONI!R201="","",LAVORAZIONI!R201)</f>
        <v/>
      </c>
      <c r="L33" s="13">
        <f>IF(LAVORAZIONI!S201="","",LAVORAZIONI!S201)</f>
        <v/>
      </c>
      <c r="M33" s="13">
        <f>LAVORAZIONI!T201</f>
        <v/>
      </c>
      <c r="O33" s="7">
        <f>LAVORAZIONI!U201</f>
        <v/>
      </c>
      <c r="P33" s="45">
        <f>LAVORAZIONI!V201</f>
        <v/>
      </c>
      <c r="Q33" s="7">
        <f>LAVORAZIONI!W201</f>
        <v/>
      </c>
      <c r="R33" s="6">
        <f>LAVORAZIONI!X201</f>
        <v/>
      </c>
      <c r="S33" s="7">
        <f>LAVORAZIONI!Y201</f>
        <v/>
      </c>
      <c r="T33" s="6">
        <f>LAVORAZIONI!Z201</f>
        <v/>
      </c>
      <c r="U33" s="7">
        <f>LAVORAZIONI!AA201</f>
        <v/>
      </c>
      <c r="V33" s="6">
        <f>LAVORAZIONI!AB201</f>
        <v/>
      </c>
      <c r="W33" s="7">
        <f>LAVORAZIONI!AC201</f>
        <v/>
      </c>
      <c r="X33" s="6">
        <f>LAVORAZIONI!AD201</f>
        <v/>
      </c>
      <c r="Y33" s="7">
        <f>LAVORAZIONI!AE201</f>
        <v/>
      </c>
      <c r="Z33" s="6">
        <f>LAVORAZIONI!AF201</f>
        <v/>
      </c>
      <c r="AA33" s="7">
        <f>LAVORAZIONI!AG201</f>
        <v/>
      </c>
      <c r="AB33" s="6">
        <f>LAVORAZIONI!AH201</f>
        <v/>
      </c>
      <c r="AC33" s="7">
        <f>LAVORAZIONI!AI201</f>
        <v/>
      </c>
      <c r="AD33" s="13">
        <f>LAVORAZIONI!AJ201</f>
        <v/>
      </c>
    </row>
    <row r="34" ht="75" customHeight="1" s="46">
      <c r="B34" s="4">
        <f>LAVORAZIONI!G202</f>
        <v/>
      </c>
      <c r="C34" s="3">
        <f>LAVORAZIONI!A202</f>
        <v/>
      </c>
      <c r="D34" s="3">
        <f>LAVORAZIONI!K202</f>
        <v/>
      </c>
      <c r="E34" s="4">
        <f>LAVORAZIONI!H202</f>
        <v/>
      </c>
      <c r="F34" s="4">
        <f>LAVORAZIONI!M202</f>
        <v/>
      </c>
      <c r="G34" s="5">
        <f>LAVORAZIONI!N202</f>
        <v/>
      </c>
      <c r="H34" s="6">
        <f>LAVORAZIONI!O202</f>
        <v/>
      </c>
      <c r="I34" s="13">
        <f>LAVORAZIONI!P202</f>
        <v/>
      </c>
      <c r="J34" s="5">
        <f>IF(LAVORAZIONI!Q202="","",LAVORAZIONI!Q202)</f>
        <v/>
      </c>
      <c r="K34" s="6">
        <f>IF(LAVORAZIONI!R202="","",LAVORAZIONI!R202)</f>
        <v/>
      </c>
      <c r="L34" s="13">
        <f>IF(LAVORAZIONI!S202="","",LAVORAZIONI!S202)</f>
        <v/>
      </c>
      <c r="M34" s="13">
        <f>LAVORAZIONI!T202</f>
        <v/>
      </c>
      <c r="O34" s="7">
        <f>LAVORAZIONI!U202</f>
        <v/>
      </c>
      <c r="P34" s="45">
        <f>LAVORAZIONI!V202</f>
        <v/>
      </c>
      <c r="Q34" s="7">
        <f>LAVORAZIONI!W202</f>
        <v/>
      </c>
      <c r="R34" s="6">
        <f>LAVORAZIONI!X202</f>
        <v/>
      </c>
      <c r="S34" s="7">
        <f>LAVORAZIONI!Y202</f>
        <v/>
      </c>
      <c r="T34" s="6">
        <f>LAVORAZIONI!Z202</f>
        <v/>
      </c>
      <c r="U34" s="7">
        <f>LAVORAZIONI!AA202</f>
        <v/>
      </c>
      <c r="V34" s="6">
        <f>LAVORAZIONI!AB202</f>
        <v/>
      </c>
      <c r="W34" s="7">
        <f>LAVORAZIONI!AC202</f>
        <v/>
      </c>
      <c r="X34" s="6">
        <f>LAVORAZIONI!AD202</f>
        <v/>
      </c>
      <c r="Y34" s="7">
        <f>LAVORAZIONI!AE202</f>
        <v/>
      </c>
      <c r="Z34" s="6">
        <f>LAVORAZIONI!AF202</f>
        <v/>
      </c>
      <c r="AA34" s="7">
        <f>LAVORAZIONI!AG202</f>
        <v/>
      </c>
      <c r="AB34" s="6">
        <f>LAVORAZIONI!AH202</f>
        <v/>
      </c>
      <c r="AC34" s="7">
        <f>LAVORAZIONI!AI202</f>
        <v/>
      </c>
      <c r="AD34" s="13">
        <f>LAVORAZIONI!AJ202</f>
        <v/>
      </c>
    </row>
    <row r="35" ht="75" customHeight="1" s="46">
      <c r="B35" s="4">
        <f>LAVORAZIONI!G203</f>
        <v/>
      </c>
      <c r="C35" s="3">
        <f>LAVORAZIONI!A203</f>
        <v/>
      </c>
      <c r="D35" s="3">
        <f>LAVORAZIONI!K203</f>
        <v/>
      </c>
      <c r="E35" s="4">
        <f>LAVORAZIONI!H203</f>
        <v/>
      </c>
      <c r="F35" s="4">
        <f>LAVORAZIONI!M203</f>
        <v/>
      </c>
      <c r="G35" s="5">
        <f>LAVORAZIONI!N203</f>
        <v/>
      </c>
      <c r="H35" s="6">
        <f>LAVORAZIONI!O203</f>
        <v/>
      </c>
      <c r="I35" s="13">
        <f>LAVORAZIONI!P203</f>
        <v/>
      </c>
      <c r="J35" s="5">
        <f>IF(LAVORAZIONI!Q203="","",LAVORAZIONI!Q203)</f>
        <v/>
      </c>
      <c r="K35" s="6">
        <f>IF(LAVORAZIONI!R203="","",LAVORAZIONI!R203)</f>
        <v/>
      </c>
      <c r="L35" s="13">
        <f>IF(LAVORAZIONI!S203="","",LAVORAZIONI!S203)</f>
        <v/>
      </c>
      <c r="M35" s="13">
        <f>LAVORAZIONI!T203</f>
        <v/>
      </c>
      <c r="O35" s="7">
        <f>LAVORAZIONI!U203</f>
        <v/>
      </c>
      <c r="P35" s="45">
        <f>LAVORAZIONI!V203</f>
        <v/>
      </c>
      <c r="Q35" s="7">
        <f>LAVORAZIONI!W203</f>
        <v/>
      </c>
      <c r="R35" s="6">
        <f>LAVORAZIONI!X203</f>
        <v/>
      </c>
      <c r="S35" s="7">
        <f>LAVORAZIONI!Y203</f>
        <v/>
      </c>
      <c r="T35" s="6">
        <f>LAVORAZIONI!Z203</f>
        <v/>
      </c>
      <c r="U35" s="7">
        <f>LAVORAZIONI!AA203</f>
        <v/>
      </c>
      <c r="V35" s="6">
        <f>LAVORAZIONI!AB203</f>
        <v/>
      </c>
      <c r="W35" s="7">
        <f>LAVORAZIONI!AC203</f>
        <v/>
      </c>
      <c r="X35" s="6">
        <f>LAVORAZIONI!AD203</f>
        <v/>
      </c>
      <c r="Y35" s="7">
        <f>LAVORAZIONI!AE203</f>
        <v/>
      </c>
      <c r="Z35" s="6">
        <f>LAVORAZIONI!AF203</f>
        <v/>
      </c>
      <c r="AA35" s="7">
        <f>LAVORAZIONI!AG203</f>
        <v/>
      </c>
      <c r="AB35" s="6">
        <f>LAVORAZIONI!AH203</f>
        <v/>
      </c>
      <c r="AC35" s="7">
        <f>LAVORAZIONI!AI203</f>
        <v/>
      </c>
      <c r="AD35" s="13">
        <f>LAVORAZIONI!AJ203</f>
        <v/>
      </c>
    </row>
    <row r="36" ht="75" customHeight="1" s="46">
      <c r="B36" s="4">
        <f>LAVORAZIONI!G204</f>
        <v/>
      </c>
      <c r="C36" s="3">
        <f>LAVORAZIONI!A204</f>
        <v/>
      </c>
      <c r="D36" s="3">
        <f>LAVORAZIONI!K204</f>
        <v/>
      </c>
      <c r="E36" s="4">
        <f>LAVORAZIONI!H204</f>
        <v/>
      </c>
      <c r="F36" s="4">
        <f>LAVORAZIONI!M204</f>
        <v/>
      </c>
      <c r="G36" s="5">
        <f>LAVORAZIONI!N204</f>
        <v/>
      </c>
      <c r="H36" s="6">
        <f>LAVORAZIONI!O204</f>
        <v/>
      </c>
      <c r="I36" s="13">
        <f>LAVORAZIONI!P204</f>
        <v/>
      </c>
      <c r="J36" s="5">
        <f>IF(LAVORAZIONI!Q204="","",LAVORAZIONI!Q204)</f>
        <v/>
      </c>
      <c r="K36" s="6">
        <f>IF(LAVORAZIONI!R204="","",LAVORAZIONI!R204)</f>
        <v/>
      </c>
      <c r="L36" s="13">
        <f>IF(LAVORAZIONI!S204="","",LAVORAZIONI!S204)</f>
        <v/>
      </c>
      <c r="M36" s="13">
        <f>LAVORAZIONI!T204</f>
        <v/>
      </c>
      <c r="O36" s="7">
        <f>LAVORAZIONI!U204</f>
        <v/>
      </c>
      <c r="P36" s="45">
        <f>LAVORAZIONI!V204</f>
        <v/>
      </c>
      <c r="Q36" s="7">
        <f>LAVORAZIONI!W204</f>
        <v/>
      </c>
      <c r="R36" s="6">
        <f>LAVORAZIONI!X204</f>
        <v/>
      </c>
      <c r="S36" s="7">
        <f>LAVORAZIONI!Y204</f>
        <v/>
      </c>
      <c r="T36" s="6">
        <f>LAVORAZIONI!Z204</f>
        <v/>
      </c>
      <c r="U36" s="7">
        <f>LAVORAZIONI!AA204</f>
        <v/>
      </c>
      <c r="V36" s="6">
        <f>LAVORAZIONI!AB204</f>
        <v/>
      </c>
      <c r="W36" s="7">
        <f>LAVORAZIONI!AC204</f>
        <v/>
      </c>
      <c r="X36" s="6">
        <f>LAVORAZIONI!AD204</f>
        <v/>
      </c>
      <c r="Y36" s="7">
        <f>LAVORAZIONI!AE204</f>
        <v/>
      </c>
      <c r="Z36" s="6">
        <f>LAVORAZIONI!AF204</f>
        <v/>
      </c>
      <c r="AA36" s="7">
        <f>LAVORAZIONI!AG204</f>
        <v/>
      </c>
      <c r="AB36" s="6">
        <f>LAVORAZIONI!AH204</f>
        <v/>
      </c>
      <c r="AC36" s="7">
        <f>LAVORAZIONI!AI204</f>
        <v/>
      </c>
      <c r="AD36" s="13">
        <f>LAVORAZIONI!AJ204</f>
        <v/>
      </c>
    </row>
    <row r="37" ht="75" customHeight="1" s="46">
      <c r="B37" s="4">
        <f>LAVORAZIONI!G205</f>
        <v/>
      </c>
      <c r="C37" s="3">
        <f>LAVORAZIONI!A205</f>
        <v/>
      </c>
      <c r="D37" s="3">
        <f>LAVORAZIONI!K205</f>
        <v/>
      </c>
      <c r="E37" s="4">
        <f>LAVORAZIONI!H205</f>
        <v/>
      </c>
      <c r="F37" s="4">
        <f>LAVORAZIONI!M205</f>
        <v/>
      </c>
      <c r="G37" s="5">
        <f>LAVORAZIONI!N205</f>
        <v/>
      </c>
      <c r="H37" s="6">
        <f>LAVORAZIONI!O205</f>
        <v/>
      </c>
      <c r="I37" s="13">
        <f>LAVORAZIONI!P205</f>
        <v/>
      </c>
      <c r="J37" s="5">
        <f>IF(LAVORAZIONI!Q205="","",LAVORAZIONI!Q205)</f>
        <v/>
      </c>
      <c r="K37" s="6">
        <f>IF(LAVORAZIONI!R205="","",LAVORAZIONI!R205)</f>
        <v/>
      </c>
      <c r="L37" s="13">
        <f>IF(LAVORAZIONI!S205="","",LAVORAZIONI!S205)</f>
        <v/>
      </c>
      <c r="M37" s="13">
        <f>LAVORAZIONI!T205</f>
        <v/>
      </c>
      <c r="O37" s="7">
        <f>LAVORAZIONI!U205</f>
        <v/>
      </c>
      <c r="P37" s="45">
        <f>LAVORAZIONI!V205</f>
        <v/>
      </c>
      <c r="Q37" s="7">
        <f>LAVORAZIONI!W205</f>
        <v/>
      </c>
      <c r="R37" s="6">
        <f>LAVORAZIONI!X205</f>
        <v/>
      </c>
      <c r="S37" s="7">
        <f>LAVORAZIONI!Y205</f>
        <v/>
      </c>
      <c r="T37" s="6">
        <f>LAVORAZIONI!Z205</f>
        <v/>
      </c>
      <c r="U37" s="7">
        <f>LAVORAZIONI!AA205</f>
        <v/>
      </c>
      <c r="V37" s="6">
        <f>LAVORAZIONI!AB205</f>
        <v/>
      </c>
      <c r="W37" s="7">
        <f>LAVORAZIONI!AC205</f>
        <v/>
      </c>
      <c r="X37" s="6">
        <f>LAVORAZIONI!AD205</f>
        <v/>
      </c>
      <c r="Y37" s="7">
        <f>LAVORAZIONI!AE205</f>
        <v/>
      </c>
      <c r="Z37" s="6">
        <f>LAVORAZIONI!AF205</f>
        <v/>
      </c>
      <c r="AA37" s="7">
        <f>LAVORAZIONI!AG205</f>
        <v/>
      </c>
      <c r="AB37" s="6">
        <f>LAVORAZIONI!AH205</f>
        <v/>
      </c>
      <c r="AC37" s="7">
        <f>LAVORAZIONI!AI205</f>
        <v/>
      </c>
      <c r="AD37" s="13">
        <f>LAVORAZIONI!AJ205</f>
        <v/>
      </c>
    </row>
    <row r="38" ht="75" customHeight="1" s="46">
      <c r="B38" s="4">
        <f>LAVORAZIONI!G206</f>
        <v/>
      </c>
      <c r="C38" s="3">
        <f>LAVORAZIONI!A206</f>
        <v/>
      </c>
      <c r="D38" s="3">
        <f>LAVORAZIONI!K206</f>
        <v/>
      </c>
      <c r="E38" s="4">
        <f>LAVORAZIONI!H206</f>
        <v/>
      </c>
      <c r="F38" s="4">
        <f>LAVORAZIONI!M206</f>
        <v/>
      </c>
      <c r="G38" s="5">
        <f>LAVORAZIONI!N206</f>
        <v/>
      </c>
      <c r="H38" s="6">
        <f>LAVORAZIONI!O206</f>
        <v/>
      </c>
      <c r="I38" s="13">
        <f>LAVORAZIONI!P206</f>
        <v/>
      </c>
      <c r="J38" s="5">
        <f>IF(LAVORAZIONI!Q206="","",LAVORAZIONI!Q206)</f>
        <v/>
      </c>
      <c r="K38" s="6">
        <f>IF(LAVORAZIONI!R206="","",LAVORAZIONI!R206)</f>
        <v/>
      </c>
      <c r="L38" s="13">
        <f>IF(LAVORAZIONI!S206="","",LAVORAZIONI!S206)</f>
        <v/>
      </c>
      <c r="M38" s="13">
        <f>LAVORAZIONI!T206</f>
        <v/>
      </c>
      <c r="O38" s="7">
        <f>LAVORAZIONI!U206</f>
        <v/>
      </c>
      <c r="P38" s="45">
        <f>LAVORAZIONI!V206</f>
        <v/>
      </c>
      <c r="Q38" s="7">
        <f>LAVORAZIONI!W206</f>
        <v/>
      </c>
      <c r="R38" s="6">
        <f>LAVORAZIONI!X206</f>
        <v/>
      </c>
      <c r="S38" s="7">
        <f>LAVORAZIONI!Y206</f>
        <v/>
      </c>
      <c r="T38" s="6">
        <f>LAVORAZIONI!Z206</f>
        <v/>
      </c>
      <c r="U38" s="7">
        <f>LAVORAZIONI!AA206</f>
        <v/>
      </c>
      <c r="V38" s="6">
        <f>LAVORAZIONI!AB206</f>
        <v/>
      </c>
      <c r="W38" s="7">
        <f>LAVORAZIONI!AC206</f>
        <v/>
      </c>
      <c r="X38" s="6">
        <f>LAVORAZIONI!AD206</f>
        <v/>
      </c>
      <c r="Y38" s="7">
        <f>LAVORAZIONI!AE206</f>
        <v/>
      </c>
      <c r="Z38" s="6">
        <f>LAVORAZIONI!AF206</f>
        <v/>
      </c>
      <c r="AA38" s="7">
        <f>LAVORAZIONI!AG206</f>
        <v/>
      </c>
      <c r="AB38" s="6">
        <f>LAVORAZIONI!AH206</f>
        <v/>
      </c>
      <c r="AC38" s="7">
        <f>LAVORAZIONI!AI206</f>
        <v/>
      </c>
      <c r="AD38" s="13">
        <f>LAVORAZIONI!AJ206</f>
        <v/>
      </c>
    </row>
    <row r="39" ht="75" customHeight="1" s="46">
      <c r="B39" s="4">
        <f>LAVORAZIONI!G207</f>
        <v/>
      </c>
      <c r="C39" s="3">
        <f>LAVORAZIONI!A207</f>
        <v/>
      </c>
      <c r="D39" s="3">
        <f>LAVORAZIONI!K207</f>
        <v/>
      </c>
      <c r="E39" s="4">
        <f>LAVORAZIONI!H207</f>
        <v/>
      </c>
      <c r="F39" s="4">
        <f>LAVORAZIONI!M207</f>
        <v/>
      </c>
      <c r="G39" s="5">
        <f>LAVORAZIONI!N207</f>
        <v/>
      </c>
      <c r="H39" s="6">
        <f>LAVORAZIONI!O207</f>
        <v/>
      </c>
      <c r="I39" s="13">
        <f>LAVORAZIONI!P207</f>
        <v/>
      </c>
      <c r="J39" s="5">
        <f>IF(LAVORAZIONI!Q207="","",LAVORAZIONI!Q207)</f>
        <v/>
      </c>
      <c r="K39" s="6">
        <f>IF(LAVORAZIONI!R207="","",LAVORAZIONI!R207)</f>
        <v/>
      </c>
      <c r="L39" s="13">
        <f>IF(LAVORAZIONI!S207="","",LAVORAZIONI!S207)</f>
        <v/>
      </c>
      <c r="M39" s="13">
        <f>LAVORAZIONI!T207</f>
        <v/>
      </c>
      <c r="O39" s="7">
        <f>LAVORAZIONI!U207</f>
        <v/>
      </c>
      <c r="P39" s="45">
        <f>LAVORAZIONI!V207</f>
        <v/>
      </c>
      <c r="Q39" s="7">
        <f>LAVORAZIONI!W207</f>
        <v/>
      </c>
      <c r="R39" s="6">
        <f>LAVORAZIONI!X207</f>
        <v/>
      </c>
      <c r="S39" s="7">
        <f>LAVORAZIONI!Y207</f>
        <v/>
      </c>
      <c r="T39" s="6">
        <f>LAVORAZIONI!Z207</f>
        <v/>
      </c>
      <c r="U39" s="7">
        <f>LAVORAZIONI!AA207</f>
        <v/>
      </c>
      <c r="V39" s="6">
        <f>LAVORAZIONI!AB207</f>
        <v/>
      </c>
      <c r="W39" s="7">
        <f>LAVORAZIONI!AC207</f>
        <v/>
      </c>
      <c r="X39" s="6">
        <f>LAVORAZIONI!AD207</f>
        <v/>
      </c>
      <c r="Y39" s="7">
        <f>LAVORAZIONI!AE207</f>
        <v/>
      </c>
      <c r="Z39" s="6">
        <f>LAVORAZIONI!AF207</f>
        <v/>
      </c>
      <c r="AA39" s="7">
        <f>LAVORAZIONI!AG207</f>
        <v/>
      </c>
      <c r="AB39" s="6">
        <f>LAVORAZIONI!AH207</f>
        <v/>
      </c>
      <c r="AC39" s="7">
        <f>LAVORAZIONI!AI207</f>
        <v/>
      </c>
      <c r="AD39" s="13">
        <f>LAVORAZIONI!AJ207</f>
        <v/>
      </c>
    </row>
    <row r="40" ht="75" customHeight="1" s="46">
      <c r="B40" s="4">
        <f>LAVORAZIONI!G208</f>
        <v/>
      </c>
      <c r="C40" s="3">
        <f>LAVORAZIONI!A208</f>
        <v/>
      </c>
      <c r="D40" s="3">
        <f>LAVORAZIONI!K208</f>
        <v/>
      </c>
      <c r="E40" s="4">
        <f>LAVORAZIONI!H208</f>
        <v/>
      </c>
      <c r="F40" s="4">
        <f>LAVORAZIONI!M208</f>
        <v/>
      </c>
      <c r="G40" s="5">
        <f>LAVORAZIONI!N208</f>
        <v/>
      </c>
      <c r="H40" s="6">
        <f>LAVORAZIONI!O208</f>
        <v/>
      </c>
      <c r="I40" s="13">
        <f>LAVORAZIONI!P208</f>
        <v/>
      </c>
      <c r="J40" s="5">
        <f>IF(LAVORAZIONI!Q208="","",LAVORAZIONI!Q208)</f>
        <v/>
      </c>
      <c r="K40" s="6">
        <f>IF(LAVORAZIONI!R208="","",LAVORAZIONI!R208)</f>
        <v/>
      </c>
      <c r="L40" s="13">
        <f>IF(LAVORAZIONI!S208="","",LAVORAZIONI!S208)</f>
        <v/>
      </c>
      <c r="M40" s="13">
        <f>LAVORAZIONI!T208</f>
        <v/>
      </c>
      <c r="O40" s="7">
        <f>LAVORAZIONI!U208</f>
        <v/>
      </c>
      <c r="P40" s="45">
        <f>LAVORAZIONI!V208</f>
        <v/>
      </c>
      <c r="Q40" s="7">
        <f>LAVORAZIONI!W208</f>
        <v/>
      </c>
      <c r="R40" s="6">
        <f>LAVORAZIONI!X208</f>
        <v/>
      </c>
      <c r="S40" s="7">
        <f>LAVORAZIONI!Y208</f>
        <v/>
      </c>
      <c r="T40" s="6">
        <f>LAVORAZIONI!Z208</f>
        <v/>
      </c>
      <c r="U40" s="7">
        <f>LAVORAZIONI!AA208</f>
        <v/>
      </c>
      <c r="V40" s="6">
        <f>LAVORAZIONI!AB208</f>
        <v/>
      </c>
      <c r="W40" s="7">
        <f>LAVORAZIONI!AC208</f>
        <v/>
      </c>
      <c r="X40" s="6">
        <f>LAVORAZIONI!AD208</f>
        <v/>
      </c>
      <c r="Y40" s="7">
        <f>LAVORAZIONI!AE208</f>
        <v/>
      </c>
      <c r="Z40" s="6">
        <f>LAVORAZIONI!AF208</f>
        <v/>
      </c>
      <c r="AA40" s="7">
        <f>LAVORAZIONI!AG208</f>
        <v/>
      </c>
      <c r="AB40" s="6">
        <f>LAVORAZIONI!AH208</f>
        <v/>
      </c>
      <c r="AC40" s="7">
        <f>LAVORAZIONI!AI208</f>
        <v/>
      </c>
      <c r="AD40" s="13">
        <f>LAVORAZIONI!AJ208</f>
        <v/>
      </c>
    </row>
    <row r="41" ht="75" customHeight="1" s="46">
      <c r="B41" s="4">
        <f>LAVORAZIONI!G209</f>
        <v/>
      </c>
      <c r="C41" s="3">
        <f>LAVORAZIONI!A209</f>
        <v/>
      </c>
      <c r="D41" s="3">
        <f>LAVORAZIONI!K209</f>
        <v/>
      </c>
      <c r="E41" s="4">
        <f>LAVORAZIONI!H209</f>
        <v/>
      </c>
      <c r="F41" s="4">
        <f>LAVORAZIONI!M209</f>
        <v/>
      </c>
      <c r="G41" s="5">
        <f>LAVORAZIONI!N209</f>
        <v/>
      </c>
      <c r="H41" s="6">
        <f>LAVORAZIONI!O209</f>
        <v/>
      </c>
      <c r="I41" s="13">
        <f>LAVORAZIONI!P209</f>
        <v/>
      </c>
      <c r="J41" s="5">
        <f>IF(LAVORAZIONI!Q209="","",LAVORAZIONI!Q209)</f>
        <v/>
      </c>
      <c r="K41" s="6">
        <f>IF(LAVORAZIONI!R209="","",LAVORAZIONI!R209)</f>
        <v/>
      </c>
      <c r="L41" s="13">
        <f>IF(LAVORAZIONI!S209="","",LAVORAZIONI!S209)</f>
        <v/>
      </c>
      <c r="M41" s="13">
        <f>LAVORAZIONI!T209</f>
        <v/>
      </c>
      <c r="O41" s="7">
        <f>LAVORAZIONI!U209</f>
        <v/>
      </c>
      <c r="P41" s="45">
        <f>LAVORAZIONI!V209</f>
        <v/>
      </c>
      <c r="Q41" s="7">
        <f>LAVORAZIONI!W209</f>
        <v/>
      </c>
      <c r="R41" s="6">
        <f>LAVORAZIONI!X209</f>
        <v/>
      </c>
      <c r="S41" s="7">
        <f>LAVORAZIONI!Y209</f>
        <v/>
      </c>
      <c r="T41" s="6">
        <f>LAVORAZIONI!Z209</f>
        <v/>
      </c>
      <c r="U41" s="7">
        <f>LAVORAZIONI!AA209</f>
        <v/>
      </c>
      <c r="V41" s="6">
        <f>LAVORAZIONI!AB209</f>
        <v/>
      </c>
      <c r="W41" s="7">
        <f>LAVORAZIONI!AC209</f>
        <v/>
      </c>
      <c r="X41" s="6">
        <f>LAVORAZIONI!AD209</f>
        <v/>
      </c>
      <c r="Y41" s="7">
        <f>LAVORAZIONI!AE209</f>
        <v/>
      </c>
      <c r="Z41" s="6">
        <f>LAVORAZIONI!AF209</f>
        <v/>
      </c>
      <c r="AA41" s="7">
        <f>LAVORAZIONI!AG209</f>
        <v/>
      </c>
      <c r="AB41" s="6">
        <f>LAVORAZIONI!AH209</f>
        <v/>
      </c>
      <c r="AC41" s="7">
        <f>LAVORAZIONI!AI209</f>
        <v/>
      </c>
      <c r="AD41" s="13">
        <f>LAVORAZIONI!AJ209</f>
        <v/>
      </c>
    </row>
    <row r="42" ht="75" customHeight="1" s="46">
      <c r="B42" s="4">
        <f>LAVORAZIONI!G210</f>
        <v/>
      </c>
      <c r="C42" s="3">
        <f>LAVORAZIONI!A210</f>
        <v/>
      </c>
      <c r="D42" s="3">
        <f>LAVORAZIONI!K210</f>
        <v/>
      </c>
      <c r="E42" s="4">
        <f>LAVORAZIONI!H210</f>
        <v/>
      </c>
      <c r="F42" s="4">
        <f>LAVORAZIONI!M210</f>
        <v/>
      </c>
      <c r="G42" s="5">
        <f>LAVORAZIONI!N210</f>
        <v/>
      </c>
      <c r="H42" s="6">
        <f>LAVORAZIONI!O210</f>
        <v/>
      </c>
      <c r="I42" s="13">
        <f>LAVORAZIONI!P210</f>
        <v/>
      </c>
      <c r="J42" s="5">
        <f>IF(LAVORAZIONI!Q210="","",LAVORAZIONI!Q210)</f>
        <v/>
      </c>
      <c r="K42" s="6">
        <f>IF(LAVORAZIONI!R210="","",LAVORAZIONI!R210)</f>
        <v/>
      </c>
      <c r="L42" s="13">
        <f>IF(LAVORAZIONI!S210="","",LAVORAZIONI!S210)</f>
        <v/>
      </c>
      <c r="M42" s="13">
        <f>LAVORAZIONI!T210</f>
        <v/>
      </c>
      <c r="O42" s="7">
        <f>LAVORAZIONI!U210</f>
        <v/>
      </c>
      <c r="P42" s="45">
        <f>LAVORAZIONI!V210</f>
        <v/>
      </c>
      <c r="Q42" s="7">
        <f>LAVORAZIONI!W210</f>
        <v/>
      </c>
      <c r="R42" s="6">
        <f>LAVORAZIONI!X210</f>
        <v/>
      </c>
      <c r="S42" s="7">
        <f>LAVORAZIONI!Y210</f>
        <v/>
      </c>
      <c r="T42" s="6">
        <f>LAVORAZIONI!Z210</f>
        <v/>
      </c>
      <c r="U42" s="7">
        <f>LAVORAZIONI!AA210</f>
        <v/>
      </c>
      <c r="V42" s="6">
        <f>LAVORAZIONI!AB210</f>
        <v/>
      </c>
      <c r="W42" s="7">
        <f>LAVORAZIONI!AC210</f>
        <v/>
      </c>
      <c r="X42" s="6">
        <f>LAVORAZIONI!AD210</f>
        <v/>
      </c>
      <c r="Y42" s="7">
        <f>LAVORAZIONI!AE210</f>
        <v/>
      </c>
      <c r="Z42" s="6">
        <f>LAVORAZIONI!AF210</f>
        <v/>
      </c>
      <c r="AA42" s="7">
        <f>LAVORAZIONI!AG210</f>
        <v/>
      </c>
      <c r="AB42" s="6">
        <f>LAVORAZIONI!AH210</f>
        <v/>
      </c>
      <c r="AC42" s="7">
        <f>LAVORAZIONI!AI210</f>
        <v/>
      </c>
      <c r="AD42" s="13">
        <f>LAVORAZIONI!AJ210</f>
        <v/>
      </c>
    </row>
    <row r="43" ht="75" customHeight="1" s="46">
      <c r="B43" s="4">
        <f>LAVORAZIONI!G211</f>
        <v/>
      </c>
      <c r="C43" s="3">
        <f>LAVORAZIONI!A211</f>
        <v/>
      </c>
      <c r="D43" s="3">
        <f>LAVORAZIONI!K211</f>
        <v/>
      </c>
      <c r="E43" s="4">
        <f>LAVORAZIONI!H211</f>
        <v/>
      </c>
      <c r="F43" s="4">
        <f>LAVORAZIONI!M211</f>
        <v/>
      </c>
      <c r="G43" s="5">
        <f>LAVORAZIONI!N211</f>
        <v/>
      </c>
      <c r="H43" s="6">
        <f>LAVORAZIONI!O211</f>
        <v/>
      </c>
      <c r="I43" s="13">
        <f>LAVORAZIONI!P211</f>
        <v/>
      </c>
      <c r="J43" s="5">
        <f>IF(LAVORAZIONI!Q211="","",LAVORAZIONI!Q211)</f>
        <v/>
      </c>
      <c r="K43" s="6">
        <f>IF(LAVORAZIONI!R211="","",LAVORAZIONI!R211)</f>
        <v/>
      </c>
      <c r="L43" s="13">
        <f>IF(LAVORAZIONI!S211="","",LAVORAZIONI!S211)</f>
        <v/>
      </c>
      <c r="M43" s="13">
        <f>LAVORAZIONI!T211</f>
        <v/>
      </c>
      <c r="O43" s="7">
        <f>LAVORAZIONI!U211</f>
        <v/>
      </c>
      <c r="P43" s="45">
        <f>LAVORAZIONI!V211</f>
        <v/>
      </c>
      <c r="Q43" s="7">
        <f>LAVORAZIONI!W211</f>
        <v/>
      </c>
      <c r="R43" s="6">
        <f>LAVORAZIONI!X211</f>
        <v/>
      </c>
      <c r="S43" s="7">
        <f>LAVORAZIONI!Y211</f>
        <v/>
      </c>
      <c r="T43" s="6">
        <f>LAVORAZIONI!Z211</f>
        <v/>
      </c>
      <c r="U43" s="7">
        <f>LAVORAZIONI!AA211</f>
        <v/>
      </c>
      <c r="V43" s="6">
        <f>LAVORAZIONI!AB211</f>
        <v/>
      </c>
      <c r="W43" s="7">
        <f>LAVORAZIONI!AC211</f>
        <v/>
      </c>
      <c r="X43" s="6">
        <f>LAVORAZIONI!AD211</f>
        <v/>
      </c>
      <c r="Y43" s="7">
        <f>LAVORAZIONI!AE211</f>
        <v/>
      </c>
      <c r="Z43" s="6">
        <f>LAVORAZIONI!AF211</f>
        <v/>
      </c>
      <c r="AA43" s="7">
        <f>LAVORAZIONI!AG211</f>
        <v/>
      </c>
      <c r="AB43" s="6">
        <f>LAVORAZIONI!AH211</f>
        <v/>
      </c>
      <c r="AC43" s="7">
        <f>LAVORAZIONI!AI211</f>
        <v/>
      </c>
      <c r="AD43" s="13">
        <f>LAVORAZIONI!AJ211</f>
        <v/>
      </c>
    </row>
    <row r="44" ht="75" customHeight="1" s="46">
      <c r="B44" s="4">
        <f>LAVORAZIONI!G212</f>
        <v/>
      </c>
      <c r="C44" s="3">
        <f>LAVORAZIONI!A212</f>
        <v/>
      </c>
      <c r="D44" s="3">
        <f>LAVORAZIONI!K212</f>
        <v/>
      </c>
      <c r="E44" s="4">
        <f>LAVORAZIONI!H212</f>
        <v/>
      </c>
      <c r="F44" s="4">
        <f>LAVORAZIONI!M212</f>
        <v/>
      </c>
      <c r="G44" s="5">
        <f>LAVORAZIONI!N212</f>
        <v/>
      </c>
      <c r="H44" s="6">
        <f>LAVORAZIONI!O212</f>
        <v/>
      </c>
      <c r="I44" s="13">
        <f>LAVORAZIONI!P212</f>
        <v/>
      </c>
      <c r="J44" s="5">
        <f>IF(LAVORAZIONI!Q212="","",LAVORAZIONI!Q212)</f>
        <v/>
      </c>
      <c r="K44" s="6">
        <f>IF(LAVORAZIONI!R212="","",LAVORAZIONI!R212)</f>
        <v/>
      </c>
      <c r="L44" s="13">
        <f>IF(LAVORAZIONI!S212="","",LAVORAZIONI!S212)</f>
        <v/>
      </c>
      <c r="M44" s="13">
        <f>LAVORAZIONI!T212</f>
        <v/>
      </c>
      <c r="O44" s="7">
        <f>LAVORAZIONI!U212</f>
        <v/>
      </c>
      <c r="P44" s="45">
        <f>LAVORAZIONI!V212</f>
        <v/>
      </c>
      <c r="Q44" s="7">
        <f>LAVORAZIONI!W212</f>
        <v/>
      </c>
      <c r="R44" s="6">
        <f>LAVORAZIONI!X212</f>
        <v/>
      </c>
      <c r="S44" s="7">
        <f>LAVORAZIONI!Y212</f>
        <v/>
      </c>
      <c r="T44" s="6">
        <f>LAVORAZIONI!Z212</f>
        <v/>
      </c>
      <c r="U44" s="7">
        <f>LAVORAZIONI!AA212</f>
        <v/>
      </c>
      <c r="V44" s="6">
        <f>LAVORAZIONI!AB212</f>
        <v/>
      </c>
      <c r="W44" s="7">
        <f>LAVORAZIONI!AC212</f>
        <v/>
      </c>
      <c r="X44" s="6">
        <f>LAVORAZIONI!AD212</f>
        <v/>
      </c>
      <c r="Y44" s="7">
        <f>LAVORAZIONI!AE212</f>
        <v/>
      </c>
      <c r="Z44" s="6">
        <f>LAVORAZIONI!AF212</f>
        <v/>
      </c>
      <c r="AA44" s="7">
        <f>LAVORAZIONI!AG212</f>
        <v/>
      </c>
      <c r="AB44" s="6">
        <f>LAVORAZIONI!AH212</f>
        <v/>
      </c>
      <c r="AC44" s="7">
        <f>LAVORAZIONI!AI212</f>
        <v/>
      </c>
      <c r="AD44" s="13">
        <f>LAVORAZIONI!AJ212</f>
        <v/>
      </c>
    </row>
    <row r="45" ht="75" customHeight="1" s="46">
      <c r="B45" s="4">
        <f>LAVORAZIONI!G213</f>
        <v/>
      </c>
      <c r="C45" s="3">
        <f>LAVORAZIONI!A213</f>
        <v/>
      </c>
      <c r="D45" s="3">
        <f>LAVORAZIONI!K213</f>
        <v/>
      </c>
      <c r="E45" s="4">
        <f>LAVORAZIONI!H213</f>
        <v/>
      </c>
      <c r="F45" s="4">
        <f>LAVORAZIONI!M213</f>
        <v/>
      </c>
      <c r="G45" s="5">
        <f>LAVORAZIONI!N213</f>
        <v/>
      </c>
      <c r="H45" s="6">
        <f>LAVORAZIONI!O213</f>
        <v/>
      </c>
      <c r="I45" s="13">
        <f>LAVORAZIONI!P213</f>
        <v/>
      </c>
      <c r="J45" s="5">
        <f>IF(LAVORAZIONI!Q213="","",LAVORAZIONI!Q213)</f>
        <v/>
      </c>
      <c r="K45" s="6">
        <f>IF(LAVORAZIONI!R213="","",LAVORAZIONI!R213)</f>
        <v/>
      </c>
      <c r="L45" s="13">
        <f>IF(LAVORAZIONI!S213="","",LAVORAZIONI!S213)</f>
        <v/>
      </c>
      <c r="M45" s="13">
        <f>LAVORAZIONI!T213</f>
        <v/>
      </c>
      <c r="O45" s="7">
        <f>LAVORAZIONI!U213</f>
        <v/>
      </c>
      <c r="P45" s="45">
        <f>LAVORAZIONI!V213</f>
        <v/>
      </c>
      <c r="Q45" s="7">
        <f>LAVORAZIONI!W213</f>
        <v/>
      </c>
      <c r="R45" s="6">
        <f>LAVORAZIONI!X213</f>
        <v/>
      </c>
      <c r="S45" s="7">
        <f>LAVORAZIONI!Y213</f>
        <v/>
      </c>
      <c r="T45" s="6">
        <f>LAVORAZIONI!Z213</f>
        <v/>
      </c>
      <c r="U45" s="7">
        <f>LAVORAZIONI!AA213</f>
        <v/>
      </c>
      <c r="V45" s="6">
        <f>LAVORAZIONI!AB213</f>
        <v/>
      </c>
      <c r="W45" s="7">
        <f>LAVORAZIONI!AC213</f>
        <v/>
      </c>
      <c r="X45" s="6">
        <f>LAVORAZIONI!AD213</f>
        <v/>
      </c>
      <c r="Y45" s="7">
        <f>LAVORAZIONI!AE213</f>
        <v/>
      </c>
      <c r="Z45" s="6">
        <f>LAVORAZIONI!AF213</f>
        <v/>
      </c>
      <c r="AA45" s="7">
        <f>LAVORAZIONI!AG213</f>
        <v/>
      </c>
      <c r="AB45" s="6">
        <f>LAVORAZIONI!AH213</f>
        <v/>
      </c>
      <c r="AC45" s="7">
        <f>LAVORAZIONI!AI213</f>
        <v/>
      </c>
      <c r="AD45" s="13">
        <f>LAVORAZIONI!AJ213</f>
        <v/>
      </c>
    </row>
    <row r="46" ht="75" customHeight="1" s="46">
      <c r="B46" s="4">
        <f>LAVORAZIONI!G214</f>
        <v/>
      </c>
      <c r="C46" s="3">
        <f>LAVORAZIONI!A214</f>
        <v/>
      </c>
      <c r="D46" s="3">
        <f>LAVORAZIONI!K214</f>
        <v/>
      </c>
      <c r="E46" s="4">
        <f>LAVORAZIONI!H214</f>
        <v/>
      </c>
      <c r="F46" s="4">
        <f>LAVORAZIONI!M214</f>
        <v/>
      </c>
      <c r="G46" s="5">
        <f>LAVORAZIONI!N214</f>
        <v/>
      </c>
      <c r="H46" s="6">
        <f>LAVORAZIONI!O214</f>
        <v/>
      </c>
      <c r="I46" s="13">
        <f>LAVORAZIONI!P214</f>
        <v/>
      </c>
      <c r="J46" s="5">
        <f>IF(LAVORAZIONI!Q214="","",LAVORAZIONI!Q214)</f>
        <v/>
      </c>
      <c r="K46" s="6">
        <f>IF(LAVORAZIONI!R214="","",LAVORAZIONI!R214)</f>
        <v/>
      </c>
      <c r="L46" s="13">
        <f>IF(LAVORAZIONI!S214="","",LAVORAZIONI!S214)</f>
        <v/>
      </c>
      <c r="M46" s="13">
        <f>LAVORAZIONI!T214</f>
        <v/>
      </c>
      <c r="O46" s="7">
        <f>LAVORAZIONI!U214</f>
        <v/>
      </c>
      <c r="P46" s="45">
        <f>LAVORAZIONI!V214</f>
        <v/>
      </c>
      <c r="Q46" s="7">
        <f>LAVORAZIONI!W214</f>
        <v/>
      </c>
      <c r="R46" s="6">
        <f>LAVORAZIONI!X214</f>
        <v/>
      </c>
      <c r="S46" s="7">
        <f>LAVORAZIONI!Y214</f>
        <v/>
      </c>
      <c r="T46" s="6">
        <f>LAVORAZIONI!Z214</f>
        <v/>
      </c>
      <c r="U46" s="7">
        <f>LAVORAZIONI!AA214</f>
        <v/>
      </c>
      <c r="V46" s="6">
        <f>LAVORAZIONI!AB214</f>
        <v/>
      </c>
      <c r="W46" s="7">
        <f>LAVORAZIONI!AC214</f>
        <v/>
      </c>
      <c r="X46" s="6">
        <f>LAVORAZIONI!AD214</f>
        <v/>
      </c>
      <c r="Y46" s="7">
        <f>LAVORAZIONI!AE214</f>
        <v/>
      </c>
      <c r="Z46" s="6">
        <f>LAVORAZIONI!AF214</f>
        <v/>
      </c>
      <c r="AA46" s="7">
        <f>LAVORAZIONI!AG214</f>
        <v/>
      </c>
      <c r="AB46" s="6">
        <f>LAVORAZIONI!AH214</f>
        <v/>
      </c>
      <c r="AC46" s="7">
        <f>LAVORAZIONI!AI214</f>
        <v/>
      </c>
      <c r="AD46" s="13">
        <f>LAVORAZIONI!AJ214</f>
        <v/>
      </c>
    </row>
    <row r="47" ht="75" customHeight="1" s="46">
      <c r="B47" s="4">
        <f>LAVORAZIONI!G215</f>
        <v/>
      </c>
      <c r="C47" s="3">
        <f>LAVORAZIONI!A215</f>
        <v/>
      </c>
      <c r="D47" s="3">
        <f>LAVORAZIONI!K215</f>
        <v/>
      </c>
      <c r="E47" s="4">
        <f>LAVORAZIONI!H215</f>
        <v/>
      </c>
      <c r="F47" s="4">
        <f>LAVORAZIONI!M215</f>
        <v/>
      </c>
      <c r="G47" s="5">
        <f>LAVORAZIONI!N215</f>
        <v/>
      </c>
      <c r="H47" s="6">
        <f>LAVORAZIONI!O215</f>
        <v/>
      </c>
      <c r="I47" s="13">
        <f>LAVORAZIONI!P215</f>
        <v/>
      </c>
      <c r="J47" s="5">
        <f>IF(LAVORAZIONI!Q215="","",LAVORAZIONI!Q215)</f>
        <v/>
      </c>
      <c r="K47" s="6">
        <f>IF(LAVORAZIONI!R215="","",LAVORAZIONI!R215)</f>
        <v/>
      </c>
      <c r="L47" s="13">
        <f>IF(LAVORAZIONI!S215="","",LAVORAZIONI!S215)</f>
        <v/>
      </c>
      <c r="M47" s="13">
        <f>LAVORAZIONI!T215</f>
        <v/>
      </c>
      <c r="O47" s="7">
        <f>LAVORAZIONI!U215</f>
        <v/>
      </c>
      <c r="P47" s="45">
        <f>LAVORAZIONI!V215</f>
        <v/>
      </c>
      <c r="Q47" s="7">
        <f>LAVORAZIONI!W215</f>
        <v/>
      </c>
      <c r="R47" s="6">
        <f>LAVORAZIONI!X215</f>
        <v/>
      </c>
      <c r="S47" s="7">
        <f>LAVORAZIONI!Y215</f>
        <v/>
      </c>
      <c r="T47" s="6">
        <f>LAVORAZIONI!Z215</f>
        <v/>
      </c>
      <c r="U47" s="7">
        <f>LAVORAZIONI!AA215</f>
        <v/>
      </c>
      <c r="V47" s="6">
        <f>LAVORAZIONI!AB215</f>
        <v/>
      </c>
      <c r="W47" s="7">
        <f>LAVORAZIONI!AC215</f>
        <v/>
      </c>
      <c r="X47" s="6">
        <f>LAVORAZIONI!AD215</f>
        <v/>
      </c>
      <c r="Y47" s="7">
        <f>LAVORAZIONI!AE215</f>
        <v/>
      </c>
      <c r="Z47" s="6">
        <f>LAVORAZIONI!AF215</f>
        <v/>
      </c>
      <c r="AA47" s="7">
        <f>LAVORAZIONI!AG215</f>
        <v/>
      </c>
      <c r="AB47" s="6">
        <f>LAVORAZIONI!AH215</f>
        <v/>
      </c>
      <c r="AC47" s="7">
        <f>LAVORAZIONI!AI215</f>
        <v/>
      </c>
      <c r="AD47" s="13">
        <f>LAVORAZIONI!AJ215</f>
        <v/>
      </c>
    </row>
    <row r="48" ht="75" customHeight="1" s="46">
      <c r="B48" s="4">
        <f>LAVORAZIONI!G216</f>
        <v/>
      </c>
      <c r="C48" s="3">
        <f>LAVORAZIONI!A216</f>
        <v/>
      </c>
      <c r="D48" s="3">
        <f>LAVORAZIONI!K216</f>
        <v/>
      </c>
      <c r="E48" s="4">
        <f>LAVORAZIONI!H216</f>
        <v/>
      </c>
      <c r="F48" s="4">
        <f>LAVORAZIONI!M216</f>
        <v/>
      </c>
      <c r="G48" s="5">
        <f>LAVORAZIONI!N216</f>
        <v/>
      </c>
      <c r="H48" s="6">
        <f>LAVORAZIONI!O216</f>
        <v/>
      </c>
      <c r="I48" s="13">
        <f>LAVORAZIONI!P216</f>
        <v/>
      </c>
      <c r="J48" s="5">
        <f>IF(LAVORAZIONI!Q216="","",LAVORAZIONI!Q216)</f>
        <v/>
      </c>
      <c r="K48" s="6">
        <f>IF(LAVORAZIONI!R216="","",LAVORAZIONI!R216)</f>
        <v/>
      </c>
      <c r="L48" s="13">
        <f>IF(LAVORAZIONI!S216="","",LAVORAZIONI!S216)</f>
        <v/>
      </c>
      <c r="M48" s="13">
        <f>LAVORAZIONI!T216</f>
        <v/>
      </c>
      <c r="O48" s="7">
        <f>LAVORAZIONI!U216</f>
        <v/>
      </c>
      <c r="P48" s="45">
        <f>LAVORAZIONI!V216</f>
        <v/>
      </c>
      <c r="Q48" s="7">
        <f>LAVORAZIONI!W216</f>
        <v/>
      </c>
      <c r="R48" s="6">
        <f>LAVORAZIONI!X216</f>
        <v/>
      </c>
      <c r="S48" s="7">
        <f>LAVORAZIONI!Y216</f>
        <v/>
      </c>
      <c r="T48" s="6">
        <f>LAVORAZIONI!Z216</f>
        <v/>
      </c>
      <c r="U48" s="7">
        <f>LAVORAZIONI!AA216</f>
        <v/>
      </c>
      <c r="V48" s="6">
        <f>LAVORAZIONI!AB216</f>
        <v/>
      </c>
      <c r="W48" s="7">
        <f>LAVORAZIONI!AC216</f>
        <v/>
      </c>
      <c r="X48" s="6">
        <f>LAVORAZIONI!AD216</f>
        <v/>
      </c>
      <c r="Y48" s="7">
        <f>LAVORAZIONI!AE216</f>
        <v/>
      </c>
      <c r="Z48" s="6">
        <f>LAVORAZIONI!AF216</f>
        <v/>
      </c>
      <c r="AA48" s="7">
        <f>LAVORAZIONI!AG216</f>
        <v/>
      </c>
      <c r="AB48" s="6">
        <f>LAVORAZIONI!AH216</f>
        <v/>
      </c>
      <c r="AC48" s="7">
        <f>LAVORAZIONI!AI216</f>
        <v/>
      </c>
      <c r="AD48" s="13">
        <f>LAVORAZIONI!AJ216</f>
        <v/>
      </c>
    </row>
    <row r="49" ht="75" customHeight="1" s="46">
      <c r="B49" s="4">
        <f>LAVORAZIONI!G217</f>
        <v/>
      </c>
      <c r="C49" s="3">
        <f>LAVORAZIONI!A217</f>
        <v/>
      </c>
      <c r="D49" s="3">
        <f>LAVORAZIONI!K217</f>
        <v/>
      </c>
      <c r="E49" s="4">
        <f>LAVORAZIONI!H217</f>
        <v/>
      </c>
      <c r="F49" s="4">
        <f>LAVORAZIONI!M217</f>
        <v/>
      </c>
      <c r="G49" s="5">
        <f>LAVORAZIONI!N217</f>
        <v/>
      </c>
      <c r="H49" s="6">
        <f>LAVORAZIONI!O217</f>
        <v/>
      </c>
      <c r="I49" s="13">
        <f>LAVORAZIONI!P217</f>
        <v/>
      </c>
      <c r="J49" s="5">
        <f>IF(LAVORAZIONI!Q217="","",LAVORAZIONI!Q217)</f>
        <v/>
      </c>
      <c r="K49" s="6">
        <f>IF(LAVORAZIONI!R217="","",LAVORAZIONI!R217)</f>
        <v/>
      </c>
      <c r="L49" s="13">
        <f>IF(LAVORAZIONI!S217="","",LAVORAZIONI!S217)</f>
        <v/>
      </c>
      <c r="M49" s="13">
        <f>LAVORAZIONI!T217</f>
        <v/>
      </c>
      <c r="O49" s="7">
        <f>LAVORAZIONI!U217</f>
        <v/>
      </c>
      <c r="P49" s="45">
        <f>LAVORAZIONI!V217</f>
        <v/>
      </c>
      <c r="Q49" s="7">
        <f>LAVORAZIONI!W217</f>
        <v/>
      </c>
      <c r="R49" s="6">
        <f>LAVORAZIONI!X217</f>
        <v/>
      </c>
      <c r="S49" s="7">
        <f>LAVORAZIONI!Y217</f>
        <v/>
      </c>
      <c r="T49" s="6">
        <f>LAVORAZIONI!Z217</f>
        <v/>
      </c>
      <c r="U49" s="7">
        <f>LAVORAZIONI!AA217</f>
        <v/>
      </c>
      <c r="V49" s="6">
        <f>LAVORAZIONI!AB217</f>
        <v/>
      </c>
      <c r="W49" s="7">
        <f>LAVORAZIONI!AC217</f>
        <v/>
      </c>
      <c r="X49" s="6">
        <f>LAVORAZIONI!AD217</f>
        <v/>
      </c>
      <c r="Y49" s="7">
        <f>LAVORAZIONI!AE217</f>
        <v/>
      </c>
      <c r="Z49" s="6">
        <f>LAVORAZIONI!AF217</f>
        <v/>
      </c>
      <c r="AA49" s="7">
        <f>LAVORAZIONI!AG217</f>
        <v/>
      </c>
      <c r="AB49" s="6">
        <f>LAVORAZIONI!AH217</f>
        <v/>
      </c>
      <c r="AC49" s="7">
        <f>LAVORAZIONI!AI217</f>
        <v/>
      </c>
      <c r="AD49" s="13">
        <f>LAVORAZIONI!AJ217</f>
        <v/>
      </c>
    </row>
    <row r="50" ht="75" customHeight="1" s="46">
      <c r="B50" s="4">
        <f>LAVORAZIONI!G218</f>
        <v/>
      </c>
      <c r="C50" s="3">
        <f>LAVORAZIONI!A218</f>
        <v/>
      </c>
      <c r="D50" s="3">
        <f>LAVORAZIONI!K218</f>
        <v/>
      </c>
      <c r="E50" s="4">
        <f>LAVORAZIONI!H218</f>
        <v/>
      </c>
      <c r="F50" s="4">
        <f>LAVORAZIONI!M218</f>
        <v/>
      </c>
      <c r="G50" s="5">
        <f>LAVORAZIONI!N218</f>
        <v/>
      </c>
      <c r="H50" s="6">
        <f>LAVORAZIONI!O218</f>
        <v/>
      </c>
      <c r="I50" s="13">
        <f>LAVORAZIONI!P218</f>
        <v/>
      </c>
      <c r="J50" s="5">
        <f>IF(LAVORAZIONI!Q218="","",LAVORAZIONI!Q218)</f>
        <v/>
      </c>
      <c r="K50" s="6">
        <f>IF(LAVORAZIONI!R218="","",LAVORAZIONI!R218)</f>
        <v/>
      </c>
      <c r="L50" s="13">
        <f>IF(LAVORAZIONI!S218="","",LAVORAZIONI!S218)</f>
        <v/>
      </c>
      <c r="M50" s="13">
        <f>LAVORAZIONI!T218</f>
        <v/>
      </c>
      <c r="O50" s="7">
        <f>LAVORAZIONI!U218</f>
        <v/>
      </c>
      <c r="P50" s="45">
        <f>LAVORAZIONI!V218</f>
        <v/>
      </c>
      <c r="Q50" s="7">
        <f>LAVORAZIONI!W218</f>
        <v/>
      </c>
      <c r="R50" s="6">
        <f>LAVORAZIONI!X218</f>
        <v/>
      </c>
      <c r="S50" s="7">
        <f>LAVORAZIONI!Y218</f>
        <v/>
      </c>
      <c r="T50" s="6">
        <f>LAVORAZIONI!Z218</f>
        <v/>
      </c>
      <c r="U50" s="7">
        <f>LAVORAZIONI!AA218</f>
        <v/>
      </c>
      <c r="V50" s="6">
        <f>LAVORAZIONI!AB218</f>
        <v/>
      </c>
      <c r="W50" s="7">
        <f>LAVORAZIONI!AC218</f>
        <v/>
      </c>
      <c r="X50" s="6">
        <f>LAVORAZIONI!AD218</f>
        <v/>
      </c>
      <c r="Y50" s="7">
        <f>LAVORAZIONI!AE218</f>
        <v/>
      </c>
      <c r="Z50" s="6">
        <f>LAVORAZIONI!AF218</f>
        <v/>
      </c>
      <c r="AA50" s="7">
        <f>LAVORAZIONI!AG218</f>
        <v/>
      </c>
      <c r="AB50" s="6">
        <f>LAVORAZIONI!AH218</f>
        <v/>
      </c>
      <c r="AC50" s="7">
        <f>LAVORAZIONI!AI218</f>
        <v/>
      </c>
      <c r="AD50" s="13">
        <f>LAVORAZIONI!AJ218</f>
        <v/>
      </c>
    </row>
    <row r="51" ht="75" customHeight="1" s="46">
      <c r="B51" s="4">
        <f>LAVORAZIONI!G219</f>
        <v/>
      </c>
      <c r="C51" s="3">
        <f>LAVORAZIONI!A219</f>
        <v/>
      </c>
      <c r="D51" s="3">
        <f>LAVORAZIONI!K219</f>
        <v/>
      </c>
      <c r="E51" s="4">
        <f>LAVORAZIONI!H219</f>
        <v/>
      </c>
      <c r="F51" s="4">
        <f>LAVORAZIONI!M219</f>
        <v/>
      </c>
      <c r="G51" s="5">
        <f>LAVORAZIONI!N219</f>
        <v/>
      </c>
      <c r="H51" s="6">
        <f>LAVORAZIONI!O219</f>
        <v/>
      </c>
      <c r="I51" s="13">
        <f>LAVORAZIONI!P219</f>
        <v/>
      </c>
      <c r="J51" s="5">
        <f>IF(LAVORAZIONI!Q219="","",LAVORAZIONI!Q219)</f>
        <v/>
      </c>
      <c r="K51" s="6">
        <f>IF(LAVORAZIONI!R219="","",LAVORAZIONI!R219)</f>
        <v/>
      </c>
      <c r="L51" s="13">
        <f>IF(LAVORAZIONI!S219="","",LAVORAZIONI!S219)</f>
        <v/>
      </c>
      <c r="M51" s="13">
        <f>LAVORAZIONI!T219</f>
        <v/>
      </c>
      <c r="O51" s="7">
        <f>LAVORAZIONI!U219</f>
        <v/>
      </c>
      <c r="P51" s="45">
        <f>LAVORAZIONI!V219</f>
        <v/>
      </c>
      <c r="Q51" s="7">
        <f>LAVORAZIONI!W219</f>
        <v/>
      </c>
      <c r="R51" s="6">
        <f>LAVORAZIONI!X219</f>
        <v/>
      </c>
      <c r="S51" s="7">
        <f>LAVORAZIONI!Y219</f>
        <v/>
      </c>
      <c r="T51" s="6">
        <f>LAVORAZIONI!Z219</f>
        <v/>
      </c>
      <c r="U51" s="7">
        <f>LAVORAZIONI!AA219</f>
        <v/>
      </c>
      <c r="V51" s="6">
        <f>LAVORAZIONI!AB219</f>
        <v/>
      </c>
      <c r="W51" s="7">
        <f>LAVORAZIONI!AC219</f>
        <v/>
      </c>
      <c r="X51" s="6">
        <f>LAVORAZIONI!AD219</f>
        <v/>
      </c>
      <c r="Y51" s="7">
        <f>LAVORAZIONI!AE219</f>
        <v/>
      </c>
      <c r="Z51" s="6">
        <f>LAVORAZIONI!AF219</f>
        <v/>
      </c>
      <c r="AA51" s="7">
        <f>LAVORAZIONI!AG219</f>
        <v/>
      </c>
      <c r="AB51" s="6">
        <f>LAVORAZIONI!AH219</f>
        <v/>
      </c>
      <c r="AC51" s="7">
        <f>LAVORAZIONI!AI219</f>
        <v/>
      </c>
      <c r="AD51" s="13">
        <f>LAVORAZIONI!AJ219</f>
        <v/>
      </c>
    </row>
    <row r="52" ht="75" customHeight="1" s="46">
      <c r="B52" s="4">
        <f>LAVORAZIONI!G220</f>
        <v/>
      </c>
      <c r="C52" s="3">
        <f>LAVORAZIONI!A220</f>
        <v/>
      </c>
      <c r="D52" s="3">
        <f>LAVORAZIONI!K220</f>
        <v/>
      </c>
      <c r="E52" s="4">
        <f>LAVORAZIONI!H220</f>
        <v/>
      </c>
      <c r="F52" s="4">
        <f>LAVORAZIONI!M220</f>
        <v/>
      </c>
      <c r="G52" s="5">
        <f>LAVORAZIONI!N220</f>
        <v/>
      </c>
      <c r="H52" s="6">
        <f>LAVORAZIONI!O220</f>
        <v/>
      </c>
      <c r="I52" s="13">
        <f>LAVORAZIONI!P220</f>
        <v/>
      </c>
      <c r="J52" s="5">
        <f>IF(LAVORAZIONI!Q220="","",LAVORAZIONI!Q220)</f>
        <v/>
      </c>
      <c r="K52" s="6">
        <f>IF(LAVORAZIONI!R220="","",LAVORAZIONI!R220)</f>
        <v/>
      </c>
      <c r="L52" s="13">
        <f>IF(LAVORAZIONI!S220="","",LAVORAZIONI!S220)</f>
        <v/>
      </c>
      <c r="M52" s="13">
        <f>LAVORAZIONI!T220</f>
        <v/>
      </c>
      <c r="O52" s="7">
        <f>LAVORAZIONI!U220</f>
        <v/>
      </c>
      <c r="P52" s="45">
        <f>LAVORAZIONI!V220</f>
        <v/>
      </c>
      <c r="Q52" s="7">
        <f>LAVORAZIONI!W220</f>
        <v/>
      </c>
      <c r="R52" s="6">
        <f>LAVORAZIONI!X220</f>
        <v/>
      </c>
      <c r="S52" s="7">
        <f>LAVORAZIONI!Y220</f>
        <v/>
      </c>
      <c r="T52" s="6">
        <f>LAVORAZIONI!Z220</f>
        <v/>
      </c>
      <c r="U52" s="7">
        <f>LAVORAZIONI!AA220</f>
        <v/>
      </c>
      <c r="V52" s="6">
        <f>LAVORAZIONI!AB220</f>
        <v/>
      </c>
      <c r="W52" s="7">
        <f>LAVORAZIONI!AC220</f>
        <v/>
      </c>
      <c r="X52" s="6">
        <f>LAVORAZIONI!AD220</f>
        <v/>
      </c>
      <c r="Y52" s="7">
        <f>LAVORAZIONI!AE220</f>
        <v/>
      </c>
      <c r="Z52" s="6">
        <f>LAVORAZIONI!AF220</f>
        <v/>
      </c>
      <c r="AA52" s="7">
        <f>LAVORAZIONI!AG220</f>
        <v/>
      </c>
      <c r="AB52" s="6">
        <f>LAVORAZIONI!AH220</f>
        <v/>
      </c>
      <c r="AC52" s="7">
        <f>LAVORAZIONI!AI220</f>
        <v/>
      </c>
      <c r="AD52" s="13">
        <f>LAVORAZIONI!AJ220</f>
        <v/>
      </c>
    </row>
    <row r="53" ht="75" customHeight="1" s="46">
      <c r="B53" s="4">
        <f>LAVORAZIONI!G221</f>
        <v/>
      </c>
      <c r="C53" s="3">
        <f>LAVORAZIONI!A221</f>
        <v/>
      </c>
      <c r="D53" s="3">
        <f>LAVORAZIONI!K221</f>
        <v/>
      </c>
      <c r="E53" s="4">
        <f>LAVORAZIONI!H221</f>
        <v/>
      </c>
      <c r="F53" s="4">
        <f>LAVORAZIONI!M221</f>
        <v/>
      </c>
      <c r="G53" s="5">
        <f>LAVORAZIONI!N221</f>
        <v/>
      </c>
      <c r="H53" s="6">
        <f>LAVORAZIONI!O221</f>
        <v/>
      </c>
      <c r="I53" s="13">
        <f>LAVORAZIONI!P221</f>
        <v/>
      </c>
      <c r="J53" s="5">
        <f>IF(LAVORAZIONI!Q221="","",LAVORAZIONI!Q221)</f>
        <v/>
      </c>
      <c r="K53" s="6">
        <f>IF(LAVORAZIONI!R221="","",LAVORAZIONI!R221)</f>
        <v/>
      </c>
      <c r="L53" s="13">
        <f>IF(LAVORAZIONI!S221="","",LAVORAZIONI!S221)</f>
        <v/>
      </c>
      <c r="M53" s="13">
        <f>LAVORAZIONI!T221</f>
        <v/>
      </c>
      <c r="O53" s="7">
        <f>LAVORAZIONI!U221</f>
        <v/>
      </c>
      <c r="P53" s="45">
        <f>LAVORAZIONI!V221</f>
        <v/>
      </c>
      <c r="Q53" s="7">
        <f>LAVORAZIONI!W221</f>
        <v/>
      </c>
      <c r="R53" s="6">
        <f>LAVORAZIONI!X221</f>
        <v/>
      </c>
      <c r="S53" s="7">
        <f>LAVORAZIONI!Y221</f>
        <v/>
      </c>
      <c r="T53" s="6">
        <f>LAVORAZIONI!Z221</f>
        <v/>
      </c>
      <c r="U53" s="7">
        <f>LAVORAZIONI!AA221</f>
        <v/>
      </c>
      <c r="V53" s="6">
        <f>LAVORAZIONI!AB221</f>
        <v/>
      </c>
      <c r="W53" s="7">
        <f>LAVORAZIONI!AC221</f>
        <v/>
      </c>
      <c r="X53" s="6">
        <f>LAVORAZIONI!AD221</f>
        <v/>
      </c>
      <c r="Y53" s="7">
        <f>LAVORAZIONI!AE221</f>
        <v/>
      </c>
      <c r="Z53" s="6">
        <f>LAVORAZIONI!AF221</f>
        <v/>
      </c>
      <c r="AA53" s="7">
        <f>LAVORAZIONI!AG221</f>
        <v/>
      </c>
      <c r="AB53" s="6">
        <f>LAVORAZIONI!AH221</f>
        <v/>
      </c>
      <c r="AC53" s="7">
        <f>LAVORAZIONI!AI221</f>
        <v/>
      </c>
      <c r="AD53" s="13">
        <f>LAVORAZIONI!AJ221</f>
        <v/>
      </c>
    </row>
    <row r="54" ht="75" customHeight="1" s="46">
      <c r="B54" s="4">
        <f>LAVORAZIONI!G222</f>
        <v/>
      </c>
      <c r="C54" s="3">
        <f>LAVORAZIONI!A222</f>
        <v/>
      </c>
      <c r="D54" s="3">
        <f>LAVORAZIONI!K222</f>
        <v/>
      </c>
      <c r="E54" s="4">
        <f>LAVORAZIONI!H222</f>
        <v/>
      </c>
      <c r="F54" s="4">
        <f>LAVORAZIONI!M222</f>
        <v/>
      </c>
      <c r="G54" s="5">
        <f>LAVORAZIONI!N222</f>
        <v/>
      </c>
      <c r="H54" s="6">
        <f>LAVORAZIONI!O222</f>
        <v/>
      </c>
      <c r="I54" s="13">
        <f>LAVORAZIONI!P222</f>
        <v/>
      </c>
      <c r="J54" s="5">
        <f>IF(LAVORAZIONI!Q222="","",LAVORAZIONI!Q222)</f>
        <v/>
      </c>
      <c r="K54" s="6">
        <f>IF(LAVORAZIONI!R222="","",LAVORAZIONI!R222)</f>
        <v/>
      </c>
      <c r="L54" s="13">
        <f>IF(LAVORAZIONI!S222="","",LAVORAZIONI!S222)</f>
        <v/>
      </c>
      <c r="M54" s="13">
        <f>LAVORAZIONI!T222</f>
        <v/>
      </c>
      <c r="O54" s="7">
        <f>LAVORAZIONI!U222</f>
        <v/>
      </c>
      <c r="P54" s="45">
        <f>LAVORAZIONI!V222</f>
        <v/>
      </c>
      <c r="Q54" s="7">
        <f>LAVORAZIONI!W222</f>
        <v/>
      </c>
      <c r="R54" s="6">
        <f>LAVORAZIONI!X222</f>
        <v/>
      </c>
      <c r="S54" s="7">
        <f>LAVORAZIONI!Y222</f>
        <v/>
      </c>
      <c r="T54" s="6">
        <f>LAVORAZIONI!Z222</f>
        <v/>
      </c>
      <c r="U54" s="7">
        <f>LAVORAZIONI!AA222</f>
        <v/>
      </c>
      <c r="V54" s="6">
        <f>LAVORAZIONI!AB222</f>
        <v/>
      </c>
      <c r="W54" s="7">
        <f>LAVORAZIONI!AC222</f>
        <v/>
      </c>
      <c r="X54" s="6">
        <f>LAVORAZIONI!AD222</f>
        <v/>
      </c>
      <c r="Y54" s="7">
        <f>LAVORAZIONI!AE222</f>
        <v/>
      </c>
      <c r="Z54" s="6">
        <f>LAVORAZIONI!AF222</f>
        <v/>
      </c>
      <c r="AA54" s="7">
        <f>LAVORAZIONI!AG222</f>
        <v/>
      </c>
      <c r="AB54" s="6">
        <f>LAVORAZIONI!AH222</f>
        <v/>
      </c>
      <c r="AC54" s="7">
        <f>LAVORAZIONI!AI222</f>
        <v/>
      </c>
      <c r="AD54" s="13">
        <f>LAVORAZIONI!AJ222</f>
        <v/>
      </c>
    </row>
    <row r="55" ht="75" customHeight="1" s="46">
      <c r="B55" s="4">
        <f>LAVORAZIONI!G223</f>
        <v/>
      </c>
      <c r="C55" s="3">
        <f>LAVORAZIONI!A223</f>
        <v/>
      </c>
      <c r="D55" s="3">
        <f>LAVORAZIONI!K223</f>
        <v/>
      </c>
      <c r="E55" s="4">
        <f>LAVORAZIONI!H223</f>
        <v/>
      </c>
      <c r="F55" s="4">
        <f>LAVORAZIONI!M223</f>
        <v/>
      </c>
      <c r="G55" s="5">
        <f>LAVORAZIONI!N223</f>
        <v/>
      </c>
      <c r="H55" s="6">
        <f>LAVORAZIONI!O223</f>
        <v/>
      </c>
      <c r="I55" s="13">
        <f>LAVORAZIONI!P223</f>
        <v/>
      </c>
      <c r="J55" s="5">
        <f>IF(LAVORAZIONI!Q223="","",LAVORAZIONI!Q223)</f>
        <v/>
      </c>
      <c r="K55" s="6">
        <f>IF(LAVORAZIONI!R223="","",LAVORAZIONI!R223)</f>
        <v/>
      </c>
      <c r="L55" s="13">
        <f>IF(LAVORAZIONI!S223="","",LAVORAZIONI!S223)</f>
        <v/>
      </c>
      <c r="M55" s="13">
        <f>LAVORAZIONI!T223</f>
        <v/>
      </c>
      <c r="O55" s="7">
        <f>LAVORAZIONI!U223</f>
        <v/>
      </c>
      <c r="P55" s="45">
        <f>LAVORAZIONI!V223</f>
        <v/>
      </c>
      <c r="Q55" s="7">
        <f>LAVORAZIONI!W223</f>
        <v/>
      </c>
      <c r="R55" s="6">
        <f>LAVORAZIONI!X223</f>
        <v/>
      </c>
      <c r="S55" s="7">
        <f>LAVORAZIONI!Y223</f>
        <v/>
      </c>
      <c r="T55" s="6">
        <f>LAVORAZIONI!Z223</f>
        <v/>
      </c>
      <c r="U55" s="7">
        <f>LAVORAZIONI!AA223</f>
        <v/>
      </c>
      <c r="V55" s="6">
        <f>LAVORAZIONI!AB223</f>
        <v/>
      </c>
      <c r="W55" s="7">
        <f>LAVORAZIONI!AC223</f>
        <v/>
      </c>
      <c r="X55" s="6">
        <f>LAVORAZIONI!AD223</f>
        <v/>
      </c>
      <c r="Y55" s="7">
        <f>LAVORAZIONI!AE223</f>
        <v/>
      </c>
      <c r="Z55" s="6">
        <f>LAVORAZIONI!AF223</f>
        <v/>
      </c>
      <c r="AA55" s="7">
        <f>LAVORAZIONI!AG223</f>
        <v/>
      </c>
      <c r="AB55" s="6">
        <f>LAVORAZIONI!AH223</f>
        <v/>
      </c>
      <c r="AC55" s="7">
        <f>LAVORAZIONI!AI223</f>
        <v/>
      </c>
      <c r="AD55" s="13">
        <f>LAVORAZIONI!AJ223</f>
        <v/>
      </c>
    </row>
    <row r="56" ht="75" customHeight="1" s="46">
      <c r="B56" s="4">
        <f>LAVORAZIONI!G224</f>
        <v/>
      </c>
      <c r="C56" s="3">
        <f>LAVORAZIONI!A224</f>
        <v/>
      </c>
      <c r="D56" s="3">
        <f>LAVORAZIONI!K224</f>
        <v/>
      </c>
      <c r="E56" s="4">
        <f>LAVORAZIONI!H224</f>
        <v/>
      </c>
      <c r="F56" s="4">
        <f>LAVORAZIONI!M224</f>
        <v/>
      </c>
      <c r="G56" s="5">
        <f>LAVORAZIONI!N224</f>
        <v/>
      </c>
      <c r="H56" s="6">
        <f>LAVORAZIONI!O224</f>
        <v/>
      </c>
      <c r="I56" s="13">
        <f>LAVORAZIONI!P224</f>
        <v/>
      </c>
      <c r="J56" s="5">
        <f>IF(LAVORAZIONI!Q224="","",LAVORAZIONI!Q224)</f>
        <v/>
      </c>
      <c r="K56" s="6">
        <f>IF(LAVORAZIONI!R224="","",LAVORAZIONI!R224)</f>
        <v/>
      </c>
      <c r="L56" s="13">
        <f>IF(LAVORAZIONI!S224="","",LAVORAZIONI!S224)</f>
        <v/>
      </c>
      <c r="M56" s="13">
        <f>LAVORAZIONI!T224</f>
        <v/>
      </c>
      <c r="O56" s="7">
        <f>LAVORAZIONI!U224</f>
        <v/>
      </c>
      <c r="P56" s="45">
        <f>LAVORAZIONI!V224</f>
        <v/>
      </c>
      <c r="Q56" s="7">
        <f>LAVORAZIONI!W224</f>
        <v/>
      </c>
      <c r="R56" s="6">
        <f>LAVORAZIONI!X224</f>
        <v/>
      </c>
      <c r="S56" s="7">
        <f>LAVORAZIONI!Y224</f>
        <v/>
      </c>
      <c r="T56" s="6">
        <f>LAVORAZIONI!Z224</f>
        <v/>
      </c>
      <c r="U56" s="7">
        <f>LAVORAZIONI!AA224</f>
        <v/>
      </c>
      <c r="V56" s="6">
        <f>LAVORAZIONI!AB224</f>
        <v/>
      </c>
      <c r="W56" s="7">
        <f>LAVORAZIONI!AC224</f>
        <v/>
      </c>
      <c r="X56" s="6">
        <f>LAVORAZIONI!AD224</f>
        <v/>
      </c>
      <c r="Y56" s="7">
        <f>LAVORAZIONI!AE224</f>
        <v/>
      </c>
      <c r="Z56" s="6">
        <f>LAVORAZIONI!AF224</f>
        <v/>
      </c>
      <c r="AA56" s="7">
        <f>LAVORAZIONI!AG224</f>
        <v/>
      </c>
      <c r="AB56" s="6">
        <f>LAVORAZIONI!AH224</f>
        <v/>
      </c>
      <c r="AC56" s="7">
        <f>LAVORAZIONI!AI224</f>
        <v/>
      </c>
      <c r="AD56" s="13">
        <f>LAVORAZIONI!AJ224</f>
        <v/>
      </c>
    </row>
    <row r="57" ht="75" customHeight="1" s="46">
      <c r="B57" s="4">
        <f>LAVORAZIONI!G225</f>
        <v/>
      </c>
      <c r="C57" s="3">
        <f>LAVORAZIONI!A225</f>
        <v/>
      </c>
      <c r="D57" s="3">
        <f>LAVORAZIONI!K225</f>
        <v/>
      </c>
      <c r="E57" s="4">
        <f>LAVORAZIONI!H225</f>
        <v/>
      </c>
      <c r="F57" s="4">
        <f>LAVORAZIONI!M225</f>
        <v/>
      </c>
      <c r="G57" s="5">
        <f>LAVORAZIONI!N225</f>
        <v/>
      </c>
      <c r="H57" s="6">
        <f>LAVORAZIONI!O225</f>
        <v/>
      </c>
      <c r="I57" s="13">
        <f>LAVORAZIONI!P225</f>
        <v/>
      </c>
      <c r="J57" s="5">
        <f>IF(LAVORAZIONI!Q225="","",LAVORAZIONI!Q225)</f>
        <v/>
      </c>
      <c r="K57" s="6">
        <f>IF(LAVORAZIONI!R225="","",LAVORAZIONI!R225)</f>
        <v/>
      </c>
      <c r="L57" s="13">
        <f>IF(LAVORAZIONI!S225="","",LAVORAZIONI!S225)</f>
        <v/>
      </c>
      <c r="M57" s="13">
        <f>LAVORAZIONI!T225</f>
        <v/>
      </c>
      <c r="O57" s="7">
        <f>LAVORAZIONI!U225</f>
        <v/>
      </c>
      <c r="P57" s="45">
        <f>LAVORAZIONI!V225</f>
        <v/>
      </c>
      <c r="Q57" s="7">
        <f>LAVORAZIONI!W225</f>
        <v/>
      </c>
      <c r="R57" s="6">
        <f>LAVORAZIONI!X225</f>
        <v/>
      </c>
      <c r="S57" s="7">
        <f>LAVORAZIONI!Y225</f>
        <v/>
      </c>
      <c r="T57" s="6">
        <f>LAVORAZIONI!Z225</f>
        <v/>
      </c>
      <c r="U57" s="7">
        <f>LAVORAZIONI!AA225</f>
        <v/>
      </c>
      <c r="V57" s="6">
        <f>LAVORAZIONI!AB225</f>
        <v/>
      </c>
      <c r="W57" s="7">
        <f>LAVORAZIONI!AC225</f>
        <v/>
      </c>
      <c r="X57" s="6">
        <f>LAVORAZIONI!AD225</f>
        <v/>
      </c>
      <c r="Y57" s="7">
        <f>LAVORAZIONI!AE225</f>
        <v/>
      </c>
      <c r="Z57" s="6">
        <f>LAVORAZIONI!AF225</f>
        <v/>
      </c>
      <c r="AA57" s="7">
        <f>LAVORAZIONI!AG225</f>
        <v/>
      </c>
      <c r="AB57" s="6">
        <f>LAVORAZIONI!AH225</f>
        <v/>
      </c>
      <c r="AC57" s="7">
        <f>LAVORAZIONI!AI225</f>
        <v/>
      </c>
      <c r="AD57" s="13">
        <f>LAVORAZIONI!AJ225</f>
        <v/>
      </c>
    </row>
    <row r="58" ht="75" customHeight="1" s="46">
      <c r="B58" s="4">
        <f>LAVORAZIONI!G226</f>
        <v/>
      </c>
      <c r="C58" s="3">
        <f>LAVORAZIONI!A226</f>
        <v/>
      </c>
      <c r="D58" s="3">
        <f>LAVORAZIONI!K226</f>
        <v/>
      </c>
      <c r="E58" s="4">
        <f>LAVORAZIONI!H226</f>
        <v/>
      </c>
      <c r="F58" s="4">
        <f>LAVORAZIONI!M226</f>
        <v/>
      </c>
      <c r="G58" s="5">
        <f>LAVORAZIONI!N226</f>
        <v/>
      </c>
      <c r="H58" s="6">
        <f>LAVORAZIONI!O226</f>
        <v/>
      </c>
      <c r="I58" s="13">
        <f>LAVORAZIONI!P226</f>
        <v/>
      </c>
      <c r="J58" s="5">
        <f>IF(LAVORAZIONI!Q226="","",LAVORAZIONI!Q226)</f>
        <v/>
      </c>
      <c r="K58" s="6">
        <f>IF(LAVORAZIONI!R226="","",LAVORAZIONI!R226)</f>
        <v/>
      </c>
      <c r="L58" s="13">
        <f>IF(LAVORAZIONI!S226="","",LAVORAZIONI!S226)</f>
        <v/>
      </c>
      <c r="M58" s="13">
        <f>LAVORAZIONI!T226</f>
        <v/>
      </c>
      <c r="O58" s="7">
        <f>LAVORAZIONI!U226</f>
        <v/>
      </c>
      <c r="P58" s="45">
        <f>LAVORAZIONI!V226</f>
        <v/>
      </c>
      <c r="Q58" s="7">
        <f>LAVORAZIONI!W226</f>
        <v/>
      </c>
      <c r="R58" s="6">
        <f>LAVORAZIONI!X226</f>
        <v/>
      </c>
      <c r="S58" s="7">
        <f>LAVORAZIONI!Y226</f>
        <v/>
      </c>
      <c r="T58" s="6">
        <f>LAVORAZIONI!Z226</f>
        <v/>
      </c>
      <c r="U58" s="7">
        <f>LAVORAZIONI!AA226</f>
        <v/>
      </c>
      <c r="V58" s="6">
        <f>LAVORAZIONI!AB226</f>
        <v/>
      </c>
      <c r="W58" s="7">
        <f>LAVORAZIONI!AC226</f>
        <v/>
      </c>
      <c r="X58" s="6">
        <f>LAVORAZIONI!AD226</f>
        <v/>
      </c>
      <c r="Y58" s="7">
        <f>LAVORAZIONI!AE226</f>
        <v/>
      </c>
      <c r="Z58" s="6">
        <f>LAVORAZIONI!AF226</f>
        <v/>
      </c>
      <c r="AA58" s="7">
        <f>LAVORAZIONI!AG226</f>
        <v/>
      </c>
      <c r="AB58" s="6">
        <f>LAVORAZIONI!AH226</f>
        <v/>
      </c>
      <c r="AC58" s="7">
        <f>LAVORAZIONI!AI226</f>
        <v/>
      </c>
      <c r="AD58" s="13">
        <f>LAVORAZIONI!AJ226</f>
        <v/>
      </c>
    </row>
    <row r="59" ht="75" customHeight="1" s="46">
      <c r="B59" s="4">
        <f>LAVORAZIONI!G227</f>
        <v/>
      </c>
      <c r="C59" s="3">
        <f>LAVORAZIONI!A227</f>
        <v/>
      </c>
      <c r="D59" s="3">
        <f>LAVORAZIONI!K227</f>
        <v/>
      </c>
      <c r="E59" s="4">
        <f>LAVORAZIONI!H227</f>
        <v/>
      </c>
      <c r="F59" s="4">
        <f>LAVORAZIONI!M227</f>
        <v/>
      </c>
      <c r="G59" s="5">
        <f>LAVORAZIONI!N227</f>
        <v/>
      </c>
      <c r="H59" s="6">
        <f>LAVORAZIONI!O227</f>
        <v/>
      </c>
      <c r="I59" s="13">
        <f>LAVORAZIONI!P227</f>
        <v/>
      </c>
      <c r="J59" s="5">
        <f>IF(LAVORAZIONI!Q227="","",LAVORAZIONI!Q227)</f>
        <v/>
      </c>
      <c r="K59" s="6">
        <f>IF(LAVORAZIONI!R227="","",LAVORAZIONI!R227)</f>
        <v/>
      </c>
      <c r="L59" s="13">
        <f>IF(LAVORAZIONI!S227="","",LAVORAZIONI!S227)</f>
        <v/>
      </c>
      <c r="M59" s="13">
        <f>LAVORAZIONI!T227</f>
        <v/>
      </c>
      <c r="O59" s="7">
        <f>LAVORAZIONI!U227</f>
        <v/>
      </c>
      <c r="P59" s="45">
        <f>LAVORAZIONI!V227</f>
        <v/>
      </c>
      <c r="Q59" s="7">
        <f>LAVORAZIONI!W227</f>
        <v/>
      </c>
      <c r="R59" s="6">
        <f>LAVORAZIONI!X227</f>
        <v/>
      </c>
      <c r="S59" s="7">
        <f>LAVORAZIONI!Y227</f>
        <v/>
      </c>
      <c r="T59" s="6">
        <f>LAVORAZIONI!Z227</f>
        <v/>
      </c>
      <c r="U59" s="7">
        <f>LAVORAZIONI!AA227</f>
        <v/>
      </c>
      <c r="V59" s="6">
        <f>LAVORAZIONI!AB227</f>
        <v/>
      </c>
      <c r="W59" s="7">
        <f>LAVORAZIONI!AC227</f>
        <v/>
      </c>
      <c r="X59" s="6">
        <f>LAVORAZIONI!AD227</f>
        <v/>
      </c>
      <c r="Y59" s="7">
        <f>LAVORAZIONI!AE227</f>
        <v/>
      </c>
      <c r="Z59" s="6">
        <f>LAVORAZIONI!AF227</f>
        <v/>
      </c>
      <c r="AA59" s="7">
        <f>LAVORAZIONI!AG227</f>
        <v/>
      </c>
      <c r="AB59" s="6">
        <f>LAVORAZIONI!AH227</f>
        <v/>
      </c>
      <c r="AC59" s="7">
        <f>LAVORAZIONI!AI227</f>
        <v/>
      </c>
      <c r="AD59" s="13">
        <f>LAVORAZIONI!AJ227</f>
        <v/>
      </c>
    </row>
    <row r="60" ht="75" customHeight="1" s="46">
      <c r="B60" s="4">
        <f>LAVORAZIONI!G228</f>
        <v/>
      </c>
      <c r="C60" s="3">
        <f>LAVORAZIONI!A228</f>
        <v/>
      </c>
      <c r="D60" s="3">
        <f>LAVORAZIONI!K228</f>
        <v/>
      </c>
      <c r="E60" s="4">
        <f>LAVORAZIONI!H228</f>
        <v/>
      </c>
      <c r="F60" s="4">
        <f>LAVORAZIONI!M228</f>
        <v/>
      </c>
      <c r="G60" s="5">
        <f>LAVORAZIONI!N228</f>
        <v/>
      </c>
      <c r="H60" s="6">
        <f>LAVORAZIONI!O228</f>
        <v/>
      </c>
      <c r="I60" s="13">
        <f>LAVORAZIONI!P228</f>
        <v/>
      </c>
      <c r="J60" s="5">
        <f>IF(LAVORAZIONI!Q228="","",LAVORAZIONI!Q228)</f>
        <v/>
      </c>
      <c r="K60" s="6">
        <f>IF(LAVORAZIONI!R228="","",LAVORAZIONI!R228)</f>
        <v/>
      </c>
      <c r="L60" s="13">
        <f>IF(LAVORAZIONI!S228="","",LAVORAZIONI!S228)</f>
        <v/>
      </c>
      <c r="M60" s="13">
        <f>LAVORAZIONI!T228</f>
        <v/>
      </c>
      <c r="O60" s="7">
        <f>LAVORAZIONI!U228</f>
        <v/>
      </c>
      <c r="P60" s="45">
        <f>LAVORAZIONI!V228</f>
        <v/>
      </c>
      <c r="Q60" s="7">
        <f>LAVORAZIONI!W228</f>
        <v/>
      </c>
      <c r="R60" s="6">
        <f>LAVORAZIONI!X228</f>
        <v/>
      </c>
      <c r="S60" s="7">
        <f>LAVORAZIONI!Y228</f>
        <v/>
      </c>
      <c r="T60" s="6">
        <f>LAVORAZIONI!Z228</f>
        <v/>
      </c>
      <c r="U60" s="7">
        <f>LAVORAZIONI!AA228</f>
        <v/>
      </c>
      <c r="V60" s="6">
        <f>LAVORAZIONI!AB228</f>
        <v/>
      </c>
      <c r="W60" s="7">
        <f>LAVORAZIONI!AC228</f>
        <v/>
      </c>
      <c r="X60" s="6">
        <f>LAVORAZIONI!AD228</f>
        <v/>
      </c>
      <c r="Y60" s="7">
        <f>LAVORAZIONI!AE228</f>
        <v/>
      </c>
      <c r="Z60" s="6">
        <f>LAVORAZIONI!AF228</f>
        <v/>
      </c>
      <c r="AA60" s="7">
        <f>LAVORAZIONI!AG228</f>
        <v/>
      </c>
      <c r="AB60" s="6">
        <f>LAVORAZIONI!AH228</f>
        <v/>
      </c>
      <c r="AC60" s="7">
        <f>LAVORAZIONI!AI228</f>
        <v/>
      </c>
      <c r="AD60" s="13">
        <f>LAVORAZIONI!AJ228</f>
        <v/>
      </c>
    </row>
    <row r="61" ht="75" customHeight="1" s="46">
      <c r="B61" s="4">
        <f>LAVORAZIONI!G229</f>
        <v/>
      </c>
      <c r="C61" s="3">
        <f>LAVORAZIONI!A229</f>
        <v/>
      </c>
      <c r="D61" s="3">
        <f>LAVORAZIONI!K229</f>
        <v/>
      </c>
      <c r="E61" s="4">
        <f>LAVORAZIONI!H229</f>
        <v/>
      </c>
      <c r="F61" s="4">
        <f>LAVORAZIONI!M229</f>
        <v/>
      </c>
      <c r="G61" s="5">
        <f>LAVORAZIONI!N229</f>
        <v/>
      </c>
      <c r="H61" s="6">
        <f>LAVORAZIONI!O229</f>
        <v/>
      </c>
      <c r="I61" s="13">
        <f>LAVORAZIONI!P229</f>
        <v/>
      </c>
      <c r="J61" s="5">
        <f>IF(LAVORAZIONI!Q229="","",LAVORAZIONI!Q229)</f>
        <v/>
      </c>
      <c r="K61" s="6">
        <f>IF(LAVORAZIONI!R229="","",LAVORAZIONI!R229)</f>
        <v/>
      </c>
      <c r="L61" s="13">
        <f>IF(LAVORAZIONI!S229="","",LAVORAZIONI!S229)</f>
        <v/>
      </c>
      <c r="M61" s="13">
        <f>LAVORAZIONI!T229</f>
        <v/>
      </c>
      <c r="O61" s="7">
        <f>LAVORAZIONI!U229</f>
        <v/>
      </c>
      <c r="P61" s="45">
        <f>LAVORAZIONI!V229</f>
        <v/>
      </c>
      <c r="Q61" s="7">
        <f>LAVORAZIONI!W229</f>
        <v/>
      </c>
      <c r="R61" s="6">
        <f>LAVORAZIONI!X229</f>
        <v/>
      </c>
      <c r="S61" s="7">
        <f>LAVORAZIONI!Y229</f>
        <v/>
      </c>
      <c r="T61" s="6">
        <f>LAVORAZIONI!Z229</f>
        <v/>
      </c>
      <c r="U61" s="7">
        <f>LAVORAZIONI!AA229</f>
        <v/>
      </c>
      <c r="V61" s="6">
        <f>LAVORAZIONI!AB229</f>
        <v/>
      </c>
      <c r="W61" s="7">
        <f>LAVORAZIONI!AC229</f>
        <v/>
      </c>
      <c r="X61" s="6">
        <f>LAVORAZIONI!AD229</f>
        <v/>
      </c>
      <c r="Y61" s="7">
        <f>LAVORAZIONI!AE229</f>
        <v/>
      </c>
      <c r="Z61" s="6">
        <f>LAVORAZIONI!AF229</f>
        <v/>
      </c>
      <c r="AA61" s="7">
        <f>LAVORAZIONI!AG229</f>
        <v/>
      </c>
      <c r="AB61" s="6">
        <f>LAVORAZIONI!AH229</f>
        <v/>
      </c>
      <c r="AC61" s="7">
        <f>LAVORAZIONI!AI229</f>
        <v/>
      </c>
      <c r="AD61" s="13">
        <f>LAVORAZIONI!AJ229</f>
        <v/>
      </c>
    </row>
    <row r="62" ht="75" customHeight="1" s="46">
      <c r="B62" s="4">
        <f>LAVORAZIONI!G230</f>
        <v/>
      </c>
      <c r="C62" s="3">
        <f>LAVORAZIONI!A230</f>
        <v/>
      </c>
      <c r="D62" s="3">
        <f>LAVORAZIONI!K230</f>
        <v/>
      </c>
      <c r="E62" s="4">
        <f>LAVORAZIONI!H230</f>
        <v/>
      </c>
      <c r="F62" s="4">
        <f>LAVORAZIONI!M230</f>
        <v/>
      </c>
      <c r="G62" s="5">
        <f>LAVORAZIONI!N230</f>
        <v/>
      </c>
      <c r="H62" s="6">
        <f>LAVORAZIONI!O230</f>
        <v/>
      </c>
      <c r="I62" s="13">
        <f>LAVORAZIONI!P230</f>
        <v/>
      </c>
      <c r="J62" s="5">
        <f>IF(LAVORAZIONI!Q230="","",LAVORAZIONI!Q230)</f>
        <v/>
      </c>
      <c r="K62" s="6">
        <f>IF(LAVORAZIONI!R230="","",LAVORAZIONI!R230)</f>
        <v/>
      </c>
      <c r="L62" s="13">
        <f>IF(LAVORAZIONI!S230="","",LAVORAZIONI!S230)</f>
        <v/>
      </c>
      <c r="M62" s="13">
        <f>LAVORAZIONI!T230</f>
        <v/>
      </c>
      <c r="O62" s="7">
        <f>LAVORAZIONI!U230</f>
        <v/>
      </c>
      <c r="P62" s="45">
        <f>LAVORAZIONI!V230</f>
        <v/>
      </c>
      <c r="Q62" s="7">
        <f>LAVORAZIONI!W230</f>
        <v/>
      </c>
      <c r="R62" s="6">
        <f>LAVORAZIONI!X230</f>
        <v/>
      </c>
      <c r="S62" s="7">
        <f>LAVORAZIONI!Y230</f>
        <v/>
      </c>
      <c r="T62" s="6">
        <f>LAVORAZIONI!Z230</f>
        <v/>
      </c>
      <c r="U62" s="7">
        <f>LAVORAZIONI!AA230</f>
        <v/>
      </c>
      <c r="V62" s="6">
        <f>LAVORAZIONI!AB230</f>
        <v/>
      </c>
      <c r="W62" s="7">
        <f>LAVORAZIONI!AC230</f>
        <v/>
      </c>
      <c r="X62" s="6">
        <f>LAVORAZIONI!AD230</f>
        <v/>
      </c>
      <c r="Y62" s="7">
        <f>LAVORAZIONI!AE230</f>
        <v/>
      </c>
      <c r="Z62" s="6">
        <f>LAVORAZIONI!AF230</f>
        <v/>
      </c>
      <c r="AA62" s="7">
        <f>LAVORAZIONI!AG230</f>
        <v/>
      </c>
      <c r="AB62" s="6">
        <f>LAVORAZIONI!AH230</f>
        <v/>
      </c>
      <c r="AC62" s="7">
        <f>LAVORAZIONI!AI230</f>
        <v/>
      </c>
      <c r="AD62" s="13">
        <f>LAVORAZIONI!AJ230</f>
        <v/>
      </c>
    </row>
    <row r="63" ht="75" customHeight="1" s="46">
      <c r="B63" s="4">
        <f>LAVORAZIONI!G231</f>
        <v/>
      </c>
      <c r="C63" s="3">
        <f>LAVORAZIONI!A231</f>
        <v/>
      </c>
      <c r="D63" s="3">
        <f>LAVORAZIONI!K231</f>
        <v/>
      </c>
      <c r="E63" s="4">
        <f>LAVORAZIONI!H231</f>
        <v/>
      </c>
      <c r="F63" s="4">
        <f>LAVORAZIONI!M231</f>
        <v/>
      </c>
      <c r="G63" s="5">
        <f>LAVORAZIONI!N231</f>
        <v/>
      </c>
      <c r="H63" s="6">
        <f>LAVORAZIONI!O231</f>
        <v/>
      </c>
      <c r="I63" s="13">
        <f>LAVORAZIONI!P231</f>
        <v/>
      </c>
      <c r="J63" s="5">
        <f>IF(LAVORAZIONI!Q231="","",LAVORAZIONI!Q231)</f>
        <v/>
      </c>
      <c r="K63" s="6">
        <f>IF(LAVORAZIONI!R231="","",LAVORAZIONI!R231)</f>
        <v/>
      </c>
      <c r="L63" s="13">
        <f>IF(LAVORAZIONI!S231="","",LAVORAZIONI!S231)</f>
        <v/>
      </c>
      <c r="M63" s="13">
        <f>LAVORAZIONI!T231</f>
        <v/>
      </c>
      <c r="O63" s="7">
        <f>LAVORAZIONI!U231</f>
        <v/>
      </c>
      <c r="P63" s="45">
        <f>LAVORAZIONI!V231</f>
        <v/>
      </c>
      <c r="Q63" s="7">
        <f>LAVORAZIONI!W231</f>
        <v/>
      </c>
      <c r="R63" s="6">
        <f>LAVORAZIONI!X231</f>
        <v/>
      </c>
      <c r="S63" s="7">
        <f>LAVORAZIONI!Y231</f>
        <v/>
      </c>
      <c r="T63" s="6">
        <f>LAVORAZIONI!Z231</f>
        <v/>
      </c>
      <c r="U63" s="7">
        <f>LAVORAZIONI!AA231</f>
        <v/>
      </c>
      <c r="V63" s="6">
        <f>LAVORAZIONI!AB231</f>
        <v/>
      </c>
      <c r="W63" s="7">
        <f>LAVORAZIONI!AC231</f>
        <v/>
      </c>
      <c r="X63" s="6">
        <f>LAVORAZIONI!AD231</f>
        <v/>
      </c>
      <c r="Y63" s="7">
        <f>LAVORAZIONI!AE231</f>
        <v/>
      </c>
      <c r="Z63" s="6">
        <f>LAVORAZIONI!AF231</f>
        <v/>
      </c>
      <c r="AA63" s="7">
        <f>LAVORAZIONI!AG231</f>
        <v/>
      </c>
      <c r="AB63" s="6">
        <f>LAVORAZIONI!AH231</f>
        <v/>
      </c>
      <c r="AC63" s="7">
        <f>LAVORAZIONI!AI231</f>
        <v/>
      </c>
      <c r="AD63" s="13">
        <f>LAVORAZIONI!AJ231</f>
        <v/>
      </c>
    </row>
    <row r="64" ht="75" customHeight="1" s="46">
      <c r="B64" s="4">
        <f>LAVORAZIONI!G232</f>
        <v/>
      </c>
      <c r="C64" s="3">
        <f>LAVORAZIONI!A232</f>
        <v/>
      </c>
      <c r="D64" s="3">
        <f>LAVORAZIONI!K232</f>
        <v/>
      </c>
      <c r="E64" s="4">
        <f>LAVORAZIONI!H232</f>
        <v/>
      </c>
      <c r="F64" s="4">
        <f>LAVORAZIONI!M232</f>
        <v/>
      </c>
      <c r="G64" s="5">
        <f>LAVORAZIONI!N232</f>
        <v/>
      </c>
      <c r="H64" s="6">
        <f>LAVORAZIONI!O232</f>
        <v/>
      </c>
      <c r="I64" s="13">
        <f>LAVORAZIONI!P232</f>
        <v/>
      </c>
      <c r="J64" s="5">
        <f>IF(LAVORAZIONI!Q232="","",LAVORAZIONI!Q232)</f>
        <v/>
      </c>
      <c r="K64" s="6">
        <f>IF(LAVORAZIONI!R232="","",LAVORAZIONI!R232)</f>
        <v/>
      </c>
      <c r="L64" s="13">
        <f>IF(LAVORAZIONI!S232="","",LAVORAZIONI!S232)</f>
        <v/>
      </c>
      <c r="M64" s="13">
        <f>LAVORAZIONI!T232</f>
        <v/>
      </c>
      <c r="O64" s="7">
        <f>LAVORAZIONI!U232</f>
        <v/>
      </c>
      <c r="P64" s="45">
        <f>LAVORAZIONI!V232</f>
        <v/>
      </c>
      <c r="Q64" s="7">
        <f>LAVORAZIONI!W232</f>
        <v/>
      </c>
      <c r="R64" s="6">
        <f>LAVORAZIONI!X232</f>
        <v/>
      </c>
      <c r="S64" s="7">
        <f>LAVORAZIONI!Y232</f>
        <v/>
      </c>
      <c r="T64" s="6">
        <f>LAVORAZIONI!Z232</f>
        <v/>
      </c>
      <c r="U64" s="7">
        <f>LAVORAZIONI!AA232</f>
        <v/>
      </c>
      <c r="V64" s="6">
        <f>LAVORAZIONI!AB232</f>
        <v/>
      </c>
      <c r="W64" s="7">
        <f>LAVORAZIONI!AC232</f>
        <v/>
      </c>
      <c r="X64" s="6">
        <f>LAVORAZIONI!AD232</f>
        <v/>
      </c>
      <c r="Y64" s="7">
        <f>LAVORAZIONI!AE232</f>
        <v/>
      </c>
      <c r="Z64" s="6">
        <f>LAVORAZIONI!AF232</f>
        <v/>
      </c>
      <c r="AA64" s="7">
        <f>LAVORAZIONI!AG232</f>
        <v/>
      </c>
      <c r="AB64" s="6">
        <f>LAVORAZIONI!AH232</f>
        <v/>
      </c>
      <c r="AC64" s="7">
        <f>LAVORAZIONI!AI232</f>
        <v/>
      </c>
      <c r="AD64" s="13">
        <f>LAVORAZIONI!AJ232</f>
        <v/>
      </c>
    </row>
    <row r="65" ht="75" customHeight="1" s="46">
      <c r="B65" s="4">
        <f>LAVORAZIONI!G233</f>
        <v/>
      </c>
      <c r="C65" s="3">
        <f>LAVORAZIONI!A233</f>
        <v/>
      </c>
      <c r="D65" s="3">
        <f>LAVORAZIONI!K233</f>
        <v/>
      </c>
      <c r="E65" s="4">
        <f>LAVORAZIONI!H233</f>
        <v/>
      </c>
      <c r="F65" s="4">
        <f>LAVORAZIONI!M233</f>
        <v/>
      </c>
      <c r="G65" s="5">
        <f>LAVORAZIONI!N233</f>
        <v/>
      </c>
      <c r="H65" s="6">
        <f>LAVORAZIONI!O233</f>
        <v/>
      </c>
      <c r="I65" s="13">
        <f>LAVORAZIONI!P233</f>
        <v/>
      </c>
      <c r="J65" s="5">
        <f>IF(LAVORAZIONI!Q233="","",LAVORAZIONI!Q233)</f>
        <v/>
      </c>
      <c r="K65" s="6">
        <f>IF(LAVORAZIONI!R233="","",LAVORAZIONI!R233)</f>
        <v/>
      </c>
      <c r="L65" s="13">
        <f>IF(LAVORAZIONI!S233="","",LAVORAZIONI!S233)</f>
        <v/>
      </c>
      <c r="M65" s="13">
        <f>LAVORAZIONI!T233</f>
        <v/>
      </c>
      <c r="O65" s="7">
        <f>LAVORAZIONI!U233</f>
        <v/>
      </c>
      <c r="P65" s="45">
        <f>LAVORAZIONI!V233</f>
        <v/>
      </c>
      <c r="Q65" s="7">
        <f>LAVORAZIONI!W233</f>
        <v/>
      </c>
      <c r="R65" s="6">
        <f>LAVORAZIONI!X233</f>
        <v/>
      </c>
      <c r="S65" s="7">
        <f>LAVORAZIONI!Y233</f>
        <v/>
      </c>
      <c r="T65" s="6">
        <f>LAVORAZIONI!Z233</f>
        <v/>
      </c>
      <c r="U65" s="7">
        <f>LAVORAZIONI!AA233</f>
        <v/>
      </c>
      <c r="V65" s="6">
        <f>LAVORAZIONI!AB233</f>
        <v/>
      </c>
      <c r="W65" s="7">
        <f>LAVORAZIONI!AC233</f>
        <v/>
      </c>
      <c r="X65" s="6">
        <f>LAVORAZIONI!AD233</f>
        <v/>
      </c>
      <c r="Y65" s="7">
        <f>LAVORAZIONI!AE233</f>
        <v/>
      </c>
      <c r="Z65" s="6">
        <f>LAVORAZIONI!AF233</f>
        <v/>
      </c>
      <c r="AA65" s="7">
        <f>LAVORAZIONI!AG233</f>
        <v/>
      </c>
      <c r="AB65" s="6">
        <f>LAVORAZIONI!AH233</f>
        <v/>
      </c>
      <c r="AC65" s="7">
        <f>LAVORAZIONI!AI233</f>
        <v/>
      </c>
      <c r="AD65" s="13">
        <f>LAVORAZIONI!AJ233</f>
        <v/>
      </c>
    </row>
    <row r="66" ht="75" customHeight="1" s="46">
      <c r="B66" s="4">
        <f>LAVORAZIONI!G234</f>
        <v/>
      </c>
      <c r="C66" s="3">
        <f>LAVORAZIONI!A234</f>
        <v/>
      </c>
      <c r="D66" s="3">
        <f>LAVORAZIONI!K234</f>
        <v/>
      </c>
      <c r="E66" s="4">
        <f>LAVORAZIONI!H234</f>
        <v/>
      </c>
      <c r="F66" s="4">
        <f>LAVORAZIONI!M234</f>
        <v/>
      </c>
      <c r="G66" s="5">
        <f>LAVORAZIONI!N234</f>
        <v/>
      </c>
      <c r="H66" s="6">
        <f>LAVORAZIONI!O234</f>
        <v/>
      </c>
      <c r="I66" s="13">
        <f>LAVORAZIONI!P234</f>
        <v/>
      </c>
      <c r="J66" s="5">
        <f>IF(LAVORAZIONI!Q234="","",LAVORAZIONI!Q234)</f>
        <v/>
      </c>
      <c r="K66" s="6">
        <f>IF(LAVORAZIONI!R234="","",LAVORAZIONI!R234)</f>
        <v/>
      </c>
      <c r="L66" s="13">
        <f>IF(LAVORAZIONI!S234="","",LAVORAZIONI!S234)</f>
        <v/>
      </c>
      <c r="M66" s="13">
        <f>LAVORAZIONI!T234</f>
        <v/>
      </c>
      <c r="O66" s="7">
        <f>LAVORAZIONI!U234</f>
        <v/>
      </c>
      <c r="P66" s="45">
        <f>LAVORAZIONI!V234</f>
        <v/>
      </c>
      <c r="Q66" s="7">
        <f>LAVORAZIONI!W234</f>
        <v/>
      </c>
      <c r="R66" s="6">
        <f>LAVORAZIONI!X234</f>
        <v/>
      </c>
      <c r="S66" s="7">
        <f>LAVORAZIONI!Y234</f>
        <v/>
      </c>
      <c r="T66" s="6">
        <f>LAVORAZIONI!Z234</f>
        <v/>
      </c>
      <c r="U66" s="7">
        <f>LAVORAZIONI!AA234</f>
        <v/>
      </c>
      <c r="V66" s="6">
        <f>LAVORAZIONI!AB234</f>
        <v/>
      </c>
      <c r="W66" s="7">
        <f>LAVORAZIONI!AC234</f>
        <v/>
      </c>
      <c r="X66" s="6">
        <f>LAVORAZIONI!AD234</f>
        <v/>
      </c>
      <c r="Y66" s="7">
        <f>LAVORAZIONI!AE234</f>
        <v/>
      </c>
      <c r="Z66" s="6">
        <f>LAVORAZIONI!AF234</f>
        <v/>
      </c>
      <c r="AA66" s="7">
        <f>LAVORAZIONI!AG234</f>
        <v/>
      </c>
      <c r="AB66" s="6">
        <f>LAVORAZIONI!AH234</f>
        <v/>
      </c>
      <c r="AC66" s="7">
        <f>LAVORAZIONI!AI234</f>
        <v/>
      </c>
      <c r="AD66" s="13">
        <f>LAVORAZIONI!AJ234</f>
        <v/>
      </c>
    </row>
    <row r="67" ht="75" customHeight="1" s="46">
      <c r="B67" s="4">
        <f>LAVORAZIONI!G235</f>
        <v/>
      </c>
      <c r="C67" s="3">
        <f>LAVORAZIONI!A235</f>
        <v/>
      </c>
      <c r="D67" s="3">
        <f>LAVORAZIONI!K235</f>
        <v/>
      </c>
      <c r="E67" s="4">
        <f>LAVORAZIONI!H235</f>
        <v/>
      </c>
      <c r="F67" s="4">
        <f>LAVORAZIONI!M235</f>
        <v/>
      </c>
      <c r="G67" s="5">
        <f>LAVORAZIONI!N235</f>
        <v/>
      </c>
      <c r="H67" s="6">
        <f>LAVORAZIONI!O235</f>
        <v/>
      </c>
      <c r="I67" s="13">
        <f>LAVORAZIONI!P235</f>
        <v/>
      </c>
      <c r="J67" s="5">
        <f>IF(LAVORAZIONI!Q235="","",LAVORAZIONI!Q235)</f>
        <v/>
      </c>
      <c r="K67" s="6">
        <f>IF(LAVORAZIONI!R235="","",LAVORAZIONI!R235)</f>
        <v/>
      </c>
      <c r="L67" s="13">
        <f>IF(LAVORAZIONI!S235="","",LAVORAZIONI!S235)</f>
        <v/>
      </c>
      <c r="M67" s="13">
        <f>LAVORAZIONI!T235</f>
        <v/>
      </c>
      <c r="O67" s="7">
        <f>LAVORAZIONI!U235</f>
        <v/>
      </c>
      <c r="P67" s="45">
        <f>LAVORAZIONI!V235</f>
        <v/>
      </c>
      <c r="Q67" s="7">
        <f>LAVORAZIONI!W235</f>
        <v/>
      </c>
      <c r="R67" s="6">
        <f>LAVORAZIONI!X235</f>
        <v/>
      </c>
      <c r="S67" s="7">
        <f>LAVORAZIONI!Y235</f>
        <v/>
      </c>
      <c r="T67" s="6">
        <f>LAVORAZIONI!Z235</f>
        <v/>
      </c>
      <c r="U67" s="7">
        <f>LAVORAZIONI!AA235</f>
        <v/>
      </c>
      <c r="V67" s="6">
        <f>LAVORAZIONI!AB235</f>
        <v/>
      </c>
      <c r="W67" s="7">
        <f>LAVORAZIONI!AC235</f>
        <v/>
      </c>
      <c r="X67" s="6">
        <f>LAVORAZIONI!AD235</f>
        <v/>
      </c>
      <c r="Y67" s="7">
        <f>LAVORAZIONI!AE235</f>
        <v/>
      </c>
      <c r="Z67" s="6">
        <f>LAVORAZIONI!AF235</f>
        <v/>
      </c>
      <c r="AA67" s="7">
        <f>LAVORAZIONI!AG235</f>
        <v/>
      </c>
      <c r="AB67" s="6">
        <f>LAVORAZIONI!AH235</f>
        <v/>
      </c>
      <c r="AC67" s="7">
        <f>LAVORAZIONI!AI235</f>
        <v/>
      </c>
      <c r="AD67" s="13">
        <f>LAVORAZIONI!AJ235</f>
        <v/>
      </c>
    </row>
    <row r="68" ht="75" customHeight="1" s="46">
      <c r="B68" s="4">
        <f>LAVORAZIONI!G236</f>
        <v/>
      </c>
      <c r="C68" s="3">
        <f>LAVORAZIONI!A236</f>
        <v/>
      </c>
      <c r="D68" s="3">
        <f>LAVORAZIONI!K236</f>
        <v/>
      </c>
      <c r="E68" s="4">
        <f>LAVORAZIONI!H236</f>
        <v/>
      </c>
      <c r="F68" s="4">
        <f>LAVORAZIONI!M236</f>
        <v/>
      </c>
      <c r="G68" s="5">
        <f>LAVORAZIONI!N236</f>
        <v/>
      </c>
      <c r="H68" s="6">
        <f>LAVORAZIONI!O236</f>
        <v/>
      </c>
      <c r="I68" s="13">
        <f>LAVORAZIONI!P236</f>
        <v/>
      </c>
      <c r="J68" s="5">
        <f>IF(LAVORAZIONI!Q236="","",LAVORAZIONI!Q236)</f>
        <v/>
      </c>
      <c r="K68" s="6">
        <f>IF(LAVORAZIONI!R236="","",LAVORAZIONI!R236)</f>
        <v/>
      </c>
      <c r="L68" s="13">
        <f>IF(LAVORAZIONI!S236="","",LAVORAZIONI!S236)</f>
        <v/>
      </c>
      <c r="M68" s="13">
        <f>LAVORAZIONI!T236</f>
        <v/>
      </c>
      <c r="O68" s="7">
        <f>LAVORAZIONI!U236</f>
        <v/>
      </c>
      <c r="P68" s="45">
        <f>LAVORAZIONI!V236</f>
        <v/>
      </c>
      <c r="Q68" s="7">
        <f>LAVORAZIONI!W236</f>
        <v/>
      </c>
      <c r="R68" s="6">
        <f>LAVORAZIONI!X236</f>
        <v/>
      </c>
      <c r="S68" s="7">
        <f>LAVORAZIONI!Y236</f>
        <v/>
      </c>
      <c r="T68" s="6">
        <f>LAVORAZIONI!Z236</f>
        <v/>
      </c>
      <c r="U68" s="7">
        <f>LAVORAZIONI!AA236</f>
        <v/>
      </c>
      <c r="V68" s="6">
        <f>LAVORAZIONI!AB236</f>
        <v/>
      </c>
      <c r="W68" s="7">
        <f>LAVORAZIONI!AC236</f>
        <v/>
      </c>
      <c r="X68" s="6">
        <f>LAVORAZIONI!AD236</f>
        <v/>
      </c>
      <c r="Y68" s="7">
        <f>LAVORAZIONI!AE236</f>
        <v/>
      </c>
      <c r="Z68" s="6">
        <f>LAVORAZIONI!AF236</f>
        <v/>
      </c>
      <c r="AA68" s="7">
        <f>LAVORAZIONI!AG236</f>
        <v/>
      </c>
      <c r="AB68" s="6">
        <f>LAVORAZIONI!AH236</f>
        <v/>
      </c>
      <c r="AC68" s="7">
        <f>LAVORAZIONI!AI236</f>
        <v/>
      </c>
      <c r="AD68" s="13">
        <f>LAVORAZIONI!AJ236</f>
        <v/>
      </c>
    </row>
    <row r="69" ht="75" customHeight="1" s="46">
      <c r="B69" s="4">
        <f>LAVORAZIONI!G237</f>
        <v/>
      </c>
      <c r="C69" s="3">
        <f>LAVORAZIONI!A237</f>
        <v/>
      </c>
      <c r="D69" s="3">
        <f>LAVORAZIONI!K237</f>
        <v/>
      </c>
      <c r="E69" s="4">
        <f>LAVORAZIONI!H237</f>
        <v/>
      </c>
      <c r="F69" s="4">
        <f>LAVORAZIONI!M237</f>
        <v/>
      </c>
      <c r="G69" s="5">
        <f>LAVORAZIONI!N237</f>
        <v/>
      </c>
      <c r="H69" s="6">
        <f>LAVORAZIONI!O237</f>
        <v/>
      </c>
      <c r="I69" s="13">
        <f>LAVORAZIONI!P237</f>
        <v/>
      </c>
      <c r="J69" s="5">
        <f>IF(LAVORAZIONI!Q237="","",LAVORAZIONI!Q237)</f>
        <v/>
      </c>
      <c r="K69" s="6">
        <f>IF(LAVORAZIONI!R237="","",LAVORAZIONI!R237)</f>
        <v/>
      </c>
      <c r="L69" s="13">
        <f>IF(LAVORAZIONI!S237="","",LAVORAZIONI!S237)</f>
        <v/>
      </c>
      <c r="M69" s="13">
        <f>LAVORAZIONI!T237</f>
        <v/>
      </c>
      <c r="O69" s="7">
        <f>LAVORAZIONI!U237</f>
        <v/>
      </c>
      <c r="P69" s="45">
        <f>LAVORAZIONI!V237</f>
        <v/>
      </c>
      <c r="Q69" s="7">
        <f>LAVORAZIONI!W237</f>
        <v/>
      </c>
      <c r="R69" s="6">
        <f>LAVORAZIONI!X237</f>
        <v/>
      </c>
      <c r="S69" s="7">
        <f>LAVORAZIONI!Y237</f>
        <v/>
      </c>
      <c r="T69" s="6">
        <f>LAVORAZIONI!Z237</f>
        <v/>
      </c>
      <c r="U69" s="7">
        <f>LAVORAZIONI!AA237</f>
        <v/>
      </c>
      <c r="V69" s="6">
        <f>LAVORAZIONI!AB237</f>
        <v/>
      </c>
      <c r="W69" s="7">
        <f>LAVORAZIONI!AC237</f>
        <v/>
      </c>
      <c r="X69" s="6">
        <f>LAVORAZIONI!AD237</f>
        <v/>
      </c>
      <c r="Y69" s="7">
        <f>LAVORAZIONI!AE237</f>
        <v/>
      </c>
      <c r="Z69" s="6">
        <f>LAVORAZIONI!AF237</f>
        <v/>
      </c>
      <c r="AA69" s="7">
        <f>LAVORAZIONI!AG237</f>
        <v/>
      </c>
      <c r="AB69" s="6">
        <f>LAVORAZIONI!AH237</f>
        <v/>
      </c>
      <c r="AC69" s="7">
        <f>LAVORAZIONI!AI237</f>
        <v/>
      </c>
      <c r="AD69" s="13">
        <f>LAVORAZIONI!AJ237</f>
        <v/>
      </c>
    </row>
    <row r="70" ht="75" customHeight="1" s="46">
      <c r="B70" s="4">
        <f>LAVORAZIONI!G238</f>
        <v/>
      </c>
      <c r="C70" s="3">
        <f>LAVORAZIONI!A238</f>
        <v/>
      </c>
      <c r="D70" s="3">
        <f>LAVORAZIONI!K238</f>
        <v/>
      </c>
      <c r="E70" s="4">
        <f>LAVORAZIONI!H238</f>
        <v/>
      </c>
      <c r="F70" s="4">
        <f>LAVORAZIONI!M238</f>
        <v/>
      </c>
      <c r="G70" s="5">
        <f>LAVORAZIONI!N238</f>
        <v/>
      </c>
      <c r="H70" s="6">
        <f>LAVORAZIONI!O238</f>
        <v/>
      </c>
      <c r="I70" s="13">
        <f>LAVORAZIONI!P238</f>
        <v/>
      </c>
      <c r="J70" s="5">
        <f>IF(LAVORAZIONI!Q238="","",LAVORAZIONI!Q238)</f>
        <v/>
      </c>
      <c r="K70" s="6">
        <f>IF(LAVORAZIONI!R238="","",LAVORAZIONI!R238)</f>
        <v/>
      </c>
      <c r="L70" s="13">
        <f>IF(LAVORAZIONI!S238="","",LAVORAZIONI!S238)</f>
        <v/>
      </c>
      <c r="M70" s="13">
        <f>LAVORAZIONI!T238</f>
        <v/>
      </c>
      <c r="O70" s="7">
        <f>LAVORAZIONI!U238</f>
        <v/>
      </c>
      <c r="P70" s="45">
        <f>LAVORAZIONI!V238</f>
        <v/>
      </c>
      <c r="Q70" s="7">
        <f>LAVORAZIONI!W238</f>
        <v/>
      </c>
      <c r="R70" s="6">
        <f>LAVORAZIONI!X238</f>
        <v/>
      </c>
      <c r="S70" s="7">
        <f>LAVORAZIONI!Y238</f>
        <v/>
      </c>
      <c r="T70" s="6">
        <f>LAVORAZIONI!Z238</f>
        <v/>
      </c>
      <c r="U70" s="7">
        <f>LAVORAZIONI!AA238</f>
        <v/>
      </c>
      <c r="V70" s="6">
        <f>LAVORAZIONI!AB238</f>
        <v/>
      </c>
      <c r="W70" s="7">
        <f>LAVORAZIONI!AC238</f>
        <v/>
      </c>
      <c r="X70" s="6">
        <f>LAVORAZIONI!AD238</f>
        <v/>
      </c>
      <c r="Y70" s="7">
        <f>LAVORAZIONI!AE238</f>
        <v/>
      </c>
      <c r="Z70" s="6">
        <f>LAVORAZIONI!AF238</f>
        <v/>
      </c>
      <c r="AA70" s="7">
        <f>LAVORAZIONI!AG238</f>
        <v/>
      </c>
      <c r="AB70" s="6">
        <f>LAVORAZIONI!AH238</f>
        <v/>
      </c>
      <c r="AC70" s="7">
        <f>LAVORAZIONI!AI238</f>
        <v/>
      </c>
      <c r="AD70" s="13">
        <f>LAVORAZIONI!AJ238</f>
        <v/>
      </c>
    </row>
    <row r="71" ht="75" customHeight="1" s="46">
      <c r="B71" s="4">
        <f>LAVORAZIONI!G239</f>
        <v/>
      </c>
      <c r="C71" s="3">
        <f>LAVORAZIONI!A239</f>
        <v/>
      </c>
      <c r="D71" s="3">
        <f>LAVORAZIONI!K239</f>
        <v/>
      </c>
      <c r="E71" s="4">
        <f>LAVORAZIONI!H239</f>
        <v/>
      </c>
      <c r="F71" s="4">
        <f>LAVORAZIONI!M239</f>
        <v/>
      </c>
      <c r="G71" s="5">
        <f>LAVORAZIONI!N239</f>
        <v/>
      </c>
      <c r="H71" s="6">
        <f>LAVORAZIONI!O239</f>
        <v/>
      </c>
      <c r="I71" s="13">
        <f>LAVORAZIONI!P239</f>
        <v/>
      </c>
      <c r="J71" s="5">
        <f>IF(LAVORAZIONI!Q239="","",LAVORAZIONI!Q239)</f>
        <v/>
      </c>
      <c r="K71" s="6">
        <f>IF(LAVORAZIONI!R239="","",LAVORAZIONI!R239)</f>
        <v/>
      </c>
      <c r="L71" s="13">
        <f>IF(LAVORAZIONI!S239="","",LAVORAZIONI!S239)</f>
        <v/>
      </c>
      <c r="M71" s="13">
        <f>LAVORAZIONI!T239</f>
        <v/>
      </c>
      <c r="O71" s="7">
        <f>LAVORAZIONI!U239</f>
        <v/>
      </c>
      <c r="P71" s="45">
        <f>LAVORAZIONI!V239</f>
        <v/>
      </c>
      <c r="Q71" s="7">
        <f>LAVORAZIONI!W239</f>
        <v/>
      </c>
      <c r="R71" s="6">
        <f>LAVORAZIONI!X239</f>
        <v/>
      </c>
      <c r="S71" s="7">
        <f>LAVORAZIONI!Y239</f>
        <v/>
      </c>
      <c r="T71" s="6">
        <f>LAVORAZIONI!Z239</f>
        <v/>
      </c>
      <c r="U71" s="7">
        <f>LAVORAZIONI!AA239</f>
        <v/>
      </c>
      <c r="V71" s="6">
        <f>LAVORAZIONI!AB239</f>
        <v/>
      </c>
      <c r="W71" s="7">
        <f>LAVORAZIONI!AC239</f>
        <v/>
      </c>
      <c r="X71" s="6">
        <f>LAVORAZIONI!AD239</f>
        <v/>
      </c>
      <c r="Y71" s="7">
        <f>LAVORAZIONI!AE239</f>
        <v/>
      </c>
      <c r="Z71" s="6">
        <f>LAVORAZIONI!AF239</f>
        <v/>
      </c>
      <c r="AA71" s="7">
        <f>LAVORAZIONI!AG239</f>
        <v/>
      </c>
      <c r="AB71" s="6">
        <f>LAVORAZIONI!AH239</f>
        <v/>
      </c>
      <c r="AC71" s="7">
        <f>LAVORAZIONI!AI239</f>
        <v/>
      </c>
      <c r="AD71" s="13">
        <f>LAVORAZIONI!AJ239</f>
        <v/>
      </c>
    </row>
    <row r="72" ht="75" customHeight="1" s="46">
      <c r="B72" s="4">
        <f>LAVORAZIONI!G240</f>
        <v/>
      </c>
      <c r="C72" s="3">
        <f>LAVORAZIONI!A240</f>
        <v/>
      </c>
      <c r="D72" s="3">
        <f>LAVORAZIONI!K240</f>
        <v/>
      </c>
      <c r="E72" s="4">
        <f>LAVORAZIONI!H240</f>
        <v/>
      </c>
      <c r="F72" s="4">
        <f>LAVORAZIONI!M240</f>
        <v/>
      </c>
      <c r="G72" s="5">
        <f>LAVORAZIONI!N240</f>
        <v/>
      </c>
      <c r="H72" s="6">
        <f>LAVORAZIONI!O240</f>
        <v/>
      </c>
      <c r="I72" s="13">
        <f>LAVORAZIONI!P240</f>
        <v/>
      </c>
      <c r="J72" s="5">
        <f>IF(LAVORAZIONI!Q240="","",LAVORAZIONI!Q240)</f>
        <v/>
      </c>
      <c r="K72" s="6">
        <f>IF(LAVORAZIONI!R240="","",LAVORAZIONI!R240)</f>
        <v/>
      </c>
      <c r="L72" s="13">
        <f>IF(LAVORAZIONI!S240="","",LAVORAZIONI!S240)</f>
        <v/>
      </c>
      <c r="M72" s="13">
        <f>LAVORAZIONI!T240</f>
        <v/>
      </c>
      <c r="O72" s="7">
        <f>LAVORAZIONI!U240</f>
        <v/>
      </c>
      <c r="P72" s="45">
        <f>LAVORAZIONI!V240</f>
        <v/>
      </c>
      <c r="Q72" s="7">
        <f>LAVORAZIONI!W240</f>
        <v/>
      </c>
      <c r="R72" s="6">
        <f>LAVORAZIONI!X240</f>
        <v/>
      </c>
      <c r="S72" s="7">
        <f>LAVORAZIONI!Y240</f>
        <v/>
      </c>
      <c r="T72" s="6">
        <f>LAVORAZIONI!Z240</f>
        <v/>
      </c>
      <c r="U72" s="7">
        <f>LAVORAZIONI!AA240</f>
        <v/>
      </c>
      <c r="V72" s="6">
        <f>LAVORAZIONI!AB240</f>
        <v/>
      </c>
      <c r="W72" s="7">
        <f>LAVORAZIONI!AC240</f>
        <v/>
      </c>
      <c r="X72" s="6">
        <f>LAVORAZIONI!AD240</f>
        <v/>
      </c>
      <c r="Y72" s="7">
        <f>LAVORAZIONI!AE240</f>
        <v/>
      </c>
      <c r="Z72" s="6">
        <f>LAVORAZIONI!AF240</f>
        <v/>
      </c>
      <c r="AA72" s="7">
        <f>LAVORAZIONI!AG240</f>
        <v/>
      </c>
      <c r="AB72" s="6">
        <f>LAVORAZIONI!AH240</f>
        <v/>
      </c>
      <c r="AC72" s="7">
        <f>LAVORAZIONI!AI240</f>
        <v/>
      </c>
      <c r="AD72" s="13">
        <f>LAVORAZIONI!AJ240</f>
        <v/>
      </c>
    </row>
    <row r="73" ht="75" customHeight="1" s="46">
      <c r="B73" s="4">
        <f>LAVORAZIONI!G241</f>
        <v/>
      </c>
      <c r="C73" s="3">
        <f>LAVORAZIONI!A241</f>
        <v/>
      </c>
      <c r="D73" s="3">
        <f>LAVORAZIONI!K241</f>
        <v/>
      </c>
      <c r="E73" s="4">
        <f>LAVORAZIONI!H241</f>
        <v/>
      </c>
      <c r="F73" s="4">
        <f>LAVORAZIONI!M241</f>
        <v/>
      </c>
      <c r="G73" s="5">
        <f>LAVORAZIONI!N241</f>
        <v/>
      </c>
      <c r="H73" s="6">
        <f>LAVORAZIONI!O241</f>
        <v/>
      </c>
      <c r="I73" s="13">
        <f>LAVORAZIONI!P241</f>
        <v/>
      </c>
      <c r="J73" s="5">
        <f>IF(LAVORAZIONI!Q241="","",LAVORAZIONI!Q241)</f>
        <v/>
      </c>
      <c r="K73" s="6">
        <f>IF(LAVORAZIONI!R241="","",LAVORAZIONI!R241)</f>
        <v/>
      </c>
      <c r="L73" s="13">
        <f>IF(LAVORAZIONI!S241="","",LAVORAZIONI!S241)</f>
        <v/>
      </c>
      <c r="M73" s="13">
        <f>LAVORAZIONI!T241</f>
        <v/>
      </c>
      <c r="O73" s="7">
        <f>LAVORAZIONI!U241</f>
        <v/>
      </c>
      <c r="P73" s="45">
        <f>LAVORAZIONI!V241</f>
        <v/>
      </c>
      <c r="Q73" s="7">
        <f>LAVORAZIONI!W241</f>
        <v/>
      </c>
      <c r="R73" s="6">
        <f>LAVORAZIONI!X241</f>
        <v/>
      </c>
      <c r="S73" s="7">
        <f>LAVORAZIONI!Y241</f>
        <v/>
      </c>
      <c r="T73" s="6">
        <f>LAVORAZIONI!Z241</f>
        <v/>
      </c>
      <c r="U73" s="7">
        <f>LAVORAZIONI!AA241</f>
        <v/>
      </c>
      <c r="V73" s="6">
        <f>LAVORAZIONI!AB241</f>
        <v/>
      </c>
      <c r="W73" s="7">
        <f>LAVORAZIONI!AC241</f>
        <v/>
      </c>
      <c r="X73" s="6">
        <f>LAVORAZIONI!AD241</f>
        <v/>
      </c>
      <c r="Y73" s="7">
        <f>LAVORAZIONI!AE241</f>
        <v/>
      </c>
      <c r="Z73" s="6">
        <f>LAVORAZIONI!AF241</f>
        <v/>
      </c>
      <c r="AA73" s="7">
        <f>LAVORAZIONI!AG241</f>
        <v/>
      </c>
      <c r="AB73" s="6">
        <f>LAVORAZIONI!AH241</f>
        <v/>
      </c>
      <c r="AC73" s="7">
        <f>LAVORAZIONI!AI241</f>
        <v/>
      </c>
      <c r="AD73" s="13">
        <f>LAVORAZIONI!AJ241</f>
        <v/>
      </c>
    </row>
    <row r="74" ht="75" customHeight="1" s="46">
      <c r="B74" s="4">
        <f>LAVORAZIONI!G242</f>
        <v/>
      </c>
      <c r="C74" s="3">
        <f>LAVORAZIONI!A242</f>
        <v/>
      </c>
      <c r="D74" s="3">
        <f>LAVORAZIONI!K242</f>
        <v/>
      </c>
      <c r="E74" s="4">
        <f>LAVORAZIONI!H242</f>
        <v/>
      </c>
      <c r="F74" s="4">
        <f>LAVORAZIONI!M242</f>
        <v/>
      </c>
      <c r="G74" s="5">
        <f>LAVORAZIONI!N242</f>
        <v/>
      </c>
      <c r="H74" s="6">
        <f>LAVORAZIONI!O242</f>
        <v/>
      </c>
      <c r="I74" s="13">
        <f>LAVORAZIONI!P242</f>
        <v/>
      </c>
      <c r="J74" s="5">
        <f>IF(LAVORAZIONI!Q242="","",LAVORAZIONI!Q242)</f>
        <v/>
      </c>
      <c r="K74" s="6">
        <f>IF(LAVORAZIONI!R242="","",LAVORAZIONI!R242)</f>
        <v/>
      </c>
      <c r="L74" s="13">
        <f>IF(LAVORAZIONI!S242="","",LAVORAZIONI!S242)</f>
        <v/>
      </c>
      <c r="M74" s="13">
        <f>LAVORAZIONI!T242</f>
        <v/>
      </c>
      <c r="O74" s="7">
        <f>LAVORAZIONI!U242</f>
        <v/>
      </c>
      <c r="P74" s="45">
        <f>LAVORAZIONI!V242</f>
        <v/>
      </c>
      <c r="Q74" s="7">
        <f>LAVORAZIONI!W242</f>
        <v/>
      </c>
      <c r="R74" s="6">
        <f>LAVORAZIONI!X242</f>
        <v/>
      </c>
      <c r="S74" s="7">
        <f>LAVORAZIONI!Y242</f>
        <v/>
      </c>
      <c r="T74" s="6">
        <f>LAVORAZIONI!Z242</f>
        <v/>
      </c>
      <c r="U74" s="7">
        <f>LAVORAZIONI!AA242</f>
        <v/>
      </c>
      <c r="V74" s="6">
        <f>LAVORAZIONI!AB242</f>
        <v/>
      </c>
      <c r="W74" s="7">
        <f>LAVORAZIONI!AC242</f>
        <v/>
      </c>
      <c r="X74" s="6">
        <f>LAVORAZIONI!AD242</f>
        <v/>
      </c>
      <c r="Y74" s="7">
        <f>LAVORAZIONI!AE242</f>
        <v/>
      </c>
      <c r="Z74" s="6">
        <f>LAVORAZIONI!AF242</f>
        <v/>
      </c>
      <c r="AA74" s="7">
        <f>LAVORAZIONI!AG242</f>
        <v/>
      </c>
      <c r="AB74" s="6">
        <f>LAVORAZIONI!AH242</f>
        <v/>
      </c>
      <c r="AC74" s="7">
        <f>LAVORAZIONI!AI242</f>
        <v/>
      </c>
      <c r="AD74" s="13">
        <f>LAVORAZIONI!AJ242</f>
        <v/>
      </c>
    </row>
    <row r="75" ht="75" customHeight="1" s="46">
      <c r="B75" s="4">
        <f>LAVORAZIONI!G243</f>
        <v/>
      </c>
      <c r="C75" s="3">
        <f>LAVORAZIONI!A243</f>
        <v/>
      </c>
      <c r="D75" s="3">
        <f>LAVORAZIONI!K243</f>
        <v/>
      </c>
      <c r="E75" s="4">
        <f>LAVORAZIONI!H243</f>
        <v/>
      </c>
      <c r="F75" s="4">
        <f>LAVORAZIONI!M243</f>
        <v/>
      </c>
      <c r="G75" s="5">
        <f>LAVORAZIONI!N243</f>
        <v/>
      </c>
      <c r="H75" s="6">
        <f>LAVORAZIONI!O243</f>
        <v/>
      </c>
      <c r="I75" s="13">
        <f>LAVORAZIONI!P243</f>
        <v/>
      </c>
      <c r="J75" s="5">
        <f>IF(LAVORAZIONI!Q243="","",LAVORAZIONI!Q243)</f>
        <v/>
      </c>
      <c r="K75" s="6">
        <f>IF(LAVORAZIONI!R243="","",LAVORAZIONI!R243)</f>
        <v/>
      </c>
      <c r="L75" s="13">
        <f>IF(LAVORAZIONI!S243="","",LAVORAZIONI!S243)</f>
        <v/>
      </c>
      <c r="M75" s="13">
        <f>LAVORAZIONI!T243</f>
        <v/>
      </c>
      <c r="O75" s="7">
        <f>LAVORAZIONI!U243</f>
        <v/>
      </c>
      <c r="P75" s="45">
        <f>LAVORAZIONI!V243</f>
        <v/>
      </c>
      <c r="Q75" s="7">
        <f>LAVORAZIONI!W243</f>
        <v/>
      </c>
      <c r="R75" s="6">
        <f>LAVORAZIONI!X243</f>
        <v/>
      </c>
      <c r="S75" s="7">
        <f>LAVORAZIONI!Y243</f>
        <v/>
      </c>
      <c r="T75" s="6">
        <f>LAVORAZIONI!Z243</f>
        <v/>
      </c>
      <c r="U75" s="7">
        <f>LAVORAZIONI!AA243</f>
        <v/>
      </c>
      <c r="V75" s="6">
        <f>LAVORAZIONI!AB243</f>
        <v/>
      </c>
      <c r="W75" s="7">
        <f>LAVORAZIONI!AC243</f>
        <v/>
      </c>
      <c r="X75" s="6">
        <f>LAVORAZIONI!AD243</f>
        <v/>
      </c>
      <c r="Y75" s="7">
        <f>LAVORAZIONI!AE243</f>
        <v/>
      </c>
      <c r="Z75" s="6">
        <f>LAVORAZIONI!AF243</f>
        <v/>
      </c>
      <c r="AA75" s="7">
        <f>LAVORAZIONI!AG243</f>
        <v/>
      </c>
      <c r="AB75" s="6">
        <f>LAVORAZIONI!AH243</f>
        <v/>
      </c>
      <c r="AC75" s="7">
        <f>LAVORAZIONI!AI243</f>
        <v/>
      </c>
      <c r="AD75" s="13">
        <f>LAVORAZIONI!AJ243</f>
        <v/>
      </c>
    </row>
    <row r="76" ht="75" customHeight="1" s="46">
      <c r="B76" s="4">
        <f>LAVORAZIONI!G244</f>
        <v/>
      </c>
      <c r="C76" s="3">
        <f>LAVORAZIONI!A244</f>
        <v/>
      </c>
      <c r="D76" s="3">
        <f>LAVORAZIONI!K244</f>
        <v/>
      </c>
      <c r="E76" s="4">
        <f>LAVORAZIONI!H244</f>
        <v/>
      </c>
      <c r="F76" s="4">
        <f>LAVORAZIONI!M244</f>
        <v/>
      </c>
      <c r="G76" s="5">
        <f>LAVORAZIONI!N244</f>
        <v/>
      </c>
      <c r="H76" s="6">
        <f>LAVORAZIONI!O244</f>
        <v/>
      </c>
      <c r="I76" s="13">
        <f>LAVORAZIONI!P244</f>
        <v/>
      </c>
      <c r="J76" s="5">
        <f>IF(LAVORAZIONI!Q244="","",LAVORAZIONI!Q244)</f>
        <v/>
      </c>
      <c r="K76" s="6">
        <f>IF(LAVORAZIONI!R244="","",LAVORAZIONI!R244)</f>
        <v/>
      </c>
      <c r="L76" s="13">
        <f>IF(LAVORAZIONI!S244="","",LAVORAZIONI!S244)</f>
        <v/>
      </c>
      <c r="M76" s="13">
        <f>LAVORAZIONI!T244</f>
        <v/>
      </c>
      <c r="O76" s="7">
        <f>LAVORAZIONI!U244</f>
        <v/>
      </c>
      <c r="P76" s="45">
        <f>LAVORAZIONI!V244</f>
        <v/>
      </c>
      <c r="Q76" s="7">
        <f>LAVORAZIONI!W244</f>
        <v/>
      </c>
      <c r="R76" s="6">
        <f>LAVORAZIONI!X244</f>
        <v/>
      </c>
      <c r="S76" s="7">
        <f>LAVORAZIONI!Y244</f>
        <v/>
      </c>
      <c r="T76" s="6">
        <f>LAVORAZIONI!Z244</f>
        <v/>
      </c>
      <c r="U76" s="7">
        <f>LAVORAZIONI!AA244</f>
        <v/>
      </c>
      <c r="V76" s="6">
        <f>LAVORAZIONI!AB244</f>
        <v/>
      </c>
      <c r="W76" s="7">
        <f>LAVORAZIONI!AC244</f>
        <v/>
      </c>
      <c r="X76" s="6">
        <f>LAVORAZIONI!AD244</f>
        <v/>
      </c>
      <c r="Y76" s="7">
        <f>LAVORAZIONI!AE244</f>
        <v/>
      </c>
      <c r="Z76" s="6">
        <f>LAVORAZIONI!AF244</f>
        <v/>
      </c>
      <c r="AA76" s="7">
        <f>LAVORAZIONI!AG244</f>
        <v/>
      </c>
      <c r="AB76" s="6">
        <f>LAVORAZIONI!AH244</f>
        <v/>
      </c>
      <c r="AC76" s="7">
        <f>LAVORAZIONI!AI244</f>
        <v/>
      </c>
      <c r="AD76" s="13">
        <f>LAVORAZIONI!AJ244</f>
        <v/>
      </c>
    </row>
    <row r="77" ht="75" customHeight="1" s="46">
      <c r="B77" s="4">
        <f>LAVORAZIONI!G245</f>
        <v/>
      </c>
      <c r="C77" s="3">
        <f>LAVORAZIONI!A245</f>
        <v/>
      </c>
      <c r="D77" s="3">
        <f>LAVORAZIONI!K245</f>
        <v/>
      </c>
      <c r="E77" s="4">
        <f>LAVORAZIONI!H245</f>
        <v/>
      </c>
      <c r="F77" s="4">
        <f>LAVORAZIONI!M245</f>
        <v/>
      </c>
      <c r="G77" s="5">
        <f>LAVORAZIONI!N245</f>
        <v/>
      </c>
      <c r="H77" s="6">
        <f>LAVORAZIONI!O245</f>
        <v/>
      </c>
      <c r="I77" s="13">
        <f>LAVORAZIONI!P245</f>
        <v/>
      </c>
      <c r="J77" s="5">
        <f>IF(LAVORAZIONI!Q245="","",LAVORAZIONI!Q245)</f>
        <v/>
      </c>
      <c r="K77" s="6">
        <f>IF(LAVORAZIONI!R245="","",LAVORAZIONI!R245)</f>
        <v/>
      </c>
      <c r="L77" s="13">
        <f>IF(LAVORAZIONI!S245="","",LAVORAZIONI!S245)</f>
        <v/>
      </c>
      <c r="M77" s="13">
        <f>LAVORAZIONI!T245</f>
        <v/>
      </c>
      <c r="O77" s="7">
        <f>LAVORAZIONI!U245</f>
        <v/>
      </c>
      <c r="P77" s="45">
        <f>LAVORAZIONI!V245</f>
        <v/>
      </c>
      <c r="Q77" s="7">
        <f>LAVORAZIONI!W245</f>
        <v/>
      </c>
      <c r="R77" s="6">
        <f>LAVORAZIONI!X245</f>
        <v/>
      </c>
      <c r="S77" s="7">
        <f>LAVORAZIONI!Y245</f>
        <v/>
      </c>
      <c r="T77" s="6">
        <f>LAVORAZIONI!Z245</f>
        <v/>
      </c>
      <c r="U77" s="7">
        <f>LAVORAZIONI!AA245</f>
        <v/>
      </c>
      <c r="V77" s="6">
        <f>LAVORAZIONI!AB245</f>
        <v/>
      </c>
      <c r="W77" s="7">
        <f>LAVORAZIONI!AC245</f>
        <v/>
      </c>
      <c r="X77" s="6">
        <f>LAVORAZIONI!AD245</f>
        <v/>
      </c>
      <c r="Y77" s="7">
        <f>LAVORAZIONI!AE245</f>
        <v/>
      </c>
      <c r="Z77" s="6">
        <f>LAVORAZIONI!AF245</f>
        <v/>
      </c>
      <c r="AA77" s="7">
        <f>LAVORAZIONI!AG245</f>
        <v/>
      </c>
      <c r="AB77" s="6">
        <f>LAVORAZIONI!AH245</f>
        <v/>
      </c>
      <c r="AC77" s="7">
        <f>LAVORAZIONI!AI245</f>
        <v/>
      </c>
      <c r="AD77" s="13">
        <f>LAVORAZIONI!AJ245</f>
        <v/>
      </c>
    </row>
    <row r="78" ht="75" customHeight="1" s="46">
      <c r="B78" s="4">
        <f>LAVORAZIONI!G246</f>
        <v/>
      </c>
      <c r="C78" s="3">
        <f>LAVORAZIONI!A246</f>
        <v/>
      </c>
      <c r="D78" s="3">
        <f>LAVORAZIONI!K246</f>
        <v/>
      </c>
      <c r="E78" s="4">
        <f>LAVORAZIONI!H246</f>
        <v/>
      </c>
      <c r="F78" s="4">
        <f>LAVORAZIONI!M246</f>
        <v/>
      </c>
      <c r="G78" s="5">
        <f>LAVORAZIONI!N246</f>
        <v/>
      </c>
      <c r="H78" s="6">
        <f>LAVORAZIONI!O246</f>
        <v/>
      </c>
      <c r="I78" s="13">
        <f>LAVORAZIONI!P246</f>
        <v/>
      </c>
      <c r="J78" s="5">
        <f>IF(LAVORAZIONI!Q246="","",LAVORAZIONI!Q246)</f>
        <v/>
      </c>
      <c r="K78" s="6">
        <f>IF(LAVORAZIONI!R246="","",LAVORAZIONI!R246)</f>
        <v/>
      </c>
      <c r="L78" s="13">
        <f>IF(LAVORAZIONI!S246="","",LAVORAZIONI!S246)</f>
        <v/>
      </c>
      <c r="M78" s="13">
        <f>LAVORAZIONI!T246</f>
        <v/>
      </c>
      <c r="O78" s="7">
        <f>LAVORAZIONI!U246</f>
        <v/>
      </c>
      <c r="P78" s="45">
        <f>LAVORAZIONI!V246</f>
        <v/>
      </c>
      <c r="Q78" s="7">
        <f>LAVORAZIONI!W246</f>
        <v/>
      </c>
      <c r="R78" s="6">
        <f>LAVORAZIONI!X246</f>
        <v/>
      </c>
      <c r="S78" s="7">
        <f>LAVORAZIONI!Y246</f>
        <v/>
      </c>
      <c r="T78" s="6">
        <f>LAVORAZIONI!Z246</f>
        <v/>
      </c>
      <c r="U78" s="7">
        <f>LAVORAZIONI!AA246</f>
        <v/>
      </c>
      <c r="V78" s="6">
        <f>LAVORAZIONI!AB246</f>
        <v/>
      </c>
      <c r="W78" s="7">
        <f>LAVORAZIONI!AC246</f>
        <v/>
      </c>
      <c r="X78" s="6">
        <f>LAVORAZIONI!AD246</f>
        <v/>
      </c>
      <c r="Y78" s="7">
        <f>LAVORAZIONI!AE246</f>
        <v/>
      </c>
      <c r="Z78" s="6">
        <f>LAVORAZIONI!AF246</f>
        <v/>
      </c>
      <c r="AA78" s="7">
        <f>LAVORAZIONI!AG246</f>
        <v/>
      </c>
      <c r="AB78" s="6">
        <f>LAVORAZIONI!AH246</f>
        <v/>
      </c>
      <c r="AC78" s="7">
        <f>LAVORAZIONI!AI246</f>
        <v/>
      </c>
      <c r="AD78" s="13">
        <f>LAVORAZIONI!AJ246</f>
        <v/>
      </c>
    </row>
    <row r="79" ht="75" customHeight="1" s="46">
      <c r="B79" s="4">
        <f>LAVORAZIONI!G247</f>
        <v/>
      </c>
      <c r="C79" s="3">
        <f>LAVORAZIONI!A247</f>
        <v/>
      </c>
      <c r="D79" s="3">
        <f>LAVORAZIONI!K247</f>
        <v/>
      </c>
      <c r="E79" s="4">
        <f>LAVORAZIONI!H247</f>
        <v/>
      </c>
      <c r="F79" s="4">
        <f>LAVORAZIONI!M247</f>
        <v/>
      </c>
      <c r="G79" s="5">
        <f>LAVORAZIONI!N247</f>
        <v/>
      </c>
      <c r="H79" s="6">
        <f>LAVORAZIONI!O247</f>
        <v/>
      </c>
      <c r="I79" s="13">
        <f>LAVORAZIONI!P247</f>
        <v/>
      </c>
      <c r="J79" s="5">
        <f>IF(LAVORAZIONI!Q247="","",LAVORAZIONI!Q247)</f>
        <v/>
      </c>
      <c r="K79" s="6">
        <f>IF(LAVORAZIONI!R247="","",LAVORAZIONI!R247)</f>
        <v/>
      </c>
      <c r="L79" s="13">
        <f>IF(LAVORAZIONI!S247="","",LAVORAZIONI!S247)</f>
        <v/>
      </c>
      <c r="M79" s="13">
        <f>LAVORAZIONI!T247</f>
        <v/>
      </c>
      <c r="O79" s="7">
        <f>LAVORAZIONI!U247</f>
        <v/>
      </c>
      <c r="P79" s="45">
        <f>LAVORAZIONI!V247</f>
        <v/>
      </c>
      <c r="Q79" s="7">
        <f>LAVORAZIONI!W247</f>
        <v/>
      </c>
      <c r="R79" s="6">
        <f>LAVORAZIONI!X247</f>
        <v/>
      </c>
      <c r="S79" s="7">
        <f>LAVORAZIONI!Y247</f>
        <v/>
      </c>
      <c r="T79" s="6">
        <f>LAVORAZIONI!Z247</f>
        <v/>
      </c>
      <c r="U79" s="7">
        <f>LAVORAZIONI!AA247</f>
        <v/>
      </c>
      <c r="V79" s="6">
        <f>LAVORAZIONI!AB247</f>
        <v/>
      </c>
      <c r="W79" s="7">
        <f>LAVORAZIONI!AC247</f>
        <v/>
      </c>
      <c r="X79" s="6">
        <f>LAVORAZIONI!AD247</f>
        <v/>
      </c>
      <c r="Y79" s="7">
        <f>LAVORAZIONI!AE247</f>
        <v/>
      </c>
      <c r="Z79" s="6">
        <f>LAVORAZIONI!AF247</f>
        <v/>
      </c>
      <c r="AA79" s="7">
        <f>LAVORAZIONI!AG247</f>
        <v/>
      </c>
      <c r="AB79" s="6">
        <f>LAVORAZIONI!AH247</f>
        <v/>
      </c>
      <c r="AC79" s="7">
        <f>LAVORAZIONI!AI247</f>
        <v/>
      </c>
      <c r="AD79" s="13">
        <f>LAVORAZIONI!AJ247</f>
        <v/>
      </c>
    </row>
    <row r="80" ht="75" customHeight="1" s="46">
      <c r="B80" s="4">
        <f>LAVORAZIONI!G248</f>
        <v/>
      </c>
      <c r="C80" s="3">
        <f>LAVORAZIONI!A248</f>
        <v/>
      </c>
      <c r="D80" s="3">
        <f>LAVORAZIONI!K248</f>
        <v/>
      </c>
      <c r="E80" s="4">
        <f>LAVORAZIONI!H248</f>
        <v/>
      </c>
      <c r="F80" s="4">
        <f>LAVORAZIONI!M248</f>
        <v/>
      </c>
      <c r="G80" s="5">
        <f>LAVORAZIONI!N248</f>
        <v/>
      </c>
      <c r="H80" s="6">
        <f>LAVORAZIONI!O248</f>
        <v/>
      </c>
      <c r="I80" s="13">
        <f>LAVORAZIONI!P248</f>
        <v/>
      </c>
      <c r="J80" s="5">
        <f>IF(LAVORAZIONI!Q248="","",LAVORAZIONI!Q248)</f>
        <v/>
      </c>
      <c r="K80" s="6">
        <f>IF(LAVORAZIONI!R248="","",LAVORAZIONI!R248)</f>
        <v/>
      </c>
      <c r="L80" s="13">
        <f>IF(LAVORAZIONI!S248="","",LAVORAZIONI!S248)</f>
        <v/>
      </c>
      <c r="M80" s="13">
        <f>LAVORAZIONI!T248</f>
        <v/>
      </c>
      <c r="O80" s="7">
        <f>LAVORAZIONI!U248</f>
        <v/>
      </c>
      <c r="P80" s="45">
        <f>LAVORAZIONI!V248</f>
        <v/>
      </c>
      <c r="Q80" s="7">
        <f>LAVORAZIONI!W248</f>
        <v/>
      </c>
      <c r="R80" s="6">
        <f>LAVORAZIONI!X248</f>
        <v/>
      </c>
      <c r="S80" s="7">
        <f>LAVORAZIONI!Y248</f>
        <v/>
      </c>
      <c r="T80" s="6">
        <f>LAVORAZIONI!Z248</f>
        <v/>
      </c>
      <c r="U80" s="7">
        <f>LAVORAZIONI!AA248</f>
        <v/>
      </c>
      <c r="V80" s="6">
        <f>LAVORAZIONI!AB248</f>
        <v/>
      </c>
      <c r="W80" s="7">
        <f>LAVORAZIONI!AC248</f>
        <v/>
      </c>
      <c r="X80" s="6">
        <f>LAVORAZIONI!AD248</f>
        <v/>
      </c>
      <c r="Y80" s="7">
        <f>LAVORAZIONI!AE248</f>
        <v/>
      </c>
      <c r="Z80" s="6">
        <f>LAVORAZIONI!AF248</f>
        <v/>
      </c>
      <c r="AA80" s="7">
        <f>LAVORAZIONI!AG248</f>
        <v/>
      </c>
      <c r="AB80" s="6">
        <f>LAVORAZIONI!AH248</f>
        <v/>
      </c>
      <c r="AC80" s="7">
        <f>LAVORAZIONI!AI248</f>
        <v/>
      </c>
      <c r="AD80" s="13">
        <f>LAVORAZIONI!AJ248</f>
        <v/>
      </c>
    </row>
    <row r="81" ht="75" customHeight="1" s="46">
      <c r="B81" s="4">
        <f>LAVORAZIONI!G249</f>
        <v/>
      </c>
      <c r="C81" s="3">
        <f>LAVORAZIONI!A249</f>
        <v/>
      </c>
      <c r="D81" s="3">
        <f>LAVORAZIONI!K249</f>
        <v/>
      </c>
      <c r="E81" s="4">
        <f>LAVORAZIONI!H249</f>
        <v/>
      </c>
      <c r="F81" s="4">
        <f>LAVORAZIONI!M249</f>
        <v/>
      </c>
      <c r="G81" s="5">
        <f>LAVORAZIONI!N249</f>
        <v/>
      </c>
      <c r="H81" s="6">
        <f>LAVORAZIONI!O249</f>
        <v/>
      </c>
      <c r="I81" s="13">
        <f>LAVORAZIONI!P249</f>
        <v/>
      </c>
      <c r="J81" s="5">
        <f>IF(LAVORAZIONI!Q249="","",LAVORAZIONI!Q249)</f>
        <v/>
      </c>
      <c r="K81" s="6">
        <f>IF(LAVORAZIONI!R249="","",LAVORAZIONI!R249)</f>
        <v/>
      </c>
      <c r="L81" s="13">
        <f>IF(LAVORAZIONI!S249="","",LAVORAZIONI!S249)</f>
        <v/>
      </c>
      <c r="M81" s="13">
        <f>LAVORAZIONI!T249</f>
        <v/>
      </c>
      <c r="O81" s="7">
        <f>LAVORAZIONI!U249</f>
        <v/>
      </c>
      <c r="P81" s="45">
        <f>LAVORAZIONI!V249</f>
        <v/>
      </c>
      <c r="Q81" s="7">
        <f>LAVORAZIONI!W249</f>
        <v/>
      </c>
      <c r="R81" s="6">
        <f>LAVORAZIONI!X249</f>
        <v/>
      </c>
      <c r="S81" s="7">
        <f>LAVORAZIONI!Y249</f>
        <v/>
      </c>
      <c r="T81" s="6">
        <f>LAVORAZIONI!Z249</f>
        <v/>
      </c>
      <c r="U81" s="7">
        <f>LAVORAZIONI!AA249</f>
        <v/>
      </c>
      <c r="V81" s="6">
        <f>LAVORAZIONI!AB249</f>
        <v/>
      </c>
      <c r="W81" s="7">
        <f>LAVORAZIONI!AC249</f>
        <v/>
      </c>
      <c r="X81" s="6">
        <f>LAVORAZIONI!AD249</f>
        <v/>
      </c>
      <c r="Y81" s="7">
        <f>LAVORAZIONI!AE249</f>
        <v/>
      </c>
      <c r="Z81" s="6">
        <f>LAVORAZIONI!AF249</f>
        <v/>
      </c>
      <c r="AA81" s="7">
        <f>LAVORAZIONI!AG249</f>
        <v/>
      </c>
      <c r="AB81" s="6">
        <f>LAVORAZIONI!AH249</f>
        <v/>
      </c>
      <c r="AC81" s="7">
        <f>LAVORAZIONI!AI249</f>
        <v/>
      </c>
      <c r="AD81" s="13">
        <f>LAVORAZIONI!AJ249</f>
        <v/>
      </c>
    </row>
    <row r="82" ht="75" customHeight="1" s="46">
      <c r="B82" s="4">
        <f>LAVORAZIONI!G250</f>
        <v/>
      </c>
      <c r="C82" s="3">
        <f>LAVORAZIONI!A250</f>
        <v/>
      </c>
      <c r="D82" s="3">
        <f>LAVORAZIONI!K250</f>
        <v/>
      </c>
      <c r="E82" s="4">
        <f>LAVORAZIONI!H250</f>
        <v/>
      </c>
      <c r="F82" s="4">
        <f>LAVORAZIONI!M250</f>
        <v/>
      </c>
      <c r="G82" s="5">
        <f>LAVORAZIONI!N250</f>
        <v/>
      </c>
      <c r="H82" s="6">
        <f>LAVORAZIONI!O250</f>
        <v/>
      </c>
      <c r="I82" s="13">
        <f>LAVORAZIONI!P250</f>
        <v/>
      </c>
      <c r="J82" s="5">
        <f>IF(LAVORAZIONI!Q250="","",LAVORAZIONI!Q250)</f>
        <v/>
      </c>
      <c r="K82" s="6">
        <f>IF(LAVORAZIONI!R250="","",LAVORAZIONI!R250)</f>
        <v/>
      </c>
      <c r="L82" s="13">
        <f>IF(LAVORAZIONI!S250="","",LAVORAZIONI!S250)</f>
        <v/>
      </c>
      <c r="M82" s="13">
        <f>LAVORAZIONI!T250</f>
        <v/>
      </c>
      <c r="O82" s="7">
        <f>LAVORAZIONI!U250</f>
        <v/>
      </c>
      <c r="P82" s="45">
        <f>LAVORAZIONI!V250</f>
        <v/>
      </c>
      <c r="Q82" s="7">
        <f>LAVORAZIONI!W250</f>
        <v/>
      </c>
      <c r="R82" s="6">
        <f>LAVORAZIONI!X250</f>
        <v/>
      </c>
      <c r="S82" s="7">
        <f>LAVORAZIONI!Y250</f>
        <v/>
      </c>
      <c r="T82" s="6">
        <f>LAVORAZIONI!Z250</f>
        <v/>
      </c>
      <c r="U82" s="7">
        <f>LAVORAZIONI!AA250</f>
        <v/>
      </c>
      <c r="V82" s="6">
        <f>LAVORAZIONI!AB250</f>
        <v/>
      </c>
      <c r="W82" s="7">
        <f>LAVORAZIONI!AC250</f>
        <v/>
      </c>
      <c r="X82" s="6">
        <f>LAVORAZIONI!AD250</f>
        <v/>
      </c>
      <c r="Y82" s="7">
        <f>LAVORAZIONI!AE250</f>
        <v/>
      </c>
      <c r="Z82" s="6">
        <f>LAVORAZIONI!AF250</f>
        <v/>
      </c>
      <c r="AA82" s="7">
        <f>LAVORAZIONI!AG250</f>
        <v/>
      </c>
      <c r="AB82" s="6">
        <f>LAVORAZIONI!AH250</f>
        <v/>
      </c>
      <c r="AC82" s="7">
        <f>LAVORAZIONI!AI250</f>
        <v/>
      </c>
      <c r="AD82" s="13">
        <f>LAVORAZIONI!AJ250</f>
        <v/>
      </c>
    </row>
    <row r="83" ht="75" customHeight="1" s="46">
      <c r="B83" s="4">
        <f>LAVORAZIONI!G251</f>
        <v/>
      </c>
      <c r="C83" s="3">
        <f>LAVORAZIONI!A251</f>
        <v/>
      </c>
      <c r="D83" s="3">
        <f>LAVORAZIONI!K251</f>
        <v/>
      </c>
      <c r="E83" s="4">
        <f>LAVORAZIONI!H251</f>
        <v/>
      </c>
      <c r="F83" s="4">
        <f>LAVORAZIONI!M251</f>
        <v/>
      </c>
      <c r="G83" s="5">
        <f>LAVORAZIONI!N251</f>
        <v/>
      </c>
      <c r="H83" s="6">
        <f>LAVORAZIONI!O251</f>
        <v/>
      </c>
      <c r="I83" s="13">
        <f>LAVORAZIONI!P251</f>
        <v/>
      </c>
      <c r="J83" s="5">
        <f>IF(LAVORAZIONI!Q251="","",LAVORAZIONI!Q251)</f>
        <v/>
      </c>
      <c r="K83" s="6">
        <f>IF(LAVORAZIONI!R251="","",LAVORAZIONI!R251)</f>
        <v/>
      </c>
      <c r="L83" s="13">
        <f>IF(LAVORAZIONI!S251="","",LAVORAZIONI!S251)</f>
        <v/>
      </c>
      <c r="M83" s="13">
        <f>LAVORAZIONI!T251</f>
        <v/>
      </c>
      <c r="O83" s="7">
        <f>LAVORAZIONI!U251</f>
        <v/>
      </c>
      <c r="P83" s="45">
        <f>LAVORAZIONI!V251</f>
        <v/>
      </c>
      <c r="Q83" s="7">
        <f>LAVORAZIONI!W251</f>
        <v/>
      </c>
      <c r="R83" s="6">
        <f>LAVORAZIONI!X251</f>
        <v/>
      </c>
      <c r="S83" s="7">
        <f>LAVORAZIONI!Y251</f>
        <v/>
      </c>
      <c r="T83" s="6">
        <f>LAVORAZIONI!Z251</f>
        <v/>
      </c>
      <c r="U83" s="7">
        <f>LAVORAZIONI!AA251</f>
        <v/>
      </c>
      <c r="V83" s="6">
        <f>LAVORAZIONI!AB251</f>
        <v/>
      </c>
      <c r="W83" s="7">
        <f>LAVORAZIONI!AC251</f>
        <v/>
      </c>
      <c r="X83" s="6">
        <f>LAVORAZIONI!AD251</f>
        <v/>
      </c>
      <c r="Y83" s="7">
        <f>LAVORAZIONI!AE251</f>
        <v/>
      </c>
      <c r="Z83" s="6">
        <f>LAVORAZIONI!AF251</f>
        <v/>
      </c>
      <c r="AA83" s="7">
        <f>LAVORAZIONI!AG251</f>
        <v/>
      </c>
      <c r="AB83" s="6">
        <f>LAVORAZIONI!AH251</f>
        <v/>
      </c>
      <c r="AC83" s="7">
        <f>LAVORAZIONI!AI251</f>
        <v/>
      </c>
      <c r="AD83" s="13">
        <f>LAVORAZIONI!AJ251</f>
        <v/>
      </c>
    </row>
    <row r="84" ht="75" customHeight="1" s="46">
      <c r="B84" s="4">
        <f>LAVORAZIONI!G252</f>
        <v/>
      </c>
      <c r="C84" s="3">
        <f>LAVORAZIONI!A252</f>
        <v/>
      </c>
      <c r="D84" s="3">
        <f>LAVORAZIONI!K252</f>
        <v/>
      </c>
      <c r="E84" s="4">
        <f>LAVORAZIONI!H252</f>
        <v/>
      </c>
      <c r="F84" s="4">
        <f>LAVORAZIONI!M252</f>
        <v/>
      </c>
      <c r="G84" s="5">
        <f>LAVORAZIONI!N252</f>
        <v/>
      </c>
      <c r="H84" s="6">
        <f>LAVORAZIONI!O252</f>
        <v/>
      </c>
      <c r="I84" s="13">
        <f>LAVORAZIONI!P252</f>
        <v/>
      </c>
      <c r="J84" s="5">
        <f>IF(LAVORAZIONI!Q252="","",LAVORAZIONI!Q252)</f>
        <v/>
      </c>
      <c r="K84" s="6">
        <f>IF(LAVORAZIONI!R252="","",LAVORAZIONI!R252)</f>
        <v/>
      </c>
      <c r="L84" s="13">
        <f>IF(LAVORAZIONI!S252="","",LAVORAZIONI!S252)</f>
        <v/>
      </c>
      <c r="M84" s="13">
        <f>LAVORAZIONI!T252</f>
        <v/>
      </c>
      <c r="O84" s="7">
        <f>LAVORAZIONI!U252</f>
        <v/>
      </c>
      <c r="P84" s="45">
        <f>LAVORAZIONI!V252</f>
        <v/>
      </c>
      <c r="Q84" s="7">
        <f>LAVORAZIONI!W252</f>
        <v/>
      </c>
      <c r="R84" s="6">
        <f>LAVORAZIONI!X252</f>
        <v/>
      </c>
      <c r="S84" s="7">
        <f>LAVORAZIONI!Y252</f>
        <v/>
      </c>
      <c r="T84" s="6">
        <f>LAVORAZIONI!Z252</f>
        <v/>
      </c>
      <c r="U84" s="7">
        <f>LAVORAZIONI!AA252</f>
        <v/>
      </c>
      <c r="V84" s="6">
        <f>LAVORAZIONI!AB252</f>
        <v/>
      </c>
      <c r="W84" s="7">
        <f>LAVORAZIONI!AC252</f>
        <v/>
      </c>
      <c r="X84" s="6">
        <f>LAVORAZIONI!AD252</f>
        <v/>
      </c>
      <c r="Y84" s="7">
        <f>LAVORAZIONI!AE252</f>
        <v/>
      </c>
      <c r="Z84" s="6">
        <f>LAVORAZIONI!AF252</f>
        <v/>
      </c>
      <c r="AA84" s="7">
        <f>LAVORAZIONI!AG252</f>
        <v/>
      </c>
      <c r="AB84" s="6">
        <f>LAVORAZIONI!AH252</f>
        <v/>
      </c>
      <c r="AC84" s="7">
        <f>LAVORAZIONI!AI252</f>
        <v/>
      </c>
      <c r="AD84" s="13">
        <f>LAVORAZIONI!AJ252</f>
        <v/>
      </c>
    </row>
    <row r="85" ht="75" customHeight="1" s="46">
      <c r="B85" s="4">
        <f>LAVORAZIONI!G253</f>
        <v/>
      </c>
      <c r="C85" s="3">
        <f>LAVORAZIONI!A253</f>
        <v/>
      </c>
      <c r="D85" s="3">
        <f>LAVORAZIONI!K253</f>
        <v/>
      </c>
      <c r="E85" s="4">
        <f>LAVORAZIONI!H253</f>
        <v/>
      </c>
      <c r="F85" s="4">
        <f>LAVORAZIONI!M253</f>
        <v/>
      </c>
      <c r="G85" s="5">
        <f>LAVORAZIONI!N253</f>
        <v/>
      </c>
      <c r="H85" s="6">
        <f>LAVORAZIONI!O253</f>
        <v/>
      </c>
      <c r="I85" s="13">
        <f>LAVORAZIONI!P253</f>
        <v/>
      </c>
      <c r="J85" s="5">
        <f>IF(LAVORAZIONI!Q253="","",LAVORAZIONI!Q253)</f>
        <v/>
      </c>
      <c r="K85" s="6">
        <f>IF(LAVORAZIONI!R253="","",LAVORAZIONI!R253)</f>
        <v/>
      </c>
      <c r="L85" s="13">
        <f>IF(LAVORAZIONI!S253="","",LAVORAZIONI!S253)</f>
        <v/>
      </c>
      <c r="M85" s="13">
        <f>LAVORAZIONI!T253</f>
        <v/>
      </c>
      <c r="O85" s="7">
        <f>LAVORAZIONI!U253</f>
        <v/>
      </c>
      <c r="P85" s="45">
        <f>LAVORAZIONI!V253</f>
        <v/>
      </c>
      <c r="Q85" s="7">
        <f>LAVORAZIONI!W253</f>
        <v/>
      </c>
      <c r="R85" s="6">
        <f>LAVORAZIONI!X253</f>
        <v/>
      </c>
      <c r="S85" s="7">
        <f>LAVORAZIONI!Y253</f>
        <v/>
      </c>
      <c r="T85" s="6">
        <f>LAVORAZIONI!Z253</f>
        <v/>
      </c>
      <c r="U85" s="7">
        <f>LAVORAZIONI!AA253</f>
        <v/>
      </c>
      <c r="V85" s="6">
        <f>LAVORAZIONI!AB253</f>
        <v/>
      </c>
      <c r="W85" s="7">
        <f>LAVORAZIONI!AC253</f>
        <v/>
      </c>
      <c r="X85" s="6">
        <f>LAVORAZIONI!AD253</f>
        <v/>
      </c>
      <c r="Y85" s="7">
        <f>LAVORAZIONI!AE253</f>
        <v/>
      </c>
      <c r="Z85" s="6">
        <f>LAVORAZIONI!AF253</f>
        <v/>
      </c>
      <c r="AA85" s="7">
        <f>LAVORAZIONI!AG253</f>
        <v/>
      </c>
      <c r="AB85" s="6">
        <f>LAVORAZIONI!AH253</f>
        <v/>
      </c>
      <c r="AC85" s="7">
        <f>LAVORAZIONI!AI253</f>
        <v/>
      </c>
      <c r="AD85" s="13">
        <f>LAVORAZIONI!AJ253</f>
        <v/>
      </c>
    </row>
    <row r="86" ht="75" customHeight="1" s="46">
      <c r="B86" s="4">
        <f>LAVORAZIONI!G254</f>
        <v/>
      </c>
      <c r="C86" s="3">
        <f>LAVORAZIONI!A254</f>
        <v/>
      </c>
      <c r="D86" s="3">
        <f>LAVORAZIONI!K254</f>
        <v/>
      </c>
      <c r="E86" s="4">
        <f>LAVORAZIONI!H254</f>
        <v/>
      </c>
      <c r="F86" s="4">
        <f>LAVORAZIONI!M254</f>
        <v/>
      </c>
      <c r="G86" s="5">
        <f>LAVORAZIONI!N254</f>
        <v/>
      </c>
      <c r="H86" s="6">
        <f>LAVORAZIONI!O254</f>
        <v/>
      </c>
      <c r="I86" s="13">
        <f>LAVORAZIONI!P254</f>
        <v/>
      </c>
      <c r="J86" s="5">
        <f>IF(LAVORAZIONI!Q254="","",LAVORAZIONI!Q254)</f>
        <v/>
      </c>
      <c r="K86" s="6">
        <f>IF(LAVORAZIONI!R254="","",LAVORAZIONI!R254)</f>
        <v/>
      </c>
      <c r="L86" s="13">
        <f>IF(LAVORAZIONI!S254="","",LAVORAZIONI!S254)</f>
        <v/>
      </c>
      <c r="M86" s="13">
        <f>LAVORAZIONI!T254</f>
        <v/>
      </c>
      <c r="O86" s="7">
        <f>LAVORAZIONI!U254</f>
        <v/>
      </c>
      <c r="P86" s="45">
        <f>LAVORAZIONI!V254</f>
        <v/>
      </c>
      <c r="Q86" s="7">
        <f>LAVORAZIONI!W254</f>
        <v/>
      </c>
      <c r="R86" s="6">
        <f>LAVORAZIONI!X254</f>
        <v/>
      </c>
      <c r="S86" s="7">
        <f>LAVORAZIONI!Y254</f>
        <v/>
      </c>
      <c r="T86" s="6">
        <f>LAVORAZIONI!Z254</f>
        <v/>
      </c>
      <c r="U86" s="7">
        <f>LAVORAZIONI!AA254</f>
        <v/>
      </c>
      <c r="V86" s="6">
        <f>LAVORAZIONI!AB254</f>
        <v/>
      </c>
      <c r="W86" s="7">
        <f>LAVORAZIONI!AC254</f>
        <v/>
      </c>
      <c r="X86" s="6">
        <f>LAVORAZIONI!AD254</f>
        <v/>
      </c>
      <c r="Y86" s="7">
        <f>LAVORAZIONI!AE254</f>
        <v/>
      </c>
      <c r="Z86" s="6">
        <f>LAVORAZIONI!AF254</f>
        <v/>
      </c>
      <c r="AA86" s="7">
        <f>LAVORAZIONI!AG254</f>
        <v/>
      </c>
      <c r="AB86" s="6">
        <f>LAVORAZIONI!AH254</f>
        <v/>
      </c>
      <c r="AC86" s="7">
        <f>LAVORAZIONI!AI254</f>
        <v/>
      </c>
      <c r="AD86" s="13">
        <f>LAVORAZIONI!AJ254</f>
        <v/>
      </c>
    </row>
    <row r="87" ht="75" customHeight="1" s="46">
      <c r="B87" s="4">
        <f>LAVORAZIONI!G255</f>
        <v/>
      </c>
      <c r="C87" s="3">
        <f>LAVORAZIONI!A255</f>
        <v/>
      </c>
      <c r="D87" s="3">
        <f>LAVORAZIONI!K255</f>
        <v/>
      </c>
      <c r="E87" s="4">
        <f>LAVORAZIONI!H255</f>
        <v/>
      </c>
      <c r="F87" s="4">
        <f>LAVORAZIONI!M255</f>
        <v/>
      </c>
      <c r="G87" s="5">
        <f>LAVORAZIONI!N255</f>
        <v/>
      </c>
      <c r="H87" s="6">
        <f>LAVORAZIONI!O255</f>
        <v/>
      </c>
      <c r="I87" s="13">
        <f>LAVORAZIONI!P255</f>
        <v/>
      </c>
      <c r="J87" s="5">
        <f>IF(LAVORAZIONI!Q255="","",LAVORAZIONI!Q255)</f>
        <v/>
      </c>
      <c r="K87" s="6">
        <f>IF(LAVORAZIONI!R255="","",LAVORAZIONI!R255)</f>
        <v/>
      </c>
      <c r="L87" s="13">
        <f>IF(LAVORAZIONI!S255="","",LAVORAZIONI!S255)</f>
        <v/>
      </c>
      <c r="M87" s="13">
        <f>LAVORAZIONI!T255</f>
        <v/>
      </c>
      <c r="O87" s="7">
        <f>LAVORAZIONI!U255</f>
        <v/>
      </c>
      <c r="P87" s="45">
        <f>LAVORAZIONI!V255</f>
        <v/>
      </c>
      <c r="Q87" s="7">
        <f>LAVORAZIONI!W255</f>
        <v/>
      </c>
      <c r="R87" s="6">
        <f>LAVORAZIONI!X255</f>
        <v/>
      </c>
      <c r="S87" s="7">
        <f>LAVORAZIONI!Y255</f>
        <v/>
      </c>
      <c r="T87" s="6">
        <f>LAVORAZIONI!Z255</f>
        <v/>
      </c>
      <c r="U87" s="7">
        <f>LAVORAZIONI!AA255</f>
        <v/>
      </c>
      <c r="V87" s="6">
        <f>LAVORAZIONI!AB255</f>
        <v/>
      </c>
      <c r="W87" s="7">
        <f>LAVORAZIONI!AC255</f>
        <v/>
      </c>
      <c r="X87" s="6">
        <f>LAVORAZIONI!AD255</f>
        <v/>
      </c>
      <c r="Y87" s="7">
        <f>LAVORAZIONI!AE255</f>
        <v/>
      </c>
      <c r="Z87" s="6">
        <f>LAVORAZIONI!AF255</f>
        <v/>
      </c>
      <c r="AA87" s="7">
        <f>LAVORAZIONI!AG255</f>
        <v/>
      </c>
      <c r="AB87" s="6">
        <f>LAVORAZIONI!AH255</f>
        <v/>
      </c>
      <c r="AC87" s="7">
        <f>LAVORAZIONI!AI255</f>
        <v/>
      </c>
      <c r="AD87" s="13">
        <f>LAVORAZIONI!AJ255</f>
        <v/>
      </c>
    </row>
    <row r="88" ht="75" customHeight="1" s="46">
      <c r="B88" s="4">
        <f>LAVORAZIONI!G256</f>
        <v/>
      </c>
      <c r="C88" s="3">
        <f>LAVORAZIONI!A256</f>
        <v/>
      </c>
      <c r="D88" s="3">
        <f>LAVORAZIONI!K256</f>
        <v/>
      </c>
      <c r="E88" s="4">
        <f>LAVORAZIONI!H256</f>
        <v/>
      </c>
      <c r="F88" s="4">
        <f>LAVORAZIONI!M256</f>
        <v/>
      </c>
      <c r="G88" s="5">
        <f>LAVORAZIONI!N256</f>
        <v/>
      </c>
      <c r="H88" s="6">
        <f>LAVORAZIONI!O256</f>
        <v/>
      </c>
      <c r="I88" s="13">
        <f>LAVORAZIONI!P256</f>
        <v/>
      </c>
      <c r="J88" s="5">
        <f>IF(LAVORAZIONI!Q256="","",LAVORAZIONI!Q256)</f>
        <v/>
      </c>
      <c r="K88" s="6">
        <f>IF(LAVORAZIONI!R256="","",LAVORAZIONI!R256)</f>
        <v/>
      </c>
      <c r="L88" s="13">
        <f>IF(LAVORAZIONI!S256="","",LAVORAZIONI!S256)</f>
        <v/>
      </c>
      <c r="M88" s="13">
        <f>LAVORAZIONI!T256</f>
        <v/>
      </c>
      <c r="O88" s="7">
        <f>LAVORAZIONI!U256</f>
        <v/>
      </c>
      <c r="P88" s="45">
        <f>LAVORAZIONI!V256</f>
        <v/>
      </c>
      <c r="Q88" s="7">
        <f>LAVORAZIONI!W256</f>
        <v/>
      </c>
      <c r="R88" s="6">
        <f>LAVORAZIONI!X256</f>
        <v/>
      </c>
      <c r="S88" s="7">
        <f>LAVORAZIONI!Y256</f>
        <v/>
      </c>
      <c r="T88" s="6">
        <f>LAVORAZIONI!Z256</f>
        <v/>
      </c>
      <c r="U88" s="7">
        <f>LAVORAZIONI!AA256</f>
        <v/>
      </c>
      <c r="V88" s="6">
        <f>LAVORAZIONI!AB256</f>
        <v/>
      </c>
      <c r="W88" s="7">
        <f>LAVORAZIONI!AC256</f>
        <v/>
      </c>
      <c r="X88" s="6">
        <f>LAVORAZIONI!AD256</f>
        <v/>
      </c>
      <c r="Y88" s="7">
        <f>LAVORAZIONI!AE256</f>
        <v/>
      </c>
      <c r="Z88" s="6">
        <f>LAVORAZIONI!AF256</f>
        <v/>
      </c>
      <c r="AA88" s="7">
        <f>LAVORAZIONI!AG256</f>
        <v/>
      </c>
      <c r="AB88" s="6">
        <f>LAVORAZIONI!AH256</f>
        <v/>
      </c>
      <c r="AC88" s="7">
        <f>LAVORAZIONI!AI256</f>
        <v/>
      </c>
      <c r="AD88" s="13">
        <f>LAVORAZIONI!AJ256</f>
        <v/>
      </c>
    </row>
    <row r="89" ht="39" customHeight="1" s="46">
      <c r="D89" s="14" t="inlineStr">
        <is>
          <t>TOTALE MECCANICHE</t>
        </is>
      </c>
      <c r="I89" s="10">
        <f>SUM(I4:I88)</f>
        <v/>
      </c>
      <c r="L89" s="10">
        <f>SUM(L4:L88)</f>
        <v/>
      </c>
      <c r="M89" s="10">
        <f>SUM(M4:M88)</f>
        <v/>
      </c>
      <c r="P89" s="28">
        <f>SUM(P4:P88)</f>
        <v/>
      </c>
      <c r="R89" s="10">
        <f>SUM(R4:R88)</f>
        <v/>
      </c>
      <c r="T89" s="10">
        <f>SUM(T4:T88)</f>
        <v/>
      </c>
      <c r="V89" s="10">
        <f>SUM(V4:V88)</f>
        <v/>
      </c>
      <c r="X89" s="10">
        <f>SUM(X4:X88)</f>
        <v/>
      </c>
      <c r="Z89" s="10">
        <f>SUM(Z4:Z88)</f>
        <v/>
      </c>
      <c r="AB89" s="10">
        <f>SUM(AB4:AB88)</f>
        <v/>
      </c>
      <c r="AD89" s="10">
        <f>SUM(AD4:AD88)</f>
        <v/>
      </c>
    </row>
    <row r="90" ht="75" customHeight="1" s="46">
      <c r="R90" s="29" t="n"/>
    </row>
  </sheetData>
  <mergeCells count="9">
    <mergeCell ref="O2:P2"/>
    <mergeCell ref="S2:T2"/>
    <mergeCell ref="Q2:R2"/>
    <mergeCell ref="W2:X2"/>
    <mergeCell ref="U2:V2"/>
    <mergeCell ref="AA2:AB2"/>
    <mergeCell ref="Y2:Z2"/>
    <mergeCell ref="AC2:AD2"/>
    <mergeCell ref="B1:L1"/>
  </mergeCells>
  <printOptions horizontalCentered="1" verticalCentered="1"/>
  <pageMargins left="0.75" right="0.75" top="1" bottom="1" header="0.511811023622047" footer="0.511811023622047"/>
  <pageSetup orientation="landscape" paperSize="9" scale="76" horizontalDpi="300" verticalDpi="300"/>
  <headerFooter>
    <oddHeader>&amp;C&amp;K000000SAL APRILE 26 OPERA MECCANICHE</oddHeader>
    <oddFooter>&amp;L&amp;C&amp;R</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B2:AD149"/>
  <sheetViews>
    <sheetView showGridLines="0" zoomScaleNormal="100" workbookViewId="0">
      <pane xSplit="6" ySplit="4" topLeftCell="I140" activePane="bottomRight" state="frozen"/>
      <selection pane="topRight" activeCell="G1" sqref="G1"/>
      <selection pane="bottomLeft" activeCell="A4" sqref="A4"/>
      <selection pane="bottomRight" activeCell="Q3" sqref="Q3:R3"/>
    </sheetView>
  </sheetViews>
  <sheetFormatPr baseColWidth="10" defaultColWidth="8.6640625" defaultRowHeight="64" customHeight="1"/>
  <cols>
    <col width="7" customWidth="1" style="46" min="2" max="2"/>
    <col width="22" customWidth="1" style="46" min="3" max="3"/>
    <col width="36" customWidth="1" style="46" min="4" max="4"/>
    <col width="16" customWidth="1" style="46" min="5" max="5"/>
    <col width="7" customWidth="1" style="46" min="6" max="6"/>
    <col width="9" customWidth="1" style="46" min="7" max="7"/>
    <col width="11" customWidth="1" style="46" min="8" max="8"/>
    <col width="13" customWidth="1" style="46" min="9" max="9"/>
    <col hidden="1" width="9" customWidth="1" style="46" min="10" max="10"/>
    <col hidden="1" width="11" customWidth="1" style="46" min="11" max="11"/>
    <col hidden="1" width="13" customWidth="1" style="46" min="12" max="12"/>
    <col width="13" customWidth="1" style="46" min="13" max="13"/>
    <col width="6" customWidth="1" style="46" min="15" max="15"/>
    <col width="12" customWidth="1" style="46" min="16" max="16"/>
    <col width="6" customWidth="1" style="46" min="17" max="17"/>
    <col width="12" customWidth="1" style="46" min="18" max="18"/>
    <col width="6" customWidth="1" style="46" min="19" max="19"/>
    <col width="12" customWidth="1" style="46" min="20" max="20"/>
    <col width="6" customWidth="1" style="46" min="21" max="21"/>
    <col width="12" customWidth="1" style="46" min="22" max="22"/>
    <col width="6" customWidth="1" style="46" min="23" max="23"/>
    <col width="12" customWidth="1" style="46" min="24" max="24"/>
    <col width="6" customWidth="1" style="46" min="25" max="25"/>
    <col width="12" customWidth="1" style="46" min="26" max="26"/>
    <col width="6" customWidth="1" style="46" min="27" max="27"/>
    <col width="12" customWidth="1" style="46" min="28" max="28"/>
    <col width="7" customWidth="1" style="46" min="29" max="29"/>
    <col width="13" customWidth="1" style="46" min="30" max="30"/>
  </cols>
  <sheetData>
    <row r="2" ht="64" customHeight="1" s="46">
      <c r="B2" s="39" t="inlineStr">
        <is>
          <t>DETTAGLIO SAL — OPERE MECCANICHE SPECIALI A SERVIZIO DELLE APPARECCHIATURE DI LABORATORIO</t>
        </is>
      </c>
      <c r="C2" s="34" t="n"/>
      <c r="D2" s="34" t="n"/>
      <c r="E2" s="34" t="n"/>
      <c r="F2" s="34" t="n"/>
      <c r="G2" s="34" t="n"/>
      <c r="H2" s="34" t="n"/>
      <c r="I2" s="34" t="n"/>
      <c r="J2" s="34" t="n"/>
      <c r="K2" s="34" t="n"/>
      <c r="L2" s="34" t="n"/>
      <c r="M2" s="22" t="n"/>
    </row>
    <row r="3" ht="64" customHeight="1" s="46">
      <c r="B3" s="31" t="inlineStr">
        <is>
          <t>Nr.Ord.</t>
        </is>
      </c>
      <c r="C3" s="31" t="inlineStr">
        <is>
          <t>TARIFFA</t>
        </is>
      </c>
      <c r="D3" s="31" t="inlineStr">
        <is>
          <t>DESIGNAZIONE</t>
        </is>
      </c>
      <c r="E3" s="31" t="inlineStr">
        <is>
          <t>STEP</t>
        </is>
      </c>
      <c r="F3" s="31" t="inlineStr">
        <is>
          <t>U.M.</t>
        </is>
      </c>
      <c r="G3" s="31" t="inlineStr">
        <is>
          <t>Q.tà PREV</t>
        </is>
      </c>
      <c r="H3" s="31" t="inlineStr">
        <is>
          <t>VAL.UNIT PREV</t>
        </is>
      </c>
      <c r="I3" s="31" t="inlineStr">
        <is>
          <t>TOTALE PREV</t>
        </is>
      </c>
      <c r="J3" s="31" t="inlineStr">
        <is>
          <t>Q.tà CONS</t>
        </is>
      </c>
      <c r="K3" s="31" t="inlineStr">
        <is>
          <t>VAL.UNIT CONS</t>
        </is>
      </c>
      <c r="L3" s="31" t="inlineStr">
        <is>
          <t>TOTALE CONS</t>
        </is>
      </c>
      <c r="M3" s="31" t="inlineStr">
        <is>
          <t>VALORE PER SAL</t>
        </is>
      </c>
      <c r="O3" s="35" t="inlineStr">
        <is>
          <t>SAL 01 APRILE</t>
        </is>
      </c>
      <c r="P3" s="32" t="n"/>
      <c r="Q3" s="51" t="inlineStr">
        <is>
          <t>SAL 02 MAGGIO</t>
        </is>
      </c>
      <c r="R3" s="32" t="n"/>
      <c r="S3" s="31" t="inlineStr">
        <is>
          <t>SAL 03 GIUGNO</t>
        </is>
      </c>
      <c r="T3" s="32" t="n"/>
      <c r="U3" s="31" t="inlineStr">
        <is>
          <t>SAL 04 LUGLIO</t>
        </is>
      </c>
      <c r="V3" s="32" t="n"/>
      <c r="W3" s="31" t="inlineStr">
        <is>
          <t>SAL 05 AGOSTO</t>
        </is>
      </c>
      <c r="X3" s="32" t="n"/>
      <c r="Y3" s="31" t="inlineStr">
        <is>
          <t>SAL 06 SETTEMBRE</t>
        </is>
      </c>
      <c r="Z3" s="32" t="n"/>
      <c r="AA3" s="31" t="inlineStr">
        <is>
          <t>SAL 07 OTTOBRE</t>
        </is>
      </c>
      <c r="AB3" s="32" t="n"/>
      <c r="AC3" s="31" t="inlineStr">
        <is>
          <t>TOTALE COMPL.</t>
        </is>
      </c>
      <c r="AD3" s="32" t="n"/>
    </row>
    <row r="4" ht="39" customHeight="1" s="46">
      <c r="O4" s="12" t="inlineStr">
        <is>
          <t>%</t>
        </is>
      </c>
      <c r="P4" s="26" t="inlineStr">
        <is>
          <t>TOTALE</t>
        </is>
      </c>
      <c r="Q4" s="12" t="inlineStr">
        <is>
          <t>%</t>
        </is>
      </c>
      <c r="R4" s="12" t="inlineStr">
        <is>
          <t>TOTALE</t>
        </is>
      </c>
      <c r="S4" s="12" t="inlineStr">
        <is>
          <t>%</t>
        </is>
      </c>
      <c r="T4" s="12" t="inlineStr">
        <is>
          <t>TOTALE</t>
        </is>
      </c>
      <c r="U4" s="12" t="inlineStr">
        <is>
          <t>%</t>
        </is>
      </c>
      <c r="V4" s="12" t="inlineStr">
        <is>
          <t>TOTALE</t>
        </is>
      </c>
      <c r="W4" s="12" t="inlineStr">
        <is>
          <t>%</t>
        </is>
      </c>
      <c r="X4" s="12" t="inlineStr">
        <is>
          <t>TOTALE</t>
        </is>
      </c>
      <c r="Y4" s="12" t="inlineStr">
        <is>
          <t>%</t>
        </is>
      </c>
      <c r="Z4" s="12" t="inlineStr">
        <is>
          <t>TOTALE</t>
        </is>
      </c>
      <c r="AA4" s="12" t="inlineStr">
        <is>
          <t>%</t>
        </is>
      </c>
      <c r="AB4" s="12" t="inlineStr">
        <is>
          <t>TOTALE</t>
        </is>
      </c>
      <c r="AC4" s="12" t="inlineStr">
        <is>
          <t>%</t>
        </is>
      </c>
      <c r="AD4" s="12" t="inlineStr">
        <is>
          <t>TOTALE</t>
        </is>
      </c>
    </row>
    <row r="5" ht="64" customHeight="1" s="46">
      <c r="B5" s="4">
        <f>LAVORAZIONI!G257</f>
        <v/>
      </c>
      <c r="C5" s="3">
        <f>LAVORAZIONI!A257</f>
        <v/>
      </c>
      <c r="D5" s="3">
        <f>LAVORAZIONI!K257</f>
        <v/>
      </c>
      <c r="E5" s="4">
        <f>LAVORAZIONI!H257</f>
        <v/>
      </c>
      <c r="F5" s="4">
        <f>LAVORAZIONI!M257</f>
        <v/>
      </c>
      <c r="G5" s="5">
        <f>LAVORAZIONI!N257</f>
        <v/>
      </c>
      <c r="H5" s="6">
        <f>LAVORAZIONI!O257</f>
        <v/>
      </c>
      <c r="I5" s="13">
        <f>LAVORAZIONI!P257</f>
        <v/>
      </c>
      <c r="J5" s="5">
        <f>IF(LAVORAZIONI!Q257="","",LAVORAZIONI!Q257)</f>
        <v/>
      </c>
      <c r="K5" s="6">
        <f>IF(LAVORAZIONI!R257="","",LAVORAZIONI!R257)</f>
        <v/>
      </c>
      <c r="L5" s="13">
        <f>IF(LAVORAZIONI!S257="","",LAVORAZIONI!S257)</f>
        <v/>
      </c>
      <c r="M5" s="13">
        <f>LAVORAZIONI!T257</f>
        <v/>
      </c>
      <c r="O5" s="7">
        <f>LAVORAZIONI!U257</f>
        <v/>
      </c>
      <c r="P5" s="45">
        <f>LAVORAZIONI!V257</f>
        <v/>
      </c>
      <c r="Q5" s="7">
        <f>LAVORAZIONI!W257</f>
        <v/>
      </c>
      <c r="R5" s="6">
        <f>LAVORAZIONI!X257</f>
        <v/>
      </c>
      <c r="S5" s="7">
        <f>LAVORAZIONI!Y257</f>
        <v/>
      </c>
      <c r="T5" s="6">
        <f>LAVORAZIONI!Z257</f>
        <v/>
      </c>
      <c r="U5" s="7">
        <f>LAVORAZIONI!AA257</f>
        <v/>
      </c>
      <c r="V5" s="6">
        <f>LAVORAZIONI!AB257</f>
        <v/>
      </c>
      <c r="W5" s="7">
        <f>LAVORAZIONI!AC257</f>
        <v/>
      </c>
      <c r="X5" s="6">
        <f>LAVORAZIONI!AD257</f>
        <v/>
      </c>
      <c r="Y5" s="7">
        <f>LAVORAZIONI!AE257</f>
        <v/>
      </c>
      <c r="Z5" s="6">
        <f>LAVORAZIONI!AF257</f>
        <v/>
      </c>
      <c r="AA5" s="7">
        <f>LAVORAZIONI!AG257</f>
        <v/>
      </c>
      <c r="AB5" s="6">
        <f>LAVORAZIONI!AH257</f>
        <v/>
      </c>
      <c r="AC5" s="7">
        <f>LAVORAZIONI!AI257</f>
        <v/>
      </c>
      <c r="AD5" s="13">
        <f>LAVORAZIONI!AJ257</f>
        <v/>
      </c>
    </row>
    <row r="6" ht="64" customHeight="1" s="46">
      <c r="B6" s="4">
        <f>LAVORAZIONI!G258</f>
        <v/>
      </c>
      <c r="C6" s="3">
        <f>LAVORAZIONI!A258</f>
        <v/>
      </c>
      <c r="D6" s="3">
        <f>LAVORAZIONI!K258</f>
        <v/>
      </c>
      <c r="E6" s="4">
        <f>LAVORAZIONI!H258</f>
        <v/>
      </c>
      <c r="F6" s="4">
        <f>LAVORAZIONI!M258</f>
        <v/>
      </c>
      <c r="G6" s="5">
        <f>LAVORAZIONI!N258</f>
        <v/>
      </c>
      <c r="H6" s="6">
        <f>LAVORAZIONI!O258</f>
        <v/>
      </c>
      <c r="I6" s="13">
        <f>LAVORAZIONI!P258</f>
        <v/>
      </c>
      <c r="J6" s="5">
        <f>IF(LAVORAZIONI!Q258="","",LAVORAZIONI!Q258)</f>
        <v/>
      </c>
      <c r="K6" s="6">
        <f>IF(LAVORAZIONI!R258="","",LAVORAZIONI!R258)</f>
        <v/>
      </c>
      <c r="L6" s="13">
        <f>IF(LAVORAZIONI!S258="","",LAVORAZIONI!S258)</f>
        <v/>
      </c>
      <c r="M6" s="13">
        <f>LAVORAZIONI!T258</f>
        <v/>
      </c>
      <c r="O6" s="7">
        <f>LAVORAZIONI!U258</f>
        <v/>
      </c>
      <c r="P6" s="45">
        <f>LAVORAZIONI!V258</f>
        <v/>
      </c>
      <c r="Q6" s="7">
        <f>LAVORAZIONI!W258</f>
        <v/>
      </c>
      <c r="R6" s="6">
        <f>LAVORAZIONI!X258</f>
        <v/>
      </c>
      <c r="S6" s="7">
        <f>LAVORAZIONI!Y258</f>
        <v/>
      </c>
      <c r="T6" s="6">
        <f>LAVORAZIONI!Z258</f>
        <v/>
      </c>
      <c r="U6" s="7">
        <f>LAVORAZIONI!AA258</f>
        <v/>
      </c>
      <c r="V6" s="6">
        <f>LAVORAZIONI!AB258</f>
        <v/>
      </c>
      <c r="W6" s="7">
        <f>LAVORAZIONI!AC258</f>
        <v/>
      </c>
      <c r="X6" s="6">
        <f>LAVORAZIONI!AD258</f>
        <v/>
      </c>
      <c r="Y6" s="7">
        <f>LAVORAZIONI!AE258</f>
        <v/>
      </c>
      <c r="Z6" s="6">
        <f>LAVORAZIONI!AF258</f>
        <v/>
      </c>
      <c r="AA6" s="7">
        <f>LAVORAZIONI!AG258</f>
        <v/>
      </c>
      <c r="AB6" s="6">
        <f>LAVORAZIONI!AH258</f>
        <v/>
      </c>
      <c r="AC6" s="7">
        <f>LAVORAZIONI!AI258</f>
        <v/>
      </c>
      <c r="AD6" s="13">
        <f>LAVORAZIONI!AJ258</f>
        <v/>
      </c>
    </row>
    <row r="7" ht="64" customHeight="1" s="46">
      <c r="B7" s="4">
        <f>LAVORAZIONI!G259</f>
        <v/>
      </c>
      <c r="C7" s="3">
        <f>LAVORAZIONI!A259</f>
        <v/>
      </c>
      <c r="D7" s="3">
        <f>LAVORAZIONI!K259</f>
        <v/>
      </c>
      <c r="E7" s="4">
        <f>LAVORAZIONI!H259</f>
        <v/>
      </c>
      <c r="F7" s="4">
        <f>LAVORAZIONI!M259</f>
        <v/>
      </c>
      <c r="G7" s="5">
        <f>LAVORAZIONI!N259</f>
        <v/>
      </c>
      <c r="H7" s="6">
        <f>LAVORAZIONI!O259</f>
        <v/>
      </c>
      <c r="I7" s="13">
        <f>LAVORAZIONI!P259</f>
        <v/>
      </c>
      <c r="J7" s="5">
        <f>IF(LAVORAZIONI!Q259="","",LAVORAZIONI!Q259)</f>
        <v/>
      </c>
      <c r="K7" s="6">
        <f>IF(LAVORAZIONI!R259="","",LAVORAZIONI!R259)</f>
        <v/>
      </c>
      <c r="L7" s="13">
        <f>IF(LAVORAZIONI!S259="","",LAVORAZIONI!S259)</f>
        <v/>
      </c>
      <c r="M7" s="13">
        <f>LAVORAZIONI!T259</f>
        <v/>
      </c>
      <c r="O7" s="7">
        <f>LAVORAZIONI!U259</f>
        <v/>
      </c>
      <c r="P7" s="45">
        <f>LAVORAZIONI!V259</f>
        <v/>
      </c>
      <c r="Q7" s="7">
        <f>LAVORAZIONI!W259</f>
        <v/>
      </c>
      <c r="R7" s="6">
        <f>LAVORAZIONI!X259</f>
        <v/>
      </c>
      <c r="S7" s="7">
        <f>LAVORAZIONI!Y259</f>
        <v/>
      </c>
      <c r="T7" s="6">
        <f>LAVORAZIONI!Z259</f>
        <v/>
      </c>
      <c r="U7" s="7">
        <f>LAVORAZIONI!AA259</f>
        <v/>
      </c>
      <c r="V7" s="6">
        <f>LAVORAZIONI!AB259</f>
        <v/>
      </c>
      <c r="W7" s="7">
        <f>LAVORAZIONI!AC259</f>
        <v/>
      </c>
      <c r="X7" s="6">
        <f>LAVORAZIONI!AD259</f>
        <v/>
      </c>
      <c r="Y7" s="7">
        <f>LAVORAZIONI!AE259</f>
        <v/>
      </c>
      <c r="Z7" s="6">
        <f>LAVORAZIONI!AF259</f>
        <v/>
      </c>
      <c r="AA7" s="7">
        <f>LAVORAZIONI!AG259</f>
        <v/>
      </c>
      <c r="AB7" s="6">
        <f>LAVORAZIONI!AH259</f>
        <v/>
      </c>
      <c r="AC7" s="7">
        <f>LAVORAZIONI!AI259</f>
        <v/>
      </c>
      <c r="AD7" s="13">
        <f>LAVORAZIONI!AJ259</f>
        <v/>
      </c>
    </row>
    <row r="8" ht="64" customHeight="1" s="46">
      <c r="B8" s="4">
        <f>LAVORAZIONI!G260</f>
        <v/>
      </c>
      <c r="C8" s="3">
        <f>LAVORAZIONI!A260</f>
        <v/>
      </c>
      <c r="D8" s="3">
        <f>LAVORAZIONI!K260</f>
        <v/>
      </c>
      <c r="E8" s="4">
        <f>LAVORAZIONI!H260</f>
        <v/>
      </c>
      <c r="F8" s="4">
        <f>LAVORAZIONI!M260</f>
        <v/>
      </c>
      <c r="G8" s="5">
        <f>LAVORAZIONI!N260</f>
        <v/>
      </c>
      <c r="H8" s="6">
        <f>LAVORAZIONI!O260</f>
        <v/>
      </c>
      <c r="I8" s="13">
        <f>LAVORAZIONI!P260</f>
        <v/>
      </c>
      <c r="J8" s="5">
        <f>IF(LAVORAZIONI!Q260="","",LAVORAZIONI!Q260)</f>
        <v/>
      </c>
      <c r="K8" s="6">
        <f>IF(LAVORAZIONI!R260="","",LAVORAZIONI!R260)</f>
        <v/>
      </c>
      <c r="L8" s="13">
        <f>IF(LAVORAZIONI!S260="","",LAVORAZIONI!S260)</f>
        <v/>
      </c>
      <c r="M8" s="13">
        <f>LAVORAZIONI!T260</f>
        <v/>
      </c>
      <c r="O8" s="7">
        <f>LAVORAZIONI!U260</f>
        <v/>
      </c>
      <c r="P8" s="45">
        <f>LAVORAZIONI!V260</f>
        <v/>
      </c>
      <c r="Q8" s="7">
        <f>LAVORAZIONI!W260</f>
        <v/>
      </c>
      <c r="R8" s="6">
        <f>LAVORAZIONI!X260</f>
        <v/>
      </c>
      <c r="S8" s="7">
        <f>LAVORAZIONI!Y260</f>
        <v/>
      </c>
      <c r="T8" s="6">
        <f>LAVORAZIONI!Z260</f>
        <v/>
      </c>
      <c r="U8" s="7">
        <f>LAVORAZIONI!AA260</f>
        <v/>
      </c>
      <c r="V8" s="6">
        <f>LAVORAZIONI!AB260</f>
        <v/>
      </c>
      <c r="W8" s="7">
        <f>LAVORAZIONI!AC260</f>
        <v/>
      </c>
      <c r="X8" s="6">
        <f>LAVORAZIONI!AD260</f>
        <v/>
      </c>
      <c r="Y8" s="7">
        <f>LAVORAZIONI!AE260</f>
        <v/>
      </c>
      <c r="Z8" s="6">
        <f>LAVORAZIONI!AF260</f>
        <v/>
      </c>
      <c r="AA8" s="7">
        <f>LAVORAZIONI!AG260</f>
        <v/>
      </c>
      <c r="AB8" s="6">
        <f>LAVORAZIONI!AH260</f>
        <v/>
      </c>
      <c r="AC8" s="7">
        <f>LAVORAZIONI!AI260</f>
        <v/>
      </c>
      <c r="AD8" s="13">
        <f>LAVORAZIONI!AJ260</f>
        <v/>
      </c>
    </row>
    <row r="9" ht="64" customHeight="1" s="46">
      <c r="B9" s="4">
        <f>LAVORAZIONI!G261</f>
        <v/>
      </c>
      <c r="C9" s="3">
        <f>LAVORAZIONI!A261</f>
        <v/>
      </c>
      <c r="D9" s="3">
        <f>LAVORAZIONI!K261</f>
        <v/>
      </c>
      <c r="E9" s="4">
        <f>LAVORAZIONI!H261</f>
        <v/>
      </c>
      <c r="F9" s="4">
        <f>LAVORAZIONI!M261</f>
        <v/>
      </c>
      <c r="G9" s="5">
        <f>LAVORAZIONI!N261</f>
        <v/>
      </c>
      <c r="H9" s="6">
        <f>LAVORAZIONI!O261</f>
        <v/>
      </c>
      <c r="I9" s="13">
        <f>LAVORAZIONI!P261</f>
        <v/>
      </c>
      <c r="J9" s="5">
        <f>IF(LAVORAZIONI!Q261="","",LAVORAZIONI!Q261)</f>
        <v/>
      </c>
      <c r="K9" s="6">
        <f>IF(LAVORAZIONI!R261="","",LAVORAZIONI!R261)</f>
        <v/>
      </c>
      <c r="L9" s="13">
        <f>IF(LAVORAZIONI!S261="","",LAVORAZIONI!S261)</f>
        <v/>
      </c>
      <c r="M9" s="13">
        <f>LAVORAZIONI!T261</f>
        <v/>
      </c>
      <c r="O9" s="7">
        <f>LAVORAZIONI!U261</f>
        <v/>
      </c>
      <c r="P9" s="45">
        <f>LAVORAZIONI!V261</f>
        <v/>
      </c>
      <c r="Q9" s="7">
        <f>LAVORAZIONI!W261</f>
        <v/>
      </c>
      <c r="R9" s="6">
        <f>LAVORAZIONI!X261</f>
        <v/>
      </c>
      <c r="S9" s="7">
        <f>LAVORAZIONI!Y261</f>
        <v/>
      </c>
      <c r="T9" s="6">
        <f>LAVORAZIONI!Z261</f>
        <v/>
      </c>
      <c r="U9" s="7">
        <f>LAVORAZIONI!AA261</f>
        <v/>
      </c>
      <c r="V9" s="6">
        <f>LAVORAZIONI!AB261</f>
        <v/>
      </c>
      <c r="W9" s="7">
        <f>LAVORAZIONI!AC261</f>
        <v/>
      </c>
      <c r="X9" s="6">
        <f>LAVORAZIONI!AD261</f>
        <v/>
      </c>
      <c r="Y9" s="7">
        <f>LAVORAZIONI!AE261</f>
        <v/>
      </c>
      <c r="Z9" s="6">
        <f>LAVORAZIONI!AF261</f>
        <v/>
      </c>
      <c r="AA9" s="7">
        <f>LAVORAZIONI!AG261</f>
        <v/>
      </c>
      <c r="AB9" s="6">
        <f>LAVORAZIONI!AH261</f>
        <v/>
      </c>
      <c r="AC9" s="7">
        <f>LAVORAZIONI!AI261</f>
        <v/>
      </c>
      <c r="AD9" s="13">
        <f>LAVORAZIONI!AJ261</f>
        <v/>
      </c>
    </row>
    <row r="10" ht="64" customHeight="1" s="46">
      <c r="B10" s="4">
        <f>LAVORAZIONI!G262</f>
        <v/>
      </c>
      <c r="C10" s="3">
        <f>LAVORAZIONI!A262</f>
        <v/>
      </c>
      <c r="D10" s="3">
        <f>LAVORAZIONI!K262</f>
        <v/>
      </c>
      <c r="E10" s="4">
        <f>LAVORAZIONI!H262</f>
        <v/>
      </c>
      <c r="F10" s="4">
        <f>LAVORAZIONI!M262</f>
        <v/>
      </c>
      <c r="G10" s="5">
        <f>LAVORAZIONI!N262</f>
        <v/>
      </c>
      <c r="H10" s="6">
        <f>LAVORAZIONI!O262</f>
        <v/>
      </c>
      <c r="I10" s="13">
        <f>LAVORAZIONI!P262</f>
        <v/>
      </c>
      <c r="J10" s="5">
        <f>IF(LAVORAZIONI!Q262="","",LAVORAZIONI!Q262)</f>
        <v/>
      </c>
      <c r="K10" s="6">
        <f>IF(LAVORAZIONI!R262="","",LAVORAZIONI!R262)</f>
        <v/>
      </c>
      <c r="L10" s="13">
        <f>IF(LAVORAZIONI!S262="","",LAVORAZIONI!S262)</f>
        <v/>
      </c>
      <c r="M10" s="13">
        <f>LAVORAZIONI!T262</f>
        <v/>
      </c>
      <c r="O10" s="7">
        <f>LAVORAZIONI!U262</f>
        <v/>
      </c>
      <c r="P10" s="45">
        <f>LAVORAZIONI!V262</f>
        <v/>
      </c>
      <c r="Q10" s="7">
        <f>LAVORAZIONI!W262</f>
        <v/>
      </c>
      <c r="R10" s="6">
        <f>LAVORAZIONI!X262</f>
        <v/>
      </c>
      <c r="S10" s="7">
        <f>LAVORAZIONI!Y262</f>
        <v/>
      </c>
      <c r="T10" s="6">
        <f>LAVORAZIONI!Z262</f>
        <v/>
      </c>
      <c r="U10" s="7">
        <f>LAVORAZIONI!AA262</f>
        <v/>
      </c>
      <c r="V10" s="6">
        <f>LAVORAZIONI!AB262</f>
        <v/>
      </c>
      <c r="W10" s="7">
        <f>LAVORAZIONI!AC262</f>
        <v/>
      </c>
      <c r="X10" s="6">
        <f>LAVORAZIONI!AD262</f>
        <v/>
      </c>
      <c r="Y10" s="7">
        <f>LAVORAZIONI!AE262</f>
        <v/>
      </c>
      <c r="Z10" s="6">
        <f>LAVORAZIONI!AF262</f>
        <v/>
      </c>
      <c r="AA10" s="7">
        <f>LAVORAZIONI!AG262</f>
        <v/>
      </c>
      <c r="AB10" s="6">
        <f>LAVORAZIONI!AH262</f>
        <v/>
      </c>
      <c r="AC10" s="7">
        <f>LAVORAZIONI!AI262</f>
        <v/>
      </c>
      <c r="AD10" s="13">
        <f>LAVORAZIONI!AJ262</f>
        <v/>
      </c>
    </row>
    <row r="11" ht="64" customHeight="1" s="46">
      <c r="B11" s="4">
        <f>LAVORAZIONI!G263</f>
        <v/>
      </c>
      <c r="C11" s="3">
        <f>LAVORAZIONI!A263</f>
        <v/>
      </c>
      <c r="D11" s="3">
        <f>LAVORAZIONI!K263</f>
        <v/>
      </c>
      <c r="E11" s="4">
        <f>LAVORAZIONI!H263</f>
        <v/>
      </c>
      <c r="F11" s="4">
        <f>LAVORAZIONI!M263</f>
        <v/>
      </c>
      <c r="G11" s="5">
        <f>LAVORAZIONI!N263</f>
        <v/>
      </c>
      <c r="H11" s="6">
        <f>LAVORAZIONI!O263</f>
        <v/>
      </c>
      <c r="I11" s="13">
        <f>LAVORAZIONI!P263</f>
        <v/>
      </c>
      <c r="J11" s="5">
        <f>IF(LAVORAZIONI!Q263="","",LAVORAZIONI!Q263)</f>
        <v/>
      </c>
      <c r="K11" s="6">
        <f>IF(LAVORAZIONI!R263="","",LAVORAZIONI!R263)</f>
        <v/>
      </c>
      <c r="L11" s="13">
        <f>IF(LAVORAZIONI!S263="","",LAVORAZIONI!S263)</f>
        <v/>
      </c>
      <c r="M11" s="13">
        <f>LAVORAZIONI!T263</f>
        <v/>
      </c>
      <c r="O11" s="7">
        <f>LAVORAZIONI!U263</f>
        <v/>
      </c>
      <c r="P11" s="45">
        <f>LAVORAZIONI!V263</f>
        <v/>
      </c>
      <c r="Q11" s="7">
        <f>LAVORAZIONI!W263</f>
        <v/>
      </c>
      <c r="R11" s="6">
        <f>LAVORAZIONI!X263</f>
        <v/>
      </c>
      <c r="S11" s="7">
        <f>LAVORAZIONI!Y263</f>
        <v/>
      </c>
      <c r="T11" s="6">
        <f>LAVORAZIONI!Z263</f>
        <v/>
      </c>
      <c r="U11" s="7">
        <f>LAVORAZIONI!AA263</f>
        <v/>
      </c>
      <c r="V11" s="6">
        <f>LAVORAZIONI!AB263</f>
        <v/>
      </c>
      <c r="W11" s="7">
        <f>LAVORAZIONI!AC263</f>
        <v/>
      </c>
      <c r="X11" s="6">
        <f>LAVORAZIONI!AD263</f>
        <v/>
      </c>
      <c r="Y11" s="7">
        <f>LAVORAZIONI!AE263</f>
        <v/>
      </c>
      <c r="Z11" s="6">
        <f>LAVORAZIONI!AF263</f>
        <v/>
      </c>
      <c r="AA11" s="7">
        <f>LAVORAZIONI!AG263</f>
        <v/>
      </c>
      <c r="AB11" s="6">
        <f>LAVORAZIONI!AH263</f>
        <v/>
      </c>
      <c r="AC11" s="7">
        <f>LAVORAZIONI!AI263</f>
        <v/>
      </c>
      <c r="AD11" s="13">
        <f>LAVORAZIONI!AJ263</f>
        <v/>
      </c>
    </row>
    <row r="12" ht="64" customHeight="1" s="46">
      <c r="B12" s="4">
        <f>LAVORAZIONI!G264</f>
        <v/>
      </c>
      <c r="C12" s="3">
        <f>LAVORAZIONI!A264</f>
        <v/>
      </c>
      <c r="D12" s="3">
        <f>LAVORAZIONI!K264</f>
        <v/>
      </c>
      <c r="E12" s="4">
        <f>LAVORAZIONI!H264</f>
        <v/>
      </c>
      <c r="F12" s="4">
        <f>LAVORAZIONI!M264</f>
        <v/>
      </c>
      <c r="G12" s="5">
        <f>LAVORAZIONI!N264</f>
        <v/>
      </c>
      <c r="H12" s="6">
        <f>LAVORAZIONI!O264</f>
        <v/>
      </c>
      <c r="I12" s="13">
        <f>LAVORAZIONI!P264</f>
        <v/>
      </c>
      <c r="J12" s="5">
        <f>IF(LAVORAZIONI!Q264="","",LAVORAZIONI!Q264)</f>
        <v/>
      </c>
      <c r="K12" s="6">
        <f>IF(LAVORAZIONI!R264="","",LAVORAZIONI!R264)</f>
        <v/>
      </c>
      <c r="L12" s="13">
        <f>IF(LAVORAZIONI!S264="","",LAVORAZIONI!S264)</f>
        <v/>
      </c>
      <c r="M12" s="13">
        <f>LAVORAZIONI!T264</f>
        <v/>
      </c>
      <c r="O12" s="7">
        <f>LAVORAZIONI!U264</f>
        <v/>
      </c>
      <c r="P12" s="45">
        <f>LAVORAZIONI!V264</f>
        <v/>
      </c>
      <c r="Q12" s="7">
        <f>LAVORAZIONI!W264</f>
        <v/>
      </c>
      <c r="R12" s="6">
        <f>LAVORAZIONI!X264</f>
        <v/>
      </c>
      <c r="S12" s="7">
        <f>LAVORAZIONI!Y264</f>
        <v/>
      </c>
      <c r="T12" s="6">
        <f>LAVORAZIONI!Z264</f>
        <v/>
      </c>
      <c r="U12" s="7">
        <f>LAVORAZIONI!AA264</f>
        <v/>
      </c>
      <c r="V12" s="6">
        <f>LAVORAZIONI!AB264</f>
        <v/>
      </c>
      <c r="W12" s="7">
        <f>LAVORAZIONI!AC264</f>
        <v/>
      </c>
      <c r="X12" s="6">
        <f>LAVORAZIONI!AD264</f>
        <v/>
      </c>
      <c r="Y12" s="7">
        <f>LAVORAZIONI!AE264</f>
        <v/>
      </c>
      <c r="Z12" s="6">
        <f>LAVORAZIONI!AF264</f>
        <v/>
      </c>
      <c r="AA12" s="7">
        <f>LAVORAZIONI!AG264</f>
        <v/>
      </c>
      <c r="AB12" s="6">
        <f>LAVORAZIONI!AH264</f>
        <v/>
      </c>
      <c r="AC12" s="7">
        <f>LAVORAZIONI!AI264</f>
        <v/>
      </c>
      <c r="AD12" s="13">
        <f>LAVORAZIONI!AJ264</f>
        <v/>
      </c>
    </row>
    <row r="13" ht="64" customHeight="1" s="46">
      <c r="B13" s="4">
        <f>LAVORAZIONI!G265</f>
        <v/>
      </c>
      <c r="C13" s="3">
        <f>LAVORAZIONI!A265</f>
        <v/>
      </c>
      <c r="D13" s="3">
        <f>LAVORAZIONI!K265</f>
        <v/>
      </c>
      <c r="E13" s="4">
        <f>LAVORAZIONI!H265</f>
        <v/>
      </c>
      <c r="F13" s="4">
        <f>LAVORAZIONI!M265</f>
        <v/>
      </c>
      <c r="G13" s="5">
        <f>LAVORAZIONI!N265</f>
        <v/>
      </c>
      <c r="H13" s="6">
        <f>LAVORAZIONI!O265</f>
        <v/>
      </c>
      <c r="I13" s="13">
        <f>LAVORAZIONI!P265</f>
        <v/>
      </c>
      <c r="J13" s="5">
        <f>IF(LAVORAZIONI!Q265="","",LAVORAZIONI!Q265)</f>
        <v/>
      </c>
      <c r="K13" s="6">
        <f>IF(LAVORAZIONI!R265="","",LAVORAZIONI!R265)</f>
        <v/>
      </c>
      <c r="L13" s="13">
        <f>IF(LAVORAZIONI!S265="","",LAVORAZIONI!S265)</f>
        <v/>
      </c>
      <c r="M13" s="13">
        <f>LAVORAZIONI!T265</f>
        <v/>
      </c>
      <c r="O13" s="7">
        <f>LAVORAZIONI!U265</f>
        <v/>
      </c>
      <c r="P13" s="45">
        <f>LAVORAZIONI!V265</f>
        <v/>
      </c>
      <c r="Q13" s="7">
        <f>LAVORAZIONI!W265</f>
        <v/>
      </c>
      <c r="R13" s="6">
        <f>LAVORAZIONI!X265</f>
        <v/>
      </c>
      <c r="S13" s="7">
        <f>LAVORAZIONI!Y265</f>
        <v/>
      </c>
      <c r="T13" s="6">
        <f>LAVORAZIONI!Z265</f>
        <v/>
      </c>
      <c r="U13" s="7">
        <f>LAVORAZIONI!AA265</f>
        <v/>
      </c>
      <c r="V13" s="6">
        <f>LAVORAZIONI!AB265</f>
        <v/>
      </c>
      <c r="W13" s="7">
        <f>LAVORAZIONI!AC265</f>
        <v/>
      </c>
      <c r="X13" s="6">
        <f>LAVORAZIONI!AD265</f>
        <v/>
      </c>
      <c r="Y13" s="7">
        <f>LAVORAZIONI!AE265</f>
        <v/>
      </c>
      <c r="Z13" s="6">
        <f>LAVORAZIONI!AF265</f>
        <v/>
      </c>
      <c r="AA13" s="7">
        <f>LAVORAZIONI!AG265</f>
        <v/>
      </c>
      <c r="AB13" s="6">
        <f>LAVORAZIONI!AH265</f>
        <v/>
      </c>
      <c r="AC13" s="7">
        <f>LAVORAZIONI!AI265</f>
        <v/>
      </c>
      <c r="AD13" s="13">
        <f>LAVORAZIONI!AJ265</f>
        <v/>
      </c>
    </row>
    <row r="14" ht="64" customHeight="1" s="46">
      <c r="B14" s="4">
        <f>LAVORAZIONI!G266</f>
        <v/>
      </c>
      <c r="C14" s="3">
        <f>LAVORAZIONI!A266</f>
        <v/>
      </c>
      <c r="D14" s="3">
        <f>LAVORAZIONI!K266</f>
        <v/>
      </c>
      <c r="E14" s="4">
        <f>LAVORAZIONI!H266</f>
        <v/>
      </c>
      <c r="F14" s="4">
        <f>LAVORAZIONI!M266</f>
        <v/>
      </c>
      <c r="G14" s="5">
        <f>LAVORAZIONI!N266</f>
        <v/>
      </c>
      <c r="H14" s="6">
        <f>LAVORAZIONI!O266</f>
        <v/>
      </c>
      <c r="I14" s="13">
        <f>LAVORAZIONI!P266</f>
        <v/>
      </c>
      <c r="J14" s="5">
        <f>IF(LAVORAZIONI!Q266="","",LAVORAZIONI!Q266)</f>
        <v/>
      </c>
      <c r="K14" s="6">
        <f>IF(LAVORAZIONI!R266="","",LAVORAZIONI!R266)</f>
        <v/>
      </c>
      <c r="L14" s="13">
        <f>IF(LAVORAZIONI!S266="","",LAVORAZIONI!S266)</f>
        <v/>
      </c>
      <c r="M14" s="13">
        <f>LAVORAZIONI!T266</f>
        <v/>
      </c>
      <c r="O14" s="7">
        <f>LAVORAZIONI!U266</f>
        <v/>
      </c>
      <c r="P14" s="45">
        <f>LAVORAZIONI!V266</f>
        <v/>
      </c>
      <c r="Q14" s="7">
        <f>LAVORAZIONI!W266</f>
        <v/>
      </c>
      <c r="R14" s="6">
        <f>LAVORAZIONI!X266</f>
        <v/>
      </c>
      <c r="S14" s="7">
        <f>LAVORAZIONI!Y266</f>
        <v/>
      </c>
      <c r="T14" s="6">
        <f>LAVORAZIONI!Z266</f>
        <v/>
      </c>
      <c r="U14" s="7">
        <f>LAVORAZIONI!AA266</f>
        <v/>
      </c>
      <c r="V14" s="6">
        <f>LAVORAZIONI!AB266</f>
        <v/>
      </c>
      <c r="W14" s="7">
        <f>LAVORAZIONI!AC266</f>
        <v/>
      </c>
      <c r="X14" s="6">
        <f>LAVORAZIONI!AD266</f>
        <v/>
      </c>
      <c r="Y14" s="7">
        <f>LAVORAZIONI!AE266</f>
        <v/>
      </c>
      <c r="Z14" s="6">
        <f>LAVORAZIONI!AF266</f>
        <v/>
      </c>
      <c r="AA14" s="7">
        <f>LAVORAZIONI!AG266</f>
        <v/>
      </c>
      <c r="AB14" s="6">
        <f>LAVORAZIONI!AH266</f>
        <v/>
      </c>
      <c r="AC14" s="7">
        <f>LAVORAZIONI!AI266</f>
        <v/>
      </c>
      <c r="AD14" s="13">
        <f>LAVORAZIONI!AJ266</f>
        <v/>
      </c>
    </row>
    <row r="15" ht="64" customHeight="1" s="46">
      <c r="B15" s="4">
        <f>LAVORAZIONI!G267</f>
        <v/>
      </c>
      <c r="C15" s="3">
        <f>LAVORAZIONI!A267</f>
        <v/>
      </c>
      <c r="D15" s="3">
        <f>LAVORAZIONI!K267</f>
        <v/>
      </c>
      <c r="E15" s="4">
        <f>LAVORAZIONI!H267</f>
        <v/>
      </c>
      <c r="F15" s="4">
        <f>LAVORAZIONI!M267</f>
        <v/>
      </c>
      <c r="G15" s="5">
        <f>LAVORAZIONI!N267</f>
        <v/>
      </c>
      <c r="H15" s="6">
        <f>LAVORAZIONI!O267</f>
        <v/>
      </c>
      <c r="I15" s="13">
        <f>LAVORAZIONI!P267</f>
        <v/>
      </c>
      <c r="J15" s="5">
        <f>IF(LAVORAZIONI!Q267="","",LAVORAZIONI!Q267)</f>
        <v/>
      </c>
      <c r="K15" s="6">
        <f>IF(LAVORAZIONI!R267="","",LAVORAZIONI!R267)</f>
        <v/>
      </c>
      <c r="L15" s="13">
        <f>IF(LAVORAZIONI!S267="","",LAVORAZIONI!S267)</f>
        <v/>
      </c>
      <c r="M15" s="13">
        <f>LAVORAZIONI!T267</f>
        <v/>
      </c>
      <c r="O15" s="7">
        <f>LAVORAZIONI!U267</f>
        <v/>
      </c>
      <c r="P15" s="45">
        <f>LAVORAZIONI!V267</f>
        <v/>
      </c>
      <c r="Q15" s="7">
        <f>LAVORAZIONI!W267</f>
        <v/>
      </c>
      <c r="R15" s="6">
        <f>LAVORAZIONI!X267</f>
        <v/>
      </c>
      <c r="S15" s="7">
        <f>LAVORAZIONI!Y267</f>
        <v/>
      </c>
      <c r="T15" s="6">
        <f>LAVORAZIONI!Z267</f>
        <v/>
      </c>
      <c r="U15" s="7">
        <f>LAVORAZIONI!AA267</f>
        <v/>
      </c>
      <c r="V15" s="6">
        <f>LAVORAZIONI!AB267</f>
        <v/>
      </c>
      <c r="W15" s="7">
        <f>LAVORAZIONI!AC267</f>
        <v/>
      </c>
      <c r="X15" s="6">
        <f>LAVORAZIONI!AD267</f>
        <v/>
      </c>
      <c r="Y15" s="7">
        <f>LAVORAZIONI!AE267</f>
        <v/>
      </c>
      <c r="Z15" s="6">
        <f>LAVORAZIONI!AF267</f>
        <v/>
      </c>
      <c r="AA15" s="7">
        <f>LAVORAZIONI!AG267</f>
        <v/>
      </c>
      <c r="AB15" s="6">
        <f>LAVORAZIONI!AH267</f>
        <v/>
      </c>
      <c r="AC15" s="7">
        <f>LAVORAZIONI!AI267</f>
        <v/>
      </c>
      <c r="AD15" s="13">
        <f>LAVORAZIONI!AJ267</f>
        <v/>
      </c>
    </row>
    <row r="16" ht="64" customHeight="1" s="46">
      <c r="B16" s="4">
        <f>LAVORAZIONI!G268</f>
        <v/>
      </c>
      <c r="C16" s="3">
        <f>LAVORAZIONI!A268</f>
        <v/>
      </c>
      <c r="D16" s="3">
        <f>LAVORAZIONI!K268</f>
        <v/>
      </c>
      <c r="E16" s="4">
        <f>LAVORAZIONI!H268</f>
        <v/>
      </c>
      <c r="F16" s="4">
        <f>LAVORAZIONI!M268</f>
        <v/>
      </c>
      <c r="G16" s="5">
        <f>LAVORAZIONI!N268</f>
        <v/>
      </c>
      <c r="H16" s="6">
        <f>LAVORAZIONI!O268</f>
        <v/>
      </c>
      <c r="I16" s="13">
        <f>LAVORAZIONI!P268</f>
        <v/>
      </c>
      <c r="J16" s="5">
        <f>IF(LAVORAZIONI!Q268="","",LAVORAZIONI!Q268)</f>
        <v/>
      </c>
      <c r="K16" s="6">
        <f>IF(LAVORAZIONI!R268="","",LAVORAZIONI!R268)</f>
        <v/>
      </c>
      <c r="L16" s="13">
        <f>IF(LAVORAZIONI!S268="","",LAVORAZIONI!S268)</f>
        <v/>
      </c>
      <c r="M16" s="13">
        <f>LAVORAZIONI!T268</f>
        <v/>
      </c>
      <c r="O16" s="7">
        <f>LAVORAZIONI!U268</f>
        <v/>
      </c>
      <c r="P16" s="45">
        <f>LAVORAZIONI!V268</f>
        <v/>
      </c>
      <c r="Q16" s="7">
        <f>LAVORAZIONI!W268</f>
        <v/>
      </c>
      <c r="R16" s="6">
        <f>LAVORAZIONI!X268</f>
        <v/>
      </c>
      <c r="S16" s="7">
        <f>LAVORAZIONI!Y268</f>
        <v/>
      </c>
      <c r="T16" s="6">
        <f>LAVORAZIONI!Z268</f>
        <v/>
      </c>
      <c r="U16" s="7">
        <f>LAVORAZIONI!AA268</f>
        <v/>
      </c>
      <c r="V16" s="6">
        <f>LAVORAZIONI!AB268</f>
        <v/>
      </c>
      <c r="W16" s="7">
        <f>LAVORAZIONI!AC268</f>
        <v/>
      </c>
      <c r="X16" s="6">
        <f>LAVORAZIONI!AD268</f>
        <v/>
      </c>
      <c r="Y16" s="7">
        <f>LAVORAZIONI!AE268</f>
        <v/>
      </c>
      <c r="Z16" s="6">
        <f>LAVORAZIONI!AF268</f>
        <v/>
      </c>
      <c r="AA16" s="7">
        <f>LAVORAZIONI!AG268</f>
        <v/>
      </c>
      <c r="AB16" s="6">
        <f>LAVORAZIONI!AH268</f>
        <v/>
      </c>
      <c r="AC16" s="7">
        <f>LAVORAZIONI!AI268</f>
        <v/>
      </c>
      <c r="AD16" s="13">
        <f>LAVORAZIONI!AJ268</f>
        <v/>
      </c>
    </row>
    <row r="17" ht="64" customHeight="1" s="46">
      <c r="B17" s="4">
        <f>LAVORAZIONI!G269</f>
        <v/>
      </c>
      <c r="C17" s="3">
        <f>LAVORAZIONI!A269</f>
        <v/>
      </c>
      <c r="D17" s="3">
        <f>LAVORAZIONI!K269</f>
        <v/>
      </c>
      <c r="E17" s="4">
        <f>LAVORAZIONI!H269</f>
        <v/>
      </c>
      <c r="F17" s="4">
        <f>LAVORAZIONI!M269</f>
        <v/>
      </c>
      <c r="G17" s="5">
        <f>LAVORAZIONI!N269</f>
        <v/>
      </c>
      <c r="H17" s="6">
        <f>LAVORAZIONI!O269</f>
        <v/>
      </c>
      <c r="I17" s="13">
        <f>LAVORAZIONI!P269</f>
        <v/>
      </c>
      <c r="J17" s="5">
        <f>IF(LAVORAZIONI!Q269="","",LAVORAZIONI!Q269)</f>
        <v/>
      </c>
      <c r="K17" s="6">
        <f>IF(LAVORAZIONI!R269="","",LAVORAZIONI!R269)</f>
        <v/>
      </c>
      <c r="L17" s="13">
        <f>IF(LAVORAZIONI!S269="","",LAVORAZIONI!S269)</f>
        <v/>
      </c>
      <c r="M17" s="13">
        <f>LAVORAZIONI!T269</f>
        <v/>
      </c>
      <c r="O17" s="7">
        <f>LAVORAZIONI!U269</f>
        <v/>
      </c>
      <c r="P17" s="45">
        <f>LAVORAZIONI!V269</f>
        <v/>
      </c>
      <c r="Q17" s="7">
        <f>LAVORAZIONI!W269</f>
        <v/>
      </c>
      <c r="R17" s="6">
        <f>LAVORAZIONI!X269</f>
        <v/>
      </c>
      <c r="S17" s="7">
        <f>LAVORAZIONI!Y269</f>
        <v/>
      </c>
      <c r="T17" s="6">
        <f>LAVORAZIONI!Z269</f>
        <v/>
      </c>
      <c r="U17" s="7">
        <f>LAVORAZIONI!AA269</f>
        <v/>
      </c>
      <c r="V17" s="6">
        <f>LAVORAZIONI!AB269</f>
        <v/>
      </c>
      <c r="W17" s="7">
        <f>LAVORAZIONI!AC269</f>
        <v/>
      </c>
      <c r="X17" s="6">
        <f>LAVORAZIONI!AD269</f>
        <v/>
      </c>
      <c r="Y17" s="7">
        <f>LAVORAZIONI!AE269</f>
        <v/>
      </c>
      <c r="Z17" s="6">
        <f>LAVORAZIONI!AF269</f>
        <v/>
      </c>
      <c r="AA17" s="7">
        <f>LAVORAZIONI!AG269</f>
        <v/>
      </c>
      <c r="AB17" s="6">
        <f>LAVORAZIONI!AH269</f>
        <v/>
      </c>
      <c r="AC17" s="7">
        <f>LAVORAZIONI!AI269</f>
        <v/>
      </c>
      <c r="AD17" s="13">
        <f>LAVORAZIONI!AJ269</f>
        <v/>
      </c>
    </row>
    <row r="18" ht="64" customHeight="1" s="46">
      <c r="B18" s="4">
        <f>LAVORAZIONI!G270</f>
        <v/>
      </c>
      <c r="C18" s="3">
        <f>LAVORAZIONI!A270</f>
        <v/>
      </c>
      <c r="D18" s="3">
        <f>LAVORAZIONI!K270</f>
        <v/>
      </c>
      <c r="E18" s="4">
        <f>LAVORAZIONI!H270</f>
        <v/>
      </c>
      <c r="F18" s="4">
        <f>LAVORAZIONI!M270</f>
        <v/>
      </c>
      <c r="G18" s="5">
        <f>LAVORAZIONI!N270</f>
        <v/>
      </c>
      <c r="H18" s="6">
        <f>LAVORAZIONI!O270</f>
        <v/>
      </c>
      <c r="I18" s="13">
        <f>LAVORAZIONI!P270</f>
        <v/>
      </c>
      <c r="J18" s="5">
        <f>IF(LAVORAZIONI!Q270="","",LAVORAZIONI!Q270)</f>
        <v/>
      </c>
      <c r="K18" s="6">
        <f>IF(LAVORAZIONI!R270="","",LAVORAZIONI!R270)</f>
        <v/>
      </c>
      <c r="L18" s="13">
        <f>IF(LAVORAZIONI!S270="","",LAVORAZIONI!S270)</f>
        <v/>
      </c>
      <c r="M18" s="13">
        <f>LAVORAZIONI!T270</f>
        <v/>
      </c>
      <c r="O18" s="7">
        <f>LAVORAZIONI!U270</f>
        <v/>
      </c>
      <c r="P18" s="45">
        <f>LAVORAZIONI!V270</f>
        <v/>
      </c>
      <c r="Q18" s="7">
        <f>LAVORAZIONI!W270</f>
        <v/>
      </c>
      <c r="R18" s="6">
        <f>LAVORAZIONI!X270</f>
        <v/>
      </c>
      <c r="S18" s="7">
        <f>LAVORAZIONI!Y270</f>
        <v/>
      </c>
      <c r="T18" s="6">
        <f>LAVORAZIONI!Z270</f>
        <v/>
      </c>
      <c r="U18" s="7">
        <f>LAVORAZIONI!AA270</f>
        <v/>
      </c>
      <c r="V18" s="6">
        <f>LAVORAZIONI!AB270</f>
        <v/>
      </c>
      <c r="W18" s="7">
        <f>LAVORAZIONI!AC270</f>
        <v/>
      </c>
      <c r="X18" s="6">
        <f>LAVORAZIONI!AD270</f>
        <v/>
      </c>
      <c r="Y18" s="7">
        <f>LAVORAZIONI!AE270</f>
        <v/>
      </c>
      <c r="Z18" s="6">
        <f>LAVORAZIONI!AF270</f>
        <v/>
      </c>
      <c r="AA18" s="7">
        <f>LAVORAZIONI!AG270</f>
        <v/>
      </c>
      <c r="AB18" s="6">
        <f>LAVORAZIONI!AH270</f>
        <v/>
      </c>
      <c r="AC18" s="7">
        <f>LAVORAZIONI!AI270</f>
        <v/>
      </c>
      <c r="AD18" s="13">
        <f>LAVORAZIONI!AJ270</f>
        <v/>
      </c>
    </row>
    <row r="19" ht="64" customHeight="1" s="46">
      <c r="B19" s="4">
        <f>LAVORAZIONI!G271</f>
        <v/>
      </c>
      <c r="C19" s="3">
        <f>LAVORAZIONI!A271</f>
        <v/>
      </c>
      <c r="D19" s="3">
        <f>LAVORAZIONI!K271</f>
        <v/>
      </c>
      <c r="E19" s="4">
        <f>LAVORAZIONI!H271</f>
        <v/>
      </c>
      <c r="F19" s="4">
        <f>LAVORAZIONI!M271</f>
        <v/>
      </c>
      <c r="G19" s="5">
        <f>LAVORAZIONI!N271</f>
        <v/>
      </c>
      <c r="H19" s="6">
        <f>LAVORAZIONI!O271</f>
        <v/>
      </c>
      <c r="I19" s="13">
        <f>LAVORAZIONI!P271</f>
        <v/>
      </c>
      <c r="J19" s="5">
        <f>IF(LAVORAZIONI!Q271="","",LAVORAZIONI!Q271)</f>
        <v/>
      </c>
      <c r="K19" s="6">
        <f>IF(LAVORAZIONI!R271="","",LAVORAZIONI!R271)</f>
        <v/>
      </c>
      <c r="L19" s="13">
        <f>IF(LAVORAZIONI!S271="","",LAVORAZIONI!S271)</f>
        <v/>
      </c>
      <c r="M19" s="13">
        <f>LAVORAZIONI!T271</f>
        <v/>
      </c>
      <c r="O19" s="7">
        <f>LAVORAZIONI!U271</f>
        <v/>
      </c>
      <c r="P19" s="45">
        <f>LAVORAZIONI!V271</f>
        <v/>
      </c>
      <c r="Q19" s="7">
        <f>LAVORAZIONI!W271</f>
        <v/>
      </c>
      <c r="R19" s="6">
        <f>LAVORAZIONI!X271</f>
        <v/>
      </c>
      <c r="S19" s="7">
        <f>LAVORAZIONI!Y271</f>
        <v/>
      </c>
      <c r="T19" s="6">
        <f>LAVORAZIONI!Z271</f>
        <v/>
      </c>
      <c r="U19" s="7">
        <f>LAVORAZIONI!AA271</f>
        <v/>
      </c>
      <c r="V19" s="6">
        <f>LAVORAZIONI!AB271</f>
        <v/>
      </c>
      <c r="W19" s="7">
        <f>LAVORAZIONI!AC271</f>
        <v/>
      </c>
      <c r="X19" s="6">
        <f>LAVORAZIONI!AD271</f>
        <v/>
      </c>
      <c r="Y19" s="7">
        <f>LAVORAZIONI!AE271</f>
        <v/>
      </c>
      <c r="Z19" s="6">
        <f>LAVORAZIONI!AF271</f>
        <v/>
      </c>
      <c r="AA19" s="7">
        <f>LAVORAZIONI!AG271</f>
        <v/>
      </c>
      <c r="AB19" s="6">
        <f>LAVORAZIONI!AH271</f>
        <v/>
      </c>
      <c r="AC19" s="7">
        <f>LAVORAZIONI!AI271</f>
        <v/>
      </c>
      <c r="AD19" s="13">
        <f>LAVORAZIONI!AJ271</f>
        <v/>
      </c>
    </row>
    <row r="20" ht="64" customHeight="1" s="46">
      <c r="B20" s="4">
        <f>LAVORAZIONI!G272</f>
        <v/>
      </c>
      <c r="C20" s="3">
        <f>LAVORAZIONI!A272</f>
        <v/>
      </c>
      <c r="D20" s="3">
        <f>LAVORAZIONI!K272</f>
        <v/>
      </c>
      <c r="E20" s="4">
        <f>LAVORAZIONI!H272</f>
        <v/>
      </c>
      <c r="F20" s="4">
        <f>LAVORAZIONI!M272</f>
        <v/>
      </c>
      <c r="G20" s="5">
        <f>LAVORAZIONI!N272</f>
        <v/>
      </c>
      <c r="H20" s="6">
        <f>LAVORAZIONI!O272</f>
        <v/>
      </c>
      <c r="I20" s="13">
        <f>LAVORAZIONI!P272</f>
        <v/>
      </c>
      <c r="J20" s="5">
        <f>IF(LAVORAZIONI!Q272="","",LAVORAZIONI!Q272)</f>
        <v/>
      </c>
      <c r="K20" s="6">
        <f>IF(LAVORAZIONI!R272="","",LAVORAZIONI!R272)</f>
        <v/>
      </c>
      <c r="L20" s="13">
        <f>IF(LAVORAZIONI!S272="","",LAVORAZIONI!S272)</f>
        <v/>
      </c>
      <c r="M20" s="13">
        <f>LAVORAZIONI!T272</f>
        <v/>
      </c>
      <c r="O20" s="7">
        <f>LAVORAZIONI!U272</f>
        <v/>
      </c>
      <c r="P20" s="45">
        <f>LAVORAZIONI!V272</f>
        <v/>
      </c>
      <c r="Q20" s="7">
        <f>LAVORAZIONI!W272</f>
        <v/>
      </c>
      <c r="R20" s="6">
        <f>LAVORAZIONI!X272</f>
        <v/>
      </c>
      <c r="S20" s="7">
        <f>LAVORAZIONI!Y272</f>
        <v/>
      </c>
      <c r="T20" s="6">
        <f>LAVORAZIONI!Z272</f>
        <v/>
      </c>
      <c r="U20" s="7">
        <f>LAVORAZIONI!AA272</f>
        <v/>
      </c>
      <c r="V20" s="6">
        <f>LAVORAZIONI!AB272</f>
        <v/>
      </c>
      <c r="W20" s="7">
        <f>LAVORAZIONI!AC272</f>
        <v/>
      </c>
      <c r="X20" s="6">
        <f>LAVORAZIONI!AD272</f>
        <v/>
      </c>
      <c r="Y20" s="7">
        <f>LAVORAZIONI!AE272</f>
        <v/>
      </c>
      <c r="Z20" s="6">
        <f>LAVORAZIONI!AF272</f>
        <v/>
      </c>
      <c r="AA20" s="7">
        <f>LAVORAZIONI!AG272</f>
        <v/>
      </c>
      <c r="AB20" s="6">
        <f>LAVORAZIONI!AH272</f>
        <v/>
      </c>
      <c r="AC20" s="7">
        <f>LAVORAZIONI!AI272</f>
        <v/>
      </c>
      <c r="AD20" s="13">
        <f>LAVORAZIONI!AJ272</f>
        <v/>
      </c>
    </row>
    <row r="21" ht="64" customHeight="1" s="46">
      <c r="B21" s="4">
        <f>LAVORAZIONI!G273</f>
        <v/>
      </c>
      <c r="C21" s="3">
        <f>LAVORAZIONI!A273</f>
        <v/>
      </c>
      <c r="D21" s="3">
        <f>LAVORAZIONI!K273</f>
        <v/>
      </c>
      <c r="E21" s="4">
        <f>LAVORAZIONI!H273</f>
        <v/>
      </c>
      <c r="F21" s="4">
        <f>LAVORAZIONI!M273</f>
        <v/>
      </c>
      <c r="G21" s="5">
        <f>LAVORAZIONI!N273</f>
        <v/>
      </c>
      <c r="H21" s="6">
        <f>LAVORAZIONI!O273</f>
        <v/>
      </c>
      <c r="I21" s="13">
        <f>LAVORAZIONI!P273</f>
        <v/>
      </c>
      <c r="J21" s="5">
        <f>IF(LAVORAZIONI!Q273="","",LAVORAZIONI!Q273)</f>
        <v/>
      </c>
      <c r="K21" s="6">
        <f>IF(LAVORAZIONI!R273="","",LAVORAZIONI!R273)</f>
        <v/>
      </c>
      <c r="L21" s="13">
        <f>IF(LAVORAZIONI!S273="","",LAVORAZIONI!S273)</f>
        <v/>
      </c>
      <c r="M21" s="13">
        <f>LAVORAZIONI!T273</f>
        <v/>
      </c>
      <c r="O21" s="7">
        <f>LAVORAZIONI!U273</f>
        <v/>
      </c>
      <c r="P21" s="45">
        <f>LAVORAZIONI!V273</f>
        <v/>
      </c>
      <c r="Q21" s="7">
        <f>LAVORAZIONI!W273</f>
        <v/>
      </c>
      <c r="R21" s="6">
        <f>LAVORAZIONI!X273</f>
        <v/>
      </c>
      <c r="S21" s="7">
        <f>LAVORAZIONI!Y273</f>
        <v/>
      </c>
      <c r="T21" s="6">
        <f>LAVORAZIONI!Z273</f>
        <v/>
      </c>
      <c r="U21" s="7">
        <f>LAVORAZIONI!AA273</f>
        <v/>
      </c>
      <c r="V21" s="6">
        <f>LAVORAZIONI!AB273</f>
        <v/>
      </c>
      <c r="W21" s="7">
        <f>LAVORAZIONI!AC273</f>
        <v/>
      </c>
      <c r="X21" s="6">
        <f>LAVORAZIONI!AD273</f>
        <v/>
      </c>
      <c r="Y21" s="7">
        <f>LAVORAZIONI!AE273</f>
        <v/>
      </c>
      <c r="Z21" s="6">
        <f>LAVORAZIONI!AF273</f>
        <v/>
      </c>
      <c r="AA21" s="7">
        <f>LAVORAZIONI!AG273</f>
        <v/>
      </c>
      <c r="AB21" s="6">
        <f>LAVORAZIONI!AH273</f>
        <v/>
      </c>
      <c r="AC21" s="7">
        <f>LAVORAZIONI!AI273</f>
        <v/>
      </c>
      <c r="AD21" s="13">
        <f>LAVORAZIONI!AJ273</f>
        <v/>
      </c>
    </row>
    <row r="22" ht="64" customHeight="1" s="46">
      <c r="B22" s="4">
        <f>LAVORAZIONI!G274</f>
        <v/>
      </c>
      <c r="C22" s="3">
        <f>LAVORAZIONI!A274</f>
        <v/>
      </c>
      <c r="D22" s="3">
        <f>LAVORAZIONI!K274</f>
        <v/>
      </c>
      <c r="E22" s="4">
        <f>LAVORAZIONI!H274</f>
        <v/>
      </c>
      <c r="F22" s="4">
        <f>LAVORAZIONI!M274</f>
        <v/>
      </c>
      <c r="G22" s="5">
        <f>LAVORAZIONI!N274</f>
        <v/>
      </c>
      <c r="H22" s="6">
        <f>LAVORAZIONI!O274</f>
        <v/>
      </c>
      <c r="I22" s="13">
        <f>LAVORAZIONI!P274</f>
        <v/>
      </c>
      <c r="J22" s="5">
        <f>IF(LAVORAZIONI!Q274="","",LAVORAZIONI!Q274)</f>
        <v/>
      </c>
      <c r="K22" s="6">
        <f>IF(LAVORAZIONI!R274="","",LAVORAZIONI!R274)</f>
        <v/>
      </c>
      <c r="L22" s="13">
        <f>IF(LAVORAZIONI!S274="","",LAVORAZIONI!S274)</f>
        <v/>
      </c>
      <c r="M22" s="13">
        <f>LAVORAZIONI!T274</f>
        <v/>
      </c>
      <c r="O22" s="7">
        <f>LAVORAZIONI!U274</f>
        <v/>
      </c>
      <c r="P22" s="45">
        <f>LAVORAZIONI!V274</f>
        <v/>
      </c>
      <c r="Q22" s="7">
        <f>LAVORAZIONI!W274</f>
        <v/>
      </c>
      <c r="R22" s="6">
        <f>LAVORAZIONI!X274</f>
        <v/>
      </c>
      <c r="S22" s="7">
        <f>LAVORAZIONI!Y274</f>
        <v/>
      </c>
      <c r="T22" s="6">
        <f>LAVORAZIONI!Z274</f>
        <v/>
      </c>
      <c r="U22" s="7">
        <f>LAVORAZIONI!AA274</f>
        <v/>
      </c>
      <c r="V22" s="6">
        <f>LAVORAZIONI!AB274</f>
        <v/>
      </c>
      <c r="W22" s="7">
        <f>LAVORAZIONI!AC274</f>
        <v/>
      </c>
      <c r="X22" s="6">
        <f>LAVORAZIONI!AD274</f>
        <v/>
      </c>
      <c r="Y22" s="7">
        <f>LAVORAZIONI!AE274</f>
        <v/>
      </c>
      <c r="Z22" s="6">
        <f>LAVORAZIONI!AF274</f>
        <v/>
      </c>
      <c r="AA22" s="7">
        <f>LAVORAZIONI!AG274</f>
        <v/>
      </c>
      <c r="AB22" s="6">
        <f>LAVORAZIONI!AH274</f>
        <v/>
      </c>
      <c r="AC22" s="7">
        <f>LAVORAZIONI!AI274</f>
        <v/>
      </c>
      <c r="AD22" s="13">
        <f>LAVORAZIONI!AJ274</f>
        <v/>
      </c>
    </row>
    <row r="23" ht="64" customHeight="1" s="46">
      <c r="B23" s="4">
        <f>LAVORAZIONI!G275</f>
        <v/>
      </c>
      <c r="C23" s="3">
        <f>LAVORAZIONI!A275</f>
        <v/>
      </c>
      <c r="D23" s="3">
        <f>LAVORAZIONI!K275</f>
        <v/>
      </c>
      <c r="E23" s="4">
        <f>LAVORAZIONI!H275</f>
        <v/>
      </c>
      <c r="F23" s="4">
        <f>LAVORAZIONI!M275</f>
        <v/>
      </c>
      <c r="G23" s="5">
        <f>LAVORAZIONI!N275</f>
        <v/>
      </c>
      <c r="H23" s="6">
        <f>LAVORAZIONI!O275</f>
        <v/>
      </c>
      <c r="I23" s="13">
        <f>LAVORAZIONI!P275</f>
        <v/>
      </c>
      <c r="J23" s="5">
        <f>IF(LAVORAZIONI!Q275="","",LAVORAZIONI!Q275)</f>
        <v/>
      </c>
      <c r="K23" s="6">
        <f>IF(LAVORAZIONI!R275="","",LAVORAZIONI!R275)</f>
        <v/>
      </c>
      <c r="L23" s="13">
        <f>IF(LAVORAZIONI!S275="","",LAVORAZIONI!S275)</f>
        <v/>
      </c>
      <c r="M23" s="13">
        <f>LAVORAZIONI!T275</f>
        <v/>
      </c>
      <c r="O23" s="7">
        <f>LAVORAZIONI!U275</f>
        <v/>
      </c>
      <c r="P23" s="45">
        <f>LAVORAZIONI!V275</f>
        <v/>
      </c>
      <c r="Q23" s="7">
        <f>LAVORAZIONI!W275</f>
        <v/>
      </c>
      <c r="R23" s="6">
        <f>LAVORAZIONI!X275</f>
        <v/>
      </c>
      <c r="S23" s="7">
        <f>LAVORAZIONI!Y275</f>
        <v/>
      </c>
      <c r="T23" s="6">
        <f>LAVORAZIONI!Z275</f>
        <v/>
      </c>
      <c r="U23" s="7">
        <f>LAVORAZIONI!AA275</f>
        <v/>
      </c>
      <c r="V23" s="6">
        <f>LAVORAZIONI!AB275</f>
        <v/>
      </c>
      <c r="W23" s="7">
        <f>LAVORAZIONI!AC275</f>
        <v/>
      </c>
      <c r="X23" s="6">
        <f>LAVORAZIONI!AD275</f>
        <v/>
      </c>
      <c r="Y23" s="7">
        <f>LAVORAZIONI!AE275</f>
        <v/>
      </c>
      <c r="Z23" s="6">
        <f>LAVORAZIONI!AF275</f>
        <v/>
      </c>
      <c r="AA23" s="7">
        <f>LAVORAZIONI!AG275</f>
        <v/>
      </c>
      <c r="AB23" s="6">
        <f>LAVORAZIONI!AH275</f>
        <v/>
      </c>
      <c r="AC23" s="7">
        <f>LAVORAZIONI!AI275</f>
        <v/>
      </c>
      <c r="AD23" s="13">
        <f>LAVORAZIONI!AJ275</f>
        <v/>
      </c>
    </row>
    <row r="24" ht="64" customHeight="1" s="46">
      <c r="B24" s="4">
        <f>LAVORAZIONI!G276</f>
        <v/>
      </c>
      <c r="C24" s="3">
        <f>LAVORAZIONI!A276</f>
        <v/>
      </c>
      <c r="D24" s="3">
        <f>LAVORAZIONI!K276</f>
        <v/>
      </c>
      <c r="E24" s="4">
        <f>LAVORAZIONI!H276</f>
        <v/>
      </c>
      <c r="F24" s="4">
        <f>LAVORAZIONI!M276</f>
        <v/>
      </c>
      <c r="G24" s="5">
        <f>LAVORAZIONI!N276</f>
        <v/>
      </c>
      <c r="H24" s="6">
        <f>LAVORAZIONI!O276</f>
        <v/>
      </c>
      <c r="I24" s="13">
        <f>LAVORAZIONI!P276</f>
        <v/>
      </c>
      <c r="J24" s="5">
        <f>IF(LAVORAZIONI!Q276="","",LAVORAZIONI!Q276)</f>
        <v/>
      </c>
      <c r="K24" s="6">
        <f>IF(LAVORAZIONI!R276="","",LAVORAZIONI!R276)</f>
        <v/>
      </c>
      <c r="L24" s="13">
        <f>IF(LAVORAZIONI!S276="","",LAVORAZIONI!S276)</f>
        <v/>
      </c>
      <c r="M24" s="13">
        <f>LAVORAZIONI!T276</f>
        <v/>
      </c>
      <c r="O24" s="7">
        <f>LAVORAZIONI!U276</f>
        <v/>
      </c>
      <c r="P24" s="45">
        <f>LAVORAZIONI!V276</f>
        <v/>
      </c>
      <c r="Q24" s="7">
        <f>LAVORAZIONI!W276</f>
        <v/>
      </c>
      <c r="R24" s="6">
        <f>LAVORAZIONI!X276</f>
        <v/>
      </c>
      <c r="S24" s="7">
        <f>LAVORAZIONI!Y276</f>
        <v/>
      </c>
      <c r="T24" s="6">
        <f>LAVORAZIONI!Z276</f>
        <v/>
      </c>
      <c r="U24" s="7">
        <f>LAVORAZIONI!AA276</f>
        <v/>
      </c>
      <c r="V24" s="6">
        <f>LAVORAZIONI!AB276</f>
        <v/>
      </c>
      <c r="W24" s="7">
        <f>LAVORAZIONI!AC276</f>
        <v/>
      </c>
      <c r="X24" s="6">
        <f>LAVORAZIONI!AD276</f>
        <v/>
      </c>
      <c r="Y24" s="7">
        <f>LAVORAZIONI!AE276</f>
        <v/>
      </c>
      <c r="Z24" s="6">
        <f>LAVORAZIONI!AF276</f>
        <v/>
      </c>
      <c r="AA24" s="7">
        <f>LAVORAZIONI!AG276</f>
        <v/>
      </c>
      <c r="AB24" s="6">
        <f>LAVORAZIONI!AH276</f>
        <v/>
      </c>
      <c r="AC24" s="7">
        <f>LAVORAZIONI!AI276</f>
        <v/>
      </c>
      <c r="AD24" s="13">
        <f>LAVORAZIONI!AJ276</f>
        <v/>
      </c>
    </row>
    <row r="25" ht="64" customHeight="1" s="46">
      <c r="B25" s="4">
        <f>LAVORAZIONI!G277</f>
        <v/>
      </c>
      <c r="C25" s="3">
        <f>LAVORAZIONI!A277</f>
        <v/>
      </c>
      <c r="D25" s="3">
        <f>LAVORAZIONI!K277</f>
        <v/>
      </c>
      <c r="E25" s="4">
        <f>LAVORAZIONI!H277</f>
        <v/>
      </c>
      <c r="F25" s="4">
        <f>LAVORAZIONI!M277</f>
        <v/>
      </c>
      <c r="G25" s="5">
        <f>LAVORAZIONI!N277</f>
        <v/>
      </c>
      <c r="H25" s="6">
        <f>LAVORAZIONI!O277</f>
        <v/>
      </c>
      <c r="I25" s="13">
        <f>LAVORAZIONI!P277</f>
        <v/>
      </c>
      <c r="J25" s="5">
        <f>IF(LAVORAZIONI!Q277="","",LAVORAZIONI!Q277)</f>
        <v/>
      </c>
      <c r="K25" s="6">
        <f>IF(LAVORAZIONI!R277="","",LAVORAZIONI!R277)</f>
        <v/>
      </c>
      <c r="L25" s="13">
        <f>IF(LAVORAZIONI!S277="","",LAVORAZIONI!S277)</f>
        <v/>
      </c>
      <c r="M25" s="13">
        <f>LAVORAZIONI!T277</f>
        <v/>
      </c>
      <c r="O25" s="7">
        <f>LAVORAZIONI!U277</f>
        <v/>
      </c>
      <c r="P25" s="45">
        <f>LAVORAZIONI!V277</f>
        <v/>
      </c>
      <c r="Q25" s="7">
        <f>LAVORAZIONI!W277</f>
        <v/>
      </c>
      <c r="R25" s="6">
        <f>LAVORAZIONI!X277</f>
        <v/>
      </c>
      <c r="S25" s="7">
        <f>LAVORAZIONI!Y277</f>
        <v/>
      </c>
      <c r="T25" s="6">
        <f>LAVORAZIONI!Z277</f>
        <v/>
      </c>
      <c r="U25" s="7">
        <f>LAVORAZIONI!AA277</f>
        <v/>
      </c>
      <c r="V25" s="6">
        <f>LAVORAZIONI!AB277</f>
        <v/>
      </c>
      <c r="W25" s="7">
        <f>LAVORAZIONI!AC277</f>
        <v/>
      </c>
      <c r="X25" s="6">
        <f>LAVORAZIONI!AD277</f>
        <v/>
      </c>
      <c r="Y25" s="7">
        <f>LAVORAZIONI!AE277</f>
        <v/>
      </c>
      <c r="Z25" s="6">
        <f>LAVORAZIONI!AF277</f>
        <v/>
      </c>
      <c r="AA25" s="7">
        <f>LAVORAZIONI!AG277</f>
        <v/>
      </c>
      <c r="AB25" s="6">
        <f>LAVORAZIONI!AH277</f>
        <v/>
      </c>
      <c r="AC25" s="7">
        <f>LAVORAZIONI!AI277</f>
        <v/>
      </c>
      <c r="AD25" s="13">
        <f>LAVORAZIONI!AJ277</f>
        <v/>
      </c>
    </row>
    <row r="26" ht="64" customHeight="1" s="46">
      <c r="B26" s="4">
        <f>LAVORAZIONI!G278</f>
        <v/>
      </c>
      <c r="C26" s="3">
        <f>LAVORAZIONI!A278</f>
        <v/>
      </c>
      <c r="D26" s="3">
        <f>LAVORAZIONI!K278</f>
        <v/>
      </c>
      <c r="E26" s="4">
        <f>LAVORAZIONI!H278</f>
        <v/>
      </c>
      <c r="F26" s="4">
        <f>LAVORAZIONI!M278</f>
        <v/>
      </c>
      <c r="G26" s="5">
        <f>LAVORAZIONI!N278</f>
        <v/>
      </c>
      <c r="H26" s="6">
        <f>LAVORAZIONI!O278</f>
        <v/>
      </c>
      <c r="I26" s="13">
        <f>LAVORAZIONI!P278</f>
        <v/>
      </c>
      <c r="J26" s="5">
        <f>IF(LAVORAZIONI!Q278="","",LAVORAZIONI!Q278)</f>
        <v/>
      </c>
      <c r="K26" s="6">
        <f>IF(LAVORAZIONI!R278="","",LAVORAZIONI!R278)</f>
        <v/>
      </c>
      <c r="L26" s="13">
        <f>IF(LAVORAZIONI!S278="","",LAVORAZIONI!S278)</f>
        <v/>
      </c>
      <c r="M26" s="13">
        <f>LAVORAZIONI!T278</f>
        <v/>
      </c>
      <c r="O26" s="7">
        <f>LAVORAZIONI!U278</f>
        <v/>
      </c>
      <c r="P26" s="45">
        <f>LAVORAZIONI!V278</f>
        <v/>
      </c>
      <c r="Q26" s="7">
        <f>LAVORAZIONI!W278</f>
        <v/>
      </c>
      <c r="R26" s="6">
        <f>LAVORAZIONI!X278</f>
        <v/>
      </c>
      <c r="S26" s="7">
        <f>LAVORAZIONI!Y278</f>
        <v/>
      </c>
      <c r="T26" s="6">
        <f>LAVORAZIONI!Z278</f>
        <v/>
      </c>
      <c r="U26" s="7">
        <f>LAVORAZIONI!AA278</f>
        <v/>
      </c>
      <c r="V26" s="6">
        <f>LAVORAZIONI!AB278</f>
        <v/>
      </c>
      <c r="W26" s="7">
        <f>LAVORAZIONI!AC278</f>
        <v/>
      </c>
      <c r="X26" s="6">
        <f>LAVORAZIONI!AD278</f>
        <v/>
      </c>
      <c r="Y26" s="7">
        <f>LAVORAZIONI!AE278</f>
        <v/>
      </c>
      <c r="Z26" s="6">
        <f>LAVORAZIONI!AF278</f>
        <v/>
      </c>
      <c r="AA26" s="7">
        <f>LAVORAZIONI!AG278</f>
        <v/>
      </c>
      <c r="AB26" s="6">
        <f>LAVORAZIONI!AH278</f>
        <v/>
      </c>
      <c r="AC26" s="7">
        <f>LAVORAZIONI!AI278</f>
        <v/>
      </c>
      <c r="AD26" s="13">
        <f>LAVORAZIONI!AJ278</f>
        <v/>
      </c>
    </row>
    <row r="27" ht="64" customHeight="1" s="46">
      <c r="B27" s="4">
        <f>LAVORAZIONI!G279</f>
        <v/>
      </c>
      <c r="C27" s="3">
        <f>LAVORAZIONI!A279</f>
        <v/>
      </c>
      <c r="D27" s="3">
        <f>LAVORAZIONI!K279</f>
        <v/>
      </c>
      <c r="E27" s="4">
        <f>LAVORAZIONI!H279</f>
        <v/>
      </c>
      <c r="F27" s="4">
        <f>LAVORAZIONI!M279</f>
        <v/>
      </c>
      <c r="G27" s="5">
        <f>LAVORAZIONI!N279</f>
        <v/>
      </c>
      <c r="H27" s="6">
        <f>LAVORAZIONI!O279</f>
        <v/>
      </c>
      <c r="I27" s="13">
        <f>LAVORAZIONI!P279</f>
        <v/>
      </c>
      <c r="J27" s="5">
        <f>IF(LAVORAZIONI!Q279="","",LAVORAZIONI!Q279)</f>
        <v/>
      </c>
      <c r="K27" s="6">
        <f>IF(LAVORAZIONI!R279="","",LAVORAZIONI!R279)</f>
        <v/>
      </c>
      <c r="L27" s="13">
        <f>IF(LAVORAZIONI!S279="","",LAVORAZIONI!S279)</f>
        <v/>
      </c>
      <c r="M27" s="13">
        <f>LAVORAZIONI!T279</f>
        <v/>
      </c>
      <c r="O27" s="7">
        <f>LAVORAZIONI!U279</f>
        <v/>
      </c>
      <c r="P27" s="45">
        <f>LAVORAZIONI!V279</f>
        <v/>
      </c>
      <c r="Q27" s="7">
        <f>LAVORAZIONI!W279</f>
        <v/>
      </c>
      <c r="R27" s="6">
        <f>LAVORAZIONI!X279</f>
        <v/>
      </c>
      <c r="S27" s="7">
        <f>LAVORAZIONI!Y279</f>
        <v/>
      </c>
      <c r="T27" s="6">
        <f>LAVORAZIONI!Z279</f>
        <v/>
      </c>
      <c r="U27" s="7">
        <f>LAVORAZIONI!AA279</f>
        <v/>
      </c>
      <c r="V27" s="6">
        <f>LAVORAZIONI!AB279</f>
        <v/>
      </c>
      <c r="W27" s="7">
        <f>LAVORAZIONI!AC279</f>
        <v/>
      </c>
      <c r="X27" s="6">
        <f>LAVORAZIONI!AD279</f>
        <v/>
      </c>
      <c r="Y27" s="7">
        <f>LAVORAZIONI!AE279</f>
        <v/>
      </c>
      <c r="Z27" s="6">
        <f>LAVORAZIONI!AF279</f>
        <v/>
      </c>
      <c r="AA27" s="7">
        <f>LAVORAZIONI!AG279</f>
        <v/>
      </c>
      <c r="AB27" s="6">
        <f>LAVORAZIONI!AH279</f>
        <v/>
      </c>
      <c r="AC27" s="7">
        <f>LAVORAZIONI!AI279</f>
        <v/>
      </c>
      <c r="AD27" s="13">
        <f>LAVORAZIONI!AJ279</f>
        <v/>
      </c>
    </row>
    <row r="28" ht="64" customHeight="1" s="46">
      <c r="B28" s="4">
        <f>LAVORAZIONI!G280</f>
        <v/>
      </c>
      <c r="C28" s="3">
        <f>LAVORAZIONI!A280</f>
        <v/>
      </c>
      <c r="D28" s="3">
        <f>LAVORAZIONI!K280</f>
        <v/>
      </c>
      <c r="E28" s="4">
        <f>LAVORAZIONI!H280</f>
        <v/>
      </c>
      <c r="F28" s="4">
        <f>LAVORAZIONI!M280</f>
        <v/>
      </c>
      <c r="G28" s="5">
        <f>LAVORAZIONI!N280</f>
        <v/>
      </c>
      <c r="H28" s="6">
        <f>LAVORAZIONI!O280</f>
        <v/>
      </c>
      <c r="I28" s="13">
        <f>LAVORAZIONI!P280</f>
        <v/>
      </c>
      <c r="J28" s="5">
        <f>IF(LAVORAZIONI!Q280="","",LAVORAZIONI!Q280)</f>
        <v/>
      </c>
      <c r="K28" s="6">
        <f>IF(LAVORAZIONI!R280="","",LAVORAZIONI!R280)</f>
        <v/>
      </c>
      <c r="L28" s="13">
        <f>IF(LAVORAZIONI!S280="","",LAVORAZIONI!S280)</f>
        <v/>
      </c>
      <c r="M28" s="13">
        <f>LAVORAZIONI!T280</f>
        <v/>
      </c>
      <c r="O28" s="7">
        <f>LAVORAZIONI!U280</f>
        <v/>
      </c>
      <c r="P28" s="45">
        <f>LAVORAZIONI!V280</f>
        <v/>
      </c>
      <c r="Q28" s="7">
        <f>LAVORAZIONI!W280</f>
        <v/>
      </c>
      <c r="R28" s="6">
        <f>LAVORAZIONI!X280</f>
        <v/>
      </c>
      <c r="S28" s="7">
        <f>LAVORAZIONI!Y280</f>
        <v/>
      </c>
      <c r="T28" s="6">
        <f>LAVORAZIONI!Z280</f>
        <v/>
      </c>
      <c r="U28" s="7">
        <f>LAVORAZIONI!AA280</f>
        <v/>
      </c>
      <c r="V28" s="6">
        <f>LAVORAZIONI!AB280</f>
        <v/>
      </c>
      <c r="W28" s="7">
        <f>LAVORAZIONI!AC280</f>
        <v/>
      </c>
      <c r="X28" s="6">
        <f>LAVORAZIONI!AD280</f>
        <v/>
      </c>
      <c r="Y28" s="7">
        <f>LAVORAZIONI!AE280</f>
        <v/>
      </c>
      <c r="Z28" s="6">
        <f>LAVORAZIONI!AF280</f>
        <v/>
      </c>
      <c r="AA28" s="7">
        <f>LAVORAZIONI!AG280</f>
        <v/>
      </c>
      <c r="AB28" s="6">
        <f>LAVORAZIONI!AH280</f>
        <v/>
      </c>
      <c r="AC28" s="7">
        <f>LAVORAZIONI!AI280</f>
        <v/>
      </c>
      <c r="AD28" s="13">
        <f>LAVORAZIONI!AJ280</f>
        <v/>
      </c>
    </row>
    <row r="29" ht="64" customHeight="1" s="46">
      <c r="B29" s="4">
        <f>LAVORAZIONI!G281</f>
        <v/>
      </c>
      <c r="C29" s="3">
        <f>LAVORAZIONI!A281</f>
        <v/>
      </c>
      <c r="D29" s="3">
        <f>LAVORAZIONI!K281</f>
        <v/>
      </c>
      <c r="E29" s="4">
        <f>LAVORAZIONI!H281</f>
        <v/>
      </c>
      <c r="F29" s="4">
        <f>LAVORAZIONI!M281</f>
        <v/>
      </c>
      <c r="G29" s="5">
        <f>LAVORAZIONI!N281</f>
        <v/>
      </c>
      <c r="H29" s="6">
        <f>LAVORAZIONI!O281</f>
        <v/>
      </c>
      <c r="I29" s="13">
        <f>LAVORAZIONI!P281</f>
        <v/>
      </c>
      <c r="J29" s="5">
        <f>IF(LAVORAZIONI!Q281="","",LAVORAZIONI!Q281)</f>
        <v/>
      </c>
      <c r="K29" s="6">
        <f>IF(LAVORAZIONI!R281="","",LAVORAZIONI!R281)</f>
        <v/>
      </c>
      <c r="L29" s="13">
        <f>IF(LAVORAZIONI!S281="","",LAVORAZIONI!S281)</f>
        <v/>
      </c>
      <c r="M29" s="13">
        <f>LAVORAZIONI!T281</f>
        <v/>
      </c>
      <c r="O29" s="7">
        <f>LAVORAZIONI!U281</f>
        <v/>
      </c>
      <c r="P29" s="45">
        <f>LAVORAZIONI!V281</f>
        <v/>
      </c>
      <c r="Q29" s="7">
        <f>LAVORAZIONI!W281</f>
        <v/>
      </c>
      <c r="R29" s="6">
        <f>LAVORAZIONI!X281</f>
        <v/>
      </c>
      <c r="S29" s="7">
        <f>LAVORAZIONI!Y281</f>
        <v/>
      </c>
      <c r="T29" s="6">
        <f>LAVORAZIONI!Z281</f>
        <v/>
      </c>
      <c r="U29" s="7">
        <f>LAVORAZIONI!AA281</f>
        <v/>
      </c>
      <c r="V29" s="6">
        <f>LAVORAZIONI!AB281</f>
        <v/>
      </c>
      <c r="W29" s="7">
        <f>LAVORAZIONI!AC281</f>
        <v/>
      </c>
      <c r="X29" s="6">
        <f>LAVORAZIONI!AD281</f>
        <v/>
      </c>
      <c r="Y29" s="7">
        <f>LAVORAZIONI!AE281</f>
        <v/>
      </c>
      <c r="Z29" s="6">
        <f>LAVORAZIONI!AF281</f>
        <v/>
      </c>
      <c r="AA29" s="7">
        <f>LAVORAZIONI!AG281</f>
        <v/>
      </c>
      <c r="AB29" s="6">
        <f>LAVORAZIONI!AH281</f>
        <v/>
      </c>
      <c r="AC29" s="7">
        <f>LAVORAZIONI!AI281</f>
        <v/>
      </c>
      <c r="AD29" s="13">
        <f>LAVORAZIONI!AJ281</f>
        <v/>
      </c>
    </row>
    <row r="30" ht="64" customHeight="1" s="46">
      <c r="B30" s="4">
        <f>LAVORAZIONI!G282</f>
        <v/>
      </c>
      <c r="C30" s="3">
        <f>LAVORAZIONI!A282</f>
        <v/>
      </c>
      <c r="D30" s="3">
        <f>LAVORAZIONI!K282</f>
        <v/>
      </c>
      <c r="E30" s="4">
        <f>LAVORAZIONI!H282</f>
        <v/>
      </c>
      <c r="F30" s="4">
        <f>LAVORAZIONI!M282</f>
        <v/>
      </c>
      <c r="G30" s="5">
        <f>LAVORAZIONI!N282</f>
        <v/>
      </c>
      <c r="H30" s="6">
        <f>LAVORAZIONI!O282</f>
        <v/>
      </c>
      <c r="I30" s="13">
        <f>LAVORAZIONI!P282</f>
        <v/>
      </c>
      <c r="J30" s="5">
        <f>IF(LAVORAZIONI!Q282="","",LAVORAZIONI!Q282)</f>
        <v/>
      </c>
      <c r="K30" s="6">
        <f>IF(LAVORAZIONI!R282="","",LAVORAZIONI!R282)</f>
        <v/>
      </c>
      <c r="L30" s="13">
        <f>IF(LAVORAZIONI!S282="","",LAVORAZIONI!S282)</f>
        <v/>
      </c>
      <c r="M30" s="13">
        <f>LAVORAZIONI!T282</f>
        <v/>
      </c>
      <c r="O30" s="7">
        <f>LAVORAZIONI!U282</f>
        <v/>
      </c>
      <c r="P30" s="45">
        <f>LAVORAZIONI!V282</f>
        <v/>
      </c>
      <c r="Q30" s="7">
        <f>LAVORAZIONI!W282</f>
        <v/>
      </c>
      <c r="R30" s="6">
        <f>LAVORAZIONI!X282</f>
        <v/>
      </c>
      <c r="S30" s="7">
        <f>LAVORAZIONI!Y282</f>
        <v/>
      </c>
      <c r="T30" s="6">
        <f>LAVORAZIONI!Z282</f>
        <v/>
      </c>
      <c r="U30" s="7">
        <f>LAVORAZIONI!AA282</f>
        <v/>
      </c>
      <c r="V30" s="6">
        <f>LAVORAZIONI!AB282</f>
        <v/>
      </c>
      <c r="W30" s="7">
        <f>LAVORAZIONI!AC282</f>
        <v/>
      </c>
      <c r="X30" s="6">
        <f>LAVORAZIONI!AD282</f>
        <v/>
      </c>
      <c r="Y30" s="7">
        <f>LAVORAZIONI!AE282</f>
        <v/>
      </c>
      <c r="Z30" s="6">
        <f>LAVORAZIONI!AF282</f>
        <v/>
      </c>
      <c r="AA30" s="7">
        <f>LAVORAZIONI!AG282</f>
        <v/>
      </c>
      <c r="AB30" s="6">
        <f>LAVORAZIONI!AH282</f>
        <v/>
      </c>
      <c r="AC30" s="7">
        <f>LAVORAZIONI!AI282</f>
        <v/>
      </c>
      <c r="AD30" s="13">
        <f>LAVORAZIONI!AJ282</f>
        <v/>
      </c>
    </row>
    <row r="31" ht="64" customHeight="1" s="46">
      <c r="B31" s="4">
        <f>LAVORAZIONI!G283</f>
        <v/>
      </c>
      <c r="C31" s="3">
        <f>LAVORAZIONI!A283</f>
        <v/>
      </c>
      <c r="D31" s="3">
        <f>LAVORAZIONI!K283</f>
        <v/>
      </c>
      <c r="E31" s="4">
        <f>LAVORAZIONI!H283</f>
        <v/>
      </c>
      <c r="F31" s="4">
        <f>LAVORAZIONI!M283</f>
        <v/>
      </c>
      <c r="G31" s="5">
        <f>LAVORAZIONI!N283</f>
        <v/>
      </c>
      <c r="H31" s="6">
        <f>LAVORAZIONI!O283</f>
        <v/>
      </c>
      <c r="I31" s="13">
        <f>LAVORAZIONI!P283</f>
        <v/>
      </c>
      <c r="J31" s="5">
        <f>IF(LAVORAZIONI!Q283="","",LAVORAZIONI!Q283)</f>
        <v/>
      </c>
      <c r="K31" s="6">
        <f>IF(LAVORAZIONI!R283="","",LAVORAZIONI!R283)</f>
        <v/>
      </c>
      <c r="L31" s="13">
        <f>IF(LAVORAZIONI!S283="","",LAVORAZIONI!S283)</f>
        <v/>
      </c>
      <c r="M31" s="13">
        <f>LAVORAZIONI!T283</f>
        <v/>
      </c>
      <c r="O31" s="7">
        <f>LAVORAZIONI!U283</f>
        <v/>
      </c>
      <c r="P31" s="45">
        <f>LAVORAZIONI!V283</f>
        <v/>
      </c>
      <c r="Q31" s="7">
        <f>LAVORAZIONI!W283</f>
        <v/>
      </c>
      <c r="R31" s="6">
        <f>LAVORAZIONI!X283</f>
        <v/>
      </c>
      <c r="S31" s="7">
        <f>LAVORAZIONI!Y283</f>
        <v/>
      </c>
      <c r="T31" s="6">
        <f>LAVORAZIONI!Z283</f>
        <v/>
      </c>
      <c r="U31" s="7">
        <f>LAVORAZIONI!AA283</f>
        <v/>
      </c>
      <c r="V31" s="6">
        <f>LAVORAZIONI!AB283</f>
        <v/>
      </c>
      <c r="W31" s="7">
        <f>LAVORAZIONI!AC283</f>
        <v/>
      </c>
      <c r="X31" s="6">
        <f>LAVORAZIONI!AD283</f>
        <v/>
      </c>
      <c r="Y31" s="7">
        <f>LAVORAZIONI!AE283</f>
        <v/>
      </c>
      <c r="Z31" s="6">
        <f>LAVORAZIONI!AF283</f>
        <v/>
      </c>
      <c r="AA31" s="7">
        <f>LAVORAZIONI!AG283</f>
        <v/>
      </c>
      <c r="AB31" s="6">
        <f>LAVORAZIONI!AH283</f>
        <v/>
      </c>
      <c r="AC31" s="7">
        <f>LAVORAZIONI!AI283</f>
        <v/>
      </c>
      <c r="AD31" s="13">
        <f>LAVORAZIONI!AJ283</f>
        <v/>
      </c>
    </row>
    <row r="32" ht="64" customHeight="1" s="46">
      <c r="B32" s="4">
        <f>LAVORAZIONI!G284</f>
        <v/>
      </c>
      <c r="C32" s="3">
        <f>LAVORAZIONI!A284</f>
        <v/>
      </c>
      <c r="D32" s="3">
        <f>LAVORAZIONI!K284</f>
        <v/>
      </c>
      <c r="E32" s="4">
        <f>LAVORAZIONI!H284</f>
        <v/>
      </c>
      <c r="F32" s="4">
        <f>LAVORAZIONI!M284</f>
        <v/>
      </c>
      <c r="G32" s="5">
        <f>LAVORAZIONI!N284</f>
        <v/>
      </c>
      <c r="H32" s="6">
        <f>LAVORAZIONI!O284</f>
        <v/>
      </c>
      <c r="I32" s="13">
        <f>LAVORAZIONI!P284</f>
        <v/>
      </c>
      <c r="J32" s="5">
        <f>IF(LAVORAZIONI!Q284="","",LAVORAZIONI!Q284)</f>
        <v/>
      </c>
      <c r="K32" s="6">
        <f>IF(LAVORAZIONI!R284="","",LAVORAZIONI!R284)</f>
        <v/>
      </c>
      <c r="L32" s="13">
        <f>IF(LAVORAZIONI!S284="","",LAVORAZIONI!S284)</f>
        <v/>
      </c>
      <c r="M32" s="13">
        <f>LAVORAZIONI!T284</f>
        <v/>
      </c>
      <c r="O32" s="7">
        <f>LAVORAZIONI!U284</f>
        <v/>
      </c>
      <c r="P32" s="45">
        <f>LAVORAZIONI!V284</f>
        <v/>
      </c>
      <c r="Q32" s="7">
        <f>LAVORAZIONI!W284</f>
        <v/>
      </c>
      <c r="R32" s="6">
        <f>LAVORAZIONI!X284</f>
        <v/>
      </c>
      <c r="S32" s="7">
        <f>LAVORAZIONI!Y284</f>
        <v/>
      </c>
      <c r="T32" s="6">
        <f>LAVORAZIONI!Z284</f>
        <v/>
      </c>
      <c r="U32" s="7">
        <f>LAVORAZIONI!AA284</f>
        <v/>
      </c>
      <c r="V32" s="6">
        <f>LAVORAZIONI!AB284</f>
        <v/>
      </c>
      <c r="W32" s="7">
        <f>LAVORAZIONI!AC284</f>
        <v/>
      </c>
      <c r="X32" s="6">
        <f>LAVORAZIONI!AD284</f>
        <v/>
      </c>
      <c r="Y32" s="7">
        <f>LAVORAZIONI!AE284</f>
        <v/>
      </c>
      <c r="Z32" s="6">
        <f>LAVORAZIONI!AF284</f>
        <v/>
      </c>
      <c r="AA32" s="7">
        <f>LAVORAZIONI!AG284</f>
        <v/>
      </c>
      <c r="AB32" s="6">
        <f>LAVORAZIONI!AH284</f>
        <v/>
      </c>
      <c r="AC32" s="7">
        <f>LAVORAZIONI!AI284</f>
        <v/>
      </c>
      <c r="AD32" s="13">
        <f>LAVORAZIONI!AJ284</f>
        <v/>
      </c>
    </row>
    <row r="33" ht="64" customHeight="1" s="46">
      <c r="B33" s="4">
        <f>LAVORAZIONI!G285</f>
        <v/>
      </c>
      <c r="C33" s="3">
        <f>LAVORAZIONI!A285</f>
        <v/>
      </c>
      <c r="D33" s="3">
        <f>LAVORAZIONI!K285</f>
        <v/>
      </c>
      <c r="E33" s="4">
        <f>LAVORAZIONI!H285</f>
        <v/>
      </c>
      <c r="F33" s="4">
        <f>LAVORAZIONI!M285</f>
        <v/>
      </c>
      <c r="G33" s="5">
        <f>LAVORAZIONI!N285</f>
        <v/>
      </c>
      <c r="H33" s="6">
        <f>LAVORAZIONI!O285</f>
        <v/>
      </c>
      <c r="I33" s="13">
        <f>LAVORAZIONI!P285</f>
        <v/>
      </c>
      <c r="J33" s="5">
        <f>IF(LAVORAZIONI!Q285="","",LAVORAZIONI!Q285)</f>
        <v/>
      </c>
      <c r="K33" s="6">
        <f>IF(LAVORAZIONI!R285="","",LAVORAZIONI!R285)</f>
        <v/>
      </c>
      <c r="L33" s="13">
        <f>IF(LAVORAZIONI!S285="","",LAVORAZIONI!S285)</f>
        <v/>
      </c>
      <c r="M33" s="13">
        <f>LAVORAZIONI!T285</f>
        <v/>
      </c>
      <c r="O33" s="7">
        <f>LAVORAZIONI!U285</f>
        <v/>
      </c>
      <c r="P33" s="45">
        <f>LAVORAZIONI!V285</f>
        <v/>
      </c>
      <c r="Q33" s="7">
        <f>LAVORAZIONI!W285</f>
        <v/>
      </c>
      <c r="R33" s="6">
        <f>LAVORAZIONI!X285</f>
        <v/>
      </c>
      <c r="S33" s="7">
        <f>LAVORAZIONI!Y285</f>
        <v/>
      </c>
      <c r="T33" s="6">
        <f>LAVORAZIONI!Z285</f>
        <v/>
      </c>
      <c r="U33" s="7">
        <f>LAVORAZIONI!AA285</f>
        <v/>
      </c>
      <c r="V33" s="6">
        <f>LAVORAZIONI!AB285</f>
        <v/>
      </c>
      <c r="W33" s="7">
        <f>LAVORAZIONI!AC285</f>
        <v/>
      </c>
      <c r="X33" s="6">
        <f>LAVORAZIONI!AD285</f>
        <v/>
      </c>
      <c r="Y33" s="7">
        <f>LAVORAZIONI!AE285</f>
        <v/>
      </c>
      <c r="Z33" s="6">
        <f>LAVORAZIONI!AF285</f>
        <v/>
      </c>
      <c r="AA33" s="7">
        <f>LAVORAZIONI!AG285</f>
        <v/>
      </c>
      <c r="AB33" s="6">
        <f>LAVORAZIONI!AH285</f>
        <v/>
      </c>
      <c r="AC33" s="7">
        <f>LAVORAZIONI!AI285</f>
        <v/>
      </c>
      <c r="AD33" s="13">
        <f>LAVORAZIONI!AJ285</f>
        <v/>
      </c>
    </row>
    <row r="34" ht="64" customHeight="1" s="46">
      <c r="B34" s="4">
        <f>LAVORAZIONI!G286</f>
        <v/>
      </c>
      <c r="C34" s="3">
        <f>LAVORAZIONI!A286</f>
        <v/>
      </c>
      <c r="D34" s="3">
        <f>LAVORAZIONI!K286</f>
        <v/>
      </c>
      <c r="E34" s="4">
        <f>LAVORAZIONI!H286</f>
        <v/>
      </c>
      <c r="F34" s="4">
        <f>LAVORAZIONI!M286</f>
        <v/>
      </c>
      <c r="G34" s="5">
        <f>LAVORAZIONI!N286</f>
        <v/>
      </c>
      <c r="H34" s="6">
        <f>LAVORAZIONI!O286</f>
        <v/>
      </c>
      <c r="I34" s="13">
        <f>LAVORAZIONI!P286</f>
        <v/>
      </c>
      <c r="J34" s="5">
        <f>IF(LAVORAZIONI!Q286="","",LAVORAZIONI!Q286)</f>
        <v/>
      </c>
      <c r="K34" s="6">
        <f>IF(LAVORAZIONI!R286="","",LAVORAZIONI!R286)</f>
        <v/>
      </c>
      <c r="L34" s="13">
        <f>IF(LAVORAZIONI!S286="","",LAVORAZIONI!S286)</f>
        <v/>
      </c>
      <c r="M34" s="13">
        <f>LAVORAZIONI!T286</f>
        <v/>
      </c>
      <c r="O34" s="7">
        <f>LAVORAZIONI!U286</f>
        <v/>
      </c>
      <c r="P34" s="45">
        <f>LAVORAZIONI!V286</f>
        <v/>
      </c>
      <c r="Q34" s="7">
        <f>LAVORAZIONI!W286</f>
        <v/>
      </c>
      <c r="R34" s="6">
        <f>LAVORAZIONI!X286</f>
        <v/>
      </c>
      <c r="S34" s="7">
        <f>LAVORAZIONI!Y286</f>
        <v/>
      </c>
      <c r="T34" s="6">
        <f>LAVORAZIONI!Z286</f>
        <v/>
      </c>
      <c r="U34" s="7">
        <f>LAVORAZIONI!AA286</f>
        <v/>
      </c>
      <c r="V34" s="6">
        <f>LAVORAZIONI!AB286</f>
        <v/>
      </c>
      <c r="W34" s="7">
        <f>LAVORAZIONI!AC286</f>
        <v/>
      </c>
      <c r="X34" s="6">
        <f>LAVORAZIONI!AD286</f>
        <v/>
      </c>
      <c r="Y34" s="7">
        <f>LAVORAZIONI!AE286</f>
        <v/>
      </c>
      <c r="Z34" s="6">
        <f>LAVORAZIONI!AF286</f>
        <v/>
      </c>
      <c r="AA34" s="7">
        <f>LAVORAZIONI!AG286</f>
        <v/>
      </c>
      <c r="AB34" s="6">
        <f>LAVORAZIONI!AH286</f>
        <v/>
      </c>
      <c r="AC34" s="7">
        <f>LAVORAZIONI!AI286</f>
        <v/>
      </c>
      <c r="AD34" s="13">
        <f>LAVORAZIONI!AJ286</f>
        <v/>
      </c>
    </row>
    <row r="35" ht="64" customHeight="1" s="46">
      <c r="B35" s="4">
        <f>LAVORAZIONI!G287</f>
        <v/>
      </c>
      <c r="C35" s="3">
        <f>LAVORAZIONI!A287</f>
        <v/>
      </c>
      <c r="D35" s="3">
        <f>LAVORAZIONI!K287</f>
        <v/>
      </c>
      <c r="E35" s="4">
        <f>LAVORAZIONI!H287</f>
        <v/>
      </c>
      <c r="F35" s="4">
        <f>LAVORAZIONI!M287</f>
        <v/>
      </c>
      <c r="G35" s="5">
        <f>LAVORAZIONI!N287</f>
        <v/>
      </c>
      <c r="H35" s="6">
        <f>LAVORAZIONI!O287</f>
        <v/>
      </c>
      <c r="I35" s="13">
        <f>LAVORAZIONI!P287</f>
        <v/>
      </c>
      <c r="J35" s="5">
        <f>IF(LAVORAZIONI!Q287="","",LAVORAZIONI!Q287)</f>
        <v/>
      </c>
      <c r="K35" s="6">
        <f>IF(LAVORAZIONI!R287="","",LAVORAZIONI!R287)</f>
        <v/>
      </c>
      <c r="L35" s="13">
        <f>IF(LAVORAZIONI!S287="","",LAVORAZIONI!S287)</f>
        <v/>
      </c>
      <c r="M35" s="13">
        <f>LAVORAZIONI!T287</f>
        <v/>
      </c>
      <c r="O35" s="7">
        <f>LAVORAZIONI!U287</f>
        <v/>
      </c>
      <c r="P35" s="45">
        <f>LAVORAZIONI!V287</f>
        <v/>
      </c>
      <c r="Q35" s="7">
        <f>LAVORAZIONI!W287</f>
        <v/>
      </c>
      <c r="R35" s="6">
        <f>LAVORAZIONI!X287</f>
        <v/>
      </c>
      <c r="S35" s="7">
        <f>LAVORAZIONI!Y287</f>
        <v/>
      </c>
      <c r="T35" s="6">
        <f>LAVORAZIONI!Z287</f>
        <v/>
      </c>
      <c r="U35" s="7">
        <f>LAVORAZIONI!AA287</f>
        <v/>
      </c>
      <c r="V35" s="6">
        <f>LAVORAZIONI!AB287</f>
        <v/>
      </c>
      <c r="W35" s="7">
        <f>LAVORAZIONI!AC287</f>
        <v/>
      </c>
      <c r="X35" s="6">
        <f>LAVORAZIONI!AD287</f>
        <v/>
      </c>
      <c r="Y35" s="7">
        <f>LAVORAZIONI!AE287</f>
        <v/>
      </c>
      <c r="Z35" s="6">
        <f>LAVORAZIONI!AF287</f>
        <v/>
      </c>
      <c r="AA35" s="7">
        <f>LAVORAZIONI!AG287</f>
        <v/>
      </c>
      <c r="AB35" s="6">
        <f>LAVORAZIONI!AH287</f>
        <v/>
      </c>
      <c r="AC35" s="7">
        <f>LAVORAZIONI!AI287</f>
        <v/>
      </c>
      <c r="AD35" s="13">
        <f>LAVORAZIONI!AJ287</f>
        <v/>
      </c>
    </row>
    <row r="36" ht="64" customHeight="1" s="46">
      <c r="B36" s="4">
        <f>LAVORAZIONI!G288</f>
        <v/>
      </c>
      <c r="C36" s="3">
        <f>LAVORAZIONI!A288</f>
        <v/>
      </c>
      <c r="D36" s="3">
        <f>LAVORAZIONI!K288</f>
        <v/>
      </c>
      <c r="E36" s="4">
        <f>LAVORAZIONI!H288</f>
        <v/>
      </c>
      <c r="F36" s="4">
        <f>LAVORAZIONI!M288</f>
        <v/>
      </c>
      <c r="G36" s="5">
        <f>LAVORAZIONI!N288</f>
        <v/>
      </c>
      <c r="H36" s="6">
        <f>LAVORAZIONI!O288</f>
        <v/>
      </c>
      <c r="I36" s="13">
        <f>LAVORAZIONI!P288</f>
        <v/>
      </c>
      <c r="J36" s="5">
        <f>IF(LAVORAZIONI!Q288="","",LAVORAZIONI!Q288)</f>
        <v/>
      </c>
      <c r="K36" s="6">
        <f>IF(LAVORAZIONI!R288="","",LAVORAZIONI!R288)</f>
        <v/>
      </c>
      <c r="L36" s="13">
        <f>IF(LAVORAZIONI!S288="","",LAVORAZIONI!S288)</f>
        <v/>
      </c>
      <c r="M36" s="13">
        <f>LAVORAZIONI!T288</f>
        <v/>
      </c>
      <c r="O36" s="7">
        <f>LAVORAZIONI!U288</f>
        <v/>
      </c>
      <c r="P36" s="45">
        <f>LAVORAZIONI!V288</f>
        <v/>
      </c>
      <c r="Q36" s="7">
        <f>LAVORAZIONI!W288</f>
        <v/>
      </c>
      <c r="R36" s="6">
        <f>LAVORAZIONI!X288</f>
        <v/>
      </c>
      <c r="S36" s="7">
        <f>LAVORAZIONI!Y288</f>
        <v/>
      </c>
      <c r="T36" s="6">
        <f>LAVORAZIONI!Z288</f>
        <v/>
      </c>
      <c r="U36" s="7">
        <f>LAVORAZIONI!AA288</f>
        <v/>
      </c>
      <c r="V36" s="6">
        <f>LAVORAZIONI!AB288</f>
        <v/>
      </c>
      <c r="W36" s="7">
        <f>LAVORAZIONI!AC288</f>
        <v/>
      </c>
      <c r="X36" s="6">
        <f>LAVORAZIONI!AD288</f>
        <v/>
      </c>
      <c r="Y36" s="7">
        <f>LAVORAZIONI!AE288</f>
        <v/>
      </c>
      <c r="Z36" s="6">
        <f>LAVORAZIONI!AF288</f>
        <v/>
      </c>
      <c r="AA36" s="7">
        <f>LAVORAZIONI!AG288</f>
        <v/>
      </c>
      <c r="AB36" s="6">
        <f>LAVORAZIONI!AH288</f>
        <v/>
      </c>
      <c r="AC36" s="7">
        <f>LAVORAZIONI!AI288</f>
        <v/>
      </c>
      <c r="AD36" s="13">
        <f>LAVORAZIONI!AJ288</f>
        <v/>
      </c>
    </row>
    <row r="37" ht="64" customHeight="1" s="46">
      <c r="B37" s="4">
        <f>LAVORAZIONI!G289</f>
        <v/>
      </c>
      <c r="C37" s="3">
        <f>LAVORAZIONI!A289</f>
        <v/>
      </c>
      <c r="D37" s="3">
        <f>LAVORAZIONI!K289</f>
        <v/>
      </c>
      <c r="E37" s="4">
        <f>LAVORAZIONI!H289</f>
        <v/>
      </c>
      <c r="F37" s="4">
        <f>LAVORAZIONI!M289</f>
        <v/>
      </c>
      <c r="G37" s="5">
        <f>LAVORAZIONI!N289</f>
        <v/>
      </c>
      <c r="H37" s="6">
        <f>LAVORAZIONI!O289</f>
        <v/>
      </c>
      <c r="I37" s="13">
        <f>LAVORAZIONI!P289</f>
        <v/>
      </c>
      <c r="J37" s="5">
        <f>IF(LAVORAZIONI!Q289="","",LAVORAZIONI!Q289)</f>
        <v/>
      </c>
      <c r="K37" s="6">
        <f>IF(LAVORAZIONI!R289="","",LAVORAZIONI!R289)</f>
        <v/>
      </c>
      <c r="L37" s="13">
        <f>IF(LAVORAZIONI!S289="","",LAVORAZIONI!S289)</f>
        <v/>
      </c>
      <c r="M37" s="13">
        <f>LAVORAZIONI!T289</f>
        <v/>
      </c>
      <c r="O37" s="7">
        <f>LAVORAZIONI!U289</f>
        <v/>
      </c>
      <c r="P37" s="45">
        <f>LAVORAZIONI!V289</f>
        <v/>
      </c>
      <c r="Q37" s="7">
        <f>LAVORAZIONI!W289</f>
        <v/>
      </c>
      <c r="R37" s="6">
        <f>LAVORAZIONI!X289</f>
        <v/>
      </c>
      <c r="S37" s="7">
        <f>LAVORAZIONI!Y289</f>
        <v/>
      </c>
      <c r="T37" s="6">
        <f>LAVORAZIONI!Z289</f>
        <v/>
      </c>
      <c r="U37" s="7">
        <f>LAVORAZIONI!AA289</f>
        <v/>
      </c>
      <c r="V37" s="6">
        <f>LAVORAZIONI!AB289</f>
        <v/>
      </c>
      <c r="W37" s="7">
        <f>LAVORAZIONI!AC289</f>
        <v/>
      </c>
      <c r="X37" s="6">
        <f>LAVORAZIONI!AD289</f>
        <v/>
      </c>
      <c r="Y37" s="7">
        <f>LAVORAZIONI!AE289</f>
        <v/>
      </c>
      <c r="Z37" s="6">
        <f>LAVORAZIONI!AF289</f>
        <v/>
      </c>
      <c r="AA37" s="7">
        <f>LAVORAZIONI!AG289</f>
        <v/>
      </c>
      <c r="AB37" s="6">
        <f>LAVORAZIONI!AH289</f>
        <v/>
      </c>
      <c r="AC37" s="7">
        <f>LAVORAZIONI!AI289</f>
        <v/>
      </c>
      <c r="AD37" s="13">
        <f>LAVORAZIONI!AJ289</f>
        <v/>
      </c>
    </row>
    <row r="38" ht="64" customHeight="1" s="46">
      <c r="B38" s="4">
        <f>LAVORAZIONI!G290</f>
        <v/>
      </c>
      <c r="C38" s="3">
        <f>LAVORAZIONI!A290</f>
        <v/>
      </c>
      <c r="D38" s="3">
        <f>LAVORAZIONI!K290</f>
        <v/>
      </c>
      <c r="E38" s="4">
        <f>LAVORAZIONI!H290</f>
        <v/>
      </c>
      <c r="F38" s="4">
        <f>LAVORAZIONI!M290</f>
        <v/>
      </c>
      <c r="G38" s="5">
        <f>LAVORAZIONI!N290</f>
        <v/>
      </c>
      <c r="H38" s="6">
        <f>LAVORAZIONI!O290</f>
        <v/>
      </c>
      <c r="I38" s="13">
        <f>LAVORAZIONI!P290</f>
        <v/>
      </c>
      <c r="J38" s="5">
        <f>IF(LAVORAZIONI!Q290="","",LAVORAZIONI!Q290)</f>
        <v/>
      </c>
      <c r="K38" s="6">
        <f>IF(LAVORAZIONI!R290="","",LAVORAZIONI!R290)</f>
        <v/>
      </c>
      <c r="L38" s="13">
        <f>IF(LAVORAZIONI!S290="","",LAVORAZIONI!S290)</f>
        <v/>
      </c>
      <c r="M38" s="13">
        <f>LAVORAZIONI!T290</f>
        <v/>
      </c>
      <c r="O38" s="7">
        <f>LAVORAZIONI!U290</f>
        <v/>
      </c>
      <c r="P38" s="45">
        <f>LAVORAZIONI!V290</f>
        <v/>
      </c>
      <c r="Q38" s="7">
        <f>LAVORAZIONI!W290</f>
        <v/>
      </c>
      <c r="R38" s="6">
        <f>LAVORAZIONI!X290</f>
        <v/>
      </c>
      <c r="S38" s="7">
        <f>LAVORAZIONI!Y290</f>
        <v/>
      </c>
      <c r="T38" s="6">
        <f>LAVORAZIONI!Z290</f>
        <v/>
      </c>
      <c r="U38" s="7">
        <f>LAVORAZIONI!AA290</f>
        <v/>
      </c>
      <c r="V38" s="6">
        <f>LAVORAZIONI!AB290</f>
        <v/>
      </c>
      <c r="W38" s="7">
        <f>LAVORAZIONI!AC290</f>
        <v/>
      </c>
      <c r="X38" s="6">
        <f>LAVORAZIONI!AD290</f>
        <v/>
      </c>
      <c r="Y38" s="7">
        <f>LAVORAZIONI!AE290</f>
        <v/>
      </c>
      <c r="Z38" s="6">
        <f>LAVORAZIONI!AF290</f>
        <v/>
      </c>
      <c r="AA38" s="7">
        <f>LAVORAZIONI!AG290</f>
        <v/>
      </c>
      <c r="AB38" s="6">
        <f>LAVORAZIONI!AH290</f>
        <v/>
      </c>
      <c r="AC38" s="7">
        <f>LAVORAZIONI!AI290</f>
        <v/>
      </c>
      <c r="AD38" s="13">
        <f>LAVORAZIONI!AJ290</f>
        <v/>
      </c>
    </row>
    <row r="39" ht="64" customHeight="1" s="46">
      <c r="B39" s="4">
        <f>LAVORAZIONI!G291</f>
        <v/>
      </c>
      <c r="C39" s="3">
        <f>LAVORAZIONI!A291</f>
        <v/>
      </c>
      <c r="D39" s="3">
        <f>LAVORAZIONI!K291</f>
        <v/>
      </c>
      <c r="E39" s="4">
        <f>LAVORAZIONI!H291</f>
        <v/>
      </c>
      <c r="F39" s="4">
        <f>LAVORAZIONI!M291</f>
        <v/>
      </c>
      <c r="G39" s="5">
        <f>LAVORAZIONI!N291</f>
        <v/>
      </c>
      <c r="H39" s="6">
        <f>LAVORAZIONI!O291</f>
        <v/>
      </c>
      <c r="I39" s="13">
        <f>LAVORAZIONI!P291</f>
        <v/>
      </c>
      <c r="J39" s="5">
        <f>IF(LAVORAZIONI!Q291="","",LAVORAZIONI!Q291)</f>
        <v/>
      </c>
      <c r="K39" s="6">
        <f>IF(LAVORAZIONI!R291="","",LAVORAZIONI!R291)</f>
        <v/>
      </c>
      <c r="L39" s="13">
        <f>IF(LAVORAZIONI!S291="","",LAVORAZIONI!S291)</f>
        <v/>
      </c>
      <c r="M39" s="13">
        <f>LAVORAZIONI!T291</f>
        <v/>
      </c>
      <c r="O39" s="7">
        <f>LAVORAZIONI!U291</f>
        <v/>
      </c>
      <c r="P39" s="45">
        <f>LAVORAZIONI!V291</f>
        <v/>
      </c>
      <c r="Q39" s="7">
        <f>LAVORAZIONI!W291</f>
        <v/>
      </c>
      <c r="R39" s="6">
        <f>LAVORAZIONI!X291</f>
        <v/>
      </c>
      <c r="S39" s="7">
        <f>LAVORAZIONI!Y291</f>
        <v/>
      </c>
      <c r="T39" s="6">
        <f>LAVORAZIONI!Z291</f>
        <v/>
      </c>
      <c r="U39" s="7">
        <f>LAVORAZIONI!AA291</f>
        <v/>
      </c>
      <c r="V39" s="6">
        <f>LAVORAZIONI!AB291</f>
        <v/>
      </c>
      <c r="W39" s="7">
        <f>LAVORAZIONI!AC291</f>
        <v/>
      </c>
      <c r="X39" s="6">
        <f>LAVORAZIONI!AD291</f>
        <v/>
      </c>
      <c r="Y39" s="7">
        <f>LAVORAZIONI!AE291</f>
        <v/>
      </c>
      <c r="Z39" s="6">
        <f>LAVORAZIONI!AF291</f>
        <v/>
      </c>
      <c r="AA39" s="7">
        <f>LAVORAZIONI!AG291</f>
        <v/>
      </c>
      <c r="AB39" s="6">
        <f>LAVORAZIONI!AH291</f>
        <v/>
      </c>
      <c r="AC39" s="7">
        <f>LAVORAZIONI!AI291</f>
        <v/>
      </c>
      <c r="AD39" s="13">
        <f>LAVORAZIONI!AJ291</f>
        <v/>
      </c>
    </row>
    <row r="40" ht="64" customHeight="1" s="46">
      <c r="B40" s="4">
        <f>LAVORAZIONI!G292</f>
        <v/>
      </c>
      <c r="C40" s="3">
        <f>LAVORAZIONI!A292</f>
        <v/>
      </c>
      <c r="D40" s="3">
        <f>LAVORAZIONI!K292</f>
        <v/>
      </c>
      <c r="E40" s="4">
        <f>LAVORAZIONI!H292</f>
        <v/>
      </c>
      <c r="F40" s="4">
        <f>LAVORAZIONI!M292</f>
        <v/>
      </c>
      <c r="G40" s="5">
        <f>LAVORAZIONI!N292</f>
        <v/>
      </c>
      <c r="H40" s="6">
        <f>LAVORAZIONI!O292</f>
        <v/>
      </c>
      <c r="I40" s="13">
        <f>LAVORAZIONI!P292</f>
        <v/>
      </c>
      <c r="J40" s="5">
        <f>IF(LAVORAZIONI!Q292="","",LAVORAZIONI!Q292)</f>
        <v/>
      </c>
      <c r="K40" s="6">
        <f>IF(LAVORAZIONI!R292="","",LAVORAZIONI!R292)</f>
        <v/>
      </c>
      <c r="L40" s="13">
        <f>IF(LAVORAZIONI!S292="","",LAVORAZIONI!S292)</f>
        <v/>
      </c>
      <c r="M40" s="13">
        <f>LAVORAZIONI!T292</f>
        <v/>
      </c>
      <c r="O40" s="7">
        <f>LAVORAZIONI!U292</f>
        <v/>
      </c>
      <c r="P40" s="45">
        <f>LAVORAZIONI!V292</f>
        <v/>
      </c>
      <c r="Q40" s="7">
        <f>LAVORAZIONI!W292</f>
        <v/>
      </c>
      <c r="R40" s="6">
        <f>LAVORAZIONI!X292</f>
        <v/>
      </c>
      <c r="S40" s="7">
        <f>LAVORAZIONI!Y292</f>
        <v/>
      </c>
      <c r="T40" s="6">
        <f>LAVORAZIONI!Z292</f>
        <v/>
      </c>
      <c r="U40" s="7">
        <f>LAVORAZIONI!AA292</f>
        <v/>
      </c>
      <c r="V40" s="6">
        <f>LAVORAZIONI!AB292</f>
        <v/>
      </c>
      <c r="W40" s="7">
        <f>LAVORAZIONI!AC292</f>
        <v/>
      </c>
      <c r="X40" s="6">
        <f>LAVORAZIONI!AD292</f>
        <v/>
      </c>
      <c r="Y40" s="7">
        <f>LAVORAZIONI!AE292</f>
        <v/>
      </c>
      <c r="Z40" s="6">
        <f>LAVORAZIONI!AF292</f>
        <v/>
      </c>
      <c r="AA40" s="7">
        <f>LAVORAZIONI!AG292</f>
        <v/>
      </c>
      <c r="AB40" s="6">
        <f>LAVORAZIONI!AH292</f>
        <v/>
      </c>
      <c r="AC40" s="7">
        <f>LAVORAZIONI!AI292</f>
        <v/>
      </c>
      <c r="AD40" s="13">
        <f>LAVORAZIONI!AJ292</f>
        <v/>
      </c>
    </row>
    <row r="41" ht="64" customHeight="1" s="46">
      <c r="B41" s="4">
        <f>LAVORAZIONI!G293</f>
        <v/>
      </c>
      <c r="C41" s="3">
        <f>LAVORAZIONI!A293</f>
        <v/>
      </c>
      <c r="D41" s="3">
        <f>LAVORAZIONI!K293</f>
        <v/>
      </c>
      <c r="E41" s="4">
        <f>LAVORAZIONI!H293</f>
        <v/>
      </c>
      <c r="F41" s="4">
        <f>LAVORAZIONI!M293</f>
        <v/>
      </c>
      <c r="G41" s="5">
        <f>LAVORAZIONI!N293</f>
        <v/>
      </c>
      <c r="H41" s="6">
        <f>LAVORAZIONI!O293</f>
        <v/>
      </c>
      <c r="I41" s="13">
        <f>LAVORAZIONI!P293</f>
        <v/>
      </c>
      <c r="J41" s="5">
        <f>IF(LAVORAZIONI!Q293="","",LAVORAZIONI!Q293)</f>
        <v/>
      </c>
      <c r="K41" s="6">
        <f>IF(LAVORAZIONI!R293="","",LAVORAZIONI!R293)</f>
        <v/>
      </c>
      <c r="L41" s="13">
        <f>IF(LAVORAZIONI!S293="","",LAVORAZIONI!S293)</f>
        <v/>
      </c>
      <c r="M41" s="13">
        <f>LAVORAZIONI!T293</f>
        <v/>
      </c>
      <c r="O41" s="7">
        <f>LAVORAZIONI!U293</f>
        <v/>
      </c>
      <c r="P41" s="45">
        <f>LAVORAZIONI!V293</f>
        <v/>
      </c>
      <c r="Q41" s="7">
        <f>LAVORAZIONI!W293</f>
        <v/>
      </c>
      <c r="R41" s="6">
        <f>LAVORAZIONI!X293</f>
        <v/>
      </c>
      <c r="S41" s="7">
        <f>LAVORAZIONI!Y293</f>
        <v/>
      </c>
      <c r="T41" s="6">
        <f>LAVORAZIONI!Z293</f>
        <v/>
      </c>
      <c r="U41" s="7">
        <f>LAVORAZIONI!AA293</f>
        <v/>
      </c>
      <c r="V41" s="6">
        <f>LAVORAZIONI!AB293</f>
        <v/>
      </c>
      <c r="W41" s="7">
        <f>LAVORAZIONI!AC293</f>
        <v/>
      </c>
      <c r="X41" s="6">
        <f>LAVORAZIONI!AD293</f>
        <v/>
      </c>
      <c r="Y41" s="7">
        <f>LAVORAZIONI!AE293</f>
        <v/>
      </c>
      <c r="Z41" s="6">
        <f>LAVORAZIONI!AF293</f>
        <v/>
      </c>
      <c r="AA41" s="7">
        <f>LAVORAZIONI!AG293</f>
        <v/>
      </c>
      <c r="AB41" s="6">
        <f>LAVORAZIONI!AH293</f>
        <v/>
      </c>
      <c r="AC41" s="7">
        <f>LAVORAZIONI!AI293</f>
        <v/>
      </c>
      <c r="AD41" s="13">
        <f>LAVORAZIONI!AJ293</f>
        <v/>
      </c>
    </row>
    <row r="42" ht="64" customHeight="1" s="46">
      <c r="B42" s="4">
        <f>LAVORAZIONI!G294</f>
        <v/>
      </c>
      <c r="C42" s="3">
        <f>LAVORAZIONI!A294</f>
        <v/>
      </c>
      <c r="D42" s="3">
        <f>LAVORAZIONI!K294</f>
        <v/>
      </c>
      <c r="E42" s="4">
        <f>LAVORAZIONI!H294</f>
        <v/>
      </c>
      <c r="F42" s="4">
        <f>LAVORAZIONI!M294</f>
        <v/>
      </c>
      <c r="G42" s="5">
        <f>LAVORAZIONI!N294</f>
        <v/>
      </c>
      <c r="H42" s="6">
        <f>LAVORAZIONI!O294</f>
        <v/>
      </c>
      <c r="I42" s="13">
        <f>LAVORAZIONI!P294</f>
        <v/>
      </c>
      <c r="J42" s="5">
        <f>IF(LAVORAZIONI!Q294="","",LAVORAZIONI!Q294)</f>
        <v/>
      </c>
      <c r="K42" s="6">
        <f>IF(LAVORAZIONI!R294="","",LAVORAZIONI!R294)</f>
        <v/>
      </c>
      <c r="L42" s="13">
        <f>IF(LAVORAZIONI!S294="","",LAVORAZIONI!S294)</f>
        <v/>
      </c>
      <c r="M42" s="13">
        <f>LAVORAZIONI!T294</f>
        <v/>
      </c>
      <c r="O42" s="7">
        <f>LAVORAZIONI!U294</f>
        <v/>
      </c>
      <c r="P42" s="45">
        <f>LAVORAZIONI!V294</f>
        <v/>
      </c>
      <c r="Q42" s="7">
        <f>LAVORAZIONI!W294</f>
        <v/>
      </c>
      <c r="R42" s="6">
        <f>LAVORAZIONI!X294</f>
        <v/>
      </c>
      <c r="S42" s="7">
        <f>LAVORAZIONI!Y294</f>
        <v/>
      </c>
      <c r="T42" s="6">
        <f>LAVORAZIONI!Z294</f>
        <v/>
      </c>
      <c r="U42" s="7">
        <f>LAVORAZIONI!AA294</f>
        <v/>
      </c>
      <c r="V42" s="6">
        <f>LAVORAZIONI!AB294</f>
        <v/>
      </c>
      <c r="W42" s="7">
        <f>LAVORAZIONI!AC294</f>
        <v/>
      </c>
      <c r="X42" s="6">
        <f>LAVORAZIONI!AD294</f>
        <v/>
      </c>
      <c r="Y42" s="7">
        <f>LAVORAZIONI!AE294</f>
        <v/>
      </c>
      <c r="Z42" s="6">
        <f>LAVORAZIONI!AF294</f>
        <v/>
      </c>
      <c r="AA42" s="7">
        <f>LAVORAZIONI!AG294</f>
        <v/>
      </c>
      <c r="AB42" s="6">
        <f>LAVORAZIONI!AH294</f>
        <v/>
      </c>
      <c r="AC42" s="7">
        <f>LAVORAZIONI!AI294</f>
        <v/>
      </c>
      <c r="AD42" s="13">
        <f>LAVORAZIONI!AJ294</f>
        <v/>
      </c>
    </row>
    <row r="43" ht="64" customHeight="1" s="46">
      <c r="B43" s="4">
        <f>LAVORAZIONI!G295</f>
        <v/>
      </c>
      <c r="C43" s="3">
        <f>LAVORAZIONI!A295</f>
        <v/>
      </c>
      <c r="D43" s="3">
        <f>LAVORAZIONI!K295</f>
        <v/>
      </c>
      <c r="E43" s="4">
        <f>LAVORAZIONI!H295</f>
        <v/>
      </c>
      <c r="F43" s="4">
        <f>LAVORAZIONI!M295</f>
        <v/>
      </c>
      <c r="G43" s="5">
        <f>LAVORAZIONI!N295</f>
        <v/>
      </c>
      <c r="H43" s="6">
        <f>LAVORAZIONI!O295</f>
        <v/>
      </c>
      <c r="I43" s="13">
        <f>LAVORAZIONI!P295</f>
        <v/>
      </c>
      <c r="J43" s="5">
        <f>IF(LAVORAZIONI!Q295="","",LAVORAZIONI!Q295)</f>
        <v/>
      </c>
      <c r="K43" s="6">
        <f>IF(LAVORAZIONI!R295="","",LAVORAZIONI!R295)</f>
        <v/>
      </c>
      <c r="L43" s="13">
        <f>IF(LAVORAZIONI!S295="","",LAVORAZIONI!S295)</f>
        <v/>
      </c>
      <c r="M43" s="13">
        <f>LAVORAZIONI!T295</f>
        <v/>
      </c>
      <c r="O43" s="7">
        <f>LAVORAZIONI!U295</f>
        <v/>
      </c>
      <c r="P43" s="45">
        <f>LAVORAZIONI!V295</f>
        <v/>
      </c>
      <c r="Q43" s="7">
        <f>LAVORAZIONI!W295</f>
        <v/>
      </c>
      <c r="R43" s="6">
        <f>LAVORAZIONI!X295</f>
        <v/>
      </c>
      <c r="S43" s="7">
        <f>LAVORAZIONI!Y295</f>
        <v/>
      </c>
      <c r="T43" s="6">
        <f>LAVORAZIONI!Z295</f>
        <v/>
      </c>
      <c r="U43" s="7">
        <f>LAVORAZIONI!AA295</f>
        <v/>
      </c>
      <c r="V43" s="6">
        <f>LAVORAZIONI!AB295</f>
        <v/>
      </c>
      <c r="W43" s="7">
        <f>LAVORAZIONI!AC295</f>
        <v/>
      </c>
      <c r="X43" s="6">
        <f>LAVORAZIONI!AD295</f>
        <v/>
      </c>
      <c r="Y43" s="7">
        <f>LAVORAZIONI!AE295</f>
        <v/>
      </c>
      <c r="Z43" s="6">
        <f>LAVORAZIONI!AF295</f>
        <v/>
      </c>
      <c r="AA43" s="7">
        <f>LAVORAZIONI!AG295</f>
        <v/>
      </c>
      <c r="AB43" s="6">
        <f>LAVORAZIONI!AH295</f>
        <v/>
      </c>
      <c r="AC43" s="7">
        <f>LAVORAZIONI!AI295</f>
        <v/>
      </c>
      <c r="AD43" s="13">
        <f>LAVORAZIONI!AJ295</f>
        <v/>
      </c>
    </row>
    <row r="44" ht="64" customHeight="1" s="46">
      <c r="B44" s="4">
        <f>LAVORAZIONI!G296</f>
        <v/>
      </c>
      <c r="C44" s="3">
        <f>LAVORAZIONI!A296</f>
        <v/>
      </c>
      <c r="D44" s="3">
        <f>LAVORAZIONI!K296</f>
        <v/>
      </c>
      <c r="E44" s="4">
        <f>LAVORAZIONI!H296</f>
        <v/>
      </c>
      <c r="F44" s="4">
        <f>LAVORAZIONI!M296</f>
        <v/>
      </c>
      <c r="G44" s="5">
        <f>LAVORAZIONI!N296</f>
        <v/>
      </c>
      <c r="H44" s="6">
        <f>LAVORAZIONI!O296</f>
        <v/>
      </c>
      <c r="I44" s="13">
        <f>LAVORAZIONI!P296</f>
        <v/>
      </c>
      <c r="J44" s="5">
        <f>IF(LAVORAZIONI!Q296="","",LAVORAZIONI!Q296)</f>
        <v/>
      </c>
      <c r="K44" s="6">
        <f>IF(LAVORAZIONI!R296="","",LAVORAZIONI!R296)</f>
        <v/>
      </c>
      <c r="L44" s="13">
        <f>IF(LAVORAZIONI!S296="","",LAVORAZIONI!S296)</f>
        <v/>
      </c>
      <c r="M44" s="13">
        <f>LAVORAZIONI!T296</f>
        <v/>
      </c>
      <c r="O44" s="7">
        <f>LAVORAZIONI!U296</f>
        <v/>
      </c>
      <c r="P44" s="45">
        <f>LAVORAZIONI!V296</f>
        <v/>
      </c>
      <c r="Q44" s="7">
        <f>LAVORAZIONI!W296</f>
        <v/>
      </c>
      <c r="R44" s="6">
        <f>LAVORAZIONI!X296</f>
        <v/>
      </c>
      <c r="S44" s="7">
        <f>LAVORAZIONI!Y296</f>
        <v/>
      </c>
      <c r="T44" s="6">
        <f>LAVORAZIONI!Z296</f>
        <v/>
      </c>
      <c r="U44" s="7">
        <f>LAVORAZIONI!AA296</f>
        <v/>
      </c>
      <c r="V44" s="6">
        <f>LAVORAZIONI!AB296</f>
        <v/>
      </c>
      <c r="W44" s="7">
        <f>LAVORAZIONI!AC296</f>
        <v/>
      </c>
      <c r="X44" s="6">
        <f>LAVORAZIONI!AD296</f>
        <v/>
      </c>
      <c r="Y44" s="7">
        <f>LAVORAZIONI!AE296</f>
        <v/>
      </c>
      <c r="Z44" s="6">
        <f>LAVORAZIONI!AF296</f>
        <v/>
      </c>
      <c r="AA44" s="7">
        <f>LAVORAZIONI!AG296</f>
        <v/>
      </c>
      <c r="AB44" s="6">
        <f>LAVORAZIONI!AH296</f>
        <v/>
      </c>
      <c r="AC44" s="7">
        <f>LAVORAZIONI!AI296</f>
        <v/>
      </c>
      <c r="AD44" s="13">
        <f>LAVORAZIONI!AJ296</f>
        <v/>
      </c>
    </row>
    <row r="45" ht="64" customHeight="1" s="46">
      <c r="B45" s="4">
        <f>LAVORAZIONI!G297</f>
        <v/>
      </c>
      <c r="C45" s="3">
        <f>LAVORAZIONI!A297</f>
        <v/>
      </c>
      <c r="D45" s="3">
        <f>LAVORAZIONI!K297</f>
        <v/>
      </c>
      <c r="E45" s="4">
        <f>LAVORAZIONI!H297</f>
        <v/>
      </c>
      <c r="F45" s="4">
        <f>LAVORAZIONI!M297</f>
        <v/>
      </c>
      <c r="G45" s="5">
        <f>LAVORAZIONI!N297</f>
        <v/>
      </c>
      <c r="H45" s="6">
        <f>LAVORAZIONI!O297</f>
        <v/>
      </c>
      <c r="I45" s="13">
        <f>LAVORAZIONI!P297</f>
        <v/>
      </c>
      <c r="J45" s="5">
        <f>IF(LAVORAZIONI!Q297="","",LAVORAZIONI!Q297)</f>
        <v/>
      </c>
      <c r="K45" s="6">
        <f>IF(LAVORAZIONI!R297="","",LAVORAZIONI!R297)</f>
        <v/>
      </c>
      <c r="L45" s="13">
        <f>IF(LAVORAZIONI!S297="","",LAVORAZIONI!S297)</f>
        <v/>
      </c>
      <c r="M45" s="13">
        <f>LAVORAZIONI!T297</f>
        <v/>
      </c>
      <c r="O45" s="7">
        <f>LAVORAZIONI!U297</f>
        <v/>
      </c>
      <c r="P45" s="45">
        <f>LAVORAZIONI!V297</f>
        <v/>
      </c>
      <c r="Q45" s="7">
        <f>LAVORAZIONI!W297</f>
        <v/>
      </c>
      <c r="R45" s="6">
        <f>LAVORAZIONI!X297</f>
        <v/>
      </c>
      <c r="S45" s="7">
        <f>LAVORAZIONI!Y297</f>
        <v/>
      </c>
      <c r="T45" s="6">
        <f>LAVORAZIONI!Z297</f>
        <v/>
      </c>
      <c r="U45" s="7">
        <f>LAVORAZIONI!AA297</f>
        <v/>
      </c>
      <c r="V45" s="6">
        <f>LAVORAZIONI!AB297</f>
        <v/>
      </c>
      <c r="W45" s="7">
        <f>LAVORAZIONI!AC297</f>
        <v/>
      </c>
      <c r="X45" s="6">
        <f>LAVORAZIONI!AD297</f>
        <v/>
      </c>
      <c r="Y45" s="7">
        <f>LAVORAZIONI!AE297</f>
        <v/>
      </c>
      <c r="Z45" s="6">
        <f>LAVORAZIONI!AF297</f>
        <v/>
      </c>
      <c r="AA45" s="7">
        <f>LAVORAZIONI!AG297</f>
        <v/>
      </c>
      <c r="AB45" s="6">
        <f>LAVORAZIONI!AH297</f>
        <v/>
      </c>
      <c r="AC45" s="7">
        <f>LAVORAZIONI!AI297</f>
        <v/>
      </c>
      <c r="AD45" s="13">
        <f>LAVORAZIONI!AJ297</f>
        <v/>
      </c>
    </row>
    <row r="46" ht="64" customHeight="1" s="46">
      <c r="B46" s="4">
        <f>LAVORAZIONI!G298</f>
        <v/>
      </c>
      <c r="C46" s="3">
        <f>LAVORAZIONI!A298</f>
        <v/>
      </c>
      <c r="D46" s="3">
        <f>LAVORAZIONI!K298</f>
        <v/>
      </c>
      <c r="E46" s="4">
        <f>LAVORAZIONI!H298</f>
        <v/>
      </c>
      <c r="F46" s="4">
        <f>LAVORAZIONI!M298</f>
        <v/>
      </c>
      <c r="G46" s="5">
        <f>LAVORAZIONI!N298</f>
        <v/>
      </c>
      <c r="H46" s="6">
        <f>LAVORAZIONI!O298</f>
        <v/>
      </c>
      <c r="I46" s="13">
        <f>LAVORAZIONI!P298</f>
        <v/>
      </c>
      <c r="J46" s="5">
        <f>IF(LAVORAZIONI!Q298="","",LAVORAZIONI!Q298)</f>
        <v/>
      </c>
      <c r="K46" s="6">
        <f>IF(LAVORAZIONI!R298="","",LAVORAZIONI!R298)</f>
        <v/>
      </c>
      <c r="L46" s="13">
        <f>IF(LAVORAZIONI!S298="","",LAVORAZIONI!S298)</f>
        <v/>
      </c>
      <c r="M46" s="13">
        <f>LAVORAZIONI!T298</f>
        <v/>
      </c>
      <c r="O46" s="7">
        <f>LAVORAZIONI!U298</f>
        <v/>
      </c>
      <c r="P46" s="45">
        <f>LAVORAZIONI!V298</f>
        <v/>
      </c>
      <c r="Q46" s="7">
        <f>LAVORAZIONI!W298</f>
        <v/>
      </c>
      <c r="R46" s="6">
        <f>LAVORAZIONI!X298</f>
        <v/>
      </c>
      <c r="S46" s="7">
        <f>LAVORAZIONI!Y298</f>
        <v/>
      </c>
      <c r="T46" s="6">
        <f>LAVORAZIONI!Z298</f>
        <v/>
      </c>
      <c r="U46" s="7">
        <f>LAVORAZIONI!AA298</f>
        <v/>
      </c>
      <c r="V46" s="6">
        <f>LAVORAZIONI!AB298</f>
        <v/>
      </c>
      <c r="W46" s="7">
        <f>LAVORAZIONI!AC298</f>
        <v/>
      </c>
      <c r="X46" s="6">
        <f>LAVORAZIONI!AD298</f>
        <v/>
      </c>
      <c r="Y46" s="7">
        <f>LAVORAZIONI!AE298</f>
        <v/>
      </c>
      <c r="Z46" s="6">
        <f>LAVORAZIONI!AF298</f>
        <v/>
      </c>
      <c r="AA46" s="7">
        <f>LAVORAZIONI!AG298</f>
        <v/>
      </c>
      <c r="AB46" s="6">
        <f>LAVORAZIONI!AH298</f>
        <v/>
      </c>
      <c r="AC46" s="7">
        <f>LAVORAZIONI!AI298</f>
        <v/>
      </c>
      <c r="AD46" s="13">
        <f>LAVORAZIONI!AJ298</f>
        <v/>
      </c>
    </row>
    <row r="47" ht="64" customHeight="1" s="46">
      <c r="B47" s="4">
        <f>LAVORAZIONI!G299</f>
        <v/>
      </c>
      <c r="C47" s="3">
        <f>LAVORAZIONI!A299</f>
        <v/>
      </c>
      <c r="D47" s="3">
        <f>LAVORAZIONI!K299</f>
        <v/>
      </c>
      <c r="E47" s="4">
        <f>LAVORAZIONI!H299</f>
        <v/>
      </c>
      <c r="F47" s="4">
        <f>LAVORAZIONI!M299</f>
        <v/>
      </c>
      <c r="G47" s="5">
        <f>LAVORAZIONI!N299</f>
        <v/>
      </c>
      <c r="H47" s="6">
        <f>LAVORAZIONI!O299</f>
        <v/>
      </c>
      <c r="I47" s="13">
        <f>LAVORAZIONI!P299</f>
        <v/>
      </c>
      <c r="J47" s="5">
        <f>IF(LAVORAZIONI!Q299="","",LAVORAZIONI!Q299)</f>
        <v/>
      </c>
      <c r="K47" s="6">
        <f>IF(LAVORAZIONI!R299="","",LAVORAZIONI!R299)</f>
        <v/>
      </c>
      <c r="L47" s="13">
        <f>IF(LAVORAZIONI!S299="","",LAVORAZIONI!S299)</f>
        <v/>
      </c>
      <c r="M47" s="13">
        <f>LAVORAZIONI!T299</f>
        <v/>
      </c>
      <c r="O47" s="7">
        <f>LAVORAZIONI!U299</f>
        <v/>
      </c>
      <c r="P47" s="45">
        <f>LAVORAZIONI!V299</f>
        <v/>
      </c>
      <c r="Q47" s="7">
        <f>LAVORAZIONI!W299</f>
        <v/>
      </c>
      <c r="R47" s="6">
        <f>LAVORAZIONI!X299</f>
        <v/>
      </c>
      <c r="S47" s="7">
        <f>LAVORAZIONI!Y299</f>
        <v/>
      </c>
      <c r="T47" s="6">
        <f>LAVORAZIONI!Z299</f>
        <v/>
      </c>
      <c r="U47" s="7">
        <f>LAVORAZIONI!AA299</f>
        <v/>
      </c>
      <c r="V47" s="6">
        <f>LAVORAZIONI!AB299</f>
        <v/>
      </c>
      <c r="W47" s="7">
        <f>LAVORAZIONI!AC299</f>
        <v/>
      </c>
      <c r="X47" s="6">
        <f>LAVORAZIONI!AD299</f>
        <v/>
      </c>
      <c r="Y47" s="7">
        <f>LAVORAZIONI!AE299</f>
        <v/>
      </c>
      <c r="Z47" s="6">
        <f>LAVORAZIONI!AF299</f>
        <v/>
      </c>
      <c r="AA47" s="7">
        <f>LAVORAZIONI!AG299</f>
        <v/>
      </c>
      <c r="AB47" s="6">
        <f>LAVORAZIONI!AH299</f>
        <v/>
      </c>
      <c r="AC47" s="7">
        <f>LAVORAZIONI!AI299</f>
        <v/>
      </c>
      <c r="AD47" s="13">
        <f>LAVORAZIONI!AJ299</f>
        <v/>
      </c>
    </row>
    <row r="48" ht="64" customHeight="1" s="46">
      <c r="B48" s="4">
        <f>LAVORAZIONI!G300</f>
        <v/>
      </c>
      <c r="C48" s="3">
        <f>LAVORAZIONI!A300</f>
        <v/>
      </c>
      <c r="D48" s="3">
        <f>LAVORAZIONI!K300</f>
        <v/>
      </c>
      <c r="E48" s="4">
        <f>LAVORAZIONI!H300</f>
        <v/>
      </c>
      <c r="F48" s="4">
        <f>LAVORAZIONI!M300</f>
        <v/>
      </c>
      <c r="G48" s="5">
        <f>LAVORAZIONI!N300</f>
        <v/>
      </c>
      <c r="H48" s="6">
        <f>LAVORAZIONI!O300</f>
        <v/>
      </c>
      <c r="I48" s="13">
        <f>LAVORAZIONI!P300</f>
        <v/>
      </c>
      <c r="J48" s="5">
        <f>IF(LAVORAZIONI!Q300="","",LAVORAZIONI!Q300)</f>
        <v/>
      </c>
      <c r="K48" s="6">
        <f>IF(LAVORAZIONI!R300="","",LAVORAZIONI!R300)</f>
        <v/>
      </c>
      <c r="L48" s="13">
        <f>IF(LAVORAZIONI!S300="","",LAVORAZIONI!S300)</f>
        <v/>
      </c>
      <c r="M48" s="13">
        <f>LAVORAZIONI!T300</f>
        <v/>
      </c>
      <c r="O48" s="7">
        <f>LAVORAZIONI!U300</f>
        <v/>
      </c>
      <c r="P48" s="45">
        <f>LAVORAZIONI!V300</f>
        <v/>
      </c>
      <c r="Q48" s="7">
        <f>LAVORAZIONI!W300</f>
        <v/>
      </c>
      <c r="R48" s="6">
        <f>LAVORAZIONI!X300</f>
        <v/>
      </c>
      <c r="S48" s="7">
        <f>LAVORAZIONI!Y300</f>
        <v/>
      </c>
      <c r="T48" s="6">
        <f>LAVORAZIONI!Z300</f>
        <v/>
      </c>
      <c r="U48" s="7">
        <f>LAVORAZIONI!AA300</f>
        <v/>
      </c>
      <c r="V48" s="6">
        <f>LAVORAZIONI!AB300</f>
        <v/>
      </c>
      <c r="W48" s="7">
        <f>LAVORAZIONI!AC300</f>
        <v/>
      </c>
      <c r="X48" s="6">
        <f>LAVORAZIONI!AD300</f>
        <v/>
      </c>
      <c r="Y48" s="7">
        <f>LAVORAZIONI!AE300</f>
        <v/>
      </c>
      <c r="Z48" s="6">
        <f>LAVORAZIONI!AF300</f>
        <v/>
      </c>
      <c r="AA48" s="7">
        <f>LAVORAZIONI!AG300</f>
        <v/>
      </c>
      <c r="AB48" s="6">
        <f>LAVORAZIONI!AH300</f>
        <v/>
      </c>
      <c r="AC48" s="7">
        <f>LAVORAZIONI!AI300</f>
        <v/>
      </c>
      <c r="AD48" s="13">
        <f>LAVORAZIONI!AJ300</f>
        <v/>
      </c>
    </row>
    <row r="49" ht="64" customHeight="1" s="46">
      <c r="B49" s="4">
        <f>LAVORAZIONI!G301</f>
        <v/>
      </c>
      <c r="C49" s="3">
        <f>LAVORAZIONI!A301</f>
        <v/>
      </c>
      <c r="D49" s="3">
        <f>LAVORAZIONI!K301</f>
        <v/>
      </c>
      <c r="E49" s="4">
        <f>LAVORAZIONI!H301</f>
        <v/>
      </c>
      <c r="F49" s="4">
        <f>LAVORAZIONI!M301</f>
        <v/>
      </c>
      <c r="G49" s="5">
        <f>LAVORAZIONI!N301</f>
        <v/>
      </c>
      <c r="H49" s="6">
        <f>LAVORAZIONI!O301</f>
        <v/>
      </c>
      <c r="I49" s="13">
        <f>LAVORAZIONI!P301</f>
        <v/>
      </c>
      <c r="J49" s="5">
        <f>IF(LAVORAZIONI!Q301="","",LAVORAZIONI!Q301)</f>
        <v/>
      </c>
      <c r="K49" s="6">
        <f>IF(LAVORAZIONI!R301="","",LAVORAZIONI!R301)</f>
        <v/>
      </c>
      <c r="L49" s="13">
        <f>IF(LAVORAZIONI!S301="","",LAVORAZIONI!S301)</f>
        <v/>
      </c>
      <c r="M49" s="13">
        <f>LAVORAZIONI!T301</f>
        <v/>
      </c>
      <c r="O49" s="7">
        <f>LAVORAZIONI!U301</f>
        <v/>
      </c>
      <c r="P49" s="45">
        <f>LAVORAZIONI!V301</f>
        <v/>
      </c>
      <c r="Q49" s="7">
        <f>LAVORAZIONI!W301</f>
        <v/>
      </c>
      <c r="R49" s="6">
        <f>LAVORAZIONI!X301</f>
        <v/>
      </c>
      <c r="S49" s="7">
        <f>LAVORAZIONI!Y301</f>
        <v/>
      </c>
      <c r="T49" s="6">
        <f>LAVORAZIONI!Z301</f>
        <v/>
      </c>
      <c r="U49" s="7">
        <f>LAVORAZIONI!AA301</f>
        <v/>
      </c>
      <c r="V49" s="6">
        <f>LAVORAZIONI!AB301</f>
        <v/>
      </c>
      <c r="W49" s="7">
        <f>LAVORAZIONI!AC301</f>
        <v/>
      </c>
      <c r="X49" s="6">
        <f>LAVORAZIONI!AD301</f>
        <v/>
      </c>
      <c r="Y49" s="7">
        <f>LAVORAZIONI!AE301</f>
        <v/>
      </c>
      <c r="Z49" s="6">
        <f>LAVORAZIONI!AF301</f>
        <v/>
      </c>
      <c r="AA49" s="7">
        <f>LAVORAZIONI!AG301</f>
        <v/>
      </c>
      <c r="AB49" s="6">
        <f>LAVORAZIONI!AH301</f>
        <v/>
      </c>
      <c r="AC49" s="7">
        <f>LAVORAZIONI!AI301</f>
        <v/>
      </c>
      <c r="AD49" s="13">
        <f>LAVORAZIONI!AJ301</f>
        <v/>
      </c>
    </row>
    <row r="50" ht="64" customHeight="1" s="46">
      <c r="B50" s="4">
        <f>LAVORAZIONI!G302</f>
        <v/>
      </c>
      <c r="C50" s="3">
        <f>LAVORAZIONI!A302</f>
        <v/>
      </c>
      <c r="D50" s="3">
        <f>LAVORAZIONI!K302</f>
        <v/>
      </c>
      <c r="E50" s="4">
        <f>LAVORAZIONI!H302</f>
        <v/>
      </c>
      <c r="F50" s="4">
        <f>LAVORAZIONI!M302</f>
        <v/>
      </c>
      <c r="G50" s="5">
        <f>LAVORAZIONI!N302</f>
        <v/>
      </c>
      <c r="H50" s="6">
        <f>LAVORAZIONI!O302</f>
        <v/>
      </c>
      <c r="I50" s="13">
        <f>LAVORAZIONI!P302</f>
        <v/>
      </c>
      <c r="J50" s="5">
        <f>IF(LAVORAZIONI!Q302="","",LAVORAZIONI!Q302)</f>
        <v/>
      </c>
      <c r="K50" s="6">
        <f>IF(LAVORAZIONI!R302="","",LAVORAZIONI!R302)</f>
        <v/>
      </c>
      <c r="L50" s="13">
        <f>IF(LAVORAZIONI!S302="","",LAVORAZIONI!S302)</f>
        <v/>
      </c>
      <c r="M50" s="13">
        <f>LAVORAZIONI!T302</f>
        <v/>
      </c>
      <c r="O50" s="7">
        <f>LAVORAZIONI!U302</f>
        <v/>
      </c>
      <c r="P50" s="45">
        <f>LAVORAZIONI!V302</f>
        <v/>
      </c>
      <c r="Q50" s="7">
        <f>LAVORAZIONI!W302</f>
        <v/>
      </c>
      <c r="R50" s="6">
        <f>LAVORAZIONI!X302</f>
        <v/>
      </c>
      <c r="S50" s="7">
        <f>LAVORAZIONI!Y302</f>
        <v/>
      </c>
      <c r="T50" s="6">
        <f>LAVORAZIONI!Z302</f>
        <v/>
      </c>
      <c r="U50" s="7">
        <f>LAVORAZIONI!AA302</f>
        <v/>
      </c>
      <c r="V50" s="6">
        <f>LAVORAZIONI!AB302</f>
        <v/>
      </c>
      <c r="W50" s="7">
        <f>LAVORAZIONI!AC302</f>
        <v/>
      </c>
      <c r="X50" s="6">
        <f>LAVORAZIONI!AD302</f>
        <v/>
      </c>
      <c r="Y50" s="7">
        <f>LAVORAZIONI!AE302</f>
        <v/>
      </c>
      <c r="Z50" s="6">
        <f>LAVORAZIONI!AF302</f>
        <v/>
      </c>
      <c r="AA50" s="7">
        <f>LAVORAZIONI!AG302</f>
        <v/>
      </c>
      <c r="AB50" s="6">
        <f>LAVORAZIONI!AH302</f>
        <v/>
      </c>
      <c r="AC50" s="7">
        <f>LAVORAZIONI!AI302</f>
        <v/>
      </c>
      <c r="AD50" s="13">
        <f>LAVORAZIONI!AJ302</f>
        <v/>
      </c>
    </row>
    <row r="51" ht="64" customHeight="1" s="46">
      <c r="B51" s="4">
        <f>LAVORAZIONI!G303</f>
        <v/>
      </c>
      <c r="C51" s="3">
        <f>LAVORAZIONI!A303</f>
        <v/>
      </c>
      <c r="D51" s="3">
        <f>LAVORAZIONI!K303</f>
        <v/>
      </c>
      <c r="E51" s="4">
        <f>LAVORAZIONI!H303</f>
        <v/>
      </c>
      <c r="F51" s="4">
        <f>LAVORAZIONI!M303</f>
        <v/>
      </c>
      <c r="G51" s="5">
        <f>LAVORAZIONI!N303</f>
        <v/>
      </c>
      <c r="H51" s="6">
        <f>LAVORAZIONI!O303</f>
        <v/>
      </c>
      <c r="I51" s="13">
        <f>LAVORAZIONI!P303</f>
        <v/>
      </c>
      <c r="J51" s="5">
        <f>IF(LAVORAZIONI!Q303="","",LAVORAZIONI!Q303)</f>
        <v/>
      </c>
      <c r="K51" s="6">
        <f>IF(LAVORAZIONI!R303="","",LAVORAZIONI!R303)</f>
        <v/>
      </c>
      <c r="L51" s="13">
        <f>IF(LAVORAZIONI!S303="","",LAVORAZIONI!S303)</f>
        <v/>
      </c>
      <c r="M51" s="13">
        <f>LAVORAZIONI!T303</f>
        <v/>
      </c>
      <c r="O51" s="7">
        <f>LAVORAZIONI!U303</f>
        <v/>
      </c>
      <c r="P51" s="45">
        <f>LAVORAZIONI!V303</f>
        <v/>
      </c>
      <c r="Q51" s="7">
        <f>LAVORAZIONI!W303</f>
        <v/>
      </c>
      <c r="R51" s="6">
        <f>LAVORAZIONI!X303</f>
        <v/>
      </c>
      <c r="S51" s="7">
        <f>LAVORAZIONI!Y303</f>
        <v/>
      </c>
      <c r="T51" s="6">
        <f>LAVORAZIONI!Z303</f>
        <v/>
      </c>
      <c r="U51" s="7">
        <f>LAVORAZIONI!AA303</f>
        <v/>
      </c>
      <c r="V51" s="6">
        <f>LAVORAZIONI!AB303</f>
        <v/>
      </c>
      <c r="W51" s="7">
        <f>LAVORAZIONI!AC303</f>
        <v/>
      </c>
      <c r="X51" s="6">
        <f>LAVORAZIONI!AD303</f>
        <v/>
      </c>
      <c r="Y51" s="7">
        <f>LAVORAZIONI!AE303</f>
        <v/>
      </c>
      <c r="Z51" s="6">
        <f>LAVORAZIONI!AF303</f>
        <v/>
      </c>
      <c r="AA51" s="7">
        <f>LAVORAZIONI!AG303</f>
        <v/>
      </c>
      <c r="AB51" s="6">
        <f>LAVORAZIONI!AH303</f>
        <v/>
      </c>
      <c r="AC51" s="7">
        <f>LAVORAZIONI!AI303</f>
        <v/>
      </c>
      <c r="AD51" s="13">
        <f>LAVORAZIONI!AJ303</f>
        <v/>
      </c>
    </row>
    <row r="52" ht="64" customHeight="1" s="46">
      <c r="B52" s="4">
        <f>LAVORAZIONI!G304</f>
        <v/>
      </c>
      <c r="C52" s="3">
        <f>LAVORAZIONI!A304</f>
        <v/>
      </c>
      <c r="D52" s="3">
        <f>LAVORAZIONI!K304</f>
        <v/>
      </c>
      <c r="E52" s="4">
        <f>LAVORAZIONI!H304</f>
        <v/>
      </c>
      <c r="F52" s="4">
        <f>LAVORAZIONI!M304</f>
        <v/>
      </c>
      <c r="G52" s="5">
        <f>LAVORAZIONI!N304</f>
        <v/>
      </c>
      <c r="H52" s="6">
        <f>LAVORAZIONI!O304</f>
        <v/>
      </c>
      <c r="I52" s="13">
        <f>LAVORAZIONI!P304</f>
        <v/>
      </c>
      <c r="J52" s="5">
        <f>IF(LAVORAZIONI!Q304="","",LAVORAZIONI!Q304)</f>
        <v/>
      </c>
      <c r="K52" s="6">
        <f>IF(LAVORAZIONI!R304="","",LAVORAZIONI!R304)</f>
        <v/>
      </c>
      <c r="L52" s="13">
        <f>IF(LAVORAZIONI!S304="","",LAVORAZIONI!S304)</f>
        <v/>
      </c>
      <c r="M52" s="13">
        <f>LAVORAZIONI!T304</f>
        <v/>
      </c>
      <c r="O52" s="7">
        <f>LAVORAZIONI!U304</f>
        <v/>
      </c>
      <c r="P52" s="45">
        <f>LAVORAZIONI!V304</f>
        <v/>
      </c>
      <c r="Q52" s="7">
        <f>LAVORAZIONI!W304</f>
        <v/>
      </c>
      <c r="R52" s="6">
        <f>LAVORAZIONI!X304</f>
        <v/>
      </c>
      <c r="S52" s="7">
        <f>LAVORAZIONI!Y304</f>
        <v/>
      </c>
      <c r="T52" s="6">
        <f>LAVORAZIONI!Z304</f>
        <v/>
      </c>
      <c r="U52" s="7">
        <f>LAVORAZIONI!AA304</f>
        <v/>
      </c>
      <c r="V52" s="6">
        <f>LAVORAZIONI!AB304</f>
        <v/>
      </c>
      <c r="W52" s="7">
        <f>LAVORAZIONI!AC304</f>
        <v/>
      </c>
      <c r="X52" s="6">
        <f>LAVORAZIONI!AD304</f>
        <v/>
      </c>
      <c r="Y52" s="7">
        <f>LAVORAZIONI!AE304</f>
        <v/>
      </c>
      <c r="Z52" s="6">
        <f>LAVORAZIONI!AF304</f>
        <v/>
      </c>
      <c r="AA52" s="7">
        <f>LAVORAZIONI!AG304</f>
        <v/>
      </c>
      <c r="AB52" s="6">
        <f>LAVORAZIONI!AH304</f>
        <v/>
      </c>
      <c r="AC52" s="7">
        <f>LAVORAZIONI!AI304</f>
        <v/>
      </c>
      <c r="AD52" s="13">
        <f>LAVORAZIONI!AJ304</f>
        <v/>
      </c>
    </row>
    <row r="53" ht="64" customHeight="1" s="46">
      <c r="B53" s="4">
        <f>LAVORAZIONI!G305</f>
        <v/>
      </c>
      <c r="C53" s="3">
        <f>LAVORAZIONI!A305</f>
        <v/>
      </c>
      <c r="D53" s="3">
        <f>LAVORAZIONI!K305</f>
        <v/>
      </c>
      <c r="E53" s="4">
        <f>LAVORAZIONI!H305</f>
        <v/>
      </c>
      <c r="F53" s="4">
        <f>LAVORAZIONI!M305</f>
        <v/>
      </c>
      <c r="G53" s="5">
        <f>LAVORAZIONI!N305</f>
        <v/>
      </c>
      <c r="H53" s="6">
        <f>LAVORAZIONI!O305</f>
        <v/>
      </c>
      <c r="I53" s="13">
        <f>LAVORAZIONI!P305</f>
        <v/>
      </c>
      <c r="J53" s="5">
        <f>IF(LAVORAZIONI!Q305="","",LAVORAZIONI!Q305)</f>
        <v/>
      </c>
      <c r="K53" s="6">
        <f>IF(LAVORAZIONI!R305="","",LAVORAZIONI!R305)</f>
        <v/>
      </c>
      <c r="L53" s="13">
        <f>IF(LAVORAZIONI!S305="","",LAVORAZIONI!S305)</f>
        <v/>
      </c>
      <c r="M53" s="13">
        <f>LAVORAZIONI!T305</f>
        <v/>
      </c>
      <c r="O53" s="7">
        <f>LAVORAZIONI!U305</f>
        <v/>
      </c>
      <c r="P53" s="45">
        <f>LAVORAZIONI!V305</f>
        <v/>
      </c>
      <c r="Q53" s="7">
        <f>LAVORAZIONI!W305</f>
        <v/>
      </c>
      <c r="R53" s="6">
        <f>LAVORAZIONI!X305</f>
        <v/>
      </c>
      <c r="S53" s="7">
        <f>LAVORAZIONI!Y305</f>
        <v/>
      </c>
      <c r="T53" s="6">
        <f>LAVORAZIONI!Z305</f>
        <v/>
      </c>
      <c r="U53" s="7">
        <f>LAVORAZIONI!AA305</f>
        <v/>
      </c>
      <c r="V53" s="6">
        <f>LAVORAZIONI!AB305</f>
        <v/>
      </c>
      <c r="W53" s="7">
        <f>LAVORAZIONI!AC305</f>
        <v/>
      </c>
      <c r="X53" s="6">
        <f>LAVORAZIONI!AD305</f>
        <v/>
      </c>
      <c r="Y53" s="7">
        <f>LAVORAZIONI!AE305</f>
        <v/>
      </c>
      <c r="Z53" s="6">
        <f>LAVORAZIONI!AF305</f>
        <v/>
      </c>
      <c r="AA53" s="7">
        <f>LAVORAZIONI!AG305</f>
        <v/>
      </c>
      <c r="AB53" s="6">
        <f>LAVORAZIONI!AH305</f>
        <v/>
      </c>
      <c r="AC53" s="7">
        <f>LAVORAZIONI!AI305</f>
        <v/>
      </c>
      <c r="AD53" s="13">
        <f>LAVORAZIONI!AJ305</f>
        <v/>
      </c>
    </row>
    <row r="54" ht="64" customHeight="1" s="46">
      <c r="B54" s="4">
        <f>LAVORAZIONI!G306</f>
        <v/>
      </c>
      <c r="C54" s="3">
        <f>LAVORAZIONI!A306</f>
        <v/>
      </c>
      <c r="D54" s="3">
        <f>LAVORAZIONI!K306</f>
        <v/>
      </c>
      <c r="E54" s="4">
        <f>LAVORAZIONI!H306</f>
        <v/>
      </c>
      <c r="F54" s="4">
        <f>LAVORAZIONI!M306</f>
        <v/>
      </c>
      <c r="G54" s="5">
        <f>LAVORAZIONI!N306</f>
        <v/>
      </c>
      <c r="H54" s="6">
        <f>LAVORAZIONI!O306</f>
        <v/>
      </c>
      <c r="I54" s="13">
        <f>LAVORAZIONI!P306</f>
        <v/>
      </c>
      <c r="J54" s="5">
        <f>IF(LAVORAZIONI!Q306="","",LAVORAZIONI!Q306)</f>
        <v/>
      </c>
      <c r="K54" s="6">
        <f>IF(LAVORAZIONI!R306="","",LAVORAZIONI!R306)</f>
        <v/>
      </c>
      <c r="L54" s="13">
        <f>IF(LAVORAZIONI!S306="","",LAVORAZIONI!S306)</f>
        <v/>
      </c>
      <c r="M54" s="13">
        <f>LAVORAZIONI!T306</f>
        <v/>
      </c>
      <c r="O54" s="7">
        <f>LAVORAZIONI!U306</f>
        <v/>
      </c>
      <c r="P54" s="45">
        <f>LAVORAZIONI!V306</f>
        <v/>
      </c>
      <c r="Q54" s="7">
        <f>LAVORAZIONI!W306</f>
        <v/>
      </c>
      <c r="R54" s="6">
        <f>LAVORAZIONI!X306</f>
        <v/>
      </c>
      <c r="S54" s="7">
        <f>LAVORAZIONI!Y306</f>
        <v/>
      </c>
      <c r="T54" s="6">
        <f>LAVORAZIONI!Z306</f>
        <v/>
      </c>
      <c r="U54" s="7">
        <f>LAVORAZIONI!AA306</f>
        <v/>
      </c>
      <c r="V54" s="6">
        <f>LAVORAZIONI!AB306</f>
        <v/>
      </c>
      <c r="W54" s="7">
        <f>LAVORAZIONI!AC306</f>
        <v/>
      </c>
      <c r="X54" s="6">
        <f>LAVORAZIONI!AD306</f>
        <v/>
      </c>
      <c r="Y54" s="7">
        <f>LAVORAZIONI!AE306</f>
        <v/>
      </c>
      <c r="Z54" s="6">
        <f>LAVORAZIONI!AF306</f>
        <v/>
      </c>
      <c r="AA54" s="7">
        <f>LAVORAZIONI!AG306</f>
        <v/>
      </c>
      <c r="AB54" s="6">
        <f>LAVORAZIONI!AH306</f>
        <v/>
      </c>
      <c r="AC54" s="7">
        <f>LAVORAZIONI!AI306</f>
        <v/>
      </c>
      <c r="AD54" s="13">
        <f>LAVORAZIONI!AJ306</f>
        <v/>
      </c>
    </row>
    <row r="55" ht="64" customHeight="1" s="46">
      <c r="B55" s="4">
        <f>LAVORAZIONI!G307</f>
        <v/>
      </c>
      <c r="C55" s="3">
        <f>LAVORAZIONI!A307</f>
        <v/>
      </c>
      <c r="D55" s="3">
        <f>LAVORAZIONI!K307</f>
        <v/>
      </c>
      <c r="E55" s="4">
        <f>LAVORAZIONI!H307</f>
        <v/>
      </c>
      <c r="F55" s="4">
        <f>LAVORAZIONI!M307</f>
        <v/>
      </c>
      <c r="G55" s="5">
        <f>LAVORAZIONI!N307</f>
        <v/>
      </c>
      <c r="H55" s="6">
        <f>LAVORAZIONI!O307</f>
        <v/>
      </c>
      <c r="I55" s="13">
        <f>LAVORAZIONI!P307</f>
        <v/>
      </c>
      <c r="J55" s="5">
        <f>IF(LAVORAZIONI!Q307="","",LAVORAZIONI!Q307)</f>
        <v/>
      </c>
      <c r="K55" s="6">
        <f>IF(LAVORAZIONI!R307="","",LAVORAZIONI!R307)</f>
        <v/>
      </c>
      <c r="L55" s="13">
        <f>IF(LAVORAZIONI!S307="","",LAVORAZIONI!S307)</f>
        <v/>
      </c>
      <c r="M55" s="13">
        <f>LAVORAZIONI!T307</f>
        <v/>
      </c>
      <c r="O55" s="7">
        <f>LAVORAZIONI!U307</f>
        <v/>
      </c>
      <c r="P55" s="45">
        <f>LAVORAZIONI!V307</f>
        <v/>
      </c>
      <c r="Q55" s="7">
        <f>LAVORAZIONI!W307</f>
        <v/>
      </c>
      <c r="R55" s="6">
        <f>LAVORAZIONI!X307</f>
        <v/>
      </c>
      <c r="S55" s="7">
        <f>LAVORAZIONI!Y307</f>
        <v/>
      </c>
      <c r="T55" s="6">
        <f>LAVORAZIONI!Z307</f>
        <v/>
      </c>
      <c r="U55" s="7">
        <f>LAVORAZIONI!AA307</f>
        <v/>
      </c>
      <c r="V55" s="6">
        <f>LAVORAZIONI!AB307</f>
        <v/>
      </c>
      <c r="W55" s="7">
        <f>LAVORAZIONI!AC307</f>
        <v/>
      </c>
      <c r="X55" s="6">
        <f>LAVORAZIONI!AD307</f>
        <v/>
      </c>
      <c r="Y55" s="7">
        <f>LAVORAZIONI!AE307</f>
        <v/>
      </c>
      <c r="Z55" s="6">
        <f>LAVORAZIONI!AF307</f>
        <v/>
      </c>
      <c r="AA55" s="7">
        <f>LAVORAZIONI!AG307</f>
        <v/>
      </c>
      <c r="AB55" s="6">
        <f>LAVORAZIONI!AH307</f>
        <v/>
      </c>
      <c r="AC55" s="7">
        <f>LAVORAZIONI!AI307</f>
        <v/>
      </c>
      <c r="AD55" s="13">
        <f>LAVORAZIONI!AJ307</f>
        <v/>
      </c>
    </row>
    <row r="56" ht="64" customHeight="1" s="46">
      <c r="B56" s="4">
        <f>LAVORAZIONI!G308</f>
        <v/>
      </c>
      <c r="C56" s="3">
        <f>LAVORAZIONI!A308</f>
        <v/>
      </c>
      <c r="D56" s="3">
        <f>LAVORAZIONI!K308</f>
        <v/>
      </c>
      <c r="E56" s="4">
        <f>LAVORAZIONI!H308</f>
        <v/>
      </c>
      <c r="F56" s="4">
        <f>LAVORAZIONI!M308</f>
        <v/>
      </c>
      <c r="G56" s="5">
        <f>LAVORAZIONI!N308</f>
        <v/>
      </c>
      <c r="H56" s="6">
        <f>LAVORAZIONI!O308</f>
        <v/>
      </c>
      <c r="I56" s="13">
        <f>LAVORAZIONI!P308</f>
        <v/>
      </c>
      <c r="J56" s="5">
        <f>IF(LAVORAZIONI!Q308="","",LAVORAZIONI!Q308)</f>
        <v/>
      </c>
      <c r="K56" s="6">
        <f>IF(LAVORAZIONI!R308="","",LAVORAZIONI!R308)</f>
        <v/>
      </c>
      <c r="L56" s="13">
        <f>IF(LAVORAZIONI!S308="","",LAVORAZIONI!S308)</f>
        <v/>
      </c>
      <c r="M56" s="13">
        <f>LAVORAZIONI!T308</f>
        <v/>
      </c>
      <c r="O56" s="7">
        <f>LAVORAZIONI!U308</f>
        <v/>
      </c>
      <c r="P56" s="45">
        <f>LAVORAZIONI!V308</f>
        <v/>
      </c>
      <c r="Q56" s="7">
        <f>LAVORAZIONI!W308</f>
        <v/>
      </c>
      <c r="R56" s="6">
        <f>LAVORAZIONI!X308</f>
        <v/>
      </c>
      <c r="S56" s="7">
        <f>LAVORAZIONI!Y308</f>
        <v/>
      </c>
      <c r="T56" s="6">
        <f>LAVORAZIONI!Z308</f>
        <v/>
      </c>
      <c r="U56" s="7">
        <f>LAVORAZIONI!AA308</f>
        <v/>
      </c>
      <c r="V56" s="6">
        <f>LAVORAZIONI!AB308</f>
        <v/>
      </c>
      <c r="W56" s="7">
        <f>LAVORAZIONI!AC308</f>
        <v/>
      </c>
      <c r="X56" s="6">
        <f>LAVORAZIONI!AD308</f>
        <v/>
      </c>
      <c r="Y56" s="7">
        <f>LAVORAZIONI!AE308</f>
        <v/>
      </c>
      <c r="Z56" s="6">
        <f>LAVORAZIONI!AF308</f>
        <v/>
      </c>
      <c r="AA56" s="7">
        <f>LAVORAZIONI!AG308</f>
        <v/>
      </c>
      <c r="AB56" s="6">
        <f>LAVORAZIONI!AH308</f>
        <v/>
      </c>
      <c r="AC56" s="7">
        <f>LAVORAZIONI!AI308</f>
        <v/>
      </c>
      <c r="AD56" s="13">
        <f>LAVORAZIONI!AJ308</f>
        <v/>
      </c>
    </row>
    <row r="57" ht="64" customHeight="1" s="46">
      <c r="B57" s="4">
        <f>LAVORAZIONI!G309</f>
        <v/>
      </c>
      <c r="C57" s="3">
        <f>LAVORAZIONI!A309</f>
        <v/>
      </c>
      <c r="D57" s="3">
        <f>LAVORAZIONI!K309</f>
        <v/>
      </c>
      <c r="E57" s="4">
        <f>LAVORAZIONI!H309</f>
        <v/>
      </c>
      <c r="F57" s="4">
        <f>LAVORAZIONI!M309</f>
        <v/>
      </c>
      <c r="G57" s="5">
        <f>LAVORAZIONI!N309</f>
        <v/>
      </c>
      <c r="H57" s="6">
        <f>LAVORAZIONI!O309</f>
        <v/>
      </c>
      <c r="I57" s="13">
        <f>LAVORAZIONI!P309</f>
        <v/>
      </c>
      <c r="J57" s="5">
        <f>IF(LAVORAZIONI!Q309="","",LAVORAZIONI!Q309)</f>
        <v/>
      </c>
      <c r="K57" s="6">
        <f>IF(LAVORAZIONI!R309="","",LAVORAZIONI!R309)</f>
        <v/>
      </c>
      <c r="L57" s="13">
        <f>IF(LAVORAZIONI!S309="","",LAVORAZIONI!S309)</f>
        <v/>
      </c>
      <c r="M57" s="13">
        <f>LAVORAZIONI!T309</f>
        <v/>
      </c>
      <c r="O57" s="7">
        <f>LAVORAZIONI!U309</f>
        <v/>
      </c>
      <c r="P57" s="45">
        <f>LAVORAZIONI!V309</f>
        <v/>
      </c>
      <c r="Q57" s="7">
        <f>LAVORAZIONI!W309</f>
        <v/>
      </c>
      <c r="R57" s="6">
        <f>LAVORAZIONI!X309</f>
        <v/>
      </c>
      <c r="S57" s="7">
        <f>LAVORAZIONI!Y309</f>
        <v/>
      </c>
      <c r="T57" s="6">
        <f>LAVORAZIONI!Z309</f>
        <v/>
      </c>
      <c r="U57" s="7">
        <f>LAVORAZIONI!AA309</f>
        <v/>
      </c>
      <c r="V57" s="6">
        <f>LAVORAZIONI!AB309</f>
        <v/>
      </c>
      <c r="W57" s="7">
        <f>LAVORAZIONI!AC309</f>
        <v/>
      </c>
      <c r="X57" s="6">
        <f>LAVORAZIONI!AD309</f>
        <v/>
      </c>
      <c r="Y57" s="7">
        <f>LAVORAZIONI!AE309</f>
        <v/>
      </c>
      <c r="Z57" s="6">
        <f>LAVORAZIONI!AF309</f>
        <v/>
      </c>
      <c r="AA57" s="7">
        <f>LAVORAZIONI!AG309</f>
        <v/>
      </c>
      <c r="AB57" s="6">
        <f>LAVORAZIONI!AH309</f>
        <v/>
      </c>
      <c r="AC57" s="7">
        <f>LAVORAZIONI!AI309</f>
        <v/>
      </c>
      <c r="AD57" s="13">
        <f>LAVORAZIONI!AJ309</f>
        <v/>
      </c>
    </row>
    <row r="58" ht="64" customHeight="1" s="46">
      <c r="B58" s="4">
        <f>LAVORAZIONI!G310</f>
        <v/>
      </c>
      <c r="C58" s="3">
        <f>LAVORAZIONI!A310</f>
        <v/>
      </c>
      <c r="D58" s="3">
        <f>LAVORAZIONI!K310</f>
        <v/>
      </c>
      <c r="E58" s="4">
        <f>LAVORAZIONI!H310</f>
        <v/>
      </c>
      <c r="F58" s="4">
        <f>LAVORAZIONI!M310</f>
        <v/>
      </c>
      <c r="G58" s="5">
        <f>LAVORAZIONI!N310</f>
        <v/>
      </c>
      <c r="H58" s="6">
        <f>LAVORAZIONI!O310</f>
        <v/>
      </c>
      <c r="I58" s="13">
        <f>LAVORAZIONI!P310</f>
        <v/>
      </c>
      <c r="J58" s="5">
        <f>IF(LAVORAZIONI!Q310="","",LAVORAZIONI!Q310)</f>
        <v/>
      </c>
      <c r="K58" s="6">
        <f>IF(LAVORAZIONI!R310="","",LAVORAZIONI!R310)</f>
        <v/>
      </c>
      <c r="L58" s="13">
        <f>IF(LAVORAZIONI!S310="","",LAVORAZIONI!S310)</f>
        <v/>
      </c>
      <c r="M58" s="13">
        <f>LAVORAZIONI!T310</f>
        <v/>
      </c>
      <c r="O58" s="7">
        <f>LAVORAZIONI!U310</f>
        <v/>
      </c>
      <c r="P58" s="45">
        <f>LAVORAZIONI!V310</f>
        <v/>
      </c>
      <c r="Q58" s="7">
        <f>LAVORAZIONI!W310</f>
        <v/>
      </c>
      <c r="R58" s="6">
        <f>LAVORAZIONI!X310</f>
        <v/>
      </c>
      <c r="S58" s="7">
        <f>LAVORAZIONI!Y310</f>
        <v/>
      </c>
      <c r="T58" s="6">
        <f>LAVORAZIONI!Z310</f>
        <v/>
      </c>
      <c r="U58" s="7">
        <f>LAVORAZIONI!AA310</f>
        <v/>
      </c>
      <c r="V58" s="6">
        <f>LAVORAZIONI!AB310</f>
        <v/>
      </c>
      <c r="W58" s="7">
        <f>LAVORAZIONI!AC310</f>
        <v/>
      </c>
      <c r="X58" s="6">
        <f>LAVORAZIONI!AD310</f>
        <v/>
      </c>
      <c r="Y58" s="7">
        <f>LAVORAZIONI!AE310</f>
        <v/>
      </c>
      <c r="Z58" s="6">
        <f>LAVORAZIONI!AF310</f>
        <v/>
      </c>
      <c r="AA58" s="7">
        <f>LAVORAZIONI!AG310</f>
        <v/>
      </c>
      <c r="AB58" s="6">
        <f>LAVORAZIONI!AH310</f>
        <v/>
      </c>
      <c r="AC58" s="7">
        <f>LAVORAZIONI!AI310</f>
        <v/>
      </c>
      <c r="AD58" s="13">
        <f>LAVORAZIONI!AJ310</f>
        <v/>
      </c>
    </row>
    <row r="59" ht="64" customHeight="1" s="46">
      <c r="B59" s="4">
        <f>LAVORAZIONI!G311</f>
        <v/>
      </c>
      <c r="C59" s="3">
        <f>LAVORAZIONI!A311</f>
        <v/>
      </c>
      <c r="D59" s="3">
        <f>LAVORAZIONI!K311</f>
        <v/>
      </c>
      <c r="E59" s="4">
        <f>LAVORAZIONI!H311</f>
        <v/>
      </c>
      <c r="F59" s="4">
        <f>LAVORAZIONI!M311</f>
        <v/>
      </c>
      <c r="G59" s="5">
        <f>LAVORAZIONI!N311</f>
        <v/>
      </c>
      <c r="H59" s="6">
        <f>LAVORAZIONI!O311</f>
        <v/>
      </c>
      <c r="I59" s="13">
        <f>LAVORAZIONI!P311</f>
        <v/>
      </c>
      <c r="J59" s="5">
        <f>IF(LAVORAZIONI!Q311="","",LAVORAZIONI!Q311)</f>
        <v/>
      </c>
      <c r="K59" s="6">
        <f>IF(LAVORAZIONI!R311="","",LAVORAZIONI!R311)</f>
        <v/>
      </c>
      <c r="L59" s="13">
        <f>IF(LAVORAZIONI!S311="","",LAVORAZIONI!S311)</f>
        <v/>
      </c>
      <c r="M59" s="13">
        <f>LAVORAZIONI!T311</f>
        <v/>
      </c>
      <c r="O59" s="7">
        <f>LAVORAZIONI!U311</f>
        <v/>
      </c>
      <c r="P59" s="45">
        <f>LAVORAZIONI!V311</f>
        <v/>
      </c>
      <c r="Q59" s="7">
        <f>LAVORAZIONI!W311</f>
        <v/>
      </c>
      <c r="R59" s="6">
        <f>LAVORAZIONI!X311</f>
        <v/>
      </c>
      <c r="S59" s="7">
        <f>LAVORAZIONI!Y311</f>
        <v/>
      </c>
      <c r="T59" s="6">
        <f>LAVORAZIONI!Z311</f>
        <v/>
      </c>
      <c r="U59" s="7">
        <f>LAVORAZIONI!AA311</f>
        <v/>
      </c>
      <c r="V59" s="6">
        <f>LAVORAZIONI!AB311</f>
        <v/>
      </c>
      <c r="W59" s="7">
        <f>LAVORAZIONI!AC311</f>
        <v/>
      </c>
      <c r="X59" s="6">
        <f>LAVORAZIONI!AD311</f>
        <v/>
      </c>
      <c r="Y59" s="7">
        <f>LAVORAZIONI!AE311</f>
        <v/>
      </c>
      <c r="Z59" s="6">
        <f>LAVORAZIONI!AF311</f>
        <v/>
      </c>
      <c r="AA59" s="7">
        <f>LAVORAZIONI!AG311</f>
        <v/>
      </c>
      <c r="AB59" s="6">
        <f>LAVORAZIONI!AH311</f>
        <v/>
      </c>
      <c r="AC59" s="7">
        <f>LAVORAZIONI!AI311</f>
        <v/>
      </c>
      <c r="AD59" s="13">
        <f>LAVORAZIONI!AJ311</f>
        <v/>
      </c>
    </row>
    <row r="60" ht="64" customHeight="1" s="46">
      <c r="B60" s="4">
        <f>LAVORAZIONI!G312</f>
        <v/>
      </c>
      <c r="C60" s="3">
        <f>LAVORAZIONI!A312</f>
        <v/>
      </c>
      <c r="D60" s="3">
        <f>LAVORAZIONI!K312</f>
        <v/>
      </c>
      <c r="E60" s="4">
        <f>LAVORAZIONI!H312</f>
        <v/>
      </c>
      <c r="F60" s="4">
        <f>LAVORAZIONI!M312</f>
        <v/>
      </c>
      <c r="G60" s="5">
        <f>LAVORAZIONI!N312</f>
        <v/>
      </c>
      <c r="H60" s="6">
        <f>LAVORAZIONI!O312</f>
        <v/>
      </c>
      <c r="I60" s="13">
        <f>LAVORAZIONI!P312</f>
        <v/>
      </c>
      <c r="J60" s="5">
        <f>IF(LAVORAZIONI!Q312="","",LAVORAZIONI!Q312)</f>
        <v/>
      </c>
      <c r="K60" s="6">
        <f>IF(LAVORAZIONI!R312="","",LAVORAZIONI!R312)</f>
        <v/>
      </c>
      <c r="L60" s="13">
        <f>IF(LAVORAZIONI!S312="","",LAVORAZIONI!S312)</f>
        <v/>
      </c>
      <c r="M60" s="13">
        <f>LAVORAZIONI!T312</f>
        <v/>
      </c>
      <c r="O60" s="7">
        <f>LAVORAZIONI!U312</f>
        <v/>
      </c>
      <c r="P60" s="45">
        <f>LAVORAZIONI!V312</f>
        <v/>
      </c>
      <c r="Q60" s="7">
        <f>LAVORAZIONI!W312</f>
        <v/>
      </c>
      <c r="R60" s="6">
        <f>LAVORAZIONI!X312</f>
        <v/>
      </c>
      <c r="S60" s="7">
        <f>LAVORAZIONI!Y312</f>
        <v/>
      </c>
      <c r="T60" s="6">
        <f>LAVORAZIONI!Z312</f>
        <v/>
      </c>
      <c r="U60" s="7">
        <f>LAVORAZIONI!AA312</f>
        <v/>
      </c>
      <c r="V60" s="6">
        <f>LAVORAZIONI!AB312</f>
        <v/>
      </c>
      <c r="W60" s="7">
        <f>LAVORAZIONI!AC312</f>
        <v/>
      </c>
      <c r="X60" s="6">
        <f>LAVORAZIONI!AD312</f>
        <v/>
      </c>
      <c r="Y60" s="7">
        <f>LAVORAZIONI!AE312</f>
        <v/>
      </c>
      <c r="Z60" s="6">
        <f>LAVORAZIONI!AF312</f>
        <v/>
      </c>
      <c r="AA60" s="7">
        <f>LAVORAZIONI!AG312</f>
        <v/>
      </c>
      <c r="AB60" s="6">
        <f>LAVORAZIONI!AH312</f>
        <v/>
      </c>
      <c r="AC60" s="7">
        <f>LAVORAZIONI!AI312</f>
        <v/>
      </c>
      <c r="AD60" s="13">
        <f>LAVORAZIONI!AJ312</f>
        <v/>
      </c>
    </row>
    <row r="61" ht="64" customHeight="1" s="46">
      <c r="B61" s="4">
        <f>LAVORAZIONI!G313</f>
        <v/>
      </c>
      <c r="C61" s="3">
        <f>LAVORAZIONI!A313</f>
        <v/>
      </c>
      <c r="D61" s="3">
        <f>LAVORAZIONI!K313</f>
        <v/>
      </c>
      <c r="E61" s="4">
        <f>LAVORAZIONI!H313</f>
        <v/>
      </c>
      <c r="F61" s="4">
        <f>LAVORAZIONI!M313</f>
        <v/>
      </c>
      <c r="G61" s="5">
        <f>LAVORAZIONI!N313</f>
        <v/>
      </c>
      <c r="H61" s="6">
        <f>LAVORAZIONI!O313</f>
        <v/>
      </c>
      <c r="I61" s="13">
        <f>LAVORAZIONI!P313</f>
        <v/>
      </c>
      <c r="J61" s="5">
        <f>IF(LAVORAZIONI!Q313="","",LAVORAZIONI!Q313)</f>
        <v/>
      </c>
      <c r="K61" s="6">
        <f>IF(LAVORAZIONI!R313="","",LAVORAZIONI!R313)</f>
        <v/>
      </c>
      <c r="L61" s="13">
        <f>IF(LAVORAZIONI!S313="","",LAVORAZIONI!S313)</f>
        <v/>
      </c>
      <c r="M61" s="13">
        <f>LAVORAZIONI!T313</f>
        <v/>
      </c>
      <c r="O61" s="7">
        <f>LAVORAZIONI!U313</f>
        <v/>
      </c>
      <c r="P61" s="45">
        <f>LAVORAZIONI!V313</f>
        <v/>
      </c>
      <c r="Q61" s="7">
        <f>LAVORAZIONI!W313</f>
        <v/>
      </c>
      <c r="R61" s="6">
        <f>LAVORAZIONI!X313</f>
        <v/>
      </c>
      <c r="S61" s="7">
        <f>LAVORAZIONI!Y313</f>
        <v/>
      </c>
      <c r="T61" s="6">
        <f>LAVORAZIONI!Z313</f>
        <v/>
      </c>
      <c r="U61" s="7">
        <f>LAVORAZIONI!AA313</f>
        <v/>
      </c>
      <c r="V61" s="6">
        <f>LAVORAZIONI!AB313</f>
        <v/>
      </c>
      <c r="W61" s="7">
        <f>LAVORAZIONI!AC313</f>
        <v/>
      </c>
      <c r="X61" s="6">
        <f>LAVORAZIONI!AD313</f>
        <v/>
      </c>
      <c r="Y61" s="7">
        <f>LAVORAZIONI!AE313</f>
        <v/>
      </c>
      <c r="Z61" s="6">
        <f>LAVORAZIONI!AF313</f>
        <v/>
      </c>
      <c r="AA61" s="7">
        <f>LAVORAZIONI!AG313</f>
        <v/>
      </c>
      <c r="AB61" s="6">
        <f>LAVORAZIONI!AH313</f>
        <v/>
      </c>
      <c r="AC61" s="7">
        <f>LAVORAZIONI!AI313</f>
        <v/>
      </c>
      <c r="AD61" s="13">
        <f>LAVORAZIONI!AJ313</f>
        <v/>
      </c>
    </row>
    <row r="62" ht="64" customHeight="1" s="46">
      <c r="B62" s="4">
        <f>LAVORAZIONI!G314</f>
        <v/>
      </c>
      <c r="C62" s="3">
        <f>LAVORAZIONI!A314</f>
        <v/>
      </c>
      <c r="D62" s="3">
        <f>LAVORAZIONI!K314</f>
        <v/>
      </c>
      <c r="E62" s="4">
        <f>LAVORAZIONI!H314</f>
        <v/>
      </c>
      <c r="F62" s="4">
        <f>LAVORAZIONI!M314</f>
        <v/>
      </c>
      <c r="G62" s="5">
        <f>LAVORAZIONI!N314</f>
        <v/>
      </c>
      <c r="H62" s="6">
        <f>LAVORAZIONI!O314</f>
        <v/>
      </c>
      <c r="I62" s="13">
        <f>LAVORAZIONI!P314</f>
        <v/>
      </c>
      <c r="J62" s="5">
        <f>IF(LAVORAZIONI!Q314="","",LAVORAZIONI!Q314)</f>
        <v/>
      </c>
      <c r="K62" s="6">
        <f>IF(LAVORAZIONI!R314="","",LAVORAZIONI!R314)</f>
        <v/>
      </c>
      <c r="L62" s="13">
        <f>IF(LAVORAZIONI!S314="","",LAVORAZIONI!S314)</f>
        <v/>
      </c>
      <c r="M62" s="13">
        <f>LAVORAZIONI!T314</f>
        <v/>
      </c>
      <c r="O62" s="7">
        <f>LAVORAZIONI!U314</f>
        <v/>
      </c>
      <c r="P62" s="45">
        <f>LAVORAZIONI!V314</f>
        <v/>
      </c>
      <c r="Q62" s="7">
        <f>LAVORAZIONI!W314</f>
        <v/>
      </c>
      <c r="R62" s="6">
        <f>LAVORAZIONI!X314</f>
        <v/>
      </c>
      <c r="S62" s="7">
        <f>LAVORAZIONI!Y314</f>
        <v/>
      </c>
      <c r="T62" s="6">
        <f>LAVORAZIONI!Z314</f>
        <v/>
      </c>
      <c r="U62" s="7">
        <f>LAVORAZIONI!AA314</f>
        <v/>
      </c>
      <c r="V62" s="6">
        <f>LAVORAZIONI!AB314</f>
        <v/>
      </c>
      <c r="W62" s="7">
        <f>LAVORAZIONI!AC314</f>
        <v/>
      </c>
      <c r="X62" s="6">
        <f>LAVORAZIONI!AD314</f>
        <v/>
      </c>
      <c r="Y62" s="7">
        <f>LAVORAZIONI!AE314</f>
        <v/>
      </c>
      <c r="Z62" s="6">
        <f>LAVORAZIONI!AF314</f>
        <v/>
      </c>
      <c r="AA62" s="7">
        <f>LAVORAZIONI!AG314</f>
        <v/>
      </c>
      <c r="AB62" s="6">
        <f>LAVORAZIONI!AH314</f>
        <v/>
      </c>
      <c r="AC62" s="7">
        <f>LAVORAZIONI!AI314</f>
        <v/>
      </c>
      <c r="AD62" s="13">
        <f>LAVORAZIONI!AJ314</f>
        <v/>
      </c>
    </row>
    <row r="63" ht="64" customHeight="1" s="46">
      <c r="B63" s="4">
        <f>LAVORAZIONI!G315</f>
        <v/>
      </c>
      <c r="C63" s="3">
        <f>LAVORAZIONI!A315</f>
        <v/>
      </c>
      <c r="D63" s="3">
        <f>LAVORAZIONI!K315</f>
        <v/>
      </c>
      <c r="E63" s="4">
        <f>LAVORAZIONI!H315</f>
        <v/>
      </c>
      <c r="F63" s="4">
        <f>LAVORAZIONI!M315</f>
        <v/>
      </c>
      <c r="G63" s="5">
        <f>LAVORAZIONI!N315</f>
        <v/>
      </c>
      <c r="H63" s="6">
        <f>LAVORAZIONI!O315</f>
        <v/>
      </c>
      <c r="I63" s="13">
        <f>LAVORAZIONI!P315</f>
        <v/>
      </c>
      <c r="J63" s="5">
        <f>IF(LAVORAZIONI!Q315="","",LAVORAZIONI!Q315)</f>
        <v/>
      </c>
      <c r="K63" s="6">
        <f>IF(LAVORAZIONI!R315="","",LAVORAZIONI!R315)</f>
        <v/>
      </c>
      <c r="L63" s="13">
        <f>IF(LAVORAZIONI!S315="","",LAVORAZIONI!S315)</f>
        <v/>
      </c>
      <c r="M63" s="13">
        <f>LAVORAZIONI!T315</f>
        <v/>
      </c>
      <c r="O63" s="7">
        <f>LAVORAZIONI!U315</f>
        <v/>
      </c>
      <c r="P63" s="45">
        <f>LAVORAZIONI!V315</f>
        <v/>
      </c>
      <c r="Q63" s="7">
        <f>LAVORAZIONI!W315</f>
        <v/>
      </c>
      <c r="R63" s="6">
        <f>LAVORAZIONI!X315</f>
        <v/>
      </c>
      <c r="S63" s="7">
        <f>LAVORAZIONI!Y315</f>
        <v/>
      </c>
      <c r="T63" s="6">
        <f>LAVORAZIONI!Z315</f>
        <v/>
      </c>
      <c r="U63" s="7">
        <f>LAVORAZIONI!AA315</f>
        <v/>
      </c>
      <c r="V63" s="6">
        <f>LAVORAZIONI!AB315</f>
        <v/>
      </c>
      <c r="W63" s="7">
        <f>LAVORAZIONI!AC315</f>
        <v/>
      </c>
      <c r="X63" s="6">
        <f>LAVORAZIONI!AD315</f>
        <v/>
      </c>
      <c r="Y63" s="7">
        <f>LAVORAZIONI!AE315</f>
        <v/>
      </c>
      <c r="Z63" s="6">
        <f>LAVORAZIONI!AF315</f>
        <v/>
      </c>
      <c r="AA63" s="7">
        <f>LAVORAZIONI!AG315</f>
        <v/>
      </c>
      <c r="AB63" s="6">
        <f>LAVORAZIONI!AH315</f>
        <v/>
      </c>
      <c r="AC63" s="7">
        <f>LAVORAZIONI!AI315</f>
        <v/>
      </c>
      <c r="AD63" s="13">
        <f>LAVORAZIONI!AJ315</f>
        <v/>
      </c>
    </row>
    <row r="64" ht="64" customHeight="1" s="46">
      <c r="B64" s="4">
        <f>LAVORAZIONI!G316</f>
        <v/>
      </c>
      <c r="C64" s="3">
        <f>LAVORAZIONI!A316</f>
        <v/>
      </c>
      <c r="D64" s="3">
        <f>LAVORAZIONI!K316</f>
        <v/>
      </c>
      <c r="E64" s="4">
        <f>LAVORAZIONI!H316</f>
        <v/>
      </c>
      <c r="F64" s="4">
        <f>LAVORAZIONI!M316</f>
        <v/>
      </c>
      <c r="G64" s="5">
        <f>LAVORAZIONI!N316</f>
        <v/>
      </c>
      <c r="H64" s="6">
        <f>LAVORAZIONI!O316</f>
        <v/>
      </c>
      <c r="I64" s="13">
        <f>LAVORAZIONI!P316</f>
        <v/>
      </c>
      <c r="J64" s="5">
        <f>IF(LAVORAZIONI!Q316="","",LAVORAZIONI!Q316)</f>
        <v/>
      </c>
      <c r="K64" s="6">
        <f>IF(LAVORAZIONI!R316="","",LAVORAZIONI!R316)</f>
        <v/>
      </c>
      <c r="L64" s="13">
        <f>IF(LAVORAZIONI!S316="","",LAVORAZIONI!S316)</f>
        <v/>
      </c>
      <c r="M64" s="13">
        <f>LAVORAZIONI!T316</f>
        <v/>
      </c>
      <c r="O64" s="7">
        <f>LAVORAZIONI!U316</f>
        <v/>
      </c>
      <c r="P64" s="45">
        <f>LAVORAZIONI!V316</f>
        <v/>
      </c>
      <c r="Q64" s="7">
        <f>LAVORAZIONI!W316</f>
        <v/>
      </c>
      <c r="R64" s="6">
        <f>LAVORAZIONI!X316</f>
        <v/>
      </c>
      <c r="S64" s="7">
        <f>LAVORAZIONI!Y316</f>
        <v/>
      </c>
      <c r="T64" s="6">
        <f>LAVORAZIONI!Z316</f>
        <v/>
      </c>
      <c r="U64" s="7">
        <f>LAVORAZIONI!AA316</f>
        <v/>
      </c>
      <c r="V64" s="6">
        <f>LAVORAZIONI!AB316</f>
        <v/>
      </c>
      <c r="W64" s="7">
        <f>LAVORAZIONI!AC316</f>
        <v/>
      </c>
      <c r="X64" s="6">
        <f>LAVORAZIONI!AD316</f>
        <v/>
      </c>
      <c r="Y64" s="7">
        <f>LAVORAZIONI!AE316</f>
        <v/>
      </c>
      <c r="Z64" s="6">
        <f>LAVORAZIONI!AF316</f>
        <v/>
      </c>
      <c r="AA64" s="7">
        <f>LAVORAZIONI!AG316</f>
        <v/>
      </c>
      <c r="AB64" s="6">
        <f>LAVORAZIONI!AH316</f>
        <v/>
      </c>
      <c r="AC64" s="7">
        <f>LAVORAZIONI!AI316</f>
        <v/>
      </c>
      <c r="AD64" s="13">
        <f>LAVORAZIONI!AJ316</f>
        <v/>
      </c>
    </row>
    <row r="65" ht="64" customHeight="1" s="46">
      <c r="B65" s="4">
        <f>LAVORAZIONI!G317</f>
        <v/>
      </c>
      <c r="C65" s="3">
        <f>LAVORAZIONI!A317</f>
        <v/>
      </c>
      <c r="D65" s="3">
        <f>LAVORAZIONI!K317</f>
        <v/>
      </c>
      <c r="E65" s="4">
        <f>LAVORAZIONI!H317</f>
        <v/>
      </c>
      <c r="F65" s="4">
        <f>LAVORAZIONI!M317</f>
        <v/>
      </c>
      <c r="G65" s="5">
        <f>LAVORAZIONI!N317</f>
        <v/>
      </c>
      <c r="H65" s="6">
        <f>LAVORAZIONI!O317</f>
        <v/>
      </c>
      <c r="I65" s="13">
        <f>LAVORAZIONI!P317</f>
        <v/>
      </c>
      <c r="J65" s="5">
        <f>IF(LAVORAZIONI!Q317="","",LAVORAZIONI!Q317)</f>
        <v/>
      </c>
      <c r="K65" s="6">
        <f>IF(LAVORAZIONI!R317="","",LAVORAZIONI!R317)</f>
        <v/>
      </c>
      <c r="L65" s="13">
        <f>IF(LAVORAZIONI!S317="","",LAVORAZIONI!S317)</f>
        <v/>
      </c>
      <c r="M65" s="13">
        <f>LAVORAZIONI!T317</f>
        <v/>
      </c>
      <c r="O65" s="7">
        <f>LAVORAZIONI!U317</f>
        <v/>
      </c>
      <c r="P65" s="45">
        <f>LAVORAZIONI!V317</f>
        <v/>
      </c>
      <c r="Q65" s="7">
        <f>LAVORAZIONI!W317</f>
        <v/>
      </c>
      <c r="R65" s="6">
        <f>LAVORAZIONI!X317</f>
        <v/>
      </c>
      <c r="S65" s="7">
        <f>LAVORAZIONI!Y317</f>
        <v/>
      </c>
      <c r="T65" s="6">
        <f>LAVORAZIONI!Z317</f>
        <v/>
      </c>
      <c r="U65" s="7">
        <f>LAVORAZIONI!AA317</f>
        <v/>
      </c>
      <c r="V65" s="6">
        <f>LAVORAZIONI!AB317</f>
        <v/>
      </c>
      <c r="W65" s="7">
        <f>LAVORAZIONI!AC317</f>
        <v/>
      </c>
      <c r="X65" s="6">
        <f>LAVORAZIONI!AD317</f>
        <v/>
      </c>
      <c r="Y65" s="7">
        <f>LAVORAZIONI!AE317</f>
        <v/>
      </c>
      <c r="Z65" s="6">
        <f>LAVORAZIONI!AF317</f>
        <v/>
      </c>
      <c r="AA65" s="7">
        <f>LAVORAZIONI!AG317</f>
        <v/>
      </c>
      <c r="AB65" s="6">
        <f>LAVORAZIONI!AH317</f>
        <v/>
      </c>
      <c r="AC65" s="7">
        <f>LAVORAZIONI!AI317</f>
        <v/>
      </c>
      <c r="AD65" s="13">
        <f>LAVORAZIONI!AJ317</f>
        <v/>
      </c>
    </row>
    <row r="66" ht="64" customHeight="1" s="46">
      <c r="B66" s="4">
        <f>LAVORAZIONI!G318</f>
        <v/>
      </c>
      <c r="C66" s="3">
        <f>LAVORAZIONI!A318</f>
        <v/>
      </c>
      <c r="D66" s="3">
        <f>LAVORAZIONI!K318</f>
        <v/>
      </c>
      <c r="E66" s="4">
        <f>LAVORAZIONI!H318</f>
        <v/>
      </c>
      <c r="F66" s="4">
        <f>LAVORAZIONI!M318</f>
        <v/>
      </c>
      <c r="G66" s="5">
        <f>LAVORAZIONI!N318</f>
        <v/>
      </c>
      <c r="H66" s="6">
        <f>LAVORAZIONI!O318</f>
        <v/>
      </c>
      <c r="I66" s="13">
        <f>LAVORAZIONI!P318</f>
        <v/>
      </c>
      <c r="J66" s="5">
        <f>IF(LAVORAZIONI!Q318="","",LAVORAZIONI!Q318)</f>
        <v/>
      </c>
      <c r="K66" s="6">
        <f>IF(LAVORAZIONI!R318="","",LAVORAZIONI!R318)</f>
        <v/>
      </c>
      <c r="L66" s="13">
        <f>IF(LAVORAZIONI!S318="","",LAVORAZIONI!S318)</f>
        <v/>
      </c>
      <c r="M66" s="13">
        <f>LAVORAZIONI!T318</f>
        <v/>
      </c>
      <c r="O66" s="7">
        <f>LAVORAZIONI!U318</f>
        <v/>
      </c>
      <c r="P66" s="45">
        <f>LAVORAZIONI!V318</f>
        <v/>
      </c>
      <c r="Q66" s="7">
        <f>LAVORAZIONI!W318</f>
        <v/>
      </c>
      <c r="R66" s="6">
        <f>LAVORAZIONI!X318</f>
        <v/>
      </c>
      <c r="S66" s="7">
        <f>LAVORAZIONI!Y318</f>
        <v/>
      </c>
      <c r="T66" s="6">
        <f>LAVORAZIONI!Z318</f>
        <v/>
      </c>
      <c r="U66" s="7">
        <f>LAVORAZIONI!AA318</f>
        <v/>
      </c>
      <c r="V66" s="6">
        <f>LAVORAZIONI!AB318</f>
        <v/>
      </c>
      <c r="W66" s="7">
        <f>LAVORAZIONI!AC318</f>
        <v/>
      </c>
      <c r="X66" s="6">
        <f>LAVORAZIONI!AD318</f>
        <v/>
      </c>
      <c r="Y66" s="7">
        <f>LAVORAZIONI!AE318</f>
        <v/>
      </c>
      <c r="Z66" s="6">
        <f>LAVORAZIONI!AF318</f>
        <v/>
      </c>
      <c r="AA66" s="7">
        <f>LAVORAZIONI!AG318</f>
        <v/>
      </c>
      <c r="AB66" s="6">
        <f>LAVORAZIONI!AH318</f>
        <v/>
      </c>
      <c r="AC66" s="7">
        <f>LAVORAZIONI!AI318</f>
        <v/>
      </c>
      <c r="AD66" s="13">
        <f>LAVORAZIONI!AJ318</f>
        <v/>
      </c>
    </row>
    <row r="67" ht="64" customHeight="1" s="46">
      <c r="B67" s="4">
        <f>LAVORAZIONI!G319</f>
        <v/>
      </c>
      <c r="C67" s="3">
        <f>LAVORAZIONI!A319</f>
        <v/>
      </c>
      <c r="D67" s="3">
        <f>LAVORAZIONI!K319</f>
        <v/>
      </c>
      <c r="E67" s="4">
        <f>LAVORAZIONI!H319</f>
        <v/>
      </c>
      <c r="F67" s="4">
        <f>LAVORAZIONI!M319</f>
        <v/>
      </c>
      <c r="G67" s="5">
        <f>LAVORAZIONI!N319</f>
        <v/>
      </c>
      <c r="H67" s="6">
        <f>LAVORAZIONI!O319</f>
        <v/>
      </c>
      <c r="I67" s="13">
        <f>LAVORAZIONI!P319</f>
        <v/>
      </c>
      <c r="J67" s="5">
        <f>IF(LAVORAZIONI!Q319="","",LAVORAZIONI!Q319)</f>
        <v/>
      </c>
      <c r="K67" s="6">
        <f>IF(LAVORAZIONI!R319="","",LAVORAZIONI!R319)</f>
        <v/>
      </c>
      <c r="L67" s="13">
        <f>IF(LAVORAZIONI!S319="","",LAVORAZIONI!S319)</f>
        <v/>
      </c>
      <c r="M67" s="13">
        <f>LAVORAZIONI!T319</f>
        <v/>
      </c>
      <c r="O67" s="7">
        <f>LAVORAZIONI!U319</f>
        <v/>
      </c>
      <c r="P67" s="45">
        <f>LAVORAZIONI!V319</f>
        <v/>
      </c>
      <c r="Q67" s="7">
        <f>LAVORAZIONI!W319</f>
        <v/>
      </c>
      <c r="R67" s="6">
        <f>LAVORAZIONI!X319</f>
        <v/>
      </c>
      <c r="S67" s="7">
        <f>LAVORAZIONI!Y319</f>
        <v/>
      </c>
      <c r="T67" s="6">
        <f>LAVORAZIONI!Z319</f>
        <v/>
      </c>
      <c r="U67" s="7">
        <f>LAVORAZIONI!AA319</f>
        <v/>
      </c>
      <c r="V67" s="6">
        <f>LAVORAZIONI!AB319</f>
        <v/>
      </c>
      <c r="W67" s="7">
        <f>LAVORAZIONI!AC319</f>
        <v/>
      </c>
      <c r="X67" s="6">
        <f>LAVORAZIONI!AD319</f>
        <v/>
      </c>
      <c r="Y67" s="7">
        <f>LAVORAZIONI!AE319</f>
        <v/>
      </c>
      <c r="Z67" s="6">
        <f>LAVORAZIONI!AF319</f>
        <v/>
      </c>
      <c r="AA67" s="7">
        <f>LAVORAZIONI!AG319</f>
        <v/>
      </c>
      <c r="AB67" s="6">
        <f>LAVORAZIONI!AH319</f>
        <v/>
      </c>
      <c r="AC67" s="7">
        <f>LAVORAZIONI!AI319</f>
        <v/>
      </c>
      <c r="AD67" s="13">
        <f>LAVORAZIONI!AJ319</f>
        <v/>
      </c>
    </row>
    <row r="68" ht="64" customHeight="1" s="46">
      <c r="B68" s="4">
        <f>LAVORAZIONI!G320</f>
        <v/>
      </c>
      <c r="C68" s="3">
        <f>LAVORAZIONI!A320</f>
        <v/>
      </c>
      <c r="D68" s="3">
        <f>LAVORAZIONI!K320</f>
        <v/>
      </c>
      <c r="E68" s="4">
        <f>LAVORAZIONI!H320</f>
        <v/>
      </c>
      <c r="F68" s="4">
        <f>LAVORAZIONI!M320</f>
        <v/>
      </c>
      <c r="G68" s="5">
        <f>LAVORAZIONI!N320</f>
        <v/>
      </c>
      <c r="H68" s="6">
        <f>LAVORAZIONI!O320</f>
        <v/>
      </c>
      <c r="I68" s="13">
        <f>LAVORAZIONI!P320</f>
        <v/>
      </c>
      <c r="J68" s="5">
        <f>IF(LAVORAZIONI!Q320="","",LAVORAZIONI!Q320)</f>
        <v/>
      </c>
      <c r="K68" s="6">
        <f>IF(LAVORAZIONI!R320="","",LAVORAZIONI!R320)</f>
        <v/>
      </c>
      <c r="L68" s="13">
        <f>IF(LAVORAZIONI!S320="","",LAVORAZIONI!S320)</f>
        <v/>
      </c>
      <c r="M68" s="13">
        <f>LAVORAZIONI!T320</f>
        <v/>
      </c>
      <c r="O68" s="7">
        <f>LAVORAZIONI!U320</f>
        <v/>
      </c>
      <c r="P68" s="45">
        <f>LAVORAZIONI!V320</f>
        <v/>
      </c>
      <c r="Q68" s="7">
        <f>LAVORAZIONI!W320</f>
        <v/>
      </c>
      <c r="R68" s="6">
        <f>LAVORAZIONI!X320</f>
        <v/>
      </c>
      <c r="S68" s="7">
        <f>LAVORAZIONI!Y320</f>
        <v/>
      </c>
      <c r="T68" s="6">
        <f>LAVORAZIONI!Z320</f>
        <v/>
      </c>
      <c r="U68" s="7">
        <f>LAVORAZIONI!AA320</f>
        <v/>
      </c>
      <c r="V68" s="6">
        <f>LAVORAZIONI!AB320</f>
        <v/>
      </c>
      <c r="W68" s="7">
        <f>LAVORAZIONI!AC320</f>
        <v/>
      </c>
      <c r="X68" s="6">
        <f>LAVORAZIONI!AD320</f>
        <v/>
      </c>
      <c r="Y68" s="7">
        <f>LAVORAZIONI!AE320</f>
        <v/>
      </c>
      <c r="Z68" s="6">
        <f>LAVORAZIONI!AF320</f>
        <v/>
      </c>
      <c r="AA68" s="7">
        <f>LAVORAZIONI!AG320</f>
        <v/>
      </c>
      <c r="AB68" s="6">
        <f>LAVORAZIONI!AH320</f>
        <v/>
      </c>
      <c r="AC68" s="7">
        <f>LAVORAZIONI!AI320</f>
        <v/>
      </c>
      <c r="AD68" s="13">
        <f>LAVORAZIONI!AJ320</f>
        <v/>
      </c>
    </row>
    <row r="69" ht="64" customHeight="1" s="46">
      <c r="B69" s="4">
        <f>LAVORAZIONI!G321</f>
        <v/>
      </c>
      <c r="C69" s="3">
        <f>LAVORAZIONI!A321</f>
        <v/>
      </c>
      <c r="D69" s="3">
        <f>LAVORAZIONI!K321</f>
        <v/>
      </c>
      <c r="E69" s="4">
        <f>LAVORAZIONI!H321</f>
        <v/>
      </c>
      <c r="F69" s="4">
        <f>LAVORAZIONI!M321</f>
        <v/>
      </c>
      <c r="G69" s="5">
        <f>LAVORAZIONI!N321</f>
        <v/>
      </c>
      <c r="H69" s="6">
        <f>LAVORAZIONI!O321</f>
        <v/>
      </c>
      <c r="I69" s="13">
        <f>LAVORAZIONI!P321</f>
        <v/>
      </c>
      <c r="J69" s="5">
        <f>IF(LAVORAZIONI!Q321="","",LAVORAZIONI!Q321)</f>
        <v/>
      </c>
      <c r="K69" s="6">
        <f>IF(LAVORAZIONI!R321="","",LAVORAZIONI!R321)</f>
        <v/>
      </c>
      <c r="L69" s="13">
        <f>IF(LAVORAZIONI!S321="","",LAVORAZIONI!S321)</f>
        <v/>
      </c>
      <c r="M69" s="13">
        <f>LAVORAZIONI!T321</f>
        <v/>
      </c>
      <c r="O69" s="7">
        <f>LAVORAZIONI!U321</f>
        <v/>
      </c>
      <c r="P69" s="45">
        <f>LAVORAZIONI!V321</f>
        <v/>
      </c>
      <c r="Q69" s="7">
        <f>LAVORAZIONI!W321</f>
        <v/>
      </c>
      <c r="R69" s="6">
        <f>LAVORAZIONI!X321</f>
        <v/>
      </c>
      <c r="S69" s="7">
        <f>LAVORAZIONI!Y321</f>
        <v/>
      </c>
      <c r="T69" s="6">
        <f>LAVORAZIONI!Z321</f>
        <v/>
      </c>
      <c r="U69" s="7">
        <f>LAVORAZIONI!AA321</f>
        <v/>
      </c>
      <c r="V69" s="6">
        <f>LAVORAZIONI!AB321</f>
        <v/>
      </c>
      <c r="W69" s="7">
        <f>LAVORAZIONI!AC321</f>
        <v/>
      </c>
      <c r="X69" s="6">
        <f>LAVORAZIONI!AD321</f>
        <v/>
      </c>
      <c r="Y69" s="7">
        <f>LAVORAZIONI!AE321</f>
        <v/>
      </c>
      <c r="Z69" s="6">
        <f>LAVORAZIONI!AF321</f>
        <v/>
      </c>
      <c r="AA69" s="7">
        <f>LAVORAZIONI!AG321</f>
        <v/>
      </c>
      <c r="AB69" s="6">
        <f>LAVORAZIONI!AH321</f>
        <v/>
      </c>
      <c r="AC69" s="7">
        <f>LAVORAZIONI!AI321</f>
        <v/>
      </c>
      <c r="AD69" s="13">
        <f>LAVORAZIONI!AJ321</f>
        <v/>
      </c>
    </row>
    <row r="70" ht="64" customHeight="1" s="46">
      <c r="B70" s="4">
        <f>LAVORAZIONI!G322</f>
        <v/>
      </c>
      <c r="C70" s="3">
        <f>LAVORAZIONI!A322</f>
        <v/>
      </c>
      <c r="D70" s="3">
        <f>LAVORAZIONI!K322</f>
        <v/>
      </c>
      <c r="E70" s="4">
        <f>LAVORAZIONI!H322</f>
        <v/>
      </c>
      <c r="F70" s="4">
        <f>LAVORAZIONI!M322</f>
        <v/>
      </c>
      <c r="G70" s="5">
        <f>LAVORAZIONI!N322</f>
        <v/>
      </c>
      <c r="H70" s="6">
        <f>LAVORAZIONI!O322</f>
        <v/>
      </c>
      <c r="I70" s="13">
        <f>LAVORAZIONI!P322</f>
        <v/>
      </c>
      <c r="J70" s="5">
        <f>IF(LAVORAZIONI!Q322="","",LAVORAZIONI!Q322)</f>
        <v/>
      </c>
      <c r="K70" s="6">
        <f>IF(LAVORAZIONI!R322="","",LAVORAZIONI!R322)</f>
        <v/>
      </c>
      <c r="L70" s="13">
        <f>IF(LAVORAZIONI!S322="","",LAVORAZIONI!S322)</f>
        <v/>
      </c>
      <c r="M70" s="13">
        <f>LAVORAZIONI!T322</f>
        <v/>
      </c>
      <c r="O70" s="7">
        <f>LAVORAZIONI!U322</f>
        <v/>
      </c>
      <c r="P70" s="45">
        <f>LAVORAZIONI!V322</f>
        <v/>
      </c>
      <c r="Q70" s="7">
        <f>LAVORAZIONI!W322</f>
        <v/>
      </c>
      <c r="R70" s="6">
        <f>LAVORAZIONI!X322</f>
        <v/>
      </c>
      <c r="S70" s="7">
        <f>LAVORAZIONI!Y322</f>
        <v/>
      </c>
      <c r="T70" s="6">
        <f>LAVORAZIONI!Z322</f>
        <v/>
      </c>
      <c r="U70" s="7">
        <f>LAVORAZIONI!AA322</f>
        <v/>
      </c>
      <c r="V70" s="6">
        <f>LAVORAZIONI!AB322</f>
        <v/>
      </c>
      <c r="W70" s="7">
        <f>LAVORAZIONI!AC322</f>
        <v/>
      </c>
      <c r="X70" s="6">
        <f>LAVORAZIONI!AD322</f>
        <v/>
      </c>
      <c r="Y70" s="7">
        <f>LAVORAZIONI!AE322</f>
        <v/>
      </c>
      <c r="Z70" s="6">
        <f>LAVORAZIONI!AF322</f>
        <v/>
      </c>
      <c r="AA70" s="7">
        <f>LAVORAZIONI!AG322</f>
        <v/>
      </c>
      <c r="AB70" s="6">
        <f>LAVORAZIONI!AH322</f>
        <v/>
      </c>
      <c r="AC70" s="7">
        <f>LAVORAZIONI!AI322</f>
        <v/>
      </c>
      <c r="AD70" s="13">
        <f>LAVORAZIONI!AJ322</f>
        <v/>
      </c>
    </row>
    <row r="71" ht="64" customHeight="1" s="46">
      <c r="B71" s="4">
        <f>LAVORAZIONI!G323</f>
        <v/>
      </c>
      <c r="C71" s="3">
        <f>LAVORAZIONI!A323</f>
        <v/>
      </c>
      <c r="D71" s="3">
        <f>LAVORAZIONI!K323</f>
        <v/>
      </c>
      <c r="E71" s="4">
        <f>LAVORAZIONI!H323</f>
        <v/>
      </c>
      <c r="F71" s="4">
        <f>LAVORAZIONI!M323</f>
        <v/>
      </c>
      <c r="G71" s="5">
        <f>LAVORAZIONI!N323</f>
        <v/>
      </c>
      <c r="H71" s="6">
        <f>LAVORAZIONI!O323</f>
        <v/>
      </c>
      <c r="I71" s="13">
        <f>LAVORAZIONI!P323</f>
        <v/>
      </c>
      <c r="J71" s="5">
        <f>IF(LAVORAZIONI!Q323="","",LAVORAZIONI!Q323)</f>
        <v/>
      </c>
      <c r="K71" s="6">
        <f>IF(LAVORAZIONI!R323="","",LAVORAZIONI!R323)</f>
        <v/>
      </c>
      <c r="L71" s="13">
        <f>IF(LAVORAZIONI!S323="","",LAVORAZIONI!S323)</f>
        <v/>
      </c>
      <c r="M71" s="13">
        <f>LAVORAZIONI!T323</f>
        <v/>
      </c>
      <c r="O71" s="7">
        <f>LAVORAZIONI!U323</f>
        <v/>
      </c>
      <c r="P71" s="45">
        <f>LAVORAZIONI!V323</f>
        <v/>
      </c>
      <c r="Q71" s="7">
        <f>LAVORAZIONI!W323</f>
        <v/>
      </c>
      <c r="R71" s="6">
        <f>LAVORAZIONI!X323</f>
        <v/>
      </c>
      <c r="S71" s="7">
        <f>LAVORAZIONI!Y323</f>
        <v/>
      </c>
      <c r="T71" s="6">
        <f>LAVORAZIONI!Z323</f>
        <v/>
      </c>
      <c r="U71" s="7">
        <f>LAVORAZIONI!AA323</f>
        <v/>
      </c>
      <c r="V71" s="6">
        <f>LAVORAZIONI!AB323</f>
        <v/>
      </c>
      <c r="W71" s="7">
        <f>LAVORAZIONI!AC323</f>
        <v/>
      </c>
      <c r="X71" s="6">
        <f>LAVORAZIONI!AD323</f>
        <v/>
      </c>
      <c r="Y71" s="7">
        <f>LAVORAZIONI!AE323</f>
        <v/>
      </c>
      <c r="Z71" s="6">
        <f>LAVORAZIONI!AF323</f>
        <v/>
      </c>
      <c r="AA71" s="7">
        <f>LAVORAZIONI!AG323</f>
        <v/>
      </c>
      <c r="AB71" s="6">
        <f>LAVORAZIONI!AH323</f>
        <v/>
      </c>
      <c r="AC71" s="7">
        <f>LAVORAZIONI!AI323</f>
        <v/>
      </c>
      <c r="AD71" s="13">
        <f>LAVORAZIONI!AJ323</f>
        <v/>
      </c>
    </row>
    <row r="72" ht="64" customHeight="1" s="46">
      <c r="B72" s="4">
        <f>LAVORAZIONI!G324</f>
        <v/>
      </c>
      <c r="C72" s="3">
        <f>LAVORAZIONI!A324</f>
        <v/>
      </c>
      <c r="D72" s="3">
        <f>LAVORAZIONI!K324</f>
        <v/>
      </c>
      <c r="E72" s="4">
        <f>LAVORAZIONI!H324</f>
        <v/>
      </c>
      <c r="F72" s="4">
        <f>LAVORAZIONI!M324</f>
        <v/>
      </c>
      <c r="G72" s="5">
        <f>LAVORAZIONI!N324</f>
        <v/>
      </c>
      <c r="H72" s="6">
        <f>LAVORAZIONI!O324</f>
        <v/>
      </c>
      <c r="I72" s="13">
        <f>LAVORAZIONI!P324</f>
        <v/>
      </c>
      <c r="J72" s="5">
        <f>IF(LAVORAZIONI!Q324="","",LAVORAZIONI!Q324)</f>
        <v/>
      </c>
      <c r="K72" s="6">
        <f>IF(LAVORAZIONI!R324="","",LAVORAZIONI!R324)</f>
        <v/>
      </c>
      <c r="L72" s="13">
        <f>IF(LAVORAZIONI!S324="","",LAVORAZIONI!S324)</f>
        <v/>
      </c>
      <c r="M72" s="13">
        <f>LAVORAZIONI!T324</f>
        <v/>
      </c>
      <c r="O72" s="7">
        <f>LAVORAZIONI!U324</f>
        <v/>
      </c>
      <c r="P72" s="45">
        <f>LAVORAZIONI!V324</f>
        <v/>
      </c>
      <c r="Q72" s="7">
        <f>LAVORAZIONI!W324</f>
        <v/>
      </c>
      <c r="R72" s="6">
        <f>LAVORAZIONI!X324</f>
        <v/>
      </c>
      <c r="S72" s="7">
        <f>LAVORAZIONI!Y324</f>
        <v/>
      </c>
      <c r="T72" s="6">
        <f>LAVORAZIONI!Z324</f>
        <v/>
      </c>
      <c r="U72" s="7">
        <f>LAVORAZIONI!AA324</f>
        <v/>
      </c>
      <c r="V72" s="6">
        <f>LAVORAZIONI!AB324</f>
        <v/>
      </c>
      <c r="W72" s="7">
        <f>LAVORAZIONI!AC324</f>
        <v/>
      </c>
      <c r="X72" s="6">
        <f>LAVORAZIONI!AD324</f>
        <v/>
      </c>
      <c r="Y72" s="7">
        <f>LAVORAZIONI!AE324</f>
        <v/>
      </c>
      <c r="Z72" s="6">
        <f>LAVORAZIONI!AF324</f>
        <v/>
      </c>
      <c r="AA72" s="7">
        <f>LAVORAZIONI!AG324</f>
        <v/>
      </c>
      <c r="AB72" s="6">
        <f>LAVORAZIONI!AH324</f>
        <v/>
      </c>
      <c r="AC72" s="7">
        <f>LAVORAZIONI!AI324</f>
        <v/>
      </c>
      <c r="AD72" s="13">
        <f>LAVORAZIONI!AJ324</f>
        <v/>
      </c>
    </row>
    <row r="73" ht="64" customHeight="1" s="46">
      <c r="B73" s="4">
        <f>LAVORAZIONI!G325</f>
        <v/>
      </c>
      <c r="C73" s="3">
        <f>LAVORAZIONI!A325</f>
        <v/>
      </c>
      <c r="D73" s="3">
        <f>LAVORAZIONI!K325</f>
        <v/>
      </c>
      <c r="E73" s="4">
        <f>LAVORAZIONI!H325</f>
        <v/>
      </c>
      <c r="F73" s="4">
        <f>LAVORAZIONI!M325</f>
        <v/>
      </c>
      <c r="G73" s="5">
        <f>LAVORAZIONI!N325</f>
        <v/>
      </c>
      <c r="H73" s="6">
        <f>LAVORAZIONI!O325</f>
        <v/>
      </c>
      <c r="I73" s="13">
        <f>LAVORAZIONI!P325</f>
        <v/>
      </c>
      <c r="J73" s="5">
        <f>IF(LAVORAZIONI!Q325="","",LAVORAZIONI!Q325)</f>
        <v/>
      </c>
      <c r="K73" s="6">
        <f>IF(LAVORAZIONI!R325="","",LAVORAZIONI!R325)</f>
        <v/>
      </c>
      <c r="L73" s="13">
        <f>IF(LAVORAZIONI!S325="","",LAVORAZIONI!S325)</f>
        <v/>
      </c>
      <c r="M73" s="13">
        <f>LAVORAZIONI!T325</f>
        <v/>
      </c>
      <c r="O73" s="7">
        <f>LAVORAZIONI!U325</f>
        <v/>
      </c>
      <c r="P73" s="45">
        <f>LAVORAZIONI!V325</f>
        <v/>
      </c>
      <c r="Q73" s="7">
        <f>LAVORAZIONI!W325</f>
        <v/>
      </c>
      <c r="R73" s="6">
        <f>LAVORAZIONI!X325</f>
        <v/>
      </c>
      <c r="S73" s="7">
        <f>LAVORAZIONI!Y325</f>
        <v/>
      </c>
      <c r="T73" s="6">
        <f>LAVORAZIONI!Z325</f>
        <v/>
      </c>
      <c r="U73" s="7">
        <f>LAVORAZIONI!AA325</f>
        <v/>
      </c>
      <c r="V73" s="6">
        <f>LAVORAZIONI!AB325</f>
        <v/>
      </c>
      <c r="W73" s="7">
        <f>LAVORAZIONI!AC325</f>
        <v/>
      </c>
      <c r="X73" s="6">
        <f>LAVORAZIONI!AD325</f>
        <v/>
      </c>
      <c r="Y73" s="7">
        <f>LAVORAZIONI!AE325</f>
        <v/>
      </c>
      <c r="Z73" s="6">
        <f>LAVORAZIONI!AF325</f>
        <v/>
      </c>
      <c r="AA73" s="7">
        <f>LAVORAZIONI!AG325</f>
        <v/>
      </c>
      <c r="AB73" s="6">
        <f>LAVORAZIONI!AH325</f>
        <v/>
      </c>
      <c r="AC73" s="7">
        <f>LAVORAZIONI!AI325</f>
        <v/>
      </c>
      <c r="AD73" s="13">
        <f>LAVORAZIONI!AJ325</f>
        <v/>
      </c>
    </row>
    <row r="74" ht="64" customHeight="1" s="46">
      <c r="B74" s="4">
        <f>LAVORAZIONI!G326</f>
        <v/>
      </c>
      <c r="C74" s="3">
        <f>LAVORAZIONI!A326</f>
        <v/>
      </c>
      <c r="D74" s="3">
        <f>LAVORAZIONI!K326</f>
        <v/>
      </c>
      <c r="E74" s="4">
        <f>LAVORAZIONI!H326</f>
        <v/>
      </c>
      <c r="F74" s="4">
        <f>LAVORAZIONI!M326</f>
        <v/>
      </c>
      <c r="G74" s="5">
        <f>LAVORAZIONI!N326</f>
        <v/>
      </c>
      <c r="H74" s="6">
        <f>LAVORAZIONI!O326</f>
        <v/>
      </c>
      <c r="I74" s="13">
        <f>LAVORAZIONI!P326</f>
        <v/>
      </c>
      <c r="J74" s="5">
        <f>IF(LAVORAZIONI!Q326="","",LAVORAZIONI!Q326)</f>
        <v/>
      </c>
      <c r="K74" s="6">
        <f>IF(LAVORAZIONI!R326="","",LAVORAZIONI!R326)</f>
        <v/>
      </c>
      <c r="L74" s="13">
        <f>IF(LAVORAZIONI!S326="","",LAVORAZIONI!S326)</f>
        <v/>
      </c>
      <c r="M74" s="13">
        <f>LAVORAZIONI!T326</f>
        <v/>
      </c>
      <c r="O74" s="7">
        <f>LAVORAZIONI!U326</f>
        <v/>
      </c>
      <c r="P74" s="45">
        <f>LAVORAZIONI!V326</f>
        <v/>
      </c>
      <c r="Q74" s="7">
        <f>LAVORAZIONI!W326</f>
        <v/>
      </c>
      <c r="R74" s="6">
        <f>LAVORAZIONI!X326</f>
        <v/>
      </c>
      <c r="S74" s="7">
        <f>LAVORAZIONI!Y326</f>
        <v/>
      </c>
      <c r="T74" s="6">
        <f>LAVORAZIONI!Z326</f>
        <v/>
      </c>
      <c r="U74" s="7">
        <f>LAVORAZIONI!AA326</f>
        <v/>
      </c>
      <c r="V74" s="6">
        <f>LAVORAZIONI!AB326</f>
        <v/>
      </c>
      <c r="W74" s="7">
        <f>LAVORAZIONI!AC326</f>
        <v/>
      </c>
      <c r="X74" s="6">
        <f>LAVORAZIONI!AD326</f>
        <v/>
      </c>
      <c r="Y74" s="7">
        <f>LAVORAZIONI!AE326</f>
        <v/>
      </c>
      <c r="Z74" s="6">
        <f>LAVORAZIONI!AF326</f>
        <v/>
      </c>
      <c r="AA74" s="7">
        <f>LAVORAZIONI!AG326</f>
        <v/>
      </c>
      <c r="AB74" s="6">
        <f>LAVORAZIONI!AH326</f>
        <v/>
      </c>
      <c r="AC74" s="7">
        <f>LAVORAZIONI!AI326</f>
        <v/>
      </c>
      <c r="AD74" s="13">
        <f>LAVORAZIONI!AJ326</f>
        <v/>
      </c>
    </row>
    <row r="75" ht="64" customHeight="1" s="46">
      <c r="B75" s="4">
        <f>LAVORAZIONI!G327</f>
        <v/>
      </c>
      <c r="C75" s="3">
        <f>LAVORAZIONI!A327</f>
        <v/>
      </c>
      <c r="D75" s="3">
        <f>LAVORAZIONI!K327</f>
        <v/>
      </c>
      <c r="E75" s="4">
        <f>LAVORAZIONI!H327</f>
        <v/>
      </c>
      <c r="F75" s="4">
        <f>LAVORAZIONI!M327</f>
        <v/>
      </c>
      <c r="G75" s="5">
        <f>LAVORAZIONI!N327</f>
        <v/>
      </c>
      <c r="H75" s="6">
        <f>LAVORAZIONI!O327</f>
        <v/>
      </c>
      <c r="I75" s="13">
        <f>LAVORAZIONI!P327</f>
        <v/>
      </c>
      <c r="J75" s="5">
        <f>IF(LAVORAZIONI!Q327="","",LAVORAZIONI!Q327)</f>
        <v/>
      </c>
      <c r="K75" s="6">
        <f>IF(LAVORAZIONI!R327="","",LAVORAZIONI!R327)</f>
        <v/>
      </c>
      <c r="L75" s="13">
        <f>IF(LAVORAZIONI!S327="","",LAVORAZIONI!S327)</f>
        <v/>
      </c>
      <c r="M75" s="13">
        <f>LAVORAZIONI!T327</f>
        <v/>
      </c>
      <c r="O75" s="7">
        <f>LAVORAZIONI!U327</f>
        <v/>
      </c>
      <c r="P75" s="45">
        <f>LAVORAZIONI!V327</f>
        <v/>
      </c>
      <c r="Q75" s="7">
        <f>LAVORAZIONI!W327</f>
        <v/>
      </c>
      <c r="R75" s="6">
        <f>LAVORAZIONI!X327</f>
        <v/>
      </c>
      <c r="S75" s="7">
        <f>LAVORAZIONI!Y327</f>
        <v/>
      </c>
      <c r="T75" s="6">
        <f>LAVORAZIONI!Z327</f>
        <v/>
      </c>
      <c r="U75" s="7">
        <f>LAVORAZIONI!AA327</f>
        <v/>
      </c>
      <c r="V75" s="6">
        <f>LAVORAZIONI!AB327</f>
        <v/>
      </c>
      <c r="W75" s="7">
        <f>LAVORAZIONI!AC327</f>
        <v/>
      </c>
      <c r="X75" s="6">
        <f>LAVORAZIONI!AD327</f>
        <v/>
      </c>
      <c r="Y75" s="7">
        <f>LAVORAZIONI!AE327</f>
        <v/>
      </c>
      <c r="Z75" s="6">
        <f>LAVORAZIONI!AF327</f>
        <v/>
      </c>
      <c r="AA75" s="7">
        <f>LAVORAZIONI!AG327</f>
        <v/>
      </c>
      <c r="AB75" s="6">
        <f>LAVORAZIONI!AH327</f>
        <v/>
      </c>
      <c r="AC75" s="7">
        <f>LAVORAZIONI!AI327</f>
        <v/>
      </c>
      <c r="AD75" s="13">
        <f>LAVORAZIONI!AJ327</f>
        <v/>
      </c>
    </row>
    <row r="76" ht="64" customHeight="1" s="46">
      <c r="B76" s="4">
        <f>LAVORAZIONI!G328</f>
        <v/>
      </c>
      <c r="C76" s="3">
        <f>LAVORAZIONI!A328</f>
        <v/>
      </c>
      <c r="D76" s="3">
        <f>LAVORAZIONI!K328</f>
        <v/>
      </c>
      <c r="E76" s="4">
        <f>LAVORAZIONI!H328</f>
        <v/>
      </c>
      <c r="F76" s="4">
        <f>LAVORAZIONI!M328</f>
        <v/>
      </c>
      <c r="G76" s="5">
        <f>LAVORAZIONI!N328</f>
        <v/>
      </c>
      <c r="H76" s="6">
        <f>LAVORAZIONI!O328</f>
        <v/>
      </c>
      <c r="I76" s="13">
        <f>LAVORAZIONI!P328</f>
        <v/>
      </c>
      <c r="J76" s="5">
        <f>IF(LAVORAZIONI!Q328="","",LAVORAZIONI!Q328)</f>
        <v/>
      </c>
      <c r="K76" s="6">
        <f>IF(LAVORAZIONI!R328="","",LAVORAZIONI!R328)</f>
        <v/>
      </c>
      <c r="L76" s="13">
        <f>IF(LAVORAZIONI!S328="","",LAVORAZIONI!S328)</f>
        <v/>
      </c>
      <c r="M76" s="13">
        <f>LAVORAZIONI!T328</f>
        <v/>
      </c>
      <c r="O76" s="7">
        <f>LAVORAZIONI!U328</f>
        <v/>
      </c>
      <c r="P76" s="45">
        <f>LAVORAZIONI!V328</f>
        <v/>
      </c>
      <c r="Q76" s="7">
        <f>LAVORAZIONI!W328</f>
        <v/>
      </c>
      <c r="R76" s="6">
        <f>LAVORAZIONI!X328</f>
        <v/>
      </c>
      <c r="S76" s="7">
        <f>LAVORAZIONI!Y328</f>
        <v/>
      </c>
      <c r="T76" s="6">
        <f>LAVORAZIONI!Z328</f>
        <v/>
      </c>
      <c r="U76" s="7">
        <f>LAVORAZIONI!AA328</f>
        <v/>
      </c>
      <c r="V76" s="6">
        <f>LAVORAZIONI!AB328</f>
        <v/>
      </c>
      <c r="W76" s="7">
        <f>LAVORAZIONI!AC328</f>
        <v/>
      </c>
      <c r="X76" s="6">
        <f>LAVORAZIONI!AD328</f>
        <v/>
      </c>
      <c r="Y76" s="7">
        <f>LAVORAZIONI!AE328</f>
        <v/>
      </c>
      <c r="Z76" s="6">
        <f>LAVORAZIONI!AF328</f>
        <v/>
      </c>
      <c r="AA76" s="7">
        <f>LAVORAZIONI!AG328</f>
        <v/>
      </c>
      <c r="AB76" s="6">
        <f>LAVORAZIONI!AH328</f>
        <v/>
      </c>
      <c r="AC76" s="7">
        <f>LAVORAZIONI!AI328</f>
        <v/>
      </c>
      <c r="AD76" s="13">
        <f>LAVORAZIONI!AJ328</f>
        <v/>
      </c>
    </row>
    <row r="77" ht="64" customHeight="1" s="46">
      <c r="B77" s="4">
        <f>LAVORAZIONI!G329</f>
        <v/>
      </c>
      <c r="C77" s="3">
        <f>LAVORAZIONI!A329</f>
        <v/>
      </c>
      <c r="D77" s="3">
        <f>LAVORAZIONI!K329</f>
        <v/>
      </c>
      <c r="E77" s="4">
        <f>LAVORAZIONI!H329</f>
        <v/>
      </c>
      <c r="F77" s="4">
        <f>LAVORAZIONI!M329</f>
        <v/>
      </c>
      <c r="G77" s="5">
        <f>LAVORAZIONI!N329</f>
        <v/>
      </c>
      <c r="H77" s="6">
        <f>LAVORAZIONI!O329</f>
        <v/>
      </c>
      <c r="I77" s="13">
        <f>LAVORAZIONI!P329</f>
        <v/>
      </c>
      <c r="J77" s="5">
        <f>IF(LAVORAZIONI!Q329="","",LAVORAZIONI!Q329)</f>
        <v/>
      </c>
      <c r="K77" s="6">
        <f>IF(LAVORAZIONI!R329="","",LAVORAZIONI!R329)</f>
        <v/>
      </c>
      <c r="L77" s="13">
        <f>IF(LAVORAZIONI!S329="","",LAVORAZIONI!S329)</f>
        <v/>
      </c>
      <c r="M77" s="13">
        <f>LAVORAZIONI!T329</f>
        <v/>
      </c>
      <c r="O77" s="7">
        <f>LAVORAZIONI!U329</f>
        <v/>
      </c>
      <c r="P77" s="45">
        <f>LAVORAZIONI!V329</f>
        <v/>
      </c>
      <c r="Q77" s="7">
        <f>LAVORAZIONI!W329</f>
        <v/>
      </c>
      <c r="R77" s="6">
        <f>LAVORAZIONI!X329</f>
        <v/>
      </c>
      <c r="S77" s="7">
        <f>LAVORAZIONI!Y329</f>
        <v/>
      </c>
      <c r="T77" s="6">
        <f>LAVORAZIONI!Z329</f>
        <v/>
      </c>
      <c r="U77" s="7">
        <f>LAVORAZIONI!AA329</f>
        <v/>
      </c>
      <c r="V77" s="6">
        <f>LAVORAZIONI!AB329</f>
        <v/>
      </c>
      <c r="W77" s="7">
        <f>LAVORAZIONI!AC329</f>
        <v/>
      </c>
      <c r="X77" s="6">
        <f>LAVORAZIONI!AD329</f>
        <v/>
      </c>
      <c r="Y77" s="7">
        <f>LAVORAZIONI!AE329</f>
        <v/>
      </c>
      <c r="Z77" s="6">
        <f>LAVORAZIONI!AF329</f>
        <v/>
      </c>
      <c r="AA77" s="7">
        <f>LAVORAZIONI!AG329</f>
        <v/>
      </c>
      <c r="AB77" s="6">
        <f>LAVORAZIONI!AH329</f>
        <v/>
      </c>
      <c r="AC77" s="7">
        <f>LAVORAZIONI!AI329</f>
        <v/>
      </c>
      <c r="AD77" s="13">
        <f>LAVORAZIONI!AJ329</f>
        <v/>
      </c>
    </row>
    <row r="78" ht="64" customHeight="1" s="46">
      <c r="B78" s="4">
        <f>LAVORAZIONI!G330</f>
        <v/>
      </c>
      <c r="C78" s="3">
        <f>LAVORAZIONI!A330</f>
        <v/>
      </c>
      <c r="D78" s="3">
        <f>LAVORAZIONI!K330</f>
        <v/>
      </c>
      <c r="E78" s="4">
        <f>LAVORAZIONI!H330</f>
        <v/>
      </c>
      <c r="F78" s="4">
        <f>LAVORAZIONI!M330</f>
        <v/>
      </c>
      <c r="G78" s="5">
        <f>LAVORAZIONI!N330</f>
        <v/>
      </c>
      <c r="H78" s="6">
        <f>LAVORAZIONI!O330</f>
        <v/>
      </c>
      <c r="I78" s="13">
        <f>LAVORAZIONI!P330</f>
        <v/>
      </c>
      <c r="J78" s="5">
        <f>IF(LAVORAZIONI!Q330="","",LAVORAZIONI!Q330)</f>
        <v/>
      </c>
      <c r="K78" s="6">
        <f>IF(LAVORAZIONI!R330="","",LAVORAZIONI!R330)</f>
        <v/>
      </c>
      <c r="L78" s="13">
        <f>IF(LAVORAZIONI!S330="","",LAVORAZIONI!S330)</f>
        <v/>
      </c>
      <c r="M78" s="13">
        <f>LAVORAZIONI!T330</f>
        <v/>
      </c>
      <c r="O78" s="7">
        <f>LAVORAZIONI!U330</f>
        <v/>
      </c>
      <c r="P78" s="45">
        <f>LAVORAZIONI!V330</f>
        <v/>
      </c>
      <c r="Q78" s="7">
        <f>LAVORAZIONI!W330</f>
        <v/>
      </c>
      <c r="R78" s="6">
        <f>LAVORAZIONI!X330</f>
        <v/>
      </c>
      <c r="S78" s="7">
        <f>LAVORAZIONI!Y330</f>
        <v/>
      </c>
      <c r="T78" s="6">
        <f>LAVORAZIONI!Z330</f>
        <v/>
      </c>
      <c r="U78" s="7">
        <f>LAVORAZIONI!AA330</f>
        <v/>
      </c>
      <c r="V78" s="6">
        <f>LAVORAZIONI!AB330</f>
        <v/>
      </c>
      <c r="W78" s="7">
        <f>LAVORAZIONI!AC330</f>
        <v/>
      </c>
      <c r="X78" s="6">
        <f>LAVORAZIONI!AD330</f>
        <v/>
      </c>
      <c r="Y78" s="7">
        <f>LAVORAZIONI!AE330</f>
        <v/>
      </c>
      <c r="Z78" s="6">
        <f>LAVORAZIONI!AF330</f>
        <v/>
      </c>
      <c r="AA78" s="7">
        <f>LAVORAZIONI!AG330</f>
        <v/>
      </c>
      <c r="AB78" s="6">
        <f>LAVORAZIONI!AH330</f>
        <v/>
      </c>
      <c r="AC78" s="7">
        <f>LAVORAZIONI!AI330</f>
        <v/>
      </c>
      <c r="AD78" s="13">
        <f>LAVORAZIONI!AJ330</f>
        <v/>
      </c>
    </row>
    <row r="79" ht="64" customHeight="1" s="46">
      <c r="B79" s="4">
        <f>LAVORAZIONI!G331</f>
        <v/>
      </c>
      <c r="C79" s="3">
        <f>LAVORAZIONI!A331</f>
        <v/>
      </c>
      <c r="D79" s="3">
        <f>LAVORAZIONI!K331</f>
        <v/>
      </c>
      <c r="E79" s="4">
        <f>LAVORAZIONI!H331</f>
        <v/>
      </c>
      <c r="F79" s="4">
        <f>LAVORAZIONI!M331</f>
        <v/>
      </c>
      <c r="G79" s="5">
        <f>LAVORAZIONI!N331</f>
        <v/>
      </c>
      <c r="H79" s="6">
        <f>LAVORAZIONI!O331</f>
        <v/>
      </c>
      <c r="I79" s="13">
        <f>LAVORAZIONI!P331</f>
        <v/>
      </c>
      <c r="J79" s="5">
        <f>IF(LAVORAZIONI!Q331="","",LAVORAZIONI!Q331)</f>
        <v/>
      </c>
      <c r="K79" s="6">
        <f>IF(LAVORAZIONI!R331="","",LAVORAZIONI!R331)</f>
        <v/>
      </c>
      <c r="L79" s="13">
        <f>IF(LAVORAZIONI!S331="","",LAVORAZIONI!S331)</f>
        <v/>
      </c>
      <c r="M79" s="13">
        <f>LAVORAZIONI!T331</f>
        <v/>
      </c>
      <c r="O79" s="7">
        <f>LAVORAZIONI!U331</f>
        <v/>
      </c>
      <c r="P79" s="45">
        <f>LAVORAZIONI!V331</f>
        <v/>
      </c>
      <c r="Q79" s="7">
        <f>LAVORAZIONI!W331</f>
        <v/>
      </c>
      <c r="R79" s="6">
        <f>LAVORAZIONI!X331</f>
        <v/>
      </c>
      <c r="S79" s="7">
        <f>LAVORAZIONI!Y331</f>
        <v/>
      </c>
      <c r="T79" s="6">
        <f>LAVORAZIONI!Z331</f>
        <v/>
      </c>
      <c r="U79" s="7">
        <f>LAVORAZIONI!AA331</f>
        <v/>
      </c>
      <c r="V79" s="6">
        <f>LAVORAZIONI!AB331</f>
        <v/>
      </c>
      <c r="W79" s="7">
        <f>LAVORAZIONI!AC331</f>
        <v/>
      </c>
      <c r="X79" s="6">
        <f>LAVORAZIONI!AD331</f>
        <v/>
      </c>
      <c r="Y79" s="7">
        <f>LAVORAZIONI!AE331</f>
        <v/>
      </c>
      <c r="Z79" s="6">
        <f>LAVORAZIONI!AF331</f>
        <v/>
      </c>
      <c r="AA79" s="7">
        <f>LAVORAZIONI!AG331</f>
        <v/>
      </c>
      <c r="AB79" s="6">
        <f>LAVORAZIONI!AH331</f>
        <v/>
      </c>
      <c r="AC79" s="7">
        <f>LAVORAZIONI!AI331</f>
        <v/>
      </c>
      <c r="AD79" s="13">
        <f>LAVORAZIONI!AJ331</f>
        <v/>
      </c>
    </row>
    <row r="80" ht="64" customHeight="1" s="46">
      <c r="B80" s="4">
        <f>LAVORAZIONI!G332</f>
        <v/>
      </c>
      <c r="C80" s="3">
        <f>LAVORAZIONI!A332</f>
        <v/>
      </c>
      <c r="D80" s="3">
        <f>LAVORAZIONI!K332</f>
        <v/>
      </c>
      <c r="E80" s="4">
        <f>LAVORAZIONI!H332</f>
        <v/>
      </c>
      <c r="F80" s="4">
        <f>LAVORAZIONI!M332</f>
        <v/>
      </c>
      <c r="G80" s="5">
        <f>LAVORAZIONI!N332</f>
        <v/>
      </c>
      <c r="H80" s="6">
        <f>LAVORAZIONI!O332</f>
        <v/>
      </c>
      <c r="I80" s="13">
        <f>LAVORAZIONI!P332</f>
        <v/>
      </c>
      <c r="J80" s="5">
        <f>IF(LAVORAZIONI!Q332="","",LAVORAZIONI!Q332)</f>
        <v/>
      </c>
      <c r="K80" s="6">
        <f>IF(LAVORAZIONI!R332="","",LAVORAZIONI!R332)</f>
        <v/>
      </c>
      <c r="L80" s="13">
        <f>IF(LAVORAZIONI!S332="","",LAVORAZIONI!S332)</f>
        <v/>
      </c>
      <c r="M80" s="13">
        <f>LAVORAZIONI!T332</f>
        <v/>
      </c>
      <c r="O80" s="7">
        <f>LAVORAZIONI!U332</f>
        <v/>
      </c>
      <c r="P80" s="45">
        <f>LAVORAZIONI!V332</f>
        <v/>
      </c>
      <c r="Q80" s="7">
        <f>LAVORAZIONI!W332</f>
        <v/>
      </c>
      <c r="R80" s="6">
        <f>LAVORAZIONI!X332</f>
        <v/>
      </c>
      <c r="S80" s="7">
        <f>LAVORAZIONI!Y332</f>
        <v/>
      </c>
      <c r="T80" s="6">
        <f>LAVORAZIONI!Z332</f>
        <v/>
      </c>
      <c r="U80" s="7">
        <f>LAVORAZIONI!AA332</f>
        <v/>
      </c>
      <c r="V80" s="6">
        <f>LAVORAZIONI!AB332</f>
        <v/>
      </c>
      <c r="W80" s="7">
        <f>LAVORAZIONI!AC332</f>
        <v/>
      </c>
      <c r="X80" s="6">
        <f>LAVORAZIONI!AD332</f>
        <v/>
      </c>
      <c r="Y80" s="7">
        <f>LAVORAZIONI!AE332</f>
        <v/>
      </c>
      <c r="Z80" s="6">
        <f>LAVORAZIONI!AF332</f>
        <v/>
      </c>
      <c r="AA80" s="7">
        <f>LAVORAZIONI!AG332</f>
        <v/>
      </c>
      <c r="AB80" s="6">
        <f>LAVORAZIONI!AH332</f>
        <v/>
      </c>
      <c r="AC80" s="7">
        <f>LAVORAZIONI!AI332</f>
        <v/>
      </c>
      <c r="AD80" s="13">
        <f>LAVORAZIONI!AJ332</f>
        <v/>
      </c>
    </row>
    <row r="81" ht="64" customHeight="1" s="46">
      <c r="B81" s="4">
        <f>LAVORAZIONI!G333</f>
        <v/>
      </c>
      <c r="C81" s="3">
        <f>LAVORAZIONI!A333</f>
        <v/>
      </c>
      <c r="D81" s="3">
        <f>LAVORAZIONI!K333</f>
        <v/>
      </c>
      <c r="E81" s="4">
        <f>LAVORAZIONI!H333</f>
        <v/>
      </c>
      <c r="F81" s="4">
        <f>LAVORAZIONI!M333</f>
        <v/>
      </c>
      <c r="G81" s="5">
        <f>LAVORAZIONI!N333</f>
        <v/>
      </c>
      <c r="H81" s="6">
        <f>LAVORAZIONI!O333</f>
        <v/>
      </c>
      <c r="I81" s="13">
        <f>LAVORAZIONI!P333</f>
        <v/>
      </c>
      <c r="J81" s="5">
        <f>IF(LAVORAZIONI!Q333="","",LAVORAZIONI!Q333)</f>
        <v/>
      </c>
      <c r="K81" s="6">
        <f>IF(LAVORAZIONI!R333="","",LAVORAZIONI!R333)</f>
        <v/>
      </c>
      <c r="L81" s="13">
        <f>IF(LAVORAZIONI!S333="","",LAVORAZIONI!S333)</f>
        <v/>
      </c>
      <c r="M81" s="13">
        <f>LAVORAZIONI!T333</f>
        <v/>
      </c>
      <c r="O81" s="7">
        <f>LAVORAZIONI!U333</f>
        <v/>
      </c>
      <c r="P81" s="45">
        <f>LAVORAZIONI!V333</f>
        <v/>
      </c>
      <c r="Q81" s="7">
        <f>LAVORAZIONI!W333</f>
        <v/>
      </c>
      <c r="R81" s="6">
        <f>LAVORAZIONI!X333</f>
        <v/>
      </c>
      <c r="S81" s="7">
        <f>LAVORAZIONI!Y333</f>
        <v/>
      </c>
      <c r="T81" s="6">
        <f>LAVORAZIONI!Z333</f>
        <v/>
      </c>
      <c r="U81" s="7">
        <f>LAVORAZIONI!AA333</f>
        <v/>
      </c>
      <c r="V81" s="6">
        <f>LAVORAZIONI!AB333</f>
        <v/>
      </c>
      <c r="W81" s="7">
        <f>LAVORAZIONI!AC333</f>
        <v/>
      </c>
      <c r="X81" s="6">
        <f>LAVORAZIONI!AD333</f>
        <v/>
      </c>
      <c r="Y81" s="7">
        <f>LAVORAZIONI!AE333</f>
        <v/>
      </c>
      <c r="Z81" s="6">
        <f>LAVORAZIONI!AF333</f>
        <v/>
      </c>
      <c r="AA81" s="7">
        <f>LAVORAZIONI!AG333</f>
        <v/>
      </c>
      <c r="AB81" s="6">
        <f>LAVORAZIONI!AH333</f>
        <v/>
      </c>
      <c r="AC81" s="7">
        <f>LAVORAZIONI!AI333</f>
        <v/>
      </c>
      <c r="AD81" s="13">
        <f>LAVORAZIONI!AJ333</f>
        <v/>
      </c>
    </row>
    <row r="82" ht="64" customHeight="1" s="46">
      <c r="B82" s="4">
        <f>LAVORAZIONI!G334</f>
        <v/>
      </c>
      <c r="C82" s="3">
        <f>LAVORAZIONI!A334</f>
        <v/>
      </c>
      <c r="D82" s="3">
        <f>LAVORAZIONI!K334</f>
        <v/>
      </c>
      <c r="E82" s="4">
        <f>LAVORAZIONI!H334</f>
        <v/>
      </c>
      <c r="F82" s="4">
        <f>LAVORAZIONI!M334</f>
        <v/>
      </c>
      <c r="G82" s="5">
        <f>LAVORAZIONI!N334</f>
        <v/>
      </c>
      <c r="H82" s="6">
        <f>LAVORAZIONI!O334</f>
        <v/>
      </c>
      <c r="I82" s="13">
        <f>LAVORAZIONI!P334</f>
        <v/>
      </c>
      <c r="J82" s="5">
        <f>IF(LAVORAZIONI!Q334="","",LAVORAZIONI!Q334)</f>
        <v/>
      </c>
      <c r="K82" s="6">
        <f>IF(LAVORAZIONI!R334="","",LAVORAZIONI!R334)</f>
        <v/>
      </c>
      <c r="L82" s="13">
        <f>IF(LAVORAZIONI!S334="","",LAVORAZIONI!S334)</f>
        <v/>
      </c>
      <c r="M82" s="13">
        <f>LAVORAZIONI!T334</f>
        <v/>
      </c>
      <c r="O82" s="7">
        <f>LAVORAZIONI!U334</f>
        <v/>
      </c>
      <c r="P82" s="45">
        <f>LAVORAZIONI!V334</f>
        <v/>
      </c>
      <c r="Q82" s="7">
        <f>LAVORAZIONI!W334</f>
        <v/>
      </c>
      <c r="R82" s="6">
        <f>LAVORAZIONI!X334</f>
        <v/>
      </c>
      <c r="S82" s="7">
        <f>LAVORAZIONI!Y334</f>
        <v/>
      </c>
      <c r="T82" s="6">
        <f>LAVORAZIONI!Z334</f>
        <v/>
      </c>
      <c r="U82" s="7">
        <f>LAVORAZIONI!AA334</f>
        <v/>
      </c>
      <c r="V82" s="6">
        <f>LAVORAZIONI!AB334</f>
        <v/>
      </c>
      <c r="W82" s="7">
        <f>LAVORAZIONI!AC334</f>
        <v/>
      </c>
      <c r="X82" s="6">
        <f>LAVORAZIONI!AD334</f>
        <v/>
      </c>
      <c r="Y82" s="7">
        <f>LAVORAZIONI!AE334</f>
        <v/>
      </c>
      <c r="Z82" s="6">
        <f>LAVORAZIONI!AF334</f>
        <v/>
      </c>
      <c r="AA82" s="7">
        <f>LAVORAZIONI!AG334</f>
        <v/>
      </c>
      <c r="AB82" s="6">
        <f>LAVORAZIONI!AH334</f>
        <v/>
      </c>
      <c r="AC82" s="7">
        <f>LAVORAZIONI!AI334</f>
        <v/>
      </c>
      <c r="AD82" s="13">
        <f>LAVORAZIONI!AJ334</f>
        <v/>
      </c>
    </row>
    <row r="83" ht="64" customHeight="1" s="46">
      <c r="B83" s="4">
        <f>LAVORAZIONI!G335</f>
        <v/>
      </c>
      <c r="C83" s="3">
        <f>LAVORAZIONI!A335</f>
        <v/>
      </c>
      <c r="D83" s="3">
        <f>LAVORAZIONI!K335</f>
        <v/>
      </c>
      <c r="E83" s="4">
        <f>LAVORAZIONI!H335</f>
        <v/>
      </c>
      <c r="F83" s="4">
        <f>LAVORAZIONI!M335</f>
        <v/>
      </c>
      <c r="G83" s="5">
        <f>LAVORAZIONI!N335</f>
        <v/>
      </c>
      <c r="H83" s="6">
        <f>LAVORAZIONI!O335</f>
        <v/>
      </c>
      <c r="I83" s="13">
        <f>LAVORAZIONI!P335</f>
        <v/>
      </c>
      <c r="J83" s="5">
        <f>IF(LAVORAZIONI!Q335="","",LAVORAZIONI!Q335)</f>
        <v/>
      </c>
      <c r="K83" s="6">
        <f>IF(LAVORAZIONI!R335="","",LAVORAZIONI!R335)</f>
        <v/>
      </c>
      <c r="L83" s="13">
        <f>IF(LAVORAZIONI!S335="","",LAVORAZIONI!S335)</f>
        <v/>
      </c>
      <c r="M83" s="13">
        <f>LAVORAZIONI!T335</f>
        <v/>
      </c>
      <c r="O83" s="7">
        <f>LAVORAZIONI!U335</f>
        <v/>
      </c>
      <c r="P83" s="45">
        <f>LAVORAZIONI!V335</f>
        <v/>
      </c>
      <c r="Q83" s="7">
        <f>LAVORAZIONI!W335</f>
        <v/>
      </c>
      <c r="R83" s="6">
        <f>LAVORAZIONI!X335</f>
        <v/>
      </c>
      <c r="S83" s="7">
        <f>LAVORAZIONI!Y335</f>
        <v/>
      </c>
      <c r="T83" s="6">
        <f>LAVORAZIONI!Z335</f>
        <v/>
      </c>
      <c r="U83" s="7">
        <f>LAVORAZIONI!AA335</f>
        <v/>
      </c>
      <c r="V83" s="6">
        <f>LAVORAZIONI!AB335</f>
        <v/>
      </c>
      <c r="W83" s="7">
        <f>LAVORAZIONI!AC335</f>
        <v/>
      </c>
      <c r="X83" s="6">
        <f>LAVORAZIONI!AD335</f>
        <v/>
      </c>
      <c r="Y83" s="7">
        <f>LAVORAZIONI!AE335</f>
        <v/>
      </c>
      <c r="Z83" s="6">
        <f>LAVORAZIONI!AF335</f>
        <v/>
      </c>
      <c r="AA83" s="7">
        <f>LAVORAZIONI!AG335</f>
        <v/>
      </c>
      <c r="AB83" s="6">
        <f>LAVORAZIONI!AH335</f>
        <v/>
      </c>
      <c r="AC83" s="7">
        <f>LAVORAZIONI!AI335</f>
        <v/>
      </c>
      <c r="AD83" s="13">
        <f>LAVORAZIONI!AJ335</f>
        <v/>
      </c>
    </row>
    <row r="84" ht="64" customHeight="1" s="46">
      <c r="B84" s="4">
        <f>LAVORAZIONI!G336</f>
        <v/>
      </c>
      <c r="C84" s="3">
        <f>LAVORAZIONI!A336</f>
        <v/>
      </c>
      <c r="D84" s="3">
        <f>LAVORAZIONI!K336</f>
        <v/>
      </c>
      <c r="E84" s="4">
        <f>LAVORAZIONI!H336</f>
        <v/>
      </c>
      <c r="F84" s="4">
        <f>LAVORAZIONI!M336</f>
        <v/>
      </c>
      <c r="G84" s="5">
        <f>LAVORAZIONI!N336</f>
        <v/>
      </c>
      <c r="H84" s="6">
        <f>LAVORAZIONI!O336</f>
        <v/>
      </c>
      <c r="I84" s="13">
        <f>LAVORAZIONI!P336</f>
        <v/>
      </c>
      <c r="J84" s="5">
        <f>IF(LAVORAZIONI!Q336="","",LAVORAZIONI!Q336)</f>
        <v/>
      </c>
      <c r="K84" s="6">
        <f>IF(LAVORAZIONI!R336="","",LAVORAZIONI!R336)</f>
        <v/>
      </c>
      <c r="L84" s="13">
        <f>IF(LAVORAZIONI!S336="","",LAVORAZIONI!S336)</f>
        <v/>
      </c>
      <c r="M84" s="13">
        <f>LAVORAZIONI!T336</f>
        <v/>
      </c>
      <c r="O84" s="7">
        <f>LAVORAZIONI!U336</f>
        <v/>
      </c>
      <c r="P84" s="45">
        <f>LAVORAZIONI!V336</f>
        <v/>
      </c>
      <c r="Q84" s="7">
        <f>LAVORAZIONI!W336</f>
        <v/>
      </c>
      <c r="R84" s="6">
        <f>LAVORAZIONI!X336</f>
        <v/>
      </c>
      <c r="S84" s="7">
        <f>LAVORAZIONI!Y336</f>
        <v/>
      </c>
      <c r="T84" s="6">
        <f>LAVORAZIONI!Z336</f>
        <v/>
      </c>
      <c r="U84" s="7">
        <f>LAVORAZIONI!AA336</f>
        <v/>
      </c>
      <c r="V84" s="6">
        <f>LAVORAZIONI!AB336</f>
        <v/>
      </c>
      <c r="W84" s="7">
        <f>LAVORAZIONI!AC336</f>
        <v/>
      </c>
      <c r="X84" s="6">
        <f>LAVORAZIONI!AD336</f>
        <v/>
      </c>
      <c r="Y84" s="7">
        <f>LAVORAZIONI!AE336</f>
        <v/>
      </c>
      <c r="Z84" s="6">
        <f>LAVORAZIONI!AF336</f>
        <v/>
      </c>
      <c r="AA84" s="7">
        <f>LAVORAZIONI!AG336</f>
        <v/>
      </c>
      <c r="AB84" s="6">
        <f>LAVORAZIONI!AH336</f>
        <v/>
      </c>
      <c r="AC84" s="7">
        <f>LAVORAZIONI!AI336</f>
        <v/>
      </c>
      <c r="AD84" s="13">
        <f>LAVORAZIONI!AJ336</f>
        <v/>
      </c>
    </row>
    <row r="85" ht="64" customHeight="1" s="46">
      <c r="B85" s="4">
        <f>LAVORAZIONI!G337</f>
        <v/>
      </c>
      <c r="C85" s="3">
        <f>LAVORAZIONI!A337</f>
        <v/>
      </c>
      <c r="D85" s="3">
        <f>LAVORAZIONI!K337</f>
        <v/>
      </c>
      <c r="E85" s="4">
        <f>LAVORAZIONI!H337</f>
        <v/>
      </c>
      <c r="F85" s="4">
        <f>LAVORAZIONI!M337</f>
        <v/>
      </c>
      <c r="G85" s="5">
        <f>LAVORAZIONI!N337</f>
        <v/>
      </c>
      <c r="H85" s="6">
        <f>LAVORAZIONI!O337</f>
        <v/>
      </c>
      <c r="I85" s="13">
        <f>LAVORAZIONI!P337</f>
        <v/>
      </c>
      <c r="J85" s="5">
        <f>IF(LAVORAZIONI!Q337="","",LAVORAZIONI!Q337)</f>
        <v/>
      </c>
      <c r="K85" s="6">
        <f>IF(LAVORAZIONI!R337="","",LAVORAZIONI!R337)</f>
        <v/>
      </c>
      <c r="L85" s="13">
        <f>IF(LAVORAZIONI!S337="","",LAVORAZIONI!S337)</f>
        <v/>
      </c>
      <c r="M85" s="13">
        <f>LAVORAZIONI!T337</f>
        <v/>
      </c>
      <c r="O85" s="7">
        <f>LAVORAZIONI!U337</f>
        <v/>
      </c>
      <c r="P85" s="45">
        <f>LAVORAZIONI!V337</f>
        <v/>
      </c>
      <c r="Q85" s="7">
        <f>LAVORAZIONI!W337</f>
        <v/>
      </c>
      <c r="R85" s="6">
        <f>LAVORAZIONI!X337</f>
        <v/>
      </c>
      <c r="S85" s="7">
        <f>LAVORAZIONI!Y337</f>
        <v/>
      </c>
      <c r="T85" s="6">
        <f>LAVORAZIONI!Z337</f>
        <v/>
      </c>
      <c r="U85" s="7">
        <f>LAVORAZIONI!AA337</f>
        <v/>
      </c>
      <c r="V85" s="6">
        <f>LAVORAZIONI!AB337</f>
        <v/>
      </c>
      <c r="W85" s="7">
        <f>LAVORAZIONI!AC337</f>
        <v/>
      </c>
      <c r="X85" s="6">
        <f>LAVORAZIONI!AD337</f>
        <v/>
      </c>
      <c r="Y85" s="7">
        <f>LAVORAZIONI!AE337</f>
        <v/>
      </c>
      <c r="Z85" s="6">
        <f>LAVORAZIONI!AF337</f>
        <v/>
      </c>
      <c r="AA85" s="7">
        <f>LAVORAZIONI!AG337</f>
        <v/>
      </c>
      <c r="AB85" s="6">
        <f>LAVORAZIONI!AH337</f>
        <v/>
      </c>
      <c r="AC85" s="7">
        <f>LAVORAZIONI!AI337</f>
        <v/>
      </c>
      <c r="AD85" s="13">
        <f>LAVORAZIONI!AJ337</f>
        <v/>
      </c>
    </row>
    <row r="86" ht="64" customHeight="1" s="46">
      <c r="B86" s="4">
        <f>LAVORAZIONI!G338</f>
        <v/>
      </c>
      <c r="C86" s="3">
        <f>LAVORAZIONI!A338</f>
        <v/>
      </c>
      <c r="D86" s="3">
        <f>LAVORAZIONI!K338</f>
        <v/>
      </c>
      <c r="E86" s="4">
        <f>LAVORAZIONI!H338</f>
        <v/>
      </c>
      <c r="F86" s="4">
        <f>LAVORAZIONI!M338</f>
        <v/>
      </c>
      <c r="G86" s="5">
        <f>LAVORAZIONI!N338</f>
        <v/>
      </c>
      <c r="H86" s="6">
        <f>LAVORAZIONI!O338</f>
        <v/>
      </c>
      <c r="I86" s="13">
        <f>LAVORAZIONI!P338</f>
        <v/>
      </c>
      <c r="J86" s="5">
        <f>IF(LAVORAZIONI!Q338="","",LAVORAZIONI!Q338)</f>
        <v/>
      </c>
      <c r="K86" s="6">
        <f>IF(LAVORAZIONI!R338="","",LAVORAZIONI!R338)</f>
        <v/>
      </c>
      <c r="L86" s="13">
        <f>IF(LAVORAZIONI!S338="","",LAVORAZIONI!S338)</f>
        <v/>
      </c>
      <c r="M86" s="13">
        <f>LAVORAZIONI!T338</f>
        <v/>
      </c>
      <c r="O86" s="7">
        <f>LAVORAZIONI!U338</f>
        <v/>
      </c>
      <c r="P86" s="45">
        <f>LAVORAZIONI!V338</f>
        <v/>
      </c>
      <c r="Q86" s="7">
        <f>LAVORAZIONI!W338</f>
        <v/>
      </c>
      <c r="R86" s="6">
        <f>LAVORAZIONI!X338</f>
        <v/>
      </c>
      <c r="S86" s="7">
        <f>LAVORAZIONI!Y338</f>
        <v/>
      </c>
      <c r="T86" s="6">
        <f>LAVORAZIONI!Z338</f>
        <v/>
      </c>
      <c r="U86" s="7">
        <f>LAVORAZIONI!AA338</f>
        <v/>
      </c>
      <c r="V86" s="6">
        <f>LAVORAZIONI!AB338</f>
        <v/>
      </c>
      <c r="W86" s="7">
        <f>LAVORAZIONI!AC338</f>
        <v/>
      </c>
      <c r="X86" s="6">
        <f>LAVORAZIONI!AD338</f>
        <v/>
      </c>
      <c r="Y86" s="7">
        <f>LAVORAZIONI!AE338</f>
        <v/>
      </c>
      <c r="Z86" s="6">
        <f>LAVORAZIONI!AF338</f>
        <v/>
      </c>
      <c r="AA86" s="7">
        <f>LAVORAZIONI!AG338</f>
        <v/>
      </c>
      <c r="AB86" s="6">
        <f>LAVORAZIONI!AH338</f>
        <v/>
      </c>
      <c r="AC86" s="7">
        <f>LAVORAZIONI!AI338</f>
        <v/>
      </c>
      <c r="AD86" s="13">
        <f>LAVORAZIONI!AJ338</f>
        <v/>
      </c>
    </row>
    <row r="87" ht="64" customHeight="1" s="46">
      <c r="B87" s="4">
        <f>LAVORAZIONI!G339</f>
        <v/>
      </c>
      <c r="C87" s="3">
        <f>LAVORAZIONI!A339</f>
        <v/>
      </c>
      <c r="D87" s="3">
        <f>LAVORAZIONI!K339</f>
        <v/>
      </c>
      <c r="E87" s="4">
        <f>LAVORAZIONI!H339</f>
        <v/>
      </c>
      <c r="F87" s="4">
        <f>LAVORAZIONI!M339</f>
        <v/>
      </c>
      <c r="G87" s="5">
        <f>LAVORAZIONI!N339</f>
        <v/>
      </c>
      <c r="H87" s="6">
        <f>LAVORAZIONI!O339</f>
        <v/>
      </c>
      <c r="I87" s="13">
        <f>LAVORAZIONI!P339</f>
        <v/>
      </c>
      <c r="J87" s="5">
        <f>IF(LAVORAZIONI!Q339="","",LAVORAZIONI!Q339)</f>
        <v/>
      </c>
      <c r="K87" s="6">
        <f>IF(LAVORAZIONI!R339="","",LAVORAZIONI!R339)</f>
        <v/>
      </c>
      <c r="L87" s="13">
        <f>IF(LAVORAZIONI!S339="","",LAVORAZIONI!S339)</f>
        <v/>
      </c>
      <c r="M87" s="13">
        <f>LAVORAZIONI!T339</f>
        <v/>
      </c>
      <c r="O87" s="7">
        <f>LAVORAZIONI!U339</f>
        <v/>
      </c>
      <c r="P87" s="45">
        <f>LAVORAZIONI!V339</f>
        <v/>
      </c>
      <c r="Q87" s="7">
        <f>LAVORAZIONI!W339</f>
        <v/>
      </c>
      <c r="R87" s="6">
        <f>LAVORAZIONI!X339</f>
        <v/>
      </c>
      <c r="S87" s="7">
        <f>LAVORAZIONI!Y339</f>
        <v/>
      </c>
      <c r="T87" s="6">
        <f>LAVORAZIONI!Z339</f>
        <v/>
      </c>
      <c r="U87" s="7">
        <f>LAVORAZIONI!AA339</f>
        <v/>
      </c>
      <c r="V87" s="6">
        <f>LAVORAZIONI!AB339</f>
        <v/>
      </c>
      <c r="W87" s="7">
        <f>LAVORAZIONI!AC339</f>
        <v/>
      </c>
      <c r="X87" s="6">
        <f>LAVORAZIONI!AD339</f>
        <v/>
      </c>
      <c r="Y87" s="7">
        <f>LAVORAZIONI!AE339</f>
        <v/>
      </c>
      <c r="Z87" s="6">
        <f>LAVORAZIONI!AF339</f>
        <v/>
      </c>
      <c r="AA87" s="7">
        <f>LAVORAZIONI!AG339</f>
        <v/>
      </c>
      <c r="AB87" s="6">
        <f>LAVORAZIONI!AH339</f>
        <v/>
      </c>
      <c r="AC87" s="7">
        <f>LAVORAZIONI!AI339</f>
        <v/>
      </c>
      <c r="AD87" s="13">
        <f>LAVORAZIONI!AJ339</f>
        <v/>
      </c>
    </row>
    <row r="88" ht="64" customHeight="1" s="46">
      <c r="B88" s="4">
        <f>LAVORAZIONI!G340</f>
        <v/>
      </c>
      <c r="C88" s="3">
        <f>LAVORAZIONI!A340</f>
        <v/>
      </c>
      <c r="D88" s="3">
        <f>LAVORAZIONI!K340</f>
        <v/>
      </c>
      <c r="E88" s="4">
        <f>LAVORAZIONI!H340</f>
        <v/>
      </c>
      <c r="F88" s="4">
        <f>LAVORAZIONI!M340</f>
        <v/>
      </c>
      <c r="G88" s="5">
        <f>LAVORAZIONI!N340</f>
        <v/>
      </c>
      <c r="H88" s="6">
        <f>LAVORAZIONI!O340</f>
        <v/>
      </c>
      <c r="I88" s="13">
        <f>LAVORAZIONI!P340</f>
        <v/>
      </c>
      <c r="J88" s="5">
        <f>IF(LAVORAZIONI!Q340="","",LAVORAZIONI!Q340)</f>
        <v/>
      </c>
      <c r="K88" s="6">
        <f>IF(LAVORAZIONI!R340="","",LAVORAZIONI!R340)</f>
        <v/>
      </c>
      <c r="L88" s="13">
        <f>IF(LAVORAZIONI!S340="","",LAVORAZIONI!S340)</f>
        <v/>
      </c>
      <c r="M88" s="13">
        <f>LAVORAZIONI!T340</f>
        <v/>
      </c>
      <c r="O88" s="7">
        <f>LAVORAZIONI!U340</f>
        <v/>
      </c>
      <c r="P88" s="45">
        <f>LAVORAZIONI!V340</f>
        <v/>
      </c>
      <c r="Q88" s="7">
        <f>LAVORAZIONI!W340</f>
        <v/>
      </c>
      <c r="R88" s="6">
        <f>LAVORAZIONI!X340</f>
        <v/>
      </c>
      <c r="S88" s="7">
        <f>LAVORAZIONI!Y340</f>
        <v/>
      </c>
      <c r="T88" s="6">
        <f>LAVORAZIONI!Z340</f>
        <v/>
      </c>
      <c r="U88" s="7">
        <f>LAVORAZIONI!AA340</f>
        <v/>
      </c>
      <c r="V88" s="6">
        <f>LAVORAZIONI!AB340</f>
        <v/>
      </c>
      <c r="W88" s="7">
        <f>LAVORAZIONI!AC340</f>
        <v/>
      </c>
      <c r="X88" s="6">
        <f>LAVORAZIONI!AD340</f>
        <v/>
      </c>
      <c r="Y88" s="7">
        <f>LAVORAZIONI!AE340</f>
        <v/>
      </c>
      <c r="Z88" s="6">
        <f>LAVORAZIONI!AF340</f>
        <v/>
      </c>
      <c r="AA88" s="7">
        <f>LAVORAZIONI!AG340</f>
        <v/>
      </c>
      <c r="AB88" s="6">
        <f>LAVORAZIONI!AH340</f>
        <v/>
      </c>
      <c r="AC88" s="7">
        <f>LAVORAZIONI!AI340</f>
        <v/>
      </c>
      <c r="AD88" s="13">
        <f>LAVORAZIONI!AJ340</f>
        <v/>
      </c>
    </row>
    <row r="89" ht="64" customHeight="1" s="46">
      <c r="B89" s="4">
        <f>LAVORAZIONI!G341</f>
        <v/>
      </c>
      <c r="C89" s="3">
        <f>LAVORAZIONI!A341</f>
        <v/>
      </c>
      <c r="D89" s="3">
        <f>LAVORAZIONI!K341</f>
        <v/>
      </c>
      <c r="E89" s="4">
        <f>LAVORAZIONI!H341</f>
        <v/>
      </c>
      <c r="F89" s="4">
        <f>LAVORAZIONI!M341</f>
        <v/>
      </c>
      <c r="G89" s="5">
        <f>LAVORAZIONI!N341</f>
        <v/>
      </c>
      <c r="H89" s="6">
        <f>LAVORAZIONI!O341</f>
        <v/>
      </c>
      <c r="I89" s="13">
        <f>LAVORAZIONI!P341</f>
        <v/>
      </c>
      <c r="J89" s="5">
        <f>IF(LAVORAZIONI!Q341="","",LAVORAZIONI!Q341)</f>
        <v/>
      </c>
      <c r="K89" s="6">
        <f>IF(LAVORAZIONI!R341="","",LAVORAZIONI!R341)</f>
        <v/>
      </c>
      <c r="L89" s="13">
        <f>IF(LAVORAZIONI!S341="","",LAVORAZIONI!S341)</f>
        <v/>
      </c>
      <c r="M89" s="13">
        <f>LAVORAZIONI!T341</f>
        <v/>
      </c>
      <c r="O89" s="7">
        <f>LAVORAZIONI!U341</f>
        <v/>
      </c>
      <c r="P89" s="45">
        <f>LAVORAZIONI!V341</f>
        <v/>
      </c>
      <c r="Q89" s="7">
        <f>LAVORAZIONI!W341</f>
        <v/>
      </c>
      <c r="R89" s="6">
        <f>LAVORAZIONI!X341</f>
        <v/>
      </c>
      <c r="S89" s="7">
        <f>LAVORAZIONI!Y341</f>
        <v/>
      </c>
      <c r="T89" s="6">
        <f>LAVORAZIONI!Z341</f>
        <v/>
      </c>
      <c r="U89" s="7">
        <f>LAVORAZIONI!AA341</f>
        <v/>
      </c>
      <c r="V89" s="6">
        <f>LAVORAZIONI!AB341</f>
        <v/>
      </c>
      <c r="W89" s="7">
        <f>LAVORAZIONI!AC341</f>
        <v/>
      </c>
      <c r="X89" s="6">
        <f>LAVORAZIONI!AD341</f>
        <v/>
      </c>
      <c r="Y89" s="7">
        <f>LAVORAZIONI!AE341</f>
        <v/>
      </c>
      <c r="Z89" s="6">
        <f>LAVORAZIONI!AF341</f>
        <v/>
      </c>
      <c r="AA89" s="7">
        <f>LAVORAZIONI!AG341</f>
        <v/>
      </c>
      <c r="AB89" s="6">
        <f>LAVORAZIONI!AH341</f>
        <v/>
      </c>
      <c r="AC89" s="7">
        <f>LAVORAZIONI!AI341</f>
        <v/>
      </c>
      <c r="AD89" s="13">
        <f>LAVORAZIONI!AJ341</f>
        <v/>
      </c>
    </row>
    <row r="90" ht="64" customHeight="1" s="46">
      <c r="B90" s="4">
        <f>LAVORAZIONI!G342</f>
        <v/>
      </c>
      <c r="C90" s="3">
        <f>LAVORAZIONI!A342</f>
        <v/>
      </c>
      <c r="D90" s="3">
        <f>LAVORAZIONI!K342</f>
        <v/>
      </c>
      <c r="E90" s="4">
        <f>LAVORAZIONI!H342</f>
        <v/>
      </c>
      <c r="F90" s="4">
        <f>LAVORAZIONI!M342</f>
        <v/>
      </c>
      <c r="G90" s="5">
        <f>LAVORAZIONI!N342</f>
        <v/>
      </c>
      <c r="H90" s="6">
        <f>LAVORAZIONI!O342</f>
        <v/>
      </c>
      <c r="I90" s="13">
        <f>LAVORAZIONI!P342</f>
        <v/>
      </c>
      <c r="J90" s="5">
        <f>IF(LAVORAZIONI!Q342="","",LAVORAZIONI!Q342)</f>
        <v/>
      </c>
      <c r="K90" s="6">
        <f>IF(LAVORAZIONI!R342="","",LAVORAZIONI!R342)</f>
        <v/>
      </c>
      <c r="L90" s="13">
        <f>IF(LAVORAZIONI!S342="","",LAVORAZIONI!S342)</f>
        <v/>
      </c>
      <c r="M90" s="13">
        <f>LAVORAZIONI!T342</f>
        <v/>
      </c>
      <c r="O90" s="7">
        <f>LAVORAZIONI!U342</f>
        <v/>
      </c>
      <c r="P90" s="45">
        <f>LAVORAZIONI!V342</f>
        <v/>
      </c>
      <c r="Q90" s="7">
        <f>LAVORAZIONI!W342</f>
        <v/>
      </c>
      <c r="R90" s="6">
        <f>LAVORAZIONI!X342</f>
        <v/>
      </c>
      <c r="S90" s="7">
        <f>LAVORAZIONI!Y342</f>
        <v/>
      </c>
      <c r="T90" s="6">
        <f>LAVORAZIONI!Z342</f>
        <v/>
      </c>
      <c r="U90" s="7">
        <f>LAVORAZIONI!AA342</f>
        <v/>
      </c>
      <c r="V90" s="6">
        <f>LAVORAZIONI!AB342</f>
        <v/>
      </c>
      <c r="W90" s="7">
        <f>LAVORAZIONI!AC342</f>
        <v/>
      </c>
      <c r="X90" s="6">
        <f>LAVORAZIONI!AD342</f>
        <v/>
      </c>
      <c r="Y90" s="7">
        <f>LAVORAZIONI!AE342</f>
        <v/>
      </c>
      <c r="Z90" s="6">
        <f>LAVORAZIONI!AF342</f>
        <v/>
      </c>
      <c r="AA90" s="7">
        <f>LAVORAZIONI!AG342</f>
        <v/>
      </c>
      <c r="AB90" s="6">
        <f>LAVORAZIONI!AH342</f>
        <v/>
      </c>
      <c r="AC90" s="7">
        <f>LAVORAZIONI!AI342</f>
        <v/>
      </c>
      <c r="AD90" s="13">
        <f>LAVORAZIONI!AJ342</f>
        <v/>
      </c>
    </row>
    <row r="91" ht="64" customHeight="1" s="46">
      <c r="B91" s="4">
        <f>LAVORAZIONI!G343</f>
        <v/>
      </c>
      <c r="C91" s="3">
        <f>LAVORAZIONI!A343</f>
        <v/>
      </c>
      <c r="D91" s="3">
        <f>LAVORAZIONI!K343</f>
        <v/>
      </c>
      <c r="E91" s="4">
        <f>LAVORAZIONI!H343</f>
        <v/>
      </c>
      <c r="F91" s="4">
        <f>LAVORAZIONI!M343</f>
        <v/>
      </c>
      <c r="G91" s="5">
        <f>LAVORAZIONI!N343</f>
        <v/>
      </c>
      <c r="H91" s="6">
        <f>LAVORAZIONI!O343</f>
        <v/>
      </c>
      <c r="I91" s="13">
        <f>LAVORAZIONI!P343</f>
        <v/>
      </c>
      <c r="J91" s="5">
        <f>IF(LAVORAZIONI!Q343="","",LAVORAZIONI!Q343)</f>
        <v/>
      </c>
      <c r="K91" s="6">
        <f>IF(LAVORAZIONI!R343="","",LAVORAZIONI!R343)</f>
        <v/>
      </c>
      <c r="L91" s="13">
        <f>IF(LAVORAZIONI!S343="","",LAVORAZIONI!S343)</f>
        <v/>
      </c>
      <c r="M91" s="13">
        <f>LAVORAZIONI!T343</f>
        <v/>
      </c>
      <c r="O91" s="7">
        <f>LAVORAZIONI!U343</f>
        <v/>
      </c>
      <c r="P91" s="45">
        <f>LAVORAZIONI!V343</f>
        <v/>
      </c>
      <c r="Q91" s="7">
        <f>LAVORAZIONI!W343</f>
        <v/>
      </c>
      <c r="R91" s="6">
        <f>LAVORAZIONI!X343</f>
        <v/>
      </c>
      <c r="S91" s="7">
        <f>LAVORAZIONI!Y343</f>
        <v/>
      </c>
      <c r="T91" s="6">
        <f>LAVORAZIONI!Z343</f>
        <v/>
      </c>
      <c r="U91" s="7">
        <f>LAVORAZIONI!AA343</f>
        <v/>
      </c>
      <c r="V91" s="6">
        <f>LAVORAZIONI!AB343</f>
        <v/>
      </c>
      <c r="W91" s="7">
        <f>LAVORAZIONI!AC343</f>
        <v/>
      </c>
      <c r="X91" s="6">
        <f>LAVORAZIONI!AD343</f>
        <v/>
      </c>
      <c r="Y91" s="7">
        <f>LAVORAZIONI!AE343</f>
        <v/>
      </c>
      <c r="Z91" s="6">
        <f>LAVORAZIONI!AF343</f>
        <v/>
      </c>
      <c r="AA91" s="7">
        <f>LAVORAZIONI!AG343</f>
        <v/>
      </c>
      <c r="AB91" s="6">
        <f>LAVORAZIONI!AH343</f>
        <v/>
      </c>
      <c r="AC91" s="7">
        <f>LAVORAZIONI!AI343</f>
        <v/>
      </c>
      <c r="AD91" s="13">
        <f>LAVORAZIONI!AJ343</f>
        <v/>
      </c>
    </row>
    <row r="92" ht="64" customHeight="1" s="46">
      <c r="B92" s="4">
        <f>LAVORAZIONI!G344</f>
        <v/>
      </c>
      <c r="C92" s="3">
        <f>LAVORAZIONI!A344</f>
        <v/>
      </c>
      <c r="D92" s="3">
        <f>LAVORAZIONI!K344</f>
        <v/>
      </c>
      <c r="E92" s="4">
        <f>LAVORAZIONI!H344</f>
        <v/>
      </c>
      <c r="F92" s="4">
        <f>LAVORAZIONI!M344</f>
        <v/>
      </c>
      <c r="G92" s="5">
        <f>LAVORAZIONI!N344</f>
        <v/>
      </c>
      <c r="H92" s="6">
        <f>LAVORAZIONI!O344</f>
        <v/>
      </c>
      <c r="I92" s="13">
        <f>LAVORAZIONI!P344</f>
        <v/>
      </c>
      <c r="J92" s="5">
        <f>IF(LAVORAZIONI!Q344="","",LAVORAZIONI!Q344)</f>
        <v/>
      </c>
      <c r="K92" s="6">
        <f>IF(LAVORAZIONI!R344="","",LAVORAZIONI!R344)</f>
        <v/>
      </c>
      <c r="L92" s="13">
        <f>IF(LAVORAZIONI!S344="","",LAVORAZIONI!S344)</f>
        <v/>
      </c>
      <c r="M92" s="13">
        <f>LAVORAZIONI!T344</f>
        <v/>
      </c>
      <c r="O92" s="7">
        <f>LAVORAZIONI!U344</f>
        <v/>
      </c>
      <c r="P92" s="45">
        <f>LAVORAZIONI!V344</f>
        <v/>
      </c>
      <c r="Q92" s="7">
        <f>LAVORAZIONI!W344</f>
        <v/>
      </c>
      <c r="R92" s="6">
        <f>LAVORAZIONI!X344</f>
        <v/>
      </c>
      <c r="S92" s="7">
        <f>LAVORAZIONI!Y344</f>
        <v/>
      </c>
      <c r="T92" s="6">
        <f>LAVORAZIONI!Z344</f>
        <v/>
      </c>
      <c r="U92" s="7">
        <f>LAVORAZIONI!AA344</f>
        <v/>
      </c>
      <c r="V92" s="6">
        <f>LAVORAZIONI!AB344</f>
        <v/>
      </c>
      <c r="W92" s="7">
        <f>LAVORAZIONI!AC344</f>
        <v/>
      </c>
      <c r="X92" s="6">
        <f>LAVORAZIONI!AD344</f>
        <v/>
      </c>
      <c r="Y92" s="7">
        <f>LAVORAZIONI!AE344</f>
        <v/>
      </c>
      <c r="Z92" s="6">
        <f>LAVORAZIONI!AF344</f>
        <v/>
      </c>
      <c r="AA92" s="7">
        <f>LAVORAZIONI!AG344</f>
        <v/>
      </c>
      <c r="AB92" s="6">
        <f>LAVORAZIONI!AH344</f>
        <v/>
      </c>
      <c r="AC92" s="7">
        <f>LAVORAZIONI!AI344</f>
        <v/>
      </c>
      <c r="AD92" s="13">
        <f>LAVORAZIONI!AJ344</f>
        <v/>
      </c>
    </row>
    <row r="93" ht="64" customHeight="1" s="46">
      <c r="B93" s="4">
        <f>LAVORAZIONI!G345</f>
        <v/>
      </c>
      <c r="C93" s="3">
        <f>LAVORAZIONI!A345</f>
        <v/>
      </c>
      <c r="D93" s="3">
        <f>LAVORAZIONI!K345</f>
        <v/>
      </c>
      <c r="E93" s="4">
        <f>LAVORAZIONI!H345</f>
        <v/>
      </c>
      <c r="F93" s="4">
        <f>LAVORAZIONI!M345</f>
        <v/>
      </c>
      <c r="G93" s="5">
        <f>LAVORAZIONI!N345</f>
        <v/>
      </c>
      <c r="H93" s="6">
        <f>LAVORAZIONI!O345</f>
        <v/>
      </c>
      <c r="I93" s="13">
        <f>LAVORAZIONI!P345</f>
        <v/>
      </c>
      <c r="J93" s="5">
        <f>IF(LAVORAZIONI!Q345="","",LAVORAZIONI!Q345)</f>
        <v/>
      </c>
      <c r="K93" s="6">
        <f>IF(LAVORAZIONI!R345="","",LAVORAZIONI!R345)</f>
        <v/>
      </c>
      <c r="L93" s="13">
        <f>IF(LAVORAZIONI!S345="","",LAVORAZIONI!S345)</f>
        <v/>
      </c>
      <c r="M93" s="13">
        <f>LAVORAZIONI!T345</f>
        <v/>
      </c>
      <c r="O93" s="7">
        <f>LAVORAZIONI!U345</f>
        <v/>
      </c>
      <c r="P93" s="45">
        <f>LAVORAZIONI!V345</f>
        <v/>
      </c>
      <c r="Q93" s="7">
        <f>LAVORAZIONI!W345</f>
        <v/>
      </c>
      <c r="R93" s="6">
        <f>LAVORAZIONI!X345</f>
        <v/>
      </c>
      <c r="S93" s="7">
        <f>LAVORAZIONI!Y345</f>
        <v/>
      </c>
      <c r="T93" s="6">
        <f>LAVORAZIONI!Z345</f>
        <v/>
      </c>
      <c r="U93" s="7">
        <f>LAVORAZIONI!AA345</f>
        <v/>
      </c>
      <c r="V93" s="6">
        <f>LAVORAZIONI!AB345</f>
        <v/>
      </c>
      <c r="W93" s="7">
        <f>LAVORAZIONI!AC345</f>
        <v/>
      </c>
      <c r="X93" s="6">
        <f>LAVORAZIONI!AD345</f>
        <v/>
      </c>
      <c r="Y93" s="7">
        <f>LAVORAZIONI!AE345</f>
        <v/>
      </c>
      <c r="Z93" s="6">
        <f>LAVORAZIONI!AF345</f>
        <v/>
      </c>
      <c r="AA93" s="7">
        <f>LAVORAZIONI!AG345</f>
        <v/>
      </c>
      <c r="AB93" s="6">
        <f>LAVORAZIONI!AH345</f>
        <v/>
      </c>
      <c r="AC93" s="7">
        <f>LAVORAZIONI!AI345</f>
        <v/>
      </c>
      <c r="AD93" s="13">
        <f>LAVORAZIONI!AJ345</f>
        <v/>
      </c>
    </row>
    <row r="94" ht="64" customHeight="1" s="46">
      <c r="B94" s="4">
        <f>LAVORAZIONI!G346</f>
        <v/>
      </c>
      <c r="C94" s="3">
        <f>LAVORAZIONI!A346</f>
        <v/>
      </c>
      <c r="D94" s="3">
        <f>LAVORAZIONI!K346</f>
        <v/>
      </c>
      <c r="E94" s="4">
        <f>LAVORAZIONI!H346</f>
        <v/>
      </c>
      <c r="F94" s="4">
        <f>LAVORAZIONI!M346</f>
        <v/>
      </c>
      <c r="G94" s="5">
        <f>LAVORAZIONI!N346</f>
        <v/>
      </c>
      <c r="H94" s="6">
        <f>LAVORAZIONI!O346</f>
        <v/>
      </c>
      <c r="I94" s="13">
        <f>LAVORAZIONI!P346</f>
        <v/>
      </c>
      <c r="J94" s="5">
        <f>IF(LAVORAZIONI!Q346="","",LAVORAZIONI!Q346)</f>
        <v/>
      </c>
      <c r="K94" s="6">
        <f>IF(LAVORAZIONI!R346="","",LAVORAZIONI!R346)</f>
        <v/>
      </c>
      <c r="L94" s="13">
        <f>IF(LAVORAZIONI!S346="","",LAVORAZIONI!S346)</f>
        <v/>
      </c>
      <c r="M94" s="13">
        <f>LAVORAZIONI!T346</f>
        <v/>
      </c>
      <c r="O94" s="7">
        <f>LAVORAZIONI!U346</f>
        <v/>
      </c>
      <c r="P94" s="45">
        <f>LAVORAZIONI!V346</f>
        <v/>
      </c>
      <c r="Q94" s="7">
        <f>LAVORAZIONI!W346</f>
        <v/>
      </c>
      <c r="R94" s="6">
        <f>LAVORAZIONI!X346</f>
        <v/>
      </c>
      <c r="S94" s="7">
        <f>LAVORAZIONI!Y346</f>
        <v/>
      </c>
      <c r="T94" s="6">
        <f>LAVORAZIONI!Z346</f>
        <v/>
      </c>
      <c r="U94" s="7">
        <f>LAVORAZIONI!AA346</f>
        <v/>
      </c>
      <c r="V94" s="6">
        <f>LAVORAZIONI!AB346</f>
        <v/>
      </c>
      <c r="W94" s="7">
        <f>LAVORAZIONI!AC346</f>
        <v/>
      </c>
      <c r="X94" s="6">
        <f>LAVORAZIONI!AD346</f>
        <v/>
      </c>
      <c r="Y94" s="7">
        <f>LAVORAZIONI!AE346</f>
        <v/>
      </c>
      <c r="Z94" s="6">
        <f>LAVORAZIONI!AF346</f>
        <v/>
      </c>
      <c r="AA94" s="7">
        <f>LAVORAZIONI!AG346</f>
        <v/>
      </c>
      <c r="AB94" s="6">
        <f>LAVORAZIONI!AH346</f>
        <v/>
      </c>
      <c r="AC94" s="7">
        <f>LAVORAZIONI!AI346</f>
        <v/>
      </c>
      <c r="AD94" s="13">
        <f>LAVORAZIONI!AJ346</f>
        <v/>
      </c>
    </row>
    <row r="95" ht="64" customHeight="1" s="46">
      <c r="B95" s="4">
        <f>LAVORAZIONI!G347</f>
        <v/>
      </c>
      <c r="C95" s="3">
        <f>LAVORAZIONI!A347</f>
        <v/>
      </c>
      <c r="D95" s="3">
        <f>LAVORAZIONI!K347</f>
        <v/>
      </c>
      <c r="E95" s="4">
        <f>LAVORAZIONI!H347</f>
        <v/>
      </c>
      <c r="F95" s="4">
        <f>LAVORAZIONI!M347</f>
        <v/>
      </c>
      <c r="G95" s="5">
        <f>LAVORAZIONI!N347</f>
        <v/>
      </c>
      <c r="H95" s="6">
        <f>LAVORAZIONI!O347</f>
        <v/>
      </c>
      <c r="I95" s="13">
        <f>LAVORAZIONI!P347</f>
        <v/>
      </c>
      <c r="J95" s="5">
        <f>IF(LAVORAZIONI!Q347="","",LAVORAZIONI!Q347)</f>
        <v/>
      </c>
      <c r="K95" s="6">
        <f>IF(LAVORAZIONI!R347="","",LAVORAZIONI!R347)</f>
        <v/>
      </c>
      <c r="L95" s="13">
        <f>IF(LAVORAZIONI!S347="","",LAVORAZIONI!S347)</f>
        <v/>
      </c>
      <c r="M95" s="13">
        <f>LAVORAZIONI!T347</f>
        <v/>
      </c>
      <c r="O95" s="7">
        <f>LAVORAZIONI!U347</f>
        <v/>
      </c>
      <c r="P95" s="45">
        <f>LAVORAZIONI!V347</f>
        <v/>
      </c>
      <c r="Q95" s="7">
        <f>LAVORAZIONI!W347</f>
        <v/>
      </c>
      <c r="R95" s="6">
        <f>LAVORAZIONI!X347</f>
        <v/>
      </c>
      <c r="S95" s="7">
        <f>LAVORAZIONI!Y347</f>
        <v/>
      </c>
      <c r="T95" s="6">
        <f>LAVORAZIONI!Z347</f>
        <v/>
      </c>
      <c r="U95" s="7">
        <f>LAVORAZIONI!AA347</f>
        <v/>
      </c>
      <c r="V95" s="6">
        <f>LAVORAZIONI!AB347</f>
        <v/>
      </c>
      <c r="W95" s="7">
        <f>LAVORAZIONI!AC347</f>
        <v/>
      </c>
      <c r="X95" s="6">
        <f>LAVORAZIONI!AD347</f>
        <v/>
      </c>
      <c r="Y95" s="7">
        <f>LAVORAZIONI!AE347</f>
        <v/>
      </c>
      <c r="Z95" s="6">
        <f>LAVORAZIONI!AF347</f>
        <v/>
      </c>
      <c r="AA95" s="7">
        <f>LAVORAZIONI!AG347</f>
        <v/>
      </c>
      <c r="AB95" s="6">
        <f>LAVORAZIONI!AH347</f>
        <v/>
      </c>
      <c r="AC95" s="7">
        <f>LAVORAZIONI!AI347</f>
        <v/>
      </c>
      <c r="AD95" s="13">
        <f>LAVORAZIONI!AJ347</f>
        <v/>
      </c>
    </row>
    <row r="96" ht="64" customHeight="1" s="46">
      <c r="B96" s="4">
        <f>LAVORAZIONI!G348</f>
        <v/>
      </c>
      <c r="C96" s="3">
        <f>LAVORAZIONI!A348</f>
        <v/>
      </c>
      <c r="D96" s="3">
        <f>LAVORAZIONI!K348</f>
        <v/>
      </c>
      <c r="E96" s="4">
        <f>LAVORAZIONI!H348</f>
        <v/>
      </c>
      <c r="F96" s="4">
        <f>LAVORAZIONI!M348</f>
        <v/>
      </c>
      <c r="G96" s="5">
        <f>LAVORAZIONI!N348</f>
        <v/>
      </c>
      <c r="H96" s="6">
        <f>LAVORAZIONI!O348</f>
        <v/>
      </c>
      <c r="I96" s="13">
        <f>LAVORAZIONI!P348</f>
        <v/>
      </c>
      <c r="J96" s="5">
        <f>IF(LAVORAZIONI!Q348="","",LAVORAZIONI!Q348)</f>
        <v/>
      </c>
      <c r="K96" s="6">
        <f>IF(LAVORAZIONI!R348="","",LAVORAZIONI!R348)</f>
        <v/>
      </c>
      <c r="L96" s="13">
        <f>IF(LAVORAZIONI!S348="","",LAVORAZIONI!S348)</f>
        <v/>
      </c>
      <c r="M96" s="13">
        <f>LAVORAZIONI!T348</f>
        <v/>
      </c>
      <c r="O96" s="7">
        <f>LAVORAZIONI!U348</f>
        <v/>
      </c>
      <c r="P96" s="45">
        <f>LAVORAZIONI!V348</f>
        <v/>
      </c>
      <c r="Q96" s="7">
        <f>LAVORAZIONI!W348</f>
        <v/>
      </c>
      <c r="R96" s="6">
        <f>LAVORAZIONI!X348</f>
        <v/>
      </c>
      <c r="S96" s="7">
        <f>LAVORAZIONI!Y348</f>
        <v/>
      </c>
      <c r="T96" s="6">
        <f>LAVORAZIONI!Z348</f>
        <v/>
      </c>
      <c r="U96" s="7">
        <f>LAVORAZIONI!AA348</f>
        <v/>
      </c>
      <c r="V96" s="6">
        <f>LAVORAZIONI!AB348</f>
        <v/>
      </c>
      <c r="W96" s="7">
        <f>LAVORAZIONI!AC348</f>
        <v/>
      </c>
      <c r="X96" s="6">
        <f>LAVORAZIONI!AD348</f>
        <v/>
      </c>
      <c r="Y96" s="7">
        <f>LAVORAZIONI!AE348</f>
        <v/>
      </c>
      <c r="Z96" s="6">
        <f>LAVORAZIONI!AF348</f>
        <v/>
      </c>
      <c r="AA96" s="7">
        <f>LAVORAZIONI!AG348</f>
        <v/>
      </c>
      <c r="AB96" s="6">
        <f>LAVORAZIONI!AH348</f>
        <v/>
      </c>
      <c r="AC96" s="7">
        <f>LAVORAZIONI!AI348</f>
        <v/>
      </c>
      <c r="AD96" s="13">
        <f>LAVORAZIONI!AJ348</f>
        <v/>
      </c>
    </row>
    <row r="97" ht="64" customHeight="1" s="46">
      <c r="B97" s="4">
        <f>LAVORAZIONI!G349</f>
        <v/>
      </c>
      <c r="C97" s="3">
        <f>LAVORAZIONI!A349</f>
        <v/>
      </c>
      <c r="D97" s="3">
        <f>LAVORAZIONI!K349</f>
        <v/>
      </c>
      <c r="E97" s="4">
        <f>LAVORAZIONI!H349</f>
        <v/>
      </c>
      <c r="F97" s="4">
        <f>LAVORAZIONI!M349</f>
        <v/>
      </c>
      <c r="G97" s="5">
        <f>LAVORAZIONI!N349</f>
        <v/>
      </c>
      <c r="H97" s="6">
        <f>LAVORAZIONI!O349</f>
        <v/>
      </c>
      <c r="I97" s="13">
        <f>LAVORAZIONI!P349</f>
        <v/>
      </c>
      <c r="J97" s="5">
        <f>IF(LAVORAZIONI!Q349="","",LAVORAZIONI!Q349)</f>
        <v/>
      </c>
      <c r="K97" s="6">
        <f>IF(LAVORAZIONI!R349="","",LAVORAZIONI!R349)</f>
        <v/>
      </c>
      <c r="L97" s="13">
        <f>IF(LAVORAZIONI!S349="","",LAVORAZIONI!S349)</f>
        <v/>
      </c>
      <c r="M97" s="13">
        <f>LAVORAZIONI!T349</f>
        <v/>
      </c>
      <c r="O97" s="7">
        <f>LAVORAZIONI!U349</f>
        <v/>
      </c>
      <c r="P97" s="45">
        <f>LAVORAZIONI!V349</f>
        <v/>
      </c>
      <c r="Q97" s="7">
        <f>LAVORAZIONI!W349</f>
        <v/>
      </c>
      <c r="R97" s="6">
        <f>LAVORAZIONI!X349</f>
        <v/>
      </c>
      <c r="S97" s="7">
        <f>LAVORAZIONI!Y349</f>
        <v/>
      </c>
      <c r="T97" s="6">
        <f>LAVORAZIONI!Z349</f>
        <v/>
      </c>
      <c r="U97" s="7">
        <f>LAVORAZIONI!AA349</f>
        <v/>
      </c>
      <c r="V97" s="6">
        <f>LAVORAZIONI!AB349</f>
        <v/>
      </c>
      <c r="W97" s="7">
        <f>LAVORAZIONI!AC349</f>
        <v/>
      </c>
      <c r="X97" s="6">
        <f>LAVORAZIONI!AD349</f>
        <v/>
      </c>
      <c r="Y97" s="7">
        <f>LAVORAZIONI!AE349</f>
        <v/>
      </c>
      <c r="Z97" s="6">
        <f>LAVORAZIONI!AF349</f>
        <v/>
      </c>
      <c r="AA97" s="7">
        <f>LAVORAZIONI!AG349</f>
        <v/>
      </c>
      <c r="AB97" s="6">
        <f>LAVORAZIONI!AH349</f>
        <v/>
      </c>
      <c r="AC97" s="7">
        <f>LAVORAZIONI!AI349</f>
        <v/>
      </c>
      <c r="AD97" s="13">
        <f>LAVORAZIONI!AJ349</f>
        <v/>
      </c>
    </row>
    <row r="98" ht="64" customHeight="1" s="46">
      <c r="B98" s="4">
        <f>LAVORAZIONI!G350</f>
        <v/>
      </c>
      <c r="C98" s="3">
        <f>LAVORAZIONI!A350</f>
        <v/>
      </c>
      <c r="D98" s="3">
        <f>LAVORAZIONI!K350</f>
        <v/>
      </c>
      <c r="E98" s="4">
        <f>LAVORAZIONI!H350</f>
        <v/>
      </c>
      <c r="F98" s="4">
        <f>LAVORAZIONI!M350</f>
        <v/>
      </c>
      <c r="G98" s="5">
        <f>LAVORAZIONI!N350</f>
        <v/>
      </c>
      <c r="H98" s="6">
        <f>LAVORAZIONI!O350</f>
        <v/>
      </c>
      <c r="I98" s="13">
        <f>LAVORAZIONI!P350</f>
        <v/>
      </c>
      <c r="J98" s="5">
        <f>IF(LAVORAZIONI!Q350="","",LAVORAZIONI!Q350)</f>
        <v/>
      </c>
      <c r="K98" s="6">
        <f>IF(LAVORAZIONI!R350="","",LAVORAZIONI!R350)</f>
        <v/>
      </c>
      <c r="L98" s="13">
        <f>IF(LAVORAZIONI!S350="","",LAVORAZIONI!S350)</f>
        <v/>
      </c>
      <c r="M98" s="13">
        <f>LAVORAZIONI!T350</f>
        <v/>
      </c>
      <c r="O98" s="7">
        <f>LAVORAZIONI!U350</f>
        <v/>
      </c>
      <c r="P98" s="45">
        <f>LAVORAZIONI!V350</f>
        <v/>
      </c>
      <c r="Q98" s="7">
        <f>LAVORAZIONI!W350</f>
        <v/>
      </c>
      <c r="R98" s="6">
        <f>LAVORAZIONI!X350</f>
        <v/>
      </c>
      <c r="S98" s="7">
        <f>LAVORAZIONI!Y350</f>
        <v/>
      </c>
      <c r="T98" s="6">
        <f>LAVORAZIONI!Z350</f>
        <v/>
      </c>
      <c r="U98" s="7">
        <f>LAVORAZIONI!AA350</f>
        <v/>
      </c>
      <c r="V98" s="6">
        <f>LAVORAZIONI!AB350</f>
        <v/>
      </c>
      <c r="W98" s="7">
        <f>LAVORAZIONI!AC350</f>
        <v/>
      </c>
      <c r="X98" s="6">
        <f>LAVORAZIONI!AD350</f>
        <v/>
      </c>
      <c r="Y98" s="7">
        <f>LAVORAZIONI!AE350</f>
        <v/>
      </c>
      <c r="Z98" s="6">
        <f>LAVORAZIONI!AF350</f>
        <v/>
      </c>
      <c r="AA98" s="7">
        <f>LAVORAZIONI!AG350</f>
        <v/>
      </c>
      <c r="AB98" s="6">
        <f>LAVORAZIONI!AH350</f>
        <v/>
      </c>
      <c r="AC98" s="7">
        <f>LAVORAZIONI!AI350</f>
        <v/>
      </c>
      <c r="AD98" s="13">
        <f>LAVORAZIONI!AJ350</f>
        <v/>
      </c>
    </row>
    <row r="99" ht="64" customHeight="1" s="46">
      <c r="B99" s="4">
        <f>LAVORAZIONI!G351</f>
        <v/>
      </c>
      <c r="C99" s="3">
        <f>LAVORAZIONI!A351</f>
        <v/>
      </c>
      <c r="D99" s="3">
        <f>LAVORAZIONI!K351</f>
        <v/>
      </c>
      <c r="E99" s="4">
        <f>LAVORAZIONI!H351</f>
        <v/>
      </c>
      <c r="F99" s="4">
        <f>LAVORAZIONI!M351</f>
        <v/>
      </c>
      <c r="G99" s="5">
        <f>LAVORAZIONI!N351</f>
        <v/>
      </c>
      <c r="H99" s="6">
        <f>LAVORAZIONI!O351</f>
        <v/>
      </c>
      <c r="I99" s="13">
        <f>LAVORAZIONI!P351</f>
        <v/>
      </c>
      <c r="J99" s="5">
        <f>IF(LAVORAZIONI!Q351="","",LAVORAZIONI!Q351)</f>
        <v/>
      </c>
      <c r="K99" s="6">
        <f>IF(LAVORAZIONI!R351="","",LAVORAZIONI!R351)</f>
        <v/>
      </c>
      <c r="L99" s="13">
        <f>IF(LAVORAZIONI!S351="","",LAVORAZIONI!S351)</f>
        <v/>
      </c>
      <c r="M99" s="13">
        <f>LAVORAZIONI!T351</f>
        <v/>
      </c>
      <c r="O99" s="7">
        <f>LAVORAZIONI!U351</f>
        <v/>
      </c>
      <c r="P99" s="45">
        <f>LAVORAZIONI!V351</f>
        <v/>
      </c>
      <c r="Q99" s="7">
        <f>LAVORAZIONI!W351</f>
        <v/>
      </c>
      <c r="R99" s="6">
        <f>LAVORAZIONI!X351</f>
        <v/>
      </c>
      <c r="S99" s="7">
        <f>LAVORAZIONI!Y351</f>
        <v/>
      </c>
      <c r="T99" s="6">
        <f>LAVORAZIONI!Z351</f>
        <v/>
      </c>
      <c r="U99" s="7">
        <f>LAVORAZIONI!AA351</f>
        <v/>
      </c>
      <c r="V99" s="6">
        <f>LAVORAZIONI!AB351</f>
        <v/>
      </c>
      <c r="W99" s="7">
        <f>LAVORAZIONI!AC351</f>
        <v/>
      </c>
      <c r="X99" s="6">
        <f>LAVORAZIONI!AD351</f>
        <v/>
      </c>
      <c r="Y99" s="7">
        <f>LAVORAZIONI!AE351</f>
        <v/>
      </c>
      <c r="Z99" s="6">
        <f>LAVORAZIONI!AF351</f>
        <v/>
      </c>
      <c r="AA99" s="7">
        <f>LAVORAZIONI!AG351</f>
        <v/>
      </c>
      <c r="AB99" s="6">
        <f>LAVORAZIONI!AH351</f>
        <v/>
      </c>
      <c r="AC99" s="7">
        <f>LAVORAZIONI!AI351</f>
        <v/>
      </c>
      <c r="AD99" s="13">
        <f>LAVORAZIONI!AJ351</f>
        <v/>
      </c>
    </row>
    <row r="100" ht="64" customHeight="1" s="46">
      <c r="B100" s="4">
        <f>LAVORAZIONI!G352</f>
        <v/>
      </c>
      <c r="C100" s="3">
        <f>LAVORAZIONI!A352</f>
        <v/>
      </c>
      <c r="D100" s="3">
        <f>LAVORAZIONI!K352</f>
        <v/>
      </c>
      <c r="E100" s="4">
        <f>LAVORAZIONI!H352</f>
        <v/>
      </c>
      <c r="F100" s="4">
        <f>LAVORAZIONI!M352</f>
        <v/>
      </c>
      <c r="G100" s="5">
        <f>LAVORAZIONI!N352</f>
        <v/>
      </c>
      <c r="H100" s="6">
        <f>LAVORAZIONI!O352</f>
        <v/>
      </c>
      <c r="I100" s="13">
        <f>LAVORAZIONI!P352</f>
        <v/>
      </c>
      <c r="J100" s="5">
        <f>IF(LAVORAZIONI!Q352="","",LAVORAZIONI!Q352)</f>
        <v/>
      </c>
      <c r="K100" s="6">
        <f>IF(LAVORAZIONI!R352="","",LAVORAZIONI!R352)</f>
        <v/>
      </c>
      <c r="L100" s="13">
        <f>IF(LAVORAZIONI!S352="","",LAVORAZIONI!S352)</f>
        <v/>
      </c>
      <c r="M100" s="13">
        <f>LAVORAZIONI!T352</f>
        <v/>
      </c>
      <c r="O100" s="7">
        <f>LAVORAZIONI!U352</f>
        <v/>
      </c>
      <c r="P100" s="45">
        <f>LAVORAZIONI!V352</f>
        <v/>
      </c>
      <c r="Q100" s="7">
        <f>LAVORAZIONI!W352</f>
        <v/>
      </c>
      <c r="R100" s="6">
        <f>LAVORAZIONI!X352</f>
        <v/>
      </c>
      <c r="S100" s="7">
        <f>LAVORAZIONI!Y352</f>
        <v/>
      </c>
      <c r="T100" s="6">
        <f>LAVORAZIONI!Z352</f>
        <v/>
      </c>
      <c r="U100" s="7">
        <f>LAVORAZIONI!AA352</f>
        <v/>
      </c>
      <c r="V100" s="6">
        <f>LAVORAZIONI!AB352</f>
        <v/>
      </c>
      <c r="W100" s="7">
        <f>LAVORAZIONI!AC352</f>
        <v/>
      </c>
      <c r="X100" s="6">
        <f>LAVORAZIONI!AD352</f>
        <v/>
      </c>
      <c r="Y100" s="7">
        <f>LAVORAZIONI!AE352</f>
        <v/>
      </c>
      <c r="Z100" s="6">
        <f>LAVORAZIONI!AF352</f>
        <v/>
      </c>
      <c r="AA100" s="7">
        <f>LAVORAZIONI!AG352</f>
        <v/>
      </c>
      <c r="AB100" s="6">
        <f>LAVORAZIONI!AH352</f>
        <v/>
      </c>
      <c r="AC100" s="7">
        <f>LAVORAZIONI!AI352</f>
        <v/>
      </c>
      <c r="AD100" s="13">
        <f>LAVORAZIONI!AJ352</f>
        <v/>
      </c>
    </row>
    <row r="101" ht="64" customHeight="1" s="46">
      <c r="B101" s="4">
        <f>LAVORAZIONI!G353</f>
        <v/>
      </c>
      <c r="C101" s="3">
        <f>LAVORAZIONI!A353</f>
        <v/>
      </c>
      <c r="D101" s="3">
        <f>LAVORAZIONI!K353</f>
        <v/>
      </c>
      <c r="E101" s="4">
        <f>LAVORAZIONI!H353</f>
        <v/>
      </c>
      <c r="F101" s="4">
        <f>LAVORAZIONI!M353</f>
        <v/>
      </c>
      <c r="G101" s="5">
        <f>LAVORAZIONI!N353</f>
        <v/>
      </c>
      <c r="H101" s="6">
        <f>LAVORAZIONI!O353</f>
        <v/>
      </c>
      <c r="I101" s="13">
        <f>LAVORAZIONI!P353</f>
        <v/>
      </c>
      <c r="J101" s="5">
        <f>IF(LAVORAZIONI!Q353="","",LAVORAZIONI!Q353)</f>
        <v/>
      </c>
      <c r="K101" s="6">
        <f>IF(LAVORAZIONI!R353="","",LAVORAZIONI!R353)</f>
        <v/>
      </c>
      <c r="L101" s="13">
        <f>IF(LAVORAZIONI!S353="","",LAVORAZIONI!S353)</f>
        <v/>
      </c>
      <c r="M101" s="13">
        <f>LAVORAZIONI!T353</f>
        <v/>
      </c>
      <c r="O101" s="7">
        <f>LAVORAZIONI!U353</f>
        <v/>
      </c>
      <c r="P101" s="45">
        <f>LAVORAZIONI!V353</f>
        <v/>
      </c>
      <c r="Q101" s="7">
        <f>LAVORAZIONI!W353</f>
        <v/>
      </c>
      <c r="R101" s="6">
        <f>LAVORAZIONI!X353</f>
        <v/>
      </c>
      <c r="S101" s="7">
        <f>LAVORAZIONI!Y353</f>
        <v/>
      </c>
      <c r="T101" s="6">
        <f>LAVORAZIONI!Z353</f>
        <v/>
      </c>
      <c r="U101" s="7">
        <f>LAVORAZIONI!AA353</f>
        <v/>
      </c>
      <c r="V101" s="6">
        <f>LAVORAZIONI!AB353</f>
        <v/>
      </c>
      <c r="W101" s="7">
        <f>LAVORAZIONI!AC353</f>
        <v/>
      </c>
      <c r="X101" s="6">
        <f>LAVORAZIONI!AD353</f>
        <v/>
      </c>
      <c r="Y101" s="7">
        <f>LAVORAZIONI!AE353</f>
        <v/>
      </c>
      <c r="Z101" s="6">
        <f>LAVORAZIONI!AF353</f>
        <v/>
      </c>
      <c r="AA101" s="7">
        <f>LAVORAZIONI!AG353</f>
        <v/>
      </c>
      <c r="AB101" s="6">
        <f>LAVORAZIONI!AH353</f>
        <v/>
      </c>
      <c r="AC101" s="7">
        <f>LAVORAZIONI!AI353</f>
        <v/>
      </c>
      <c r="AD101" s="13">
        <f>LAVORAZIONI!AJ353</f>
        <v/>
      </c>
    </row>
    <row r="102" ht="64" customHeight="1" s="46">
      <c r="B102" s="4">
        <f>LAVORAZIONI!G354</f>
        <v/>
      </c>
      <c r="C102" s="3">
        <f>LAVORAZIONI!A354</f>
        <v/>
      </c>
      <c r="D102" s="3">
        <f>LAVORAZIONI!K354</f>
        <v/>
      </c>
      <c r="E102" s="4">
        <f>LAVORAZIONI!H354</f>
        <v/>
      </c>
      <c r="F102" s="4">
        <f>LAVORAZIONI!M354</f>
        <v/>
      </c>
      <c r="G102" s="5">
        <f>LAVORAZIONI!N354</f>
        <v/>
      </c>
      <c r="H102" s="6">
        <f>LAVORAZIONI!O354</f>
        <v/>
      </c>
      <c r="I102" s="13">
        <f>LAVORAZIONI!P354</f>
        <v/>
      </c>
      <c r="J102" s="5">
        <f>IF(LAVORAZIONI!Q354="","",LAVORAZIONI!Q354)</f>
        <v/>
      </c>
      <c r="K102" s="6">
        <f>IF(LAVORAZIONI!R354="","",LAVORAZIONI!R354)</f>
        <v/>
      </c>
      <c r="L102" s="13">
        <f>IF(LAVORAZIONI!S354="","",LAVORAZIONI!S354)</f>
        <v/>
      </c>
      <c r="M102" s="13">
        <f>LAVORAZIONI!T354</f>
        <v/>
      </c>
      <c r="O102" s="7">
        <f>LAVORAZIONI!U354</f>
        <v/>
      </c>
      <c r="P102" s="45">
        <f>LAVORAZIONI!V354</f>
        <v/>
      </c>
      <c r="Q102" s="7">
        <f>LAVORAZIONI!W354</f>
        <v/>
      </c>
      <c r="R102" s="6">
        <f>LAVORAZIONI!X354</f>
        <v/>
      </c>
      <c r="S102" s="7">
        <f>LAVORAZIONI!Y354</f>
        <v/>
      </c>
      <c r="T102" s="6">
        <f>LAVORAZIONI!Z354</f>
        <v/>
      </c>
      <c r="U102" s="7">
        <f>LAVORAZIONI!AA354</f>
        <v/>
      </c>
      <c r="V102" s="6">
        <f>LAVORAZIONI!AB354</f>
        <v/>
      </c>
      <c r="W102" s="7">
        <f>LAVORAZIONI!AC354</f>
        <v/>
      </c>
      <c r="X102" s="6">
        <f>LAVORAZIONI!AD354</f>
        <v/>
      </c>
      <c r="Y102" s="7">
        <f>LAVORAZIONI!AE354</f>
        <v/>
      </c>
      <c r="Z102" s="6">
        <f>LAVORAZIONI!AF354</f>
        <v/>
      </c>
      <c r="AA102" s="7">
        <f>LAVORAZIONI!AG354</f>
        <v/>
      </c>
      <c r="AB102" s="6">
        <f>LAVORAZIONI!AH354</f>
        <v/>
      </c>
      <c r="AC102" s="7">
        <f>LAVORAZIONI!AI354</f>
        <v/>
      </c>
      <c r="AD102" s="13">
        <f>LAVORAZIONI!AJ354</f>
        <v/>
      </c>
    </row>
    <row r="103" ht="64" customHeight="1" s="46">
      <c r="B103" s="4">
        <f>LAVORAZIONI!G355</f>
        <v/>
      </c>
      <c r="C103" s="3">
        <f>LAVORAZIONI!A355</f>
        <v/>
      </c>
      <c r="D103" s="3">
        <f>LAVORAZIONI!K355</f>
        <v/>
      </c>
      <c r="E103" s="4">
        <f>LAVORAZIONI!H355</f>
        <v/>
      </c>
      <c r="F103" s="4">
        <f>LAVORAZIONI!M355</f>
        <v/>
      </c>
      <c r="G103" s="5">
        <f>LAVORAZIONI!N355</f>
        <v/>
      </c>
      <c r="H103" s="6">
        <f>LAVORAZIONI!O355</f>
        <v/>
      </c>
      <c r="I103" s="13">
        <f>LAVORAZIONI!P355</f>
        <v/>
      </c>
      <c r="J103" s="5">
        <f>IF(LAVORAZIONI!Q355="","",LAVORAZIONI!Q355)</f>
        <v/>
      </c>
      <c r="K103" s="6">
        <f>IF(LAVORAZIONI!R355="","",LAVORAZIONI!R355)</f>
        <v/>
      </c>
      <c r="L103" s="13">
        <f>IF(LAVORAZIONI!S355="","",LAVORAZIONI!S355)</f>
        <v/>
      </c>
      <c r="M103" s="13">
        <f>LAVORAZIONI!T355</f>
        <v/>
      </c>
      <c r="O103" s="7">
        <f>LAVORAZIONI!U355</f>
        <v/>
      </c>
      <c r="P103" s="45">
        <f>LAVORAZIONI!V355</f>
        <v/>
      </c>
      <c r="Q103" s="7">
        <f>LAVORAZIONI!W355</f>
        <v/>
      </c>
      <c r="R103" s="6">
        <f>LAVORAZIONI!X355</f>
        <v/>
      </c>
      <c r="S103" s="7">
        <f>LAVORAZIONI!Y355</f>
        <v/>
      </c>
      <c r="T103" s="6">
        <f>LAVORAZIONI!Z355</f>
        <v/>
      </c>
      <c r="U103" s="7">
        <f>LAVORAZIONI!AA355</f>
        <v/>
      </c>
      <c r="V103" s="6">
        <f>LAVORAZIONI!AB355</f>
        <v/>
      </c>
      <c r="W103" s="7">
        <f>LAVORAZIONI!AC355</f>
        <v/>
      </c>
      <c r="X103" s="6">
        <f>LAVORAZIONI!AD355</f>
        <v/>
      </c>
      <c r="Y103" s="7">
        <f>LAVORAZIONI!AE355</f>
        <v/>
      </c>
      <c r="Z103" s="6">
        <f>LAVORAZIONI!AF355</f>
        <v/>
      </c>
      <c r="AA103" s="7">
        <f>LAVORAZIONI!AG355</f>
        <v/>
      </c>
      <c r="AB103" s="6">
        <f>LAVORAZIONI!AH355</f>
        <v/>
      </c>
      <c r="AC103" s="7">
        <f>LAVORAZIONI!AI355</f>
        <v/>
      </c>
      <c r="AD103" s="13">
        <f>LAVORAZIONI!AJ355</f>
        <v/>
      </c>
    </row>
    <row r="104" ht="64" customHeight="1" s="46">
      <c r="B104" s="4">
        <f>LAVORAZIONI!G356</f>
        <v/>
      </c>
      <c r="C104" s="3">
        <f>LAVORAZIONI!A356</f>
        <v/>
      </c>
      <c r="D104" s="3">
        <f>LAVORAZIONI!K356</f>
        <v/>
      </c>
      <c r="E104" s="4">
        <f>LAVORAZIONI!H356</f>
        <v/>
      </c>
      <c r="F104" s="4">
        <f>LAVORAZIONI!M356</f>
        <v/>
      </c>
      <c r="G104" s="5">
        <f>LAVORAZIONI!N356</f>
        <v/>
      </c>
      <c r="H104" s="6">
        <f>LAVORAZIONI!O356</f>
        <v/>
      </c>
      <c r="I104" s="13">
        <f>LAVORAZIONI!P356</f>
        <v/>
      </c>
      <c r="J104" s="5">
        <f>IF(LAVORAZIONI!Q356="","",LAVORAZIONI!Q356)</f>
        <v/>
      </c>
      <c r="K104" s="6">
        <f>IF(LAVORAZIONI!R356="","",LAVORAZIONI!R356)</f>
        <v/>
      </c>
      <c r="L104" s="13">
        <f>IF(LAVORAZIONI!S356="","",LAVORAZIONI!S356)</f>
        <v/>
      </c>
      <c r="M104" s="13">
        <f>LAVORAZIONI!T356</f>
        <v/>
      </c>
      <c r="O104" s="7">
        <f>LAVORAZIONI!U356</f>
        <v/>
      </c>
      <c r="P104" s="45">
        <f>LAVORAZIONI!V356</f>
        <v/>
      </c>
      <c r="Q104" s="7">
        <f>LAVORAZIONI!W356</f>
        <v/>
      </c>
      <c r="R104" s="6">
        <f>LAVORAZIONI!X356</f>
        <v/>
      </c>
      <c r="S104" s="7">
        <f>LAVORAZIONI!Y356</f>
        <v/>
      </c>
      <c r="T104" s="6">
        <f>LAVORAZIONI!Z356</f>
        <v/>
      </c>
      <c r="U104" s="7">
        <f>LAVORAZIONI!AA356</f>
        <v/>
      </c>
      <c r="V104" s="6">
        <f>LAVORAZIONI!AB356</f>
        <v/>
      </c>
      <c r="W104" s="7">
        <f>LAVORAZIONI!AC356</f>
        <v/>
      </c>
      <c r="X104" s="6">
        <f>LAVORAZIONI!AD356</f>
        <v/>
      </c>
      <c r="Y104" s="7">
        <f>LAVORAZIONI!AE356</f>
        <v/>
      </c>
      <c r="Z104" s="6">
        <f>LAVORAZIONI!AF356</f>
        <v/>
      </c>
      <c r="AA104" s="7">
        <f>LAVORAZIONI!AG356</f>
        <v/>
      </c>
      <c r="AB104" s="6">
        <f>LAVORAZIONI!AH356</f>
        <v/>
      </c>
      <c r="AC104" s="7">
        <f>LAVORAZIONI!AI356</f>
        <v/>
      </c>
      <c r="AD104" s="13">
        <f>LAVORAZIONI!AJ356</f>
        <v/>
      </c>
    </row>
    <row r="105" ht="64" customHeight="1" s="46">
      <c r="B105" s="4">
        <f>LAVORAZIONI!G357</f>
        <v/>
      </c>
      <c r="C105" s="3">
        <f>LAVORAZIONI!A357</f>
        <v/>
      </c>
      <c r="D105" s="3">
        <f>LAVORAZIONI!K357</f>
        <v/>
      </c>
      <c r="E105" s="4">
        <f>LAVORAZIONI!H357</f>
        <v/>
      </c>
      <c r="F105" s="4">
        <f>LAVORAZIONI!M357</f>
        <v/>
      </c>
      <c r="G105" s="5">
        <f>LAVORAZIONI!N357</f>
        <v/>
      </c>
      <c r="H105" s="6">
        <f>LAVORAZIONI!O357</f>
        <v/>
      </c>
      <c r="I105" s="13">
        <f>LAVORAZIONI!P357</f>
        <v/>
      </c>
      <c r="J105" s="5">
        <f>IF(LAVORAZIONI!Q357="","",LAVORAZIONI!Q357)</f>
        <v/>
      </c>
      <c r="K105" s="6">
        <f>IF(LAVORAZIONI!R357="","",LAVORAZIONI!R357)</f>
        <v/>
      </c>
      <c r="L105" s="13">
        <f>IF(LAVORAZIONI!S357="","",LAVORAZIONI!S357)</f>
        <v/>
      </c>
      <c r="M105" s="13">
        <f>LAVORAZIONI!T357</f>
        <v/>
      </c>
      <c r="O105" s="7">
        <f>LAVORAZIONI!U357</f>
        <v/>
      </c>
      <c r="P105" s="45">
        <f>LAVORAZIONI!V357</f>
        <v/>
      </c>
      <c r="Q105" s="7">
        <f>LAVORAZIONI!W357</f>
        <v/>
      </c>
      <c r="R105" s="6">
        <f>LAVORAZIONI!X357</f>
        <v/>
      </c>
      <c r="S105" s="7">
        <f>LAVORAZIONI!Y357</f>
        <v/>
      </c>
      <c r="T105" s="6">
        <f>LAVORAZIONI!Z357</f>
        <v/>
      </c>
      <c r="U105" s="7">
        <f>LAVORAZIONI!AA357</f>
        <v/>
      </c>
      <c r="V105" s="6">
        <f>LAVORAZIONI!AB357</f>
        <v/>
      </c>
      <c r="W105" s="7">
        <f>LAVORAZIONI!AC357</f>
        <v/>
      </c>
      <c r="X105" s="6">
        <f>LAVORAZIONI!AD357</f>
        <v/>
      </c>
      <c r="Y105" s="7">
        <f>LAVORAZIONI!AE357</f>
        <v/>
      </c>
      <c r="Z105" s="6">
        <f>LAVORAZIONI!AF357</f>
        <v/>
      </c>
      <c r="AA105" s="7">
        <f>LAVORAZIONI!AG357</f>
        <v/>
      </c>
      <c r="AB105" s="6">
        <f>LAVORAZIONI!AH357</f>
        <v/>
      </c>
      <c r="AC105" s="7">
        <f>LAVORAZIONI!AI357</f>
        <v/>
      </c>
      <c r="AD105" s="13">
        <f>LAVORAZIONI!AJ357</f>
        <v/>
      </c>
    </row>
    <row r="106" ht="64" customHeight="1" s="46">
      <c r="B106" s="4">
        <f>LAVORAZIONI!G358</f>
        <v/>
      </c>
      <c r="C106" s="3">
        <f>LAVORAZIONI!A358</f>
        <v/>
      </c>
      <c r="D106" s="3">
        <f>LAVORAZIONI!K358</f>
        <v/>
      </c>
      <c r="E106" s="4">
        <f>LAVORAZIONI!H358</f>
        <v/>
      </c>
      <c r="F106" s="4">
        <f>LAVORAZIONI!M358</f>
        <v/>
      </c>
      <c r="G106" s="5">
        <f>LAVORAZIONI!N358</f>
        <v/>
      </c>
      <c r="H106" s="6">
        <f>LAVORAZIONI!O358</f>
        <v/>
      </c>
      <c r="I106" s="13">
        <f>LAVORAZIONI!P358</f>
        <v/>
      </c>
      <c r="J106" s="5">
        <f>IF(LAVORAZIONI!Q358="","",LAVORAZIONI!Q358)</f>
        <v/>
      </c>
      <c r="K106" s="6">
        <f>IF(LAVORAZIONI!R358="","",LAVORAZIONI!R358)</f>
        <v/>
      </c>
      <c r="L106" s="13">
        <f>IF(LAVORAZIONI!S358="","",LAVORAZIONI!S358)</f>
        <v/>
      </c>
      <c r="M106" s="13">
        <f>LAVORAZIONI!T358</f>
        <v/>
      </c>
      <c r="O106" s="7">
        <f>LAVORAZIONI!U358</f>
        <v/>
      </c>
      <c r="P106" s="45">
        <f>LAVORAZIONI!V358</f>
        <v/>
      </c>
      <c r="Q106" s="7">
        <f>LAVORAZIONI!W358</f>
        <v/>
      </c>
      <c r="R106" s="6">
        <f>LAVORAZIONI!X358</f>
        <v/>
      </c>
      <c r="S106" s="7">
        <f>LAVORAZIONI!Y358</f>
        <v/>
      </c>
      <c r="T106" s="6">
        <f>LAVORAZIONI!Z358</f>
        <v/>
      </c>
      <c r="U106" s="7">
        <f>LAVORAZIONI!AA358</f>
        <v/>
      </c>
      <c r="V106" s="6">
        <f>LAVORAZIONI!AB358</f>
        <v/>
      </c>
      <c r="W106" s="7">
        <f>LAVORAZIONI!AC358</f>
        <v/>
      </c>
      <c r="X106" s="6">
        <f>LAVORAZIONI!AD358</f>
        <v/>
      </c>
      <c r="Y106" s="7">
        <f>LAVORAZIONI!AE358</f>
        <v/>
      </c>
      <c r="Z106" s="6">
        <f>LAVORAZIONI!AF358</f>
        <v/>
      </c>
      <c r="AA106" s="7">
        <f>LAVORAZIONI!AG358</f>
        <v/>
      </c>
      <c r="AB106" s="6">
        <f>LAVORAZIONI!AH358</f>
        <v/>
      </c>
      <c r="AC106" s="7">
        <f>LAVORAZIONI!AI358</f>
        <v/>
      </c>
      <c r="AD106" s="13">
        <f>LAVORAZIONI!AJ358</f>
        <v/>
      </c>
    </row>
    <row r="107" ht="64" customHeight="1" s="46">
      <c r="B107" s="4">
        <f>LAVORAZIONI!G359</f>
        <v/>
      </c>
      <c r="C107" s="3">
        <f>LAVORAZIONI!A359</f>
        <v/>
      </c>
      <c r="D107" s="3">
        <f>LAVORAZIONI!K359</f>
        <v/>
      </c>
      <c r="E107" s="4">
        <f>LAVORAZIONI!H359</f>
        <v/>
      </c>
      <c r="F107" s="4">
        <f>LAVORAZIONI!M359</f>
        <v/>
      </c>
      <c r="G107" s="5">
        <f>LAVORAZIONI!N359</f>
        <v/>
      </c>
      <c r="H107" s="6">
        <f>LAVORAZIONI!O359</f>
        <v/>
      </c>
      <c r="I107" s="13">
        <f>LAVORAZIONI!P359</f>
        <v/>
      </c>
      <c r="J107" s="5">
        <f>IF(LAVORAZIONI!Q359="","",LAVORAZIONI!Q359)</f>
        <v/>
      </c>
      <c r="K107" s="6">
        <f>IF(LAVORAZIONI!R359="","",LAVORAZIONI!R359)</f>
        <v/>
      </c>
      <c r="L107" s="13">
        <f>IF(LAVORAZIONI!S359="","",LAVORAZIONI!S359)</f>
        <v/>
      </c>
      <c r="M107" s="13">
        <f>LAVORAZIONI!T359</f>
        <v/>
      </c>
      <c r="O107" s="7">
        <f>LAVORAZIONI!U359</f>
        <v/>
      </c>
      <c r="P107" s="45">
        <f>LAVORAZIONI!V359</f>
        <v/>
      </c>
      <c r="Q107" s="7">
        <f>LAVORAZIONI!W359</f>
        <v/>
      </c>
      <c r="R107" s="6">
        <f>LAVORAZIONI!X359</f>
        <v/>
      </c>
      <c r="S107" s="7">
        <f>LAVORAZIONI!Y359</f>
        <v/>
      </c>
      <c r="T107" s="6">
        <f>LAVORAZIONI!Z359</f>
        <v/>
      </c>
      <c r="U107" s="7">
        <f>LAVORAZIONI!AA359</f>
        <v/>
      </c>
      <c r="V107" s="6">
        <f>LAVORAZIONI!AB359</f>
        <v/>
      </c>
      <c r="W107" s="7">
        <f>LAVORAZIONI!AC359</f>
        <v/>
      </c>
      <c r="X107" s="6">
        <f>LAVORAZIONI!AD359</f>
        <v/>
      </c>
      <c r="Y107" s="7">
        <f>LAVORAZIONI!AE359</f>
        <v/>
      </c>
      <c r="Z107" s="6">
        <f>LAVORAZIONI!AF359</f>
        <v/>
      </c>
      <c r="AA107" s="7">
        <f>LAVORAZIONI!AG359</f>
        <v/>
      </c>
      <c r="AB107" s="6">
        <f>LAVORAZIONI!AH359</f>
        <v/>
      </c>
      <c r="AC107" s="7">
        <f>LAVORAZIONI!AI359</f>
        <v/>
      </c>
      <c r="AD107" s="13">
        <f>LAVORAZIONI!AJ359</f>
        <v/>
      </c>
    </row>
    <row r="108" ht="64" customHeight="1" s="46">
      <c r="B108" s="4">
        <f>LAVORAZIONI!G360</f>
        <v/>
      </c>
      <c r="C108" s="3">
        <f>LAVORAZIONI!A360</f>
        <v/>
      </c>
      <c r="D108" s="3">
        <f>LAVORAZIONI!K360</f>
        <v/>
      </c>
      <c r="E108" s="4">
        <f>LAVORAZIONI!H360</f>
        <v/>
      </c>
      <c r="F108" s="4">
        <f>LAVORAZIONI!M360</f>
        <v/>
      </c>
      <c r="G108" s="5">
        <f>LAVORAZIONI!N360</f>
        <v/>
      </c>
      <c r="H108" s="6">
        <f>LAVORAZIONI!O360</f>
        <v/>
      </c>
      <c r="I108" s="13">
        <f>LAVORAZIONI!P360</f>
        <v/>
      </c>
      <c r="J108" s="5">
        <f>IF(LAVORAZIONI!Q360="","",LAVORAZIONI!Q360)</f>
        <v/>
      </c>
      <c r="K108" s="6">
        <f>IF(LAVORAZIONI!R360="","",LAVORAZIONI!R360)</f>
        <v/>
      </c>
      <c r="L108" s="13">
        <f>IF(LAVORAZIONI!S360="","",LAVORAZIONI!S360)</f>
        <v/>
      </c>
      <c r="M108" s="13">
        <f>LAVORAZIONI!T360</f>
        <v/>
      </c>
      <c r="O108" s="7">
        <f>LAVORAZIONI!U360</f>
        <v/>
      </c>
      <c r="P108" s="45">
        <f>LAVORAZIONI!V360</f>
        <v/>
      </c>
      <c r="Q108" s="7">
        <f>LAVORAZIONI!W360</f>
        <v/>
      </c>
      <c r="R108" s="6">
        <f>LAVORAZIONI!X360</f>
        <v/>
      </c>
      <c r="S108" s="7">
        <f>LAVORAZIONI!Y360</f>
        <v/>
      </c>
      <c r="T108" s="6">
        <f>LAVORAZIONI!Z360</f>
        <v/>
      </c>
      <c r="U108" s="7">
        <f>LAVORAZIONI!AA360</f>
        <v/>
      </c>
      <c r="V108" s="6">
        <f>LAVORAZIONI!AB360</f>
        <v/>
      </c>
      <c r="W108" s="7">
        <f>LAVORAZIONI!AC360</f>
        <v/>
      </c>
      <c r="X108" s="6">
        <f>LAVORAZIONI!AD360</f>
        <v/>
      </c>
      <c r="Y108" s="7">
        <f>LAVORAZIONI!AE360</f>
        <v/>
      </c>
      <c r="Z108" s="6">
        <f>LAVORAZIONI!AF360</f>
        <v/>
      </c>
      <c r="AA108" s="7">
        <f>LAVORAZIONI!AG360</f>
        <v/>
      </c>
      <c r="AB108" s="6">
        <f>LAVORAZIONI!AH360</f>
        <v/>
      </c>
      <c r="AC108" s="7">
        <f>LAVORAZIONI!AI360</f>
        <v/>
      </c>
      <c r="AD108" s="13">
        <f>LAVORAZIONI!AJ360</f>
        <v/>
      </c>
    </row>
    <row r="109" ht="64" customHeight="1" s="46">
      <c r="B109" s="4">
        <f>LAVORAZIONI!G361</f>
        <v/>
      </c>
      <c r="C109" s="3">
        <f>LAVORAZIONI!A361</f>
        <v/>
      </c>
      <c r="D109" s="3">
        <f>LAVORAZIONI!K361</f>
        <v/>
      </c>
      <c r="E109" s="4">
        <f>LAVORAZIONI!H361</f>
        <v/>
      </c>
      <c r="F109" s="4">
        <f>LAVORAZIONI!M361</f>
        <v/>
      </c>
      <c r="G109" s="5">
        <f>LAVORAZIONI!N361</f>
        <v/>
      </c>
      <c r="H109" s="6">
        <f>LAVORAZIONI!O361</f>
        <v/>
      </c>
      <c r="I109" s="13">
        <f>LAVORAZIONI!P361</f>
        <v/>
      </c>
      <c r="J109" s="5">
        <f>IF(LAVORAZIONI!Q361="","",LAVORAZIONI!Q361)</f>
        <v/>
      </c>
      <c r="K109" s="6">
        <f>IF(LAVORAZIONI!R361="","",LAVORAZIONI!R361)</f>
        <v/>
      </c>
      <c r="L109" s="13">
        <f>IF(LAVORAZIONI!S361="","",LAVORAZIONI!S361)</f>
        <v/>
      </c>
      <c r="M109" s="13">
        <f>LAVORAZIONI!T361</f>
        <v/>
      </c>
      <c r="O109" s="7">
        <f>LAVORAZIONI!U361</f>
        <v/>
      </c>
      <c r="P109" s="45">
        <f>LAVORAZIONI!V361</f>
        <v/>
      </c>
      <c r="Q109" s="7">
        <f>LAVORAZIONI!W361</f>
        <v/>
      </c>
      <c r="R109" s="6">
        <f>LAVORAZIONI!X361</f>
        <v/>
      </c>
      <c r="S109" s="7">
        <f>LAVORAZIONI!Y361</f>
        <v/>
      </c>
      <c r="T109" s="6">
        <f>LAVORAZIONI!Z361</f>
        <v/>
      </c>
      <c r="U109" s="7">
        <f>LAVORAZIONI!AA361</f>
        <v/>
      </c>
      <c r="V109" s="6">
        <f>LAVORAZIONI!AB361</f>
        <v/>
      </c>
      <c r="W109" s="7">
        <f>LAVORAZIONI!AC361</f>
        <v/>
      </c>
      <c r="X109" s="6">
        <f>LAVORAZIONI!AD361</f>
        <v/>
      </c>
      <c r="Y109" s="7">
        <f>LAVORAZIONI!AE361</f>
        <v/>
      </c>
      <c r="Z109" s="6">
        <f>LAVORAZIONI!AF361</f>
        <v/>
      </c>
      <c r="AA109" s="7">
        <f>LAVORAZIONI!AG361</f>
        <v/>
      </c>
      <c r="AB109" s="6">
        <f>LAVORAZIONI!AH361</f>
        <v/>
      </c>
      <c r="AC109" s="7">
        <f>LAVORAZIONI!AI361</f>
        <v/>
      </c>
      <c r="AD109" s="13">
        <f>LAVORAZIONI!AJ361</f>
        <v/>
      </c>
    </row>
    <row r="110" ht="64" customHeight="1" s="46">
      <c r="B110" s="4">
        <f>LAVORAZIONI!G362</f>
        <v/>
      </c>
      <c r="C110" s="3">
        <f>LAVORAZIONI!A362</f>
        <v/>
      </c>
      <c r="D110" s="3">
        <f>LAVORAZIONI!K362</f>
        <v/>
      </c>
      <c r="E110" s="4">
        <f>LAVORAZIONI!H362</f>
        <v/>
      </c>
      <c r="F110" s="4">
        <f>LAVORAZIONI!M362</f>
        <v/>
      </c>
      <c r="G110" s="5">
        <f>LAVORAZIONI!N362</f>
        <v/>
      </c>
      <c r="H110" s="6">
        <f>LAVORAZIONI!O362</f>
        <v/>
      </c>
      <c r="I110" s="13">
        <f>LAVORAZIONI!P362</f>
        <v/>
      </c>
      <c r="J110" s="5">
        <f>IF(LAVORAZIONI!Q362="","",LAVORAZIONI!Q362)</f>
        <v/>
      </c>
      <c r="K110" s="6">
        <f>IF(LAVORAZIONI!R362="","",LAVORAZIONI!R362)</f>
        <v/>
      </c>
      <c r="L110" s="13">
        <f>IF(LAVORAZIONI!S362="","",LAVORAZIONI!S362)</f>
        <v/>
      </c>
      <c r="M110" s="13">
        <f>LAVORAZIONI!T362</f>
        <v/>
      </c>
      <c r="O110" s="7">
        <f>LAVORAZIONI!U362</f>
        <v/>
      </c>
      <c r="P110" s="45">
        <f>LAVORAZIONI!V362</f>
        <v/>
      </c>
      <c r="Q110" s="7">
        <f>LAVORAZIONI!W362</f>
        <v/>
      </c>
      <c r="R110" s="6">
        <f>LAVORAZIONI!X362</f>
        <v/>
      </c>
      <c r="S110" s="7">
        <f>LAVORAZIONI!Y362</f>
        <v/>
      </c>
      <c r="T110" s="6">
        <f>LAVORAZIONI!Z362</f>
        <v/>
      </c>
      <c r="U110" s="7">
        <f>LAVORAZIONI!AA362</f>
        <v/>
      </c>
      <c r="V110" s="6">
        <f>LAVORAZIONI!AB362</f>
        <v/>
      </c>
      <c r="W110" s="7">
        <f>LAVORAZIONI!AC362</f>
        <v/>
      </c>
      <c r="X110" s="6">
        <f>LAVORAZIONI!AD362</f>
        <v/>
      </c>
      <c r="Y110" s="7">
        <f>LAVORAZIONI!AE362</f>
        <v/>
      </c>
      <c r="Z110" s="6">
        <f>LAVORAZIONI!AF362</f>
        <v/>
      </c>
      <c r="AA110" s="7">
        <f>LAVORAZIONI!AG362</f>
        <v/>
      </c>
      <c r="AB110" s="6">
        <f>LAVORAZIONI!AH362</f>
        <v/>
      </c>
      <c r="AC110" s="7">
        <f>LAVORAZIONI!AI362</f>
        <v/>
      </c>
      <c r="AD110" s="13">
        <f>LAVORAZIONI!AJ362</f>
        <v/>
      </c>
    </row>
    <row r="111" ht="64" customHeight="1" s="46">
      <c r="B111" s="4">
        <f>LAVORAZIONI!G363</f>
        <v/>
      </c>
      <c r="C111" s="3">
        <f>LAVORAZIONI!A363</f>
        <v/>
      </c>
      <c r="D111" s="3">
        <f>LAVORAZIONI!K363</f>
        <v/>
      </c>
      <c r="E111" s="4">
        <f>LAVORAZIONI!H363</f>
        <v/>
      </c>
      <c r="F111" s="4">
        <f>LAVORAZIONI!M363</f>
        <v/>
      </c>
      <c r="G111" s="5">
        <f>LAVORAZIONI!N363</f>
        <v/>
      </c>
      <c r="H111" s="6">
        <f>LAVORAZIONI!O363</f>
        <v/>
      </c>
      <c r="I111" s="13">
        <f>LAVORAZIONI!P363</f>
        <v/>
      </c>
      <c r="J111" s="5">
        <f>IF(LAVORAZIONI!Q363="","",LAVORAZIONI!Q363)</f>
        <v/>
      </c>
      <c r="K111" s="6">
        <f>IF(LAVORAZIONI!R363="","",LAVORAZIONI!R363)</f>
        <v/>
      </c>
      <c r="L111" s="13">
        <f>IF(LAVORAZIONI!S363="","",LAVORAZIONI!S363)</f>
        <v/>
      </c>
      <c r="M111" s="13">
        <f>LAVORAZIONI!T363</f>
        <v/>
      </c>
      <c r="O111" s="7">
        <f>LAVORAZIONI!U363</f>
        <v/>
      </c>
      <c r="P111" s="45">
        <f>LAVORAZIONI!V363</f>
        <v/>
      </c>
      <c r="Q111" s="7">
        <f>LAVORAZIONI!W363</f>
        <v/>
      </c>
      <c r="R111" s="6">
        <f>LAVORAZIONI!X363</f>
        <v/>
      </c>
      <c r="S111" s="7">
        <f>LAVORAZIONI!Y363</f>
        <v/>
      </c>
      <c r="T111" s="6">
        <f>LAVORAZIONI!Z363</f>
        <v/>
      </c>
      <c r="U111" s="7">
        <f>LAVORAZIONI!AA363</f>
        <v/>
      </c>
      <c r="V111" s="6">
        <f>LAVORAZIONI!AB363</f>
        <v/>
      </c>
      <c r="W111" s="7">
        <f>LAVORAZIONI!AC363</f>
        <v/>
      </c>
      <c r="X111" s="6">
        <f>LAVORAZIONI!AD363</f>
        <v/>
      </c>
      <c r="Y111" s="7">
        <f>LAVORAZIONI!AE363</f>
        <v/>
      </c>
      <c r="Z111" s="6">
        <f>LAVORAZIONI!AF363</f>
        <v/>
      </c>
      <c r="AA111" s="7">
        <f>LAVORAZIONI!AG363</f>
        <v/>
      </c>
      <c r="AB111" s="6">
        <f>LAVORAZIONI!AH363</f>
        <v/>
      </c>
      <c r="AC111" s="7">
        <f>LAVORAZIONI!AI363</f>
        <v/>
      </c>
      <c r="AD111" s="13">
        <f>LAVORAZIONI!AJ363</f>
        <v/>
      </c>
    </row>
    <row r="112" ht="64" customHeight="1" s="46">
      <c r="B112" s="4">
        <f>LAVORAZIONI!G364</f>
        <v/>
      </c>
      <c r="C112" s="3">
        <f>LAVORAZIONI!A364</f>
        <v/>
      </c>
      <c r="D112" s="3">
        <f>LAVORAZIONI!K364</f>
        <v/>
      </c>
      <c r="E112" s="4">
        <f>LAVORAZIONI!H364</f>
        <v/>
      </c>
      <c r="F112" s="4">
        <f>LAVORAZIONI!M364</f>
        <v/>
      </c>
      <c r="G112" s="5">
        <f>LAVORAZIONI!N364</f>
        <v/>
      </c>
      <c r="H112" s="6">
        <f>LAVORAZIONI!O364</f>
        <v/>
      </c>
      <c r="I112" s="13">
        <f>LAVORAZIONI!P364</f>
        <v/>
      </c>
      <c r="J112" s="5">
        <f>IF(LAVORAZIONI!Q364="","",LAVORAZIONI!Q364)</f>
        <v/>
      </c>
      <c r="K112" s="6">
        <f>IF(LAVORAZIONI!R364="","",LAVORAZIONI!R364)</f>
        <v/>
      </c>
      <c r="L112" s="13">
        <f>IF(LAVORAZIONI!S364="","",LAVORAZIONI!S364)</f>
        <v/>
      </c>
      <c r="M112" s="13">
        <f>LAVORAZIONI!T364</f>
        <v/>
      </c>
      <c r="O112" s="7">
        <f>LAVORAZIONI!U364</f>
        <v/>
      </c>
      <c r="P112" s="45">
        <f>LAVORAZIONI!V364</f>
        <v/>
      </c>
      <c r="Q112" s="7">
        <f>LAVORAZIONI!W364</f>
        <v/>
      </c>
      <c r="R112" s="6">
        <f>LAVORAZIONI!X364</f>
        <v/>
      </c>
      <c r="S112" s="7">
        <f>LAVORAZIONI!Y364</f>
        <v/>
      </c>
      <c r="T112" s="6">
        <f>LAVORAZIONI!Z364</f>
        <v/>
      </c>
      <c r="U112" s="7">
        <f>LAVORAZIONI!AA364</f>
        <v/>
      </c>
      <c r="V112" s="6">
        <f>LAVORAZIONI!AB364</f>
        <v/>
      </c>
      <c r="W112" s="7">
        <f>LAVORAZIONI!AC364</f>
        <v/>
      </c>
      <c r="X112" s="6">
        <f>LAVORAZIONI!AD364</f>
        <v/>
      </c>
      <c r="Y112" s="7">
        <f>LAVORAZIONI!AE364</f>
        <v/>
      </c>
      <c r="Z112" s="6">
        <f>LAVORAZIONI!AF364</f>
        <v/>
      </c>
      <c r="AA112" s="7">
        <f>LAVORAZIONI!AG364</f>
        <v/>
      </c>
      <c r="AB112" s="6">
        <f>LAVORAZIONI!AH364</f>
        <v/>
      </c>
      <c r="AC112" s="7">
        <f>LAVORAZIONI!AI364</f>
        <v/>
      </c>
      <c r="AD112" s="13">
        <f>LAVORAZIONI!AJ364</f>
        <v/>
      </c>
    </row>
    <row r="113" ht="64" customHeight="1" s="46">
      <c r="B113" s="4">
        <f>LAVORAZIONI!G365</f>
        <v/>
      </c>
      <c r="C113" s="3">
        <f>LAVORAZIONI!A365</f>
        <v/>
      </c>
      <c r="D113" s="3">
        <f>LAVORAZIONI!K365</f>
        <v/>
      </c>
      <c r="E113" s="4">
        <f>LAVORAZIONI!H365</f>
        <v/>
      </c>
      <c r="F113" s="4">
        <f>LAVORAZIONI!M365</f>
        <v/>
      </c>
      <c r="G113" s="5">
        <f>LAVORAZIONI!N365</f>
        <v/>
      </c>
      <c r="H113" s="6">
        <f>LAVORAZIONI!O365</f>
        <v/>
      </c>
      <c r="I113" s="13">
        <f>LAVORAZIONI!P365</f>
        <v/>
      </c>
      <c r="J113" s="5">
        <f>IF(LAVORAZIONI!Q365="","",LAVORAZIONI!Q365)</f>
        <v/>
      </c>
      <c r="K113" s="6">
        <f>IF(LAVORAZIONI!R365="","",LAVORAZIONI!R365)</f>
        <v/>
      </c>
      <c r="L113" s="13">
        <f>IF(LAVORAZIONI!S365="","",LAVORAZIONI!S365)</f>
        <v/>
      </c>
      <c r="M113" s="13">
        <f>LAVORAZIONI!T365</f>
        <v/>
      </c>
      <c r="O113" s="7">
        <f>LAVORAZIONI!U365</f>
        <v/>
      </c>
      <c r="P113" s="45">
        <f>LAVORAZIONI!V365</f>
        <v/>
      </c>
      <c r="Q113" s="7">
        <f>LAVORAZIONI!W365</f>
        <v/>
      </c>
      <c r="R113" s="6">
        <f>LAVORAZIONI!X365</f>
        <v/>
      </c>
      <c r="S113" s="7">
        <f>LAVORAZIONI!Y365</f>
        <v/>
      </c>
      <c r="T113" s="6">
        <f>LAVORAZIONI!Z365</f>
        <v/>
      </c>
      <c r="U113" s="7">
        <f>LAVORAZIONI!AA365</f>
        <v/>
      </c>
      <c r="V113" s="6">
        <f>LAVORAZIONI!AB365</f>
        <v/>
      </c>
      <c r="W113" s="7">
        <f>LAVORAZIONI!AC365</f>
        <v/>
      </c>
      <c r="X113" s="6">
        <f>LAVORAZIONI!AD365</f>
        <v/>
      </c>
      <c r="Y113" s="7">
        <f>LAVORAZIONI!AE365</f>
        <v/>
      </c>
      <c r="Z113" s="6">
        <f>LAVORAZIONI!AF365</f>
        <v/>
      </c>
      <c r="AA113" s="7">
        <f>LAVORAZIONI!AG365</f>
        <v/>
      </c>
      <c r="AB113" s="6">
        <f>LAVORAZIONI!AH365</f>
        <v/>
      </c>
      <c r="AC113" s="7">
        <f>LAVORAZIONI!AI365</f>
        <v/>
      </c>
      <c r="AD113" s="13">
        <f>LAVORAZIONI!AJ365</f>
        <v/>
      </c>
    </row>
    <row r="114" ht="64" customHeight="1" s="46">
      <c r="B114" s="4">
        <f>LAVORAZIONI!G366</f>
        <v/>
      </c>
      <c r="C114" s="3">
        <f>LAVORAZIONI!A366</f>
        <v/>
      </c>
      <c r="D114" s="3">
        <f>LAVORAZIONI!K366</f>
        <v/>
      </c>
      <c r="E114" s="4">
        <f>LAVORAZIONI!H366</f>
        <v/>
      </c>
      <c r="F114" s="4">
        <f>LAVORAZIONI!M366</f>
        <v/>
      </c>
      <c r="G114" s="5">
        <f>LAVORAZIONI!N366</f>
        <v/>
      </c>
      <c r="H114" s="6">
        <f>LAVORAZIONI!O366</f>
        <v/>
      </c>
      <c r="I114" s="13">
        <f>LAVORAZIONI!P366</f>
        <v/>
      </c>
      <c r="J114" s="5">
        <f>IF(LAVORAZIONI!Q366="","",LAVORAZIONI!Q366)</f>
        <v/>
      </c>
      <c r="K114" s="6">
        <f>IF(LAVORAZIONI!R366="","",LAVORAZIONI!R366)</f>
        <v/>
      </c>
      <c r="L114" s="13">
        <f>IF(LAVORAZIONI!S366="","",LAVORAZIONI!S366)</f>
        <v/>
      </c>
      <c r="M114" s="13">
        <f>LAVORAZIONI!T366</f>
        <v/>
      </c>
      <c r="O114" s="7">
        <f>LAVORAZIONI!U366</f>
        <v/>
      </c>
      <c r="P114" s="45">
        <f>LAVORAZIONI!V366</f>
        <v/>
      </c>
      <c r="Q114" s="7">
        <f>LAVORAZIONI!W366</f>
        <v/>
      </c>
      <c r="R114" s="6">
        <f>LAVORAZIONI!X366</f>
        <v/>
      </c>
      <c r="S114" s="7">
        <f>LAVORAZIONI!Y366</f>
        <v/>
      </c>
      <c r="T114" s="6">
        <f>LAVORAZIONI!Z366</f>
        <v/>
      </c>
      <c r="U114" s="7">
        <f>LAVORAZIONI!AA366</f>
        <v/>
      </c>
      <c r="V114" s="6">
        <f>LAVORAZIONI!AB366</f>
        <v/>
      </c>
      <c r="W114" s="7">
        <f>LAVORAZIONI!AC366</f>
        <v/>
      </c>
      <c r="X114" s="6">
        <f>LAVORAZIONI!AD366</f>
        <v/>
      </c>
      <c r="Y114" s="7">
        <f>LAVORAZIONI!AE366</f>
        <v/>
      </c>
      <c r="Z114" s="6">
        <f>LAVORAZIONI!AF366</f>
        <v/>
      </c>
      <c r="AA114" s="7">
        <f>LAVORAZIONI!AG366</f>
        <v/>
      </c>
      <c r="AB114" s="6">
        <f>LAVORAZIONI!AH366</f>
        <v/>
      </c>
      <c r="AC114" s="7">
        <f>LAVORAZIONI!AI366</f>
        <v/>
      </c>
      <c r="AD114" s="13">
        <f>LAVORAZIONI!AJ366</f>
        <v/>
      </c>
    </row>
    <row r="115" ht="64" customHeight="1" s="46">
      <c r="B115" s="4">
        <f>LAVORAZIONI!G367</f>
        <v/>
      </c>
      <c r="C115" s="3">
        <f>LAVORAZIONI!A367</f>
        <v/>
      </c>
      <c r="D115" s="3">
        <f>LAVORAZIONI!K367</f>
        <v/>
      </c>
      <c r="E115" s="4">
        <f>LAVORAZIONI!H367</f>
        <v/>
      </c>
      <c r="F115" s="4">
        <f>LAVORAZIONI!M367</f>
        <v/>
      </c>
      <c r="G115" s="5">
        <f>LAVORAZIONI!N367</f>
        <v/>
      </c>
      <c r="H115" s="6">
        <f>LAVORAZIONI!O367</f>
        <v/>
      </c>
      <c r="I115" s="13">
        <f>LAVORAZIONI!P367</f>
        <v/>
      </c>
      <c r="J115" s="5">
        <f>IF(LAVORAZIONI!Q367="","",LAVORAZIONI!Q367)</f>
        <v/>
      </c>
      <c r="K115" s="6">
        <f>IF(LAVORAZIONI!R367="","",LAVORAZIONI!R367)</f>
        <v/>
      </c>
      <c r="L115" s="13">
        <f>IF(LAVORAZIONI!S367="","",LAVORAZIONI!S367)</f>
        <v/>
      </c>
      <c r="M115" s="13">
        <f>LAVORAZIONI!T367</f>
        <v/>
      </c>
      <c r="O115" s="7">
        <f>LAVORAZIONI!U367</f>
        <v/>
      </c>
      <c r="P115" s="45">
        <f>LAVORAZIONI!V367</f>
        <v/>
      </c>
      <c r="Q115" s="7">
        <f>LAVORAZIONI!W367</f>
        <v/>
      </c>
      <c r="R115" s="6">
        <f>LAVORAZIONI!X367</f>
        <v/>
      </c>
      <c r="S115" s="7">
        <f>LAVORAZIONI!Y367</f>
        <v/>
      </c>
      <c r="T115" s="6">
        <f>LAVORAZIONI!Z367</f>
        <v/>
      </c>
      <c r="U115" s="7">
        <f>LAVORAZIONI!AA367</f>
        <v/>
      </c>
      <c r="V115" s="6">
        <f>LAVORAZIONI!AB367</f>
        <v/>
      </c>
      <c r="W115" s="7">
        <f>LAVORAZIONI!AC367</f>
        <v/>
      </c>
      <c r="X115" s="6">
        <f>LAVORAZIONI!AD367</f>
        <v/>
      </c>
      <c r="Y115" s="7">
        <f>LAVORAZIONI!AE367</f>
        <v/>
      </c>
      <c r="Z115" s="6">
        <f>LAVORAZIONI!AF367</f>
        <v/>
      </c>
      <c r="AA115" s="7">
        <f>LAVORAZIONI!AG367</f>
        <v/>
      </c>
      <c r="AB115" s="6">
        <f>LAVORAZIONI!AH367</f>
        <v/>
      </c>
      <c r="AC115" s="7">
        <f>LAVORAZIONI!AI367</f>
        <v/>
      </c>
      <c r="AD115" s="13">
        <f>LAVORAZIONI!AJ367</f>
        <v/>
      </c>
    </row>
    <row r="116" ht="64" customHeight="1" s="46">
      <c r="B116" s="4">
        <f>LAVORAZIONI!G368</f>
        <v/>
      </c>
      <c r="C116" s="3">
        <f>LAVORAZIONI!A368</f>
        <v/>
      </c>
      <c r="D116" s="3">
        <f>LAVORAZIONI!K368</f>
        <v/>
      </c>
      <c r="E116" s="4">
        <f>LAVORAZIONI!H368</f>
        <v/>
      </c>
      <c r="F116" s="4">
        <f>LAVORAZIONI!M368</f>
        <v/>
      </c>
      <c r="G116" s="5">
        <f>LAVORAZIONI!N368</f>
        <v/>
      </c>
      <c r="H116" s="6">
        <f>LAVORAZIONI!O368</f>
        <v/>
      </c>
      <c r="I116" s="13">
        <f>LAVORAZIONI!P368</f>
        <v/>
      </c>
      <c r="J116" s="5">
        <f>IF(LAVORAZIONI!Q368="","",LAVORAZIONI!Q368)</f>
        <v/>
      </c>
      <c r="K116" s="6">
        <f>IF(LAVORAZIONI!R368="","",LAVORAZIONI!R368)</f>
        <v/>
      </c>
      <c r="L116" s="13">
        <f>IF(LAVORAZIONI!S368="","",LAVORAZIONI!S368)</f>
        <v/>
      </c>
      <c r="M116" s="13">
        <f>LAVORAZIONI!T368</f>
        <v/>
      </c>
      <c r="O116" s="7">
        <f>LAVORAZIONI!U368</f>
        <v/>
      </c>
      <c r="P116" s="45">
        <f>LAVORAZIONI!V368</f>
        <v/>
      </c>
      <c r="Q116" s="7">
        <f>LAVORAZIONI!W368</f>
        <v/>
      </c>
      <c r="R116" s="6">
        <f>LAVORAZIONI!X368</f>
        <v/>
      </c>
      <c r="S116" s="7">
        <f>LAVORAZIONI!Y368</f>
        <v/>
      </c>
      <c r="T116" s="6">
        <f>LAVORAZIONI!Z368</f>
        <v/>
      </c>
      <c r="U116" s="7">
        <f>LAVORAZIONI!AA368</f>
        <v/>
      </c>
      <c r="V116" s="6">
        <f>LAVORAZIONI!AB368</f>
        <v/>
      </c>
      <c r="W116" s="7">
        <f>LAVORAZIONI!AC368</f>
        <v/>
      </c>
      <c r="X116" s="6">
        <f>LAVORAZIONI!AD368</f>
        <v/>
      </c>
      <c r="Y116" s="7">
        <f>LAVORAZIONI!AE368</f>
        <v/>
      </c>
      <c r="Z116" s="6">
        <f>LAVORAZIONI!AF368</f>
        <v/>
      </c>
      <c r="AA116" s="7">
        <f>LAVORAZIONI!AG368</f>
        <v/>
      </c>
      <c r="AB116" s="6">
        <f>LAVORAZIONI!AH368</f>
        <v/>
      </c>
      <c r="AC116" s="7">
        <f>LAVORAZIONI!AI368</f>
        <v/>
      </c>
      <c r="AD116" s="13">
        <f>LAVORAZIONI!AJ368</f>
        <v/>
      </c>
    </row>
    <row r="117" ht="64" customHeight="1" s="46">
      <c r="B117" s="4">
        <f>LAVORAZIONI!G369</f>
        <v/>
      </c>
      <c r="C117" s="3">
        <f>LAVORAZIONI!A369</f>
        <v/>
      </c>
      <c r="D117" s="3">
        <f>LAVORAZIONI!K369</f>
        <v/>
      </c>
      <c r="E117" s="4">
        <f>LAVORAZIONI!H369</f>
        <v/>
      </c>
      <c r="F117" s="4">
        <f>LAVORAZIONI!M369</f>
        <v/>
      </c>
      <c r="G117" s="5">
        <f>LAVORAZIONI!N369</f>
        <v/>
      </c>
      <c r="H117" s="6">
        <f>LAVORAZIONI!O369</f>
        <v/>
      </c>
      <c r="I117" s="13">
        <f>LAVORAZIONI!P369</f>
        <v/>
      </c>
      <c r="J117" s="5">
        <f>IF(LAVORAZIONI!Q369="","",LAVORAZIONI!Q369)</f>
        <v/>
      </c>
      <c r="K117" s="6">
        <f>IF(LAVORAZIONI!R369="","",LAVORAZIONI!R369)</f>
        <v/>
      </c>
      <c r="L117" s="13">
        <f>IF(LAVORAZIONI!S369="","",LAVORAZIONI!S369)</f>
        <v/>
      </c>
      <c r="M117" s="13">
        <f>LAVORAZIONI!T369</f>
        <v/>
      </c>
      <c r="O117" s="7">
        <f>LAVORAZIONI!U369</f>
        <v/>
      </c>
      <c r="P117" s="45">
        <f>LAVORAZIONI!V369</f>
        <v/>
      </c>
      <c r="Q117" s="7">
        <f>LAVORAZIONI!W369</f>
        <v/>
      </c>
      <c r="R117" s="6">
        <f>LAVORAZIONI!X369</f>
        <v/>
      </c>
      <c r="S117" s="7">
        <f>LAVORAZIONI!Y369</f>
        <v/>
      </c>
      <c r="T117" s="6">
        <f>LAVORAZIONI!Z369</f>
        <v/>
      </c>
      <c r="U117" s="7">
        <f>LAVORAZIONI!AA369</f>
        <v/>
      </c>
      <c r="V117" s="6">
        <f>LAVORAZIONI!AB369</f>
        <v/>
      </c>
      <c r="W117" s="7">
        <f>LAVORAZIONI!AC369</f>
        <v/>
      </c>
      <c r="X117" s="6">
        <f>LAVORAZIONI!AD369</f>
        <v/>
      </c>
      <c r="Y117" s="7">
        <f>LAVORAZIONI!AE369</f>
        <v/>
      </c>
      <c r="Z117" s="6">
        <f>LAVORAZIONI!AF369</f>
        <v/>
      </c>
      <c r="AA117" s="7">
        <f>LAVORAZIONI!AG369</f>
        <v/>
      </c>
      <c r="AB117" s="6">
        <f>LAVORAZIONI!AH369</f>
        <v/>
      </c>
      <c r="AC117" s="7">
        <f>LAVORAZIONI!AI369</f>
        <v/>
      </c>
      <c r="AD117" s="13">
        <f>LAVORAZIONI!AJ369</f>
        <v/>
      </c>
    </row>
    <row r="118" ht="64" customHeight="1" s="46">
      <c r="B118" s="4">
        <f>LAVORAZIONI!G370</f>
        <v/>
      </c>
      <c r="C118" s="3">
        <f>LAVORAZIONI!A370</f>
        <v/>
      </c>
      <c r="D118" s="3">
        <f>LAVORAZIONI!K370</f>
        <v/>
      </c>
      <c r="E118" s="4">
        <f>LAVORAZIONI!H370</f>
        <v/>
      </c>
      <c r="F118" s="4">
        <f>LAVORAZIONI!M370</f>
        <v/>
      </c>
      <c r="G118" s="5">
        <f>LAVORAZIONI!N370</f>
        <v/>
      </c>
      <c r="H118" s="6">
        <f>LAVORAZIONI!O370</f>
        <v/>
      </c>
      <c r="I118" s="13">
        <f>LAVORAZIONI!P370</f>
        <v/>
      </c>
      <c r="J118" s="5">
        <f>IF(LAVORAZIONI!Q370="","",LAVORAZIONI!Q370)</f>
        <v/>
      </c>
      <c r="K118" s="6">
        <f>IF(LAVORAZIONI!R370="","",LAVORAZIONI!R370)</f>
        <v/>
      </c>
      <c r="L118" s="13">
        <f>IF(LAVORAZIONI!S370="","",LAVORAZIONI!S370)</f>
        <v/>
      </c>
      <c r="M118" s="13">
        <f>LAVORAZIONI!T370</f>
        <v/>
      </c>
      <c r="O118" s="7">
        <f>LAVORAZIONI!U370</f>
        <v/>
      </c>
      <c r="P118" s="45">
        <f>LAVORAZIONI!V370</f>
        <v/>
      </c>
      <c r="Q118" s="7">
        <f>LAVORAZIONI!W370</f>
        <v/>
      </c>
      <c r="R118" s="6">
        <f>LAVORAZIONI!X370</f>
        <v/>
      </c>
      <c r="S118" s="7">
        <f>LAVORAZIONI!Y370</f>
        <v/>
      </c>
      <c r="T118" s="6">
        <f>LAVORAZIONI!Z370</f>
        <v/>
      </c>
      <c r="U118" s="7">
        <f>LAVORAZIONI!AA370</f>
        <v/>
      </c>
      <c r="V118" s="6">
        <f>LAVORAZIONI!AB370</f>
        <v/>
      </c>
      <c r="W118" s="7">
        <f>LAVORAZIONI!AC370</f>
        <v/>
      </c>
      <c r="X118" s="6">
        <f>LAVORAZIONI!AD370</f>
        <v/>
      </c>
      <c r="Y118" s="7">
        <f>LAVORAZIONI!AE370</f>
        <v/>
      </c>
      <c r="Z118" s="6">
        <f>LAVORAZIONI!AF370</f>
        <v/>
      </c>
      <c r="AA118" s="7">
        <f>LAVORAZIONI!AG370</f>
        <v/>
      </c>
      <c r="AB118" s="6">
        <f>LAVORAZIONI!AH370</f>
        <v/>
      </c>
      <c r="AC118" s="7">
        <f>LAVORAZIONI!AI370</f>
        <v/>
      </c>
      <c r="AD118" s="13">
        <f>LAVORAZIONI!AJ370</f>
        <v/>
      </c>
    </row>
    <row r="119" ht="64" customHeight="1" s="46">
      <c r="B119" s="4">
        <f>LAVORAZIONI!G371</f>
        <v/>
      </c>
      <c r="C119" s="3">
        <f>LAVORAZIONI!A371</f>
        <v/>
      </c>
      <c r="D119" s="3">
        <f>LAVORAZIONI!K371</f>
        <v/>
      </c>
      <c r="E119" s="4">
        <f>LAVORAZIONI!H371</f>
        <v/>
      </c>
      <c r="F119" s="4">
        <f>LAVORAZIONI!M371</f>
        <v/>
      </c>
      <c r="G119" s="5">
        <f>LAVORAZIONI!N371</f>
        <v/>
      </c>
      <c r="H119" s="6">
        <f>LAVORAZIONI!O371</f>
        <v/>
      </c>
      <c r="I119" s="13">
        <f>LAVORAZIONI!P371</f>
        <v/>
      </c>
      <c r="J119" s="5">
        <f>IF(LAVORAZIONI!Q371="","",LAVORAZIONI!Q371)</f>
        <v/>
      </c>
      <c r="K119" s="6">
        <f>IF(LAVORAZIONI!R371="","",LAVORAZIONI!R371)</f>
        <v/>
      </c>
      <c r="L119" s="13">
        <f>IF(LAVORAZIONI!S371="","",LAVORAZIONI!S371)</f>
        <v/>
      </c>
      <c r="M119" s="13">
        <f>LAVORAZIONI!T371</f>
        <v/>
      </c>
      <c r="O119" s="7">
        <f>LAVORAZIONI!U371</f>
        <v/>
      </c>
      <c r="P119" s="45">
        <f>LAVORAZIONI!V371</f>
        <v/>
      </c>
      <c r="Q119" s="7">
        <f>LAVORAZIONI!W371</f>
        <v/>
      </c>
      <c r="R119" s="6">
        <f>LAVORAZIONI!X371</f>
        <v/>
      </c>
      <c r="S119" s="7">
        <f>LAVORAZIONI!Y371</f>
        <v/>
      </c>
      <c r="T119" s="6">
        <f>LAVORAZIONI!Z371</f>
        <v/>
      </c>
      <c r="U119" s="7">
        <f>LAVORAZIONI!AA371</f>
        <v/>
      </c>
      <c r="V119" s="6">
        <f>LAVORAZIONI!AB371</f>
        <v/>
      </c>
      <c r="W119" s="7">
        <f>LAVORAZIONI!AC371</f>
        <v/>
      </c>
      <c r="X119" s="6">
        <f>LAVORAZIONI!AD371</f>
        <v/>
      </c>
      <c r="Y119" s="7">
        <f>LAVORAZIONI!AE371</f>
        <v/>
      </c>
      <c r="Z119" s="6">
        <f>LAVORAZIONI!AF371</f>
        <v/>
      </c>
      <c r="AA119" s="7">
        <f>LAVORAZIONI!AG371</f>
        <v/>
      </c>
      <c r="AB119" s="6">
        <f>LAVORAZIONI!AH371</f>
        <v/>
      </c>
      <c r="AC119" s="7">
        <f>LAVORAZIONI!AI371</f>
        <v/>
      </c>
      <c r="AD119" s="13">
        <f>LAVORAZIONI!AJ371</f>
        <v/>
      </c>
    </row>
    <row r="120" ht="64" customHeight="1" s="46">
      <c r="B120" s="4">
        <f>LAVORAZIONI!G372</f>
        <v/>
      </c>
      <c r="C120" s="3">
        <f>LAVORAZIONI!A372</f>
        <v/>
      </c>
      <c r="D120" s="3">
        <f>LAVORAZIONI!K372</f>
        <v/>
      </c>
      <c r="E120" s="4">
        <f>LAVORAZIONI!H372</f>
        <v/>
      </c>
      <c r="F120" s="4">
        <f>LAVORAZIONI!M372</f>
        <v/>
      </c>
      <c r="G120" s="5">
        <f>LAVORAZIONI!N372</f>
        <v/>
      </c>
      <c r="H120" s="6">
        <f>LAVORAZIONI!O372</f>
        <v/>
      </c>
      <c r="I120" s="13">
        <f>LAVORAZIONI!P372</f>
        <v/>
      </c>
      <c r="J120" s="5">
        <f>IF(LAVORAZIONI!Q372="","",LAVORAZIONI!Q372)</f>
        <v/>
      </c>
      <c r="K120" s="6">
        <f>IF(LAVORAZIONI!R372="","",LAVORAZIONI!R372)</f>
        <v/>
      </c>
      <c r="L120" s="13">
        <f>IF(LAVORAZIONI!S372="","",LAVORAZIONI!S372)</f>
        <v/>
      </c>
      <c r="M120" s="13">
        <f>LAVORAZIONI!T372</f>
        <v/>
      </c>
      <c r="O120" s="7">
        <f>LAVORAZIONI!U372</f>
        <v/>
      </c>
      <c r="P120" s="45">
        <f>LAVORAZIONI!V372</f>
        <v/>
      </c>
      <c r="Q120" s="7">
        <f>LAVORAZIONI!W372</f>
        <v/>
      </c>
      <c r="R120" s="6">
        <f>LAVORAZIONI!X372</f>
        <v/>
      </c>
      <c r="S120" s="7">
        <f>LAVORAZIONI!Y372</f>
        <v/>
      </c>
      <c r="T120" s="6">
        <f>LAVORAZIONI!Z372</f>
        <v/>
      </c>
      <c r="U120" s="7">
        <f>LAVORAZIONI!AA372</f>
        <v/>
      </c>
      <c r="V120" s="6">
        <f>LAVORAZIONI!AB372</f>
        <v/>
      </c>
      <c r="W120" s="7">
        <f>LAVORAZIONI!AC372</f>
        <v/>
      </c>
      <c r="X120" s="6">
        <f>LAVORAZIONI!AD372</f>
        <v/>
      </c>
      <c r="Y120" s="7">
        <f>LAVORAZIONI!AE372</f>
        <v/>
      </c>
      <c r="Z120" s="6">
        <f>LAVORAZIONI!AF372</f>
        <v/>
      </c>
      <c r="AA120" s="7">
        <f>LAVORAZIONI!AG372</f>
        <v/>
      </c>
      <c r="AB120" s="6">
        <f>LAVORAZIONI!AH372</f>
        <v/>
      </c>
      <c r="AC120" s="7">
        <f>LAVORAZIONI!AI372</f>
        <v/>
      </c>
      <c r="AD120" s="13">
        <f>LAVORAZIONI!AJ372</f>
        <v/>
      </c>
    </row>
    <row r="121" ht="64" customHeight="1" s="46">
      <c r="B121" s="4">
        <f>LAVORAZIONI!G373</f>
        <v/>
      </c>
      <c r="C121" s="3">
        <f>LAVORAZIONI!A373</f>
        <v/>
      </c>
      <c r="D121" s="3">
        <f>LAVORAZIONI!K373</f>
        <v/>
      </c>
      <c r="E121" s="4">
        <f>LAVORAZIONI!H373</f>
        <v/>
      </c>
      <c r="F121" s="4">
        <f>LAVORAZIONI!M373</f>
        <v/>
      </c>
      <c r="G121" s="5">
        <f>LAVORAZIONI!N373</f>
        <v/>
      </c>
      <c r="H121" s="6">
        <f>LAVORAZIONI!O373</f>
        <v/>
      </c>
      <c r="I121" s="13">
        <f>LAVORAZIONI!P373</f>
        <v/>
      </c>
      <c r="J121" s="5">
        <f>IF(LAVORAZIONI!Q373="","",LAVORAZIONI!Q373)</f>
        <v/>
      </c>
      <c r="K121" s="6">
        <f>IF(LAVORAZIONI!R373="","",LAVORAZIONI!R373)</f>
        <v/>
      </c>
      <c r="L121" s="13">
        <f>IF(LAVORAZIONI!S373="","",LAVORAZIONI!S373)</f>
        <v/>
      </c>
      <c r="M121" s="13">
        <f>LAVORAZIONI!T373</f>
        <v/>
      </c>
      <c r="O121" s="7">
        <f>LAVORAZIONI!U373</f>
        <v/>
      </c>
      <c r="P121" s="45">
        <f>LAVORAZIONI!V373</f>
        <v/>
      </c>
      <c r="Q121" s="7">
        <f>LAVORAZIONI!W373</f>
        <v/>
      </c>
      <c r="R121" s="6">
        <f>LAVORAZIONI!X373</f>
        <v/>
      </c>
      <c r="S121" s="7">
        <f>LAVORAZIONI!Y373</f>
        <v/>
      </c>
      <c r="T121" s="6">
        <f>LAVORAZIONI!Z373</f>
        <v/>
      </c>
      <c r="U121" s="7">
        <f>LAVORAZIONI!AA373</f>
        <v/>
      </c>
      <c r="V121" s="6">
        <f>LAVORAZIONI!AB373</f>
        <v/>
      </c>
      <c r="W121" s="7">
        <f>LAVORAZIONI!AC373</f>
        <v/>
      </c>
      <c r="X121" s="6">
        <f>LAVORAZIONI!AD373</f>
        <v/>
      </c>
      <c r="Y121" s="7">
        <f>LAVORAZIONI!AE373</f>
        <v/>
      </c>
      <c r="Z121" s="6">
        <f>LAVORAZIONI!AF373</f>
        <v/>
      </c>
      <c r="AA121" s="7">
        <f>LAVORAZIONI!AG373</f>
        <v/>
      </c>
      <c r="AB121" s="6">
        <f>LAVORAZIONI!AH373</f>
        <v/>
      </c>
      <c r="AC121" s="7">
        <f>LAVORAZIONI!AI373</f>
        <v/>
      </c>
      <c r="AD121" s="13">
        <f>LAVORAZIONI!AJ373</f>
        <v/>
      </c>
    </row>
    <row r="122" ht="64" customHeight="1" s="46">
      <c r="B122" s="4">
        <f>LAVORAZIONI!G374</f>
        <v/>
      </c>
      <c r="C122" s="3">
        <f>LAVORAZIONI!A374</f>
        <v/>
      </c>
      <c r="D122" s="3">
        <f>LAVORAZIONI!K374</f>
        <v/>
      </c>
      <c r="E122" s="4">
        <f>LAVORAZIONI!H374</f>
        <v/>
      </c>
      <c r="F122" s="4">
        <f>LAVORAZIONI!M374</f>
        <v/>
      </c>
      <c r="G122" s="5">
        <f>LAVORAZIONI!N374</f>
        <v/>
      </c>
      <c r="H122" s="6">
        <f>LAVORAZIONI!O374</f>
        <v/>
      </c>
      <c r="I122" s="13">
        <f>LAVORAZIONI!P374</f>
        <v/>
      </c>
      <c r="J122" s="5">
        <f>IF(LAVORAZIONI!Q374="","",LAVORAZIONI!Q374)</f>
        <v/>
      </c>
      <c r="K122" s="6">
        <f>IF(LAVORAZIONI!R374="","",LAVORAZIONI!R374)</f>
        <v/>
      </c>
      <c r="L122" s="13">
        <f>IF(LAVORAZIONI!S374="","",LAVORAZIONI!S374)</f>
        <v/>
      </c>
      <c r="M122" s="13">
        <f>LAVORAZIONI!T374</f>
        <v/>
      </c>
      <c r="O122" s="7">
        <f>LAVORAZIONI!U374</f>
        <v/>
      </c>
      <c r="P122" s="45">
        <f>LAVORAZIONI!V374</f>
        <v/>
      </c>
      <c r="Q122" s="7">
        <f>LAVORAZIONI!W374</f>
        <v/>
      </c>
      <c r="R122" s="6">
        <f>LAVORAZIONI!X374</f>
        <v/>
      </c>
      <c r="S122" s="7">
        <f>LAVORAZIONI!Y374</f>
        <v/>
      </c>
      <c r="T122" s="6">
        <f>LAVORAZIONI!Z374</f>
        <v/>
      </c>
      <c r="U122" s="7">
        <f>LAVORAZIONI!AA374</f>
        <v/>
      </c>
      <c r="V122" s="6">
        <f>LAVORAZIONI!AB374</f>
        <v/>
      </c>
      <c r="W122" s="7">
        <f>LAVORAZIONI!AC374</f>
        <v/>
      </c>
      <c r="X122" s="6">
        <f>LAVORAZIONI!AD374</f>
        <v/>
      </c>
      <c r="Y122" s="7">
        <f>LAVORAZIONI!AE374</f>
        <v/>
      </c>
      <c r="Z122" s="6">
        <f>LAVORAZIONI!AF374</f>
        <v/>
      </c>
      <c r="AA122" s="7">
        <f>LAVORAZIONI!AG374</f>
        <v/>
      </c>
      <c r="AB122" s="6">
        <f>LAVORAZIONI!AH374</f>
        <v/>
      </c>
      <c r="AC122" s="7">
        <f>LAVORAZIONI!AI374</f>
        <v/>
      </c>
      <c r="AD122" s="13">
        <f>LAVORAZIONI!AJ374</f>
        <v/>
      </c>
    </row>
    <row r="123" ht="64" customHeight="1" s="46">
      <c r="B123" s="4">
        <f>LAVORAZIONI!G375</f>
        <v/>
      </c>
      <c r="C123" s="3">
        <f>LAVORAZIONI!A375</f>
        <v/>
      </c>
      <c r="D123" s="3">
        <f>LAVORAZIONI!K375</f>
        <v/>
      </c>
      <c r="E123" s="4">
        <f>LAVORAZIONI!H375</f>
        <v/>
      </c>
      <c r="F123" s="4">
        <f>LAVORAZIONI!M375</f>
        <v/>
      </c>
      <c r="G123" s="5">
        <f>LAVORAZIONI!N375</f>
        <v/>
      </c>
      <c r="H123" s="6">
        <f>LAVORAZIONI!O375</f>
        <v/>
      </c>
      <c r="I123" s="13">
        <f>LAVORAZIONI!P375</f>
        <v/>
      </c>
      <c r="J123" s="5">
        <f>IF(LAVORAZIONI!Q375="","",LAVORAZIONI!Q375)</f>
        <v/>
      </c>
      <c r="K123" s="6">
        <f>IF(LAVORAZIONI!R375="","",LAVORAZIONI!R375)</f>
        <v/>
      </c>
      <c r="L123" s="13">
        <f>IF(LAVORAZIONI!S375="","",LAVORAZIONI!S375)</f>
        <v/>
      </c>
      <c r="M123" s="13">
        <f>LAVORAZIONI!T375</f>
        <v/>
      </c>
      <c r="O123" s="7">
        <f>LAVORAZIONI!U375</f>
        <v/>
      </c>
      <c r="P123" s="45">
        <f>LAVORAZIONI!V375</f>
        <v/>
      </c>
      <c r="Q123" s="7">
        <f>LAVORAZIONI!W375</f>
        <v/>
      </c>
      <c r="R123" s="6">
        <f>LAVORAZIONI!X375</f>
        <v/>
      </c>
      <c r="S123" s="7">
        <f>LAVORAZIONI!Y375</f>
        <v/>
      </c>
      <c r="T123" s="6">
        <f>LAVORAZIONI!Z375</f>
        <v/>
      </c>
      <c r="U123" s="7">
        <f>LAVORAZIONI!AA375</f>
        <v/>
      </c>
      <c r="V123" s="6">
        <f>LAVORAZIONI!AB375</f>
        <v/>
      </c>
      <c r="W123" s="7">
        <f>LAVORAZIONI!AC375</f>
        <v/>
      </c>
      <c r="X123" s="6">
        <f>LAVORAZIONI!AD375</f>
        <v/>
      </c>
      <c r="Y123" s="7">
        <f>LAVORAZIONI!AE375</f>
        <v/>
      </c>
      <c r="Z123" s="6">
        <f>LAVORAZIONI!AF375</f>
        <v/>
      </c>
      <c r="AA123" s="7">
        <f>LAVORAZIONI!AG375</f>
        <v/>
      </c>
      <c r="AB123" s="6">
        <f>LAVORAZIONI!AH375</f>
        <v/>
      </c>
      <c r="AC123" s="7">
        <f>LAVORAZIONI!AI375</f>
        <v/>
      </c>
      <c r="AD123" s="13">
        <f>LAVORAZIONI!AJ375</f>
        <v/>
      </c>
    </row>
    <row r="124" ht="64" customHeight="1" s="46">
      <c r="B124" s="4">
        <f>LAVORAZIONI!G376</f>
        <v/>
      </c>
      <c r="C124" s="3">
        <f>LAVORAZIONI!A376</f>
        <v/>
      </c>
      <c r="D124" s="3">
        <f>LAVORAZIONI!K376</f>
        <v/>
      </c>
      <c r="E124" s="4">
        <f>LAVORAZIONI!H376</f>
        <v/>
      </c>
      <c r="F124" s="4">
        <f>LAVORAZIONI!M376</f>
        <v/>
      </c>
      <c r="G124" s="5">
        <f>LAVORAZIONI!N376</f>
        <v/>
      </c>
      <c r="H124" s="6">
        <f>LAVORAZIONI!O376</f>
        <v/>
      </c>
      <c r="I124" s="13">
        <f>LAVORAZIONI!P376</f>
        <v/>
      </c>
      <c r="J124" s="5">
        <f>IF(LAVORAZIONI!Q376="","",LAVORAZIONI!Q376)</f>
        <v/>
      </c>
      <c r="K124" s="6">
        <f>IF(LAVORAZIONI!R376="","",LAVORAZIONI!R376)</f>
        <v/>
      </c>
      <c r="L124" s="13">
        <f>IF(LAVORAZIONI!S376="","",LAVORAZIONI!S376)</f>
        <v/>
      </c>
      <c r="M124" s="13">
        <f>LAVORAZIONI!T376</f>
        <v/>
      </c>
      <c r="O124" s="7">
        <f>LAVORAZIONI!U376</f>
        <v/>
      </c>
      <c r="P124" s="45">
        <f>LAVORAZIONI!V376</f>
        <v/>
      </c>
      <c r="Q124" s="7">
        <f>LAVORAZIONI!W376</f>
        <v/>
      </c>
      <c r="R124" s="6">
        <f>LAVORAZIONI!X376</f>
        <v/>
      </c>
      <c r="S124" s="7">
        <f>LAVORAZIONI!Y376</f>
        <v/>
      </c>
      <c r="T124" s="6">
        <f>LAVORAZIONI!Z376</f>
        <v/>
      </c>
      <c r="U124" s="7">
        <f>LAVORAZIONI!AA376</f>
        <v/>
      </c>
      <c r="V124" s="6">
        <f>LAVORAZIONI!AB376</f>
        <v/>
      </c>
      <c r="W124" s="7">
        <f>LAVORAZIONI!AC376</f>
        <v/>
      </c>
      <c r="X124" s="6">
        <f>LAVORAZIONI!AD376</f>
        <v/>
      </c>
      <c r="Y124" s="7">
        <f>LAVORAZIONI!AE376</f>
        <v/>
      </c>
      <c r="Z124" s="6">
        <f>LAVORAZIONI!AF376</f>
        <v/>
      </c>
      <c r="AA124" s="7">
        <f>LAVORAZIONI!AG376</f>
        <v/>
      </c>
      <c r="AB124" s="6">
        <f>LAVORAZIONI!AH376</f>
        <v/>
      </c>
      <c r="AC124" s="7">
        <f>LAVORAZIONI!AI376</f>
        <v/>
      </c>
      <c r="AD124" s="13">
        <f>LAVORAZIONI!AJ376</f>
        <v/>
      </c>
    </row>
    <row r="125" ht="64" customHeight="1" s="46">
      <c r="B125" s="4">
        <f>LAVORAZIONI!G377</f>
        <v/>
      </c>
      <c r="C125" s="3">
        <f>LAVORAZIONI!A377</f>
        <v/>
      </c>
      <c r="D125" s="3">
        <f>LAVORAZIONI!K377</f>
        <v/>
      </c>
      <c r="E125" s="4">
        <f>LAVORAZIONI!H377</f>
        <v/>
      </c>
      <c r="F125" s="4">
        <f>LAVORAZIONI!M377</f>
        <v/>
      </c>
      <c r="G125" s="5">
        <f>LAVORAZIONI!N377</f>
        <v/>
      </c>
      <c r="H125" s="6">
        <f>LAVORAZIONI!O377</f>
        <v/>
      </c>
      <c r="I125" s="13">
        <f>LAVORAZIONI!P377</f>
        <v/>
      </c>
      <c r="J125" s="5">
        <f>IF(LAVORAZIONI!Q377="","",LAVORAZIONI!Q377)</f>
        <v/>
      </c>
      <c r="K125" s="6">
        <f>IF(LAVORAZIONI!R377="","",LAVORAZIONI!R377)</f>
        <v/>
      </c>
      <c r="L125" s="13">
        <f>IF(LAVORAZIONI!S377="","",LAVORAZIONI!S377)</f>
        <v/>
      </c>
      <c r="M125" s="13">
        <f>LAVORAZIONI!T377</f>
        <v/>
      </c>
      <c r="O125" s="7">
        <f>LAVORAZIONI!U377</f>
        <v/>
      </c>
      <c r="P125" s="45">
        <f>LAVORAZIONI!V377</f>
        <v/>
      </c>
      <c r="Q125" s="7">
        <f>LAVORAZIONI!W377</f>
        <v/>
      </c>
      <c r="R125" s="6">
        <f>LAVORAZIONI!X377</f>
        <v/>
      </c>
      <c r="S125" s="7">
        <f>LAVORAZIONI!Y377</f>
        <v/>
      </c>
      <c r="T125" s="6">
        <f>LAVORAZIONI!Z377</f>
        <v/>
      </c>
      <c r="U125" s="7">
        <f>LAVORAZIONI!AA377</f>
        <v/>
      </c>
      <c r="V125" s="6">
        <f>LAVORAZIONI!AB377</f>
        <v/>
      </c>
      <c r="W125" s="7">
        <f>LAVORAZIONI!AC377</f>
        <v/>
      </c>
      <c r="X125" s="6">
        <f>LAVORAZIONI!AD377</f>
        <v/>
      </c>
      <c r="Y125" s="7">
        <f>LAVORAZIONI!AE377</f>
        <v/>
      </c>
      <c r="Z125" s="6">
        <f>LAVORAZIONI!AF377</f>
        <v/>
      </c>
      <c r="AA125" s="7">
        <f>LAVORAZIONI!AG377</f>
        <v/>
      </c>
      <c r="AB125" s="6">
        <f>LAVORAZIONI!AH377</f>
        <v/>
      </c>
      <c r="AC125" s="7">
        <f>LAVORAZIONI!AI377</f>
        <v/>
      </c>
      <c r="AD125" s="13">
        <f>LAVORAZIONI!AJ377</f>
        <v/>
      </c>
    </row>
    <row r="126" ht="64" customHeight="1" s="46">
      <c r="B126" s="4">
        <f>LAVORAZIONI!G378</f>
        <v/>
      </c>
      <c r="C126" s="3">
        <f>LAVORAZIONI!A378</f>
        <v/>
      </c>
      <c r="D126" s="3">
        <f>LAVORAZIONI!K378</f>
        <v/>
      </c>
      <c r="E126" s="4">
        <f>LAVORAZIONI!H378</f>
        <v/>
      </c>
      <c r="F126" s="4">
        <f>LAVORAZIONI!M378</f>
        <v/>
      </c>
      <c r="G126" s="5">
        <f>LAVORAZIONI!N378</f>
        <v/>
      </c>
      <c r="H126" s="6">
        <f>LAVORAZIONI!O378</f>
        <v/>
      </c>
      <c r="I126" s="13">
        <f>LAVORAZIONI!P378</f>
        <v/>
      </c>
      <c r="J126" s="5">
        <f>IF(LAVORAZIONI!Q378="","",LAVORAZIONI!Q378)</f>
        <v/>
      </c>
      <c r="K126" s="6">
        <f>IF(LAVORAZIONI!R378="","",LAVORAZIONI!R378)</f>
        <v/>
      </c>
      <c r="L126" s="13">
        <f>IF(LAVORAZIONI!S378="","",LAVORAZIONI!S378)</f>
        <v/>
      </c>
      <c r="M126" s="13">
        <f>LAVORAZIONI!T378</f>
        <v/>
      </c>
      <c r="O126" s="7">
        <f>LAVORAZIONI!U378</f>
        <v/>
      </c>
      <c r="P126" s="45">
        <f>LAVORAZIONI!V378</f>
        <v/>
      </c>
      <c r="Q126" s="7">
        <f>LAVORAZIONI!W378</f>
        <v/>
      </c>
      <c r="R126" s="6">
        <f>LAVORAZIONI!X378</f>
        <v/>
      </c>
      <c r="S126" s="7">
        <f>LAVORAZIONI!Y378</f>
        <v/>
      </c>
      <c r="T126" s="6">
        <f>LAVORAZIONI!Z378</f>
        <v/>
      </c>
      <c r="U126" s="7">
        <f>LAVORAZIONI!AA378</f>
        <v/>
      </c>
      <c r="V126" s="6">
        <f>LAVORAZIONI!AB378</f>
        <v/>
      </c>
      <c r="W126" s="7">
        <f>LAVORAZIONI!AC378</f>
        <v/>
      </c>
      <c r="X126" s="6">
        <f>LAVORAZIONI!AD378</f>
        <v/>
      </c>
      <c r="Y126" s="7">
        <f>LAVORAZIONI!AE378</f>
        <v/>
      </c>
      <c r="Z126" s="6">
        <f>LAVORAZIONI!AF378</f>
        <v/>
      </c>
      <c r="AA126" s="7">
        <f>LAVORAZIONI!AG378</f>
        <v/>
      </c>
      <c r="AB126" s="6">
        <f>LAVORAZIONI!AH378</f>
        <v/>
      </c>
      <c r="AC126" s="7">
        <f>LAVORAZIONI!AI378</f>
        <v/>
      </c>
      <c r="AD126" s="13">
        <f>LAVORAZIONI!AJ378</f>
        <v/>
      </c>
    </row>
    <row r="127" ht="64" customHeight="1" s="46">
      <c r="B127" s="4">
        <f>LAVORAZIONI!G379</f>
        <v/>
      </c>
      <c r="C127" s="3">
        <f>LAVORAZIONI!A379</f>
        <v/>
      </c>
      <c r="D127" s="3">
        <f>LAVORAZIONI!K379</f>
        <v/>
      </c>
      <c r="E127" s="4">
        <f>LAVORAZIONI!H379</f>
        <v/>
      </c>
      <c r="F127" s="4">
        <f>LAVORAZIONI!M379</f>
        <v/>
      </c>
      <c r="G127" s="5">
        <f>LAVORAZIONI!N379</f>
        <v/>
      </c>
      <c r="H127" s="6">
        <f>LAVORAZIONI!O379</f>
        <v/>
      </c>
      <c r="I127" s="13">
        <f>LAVORAZIONI!P379</f>
        <v/>
      </c>
      <c r="J127" s="5">
        <f>IF(LAVORAZIONI!Q379="","",LAVORAZIONI!Q379)</f>
        <v/>
      </c>
      <c r="K127" s="6">
        <f>IF(LAVORAZIONI!R379="","",LAVORAZIONI!R379)</f>
        <v/>
      </c>
      <c r="L127" s="13">
        <f>IF(LAVORAZIONI!S379="","",LAVORAZIONI!S379)</f>
        <v/>
      </c>
      <c r="M127" s="13">
        <f>LAVORAZIONI!T379</f>
        <v/>
      </c>
      <c r="O127" s="7">
        <f>LAVORAZIONI!U379</f>
        <v/>
      </c>
      <c r="P127" s="45">
        <f>LAVORAZIONI!V379</f>
        <v/>
      </c>
      <c r="Q127" s="7">
        <f>LAVORAZIONI!W379</f>
        <v/>
      </c>
      <c r="R127" s="6">
        <f>LAVORAZIONI!X379</f>
        <v/>
      </c>
      <c r="S127" s="7">
        <f>LAVORAZIONI!Y379</f>
        <v/>
      </c>
      <c r="T127" s="6">
        <f>LAVORAZIONI!Z379</f>
        <v/>
      </c>
      <c r="U127" s="7">
        <f>LAVORAZIONI!AA379</f>
        <v/>
      </c>
      <c r="V127" s="6">
        <f>LAVORAZIONI!AB379</f>
        <v/>
      </c>
      <c r="W127" s="7">
        <f>LAVORAZIONI!AC379</f>
        <v/>
      </c>
      <c r="X127" s="6">
        <f>LAVORAZIONI!AD379</f>
        <v/>
      </c>
      <c r="Y127" s="7">
        <f>LAVORAZIONI!AE379</f>
        <v/>
      </c>
      <c r="Z127" s="6">
        <f>LAVORAZIONI!AF379</f>
        <v/>
      </c>
      <c r="AA127" s="7">
        <f>LAVORAZIONI!AG379</f>
        <v/>
      </c>
      <c r="AB127" s="6">
        <f>LAVORAZIONI!AH379</f>
        <v/>
      </c>
      <c r="AC127" s="7">
        <f>LAVORAZIONI!AI379</f>
        <v/>
      </c>
      <c r="AD127" s="13">
        <f>LAVORAZIONI!AJ379</f>
        <v/>
      </c>
    </row>
    <row r="128" ht="64" customHeight="1" s="46">
      <c r="B128" s="4">
        <f>LAVORAZIONI!G380</f>
        <v/>
      </c>
      <c r="C128" s="3">
        <f>LAVORAZIONI!A380</f>
        <v/>
      </c>
      <c r="D128" s="3">
        <f>LAVORAZIONI!K380</f>
        <v/>
      </c>
      <c r="E128" s="4">
        <f>LAVORAZIONI!H380</f>
        <v/>
      </c>
      <c r="F128" s="4">
        <f>LAVORAZIONI!M380</f>
        <v/>
      </c>
      <c r="G128" s="5">
        <f>LAVORAZIONI!N380</f>
        <v/>
      </c>
      <c r="H128" s="6">
        <f>LAVORAZIONI!O380</f>
        <v/>
      </c>
      <c r="I128" s="13">
        <f>LAVORAZIONI!P380</f>
        <v/>
      </c>
      <c r="J128" s="5">
        <f>IF(LAVORAZIONI!Q380="","",LAVORAZIONI!Q380)</f>
        <v/>
      </c>
      <c r="K128" s="6">
        <f>IF(LAVORAZIONI!R380="","",LAVORAZIONI!R380)</f>
        <v/>
      </c>
      <c r="L128" s="13">
        <f>IF(LAVORAZIONI!S380="","",LAVORAZIONI!S380)</f>
        <v/>
      </c>
      <c r="M128" s="13">
        <f>LAVORAZIONI!T380</f>
        <v/>
      </c>
      <c r="O128" s="7">
        <f>LAVORAZIONI!U380</f>
        <v/>
      </c>
      <c r="P128" s="45">
        <f>LAVORAZIONI!V380</f>
        <v/>
      </c>
      <c r="Q128" s="7">
        <f>LAVORAZIONI!W380</f>
        <v/>
      </c>
      <c r="R128" s="6">
        <f>LAVORAZIONI!X380</f>
        <v/>
      </c>
      <c r="S128" s="7">
        <f>LAVORAZIONI!Y380</f>
        <v/>
      </c>
      <c r="T128" s="6">
        <f>LAVORAZIONI!Z380</f>
        <v/>
      </c>
      <c r="U128" s="7">
        <f>LAVORAZIONI!AA380</f>
        <v/>
      </c>
      <c r="V128" s="6">
        <f>LAVORAZIONI!AB380</f>
        <v/>
      </c>
      <c r="W128" s="7">
        <f>LAVORAZIONI!AC380</f>
        <v/>
      </c>
      <c r="X128" s="6">
        <f>LAVORAZIONI!AD380</f>
        <v/>
      </c>
      <c r="Y128" s="7">
        <f>LAVORAZIONI!AE380</f>
        <v/>
      </c>
      <c r="Z128" s="6">
        <f>LAVORAZIONI!AF380</f>
        <v/>
      </c>
      <c r="AA128" s="7">
        <f>LAVORAZIONI!AG380</f>
        <v/>
      </c>
      <c r="AB128" s="6">
        <f>LAVORAZIONI!AH380</f>
        <v/>
      </c>
      <c r="AC128" s="7">
        <f>LAVORAZIONI!AI380</f>
        <v/>
      </c>
      <c r="AD128" s="13">
        <f>LAVORAZIONI!AJ380</f>
        <v/>
      </c>
    </row>
    <row r="129" ht="64" customHeight="1" s="46">
      <c r="B129" s="4">
        <f>LAVORAZIONI!G381</f>
        <v/>
      </c>
      <c r="C129" s="3">
        <f>LAVORAZIONI!A381</f>
        <v/>
      </c>
      <c r="D129" s="3">
        <f>LAVORAZIONI!K381</f>
        <v/>
      </c>
      <c r="E129" s="4">
        <f>LAVORAZIONI!H381</f>
        <v/>
      </c>
      <c r="F129" s="4">
        <f>LAVORAZIONI!M381</f>
        <v/>
      </c>
      <c r="G129" s="5">
        <f>LAVORAZIONI!N381</f>
        <v/>
      </c>
      <c r="H129" s="6">
        <f>LAVORAZIONI!O381</f>
        <v/>
      </c>
      <c r="I129" s="13">
        <f>LAVORAZIONI!P381</f>
        <v/>
      </c>
      <c r="J129" s="5">
        <f>IF(LAVORAZIONI!Q381="","",LAVORAZIONI!Q381)</f>
        <v/>
      </c>
      <c r="K129" s="6">
        <f>IF(LAVORAZIONI!R381="","",LAVORAZIONI!R381)</f>
        <v/>
      </c>
      <c r="L129" s="13">
        <f>IF(LAVORAZIONI!S381="","",LAVORAZIONI!S381)</f>
        <v/>
      </c>
      <c r="M129" s="13">
        <f>LAVORAZIONI!T381</f>
        <v/>
      </c>
      <c r="O129" s="7">
        <f>LAVORAZIONI!U381</f>
        <v/>
      </c>
      <c r="P129" s="45">
        <f>LAVORAZIONI!V381</f>
        <v/>
      </c>
      <c r="Q129" s="7">
        <f>LAVORAZIONI!W381</f>
        <v/>
      </c>
      <c r="R129" s="6">
        <f>LAVORAZIONI!X381</f>
        <v/>
      </c>
      <c r="S129" s="7">
        <f>LAVORAZIONI!Y381</f>
        <v/>
      </c>
      <c r="T129" s="6">
        <f>LAVORAZIONI!Z381</f>
        <v/>
      </c>
      <c r="U129" s="7">
        <f>LAVORAZIONI!AA381</f>
        <v/>
      </c>
      <c r="V129" s="6">
        <f>LAVORAZIONI!AB381</f>
        <v/>
      </c>
      <c r="W129" s="7">
        <f>LAVORAZIONI!AC381</f>
        <v/>
      </c>
      <c r="X129" s="6">
        <f>LAVORAZIONI!AD381</f>
        <v/>
      </c>
      <c r="Y129" s="7">
        <f>LAVORAZIONI!AE381</f>
        <v/>
      </c>
      <c r="Z129" s="6">
        <f>LAVORAZIONI!AF381</f>
        <v/>
      </c>
      <c r="AA129" s="7">
        <f>LAVORAZIONI!AG381</f>
        <v/>
      </c>
      <c r="AB129" s="6">
        <f>LAVORAZIONI!AH381</f>
        <v/>
      </c>
      <c r="AC129" s="7">
        <f>LAVORAZIONI!AI381</f>
        <v/>
      </c>
      <c r="AD129" s="13">
        <f>LAVORAZIONI!AJ381</f>
        <v/>
      </c>
    </row>
    <row r="130" ht="64" customHeight="1" s="46">
      <c r="B130" s="4">
        <f>LAVORAZIONI!G382</f>
        <v/>
      </c>
      <c r="C130" s="3">
        <f>LAVORAZIONI!A382</f>
        <v/>
      </c>
      <c r="D130" s="3">
        <f>LAVORAZIONI!K382</f>
        <v/>
      </c>
      <c r="E130" s="4">
        <f>LAVORAZIONI!H382</f>
        <v/>
      </c>
      <c r="F130" s="4">
        <f>LAVORAZIONI!M382</f>
        <v/>
      </c>
      <c r="G130" s="5">
        <f>LAVORAZIONI!N382</f>
        <v/>
      </c>
      <c r="H130" s="6">
        <f>LAVORAZIONI!O382</f>
        <v/>
      </c>
      <c r="I130" s="13">
        <f>LAVORAZIONI!P382</f>
        <v/>
      </c>
      <c r="J130" s="5">
        <f>IF(LAVORAZIONI!Q382="","",LAVORAZIONI!Q382)</f>
        <v/>
      </c>
      <c r="K130" s="6">
        <f>IF(LAVORAZIONI!R382="","",LAVORAZIONI!R382)</f>
        <v/>
      </c>
      <c r="L130" s="13">
        <f>IF(LAVORAZIONI!S382="","",LAVORAZIONI!S382)</f>
        <v/>
      </c>
      <c r="M130" s="13">
        <f>LAVORAZIONI!T382</f>
        <v/>
      </c>
      <c r="O130" s="7">
        <f>LAVORAZIONI!U382</f>
        <v/>
      </c>
      <c r="P130" s="45">
        <f>LAVORAZIONI!V382</f>
        <v/>
      </c>
      <c r="Q130" s="7">
        <f>LAVORAZIONI!W382</f>
        <v/>
      </c>
      <c r="R130" s="6">
        <f>LAVORAZIONI!X382</f>
        <v/>
      </c>
      <c r="S130" s="7">
        <f>LAVORAZIONI!Y382</f>
        <v/>
      </c>
      <c r="T130" s="6">
        <f>LAVORAZIONI!Z382</f>
        <v/>
      </c>
      <c r="U130" s="7">
        <f>LAVORAZIONI!AA382</f>
        <v/>
      </c>
      <c r="V130" s="6">
        <f>LAVORAZIONI!AB382</f>
        <v/>
      </c>
      <c r="W130" s="7">
        <f>LAVORAZIONI!AC382</f>
        <v/>
      </c>
      <c r="X130" s="6">
        <f>LAVORAZIONI!AD382</f>
        <v/>
      </c>
      <c r="Y130" s="7">
        <f>LAVORAZIONI!AE382</f>
        <v/>
      </c>
      <c r="Z130" s="6">
        <f>LAVORAZIONI!AF382</f>
        <v/>
      </c>
      <c r="AA130" s="7">
        <f>LAVORAZIONI!AG382</f>
        <v/>
      </c>
      <c r="AB130" s="6">
        <f>LAVORAZIONI!AH382</f>
        <v/>
      </c>
      <c r="AC130" s="7">
        <f>LAVORAZIONI!AI382</f>
        <v/>
      </c>
      <c r="AD130" s="13">
        <f>LAVORAZIONI!AJ382</f>
        <v/>
      </c>
    </row>
    <row r="131" ht="64" customHeight="1" s="46">
      <c r="B131" s="4">
        <f>LAVORAZIONI!G383</f>
        <v/>
      </c>
      <c r="C131" s="3">
        <f>LAVORAZIONI!A383</f>
        <v/>
      </c>
      <c r="D131" s="3">
        <f>LAVORAZIONI!K383</f>
        <v/>
      </c>
      <c r="E131" s="4">
        <f>LAVORAZIONI!H383</f>
        <v/>
      </c>
      <c r="F131" s="4">
        <f>LAVORAZIONI!M383</f>
        <v/>
      </c>
      <c r="G131" s="5">
        <f>LAVORAZIONI!N383</f>
        <v/>
      </c>
      <c r="H131" s="6">
        <f>LAVORAZIONI!O383</f>
        <v/>
      </c>
      <c r="I131" s="13">
        <f>LAVORAZIONI!P383</f>
        <v/>
      </c>
      <c r="J131" s="5">
        <f>IF(LAVORAZIONI!Q383="","",LAVORAZIONI!Q383)</f>
        <v/>
      </c>
      <c r="K131" s="6">
        <f>IF(LAVORAZIONI!R383="","",LAVORAZIONI!R383)</f>
        <v/>
      </c>
      <c r="L131" s="13">
        <f>IF(LAVORAZIONI!S383="","",LAVORAZIONI!S383)</f>
        <v/>
      </c>
      <c r="M131" s="13">
        <f>LAVORAZIONI!T383</f>
        <v/>
      </c>
      <c r="O131" s="7">
        <f>LAVORAZIONI!U383</f>
        <v/>
      </c>
      <c r="P131" s="45">
        <f>LAVORAZIONI!V383</f>
        <v/>
      </c>
      <c r="Q131" s="7">
        <f>LAVORAZIONI!W383</f>
        <v/>
      </c>
      <c r="R131" s="6">
        <f>LAVORAZIONI!X383</f>
        <v/>
      </c>
      <c r="S131" s="7">
        <f>LAVORAZIONI!Y383</f>
        <v/>
      </c>
      <c r="T131" s="6">
        <f>LAVORAZIONI!Z383</f>
        <v/>
      </c>
      <c r="U131" s="7">
        <f>LAVORAZIONI!AA383</f>
        <v/>
      </c>
      <c r="V131" s="6">
        <f>LAVORAZIONI!AB383</f>
        <v/>
      </c>
      <c r="W131" s="7">
        <f>LAVORAZIONI!AC383</f>
        <v/>
      </c>
      <c r="X131" s="6">
        <f>LAVORAZIONI!AD383</f>
        <v/>
      </c>
      <c r="Y131" s="7">
        <f>LAVORAZIONI!AE383</f>
        <v/>
      </c>
      <c r="Z131" s="6">
        <f>LAVORAZIONI!AF383</f>
        <v/>
      </c>
      <c r="AA131" s="7">
        <f>LAVORAZIONI!AG383</f>
        <v/>
      </c>
      <c r="AB131" s="6">
        <f>LAVORAZIONI!AH383</f>
        <v/>
      </c>
      <c r="AC131" s="7">
        <f>LAVORAZIONI!AI383</f>
        <v/>
      </c>
      <c r="AD131" s="13">
        <f>LAVORAZIONI!AJ383</f>
        <v/>
      </c>
    </row>
    <row r="132" ht="64" customHeight="1" s="46">
      <c r="B132" s="4">
        <f>LAVORAZIONI!G384</f>
        <v/>
      </c>
      <c r="C132" s="3">
        <f>LAVORAZIONI!A384</f>
        <v/>
      </c>
      <c r="D132" s="3">
        <f>LAVORAZIONI!K384</f>
        <v/>
      </c>
      <c r="E132" s="4">
        <f>LAVORAZIONI!H384</f>
        <v/>
      </c>
      <c r="F132" s="4">
        <f>LAVORAZIONI!M384</f>
        <v/>
      </c>
      <c r="G132" s="5">
        <f>LAVORAZIONI!N384</f>
        <v/>
      </c>
      <c r="H132" s="6">
        <f>LAVORAZIONI!O384</f>
        <v/>
      </c>
      <c r="I132" s="13">
        <f>LAVORAZIONI!P384</f>
        <v/>
      </c>
      <c r="J132" s="5">
        <f>IF(LAVORAZIONI!Q384="","",LAVORAZIONI!Q384)</f>
        <v/>
      </c>
      <c r="K132" s="6">
        <f>IF(LAVORAZIONI!R384="","",LAVORAZIONI!R384)</f>
        <v/>
      </c>
      <c r="L132" s="13">
        <f>IF(LAVORAZIONI!S384="","",LAVORAZIONI!S384)</f>
        <v/>
      </c>
      <c r="M132" s="13">
        <f>LAVORAZIONI!T384</f>
        <v/>
      </c>
      <c r="O132" s="7">
        <f>LAVORAZIONI!U384</f>
        <v/>
      </c>
      <c r="P132" s="45">
        <f>LAVORAZIONI!V384</f>
        <v/>
      </c>
      <c r="Q132" s="7">
        <f>LAVORAZIONI!W384</f>
        <v/>
      </c>
      <c r="R132" s="6">
        <f>LAVORAZIONI!X384</f>
        <v/>
      </c>
      <c r="S132" s="7">
        <f>LAVORAZIONI!Y384</f>
        <v/>
      </c>
      <c r="T132" s="6">
        <f>LAVORAZIONI!Z384</f>
        <v/>
      </c>
      <c r="U132" s="7">
        <f>LAVORAZIONI!AA384</f>
        <v/>
      </c>
      <c r="V132" s="6">
        <f>LAVORAZIONI!AB384</f>
        <v/>
      </c>
      <c r="W132" s="7">
        <f>LAVORAZIONI!AC384</f>
        <v/>
      </c>
      <c r="X132" s="6">
        <f>LAVORAZIONI!AD384</f>
        <v/>
      </c>
      <c r="Y132" s="7">
        <f>LAVORAZIONI!AE384</f>
        <v/>
      </c>
      <c r="Z132" s="6">
        <f>LAVORAZIONI!AF384</f>
        <v/>
      </c>
      <c r="AA132" s="7">
        <f>LAVORAZIONI!AG384</f>
        <v/>
      </c>
      <c r="AB132" s="6">
        <f>LAVORAZIONI!AH384</f>
        <v/>
      </c>
      <c r="AC132" s="7">
        <f>LAVORAZIONI!AI384</f>
        <v/>
      </c>
      <c r="AD132" s="13">
        <f>LAVORAZIONI!AJ384</f>
        <v/>
      </c>
    </row>
    <row r="133" ht="64" customHeight="1" s="46">
      <c r="B133" s="4">
        <f>LAVORAZIONI!G385</f>
        <v/>
      </c>
      <c r="C133" s="3">
        <f>LAVORAZIONI!A385</f>
        <v/>
      </c>
      <c r="D133" s="3">
        <f>LAVORAZIONI!K385</f>
        <v/>
      </c>
      <c r="E133" s="4">
        <f>LAVORAZIONI!H385</f>
        <v/>
      </c>
      <c r="F133" s="4">
        <f>LAVORAZIONI!M385</f>
        <v/>
      </c>
      <c r="G133" s="5">
        <f>LAVORAZIONI!N385</f>
        <v/>
      </c>
      <c r="H133" s="6">
        <f>LAVORAZIONI!O385</f>
        <v/>
      </c>
      <c r="I133" s="13">
        <f>LAVORAZIONI!P385</f>
        <v/>
      </c>
      <c r="J133" s="5">
        <f>IF(LAVORAZIONI!Q385="","",LAVORAZIONI!Q385)</f>
        <v/>
      </c>
      <c r="K133" s="6">
        <f>IF(LAVORAZIONI!R385="","",LAVORAZIONI!R385)</f>
        <v/>
      </c>
      <c r="L133" s="13">
        <f>IF(LAVORAZIONI!S385="","",LAVORAZIONI!S385)</f>
        <v/>
      </c>
      <c r="M133" s="13">
        <f>LAVORAZIONI!T385</f>
        <v/>
      </c>
      <c r="O133" s="7">
        <f>LAVORAZIONI!U385</f>
        <v/>
      </c>
      <c r="P133" s="45">
        <f>LAVORAZIONI!V385</f>
        <v/>
      </c>
      <c r="Q133" s="7">
        <f>LAVORAZIONI!W385</f>
        <v/>
      </c>
      <c r="R133" s="6">
        <f>LAVORAZIONI!X385</f>
        <v/>
      </c>
      <c r="S133" s="7">
        <f>LAVORAZIONI!Y385</f>
        <v/>
      </c>
      <c r="T133" s="6">
        <f>LAVORAZIONI!Z385</f>
        <v/>
      </c>
      <c r="U133" s="7">
        <f>LAVORAZIONI!AA385</f>
        <v/>
      </c>
      <c r="V133" s="6">
        <f>LAVORAZIONI!AB385</f>
        <v/>
      </c>
      <c r="W133" s="7">
        <f>LAVORAZIONI!AC385</f>
        <v/>
      </c>
      <c r="X133" s="6">
        <f>LAVORAZIONI!AD385</f>
        <v/>
      </c>
      <c r="Y133" s="7">
        <f>LAVORAZIONI!AE385</f>
        <v/>
      </c>
      <c r="Z133" s="6">
        <f>LAVORAZIONI!AF385</f>
        <v/>
      </c>
      <c r="AA133" s="7">
        <f>LAVORAZIONI!AG385</f>
        <v/>
      </c>
      <c r="AB133" s="6">
        <f>LAVORAZIONI!AH385</f>
        <v/>
      </c>
      <c r="AC133" s="7">
        <f>LAVORAZIONI!AI385</f>
        <v/>
      </c>
      <c r="AD133" s="13">
        <f>LAVORAZIONI!AJ385</f>
        <v/>
      </c>
    </row>
    <row r="134" ht="64" customHeight="1" s="46">
      <c r="B134" s="4">
        <f>LAVORAZIONI!G386</f>
        <v/>
      </c>
      <c r="C134" s="3">
        <f>LAVORAZIONI!A386</f>
        <v/>
      </c>
      <c r="D134" s="3">
        <f>LAVORAZIONI!K386</f>
        <v/>
      </c>
      <c r="E134" s="4">
        <f>LAVORAZIONI!H386</f>
        <v/>
      </c>
      <c r="F134" s="4">
        <f>LAVORAZIONI!M386</f>
        <v/>
      </c>
      <c r="G134" s="5">
        <f>LAVORAZIONI!N386</f>
        <v/>
      </c>
      <c r="H134" s="6">
        <f>LAVORAZIONI!O386</f>
        <v/>
      </c>
      <c r="I134" s="13">
        <f>LAVORAZIONI!P386</f>
        <v/>
      </c>
      <c r="J134" s="5">
        <f>IF(LAVORAZIONI!Q386="","",LAVORAZIONI!Q386)</f>
        <v/>
      </c>
      <c r="K134" s="6">
        <f>IF(LAVORAZIONI!R386="","",LAVORAZIONI!R386)</f>
        <v/>
      </c>
      <c r="L134" s="13">
        <f>IF(LAVORAZIONI!S386="","",LAVORAZIONI!S386)</f>
        <v/>
      </c>
      <c r="M134" s="13">
        <f>LAVORAZIONI!T386</f>
        <v/>
      </c>
      <c r="O134" s="7">
        <f>LAVORAZIONI!U386</f>
        <v/>
      </c>
      <c r="P134" s="45">
        <f>LAVORAZIONI!V386</f>
        <v/>
      </c>
      <c r="Q134" s="7">
        <f>LAVORAZIONI!W386</f>
        <v/>
      </c>
      <c r="R134" s="6">
        <f>LAVORAZIONI!X386</f>
        <v/>
      </c>
      <c r="S134" s="7">
        <f>LAVORAZIONI!Y386</f>
        <v/>
      </c>
      <c r="T134" s="6">
        <f>LAVORAZIONI!Z386</f>
        <v/>
      </c>
      <c r="U134" s="7">
        <f>LAVORAZIONI!AA386</f>
        <v/>
      </c>
      <c r="V134" s="6">
        <f>LAVORAZIONI!AB386</f>
        <v/>
      </c>
      <c r="W134" s="7">
        <f>LAVORAZIONI!AC386</f>
        <v/>
      </c>
      <c r="X134" s="6">
        <f>LAVORAZIONI!AD386</f>
        <v/>
      </c>
      <c r="Y134" s="7">
        <f>LAVORAZIONI!AE386</f>
        <v/>
      </c>
      <c r="Z134" s="6">
        <f>LAVORAZIONI!AF386</f>
        <v/>
      </c>
      <c r="AA134" s="7">
        <f>LAVORAZIONI!AG386</f>
        <v/>
      </c>
      <c r="AB134" s="6">
        <f>LAVORAZIONI!AH386</f>
        <v/>
      </c>
      <c r="AC134" s="7">
        <f>LAVORAZIONI!AI386</f>
        <v/>
      </c>
      <c r="AD134" s="13">
        <f>LAVORAZIONI!AJ386</f>
        <v/>
      </c>
    </row>
    <row r="135" ht="64" customHeight="1" s="46">
      <c r="B135" s="4">
        <f>LAVORAZIONI!G387</f>
        <v/>
      </c>
      <c r="C135" s="3">
        <f>LAVORAZIONI!A387</f>
        <v/>
      </c>
      <c r="D135" s="3">
        <f>LAVORAZIONI!K387</f>
        <v/>
      </c>
      <c r="E135" s="4">
        <f>LAVORAZIONI!H387</f>
        <v/>
      </c>
      <c r="F135" s="4">
        <f>LAVORAZIONI!M387</f>
        <v/>
      </c>
      <c r="G135" s="5">
        <f>LAVORAZIONI!N387</f>
        <v/>
      </c>
      <c r="H135" s="6">
        <f>LAVORAZIONI!O387</f>
        <v/>
      </c>
      <c r="I135" s="13">
        <f>LAVORAZIONI!P387</f>
        <v/>
      </c>
      <c r="J135" s="5">
        <f>IF(LAVORAZIONI!Q387="","",LAVORAZIONI!Q387)</f>
        <v/>
      </c>
      <c r="K135" s="6">
        <f>IF(LAVORAZIONI!R387="","",LAVORAZIONI!R387)</f>
        <v/>
      </c>
      <c r="L135" s="13">
        <f>IF(LAVORAZIONI!S387="","",LAVORAZIONI!S387)</f>
        <v/>
      </c>
      <c r="M135" s="13">
        <f>LAVORAZIONI!T387</f>
        <v/>
      </c>
      <c r="O135" s="7">
        <f>LAVORAZIONI!U387</f>
        <v/>
      </c>
      <c r="P135" s="45">
        <f>LAVORAZIONI!V387</f>
        <v/>
      </c>
      <c r="Q135" s="7">
        <f>LAVORAZIONI!W387</f>
        <v/>
      </c>
      <c r="R135" s="6">
        <f>LAVORAZIONI!X387</f>
        <v/>
      </c>
      <c r="S135" s="7">
        <f>LAVORAZIONI!Y387</f>
        <v/>
      </c>
      <c r="T135" s="6">
        <f>LAVORAZIONI!Z387</f>
        <v/>
      </c>
      <c r="U135" s="7">
        <f>LAVORAZIONI!AA387</f>
        <v/>
      </c>
      <c r="V135" s="6">
        <f>LAVORAZIONI!AB387</f>
        <v/>
      </c>
      <c r="W135" s="7">
        <f>LAVORAZIONI!AC387</f>
        <v/>
      </c>
      <c r="X135" s="6">
        <f>LAVORAZIONI!AD387</f>
        <v/>
      </c>
      <c r="Y135" s="7">
        <f>LAVORAZIONI!AE387</f>
        <v/>
      </c>
      <c r="Z135" s="6">
        <f>LAVORAZIONI!AF387</f>
        <v/>
      </c>
      <c r="AA135" s="7">
        <f>LAVORAZIONI!AG387</f>
        <v/>
      </c>
      <c r="AB135" s="6">
        <f>LAVORAZIONI!AH387</f>
        <v/>
      </c>
      <c r="AC135" s="7">
        <f>LAVORAZIONI!AI387</f>
        <v/>
      </c>
      <c r="AD135" s="13">
        <f>LAVORAZIONI!AJ387</f>
        <v/>
      </c>
    </row>
    <row r="136" ht="64" customHeight="1" s="46">
      <c r="B136" s="4">
        <f>LAVORAZIONI!G388</f>
        <v/>
      </c>
      <c r="C136" s="3">
        <f>LAVORAZIONI!A388</f>
        <v/>
      </c>
      <c r="D136" s="3">
        <f>LAVORAZIONI!K388</f>
        <v/>
      </c>
      <c r="E136" s="4">
        <f>LAVORAZIONI!H388</f>
        <v/>
      </c>
      <c r="F136" s="4">
        <f>LAVORAZIONI!M388</f>
        <v/>
      </c>
      <c r="G136" s="5">
        <f>LAVORAZIONI!N388</f>
        <v/>
      </c>
      <c r="H136" s="6">
        <f>LAVORAZIONI!O388</f>
        <v/>
      </c>
      <c r="I136" s="13">
        <f>LAVORAZIONI!P388</f>
        <v/>
      </c>
      <c r="J136" s="5">
        <f>IF(LAVORAZIONI!Q388="","",LAVORAZIONI!Q388)</f>
        <v/>
      </c>
      <c r="K136" s="6">
        <f>IF(LAVORAZIONI!R388="","",LAVORAZIONI!R388)</f>
        <v/>
      </c>
      <c r="L136" s="13">
        <f>IF(LAVORAZIONI!S388="","",LAVORAZIONI!S388)</f>
        <v/>
      </c>
      <c r="M136" s="13">
        <f>LAVORAZIONI!T388</f>
        <v/>
      </c>
      <c r="O136" s="7">
        <f>LAVORAZIONI!U388</f>
        <v/>
      </c>
      <c r="P136" s="45">
        <f>LAVORAZIONI!V388</f>
        <v/>
      </c>
      <c r="Q136" s="7">
        <f>LAVORAZIONI!W388</f>
        <v/>
      </c>
      <c r="R136" s="6">
        <f>LAVORAZIONI!X388</f>
        <v/>
      </c>
      <c r="S136" s="7">
        <f>LAVORAZIONI!Y388</f>
        <v/>
      </c>
      <c r="T136" s="6">
        <f>LAVORAZIONI!Z388</f>
        <v/>
      </c>
      <c r="U136" s="7">
        <f>LAVORAZIONI!AA388</f>
        <v/>
      </c>
      <c r="V136" s="6">
        <f>LAVORAZIONI!AB388</f>
        <v/>
      </c>
      <c r="W136" s="7">
        <f>LAVORAZIONI!AC388</f>
        <v/>
      </c>
      <c r="X136" s="6">
        <f>LAVORAZIONI!AD388</f>
        <v/>
      </c>
      <c r="Y136" s="7">
        <f>LAVORAZIONI!AE388</f>
        <v/>
      </c>
      <c r="Z136" s="6">
        <f>LAVORAZIONI!AF388</f>
        <v/>
      </c>
      <c r="AA136" s="7">
        <f>LAVORAZIONI!AG388</f>
        <v/>
      </c>
      <c r="AB136" s="6">
        <f>LAVORAZIONI!AH388</f>
        <v/>
      </c>
      <c r="AC136" s="7">
        <f>LAVORAZIONI!AI388</f>
        <v/>
      </c>
      <c r="AD136" s="13">
        <f>LAVORAZIONI!AJ388</f>
        <v/>
      </c>
    </row>
    <row r="137" ht="64" customHeight="1" s="46">
      <c r="B137" s="4">
        <f>LAVORAZIONI!G389</f>
        <v/>
      </c>
      <c r="C137" s="3">
        <f>LAVORAZIONI!A389</f>
        <v/>
      </c>
      <c r="D137" s="3">
        <f>LAVORAZIONI!K389</f>
        <v/>
      </c>
      <c r="E137" s="4">
        <f>LAVORAZIONI!H389</f>
        <v/>
      </c>
      <c r="F137" s="4">
        <f>LAVORAZIONI!M389</f>
        <v/>
      </c>
      <c r="G137" s="5">
        <f>LAVORAZIONI!N389</f>
        <v/>
      </c>
      <c r="H137" s="6">
        <f>LAVORAZIONI!O389</f>
        <v/>
      </c>
      <c r="I137" s="13">
        <f>LAVORAZIONI!P389</f>
        <v/>
      </c>
      <c r="J137" s="5">
        <f>IF(LAVORAZIONI!Q389="","",LAVORAZIONI!Q389)</f>
        <v/>
      </c>
      <c r="K137" s="6">
        <f>IF(LAVORAZIONI!R389="","",LAVORAZIONI!R389)</f>
        <v/>
      </c>
      <c r="L137" s="13">
        <f>IF(LAVORAZIONI!S389="","",LAVORAZIONI!S389)</f>
        <v/>
      </c>
      <c r="M137" s="13">
        <f>LAVORAZIONI!T389</f>
        <v/>
      </c>
      <c r="O137" s="7">
        <f>LAVORAZIONI!U389</f>
        <v/>
      </c>
      <c r="P137" s="45">
        <f>LAVORAZIONI!V389</f>
        <v/>
      </c>
      <c r="Q137" s="7">
        <f>LAVORAZIONI!W389</f>
        <v/>
      </c>
      <c r="R137" s="6">
        <f>LAVORAZIONI!X389</f>
        <v/>
      </c>
      <c r="S137" s="7">
        <f>LAVORAZIONI!Y389</f>
        <v/>
      </c>
      <c r="T137" s="6">
        <f>LAVORAZIONI!Z389</f>
        <v/>
      </c>
      <c r="U137" s="7">
        <f>LAVORAZIONI!AA389</f>
        <v/>
      </c>
      <c r="V137" s="6">
        <f>LAVORAZIONI!AB389</f>
        <v/>
      </c>
      <c r="W137" s="7">
        <f>LAVORAZIONI!AC389</f>
        <v/>
      </c>
      <c r="X137" s="6">
        <f>LAVORAZIONI!AD389</f>
        <v/>
      </c>
      <c r="Y137" s="7">
        <f>LAVORAZIONI!AE389</f>
        <v/>
      </c>
      <c r="Z137" s="6">
        <f>LAVORAZIONI!AF389</f>
        <v/>
      </c>
      <c r="AA137" s="7">
        <f>LAVORAZIONI!AG389</f>
        <v/>
      </c>
      <c r="AB137" s="6">
        <f>LAVORAZIONI!AH389</f>
        <v/>
      </c>
      <c r="AC137" s="7">
        <f>LAVORAZIONI!AI389</f>
        <v/>
      </c>
      <c r="AD137" s="13">
        <f>LAVORAZIONI!AJ389</f>
        <v/>
      </c>
    </row>
    <row r="138" ht="64" customHeight="1" s="46">
      <c r="B138" s="4">
        <f>LAVORAZIONI!G390</f>
        <v/>
      </c>
      <c r="C138" s="3">
        <f>LAVORAZIONI!A390</f>
        <v/>
      </c>
      <c r="D138" s="3">
        <f>LAVORAZIONI!K390</f>
        <v/>
      </c>
      <c r="E138" s="4">
        <f>LAVORAZIONI!H390</f>
        <v/>
      </c>
      <c r="F138" s="4">
        <f>LAVORAZIONI!M390</f>
        <v/>
      </c>
      <c r="G138" s="5">
        <f>LAVORAZIONI!N390</f>
        <v/>
      </c>
      <c r="H138" s="6">
        <f>LAVORAZIONI!O390</f>
        <v/>
      </c>
      <c r="I138" s="13">
        <f>LAVORAZIONI!P390</f>
        <v/>
      </c>
      <c r="J138" s="5">
        <f>IF(LAVORAZIONI!Q390="","",LAVORAZIONI!Q390)</f>
        <v/>
      </c>
      <c r="K138" s="6">
        <f>IF(LAVORAZIONI!R390="","",LAVORAZIONI!R390)</f>
        <v/>
      </c>
      <c r="L138" s="13">
        <f>IF(LAVORAZIONI!S390="","",LAVORAZIONI!S390)</f>
        <v/>
      </c>
      <c r="M138" s="13">
        <f>LAVORAZIONI!T390</f>
        <v/>
      </c>
      <c r="O138" s="7">
        <f>LAVORAZIONI!U390</f>
        <v/>
      </c>
      <c r="P138" s="45">
        <f>LAVORAZIONI!V390</f>
        <v/>
      </c>
      <c r="Q138" s="7">
        <f>LAVORAZIONI!W390</f>
        <v/>
      </c>
      <c r="R138" s="6">
        <f>LAVORAZIONI!X390</f>
        <v/>
      </c>
      <c r="S138" s="7">
        <f>LAVORAZIONI!Y390</f>
        <v/>
      </c>
      <c r="T138" s="6">
        <f>LAVORAZIONI!Z390</f>
        <v/>
      </c>
      <c r="U138" s="7">
        <f>LAVORAZIONI!AA390</f>
        <v/>
      </c>
      <c r="V138" s="6">
        <f>LAVORAZIONI!AB390</f>
        <v/>
      </c>
      <c r="W138" s="7">
        <f>LAVORAZIONI!AC390</f>
        <v/>
      </c>
      <c r="X138" s="6">
        <f>LAVORAZIONI!AD390</f>
        <v/>
      </c>
      <c r="Y138" s="7">
        <f>LAVORAZIONI!AE390</f>
        <v/>
      </c>
      <c r="Z138" s="6">
        <f>LAVORAZIONI!AF390</f>
        <v/>
      </c>
      <c r="AA138" s="7">
        <f>LAVORAZIONI!AG390</f>
        <v/>
      </c>
      <c r="AB138" s="6">
        <f>LAVORAZIONI!AH390</f>
        <v/>
      </c>
      <c r="AC138" s="7">
        <f>LAVORAZIONI!AI390</f>
        <v/>
      </c>
      <c r="AD138" s="13">
        <f>LAVORAZIONI!AJ390</f>
        <v/>
      </c>
    </row>
    <row r="139" ht="64" customHeight="1" s="46">
      <c r="B139" s="4">
        <f>LAVORAZIONI!G391</f>
        <v/>
      </c>
      <c r="C139" s="3">
        <f>LAVORAZIONI!A391</f>
        <v/>
      </c>
      <c r="D139" s="3">
        <f>LAVORAZIONI!K391</f>
        <v/>
      </c>
      <c r="E139" s="4">
        <f>LAVORAZIONI!H391</f>
        <v/>
      </c>
      <c r="F139" s="4">
        <f>LAVORAZIONI!M391</f>
        <v/>
      </c>
      <c r="G139" s="5">
        <f>LAVORAZIONI!N391</f>
        <v/>
      </c>
      <c r="H139" s="6">
        <f>LAVORAZIONI!O391</f>
        <v/>
      </c>
      <c r="I139" s="13">
        <f>LAVORAZIONI!P391</f>
        <v/>
      </c>
      <c r="J139" s="5">
        <f>IF(LAVORAZIONI!Q391="","",LAVORAZIONI!Q391)</f>
        <v/>
      </c>
      <c r="K139" s="6">
        <f>IF(LAVORAZIONI!R391="","",LAVORAZIONI!R391)</f>
        <v/>
      </c>
      <c r="L139" s="13">
        <f>IF(LAVORAZIONI!S391="","",LAVORAZIONI!S391)</f>
        <v/>
      </c>
      <c r="M139" s="13">
        <f>LAVORAZIONI!T391</f>
        <v/>
      </c>
      <c r="O139" s="7">
        <f>LAVORAZIONI!U391</f>
        <v/>
      </c>
      <c r="P139" s="45">
        <f>LAVORAZIONI!V391</f>
        <v/>
      </c>
      <c r="Q139" s="7">
        <f>LAVORAZIONI!W391</f>
        <v/>
      </c>
      <c r="R139" s="6">
        <f>LAVORAZIONI!X391</f>
        <v/>
      </c>
      <c r="S139" s="7">
        <f>LAVORAZIONI!Y391</f>
        <v/>
      </c>
      <c r="T139" s="6">
        <f>LAVORAZIONI!Z391</f>
        <v/>
      </c>
      <c r="U139" s="7">
        <f>LAVORAZIONI!AA391</f>
        <v/>
      </c>
      <c r="V139" s="6">
        <f>LAVORAZIONI!AB391</f>
        <v/>
      </c>
      <c r="W139" s="7">
        <f>LAVORAZIONI!AC391</f>
        <v/>
      </c>
      <c r="X139" s="6">
        <f>LAVORAZIONI!AD391</f>
        <v/>
      </c>
      <c r="Y139" s="7">
        <f>LAVORAZIONI!AE391</f>
        <v/>
      </c>
      <c r="Z139" s="6">
        <f>LAVORAZIONI!AF391</f>
        <v/>
      </c>
      <c r="AA139" s="7">
        <f>LAVORAZIONI!AG391</f>
        <v/>
      </c>
      <c r="AB139" s="6">
        <f>LAVORAZIONI!AH391</f>
        <v/>
      </c>
      <c r="AC139" s="7">
        <f>LAVORAZIONI!AI391</f>
        <v/>
      </c>
      <c r="AD139" s="13">
        <f>LAVORAZIONI!AJ391</f>
        <v/>
      </c>
    </row>
    <row r="140" ht="64" customHeight="1" s="46">
      <c r="B140" s="4">
        <f>LAVORAZIONI!G392</f>
        <v/>
      </c>
      <c r="C140" s="3">
        <f>LAVORAZIONI!A392</f>
        <v/>
      </c>
      <c r="D140" s="3">
        <f>LAVORAZIONI!K392</f>
        <v/>
      </c>
      <c r="E140" s="4">
        <f>LAVORAZIONI!H392</f>
        <v/>
      </c>
      <c r="F140" s="4">
        <f>LAVORAZIONI!M392</f>
        <v/>
      </c>
      <c r="G140" s="5">
        <f>LAVORAZIONI!N392</f>
        <v/>
      </c>
      <c r="H140" s="6">
        <f>LAVORAZIONI!O392</f>
        <v/>
      </c>
      <c r="I140" s="13">
        <f>LAVORAZIONI!P392</f>
        <v/>
      </c>
      <c r="J140" s="5">
        <f>IF(LAVORAZIONI!Q392="","",LAVORAZIONI!Q392)</f>
        <v/>
      </c>
      <c r="K140" s="6">
        <f>IF(LAVORAZIONI!R392="","",LAVORAZIONI!R392)</f>
        <v/>
      </c>
      <c r="L140" s="13">
        <f>IF(LAVORAZIONI!S392="","",LAVORAZIONI!S392)</f>
        <v/>
      </c>
      <c r="M140" s="13">
        <f>LAVORAZIONI!T392</f>
        <v/>
      </c>
      <c r="O140" s="7">
        <f>LAVORAZIONI!U392</f>
        <v/>
      </c>
      <c r="P140" s="45">
        <f>LAVORAZIONI!V392</f>
        <v/>
      </c>
      <c r="Q140" s="7">
        <f>LAVORAZIONI!W392</f>
        <v/>
      </c>
      <c r="R140" s="6">
        <f>LAVORAZIONI!X392</f>
        <v/>
      </c>
      <c r="S140" s="7">
        <f>LAVORAZIONI!Y392</f>
        <v/>
      </c>
      <c r="T140" s="6">
        <f>LAVORAZIONI!Z392</f>
        <v/>
      </c>
      <c r="U140" s="7">
        <f>LAVORAZIONI!AA392</f>
        <v/>
      </c>
      <c r="V140" s="6">
        <f>LAVORAZIONI!AB392</f>
        <v/>
      </c>
      <c r="W140" s="7">
        <f>LAVORAZIONI!AC392</f>
        <v/>
      </c>
      <c r="X140" s="6">
        <f>LAVORAZIONI!AD392</f>
        <v/>
      </c>
      <c r="Y140" s="7">
        <f>LAVORAZIONI!AE392</f>
        <v/>
      </c>
      <c r="Z140" s="6">
        <f>LAVORAZIONI!AF392</f>
        <v/>
      </c>
      <c r="AA140" s="7">
        <f>LAVORAZIONI!AG392</f>
        <v/>
      </c>
      <c r="AB140" s="6">
        <f>LAVORAZIONI!AH392</f>
        <v/>
      </c>
      <c r="AC140" s="7">
        <f>LAVORAZIONI!AI392</f>
        <v/>
      </c>
      <c r="AD140" s="13">
        <f>LAVORAZIONI!AJ392</f>
        <v/>
      </c>
    </row>
    <row r="141" ht="64" customHeight="1" s="46">
      <c r="B141" s="4">
        <f>LAVORAZIONI!G393</f>
        <v/>
      </c>
      <c r="C141" s="3">
        <f>LAVORAZIONI!A393</f>
        <v/>
      </c>
      <c r="D141" s="3">
        <f>LAVORAZIONI!K393</f>
        <v/>
      </c>
      <c r="E141" s="4">
        <f>LAVORAZIONI!H393</f>
        <v/>
      </c>
      <c r="F141" s="4">
        <f>LAVORAZIONI!M393</f>
        <v/>
      </c>
      <c r="G141" s="5">
        <f>LAVORAZIONI!N393</f>
        <v/>
      </c>
      <c r="H141" s="6">
        <f>LAVORAZIONI!O393</f>
        <v/>
      </c>
      <c r="I141" s="13">
        <f>LAVORAZIONI!P393</f>
        <v/>
      </c>
      <c r="J141" s="5">
        <f>IF(LAVORAZIONI!Q393="","",LAVORAZIONI!Q393)</f>
        <v/>
      </c>
      <c r="K141" s="6">
        <f>IF(LAVORAZIONI!R393="","",LAVORAZIONI!R393)</f>
        <v/>
      </c>
      <c r="L141" s="13">
        <f>IF(LAVORAZIONI!S393="","",LAVORAZIONI!S393)</f>
        <v/>
      </c>
      <c r="M141" s="13">
        <f>LAVORAZIONI!T393</f>
        <v/>
      </c>
      <c r="O141" s="7">
        <f>LAVORAZIONI!U393</f>
        <v/>
      </c>
      <c r="P141" s="45">
        <f>LAVORAZIONI!V393</f>
        <v/>
      </c>
      <c r="Q141" s="7">
        <f>LAVORAZIONI!W393</f>
        <v/>
      </c>
      <c r="R141" s="6">
        <f>LAVORAZIONI!X393</f>
        <v/>
      </c>
      <c r="S141" s="7">
        <f>LAVORAZIONI!Y393</f>
        <v/>
      </c>
      <c r="T141" s="6">
        <f>LAVORAZIONI!Z393</f>
        <v/>
      </c>
      <c r="U141" s="7">
        <f>LAVORAZIONI!AA393</f>
        <v/>
      </c>
      <c r="V141" s="6">
        <f>LAVORAZIONI!AB393</f>
        <v/>
      </c>
      <c r="W141" s="7">
        <f>LAVORAZIONI!AC393</f>
        <v/>
      </c>
      <c r="X141" s="6">
        <f>LAVORAZIONI!AD393</f>
        <v/>
      </c>
      <c r="Y141" s="7">
        <f>LAVORAZIONI!AE393</f>
        <v/>
      </c>
      <c r="Z141" s="6">
        <f>LAVORAZIONI!AF393</f>
        <v/>
      </c>
      <c r="AA141" s="7">
        <f>LAVORAZIONI!AG393</f>
        <v/>
      </c>
      <c r="AB141" s="6">
        <f>LAVORAZIONI!AH393</f>
        <v/>
      </c>
      <c r="AC141" s="7">
        <f>LAVORAZIONI!AI393</f>
        <v/>
      </c>
      <c r="AD141" s="13">
        <f>LAVORAZIONI!AJ393</f>
        <v/>
      </c>
    </row>
    <row r="142" ht="64" customHeight="1" s="46">
      <c r="B142" s="4">
        <f>LAVORAZIONI!G394</f>
        <v/>
      </c>
      <c r="C142" s="3">
        <f>LAVORAZIONI!A394</f>
        <v/>
      </c>
      <c r="D142" s="3">
        <f>LAVORAZIONI!K394</f>
        <v/>
      </c>
      <c r="E142" s="4">
        <f>LAVORAZIONI!H394</f>
        <v/>
      </c>
      <c r="F142" s="4">
        <f>LAVORAZIONI!M394</f>
        <v/>
      </c>
      <c r="G142" s="5">
        <f>LAVORAZIONI!N394</f>
        <v/>
      </c>
      <c r="H142" s="6">
        <f>LAVORAZIONI!O394</f>
        <v/>
      </c>
      <c r="I142" s="13">
        <f>LAVORAZIONI!P394</f>
        <v/>
      </c>
      <c r="J142" s="5">
        <f>IF(LAVORAZIONI!Q394="","",LAVORAZIONI!Q394)</f>
        <v/>
      </c>
      <c r="K142" s="6">
        <f>IF(LAVORAZIONI!R394="","",LAVORAZIONI!R394)</f>
        <v/>
      </c>
      <c r="L142" s="13">
        <f>IF(LAVORAZIONI!S394="","",LAVORAZIONI!S394)</f>
        <v/>
      </c>
      <c r="M142" s="13">
        <f>LAVORAZIONI!T394</f>
        <v/>
      </c>
      <c r="O142" s="7">
        <f>LAVORAZIONI!U394</f>
        <v/>
      </c>
      <c r="P142" s="45">
        <f>LAVORAZIONI!V394</f>
        <v/>
      </c>
      <c r="Q142" s="7">
        <f>LAVORAZIONI!W394</f>
        <v/>
      </c>
      <c r="R142" s="6">
        <f>LAVORAZIONI!X394</f>
        <v/>
      </c>
      <c r="S142" s="7">
        <f>LAVORAZIONI!Y394</f>
        <v/>
      </c>
      <c r="T142" s="6">
        <f>LAVORAZIONI!Z394</f>
        <v/>
      </c>
      <c r="U142" s="7">
        <f>LAVORAZIONI!AA394</f>
        <v/>
      </c>
      <c r="V142" s="6">
        <f>LAVORAZIONI!AB394</f>
        <v/>
      </c>
      <c r="W142" s="7">
        <f>LAVORAZIONI!AC394</f>
        <v/>
      </c>
      <c r="X142" s="6">
        <f>LAVORAZIONI!AD394</f>
        <v/>
      </c>
      <c r="Y142" s="7">
        <f>LAVORAZIONI!AE394</f>
        <v/>
      </c>
      <c r="Z142" s="6">
        <f>LAVORAZIONI!AF394</f>
        <v/>
      </c>
      <c r="AA142" s="7">
        <f>LAVORAZIONI!AG394</f>
        <v/>
      </c>
      <c r="AB142" s="6">
        <f>LAVORAZIONI!AH394</f>
        <v/>
      </c>
      <c r="AC142" s="7">
        <f>LAVORAZIONI!AI394</f>
        <v/>
      </c>
      <c r="AD142" s="13">
        <f>LAVORAZIONI!AJ394</f>
        <v/>
      </c>
    </row>
    <row r="143" ht="64" customHeight="1" s="46">
      <c r="B143" s="4">
        <f>LAVORAZIONI!G395</f>
        <v/>
      </c>
      <c r="C143" s="3">
        <f>LAVORAZIONI!A395</f>
        <v/>
      </c>
      <c r="D143" s="3">
        <f>LAVORAZIONI!K395</f>
        <v/>
      </c>
      <c r="E143" s="4">
        <f>LAVORAZIONI!H395</f>
        <v/>
      </c>
      <c r="F143" s="4">
        <f>LAVORAZIONI!M395</f>
        <v/>
      </c>
      <c r="G143" s="5">
        <f>LAVORAZIONI!N395</f>
        <v/>
      </c>
      <c r="H143" s="6">
        <f>LAVORAZIONI!O395</f>
        <v/>
      </c>
      <c r="I143" s="13">
        <f>LAVORAZIONI!P395</f>
        <v/>
      </c>
      <c r="J143" s="5">
        <f>IF(LAVORAZIONI!Q395="","",LAVORAZIONI!Q395)</f>
        <v/>
      </c>
      <c r="K143" s="6">
        <f>IF(LAVORAZIONI!R395="","",LAVORAZIONI!R395)</f>
        <v/>
      </c>
      <c r="L143" s="13">
        <f>IF(LAVORAZIONI!S395="","",LAVORAZIONI!S395)</f>
        <v/>
      </c>
      <c r="M143" s="13">
        <f>LAVORAZIONI!T395</f>
        <v/>
      </c>
      <c r="O143" s="7">
        <f>LAVORAZIONI!U395</f>
        <v/>
      </c>
      <c r="P143" s="45">
        <f>LAVORAZIONI!V395</f>
        <v/>
      </c>
      <c r="Q143" s="7">
        <f>LAVORAZIONI!W395</f>
        <v/>
      </c>
      <c r="R143" s="6">
        <f>LAVORAZIONI!X395</f>
        <v/>
      </c>
      <c r="S143" s="7">
        <f>LAVORAZIONI!Y395</f>
        <v/>
      </c>
      <c r="T143" s="6">
        <f>LAVORAZIONI!Z395</f>
        <v/>
      </c>
      <c r="U143" s="7">
        <f>LAVORAZIONI!AA395</f>
        <v/>
      </c>
      <c r="V143" s="6">
        <f>LAVORAZIONI!AB395</f>
        <v/>
      </c>
      <c r="W143" s="7">
        <f>LAVORAZIONI!AC395</f>
        <v/>
      </c>
      <c r="X143" s="6">
        <f>LAVORAZIONI!AD395</f>
        <v/>
      </c>
      <c r="Y143" s="7">
        <f>LAVORAZIONI!AE395</f>
        <v/>
      </c>
      <c r="Z143" s="6">
        <f>LAVORAZIONI!AF395</f>
        <v/>
      </c>
      <c r="AA143" s="7">
        <f>LAVORAZIONI!AG395</f>
        <v/>
      </c>
      <c r="AB143" s="6">
        <f>LAVORAZIONI!AH395</f>
        <v/>
      </c>
      <c r="AC143" s="7">
        <f>LAVORAZIONI!AI395</f>
        <v/>
      </c>
      <c r="AD143" s="13">
        <f>LAVORAZIONI!AJ395</f>
        <v/>
      </c>
    </row>
    <row r="144" ht="64" customHeight="1" s="46">
      <c r="B144" s="4">
        <f>LAVORAZIONI!G396</f>
        <v/>
      </c>
      <c r="C144" s="3">
        <f>LAVORAZIONI!A396</f>
        <v/>
      </c>
      <c r="D144" s="3">
        <f>LAVORAZIONI!K396</f>
        <v/>
      </c>
      <c r="E144" s="4">
        <f>LAVORAZIONI!H396</f>
        <v/>
      </c>
      <c r="F144" s="4">
        <f>LAVORAZIONI!M396</f>
        <v/>
      </c>
      <c r="G144" s="5">
        <f>LAVORAZIONI!N396</f>
        <v/>
      </c>
      <c r="H144" s="6">
        <f>LAVORAZIONI!O396</f>
        <v/>
      </c>
      <c r="I144" s="13">
        <f>LAVORAZIONI!P396</f>
        <v/>
      </c>
      <c r="J144" s="5">
        <f>IF(LAVORAZIONI!Q396="","",LAVORAZIONI!Q396)</f>
        <v/>
      </c>
      <c r="K144" s="6">
        <f>IF(LAVORAZIONI!R396="","",LAVORAZIONI!R396)</f>
        <v/>
      </c>
      <c r="L144" s="13">
        <f>IF(LAVORAZIONI!S396="","",LAVORAZIONI!S396)</f>
        <v/>
      </c>
      <c r="M144" s="13">
        <f>LAVORAZIONI!T396</f>
        <v/>
      </c>
      <c r="O144" s="7">
        <f>LAVORAZIONI!U396</f>
        <v/>
      </c>
      <c r="P144" s="45">
        <f>LAVORAZIONI!V396</f>
        <v/>
      </c>
      <c r="Q144" s="7">
        <f>LAVORAZIONI!W396</f>
        <v/>
      </c>
      <c r="R144" s="6">
        <f>LAVORAZIONI!X396</f>
        <v/>
      </c>
      <c r="S144" s="7">
        <f>LAVORAZIONI!Y396</f>
        <v/>
      </c>
      <c r="T144" s="6">
        <f>LAVORAZIONI!Z396</f>
        <v/>
      </c>
      <c r="U144" s="7">
        <f>LAVORAZIONI!AA396</f>
        <v/>
      </c>
      <c r="V144" s="6">
        <f>LAVORAZIONI!AB396</f>
        <v/>
      </c>
      <c r="W144" s="7">
        <f>LAVORAZIONI!AC396</f>
        <v/>
      </c>
      <c r="X144" s="6">
        <f>LAVORAZIONI!AD396</f>
        <v/>
      </c>
      <c r="Y144" s="7">
        <f>LAVORAZIONI!AE396</f>
        <v/>
      </c>
      <c r="Z144" s="6">
        <f>LAVORAZIONI!AF396</f>
        <v/>
      </c>
      <c r="AA144" s="7">
        <f>LAVORAZIONI!AG396</f>
        <v/>
      </c>
      <c r="AB144" s="6">
        <f>LAVORAZIONI!AH396</f>
        <v/>
      </c>
      <c r="AC144" s="7">
        <f>LAVORAZIONI!AI396</f>
        <v/>
      </c>
      <c r="AD144" s="13">
        <f>LAVORAZIONI!AJ396</f>
        <v/>
      </c>
    </row>
    <row r="145" ht="64" customHeight="1" s="46">
      <c r="B145" s="4">
        <f>LAVORAZIONI!G397</f>
        <v/>
      </c>
      <c r="C145" s="3">
        <f>LAVORAZIONI!A397</f>
        <v/>
      </c>
      <c r="D145" s="3">
        <f>LAVORAZIONI!K397</f>
        <v/>
      </c>
      <c r="E145" s="4">
        <f>LAVORAZIONI!H397</f>
        <v/>
      </c>
      <c r="F145" s="4">
        <f>LAVORAZIONI!M397</f>
        <v/>
      </c>
      <c r="G145" s="5">
        <f>LAVORAZIONI!N397</f>
        <v/>
      </c>
      <c r="H145" s="6">
        <f>LAVORAZIONI!O397</f>
        <v/>
      </c>
      <c r="I145" s="13">
        <f>LAVORAZIONI!P397</f>
        <v/>
      </c>
      <c r="J145" s="5">
        <f>IF(LAVORAZIONI!Q397="","",LAVORAZIONI!Q397)</f>
        <v/>
      </c>
      <c r="K145" s="6">
        <f>IF(LAVORAZIONI!R397="","",LAVORAZIONI!R397)</f>
        <v/>
      </c>
      <c r="L145" s="13">
        <f>IF(LAVORAZIONI!S397="","",LAVORAZIONI!S397)</f>
        <v/>
      </c>
      <c r="M145" s="13">
        <f>LAVORAZIONI!T397</f>
        <v/>
      </c>
      <c r="O145" s="7">
        <f>LAVORAZIONI!U397</f>
        <v/>
      </c>
      <c r="P145" s="45">
        <f>LAVORAZIONI!V397</f>
        <v/>
      </c>
      <c r="Q145" s="7">
        <f>LAVORAZIONI!W397</f>
        <v/>
      </c>
      <c r="R145" s="6">
        <f>LAVORAZIONI!X397</f>
        <v/>
      </c>
      <c r="S145" s="7">
        <f>LAVORAZIONI!Y397</f>
        <v/>
      </c>
      <c r="T145" s="6">
        <f>LAVORAZIONI!Z397</f>
        <v/>
      </c>
      <c r="U145" s="7">
        <f>LAVORAZIONI!AA397</f>
        <v/>
      </c>
      <c r="V145" s="6">
        <f>LAVORAZIONI!AB397</f>
        <v/>
      </c>
      <c r="W145" s="7">
        <f>LAVORAZIONI!AC397</f>
        <v/>
      </c>
      <c r="X145" s="6">
        <f>LAVORAZIONI!AD397</f>
        <v/>
      </c>
      <c r="Y145" s="7">
        <f>LAVORAZIONI!AE397</f>
        <v/>
      </c>
      <c r="Z145" s="6">
        <f>LAVORAZIONI!AF397</f>
        <v/>
      </c>
      <c r="AA145" s="7">
        <f>LAVORAZIONI!AG397</f>
        <v/>
      </c>
      <c r="AB145" s="6">
        <f>LAVORAZIONI!AH397</f>
        <v/>
      </c>
      <c r="AC145" s="7">
        <f>LAVORAZIONI!AI397</f>
        <v/>
      </c>
      <c r="AD145" s="13">
        <f>LAVORAZIONI!AJ397</f>
        <v/>
      </c>
    </row>
    <row r="146" ht="64" customHeight="1" s="46">
      <c r="D146" s="14" t="inlineStr">
        <is>
          <t>TOTALE MECCANICHE SPECIALI</t>
        </is>
      </c>
      <c r="I146" s="10">
        <f>SUM(I5:I145)</f>
        <v/>
      </c>
      <c r="L146" s="10">
        <f>SUM(L5:L145)</f>
        <v/>
      </c>
      <c r="M146" s="10">
        <f>SUM(M5:M145)</f>
        <v/>
      </c>
      <c r="P146" s="28">
        <f>SUM(P5:P145)</f>
        <v/>
      </c>
      <c r="R146" s="10">
        <f>SUM(R5:R145)</f>
        <v/>
      </c>
      <c r="T146" s="10">
        <f>SUM(T5:T145)</f>
        <v/>
      </c>
      <c r="V146" s="10">
        <f>SUM(V5:V145)</f>
        <v/>
      </c>
      <c r="X146" s="10">
        <f>SUM(X5:X145)</f>
        <v/>
      </c>
      <c r="Z146" s="10">
        <f>SUM(Z5:Z145)</f>
        <v/>
      </c>
      <c r="AB146" s="10">
        <f>SUM(AB5:AB145)</f>
        <v/>
      </c>
      <c r="AD146" s="10">
        <f>SUM(AD5:AD145)</f>
        <v/>
      </c>
    </row>
    <row r="149" ht="64" customHeight="1" s="46">
      <c r="P149" s="29" t="n"/>
    </row>
  </sheetData>
  <mergeCells count="9">
    <mergeCell ref="AC3:AD3"/>
    <mergeCell ref="AA3:AB3"/>
    <mergeCell ref="O3:P3"/>
    <mergeCell ref="Q3:R3"/>
    <mergeCell ref="U3:V3"/>
    <mergeCell ref="Y3:Z3"/>
    <mergeCell ref="B2:L2"/>
    <mergeCell ref="W3:X3"/>
    <mergeCell ref="S3:T3"/>
  </mergeCells>
  <pageMargins left="0.75" right="0.75" top="1" bottom="1" header="0.511811023622047" footer="0.511811023622047"/>
  <pageSetup orientation="landscape" paperSize="9" scale="72" horizontalDpi="300" verticalDpi="300"/>
  <headerFooter>
    <oddHeader>&amp;C&amp;"Helvetica Neue,Normale"&amp;16 &amp;K000000SAL APRILE 26 - OPERE MECCANICHE SPECIALI A SERVIZIO DELLE APPARECCHIATURE DI LABORATORIO</oddHeader>
    <oddFooter>&amp;L&amp;C&amp;R</oddFooter>
    <evenHeader/>
    <evenFooter/>
    <firstHeader/>
    <firstFooter/>
  </headerFooter>
  <colBreaks count="1" manualBreakCount="1">
    <brk id="16" min="0" max="1048575" man="1"/>
  </colBreaks>
</worksheet>
</file>

<file path=xl/worksheets/sheet6.xml><?xml version="1.0" encoding="utf-8"?>
<worksheet xmlns="http://schemas.openxmlformats.org/spreadsheetml/2006/main">
  <sheetPr>
    <outlinePr summaryBelow="1" summaryRight="1"/>
    <pageSetUpPr/>
  </sheetPr>
  <dimension ref="B2:AD122"/>
  <sheetViews>
    <sheetView showGridLines="0" zoomScaleNormal="100" workbookViewId="0">
      <pane xSplit="6" ySplit="4" topLeftCell="N113" activePane="bottomRight" state="frozen"/>
      <selection pane="topRight" activeCell="G1" sqref="G1"/>
      <selection pane="bottomLeft" activeCell="A4" sqref="A4"/>
      <selection pane="bottomRight" activeCell="R120" sqref="R120"/>
    </sheetView>
  </sheetViews>
  <sheetFormatPr baseColWidth="10" defaultColWidth="8.6640625" defaultRowHeight="64" customHeight="1"/>
  <cols>
    <col width="7" customWidth="1" style="46" min="2" max="2"/>
    <col width="22" customWidth="1" style="46" min="3" max="3"/>
    <col width="36" customWidth="1" style="46" min="4" max="4"/>
    <col width="16" customWidth="1" style="46" min="5" max="5"/>
    <col width="7" customWidth="1" style="46" min="6" max="6"/>
    <col width="9" customWidth="1" style="46" min="7" max="7"/>
    <col width="11" customWidth="1" style="46" min="8" max="8"/>
    <col width="13" customWidth="1" style="46" min="9" max="9"/>
    <col hidden="1" width="9" customWidth="1" style="46" min="10" max="10"/>
    <col hidden="1" width="11" customWidth="1" style="46" min="11" max="11"/>
    <col hidden="1" width="13" customWidth="1" style="46" min="12" max="12"/>
    <col width="13" customWidth="1" style="46" min="13" max="13"/>
    <col width="6" customWidth="1" style="46" min="15" max="15"/>
    <col width="12" customWidth="1" style="46" min="16" max="16"/>
    <col width="6" customWidth="1" style="46" min="17" max="17"/>
    <col width="12" customWidth="1" style="46" min="18" max="18"/>
    <col width="6" customWidth="1" style="46" min="19" max="19"/>
    <col width="12" customWidth="1" style="46" min="20" max="20"/>
    <col width="6" customWidth="1" style="46" min="21" max="21"/>
    <col width="12" customWidth="1" style="46" min="22" max="22"/>
    <col width="6" customWidth="1" style="46" min="23" max="23"/>
    <col width="12" customWidth="1" style="46" min="24" max="24"/>
    <col width="6" customWidth="1" style="46" min="25" max="25"/>
    <col width="12" customWidth="1" style="46" min="26" max="26"/>
    <col width="6" customWidth="1" style="46" min="27" max="27"/>
    <col width="12" customWidth="1" style="46" min="28" max="28"/>
    <col width="7" customWidth="1" style="46" min="29" max="29"/>
    <col width="13" customWidth="1" style="46" min="30" max="30"/>
  </cols>
  <sheetData>
    <row r="1" ht="33" customHeight="1" s="46"/>
    <row r="2" ht="64" customHeight="1" s="46">
      <c r="B2" s="38" t="inlineStr">
        <is>
          <t>DETTAGLIO SAL — OPERE ELETTRICHE</t>
        </is>
      </c>
      <c r="C2" s="34" t="n"/>
      <c r="D2" s="34" t="n"/>
      <c r="E2" s="34" t="n"/>
      <c r="F2" s="34" t="n"/>
      <c r="G2" s="34" t="n"/>
      <c r="H2" s="34" t="n"/>
      <c r="I2" s="34" t="n"/>
      <c r="J2" s="34" t="n"/>
      <c r="K2" s="34" t="n"/>
      <c r="L2" s="32" t="n"/>
      <c r="M2" s="32" t="n"/>
    </row>
    <row r="3" ht="64" customHeight="1" s="46">
      <c r="B3" s="31" t="inlineStr">
        <is>
          <t>Nr.Ord.</t>
        </is>
      </c>
      <c r="C3" s="31" t="inlineStr">
        <is>
          <t>TARIFFA</t>
        </is>
      </c>
      <c r="D3" s="31" t="inlineStr">
        <is>
          <t>DESIGNAZIONE</t>
        </is>
      </c>
      <c r="E3" s="31" t="inlineStr">
        <is>
          <t>STEP</t>
        </is>
      </c>
      <c r="F3" s="31" t="inlineStr">
        <is>
          <t>U.M.</t>
        </is>
      </c>
      <c r="G3" s="31" t="inlineStr">
        <is>
          <t>Q.tà PREV</t>
        </is>
      </c>
      <c r="H3" s="31" t="inlineStr">
        <is>
          <t>VAL.UNIT PREV</t>
        </is>
      </c>
      <c r="I3" s="31" t="inlineStr">
        <is>
          <t>TOTALE PREV</t>
        </is>
      </c>
      <c r="J3" s="31" t="inlineStr">
        <is>
          <t>Q.tà CONS</t>
        </is>
      </c>
      <c r="K3" s="31" t="inlineStr">
        <is>
          <t>VAL.UNIT CONS</t>
        </is>
      </c>
      <c r="L3" s="31" t="inlineStr">
        <is>
          <t>TOTALE CONS</t>
        </is>
      </c>
      <c r="M3" s="31" t="inlineStr">
        <is>
          <t>VALORE PER SAL</t>
        </is>
      </c>
      <c r="O3" s="35" t="inlineStr">
        <is>
          <t>SAL 01 APRILE</t>
        </is>
      </c>
      <c r="P3" s="32" t="n"/>
      <c r="Q3" s="51" t="inlineStr">
        <is>
          <t>SAL 02 MAGGIO</t>
        </is>
      </c>
      <c r="R3" s="32" t="n"/>
      <c r="S3" s="31" t="inlineStr">
        <is>
          <t>SAL 03 GIUGNO</t>
        </is>
      </c>
      <c r="T3" s="32" t="n"/>
      <c r="U3" s="31" t="inlineStr">
        <is>
          <t>SAL 04 LUGLIO</t>
        </is>
      </c>
      <c r="V3" s="32" t="n"/>
      <c r="W3" s="31" t="inlineStr">
        <is>
          <t>SAL 05 AGOSTO</t>
        </is>
      </c>
      <c r="X3" s="32" t="n"/>
      <c r="Y3" s="31" t="inlineStr">
        <is>
          <t>SAL 06 SETTEMBRE</t>
        </is>
      </c>
      <c r="Z3" s="32" t="n"/>
      <c r="AA3" s="31" t="inlineStr">
        <is>
          <t>SAL 07 OTTOBRE</t>
        </is>
      </c>
      <c r="AB3" s="32" t="n"/>
      <c r="AC3" s="31" t="inlineStr">
        <is>
          <t>TOTALE COMPL.</t>
        </is>
      </c>
      <c r="AD3" s="32" t="n"/>
    </row>
    <row r="4" ht="51" customHeight="1" s="46">
      <c r="O4" s="12" t="inlineStr">
        <is>
          <t>%</t>
        </is>
      </c>
      <c r="P4" s="26" t="inlineStr">
        <is>
          <t>TOTALE</t>
        </is>
      </c>
      <c r="Q4" s="12" t="inlineStr">
        <is>
          <t>%</t>
        </is>
      </c>
      <c r="R4" s="12" t="inlineStr">
        <is>
          <t>TOTALE</t>
        </is>
      </c>
      <c r="S4" s="12" t="inlineStr">
        <is>
          <t>%</t>
        </is>
      </c>
      <c r="T4" s="12" t="inlineStr">
        <is>
          <t>TOTALE</t>
        </is>
      </c>
      <c r="U4" s="12" t="inlineStr">
        <is>
          <t>%</t>
        </is>
      </c>
      <c r="V4" s="12" t="inlineStr">
        <is>
          <t>TOTALE</t>
        </is>
      </c>
      <c r="W4" s="12" t="inlineStr">
        <is>
          <t>%</t>
        </is>
      </c>
      <c r="X4" s="12" t="inlineStr">
        <is>
          <t>TOTALE</t>
        </is>
      </c>
      <c r="Y4" s="12" t="inlineStr">
        <is>
          <t>%</t>
        </is>
      </c>
      <c r="Z4" s="12" t="inlineStr">
        <is>
          <t>TOTALE</t>
        </is>
      </c>
      <c r="AA4" s="12" t="inlineStr">
        <is>
          <t>%</t>
        </is>
      </c>
      <c r="AB4" s="12" t="inlineStr">
        <is>
          <t>TOTALE</t>
        </is>
      </c>
      <c r="AC4" s="12" t="inlineStr">
        <is>
          <t>%</t>
        </is>
      </c>
      <c r="AD4" s="12" t="inlineStr">
        <is>
          <t>TOTALE</t>
        </is>
      </c>
    </row>
    <row r="5" ht="64" customHeight="1" s="46">
      <c r="B5" s="4">
        <f>LAVORAZIONI!G398</f>
        <v/>
      </c>
      <c r="C5" s="3">
        <f>LAVORAZIONI!A398</f>
        <v/>
      </c>
      <c r="D5" s="3">
        <f>LAVORAZIONI!K398</f>
        <v/>
      </c>
      <c r="E5" s="4">
        <f>LAVORAZIONI!H398</f>
        <v/>
      </c>
      <c r="F5" s="4">
        <f>LAVORAZIONI!M398</f>
        <v/>
      </c>
      <c r="G5" s="5">
        <f>LAVORAZIONI!N398</f>
        <v/>
      </c>
      <c r="H5" s="6">
        <f>LAVORAZIONI!O398</f>
        <v/>
      </c>
      <c r="I5" s="13">
        <f>LAVORAZIONI!P398</f>
        <v/>
      </c>
      <c r="J5" s="5">
        <f>IF(LAVORAZIONI!Q398="","",LAVORAZIONI!Q398)</f>
        <v/>
      </c>
      <c r="K5" s="6">
        <f>IF(LAVORAZIONI!R398="","",LAVORAZIONI!R398)</f>
        <v/>
      </c>
      <c r="L5" s="13">
        <f>IF(LAVORAZIONI!S398="","",LAVORAZIONI!S398)</f>
        <v/>
      </c>
      <c r="M5" s="13">
        <f>LAVORAZIONI!T398</f>
        <v/>
      </c>
      <c r="O5" s="7">
        <f>LAVORAZIONI!U398</f>
        <v/>
      </c>
      <c r="P5" s="45">
        <f>LAVORAZIONI!V398</f>
        <v/>
      </c>
      <c r="Q5" s="7">
        <f>LAVORAZIONI!W398</f>
        <v/>
      </c>
      <c r="R5" s="6">
        <f>LAVORAZIONI!X398</f>
        <v/>
      </c>
      <c r="S5" s="7">
        <f>LAVORAZIONI!Y398</f>
        <v/>
      </c>
      <c r="T5" s="6">
        <f>LAVORAZIONI!Z398</f>
        <v/>
      </c>
      <c r="U5" s="7">
        <f>LAVORAZIONI!AA398</f>
        <v/>
      </c>
      <c r="V5" s="6">
        <f>LAVORAZIONI!AB398</f>
        <v/>
      </c>
      <c r="W5" s="7">
        <f>LAVORAZIONI!AC398</f>
        <v/>
      </c>
      <c r="X5" s="6">
        <f>LAVORAZIONI!AD398</f>
        <v/>
      </c>
      <c r="Y5" s="7">
        <f>LAVORAZIONI!AE398</f>
        <v/>
      </c>
      <c r="Z5" s="6">
        <f>LAVORAZIONI!AF398</f>
        <v/>
      </c>
      <c r="AA5" s="7">
        <f>LAVORAZIONI!AG398</f>
        <v/>
      </c>
      <c r="AB5" s="6">
        <f>LAVORAZIONI!AH398</f>
        <v/>
      </c>
      <c r="AC5" s="7">
        <f>LAVORAZIONI!AI398</f>
        <v/>
      </c>
      <c r="AD5" s="13">
        <f>LAVORAZIONI!AJ398</f>
        <v/>
      </c>
    </row>
    <row r="6" ht="64" customHeight="1" s="46">
      <c r="B6" s="4">
        <f>LAVORAZIONI!G399</f>
        <v/>
      </c>
      <c r="C6" s="3">
        <f>LAVORAZIONI!A399</f>
        <v/>
      </c>
      <c r="D6" s="3">
        <f>LAVORAZIONI!K399</f>
        <v/>
      </c>
      <c r="E6" s="4">
        <f>LAVORAZIONI!H399</f>
        <v/>
      </c>
      <c r="F6" s="4">
        <f>LAVORAZIONI!M399</f>
        <v/>
      </c>
      <c r="G6" s="5">
        <f>LAVORAZIONI!N399</f>
        <v/>
      </c>
      <c r="H6" s="6">
        <f>LAVORAZIONI!O399</f>
        <v/>
      </c>
      <c r="I6" s="13">
        <f>LAVORAZIONI!P399</f>
        <v/>
      </c>
      <c r="J6" s="5">
        <f>IF(LAVORAZIONI!Q399="","",LAVORAZIONI!Q399)</f>
        <v/>
      </c>
      <c r="K6" s="6">
        <f>IF(LAVORAZIONI!R399="","",LAVORAZIONI!R399)</f>
        <v/>
      </c>
      <c r="L6" s="13">
        <f>IF(LAVORAZIONI!S399="","",LAVORAZIONI!S399)</f>
        <v/>
      </c>
      <c r="M6" s="13">
        <f>LAVORAZIONI!T399</f>
        <v/>
      </c>
      <c r="O6" s="7">
        <f>LAVORAZIONI!U399</f>
        <v/>
      </c>
      <c r="P6" s="45">
        <f>LAVORAZIONI!V399</f>
        <v/>
      </c>
      <c r="Q6" s="7">
        <f>LAVORAZIONI!W399</f>
        <v/>
      </c>
      <c r="R6" s="6">
        <f>LAVORAZIONI!X399</f>
        <v/>
      </c>
      <c r="S6" s="7">
        <f>LAVORAZIONI!Y399</f>
        <v/>
      </c>
      <c r="T6" s="6">
        <f>LAVORAZIONI!Z399</f>
        <v/>
      </c>
      <c r="U6" s="7">
        <f>LAVORAZIONI!AA399</f>
        <v/>
      </c>
      <c r="V6" s="6">
        <f>LAVORAZIONI!AB399</f>
        <v/>
      </c>
      <c r="W6" s="7">
        <f>LAVORAZIONI!AC399</f>
        <v/>
      </c>
      <c r="X6" s="6">
        <f>LAVORAZIONI!AD399</f>
        <v/>
      </c>
      <c r="Y6" s="7">
        <f>LAVORAZIONI!AE399</f>
        <v/>
      </c>
      <c r="Z6" s="6">
        <f>LAVORAZIONI!AF399</f>
        <v/>
      </c>
      <c r="AA6" s="7">
        <f>LAVORAZIONI!AG399</f>
        <v/>
      </c>
      <c r="AB6" s="6">
        <f>LAVORAZIONI!AH399</f>
        <v/>
      </c>
      <c r="AC6" s="7">
        <f>LAVORAZIONI!AI399</f>
        <v/>
      </c>
      <c r="AD6" s="13">
        <f>LAVORAZIONI!AJ399</f>
        <v/>
      </c>
    </row>
    <row r="7" ht="64" customHeight="1" s="46">
      <c r="B7" s="4">
        <f>LAVORAZIONI!G400</f>
        <v/>
      </c>
      <c r="C7" s="3">
        <f>LAVORAZIONI!A400</f>
        <v/>
      </c>
      <c r="D7" s="3">
        <f>LAVORAZIONI!K400</f>
        <v/>
      </c>
      <c r="E7" s="4">
        <f>LAVORAZIONI!H400</f>
        <v/>
      </c>
      <c r="F7" s="4">
        <f>LAVORAZIONI!M400</f>
        <v/>
      </c>
      <c r="G7" s="5">
        <f>LAVORAZIONI!N400</f>
        <v/>
      </c>
      <c r="H7" s="6">
        <f>LAVORAZIONI!O400</f>
        <v/>
      </c>
      <c r="I7" s="13">
        <f>LAVORAZIONI!P400</f>
        <v/>
      </c>
      <c r="J7" s="5">
        <f>IF(LAVORAZIONI!Q400="","",LAVORAZIONI!Q400)</f>
        <v/>
      </c>
      <c r="K7" s="6">
        <f>IF(LAVORAZIONI!R400="","",LAVORAZIONI!R400)</f>
        <v/>
      </c>
      <c r="L7" s="13">
        <f>IF(LAVORAZIONI!S400="","",LAVORAZIONI!S400)</f>
        <v/>
      </c>
      <c r="M7" s="13">
        <f>LAVORAZIONI!T400</f>
        <v/>
      </c>
      <c r="O7" s="7">
        <f>LAVORAZIONI!U400</f>
        <v/>
      </c>
      <c r="P7" s="45">
        <f>LAVORAZIONI!V400</f>
        <v/>
      </c>
      <c r="Q7" s="7">
        <f>LAVORAZIONI!W400</f>
        <v/>
      </c>
      <c r="R7" s="6">
        <f>LAVORAZIONI!X400</f>
        <v/>
      </c>
      <c r="S7" s="7">
        <f>LAVORAZIONI!Y400</f>
        <v/>
      </c>
      <c r="T7" s="6">
        <f>LAVORAZIONI!Z400</f>
        <v/>
      </c>
      <c r="U7" s="7">
        <f>LAVORAZIONI!AA400</f>
        <v/>
      </c>
      <c r="V7" s="6">
        <f>LAVORAZIONI!AB400</f>
        <v/>
      </c>
      <c r="W7" s="7">
        <f>LAVORAZIONI!AC400</f>
        <v/>
      </c>
      <c r="X7" s="6">
        <f>LAVORAZIONI!AD400</f>
        <v/>
      </c>
      <c r="Y7" s="7">
        <f>LAVORAZIONI!AE400</f>
        <v/>
      </c>
      <c r="Z7" s="6">
        <f>LAVORAZIONI!AF400</f>
        <v/>
      </c>
      <c r="AA7" s="7">
        <f>LAVORAZIONI!AG400</f>
        <v/>
      </c>
      <c r="AB7" s="6">
        <f>LAVORAZIONI!AH400</f>
        <v/>
      </c>
      <c r="AC7" s="7">
        <f>LAVORAZIONI!AI400</f>
        <v/>
      </c>
      <c r="AD7" s="13">
        <f>LAVORAZIONI!AJ400</f>
        <v/>
      </c>
    </row>
    <row r="8" ht="64" customHeight="1" s="46">
      <c r="B8" s="4">
        <f>LAVORAZIONI!G401</f>
        <v/>
      </c>
      <c r="C8" s="3">
        <f>LAVORAZIONI!A401</f>
        <v/>
      </c>
      <c r="D8" s="3">
        <f>LAVORAZIONI!K401</f>
        <v/>
      </c>
      <c r="E8" s="4">
        <f>LAVORAZIONI!H401</f>
        <v/>
      </c>
      <c r="F8" s="4">
        <f>LAVORAZIONI!M401</f>
        <v/>
      </c>
      <c r="G8" s="5">
        <f>LAVORAZIONI!N401</f>
        <v/>
      </c>
      <c r="H8" s="6">
        <f>LAVORAZIONI!O401</f>
        <v/>
      </c>
      <c r="I8" s="13">
        <f>LAVORAZIONI!P401</f>
        <v/>
      </c>
      <c r="J8" s="5">
        <f>IF(LAVORAZIONI!Q401="","",LAVORAZIONI!Q401)</f>
        <v/>
      </c>
      <c r="K8" s="6">
        <f>IF(LAVORAZIONI!R401="","",LAVORAZIONI!R401)</f>
        <v/>
      </c>
      <c r="L8" s="13">
        <f>IF(LAVORAZIONI!S401="","",LAVORAZIONI!S401)</f>
        <v/>
      </c>
      <c r="M8" s="13">
        <f>LAVORAZIONI!T401</f>
        <v/>
      </c>
      <c r="O8" s="7">
        <f>LAVORAZIONI!U401</f>
        <v/>
      </c>
      <c r="P8" s="45">
        <f>LAVORAZIONI!V401</f>
        <v/>
      </c>
      <c r="Q8" s="7">
        <f>LAVORAZIONI!W401</f>
        <v/>
      </c>
      <c r="R8" s="6">
        <f>LAVORAZIONI!X401</f>
        <v/>
      </c>
      <c r="S8" s="7">
        <f>LAVORAZIONI!Y401</f>
        <v/>
      </c>
      <c r="T8" s="6">
        <f>LAVORAZIONI!Z401</f>
        <v/>
      </c>
      <c r="U8" s="7">
        <f>LAVORAZIONI!AA401</f>
        <v/>
      </c>
      <c r="V8" s="6">
        <f>LAVORAZIONI!AB401</f>
        <v/>
      </c>
      <c r="W8" s="7">
        <f>LAVORAZIONI!AC401</f>
        <v/>
      </c>
      <c r="X8" s="6">
        <f>LAVORAZIONI!AD401</f>
        <v/>
      </c>
      <c r="Y8" s="7">
        <f>LAVORAZIONI!AE401</f>
        <v/>
      </c>
      <c r="Z8" s="6">
        <f>LAVORAZIONI!AF401</f>
        <v/>
      </c>
      <c r="AA8" s="7">
        <f>LAVORAZIONI!AG401</f>
        <v/>
      </c>
      <c r="AB8" s="6">
        <f>LAVORAZIONI!AH401</f>
        <v/>
      </c>
      <c r="AC8" s="7">
        <f>LAVORAZIONI!AI401</f>
        <v/>
      </c>
      <c r="AD8" s="13">
        <f>LAVORAZIONI!AJ401</f>
        <v/>
      </c>
    </row>
    <row r="9" ht="64" customHeight="1" s="46">
      <c r="B9" s="4">
        <f>LAVORAZIONI!G402</f>
        <v/>
      </c>
      <c r="C9" s="3">
        <f>LAVORAZIONI!A402</f>
        <v/>
      </c>
      <c r="D9" s="3">
        <f>LAVORAZIONI!K402</f>
        <v/>
      </c>
      <c r="E9" s="4">
        <f>LAVORAZIONI!H402</f>
        <v/>
      </c>
      <c r="F9" s="4">
        <f>LAVORAZIONI!M402</f>
        <v/>
      </c>
      <c r="G9" s="5">
        <f>LAVORAZIONI!N402</f>
        <v/>
      </c>
      <c r="H9" s="6">
        <f>LAVORAZIONI!O402</f>
        <v/>
      </c>
      <c r="I9" s="13">
        <f>LAVORAZIONI!P402</f>
        <v/>
      </c>
      <c r="J9" s="5">
        <f>IF(LAVORAZIONI!Q402="","",LAVORAZIONI!Q402)</f>
        <v/>
      </c>
      <c r="K9" s="6">
        <f>IF(LAVORAZIONI!R402="","",LAVORAZIONI!R402)</f>
        <v/>
      </c>
      <c r="L9" s="13">
        <f>IF(LAVORAZIONI!S402="","",LAVORAZIONI!S402)</f>
        <v/>
      </c>
      <c r="M9" s="13">
        <f>LAVORAZIONI!T402</f>
        <v/>
      </c>
      <c r="O9" s="7">
        <f>LAVORAZIONI!U402</f>
        <v/>
      </c>
      <c r="P9" s="45">
        <f>LAVORAZIONI!V402</f>
        <v/>
      </c>
      <c r="Q9" s="7">
        <f>LAVORAZIONI!W402</f>
        <v/>
      </c>
      <c r="R9" s="6">
        <f>LAVORAZIONI!X402</f>
        <v/>
      </c>
      <c r="S9" s="7">
        <f>LAVORAZIONI!Y402</f>
        <v/>
      </c>
      <c r="T9" s="6">
        <f>LAVORAZIONI!Z402</f>
        <v/>
      </c>
      <c r="U9" s="7">
        <f>LAVORAZIONI!AA402</f>
        <v/>
      </c>
      <c r="V9" s="6">
        <f>LAVORAZIONI!AB402</f>
        <v/>
      </c>
      <c r="W9" s="7">
        <f>LAVORAZIONI!AC402</f>
        <v/>
      </c>
      <c r="X9" s="6">
        <f>LAVORAZIONI!AD402</f>
        <v/>
      </c>
      <c r="Y9" s="7">
        <f>LAVORAZIONI!AE402</f>
        <v/>
      </c>
      <c r="Z9" s="6">
        <f>LAVORAZIONI!AF402</f>
        <v/>
      </c>
      <c r="AA9" s="7">
        <f>LAVORAZIONI!AG402</f>
        <v/>
      </c>
      <c r="AB9" s="6">
        <f>LAVORAZIONI!AH402</f>
        <v/>
      </c>
      <c r="AC9" s="7">
        <f>LAVORAZIONI!AI402</f>
        <v/>
      </c>
      <c r="AD9" s="13">
        <f>LAVORAZIONI!AJ402</f>
        <v/>
      </c>
    </row>
    <row r="10" ht="64" customHeight="1" s="46">
      <c r="B10" s="4">
        <f>LAVORAZIONI!G403</f>
        <v/>
      </c>
      <c r="C10" s="3">
        <f>LAVORAZIONI!A403</f>
        <v/>
      </c>
      <c r="D10" s="3">
        <f>LAVORAZIONI!K403</f>
        <v/>
      </c>
      <c r="E10" s="4">
        <f>LAVORAZIONI!H403</f>
        <v/>
      </c>
      <c r="F10" s="4">
        <f>LAVORAZIONI!M403</f>
        <v/>
      </c>
      <c r="G10" s="5">
        <f>LAVORAZIONI!N403</f>
        <v/>
      </c>
      <c r="H10" s="6">
        <f>LAVORAZIONI!O403</f>
        <v/>
      </c>
      <c r="I10" s="13">
        <f>LAVORAZIONI!P403</f>
        <v/>
      </c>
      <c r="J10" s="5">
        <f>IF(LAVORAZIONI!Q403="","",LAVORAZIONI!Q403)</f>
        <v/>
      </c>
      <c r="K10" s="6">
        <f>IF(LAVORAZIONI!R403="","",LAVORAZIONI!R403)</f>
        <v/>
      </c>
      <c r="L10" s="13">
        <f>IF(LAVORAZIONI!S403="","",LAVORAZIONI!S403)</f>
        <v/>
      </c>
      <c r="M10" s="13">
        <f>LAVORAZIONI!T403</f>
        <v/>
      </c>
      <c r="O10" s="7">
        <f>LAVORAZIONI!U403</f>
        <v/>
      </c>
      <c r="P10" s="45">
        <f>LAVORAZIONI!V403</f>
        <v/>
      </c>
      <c r="Q10" s="7">
        <f>LAVORAZIONI!W403</f>
        <v/>
      </c>
      <c r="R10" s="6">
        <f>LAVORAZIONI!X403</f>
        <v/>
      </c>
      <c r="S10" s="7">
        <f>LAVORAZIONI!Y403</f>
        <v/>
      </c>
      <c r="T10" s="6">
        <f>LAVORAZIONI!Z403</f>
        <v/>
      </c>
      <c r="U10" s="7">
        <f>LAVORAZIONI!AA403</f>
        <v/>
      </c>
      <c r="V10" s="6">
        <f>LAVORAZIONI!AB403</f>
        <v/>
      </c>
      <c r="W10" s="7">
        <f>LAVORAZIONI!AC403</f>
        <v/>
      </c>
      <c r="X10" s="6">
        <f>LAVORAZIONI!AD403</f>
        <v/>
      </c>
      <c r="Y10" s="7">
        <f>LAVORAZIONI!AE403</f>
        <v/>
      </c>
      <c r="Z10" s="6">
        <f>LAVORAZIONI!AF403</f>
        <v/>
      </c>
      <c r="AA10" s="7">
        <f>LAVORAZIONI!AG403</f>
        <v/>
      </c>
      <c r="AB10" s="6">
        <f>LAVORAZIONI!AH403</f>
        <v/>
      </c>
      <c r="AC10" s="7">
        <f>LAVORAZIONI!AI403</f>
        <v/>
      </c>
      <c r="AD10" s="13">
        <f>LAVORAZIONI!AJ403</f>
        <v/>
      </c>
    </row>
    <row r="11" ht="64" customHeight="1" s="46">
      <c r="B11" s="4">
        <f>LAVORAZIONI!G404</f>
        <v/>
      </c>
      <c r="C11" s="3">
        <f>LAVORAZIONI!A404</f>
        <v/>
      </c>
      <c r="D11" s="3">
        <f>LAVORAZIONI!K404</f>
        <v/>
      </c>
      <c r="E11" s="4">
        <f>LAVORAZIONI!H404</f>
        <v/>
      </c>
      <c r="F11" s="4">
        <f>LAVORAZIONI!M404</f>
        <v/>
      </c>
      <c r="G11" s="5">
        <f>LAVORAZIONI!N404</f>
        <v/>
      </c>
      <c r="H11" s="6">
        <f>LAVORAZIONI!O404</f>
        <v/>
      </c>
      <c r="I11" s="13">
        <f>LAVORAZIONI!P404</f>
        <v/>
      </c>
      <c r="J11" s="5">
        <f>IF(LAVORAZIONI!Q404="","",LAVORAZIONI!Q404)</f>
        <v/>
      </c>
      <c r="K11" s="6">
        <f>IF(LAVORAZIONI!R404="","",LAVORAZIONI!R404)</f>
        <v/>
      </c>
      <c r="L11" s="13">
        <f>IF(LAVORAZIONI!S404="","",LAVORAZIONI!S404)</f>
        <v/>
      </c>
      <c r="M11" s="13">
        <f>LAVORAZIONI!T404</f>
        <v/>
      </c>
      <c r="O11" s="7">
        <f>LAVORAZIONI!U404</f>
        <v/>
      </c>
      <c r="P11" s="45">
        <f>LAVORAZIONI!V404</f>
        <v/>
      </c>
      <c r="Q11" s="7">
        <f>LAVORAZIONI!W404</f>
        <v/>
      </c>
      <c r="R11" s="6">
        <f>LAVORAZIONI!X404</f>
        <v/>
      </c>
      <c r="S11" s="7">
        <f>LAVORAZIONI!Y404</f>
        <v/>
      </c>
      <c r="T11" s="6">
        <f>LAVORAZIONI!Z404</f>
        <v/>
      </c>
      <c r="U11" s="7">
        <f>LAVORAZIONI!AA404</f>
        <v/>
      </c>
      <c r="V11" s="6">
        <f>LAVORAZIONI!AB404</f>
        <v/>
      </c>
      <c r="W11" s="7">
        <f>LAVORAZIONI!AC404</f>
        <v/>
      </c>
      <c r="X11" s="6">
        <f>LAVORAZIONI!AD404</f>
        <v/>
      </c>
      <c r="Y11" s="7">
        <f>LAVORAZIONI!AE404</f>
        <v/>
      </c>
      <c r="Z11" s="6">
        <f>LAVORAZIONI!AF404</f>
        <v/>
      </c>
      <c r="AA11" s="7">
        <f>LAVORAZIONI!AG404</f>
        <v/>
      </c>
      <c r="AB11" s="6">
        <f>LAVORAZIONI!AH404</f>
        <v/>
      </c>
      <c r="AC11" s="7">
        <f>LAVORAZIONI!AI404</f>
        <v/>
      </c>
      <c r="AD11" s="13">
        <f>LAVORAZIONI!AJ404</f>
        <v/>
      </c>
    </row>
    <row r="12" ht="64" customHeight="1" s="46">
      <c r="B12" s="4">
        <f>LAVORAZIONI!G405</f>
        <v/>
      </c>
      <c r="C12" s="3">
        <f>LAVORAZIONI!A405</f>
        <v/>
      </c>
      <c r="D12" s="3">
        <f>LAVORAZIONI!K405</f>
        <v/>
      </c>
      <c r="E12" s="4">
        <f>LAVORAZIONI!H405</f>
        <v/>
      </c>
      <c r="F12" s="4">
        <f>LAVORAZIONI!M405</f>
        <v/>
      </c>
      <c r="G12" s="5">
        <f>LAVORAZIONI!N405</f>
        <v/>
      </c>
      <c r="H12" s="6">
        <f>LAVORAZIONI!O405</f>
        <v/>
      </c>
      <c r="I12" s="13">
        <f>LAVORAZIONI!P405</f>
        <v/>
      </c>
      <c r="J12" s="5">
        <f>IF(LAVORAZIONI!Q405="","",LAVORAZIONI!Q405)</f>
        <v/>
      </c>
      <c r="K12" s="6">
        <f>IF(LAVORAZIONI!R405="","",LAVORAZIONI!R405)</f>
        <v/>
      </c>
      <c r="L12" s="13">
        <f>IF(LAVORAZIONI!S405="","",LAVORAZIONI!S405)</f>
        <v/>
      </c>
      <c r="M12" s="13">
        <f>LAVORAZIONI!T405</f>
        <v/>
      </c>
      <c r="O12" s="7">
        <f>LAVORAZIONI!U405</f>
        <v/>
      </c>
      <c r="P12" s="45">
        <f>LAVORAZIONI!V405</f>
        <v/>
      </c>
      <c r="Q12" s="7">
        <f>LAVORAZIONI!W405</f>
        <v/>
      </c>
      <c r="R12" s="6">
        <f>LAVORAZIONI!X405</f>
        <v/>
      </c>
      <c r="S12" s="7">
        <f>LAVORAZIONI!Y405</f>
        <v/>
      </c>
      <c r="T12" s="6">
        <f>LAVORAZIONI!Z405</f>
        <v/>
      </c>
      <c r="U12" s="7">
        <f>LAVORAZIONI!AA405</f>
        <v/>
      </c>
      <c r="V12" s="6">
        <f>LAVORAZIONI!AB405</f>
        <v/>
      </c>
      <c r="W12" s="7">
        <f>LAVORAZIONI!AC405</f>
        <v/>
      </c>
      <c r="X12" s="6">
        <f>LAVORAZIONI!AD405</f>
        <v/>
      </c>
      <c r="Y12" s="7">
        <f>LAVORAZIONI!AE405</f>
        <v/>
      </c>
      <c r="Z12" s="6">
        <f>LAVORAZIONI!AF405</f>
        <v/>
      </c>
      <c r="AA12" s="7">
        <f>LAVORAZIONI!AG405</f>
        <v/>
      </c>
      <c r="AB12" s="6">
        <f>LAVORAZIONI!AH405</f>
        <v/>
      </c>
      <c r="AC12" s="7">
        <f>LAVORAZIONI!AI405</f>
        <v/>
      </c>
      <c r="AD12" s="13">
        <f>LAVORAZIONI!AJ405</f>
        <v/>
      </c>
    </row>
    <row r="13" ht="64" customHeight="1" s="46">
      <c r="B13" s="4">
        <f>LAVORAZIONI!G406</f>
        <v/>
      </c>
      <c r="C13" s="3">
        <f>LAVORAZIONI!A406</f>
        <v/>
      </c>
      <c r="D13" s="3">
        <f>LAVORAZIONI!K406</f>
        <v/>
      </c>
      <c r="E13" s="4">
        <f>LAVORAZIONI!H406</f>
        <v/>
      </c>
      <c r="F13" s="4">
        <f>LAVORAZIONI!M406</f>
        <v/>
      </c>
      <c r="G13" s="5">
        <f>LAVORAZIONI!N406</f>
        <v/>
      </c>
      <c r="H13" s="6">
        <f>LAVORAZIONI!O406</f>
        <v/>
      </c>
      <c r="I13" s="13">
        <f>LAVORAZIONI!P406</f>
        <v/>
      </c>
      <c r="J13" s="5">
        <f>IF(LAVORAZIONI!Q406="","",LAVORAZIONI!Q406)</f>
        <v/>
      </c>
      <c r="K13" s="6">
        <f>IF(LAVORAZIONI!R406="","",LAVORAZIONI!R406)</f>
        <v/>
      </c>
      <c r="L13" s="13">
        <f>IF(LAVORAZIONI!S406="","",LAVORAZIONI!S406)</f>
        <v/>
      </c>
      <c r="M13" s="13">
        <f>LAVORAZIONI!T406</f>
        <v/>
      </c>
      <c r="O13" s="7">
        <f>LAVORAZIONI!U406</f>
        <v/>
      </c>
      <c r="P13" s="45">
        <f>LAVORAZIONI!V406</f>
        <v/>
      </c>
      <c r="Q13" s="7">
        <f>LAVORAZIONI!W406</f>
        <v/>
      </c>
      <c r="R13" s="6">
        <f>LAVORAZIONI!X406</f>
        <v/>
      </c>
      <c r="S13" s="7">
        <f>LAVORAZIONI!Y406</f>
        <v/>
      </c>
      <c r="T13" s="6">
        <f>LAVORAZIONI!Z406</f>
        <v/>
      </c>
      <c r="U13" s="7">
        <f>LAVORAZIONI!AA406</f>
        <v/>
      </c>
      <c r="V13" s="6">
        <f>LAVORAZIONI!AB406</f>
        <v/>
      </c>
      <c r="W13" s="7">
        <f>LAVORAZIONI!AC406</f>
        <v/>
      </c>
      <c r="X13" s="6">
        <f>LAVORAZIONI!AD406</f>
        <v/>
      </c>
      <c r="Y13" s="7">
        <f>LAVORAZIONI!AE406</f>
        <v/>
      </c>
      <c r="Z13" s="6">
        <f>LAVORAZIONI!AF406</f>
        <v/>
      </c>
      <c r="AA13" s="7">
        <f>LAVORAZIONI!AG406</f>
        <v/>
      </c>
      <c r="AB13" s="6">
        <f>LAVORAZIONI!AH406</f>
        <v/>
      </c>
      <c r="AC13" s="7">
        <f>LAVORAZIONI!AI406</f>
        <v/>
      </c>
      <c r="AD13" s="13">
        <f>LAVORAZIONI!AJ406</f>
        <v/>
      </c>
    </row>
    <row r="14" ht="64" customHeight="1" s="46">
      <c r="B14" s="4">
        <f>LAVORAZIONI!G407</f>
        <v/>
      </c>
      <c r="C14" s="3">
        <f>LAVORAZIONI!A407</f>
        <v/>
      </c>
      <c r="D14" s="3">
        <f>LAVORAZIONI!K407</f>
        <v/>
      </c>
      <c r="E14" s="4">
        <f>LAVORAZIONI!H407</f>
        <v/>
      </c>
      <c r="F14" s="4">
        <f>LAVORAZIONI!M407</f>
        <v/>
      </c>
      <c r="G14" s="5">
        <f>LAVORAZIONI!N407</f>
        <v/>
      </c>
      <c r="H14" s="6">
        <f>LAVORAZIONI!O407</f>
        <v/>
      </c>
      <c r="I14" s="13">
        <f>LAVORAZIONI!P407</f>
        <v/>
      </c>
      <c r="J14" s="5">
        <f>IF(LAVORAZIONI!Q407="","",LAVORAZIONI!Q407)</f>
        <v/>
      </c>
      <c r="K14" s="6">
        <f>IF(LAVORAZIONI!R407="","",LAVORAZIONI!R407)</f>
        <v/>
      </c>
      <c r="L14" s="13">
        <f>IF(LAVORAZIONI!S407="","",LAVORAZIONI!S407)</f>
        <v/>
      </c>
      <c r="M14" s="13">
        <f>LAVORAZIONI!T407</f>
        <v/>
      </c>
      <c r="O14" s="7">
        <f>LAVORAZIONI!U407</f>
        <v/>
      </c>
      <c r="P14" s="45">
        <f>LAVORAZIONI!V407</f>
        <v/>
      </c>
      <c r="Q14" s="7">
        <f>LAVORAZIONI!W407</f>
        <v/>
      </c>
      <c r="R14" s="6">
        <f>LAVORAZIONI!X407</f>
        <v/>
      </c>
      <c r="S14" s="7">
        <f>LAVORAZIONI!Y407</f>
        <v/>
      </c>
      <c r="T14" s="6">
        <f>LAVORAZIONI!Z407</f>
        <v/>
      </c>
      <c r="U14" s="7">
        <f>LAVORAZIONI!AA407</f>
        <v/>
      </c>
      <c r="V14" s="6">
        <f>LAVORAZIONI!AB407</f>
        <v/>
      </c>
      <c r="W14" s="7">
        <f>LAVORAZIONI!AC407</f>
        <v/>
      </c>
      <c r="X14" s="6">
        <f>LAVORAZIONI!AD407</f>
        <v/>
      </c>
      <c r="Y14" s="7">
        <f>LAVORAZIONI!AE407</f>
        <v/>
      </c>
      <c r="Z14" s="6">
        <f>LAVORAZIONI!AF407</f>
        <v/>
      </c>
      <c r="AA14" s="7">
        <f>LAVORAZIONI!AG407</f>
        <v/>
      </c>
      <c r="AB14" s="6">
        <f>LAVORAZIONI!AH407</f>
        <v/>
      </c>
      <c r="AC14" s="7">
        <f>LAVORAZIONI!AI407</f>
        <v/>
      </c>
      <c r="AD14" s="13">
        <f>LAVORAZIONI!AJ407</f>
        <v/>
      </c>
    </row>
    <row r="15" ht="64" customHeight="1" s="46">
      <c r="B15" s="4">
        <f>LAVORAZIONI!G408</f>
        <v/>
      </c>
      <c r="C15" s="3">
        <f>LAVORAZIONI!A408</f>
        <v/>
      </c>
      <c r="D15" s="3">
        <f>LAVORAZIONI!K408</f>
        <v/>
      </c>
      <c r="E15" s="4">
        <f>LAVORAZIONI!H408</f>
        <v/>
      </c>
      <c r="F15" s="4">
        <f>LAVORAZIONI!M408</f>
        <v/>
      </c>
      <c r="G15" s="5">
        <f>LAVORAZIONI!N408</f>
        <v/>
      </c>
      <c r="H15" s="6">
        <f>LAVORAZIONI!O408</f>
        <v/>
      </c>
      <c r="I15" s="13">
        <f>LAVORAZIONI!P408</f>
        <v/>
      </c>
      <c r="J15" s="5">
        <f>IF(LAVORAZIONI!Q408="","",LAVORAZIONI!Q408)</f>
        <v/>
      </c>
      <c r="K15" s="6">
        <f>IF(LAVORAZIONI!R408="","",LAVORAZIONI!R408)</f>
        <v/>
      </c>
      <c r="L15" s="13">
        <f>IF(LAVORAZIONI!S408="","",LAVORAZIONI!S408)</f>
        <v/>
      </c>
      <c r="M15" s="13">
        <f>LAVORAZIONI!T408</f>
        <v/>
      </c>
      <c r="O15" s="7">
        <f>LAVORAZIONI!U408</f>
        <v/>
      </c>
      <c r="P15" s="45">
        <f>LAVORAZIONI!V408</f>
        <v/>
      </c>
      <c r="Q15" s="7">
        <f>LAVORAZIONI!W408</f>
        <v/>
      </c>
      <c r="R15" s="6">
        <f>LAVORAZIONI!X408</f>
        <v/>
      </c>
      <c r="S15" s="7">
        <f>LAVORAZIONI!Y408</f>
        <v/>
      </c>
      <c r="T15" s="6">
        <f>LAVORAZIONI!Z408</f>
        <v/>
      </c>
      <c r="U15" s="7">
        <f>LAVORAZIONI!AA408</f>
        <v/>
      </c>
      <c r="V15" s="6">
        <f>LAVORAZIONI!AB408</f>
        <v/>
      </c>
      <c r="W15" s="7">
        <f>LAVORAZIONI!AC408</f>
        <v/>
      </c>
      <c r="X15" s="6">
        <f>LAVORAZIONI!AD408</f>
        <v/>
      </c>
      <c r="Y15" s="7">
        <f>LAVORAZIONI!AE408</f>
        <v/>
      </c>
      <c r="Z15" s="6">
        <f>LAVORAZIONI!AF408</f>
        <v/>
      </c>
      <c r="AA15" s="7">
        <f>LAVORAZIONI!AG408</f>
        <v/>
      </c>
      <c r="AB15" s="6">
        <f>LAVORAZIONI!AH408</f>
        <v/>
      </c>
      <c r="AC15" s="7">
        <f>LAVORAZIONI!AI408</f>
        <v/>
      </c>
      <c r="AD15" s="13">
        <f>LAVORAZIONI!AJ408</f>
        <v/>
      </c>
    </row>
    <row r="16" ht="64" customHeight="1" s="46">
      <c r="B16" s="4">
        <f>LAVORAZIONI!G409</f>
        <v/>
      </c>
      <c r="C16" s="3">
        <f>LAVORAZIONI!A409</f>
        <v/>
      </c>
      <c r="D16" s="3">
        <f>LAVORAZIONI!K409</f>
        <v/>
      </c>
      <c r="E16" s="4">
        <f>LAVORAZIONI!H409</f>
        <v/>
      </c>
      <c r="F16" s="4">
        <f>LAVORAZIONI!M409</f>
        <v/>
      </c>
      <c r="G16" s="5">
        <f>LAVORAZIONI!N409</f>
        <v/>
      </c>
      <c r="H16" s="6">
        <f>LAVORAZIONI!O409</f>
        <v/>
      </c>
      <c r="I16" s="13">
        <f>LAVORAZIONI!P409</f>
        <v/>
      </c>
      <c r="J16" s="5">
        <f>IF(LAVORAZIONI!Q409="","",LAVORAZIONI!Q409)</f>
        <v/>
      </c>
      <c r="K16" s="6">
        <f>IF(LAVORAZIONI!R409="","",LAVORAZIONI!R409)</f>
        <v/>
      </c>
      <c r="L16" s="13">
        <f>IF(LAVORAZIONI!S409="","",LAVORAZIONI!S409)</f>
        <v/>
      </c>
      <c r="M16" s="13">
        <f>LAVORAZIONI!T409</f>
        <v/>
      </c>
      <c r="O16" s="7">
        <f>LAVORAZIONI!U409</f>
        <v/>
      </c>
      <c r="P16" s="45">
        <f>LAVORAZIONI!V409</f>
        <v/>
      </c>
      <c r="Q16" s="7">
        <f>LAVORAZIONI!W409</f>
        <v/>
      </c>
      <c r="R16" s="6">
        <f>LAVORAZIONI!X409</f>
        <v/>
      </c>
      <c r="S16" s="7">
        <f>LAVORAZIONI!Y409</f>
        <v/>
      </c>
      <c r="T16" s="6">
        <f>LAVORAZIONI!Z409</f>
        <v/>
      </c>
      <c r="U16" s="7">
        <f>LAVORAZIONI!AA409</f>
        <v/>
      </c>
      <c r="V16" s="6">
        <f>LAVORAZIONI!AB409</f>
        <v/>
      </c>
      <c r="W16" s="7">
        <f>LAVORAZIONI!AC409</f>
        <v/>
      </c>
      <c r="X16" s="6">
        <f>LAVORAZIONI!AD409</f>
        <v/>
      </c>
      <c r="Y16" s="7">
        <f>LAVORAZIONI!AE409</f>
        <v/>
      </c>
      <c r="Z16" s="6">
        <f>LAVORAZIONI!AF409</f>
        <v/>
      </c>
      <c r="AA16" s="7">
        <f>LAVORAZIONI!AG409</f>
        <v/>
      </c>
      <c r="AB16" s="6">
        <f>LAVORAZIONI!AH409</f>
        <v/>
      </c>
      <c r="AC16" s="7">
        <f>LAVORAZIONI!AI409</f>
        <v/>
      </c>
      <c r="AD16" s="13">
        <f>LAVORAZIONI!AJ409</f>
        <v/>
      </c>
    </row>
    <row r="17" ht="64" customHeight="1" s="46">
      <c r="B17" s="4">
        <f>LAVORAZIONI!G410</f>
        <v/>
      </c>
      <c r="C17" s="3">
        <f>LAVORAZIONI!A410</f>
        <v/>
      </c>
      <c r="D17" s="3">
        <f>LAVORAZIONI!K410</f>
        <v/>
      </c>
      <c r="E17" s="4">
        <f>LAVORAZIONI!H410</f>
        <v/>
      </c>
      <c r="F17" s="4">
        <f>LAVORAZIONI!M410</f>
        <v/>
      </c>
      <c r="G17" s="5">
        <f>LAVORAZIONI!N410</f>
        <v/>
      </c>
      <c r="H17" s="6">
        <f>LAVORAZIONI!O410</f>
        <v/>
      </c>
      <c r="I17" s="13">
        <f>LAVORAZIONI!P410</f>
        <v/>
      </c>
      <c r="J17" s="5">
        <f>IF(LAVORAZIONI!Q410="","",LAVORAZIONI!Q410)</f>
        <v/>
      </c>
      <c r="K17" s="6">
        <f>IF(LAVORAZIONI!R410="","",LAVORAZIONI!R410)</f>
        <v/>
      </c>
      <c r="L17" s="13">
        <f>IF(LAVORAZIONI!S410="","",LAVORAZIONI!S410)</f>
        <v/>
      </c>
      <c r="M17" s="13">
        <f>LAVORAZIONI!T410</f>
        <v/>
      </c>
      <c r="O17" s="7">
        <f>LAVORAZIONI!U410</f>
        <v/>
      </c>
      <c r="P17" s="45">
        <f>LAVORAZIONI!V410</f>
        <v/>
      </c>
      <c r="Q17" s="7">
        <f>LAVORAZIONI!W410</f>
        <v/>
      </c>
      <c r="R17" s="6">
        <f>LAVORAZIONI!X410</f>
        <v/>
      </c>
      <c r="S17" s="7">
        <f>LAVORAZIONI!Y410</f>
        <v/>
      </c>
      <c r="T17" s="6">
        <f>LAVORAZIONI!Z410</f>
        <v/>
      </c>
      <c r="U17" s="7">
        <f>LAVORAZIONI!AA410</f>
        <v/>
      </c>
      <c r="V17" s="6">
        <f>LAVORAZIONI!AB410</f>
        <v/>
      </c>
      <c r="W17" s="7">
        <f>LAVORAZIONI!AC410</f>
        <v/>
      </c>
      <c r="X17" s="6">
        <f>LAVORAZIONI!AD410</f>
        <v/>
      </c>
      <c r="Y17" s="7">
        <f>LAVORAZIONI!AE410</f>
        <v/>
      </c>
      <c r="Z17" s="6">
        <f>LAVORAZIONI!AF410</f>
        <v/>
      </c>
      <c r="AA17" s="7">
        <f>LAVORAZIONI!AG410</f>
        <v/>
      </c>
      <c r="AB17" s="6">
        <f>LAVORAZIONI!AH410</f>
        <v/>
      </c>
      <c r="AC17" s="7">
        <f>LAVORAZIONI!AI410</f>
        <v/>
      </c>
      <c r="AD17" s="13">
        <f>LAVORAZIONI!AJ410</f>
        <v/>
      </c>
    </row>
    <row r="18" ht="64" customHeight="1" s="46">
      <c r="B18" s="4">
        <f>LAVORAZIONI!G411</f>
        <v/>
      </c>
      <c r="C18" s="3">
        <f>LAVORAZIONI!A411</f>
        <v/>
      </c>
      <c r="D18" s="3">
        <f>LAVORAZIONI!K411</f>
        <v/>
      </c>
      <c r="E18" s="4">
        <f>LAVORAZIONI!H411</f>
        <v/>
      </c>
      <c r="F18" s="4">
        <f>LAVORAZIONI!M411</f>
        <v/>
      </c>
      <c r="G18" s="5">
        <f>LAVORAZIONI!N411</f>
        <v/>
      </c>
      <c r="H18" s="6">
        <f>LAVORAZIONI!O411</f>
        <v/>
      </c>
      <c r="I18" s="13">
        <f>LAVORAZIONI!P411</f>
        <v/>
      </c>
      <c r="J18" s="5">
        <f>IF(LAVORAZIONI!Q411="","",LAVORAZIONI!Q411)</f>
        <v/>
      </c>
      <c r="K18" s="6">
        <f>IF(LAVORAZIONI!R411="","",LAVORAZIONI!R411)</f>
        <v/>
      </c>
      <c r="L18" s="13">
        <f>IF(LAVORAZIONI!S411="","",LAVORAZIONI!S411)</f>
        <v/>
      </c>
      <c r="M18" s="13">
        <f>LAVORAZIONI!T411</f>
        <v/>
      </c>
      <c r="O18" s="7">
        <f>LAVORAZIONI!U411</f>
        <v/>
      </c>
      <c r="P18" s="45">
        <f>LAVORAZIONI!V411</f>
        <v/>
      </c>
      <c r="Q18" s="7">
        <f>LAVORAZIONI!W411</f>
        <v/>
      </c>
      <c r="R18" s="6">
        <f>LAVORAZIONI!X411</f>
        <v/>
      </c>
      <c r="S18" s="7">
        <f>LAVORAZIONI!Y411</f>
        <v/>
      </c>
      <c r="T18" s="6">
        <f>LAVORAZIONI!Z411</f>
        <v/>
      </c>
      <c r="U18" s="7">
        <f>LAVORAZIONI!AA411</f>
        <v/>
      </c>
      <c r="V18" s="6">
        <f>LAVORAZIONI!AB411</f>
        <v/>
      </c>
      <c r="W18" s="7">
        <f>LAVORAZIONI!AC411</f>
        <v/>
      </c>
      <c r="X18" s="6">
        <f>LAVORAZIONI!AD411</f>
        <v/>
      </c>
      <c r="Y18" s="7">
        <f>LAVORAZIONI!AE411</f>
        <v/>
      </c>
      <c r="Z18" s="6">
        <f>LAVORAZIONI!AF411</f>
        <v/>
      </c>
      <c r="AA18" s="7">
        <f>LAVORAZIONI!AG411</f>
        <v/>
      </c>
      <c r="AB18" s="6">
        <f>LAVORAZIONI!AH411</f>
        <v/>
      </c>
      <c r="AC18" s="7">
        <f>LAVORAZIONI!AI411</f>
        <v/>
      </c>
      <c r="AD18" s="13">
        <f>LAVORAZIONI!AJ411</f>
        <v/>
      </c>
    </row>
    <row r="19" ht="64" customHeight="1" s="46">
      <c r="B19" s="4">
        <f>LAVORAZIONI!G412</f>
        <v/>
      </c>
      <c r="C19" s="3">
        <f>LAVORAZIONI!A412</f>
        <v/>
      </c>
      <c r="D19" s="3">
        <f>LAVORAZIONI!K412</f>
        <v/>
      </c>
      <c r="E19" s="4">
        <f>LAVORAZIONI!H412</f>
        <v/>
      </c>
      <c r="F19" s="4">
        <f>LAVORAZIONI!M412</f>
        <v/>
      </c>
      <c r="G19" s="5">
        <f>LAVORAZIONI!N412</f>
        <v/>
      </c>
      <c r="H19" s="6">
        <f>LAVORAZIONI!O412</f>
        <v/>
      </c>
      <c r="I19" s="13">
        <f>LAVORAZIONI!P412</f>
        <v/>
      </c>
      <c r="J19" s="5">
        <f>IF(LAVORAZIONI!Q412="","",LAVORAZIONI!Q412)</f>
        <v/>
      </c>
      <c r="K19" s="6">
        <f>IF(LAVORAZIONI!R412="","",LAVORAZIONI!R412)</f>
        <v/>
      </c>
      <c r="L19" s="13">
        <f>IF(LAVORAZIONI!S412="","",LAVORAZIONI!S412)</f>
        <v/>
      </c>
      <c r="M19" s="13">
        <f>LAVORAZIONI!T412</f>
        <v/>
      </c>
      <c r="O19" s="7">
        <f>LAVORAZIONI!U412</f>
        <v/>
      </c>
      <c r="P19" s="45">
        <f>LAVORAZIONI!V412</f>
        <v/>
      </c>
      <c r="Q19" s="7">
        <f>LAVORAZIONI!W412</f>
        <v/>
      </c>
      <c r="R19" s="6">
        <f>LAVORAZIONI!X412</f>
        <v/>
      </c>
      <c r="S19" s="7">
        <f>LAVORAZIONI!Y412</f>
        <v/>
      </c>
      <c r="T19" s="6">
        <f>LAVORAZIONI!Z412</f>
        <v/>
      </c>
      <c r="U19" s="7">
        <f>LAVORAZIONI!AA412</f>
        <v/>
      </c>
      <c r="V19" s="6">
        <f>LAVORAZIONI!AB412</f>
        <v/>
      </c>
      <c r="W19" s="7">
        <f>LAVORAZIONI!AC412</f>
        <v/>
      </c>
      <c r="X19" s="6">
        <f>LAVORAZIONI!AD412</f>
        <v/>
      </c>
      <c r="Y19" s="7">
        <f>LAVORAZIONI!AE412</f>
        <v/>
      </c>
      <c r="Z19" s="6">
        <f>LAVORAZIONI!AF412</f>
        <v/>
      </c>
      <c r="AA19" s="7">
        <f>LAVORAZIONI!AG412</f>
        <v/>
      </c>
      <c r="AB19" s="6">
        <f>LAVORAZIONI!AH412</f>
        <v/>
      </c>
      <c r="AC19" s="7">
        <f>LAVORAZIONI!AI412</f>
        <v/>
      </c>
      <c r="AD19" s="13">
        <f>LAVORAZIONI!AJ412</f>
        <v/>
      </c>
    </row>
    <row r="20" ht="64" customHeight="1" s="46">
      <c r="B20" s="4">
        <f>LAVORAZIONI!G413</f>
        <v/>
      </c>
      <c r="C20" s="3">
        <f>LAVORAZIONI!A413</f>
        <v/>
      </c>
      <c r="D20" s="3">
        <f>LAVORAZIONI!K413</f>
        <v/>
      </c>
      <c r="E20" s="4">
        <f>LAVORAZIONI!H413</f>
        <v/>
      </c>
      <c r="F20" s="4">
        <f>LAVORAZIONI!M413</f>
        <v/>
      </c>
      <c r="G20" s="5">
        <f>LAVORAZIONI!N413</f>
        <v/>
      </c>
      <c r="H20" s="6">
        <f>LAVORAZIONI!O413</f>
        <v/>
      </c>
      <c r="I20" s="13">
        <f>LAVORAZIONI!P413</f>
        <v/>
      </c>
      <c r="J20" s="5">
        <f>IF(LAVORAZIONI!Q413="","",LAVORAZIONI!Q413)</f>
        <v/>
      </c>
      <c r="K20" s="6">
        <f>IF(LAVORAZIONI!R413="","",LAVORAZIONI!R413)</f>
        <v/>
      </c>
      <c r="L20" s="13">
        <f>IF(LAVORAZIONI!S413="","",LAVORAZIONI!S413)</f>
        <v/>
      </c>
      <c r="M20" s="13">
        <f>LAVORAZIONI!T413</f>
        <v/>
      </c>
      <c r="O20" s="7">
        <f>LAVORAZIONI!U413</f>
        <v/>
      </c>
      <c r="P20" s="45">
        <f>LAVORAZIONI!V413</f>
        <v/>
      </c>
      <c r="Q20" s="7">
        <f>LAVORAZIONI!W413</f>
        <v/>
      </c>
      <c r="R20" s="6">
        <f>LAVORAZIONI!X413</f>
        <v/>
      </c>
      <c r="S20" s="7">
        <f>LAVORAZIONI!Y413</f>
        <v/>
      </c>
      <c r="T20" s="6">
        <f>LAVORAZIONI!Z413</f>
        <v/>
      </c>
      <c r="U20" s="7">
        <f>LAVORAZIONI!AA413</f>
        <v/>
      </c>
      <c r="V20" s="6">
        <f>LAVORAZIONI!AB413</f>
        <v/>
      </c>
      <c r="W20" s="7">
        <f>LAVORAZIONI!AC413</f>
        <v/>
      </c>
      <c r="X20" s="6">
        <f>LAVORAZIONI!AD413</f>
        <v/>
      </c>
      <c r="Y20" s="7">
        <f>LAVORAZIONI!AE413</f>
        <v/>
      </c>
      <c r="Z20" s="6">
        <f>LAVORAZIONI!AF413</f>
        <v/>
      </c>
      <c r="AA20" s="7">
        <f>LAVORAZIONI!AG413</f>
        <v/>
      </c>
      <c r="AB20" s="6">
        <f>LAVORAZIONI!AH413</f>
        <v/>
      </c>
      <c r="AC20" s="7">
        <f>LAVORAZIONI!AI413</f>
        <v/>
      </c>
      <c r="AD20" s="13">
        <f>LAVORAZIONI!AJ413</f>
        <v/>
      </c>
    </row>
    <row r="21" ht="64" customHeight="1" s="46">
      <c r="B21" s="4">
        <f>LAVORAZIONI!G414</f>
        <v/>
      </c>
      <c r="C21" s="3">
        <f>LAVORAZIONI!A414</f>
        <v/>
      </c>
      <c r="D21" s="3">
        <f>LAVORAZIONI!K414</f>
        <v/>
      </c>
      <c r="E21" s="4">
        <f>LAVORAZIONI!H414</f>
        <v/>
      </c>
      <c r="F21" s="4">
        <f>LAVORAZIONI!M414</f>
        <v/>
      </c>
      <c r="G21" s="5">
        <f>LAVORAZIONI!N414</f>
        <v/>
      </c>
      <c r="H21" s="6">
        <f>LAVORAZIONI!O414</f>
        <v/>
      </c>
      <c r="I21" s="13">
        <f>LAVORAZIONI!P414</f>
        <v/>
      </c>
      <c r="J21" s="5">
        <f>IF(LAVORAZIONI!Q414="","",LAVORAZIONI!Q414)</f>
        <v/>
      </c>
      <c r="K21" s="6">
        <f>IF(LAVORAZIONI!R414="","",LAVORAZIONI!R414)</f>
        <v/>
      </c>
      <c r="L21" s="13">
        <f>IF(LAVORAZIONI!S414="","",LAVORAZIONI!S414)</f>
        <v/>
      </c>
      <c r="M21" s="13">
        <f>LAVORAZIONI!T414</f>
        <v/>
      </c>
      <c r="O21" s="7">
        <f>LAVORAZIONI!U414</f>
        <v/>
      </c>
      <c r="P21" s="45">
        <f>LAVORAZIONI!V414</f>
        <v/>
      </c>
      <c r="Q21" s="7">
        <f>LAVORAZIONI!W414</f>
        <v/>
      </c>
      <c r="R21" s="6">
        <f>LAVORAZIONI!X414</f>
        <v/>
      </c>
      <c r="S21" s="7">
        <f>LAVORAZIONI!Y414</f>
        <v/>
      </c>
      <c r="T21" s="6">
        <f>LAVORAZIONI!Z414</f>
        <v/>
      </c>
      <c r="U21" s="7">
        <f>LAVORAZIONI!AA414</f>
        <v/>
      </c>
      <c r="V21" s="6">
        <f>LAVORAZIONI!AB414</f>
        <v/>
      </c>
      <c r="W21" s="7">
        <f>LAVORAZIONI!AC414</f>
        <v/>
      </c>
      <c r="X21" s="6">
        <f>LAVORAZIONI!AD414</f>
        <v/>
      </c>
      <c r="Y21" s="7">
        <f>LAVORAZIONI!AE414</f>
        <v/>
      </c>
      <c r="Z21" s="6">
        <f>LAVORAZIONI!AF414</f>
        <v/>
      </c>
      <c r="AA21" s="7">
        <f>LAVORAZIONI!AG414</f>
        <v/>
      </c>
      <c r="AB21" s="6">
        <f>LAVORAZIONI!AH414</f>
        <v/>
      </c>
      <c r="AC21" s="7">
        <f>LAVORAZIONI!AI414</f>
        <v/>
      </c>
      <c r="AD21" s="13">
        <f>LAVORAZIONI!AJ414</f>
        <v/>
      </c>
    </row>
    <row r="22" ht="64" customHeight="1" s="46">
      <c r="B22" s="4">
        <f>LAVORAZIONI!G415</f>
        <v/>
      </c>
      <c r="C22" s="3">
        <f>LAVORAZIONI!A415</f>
        <v/>
      </c>
      <c r="D22" s="3">
        <f>LAVORAZIONI!K415</f>
        <v/>
      </c>
      <c r="E22" s="4">
        <f>LAVORAZIONI!H415</f>
        <v/>
      </c>
      <c r="F22" s="4">
        <f>LAVORAZIONI!M415</f>
        <v/>
      </c>
      <c r="G22" s="5">
        <f>LAVORAZIONI!N415</f>
        <v/>
      </c>
      <c r="H22" s="6">
        <f>LAVORAZIONI!O415</f>
        <v/>
      </c>
      <c r="I22" s="13">
        <f>LAVORAZIONI!P415</f>
        <v/>
      </c>
      <c r="J22" s="5">
        <f>IF(LAVORAZIONI!Q415="","",LAVORAZIONI!Q415)</f>
        <v/>
      </c>
      <c r="K22" s="6">
        <f>IF(LAVORAZIONI!R415="","",LAVORAZIONI!R415)</f>
        <v/>
      </c>
      <c r="L22" s="13">
        <f>IF(LAVORAZIONI!S415="","",LAVORAZIONI!S415)</f>
        <v/>
      </c>
      <c r="M22" s="13">
        <f>LAVORAZIONI!T415</f>
        <v/>
      </c>
      <c r="O22" s="7">
        <f>LAVORAZIONI!U415</f>
        <v/>
      </c>
      <c r="P22" s="45">
        <f>LAVORAZIONI!V415</f>
        <v/>
      </c>
      <c r="Q22" s="7">
        <f>LAVORAZIONI!W415</f>
        <v/>
      </c>
      <c r="R22" s="6">
        <f>LAVORAZIONI!X415</f>
        <v/>
      </c>
      <c r="S22" s="7">
        <f>LAVORAZIONI!Y415</f>
        <v/>
      </c>
      <c r="T22" s="6">
        <f>LAVORAZIONI!Z415</f>
        <v/>
      </c>
      <c r="U22" s="7">
        <f>LAVORAZIONI!AA415</f>
        <v/>
      </c>
      <c r="V22" s="6">
        <f>LAVORAZIONI!AB415</f>
        <v/>
      </c>
      <c r="W22" s="7">
        <f>LAVORAZIONI!AC415</f>
        <v/>
      </c>
      <c r="X22" s="6">
        <f>LAVORAZIONI!AD415</f>
        <v/>
      </c>
      <c r="Y22" s="7">
        <f>LAVORAZIONI!AE415</f>
        <v/>
      </c>
      <c r="Z22" s="6">
        <f>LAVORAZIONI!AF415</f>
        <v/>
      </c>
      <c r="AA22" s="7">
        <f>LAVORAZIONI!AG415</f>
        <v/>
      </c>
      <c r="AB22" s="6">
        <f>LAVORAZIONI!AH415</f>
        <v/>
      </c>
      <c r="AC22" s="7">
        <f>LAVORAZIONI!AI415</f>
        <v/>
      </c>
      <c r="AD22" s="13">
        <f>LAVORAZIONI!AJ415</f>
        <v/>
      </c>
    </row>
    <row r="23" ht="64" customHeight="1" s="46">
      <c r="B23" s="4">
        <f>LAVORAZIONI!G416</f>
        <v/>
      </c>
      <c r="C23" s="3">
        <f>LAVORAZIONI!A416</f>
        <v/>
      </c>
      <c r="D23" s="3">
        <f>LAVORAZIONI!K416</f>
        <v/>
      </c>
      <c r="E23" s="4">
        <f>LAVORAZIONI!H416</f>
        <v/>
      </c>
      <c r="F23" s="4">
        <f>LAVORAZIONI!M416</f>
        <v/>
      </c>
      <c r="G23" s="5">
        <f>LAVORAZIONI!N416</f>
        <v/>
      </c>
      <c r="H23" s="6">
        <f>LAVORAZIONI!O416</f>
        <v/>
      </c>
      <c r="I23" s="13">
        <f>LAVORAZIONI!P416</f>
        <v/>
      </c>
      <c r="J23" s="5">
        <f>IF(LAVORAZIONI!Q416="","",LAVORAZIONI!Q416)</f>
        <v/>
      </c>
      <c r="K23" s="6">
        <f>IF(LAVORAZIONI!R416="","",LAVORAZIONI!R416)</f>
        <v/>
      </c>
      <c r="L23" s="13">
        <f>IF(LAVORAZIONI!S416="","",LAVORAZIONI!S416)</f>
        <v/>
      </c>
      <c r="M23" s="13">
        <f>LAVORAZIONI!T416</f>
        <v/>
      </c>
      <c r="O23" s="7">
        <f>LAVORAZIONI!U416</f>
        <v/>
      </c>
      <c r="P23" s="45">
        <f>LAVORAZIONI!V416</f>
        <v/>
      </c>
      <c r="Q23" s="7">
        <f>LAVORAZIONI!W416</f>
        <v/>
      </c>
      <c r="R23" s="6">
        <f>LAVORAZIONI!X416</f>
        <v/>
      </c>
      <c r="S23" s="7">
        <f>LAVORAZIONI!Y416</f>
        <v/>
      </c>
      <c r="T23" s="6">
        <f>LAVORAZIONI!Z416</f>
        <v/>
      </c>
      <c r="U23" s="7">
        <f>LAVORAZIONI!AA416</f>
        <v/>
      </c>
      <c r="V23" s="6">
        <f>LAVORAZIONI!AB416</f>
        <v/>
      </c>
      <c r="W23" s="7">
        <f>LAVORAZIONI!AC416</f>
        <v/>
      </c>
      <c r="X23" s="6">
        <f>LAVORAZIONI!AD416</f>
        <v/>
      </c>
      <c r="Y23" s="7">
        <f>LAVORAZIONI!AE416</f>
        <v/>
      </c>
      <c r="Z23" s="6">
        <f>LAVORAZIONI!AF416</f>
        <v/>
      </c>
      <c r="AA23" s="7">
        <f>LAVORAZIONI!AG416</f>
        <v/>
      </c>
      <c r="AB23" s="6">
        <f>LAVORAZIONI!AH416</f>
        <v/>
      </c>
      <c r="AC23" s="7">
        <f>LAVORAZIONI!AI416</f>
        <v/>
      </c>
      <c r="AD23" s="13">
        <f>LAVORAZIONI!AJ416</f>
        <v/>
      </c>
    </row>
    <row r="24" ht="64" customHeight="1" s="46">
      <c r="B24" s="4">
        <f>LAVORAZIONI!G417</f>
        <v/>
      </c>
      <c r="C24" s="3">
        <f>LAVORAZIONI!A417</f>
        <v/>
      </c>
      <c r="D24" s="3">
        <f>LAVORAZIONI!K417</f>
        <v/>
      </c>
      <c r="E24" s="4">
        <f>LAVORAZIONI!H417</f>
        <v/>
      </c>
      <c r="F24" s="4">
        <f>LAVORAZIONI!M417</f>
        <v/>
      </c>
      <c r="G24" s="5">
        <f>LAVORAZIONI!N417</f>
        <v/>
      </c>
      <c r="H24" s="6">
        <f>LAVORAZIONI!O417</f>
        <v/>
      </c>
      <c r="I24" s="13">
        <f>LAVORAZIONI!P417</f>
        <v/>
      </c>
      <c r="J24" s="5">
        <f>IF(LAVORAZIONI!Q417="","",LAVORAZIONI!Q417)</f>
        <v/>
      </c>
      <c r="K24" s="6">
        <f>IF(LAVORAZIONI!R417="","",LAVORAZIONI!R417)</f>
        <v/>
      </c>
      <c r="L24" s="13">
        <f>IF(LAVORAZIONI!S417="","",LAVORAZIONI!S417)</f>
        <v/>
      </c>
      <c r="M24" s="13">
        <f>LAVORAZIONI!T417</f>
        <v/>
      </c>
      <c r="O24" s="7">
        <f>LAVORAZIONI!U417</f>
        <v/>
      </c>
      <c r="P24" s="45">
        <f>LAVORAZIONI!V417</f>
        <v/>
      </c>
      <c r="Q24" s="7">
        <f>LAVORAZIONI!W417</f>
        <v/>
      </c>
      <c r="R24" s="6">
        <f>LAVORAZIONI!X417</f>
        <v/>
      </c>
      <c r="S24" s="7">
        <f>LAVORAZIONI!Y417</f>
        <v/>
      </c>
      <c r="T24" s="6">
        <f>LAVORAZIONI!Z417</f>
        <v/>
      </c>
      <c r="U24" s="7">
        <f>LAVORAZIONI!AA417</f>
        <v/>
      </c>
      <c r="V24" s="6">
        <f>LAVORAZIONI!AB417</f>
        <v/>
      </c>
      <c r="W24" s="7">
        <f>LAVORAZIONI!AC417</f>
        <v/>
      </c>
      <c r="X24" s="6">
        <f>LAVORAZIONI!AD417</f>
        <v/>
      </c>
      <c r="Y24" s="7">
        <f>LAVORAZIONI!AE417</f>
        <v/>
      </c>
      <c r="Z24" s="6">
        <f>LAVORAZIONI!AF417</f>
        <v/>
      </c>
      <c r="AA24" s="7">
        <f>LAVORAZIONI!AG417</f>
        <v/>
      </c>
      <c r="AB24" s="6">
        <f>LAVORAZIONI!AH417</f>
        <v/>
      </c>
      <c r="AC24" s="7">
        <f>LAVORAZIONI!AI417</f>
        <v/>
      </c>
      <c r="AD24" s="13">
        <f>LAVORAZIONI!AJ417</f>
        <v/>
      </c>
    </row>
    <row r="25" ht="64" customHeight="1" s="46">
      <c r="B25" s="4">
        <f>LAVORAZIONI!G418</f>
        <v/>
      </c>
      <c r="C25" s="3">
        <f>LAVORAZIONI!A418</f>
        <v/>
      </c>
      <c r="D25" s="3">
        <f>LAVORAZIONI!K418</f>
        <v/>
      </c>
      <c r="E25" s="4">
        <f>LAVORAZIONI!H418</f>
        <v/>
      </c>
      <c r="F25" s="4">
        <f>LAVORAZIONI!M418</f>
        <v/>
      </c>
      <c r="G25" s="5">
        <f>LAVORAZIONI!N418</f>
        <v/>
      </c>
      <c r="H25" s="6">
        <f>LAVORAZIONI!O418</f>
        <v/>
      </c>
      <c r="I25" s="13">
        <f>LAVORAZIONI!P418</f>
        <v/>
      </c>
      <c r="J25" s="5">
        <f>IF(LAVORAZIONI!Q418="","",LAVORAZIONI!Q418)</f>
        <v/>
      </c>
      <c r="K25" s="6">
        <f>IF(LAVORAZIONI!R418="","",LAVORAZIONI!R418)</f>
        <v/>
      </c>
      <c r="L25" s="13">
        <f>IF(LAVORAZIONI!S418="","",LAVORAZIONI!S418)</f>
        <v/>
      </c>
      <c r="M25" s="13">
        <f>LAVORAZIONI!T418</f>
        <v/>
      </c>
      <c r="O25" s="7">
        <f>LAVORAZIONI!U418</f>
        <v/>
      </c>
      <c r="P25" s="45">
        <f>LAVORAZIONI!V418</f>
        <v/>
      </c>
      <c r="Q25" s="7">
        <f>LAVORAZIONI!W418</f>
        <v/>
      </c>
      <c r="R25" s="6">
        <f>LAVORAZIONI!X418</f>
        <v/>
      </c>
      <c r="S25" s="7">
        <f>LAVORAZIONI!Y418</f>
        <v/>
      </c>
      <c r="T25" s="6">
        <f>LAVORAZIONI!Z418</f>
        <v/>
      </c>
      <c r="U25" s="7">
        <f>LAVORAZIONI!AA418</f>
        <v/>
      </c>
      <c r="V25" s="6">
        <f>LAVORAZIONI!AB418</f>
        <v/>
      </c>
      <c r="W25" s="7">
        <f>LAVORAZIONI!AC418</f>
        <v/>
      </c>
      <c r="X25" s="6">
        <f>LAVORAZIONI!AD418</f>
        <v/>
      </c>
      <c r="Y25" s="7">
        <f>LAVORAZIONI!AE418</f>
        <v/>
      </c>
      <c r="Z25" s="6">
        <f>LAVORAZIONI!AF418</f>
        <v/>
      </c>
      <c r="AA25" s="7">
        <f>LAVORAZIONI!AG418</f>
        <v/>
      </c>
      <c r="AB25" s="6">
        <f>LAVORAZIONI!AH418</f>
        <v/>
      </c>
      <c r="AC25" s="7">
        <f>LAVORAZIONI!AI418</f>
        <v/>
      </c>
      <c r="AD25" s="13">
        <f>LAVORAZIONI!AJ418</f>
        <v/>
      </c>
    </row>
    <row r="26" ht="64" customHeight="1" s="46">
      <c r="B26" s="4">
        <f>LAVORAZIONI!G419</f>
        <v/>
      </c>
      <c r="C26" s="3">
        <f>LAVORAZIONI!A419</f>
        <v/>
      </c>
      <c r="D26" s="3">
        <f>LAVORAZIONI!K419</f>
        <v/>
      </c>
      <c r="E26" s="4">
        <f>LAVORAZIONI!H419</f>
        <v/>
      </c>
      <c r="F26" s="4">
        <f>LAVORAZIONI!M419</f>
        <v/>
      </c>
      <c r="G26" s="5">
        <f>LAVORAZIONI!N419</f>
        <v/>
      </c>
      <c r="H26" s="6">
        <f>LAVORAZIONI!O419</f>
        <v/>
      </c>
      <c r="I26" s="13">
        <f>LAVORAZIONI!P419</f>
        <v/>
      </c>
      <c r="J26" s="5">
        <f>IF(LAVORAZIONI!Q419="","",LAVORAZIONI!Q419)</f>
        <v/>
      </c>
      <c r="K26" s="6">
        <f>IF(LAVORAZIONI!R419="","",LAVORAZIONI!R419)</f>
        <v/>
      </c>
      <c r="L26" s="13">
        <f>IF(LAVORAZIONI!S419="","",LAVORAZIONI!S419)</f>
        <v/>
      </c>
      <c r="M26" s="13">
        <f>LAVORAZIONI!T419</f>
        <v/>
      </c>
      <c r="O26" s="7">
        <f>LAVORAZIONI!U419</f>
        <v/>
      </c>
      <c r="P26" s="45">
        <f>LAVORAZIONI!V419</f>
        <v/>
      </c>
      <c r="Q26" s="7">
        <f>LAVORAZIONI!W419</f>
        <v/>
      </c>
      <c r="R26" s="6">
        <f>LAVORAZIONI!X419</f>
        <v/>
      </c>
      <c r="S26" s="7">
        <f>LAVORAZIONI!Y419</f>
        <v/>
      </c>
      <c r="T26" s="6">
        <f>LAVORAZIONI!Z419</f>
        <v/>
      </c>
      <c r="U26" s="7">
        <f>LAVORAZIONI!AA419</f>
        <v/>
      </c>
      <c r="V26" s="6">
        <f>LAVORAZIONI!AB419</f>
        <v/>
      </c>
      <c r="W26" s="7">
        <f>LAVORAZIONI!AC419</f>
        <v/>
      </c>
      <c r="X26" s="6">
        <f>LAVORAZIONI!AD419</f>
        <v/>
      </c>
      <c r="Y26" s="7">
        <f>LAVORAZIONI!AE419</f>
        <v/>
      </c>
      <c r="Z26" s="6">
        <f>LAVORAZIONI!AF419</f>
        <v/>
      </c>
      <c r="AA26" s="7">
        <f>LAVORAZIONI!AG419</f>
        <v/>
      </c>
      <c r="AB26" s="6">
        <f>LAVORAZIONI!AH419</f>
        <v/>
      </c>
      <c r="AC26" s="7">
        <f>LAVORAZIONI!AI419</f>
        <v/>
      </c>
      <c r="AD26" s="13">
        <f>LAVORAZIONI!AJ419</f>
        <v/>
      </c>
    </row>
    <row r="27" ht="64" customHeight="1" s="46">
      <c r="B27" s="4">
        <f>LAVORAZIONI!G420</f>
        <v/>
      </c>
      <c r="C27" s="3">
        <f>LAVORAZIONI!A420</f>
        <v/>
      </c>
      <c r="D27" s="3">
        <f>LAVORAZIONI!K420</f>
        <v/>
      </c>
      <c r="E27" s="4">
        <f>LAVORAZIONI!H420</f>
        <v/>
      </c>
      <c r="F27" s="4">
        <f>LAVORAZIONI!M420</f>
        <v/>
      </c>
      <c r="G27" s="5">
        <f>LAVORAZIONI!N420</f>
        <v/>
      </c>
      <c r="H27" s="6">
        <f>LAVORAZIONI!O420</f>
        <v/>
      </c>
      <c r="I27" s="13">
        <f>LAVORAZIONI!P420</f>
        <v/>
      </c>
      <c r="J27" s="5">
        <f>IF(LAVORAZIONI!Q420="","",LAVORAZIONI!Q420)</f>
        <v/>
      </c>
      <c r="K27" s="6">
        <f>IF(LAVORAZIONI!R420="","",LAVORAZIONI!R420)</f>
        <v/>
      </c>
      <c r="L27" s="13">
        <f>IF(LAVORAZIONI!S420="","",LAVORAZIONI!S420)</f>
        <v/>
      </c>
      <c r="M27" s="13">
        <f>LAVORAZIONI!T420</f>
        <v/>
      </c>
      <c r="O27" s="7">
        <f>LAVORAZIONI!U420</f>
        <v/>
      </c>
      <c r="P27" s="45">
        <f>LAVORAZIONI!V420</f>
        <v/>
      </c>
      <c r="Q27" s="7">
        <f>LAVORAZIONI!W420</f>
        <v/>
      </c>
      <c r="R27" s="6">
        <f>LAVORAZIONI!X420</f>
        <v/>
      </c>
      <c r="S27" s="7">
        <f>LAVORAZIONI!Y420</f>
        <v/>
      </c>
      <c r="T27" s="6">
        <f>LAVORAZIONI!Z420</f>
        <v/>
      </c>
      <c r="U27" s="7">
        <f>LAVORAZIONI!AA420</f>
        <v/>
      </c>
      <c r="V27" s="6">
        <f>LAVORAZIONI!AB420</f>
        <v/>
      </c>
      <c r="W27" s="7">
        <f>LAVORAZIONI!AC420</f>
        <v/>
      </c>
      <c r="X27" s="6">
        <f>LAVORAZIONI!AD420</f>
        <v/>
      </c>
      <c r="Y27" s="7">
        <f>LAVORAZIONI!AE420</f>
        <v/>
      </c>
      <c r="Z27" s="6">
        <f>LAVORAZIONI!AF420</f>
        <v/>
      </c>
      <c r="AA27" s="7">
        <f>LAVORAZIONI!AG420</f>
        <v/>
      </c>
      <c r="AB27" s="6">
        <f>LAVORAZIONI!AH420</f>
        <v/>
      </c>
      <c r="AC27" s="7">
        <f>LAVORAZIONI!AI420</f>
        <v/>
      </c>
      <c r="AD27" s="13">
        <f>LAVORAZIONI!AJ420</f>
        <v/>
      </c>
    </row>
    <row r="28" ht="64" customHeight="1" s="46">
      <c r="B28" s="4">
        <f>LAVORAZIONI!G421</f>
        <v/>
      </c>
      <c r="C28" s="3">
        <f>LAVORAZIONI!A421</f>
        <v/>
      </c>
      <c r="D28" s="3">
        <f>LAVORAZIONI!K421</f>
        <v/>
      </c>
      <c r="E28" s="4">
        <f>LAVORAZIONI!H421</f>
        <v/>
      </c>
      <c r="F28" s="4">
        <f>LAVORAZIONI!M421</f>
        <v/>
      </c>
      <c r="G28" s="5">
        <f>LAVORAZIONI!N421</f>
        <v/>
      </c>
      <c r="H28" s="6">
        <f>LAVORAZIONI!O421</f>
        <v/>
      </c>
      <c r="I28" s="13">
        <f>LAVORAZIONI!P421</f>
        <v/>
      </c>
      <c r="J28" s="5">
        <f>IF(LAVORAZIONI!Q421="","",LAVORAZIONI!Q421)</f>
        <v/>
      </c>
      <c r="K28" s="6">
        <f>IF(LAVORAZIONI!R421="","",LAVORAZIONI!R421)</f>
        <v/>
      </c>
      <c r="L28" s="13">
        <f>IF(LAVORAZIONI!S421="","",LAVORAZIONI!S421)</f>
        <v/>
      </c>
      <c r="M28" s="13">
        <f>LAVORAZIONI!T421</f>
        <v/>
      </c>
      <c r="O28" s="7">
        <f>LAVORAZIONI!U421</f>
        <v/>
      </c>
      <c r="P28" s="45">
        <f>LAVORAZIONI!V421</f>
        <v/>
      </c>
      <c r="Q28" s="7">
        <f>LAVORAZIONI!W421</f>
        <v/>
      </c>
      <c r="R28" s="6">
        <f>LAVORAZIONI!X421</f>
        <v/>
      </c>
      <c r="S28" s="7">
        <f>LAVORAZIONI!Y421</f>
        <v/>
      </c>
      <c r="T28" s="6">
        <f>LAVORAZIONI!Z421</f>
        <v/>
      </c>
      <c r="U28" s="7">
        <f>LAVORAZIONI!AA421</f>
        <v/>
      </c>
      <c r="V28" s="6">
        <f>LAVORAZIONI!AB421</f>
        <v/>
      </c>
      <c r="W28" s="7">
        <f>LAVORAZIONI!AC421</f>
        <v/>
      </c>
      <c r="X28" s="6">
        <f>LAVORAZIONI!AD421</f>
        <v/>
      </c>
      <c r="Y28" s="7">
        <f>LAVORAZIONI!AE421</f>
        <v/>
      </c>
      <c r="Z28" s="6">
        <f>LAVORAZIONI!AF421</f>
        <v/>
      </c>
      <c r="AA28" s="7">
        <f>LAVORAZIONI!AG421</f>
        <v/>
      </c>
      <c r="AB28" s="6">
        <f>LAVORAZIONI!AH421</f>
        <v/>
      </c>
      <c r="AC28" s="7">
        <f>LAVORAZIONI!AI421</f>
        <v/>
      </c>
      <c r="AD28" s="13">
        <f>LAVORAZIONI!AJ421</f>
        <v/>
      </c>
    </row>
    <row r="29" ht="64" customHeight="1" s="46">
      <c r="B29" s="4">
        <f>LAVORAZIONI!G422</f>
        <v/>
      </c>
      <c r="C29" s="3">
        <f>LAVORAZIONI!A422</f>
        <v/>
      </c>
      <c r="D29" s="3">
        <f>LAVORAZIONI!K422</f>
        <v/>
      </c>
      <c r="E29" s="4">
        <f>LAVORAZIONI!H422</f>
        <v/>
      </c>
      <c r="F29" s="4">
        <f>LAVORAZIONI!M422</f>
        <v/>
      </c>
      <c r="G29" s="5">
        <f>LAVORAZIONI!N422</f>
        <v/>
      </c>
      <c r="H29" s="6">
        <f>LAVORAZIONI!O422</f>
        <v/>
      </c>
      <c r="I29" s="13">
        <f>LAVORAZIONI!P422</f>
        <v/>
      </c>
      <c r="J29" s="5">
        <f>IF(LAVORAZIONI!Q422="","",LAVORAZIONI!Q422)</f>
        <v/>
      </c>
      <c r="K29" s="6">
        <f>IF(LAVORAZIONI!R422="","",LAVORAZIONI!R422)</f>
        <v/>
      </c>
      <c r="L29" s="13">
        <f>IF(LAVORAZIONI!S422="","",LAVORAZIONI!S422)</f>
        <v/>
      </c>
      <c r="M29" s="13">
        <f>LAVORAZIONI!T422</f>
        <v/>
      </c>
      <c r="O29" s="7">
        <f>LAVORAZIONI!U422</f>
        <v/>
      </c>
      <c r="P29" s="45">
        <f>LAVORAZIONI!V422</f>
        <v/>
      </c>
      <c r="Q29" s="7">
        <f>LAVORAZIONI!W422</f>
        <v/>
      </c>
      <c r="R29" s="6">
        <f>LAVORAZIONI!X422</f>
        <v/>
      </c>
      <c r="S29" s="7">
        <f>LAVORAZIONI!Y422</f>
        <v/>
      </c>
      <c r="T29" s="6">
        <f>LAVORAZIONI!Z422</f>
        <v/>
      </c>
      <c r="U29" s="7">
        <f>LAVORAZIONI!AA422</f>
        <v/>
      </c>
      <c r="V29" s="6">
        <f>LAVORAZIONI!AB422</f>
        <v/>
      </c>
      <c r="W29" s="7">
        <f>LAVORAZIONI!AC422</f>
        <v/>
      </c>
      <c r="X29" s="6">
        <f>LAVORAZIONI!AD422</f>
        <v/>
      </c>
      <c r="Y29" s="7">
        <f>LAVORAZIONI!AE422</f>
        <v/>
      </c>
      <c r="Z29" s="6">
        <f>LAVORAZIONI!AF422</f>
        <v/>
      </c>
      <c r="AA29" s="7">
        <f>LAVORAZIONI!AG422</f>
        <v/>
      </c>
      <c r="AB29" s="6">
        <f>LAVORAZIONI!AH422</f>
        <v/>
      </c>
      <c r="AC29" s="7">
        <f>LAVORAZIONI!AI422</f>
        <v/>
      </c>
      <c r="AD29" s="13">
        <f>LAVORAZIONI!AJ422</f>
        <v/>
      </c>
    </row>
    <row r="30" ht="64" customHeight="1" s="46">
      <c r="B30" s="4">
        <f>LAVORAZIONI!G423</f>
        <v/>
      </c>
      <c r="C30" s="3">
        <f>LAVORAZIONI!A423</f>
        <v/>
      </c>
      <c r="D30" s="3">
        <f>LAVORAZIONI!K423</f>
        <v/>
      </c>
      <c r="E30" s="4">
        <f>LAVORAZIONI!H423</f>
        <v/>
      </c>
      <c r="F30" s="4">
        <f>LAVORAZIONI!M423</f>
        <v/>
      </c>
      <c r="G30" s="5">
        <f>LAVORAZIONI!N423</f>
        <v/>
      </c>
      <c r="H30" s="6">
        <f>LAVORAZIONI!O423</f>
        <v/>
      </c>
      <c r="I30" s="13">
        <f>LAVORAZIONI!P423</f>
        <v/>
      </c>
      <c r="J30" s="5">
        <f>IF(LAVORAZIONI!Q423="","",LAVORAZIONI!Q423)</f>
        <v/>
      </c>
      <c r="K30" s="6">
        <f>IF(LAVORAZIONI!R423="","",LAVORAZIONI!R423)</f>
        <v/>
      </c>
      <c r="L30" s="13">
        <f>IF(LAVORAZIONI!S423="","",LAVORAZIONI!S423)</f>
        <v/>
      </c>
      <c r="M30" s="13">
        <f>LAVORAZIONI!T423</f>
        <v/>
      </c>
      <c r="O30" s="7">
        <f>LAVORAZIONI!U423</f>
        <v/>
      </c>
      <c r="P30" s="45">
        <f>LAVORAZIONI!V423</f>
        <v/>
      </c>
      <c r="Q30" s="7">
        <f>LAVORAZIONI!W423</f>
        <v/>
      </c>
      <c r="R30" s="6">
        <f>LAVORAZIONI!X423</f>
        <v/>
      </c>
      <c r="S30" s="7">
        <f>LAVORAZIONI!Y423</f>
        <v/>
      </c>
      <c r="T30" s="6">
        <f>LAVORAZIONI!Z423</f>
        <v/>
      </c>
      <c r="U30" s="7">
        <f>LAVORAZIONI!AA423</f>
        <v/>
      </c>
      <c r="V30" s="6">
        <f>LAVORAZIONI!AB423</f>
        <v/>
      </c>
      <c r="W30" s="7">
        <f>LAVORAZIONI!AC423</f>
        <v/>
      </c>
      <c r="X30" s="6">
        <f>LAVORAZIONI!AD423</f>
        <v/>
      </c>
      <c r="Y30" s="7">
        <f>LAVORAZIONI!AE423</f>
        <v/>
      </c>
      <c r="Z30" s="6">
        <f>LAVORAZIONI!AF423</f>
        <v/>
      </c>
      <c r="AA30" s="7">
        <f>LAVORAZIONI!AG423</f>
        <v/>
      </c>
      <c r="AB30" s="6">
        <f>LAVORAZIONI!AH423</f>
        <v/>
      </c>
      <c r="AC30" s="7">
        <f>LAVORAZIONI!AI423</f>
        <v/>
      </c>
      <c r="AD30" s="13">
        <f>LAVORAZIONI!AJ423</f>
        <v/>
      </c>
    </row>
    <row r="31" ht="64" customHeight="1" s="46">
      <c r="B31" s="4">
        <f>LAVORAZIONI!G424</f>
        <v/>
      </c>
      <c r="C31" s="3">
        <f>LAVORAZIONI!A424</f>
        <v/>
      </c>
      <c r="D31" s="3">
        <f>LAVORAZIONI!K424</f>
        <v/>
      </c>
      <c r="E31" s="4">
        <f>LAVORAZIONI!H424</f>
        <v/>
      </c>
      <c r="F31" s="4">
        <f>LAVORAZIONI!M424</f>
        <v/>
      </c>
      <c r="G31" s="5">
        <f>LAVORAZIONI!N424</f>
        <v/>
      </c>
      <c r="H31" s="6">
        <f>LAVORAZIONI!O424</f>
        <v/>
      </c>
      <c r="I31" s="13">
        <f>LAVORAZIONI!P424</f>
        <v/>
      </c>
      <c r="J31" s="5">
        <f>IF(LAVORAZIONI!Q424="","",LAVORAZIONI!Q424)</f>
        <v/>
      </c>
      <c r="K31" s="6">
        <f>IF(LAVORAZIONI!R424="","",LAVORAZIONI!R424)</f>
        <v/>
      </c>
      <c r="L31" s="13">
        <f>IF(LAVORAZIONI!S424="","",LAVORAZIONI!S424)</f>
        <v/>
      </c>
      <c r="M31" s="13">
        <f>LAVORAZIONI!T424</f>
        <v/>
      </c>
      <c r="O31" s="7">
        <f>LAVORAZIONI!U424</f>
        <v/>
      </c>
      <c r="P31" s="45">
        <f>LAVORAZIONI!V424</f>
        <v/>
      </c>
      <c r="Q31" s="7">
        <f>LAVORAZIONI!W424</f>
        <v/>
      </c>
      <c r="R31" s="6">
        <f>LAVORAZIONI!X424</f>
        <v/>
      </c>
      <c r="S31" s="7">
        <f>LAVORAZIONI!Y424</f>
        <v/>
      </c>
      <c r="T31" s="6">
        <f>LAVORAZIONI!Z424</f>
        <v/>
      </c>
      <c r="U31" s="7">
        <f>LAVORAZIONI!AA424</f>
        <v/>
      </c>
      <c r="V31" s="6">
        <f>LAVORAZIONI!AB424</f>
        <v/>
      </c>
      <c r="W31" s="7">
        <f>LAVORAZIONI!AC424</f>
        <v/>
      </c>
      <c r="X31" s="6">
        <f>LAVORAZIONI!AD424</f>
        <v/>
      </c>
      <c r="Y31" s="7">
        <f>LAVORAZIONI!AE424</f>
        <v/>
      </c>
      <c r="Z31" s="6">
        <f>LAVORAZIONI!AF424</f>
        <v/>
      </c>
      <c r="AA31" s="7">
        <f>LAVORAZIONI!AG424</f>
        <v/>
      </c>
      <c r="AB31" s="6">
        <f>LAVORAZIONI!AH424</f>
        <v/>
      </c>
      <c r="AC31" s="7">
        <f>LAVORAZIONI!AI424</f>
        <v/>
      </c>
      <c r="AD31" s="13">
        <f>LAVORAZIONI!AJ424</f>
        <v/>
      </c>
    </row>
    <row r="32" ht="64" customHeight="1" s="46">
      <c r="B32" s="4">
        <f>LAVORAZIONI!G425</f>
        <v/>
      </c>
      <c r="C32" s="3">
        <f>LAVORAZIONI!A425</f>
        <v/>
      </c>
      <c r="D32" s="3">
        <f>LAVORAZIONI!K425</f>
        <v/>
      </c>
      <c r="E32" s="4">
        <f>LAVORAZIONI!H425</f>
        <v/>
      </c>
      <c r="F32" s="4">
        <f>LAVORAZIONI!M425</f>
        <v/>
      </c>
      <c r="G32" s="5">
        <f>LAVORAZIONI!N425</f>
        <v/>
      </c>
      <c r="H32" s="6">
        <f>LAVORAZIONI!O425</f>
        <v/>
      </c>
      <c r="I32" s="13">
        <f>LAVORAZIONI!P425</f>
        <v/>
      </c>
      <c r="J32" s="5">
        <f>IF(LAVORAZIONI!Q425="","",LAVORAZIONI!Q425)</f>
        <v/>
      </c>
      <c r="K32" s="6">
        <f>IF(LAVORAZIONI!R425="","",LAVORAZIONI!R425)</f>
        <v/>
      </c>
      <c r="L32" s="13">
        <f>IF(LAVORAZIONI!S425="","",LAVORAZIONI!S425)</f>
        <v/>
      </c>
      <c r="M32" s="13">
        <f>LAVORAZIONI!T425</f>
        <v/>
      </c>
      <c r="O32" s="7">
        <f>LAVORAZIONI!U425</f>
        <v/>
      </c>
      <c r="P32" s="45">
        <f>LAVORAZIONI!V425</f>
        <v/>
      </c>
      <c r="Q32" s="7">
        <f>LAVORAZIONI!W425</f>
        <v/>
      </c>
      <c r="R32" s="6">
        <f>LAVORAZIONI!X425</f>
        <v/>
      </c>
      <c r="S32" s="7">
        <f>LAVORAZIONI!Y425</f>
        <v/>
      </c>
      <c r="T32" s="6">
        <f>LAVORAZIONI!Z425</f>
        <v/>
      </c>
      <c r="U32" s="7">
        <f>LAVORAZIONI!AA425</f>
        <v/>
      </c>
      <c r="V32" s="6">
        <f>LAVORAZIONI!AB425</f>
        <v/>
      </c>
      <c r="W32" s="7">
        <f>LAVORAZIONI!AC425</f>
        <v/>
      </c>
      <c r="X32" s="6">
        <f>LAVORAZIONI!AD425</f>
        <v/>
      </c>
      <c r="Y32" s="7">
        <f>LAVORAZIONI!AE425</f>
        <v/>
      </c>
      <c r="Z32" s="6">
        <f>LAVORAZIONI!AF425</f>
        <v/>
      </c>
      <c r="AA32" s="7">
        <f>LAVORAZIONI!AG425</f>
        <v/>
      </c>
      <c r="AB32" s="6">
        <f>LAVORAZIONI!AH425</f>
        <v/>
      </c>
      <c r="AC32" s="7">
        <f>LAVORAZIONI!AI425</f>
        <v/>
      </c>
      <c r="AD32" s="13">
        <f>LAVORAZIONI!AJ425</f>
        <v/>
      </c>
    </row>
    <row r="33" ht="64" customHeight="1" s="46">
      <c r="B33" s="4">
        <f>LAVORAZIONI!G426</f>
        <v/>
      </c>
      <c r="C33" s="3">
        <f>LAVORAZIONI!A426</f>
        <v/>
      </c>
      <c r="D33" s="3">
        <f>LAVORAZIONI!K426</f>
        <v/>
      </c>
      <c r="E33" s="4">
        <f>LAVORAZIONI!H426</f>
        <v/>
      </c>
      <c r="F33" s="4">
        <f>LAVORAZIONI!M426</f>
        <v/>
      </c>
      <c r="G33" s="5">
        <f>LAVORAZIONI!N426</f>
        <v/>
      </c>
      <c r="H33" s="6">
        <f>LAVORAZIONI!O426</f>
        <v/>
      </c>
      <c r="I33" s="13">
        <f>LAVORAZIONI!P426</f>
        <v/>
      </c>
      <c r="J33" s="5">
        <f>IF(LAVORAZIONI!Q426="","",LAVORAZIONI!Q426)</f>
        <v/>
      </c>
      <c r="K33" s="6">
        <f>IF(LAVORAZIONI!R426="","",LAVORAZIONI!R426)</f>
        <v/>
      </c>
      <c r="L33" s="13">
        <f>IF(LAVORAZIONI!S426="","",LAVORAZIONI!S426)</f>
        <v/>
      </c>
      <c r="M33" s="13">
        <f>LAVORAZIONI!T426</f>
        <v/>
      </c>
      <c r="O33" s="7">
        <f>LAVORAZIONI!U426</f>
        <v/>
      </c>
      <c r="P33" s="45">
        <f>LAVORAZIONI!V426</f>
        <v/>
      </c>
      <c r="Q33" s="7">
        <f>LAVORAZIONI!W426</f>
        <v/>
      </c>
      <c r="R33" s="6">
        <f>LAVORAZIONI!X426</f>
        <v/>
      </c>
      <c r="S33" s="7">
        <f>LAVORAZIONI!Y426</f>
        <v/>
      </c>
      <c r="T33" s="6">
        <f>LAVORAZIONI!Z426</f>
        <v/>
      </c>
      <c r="U33" s="7">
        <f>LAVORAZIONI!AA426</f>
        <v/>
      </c>
      <c r="V33" s="6">
        <f>LAVORAZIONI!AB426</f>
        <v/>
      </c>
      <c r="W33" s="7">
        <f>LAVORAZIONI!AC426</f>
        <v/>
      </c>
      <c r="X33" s="6">
        <f>LAVORAZIONI!AD426</f>
        <v/>
      </c>
      <c r="Y33" s="7">
        <f>LAVORAZIONI!AE426</f>
        <v/>
      </c>
      <c r="Z33" s="6">
        <f>LAVORAZIONI!AF426</f>
        <v/>
      </c>
      <c r="AA33" s="7">
        <f>LAVORAZIONI!AG426</f>
        <v/>
      </c>
      <c r="AB33" s="6">
        <f>LAVORAZIONI!AH426</f>
        <v/>
      </c>
      <c r="AC33" s="7">
        <f>LAVORAZIONI!AI426</f>
        <v/>
      </c>
      <c r="AD33" s="13">
        <f>LAVORAZIONI!AJ426</f>
        <v/>
      </c>
    </row>
    <row r="34" ht="64" customHeight="1" s="46">
      <c r="B34" s="4">
        <f>LAVORAZIONI!G427</f>
        <v/>
      </c>
      <c r="C34" s="3">
        <f>LAVORAZIONI!A427</f>
        <v/>
      </c>
      <c r="D34" s="3">
        <f>LAVORAZIONI!K427</f>
        <v/>
      </c>
      <c r="E34" s="4">
        <f>LAVORAZIONI!H427</f>
        <v/>
      </c>
      <c r="F34" s="4">
        <f>LAVORAZIONI!M427</f>
        <v/>
      </c>
      <c r="G34" s="5">
        <f>LAVORAZIONI!N427</f>
        <v/>
      </c>
      <c r="H34" s="6">
        <f>LAVORAZIONI!O427</f>
        <v/>
      </c>
      <c r="I34" s="13">
        <f>LAVORAZIONI!P427</f>
        <v/>
      </c>
      <c r="J34" s="5">
        <f>IF(LAVORAZIONI!Q427="","",LAVORAZIONI!Q427)</f>
        <v/>
      </c>
      <c r="K34" s="6">
        <f>IF(LAVORAZIONI!R427="","",LAVORAZIONI!R427)</f>
        <v/>
      </c>
      <c r="L34" s="13">
        <f>IF(LAVORAZIONI!S427="","",LAVORAZIONI!S427)</f>
        <v/>
      </c>
      <c r="M34" s="13">
        <f>LAVORAZIONI!T427</f>
        <v/>
      </c>
      <c r="O34" s="7">
        <f>LAVORAZIONI!U427</f>
        <v/>
      </c>
      <c r="P34" s="45">
        <f>LAVORAZIONI!V427</f>
        <v/>
      </c>
      <c r="Q34" s="7">
        <f>LAVORAZIONI!W427</f>
        <v/>
      </c>
      <c r="R34" s="6">
        <f>LAVORAZIONI!X427</f>
        <v/>
      </c>
      <c r="S34" s="7">
        <f>LAVORAZIONI!Y427</f>
        <v/>
      </c>
      <c r="T34" s="6">
        <f>LAVORAZIONI!Z427</f>
        <v/>
      </c>
      <c r="U34" s="7">
        <f>LAVORAZIONI!AA427</f>
        <v/>
      </c>
      <c r="V34" s="6">
        <f>LAVORAZIONI!AB427</f>
        <v/>
      </c>
      <c r="W34" s="7">
        <f>LAVORAZIONI!AC427</f>
        <v/>
      </c>
      <c r="X34" s="6">
        <f>LAVORAZIONI!AD427</f>
        <v/>
      </c>
      <c r="Y34" s="7">
        <f>LAVORAZIONI!AE427</f>
        <v/>
      </c>
      <c r="Z34" s="6">
        <f>LAVORAZIONI!AF427</f>
        <v/>
      </c>
      <c r="AA34" s="7">
        <f>LAVORAZIONI!AG427</f>
        <v/>
      </c>
      <c r="AB34" s="6">
        <f>LAVORAZIONI!AH427</f>
        <v/>
      </c>
      <c r="AC34" s="7">
        <f>LAVORAZIONI!AI427</f>
        <v/>
      </c>
      <c r="AD34" s="13">
        <f>LAVORAZIONI!AJ427</f>
        <v/>
      </c>
    </row>
    <row r="35" ht="64" customHeight="1" s="46">
      <c r="B35" s="4">
        <f>LAVORAZIONI!G428</f>
        <v/>
      </c>
      <c r="C35" s="3">
        <f>LAVORAZIONI!A428</f>
        <v/>
      </c>
      <c r="D35" s="3">
        <f>LAVORAZIONI!K428</f>
        <v/>
      </c>
      <c r="E35" s="4">
        <f>LAVORAZIONI!H428</f>
        <v/>
      </c>
      <c r="F35" s="4">
        <f>LAVORAZIONI!M428</f>
        <v/>
      </c>
      <c r="G35" s="5">
        <f>LAVORAZIONI!N428</f>
        <v/>
      </c>
      <c r="H35" s="6">
        <f>LAVORAZIONI!O428</f>
        <v/>
      </c>
      <c r="I35" s="13">
        <f>LAVORAZIONI!P428</f>
        <v/>
      </c>
      <c r="J35" s="5">
        <f>IF(LAVORAZIONI!Q428="","",LAVORAZIONI!Q428)</f>
        <v/>
      </c>
      <c r="K35" s="6">
        <f>IF(LAVORAZIONI!R428="","",LAVORAZIONI!R428)</f>
        <v/>
      </c>
      <c r="L35" s="13">
        <f>IF(LAVORAZIONI!S428="","",LAVORAZIONI!S428)</f>
        <v/>
      </c>
      <c r="M35" s="13">
        <f>LAVORAZIONI!T428</f>
        <v/>
      </c>
      <c r="O35" s="7">
        <f>LAVORAZIONI!U428</f>
        <v/>
      </c>
      <c r="P35" s="45">
        <f>LAVORAZIONI!V428</f>
        <v/>
      </c>
      <c r="Q35" s="7">
        <f>LAVORAZIONI!W428</f>
        <v/>
      </c>
      <c r="R35" s="6">
        <f>LAVORAZIONI!X428</f>
        <v/>
      </c>
      <c r="S35" s="7">
        <f>LAVORAZIONI!Y428</f>
        <v/>
      </c>
      <c r="T35" s="6">
        <f>LAVORAZIONI!Z428</f>
        <v/>
      </c>
      <c r="U35" s="7">
        <f>LAVORAZIONI!AA428</f>
        <v/>
      </c>
      <c r="V35" s="6">
        <f>LAVORAZIONI!AB428</f>
        <v/>
      </c>
      <c r="W35" s="7">
        <f>LAVORAZIONI!AC428</f>
        <v/>
      </c>
      <c r="X35" s="6">
        <f>LAVORAZIONI!AD428</f>
        <v/>
      </c>
      <c r="Y35" s="7">
        <f>LAVORAZIONI!AE428</f>
        <v/>
      </c>
      <c r="Z35" s="6">
        <f>LAVORAZIONI!AF428</f>
        <v/>
      </c>
      <c r="AA35" s="7">
        <f>LAVORAZIONI!AG428</f>
        <v/>
      </c>
      <c r="AB35" s="6">
        <f>LAVORAZIONI!AH428</f>
        <v/>
      </c>
      <c r="AC35" s="7">
        <f>LAVORAZIONI!AI428</f>
        <v/>
      </c>
      <c r="AD35" s="13">
        <f>LAVORAZIONI!AJ428</f>
        <v/>
      </c>
    </row>
    <row r="36" ht="64" customHeight="1" s="46">
      <c r="B36" s="4">
        <f>LAVORAZIONI!G429</f>
        <v/>
      </c>
      <c r="C36" s="3">
        <f>LAVORAZIONI!A429</f>
        <v/>
      </c>
      <c r="D36" s="3">
        <f>LAVORAZIONI!K429</f>
        <v/>
      </c>
      <c r="E36" s="4">
        <f>LAVORAZIONI!H429</f>
        <v/>
      </c>
      <c r="F36" s="4">
        <f>LAVORAZIONI!M429</f>
        <v/>
      </c>
      <c r="G36" s="5">
        <f>LAVORAZIONI!N429</f>
        <v/>
      </c>
      <c r="H36" s="6">
        <f>LAVORAZIONI!O429</f>
        <v/>
      </c>
      <c r="I36" s="13">
        <f>LAVORAZIONI!P429</f>
        <v/>
      </c>
      <c r="J36" s="5">
        <f>IF(LAVORAZIONI!Q429="","",LAVORAZIONI!Q429)</f>
        <v/>
      </c>
      <c r="K36" s="6">
        <f>IF(LAVORAZIONI!R429="","",LAVORAZIONI!R429)</f>
        <v/>
      </c>
      <c r="L36" s="13">
        <f>IF(LAVORAZIONI!S429="","",LAVORAZIONI!S429)</f>
        <v/>
      </c>
      <c r="M36" s="13">
        <f>LAVORAZIONI!T429</f>
        <v/>
      </c>
      <c r="O36" s="7">
        <f>LAVORAZIONI!U429</f>
        <v/>
      </c>
      <c r="P36" s="45">
        <f>LAVORAZIONI!V429</f>
        <v/>
      </c>
      <c r="Q36" s="7">
        <f>LAVORAZIONI!W429</f>
        <v/>
      </c>
      <c r="R36" s="6">
        <f>LAVORAZIONI!X429</f>
        <v/>
      </c>
      <c r="S36" s="7">
        <f>LAVORAZIONI!Y429</f>
        <v/>
      </c>
      <c r="T36" s="6">
        <f>LAVORAZIONI!Z429</f>
        <v/>
      </c>
      <c r="U36" s="7">
        <f>LAVORAZIONI!AA429</f>
        <v/>
      </c>
      <c r="V36" s="6">
        <f>LAVORAZIONI!AB429</f>
        <v/>
      </c>
      <c r="W36" s="7">
        <f>LAVORAZIONI!AC429</f>
        <v/>
      </c>
      <c r="X36" s="6">
        <f>LAVORAZIONI!AD429</f>
        <v/>
      </c>
      <c r="Y36" s="7">
        <f>LAVORAZIONI!AE429</f>
        <v/>
      </c>
      <c r="Z36" s="6">
        <f>LAVORAZIONI!AF429</f>
        <v/>
      </c>
      <c r="AA36" s="7">
        <f>LAVORAZIONI!AG429</f>
        <v/>
      </c>
      <c r="AB36" s="6">
        <f>LAVORAZIONI!AH429</f>
        <v/>
      </c>
      <c r="AC36" s="7">
        <f>LAVORAZIONI!AI429</f>
        <v/>
      </c>
      <c r="AD36" s="13">
        <f>LAVORAZIONI!AJ429</f>
        <v/>
      </c>
    </row>
    <row r="37" ht="64" customHeight="1" s="46">
      <c r="B37" s="4">
        <f>LAVORAZIONI!G430</f>
        <v/>
      </c>
      <c r="C37" s="3">
        <f>LAVORAZIONI!A430</f>
        <v/>
      </c>
      <c r="D37" s="3">
        <f>LAVORAZIONI!K430</f>
        <v/>
      </c>
      <c r="E37" s="4">
        <f>LAVORAZIONI!H430</f>
        <v/>
      </c>
      <c r="F37" s="4">
        <f>LAVORAZIONI!M430</f>
        <v/>
      </c>
      <c r="G37" s="5">
        <f>LAVORAZIONI!N430</f>
        <v/>
      </c>
      <c r="H37" s="6">
        <f>LAVORAZIONI!O430</f>
        <v/>
      </c>
      <c r="I37" s="13">
        <f>LAVORAZIONI!P430</f>
        <v/>
      </c>
      <c r="J37" s="5">
        <f>IF(LAVORAZIONI!Q430="","",LAVORAZIONI!Q430)</f>
        <v/>
      </c>
      <c r="K37" s="6">
        <f>IF(LAVORAZIONI!R430="","",LAVORAZIONI!R430)</f>
        <v/>
      </c>
      <c r="L37" s="13">
        <f>IF(LAVORAZIONI!S430="","",LAVORAZIONI!S430)</f>
        <v/>
      </c>
      <c r="M37" s="13">
        <f>LAVORAZIONI!T430</f>
        <v/>
      </c>
      <c r="O37" s="7">
        <f>LAVORAZIONI!U430</f>
        <v/>
      </c>
      <c r="P37" s="45">
        <f>LAVORAZIONI!V430</f>
        <v/>
      </c>
      <c r="Q37" s="7">
        <f>LAVORAZIONI!W430</f>
        <v/>
      </c>
      <c r="R37" s="6">
        <f>LAVORAZIONI!X430</f>
        <v/>
      </c>
      <c r="S37" s="7">
        <f>LAVORAZIONI!Y430</f>
        <v/>
      </c>
      <c r="T37" s="6">
        <f>LAVORAZIONI!Z430</f>
        <v/>
      </c>
      <c r="U37" s="7">
        <f>LAVORAZIONI!AA430</f>
        <v/>
      </c>
      <c r="V37" s="6">
        <f>LAVORAZIONI!AB430</f>
        <v/>
      </c>
      <c r="W37" s="7">
        <f>LAVORAZIONI!AC430</f>
        <v/>
      </c>
      <c r="X37" s="6">
        <f>LAVORAZIONI!AD430</f>
        <v/>
      </c>
      <c r="Y37" s="7">
        <f>LAVORAZIONI!AE430</f>
        <v/>
      </c>
      <c r="Z37" s="6">
        <f>LAVORAZIONI!AF430</f>
        <v/>
      </c>
      <c r="AA37" s="7">
        <f>LAVORAZIONI!AG430</f>
        <v/>
      </c>
      <c r="AB37" s="6">
        <f>LAVORAZIONI!AH430</f>
        <v/>
      </c>
      <c r="AC37" s="7">
        <f>LAVORAZIONI!AI430</f>
        <v/>
      </c>
      <c r="AD37" s="13">
        <f>LAVORAZIONI!AJ430</f>
        <v/>
      </c>
    </row>
    <row r="38" ht="64" customHeight="1" s="46">
      <c r="B38" s="4">
        <f>LAVORAZIONI!G431</f>
        <v/>
      </c>
      <c r="C38" s="3">
        <f>LAVORAZIONI!A431</f>
        <v/>
      </c>
      <c r="D38" s="3">
        <f>LAVORAZIONI!K431</f>
        <v/>
      </c>
      <c r="E38" s="4">
        <f>LAVORAZIONI!H431</f>
        <v/>
      </c>
      <c r="F38" s="4">
        <f>LAVORAZIONI!M431</f>
        <v/>
      </c>
      <c r="G38" s="5">
        <f>LAVORAZIONI!N431</f>
        <v/>
      </c>
      <c r="H38" s="6">
        <f>LAVORAZIONI!O431</f>
        <v/>
      </c>
      <c r="I38" s="13">
        <f>LAVORAZIONI!P431</f>
        <v/>
      </c>
      <c r="J38" s="5">
        <f>IF(LAVORAZIONI!Q431="","",LAVORAZIONI!Q431)</f>
        <v/>
      </c>
      <c r="K38" s="6">
        <f>IF(LAVORAZIONI!R431="","",LAVORAZIONI!R431)</f>
        <v/>
      </c>
      <c r="L38" s="13">
        <f>IF(LAVORAZIONI!S431="","",LAVORAZIONI!S431)</f>
        <v/>
      </c>
      <c r="M38" s="13">
        <f>LAVORAZIONI!T431</f>
        <v/>
      </c>
      <c r="O38" s="7">
        <f>LAVORAZIONI!U431</f>
        <v/>
      </c>
      <c r="P38" s="45">
        <f>LAVORAZIONI!V431</f>
        <v/>
      </c>
      <c r="Q38" s="7">
        <f>LAVORAZIONI!W431</f>
        <v/>
      </c>
      <c r="R38" s="6">
        <f>LAVORAZIONI!X431</f>
        <v/>
      </c>
      <c r="S38" s="7">
        <f>LAVORAZIONI!Y431</f>
        <v/>
      </c>
      <c r="T38" s="6">
        <f>LAVORAZIONI!Z431</f>
        <v/>
      </c>
      <c r="U38" s="7">
        <f>LAVORAZIONI!AA431</f>
        <v/>
      </c>
      <c r="V38" s="6">
        <f>LAVORAZIONI!AB431</f>
        <v/>
      </c>
      <c r="W38" s="7">
        <f>LAVORAZIONI!AC431</f>
        <v/>
      </c>
      <c r="X38" s="6">
        <f>LAVORAZIONI!AD431</f>
        <v/>
      </c>
      <c r="Y38" s="7">
        <f>LAVORAZIONI!AE431</f>
        <v/>
      </c>
      <c r="Z38" s="6">
        <f>LAVORAZIONI!AF431</f>
        <v/>
      </c>
      <c r="AA38" s="7">
        <f>LAVORAZIONI!AG431</f>
        <v/>
      </c>
      <c r="AB38" s="6">
        <f>LAVORAZIONI!AH431</f>
        <v/>
      </c>
      <c r="AC38" s="7">
        <f>LAVORAZIONI!AI431</f>
        <v/>
      </c>
      <c r="AD38" s="13">
        <f>LAVORAZIONI!AJ431</f>
        <v/>
      </c>
    </row>
    <row r="39" ht="64" customHeight="1" s="46">
      <c r="B39" s="4">
        <f>LAVORAZIONI!G432</f>
        <v/>
      </c>
      <c r="C39" s="3">
        <f>LAVORAZIONI!A432</f>
        <v/>
      </c>
      <c r="D39" s="3">
        <f>LAVORAZIONI!K432</f>
        <v/>
      </c>
      <c r="E39" s="4">
        <f>LAVORAZIONI!H432</f>
        <v/>
      </c>
      <c r="F39" s="4">
        <f>LAVORAZIONI!M432</f>
        <v/>
      </c>
      <c r="G39" s="5">
        <f>LAVORAZIONI!N432</f>
        <v/>
      </c>
      <c r="H39" s="6">
        <f>LAVORAZIONI!O432</f>
        <v/>
      </c>
      <c r="I39" s="13">
        <f>LAVORAZIONI!P432</f>
        <v/>
      </c>
      <c r="J39" s="5">
        <f>IF(LAVORAZIONI!Q432="","",LAVORAZIONI!Q432)</f>
        <v/>
      </c>
      <c r="K39" s="6">
        <f>IF(LAVORAZIONI!R432="","",LAVORAZIONI!R432)</f>
        <v/>
      </c>
      <c r="L39" s="13">
        <f>IF(LAVORAZIONI!S432="","",LAVORAZIONI!S432)</f>
        <v/>
      </c>
      <c r="M39" s="13">
        <f>LAVORAZIONI!T432</f>
        <v/>
      </c>
      <c r="O39" s="7">
        <f>LAVORAZIONI!U432</f>
        <v/>
      </c>
      <c r="P39" s="45">
        <f>LAVORAZIONI!V432</f>
        <v/>
      </c>
      <c r="Q39" s="7">
        <f>LAVORAZIONI!W432</f>
        <v/>
      </c>
      <c r="R39" s="6">
        <f>LAVORAZIONI!X432</f>
        <v/>
      </c>
      <c r="S39" s="7">
        <f>LAVORAZIONI!Y432</f>
        <v/>
      </c>
      <c r="T39" s="6">
        <f>LAVORAZIONI!Z432</f>
        <v/>
      </c>
      <c r="U39" s="7">
        <f>LAVORAZIONI!AA432</f>
        <v/>
      </c>
      <c r="V39" s="6">
        <f>LAVORAZIONI!AB432</f>
        <v/>
      </c>
      <c r="W39" s="7">
        <f>LAVORAZIONI!AC432</f>
        <v/>
      </c>
      <c r="X39" s="6">
        <f>LAVORAZIONI!AD432</f>
        <v/>
      </c>
      <c r="Y39" s="7">
        <f>LAVORAZIONI!AE432</f>
        <v/>
      </c>
      <c r="Z39" s="6">
        <f>LAVORAZIONI!AF432</f>
        <v/>
      </c>
      <c r="AA39" s="7">
        <f>LAVORAZIONI!AG432</f>
        <v/>
      </c>
      <c r="AB39" s="6">
        <f>LAVORAZIONI!AH432</f>
        <v/>
      </c>
      <c r="AC39" s="7">
        <f>LAVORAZIONI!AI432</f>
        <v/>
      </c>
      <c r="AD39" s="13">
        <f>LAVORAZIONI!AJ432</f>
        <v/>
      </c>
    </row>
    <row r="40" ht="64" customHeight="1" s="46">
      <c r="B40" s="4">
        <f>LAVORAZIONI!G433</f>
        <v/>
      </c>
      <c r="C40" s="3">
        <f>LAVORAZIONI!A433</f>
        <v/>
      </c>
      <c r="D40" s="3">
        <f>LAVORAZIONI!K433</f>
        <v/>
      </c>
      <c r="E40" s="4">
        <f>LAVORAZIONI!H433</f>
        <v/>
      </c>
      <c r="F40" s="4">
        <f>LAVORAZIONI!M433</f>
        <v/>
      </c>
      <c r="G40" s="5">
        <f>LAVORAZIONI!N433</f>
        <v/>
      </c>
      <c r="H40" s="6">
        <f>LAVORAZIONI!O433</f>
        <v/>
      </c>
      <c r="I40" s="13">
        <f>LAVORAZIONI!P433</f>
        <v/>
      </c>
      <c r="J40" s="5">
        <f>IF(LAVORAZIONI!Q433="","",LAVORAZIONI!Q433)</f>
        <v/>
      </c>
      <c r="K40" s="6">
        <f>IF(LAVORAZIONI!R433="","",LAVORAZIONI!R433)</f>
        <v/>
      </c>
      <c r="L40" s="13">
        <f>IF(LAVORAZIONI!S433="","",LAVORAZIONI!S433)</f>
        <v/>
      </c>
      <c r="M40" s="13">
        <f>LAVORAZIONI!T433</f>
        <v/>
      </c>
      <c r="O40" s="7">
        <f>LAVORAZIONI!U433</f>
        <v/>
      </c>
      <c r="P40" s="45">
        <f>LAVORAZIONI!V433</f>
        <v/>
      </c>
      <c r="Q40" s="7">
        <f>LAVORAZIONI!W433</f>
        <v/>
      </c>
      <c r="R40" s="6">
        <f>LAVORAZIONI!X433</f>
        <v/>
      </c>
      <c r="S40" s="7">
        <f>LAVORAZIONI!Y433</f>
        <v/>
      </c>
      <c r="T40" s="6">
        <f>LAVORAZIONI!Z433</f>
        <v/>
      </c>
      <c r="U40" s="7">
        <f>LAVORAZIONI!AA433</f>
        <v/>
      </c>
      <c r="V40" s="6">
        <f>LAVORAZIONI!AB433</f>
        <v/>
      </c>
      <c r="W40" s="7">
        <f>LAVORAZIONI!AC433</f>
        <v/>
      </c>
      <c r="X40" s="6">
        <f>LAVORAZIONI!AD433</f>
        <v/>
      </c>
      <c r="Y40" s="7">
        <f>LAVORAZIONI!AE433</f>
        <v/>
      </c>
      <c r="Z40" s="6">
        <f>LAVORAZIONI!AF433</f>
        <v/>
      </c>
      <c r="AA40" s="7">
        <f>LAVORAZIONI!AG433</f>
        <v/>
      </c>
      <c r="AB40" s="6">
        <f>LAVORAZIONI!AH433</f>
        <v/>
      </c>
      <c r="AC40" s="7">
        <f>LAVORAZIONI!AI433</f>
        <v/>
      </c>
      <c r="AD40" s="13">
        <f>LAVORAZIONI!AJ433</f>
        <v/>
      </c>
    </row>
    <row r="41" ht="64" customHeight="1" s="46">
      <c r="B41" s="4">
        <f>LAVORAZIONI!G434</f>
        <v/>
      </c>
      <c r="C41" s="3">
        <f>LAVORAZIONI!A434</f>
        <v/>
      </c>
      <c r="D41" s="3">
        <f>LAVORAZIONI!K434</f>
        <v/>
      </c>
      <c r="E41" s="4">
        <f>LAVORAZIONI!H434</f>
        <v/>
      </c>
      <c r="F41" s="4">
        <f>LAVORAZIONI!M434</f>
        <v/>
      </c>
      <c r="G41" s="5">
        <f>LAVORAZIONI!N434</f>
        <v/>
      </c>
      <c r="H41" s="6">
        <f>LAVORAZIONI!O434</f>
        <v/>
      </c>
      <c r="I41" s="13">
        <f>LAVORAZIONI!P434</f>
        <v/>
      </c>
      <c r="J41" s="5">
        <f>IF(LAVORAZIONI!Q434="","",LAVORAZIONI!Q434)</f>
        <v/>
      </c>
      <c r="K41" s="6">
        <f>IF(LAVORAZIONI!R434="","",LAVORAZIONI!R434)</f>
        <v/>
      </c>
      <c r="L41" s="13">
        <f>IF(LAVORAZIONI!S434="","",LAVORAZIONI!S434)</f>
        <v/>
      </c>
      <c r="M41" s="13">
        <f>LAVORAZIONI!T434</f>
        <v/>
      </c>
      <c r="O41" s="7">
        <f>LAVORAZIONI!U434</f>
        <v/>
      </c>
      <c r="P41" s="45">
        <f>LAVORAZIONI!V434</f>
        <v/>
      </c>
      <c r="Q41" s="7">
        <f>LAVORAZIONI!W434</f>
        <v/>
      </c>
      <c r="R41" s="6">
        <f>LAVORAZIONI!X434</f>
        <v/>
      </c>
      <c r="S41" s="7">
        <f>LAVORAZIONI!Y434</f>
        <v/>
      </c>
      <c r="T41" s="6">
        <f>LAVORAZIONI!Z434</f>
        <v/>
      </c>
      <c r="U41" s="7">
        <f>LAVORAZIONI!AA434</f>
        <v/>
      </c>
      <c r="V41" s="6">
        <f>LAVORAZIONI!AB434</f>
        <v/>
      </c>
      <c r="W41" s="7">
        <f>LAVORAZIONI!AC434</f>
        <v/>
      </c>
      <c r="X41" s="6">
        <f>LAVORAZIONI!AD434</f>
        <v/>
      </c>
      <c r="Y41" s="7">
        <f>LAVORAZIONI!AE434</f>
        <v/>
      </c>
      <c r="Z41" s="6">
        <f>LAVORAZIONI!AF434</f>
        <v/>
      </c>
      <c r="AA41" s="7">
        <f>LAVORAZIONI!AG434</f>
        <v/>
      </c>
      <c r="AB41" s="6">
        <f>LAVORAZIONI!AH434</f>
        <v/>
      </c>
      <c r="AC41" s="7">
        <f>LAVORAZIONI!AI434</f>
        <v/>
      </c>
      <c r="AD41" s="13">
        <f>LAVORAZIONI!AJ434</f>
        <v/>
      </c>
    </row>
    <row r="42" ht="64" customHeight="1" s="46">
      <c r="B42" s="4">
        <f>LAVORAZIONI!G435</f>
        <v/>
      </c>
      <c r="C42" s="3">
        <f>LAVORAZIONI!A435</f>
        <v/>
      </c>
      <c r="D42" s="3">
        <f>LAVORAZIONI!K435</f>
        <v/>
      </c>
      <c r="E42" s="4">
        <f>LAVORAZIONI!H435</f>
        <v/>
      </c>
      <c r="F42" s="4">
        <f>LAVORAZIONI!M435</f>
        <v/>
      </c>
      <c r="G42" s="5">
        <f>LAVORAZIONI!N435</f>
        <v/>
      </c>
      <c r="H42" s="6">
        <f>LAVORAZIONI!O435</f>
        <v/>
      </c>
      <c r="I42" s="13">
        <f>LAVORAZIONI!P435</f>
        <v/>
      </c>
      <c r="J42" s="5">
        <f>IF(LAVORAZIONI!Q435="","",LAVORAZIONI!Q435)</f>
        <v/>
      </c>
      <c r="K42" s="6">
        <f>IF(LAVORAZIONI!R435="","",LAVORAZIONI!R435)</f>
        <v/>
      </c>
      <c r="L42" s="13">
        <f>IF(LAVORAZIONI!S435="","",LAVORAZIONI!S435)</f>
        <v/>
      </c>
      <c r="M42" s="13">
        <f>LAVORAZIONI!T435</f>
        <v/>
      </c>
      <c r="O42" s="7">
        <f>LAVORAZIONI!U435</f>
        <v/>
      </c>
      <c r="P42" s="45">
        <f>LAVORAZIONI!V435</f>
        <v/>
      </c>
      <c r="Q42" s="7">
        <f>LAVORAZIONI!W435</f>
        <v/>
      </c>
      <c r="R42" s="6">
        <f>LAVORAZIONI!X435</f>
        <v/>
      </c>
      <c r="S42" s="7">
        <f>LAVORAZIONI!Y435</f>
        <v/>
      </c>
      <c r="T42" s="6">
        <f>LAVORAZIONI!Z435</f>
        <v/>
      </c>
      <c r="U42" s="7">
        <f>LAVORAZIONI!AA435</f>
        <v/>
      </c>
      <c r="V42" s="6">
        <f>LAVORAZIONI!AB435</f>
        <v/>
      </c>
      <c r="W42" s="7">
        <f>LAVORAZIONI!AC435</f>
        <v/>
      </c>
      <c r="X42" s="6">
        <f>LAVORAZIONI!AD435</f>
        <v/>
      </c>
      <c r="Y42" s="7">
        <f>LAVORAZIONI!AE435</f>
        <v/>
      </c>
      <c r="Z42" s="6">
        <f>LAVORAZIONI!AF435</f>
        <v/>
      </c>
      <c r="AA42" s="7">
        <f>LAVORAZIONI!AG435</f>
        <v/>
      </c>
      <c r="AB42" s="6">
        <f>LAVORAZIONI!AH435</f>
        <v/>
      </c>
      <c r="AC42" s="7">
        <f>LAVORAZIONI!AI435</f>
        <v/>
      </c>
      <c r="AD42" s="13">
        <f>LAVORAZIONI!AJ435</f>
        <v/>
      </c>
    </row>
    <row r="43" ht="64" customHeight="1" s="46">
      <c r="B43" s="4">
        <f>LAVORAZIONI!G436</f>
        <v/>
      </c>
      <c r="C43" s="3">
        <f>LAVORAZIONI!A436</f>
        <v/>
      </c>
      <c r="D43" s="3">
        <f>LAVORAZIONI!K436</f>
        <v/>
      </c>
      <c r="E43" s="4">
        <f>LAVORAZIONI!H436</f>
        <v/>
      </c>
      <c r="F43" s="4">
        <f>LAVORAZIONI!M436</f>
        <v/>
      </c>
      <c r="G43" s="5">
        <f>LAVORAZIONI!N436</f>
        <v/>
      </c>
      <c r="H43" s="6">
        <f>LAVORAZIONI!O436</f>
        <v/>
      </c>
      <c r="I43" s="13">
        <f>LAVORAZIONI!P436</f>
        <v/>
      </c>
      <c r="J43" s="5">
        <f>IF(LAVORAZIONI!Q436="","",LAVORAZIONI!Q436)</f>
        <v/>
      </c>
      <c r="K43" s="6">
        <f>IF(LAVORAZIONI!R436="","",LAVORAZIONI!R436)</f>
        <v/>
      </c>
      <c r="L43" s="13">
        <f>IF(LAVORAZIONI!S436="","",LAVORAZIONI!S436)</f>
        <v/>
      </c>
      <c r="M43" s="13">
        <f>LAVORAZIONI!T436</f>
        <v/>
      </c>
      <c r="O43" s="7">
        <f>LAVORAZIONI!U436</f>
        <v/>
      </c>
      <c r="P43" s="45">
        <f>LAVORAZIONI!V436</f>
        <v/>
      </c>
      <c r="Q43" s="7">
        <f>LAVORAZIONI!W436</f>
        <v/>
      </c>
      <c r="R43" s="6">
        <f>LAVORAZIONI!X436</f>
        <v/>
      </c>
      <c r="S43" s="7">
        <f>LAVORAZIONI!Y436</f>
        <v/>
      </c>
      <c r="T43" s="6">
        <f>LAVORAZIONI!Z436</f>
        <v/>
      </c>
      <c r="U43" s="7">
        <f>LAVORAZIONI!AA436</f>
        <v/>
      </c>
      <c r="V43" s="6">
        <f>LAVORAZIONI!AB436</f>
        <v/>
      </c>
      <c r="W43" s="7">
        <f>LAVORAZIONI!AC436</f>
        <v/>
      </c>
      <c r="X43" s="6">
        <f>LAVORAZIONI!AD436</f>
        <v/>
      </c>
      <c r="Y43" s="7">
        <f>LAVORAZIONI!AE436</f>
        <v/>
      </c>
      <c r="Z43" s="6">
        <f>LAVORAZIONI!AF436</f>
        <v/>
      </c>
      <c r="AA43" s="7">
        <f>LAVORAZIONI!AG436</f>
        <v/>
      </c>
      <c r="AB43" s="6">
        <f>LAVORAZIONI!AH436</f>
        <v/>
      </c>
      <c r="AC43" s="7">
        <f>LAVORAZIONI!AI436</f>
        <v/>
      </c>
      <c r="AD43" s="13">
        <f>LAVORAZIONI!AJ436</f>
        <v/>
      </c>
    </row>
    <row r="44" ht="64" customHeight="1" s="46">
      <c r="B44" s="4">
        <f>LAVORAZIONI!G437</f>
        <v/>
      </c>
      <c r="C44" s="3">
        <f>LAVORAZIONI!A437</f>
        <v/>
      </c>
      <c r="D44" s="3">
        <f>LAVORAZIONI!K437</f>
        <v/>
      </c>
      <c r="E44" s="4">
        <f>LAVORAZIONI!H437</f>
        <v/>
      </c>
      <c r="F44" s="4">
        <f>LAVORAZIONI!M437</f>
        <v/>
      </c>
      <c r="G44" s="5">
        <f>LAVORAZIONI!N437</f>
        <v/>
      </c>
      <c r="H44" s="6">
        <f>LAVORAZIONI!O437</f>
        <v/>
      </c>
      <c r="I44" s="13">
        <f>LAVORAZIONI!P437</f>
        <v/>
      </c>
      <c r="J44" s="5">
        <f>IF(LAVORAZIONI!Q437="","",LAVORAZIONI!Q437)</f>
        <v/>
      </c>
      <c r="K44" s="6">
        <f>IF(LAVORAZIONI!R437="","",LAVORAZIONI!R437)</f>
        <v/>
      </c>
      <c r="L44" s="13">
        <f>IF(LAVORAZIONI!S437="","",LAVORAZIONI!S437)</f>
        <v/>
      </c>
      <c r="M44" s="13">
        <f>LAVORAZIONI!T437</f>
        <v/>
      </c>
      <c r="O44" s="7">
        <f>LAVORAZIONI!U437</f>
        <v/>
      </c>
      <c r="P44" s="45">
        <f>LAVORAZIONI!V437</f>
        <v/>
      </c>
      <c r="Q44" s="7">
        <f>LAVORAZIONI!W437</f>
        <v/>
      </c>
      <c r="R44" s="6">
        <f>LAVORAZIONI!X437</f>
        <v/>
      </c>
      <c r="S44" s="7">
        <f>LAVORAZIONI!Y437</f>
        <v/>
      </c>
      <c r="T44" s="6">
        <f>LAVORAZIONI!Z437</f>
        <v/>
      </c>
      <c r="U44" s="7">
        <f>LAVORAZIONI!AA437</f>
        <v/>
      </c>
      <c r="V44" s="6">
        <f>LAVORAZIONI!AB437</f>
        <v/>
      </c>
      <c r="W44" s="7">
        <f>LAVORAZIONI!AC437</f>
        <v/>
      </c>
      <c r="X44" s="6">
        <f>LAVORAZIONI!AD437</f>
        <v/>
      </c>
      <c r="Y44" s="7">
        <f>LAVORAZIONI!AE437</f>
        <v/>
      </c>
      <c r="Z44" s="6">
        <f>LAVORAZIONI!AF437</f>
        <v/>
      </c>
      <c r="AA44" s="7">
        <f>LAVORAZIONI!AG437</f>
        <v/>
      </c>
      <c r="AB44" s="6">
        <f>LAVORAZIONI!AH437</f>
        <v/>
      </c>
      <c r="AC44" s="7">
        <f>LAVORAZIONI!AI437</f>
        <v/>
      </c>
      <c r="AD44" s="13">
        <f>LAVORAZIONI!AJ437</f>
        <v/>
      </c>
    </row>
    <row r="45" ht="64" customHeight="1" s="46">
      <c r="B45" s="4">
        <f>LAVORAZIONI!G438</f>
        <v/>
      </c>
      <c r="C45" s="3">
        <f>LAVORAZIONI!A438</f>
        <v/>
      </c>
      <c r="D45" s="3">
        <f>LAVORAZIONI!K438</f>
        <v/>
      </c>
      <c r="E45" s="4">
        <f>LAVORAZIONI!H438</f>
        <v/>
      </c>
      <c r="F45" s="4">
        <f>LAVORAZIONI!M438</f>
        <v/>
      </c>
      <c r="G45" s="5">
        <f>LAVORAZIONI!N438</f>
        <v/>
      </c>
      <c r="H45" s="6">
        <f>LAVORAZIONI!O438</f>
        <v/>
      </c>
      <c r="I45" s="13">
        <f>LAVORAZIONI!P438</f>
        <v/>
      </c>
      <c r="J45" s="5">
        <f>IF(LAVORAZIONI!Q438="","",LAVORAZIONI!Q438)</f>
        <v/>
      </c>
      <c r="K45" s="6">
        <f>IF(LAVORAZIONI!R438="","",LAVORAZIONI!R438)</f>
        <v/>
      </c>
      <c r="L45" s="13">
        <f>IF(LAVORAZIONI!S438="","",LAVORAZIONI!S438)</f>
        <v/>
      </c>
      <c r="M45" s="13">
        <f>LAVORAZIONI!T438</f>
        <v/>
      </c>
      <c r="O45" s="7">
        <f>LAVORAZIONI!U438</f>
        <v/>
      </c>
      <c r="P45" s="45">
        <f>LAVORAZIONI!V438</f>
        <v/>
      </c>
      <c r="Q45" s="7">
        <f>LAVORAZIONI!W438</f>
        <v/>
      </c>
      <c r="R45" s="6">
        <f>LAVORAZIONI!X438</f>
        <v/>
      </c>
      <c r="S45" s="7">
        <f>LAVORAZIONI!Y438</f>
        <v/>
      </c>
      <c r="T45" s="6">
        <f>LAVORAZIONI!Z438</f>
        <v/>
      </c>
      <c r="U45" s="7">
        <f>LAVORAZIONI!AA438</f>
        <v/>
      </c>
      <c r="V45" s="6">
        <f>LAVORAZIONI!AB438</f>
        <v/>
      </c>
      <c r="W45" s="7">
        <f>LAVORAZIONI!AC438</f>
        <v/>
      </c>
      <c r="X45" s="6">
        <f>LAVORAZIONI!AD438</f>
        <v/>
      </c>
      <c r="Y45" s="7">
        <f>LAVORAZIONI!AE438</f>
        <v/>
      </c>
      <c r="Z45" s="6">
        <f>LAVORAZIONI!AF438</f>
        <v/>
      </c>
      <c r="AA45" s="7">
        <f>LAVORAZIONI!AG438</f>
        <v/>
      </c>
      <c r="AB45" s="6">
        <f>LAVORAZIONI!AH438</f>
        <v/>
      </c>
      <c r="AC45" s="7">
        <f>LAVORAZIONI!AI438</f>
        <v/>
      </c>
      <c r="AD45" s="13">
        <f>LAVORAZIONI!AJ438</f>
        <v/>
      </c>
    </row>
    <row r="46" ht="64" customHeight="1" s="46">
      <c r="B46" s="4">
        <f>LAVORAZIONI!G439</f>
        <v/>
      </c>
      <c r="C46" s="3">
        <f>LAVORAZIONI!A439</f>
        <v/>
      </c>
      <c r="D46" s="3">
        <f>LAVORAZIONI!K439</f>
        <v/>
      </c>
      <c r="E46" s="4">
        <f>LAVORAZIONI!H439</f>
        <v/>
      </c>
      <c r="F46" s="4">
        <f>LAVORAZIONI!M439</f>
        <v/>
      </c>
      <c r="G46" s="5">
        <f>LAVORAZIONI!N439</f>
        <v/>
      </c>
      <c r="H46" s="6">
        <f>LAVORAZIONI!O439</f>
        <v/>
      </c>
      <c r="I46" s="13">
        <f>LAVORAZIONI!P439</f>
        <v/>
      </c>
      <c r="J46" s="5">
        <f>IF(LAVORAZIONI!Q439="","",LAVORAZIONI!Q439)</f>
        <v/>
      </c>
      <c r="K46" s="6">
        <f>IF(LAVORAZIONI!R439="","",LAVORAZIONI!R439)</f>
        <v/>
      </c>
      <c r="L46" s="13">
        <f>IF(LAVORAZIONI!S439="","",LAVORAZIONI!S439)</f>
        <v/>
      </c>
      <c r="M46" s="13">
        <f>LAVORAZIONI!T439</f>
        <v/>
      </c>
      <c r="O46" s="7">
        <f>LAVORAZIONI!U439</f>
        <v/>
      </c>
      <c r="P46" s="45">
        <f>LAVORAZIONI!V439</f>
        <v/>
      </c>
      <c r="Q46" s="7">
        <f>LAVORAZIONI!W439</f>
        <v/>
      </c>
      <c r="R46" s="6">
        <f>LAVORAZIONI!X439</f>
        <v/>
      </c>
      <c r="S46" s="7">
        <f>LAVORAZIONI!Y439</f>
        <v/>
      </c>
      <c r="T46" s="6">
        <f>LAVORAZIONI!Z439</f>
        <v/>
      </c>
      <c r="U46" s="7">
        <f>LAVORAZIONI!AA439</f>
        <v/>
      </c>
      <c r="V46" s="6">
        <f>LAVORAZIONI!AB439</f>
        <v/>
      </c>
      <c r="W46" s="7">
        <f>LAVORAZIONI!AC439</f>
        <v/>
      </c>
      <c r="X46" s="6">
        <f>LAVORAZIONI!AD439</f>
        <v/>
      </c>
      <c r="Y46" s="7">
        <f>LAVORAZIONI!AE439</f>
        <v/>
      </c>
      <c r="Z46" s="6">
        <f>LAVORAZIONI!AF439</f>
        <v/>
      </c>
      <c r="AA46" s="7">
        <f>LAVORAZIONI!AG439</f>
        <v/>
      </c>
      <c r="AB46" s="6">
        <f>LAVORAZIONI!AH439</f>
        <v/>
      </c>
      <c r="AC46" s="7">
        <f>LAVORAZIONI!AI439</f>
        <v/>
      </c>
      <c r="AD46" s="13">
        <f>LAVORAZIONI!AJ439</f>
        <v/>
      </c>
    </row>
    <row r="47" ht="64" customHeight="1" s="46">
      <c r="B47" s="4">
        <f>LAVORAZIONI!G440</f>
        <v/>
      </c>
      <c r="C47" s="3">
        <f>LAVORAZIONI!A440</f>
        <v/>
      </c>
      <c r="D47" s="3">
        <f>LAVORAZIONI!K440</f>
        <v/>
      </c>
      <c r="E47" s="4">
        <f>LAVORAZIONI!H440</f>
        <v/>
      </c>
      <c r="F47" s="4">
        <f>LAVORAZIONI!M440</f>
        <v/>
      </c>
      <c r="G47" s="5">
        <f>LAVORAZIONI!N440</f>
        <v/>
      </c>
      <c r="H47" s="6">
        <f>LAVORAZIONI!O440</f>
        <v/>
      </c>
      <c r="I47" s="13">
        <f>LAVORAZIONI!P440</f>
        <v/>
      </c>
      <c r="J47" s="5">
        <f>IF(LAVORAZIONI!Q440="","",LAVORAZIONI!Q440)</f>
        <v/>
      </c>
      <c r="K47" s="6">
        <f>IF(LAVORAZIONI!R440="","",LAVORAZIONI!R440)</f>
        <v/>
      </c>
      <c r="L47" s="13">
        <f>IF(LAVORAZIONI!S440="","",LAVORAZIONI!S440)</f>
        <v/>
      </c>
      <c r="M47" s="13">
        <f>LAVORAZIONI!T440</f>
        <v/>
      </c>
      <c r="O47" s="7">
        <f>LAVORAZIONI!U440</f>
        <v/>
      </c>
      <c r="P47" s="45">
        <f>LAVORAZIONI!V440</f>
        <v/>
      </c>
      <c r="Q47" s="7">
        <f>LAVORAZIONI!W440</f>
        <v/>
      </c>
      <c r="R47" s="6">
        <f>LAVORAZIONI!X440</f>
        <v/>
      </c>
      <c r="S47" s="7">
        <f>LAVORAZIONI!Y440</f>
        <v/>
      </c>
      <c r="T47" s="6">
        <f>LAVORAZIONI!Z440</f>
        <v/>
      </c>
      <c r="U47" s="7">
        <f>LAVORAZIONI!AA440</f>
        <v/>
      </c>
      <c r="V47" s="6">
        <f>LAVORAZIONI!AB440</f>
        <v/>
      </c>
      <c r="W47" s="7">
        <f>LAVORAZIONI!AC440</f>
        <v/>
      </c>
      <c r="X47" s="6">
        <f>LAVORAZIONI!AD440</f>
        <v/>
      </c>
      <c r="Y47" s="7">
        <f>LAVORAZIONI!AE440</f>
        <v/>
      </c>
      <c r="Z47" s="6">
        <f>LAVORAZIONI!AF440</f>
        <v/>
      </c>
      <c r="AA47" s="7">
        <f>LAVORAZIONI!AG440</f>
        <v/>
      </c>
      <c r="AB47" s="6">
        <f>LAVORAZIONI!AH440</f>
        <v/>
      </c>
      <c r="AC47" s="7">
        <f>LAVORAZIONI!AI440</f>
        <v/>
      </c>
      <c r="AD47" s="13">
        <f>LAVORAZIONI!AJ440</f>
        <v/>
      </c>
    </row>
    <row r="48" ht="64" customHeight="1" s="46">
      <c r="B48" s="4">
        <f>LAVORAZIONI!G441</f>
        <v/>
      </c>
      <c r="C48" s="3">
        <f>LAVORAZIONI!A441</f>
        <v/>
      </c>
      <c r="D48" s="3">
        <f>LAVORAZIONI!K441</f>
        <v/>
      </c>
      <c r="E48" s="4">
        <f>LAVORAZIONI!H441</f>
        <v/>
      </c>
      <c r="F48" s="4">
        <f>LAVORAZIONI!M441</f>
        <v/>
      </c>
      <c r="G48" s="5">
        <f>LAVORAZIONI!N441</f>
        <v/>
      </c>
      <c r="H48" s="6">
        <f>LAVORAZIONI!O441</f>
        <v/>
      </c>
      <c r="I48" s="13">
        <f>LAVORAZIONI!P441</f>
        <v/>
      </c>
      <c r="J48" s="5">
        <f>IF(LAVORAZIONI!Q441="","",LAVORAZIONI!Q441)</f>
        <v/>
      </c>
      <c r="K48" s="6">
        <f>IF(LAVORAZIONI!R441="","",LAVORAZIONI!R441)</f>
        <v/>
      </c>
      <c r="L48" s="13">
        <f>IF(LAVORAZIONI!S441="","",LAVORAZIONI!S441)</f>
        <v/>
      </c>
      <c r="M48" s="13">
        <f>LAVORAZIONI!T441</f>
        <v/>
      </c>
      <c r="O48" s="7">
        <f>LAVORAZIONI!U441</f>
        <v/>
      </c>
      <c r="P48" s="45">
        <f>LAVORAZIONI!V441</f>
        <v/>
      </c>
      <c r="Q48" s="7">
        <f>LAVORAZIONI!W441</f>
        <v/>
      </c>
      <c r="R48" s="6">
        <f>LAVORAZIONI!X441</f>
        <v/>
      </c>
      <c r="S48" s="7">
        <f>LAVORAZIONI!Y441</f>
        <v/>
      </c>
      <c r="T48" s="6">
        <f>LAVORAZIONI!Z441</f>
        <v/>
      </c>
      <c r="U48" s="7">
        <f>LAVORAZIONI!AA441</f>
        <v/>
      </c>
      <c r="V48" s="6">
        <f>LAVORAZIONI!AB441</f>
        <v/>
      </c>
      <c r="W48" s="7">
        <f>LAVORAZIONI!AC441</f>
        <v/>
      </c>
      <c r="X48" s="6">
        <f>LAVORAZIONI!AD441</f>
        <v/>
      </c>
      <c r="Y48" s="7">
        <f>LAVORAZIONI!AE441</f>
        <v/>
      </c>
      <c r="Z48" s="6">
        <f>LAVORAZIONI!AF441</f>
        <v/>
      </c>
      <c r="AA48" s="7">
        <f>LAVORAZIONI!AG441</f>
        <v/>
      </c>
      <c r="AB48" s="6">
        <f>LAVORAZIONI!AH441</f>
        <v/>
      </c>
      <c r="AC48" s="7">
        <f>LAVORAZIONI!AI441</f>
        <v/>
      </c>
      <c r="AD48" s="13">
        <f>LAVORAZIONI!AJ441</f>
        <v/>
      </c>
    </row>
    <row r="49" ht="64" customHeight="1" s="46">
      <c r="B49" s="4">
        <f>LAVORAZIONI!G442</f>
        <v/>
      </c>
      <c r="C49" s="3">
        <f>LAVORAZIONI!A442</f>
        <v/>
      </c>
      <c r="D49" s="3">
        <f>LAVORAZIONI!K442</f>
        <v/>
      </c>
      <c r="E49" s="4">
        <f>LAVORAZIONI!H442</f>
        <v/>
      </c>
      <c r="F49" s="4">
        <f>LAVORAZIONI!M442</f>
        <v/>
      </c>
      <c r="G49" s="5">
        <f>LAVORAZIONI!N442</f>
        <v/>
      </c>
      <c r="H49" s="6">
        <f>LAVORAZIONI!O442</f>
        <v/>
      </c>
      <c r="I49" s="13">
        <f>LAVORAZIONI!P442</f>
        <v/>
      </c>
      <c r="J49" s="5">
        <f>IF(LAVORAZIONI!Q442="","",LAVORAZIONI!Q442)</f>
        <v/>
      </c>
      <c r="K49" s="6">
        <f>IF(LAVORAZIONI!R442="","",LAVORAZIONI!R442)</f>
        <v/>
      </c>
      <c r="L49" s="13">
        <f>IF(LAVORAZIONI!S442="","",LAVORAZIONI!S442)</f>
        <v/>
      </c>
      <c r="M49" s="13">
        <f>LAVORAZIONI!T442</f>
        <v/>
      </c>
      <c r="O49" s="7">
        <f>LAVORAZIONI!U442</f>
        <v/>
      </c>
      <c r="P49" s="45">
        <f>LAVORAZIONI!V442</f>
        <v/>
      </c>
      <c r="Q49" s="7">
        <f>LAVORAZIONI!W442</f>
        <v/>
      </c>
      <c r="R49" s="6">
        <f>LAVORAZIONI!X442</f>
        <v/>
      </c>
      <c r="S49" s="7">
        <f>LAVORAZIONI!Y442</f>
        <v/>
      </c>
      <c r="T49" s="6">
        <f>LAVORAZIONI!Z442</f>
        <v/>
      </c>
      <c r="U49" s="7">
        <f>LAVORAZIONI!AA442</f>
        <v/>
      </c>
      <c r="V49" s="6">
        <f>LAVORAZIONI!AB442</f>
        <v/>
      </c>
      <c r="W49" s="7">
        <f>LAVORAZIONI!AC442</f>
        <v/>
      </c>
      <c r="X49" s="6">
        <f>LAVORAZIONI!AD442</f>
        <v/>
      </c>
      <c r="Y49" s="7">
        <f>LAVORAZIONI!AE442</f>
        <v/>
      </c>
      <c r="Z49" s="6">
        <f>LAVORAZIONI!AF442</f>
        <v/>
      </c>
      <c r="AA49" s="7">
        <f>LAVORAZIONI!AG442</f>
        <v/>
      </c>
      <c r="AB49" s="6">
        <f>LAVORAZIONI!AH442</f>
        <v/>
      </c>
      <c r="AC49" s="7">
        <f>LAVORAZIONI!AI442</f>
        <v/>
      </c>
      <c r="AD49" s="13">
        <f>LAVORAZIONI!AJ442</f>
        <v/>
      </c>
    </row>
    <row r="50" ht="64" customHeight="1" s="46">
      <c r="B50" s="4">
        <f>LAVORAZIONI!G443</f>
        <v/>
      </c>
      <c r="C50" s="3">
        <f>LAVORAZIONI!A443</f>
        <v/>
      </c>
      <c r="D50" s="3">
        <f>LAVORAZIONI!K443</f>
        <v/>
      </c>
      <c r="E50" s="4">
        <f>LAVORAZIONI!H443</f>
        <v/>
      </c>
      <c r="F50" s="4">
        <f>LAVORAZIONI!M443</f>
        <v/>
      </c>
      <c r="G50" s="5">
        <f>LAVORAZIONI!N443</f>
        <v/>
      </c>
      <c r="H50" s="6">
        <f>LAVORAZIONI!O443</f>
        <v/>
      </c>
      <c r="I50" s="13">
        <f>LAVORAZIONI!P443</f>
        <v/>
      </c>
      <c r="J50" s="5">
        <f>IF(LAVORAZIONI!Q443="","",LAVORAZIONI!Q443)</f>
        <v/>
      </c>
      <c r="K50" s="6">
        <f>IF(LAVORAZIONI!R443="","",LAVORAZIONI!R443)</f>
        <v/>
      </c>
      <c r="L50" s="13">
        <f>IF(LAVORAZIONI!S443="","",LAVORAZIONI!S443)</f>
        <v/>
      </c>
      <c r="M50" s="13">
        <f>LAVORAZIONI!T443</f>
        <v/>
      </c>
      <c r="O50" s="7">
        <f>LAVORAZIONI!U443</f>
        <v/>
      </c>
      <c r="P50" s="45">
        <f>LAVORAZIONI!V443</f>
        <v/>
      </c>
      <c r="Q50" s="7">
        <f>LAVORAZIONI!W443</f>
        <v/>
      </c>
      <c r="R50" s="6">
        <f>LAVORAZIONI!X443</f>
        <v/>
      </c>
      <c r="S50" s="7">
        <f>LAVORAZIONI!Y443</f>
        <v/>
      </c>
      <c r="T50" s="6">
        <f>LAVORAZIONI!Z443</f>
        <v/>
      </c>
      <c r="U50" s="7">
        <f>LAVORAZIONI!AA443</f>
        <v/>
      </c>
      <c r="V50" s="6">
        <f>LAVORAZIONI!AB443</f>
        <v/>
      </c>
      <c r="W50" s="7">
        <f>LAVORAZIONI!AC443</f>
        <v/>
      </c>
      <c r="X50" s="6">
        <f>LAVORAZIONI!AD443</f>
        <v/>
      </c>
      <c r="Y50" s="7">
        <f>LAVORAZIONI!AE443</f>
        <v/>
      </c>
      <c r="Z50" s="6">
        <f>LAVORAZIONI!AF443</f>
        <v/>
      </c>
      <c r="AA50" s="7">
        <f>LAVORAZIONI!AG443</f>
        <v/>
      </c>
      <c r="AB50" s="6">
        <f>LAVORAZIONI!AH443</f>
        <v/>
      </c>
      <c r="AC50" s="7">
        <f>LAVORAZIONI!AI443</f>
        <v/>
      </c>
      <c r="AD50" s="13">
        <f>LAVORAZIONI!AJ443</f>
        <v/>
      </c>
    </row>
    <row r="51" ht="64" customHeight="1" s="46">
      <c r="B51" s="4">
        <f>LAVORAZIONI!G444</f>
        <v/>
      </c>
      <c r="C51" s="3">
        <f>LAVORAZIONI!A444</f>
        <v/>
      </c>
      <c r="D51" s="3">
        <f>LAVORAZIONI!K444</f>
        <v/>
      </c>
      <c r="E51" s="4">
        <f>LAVORAZIONI!H444</f>
        <v/>
      </c>
      <c r="F51" s="4">
        <f>LAVORAZIONI!M444</f>
        <v/>
      </c>
      <c r="G51" s="5">
        <f>LAVORAZIONI!N444</f>
        <v/>
      </c>
      <c r="H51" s="6">
        <f>LAVORAZIONI!O444</f>
        <v/>
      </c>
      <c r="I51" s="13">
        <f>LAVORAZIONI!P444</f>
        <v/>
      </c>
      <c r="J51" s="5">
        <f>IF(LAVORAZIONI!Q444="","",LAVORAZIONI!Q444)</f>
        <v/>
      </c>
      <c r="K51" s="6">
        <f>IF(LAVORAZIONI!R444="","",LAVORAZIONI!R444)</f>
        <v/>
      </c>
      <c r="L51" s="13">
        <f>IF(LAVORAZIONI!S444="","",LAVORAZIONI!S444)</f>
        <v/>
      </c>
      <c r="M51" s="13">
        <f>LAVORAZIONI!T444</f>
        <v/>
      </c>
      <c r="O51" s="7">
        <f>LAVORAZIONI!U444</f>
        <v/>
      </c>
      <c r="P51" s="45">
        <f>LAVORAZIONI!V444</f>
        <v/>
      </c>
      <c r="Q51" s="7">
        <f>LAVORAZIONI!W444</f>
        <v/>
      </c>
      <c r="R51" s="6">
        <f>LAVORAZIONI!X444</f>
        <v/>
      </c>
      <c r="S51" s="7">
        <f>LAVORAZIONI!Y444</f>
        <v/>
      </c>
      <c r="T51" s="6">
        <f>LAVORAZIONI!Z444</f>
        <v/>
      </c>
      <c r="U51" s="7">
        <f>LAVORAZIONI!AA444</f>
        <v/>
      </c>
      <c r="V51" s="6">
        <f>LAVORAZIONI!AB444</f>
        <v/>
      </c>
      <c r="W51" s="7">
        <f>LAVORAZIONI!AC444</f>
        <v/>
      </c>
      <c r="X51" s="6">
        <f>LAVORAZIONI!AD444</f>
        <v/>
      </c>
      <c r="Y51" s="7">
        <f>LAVORAZIONI!AE444</f>
        <v/>
      </c>
      <c r="Z51" s="6">
        <f>LAVORAZIONI!AF444</f>
        <v/>
      </c>
      <c r="AA51" s="7">
        <f>LAVORAZIONI!AG444</f>
        <v/>
      </c>
      <c r="AB51" s="6">
        <f>LAVORAZIONI!AH444</f>
        <v/>
      </c>
      <c r="AC51" s="7">
        <f>LAVORAZIONI!AI444</f>
        <v/>
      </c>
      <c r="AD51" s="13">
        <f>LAVORAZIONI!AJ444</f>
        <v/>
      </c>
    </row>
    <row r="52" ht="64" customHeight="1" s="46">
      <c r="B52" s="4">
        <f>LAVORAZIONI!G445</f>
        <v/>
      </c>
      <c r="C52" s="3">
        <f>LAVORAZIONI!A445</f>
        <v/>
      </c>
      <c r="D52" s="3">
        <f>LAVORAZIONI!K445</f>
        <v/>
      </c>
      <c r="E52" s="4">
        <f>LAVORAZIONI!H445</f>
        <v/>
      </c>
      <c r="F52" s="4">
        <f>LAVORAZIONI!M445</f>
        <v/>
      </c>
      <c r="G52" s="5">
        <f>LAVORAZIONI!N445</f>
        <v/>
      </c>
      <c r="H52" s="6">
        <f>LAVORAZIONI!O445</f>
        <v/>
      </c>
      <c r="I52" s="13">
        <f>LAVORAZIONI!P445</f>
        <v/>
      </c>
      <c r="J52" s="5">
        <f>IF(LAVORAZIONI!Q445="","",LAVORAZIONI!Q445)</f>
        <v/>
      </c>
      <c r="K52" s="6">
        <f>IF(LAVORAZIONI!R445="","",LAVORAZIONI!R445)</f>
        <v/>
      </c>
      <c r="L52" s="13">
        <f>IF(LAVORAZIONI!S445="","",LAVORAZIONI!S445)</f>
        <v/>
      </c>
      <c r="M52" s="13">
        <f>LAVORAZIONI!T445</f>
        <v/>
      </c>
      <c r="O52" s="7">
        <f>LAVORAZIONI!U445</f>
        <v/>
      </c>
      <c r="P52" s="45">
        <f>LAVORAZIONI!V445</f>
        <v/>
      </c>
      <c r="Q52" s="7">
        <f>LAVORAZIONI!W445</f>
        <v/>
      </c>
      <c r="R52" s="6">
        <f>LAVORAZIONI!X445</f>
        <v/>
      </c>
      <c r="S52" s="7">
        <f>LAVORAZIONI!Y445</f>
        <v/>
      </c>
      <c r="T52" s="6">
        <f>LAVORAZIONI!Z445</f>
        <v/>
      </c>
      <c r="U52" s="7">
        <f>LAVORAZIONI!AA445</f>
        <v/>
      </c>
      <c r="V52" s="6">
        <f>LAVORAZIONI!AB445</f>
        <v/>
      </c>
      <c r="W52" s="7">
        <f>LAVORAZIONI!AC445</f>
        <v/>
      </c>
      <c r="X52" s="6">
        <f>LAVORAZIONI!AD445</f>
        <v/>
      </c>
      <c r="Y52" s="7">
        <f>LAVORAZIONI!AE445</f>
        <v/>
      </c>
      <c r="Z52" s="6">
        <f>LAVORAZIONI!AF445</f>
        <v/>
      </c>
      <c r="AA52" s="7">
        <f>LAVORAZIONI!AG445</f>
        <v/>
      </c>
      <c r="AB52" s="6">
        <f>LAVORAZIONI!AH445</f>
        <v/>
      </c>
      <c r="AC52" s="7">
        <f>LAVORAZIONI!AI445</f>
        <v/>
      </c>
      <c r="AD52" s="13">
        <f>LAVORAZIONI!AJ445</f>
        <v/>
      </c>
    </row>
    <row r="53" ht="64" customHeight="1" s="46">
      <c r="B53" s="4">
        <f>LAVORAZIONI!G446</f>
        <v/>
      </c>
      <c r="C53" s="3">
        <f>LAVORAZIONI!A446</f>
        <v/>
      </c>
      <c r="D53" s="3">
        <f>LAVORAZIONI!K446</f>
        <v/>
      </c>
      <c r="E53" s="4">
        <f>LAVORAZIONI!H446</f>
        <v/>
      </c>
      <c r="F53" s="4">
        <f>LAVORAZIONI!M446</f>
        <v/>
      </c>
      <c r="G53" s="5">
        <f>LAVORAZIONI!N446</f>
        <v/>
      </c>
      <c r="H53" s="6">
        <f>LAVORAZIONI!O446</f>
        <v/>
      </c>
      <c r="I53" s="13">
        <f>LAVORAZIONI!P446</f>
        <v/>
      </c>
      <c r="J53" s="5">
        <f>IF(LAVORAZIONI!Q446="","",LAVORAZIONI!Q446)</f>
        <v/>
      </c>
      <c r="K53" s="6">
        <f>IF(LAVORAZIONI!R446="","",LAVORAZIONI!R446)</f>
        <v/>
      </c>
      <c r="L53" s="13">
        <f>IF(LAVORAZIONI!S446="","",LAVORAZIONI!S446)</f>
        <v/>
      </c>
      <c r="M53" s="13">
        <f>LAVORAZIONI!T446</f>
        <v/>
      </c>
      <c r="O53" s="7">
        <f>LAVORAZIONI!U446</f>
        <v/>
      </c>
      <c r="P53" s="45">
        <f>LAVORAZIONI!V446</f>
        <v/>
      </c>
      <c r="Q53" s="7">
        <f>LAVORAZIONI!W446</f>
        <v/>
      </c>
      <c r="R53" s="6">
        <f>LAVORAZIONI!X446</f>
        <v/>
      </c>
      <c r="S53" s="7">
        <f>LAVORAZIONI!Y446</f>
        <v/>
      </c>
      <c r="T53" s="6">
        <f>LAVORAZIONI!Z446</f>
        <v/>
      </c>
      <c r="U53" s="7">
        <f>LAVORAZIONI!AA446</f>
        <v/>
      </c>
      <c r="V53" s="6">
        <f>LAVORAZIONI!AB446</f>
        <v/>
      </c>
      <c r="W53" s="7">
        <f>LAVORAZIONI!AC446</f>
        <v/>
      </c>
      <c r="X53" s="6">
        <f>LAVORAZIONI!AD446</f>
        <v/>
      </c>
      <c r="Y53" s="7">
        <f>LAVORAZIONI!AE446</f>
        <v/>
      </c>
      <c r="Z53" s="6">
        <f>LAVORAZIONI!AF446</f>
        <v/>
      </c>
      <c r="AA53" s="7">
        <f>LAVORAZIONI!AG446</f>
        <v/>
      </c>
      <c r="AB53" s="6">
        <f>LAVORAZIONI!AH446</f>
        <v/>
      </c>
      <c r="AC53" s="7">
        <f>LAVORAZIONI!AI446</f>
        <v/>
      </c>
      <c r="AD53" s="13">
        <f>LAVORAZIONI!AJ446</f>
        <v/>
      </c>
    </row>
    <row r="54" ht="64" customHeight="1" s="46">
      <c r="B54" s="4">
        <f>LAVORAZIONI!G447</f>
        <v/>
      </c>
      <c r="C54" s="3">
        <f>LAVORAZIONI!A447</f>
        <v/>
      </c>
      <c r="D54" s="3">
        <f>LAVORAZIONI!K447</f>
        <v/>
      </c>
      <c r="E54" s="4">
        <f>LAVORAZIONI!H447</f>
        <v/>
      </c>
      <c r="F54" s="4">
        <f>LAVORAZIONI!M447</f>
        <v/>
      </c>
      <c r="G54" s="5">
        <f>LAVORAZIONI!N447</f>
        <v/>
      </c>
      <c r="H54" s="6">
        <f>LAVORAZIONI!O447</f>
        <v/>
      </c>
      <c r="I54" s="13">
        <f>LAVORAZIONI!P447</f>
        <v/>
      </c>
      <c r="J54" s="5">
        <f>IF(LAVORAZIONI!Q447="","",LAVORAZIONI!Q447)</f>
        <v/>
      </c>
      <c r="K54" s="6">
        <f>IF(LAVORAZIONI!R447="","",LAVORAZIONI!R447)</f>
        <v/>
      </c>
      <c r="L54" s="13">
        <f>IF(LAVORAZIONI!S447="","",LAVORAZIONI!S447)</f>
        <v/>
      </c>
      <c r="M54" s="13">
        <f>LAVORAZIONI!T447</f>
        <v/>
      </c>
      <c r="O54" s="7">
        <f>LAVORAZIONI!U447</f>
        <v/>
      </c>
      <c r="P54" s="45">
        <f>LAVORAZIONI!V447</f>
        <v/>
      </c>
      <c r="Q54" s="7">
        <f>LAVORAZIONI!W447</f>
        <v/>
      </c>
      <c r="R54" s="6">
        <f>LAVORAZIONI!X447</f>
        <v/>
      </c>
      <c r="S54" s="7">
        <f>LAVORAZIONI!Y447</f>
        <v/>
      </c>
      <c r="T54" s="6">
        <f>LAVORAZIONI!Z447</f>
        <v/>
      </c>
      <c r="U54" s="7">
        <f>LAVORAZIONI!AA447</f>
        <v/>
      </c>
      <c r="V54" s="6">
        <f>LAVORAZIONI!AB447</f>
        <v/>
      </c>
      <c r="W54" s="7">
        <f>LAVORAZIONI!AC447</f>
        <v/>
      </c>
      <c r="X54" s="6">
        <f>LAVORAZIONI!AD447</f>
        <v/>
      </c>
      <c r="Y54" s="7">
        <f>LAVORAZIONI!AE447</f>
        <v/>
      </c>
      <c r="Z54" s="6">
        <f>LAVORAZIONI!AF447</f>
        <v/>
      </c>
      <c r="AA54" s="7">
        <f>LAVORAZIONI!AG447</f>
        <v/>
      </c>
      <c r="AB54" s="6">
        <f>LAVORAZIONI!AH447</f>
        <v/>
      </c>
      <c r="AC54" s="7">
        <f>LAVORAZIONI!AI447</f>
        <v/>
      </c>
      <c r="AD54" s="13">
        <f>LAVORAZIONI!AJ447</f>
        <v/>
      </c>
    </row>
    <row r="55" ht="64" customHeight="1" s="46">
      <c r="B55" s="4">
        <f>LAVORAZIONI!G448</f>
        <v/>
      </c>
      <c r="C55" s="3">
        <f>LAVORAZIONI!A448</f>
        <v/>
      </c>
      <c r="D55" s="3">
        <f>LAVORAZIONI!K448</f>
        <v/>
      </c>
      <c r="E55" s="4">
        <f>LAVORAZIONI!H448</f>
        <v/>
      </c>
      <c r="F55" s="4">
        <f>LAVORAZIONI!M448</f>
        <v/>
      </c>
      <c r="G55" s="5">
        <f>LAVORAZIONI!N448</f>
        <v/>
      </c>
      <c r="H55" s="6">
        <f>LAVORAZIONI!O448</f>
        <v/>
      </c>
      <c r="I55" s="13">
        <f>LAVORAZIONI!P448</f>
        <v/>
      </c>
      <c r="J55" s="5">
        <f>IF(LAVORAZIONI!Q448="","",LAVORAZIONI!Q448)</f>
        <v/>
      </c>
      <c r="K55" s="6">
        <f>IF(LAVORAZIONI!R448="","",LAVORAZIONI!R448)</f>
        <v/>
      </c>
      <c r="L55" s="13">
        <f>IF(LAVORAZIONI!S448="","",LAVORAZIONI!S448)</f>
        <v/>
      </c>
      <c r="M55" s="13">
        <f>LAVORAZIONI!T448</f>
        <v/>
      </c>
      <c r="O55" s="7">
        <f>LAVORAZIONI!U448</f>
        <v/>
      </c>
      <c r="P55" s="45">
        <f>LAVORAZIONI!V448</f>
        <v/>
      </c>
      <c r="Q55" s="7">
        <f>LAVORAZIONI!W448</f>
        <v/>
      </c>
      <c r="R55" s="6">
        <f>LAVORAZIONI!X448</f>
        <v/>
      </c>
      <c r="S55" s="7">
        <f>LAVORAZIONI!Y448</f>
        <v/>
      </c>
      <c r="T55" s="6">
        <f>LAVORAZIONI!Z448</f>
        <v/>
      </c>
      <c r="U55" s="7">
        <f>LAVORAZIONI!AA448</f>
        <v/>
      </c>
      <c r="V55" s="6">
        <f>LAVORAZIONI!AB448</f>
        <v/>
      </c>
      <c r="W55" s="7">
        <f>LAVORAZIONI!AC448</f>
        <v/>
      </c>
      <c r="X55" s="6">
        <f>LAVORAZIONI!AD448</f>
        <v/>
      </c>
      <c r="Y55" s="7">
        <f>LAVORAZIONI!AE448</f>
        <v/>
      </c>
      <c r="Z55" s="6">
        <f>LAVORAZIONI!AF448</f>
        <v/>
      </c>
      <c r="AA55" s="7">
        <f>LAVORAZIONI!AG448</f>
        <v/>
      </c>
      <c r="AB55" s="6">
        <f>LAVORAZIONI!AH448</f>
        <v/>
      </c>
      <c r="AC55" s="7">
        <f>LAVORAZIONI!AI448</f>
        <v/>
      </c>
      <c r="AD55" s="13">
        <f>LAVORAZIONI!AJ448</f>
        <v/>
      </c>
    </row>
    <row r="56" ht="64" customHeight="1" s="46">
      <c r="B56" s="4">
        <f>LAVORAZIONI!G449</f>
        <v/>
      </c>
      <c r="C56" s="3">
        <f>LAVORAZIONI!A449</f>
        <v/>
      </c>
      <c r="D56" s="3">
        <f>LAVORAZIONI!K449</f>
        <v/>
      </c>
      <c r="E56" s="4">
        <f>LAVORAZIONI!H449</f>
        <v/>
      </c>
      <c r="F56" s="4">
        <f>LAVORAZIONI!M449</f>
        <v/>
      </c>
      <c r="G56" s="5">
        <f>LAVORAZIONI!N449</f>
        <v/>
      </c>
      <c r="H56" s="6">
        <f>LAVORAZIONI!O449</f>
        <v/>
      </c>
      <c r="I56" s="13">
        <f>LAVORAZIONI!P449</f>
        <v/>
      </c>
      <c r="J56" s="5">
        <f>IF(LAVORAZIONI!Q449="","",LAVORAZIONI!Q449)</f>
        <v/>
      </c>
      <c r="K56" s="6">
        <f>IF(LAVORAZIONI!R449="","",LAVORAZIONI!R449)</f>
        <v/>
      </c>
      <c r="L56" s="13">
        <f>IF(LAVORAZIONI!S449="","",LAVORAZIONI!S449)</f>
        <v/>
      </c>
      <c r="M56" s="13">
        <f>LAVORAZIONI!T449</f>
        <v/>
      </c>
      <c r="O56" s="7">
        <f>LAVORAZIONI!U449</f>
        <v/>
      </c>
      <c r="P56" s="45">
        <f>LAVORAZIONI!V449</f>
        <v/>
      </c>
      <c r="Q56" s="7">
        <f>LAVORAZIONI!W449</f>
        <v/>
      </c>
      <c r="R56" s="6">
        <f>LAVORAZIONI!X449</f>
        <v/>
      </c>
      <c r="S56" s="7">
        <f>LAVORAZIONI!Y449</f>
        <v/>
      </c>
      <c r="T56" s="6">
        <f>LAVORAZIONI!Z449</f>
        <v/>
      </c>
      <c r="U56" s="7">
        <f>LAVORAZIONI!AA449</f>
        <v/>
      </c>
      <c r="V56" s="6">
        <f>LAVORAZIONI!AB449</f>
        <v/>
      </c>
      <c r="W56" s="7">
        <f>LAVORAZIONI!AC449</f>
        <v/>
      </c>
      <c r="X56" s="6">
        <f>LAVORAZIONI!AD449</f>
        <v/>
      </c>
      <c r="Y56" s="7">
        <f>LAVORAZIONI!AE449</f>
        <v/>
      </c>
      <c r="Z56" s="6">
        <f>LAVORAZIONI!AF449</f>
        <v/>
      </c>
      <c r="AA56" s="7">
        <f>LAVORAZIONI!AG449</f>
        <v/>
      </c>
      <c r="AB56" s="6">
        <f>LAVORAZIONI!AH449</f>
        <v/>
      </c>
      <c r="AC56" s="7">
        <f>LAVORAZIONI!AI449</f>
        <v/>
      </c>
      <c r="AD56" s="13">
        <f>LAVORAZIONI!AJ449</f>
        <v/>
      </c>
    </row>
    <row r="57" ht="64" customHeight="1" s="46">
      <c r="B57" s="4">
        <f>LAVORAZIONI!G450</f>
        <v/>
      </c>
      <c r="C57" s="3">
        <f>LAVORAZIONI!A450</f>
        <v/>
      </c>
      <c r="D57" s="3">
        <f>LAVORAZIONI!K450</f>
        <v/>
      </c>
      <c r="E57" s="4">
        <f>LAVORAZIONI!H450</f>
        <v/>
      </c>
      <c r="F57" s="4">
        <f>LAVORAZIONI!M450</f>
        <v/>
      </c>
      <c r="G57" s="5">
        <f>LAVORAZIONI!N450</f>
        <v/>
      </c>
      <c r="H57" s="6">
        <f>LAVORAZIONI!O450</f>
        <v/>
      </c>
      <c r="I57" s="13">
        <f>LAVORAZIONI!P450</f>
        <v/>
      </c>
      <c r="J57" s="5">
        <f>IF(LAVORAZIONI!Q450="","",LAVORAZIONI!Q450)</f>
        <v/>
      </c>
      <c r="K57" s="6">
        <f>IF(LAVORAZIONI!R450="","",LAVORAZIONI!R450)</f>
        <v/>
      </c>
      <c r="L57" s="13">
        <f>IF(LAVORAZIONI!S450="","",LAVORAZIONI!S450)</f>
        <v/>
      </c>
      <c r="M57" s="13">
        <f>LAVORAZIONI!T450</f>
        <v/>
      </c>
      <c r="O57" s="7">
        <f>LAVORAZIONI!U450</f>
        <v/>
      </c>
      <c r="P57" s="45">
        <f>LAVORAZIONI!V450</f>
        <v/>
      </c>
      <c r="Q57" s="7">
        <f>LAVORAZIONI!W450</f>
        <v/>
      </c>
      <c r="R57" s="6">
        <f>LAVORAZIONI!X450</f>
        <v/>
      </c>
      <c r="S57" s="7">
        <f>LAVORAZIONI!Y450</f>
        <v/>
      </c>
      <c r="T57" s="6">
        <f>LAVORAZIONI!Z450</f>
        <v/>
      </c>
      <c r="U57" s="7">
        <f>LAVORAZIONI!AA450</f>
        <v/>
      </c>
      <c r="V57" s="6">
        <f>LAVORAZIONI!AB450</f>
        <v/>
      </c>
      <c r="W57" s="7">
        <f>LAVORAZIONI!AC450</f>
        <v/>
      </c>
      <c r="X57" s="6">
        <f>LAVORAZIONI!AD450</f>
        <v/>
      </c>
      <c r="Y57" s="7">
        <f>LAVORAZIONI!AE450</f>
        <v/>
      </c>
      <c r="Z57" s="6">
        <f>LAVORAZIONI!AF450</f>
        <v/>
      </c>
      <c r="AA57" s="7">
        <f>LAVORAZIONI!AG450</f>
        <v/>
      </c>
      <c r="AB57" s="6">
        <f>LAVORAZIONI!AH450</f>
        <v/>
      </c>
      <c r="AC57" s="7">
        <f>LAVORAZIONI!AI450</f>
        <v/>
      </c>
      <c r="AD57" s="13">
        <f>LAVORAZIONI!AJ450</f>
        <v/>
      </c>
    </row>
    <row r="58" ht="64" customHeight="1" s="46">
      <c r="B58" s="4">
        <f>LAVORAZIONI!G451</f>
        <v/>
      </c>
      <c r="C58" s="3">
        <f>LAVORAZIONI!A451</f>
        <v/>
      </c>
      <c r="D58" s="3">
        <f>LAVORAZIONI!K451</f>
        <v/>
      </c>
      <c r="E58" s="4">
        <f>LAVORAZIONI!H451</f>
        <v/>
      </c>
      <c r="F58" s="4">
        <f>LAVORAZIONI!M451</f>
        <v/>
      </c>
      <c r="G58" s="5">
        <f>LAVORAZIONI!N451</f>
        <v/>
      </c>
      <c r="H58" s="6">
        <f>LAVORAZIONI!O451</f>
        <v/>
      </c>
      <c r="I58" s="13">
        <f>LAVORAZIONI!P451</f>
        <v/>
      </c>
      <c r="J58" s="5">
        <f>IF(LAVORAZIONI!Q451="","",LAVORAZIONI!Q451)</f>
        <v/>
      </c>
      <c r="K58" s="6">
        <f>IF(LAVORAZIONI!R451="","",LAVORAZIONI!R451)</f>
        <v/>
      </c>
      <c r="L58" s="13">
        <f>IF(LAVORAZIONI!S451="","",LAVORAZIONI!S451)</f>
        <v/>
      </c>
      <c r="M58" s="13">
        <f>LAVORAZIONI!T451</f>
        <v/>
      </c>
      <c r="O58" s="7">
        <f>LAVORAZIONI!U451</f>
        <v/>
      </c>
      <c r="P58" s="45">
        <f>LAVORAZIONI!V451</f>
        <v/>
      </c>
      <c r="Q58" s="7">
        <f>LAVORAZIONI!W451</f>
        <v/>
      </c>
      <c r="R58" s="6">
        <f>LAVORAZIONI!X451</f>
        <v/>
      </c>
      <c r="S58" s="7">
        <f>LAVORAZIONI!Y451</f>
        <v/>
      </c>
      <c r="T58" s="6">
        <f>LAVORAZIONI!Z451</f>
        <v/>
      </c>
      <c r="U58" s="7">
        <f>LAVORAZIONI!AA451</f>
        <v/>
      </c>
      <c r="V58" s="6">
        <f>LAVORAZIONI!AB451</f>
        <v/>
      </c>
      <c r="W58" s="7">
        <f>LAVORAZIONI!AC451</f>
        <v/>
      </c>
      <c r="X58" s="6">
        <f>LAVORAZIONI!AD451</f>
        <v/>
      </c>
      <c r="Y58" s="7">
        <f>LAVORAZIONI!AE451</f>
        <v/>
      </c>
      <c r="Z58" s="6">
        <f>LAVORAZIONI!AF451</f>
        <v/>
      </c>
      <c r="AA58" s="7">
        <f>LAVORAZIONI!AG451</f>
        <v/>
      </c>
      <c r="AB58" s="6">
        <f>LAVORAZIONI!AH451</f>
        <v/>
      </c>
      <c r="AC58" s="7">
        <f>LAVORAZIONI!AI451</f>
        <v/>
      </c>
      <c r="AD58" s="13">
        <f>LAVORAZIONI!AJ451</f>
        <v/>
      </c>
    </row>
    <row r="59" ht="64" customHeight="1" s="46">
      <c r="B59" s="4">
        <f>LAVORAZIONI!G452</f>
        <v/>
      </c>
      <c r="C59" s="3">
        <f>LAVORAZIONI!A452</f>
        <v/>
      </c>
      <c r="D59" s="3">
        <f>LAVORAZIONI!K452</f>
        <v/>
      </c>
      <c r="E59" s="4">
        <f>LAVORAZIONI!H452</f>
        <v/>
      </c>
      <c r="F59" s="4">
        <f>LAVORAZIONI!M452</f>
        <v/>
      </c>
      <c r="G59" s="5">
        <f>LAVORAZIONI!N452</f>
        <v/>
      </c>
      <c r="H59" s="6">
        <f>LAVORAZIONI!O452</f>
        <v/>
      </c>
      <c r="I59" s="13">
        <f>LAVORAZIONI!P452</f>
        <v/>
      </c>
      <c r="J59" s="5">
        <f>IF(LAVORAZIONI!Q452="","",LAVORAZIONI!Q452)</f>
        <v/>
      </c>
      <c r="K59" s="6">
        <f>IF(LAVORAZIONI!R452="","",LAVORAZIONI!R452)</f>
        <v/>
      </c>
      <c r="L59" s="13">
        <f>IF(LAVORAZIONI!S452="","",LAVORAZIONI!S452)</f>
        <v/>
      </c>
      <c r="M59" s="13">
        <f>LAVORAZIONI!T452</f>
        <v/>
      </c>
      <c r="O59" s="7">
        <f>LAVORAZIONI!U452</f>
        <v/>
      </c>
      <c r="P59" s="45">
        <f>LAVORAZIONI!V452</f>
        <v/>
      </c>
      <c r="Q59" s="7">
        <f>LAVORAZIONI!W452</f>
        <v/>
      </c>
      <c r="R59" s="6">
        <f>LAVORAZIONI!X452</f>
        <v/>
      </c>
      <c r="S59" s="7">
        <f>LAVORAZIONI!Y452</f>
        <v/>
      </c>
      <c r="T59" s="6">
        <f>LAVORAZIONI!Z452</f>
        <v/>
      </c>
      <c r="U59" s="7">
        <f>LAVORAZIONI!AA452</f>
        <v/>
      </c>
      <c r="V59" s="6">
        <f>LAVORAZIONI!AB452</f>
        <v/>
      </c>
      <c r="W59" s="7">
        <f>LAVORAZIONI!AC452</f>
        <v/>
      </c>
      <c r="X59" s="6">
        <f>LAVORAZIONI!AD452</f>
        <v/>
      </c>
      <c r="Y59" s="7">
        <f>LAVORAZIONI!AE452</f>
        <v/>
      </c>
      <c r="Z59" s="6">
        <f>LAVORAZIONI!AF452</f>
        <v/>
      </c>
      <c r="AA59" s="7">
        <f>LAVORAZIONI!AG452</f>
        <v/>
      </c>
      <c r="AB59" s="6">
        <f>LAVORAZIONI!AH452</f>
        <v/>
      </c>
      <c r="AC59" s="7">
        <f>LAVORAZIONI!AI452</f>
        <v/>
      </c>
      <c r="AD59" s="13">
        <f>LAVORAZIONI!AJ452</f>
        <v/>
      </c>
    </row>
    <row r="60" ht="64" customHeight="1" s="46">
      <c r="B60" s="4">
        <f>LAVORAZIONI!G453</f>
        <v/>
      </c>
      <c r="C60" s="3">
        <f>LAVORAZIONI!A453</f>
        <v/>
      </c>
      <c r="D60" s="3">
        <f>LAVORAZIONI!K453</f>
        <v/>
      </c>
      <c r="E60" s="4">
        <f>LAVORAZIONI!H453</f>
        <v/>
      </c>
      <c r="F60" s="4">
        <f>LAVORAZIONI!M453</f>
        <v/>
      </c>
      <c r="G60" s="5">
        <f>LAVORAZIONI!N453</f>
        <v/>
      </c>
      <c r="H60" s="6">
        <f>LAVORAZIONI!O453</f>
        <v/>
      </c>
      <c r="I60" s="13">
        <f>LAVORAZIONI!P453</f>
        <v/>
      </c>
      <c r="J60" s="5">
        <f>IF(LAVORAZIONI!Q453="","",LAVORAZIONI!Q453)</f>
        <v/>
      </c>
      <c r="K60" s="6">
        <f>IF(LAVORAZIONI!R453="","",LAVORAZIONI!R453)</f>
        <v/>
      </c>
      <c r="L60" s="13">
        <f>IF(LAVORAZIONI!S453="","",LAVORAZIONI!S453)</f>
        <v/>
      </c>
      <c r="M60" s="13">
        <f>LAVORAZIONI!T453</f>
        <v/>
      </c>
      <c r="O60" s="7">
        <f>LAVORAZIONI!U453</f>
        <v/>
      </c>
      <c r="P60" s="45">
        <f>LAVORAZIONI!V453</f>
        <v/>
      </c>
      <c r="Q60" s="7">
        <f>LAVORAZIONI!W453</f>
        <v/>
      </c>
      <c r="R60" s="6">
        <f>LAVORAZIONI!X453</f>
        <v/>
      </c>
      <c r="S60" s="7">
        <f>LAVORAZIONI!Y453</f>
        <v/>
      </c>
      <c r="T60" s="6">
        <f>LAVORAZIONI!Z453</f>
        <v/>
      </c>
      <c r="U60" s="7">
        <f>LAVORAZIONI!AA453</f>
        <v/>
      </c>
      <c r="V60" s="6">
        <f>LAVORAZIONI!AB453</f>
        <v/>
      </c>
      <c r="W60" s="7">
        <f>LAVORAZIONI!AC453</f>
        <v/>
      </c>
      <c r="X60" s="6">
        <f>LAVORAZIONI!AD453</f>
        <v/>
      </c>
      <c r="Y60" s="7">
        <f>LAVORAZIONI!AE453</f>
        <v/>
      </c>
      <c r="Z60" s="6">
        <f>LAVORAZIONI!AF453</f>
        <v/>
      </c>
      <c r="AA60" s="7">
        <f>LAVORAZIONI!AG453</f>
        <v/>
      </c>
      <c r="AB60" s="6">
        <f>LAVORAZIONI!AH453</f>
        <v/>
      </c>
      <c r="AC60" s="7">
        <f>LAVORAZIONI!AI453</f>
        <v/>
      </c>
      <c r="AD60" s="13">
        <f>LAVORAZIONI!AJ453</f>
        <v/>
      </c>
    </row>
    <row r="61" ht="64" customHeight="1" s="46">
      <c r="B61" s="4">
        <f>LAVORAZIONI!G454</f>
        <v/>
      </c>
      <c r="C61" s="3">
        <f>LAVORAZIONI!A454</f>
        <v/>
      </c>
      <c r="D61" s="3">
        <f>LAVORAZIONI!K454</f>
        <v/>
      </c>
      <c r="E61" s="4">
        <f>LAVORAZIONI!H454</f>
        <v/>
      </c>
      <c r="F61" s="4">
        <f>LAVORAZIONI!M454</f>
        <v/>
      </c>
      <c r="G61" s="5">
        <f>LAVORAZIONI!N454</f>
        <v/>
      </c>
      <c r="H61" s="6">
        <f>LAVORAZIONI!O454</f>
        <v/>
      </c>
      <c r="I61" s="13">
        <f>LAVORAZIONI!P454</f>
        <v/>
      </c>
      <c r="J61" s="5">
        <f>IF(LAVORAZIONI!Q454="","",LAVORAZIONI!Q454)</f>
        <v/>
      </c>
      <c r="K61" s="6">
        <f>IF(LAVORAZIONI!R454="","",LAVORAZIONI!R454)</f>
        <v/>
      </c>
      <c r="L61" s="13">
        <f>IF(LAVORAZIONI!S454="","",LAVORAZIONI!S454)</f>
        <v/>
      </c>
      <c r="M61" s="13">
        <f>LAVORAZIONI!T454</f>
        <v/>
      </c>
      <c r="O61" s="7">
        <f>LAVORAZIONI!U454</f>
        <v/>
      </c>
      <c r="P61" s="45">
        <f>LAVORAZIONI!V454</f>
        <v/>
      </c>
      <c r="Q61" s="7">
        <f>LAVORAZIONI!W454</f>
        <v/>
      </c>
      <c r="R61" s="6">
        <f>LAVORAZIONI!X454</f>
        <v/>
      </c>
      <c r="S61" s="7">
        <f>LAVORAZIONI!Y454</f>
        <v/>
      </c>
      <c r="T61" s="6">
        <f>LAVORAZIONI!Z454</f>
        <v/>
      </c>
      <c r="U61" s="7">
        <f>LAVORAZIONI!AA454</f>
        <v/>
      </c>
      <c r="V61" s="6">
        <f>LAVORAZIONI!AB454</f>
        <v/>
      </c>
      <c r="W61" s="7">
        <f>LAVORAZIONI!AC454</f>
        <v/>
      </c>
      <c r="X61" s="6">
        <f>LAVORAZIONI!AD454</f>
        <v/>
      </c>
      <c r="Y61" s="7">
        <f>LAVORAZIONI!AE454</f>
        <v/>
      </c>
      <c r="Z61" s="6">
        <f>LAVORAZIONI!AF454</f>
        <v/>
      </c>
      <c r="AA61" s="7">
        <f>LAVORAZIONI!AG454</f>
        <v/>
      </c>
      <c r="AB61" s="6">
        <f>LAVORAZIONI!AH454</f>
        <v/>
      </c>
      <c r="AC61" s="7">
        <f>LAVORAZIONI!AI454</f>
        <v/>
      </c>
      <c r="AD61" s="13">
        <f>LAVORAZIONI!AJ454</f>
        <v/>
      </c>
    </row>
    <row r="62" ht="64" customHeight="1" s="46">
      <c r="B62" s="4">
        <f>LAVORAZIONI!G455</f>
        <v/>
      </c>
      <c r="C62" s="3">
        <f>LAVORAZIONI!A455</f>
        <v/>
      </c>
      <c r="D62" s="3">
        <f>LAVORAZIONI!K455</f>
        <v/>
      </c>
      <c r="E62" s="4">
        <f>LAVORAZIONI!H455</f>
        <v/>
      </c>
      <c r="F62" s="4">
        <f>LAVORAZIONI!M455</f>
        <v/>
      </c>
      <c r="G62" s="5">
        <f>LAVORAZIONI!N455</f>
        <v/>
      </c>
      <c r="H62" s="6">
        <f>LAVORAZIONI!O455</f>
        <v/>
      </c>
      <c r="I62" s="13">
        <f>LAVORAZIONI!P455</f>
        <v/>
      </c>
      <c r="J62" s="5">
        <f>IF(LAVORAZIONI!Q455="","",LAVORAZIONI!Q455)</f>
        <v/>
      </c>
      <c r="K62" s="6">
        <f>IF(LAVORAZIONI!R455="","",LAVORAZIONI!R455)</f>
        <v/>
      </c>
      <c r="L62" s="13">
        <f>IF(LAVORAZIONI!S455="","",LAVORAZIONI!S455)</f>
        <v/>
      </c>
      <c r="M62" s="13">
        <f>LAVORAZIONI!T455</f>
        <v/>
      </c>
      <c r="O62" s="7">
        <f>LAVORAZIONI!U455</f>
        <v/>
      </c>
      <c r="P62" s="45">
        <f>LAVORAZIONI!V455</f>
        <v/>
      </c>
      <c r="Q62" s="7">
        <f>LAVORAZIONI!W455</f>
        <v/>
      </c>
      <c r="R62" s="6">
        <f>LAVORAZIONI!X455</f>
        <v/>
      </c>
      <c r="S62" s="7">
        <f>LAVORAZIONI!Y455</f>
        <v/>
      </c>
      <c r="T62" s="6">
        <f>LAVORAZIONI!Z455</f>
        <v/>
      </c>
      <c r="U62" s="7">
        <f>LAVORAZIONI!AA455</f>
        <v/>
      </c>
      <c r="V62" s="6">
        <f>LAVORAZIONI!AB455</f>
        <v/>
      </c>
      <c r="W62" s="7">
        <f>LAVORAZIONI!AC455</f>
        <v/>
      </c>
      <c r="X62" s="6">
        <f>LAVORAZIONI!AD455</f>
        <v/>
      </c>
      <c r="Y62" s="7">
        <f>LAVORAZIONI!AE455</f>
        <v/>
      </c>
      <c r="Z62" s="6">
        <f>LAVORAZIONI!AF455</f>
        <v/>
      </c>
      <c r="AA62" s="7">
        <f>LAVORAZIONI!AG455</f>
        <v/>
      </c>
      <c r="AB62" s="6">
        <f>LAVORAZIONI!AH455</f>
        <v/>
      </c>
      <c r="AC62" s="7">
        <f>LAVORAZIONI!AI455</f>
        <v/>
      </c>
      <c r="AD62" s="13">
        <f>LAVORAZIONI!AJ455</f>
        <v/>
      </c>
    </row>
    <row r="63" ht="64" customHeight="1" s="46">
      <c r="B63" s="4">
        <f>LAVORAZIONI!G456</f>
        <v/>
      </c>
      <c r="C63" s="3">
        <f>LAVORAZIONI!A456</f>
        <v/>
      </c>
      <c r="D63" s="3">
        <f>LAVORAZIONI!K456</f>
        <v/>
      </c>
      <c r="E63" s="4">
        <f>LAVORAZIONI!H456</f>
        <v/>
      </c>
      <c r="F63" s="4">
        <f>LAVORAZIONI!M456</f>
        <v/>
      </c>
      <c r="G63" s="5">
        <f>LAVORAZIONI!N456</f>
        <v/>
      </c>
      <c r="H63" s="6">
        <f>LAVORAZIONI!O456</f>
        <v/>
      </c>
      <c r="I63" s="13">
        <f>LAVORAZIONI!P456</f>
        <v/>
      </c>
      <c r="J63" s="5">
        <f>IF(LAVORAZIONI!Q456="","",LAVORAZIONI!Q456)</f>
        <v/>
      </c>
      <c r="K63" s="6">
        <f>IF(LAVORAZIONI!R456="","",LAVORAZIONI!R456)</f>
        <v/>
      </c>
      <c r="L63" s="13">
        <f>IF(LAVORAZIONI!S456="","",LAVORAZIONI!S456)</f>
        <v/>
      </c>
      <c r="M63" s="13">
        <f>LAVORAZIONI!T456</f>
        <v/>
      </c>
      <c r="O63" s="7">
        <f>LAVORAZIONI!U456</f>
        <v/>
      </c>
      <c r="P63" s="45">
        <f>LAVORAZIONI!V456</f>
        <v/>
      </c>
      <c r="Q63" s="7">
        <f>LAVORAZIONI!W456</f>
        <v/>
      </c>
      <c r="R63" s="6">
        <f>LAVORAZIONI!X456</f>
        <v/>
      </c>
      <c r="S63" s="7">
        <f>LAVORAZIONI!Y456</f>
        <v/>
      </c>
      <c r="T63" s="6">
        <f>LAVORAZIONI!Z456</f>
        <v/>
      </c>
      <c r="U63" s="7">
        <f>LAVORAZIONI!AA456</f>
        <v/>
      </c>
      <c r="V63" s="6">
        <f>LAVORAZIONI!AB456</f>
        <v/>
      </c>
      <c r="W63" s="7">
        <f>LAVORAZIONI!AC456</f>
        <v/>
      </c>
      <c r="X63" s="6">
        <f>LAVORAZIONI!AD456</f>
        <v/>
      </c>
      <c r="Y63" s="7">
        <f>LAVORAZIONI!AE456</f>
        <v/>
      </c>
      <c r="Z63" s="6">
        <f>LAVORAZIONI!AF456</f>
        <v/>
      </c>
      <c r="AA63" s="7">
        <f>LAVORAZIONI!AG456</f>
        <v/>
      </c>
      <c r="AB63" s="6">
        <f>LAVORAZIONI!AH456</f>
        <v/>
      </c>
      <c r="AC63" s="7">
        <f>LAVORAZIONI!AI456</f>
        <v/>
      </c>
      <c r="AD63" s="13">
        <f>LAVORAZIONI!AJ456</f>
        <v/>
      </c>
    </row>
    <row r="64" ht="64" customHeight="1" s="46">
      <c r="B64" s="4">
        <f>LAVORAZIONI!G457</f>
        <v/>
      </c>
      <c r="C64" s="3">
        <f>LAVORAZIONI!A457</f>
        <v/>
      </c>
      <c r="D64" s="3">
        <f>LAVORAZIONI!K457</f>
        <v/>
      </c>
      <c r="E64" s="4">
        <f>LAVORAZIONI!H457</f>
        <v/>
      </c>
      <c r="F64" s="4">
        <f>LAVORAZIONI!M457</f>
        <v/>
      </c>
      <c r="G64" s="5">
        <f>LAVORAZIONI!N457</f>
        <v/>
      </c>
      <c r="H64" s="6">
        <f>LAVORAZIONI!O457</f>
        <v/>
      </c>
      <c r="I64" s="13">
        <f>LAVORAZIONI!P457</f>
        <v/>
      </c>
      <c r="J64" s="5">
        <f>IF(LAVORAZIONI!Q457="","",LAVORAZIONI!Q457)</f>
        <v/>
      </c>
      <c r="K64" s="6">
        <f>IF(LAVORAZIONI!R457="","",LAVORAZIONI!R457)</f>
        <v/>
      </c>
      <c r="L64" s="13">
        <f>IF(LAVORAZIONI!S457="","",LAVORAZIONI!S457)</f>
        <v/>
      </c>
      <c r="M64" s="13">
        <f>LAVORAZIONI!T457</f>
        <v/>
      </c>
      <c r="O64" s="7">
        <f>LAVORAZIONI!U457</f>
        <v/>
      </c>
      <c r="P64" s="45">
        <f>LAVORAZIONI!V457</f>
        <v/>
      </c>
      <c r="Q64" s="7">
        <f>LAVORAZIONI!W457</f>
        <v/>
      </c>
      <c r="R64" s="6">
        <f>LAVORAZIONI!X457</f>
        <v/>
      </c>
      <c r="S64" s="7">
        <f>LAVORAZIONI!Y457</f>
        <v/>
      </c>
      <c r="T64" s="6">
        <f>LAVORAZIONI!Z457</f>
        <v/>
      </c>
      <c r="U64" s="7">
        <f>LAVORAZIONI!AA457</f>
        <v/>
      </c>
      <c r="V64" s="6">
        <f>LAVORAZIONI!AB457</f>
        <v/>
      </c>
      <c r="W64" s="7">
        <f>LAVORAZIONI!AC457</f>
        <v/>
      </c>
      <c r="X64" s="6">
        <f>LAVORAZIONI!AD457</f>
        <v/>
      </c>
      <c r="Y64" s="7">
        <f>LAVORAZIONI!AE457</f>
        <v/>
      </c>
      <c r="Z64" s="6">
        <f>LAVORAZIONI!AF457</f>
        <v/>
      </c>
      <c r="AA64" s="7">
        <f>LAVORAZIONI!AG457</f>
        <v/>
      </c>
      <c r="AB64" s="6">
        <f>LAVORAZIONI!AH457</f>
        <v/>
      </c>
      <c r="AC64" s="7">
        <f>LAVORAZIONI!AI457</f>
        <v/>
      </c>
      <c r="AD64" s="13">
        <f>LAVORAZIONI!AJ457</f>
        <v/>
      </c>
    </row>
    <row r="65" ht="64" customHeight="1" s="46">
      <c r="B65" s="4">
        <f>LAVORAZIONI!G458</f>
        <v/>
      </c>
      <c r="C65" s="3">
        <f>LAVORAZIONI!A458</f>
        <v/>
      </c>
      <c r="D65" s="3">
        <f>LAVORAZIONI!K458</f>
        <v/>
      </c>
      <c r="E65" s="4">
        <f>LAVORAZIONI!H458</f>
        <v/>
      </c>
      <c r="F65" s="4">
        <f>LAVORAZIONI!M458</f>
        <v/>
      </c>
      <c r="G65" s="5">
        <f>LAVORAZIONI!N458</f>
        <v/>
      </c>
      <c r="H65" s="6">
        <f>LAVORAZIONI!O458</f>
        <v/>
      </c>
      <c r="I65" s="13">
        <f>LAVORAZIONI!P458</f>
        <v/>
      </c>
      <c r="J65" s="5">
        <f>IF(LAVORAZIONI!Q458="","",LAVORAZIONI!Q458)</f>
        <v/>
      </c>
      <c r="K65" s="6">
        <f>IF(LAVORAZIONI!R458="","",LAVORAZIONI!R458)</f>
        <v/>
      </c>
      <c r="L65" s="13">
        <f>IF(LAVORAZIONI!S458="","",LAVORAZIONI!S458)</f>
        <v/>
      </c>
      <c r="M65" s="13">
        <f>LAVORAZIONI!T458</f>
        <v/>
      </c>
      <c r="O65" s="7">
        <f>LAVORAZIONI!U458</f>
        <v/>
      </c>
      <c r="P65" s="45">
        <f>LAVORAZIONI!V458</f>
        <v/>
      </c>
      <c r="Q65" s="7">
        <f>LAVORAZIONI!W458</f>
        <v/>
      </c>
      <c r="R65" s="6">
        <f>LAVORAZIONI!X458</f>
        <v/>
      </c>
      <c r="S65" s="7">
        <f>LAVORAZIONI!Y458</f>
        <v/>
      </c>
      <c r="T65" s="6">
        <f>LAVORAZIONI!Z458</f>
        <v/>
      </c>
      <c r="U65" s="7">
        <f>LAVORAZIONI!AA458</f>
        <v/>
      </c>
      <c r="V65" s="6">
        <f>LAVORAZIONI!AB458</f>
        <v/>
      </c>
      <c r="W65" s="7">
        <f>LAVORAZIONI!AC458</f>
        <v/>
      </c>
      <c r="X65" s="6">
        <f>LAVORAZIONI!AD458</f>
        <v/>
      </c>
      <c r="Y65" s="7">
        <f>LAVORAZIONI!AE458</f>
        <v/>
      </c>
      <c r="Z65" s="6">
        <f>LAVORAZIONI!AF458</f>
        <v/>
      </c>
      <c r="AA65" s="7">
        <f>LAVORAZIONI!AG458</f>
        <v/>
      </c>
      <c r="AB65" s="6">
        <f>LAVORAZIONI!AH458</f>
        <v/>
      </c>
      <c r="AC65" s="7">
        <f>LAVORAZIONI!AI458</f>
        <v/>
      </c>
      <c r="AD65" s="13">
        <f>LAVORAZIONI!AJ458</f>
        <v/>
      </c>
    </row>
    <row r="66" ht="64" customHeight="1" s="46">
      <c r="B66" s="4">
        <f>LAVORAZIONI!G459</f>
        <v/>
      </c>
      <c r="C66" s="3">
        <f>LAVORAZIONI!A459</f>
        <v/>
      </c>
      <c r="D66" s="3">
        <f>LAVORAZIONI!K459</f>
        <v/>
      </c>
      <c r="E66" s="4">
        <f>LAVORAZIONI!H459</f>
        <v/>
      </c>
      <c r="F66" s="4">
        <f>LAVORAZIONI!M459</f>
        <v/>
      </c>
      <c r="G66" s="5">
        <f>LAVORAZIONI!N459</f>
        <v/>
      </c>
      <c r="H66" s="6">
        <f>LAVORAZIONI!O459</f>
        <v/>
      </c>
      <c r="I66" s="13">
        <f>LAVORAZIONI!P459</f>
        <v/>
      </c>
      <c r="J66" s="5">
        <f>IF(LAVORAZIONI!Q459="","",LAVORAZIONI!Q459)</f>
        <v/>
      </c>
      <c r="K66" s="6">
        <f>IF(LAVORAZIONI!R459="","",LAVORAZIONI!R459)</f>
        <v/>
      </c>
      <c r="L66" s="13">
        <f>IF(LAVORAZIONI!S459="","",LAVORAZIONI!S459)</f>
        <v/>
      </c>
      <c r="M66" s="13">
        <f>LAVORAZIONI!T459</f>
        <v/>
      </c>
      <c r="O66" s="7">
        <f>LAVORAZIONI!U459</f>
        <v/>
      </c>
      <c r="P66" s="45">
        <f>LAVORAZIONI!V459</f>
        <v/>
      </c>
      <c r="Q66" s="7">
        <f>LAVORAZIONI!W459</f>
        <v/>
      </c>
      <c r="R66" s="6">
        <f>LAVORAZIONI!X459</f>
        <v/>
      </c>
      <c r="S66" s="7">
        <f>LAVORAZIONI!Y459</f>
        <v/>
      </c>
      <c r="T66" s="6">
        <f>LAVORAZIONI!Z459</f>
        <v/>
      </c>
      <c r="U66" s="7">
        <f>LAVORAZIONI!AA459</f>
        <v/>
      </c>
      <c r="V66" s="6">
        <f>LAVORAZIONI!AB459</f>
        <v/>
      </c>
      <c r="W66" s="7">
        <f>LAVORAZIONI!AC459</f>
        <v/>
      </c>
      <c r="X66" s="6">
        <f>LAVORAZIONI!AD459</f>
        <v/>
      </c>
      <c r="Y66" s="7">
        <f>LAVORAZIONI!AE459</f>
        <v/>
      </c>
      <c r="Z66" s="6">
        <f>LAVORAZIONI!AF459</f>
        <v/>
      </c>
      <c r="AA66" s="7">
        <f>LAVORAZIONI!AG459</f>
        <v/>
      </c>
      <c r="AB66" s="6">
        <f>LAVORAZIONI!AH459</f>
        <v/>
      </c>
      <c r="AC66" s="7">
        <f>LAVORAZIONI!AI459</f>
        <v/>
      </c>
      <c r="AD66" s="13">
        <f>LAVORAZIONI!AJ459</f>
        <v/>
      </c>
    </row>
    <row r="67" ht="64" customHeight="1" s="46">
      <c r="B67" s="4">
        <f>LAVORAZIONI!G460</f>
        <v/>
      </c>
      <c r="C67" s="3">
        <f>LAVORAZIONI!A460</f>
        <v/>
      </c>
      <c r="D67" s="3">
        <f>LAVORAZIONI!K460</f>
        <v/>
      </c>
      <c r="E67" s="4">
        <f>LAVORAZIONI!H460</f>
        <v/>
      </c>
      <c r="F67" s="4">
        <f>LAVORAZIONI!M460</f>
        <v/>
      </c>
      <c r="G67" s="5">
        <f>LAVORAZIONI!N460</f>
        <v/>
      </c>
      <c r="H67" s="6">
        <f>LAVORAZIONI!O460</f>
        <v/>
      </c>
      <c r="I67" s="13">
        <f>LAVORAZIONI!P460</f>
        <v/>
      </c>
      <c r="J67" s="5">
        <f>IF(LAVORAZIONI!Q460="","",LAVORAZIONI!Q460)</f>
        <v/>
      </c>
      <c r="K67" s="6">
        <f>IF(LAVORAZIONI!R460="","",LAVORAZIONI!R460)</f>
        <v/>
      </c>
      <c r="L67" s="13">
        <f>IF(LAVORAZIONI!S460="","",LAVORAZIONI!S460)</f>
        <v/>
      </c>
      <c r="M67" s="13">
        <f>LAVORAZIONI!T460</f>
        <v/>
      </c>
      <c r="O67" s="7">
        <f>LAVORAZIONI!U460</f>
        <v/>
      </c>
      <c r="P67" s="45">
        <f>LAVORAZIONI!V460</f>
        <v/>
      </c>
      <c r="Q67" s="7">
        <f>LAVORAZIONI!W460</f>
        <v/>
      </c>
      <c r="R67" s="6">
        <f>LAVORAZIONI!X460</f>
        <v/>
      </c>
      <c r="S67" s="7">
        <f>LAVORAZIONI!Y460</f>
        <v/>
      </c>
      <c r="T67" s="6">
        <f>LAVORAZIONI!Z460</f>
        <v/>
      </c>
      <c r="U67" s="7">
        <f>LAVORAZIONI!AA460</f>
        <v/>
      </c>
      <c r="V67" s="6">
        <f>LAVORAZIONI!AB460</f>
        <v/>
      </c>
      <c r="W67" s="7">
        <f>LAVORAZIONI!AC460</f>
        <v/>
      </c>
      <c r="X67" s="6">
        <f>LAVORAZIONI!AD460</f>
        <v/>
      </c>
      <c r="Y67" s="7">
        <f>LAVORAZIONI!AE460</f>
        <v/>
      </c>
      <c r="Z67" s="6">
        <f>LAVORAZIONI!AF460</f>
        <v/>
      </c>
      <c r="AA67" s="7">
        <f>LAVORAZIONI!AG460</f>
        <v/>
      </c>
      <c r="AB67" s="6">
        <f>LAVORAZIONI!AH460</f>
        <v/>
      </c>
      <c r="AC67" s="7">
        <f>LAVORAZIONI!AI460</f>
        <v/>
      </c>
      <c r="AD67" s="13">
        <f>LAVORAZIONI!AJ460</f>
        <v/>
      </c>
    </row>
    <row r="68" ht="64" customHeight="1" s="46">
      <c r="B68" s="4">
        <f>LAVORAZIONI!G461</f>
        <v/>
      </c>
      <c r="C68" s="3">
        <f>LAVORAZIONI!A461</f>
        <v/>
      </c>
      <c r="D68" s="3">
        <f>LAVORAZIONI!K461</f>
        <v/>
      </c>
      <c r="E68" s="4">
        <f>LAVORAZIONI!H461</f>
        <v/>
      </c>
      <c r="F68" s="4">
        <f>LAVORAZIONI!M461</f>
        <v/>
      </c>
      <c r="G68" s="5">
        <f>LAVORAZIONI!N461</f>
        <v/>
      </c>
      <c r="H68" s="6">
        <f>LAVORAZIONI!O461</f>
        <v/>
      </c>
      <c r="I68" s="13">
        <f>LAVORAZIONI!P461</f>
        <v/>
      </c>
      <c r="J68" s="5">
        <f>IF(LAVORAZIONI!Q461="","",LAVORAZIONI!Q461)</f>
        <v/>
      </c>
      <c r="K68" s="6">
        <f>IF(LAVORAZIONI!R461="","",LAVORAZIONI!R461)</f>
        <v/>
      </c>
      <c r="L68" s="13">
        <f>IF(LAVORAZIONI!S461="","",LAVORAZIONI!S461)</f>
        <v/>
      </c>
      <c r="M68" s="13">
        <f>LAVORAZIONI!T461</f>
        <v/>
      </c>
      <c r="O68" s="7">
        <f>LAVORAZIONI!U461</f>
        <v/>
      </c>
      <c r="P68" s="45">
        <f>LAVORAZIONI!V461</f>
        <v/>
      </c>
      <c r="Q68" s="7">
        <f>LAVORAZIONI!W461</f>
        <v/>
      </c>
      <c r="R68" s="6">
        <f>LAVORAZIONI!X461</f>
        <v/>
      </c>
      <c r="S68" s="7">
        <f>LAVORAZIONI!Y461</f>
        <v/>
      </c>
      <c r="T68" s="6">
        <f>LAVORAZIONI!Z461</f>
        <v/>
      </c>
      <c r="U68" s="7">
        <f>LAVORAZIONI!AA461</f>
        <v/>
      </c>
      <c r="V68" s="6">
        <f>LAVORAZIONI!AB461</f>
        <v/>
      </c>
      <c r="W68" s="7">
        <f>LAVORAZIONI!AC461</f>
        <v/>
      </c>
      <c r="X68" s="6">
        <f>LAVORAZIONI!AD461</f>
        <v/>
      </c>
      <c r="Y68" s="7">
        <f>LAVORAZIONI!AE461</f>
        <v/>
      </c>
      <c r="Z68" s="6">
        <f>LAVORAZIONI!AF461</f>
        <v/>
      </c>
      <c r="AA68" s="7">
        <f>LAVORAZIONI!AG461</f>
        <v/>
      </c>
      <c r="AB68" s="6">
        <f>LAVORAZIONI!AH461</f>
        <v/>
      </c>
      <c r="AC68" s="7">
        <f>LAVORAZIONI!AI461</f>
        <v/>
      </c>
      <c r="AD68" s="13">
        <f>LAVORAZIONI!AJ461</f>
        <v/>
      </c>
    </row>
    <row r="69" ht="64" customHeight="1" s="46">
      <c r="B69" s="4">
        <f>LAVORAZIONI!G462</f>
        <v/>
      </c>
      <c r="C69" s="3">
        <f>LAVORAZIONI!A462</f>
        <v/>
      </c>
      <c r="D69" s="3">
        <f>LAVORAZIONI!K462</f>
        <v/>
      </c>
      <c r="E69" s="4">
        <f>LAVORAZIONI!H462</f>
        <v/>
      </c>
      <c r="F69" s="4">
        <f>LAVORAZIONI!M462</f>
        <v/>
      </c>
      <c r="G69" s="5">
        <f>LAVORAZIONI!N462</f>
        <v/>
      </c>
      <c r="H69" s="6">
        <f>LAVORAZIONI!O462</f>
        <v/>
      </c>
      <c r="I69" s="13">
        <f>LAVORAZIONI!P462</f>
        <v/>
      </c>
      <c r="J69" s="5">
        <f>IF(LAVORAZIONI!Q462="","",LAVORAZIONI!Q462)</f>
        <v/>
      </c>
      <c r="K69" s="6">
        <f>IF(LAVORAZIONI!R462="","",LAVORAZIONI!R462)</f>
        <v/>
      </c>
      <c r="L69" s="13">
        <f>IF(LAVORAZIONI!S462="","",LAVORAZIONI!S462)</f>
        <v/>
      </c>
      <c r="M69" s="13">
        <f>LAVORAZIONI!T462</f>
        <v/>
      </c>
      <c r="O69" s="7">
        <f>LAVORAZIONI!U462</f>
        <v/>
      </c>
      <c r="P69" s="45">
        <f>LAVORAZIONI!V462</f>
        <v/>
      </c>
      <c r="Q69" s="7">
        <f>LAVORAZIONI!W462</f>
        <v/>
      </c>
      <c r="R69" s="6">
        <f>LAVORAZIONI!X462</f>
        <v/>
      </c>
      <c r="S69" s="7">
        <f>LAVORAZIONI!Y462</f>
        <v/>
      </c>
      <c r="T69" s="6">
        <f>LAVORAZIONI!Z462</f>
        <v/>
      </c>
      <c r="U69" s="7">
        <f>LAVORAZIONI!AA462</f>
        <v/>
      </c>
      <c r="V69" s="6">
        <f>LAVORAZIONI!AB462</f>
        <v/>
      </c>
      <c r="W69" s="7">
        <f>LAVORAZIONI!AC462</f>
        <v/>
      </c>
      <c r="X69" s="6">
        <f>LAVORAZIONI!AD462</f>
        <v/>
      </c>
      <c r="Y69" s="7">
        <f>LAVORAZIONI!AE462</f>
        <v/>
      </c>
      <c r="Z69" s="6">
        <f>LAVORAZIONI!AF462</f>
        <v/>
      </c>
      <c r="AA69" s="7">
        <f>LAVORAZIONI!AG462</f>
        <v/>
      </c>
      <c r="AB69" s="6">
        <f>LAVORAZIONI!AH462</f>
        <v/>
      </c>
      <c r="AC69" s="7">
        <f>LAVORAZIONI!AI462</f>
        <v/>
      </c>
      <c r="AD69" s="13">
        <f>LAVORAZIONI!AJ462</f>
        <v/>
      </c>
    </row>
    <row r="70" ht="64" customHeight="1" s="46">
      <c r="B70" s="4">
        <f>LAVORAZIONI!G463</f>
        <v/>
      </c>
      <c r="C70" s="3">
        <f>LAVORAZIONI!A463</f>
        <v/>
      </c>
      <c r="D70" s="3">
        <f>LAVORAZIONI!K463</f>
        <v/>
      </c>
      <c r="E70" s="4">
        <f>LAVORAZIONI!H463</f>
        <v/>
      </c>
      <c r="F70" s="4">
        <f>LAVORAZIONI!M463</f>
        <v/>
      </c>
      <c r="G70" s="5">
        <f>LAVORAZIONI!N463</f>
        <v/>
      </c>
      <c r="H70" s="6">
        <f>LAVORAZIONI!O463</f>
        <v/>
      </c>
      <c r="I70" s="13">
        <f>LAVORAZIONI!P463</f>
        <v/>
      </c>
      <c r="J70" s="5">
        <f>IF(LAVORAZIONI!Q463="","",LAVORAZIONI!Q463)</f>
        <v/>
      </c>
      <c r="K70" s="6">
        <f>IF(LAVORAZIONI!R463="","",LAVORAZIONI!R463)</f>
        <v/>
      </c>
      <c r="L70" s="13">
        <f>IF(LAVORAZIONI!S463="","",LAVORAZIONI!S463)</f>
        <v/>
      </c>
      <c r="M70" s="13">
        <f>LAVORAZIONI!T463</f>
        <v/>
      </c>
      <c r="O70" s="7">
        <f>LAVORAZIONI!U463</f>
        <v/>
      </c>
      <c r="P70" s="45">
        <f>LAVORAZIONI!V463</f>
        <v/>
      </c>
      <c r="Q70" s="7">
        <f>LAVORAZIONI!W463</f>
        <v/>
      </c>
      <c r="R70" s="6">
        <f>LAVORAZIONI!X463</f>
        <v/>
      </c>
      <c r="S70" s="7">
        <f>LAVORAZIONI!Y463</f>
        <v/>
      </c>
      <c r="T70" s="6">
        <f>LAVORAZIONI!Z463</f>
        <v/>
      </c>
      <c r="U70" s="7">
        <f>LAVORAZIONI!AA463</f>
        <v/>
      </c>
      <c r="V70" s="6">
        <f>LAVORAZIONI!AB463</f>
        <v/>
      </c>
      <c r="W70" s="7">
        <f>LAVORAZIONI!AC463</f>
        <v/>
      </c>
      <c r="X70" s="6">
        <f>LAVORAZIONI!AD463</f>
        <v/>
      </c>
      <c r="Y70" s="7">
        <f>LAVORAZIONI!AE463</f>
        <v/>
      </c>
      <c r="Z70" s="6">
        <f>LAVORAZIONI!AF463</f>
        <v/>
      </c>
      <c r="AA70" s="7">
        <f>LAVORAZIONI!AG463</f>
        <v/>
      </c>
      <c r="AB70" s="6">
        <f>LAVORAZIONI!AH463</f>
        <v/>
      </c>
      <c r="AC70" s="7">
        <f>LAVORAZIONI!AI463</f>
        <v/>
      </c>
      <c r="AD70" s="13">
        <f>LAVORAZIONI!AJ463</f>
        <v/>
      </c>
    </row>
    <row r="71" ht="64" customHeight="1" s="46">
      <c r="B71" s="4">
        <f>LAVORAZIONI!G464</f>
        <v/>
      </c>
      <c r="C71" s="3">
        <f>LAVORAZIONI!A464</f>
        <v/>
      </c>
      <c r="D71" s="3">
        <f>LAVORAZIONI!K464</f>
        <v/>
      </c>
      <c r="E71" s="4">
        <f>LAVORAZIONI!H464</f>
        <v/>
      </c>
      <c r="F71" s="4">
        <f>LAVORAZIONI!M464</f>
        <v/>
      </c>
      <c r="G71" s="5">
        <f>LAVORAZIONI!N464</f>
        <v/>
      </c>
      <c r="H71" s="6">
        <f>LAVORAZIONI!O464</f>
        <v/>
      </c>
      <c r="I71" s="13">
        <f>LAVORAZIONI!P464</f>
        <v/>
      </c>
      <c r="J71" s="5">
        <f>IF(LAVORAZIONI!Q464="","",LAVORAZIONI!Q464)</f>
        <v/>
      </c>
      <c r="K71" s="6">
        <f>IF(LAVORAZIONI!R464="","",LAVORAZIONI!R464)</f>
        <v/>
      </c>
      <c r="L71" s="13">
        <f>IF(LAVORAZIONI!S464="","",LAVORAZIONI!S464)</f>
        <v/>
      </c>
      <c r="M71" s="13">
        <f>LAVORAZIONI!T464</f>
        <v/>
      </c>
      <c r="O71" s="7">
        <f>LAVORAZIONI!U464</f>
        <v/>
      </c>
      <c r="P71" s="45">
        <f>LAVORAZIONI!V464</f>
        <v/>
      </c>
      <c r="Q71" s="7">
        <f>LAVORAZIONI!W464</f>
        <v/>
      </c>
      <c r="R71" s="6">
        <f>LAVORAZIONI!X464</f>
        <v/>
      </c>
      <c r="S71" s="7">
        <f>LAVORAZIONI!Y464</f>
        <v/>
      </c>
      <c r="T71" s="6">
        <f>LAVORAZIONI!Z464</f>
        <v/>
      </c>
      <c r="U71" s="7">
        <f>LAVORAZIONI!AA464</f>
        <v/>
      </c>
      <c r="V71" s="6">
        <f>LAVORAZIONI!AB464</f>
        <v/>
      </c>
      <c r="W71" s="7">
        <f>LAVORAZIONI!AC464</f>
        <v/>
      </c>
      <c r="X71" s="6">
        <f>LAVORAZIONI!AD464</f>
        <v/>
      </c>
      <c r="Y71" s="7">
        <f>LAVORAZIONI!AE464</f>
        <v/>
      </c>
      <c r="Z71" s="6">
        <f>LAVORAZIONI!AF464</f>
        <v/>
      </c>
      <c r="AA71" s="7">
        <f>LAVORAZIONI!AG464</f>
        <v/>
      </c>
      <c r="AB71" s="6">
        <f>LAVORAZIONI!AH464</f>
        <v/>
      </c>
      <c r="AC71" s="7">
        <f>LAVORAZIONI!AI464</f>
        <v/>
      </c>
      <c r="AD71" s="13">
        <f>LAVORAZIONI!AJ464</f>
        <v/>
      </c>
    </row>
    <row r="72" ht="64" customHeight="1" s="46">
      <c r="B72" s="4">
        <f>LAVORAZIONI!G465</f>
        <v/>
      </c>
      <c r="C72" s="3">
        <f>LAVORAZIONI!A465</f>
        <v/>
      </c>
      <c r="D72" s="3">
        <f>LAVORAZIONI!K465</f>
        <v/>
      </c>
      <c r="E72" s="4">
        <f>LAVORAZIONI!H465</f>
        <v/>
      </c>
      <c r="F72" s="4">
        <f>LAVORAZIONI!M465</f>
        <v/>
      </c>
      <c r="G72" s="5">
        <f>LAVORAZIONI!N465</f>
        <v/>
      </c>
      <c r="H72" s="6">
        <f>LAVORAZIONI!O465</f>
        <v/>
      </c>
      <c r="I72" s="13">
        <f>LAVORAZIONI!P465</f>
        <v/>
      </c>
      <c r="J72" s="5">
        <f>IF(LAVORAZIONI!Q465="","",LAVORAZIONI!Q465)</f>
        <v/>
      </c>
      <c r="K72" s="6">
        <f>IF(LAVORAZIONI!R465="","",LAVORAZIONI!R465)</f>
        <v/>
      </c>
      <c r="L72" s="13">
        <f>IF(LAVORAZIONI!S465="","",LAVORAZIONI!S465)</f>
        <v/>
      </c>
      <c r="M72" s="13">
        <f>LAVORAZIONI!T465</f>
        <v/>
      </c>
      <c r="O72" s="7">
        <f>LAVORAZIONI!U465</f>
        <v/>
      </c>
      <c r="P72" s="45">
        <f>LAVORAZIONI!V465</f>
        <v/>
      </c>
      <c r="Q72" s="7">
        <f>LAVORAZIONI!W465</f>
        <v/>
      </c>
      <c r="R72" s="6">
        <f>LAVORAZIONI!X465</f>
        <v/>
      </c>
      <c r="S72" s="7">
        <f>LAVORAZIONI!Y465</f>
        <v/>
      </c>
      <c r="T72" s="6">
        <f>LAVORAZIONI!Z465</f>
        <v/>
      </c>
      <c r="U72" s="7">
        <f>LAVORAZIONI!AA465</f>
        <v/>
      </c>
      <c r="V72" s="6">
        <f>LAVORAZIONI!AB465</f>
        <v/>
      </c>
      <c r="W72" s="7">
        <f>LAVORAZIONI!AC465</f>
        <v/>
      </c>
      <c r="X72" s="6">
        <f>LAVORAZIONI!AD465</f>
        <v/>
      </c>
      <c r="Y72" s="7">
        <f>LAVORAZIONI!AE465</f>
        <v/>
      </c>
      <c r="Z72" s="6">
        <f>LAVORAZIONI!AF465</f>
        <v/>
      </c>
      <c r="AA72" s="7">
        <f>LAVORAZIONI!AG465</f>
        <v/>
      </c>
      <c r="AB72" s="6">
        <f>LAVORAZIONI!AH465</f>
        <v/>
      </c>
      <c r="AC72" s="7">
        <f>LAVORAZIONI!AI465</f>
        <v/>
      </c>
      <c r="AD72" s="13">
        <f>LAVORAZIONI!AJ465</f>
        <v/>
      </c>
    </row>
    <row r="73" ht="64" customHeight="1" s="46">
      <c r="B73" s="4">
        <f>LAVORAZIONI!G466</f>
        <v/>
      </c>
      <c r="C73" s="3">
        <f>LAVORAZIONI!A466</f>
        <v/>
      </c>
      <c r="D73" s="3">
        <f>LAVORAZIONI!K466</f>
        <v/>
      </c>
      <c r="E73" s="4">
        <f>LAVORAZIONI!H466</f>
        <v/>
      </c>
      <c r="F73" s="4">
        <f>LAVORAZIONI!M466</f>
        <v/>
      </c>
      <c r="G73" s="5">
        <f>LAVORAZIONI!N466</f>
        <v/>
      </c>
      <c r="H73" s="6">
        <f>LAVORAZIONI!O466</f>
        <v/>
      </c>
      <c r="I73" s="13">
        <f>LAVORAZIONI!P466</f>
        <v/>
      </c>
      <c r="J73" s="5">
        <f>IF(LAVORAZIONI!Q466="","",LAVORAZIONI!Q466)</f>
        <v/>
      </c>
      <c r="K73" s="6">
        <f>IF(LAVORAZIONI!R466="","",LAVORAZIONI!R466)</f>
        <v/>
      </c>
      <c r="L73" s="13">
        <f>IF(LAVORAZIONI!S466="","",LAVORAZIONI!S466)</f>
        <v/>
      </c>
      <c r="M73" s="13">
        <f>LAVORAZIONI!T466</f>
        <v/>
      </c>
      <c r="O73" s="7">
        <f>LAVORAZIONI!U466</f>
        <v/>
      </c>
      <c r="P73" s="45">
        <f>LAVORAZIONI!V466</f>
        <v/>
      </c>
      <c r="Q73" s="7">
        <f>LAVORAZIONI!W466</f>
        <v/>
      </c>
      <c r="R73" s="6">
        <f>LAVORAZIONI!X466</f>
        <v/>
      </c>
      <c r="S73" s="7">
        <f>LAVORAZIONI!Y466</f>
        <v/>
      </c>
      <c r="T73" s="6">
        <f>LAVORAZIONI!Z466</f>
        <v/>
      </c>
      <c r="U73" s="7">
        <f>LAVORAZIONI!AA466</f>
        <v/>
      </c>
      <c r="V73" s="6">
        <f>LAVORAZIONI!AB466</f>
        <v/>
      </c>
      <c r="W73" s="7">
        <f>LAVORAZIONI!AC466</f>
        <v/>
      </c>
      <c r="X73" s="6">
        <f>LAVORAZIONI!AD466</f>
        <v/>
      </c>
      <c r="Y73" s="7">
        <f>LAVORAZIONI!AE466</f>
        <v/>
      </c>
      <c r="Z73" s="6">
        <f>LAVORAZIONI!AF466</f>
        <v/>
      </c>
      <c r="AA73" s="7">
        <f>LAVORAZIONI!AG466</f>
        <v/>
      </c>
      <c r="AB73" s="6">
        <f>LAVORAZIONI!AH466</f>
        <v/>
      </c>
      <c r="AC73" s="7">
        <f>LAVORAZIONI!AI466</f>
        <v/>
      </c>
      <c r="AD73" s="13">
        <f>LAVORAZIONI!AJ466</f>
        <v/>
      </c>
    </row>
    <row r="74" ht="64" customHeight="1" s="46">
      <c r="B74" s="4">
        <f>LAVORAZIONI!G467</f>
        <v/>
      </c>
      <c r="C74" s="3">
        <f>LAVORAZIONI!A467</f>
        <v/>
      </c>
      <c r="D74" s="3">
        <f>LAVORAZIONI!K467</f>
        <v/>
      </c>
      <c r="E74" s="4">
        <f>LAVORAZIONI!H467</f>
        <v/>
      </c>
      <c r="F74" s="4">
        <f>LAVORAZIONI!M467</f>
        <v/>
      </c>
      <c r="G74" s="5">
        <f>LAVORAZIONI!N467</f>
        <v/>
      </c>
      <c r="H74" s="6">
        <f>LAVORAZIONI!O467</f>
        <v/>
      </c>
      <c r="I74" s="13">
        <f>LAVORAZIONI!P467</f>
        <v/>
      </c>
      <c r="J74" s="5">
        <f>IF(LAVORAZIONI!Q467="","",LAVORAZIONI!Q467)</f>
        <v/>
      </c>
      <c r="K74" s="6">
        <f>IF(LAVORAZIONI!R467="","",LAVORAZIONI!R467)</f>
        <v/>
      </c>
      <c r="L74" s="13">
        <f>IF(LAVORAZIONI!S467="","",LAVORAZIONI!S467)</f>
        <v/>
      </c>
      <c r="M74" s="13">
        <f>LAVORAZIONI!T467</f>
        <v/>
      </c>
      <c r="O74" s="7">
        <f>LAVORAZIONI!U467</f>
        <v/>
      </c>
      <c r="P74" s="45">
        <f>LAVORAZIONI!V467</f>
        <v/>
      </c>
      <c r="Q74" s="7">
        <f>LAVORAZIONI!W467</f>
        <v/>
      </c>
      <c r="R74" s="6">
        <f>LAVORAZIONI!X467</f>
        <v/>
      </c>
      <c r="S74" s="7">
        <f>LAVORAZIONI!Y467</f>
        <v/>
      </c>
      <c r="T74" s="6">
        <f>LAVORAZIONI!Z467</f>
        <v/>
      </c>
      <c r="U74" s="7">
        <f>LAVORAZIONI!AA467</f>
        <v/>
      </c>
      <c r="V74" s="6">
        <f>LAVORAZIONI!AB467</f>
        <v/>
      </c>
      <c r="W74" s="7">
        <f>LAVORAZIONI!AC467</f>
        <v/>
      </c>
      <c r="X74" s="6">
        <f>LAVORAZIONI!AD467</f>
        <v/>
      </c>
      <c r="Y74" s="7">
        <f>LAVORAZIONI!AE467</f>
        <v/>
      </c>
      <c r="Z74" s="6">
        <f>LAVORAZIONI!AF467</f>
        <v/>
      </c>
      <c r="AA74" s="7">
        <f>LAVORAZIONI!AG467</f>
        <v/>
      </c>
      <c r="AB74" s="6">
        <f>LAVORAZIONI!AH467</f>
        <v/>
      </c>
      <c r="AC74" s="7">
        <f>LAVORAZIONI!AI467</f>
        <v/>
      </c>
      <c r="AD74" s="13">
        <f>LAVORAZIONI!AJ467</f>
        <v/>
      </c>
    </row>
    <row r="75" ht="64" customHeight="1" s="46">
      <c r="B75" s="4">
        <f>LAVORAZIONI!G468</f>
        <v/>
      </c>
      <c r="C75" s="3">
        <f>LAVORAZIONI!A468</f>
        <v/>
      </c>
      <c r="D75" s="3">
        <f>LAVORAZIONI!K468</f>
        <v/>
      </c>
      <c r="E75" s="4">
        <f>LAVORAZIONI!H468</f>
        <v/>
      </c>
      <c r="F75" s="4">
        <f>LAVORAZIONI!M468</f>
        <v/>
      </c>
      <c r="G75" s="5">
        <f>LAVORAZIONI!N468</f>
        <v/>
      </c>
      <c r="H75" s="6">
        <f>LAVORAZIONI!O468</f>
        <v/>
      </c>
      <c r="I75" s="13">
        <f>LAVORAZIONI!P468</f>
        <v/>
      </c>
      <c r="J75" s="5">
        <f>IF(LAVORAZIONI!Q468="","",LAVORAZIONI!Q468)</f>
        <v/>
      </c>
      <c r="K75" s="6">
        <f>IF(LAVORAZIONI!R468="","",LAVORAZIONI!R468)</f>
        <v/>
      </c>
      <c r="L75" s="13">
        <f>IF(LAVORAZIONI!S468="","",LAVORAZIONI!S468)</f>
        <v/>
      </c>
      <c r="M75" s="13">
        <f>LAVORAZIONI!T468</f>
        <v/>
      </c>
      <c r="O75" s="7">
        <f>LAVORAZIONI!U468</f>
        <v/>
      </c>
      <c r="P75" s="45">
        <f>LAVORAZIONI!V468</f>
        <v/>
      </c>
      <c r="Q75" s="7">
        <f>LAVORAZIONI!W468</f>
        <v/>
      </c>
      <c r="R75" s="6">
        <f>LAVORAZIONI!X468</f>
        <v/>
      </c>
      <c r="S75" s="7">
        <f>LAVORAZIONI!Y468</f>
        <v/>
      </c>
      <c r="T75" s="6">
        <f>LAVORAZIONI!Z468</f>
        <v/>
      </c>
      <c r="U75" s="7">
        <f>LAVORAZIONI!AA468</f>
        <v/>
      </c>
      <c r="V75" s="6">
        <f>LAVORAZIONI!AB468</f>
        <v/>
      </c>
      <c r="W75" s="7">
        <f>LAVORAZIONI!AC468</f>
        <v/>
      </c>
      <c r="X75" s="6">
        <f>LAVORAZIONI!AD468</f>
        <v/>
      </c>
      <c r="Y75" s="7">
        <f>LAVORAZIONI!AE468</f>
        <v/>
      </c>
      <c r="Z75" s="6">
        <f>LAVORAZIONI!AF468</f>
        <v/>
      </c>
      <c r="AA75" s="7">
        <f>LAVORAZIONI!AG468</f>
        <v/>
      </c>
      <c r="AB75" s="6">
        <f>LAVORAZIONI!AH468</f>
        <v/>
      </c>
      <c r="AC75" s="7">
        <f>LAVORAZIONI!AI468</f>
        <v/>
      </c>
      <c r="AD75" s="13">
        <f>LAVORAZIONI!AJ468</f>
        <v/>
      </c>
    </row>
    <row r="76" ht="64" customHeight="1" s="46">
      <c r="B76" s="4">
        <f>LAVORAZIONI!G469</f>
        <v/>
      </c>
      <c r="C76" s="3">
        <f>LAVORAZIONI!A469</f>
        <v/>
      </c>
      <c r="D76" s="3">
        <f>LAVORAZIONI!K469</f>
        <v/>
      </c>
      <c r="E76" s="4">
        <f>LAVORAZIONI!H469</f>
        <v/>
      </c>
      <c r="F76" s="4">
        <f>LAVORAZIONI!M469</f>
        <v/>
      </c>
      <c r="G76" s="5">
        <f>LAVORAZIONI!N469</f>
        <v/>
      </c>
      <c r="H76" s="6">
        <f>LAVORAZIONI!O469</f>
        <v/>
      </c>
      <c r="I76" s="13">
        <f>LAVORAZIONI!P469</f>
        <v/>
      </c>
      <c r="J76" s="5">
        <f>IF(LAVORAZIONI!Q469="","",LAVORAZIONI!Q469)</f>
        <v/>
      </c>
      <c r="K76" s="6">
        <f>IF(LAVORAZIONI!R469="","",LAVORAZIONI!R469)</f>
        <v/>
      </c>
      <c r="L76" s="13">
        <f>IF(LAVORAZIONI!S469="","",LAVORAZIONI!S469)</f>
        <v/>
      </c>
      <c r="M76" s="13">
        <f>LAVORAZIONI!T469</f>
        <v/>
      </c>
      <c r="O76" s="7">
        <f>LAVORAZIONI!U469</f>
        <v/>
      </c>
      <c r="P76" s="45">
        <f>LAVORAZIONI!V469</f>
        <v/>
      </c>
      <c r="Q76" s="7">
        <f>LAVORAZIONI!W469</f>
        <v/>
      </c>
      <c r="R76" s="6">
        <f>LAVORAZIONI!X469</f>
        <v/>
      </c>
      <c r="S76" s="7">
        <f>LAVORAZIONI!Y469</f>
        <v/>
      </c>
      <c r="T76" s="6">
        <f>LAVORAZIONI!Z469</f>
        <v/>
      </c>
      <c r="U76" s="7">
        <f>LAVORAZIONI!AA469</f>
        <v/>
      </c>
      <c r="V76" s="6">
        <f>LAVORAZIONI!AB469</f>
        <v/>
      </c>
      <c r="W76" s="7">
        <f>LAVORAZIONI!AC469</f>
        <v/>
      </c>
      <c r="X76" s="6">
        <f>LAVORAZIONI!AD469</f>
        <v/>
      </c>
      <c r="Y76" s="7">
        <f>LAVORAZIONI!AE469</f>
        <v/>
      </c>
      <c r="Z76" s="6">
        <f>LAVORAZIONI!AF469</f>
        <v/>
      </c>
      <c r="AA76" s="7">
        <f>LAVORAZIONI!AG469</f>
        <v/>
      </c>
      <c r="AB76" s="6">
        <f>LAVORAZIONI!AH469</f>
        <v/>
      </c>
      <c r="AC76" s="7">
        <f>LAVORAZIONI!AI469</f>
        <v/>
      </c>
      <c r="AD76" s="13">
        <f>LAVORAZIONI!AJ469</f>
        <v/>
      </c>
    </row>
    <row r="77" ht="64" customHeight="1" s="46">
      <c r="B77" s="4">
        <f>LAVORAZIONI!G470</f>
        <v/>
      </c>
      <c r="C77" s="3">
        <f>LAVORAZIONI!A470</f>
        <v/>
      </c>
      <c r="D77" s="3">
        <f>LAVORAZIONI!K470</f>
        <v/>
      </c>
      <c r="E77" s="4">
        <f>LAVORAZIONI!H470</f>
        <v/>
      </c>
      <c r="F77" s="4">
        <f>LAVORAZIONI!M470</f>
        <v/>
      </c>
      <c r="G77" s="5">
        <f>LAVORAZIONI!N470</f>
        <v/>
      </c>
      <c r="H77" s="6">
        <f>LAVORAZIONI!O470</f>
        <v/>
      </c>
      <c r="I77" s="13">
        <f>LAVORAZIONI!P470</f>
        <v/>
      </c>
      <c r="J77" s="5">
        <f>IF(LAVORAZIONI!Q470="","",LAVORAZIONI!Q470)</f>
        <v/>
      </c>
      <c r="K77" s="6">
        <f>IF(LAVORAZIONI!R470="","",LAVORAZIONI!R470)</f>
        <v/>
      </c>
      <c r="L77" s="13">
        <f>IF(LAVORAZIONI!S470="","",LAVORAZIONI!S470)</f>
        <v/>
      </c>
      <c r="M77" s="13">
        <f>LAVORAZIONI!T470</f>
        <v/>
      </c>
      <c r="O77" s="7">
        <f>LAVORAZIONI!U470</f>
        <v/>
      </c>
      <c r="P77" s="45">
        <f>LAVORAZIONI!V470</f>
        <v/>
      </c>
      <c r="Q77" s="7">
        <f>LAVORAZIONI!W470</f>
        <v/>
      </c>
      <c r="R77" s="6">
        <f>LAVORAZIONI!X470</f>
        <v/>
      </c>
      <c r="S77" s="7">
        <f>LAVORAZIONI!Y470</f>
        <v/>
      </c>
      <c r="T77" s="6">
        <f>LAVORAZIONI!Z470</f>
        <v/>
      </c>
      <c r="U77" s="7">
        <f>LAVORAZIONI!AA470</f>
        <v/>
      </c>
      <c r="V77" s="6">
        <f>LAVORAZIONI!AB470</f>
        <v/>
      </c>
      <c r="W77" s="7">
        <f>LAVORAZIONI!AC470</f>
        <v/>
      </c>
      <c r="X77" s="6">
        <f>LAVORAZIONI!AD470</f>
        <v/>
      </c>
      <c r="Y77" s="7">
        <f>LAVORAZIONI!AE470</f>
        <v/>
      </c>
      <c r="Z77" s="6">
        <f>LAVORAZIONI!AF470</f>
        <v/>
      </c>
      <c r="AA77" s="7">
        <f>LAVORAZIONI!AG470</f>
        <v/>
      </c>
      <c r="AB77" s="6">
        <f>LAVORAZIONI!AH470</f>
        <v/>
      </c>
      <c r="AC77" s="7">
        <f>LAVORAZIONI!AI470</f>
        <v/>
      </c>
      <c r="AD77" s="13">
        <f>LAVORAZIONI!AJ470</f>
        <v/>
      </c>
    </row>
    <row r="78" ht="64" customHeight="1" s="46">
      <c r="B78" s="4">
        <f>LAVORAZIONI!G471</f>
        <v/>
      </c>
      <c r="C78" s="3">
        <f>LAVORAZIONI!A471</f>
        <v/>
      </c>
      <c r="D78" s="3">
        <f>LAVORAZIONI!K471</f>
        <v/>
      </c>
      <c r="E78" s="4">
        <f>LAVORAZIONI!H471</f>
        <v/>
      </c>
      <c r="F78" s="4">
        <f>LAVORAZIONI!M471</f>
        <v/>
      </c>
      <c r="G78" s="5">
        <f>LAVORAZIONI!N471</f>
        <v/>
      </c>
      <c r="H78" s="6">
        <f>LAVORAZIONI!O471</f>
        <v/>
      </c>
      <c r="I78" s="13">
        <f>LAVORAZIONI!P471</f>
        <v/>
      </c>
      <c r="J78" s="5">
        <f>IF(LAVORAZIONI!Q471="","",LAVORAZIONI!Q471)</f>
        <v/>
      </c>
      <c r="K78" s="6">
        <f>IF(LAVORAZIONI!R471="","",LAVORAZIONI!R471)</f>
        <v/>
      </c>
      <c r="L78" s="13">
        <f>IF(LAVORAZIONI!S471="","",LAVORAZIONI!S471)</f>
        <v/>
      </c>
      <c r="M78" s="13">
        <f>LAVORAZIONI!T471</f>
        <v/>
      </c>
      <c r="O78" s="7">
        <f>LAVORAZIONI!U471</f>
        <v/>
      </c>
      <c r="P78" s="45">
        <f>LAVORAZIONI!V471</f>
        <v/>
      </c>
      <c r="Q78" s="7">
        <f>LAVORAZIONI!W471</f>
        <v/>
      </c>
      <c r="R78" s="6">
        <f>LAVORAZIONI!X471</f>
        <v/>
      </c>
      <c r="S78" s="7">
        <f>LAVORAZIONI!Y471</f>
        <v/>
      </c>
      <c r="T78" s="6">
        <f>LAVORAZIONI!Z471</f>
        <v/>
      </c>
      <c r="U78" s="7">
        <f>LAVORAZIONI!AA471</f>
        <v/>
      </c>
      <c r="V78" s="6">
        <f>LAVORAZIONI!AB471</f>
        <v/>
      </c>
      <c r="W78" s="7">
        <f>LAVORAZIONI!AC471</f>
        <v/>
      </c>
      <c r="X78" s="6">
        <f>LAVORAZIONI!AD471</f>
        <v/>
      </c>
      <c r="Y78" s="7">
        <f>LAVORAZIONI!AE471</f>
        <v/>
      </c>
      <c r="Z78" s="6">
        <f>LAVORAZIONI!AF471</f>
        <v/>
      </c>
      <c r="AA78" s="7">
        <f>LAVORAZIONI!AG471</f>
        <v/>
      </c>
      <c r="AB78" s="6">
        <f>LAVORAZIONI!AH471</f>
        <v/>
      </c>
      <c r="AC78" s="7">
        <f>LAVORAZIONI!AI471</f>
        <v/>
      </c>
      <c r="AD78" s="13">
        <f>LAVORAZIONI!AJ471</f>
        <v/>
      </c>
    </row>
    <row r="79" ht="64" customHeight="1" s="46">
      <c r="B79" s="4">
        <f>LAVORAZIONI!G472</f>
        <v/>
      </c>
      <c r="C79" s="3">
        <f>LAVORAZIONI!A472</f>
        <v/>
      </c>
      <c r="D79" s="3">
        <f>LAVORAZIONI!K472</f>
        <v/>
      </c>
      <c r="E79" s="4">
        <f>LAVORAZIONI!H472</f>
        <v/>
      </c>
      <c r="F79" s="4">
        <f>LAVORAZIONI!M472</f>
        <v/>
      </c>
      <c r="G79" s="5">
        <f>LAVORAZIONI!N472</f>
        <v/>
      </c>
      <c r="H79" s="6">
        <f>LAVORAZIONI!O472</f>
        <v/>
      </c>
      <c r="I79" s="13">
        <f>LAVORAZIONI!P472</f>
        <v/>
      </c>
      <c r="J79" s="5">
        <f>IF(LAVORAZIONI!Q472="","",LAVORAZIONI!Q472)</f>
        <v/>
      </c>
      <c r="K79" s="6">
        <f>IF(LAVORAZIONI!R472="","",LAVORAZIONI!R472)</f>
        <v/>
      </c>
      <c r="L79" s="13">
        <f>IF(LAVORAZIONI!S472="","",LAVORAZIONI!S472)</f>
        <v/>
      </c>
      <c r="M79" s="13">
        <f>LAVORAZIONI!T472</f>
        <v/>
      </c>
      <c r="O79" s="7">
        <f>LAVORAZIONI!U472</f>
        <v/>
      </c>
      <c r="P79" s="45">
        <f>LAVORAZIONI!V472</f>
        <v/>
      </c>
      <c r="Q79" s="7">
        <f>LAVORAZIONI!W472</f>
        <v/>
      </c>
      <c r="R79" s="6">
        <f>LAVORAZIONI!X472</f>
        <v/>
      </c>
      <c r="S79" s="7">
        <f>LAVORAZIONI!Y472</f>
        <v/>
      </c>
      <c r="T79" s="6">
        <f>LAVORAZIONI!Z472</f>
        <v/>
      </c>
      <c r="U79" s="7">
        <f>LAVORAZIONI!AA472</f>
        <v/>
      </c>
      <c r="V79" s="6">
        <f>LAVORAZIONI!AB472</f>
        <v/>
      </c>
      <c r="W79" s="7">
        <f>LAVORAZIONI!AC472</f>
        <v/>
      </c>
      <c r="X79" s="6">
        <f>LAVORAZIONI!AD472</f>
        <v/>
      </c>
      <c r="Y79" s="7">
        <f>LAVORAZIONI!AE472</f>
        <v/>
      </c>
      <c r="Z79" s="6">
        <f>LAVORAZIONI!AF472</f>
        <v/>
      </c>
      <c r="AA79" s="7">
        <f>LAVORAZIONI!AG472</f>
        <v/>
      </c>
      <c r="AB79" s="6">
        <f>LAVORAZIONI!AH472</f>
        <v/>
      </c>
      <c r="AC79" s="7">
        <f>LAVORAZIONI!AI472</f>
        <v/>
      </c>
      <c r="AD79" s="13">
        <f>LAVORAZIONI!AJ472</f>
        <v/>
      </c>
    </row>
    <row r="80" ht="64" customHeight="1" s="46">
      <c r="B80" s="4">
        <f>LAVORAZIONI!G473</f>
        <v/>
      </c>
      <c r="C80" s="3">
        <f>LAVORAZIONI!A473</f>
        <v/>
      </c>
      <c r="D80" s="3">
        <f>LAVORAZIONI!K473</f>
        <v/>
      </c>
      <c r="E80" s="4">
        <f>LAVORAZIONI!H473</f>
        <v/>
      </c>
      <c r="F80" s="4">
        <f>LAVORAZIONI!M473</f>
        <v/>
      </c>
      <c r="G80" s="5">
        <f>LAVORAZIONI!N473</f>
        <v/>
      </c>
      <c r="H80" s="6">
        <f>LAVORAZIONI!O473</f>
        <v/>
      </c>
      <c r="I80" s="13">
        <f>LAVORAZIONI!P473</f>
        <v/>
      </c>
      <c r="J80" s="5">
        <f>IF(LAVORAZIONI!Q473="","",LAVORAZIONI!Q473)</f>
        <v/>
      </c>
      <c r="K80" s="6">
        <f>IF(LAVORAZIONI!R473="","",LAVORAZIONI!R473)</f>
        <v/>
      </c>
      <c r="L80" s="13">
        <f>IF(LAVORAZIONI!S473="","",LAVORAZIONI!S473)</f>
        <v/>
      </c>
      <c r="M80" s="13">
        <f>LAVORAZIONI!T473</f>
        <v/>
      </c>
      <c r="O80" s="7">
        <f>LAVORAZIONI!U473</f>
        <v/>
      </c>
      <c r="P80" s="45">
        <f>LAVORAZIONI!V473</f>
        <v/>
      </c>
      <c r="Q80" s="7">
        <f>LAVORAZIONI!W473</f>
        <v/>
      </c>
      <c r="R80" s="6">
        <f>LAVORAZIONI!X473</f>
        <v/>
      </c>
      <c r="S80" s="7">
        <f>LAVORAZIONI!Y473</f>
        <v/>
      </c>
      <c r="T80" s="6">
        <f>LAVORAZIONI!Z473</f>
        <v/>
      </c>
      <c r="U80" s="7">
        <f>LAVORAZIONI!AA473</f>
        <v/>
      </c>
      <c r="V80" s="6">
        <f>LAVORAZIONI!AB473</f>
        <v/>
      </c>
      <c r="W80" s="7">
        <f>LAVORAZIONI!AC473</f>
        <v/>
      </c>
      <c r="X80" s="6">
        <f>LAVORAZIONI!AD473</f>
        <v/>
      </c>
      <c r="Y80" s="7">
        <f>LAVORAZIONI!AE473</f>
        <v/>
      </c>
      <c r="Z80" s="6">
        <f>LAVORAZIONI!AF473</f>
        <v/>
      </c>
      <c r="AA80" s="7">
        <f>LAVORAZIONI!AG473</f>
        <v/>
      </c>
      <c r="AB80" s="6">
        <f>LAVORAZIONI!AH473</f>
        <v/>
      </c>
      <c r="AC80" s="7">
        <f>LAVORAZIONI!AI473</f>
        <v/>
      </c>
      <c r="AD80" s="13">
        <f>LAVORAZIONI!AJ473</f>
        <v/>
      </c>
    </row>
    <row r="81" ht="64" customHeight="1" s="46">
      <c r="B81" s="4">
        <f>LAVORAZIONI!G474</f>
        <v/>
      </c>
      <c r="C81" s="3">
        <f>LAVORAZIONI!A474</f>
        <v/>
      </c>
      <c r="D81" s="3">
        <f>LAVORAZIONI!K474</f>
        <v/>
      </c>
      <c r="E81" s="4">
        <f>LAVORAZIONI!H474</f>
        <v/>
      </c>
      <c r="F81" s="4">
        <f>LAVORAZIONI!M474</f>
        <v/>
      </c>
      <c r="G81" s="5">
        <f>LAVORAZIONI!N474</f>
        <v/>
      </c>
      <c r="H81" s="6">
        <f>LAVORAZIONI!O474</f>
        <v/>
      </c>
      <c r="I81" s="13">
        <f>LAVORAZIONI!P474</f>
        <v/>
      </c>
      <c r="J81" s="5">
        <f>IF(LAVORAZIONI!Q474="","",LAVORAZIONI!Q474)</f>
        <v/>
      </c>
      <c r="K81" s="6">
        <f>IF(LAVORAZIONI!R474="","",LAVORAZIONI!R474)</f>
        <v/>
      </c>
      <c r="L81" s="13">
        <f>IF(LAVORAZIONI!S474="","",LAVORAZIONI!S474)</f>
        <v/>
      </c>
      <c r="M81" s="13">
        <f>LAVORAZIONI!T474</f>
        <v/>
      </c>
      <c r="O81" s="7">
        <f>LAVORAZIONI!U474</f>
        <v/>
      </c>
      <c r="P81" s="45">
        <f>LAVORAZIONI!V474</f>
        <v/>
      </c>
      <c r="Q81" s="7">
        <f>LAVORAZIONI!W474</f>
        <v/>
      </c>
      <c r="R81" s="6">
        <f>LAVORAZIONI!X474</f>
        <v/>
      </c>
      <c r="S81" s="7">
        <f>LAVORAZIONI!Y474</f>
        <v/>
      </c>
      <c r="T81" s="6">
        <f>LAVORAZIONI!Z474</f>
        <v/>
      </c>
      <c r="U81" s="7">
        <f>LAVORAZIONI!AA474</f>
        <v/>
      </c>
      <c r="V81" s="6">
        <f>LAVORAZIONI!AB474</f>
        <v/>
      </c>
      <c r="W81" s="7">
        <f>LAVORAZIONI!AC474</f>
        <v/>
      </c>
      <c r="X81" s="6">
        <f>LAVORAZIONI!AD474</f>
        <v/>
      </c>
      <c r="Y81" s="7">
        <f>LAVORAZIONI!AE474</f>
        <v/>
      </c>
      <c r="Z81" s="6">
        <f>LAVORAZIONI!AF474</f>
        <v/>
      </c>
      <c r="AA81" s="7">
        <f>LAVORAZIONI!AG474</f>
        <v/>
      </c>
      <c r="AB81" s="6">
        <f>LAVORAZIONI!AH474</f>
        <v/>
      </c>
      <c r="AC81" s="7">
        <f>LAVORAZIONI!AI474</f>
        <v/>
      </c>
      <c r="AD81" s="13">
        <f>LAVORAZIONI!AJ474</f>
        <v/>
      </c>
    </row>
    <row r="82" ht="64" customHeight="1" s="46">
      <c r="B82" s="4">
        <f>LAVORAZIONI!G475</f>
        <v/>
      </c>
      <c r="C82" s="3">
        <f>LAVORAZIONI!A475</f>
        <v/>
      </c>
      <c r="D82" s="3">
        <f>LAVORAZIONI!K475</f>
        <v/>
      </c>
      <c r="E82" s="4">
        <f>LAVORAZIONI!H475</f>
        <v/>
      </c>
      <c r="F82" s="4">
        <f>LAVORAZIONI!M475</f>
        <v/>
      </c>
      <c r="G82" s="5">
        <f>LAVORAZIONI!N475</f>
        <v/>
      </c>
      <c r="H82" s="6">
        <f>LAVORAZIONI!O475</f>
        <v/>
      </c>
      <c r="I82" s="13">
        <f>LAVORAZIONI!P475</f>
        <v/>
      </c>
      <c r="J82" s="5">
        <f>IF(LAVORAZIONI!Q475="","",LAVORAZIONI!Q475)</f>
        <v/>
      </c>
      <c r="K82" s="6">
        <f>IF(LAVORAZIONI!R475="","",LAVORAZIONI!R475)</f>
        <v/>
      </c>
      <c r="L82" s="13">
        <f>IF(LAVORAZIONI!S475="","",LAVORAZIONI!S475)</f>
        <v/>
      </c>
      <c r="M82" s="13">
        <f>LAVORAZIONI!T475</f>
        <v/>
      </c>
      <c r="O82" s="7">
        <f>LAVORAZIONI!U475</f>
        <v/>
      </c>
      <c r="P82" s="45">
        <f>LAVORAZIONI!V475</f>
        <v/>
      </c>
      <c r="Q82" s="7">
        <f>LAVORAZIONI!W475</f>
        <v/>
      </c>
      <c r="R82" s="6">
        <f>LAVORAZIONI!X475</f>
        <v/>
      </c>
      <c r="S82" s="7">
        <f>LAVORAZIONI!Y475</f>
        <v/>
      </c>
      <c r="T82" s="6">
        <f>LAVORAZIONI!Z475</f>
        <v/>
      </c>
      <c r="U82" s="7">
        <f>LAVORAZIONI!AA475</f>
        <v/>
      </c>
      <c r="V82" s="6">
        <f>LAVORAZIONI!AB475</f>
        <v/>
      </c>
      <c r="W82" s="7">
        <f>LAVORAZIONI!AC475</f>
        <v/>
      </c>
      <c r="X82" s="6">
        <f>LAVORAZIONI!AD475</f>
        <v/>
      </c>
      <c r="Y82" s="7">
        <f>LAVORAZIONI!AE475</f>
        <v/>
      </c>
      <c r="Z82" s="6">
        <f>LAVORAZIONI!AF475</f>
        <v/>
      </c>
      <c r="AA82" s="7">
        <f>LAVORAZIONI!AG475</f>
        <v/>
      </c>
      <c r="AB82" s="6">
        <f>LAVORAZIONI!AH475</f>
        <v/>
      </c>
      <c r="AC82" s="7">
        <f>LAVORAZIONI!AI475</f>
        <v/>
      </c>
      <c r="AD82" s="13">
        <f>LAVORAZIONI!AJ475</f>
        <v/>
      </c>
    </row>
    <row r="83" ht="64" customHeight="1" s="46">
      <c r="B83" s="4">
        <f>LAVORAZIONI!G476</f>
        <v/>
      </c>
      <c r="C83" s="3">
        <f>LAVORAZIONI!A476</f>
        <v/>
      </c>
      <c r="D83" s="3">
        <f>LAVORAZIONI!K476</f>
        <v/>
      </c>
      <c r="E83" s="4">
        <f>LAVORAZIONI!H476</f>
        <v/>
      </c>
      <c r="F83" s="4">
        <f>LAVORAZIONI!M476</f>
        <v/>
      </c>
      <c r="G83" s="5">
        <f>LAVORAZIONI!N476</f>
        <v/>
      </c>
      <c r="H83" s="6">
        <f>LAVORAZIONI!O476</f>
        <v/>
      </c>
      <c r="I83" s="13">
        <f>LAVORAZIONI!P476</f>
        <v/>
      </c>
      <c r="J83" s="5">
        <f>IF(LAVORAZIONI!Q476="","",LAVORAZIONI!Q476)</f>
        <v/>
      </c>
      <c r="K83" s="6">
        <f>IF(LAVORAZIONI!R476="","",LAVORAZIONI!R476)</f>
        <v/>
      </c>
      <c r="L83" s="13">
        <f>IF(LAVORAZIONI!S476="","",LAVORAZIONI!S476)</f>
        <v/>
      </c>
      <c r="M83" s="13">
        <f>LAVORAZIONI!T476</f>
        <v/>
      </c>
      <c r="O83" s="7">
        <f>LAVORAZIONI!U476</f>
        <v/>
      </c>
      <c r="P83" s="45">
        <f>LAVORAZIONI!V476</f>
        <v/>
      </c>
      <c r="Q83" s="7">
        <f>LAVORAZIONI!W476</f>
        <v/>
      </c>
      <c r="R83" s="6">
        <f>LAVORAZIONI!X476</f>
        <v/>
      </c>
      <c r="S83" s="7">
        <f>LAVORAZIONI!Y476</f>
        <v/>
      </c>
      <c r="T83" s="6">
        <f>LAVORAZIONI!Z476</f>
        <v/>
      </c>
      <c r="U83" s="7">
        <f>LAVORAZIONI!AA476</f>
        <v/>
      </c>
      <c r="V83" s="6">
        <f>LAVORAZIONI!AB476</f>
        <v/>
      </c>
      <c r="W83" s="7">
        <f>LAVORAZIONI!AC476</f>
        <v/>
      </c>
      <c r="X83" s="6">
        <f>LAVORAZIONI!AD476</f>
        <v/>
      </c>
      <c r="Y83" s="7">
        <f>LAVORAZIONI!AE476</f>
        <v/>
      </c>
      <c r="Z83" s="6">
        <f>LAVORAZIONI!AF476</f>
        <v/>
      </c>
      <c r="AA83" s="7">
        <f>LAVORAZIONI!AG476</f>
        <v/>
      </c>
      <c r="AB83" s="6">
        <f>LAVORAZIONI!AH476</f>
        <v/>
      </c>
      <c r="AC83" s="7">
        <f>LAVORAZIONI!AI476</f>
        <v/>
      </c>
      <c r="AD83" s="13">
        <f>LAVORAZIONI!AJ476</f>
        <v/>
      </c>
    </row>
    <row r="84" ht="64" customHeight="1" s="46">
      <c r="B84" s="4">
        <f>LAVORAZIONI!G477</f>
        <v/>
      </c>
      <c r="C84" s="3">
        <f>LAVORAZIONI!A477</f>
        <v/>
      </c>
      <c r="D84" s="3">
        <f>LAVORAZIONI!K477</f>
        <v/>
      </c>
      <c r="E84" s="4">
        <f>LAVORAZIONI!H477</f>
        <v/>
      </c>
      <c r="F84" s="4">
        <f>LAVORAZIONI!M477</f>
        <v/>
      </c>
      <c r="G84" s="5">
        <f>LAVORAZIONI!N477</f>
        <v/>
      </c>
      <c r="H84" s="6">
        <f>LAVORAZIONI!O477</f>
        <v/>
      </c>
      <c r="I84" s="13">
        <f>LAVORAZIONI!P477</f>
        <v/>
      </c>
      <c r="J84" s="5">
        <f>IF(LAVORAZIONI!Q477="","",LAVORAZIONI!Q477)</f>
        <v/>
      </c>
      <c r="K84" s="6">
        <f>IF(LAVORAZIONI!R477="","",LAVORAZIONI!R477)</f>
        <v/>
      </c>
      <c r="L84" s="13">
        <f>IF(LAVORAZIONI!S477="","",LAVORAZIONI!S477)</f>
        <v/>
      </c>
      <c r="M84" s="13">
        <f>LAVORAZIONI!T477</f>
        <v/>
      </c>
      <c r="O84" s="7">
        <f>LAVORAZIONI!U477</f>
        <v/>
      </c>
      <c r="P84" s="45">
        <f>LAVORAZIONI!V477</f>
        <v/>
      </c>
      <c r="Q84" s="7">
        <f>LAVORAZIONI!W477</f>
        <v/>
      </c>
      <c r="R84" s="6">
        <f>LAVORAZIONI!X477</f>
        <v/>
      </c>
      <c r="S84" s="7">
        <f>LAVORAZIONI!Y477</f>
        <v/>
      </c>
      <c r="T84" s="6">
        <f>LAVORAZIONI!Z477</f>
        <v/>
      </c>
      <c r="U84" s="7">
        <f>LAVORAZIONI!AA477</f>
        <v/>
      </c>
      <c r="V84" s="6">
        <f>LAVORAZIONI!AB477</f>
        <v/>
      </c>
      <c r="W84" s="7">
        <f>LAVORAZIONI!AC477</f>
        <v/>
      </c>
      <c r="X84" s="6">
        <f>LAVORAZIONI!AD477</f>
        <v/>
      </c>
      <c r="Y84" s="7">
        <f>LAVORAZIONI!AE477</f>
        <v/>
      </c>
      <c r="Z84" s="6">
        <f>LAVORAZIONI!AF477</f>
        <v/>
      </c>
      <c r="AA84" s="7">
        <f>LAVORAZIONI!AG477</f>
        <v/>
      </c>
      <c r="AB84" s="6">
        <f>LAVORAZIONI!AH477</f>
        <v/>
      </c>
      <c r="AC84" s="7">
        <f>LAVORAZIONI!AI477</f>
        <v/>
      </c>
      <c r="AD84" s="13">
        <f>LAVORAZIONI!AJ477</f>
        <v/>
      </c>
    </row>
    <row r="85" ht="64" customHeight="1" s="46">
      <c r="B85" s="4">
        <f>LAVORAZIONI!G478</f>
        <v/>
      </c>
      <c r="C85" s="3">
        <f>LAVORAZIONI!A478</f>
        <v/>
      </c>
      <c r="D85" s="3">
        <f>LAVORAZIONI!K478</f>
        <v/>
      </c>
      <c r="E85" s="4">
        <f>LAVORAZIONI!H478</f>
        <v/>
      </c>
      <c r="F85" s="4">
        <f>LAVORAZIONI!M478</f>
        <v/>
      </c>
      <c r="G85" s="5">
        <f>LAVORAZIONI!N478</f>
        <v/>
      </c>
      <c r="H85" s="6">
        <f>LAVORAZIONI!O478</f>
        <v/>
      </c>
      <c r="I85" s="13">
        <f>LAVORAZIONI!P478</f>
        <v/>
      </c>
      <c r="J85" s="5">
        <f>IF(LAVORAZIONI!Q478="","",LAVORAZIONI!Q478)</f>
        <v/>
      </c>
      <c r="K85" s="6">
        <f>IF(LAVORAZIONI!R478="","",LAVORAZIONI!R478)</f>
        <v/>
      </c>
      <c r="L85" s="13">
        <f>IF(LAVORAZIONI!S478="","",LAVORAZIONI!S478)</f>
        <v/>
      </c>
      <c r="M85" s="13">
        <f>LAVORAZIONI!T478</f>
        <v/>
      </c>
      <c r="O85" s="7">
        <f>LAVORAZIONI!U478</f>
        <v/>
      </c>
      <c r="P85" s="45">
        <f>LAVORAZIONI!V478</f>
        <v/>
      </c>
      <c r="Q85" s="7">
        <f>LAVORAZIONI!W478</f>
        <v/>
      </c>
      <c r="R85" s="6">
        <f>LAVORAZIONI!X478</f>
        <v/>
      </c>
      <c r="S85" s="7">
        <f>LAVORAZIONI!Y478</f>
        <v/>
      </c>
      <c r="T85" s="6">
        <f>LAVORAZIONI!Z478</f>
        <v/>
      </c>
      <c r="U85" s="7">
        <f>LAVORAZIONI!AA478</f>
        <v/>
      </c>
      <c r="V85" s="6">
        <f>LAVORAZIONI!AB478</f>
        <v/>
      </c>
      <c r="W85" s="7">
        <f>LAVORAZIONI!AC478</f>
        <v/>
      </c>
      <c r="X85" s="6">
        <f>LAVORAZIONI!AD478</f>
        <v/>
      </c>
      <c r="Y85" s="7">
        <f>LAVORAZIONI!AE478</f>
        <v/>
      </c>
      <c r="Z85" s="6">
        <f>LAVORAZIONI!AF478</f>
        <v/>
      </c>
      <c r="AA85" s="7">
        <f>LAVORAZIONI!AG478</f>
        <v/>
      </c>
      <c r="AB85" s="6">
        <f>LAVORAZIONI!AH478</f>
        <v/>
      </c>
      <c r="AC85" s="7">
        <f>LAVORAZIONI!AI478</f>
        <v/>
      </c>
      <c r="AD85" s="13">
        <f>LAVORAZIONI!AJ478</f>
        <v/>
      </c>
    </row>
    <row r="86" ht="64" customHeight="1" s="46">
      <c r="B86" s="4">
        <f>LAVORAZIONI!G479</f>
        <v/>
      </c>
      <c r="C86" s="3">
        <f>LAVORAZIONI!A479</f>
        <v/>
      </c>
      <c r="D86" s="3">
        <f>LAVORAZIONI!K479</f>
        <v/>
      </c>
      <c r="E86" s="4">
        <f>LAVORAZIONI!H479</f>
        <v/>
      </c>
      <c r="F86" s="4">
        <f>LAVORAZIONI!M479</f>
        <v/>
      </c>
      <c r="G86" s="5">
        <f>LAVORAZIONI!N479</f>
        <v/>
      </c>
      <c r="H86" s="6">
        <f>LAVORAZIONI!O479</f>
        <v/>
      </c>
      <c r="I86" s="13">
        <f>LAVORAZIONI!P479</f>
        <v/>
      </c>
      <c r="J86" s="5">
        <f>IF(LAVORAZIONI!Q479="","",LAVORAZIONI!Q479)</f>
        <v/>
      </c>
      <c r="K86" s="6">
        <f>IF(LAVORAZIONI!R479="","",LAVORAZIONI!R479)</f>
        <v/>
      </c>
      <c r="L86" s="13">
        <f>IF(LAVORAZIONI!S479="","",LAVORAZIONI!S479)</f>
        <v/>
      </c>
      <c r="M86" s="13">
        <f>LAVORAZIONI!T479</f>
        <v/>
      </c>
      <c r="O86" s="7">
        <f>LAVORAZIONI!U479</f>
        <v/>
      </c>
      <c r="P86" s="45">
        <f>LAVORAZIONI!V479</f>
        <v/>
      </c>
      <c r="Q86" s="7">
        <f>LAVORAZIONI!W479</f>
        <v/>
      </c>
      <c r="R86" s="6">
        <f>LAVORAZIONI!X479</f>
        <v/>
      </c>
      <c r="S86" s="7">
        <f>LAVORAZIONI!Y479</f>
        <v/>
      </c>
      <c r="T86" s="6">
        <f>LAVORAZIONI!Z479</f>
        <v/>
      </c>
      <c r="U86" s="7">
        <f>LAVORAZIONI!AA479</f>
        <v/>
      </c>
      <c r="V86" s="6">
        <f>LAVORAZIONI!AB479</f>
        <v/>
      </c>
      <c r="W86" s="7">
        <f>LAVORAZIONI!AC479</f>
        <v/>
      </c>
      <c r="X86" s="6">
        <f>LAVORAZIONI!AD479</f>
        <v/>
      </c>
      <c r="Y86" s="7">
        <f>LAVORAZIONI!AE479</f>
        <v/>
      </c>
      <c r="Z86" s="6">
        <f>LAVORAZIONI!AF479</f>
        <v/>
      </c>
      <c r="AA86" s="7">
        <f>LAVORAZIONI!AG479</f>
        <v/>
      </c>
      <c r="AB86" s="6">
        <f>LAVORAZIONI!AH479</f>
        <v/>
      </c>
      <c r="AC86" s="7">
        <f>LAVORAZIONI!AI479</f>
        <v/>
      </c>
      <c r="AD86" s="13">
        <f>LAVORAZIONI!AJ479</f>
        <v/>
      </c>
    </row>
    <row r="87" ht="64" customHeight="1" s="46">
      <c r="B87" s="4">
        <f>LAVORAZIONI!G480</f>
        <v/>
      </c>
      <c r="C87" s="3">
        <f>LAVORAZIONI!A480</f>
        <v/>
      </c>
      <c r="D87" s="3">
        <f>LAVORAZIONI!K480</f>
        <v/>
      </c>
      <c r="E87" s="4">
        <f>LAVORAZIONI!H480</f>
        <v/>
      </c>
      <c r="F87" s="4">
        <f>LAVORAZIONI!M480</f>
        <v/>
      </c>
      <c r="G87" s="5">
        <f>LAVORAZIONI!N480</f>
        <v/>
      </c>
      <c r="H87" s="6">
        <f>LAVORAZIONI!O480</f>
        <v/>
      </c>
      <c r="I87" s="13">
        <f>LAVORAZIONI!P480</f>
        <v/>
      </c>
      <c r="J87" s="5">
        <f>IF(LAVORAZIONI!Q480="","",LAVORAZIONI!Q480)</f>
        <v/>
      </c>
      <c r="K87" s="6">
        <f>IF(LAVORAZIONI!R480="","",LAVORAZIONI!R480)</f>
        <v/>
      </c>
      <c r="L87" s="13">
        <f>IF(LAVORAZIONI!S480="","",LAVORAZIONI!S480)</f>
        <v/>
      </c>
      <c r="M87" s="13">
        <f>LAVORAZIONI!T480</f>
        <v/>
      </c>
      <c r="O87" s="7">
        <f>LAVORAZIONI!U480</f>
        <v/>
      </c>
      <c r="P87" s="45">
        <f>LAVORAZIONI!V480</f>
        <v/>
      </c>
      <c r="Q87" s="7">
        <f>LAVORAZIONI!W480</f>
        <v/>
      </c>
      <c r="R87" s="6">
        <f>LAVORAZIONI!X480</f>
        <v/>
      </c>
      <c r="S87" s="7">
        <f>LAVORAZIONI!Y480</f>
        <v/>
      </c>
      <c r="T87" s="6">
        <f>LAVORAZIONI!Z480</f>
        <v/>
      </c>
      <c r="U87" s="7">
        <f>LAVORAZIONI!AA480</f>
        <v/>
      </c>
      <c r="V87" s="6">
        <f>LAVORAZIONI!AB480</f>
        <v/>
      </c>
      <c r="W87" s="7">
        <f>LAVORAZIONI!AC480</f>
        <v/>
      </c>
      <c r="X87" s="6">
        <f>LAVORAZIONI!AD480</f>
        <v/>
      </c>
      <c r="Y87" s="7">
        <f>LAVORAZIONI!AE480</f>
        <v/>
      </c>
      <c r="Z87" s="6">
        <f>LAVORAZIONI!AF480</f>
        <v/>
      </c>
      <c r="AA87" s="7">
        <f>LAVORAZIONI!AG480</f>
        <v/>
      </c>
      <c r="AB87" s="6">
        <f>LAVORAZIONI!AH480</f>
        <v/>
      </c>
      <c r="AC87" s="7">
        <f>LAVORAZIONI!AI480</f>
        <v/>
      </c>
      <c r="AD87" s="13">
        <f>LAVORAZIONI!AJ480</f>
        <v/>
      </c>
    </row>
    <row r="88" ht="64" customHeight="1" s="46">
      <c r="B88" s="4">
        <f>LAVORAZIONI!G481</f>
        <v/>
      </c>
      <c r="C88" s="3">
        <f>LAVORAZIONI!A481</f>
        <v/>
      </c>
      <c r="D88" s="3">
        <f>LAVORAZIONI!K481</f>
        <v/>
      </c>
      <c r="E88" s="4">
        <f>LAVORAZIONI!H481</f>
        <v/>
      </c>
      <c r="F88" s="4">
        <f>LAVORAZIONI!M481</f>
        <v/>
      </c>
      <c r="G88" s="5">
        <f>LAVORAZIONI!N481</f>
        <v/>
      </c>
      <c r="H88" s="6">
        <f>LAVORAZIONI!O481</f>
        <v/>
      </c>
      <c r="I88" s="13">
        <f>LAVORAZIONI!P481</f>
        <v/>
      </c>
      <c r="J88" s="5">
        <f>IF(LAVORAZIONI!Q481="","",LAVORAZIONI!Q481)</f>
        <v/>
      </c>
      <c r="K88" s="6">
        <f>IF(LAVORAZIONI!R481="","",LAVORAZIONI!R481)</f>
        <v/>
      </c>
      <c r="L88" s="13">
        <f>IF(LAVORAZIONI!S481="","",LAVORAZIONI!S481)</f>
        <v/>
      </c>
      <c r="M88" s="13">
        <f>LAVORAZIONI!T481</f>
        <v/>
      </c>
      <c r="O88" s="7">
        <f>LAVORAZIONI!U481</f>
        <v/>
      </c>
      <c r="P88" s="45">
        <f>LAVORAZIONI!V481</f>
        <v/>
      </c>
      <c r="Q88" s="7">
        <f>LAVORAZIONI!W481</f>
        <v/>
      </c>
      <c r="R88" s="6">
        <f>LAVORAZIONI!X481</f>
        <v/>
      </c>
      <c r="S88" s="7">
        <f>LAVORAZIONI!Y481</f>
        <v/>
      </c>
      <c r="T88" s="6">
        <f>LAVORAZIONI!Z481</f>
        <v/>
      </c>
      <c r="U88" s="7">
        <f>LAVORAZIONI!AA481</f>
        <v/>
      </c>
      <c r="V88" s="6">
        <f>LAVORAZIONI!AB481</f>
        <v/>
      </c>
      <c r="W88" s="7">
        <f>LAVORAZIONI!AC481</f>
        <v/>
      </c>
      <c r="X88" s="6">
        <f>LAVORAZIONI!AD481</f>
        <v/>
      </c>
      <c r="Y88" s="7">
        <f>LAVORAZIONI!AE481</f>
        <v/>
      </c>
      <c r="Z88" s="6">
        <f>LAVORAZIONI!AF481</f>
        <v/>
      </c>
      <c r="AA88" s="7">
        <f>LAVORAZIONI!AG481</f>
        <v/>
      </c>
      <c r="AB88" s="6">
        <f>LAVORAZIONI!AH481</f>
        <v/>
      </c>
      <c r="AC88" s="7">
        <f>LAVORAZIONI!AI481</f>
        <v/>
      </c>
      <c r="AD88" s="13">
        <f>LAVORAZIONI!AJ481</f>
        <v/>
      </c>
    </row>
    <row r="89" ht="64" customHeight="1" s="46">
      <c r="B89" s="4">
        <f>LAVORAZIONI!G482</f>
        <v/>
      </c>
      <c r="C89" s="3">
        <f>LAVORAZIONI!A482</f>
        <v/>
      </c>
      <c r="D89" s="3">
        <f>LAVORAZIONI!K482</f>
        <v/>
      </c>
      <c r="E89" s="4">
        <f>LAVORAZIONI!H482</f>
        <v/>
      </c>
      <c r="F89" s="4">
        <f>LAVORAZIONI!M482</f>
        <v/>
      </c>
      <c r="G89" s="5">
        <f>LAVORAZIONI!N482</f>
        <v/>
      </c>
      <c r="H89" s="6">
        <f>LAVORAZIONI!O482</f>
        <v/>
      </c>
      <c r="I89" s="13">
        <f>LAVORAZIONI!P482</f>
        <v/>
      </c>
      <c r="J89" s="5">
        <f>IF(LAVORAZIONI!Q482="","",LAVORAZIONI!Q482)</f>
        <v/>
      </c>
      <c r="K89" s="6">
        <f>IF(LAVORAZIONI!R482="","",LAVORAZIONI!R482)</f>
        <v/>
      </c>
      <c r="L89" s="13">
        <f>IF(LAVORAZIONI!S482="","",LAVORAZIONI!S482)</f>
        <v/>
      </c>
      <c r="M89" s="13">
        <f>LAVORAZIONI!T482</f>
        <v/>
      </c>
      <c r="O89" s="7">
        <f>LAVORAZIONI!U482</f>
        <v/>
      </c>
      <c r="P89" s="45">
        <f>LAVORAZIONI!V482</f>
        <v/>
      </c>
      <c r="Q89" s="7">
        <f>LAVORAZIONI!W482</f>
        <v/>
      </c>
      <c r="R89" s="6">
        <f>LAVORAZIONI!X482</f>
        <v/>
      </c>
      <c r="S89" s="7">
        <f>LAVORAZIONI!Y482</f>
        <v/>
      </c>
      <c r="T89" s="6">
        <f>LAVORAZIONI!Z482</f>
        <v/>
      </c>
      <c r="U89" s="7">
        <f>LAVORAZIONI!AA482</f>
        <v/>
      </c>
      <c r="V89" s="6">
        <f>LAVORAZIONI!AB482</f>
        <v/>
      </c>
      <c r="W89" s="7">
        <f>LAVORAZIONI!AC482</f>
        <v/>
      </c>
      <c r="X89" s="6">
        <f>LAVORAZIONI!AD482</f>
        <v/>
      </c>
      <c r="Y89" s="7">
        <f>LAVORAZIONI!AE482</f>
        <v/>
      </c>
      <c r="Z89" s="6">
        <f>LAVORAZIONI!AF482</f>
        <v/>
      </c>
      <c r="AA89" s="7">
        <f>LAVORAZIONI!AG482</f>
        <v/>
      </c>
      <c r="AB89" s="6">
        <f>LAVORAZIONI!AH482</f>
        <v/>
      </c>
      <c r="AC89" s="7">
        <f>LAVORAZIONI!AI482</f>
        <v/>
      </c>
      <c r="AD89" s="13">
        <f>LAVORAZIONI!AJ482</f>
        <v/>
      </c>
    </row>
    <row r="90" ht="64" customHeight="1" s="46">
      <c r="B90" s="4">
        <f>LAVORAZIONI!G483</f>
        <v/>
      </c>
      <c r="C90" s="3">
        <f>LAVORAZIONI!A483</f>
        <v/>
      </c>
      <c r="D90" s="3">
        <f>LAVORAZIONI!K483</f>
        <v/>
      </c>
      <c r="E90" s="4">
        <f>LAVORAZIONI!H483</f>
        <v/>
      </c>
      <c r="F90" s="4">
        <f>LAVORAZIONI!M483</f>
        <v/>
      </c>
      <c r="G90" s="5">
        <f>LAVORAZIONI!N483</f>
        <v/>
      </c>
      <c r="H90" s="6">
        <f>LAVORAZIONI!O483</f>
        <v/>
      </c>
      <c r="I90" s="13">
        <f>LAVORAZIONI!P483</f>
        <v/>
      </c>
      <c r="J90" s="5">
        <f>IF(LAVORAZIONI!Q483="","",LAVORAZIONI!Q483)</f>
        <v/>
      </c>
      <c r="K90" s="6">
        <f>IF(LAVORAZIONI!R483="","",LAVORAZIONI!R483)</f>
        <v/>
      </c>
      <c r="L90" s="13">
        <f>IF(LAVORAZIONI!S483="","",LAVORAZIONI!S483)</f>
        <v/>
      </c>
      <c r="M90" s="13">
        <f>LAVORAZIONI!T483</f>
        <v/>
      </c>
      <c r="O90" s="7">
        <f>LAVORAZIONI!U483</f>
        <v/>
      </c>
      <c r="P90" s="45">
        <f>LAVORAZIONI!V483</f>
        <v/>
      </c>
      <c r="Q90" s="7">
        <f>LAVORAZIONI!W483</f>
        <v/>
      </c>
      <c r="R90" s="6">
        <f>LAVORAZIONI!X483</f>
        <v/>
      </c>
      <c r="S90" s="7">
        <f>LAVORAZIONI!Y483</f>
        <v/>
      </c>
      <c r="T90" s="6">
        <f>LAVORAZIONI!Z483</f>
        <v/>
      </c>
      <c r="U90" s="7">
        <f>LAVORAZIONI!AA483</f>
        <v/>
      </c>
      <c r="V90" s="6">
        <f>LAVORAZIONI!AB483</f>
        <v/>
      </c>
      <c r="W90" s="7">
        <f>LAVORAZIONI!AC483</f>
        <v/>
      </c>
      <c r="X90" s="6">
        <f>LAVORAZIONI!AD483</f>
        <v/>
      </c>
      <c r="Y90" s="7">
        <f>LAVORAZIONI!AE483</f>
        <v/>
      </c>
      <c r="Z90" s="6">
        <f>LAVORAZIONI!AF483</f>
        <v/>
      </c>
      <c r="AA90" s="7">
        <f>LAVORAZIONI!AG483</f>
        <v/>
      </c>
      <c r="AB90" s="6">
        <f>LAVORAZIONI!AH483</f>
        <v/>
      </c>
      <c r="AC90" s="7">
        <f>LAVORAZIONI!AI483</f>
        <v/>
      </c>
      <c r="AD90" s="13">
        <f>LAVORAZIONI!AJ483</f>
        <v/>
      </c>
    </row>
    <row r="91" ht="64" customHeight="1" s="46">
      <c r="B91" s="4">
        <f>LAVORAZIONI!G484</f>
        <v/>
      </c>
      <c r="C91" s="3">
        <f>LAVORAZIONI!A484</f>
        <v/>
      </c>
      <c r="D91" s="3">
        <f>LAVORAZIONI!K484</f>
        <v/>
      </c>
      <c r="E91" s="4">
        <f>LAVORAZIONI!H484</f>
        <v/>
      </c>
      <c r="F91" s="4">
        <f>LAVORAZIONI!M484</f>
        <v/>
      </c>
      <c r="G91" s="5">
        <f>LAVORAZIONI!N484</f>
        <v/>
      </c>
      <c r="H91" s="6">
        <f>LAVORAZIONI!O484</f>
        <v/>
      </c>
      <c r="I91" s="13">
        <f>LAVORAZIONI!P484</f>
        <v/>
      </c>
      <c r="J91" s="5">
        <f>IF(LAVORAZIONI!Q484="","",LAVORAZIONI!Q484)</f>
        <v/>
      </c>
      <c r="K91" s="6">
        <f>IF(LAVORAZIONI!R484="","",LAVORAZIONI!R484)</f>
        <v/>
      </c>
      <c r="L91" s="13">
        <f>IF(LAVORAZIONI!S484="","",LAVORAZIONI!S484)</f>
        <v/>
      </c>
      <c r="M91" s="13">
        <f>LAVORAZIONI!T484</f>
        <v/>
      </c>
      <c r="O91" s="7">
        <f>LAVORAZIONI!U484</f>
        <v/>
      </c>
      <c r="P91" s="45">
        <f>LAVORAZIONI!V484</f>
        <v/>
      </c>
      <c r="Q91" s="7">
        <f>LAVORAZIONI!W484</f>
        <v/>
      </c>
      <c r="R91" s="6">
        <f>LAVORAZIONI!X484</f>
        <v/>
      </c>
      <c r="S91" s="7">
        <f>LAVORAZIONI!Y484</f>
        <v/>
      </c>
      <c r="T91" s="6">
        <f>LAVORAZIONI!Z484</f>
        <v/>
      </c>
      <c r="U91" s="7">
        <f>LAVORAZIONI!AA484</f>
        <v/>
      </c>
      <c r="V91" s="6">
        <f>LAVORAZIONI!AB484</f>
        <v/>
      </c>
      <c r="W91" s="7">
        <f>LAVORAZIONI!AC484</f>
        <v/>
      </c>
      <c r="X91" s="6">
        <f>LAVORAZIONI!AD484</f>
        <v/>
      </c>
      <c r="Y91" s="7">
        <f>LAVORAZIONI!AE484</f>
        <v/>
      </c>
      <c r="Z91" s="6">
        <f>LAVORAZIONI!AF484</f>
        <v/>
      </c>
      <c r="AA91" s="7">
        <f>LAVORAZIONI!AG484</f>
        <v/>
      </c>
      <c r="AB91" s="6">
        <f>LAVORAZIONI!AH484</f>
        <v/>
      </c>
      <c r="AC91" s="7">
        <f>LAVORAZIONI!AI484</f>
        <v/>
      </c>
      <c r="AD91" s="13">
        <f>LAVORAZIONI!AJ484</f>
        <v/>
      </c>
    </row>
    <row r="92" ht="64" customHeight="1" s="46">
      <c r="B92" s="4">
        <f>LAVORAZIONI!G485</f>
        <v/>
      </c>
      <c r="C92" s="3">
        <f>LAVORAZIONI!A485</f>
        <v/>
      </c>
      <c r="D92" s="3">
        <f>LAVORAZIONI!K485</f>
        <v/>
      </c>
      <c r="E92" s="4">
        <f>LAVORAZIONI!H485</f>
        <v/>
      </c>
      <c r="F92" s="4">
        <f>LAVORAZIONI!M485</f>
        <v/>
      </c>
      <c r="G92" s="5">
        <f>LAVORAZIONI!N485</f>
        <v/>
      </c>
      <c r="H92" s="6">
        <f>LAVORAZIONI!O485</f>
        <v/>
      </c>
      <c r="I92" s="13">
        <f>LAVORAZIONI!P485</f>
        <v/>
      </c>
      <c r="J92" s="5">
        <f>IF(LAVORAZIONI!Q485="","",LAVORAZIONI!Q485)</f>
        <v/>
      </c>
      <c r="K92" s="6">
        <f>IF(LAVORAZIONI!R485="","",LAVORAZIONI!R485)</f>
        <v/>
      </c>
      <c r="L92" s="13">
        <f>IF(LAVORAZIONI!S485="","",LAVORAZIONI!S485)</f>
        <v/>
      </c>
      <c r="M92" s="13">
        <f>LAVORAZIONI!T485</f>
        <v/>
      </c>
      <c r="O92" s="7">
        <f>LAVORAZIONI!U485</f>
        <v/>
      </c>
      <c r="P92" s="45">
        <f>LAVORAZIONI!V485</f>
        <v/>
      </c>
      <c r="Q92" s="7">
        <f>LAVORAZIONI!W485</f>
        <v/>
      </c>
      <c r="R92" s="6">
        <f>LAVORAZIONI!X485</f>
        <v/>
      </c>
      <c r="S92" s="7">
        <f>LAVORAZIONI!Y485</f>
        <v/>
      </c>
      <c r="T92" s="6">
        <f>LAVORAZIONI!Z485</f>
        <v/>
      </c>
      <c r="U92" s="7">
        <f>LAVORAZIONI!AA485</f>
        <v/>
      </c>
      <c r="V92" s="6">
        <f>LAVORAZIONI!AB485</f>
        <v/>
      </c>
      <c r="W92" s="7">
        <f>LAVORAZIONI!AC485</f>
        <v/>
      </c>
      <c r="X92" s="6">
        <f>LAVORAZIONI!AD485</f>
        <v/>
      </c>
      <c r="Y92" s="7">
        <f>LAVORAZIONI!AE485</f>
        <v/>
      </c>
      <c r="Z92" s="6">
        <f>LAVORAZIONI!AF485</f>
        <v/>
      </c>
      <c r="AA92" s="7">
        <f>LAVORAZIONI!AG485</f>
        <v/>
      </c>
      <c r="AB92" s="6">
        <f>LAVORAZIONI!AH485</f>
        <v/>
      </c>
      <c r="AC92" s="7">
        <f>LAVORAZIONI!AI485</f>
        <v/>
      </c>
      <c r="AD92" s="13">
        <f>LAVORAZIONI!AJ485</f>
        <v/>
      </c>
    </row>
    <row r="93" ht="64" customHeight="1" s="46">
      <c r="B93" s="4">
        <f>LAVORAZIONI!G486</f>
        <v/>
      </c>
      <c r="C93" s="3">
        <f>LAVORAZIONI!A486</f>
        <v/>
      </c>
      <c r="D93" s="3">
        <f>LAVORAZIONI!K486</f>
        <v/>
      </c>
      <c r="E93" s="4">
        <f>LAVORAZIONI!H486</f>
        <v/>
      </c>
      <c r="F93" s="4">
        <f>LAVORAZIONI!M486</f>
        <v/>
      </c>
      <c r="G93" s="5">
        <f>LAVORAZIONI!N486</f>
        <v/>
      </c>
      <c r="H93" s="6">
        <f>LAVORAZIONI!O486</f>
        <v/>
      </c>
      <c r="I93" s="13">
        <f>LAVORAZIONI!P486</f>
        <v/>
      </c>
      <c r="J93" s="5">
        <f>IF(LAVORAZIONI!Q486="","",LAVORAZIONI!Q486)</f>
        <v/>
      </c>
      <c r="K93" s="6">
        <f>IF(LAVORAZIONI!R486="","",LAVORAZIONI!R486)</f>
        <v/>
      </c>
      <c r="L93" s="13">
        <f>IF(LAVORAZIONI!S486="","",LAVORAZIONI!S486)</f>
        <v/>
      </c>
      <c r="M93" s="13">
        <f>LAVORAZIONI!T486</f>
        <v/>
      </c>
      <c r="O93" s="7">
        <f>LAVORAZIONI!U486</f>
        <v/>
      </c>
      <c r="P93" s="45">
        <f>LAVORAZIONI!V486</f>
        <v/>
      </c>
      <c r="Q93" s="7">
        <f>LAVORAZIONI!W486</f>
        <v/>
      </c>
      <c r="R93" s="6">
        <f>LAVORAZIONI!X486</f>
        <v/>
      </c>
      <c r="S93" s="7">
        <f>LAVORAZIONI!Y486</f>
        <v/>
      </c>
      <c r="T93" s="6">
        <f>LAVORAZIONI!Z486</f>
        <v/>
      </c>
      <c r="U93" s="7">
        <f>LAVORAZIONI!AA486</f>
        <v/>
      </c>
      <c r="V93" s="6">
        <f>LAVORAZIONI!AB486</f>
        <v/>
      </c>
      <c r="W93" s="7">
        <f>LAVORAZIONI!AC486</f>
        <v/>
      </c>
      <c r="X93" s="6">
        <f>LAVORAZIONI!AD486</f>
        <v/>
      </c>
      <c r="Y93" s="7">
        <f>LAVORAZIONI!AE486</f>
        <v/>
      </c>
      <c r="Z93" s="6">
        <f>LAVORAZIONI!AF486</f>
        <v/>
      </c>
      <c r="AA93" s="7">
        <f>LAVORAZIONI!AG486</f>
        <v/>
      </c>
      <c r="AB93" s="6">
        <f>LAVORAZIONI!AH486</f>
        <v/>
      </c>
      <c r="AC93" s="7">
        <f>LAVORAZIONI!AI486</f>
        <v/>
      </c>
      <c r="AD93" s="13">
        <f>LAVORAZIONI!AJ486</f>
        <v/>
      </c>
    </row>
    <row r="94" ht="64" customHeight="1" s="46">
      <c r="B94" s="4">
        <f>LAVORAZIONI!G487</f>
        <v/>
      </c>
      <c r="C94" s="3">
        <f>LAVORAZIONI!A487</f>
        <v/>
      </c>
      <c r="D94" s="3">
        <f>LAVORAZIONI!K487</f>
        <v/>
      </c>
      <c r="E94" s="4">
        <f>LAVORAZIONI!H487</f>
        <v/>
      </c>
      <c r="F94" s="4">
        <f>LAVORAZIONI!M487</f>
        <v/>
      </c>
      <c r="G94" s="5">
        <f>LAVORAZIONI!N487</f>
        <v/>
      </c>
      <c r="H94" s="6">
        <f>LAVORAZIONI!O487</f>
        <v/>
      </c>
      <c r="I94" s="13">
        <f>LAVORAZIONI!P487</f>
        <v/>
      </c>
      <c r="J94" s="5">
        <f>IF(LAVORAZIONI!Q487="","",LAVORAZIONI!Q487)</f>
        <v/>
      </c>
      <c r="K94" s="6">
        <f>IF(LAVORAZIONI!R487="","",LAVORAZIONI!R487)</f>
        <v/>
      </c>
      <c r="L94" s="13">
        <f>IF(LAVORAZIONI!S487="","",LAVORAZIONI!S487)</f>
        <v/>
      </c>
      <c r="M94" s="13">
        <f>LAVORAZIONI!T487</f>
        <v/>
      </c>
      <c r="O94" s="7">
        <f>LAVORAZIONI!U487</f>
        <v/>
      </c>
      <c r="P94" s="45">
        <f>LAVORAZIONI!V487</f>
        <v/>
      </c>
      <c r="Q94" s="7">
        <f>LAVORAZIONI!W487</f>
        <v/>
      </c>
      <c r="R94" s="6">
        <f>LAVORAZIONI!X487</f>
        <v/>
      </c>
      <c r="S94" s="7">
        <f>LAVORAZIONI!Y487</f>
        <v/>
      </c>
      <c r="T94" s="6">
        <f>LAVORAZIONI!Z487</f>
        <v/>
      </c>
      <c r="U94" s="7">
        <f>LAVORAZIONI!AA487</f>
        <v/>
      </c>
      <c r="V94" s="6">
        <f>LAVORAZIONI!AB487</f>
        <v/>
      </c>
      <c r="W94" s="7">
        <f>LAVORAZIONI!AC487</f>
        <v/>
      </c>
      <c r="X94" s="6">
        <f>LAVORAZIONI!AD487</f>
        <v/>
      </c>
      <c r="Y94" s="7">
        <f>LAVORAZIONI!AE487</f>
        <v/>
      </c>
      <c r="Z94" s="6">
        <f>LAVORAZIONI!AF487</f>
        <v/>
      </c>
      <c r="AA94" s="7">
        <f>LAVORAZIONI!AG487</f>
        <v/>
      </c>
      <c r="AB94" s="6">
        <f>LAVORAZIONI!AH487</f>
        <v/>
      </c>
      <c r="AC94" s="7">
        <f>LAVORAZIONI!AI487</f>
        <v/>
      </c>
      <c r="AD94" s="13">
        <f>LAVORAZIONI!AJ487</f>
        <v/>
      </c>
    </row>
    <row r="95" ht="64" customHeight="1" s="46">
      <c r="B95" s="4">
        <f>LAVORAZIONI!G488</f>
        <v/>
      </c>
      <c r="C95" s="3">
        <f>LAVORAZIONI!A488</f>
        <v/>
      </c>
      <c r="D95" s="3">
        <f>LAVORAZIONI!K488</f>
        <v/>
      </c>
      <c r="E95" s="4">
        <f>LAVORAZIONI!H488</f>
        <v/>
      </c>
      <c r="F95" s="4">
        <f>LAVORAZIONI!M488</f>
        <v/>
      </c>
      <c r="G95" s="5">
        <f>LAVORAZIONI!N488</f>
        <v/>
      </c>
      <c r="H95" s="6">
        <f>LAVORAZIONI!O488</f>
        <v/>
      </c>
      <c r="I95" s="13">
        <f>LAVORAZIONI!P488</f>
        <v/>
      </c>
      <c r="J95" s="5">
        <f>IF(LAVORAZIONI!Q488="","",LAVORAZIONI!Q488)</f>
        <v/>
      </c>
      <c r="K95" s="6">
        <f>IF(LAVORAZIONI!R488="","",LAVORAZIONI!R488)</f>
        <v/>
      </c>
      <c r="L95" s="13">
        <f>IF(LAVORAZIONI!S488="","",LAVORAZIONI!S488)</f>
        <v/>
      </c>
      <c r="M95" s="13">
        <f>LAVORAZIONI!T488</f>
        <v/>
      </c>
      <c r="O95" s="7">
        <f>LAVORAZIONI!U488</f>
        <v/>
      </c>
      <c r="P95" s="45">
        <f>LAVORAZIONI!V488</f>
        <v/>
      </c>
      <c r="Q95" s="7">
        <f>LAVORAZIONI!W488</f>
        <v/>
      </c>
      <c r="R95" s="6">
        <f>LAVORAZIONI!X488</f>
        <v/>
      </c>
      <c r="S95" s="7">
        <f>LAVORAZIONI!Y488</f>
        <v/>
      </c>
      <c r="T95" s="6">
        <f>LAVORAZIONI!Z488</f>
        <v/>
      </c>
      <c r="U95" s="7">
        <f>LAVORAZIONI!AA488</f>
        <v/>
      </c>
      <c r="V95" s="6">
        <f>LAVORAZIONI!AB488</f>
        <v/>
      </c>
      <c r="W95" s="7">
        <f>LAVORAZIONI!AC488</f>
        <v/>
      </c>
      <c r="X95" s="6">
        <f>LAVORAZIONI!AD488</f>
        <v/>
      </c>
      <c r="Y95" s="7">
        <f>LAVORAZIONI!AE488</f>
        <v/>
      </c>
      <c r="Z95" s="6">
        <f>LAVORAZIONI!AF488</f>
        <v/>
      </c>
      <c r="AA95" s="7">
        <f>LAVORAZIONI!AG488</f>
        <v/>
      </c>
      <c r="AB95" s="6">
        <f>LAVORAZIONI!AH488</f>
        <v/>
      </c>
      <c r="AC95" s="7">
        <f>LAVORAZIONI!AI488</f>
        <v/>
      </c>
      <c r="AD95" s="13">
        <f>LAVORAZIONI!AJ488</f>
        <v/>
      </c>
    </row>
    <row r="96" ht="64" customHeight="1" s="46">
      <c r="B96" s="4">
        <f>LAVORAZIONI!G489</f>
        <v/>
      </c>
      <c r="C96" s="3">
        <f>LAVORAZIONI!A489</f>
        <v/>
      </c>
      <c r="D96" s="3">
        <f>LAVORAZIONI!K489</f>
        <v/>
      </c>
      <c r="E96" s="4">
        <f>LAVORAZIONI!H489</f>
        <v/>
      </c>
      <c r="F96" s="4">
        <f>LAVORAZIONI!M489</f>
        <v/>
      </c>
      <c r="G96" s="5">
        <f>LAVORAZIONI!N489</f>
        <v/>
      </c>
      <c r="H96" s="6">
        <f>LAVORAZIONI!O489</f>
        <v/>
      </c>
      <c r="I96" s="13">
        <f>LAVORAZIONI!P489</f>
        <v/>
      </c>
      <c r="J96" s="5">
        <f>IF(LAVORAZIONI!Q489="","",LAVORAZIONI!Q489)</f>
        <v/>
      </c>
      <c r="K96" s="6">
        <f>IF(LAVORAZIONI!R489="","",LAVORAZIONI!R489)</f>
        <v/>
      </c>
      <c r="L96" s="13">
        <f>IF(LAVORAZIONI!S489="","",LAVORAZIONI!S489)</f>
        <v/>
      </c>
      <c r="M96" s="13">
        <f>LAVORAZIONI!T489</f>
        <v/>
      </c>
      <c r="O96" s="7">
        <f>LAVORAZIONI!U489</f>
        <v/>
      </c>
      <c r="P96" s="45">
        <f>LAVORAZIONI!V489</f>
        <v/>
      </c>
      <c r="Q96" s="7">
        <f>LAVORAZIONI!W489</f>
        <v/>
      </c>
      <c r="R96" s="6">
        <f>LAVORAZIONI!X489</f>
        <v/>
      </c>
      <c r="S96" s="7">
        <f>LAVORAZIONI!Y489</f>
        <v/>
      </c>
      <c r="T96" s="6">
        <f>LAVORAZIONI!Z489</f>
        <v/>
      </c>
      <c r="U96" s="7">
        <f>LAVORAZIONI!AA489</f>
        <v/>
      </c>
      <c r="V96" s="6">
        <f>LAVORAZIONI!AB489</f>
        <v/>
      </c>
      <c r="W96" s="7">
        <f>LAVORAZIONI!AC489</f>
        <v/>
      </c>
      <c r="X96" s="6">
        <f>LAVORAZIONI!AD489</f>
        <v/>
      </c>
      <c r="Y96" s="7">
        <f>LAVORAZIONI!AE489</f>
        <v/>
      </c>
      <c r="Z96" s="6">
        <f>LAVORAZIONI!AF489</f>
        <v/>
      </c>
      <c r="AA96" s="7">
        <f>LAVORAZIONI!AG489</f>
        <v/>
      </c>
      <c r="AB96" s="6">
        <f>LAVORAZIONI!AH489</f>
        <v/>
      </c>
      <c r="AC96" s="7">
        <f>LAVORAZIONI!AI489</f>
        <v/>
      </c>
      <c r="AD96" s="13">
        <f>LAVORAZIONI!AJ489</f>
        <v/>
      </c>
    </row>
    <row r="97" ht="64" customHeight="1" s="46">
      <c r="B97" s="4">
        <f>LAVORAZIONI!G490</f>
        <v/>
      </c>
      <c r="C97" s="3">
        <f>LAVORAZIONI!A490</f>
        <v/>
      </c>
      <c r="D97" s="3">
        <f>LAVORAZIONI!K490</f>
        <v/>
      </c>
      <c r="E97" s="4">
        <f>LAVORAZIONI!H490</f>
        <v/>
      </c>
      <c r="F97" s="4">
        <f>LAVORAZIONI!M490</f>
        <v/>
      </c>
      <c r="G97" s="5">
        <f>LAVORAZIONI!N490</f>
        <v/>
      </c>
      <c r="H97" s="6">
        <f>LAVORAZIONI!O490</f>
        <v/>
      </c>
      <c r="I97" s="13">
        <f>LAVORAZIONI!P490</f>
        <v/>
      </c>
      <c r="J97" s="5">
        <f>IF(LAVORAZIONI!Q490="","",LAVORAZIONI!Q490)</f>
        <v/>
      </c>
      <c r="K97" s="6">
        <f>IF(LAVORAZIONI!R490="","",LAVORAZIONI!R490)</f>
        <v/>
      </c>
      <c r="L97" s="13">
        <f>IF(LAVORAZIONI!S490="","",LAVORAZIONI!S490)</f>
        <v/>
      </c>
      <c r="M97" s="13">
        <f>LAVORAZIONI!T490</f>
        <v/>
      </c>
      <c r="O97" s="7">
        <f>LAVORAZIONI!U490</f>
        <v/>
      </c>
      <c r="P97" s="45">
        <f>LAVORAZIONI!V490</f>
        <v/>
      </c>
      <c r="Q97" s="7">
        <f>LAVORAZIONI!W490</f>
        <v/>
      </c>
      <c r="R97" s="6">
        <f>LAVORAZIONI!X490</f>
        <v/>
      </c>
      <c r="S97" s="7">
        <f>LAVORAZIONI!Y490</f>
        <v/>
      </c>
      <c r="T97" s="6">
        <f>LAVORAZIONI!Z490</f>
        <v/>
      </c>
      <c r="U97" s="7">
        <f>LAVORAZIONI!AA490</f>
        <v/>
      </c>
      <c r="V97" s="6">
        <f>LAVORAZIONI!AB490</f>
        <v/>
      </c>
      <c r="W97" s="7">
        <f>LAVORAZIONI!AC490</f>
        <v/>
      </c>
      <c r="X97" s="6">
        <f>LAVORAZIONI!AD490</f>
        <v/>
      </c>
      <c r="Y97" s="7">
        <f>LAVORAZIONI!AE490</f>
        <v/>
      </c>
      <c r="Z97" s="6">
        <f>LAVORAZIONI!AF490</f>
        <v/>
      </c>
      <c r="AA97" s="7">
        <f>LAVORAZIONI!AG490</f>
        <v/>
      </c>
      <c r="AB97" s="6">
        <f>LAVORAZIONI!AH490</f>
        <v/>
      </c>
      <c r="AC97" s="7">
        <f>LAVORAZIONI!AI490</f>
        <v/>
      </c>
      <c r="AD97" s="13">
        <f>LAVORAZIONI!AJ490</f>
        <v/>
      </c>
    </row>
    <row r="98" ht="64" customHeight="1" s="46">
      <c r="B98" s="4">
        <f>LAVORAZIONI!G491</f>
        <v/>
      </c>
      <c r="C98" s="3">
        <f>LAVORAZIONI!A491</f>
        <v/>
      </c>
      <c r="D98" s="3">
        <f>LAVORAZIONI!K491</f>
        <v/>
      </c>
      <c r="E98" s="4">
        <f>LAVORAZIONI!H491</f>
        <v/>
      </c>
      <c r="F98" s="4">
        <f>LAVORAZIONI!M491</f>
        <v/>
      </c>
      <c r="G98" s="5">
        <f>LAVORAZIONI!N491</f>
        <v/>
      </c>
      <c r="H98" s="6">
        <f>LAVORAZIONI!O491</f>
        <v/>
      </c>
      <c r="I98" s="13">
        <f>LAVORAZIONI!P491</f>
        <v/>
      </c>
      <c r="J98" s="5">
        <f>IF(LAVORAZIONI!Q491="","",LAVORAZIONI!Q491)</f>
        <v/>
      </c>
      <c r="K98" s="6">
        <f>IF(LAVORAZIONI!R491="","",LAVORAZIONI!R491)</f>
        <v/>
      </c>
      <c r="L98" s="13">
        <f>IF(LAVORAZIONI!S491="","",LAVORAZIONI!S491)</f>
        <v/>
      </c>
      <c r="M98" s="13">
        <f>LAVORAZIONI!T491</f>
        <v/>
      </c>
      <c r="O98" s="7">
        <f>LAVORAZIONI!U491</f>
        <v/>
      </c>
      <c r="P98" s="45">
        <f>LAVORAZIONI!V491</f>
        <v/>
      </c>
      <c r="Q98" s="7">
        <f>LAVORAZIONI!W491</f>
        <v/>
      </c>
      <c r="R98" s="6">
        <f>LAVORAZIONI!X491</f>
        <v/>
      </c>
      <c r="S98" s="7">
        <f>LAVORAZIONI!Y491</f>
        <v/>
      </c>
      <c r="T98" s="6">
        <f>LAVORAZIONI!Z491</f>
        <v/>
      </c>
      <c r="U98" s="7">
        <f>LAVORAZIONI!AA491</f>
        <v/>
      </c>
      <c r="V98" s="6">
        <f>LAVORAZIONI!AB491</f>
        <v/>
      </c>
      <c r="W98" s="7">
        <f>LAVORAZIONI!AC491</f>
        <v/>
      </c>
      <c r="X98" s="6">
        <f>LAVORAZIONI!AD491</f>
        <v/>
      </c>
      <c r="Y98" s="7">
        <f>LAVORAZIONI!AE491</f>
        <v/>
      </c>
      <c r="Z98" s="6">
        <f>LAVORAZIONI!AF491</f>
        <v/>
      </c>
      <c r="AA98" s="7">
        <f>LAVORAZIONI!AG491</f>
        <v/>
      </c>
      <c r="AB98" s="6">
        <f>LAVORAZIONI!AH491</f>
        <v/>
      </c>
      <c r="AC98" s="7">
        <f>LAVORAZIONI!AI491</f>
        <v/>
      </c>
      <c r="AD98" s="13">
        <f>LAVORAZIONI!AJ491</f>
        <v/>
      </c>
    </row>
    <row r="99" ht="64" customHeight="1" s="46">
      <c r="B99" s="4">
        <f>LAVORAZIONI!G492</f>
        <v/>
      </c>
      <c r="C99" s="3">
        <f>LAVORAZIONI!A492</f>
        <v/>
      </c>
      <c r="D99" s="3">
        <f>LAVORAZIONI!K492</f>
        <v/>
      </c>
      <c r="E99" s="4">
        <f>LAVORAZIONI!H492</f>
        <v/>
      </c>
      <c r="F99" s="4">
        <f>LAVORAZIONI!M492</f>
        <v/>
      </c>
      <c r="G99" s="5">
        <f>LAVORAZIONI!N492</f>
        <v/>
      </c>
      <c r="H99" s="6">
        <f>LAVORAZIONI!O492</f>
        <v/>
      </c>
      <c r="I99" s="13">
        <f>LAVORAZIONI!P492</f>
        <v/>
      </c>
      <c r="J99" s="5">
        <f>IF(LAVORAZIONI!Q492="","",LAVORAZIONI!Q492)</f>
        <v/>
      </c>
      <c r="K99" s="6">
        <f>IF(LAVORAZIONI!R492="","",LAVORAZIONI!R492)</f>
        <v/>
      </c>
      <c r="L99" s="13">
        <f>IF(LAVORAZIONI!S492="","",LAVORAZIONI!S492)</f>
        <v/>
      </c>
      <c r="M99" s="13">
        <f>LAVORAZIONI!T492</f>
        <v/>
      </c>
      <c r="O99" s="7">
        <f>LAVORAZIONI!U492</f>
        <v/>
      </c>
      <c r="P99" s="45">
        <f>LAVORAZIONI!V492</f>
        <v/>
      </c>
      <c r="Q99" s="7">
        <f>LAVORAZIONI!W492</f>
        <v/>
      </c>
      <c r="R99" s="6">
        <f>LAVORAZIONI!X492</f>
        <v/>
      </c>
      <c r="S99" s="7">
        <f>LAVORAZIONI!Y492</f>
        <v/>
      </c>
      <c r="T99" s="6">
        <f>LAVORAZIONI!Z492</f>
        <v/>
      </c>
      <c r="U99" s="7">
        <f>LAVORAZIONI!AA492</f>
        <v/>
      </c>
      <c r="V99" s="6">
        <f>LAVORAZIONI!AB492</f>
        <v/>
      </c>
      <c r="W99" s="7">
        <f>LAVORAZIONI!AC492</f>
        <v/>
      </c>
      <c r="X99" s="6">
        <f>LAVORAZIONI!AD492</f>
        <v/>
      </c>
      <c r="Y99" s="7">
        <f>LAVORAZIONI!AE492</f>
        <v/>
      </c>
      <c r="Z99" s="6">
        <f>LAVORAZIONI!AF492</f>
        <v/>
      </c>
      <c r="AA99" s="7">
        <f>LAVORAZIONI!AG492</f>
        <v/>
      </c>
      <c r="AB99" s="6">
        <f>LAVORAZIONI!AH492</f>
        <v/>
      </c>
      <c r="AC99" s="7">
        <f>LAVORAZIONI!AI492</f>
        <v/>
      </c>
      <c r="AD99" s="13">
        <f>LAVORAZIONI!AJ492</f>
        <v/>
      </c>
    </row>
    <row r="100" ht="64" customHeight="1" s="46">
      <c r="B100" s="4">
        <f>LAVORAZIONI!G493</f>
        <v/>
      </c>
      <c r="C100" s="3">
        <f>LAVORAZIONI!A493</f>
        <v/>
      </c>
      <c r="D100" s="3">
        <f>LAVORAZIONI!K493</f>
        <v/>
      </c>
      <c r="E100" s="4">
        <f>LAVORAZIONI!H493</f>
        <v/>
      </c>
      <c r="F100" s="4">
        <f>LAVORAZIONI!M493</f>
        <v/>
      </c>
      <c r="G100" s="5">
        <f>LAVORAZIONI!N493</f>
        <v/>
      </c>
      <c r="H100" s="6">
        <f>LAVORAZIONI!O493</f>
        <v/>
      </c>
      <c r="I100" s="13">
        <f>LAVORAZIONI!P493</f>
        <v/>
      </c>
      <c r="J100" s="5">
        <f>IF(LAVORAZIONI!Q493="","",LAVORAZIONI!Q493)</f>
        <v/>
      </c>
      <c r="K100" s="6">
        <f>IF(LAVORAZIONI!R493="","",LAVORAZIONI!R493)</f>
        <v/>
      </c>
      <c r="L100" s="13">
        <f>IF(LAVORAZIONI!S493="","",LAVORAZIONI!S493)</f>
        <v/>
      </c>
      <c r="M100" s="13">
        <f>LAVORAZIONI!T493</f>
        <v/>
      </c>
      <c r="O100" s="7">
        <f>LAVORAZIONI!U493</f>
        <v/>
      </c>
      <c r="P100" s="45">
        <f>LAVORAZIONI!V493</f>
        <v/>
      </c>
      <c r="Q100" s="7">
        <f>LAVORAZIONI!W493</f>
        <v/>
      </c>
      <c r="R100" s="6">
        <f>LAVORAZIONI!X493</f>
        <v/>
      </c>
      <c r="S100" s="7">
        <f>LAVORAZIONI!Y493</f>
        <v/>
      </c>
      <c r="T100" s="6">
        <f>LAVORAZIONI!Z493</f>
        <v/>
      </c>
      <c r="U100" s="7">
        <f>LAVORAZIONI!AA493</f>
        <v/>
      </c>
      <c r="V100" s="6">
        <f>LAVORAZIONI!AB493</f>
        <v/>
      </c>
      <c r="W100" s="7">
        <f>LAVORAZIONI!AC493</f>
        <v/>
      </c>
      <c r="X100" s="6">
        <f>LAVORAZIONI!AD493</f>
        <v/>
      </c>
      <c r="Y100" s="7">
        <f>LAVORAZIONI!AE493</f>
        <v/>
      </c>
      <c r="Z100" s="6">
        <f>LAVORAZIONI!AF493</f>
        <v/>
      </c>
      <c r="AA100" s="7">
        <f>LAVORAZIONI!AG493</f>
        <v/>
      </c>
      <c r="AB100" s="6">
        <f>LAVORAZIONI!AH493</f>
        <v/>
      </c>
      <c r="AC100" s="7">
        <f>LAVORAZIONI!AI493</f>
        <v/>
      </c>
      <c r="AD100" s="13">
        <f>LAVORAZIONI!AJ493</f>
        <v/>
      </c>
    </row>
    <row r="101" ht="64" customHeight="1" s="46">
      <c r="B101" s="4">
        <f>LAVORAZIONI!G494</f>
        <v/>
      </c>
      <c r="C101" s="3">
        <f>LAVORAZIONI!A494</f>
        <v/>
      </c>
      <c r="D101" s="3">
        <f>LAVORAZIONI!K494</f>
        <v/>
      </c>
      <c r="E101" s="4">
        <f>LAVORAZIONI!H494</f>
        <v/>
      </c>
      <c r="F101" s="4">
        <f>LAVORAZIONI!M494</f>
        <v/>
      </c>
      <c r="G101" s="5">
        <f>LAVORAZIONI!N494</f>
        <v/>
      </c>
      <c r="H101" s="6">
        <f>LAVORAZIONI!O494</f>
        <v/>
      </c>
      <c r="I101" s="13">
        <f>LAVORAZIONI!P494</f>
        <v/>
      </c>
      <c r="J101" s="5">
        <f>IF(LAVORAZIONI!Q494="","",LAVORAZIONI!Q494)</f>
        <v/>
      </c>
      <c r="K101" s="6">
        <f>IF(LAVORAZIONI!R494="","",LAVORAZIONI!R494)</f>
        <v/>
      </c>
      <c r="L101" s="13">
        <f>IF(LAVORAZIONI!S494="","",LAVORAZIONI!S494)</f>
        <v/>
      </c>
      <c r="M101" s="13">
        <f>LAVORAZIONI!T494</f>
        <v/>
      </c>
      <c r="O101" s="7">
        <f>LAVORAZIONI!U494</f>
        <v/>
      </c>
      <c r="P101" s="45">
        <f>LAVORAZIONI!V494</f>
        <v/>
      </c>
      <c r="Q101" s="7">
        <f>LAVORAZIONI!W494</f>
        <v/>
      </c>
      <c r="R101" s="6">
        <f>LAVORAZIONI!X494</f>
        <v/>
      </c>
      <c r="S101" s="7">
        <f>LAVORAZIONI!Y494</f>
        <v/>
      </c>
      <c r="T101" s="6">
        <f>LAVORAZIONI!Z494</f>
        <v/>
      </c>
      <c r="U101" s="7">
        <f>LAVORAZIONI!AA494</f>
        <v/>
      </c>
      <c r="V101" s="6">
        <f>LAVORAZIONI!AB494</f>
        <v/>
      </c>
      <c r="W101" s="7">
        <f>LAVORAZIONI!AC494</f>
        <v/>
      </c>
      <c r="X101" s="6">
        <f>LAVORAZIONI!AD494</f>
        <v/>
      </c>
      <c r="Y101" s="7">
        <f>LAVORAZIONI!AE494</f>
        <v/>
      </c>
      <c r="Z101" s="6">
        <f>LAVORAZIONI!AF494</f>
        <v/>
      </c>
      <c r="AA101" s="7">
        <f>LAVORAZIONI!AG494</f>
        <v/>
      </c>
      <c r="AB101" s="6">
        <f>LAVORAZIONI!AH494</f>
        <v/>
      </c>
      <c r="AC101" s="7">
        <f>LAVORAZIONI!AI494</f>
        <v/>
      </c>
      <c r="AD101" s="13">
        <f>LAVORAZIONI!AJ494</f>
        <v/>
      </c>
    </row>
    <row r="102" ht="64" customHeight="1" s="46">
      <c r="B102" s="4">
        <f>LAVORAZIONI!G495</f>
        <v/>
      </c>
      <c r="C102" s="3">
        <f>LAVORAZIONI!A495</f>
        <v/>
      </c>
      <c r="D102" s="3">
        <f>LAVORAZIONI!K495</f>
        <v/>
      </c>
      <c r="E102" s="4">
        <f>LAVORAZIONI!H495</f>
        <v/>
      </c>
      <c r="F102" s="4">
        <f>LAVORAZIONI!M495</f>
        <v/>
      </c>
      <c r="G102" s="5">
        <f>LAVORAZIONI!N495</f>
        <v/>
      </c>
      <c r="H102" s="6">
        <f>LAVORAZIONI!O495</f>
        <v/>
      </c>
      <c r="I102" s="13">
        <f>LAVORAZIONI!P495</f>
        <v/>
      </c>
      <c r="J102" s="5">
        <f>IF(LAVORAZIONI!Q495="","",LAVORAZIONI!Q495)</f>
        <v/>
      </c>
      <c r="K102" s="6">
        <f>IF(LAVORAZIONI!R495="","",LAVORAZIONI!R495)</f>
        <v/>
      </c>
      <c r="L102" s="13">
        <f>IF(LAVORAZIONI!S495="","",LAVORAZIONI!S495)</f>
        <v/>
      </c>
      <c r="M102" s="13">
        <f>LAVORAZIONI!T495</f>
        <v/>
      </c>
      <c r="O102" s="7">
        <f>LAVORAZIONI!U495</f>
        <v/>
      </c>
      <c r="P102" s="45">
        <f>LAVORAZIONI!V495</f>
        <v/>
      </c>
      <c r="Q102" s="7">
        <f>LAVORAZIONI!W495</f>
        <v/>
      </c>
      <c r="R102" s="6">
        <f>LAVORAZIONI!X495</f>
        <v/>
      </c>
      <c r="S102" s="7">
        <f>LAVORAZIONI!Y495</f>
        <v/>
      </c>
      <c r="T102" s="6">
        <f>LAVORAZIONI!Z495</f>
        <v/>
      </c>
      <c r="U102" s="7">
        <f>LAVORAZIONI!AA495</f>
        <v/>
      </c>
      <c r="V102" s="6">
        <f>LAVORAZIONI!AB495</f>
        <v/>
      </c>
      <c r="W102" s="7">
        <f>LAVORAZIONI!AC495</f>
        <v/>
      </c>
      <c r="X102" s="6">
        <f>LAVORAZIONI!AD495</f>
        <v/>
      </c>
      <c r="Y102" s="7">
        <f>LAVORAZIONI!AE495</f>
        <v/>
      </c>
      <c r="Z102" s="6">
        <f>LAVORAZIONI!AF495</f>
        <v/>
      </c>
      <c r="AA102" s="7">
        <f>LAVORAZIONI!AG495</f>
        <v/>
      </c>
      <c r="AB102" s="6">
        <f>LAVORAZIONI!AH495</f>
        <v/>
      </c>
      <c r="AC102" s="7">
        <f>LAVORAZIONI!AI495</f>
        <v/>
      </c>
      <c r="AD102" s="13">
        <f>LAVORAZIONI!AJ495</f>
        <v/>
      </c>
    </row>
    <row r="103" ht="64" customHeight="1" s="46">
      <c r="B103" s="4">
        <f>LAVORAZIONI!G496</f>
        <v/>
      </c>
      <c r="C103" s="3">
        <f>LAVORAZIONI!A496</f>
        <v/>
      </c>
      <c r="D103" s="3">
        <f>LAVORAZIONI!K496</f>
        <v/>
      </c>
      <c r="E103" s="4">
        <f>LAVORAZIONI!H496</f>
        <v/>
      </c>
      <c r="F103" s="4">
        <f>LAVORAZIONI!M496</f>
        <v/>
      </c>
      <c r="G103" s="5">
        <f>LAVORAZIONI!N496</f>
        <v/>
      </c>
      <c r="H103" s="6">
        <f>LAVORAZIONI!O496</f>
        <v/>
      </c>
      <c r="I103" s="13">
        <f>LAVORAZIONI!P496</f>
        <v/>
      </c>
      <c r="J103" s="5">
        <f>IF(LAVORAZIONI!Q496="","",LAVORAZIONI!Q496)</f>
        <v/>
      </c>
      <c r="K103" s="6">
        <f>IF(LAVORAZIONI!R496="","",LAVORAZIONI!R496)</f>
        <v/>
      </c>
      <c r="L103" s="13">
        <f>IF(LAVORAZIONI!S496="","",LAVORAZIONI!S496)</f>
        <v/>
      </c>
      <c r="M103" s="13">
        <f>LAVORAZIONI!T496</f>
        <v/>
      </c>
      <c r="O103" s="7">
        <f>LAVORAZIONI!U496</f>
        <v/>
      </c>
      <c r="P103" s="45">
        <f>LAVORAZIONI!V496</f>
        <v/>
      </c>
      <c r="Q103" s="7">
        <f>LAVORAZIONI!W496</f>
        <v/>
      </c>
      <c r="R103" s="6">
        <f>LAVORAZIONI!X496</f>
        <v/>
      </c>
      <c r="S103" s="7">
        <f>LAVORAZIONI!Y496</f>
        <v/>
      </c>
      <c r="T103" s="6">
        <f>LAVORAZIONI!Z496</f>
        <v/>
      </c>
      <c r="U103" s="7">
        <f>LAVORAZIONI!AA496</f>
        <v/>
      </c>
      <c r="V103" s="6">
        <f>LAVORAZIONI!AB496</f>
        <v/>
      </c>
      <c r="W103" s="7">
        <f>LAVORAZIONI!AC496</f>
        <v/>
      </c>
      <c r="X103" s="6">
        <f>LAVORAZIONI!AD496</f>
        <v/>
      </c>
      <c r="Y103" s="7">
        <f>LAVORAZIONI!AE496</f>
        <v/>
      </c>
      <c r="Z103" s="6">
        <f>LAVORAZIONI!AF496</f>
        <v/>
      </c>
      <c r="AA103" s="7">
        <f>LAVORAZIONI!AG496</f>
        <v/>
      </c>
      <c r="AB103" s="6">
        <f>LAVORAZIONI!AH496</f>
        <v/>
      </c>
      <c r="AC103" s="7">
        <f>LAVORAZIONI!AI496</f>
        <v/>
      </c>
      <c r="AD103" s="13">
        <f>LAVORAZIONI!AJ496</f>
        <v/>
      </c>
    </row>
    <row r="104" ht="64" customHeight="1" s="46">
      <c r="B104" s="4">
        <f>LAVORAZIONI!G497</f>
        <v/>
      </c>
      <c r="C104" s="3">
        <f>LAVORAZIONI!A497</f>
        <v/>
      </c>
      <c r="D104" s="3">
        <f>LAVORAZIONI!K497</f>
        <v/>
      </c>
      <c r="E104" s="4">
        <f>LAVORAZIONI!H497</f>
        <v/>
      </c>
      <c r="F104" s="4">
        <f>LAVORAZIONI!M497</f>
        <v/>
      </c>
      <c r="G104" s="5">
        <f>LAVORAZIONI!N497</f>
        <v/>
      </c>
      <c r="H104" s="6">
        <f>LAVORAZIONI!O497</f>
        <v/>
      </c>
      <c r="I104" s="13">
        <f>LAVORAZIONI!P497</f>
        <v/>
      </c>
      <c r="J104" s="5">
        <f>IF(LAVORAZIONI!Q497="","",LAVORAZIONI!Q497)</f>
        <v/>
      </c>
      <c r="K104" s="6">
        <f>IF(LAVORAZIONI!R497="","",LAVORAZIONI!R497)</f>
        <v/>
      </c>
      <c r="L104" s="13">
        <f>IF(LAVORAZIONI!S497="","",LAVORAZIONI!S497)</f>
        <v/>
      </c>
      <c r="M104" s="13">
        <f>LAVORAZIONI!T497</f>
        <v/>
      </c>
      <c r="O104" s="7">
        <f>LAVORAZIONI!U497</f>
        <v/>
      </c>
      <c r="P104" s="45">
        <f>LAVORAZIONI!V497</f>
        <v/>
      </c>
      <c r="Q104" s="7">
        <f>LAVORAZIONI!W497</f>
        <v/>
      </c>
      <c r="R104" s="6">
        <f>LAVORAZIONI!X497</f>
        <v/>
      </c>
      <c r="S104" s="7">
        <f>LAVORAZIONI!Y497</f>
        <v/>
      </c>
      <c r="T104" s="6">
        <f>LAVORAZIONI!Z497</f>
        <v/>
      </c>
      <c r="U104" s="7">
        <f>LAVORAZIONI!AA497</f>
        <v/>
      </c>
      <c r="V104" s="6">
        <f>LAVORAZIONI!AB497</f>
        <v/>
      </c>
      <c r="W104" s="7">
        <f>LAVORAZIONI!AC497</f>
        <v/>
      </c>
      <c r="X104" s="6">
        <f>LAVORAZIONI!AD497</f>
        <v/>
      </c>
      <c r="Y104" s="7">
        <f>LAVORAZIONI!AE497</f>
        <v/>
      </c>
      <c r="Z104" s="6">
        <f>LAVORAZIONI!AF497</f>
        <v/>
      </c>
      <c r="AA104" s="7">
        <f>LAVORAZIONI!AG497</f>
        <v/>
      </c>
      <c r="AB104" s="6">
        <f>LAVORAZIONI!AH497</f>
        <v/>
      </c>
      <c r="AC104" s="7">
        <f>LAVORAZIONI!AI497</f>
        <v/>
      </c>
      <c r="AD104" s="13">
        <f>LAVORAZIONI!AJ497</f>
        <v/>
      </c>
    </row>
    <row r="105" ht="64" customHeight="1" s="46">
      <c r="B105" s="4">
        <f>LAVORAZIONI!G498</f>
        <v/>
      </c>
      <c r="C105" s="3">
        <f>LAVORAZIONI!A498</f>
        <v/>
      </c>
      <c r="D105" s="3">
        <f>LAVORAZIONI!K498</f>
        <v/>
      </c>
      <c r="E105" s="4">
        <f>LAVORAZIONI!H498</f>
        <v/>
      </c>
      <c r="F105" s="4">
        <f>LAVORAZIONI!M498</f>
        <v/>
      </c>
      <c r="G105" s="5">
        <f>LAVORAZIONI!N498</f>
        <v/>
      </c>
      <c r="H105" s="6">
        <f>LAVORAZIONI!O498</f>
        <v/>
      </c>
      <c r="I105" s="13">
        <f>LAVORAZIONI!P498</f>
        <v/>
      </c>
      <c r="J105" s="5">
        <f>IF(LAVORAZIONI!Q498="","",LAVORAZIONI!Q498)</f>
        <v/>
      </c>
      <c r="K105" s="6">
        <f>IF(LAVORAZIONI!R498="","",LAVORAZIONI!R498)</f>
        <v/>
      </c>
      <c r="L105" s="13">
        <f>IF(LAVORAZIONI!S498="","",LAVORAZIONI!S498)</f>
        <v/>
      </c>
      <c r="M105" s="13">
        <f>LAVORAZIONI!T498</f>
        <v/>
      </c>
      <c r="O105" s="7">
        <f>LAVORAZIONI!U498</f>
        <v/>
      </c>
      <c r="P105" s="45">
        <f>LAVORAZIONI!V498</f>
        <v/>
      </c>
      <c r="Q105" s="7">
        <f>LAVORAZIONI!W498</f>
        <v/>
      </c>
      <c r="R105" s="6">
        <f>LAVORAZIONI!X498</f>
        <v/>
      </c>
      <c r="S105" s="7">
        <f>LAVORAZIONI!Y498</f>
        <v/>
      </c>
      <c r="T105" s="6">
        <f>LAVORAZIONI!Z498</f>
        <v/>
      </c>
      <c r="U105" s="7">
        <f>LAVORAZIONI!AA498</f>
        <v/>
      </c>
      <c r="V105" s="6">
        <f>LAVORAZIONI!AB498</f>
        <v/>
      </c>
      <c r="W105" s="7">
        <f>LAVORAZIONI!AC498</f>
        <v/>
      </c>
      <c r="X105" s="6">
        <f>LAVORAZIONI!AD498</f>
        <v/>
      </c>
      <c r="Y105" s="7">
        <f>LAVORAZIONI!AE498</f>
        <v/>
      </c>
      <c r="Z105" s="6">
        <f>LAVORAZIONI!AF498</f>
        <v/>
      </c>
      <c r="AA105" s="7">
        <f>LAVORAZIONI!AG498</f>
        <v/>
      </c>
      <c r="AB105" s="6">
        <f>LAVORAZIONI!AH498</f>
        <v/>
      </c>
      <c r="AC105" s="7">
        <f>LAVORAZIONI!AI498</f>
        <v/>
      </c>
      <c r="AD105" s="13">
        <f>LAVORAZIONI!AJ498</f>
        <v/>
      </c>
    </row>
    <row r="106" ht="64" customHeight="1" s="46">
      <c r="B106" s="4">
        <f>LAVORAZIONI!G499</f>
        <v/>
      </c>
      <c r="C106" s="3">
        <f>LAVORAZIONI!A499</f>
        <v/>
      </c>
      <c r="D106" s="3">
        <f>LAVORAZIONI!K499</f>
        <v/>
      </c>
      <c r="E106" s="4">
        <f>LAVORAZIONI!H499</f>
        <v/>
      </c>
      <c r="F106" s="4">
        <f>LAVORAZIONI!M499</f>
        <v/>
      </c>
      <c r="G106" s="5">
        <f>LAVORAZIONI!N499</f>
        <v/>
      </c>
      <c r="H106" s="6">
        <f>LAVORAZIONI!O499</f>
        <v/>
      </c>
      <c r="I106" s="13">
        <f>LAVORAZIONI!P499</f>
        <v/>
      </c>
      <c r="J106" s="5">
        <f>IF(LAVORAZIONI!Q499="","",LAVORAZIONI!Q499)</f>
        <v/>
      </c>
      <c r="K106" s="6">
        <f>IF(LAVORAZIONI!R499="","",LAVORAZIONI!R499)</f>
        <v/>
      </c>
      <c r="L106" s="13">
        <f>IF(LAVORAZIONI!S499="","",LAVORAZIONI!S499)</f>
        <v/>
      </c>
      <c r="M106" s="13">
        <f>LAVORAZIONI!T499</f>
        <v/>
      </c>
      <c r="O106" s="7">
        <f>LAVORAZIONI!U499</f>
        <v/>
      </c>
      <c r="P106" s="45">
        <f>LAVORAZIONI!V499</f>
        <v/>
      </c>
      <c r="Q106" s="7">
        <f>LAVORAZIONI!W499</f>
        <v/>
      </c>
      <c r="R106" s="6">
        <f>LAVORAZIONI!X499</f>
        <v/>
      </c>
      <c r="S106" s="7">
        <f>LAVORAZIONI!Y499</f>
        <v/>
      </c>
      <c r="T106" s="6">
        <f>LAVORAZIONI!Z499</f>
        <v/>
      </c>
      <c r="U106" s="7">
        <f>LAVORAZIONI!AA499</f>
        <v/>
      </c>
      <c r="V106" s="6">
        <f>LAVORAZIONI!AB499</f>
        <v/>
      </c>
      <c r="W106" s="7">
        <f>LAVORAZIONI!AC499</f>
        <v/>
      </c>
      <c r="X106" s="6">
        <f>LAVORAZIONI!AD499</f>
        <v/>
      </c>
      <c r="Y106" s="7">
        <f>LAVORAZIONI!AE499</f>
        <v/>
      </c>
      <c r="Z106" s="6">
        <f>LAVORAZIONI!AF499</f>
        <v/>
      </c>
      <c r="AA106" s="7">
        <f>LAVORAZIONI!AG499</f>
        <v/>
      </c>
      <c r="AB106" s="6">
        <f>LAVORAZIONI!AH499</f>
        <v/>
      </c>
      <c r="AC106" s="7">
        <f>LAVORAZIONI!AI499</f>
        <v/>
      </c>
      <c r="AD106" s="13">
        <f>LAVORAZIONI!AJ499</f>
        <v/>
      </c>
    </row>
    <row r="107" ht="64" customHeight="1" s="46">
      <c r="B107" s="4">
        <f>LAVORAZIONI!G500</f>
        <v/>
      </c>
      <c r="C107" s="3">
        <f>LAVORAZIONI!A500</f>
        <v/>
      </c>
      <c r="D107" s="3">
        <f>LAVORAZIONI!K500</f>
        <v/>
      </c>
      <c r="E107" s="4">
        <f>LAVORAZIONI!H500</f>
        <v/>
      </c>
      <c r="F107" s="4">
        <f>LAVORAZIONI!M500</f>
        <v/>
      </c>
      <c r="G107" s="5">
        <f>LAVORAZIONI!N500</f>
        <v/>
      </c>
      <c r="H107" s="6">
        <f>LAVORAZIONI!O500</f>
        <v/>
      </c>
      <c r="I107" s="13">
        <f>LAVORAZIONI!P500</f>
        <v/>
      </c>
      <c r="J107" s="5">
        <f>IF(LAVORAZIONI!Q500="","",LAVORAZIONI!Q500)</f>
        <v/>
      </c>
      <c r="K107" s="6">
        <f>IF(LAVORAZIONI!R500="","",LAVORAZIONI!R500)</f>
        <v/>
      </c>
      <c r="L107" s="13">
        <f>IF(LAVORAZIONI!S500="","",LAVORAZIONI!S500)</f>
        <v/>
      </c>
      <c r="M107" s="13">
        <f>LAVORAZIONI!T500</f>
        <v/>
      </c>
      <c r="O107" s="7">
        <f>LAVORAZIONI!U500</f>
        <v/>
      </c>
      <c r="P107" s="45">
        <f>LAVORAZIONI!V500</f>
        <v/>
      </c>
      <c r="Q107" s="7">
        <f>LAVORAZIONI!W500</f>
        <v/>
      </c>
      <c r="R107" s="6">
        <f>LAVORAZIONI!X500</f>
        <v/>
      </c>
      <c r="S107" s="7">
        <f>LAVORAZIONI!Y500</f>
        <v/>
      </c>
      <c r="T107" s="6">
        <f>LAVORAZIONI!Z500</f>
        <v/>
      </c>
      <c r="U107" s="7">
        <f>LAVORAZIONI!AA500</f>
        <v/>
      </c>
      <c r="V107" s="6">
        <f>LAVORAZIONI!AB500</f>
        <v/>
      </c>
      <c r="W107" s="7">
        <f>LAVORAZIONI!AC500</f>
        <v/>
      </c>
      <c r="X107" s="6">
        <f>LAVORAZIONI!AD500</f>
        <v/>
      </c>
      <c r="Y107" s="7">
        <f>LAVORAZIONI!AE500</f>
        <v/>
      </c>
      <c r="Z107" s="6">
        <f>LAVORAZIONI!AF500</f>
        <v/>
      </c>
      <c r="AA107" s="7">
        <f>LAVORAZIONI!AG500</f>
        <v/>
      </c>
      <c r="AB107" s="6">
        <f>LAVORAZIONI!AH500</f>
        <v/>
      </c>
      <c r="AC107" s="7">
        <f>LAVORAZIONI!AI500</f>
        <v/>
      </c>
      <c r="AD107" s="13">
        <f>LAVORAZIONI!AJ500</f>
        <v/>
      </c>
    </row>
    <row r="108" ht="64" customHeight="1" s="46">
      <c r="B108" s="4">
        <f>LAVORAZIONI!G501</f>
        <v/>
      </c>
      <c r="C108" s="3">
        <f>LAVORAZIONI!A501</f>
        <v/>
      </c>
      <c r="D108" s="3">
        <f>LAVORAZIONI!K501</f>
        <v/>
      </c>
      <c r="E108" s="4">
        <f>LAVORAZIONI!H501</f>
        <v/>
      </c>
      <c r="F108" s="4">
        <f>LAVORAZIONI!M501</f>
        <v/>
      </c>
      <c r="G108" s="5">
        <f>LAVORAZIONI!N501</f>
        <v/>
      </c>
      <c r="H108" s="6">
        <f>LAVORAZIONI!O501</f>
        <v/>
      </c>
      <c r="I108" s="13">
        <f>LAVORAZIONI!P501</f>
        <v/>
      </c>
      <c r="J108" s="5">
        <f>IF(LAVORAZIONI!Q501="","",LAVORAZIONI!Q501)</f>
        <v/>
      </c>
      <c r="K108" s="6">
        <f>IF(LAVORAZIONI!R501="","",LAVORAZIONI!R501)</f>
        <v/>
      </c>
      <c r="L108" s="13">
        <f>IF(LAVORAZIONI!S501="","",LAVORAZIONI!S501)</f>
        <v/>
      </c>
      <c r="M108" s="13">
        <f>LAVORAZIONI!T501</f>
        <v/>
      </c>
      <c r="O108" s="7">
        <f>LAVORAZIONI!U501</f>
        <v/>
      </c>
      <c r="P108" s="45">
        <f>LAVORAZIONI!V501</f>
        <v/>
      </c>
      <c r="Q108" s="7">
        <f>LAVORAZIONI!W501</f>
        <v/>
      </c>
      <c r="R108" s="6">
        <f>LAVORAZIONI!X501</f>
        <v/>
      </c>
      <c r="S108" s="7">
        <f>LAVORAZIONI!Y501</f>
        <v/>
      </c>
      <c r="T108" s="6">
        <f>LAVORAZIONI!Z501</f>
        <v/>
      </c>
      <c r="U108" s="7">
        <f>LAVORAZIONI!AA501</f>
        <v/>
      </c>
      <c r="V108" s="6">
        <f>LAVORAZIONI!AB501</f>
        <v/>
      </c>
      <c r="W108" s="7">
        <f>LAVORAZIONI!AC501</f>
        <v/>
      </c>
      <c r="X108" s="6">
        <f>LAVORAZIONI!AD501</f>
        <v/>
      </c>
      <c r="Y108" s="7">
        <f>LAVORAZIONI!AE501</f>
        <v/>
      </c>
      <c r="Z108" s="6">
        <f>LAVORAZIONI!AF501</f>
        <v/>
      </c>
      <c r="AA108" s="7">
        <f>LAVORAZIONI!AG501</f>
        <v/>
      </c>
      <c r="AB108" s="6">
        <f>LAVORAZIONI!AH501</f>
        <v/>
      </c>
      <c r="AC108" s="7">
        <f>LAVORAZIONI!AI501</f>
        <v/>
      </c>
      <c r="AD108" s="13">
        <f>LAVORAZIONI!AJ501</f>
        <v/>
      </c>
    </row>
    <row r="109" ht="64" customHeight="1" s="46">
      <c r="B109" s="4">
        <f>LAVORAZIONI!G502</f>
        <v/>
      </c>
      <c r="C109" s="3">
        <f>LAVORAZIONI!A502</f>
        <v/>
      </c>
      <c r="D109" s="3">
        <f>LAVORAZIONI!K502</f>
        <v/>
      </c>
      <c r="E109" s="4">
        <f>LAVORAZIONI!H502</f>
        <v/>
      </c>
      <c r="F109" s="4">
        <f>LAVORAZIONI!M502</f>
        <v/>
      </c>
      <c r="G109" s="5">
        <f>LAVORAZIONI!N502</f>
        <v/>
      </c>
      <c r="H109" s="6">
        <f>LAVORAZIONI!O502</f>
        <v/>
      </c>
      <c r="I109" s="13">
        <f>LAVORAZIONI!P502</f>
        <v/>
      </c>
      <c r="J109" s="5">
        <f>IF(LAVORAZIONI!Q502="","",LAVORAZIONI!Q502)</f>
        <v/>
      </c>
      <c r="K109" s="6">
        <f>IF(LAVORAZIONI!R502="","",LAVORAZIONI!R502)</f>
        <v/>
      </c>
      <c r="L109" s="13">
        <f>IF(LAVORAZIONI!S502="","",LAVORAZIONI!S502)</f>
        <v/>
      </c>
      <c r="M109" s="13">
        <f>LAVORAZIONI!T502</f>
        <v/>
      </c>
      <c r="O109" s="7">
        <f>LAVORAZIONI!U502</f>
        <v/>
      </c>
      <c r="P109" s="45">
        <f>LAVORAZIONI!V502</f>
        <v/>
      </c>
      <c r="Q109" s="7">
        <f>LAVORAZIONI!W502</f>
        <v/>
      </c>
      <c r="R109" s="6">
        <f>LAVORAZIONI!X502</f>
        <v/>
      </c>
      <c r="S109" s="7">
        <f>LAVORAZIONI!Y502</f>
        <v/>
      </c>
      <c r="T109" s="6">
        <f>LAVORAZIONI!Z502</f>
        <v/>
      </c>
      <c r="U109" s="7">
        <f>LAVORAZIONI!AA502</f>
        <v/>
      </c>
      <c r="V109" s="6">
        <f>LAVORAZIONI!AB502</f>
        <v/>
      </c>
      <c r="W109" s="7">
        <f>LAVORAZIONI!AC502</f>
        <v/>
      </c>
      <c r="X109" s="6">
        <f>LAVORAZIONI!AD502</f>
        <v/>
      </c>
      <c r="Y109" s="7">
        <f>LAVORAZIONI!AE502</f>
        <v/>
      </c>
      <c r="Z109" s="6">
        <f>LAVORAZIONI!AF502</f>
        <v/>
      </c>
      <c r="AA109" s="7">
        <f>LAVORAZIONI!AG502</f>
        <v/>
      </c>
      <c r="AB109" s="6">
        <f>LAVORAZIONI!AH502</f>
        <v/>
      </c>
      <c r="AC109" s="7">
        <f>LAVORAZIONI!AI502</f>
        <v/>
      </c>
      <c r="AD109" s="13">
        <f>LAVORAZIONI!AJ502</f>
        <v/>
      </c>
    </row>
    <row r="110" ht="64" customHeight="1" s="46">
      <c r="B110" s="4">
        <f>LAVORAZIONI!G503</f>
        <v/>
      </c>
      <c r="C110" s="3">
        <f>LAVORAZIONI!A503</f>
        <v/>
      </c>
      <c r="D110" s="3">
        <f>LAVORAZIONI!K503</f>
        <v/>
      </c>
      <c r="E110" s="4">
        <f>LAVORAZIONI!H503</f>
        <v/>
      </c>
      <c r="F110" s="4">
        <f>LAVORAZIONI!M503</f>
        <v/>
      </c>
      <c r="G110" s="5">
        <f>LAVORAZIONI!N503</f>
        <v/>
      </c>
      <c r="H110" s="6">
        <f>LAVORAZIONI!O503</f>
        <v/>
      </c>
      <c r="I110" s="13">
        <f>LAVORAZIONI!P503</f>
        <v/>
      </c>
      <c r="J110" s="5">
        <f>IF(LAVORAZIONI!Q503="","",LAVORAZIONI!Q503)</f>
        <v/>
      </c>
      <c r="K110" s="6">
        <f>IF(LAVORAZIONI!R503="","",LAVORAZIONI!R503)</f>
        <v/>
      </c>
      <c r="L110" s="13">
        <f>IF(LAVORAZIONI!S503="","",LAVORAZIONI!S503)</f>
        <v/>
      </c>
      <c r="M110" s="13">
        <f>LAVORAZIONI!T503</f>
        <v/>
      </c>
      <c r="O110" s="7">
        <f>LAVORAZIONI!U503</f>
        <v/>
      </c>
      <c r="P110" s="45">
        <f>LAVORAZIONI!V503</f>
        <v/>
      </c>
      <c r="Q110" s="7">
        <f>LAVORAZIONI!W503</f>
        <v/>
      </c>
      <c r="R110" s="6">
        <f>LAVORAZIONI!X503</f>
        <v/>
      </c>
      <c r="S110" s="7">
        <f>LAVORAZIONI!Y503</f>
        <v/>
      </c>
      <c r="T110" s="6">
        <f>LAVORAZIONI!Z503</f>
        <v/>
      </c>
      <c r="U110" s="7">
        <f>LAVORAZIONI!AA503</f>
        <v/>
      </c>
      <c r="V110" s="6">
        <f>LAVORAZIONI!AB503</f>
        <v/>
      </c>
      <c r="W110" s="7">
        <f>LAVORAZIONI!AC503</f>
        <v/>
      </c>
      <c r="X110" s="6">
        <f>LAVORAZIONI!AD503</f>
        <v/>
      </c>
      <c r="Y110" s="7">
        <f>LAVORAZIONI!AE503</f>
        <v/>
      </c>
      <c r="Z110" s="6">
        <f>LAVORAZIONI!AF503</f>
        <v/>
      </c>
      <c r="AA110" s="7">
        <f>LAVORAZIONI!AG503</f>
        <v/>
      </c>
      <c r="AB110" s="6">
        <f>LAVORAZIONI!AH503</f>
        <v/>
      </c>
      <c r="AC110" s="7">
        <f>LAVORAZIONI!AI503</f>
        <v/>
      </c>
      <c r="AD110" s="13">
        <f>LAVORAZIONI!AJ503</f>
        <v/>
      </c>
    </row>
    <row r="111" ht="64" customHeight="1" s="46">
      <c r="B111" s="4">
        <f>LAVORAZIONI!G504</f>
        <v/>
      </c>
      <c r="C111" s="3">
        <f>LAVORAZIONI!A504</f>
        <v/>
      </c>
      <c r="D111" s="3">
        <f>LAVORAZIONI!K504</f>
        <v/>
      </c>
      <c r="E111" s="4">
        <f>LAVORAZIONI!H504</f>
        <v/>
      </c>
      <c r="F111" s="4">
        <f>LAVORAZIONI!M504</f>
        <v/>
      </c>
      <c r="G111" s="5">
        <f>LAVORAZIONI!N504</f>
        <v/>
      </c>
      <c r="H111" s="6">
        <f>LAVORAZIONI!O504</f>
        <v/>
      </c>
      <c r="I111" s="13">
        <f>LAVORAZIONI!P504</f>
        <v/>
      </c>
      <c r="J111" s="5">
        <f>IF(LAVORAZIONI!Q504="","",LAVORAZIONI!Q504)</f>
        <v/>
      </c>
      <c r="K111" s="6">
        <f>IF(LAVORAZIONI!R504="","",LAVORAZIONI!R504)</f>
        <v/>
      </c>
      <c r="L111" s="13">
        <f>IF(LAVORAZIONI!S504="","",LAVORAZIONI!S504)</f>
        <v/>
      </c>
      <c r="M111" s="13">
        <f>LAVORAZIONI!T504</f>
        <v/>
      </c>
      <c r="O111" s="7">
        <f>LAVORAZIONI!U504</f>
        <v/>
      </c>
      <c r="P111" s="45">
        <f>LAVORAZIONI!V504</f>
        <v/>
      </c>
      <c r="Q111" s="7">
        <f>LAVORAZIONI!W504</f>
        <v/>
      </c>
      <c r="R111" s="6">
        <f>LAVORAZIONI!X504</f>
        <v/>
      </c>
      <c r="S111" s="7">
        <f>LAVORAZIONI!Y504</f>
        <v/>
      </c>
      <c r="T111" s="6">
        <f>LAVORAZIONI!Z504</f>
        <v/>
      </c>
      <c r="U111" s="7">
        <f>LAVORAZIONI!AA504</f>
        <v/>
      </c>
      <c r="V111" s="6">
        <f>LAVORAZIONI!AB504</f>
        <v/>
      </c>
      <c r="W111" s="7">
        <f>LAVORAZIONI!AC504</f>
        <v/>
      </c>
      <c r="X111" s="6">
        <f>LAVORAZIONI!AD504</f>
        <v/>
      </c>
      <c r="Y111" s="7">
        <f>LAVORAZIONI!AE504</f>
        <v/>
      </c>
      <c r="Z111" s="6">
        <f>LAVORAZIONI!AF504</f>
        <v/>
      </c>
      <c r="AA111" s="7">
        <f>LAVORAZIONI!AG504</f>
        <v/>
      </c>
      <c r="AB111" s="6">
        <f>LAVORAZIONI!AH504</f>
        <v/>
      </c>
      <c r="AC111" s="7">
        <f>LAVORAZIONI!AI504</f>
        <v/>
      </c>
      <c r="AD111" s="13">
        <f>LAVORAZIONI!AJ504</f>
        <v/>
      </c>
    </row>
    <row r="112" ht="64" customHeight="1" s="46">
      <c r="B112" s="4">
        <f>LAVORAZIONI!G505</f>
        <v/>
      </c>
      <c r="C112" s="3">
        <f>LAVORAZIONI!A505</f>
        <v/>
      </c>
      <c r="D112" s="3">
        <f>LAVORAZIONI!K505</f>
        <v/>
      </c>
      <c r="E112" s="4">
        <f>LAVORAZIONI!H505</f>
        <v/>
      </c>
      <c r="F112" s="4">
        <f>LAVORAZIONI!M505</f>
        <v/>
      </c>
      <c r="G112" s="5">
        <f>LAVORAZIONI!N505</f>
        <v/>
      </c>
      <c r="H112" s="6">
        <f>LAVORAZIONI!O505</f>
        <v/>
      </c>
      <c r="I112" s="13">
        <f>LAVORAZIONI!P505</f>
        <v/>
      </c>
      <c r="J112" s="5">
        <f>IF(LAVORAZIONI!Q505="","",LAVORAZIONI!Q505)</f>
        <v/>
      </c>
      <c r="K112" s="6">
        <f>IF(LAVORAZIONI!R505="","",LAVORAZIONI!R505)</f>
        <v/>
      </c>
      <c r="L112" s="13">
        <f>IF(LAVORAZIONI!S505="","",LAVORAZIONI!S505)</f>
        <v/>
      </c>
      <c r="M112" s="13">
        <f>LAVORAZIONI!T505</f>
        <v/>
      </c>
      <c r="O112" s="7">
        <f>LAVORAZIONI!U505</f>
        <v/>
      </c>
      <c r="P112" s="45">
        <f>LAVORAZIONI!V505</f>
        <v/>
      </c>
      <c r="Q112" s="7">
        <f>LAVORAZIONI!W505</f>
        <v/>
      </c>
      <c r="R112" s="6">
        <f>LAVORAZIONI!X505</f>
        <v/>
      </c>
      <c r="S112" s="7">
        <f>LAVORAZIONI!Y505</f>
        <v/>
      </c>
      <c r="T112" s="6">
        <f>LAVORAZIONI!Z505</f>
        <v/>
      </c>
      <c r="U112" s="7">
        <f>LAVORAZIONI!AA505</f>
        <v/>
      </c>
      <c r="V112" s="6">
        <f>LAVORAZIONI!AB505</f>
        <v/>
      </c>
      <c r="W112" s="7">
        <f>LAVORAZIONI!AC505</f>
        <v/>
      </c>
      <c r="X112" s="6">
        <f>LAVORAZIONI!AD505</f>
        <v/>
      </c>
      <c r="Y112" s="7">
        <f>LAVORAZIONI!AE505</f>
        <v/>
      </c>
      <c r="Z112" s="6">
        <f>LAVORAZIONI!AF505</f>
        <v/>
      </c>
      <c r="AA112" s="7">
        <f>LAVORAZIONI!AG505</f>
        <v/>
      </c>
      <c r="AB112" s="6">
        <f>LAVORAZIONI!AH505</f>
        <v/>
      </c>
      <c r="AC112" s="7">
        <f>LAVORAZIONI!AI505</f>
        <v/>
      </c>
      <c r="AD112" s="13">
        <f>LAVORAZIONI!AJ505</f>
        <v/>
      </c>
    </row>
    <row r="113" ht="64" customHeight="1" s="46">
      <c r="B113" s="4">
        <f>LAVORAZIONI!G506</f>
        <v/>
      </c>
      <c r="C113" s="3">
        <f>LAVORAZIONI!A506</f>
        <v/>
      </c>
      <c r="D113" s="3">
        <f>LAVORAZIONI!K506</f>
        <v/>
      </c>
      <c r="E113" s="4">
        <f>LAVORAZIONI!H506</f>
        <v/>
      </c>
      <c r="F113" s="4">
        <f>LAVORAZIONI!M506</f>
        <v/>
      </c>
      <c r="G113" s="5">
        <f>LAVORAZIONI!N506</f>
        <v/>
      </c>
      <c r="H113" s="6">
        <f>LAVORAZIONI!O506</f>
        <v/>
      </c>
      <c r="I113" s="13">
        <f>LAVORAZIONI!P506</f>
        <v/>
      </c>
      <c r="J113" s="5">
        <f>IF(LAVORAZIONI!Q506="","",LAVORAZIONI!Q506)</f>
        <v/>
      </c>
      <c r="K113" s="6">
        <f>IF(LAVORAZIONI!R506="","",LAVORAZIONI!R506)</f>
        <v/>
      </c>
      <c r="L113" s="13">
        <f>IF(LAVORAZIONI!S506="","",LAVORAZIONI!S506)</f>
        <v/>
      </c>
      <c r="M113" s="13">
        <f>LAVORAZIONI!T506</f>
        <v/>
      </c>
      <c r="O113" s="7">
        <f>LAVORAZIONI!U506</f>
        <v/>
      </c>
      <c r="P113" s="45">
        <f>LAVORAZIONI!V506</f>
        <v/>
      </c>
      <c r="Q113" s="7">
        <f>LAVORAZIONI!W506</f>
        <v/>
      </c>
      <c r="R113" s="6">
        <f>LAVORAZIONI!X506</f>
        <v/>
      </c>
      <c r="S113" s="7">
        <f>LAVORAZIONI!Y506</f>
        <v/>
      </c>
      <c r="T113" s="6">
        <f>LAVORAZIONI!Z506</f>
        <v/>
      </c>
      <c r="U113" s="7">
        <f>LAVORAZIONI!AA506</f>
        <v/>
      </c>
      <c r="V113" s="6">
        <f>LAVORAZIONI!AB506</f>
        <v/>
      </c>
      <c r="W113" s="7">
        <f>LAVORAZIONI!AC506</f>
        <v/>
      </c>
      <c r="X113" s="6">
        <f>LAVORAZIONI!AD506</f>
        <v/>
      </c>
      <c r="Y113" s="7">
        <f>LAVORAZIONI!AE506</f>
        <v/>
      </c>
      <c r="Z113" s="6">
        <f>LAVORAZIONI!AF506</f>
        <v/>
      </c>
      <c r="AA113" s="7">
        <f>LAVORAZIONI!AG506</f>
        <v/>
      </c>
      <c r="AB113" s="6">
        <f>LAVORAZIONI!AH506</f>
        <v/>
      </c>
      <c r="AC113" s="7">
        <f>LAVORAZIONI!AI506</f>
        <v/>
      </c>
      <c r="AD113" s="13">
        <f>LAVORAZIONI!AJ506</f>
        <v/>
      </c>
    </row>
    <row r="114" ht="64" customHeight="1" s="46">
      <c r="B114" s="4">
        <f>LAVORAZIONI!G507</f>
        <v/>
      </c>
      <c r="C114" s="3">
        <f>LAVORAZIONI!A507</f>
        <v/>
      </c>
      <c r="D114" s="3">
        <f>LAVORAZIONI!K507</f>
        <v/>
      </c>
      <c r="E114" s="4">
        <f>LAVORAZIONI!H507</f>
        <v/>
      </c>
      <c r="F114" s="4">
        <f>LAVORAZIONI!M507</f>
        <v/>
      </c>
      <c r="G114" s="5">
        <f>LAVORAZIONI!N507</f>
        <v/>
      </c>
      <c r="H114" s="6">
        <f>LAVORAZIONI!O507</f>
        <v/>
      </c>
      <c r="I114" s="13">
        <f>LAVORAZIONI!P507</f>
        <v/>
      </c>
      <c r="J114" s="5">
        <f>IF(LAVORAZIONI!Q507="","",LAVORAZIONI!Q507)</f>
        <v/>
      </c>
      <c r="K114" s="6">
        <f>IF(LAVORAZIONI!R507="","",LAVORAZIONI!R507)</f>
        <v/>
      </c>
      <c r="L114" s="13">
        <f>IF(LAVORAZIONI!S507="","",LAVORAZIONI!S507)</f>
        <v/>
      </c>
      <c r="M114" s="13">
        <f>LAVORAZIONI!T507</f>
        <v/>
      </c>
      <c r="O114" s="7">
        <f>LAVORAZIONI!U507</f>
        <v/>
      </c>
      <c r="P114" s="45">
        <f>LAVORAZIONI!V507</f>
        <v/>
      </c>
      <c r="Q114" s="7">
        <f>LAVORAZIONI!W507</f>
        <v/>
      </c>
      <c r="R114" s="6">
        <f>LAVORAZIONI!X507</f>
        <v/>
      </c>
      <c r="S114" s="7">
        <f>LAVORAZIONI!Y507</f>
        <v/>
      </c>
      <c r="T114" s="6">
        <f>LAVORAZIONI!Z507</f>
        <v/>
      </c>
      <c r="U114" s="7">
        <f>LAVORAZIONI!AA507</f>
        <v/>
      </c>
      <c r="V114" s="6">
        <f>LAVORAZIONI!AB507</f>
        <v/>
      </c>
      <c r="W114" s="7">
        <f>LAVORAZIONI!AC507</f>
        <v/>
      </c>
      <c r="X114" s="6">
        <f>LAVORAZIONI!AD507</f>
        <v/>
      </c>
      <c r="Y114" s="7">
        <f>LAVORAZIONI!AE507</f>
        <v/>
      </c>
      <c r="Z114" s="6">
        <f>LAVORAZIONI!AF507</f>
        <v/>
      </c>
      <c r="AA114" s="7">
        <f>LAVORAZIONI!AG507</f>
        <v/>
      </c>
      <c r="AB114" s="6">
        <f>LAVORAZIONI!AH507</f>
        <v/>
      </c>
      <c r="AC114" s="7">
        <f>LAVORAZIONI!AI507</f>
        <v/>
      </c>
      <c r="AD114" s="13">
        <f>LAVORAZIONI!AJ507</f>
        <v/>
      </c>
    </row>
    <row r="115" ht="64" customHeight="1" s="46">
      <c r="B115" s="4">
        <f>LAVORAZIONI!G508</f>
        <v/>
      </c>
      <c r="C115" s="3">
        <f>LAVORAZIONI!A508</f>
        <v/>
      </c>
      <c r="D115" s="3">
        <f>LAVORAZIONI!K508</f>
        <v/>
      </c>
      <c r="E115" s="4">
        <f>LAVORAZIONI!H508</f>
        <v/>
      </c>
      <c r="F115" s="4">
        <f>LAVORAZIONI!M508</f>
        <v/>
      </c>
      <c r="G115" s="5">
        <f>LAVORAZIONI!N508</f>
        <v/>
      </c>
      <c r="H115" s="6">
        <f>LAVORAZIONI!O508</f>
        <v/>
      </c>
      <c r="I115" s="13">
        <f>LAVORAZIONI!P508</f>
        <v/>
      </c>
      <c r="J115" s="5">
        <f>IF(LAVORAZIONI!Q508="","",LAVORAZIONI!Q508)</f>
        <v/>
      </c>
      <c r="K115" s="6">
        <f>IF(LAVORAZIONI!R508="","",LAVORAZIONI!R508)</f>
        <v/>
      </c>
      <c r="L115" s="13">
        <f>IF(LAVORAZIONI!S508="","",LAVORAZIONI!S508)</f>
        <v/>
      </c>
      <c r="M115" s="13">
        <f>LAVORAZIONI!T508</f>
        <v/>
      </c>
      <c r="O115" s="7">
        <f>LAVORAZIONI!U508</f>
        <v/>
      </c>
      <c r="P115" s="45">
        <f>LAVORAZIONI!V508</f>
        <v/>
      </c>
      <c r="Q115" s="7">
        <f>LAVORAZIONI!W508</f>
        <v/>
      </c>
      <c r="R115" s="6">
        <f>LAVORAZIONI!X508</f>
        <v/>
      </c>
      <c r="S115" s="7">
        <f>LAVORAZIONI!Y508</f>
        <v/>
      </c>
      <c r="T115" s="6">
        <f>LAVORAZIONI!Z508</f>
        <v/>
      </c>
      <c r="U115" s="7">
        <f>LAVORAZIONI!AA508</f>
        <v/>
      </c>
      <c r="V115" s="6">
        <f>LAVORAZIONI!AB508</f>
        <v/>
      </c>
      <c r="W115" s="7">
        <f>LAVORAZIONI!AC508</f>
        <v/>
      </c>
      <c r="X115" s="6">
        <f>LAVORAZIONI!AD508</f>
        <v/>
      </c>
      <c r="Y115" s="7">
        <f>LAVORAZIONI!AE508</f>
        <v/>
      </c>
      <c r="Z115" s="6">
        <f>LAVORAZIONI!AF508</f>
        <v/>
      </c>
      <c r="AA115" s="7">
        <f>LAVORAZIONI!AG508</f>
        <v/>
      </c>
      <c r="AB115" s="6">
        <f>LAVORAZIONI!AH508</f>
        <v/>
      </c>
      <c r="AC115" s="7">
        <f>LAVORAZIONI!AI508</f>
        <v/>
      </c>
      <c r="AD115" s="13">
        <f>LAVORAZIONI!AJ508</f>
        <v/>
      </c>
    </row>
    <row r="116" ht="64" customHeight="1" s="46">
      <c r="B116" s="4">
        <f>LAVORAZIONI!G509</f>
        <v/>
      </c>
      <c r="C116" s="3">
        <f>LAVORAZIONI!A509</f>
        <v/>
      </c>
      <c r="D116" s="3">
        <f>LAVORAZIONI!K509</f>
        <v/>
      </c>
      <c r="E116" s="4">
        <f>LAVORAZIONI!H509</f>
        <v/>
      </c>
      <c r="F116" s="4">
        <f>LAVORAZIONI!M509</f>
        <v/>
      </c>
      <c r="G116" s="5">
        <f>LAVORAZIONI!N509</f>
        <v/>
      </c>
      <c r="H116" s="6">
        <f>LAVORAZIONI!O509</f>
        <v/>
      </c>
      <c r="I116" s="13">
        <f>LAVORAZIONI!P509</f>
        <v/>
      </c>
      <c r="J116" s="5">
        <f>IF(LAVORAZIONI!Q509="","",LAVORAZIONI!Q509)</f>
        <v/>
      </c>
      <c r="K116" s="6">
        <f>IF(LAVORAZIONI!R509="","",LAVORAZIONI!R509)</f>
        <v/>
      </c>
      <c r="L116" s="13">
        <f>IF(LAVORAZIONI!S509="","",LAVORAZIONI!S509)</f>
        <v/>
      </c>
      <c r="M116" s="13">
        <f>LAVORAZIONI!T509</f>
        <v/>
      </c>
      <c r="O116" s="7">
        <f>LAVORAZIONI!U509</f>
        <v/>
      </c>
      <c r="P116" s="45">
        <f>LAVORAZIONI!V509</f>
        <v/>
      </c>
      <c r="Q116" s="7">
        <f>LAVORAZIONI!W509</f>
        <v/>
      </c>
      <c r="R116" s="6">
        <f>LAVORAZIONI!X509</f>
        <v/>
      </c>
      <c r="S116" s="7">
        <f>LAVORAZIONI!Y509</f>
        <v/>
      </c>
      <c r="T116" s="6">
        <f>LAVORAZIONI!Z509</f>
        <v/>
      </c>
      <c r="U116" s="7">
        <f>LAVORAZIONI!AA509</f>
        <v/>
      </c>
      <c r="V116" s="6">
        <f>LAVORAZIONI!AB509</f>
        <v/>
      </c>
      <c r="W116" s="7">
        <f>LAVORAZIONI!AC509</f>
        <v/>
      </c>
      <c r="X116" s="6">
        <f>LAVORAZIONI!AD509</f>
        <v/>
      </c>
      <c r="Y116" s="7">
        <f>LAVORAZIONI!AE509</f>
        <v/>
      </c>
      <c r="Z116" s="6">
        <f>LAVORAZIONI!AF509</f>
        <v/>
      </c>
      <c r="AA116" s="7">
        <f>LAVORAZIONI!AG509</f>
        <v/>
      </c>
      <c r="AB116" s="6">
        <f>LAVORAZIONI!AH509</f>
        <v/>
      </c>
      <c r="AC116" s="7">
        <f>LAVORAZIONI!AI509</f>
        <v/>
      </c>
      <c r="AD116" s="13">
        <f>LAVORAZIONI!AJ509</f>
        <v/>
      </c>
    </row>
    <row r="117" ht="64" customHeight="1" s="46">
      <c r="B117" s="4">
        <f>LAVORAZIONI!G510</f>
        <v/>
      </c>
      <c r="C117" s="3">
        <f>LAVORAZIONI!A510</f>
        <v/>
      </c>
      <c r="D117" s="3">
        <f>LAVORAZIONI!K510</f>
        <v/>
      </c>
      <c r="E117" s="4">
        <f>LAVORAZIONI!H510</f>
        <v/>
      </c>
      <c r="F117" s="4">
        <f>LAVORAZIONI!M510</f>
        <v/>
      </c>
      <c r="G117" s="5">
        <f>LAVORAZIONI!N510</f>
        <v/>
      </c>
      <c r="H117" s="6">
        <f>LAVORAZIONI!O510</f>
        <v/>
      </c>
      <c r="I117" s="13">
        <f>LAVORAZIONI!P510</f>
        <v/>
      </c>
      <c r="J117" s="5">
        <f>IF(LAVORAZIONI!Q510="","",LAVORAZIONI!Q510)</f>
        <v/>
      </c>
      <c r="K117" s="6">
        <f>IF(LAVORAZIONI!R510="","",LAVORAZIONI!R510)</f>
        <v/>
      </c>
      <c r="L117" s="13">
        <f>IF(LAVORAZIONI!S510="","",LAVORAZIONI!S510)</f>
        <v/>
      </c>
      <c r="M117" s="13">
        <f>LAVORAZIONI!T510</f>
        <v/>
      </c>
      <c r="O117" s="7">
        <f>LAVORAZIONI!U510</f>
        <v/>
      </c>
      <c r="P117" s="45">
        <f>LAVORAZIONI!V510</f>
        <v/>
      </c>
      <c r="Q117" s="7">
        <f>LAVORAZIONI!W510</f>
        <v/>
      </c>
      <c r="R117" s="6">
        <f>LAVORAZIONI!X510</f>
        <v/>
      </c>
      <c r="S117" s="7">
        <f>LAVORAZIONI!Y510</f>
        <v/>
      </c>
      <c r="T117" s="6">
        <f>LAVORAZIONI!Z510</f>
        <v/>
      </c>
      <c r="U117" s="7">
        <f>LAVORAZIONI!AA510</f>
        <v/>
      </c>
      <c r="V117" s="6">
        <f>LAVORAZIONI!AB510</f>
        <v/>
      </c>
      <c r="W117" s="7">
        <f>LAVORAZIONI!AC510</f>
        <v/>
      </c>
      <c r="X117" s="6">
        <f>LAVORAZIONI!AD510</f>
        <v/>
      </c>
      <c r="Y117" s="7">
        <f>LAVORAZIONI!AE510</f>
        <v/>
      </c>
      <c r="Z117" s="6">
        <f>LAVORAZIONI!AF510</f>
        <v/>
      </c>
      <c r="AA117" s="7">
        <f>LAVORAZIONI!AG510</f>
        <v/>
      </c>
      <c r="AB117" s="6">
        <f>LAVORAZIONI!AH510</f>
        <v/>
      </c>
      <c r="AC117" s="7">
        <f>LAVORAZIONI!AI510</f>
        <v/>
      </c>
      <c r="AD117" s="13">
        <f>LAVORAZIONI!AJ510</f>
        <v/>
      </c>
    </row>
    <row r="118" ht="64" customHeight="1" s="46">
      <c r="D118" s="14" t="inlineStr">
        <is>
          <t>TOTALE ELETTRICHE</t>
        </is>
      </c>
      <c r="I118" s="10">
        <f>SUM(I5:I117)</f>
        <v/>
      </c>
      <c r="L118" s="10">
        <f>SUM(L5:L117)</f>
        <v/>
      </c>
      <c r="M118" s="10">
        <f>SUM(M5:M117)</f>
        <v/>
      </c>
      <c r="P118" s="28">
        <f>SUM(P5:P117)</f>
        <v/>
      </c>
      <c r="R118" s="10">
        <f>SUM(R5:R117)</f>
        <v/>
      </c>
      <c r="T118" s="10">
        <f>SUM(T5:T117)</f>
        <v/>
      </c>
      <c r="V118" s="10">
        <f>SUM(V5:V117)</f>
        <v/>
      </c>
      <c r="X118" s="10">
        <f>SUM(X5:X117)</f>
        <v/>
      </c>
      <c r="Z118" s="10">
        <f>SUM(Z5:Z117)</f>
        <v/>
      </c>
      <c r="AB118" s="10">
        <f>SUM(AB5:AB117)</f>
        <v/>
      </c>
      <c r="AD118" s="10">
        <f>SUM(AD5:AD117)</f>
        <v/>
      </c>
    </row>
    <row r="119" ht="64" customHeight="1" s="46">
      <c r="R119" s="29">
        <f>R118+'ELETTRICHE SPECIALI'!R103</f>
        <v/>
      </c>
    </row>
    <row r="122" ht="64" customHeight="1" s="46">
      <c r="P122" s="29" t="n"/>
    </row>
  </sheetData>
  <autoFilter ref="B4:AD118"/>
  <mergeCells count="9">
    <mergeCell ref="AC3:AD3"/>
    <mergeCell ref="AA3:AB3"/>
    <mergeCell ref="O3:P3"/>
    <mergeCell ref="Q3:R3"/>
    <mergeCell ref="U3:V3"/>
    <mergeCell ref="Y3:Z3"/>
    <mergeCell ref="B2:L2"/>
    <mergeCell ref="W3:X3"/>
    <mergeCell ref="S3:T3"/>
  </mergeCells>
  <pageMargins left="0.75" right="0.75" top="1" bottom="1" header="0.511811023622047" footer="0.511811023622047"/>
  <pageSetup orientation="landscape" paperSize="9" scale="76" horizontalDpi="300" verticalDpi="300"/>
  <headerFooter>
    <oddHeader>&amp;C&amp;K000000SAL APRILE 26 - OPERE ELETTRICHE CIVILI</oddHeader>
    <oddFooter>&amp;L&amp;C&amp;R</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B2:AD107"/>
  <sheetViews>
    <sheetView showGridLines="0" view="pageBreakPreview" zoomScale="97" zoomScaleNormal="100" zoomScaleSheetLayoutView="97" workbookViewId="0">
      <pane xSplit="6" ySplit="4" topLeftCell="G98" activePane="bottomRight" state="frozen"/>
      <selection pane="topRight" activeCell="G1" sqref="G1"/>
      <selection pane="bottomLeft" activeCell="A4" sqref="A4"/>
      <selection pane="bottomRight" activeCell="Q3" sqref="Q3:R3"/>
    </sheetView>
  </sheetViews>
  <sheetFormatPr baseColWidth="10" defaultColWidth="8.6640625" defaultRowHeight="56" customHeight="1"/>
  <cols>
    <col width="7" customWidth="1" style="46" min="2" max="2"/>
    <col width="22" customWidth="1" style="46" min="3" max="3"/>
    <col width="104.83203125" customWidth="1" style="46" min="4" max="4"/>
    <col width="16" customWidth="1" style="46" min="5" max="5"/>
    <col width="7" customWidth="1" style="46" min="6" max="6"/>
    <col width="9" customWidth="1" style="46" min="7" max="7"/>
    <col width="11" customWidth="1" style="46" min="8" max="8"/>
    <col width="13" customWidth="1" style="46" min="9" max="9"/>
    <col hidden="1" width="9" customWidth="1" style="46" min="10" max="10"/>
    <col hidden="1" width="11" customWidth="1" style="46" min="11" max="11"/>
    <col hidden="1" width="13" customWidth="1" style="46" min="12" max="12"/>
    <col width="13" customWidth="1" style="46" min="13" max="13"/>
    <col width="6" customWidth="1" style="46" min="15" max="15"/>
    <col width="12" customWidth="1" style="46" min="16" max="16"/>
    <col width="6" customWidth="1" style="46" min="17" max="17"/>
    <col width="12" customWidth="1" style="46" min="18" max="18"/>
    <col width="6" customWidth="1" style="46" min="19" max="19"/>
    <col width="12" customWidth="1" style="46" min="20" max="20"/>
    <col width="6" customWidth="1" style="46" min="21" max="21"/>
    <col width="12" customWidth="1" style="46" min="22" max="22"/>
    <col width="6" customWidth="1" style="46" min="23" max="23"/>
    <col width="12" customWidth="1" style="46" min="24" max="24"/>
    <col width="6" customWidth="1" style="46" min="25" max="25"/>
    <col width="12" customWidth="1" style="46" min="26" max="26"/>
    <col width="6" customWidth="1" style="46" min="27" max="27"/>
    <col width="12" customWidth="1" style="46" min="28" max="28"/>
    <col width="7" customWidth="1" style="46" min="29" max="29"/>
    <col width="13" customWidth="1" style="46" min="30" max="30"/>
  </cols>
  <sheetData>
    <row r="2" ht="56" customHeight="1" s="46">
      <c r="B2" s="39" t="inlineStr">
        <is>
          <t>DETTAGLIO SAL — OPERE ELETTRICHE SPECIALI A SERVIZIO DELLE APPARECCHIATURE DI LABORATORIO</t>
        </is>
      </c>
      <c r="C2" s="34" t="n"/>
      <c r="D2" s="34" t="n"/>
      <c r="E2" s="34" t="n"/>
      <c r="F2" s="34" t="n"/>
      <c r="G2" s="34" t="n"/>
      <c r="H2" s="34" t="n"/>
      <c r="I2" s="34" t="n"/>
      <c r="J2" s="34" t="n"/>
      <c r="K2" s="34" t="n"/>
      <c r="L2" s="34" t="n"/>
      <c r="M2" s="32" t="n"/>
    </row>
    <row r="3" ht="56" customHeight="1" s="46">
      <c r="B3" s="31" t="inlineStr">
        <is>
          <t>Nr.Ord.</t>
        </is>
      </c>
      <c r="C3" s="31" t="inlineStr">
        <is>
          <t>TARIFFA</t>
        </is>
      </c>
      <c r="D3" s="31" t="inlineStr">
        <is>
          <t>DESIGNAZIONE</t>
        </is>
      </c>
      <c r="E3" s="31" t="inlineStr">
        <is>
          <t>STEP</t>
        </is>
      </c>
      <c r="F3" s="31" t="inlineStr">
        <is>
          <t>U.M.</t>
        </is>
      </c>
      <c r="G3" s="31" t="inlineStr">
        <is>
          <t>Q.tà PREV</t>
        </is>
      </c>
      <c r="H3" s="31" t="inlineStr">
        <is>
          <t>VAL.UNIT PREV</t>
        </is>
      </c>
      <c r="I3" s="31" t="inlineStr">
        <is>
          <t>TOTALE PREV</t>
        </is>
      </c>
      <c r="J3" s="31" t="inlineStr">
        <is>
          <t>Q.tà CONS</t>
        </is>
      </c>
      <c r="K3" s="31" t="inlineStr">
        <is>
          <t>VAL.UNIT CONS</t>
        </is>
      </c>
      <c r="L3" s="31" t="inlineStr">
        <is>
          <t>TOTALE CONS</t>
        </is>
      </c>
      <c r="M3" s="31" t="inlineStr">
        <is>
          <t>VALORE PER SAL</t>
        </is>
      </c>
      <c r="O3" s="35" t="inlineStr">
        <is>
          <t>SAL 01 APRILE</t>
        </is>
      </c>
      <c r="P3" s="32" t="n"/>
      <c r="Q3" s="51" t="inlineStr">
        <is>
          <t>SAL 02 MAGGIO</t>
        </is>
      </c>
      <c r="R3" s="32" t="n"/>
      <c r="S3" s="31" t="inlineStr">
        <is>
          <t>SAL 03 GIUGNO</t>
        </is>
      </c>
      <c r="T3" s="32" t="n"/>
      <c r="U3" s="31" t="inlineStr">
        <is>
          <t>SAL 04 LUGLIO</t>
        </is>
      </c>
      <c r="V3" s="32" t="n"/>
      <c r="W3" s="31" t="inlineStr">
        <is>
          <t>SAL 05 AGOSTO</t>
        </is>
      </c>
      <c r="X3" s="32" t="n"/>
      <c r="Y3" s="31" t="inlineStr">
        <is>
          <t>SAL 06 SETTEMBRE</t>
        </is>
      </c>
      <c r="Z3" s="32" t="n"/>
      <c r="AA3" s="31" t="inlineStr">
        <is>
          <t>SAL 07 OTTOBRE</t>
        </is>
      </c>
      <c r="AB3" s="32" t="n"/>
      <c r="AC3" s="31" t="inlineStr">
        <is>
          <t>TOTALE COMPL.</t>
        </is>
      </c>
      <c r="AD3" s="32" t="n"/>
    </row>
    <row r="4" ht="56" customHeight="1" s="46">
      <c r="O4" s="12" t="inlineStr">
        <is>
          <t>%</t>
        </is>
      </c>
      <c r="P4" s="26" t="inlineStr">
        <is>
          <t>TOTALE</t>
        </is>
      </c>
      <c r="Q4" s="12" t="inlineStr">
        <is>
          <t>%</t>
        </is>
      </c>
      <c r="R4" s="12" t="inlineStr">
        <is>
          <t>TOTALE</t>
        </is>
      </c>
      <c r="S4" s="12" t="inlineStr">
        <is>
          <t>%</t>
        </is>
      </c>
      <c r="T4" s="12" t="inlineStr">
        <is>
          <t>TOTALE</t>
        </is>
      </c>
      <c r="U4" s="12" t="inlineStr">
        <is>
          <t>%</t>
        </is>
      </c>
      <c r="V4" s="12" t="inlineStr">
        <is>
          <t>TOTALE</t>
        </is>
      </c>
      <c r="W4" s="12" t="inlineStr">
        <is>
          <t>%</t>
        </is>
      </c>
      <c r="X4" s="12" t="inlineStr">
        <is>
          <t>TOTALE</t>
        </is>
      </c>
      <c r="Y4" s="12" t="inlineStr">
        <is>
          <t>%</t>
        </is>
      </c>
      <c r="Z4" s="12" t="inlineStr">
        <is>
          <t>TOTALE</t>
        </is>
      </c>
      <c r="AA4" s="12" t="inlineStr">
        <is>
          <t>%</t>
        </is>
      </c>
      <c r="AB4" s="12" t="inlineStr">
        <is>
          <t>TOTALE</t>
        </is>
      </c>
      <c r="AC4" s="12" t="inlineStr">
        <is>
          <t>%</t>
        </is>
      </c>
      <c r="AD4" s="12" t="inlineStr">
        <is>
          <t>TOTALE</t>
        </is>
      </c>
    </row>
    <row r="5" ht="56" customHeight="1" s="46">
      <c r="B5" s="4">
        <f>LAVORAZIONI!G511</f>
        <v/>
      </c>
      <c r="C5" s="3">
        <f>LAVORAZIONI!A511</f>
        <v/>
      </c>
      <c r="D5" s="3">
        <f>LAVORAZIONI!K511</f>
        <v/>
      </c>
      <c r="E5" s="4">
        <f>LAVORAZIONI!H511</f>
        <v/>
      </c>
      <c r="F5" s="4">
        <f>LAVORAZIONI!M511</f>
        <v/>
      </c>
      <c r="G5" s="5">
        <f>LAVORAZIONI!N511</f>
        <v/>
      </c>
      <c r="H5" s="6">
        <f>LAVORAZIONI!O511</f>
        <v/>
      </c>
      <c r="I5" s="13">
        <f>LAVORAZIONI!P511</f>
        <v/>
      </c>
      <c r="J5" s="5">
        <f>IF(LAVORAZIONI!Q511="","",LAVORAZIONI!Q511)</f>
        <v/>
      </c>
      <c r="K5" s="6">
        <f>IF(LAVORAZIONI!R511="","",LAVORAZIONI!R511)</f>
        <v/>
      </c>
      <c r="L5" s="13">
        <f>IF(LAVORAZIONI!S511="","",LAVORAZIONI!S511)</f>
        <v/>
      </c>
      <c r="M5" s="13">
        <f>LAVORAZIONI!T511</f>
        <v/>
      </c>
      <c r="O5" s="7">
        <f>LAVORAZIONI!U511</f>
        <v/>
      </c>
      <c r="P5" s="45">
        <f>LAVORAZIONI!V511</f>
        <v/>
      </c>
      <c r="Q5" s="7">
        <f>LAVORAZIONI!W511</f>
        <v/>
      </c>
      <c r="R5" s="6">
        <f>LAVORAZIONI!X511</f>
        <v/>
      </c>
      <c r="S5" s="7">
        <f>LAVORAZIONI!Y511</f>
        <v/>
      </c>
      <c r="T5" s="6">
        <f>LAVORAZIONI!Z511</f>
        <v/>
      </c>
      <c r="U5" s="7">
        <f>LAVORAZIONI!AA511</f>
        <v/>
      </c>
      <c r="V5" s="6">
        <f>LAVORAZIONI!AB511</f>
        <v/>
      </c>
      <c r="W5" s="7">
        <f>LAVORAZIONI!AC511</f>
        <v/>
      </c>
      <c r="X5" s="6">
        <f>LAVORAZIONI!AD511</f>
        <v/>
      </c>
      <c r="Y5" s="7">
        <f>LAVORAZIONI!AE511</f>
        <v/>
      </c>
      <c r="Z5" s="6">
        <f>LAVORAZIONI!AF511</f>
        <v/>
      </c>
      <c r="AA5" s="7">
        <f>LAVORAZIONI!AG511</f>
        <v/>
      </c>
      <c r="AB5" s="6">
        <f>LAVORAZIONI!AH511</f>
        <v/>
      </c>
      <c r="AC5" s="7">
        <f>LAVORAZIONI!AI511</f>
        <v/>
      </c>
      <c r="AD5" s="13">
        <f>LAVORAZIONI!AJ511</f>
        <v/>
      </c>
    </row>
    <row r="6" ht="56" customHeight="1" s="46">
      <c r="B6" s="4">
        <f>LAVORAZIONI!G512</f>
        <v/>
      </c>
      <c r="C6" s="3">
        <f>LAVORAZIONI!A512</f>
        <v/>
      </c>
      <c r="D6" s="3">
        <f>LAVORAZIONI!K512</f>
        <v/>
      </c>
      <c r="E6" s="4">
        <f>LAVORAZIONI!H512</f>
        <v/>
      </c>
      <c r="F6" s="4">
        <f>LAVORAZIONI!M512</f>
        <v/>
      </c>
      <c r="G6" s="5">
        <f>LAVORAZIONI!N512</f>
        <v/>
      </c>
      <c r="H6" s="6">
        <f>LAVORAZIONI!O512</f>
        <v/>
      </c>
      <c r="I6" s="13">
        <f>LAVORAZIONI!P512</f>
        <v/>
      </c>
      <c r="J6" s="5">
        <f>IF(LAVORAZIONI!Q512="","",LAVORAZIONI!Q512)</f>
        <v/>
      </c>
      <c r="K6" s="6">
        <f>IF(LAVORAZIONI!R512="","",LAVORAZIONI!R512)</f>
        <v/>
      </c>
      <c r="L6" s="13">
        <f>IF(LAVORAZIONI!S512="","",LAVORAZIONI!S512)</f>
        <v/>
      </c>
      <c r="M6" s="13">
        <f>LAVORAZIONI!T512</f>
        <v/>
      </c>
      <c r="O6" s="7">
        <f>LAVORAZIONI!U512</f>
        <v/>
      </c>
      <c r="P6" s="45">
        <f>LAVORAZIONI!V512</f>
        <v/>
      </c>
      <c r="Q6" s="7">
        <f>LAVORAZIONI!W512</f>
        <v/>
      </c>
      <c r="R6" s="6">
        <f>LAVORAZIONI!X512</f>
        <v/>
      </c>
      <c r="S6" s="7">
        <f>LAVORAZIONI!Y512</f>
        <v/>
      </c>
      <c r="T6" s="6">
        <f>LAVORAZIONI!Z512</f>
        <v/>
      </c>
      <c r="U6" s="7">
        <f>LAVORAZIONI!AA512</f>
        <v/>
      </c>
      <c r="V6" s="6">
        <f>LAVORAZIONI!AB512</f>
        <v/>
      </c>
      <c r="W6" s="7">
        <f>LAVORAZIONI!AC512</f>
        <v/>
      </c>
      <c r="X6" s="6">
        <f>LAVORAZIONI!AD512</f>
        <v/>
      </c>
      <c r="Y6" s="7">
        <f>LAVORAZIONI!AE512</f>
        <v/>
      </c>
      <c r="Z6" s="6">
        <f>LAVORAZIONI!AF512</f>
        <v/>
      </c>
      <c r="AA6" s="7">
        <f>LAVORAZIONI!AG512</f>
        <v/>
      </c>
      <c r="AB6" s="6">
        <f>LAVORAZIONI!AH512</f>
        <v/>
      </c>
      <c r="AC6" s="7">
        <f>LAVORAZIONI!AI512</f>
        <v/>
      </c>
      <c r="AD6" s="13">
        <f>LAVORAZIONI!AJ512</f>
        <v/>
      </c>
    </row>
    <row r="7" ht="56" customHeight="1" s="46">
      <c r="B7" s="4">
        <f>LAVORAZIONI!G513</f>
        <v/>
      </c>
      <c r="C7" s="3">
        <f>LAVORAZIONI!A513</f>
        <v/>
      </c>
      <c r="D7" s="3">
        <f>LAVORAZIONI!K513</f>
        <v/>
      </c>
      <c r="E7" s="4">
        <f>LAVORAZIONI!H513</f>
        <v/>
      </c>
      <c r="F7" s="4">
        <f>LAVORAZIONI!M513</f>
        <v/>
      </c>
      <c r="G7" s="5">
        <f>LAVORAZIONI!N513</f>
        <v/>
      </c>
      <c r="H7" s="6">
        <f>LAVORAZIONI!O513</f>
        <v/>
      </c>
      <c r="I7" s="13">
        <f>LAVORAZIONI!P513</f>
        <v/>
      </c>
      <c r="J7" s="5">
        <f>IF(LAVORAZIONI!Q513="","",LAVORAZIONI!Q513)</f>
        <v/>
      </c>
      <c r="K7" s="6">
        <f>IF(LAVORAZIONI!R513="","",LAVORAZIONI!R513)</f>
        <v/>
      </c>
      <c r="L7" s="13">
        <f>IF(LAVORAZIONI!S513="","",LAVORAZIONI!S513)</f>
        <v/>
      </c>
      <c r="M7" s="13">
        <f>LAVORAZIONI!T513</f>
        <v/>
      </c>
      <c r="O7" s="7">
        <f>LAVORAZIONI!U513</f>
        <v/>
      </c>
      <c r="P7" s="45">
        <f>LAVORAZIONI!V513</f>
        <v/>
      </c>
      <c r="Q7" s="7">
        <f>LAVORAZIONI!W513</f>
        <v/>
      </c>
      <c r="R7" s="6">
        <f>LAVORAZIONI!X513</f>
        <v/>
      </c>
      <c r="S7" s="7">
        <f>LAVORAZIONI!Y513</f>
        <v/>
      </c>
      <c r="T7" s="6">
        <f>LAVORAZIONI!Z513</f>
        <v/>
      </c>
      <c r="U7" s="7">
        <f>LAVORAZIONI!AA513</f>
        <v/>
      </c>
      <c r="V7" s="6">
        <f>LAVORAZIONI!AB513</f>
        <v/>
      </c>
      <c r="W7" s="7">
        <f>LAVORAZIONI!AC513</f>
        <v/>
      </c>
      <c r="X7" s="6">
        <f>LAVORAZIONI!AD513</f>
        <v/>
      </c>
      <c r="Y7" s="7">
        <f>LAVORAZIONI!AE513</f>
        <v/>
      </c>
      <c r="Z7" s="6">
        <f>LAVORAZIONI!AF513</f>
        <v/>
      </c>
      <c r="AA7" s="7">
        <f>LAVORAZIONI!AG513</f>
        <v/>
      </c>
      <c r="AB7" s="6">
        <f>LAVORAZIONI!AH513</f>
        <v/>
      </c>
      <c r="AC7" s="7">
        <f>LAVORAZIONI!AI513</f>
        <v/>
      </c>
      <c r="AD7" s="13">
        <f>LAVORAZIONI!AJ513</f>
        <v/>
      </c>
    </row>
    <row r="8" ht="56" customHeight="1" s="46">
      <c r="B8" s="4">
        <f>LAVORAZIONI!G514</f>
        <v/>
      </c>
      <c r="C8" s="3">
        <f>LAVORAZIONI!A514</f>
        <v/>
      </c>
      <c r="D8" s="3">
        <f>LAVORAZIONI!K514</f>
        <v/>
      </c>
      <c r="E8" s="4">
        <f>LAVORAZIONI!H514</f>
        <v/>
      </c>
      <c r="F8" s="4">
        <f>LAVORAZIONI!M514</f>
        <v/>
      </c>
      <c r="G8" s="5">
        <f>LAVORAZIONI!N514</f>
        <v/>
      </c>
      <c r="H8" s="6">
        <f>LAVORAZIONI!O514</f>
        <v/>
      </c>
      <c r="I8" s="13">
        <f>LAVORAZIONI!P514</f>
        <v/>
      </c>
      <c r="J8" s="5">
        <f>IF(LAVORAZIONI!Q514="","",LAVORAZIONI!Q514)</f>
        <v/>
      </c>
      <c r="K8" s="6">
        <f>IF(LAVORAZIONI!R514="","",LAVORAZIONI!R514)</f>
        <v/>
      </c>
      <c r="L8" s="13">
        <f>IF(LAVORAZIONI!S514="","",LAVORAZIONI!S514)</f>
        <v/>
      </c>
      <c r="M8" s="13">
        <f>LAVORAZIONI!T514</f>
        <v/>
      </c>
      <c r="O8" s="7">
        <f>LAVORAZIONI!U514</f>
        <v/>
      </c>
      <c r="P8" s="45">
        <f>LAVORAZIONI!V514</f>
        <v/>
      </c>
      <c r="Q8" s="7">
        <f>LAVORAZIONI!W514</f>
        <v/>
      </c>
      <c r="R8" s="6">
        <f>LAVORAZIONI!X514</f>
        <v/>
      </c>
      <c r="S8" s="7">
        <f>LAVORAZIONI!Y514</f>
        <v/>
      </c>
      <c r="T8" s="6">
        <f>LAVORAZIONI!Z514</f>
        <v/>
      </c>
      <c r="U8" s="7">
        <f>LAVORAZIONI!AA514</f>
        <v/>
      </c>
      <c r="V8" s="6">
        <f>LAVORAZIONI!AB514</f>
        <v/>
      </c>
      <c r="W8" s="7">
        <f>LAVORAZIONI!AC514</f>
        <v/>
      </c>
      <c r="X8" s="6">
        <f>LAVORAZIONI!AD514</f>
        <v/>
      </c>
      <c r="Y8" s="7">
        <f>LAVORAZIONI!AE514</f>
        <v/>
      </c>
      <c r="Z8" s="6">
        <f>LAVORAZIONI!AF514</f>
        <v/>
      </c>
      <c r="AA8" s="7">
        <f>LAVORAZIONI!AG514</f>
        <v/>
      </c>
      <c r="AB8" s="6">
        <f>LAVORAZIONI!AH514</f>
        <v/>
      </c>
      <c r="AC8" s="7">
        <f>LAVORAZIONI!AI514</f>
        <v/>
      </c>
      <c r="AD8" s="13">
        <f>LAVORAZIONI!AJ514</f>
        <v/>
      </c>
    </row>
    <row r="9" ht="56" customHeight="1" s="46">
      <c r="B9" s="4">
        <f>LAVORAZIONI!G515</f>
        <v/>
      </c>
      <c r="C9" s="3">
        <f>LAVORAZIONI!A515</f>
        <v/>
      </c>
      <c r="D9" s="3">
        <f>LAVORAZIONI!K515</f>
        <v/>
      </c>
      <c r="E9" s="4">
        <f>LAVORAZIONI!H515</f>
        <v/>
      </c>
      <c r="F9" s="4">
        <f>LAVORAZIONI!M515</f>
        <v/>
      </c>
      <c r="G9" s="5">
        <f>LAVORAZIONI!N515</f>
        <v/>
      </c>
      <c r="H9" s="6">
        <f>LAVORAZIONI!O515</f>
        <v/>
      </c>
      <c r="I9" s="13">
        <f>LAVORAZIONI!P515</f>
        <v/>
      </c>
      <c r="J9" s="5">
        <f>IF(LAVORAZIONI!Q515="","",LAVORAZIONI!Q515)</f>
        <v/>
      </c>
      <c r="K9" s="6">
        <f>IF(LAVORAZIONI!R515="","",LAVORAZIONI!R515)</f>
        <v/>
      </c>
      <c r="L9" s="13">
        <f>IF(LAVORAZIONI!S515="","",LAVORAZIONI!S515)</f>
        <v/>
      </c>
      <c r="M9" s="13">
        <f>LAVORAZIONI!T515</f>
        <v/>
      </c>
      <c r="O9" s="7">
        <f>LAVORAZIONI!U515</f>
        <v/>
      </c>
      <c r="P9" s="45">
        <f>LAVORAZIONI!V515</f>
        <v/>
      </c>
      <c r="Q9" s="7">
        <f>LAVORAZIONI!W515</f>
        <v/>
      </c>
      <c r="R9" s="6">
        <f>LAVORAZIONI!X515</f>
        <v/>
      </c>
      <c r="S9" s="7">
        <f>LAVORAZIONI!Y515</f>
        <v/>
      </c>
      <c r="T9" s="6">
        <f>LAVORAZIONI!Z515</f>
        <v/>
      </c>
      <c r="U9" s="7">
        <f>LAVORAZIONI!AA515</f>
        <v/>
      </c>
      <c r="V9" s="6">
        <f>LAVORAZIONI!AB515</f>
        <v/>
      </c>
      <c r="W9" s="7">
        <f>LAVORAZIONI!AC515</f>
        <v/>
      </c>
      <c r="X9" s="6">
        <f>LAVORAZIONI!AD515</f>
        <v/>
      </c>
      <c r="Y9" s="7">
        <f>LAVORAZIONI!AE515</f>
        <v/>
      </c>
      <c r="Z9" s="6">
        <f>LAVORAZIONI!AF515</f>
        <v/>
      </c>
      <c r="AA9" s="7">
        <f>LAVORAZIONI!AG515</f>
        <v/>
      </c>
      <c r="AB9" s="6">
        <f>LAVORAZIONI!AH515</f>
        <v/>
      </c>
      <c r="AC9" s="7">
        <f>LAVORAZIONI!AI515</f>
        <v/>
      </c>
      <c r="AD9" s="13">
        <f>LAVORAZIONI!AJ515</f>
        <v/>
      </c>
    </row>
    <row r="10" ht="56" customHeight="1" s="46">
      <c r="B10" s="4">
        <f>LAVORAZIONI!G516</f>
        <v/>
      </c>
      <c r="C10" s="3">
        <f>LAVORAZIONI!A516</f>
        <v/>
      </c>
      <c r="D10" s="3">
        <f>LAVORAZIONI!K516</f>
        <v/>
      </c>
      <c r="E10" s="4">
        <f>LAVORAZIONI!H516</f>
        <v/>
      </c>
      <c r="F10" s="4">
        <f>LAVORAZIONI!M516</f>
        <v/>
      </c>
      <c r="G10" s="5">
        <f>LAVORAZIONI!N516</f>
        <v/>
      </c>
      <c r="H10" s="6">
        <f>LAVORAZIONI!O516</f>
        <v/>
      </c>
      <c r="I10" s="13">
        <f>LAVORAZIONI!P516</f>
        <v/>
      </c>
      <c r="J10" s="5">
        <f>IF(LAVORAZIONI!Q516="","",LAVORAZIONI!Q516)</f>
        <v/>
      </c>
      <c r="K10" s="6">
        <f>IF(LAVORAZIONI!R516="","",LAVORAZIONI!R516)</f>
        <v/>
      </c>
      <c r="L10" s="13">
        <f>IF(LAVORAZIONI!S516="","",LAVORAZIONI!S516)</f>
        <v/>
      </c>
      <c r="M10" s="13">
        <f>LAVORAZIONI!T516</f>
        <v/>
      </c>
      <c r="O10" s="7">
        <f>LAVORAZIONI!U516</f>
        <v/>
      </c>
      <c r="P10" s="45">
        <f>LAVORAZIONI!V516</f>
        <v/>
      </c>
      <c r="Q10" s="7">
        <f>LAVORAZIONI!W516</f>
        <v/>
      </c>
      <c r="R10" s="6">
        <f>LAVORAZIONI!X516</f>
        <v/>
      </c>
      <c r="S10" s="7">
        <f>LAVORAZIONI!Y516</f>
        <v/>
      </c>
      <c r="T10" s="6">
        <f>LAVORAZIONI!Z516</f>
        <v/>
      </c>
      <c r="U10" s="7">
        <f>LAVORAZIONI!AA516</f>
        <v/>
      </c>
      <c r="V10" s="6">
        <f>LAVORAZIONI!AB516</f>
        <v/>
      </c>
      <c r="W10" s="7">
        <f>LAVORAZIONI!AC516</f>
        <v/>
      </c>
      <c r="X10" s="6">
        <f>LAVORAZIONI!AD516</f>
        <v/>
      </c>
      <c r="Y10" s="7">
        <f>LAVORAZIONI!AE516</f>
        <v/>
      </c>
      <c r="Z10" s="6">
        <f>LAVORAZIONI!AF516</f>
        <v/>
      </c>
      <c r="AA10" s="7">
        <f>LAVORAZIONI!AG516</f>
        <v/>
      </c>
      <c r="AB10" s="6">
        <f>LAVORAZIONI!AH516</f>
        <v/>
      </c>
      <c r="AC10" s="7">
        <f>LAVORAZIONI!AI516</f>
        <v/>
      </c>
      <c r="AD10" s="13">
        <f>LAVORAZIONI!AJ516</f>
        <v/>
      </c>
    </row>
    <row r="11" ht="56" customHeight="1" s="46">
      <c r="B11" s="4">
        <f>LAVORAZIONI!G517</f>
        <v/>
      </c>
      <c r="C11" s="3">
        <f>LAVORAZIONI!A517</f>
        <v/>
      </c>
      <c r="D11" s="3">
        <f>LAVORAZIONI!K517</f>
        <v/>
      </c>
      <c r="E11" s="4">
        <f>LAVORAZIONI!H517</f>
        <v/>
      </c>
      <c r="F11" s="4">
        <f>LAVORAZIONI!M517</f>
        <v/>
      </c>
      <c r="G11" s="5">
        <f>LAVORAZIONI!N517</f>
        <v/>
      </c>
      <c r="H11" s="6">
        <f>LAVORAZIONI!O517</f>
        <v/>
      </c>
      <c r="I11" s="13">
        <f>LAVORAZIONI!P517</f>
        <v/>
      </c>
      <c r="J11" s="5">
        <f>IF(LAVORAZIONI!Q517="","",LAVORAZIONI!Q517)</f>
        <v/>
      </c>
      <c r="K11" s="6">
        <f>IF(LAVORAZIONI!R517="","",LAVORAZIONI!R517)</f>
        <v/>
      </c>
      <c r="L11" s="13">
        <f>IF(LAVORAZIONI!S517="","",LAVORAZIONI!S517)</f>
        <v/>
      </c>
      <c r="M11" s="13">
        <f>LAVORAZIONI!T517</f>
        <v/>
      </c>
      <c r="O11" s="7">
        <f>LAVORAZIONI!U517</f>
        <v/>
      </c>
      <c r="P11" s="45">
        <f>LAVORAZIONI!V517</f>
        <v/>
      </c>
      <c r="Q11" s="7">
        <f>LAVORAZIONI!W517</f>
        <v/>
      </c>
      <c r="R11" s="6">
        <f>LAVORAZIONI!X517</f>
        <v/>
      </c>
      <c r="S11" s="7">
        <f>LAVORAZIONI!Y517</f>
        <v/>
      </c>
      <c r="T11" s="6">
        <f>LAVORAZIONI!Z517</f>
        <v/>
      </c>
      <c r="U11" s="7">
        <f>LAVORAZIONI!AA517</f>
        <v/>
      </c>
      <c r="V11" s="6">
        <f>LAVORAZIONI!AB517</f>
        <v/>
      </c>
      <c r="W11" s="7">
        <f>LAVORAZIONI!AC517</f>
        <v/>
      </c>
      <c r="X11" s="6">
        <f>LAVORAZIONI!AD517</f>
        <v/>
      </c>
      <c r="Y11" s="7">
        <f>LAVORAZIONI!AE517</f>
        <v/>
      </c>
      <c r="Z11" s="6">
        <f>LAVORAZIONI!AF517</f>
        <v/>
      </c>
      <c r="AA11" s="7">
        <f>LAVORAZIONI!AG517</f>
        <v/>
      </c>
      <c r="AB11" s="6">
        <f>LAVORAZIONI!AH517</f>
        <v/>
      </c>
      <c r="AC11" s="7">
        <f>LAVORAZIONI!AI517</f>
        <v/>
      </c>
      <c r="AD11" s="13">
        <f>LAVORAZIONI!AJ517</f>
        <v/>
      </c>
    </row>
    <row r="12" ht="56" customHeight="1" s="46">
      <c r="B12" s="4">
        <f>LAVORAZIONI!G518</f>
        <v/>
      </c>
      <c r="C12" s="3">
        <f>LAVORAZIONI!A518</f>
        <v/>
      </c>
      <c r="D12" s="3">
        <f>LAVORAZIONI!K518</f>
        <v/>
      </c>
      <c r="E12" s="4">
        <f>LAVORAZIONI!H518</f>
        <v/>
      </c>
      <c r="F12" s="4">
        <f>LAVORAZIONI!M518</f>
        <v/>
      </c>
      <c r="G12" s="5">
        <f>LAVORAZIONI!N518</f>
        <v/>
      </c>
      <c r="H12" s="6">
        <f>LAVORAZIONI!O518</f>
        <v/>
      </c>
      <c r="I12" s="13">
        <f>LAVORAZIONI!P518</f>
        <v/>
      </c>
      <c r="J12" s="5">
        <f>IF(LAVORAZIONI!Q518="","",LAVORAZIONI!Q518)</f>
        <v/>
      </c>
      <c r="K12" s="6">
        <f>IF(LAVORAZIONI!R518="","",LAVORAZIONI!R518)</f>
        <v/>
      </c>
      <c r="L12" s="13">
        <f>IF(LAVORAZIONI!S518="","",LAVORAZIONI!S518)</f>
        <v/>
      </c>
      <c r="M12" s="13">
        <f>LAVORAZIONI!T518</f>
        <v/>
      </c>
      <c r="O12" s="7">
        <f>LAVORAZIONI!U518</f>
        <v/>
      </c>
      <c r="P12" s="45">
        <f>LAVORAZIONI!V518</f>
        <v/>
      </c>
      <c r="Q12" s="7">
        <f>LAVORAZIONI!W518</f>
        <v/>
      </c>
      <c r="R12" s="6">
        <f>LAVORAZIONI!X518</f>
        <v/>
      </c>
      <c r="S12" s="7">
        <f>LAVORAZIONI!Y518</f>
        <v/>
      </c>
      <c r="T12" s="6">
        <f>LAVORAZIONI!Z518</f>
        <v/>
      </c>
      <c r="U12" s="7">
        <f>LAVORAZIONI!AA518</f>
        <v/>
      </c>
      <c r="V12" s="6">
        <f>LAVORAZIONI!AB518</f>
        <v/>
      </c>
      <c r="W12" s="7">
        <f>LAVORAZIONI!AC518</f>
        <v/>
      </c>
      <c r="X12" s="6">
        <f>LAVORAZIONI!AD518</f>
        <v/>
      </c>
      <c r="Y12" s="7">
        <f>LAVORAZIONI!AE518</f>
        <v/>
      </c>
      <c r="Z12" s="6">
        <f>LAVORAZIONI!AF518</f>
        <v/>
      </c>
      <c r="AA12" s="7">
        <f>LAVORAZIONI!AG518</f>
        <v/>
      </c>
      <c r="AB12" s="6">
        <f>LAVORAZIONI!AH518</f>
        <v/>
      </c>
      <c r="AC12" s="7">
        <f>LAVORAZIONI!AI518</f>
        <v/>
      </c>
      <c r="AD12" s="13">
        <f>LAVORAZIONI!AJ518</f>
        <v/>
      </c>
    </row>
    <row r="13" ht="56" customHeight="1" s="46">
      <c r="B13" s="4">
        <f>LAVORAZIONI!G519</f>
        <v/>
      </c>
      <c r="C13" s="3">
        <f>LAVORAZIONI!A519</f>
        <v/>
      </c>
      <c r="D13" s="3">
        <f>LAVORAZIONI!K519</f>
        <v/>
      </c>
      <c r="E13" s="4">
        <f>LAVORAZIONI!H519</f>
        <v/>
      </c>
      <c r="F13" s="4">
        <f>LAVORAZIONI!M519</f>
        <v/>
      </c>
      <c r="G13" s="5">
        <f>LAVORAZIONI!N519</f>
        <v/>
      </c>
      <c r="H13" s="6">
        <f>LAVORAZIONI!O519</f>
        <v/>
      </c>
      <c r="I13" s="13">
        <f>LAVORAZIONI!P519</f>
        <v/>
      </c>
      <c r="J13" s="5">
        <f>IF(LAVORAZIONI!Q519="","",LAVORAZIONI!Q519)</f>
        <v/>
      </c>
      <c r="K13" s="6">
        <f>IF(LAVORAZIONI!R519="","",LAVORAZIONI!R519)</f>
        <v/>
      </c>
      <c r="L13" s="13">
        <f>IF(LAVORAZIONI!S519="","",LAVORAZIONI!S519)</f>
        <v/>
      </c>
      <c r="M13" s="13">
        <f>LAVORAZIONI!T519</f>
        <v/>
      </c>
      <c r="O13" s="7">
        <f>LAVORAZIONI!U519</f>
        <v/>
      </c>
      <c r="P13" s="45">
        <f>LAVORAZIONI!V519</f>
        <v/>
      </c>
      <c r="Q13" s="7">
        <f>LAVORAZIONI!W519</f>
        <v/>
      </c>
      <c r="R13" s="6">
        <f>LAVORAZIONI!X519</f>
        <v/>
      </c>
      <c r="S13" s="7">
        <f>LAVORAZIONI!Y519</f>
        <v/>
      </c>
      <c r="T13" s="6">
        <f>LAVORAZIONI!Z519</f>
        <v/>
      </c>
      <c r="U13" s="7">
        <f>LAVORAZIONI!AA519</f>
        <v/>
      </c>
      <c r="V13" s="6">
        <f>LAVORAZIONI!AB519</f>
        <v/>
      </c>
      <c r="W13" s="7">
        <f>LAVORAZIONI!AC519</f>
        <v/>
      </c>
      <c r="X13" s="6">
        <f>LAVORAZIONI!AD519</f>
        <v/>
      </c>
      <c r="Y13" s="7">
        <f>LAVORAZIONI!AE519</f>
        <v/>
      </c>
      <c r="Z13" s="6">
        <f>LAVORAZIONI!AF519</f>
        <v/>
      </c>
      <c r="AA13" s="7">
        <f>LAVORAZIONI!AG519</f>
        <v/>
      </c>
      <c r="AB13" s="6">
        <f>LAVORAZIONI!AH519</f>
        <v/>
      </c>
      <c r="AC13" s="7">
        <f>LAVORAZIONI!AI519</f>
        <v/>
      </c>
      <c r="AD13" s="13">
        <f>LAVORAZIONI!AJ519</f>
        <v/>
      </c>
    </row>
    <row r="14" ht="56" customHeight="1" s="46">
      <c r="B14" s="4">
        <f>LAVORAZIONI!G520</f>
        <v/>
      </c>
      <c r="C14" s="3">
        <f>LAVORAZIONI!A520</f>
        <v/>
      </c>
      <c r="D14" s="3">
        <f>LAVORAZIONI!K520</f>
        <v/>
      </c>
      <c r="E14" s="4">
        <f>LAVORAZIONI!H520</f>
        <v/>
      </c>
      <c r="F14" s="4">
        <f>LAVORAZIONI!M520</f>
        <v/>
      </c>
      <c r="G14" s="5">
        <f>LAVORAZIONI!N520</f>
        <v/>
      </c>
      <c r="H14" s="6">
        <f>LAVORAZIONI!O520</f>
        <v/>
      </c>
      <c r="I14" s="13">
        <f>LAVORAZIONI!P520</f>
        <v/>
      </c>
      <c r="J14" s="5">
        <f>IF(LAVORAZIONI!Q520="","",LAVORAZIONI!Q520)</f>
        <v/>
      </c>
      <c r="K14" s="6">
        <f>IF(LAVORAZIONI!R520="","",LAVORAZIONI!R520)</f>
        <v/>
      </c>
      <c r="L14" s="13">
        <f>IF(LAVORAZIONI!S520="","",LAVORAZIONI!S520)</f>
        <v/>
      </c>
      <c r="M14" s="13">
        <f>LAVORAZIONI!T520</f>
        <v/>
      </c>
      <c r="O14" s="7">
        <f>LAVORAZIONI!U520</f>
        <v/>
      </c>
      <c r="P14" s="45">
        <f>LAVORAZIONI!V520</f>
        <v/>
      </c>
      <c r="Q14" s="7">
        <f>LAVORAZIONI!W520</f>
        <v/>
      </c>
      <c r="R14" s="6">
        <f>LAVORAZIONI!X520</f>
        <v/>
      </c>
      <c r="S14" s="7">
        <f>LAVORAZIONI!Y520</f>
        <v/>
      </c>
      <c r="T14" s="6">
        <f>LAVORAZIONI!Z520</f>
        <v/>
      </c>
      <c r="U14" s="7">
        <f>LAVORAZIONI!AA520</f>
        <v/>
      </c>
      <c r="V14" s="6">
        <f>LAVORAZIONI!AB520</f>
        <v/>
      </c>
      <c r="W14" s="7">
        <f>LAVORAZIONI!AC520</f>
        <v/>
      </c>
      <c r="X14" s="6">
        <f>LAVORAZIONI!AD520</f>
        <v/>
      </c>
      <c r="Y14" s="7">
        <f>LAVORAZIONI!AE520</f>
        <v/>
      </c>
      <c r="Z14" s="6">
        <f>LAVORAZIONI!AF520</f>
        <v/>
      </c>
      <c r="AA14" s="7">
        <f>LAVORAZIONI!AG520</f>
        <v/>
      </c>
      <c r="AB14" s="6">
        <f>LAVORAZIONI!AH520</f>
        <v/>
      </c>
      <c r="AC14" s="7">
        <f>LAVORAZIONI!AI520</f>
        <v/>
      </c>
      <c r="AD14" s="13">
        <f>LAVORAZIONI!AJ520</f>
        <v/>
      </c>
    </row>
    <row r="15" ht="56" customHeight="1" s="46">
      <c r="B15" s="4">
        <f>LAVORAZIONI!G521</f>
        <v/>
      </c>
      <c r="C15" s="3">
        <f>LAVORAZIONI!A521</f>
        <v/>
      </c>
      <c r="D15" s="3">
        <f>LAVORAZIONI!K521</f>
        <v/>
      </c>
      <c r="E15" s="4">
        <f>LAVORAZIONI!H521</f>
        <v/>
      </c>
      <c r="F15" s="4">
        <f>LAVORAZIONI!M521</f>
        <v/>
      </c>
      <c r="G15" s="5">
        <f>LAVORAZIONI!N521</f>
        <v/>
      </c>
      <c r="H15" s="6">
        <f>LAVORAZIONI!O521</f>
        <v/>
      </c>
      <c r="I15" s="13">
        <f>LAVORAZIONI!P521</f>
        <v/>
      </c>
      <c r="J15" s="5">
        <f>IF(LAVORAZIONI!Q521="","",LAVORAZIONI!Q521)</f>
        <v/>
      </c>
      <c r="K15" s="6">
        <f>IF(LAVORAZIONI!R521="","",LAVORAZIONI!R521)</f>
        <v/>
      </c>
      <c r="L15" s="13">
        <f>IF(LAVORAZIONI!S521="","",LAVORAZIONI!S521)</f>
        <v/>
      </c>
      <c r="M15" s="13">
        <f>LAVORAZIONI!T521</f>
        <v/>
      </c>
      <c r="O15" s="7">
        <f>LAVORAZIONI!U521</f>
        <v/>
      </c>
      <c r="P15" s="45">
        <f>LAVORAZIONI!V521</f>
        <v/>
      </c>
      <c r="Q15" s="7">
        <f>LAVORAZIONI!W521</f>
        <v/>
      </c>
      <c r="R15" s="6">
        <f>LAVORAZIONI!X521</f>
        <v/>
      </c>
      <c r="S15" s="7">
        <f>LAVORAZIONI!Y521</f>
        <v/>
      </c>
      <c r="T15" s="6">
        <f>LAVORAZIONI!Z521</f>
        <v/>
      </c>
      <c r="U15" s="7">
        <f>LAVORAZIONI!AA521</f>
        <v/>
      </c>
      <c r="V15" s="6">
        <f>LAVORAZIONI!AB521</f>
        <v/>
      </c>
      <c r="W15" s="7">
        <f>LAVORAZIONI!AC521</f>
        <v/>
      </c>
      <c r="X15" s="6">
        <f>LAVORAZIONI!AD521</f>
        <v/>
      </c>
      <c r="Y15" s="7">
        <f>LAVORAZIONI!AE521</f>
        <v/>
      </c>
      <c r="Z15" s="6">
        <f>LAVORAZIONI!AF521</f>
        <v/>
      </c>
      <c r="AA15" s="7">
        <f>LAVORAZIONI!AG521</f>
        <v/>
      </c>
      <c r="AB15" s="6">
        <f>LAVORAZIONI!AH521</f>
        <v/>
      </c>
      <c r="AC15" s="7">
        <f>LAVORAZIONI!AI521</f>
        <v/>
      </c>
      <c r="AD15" s="13">
        <f>LAVORAZIONI!AJ521</f>
        <v/>
      </c>
    </row>
    <row r="16" ht="56" customHeight="1" s="46">
      <c r="B16" s="4">
        <f>LAVORAZIONI!G522</f>
        <v/>
      </c>
      <c r="C16" s="3">
        <f>LAVORAZIONI!A522</f>
        <v/>
      </c>
      <c r="D16" s="3">
        <f>LAVORAZIONI!K522</f>
        <v/>
      </c>
      <c r="E16" s="4">
        <f>LAVORAZIONI!H522</f>
        <v/>
      </c>
      <c r="F16" s="4">
        <f>LAVORAZIONI!M522</f>
        <v/>
      </c>
      <c r="G16" s="5">
        <f>LAVORAZIONI!N522</f>
        <v/>
      </c>
      <c r="H16" s="6">
        <f>LAVORAZIONI!O522</f>
        <v/>
      </c>
      <c r="I16" s="13">
        <f>LAVORAZIONI!P522</f>
        <v/>
      </c>
      <c r="J16" s="5">
        <f>IF(LAVORAZIONI!Q522="","",LAVORAZIONI!Q522)</f>
        <v/>
      </c>
      <c r="K16" s="6">
        <f>IF(LAVORAZIONI!R522="","",LAVORAZIONI!R522)</f>
        <v/>
      </c>
      <c r="L16" s="13">
        <f>IF(LAVORAZIONI!S522="","",LAVORAZIONI!S522)</f>
        <v/>
      </c>
      <c r="M16" s="13">
        <f>LAVORAZIONI!T522</f>
        <v/>
      </c>
      <c r="O16" s="7">
        <f>LAVORAZIONI!U522</f>
        <v/>
      </c>
      <c r="P16" s="45">
        <f>LAVORAZIONI!V522</f>
        <v/>
      </c>
      <c r="Q16" s="7">
        <f>LAVORAZIONI!W522</f>
        <v/>
      </c>
      <c r="R16" s="6">
        <f>LAVORAZIONI!X522</f>
        <v/>
      </c>
      <c r="S16" s="7">
        <f>LAVORAZIONI!Y522</f>
        <v/>
      </c>
      <c r="T16" s="6">
        <f>LAVORAZIONI!Z522</f>
        <v/>
      </c>
      <c r="U16" s="7">
        <f>LAVORAZIONI!AA522</f>
        <v/>
      </c>
      <c r="V16" s="6">
        <f>LAVORAZIONI!AB522</f>
        <v/>
      </c>
      <c r="W16" s="7">
        <f>LAVORAZIONI!AC522</f>
        <v/>
      </c>
      <c r="X16" s="6">
        <f>LAVORAZIONI!AD522</f>
        <v/>
      </c>
      <c r="Y16" s="7">
        <f>LAVORAZIONI!AE522</f>
        <v/>
      </c>
      <c r="Z16" s="6">
        <f>LAVORAZIONI!AF522</f>
        <v/>
      </c>
      <c r="AA16" s="7">
        <f>LAVORAZIONI!AG522</f>
        <v/>
      </c>
      <c r="AB16" s="6">
        <f>LAVORAZIONI!AH522</f>
        <v/>
      </c>
      <c r="AC16" s="7">
        <f>LAVORAZIONI!AI522</f>
        <v/>
      </c>
      <c r="AD16" s="13">
        <f>LAVORAZIONI!AJ522</f>
        <v/>
      </c>
    </row>
    <row r="17" ht="56" customHeight="1" s="46">
      <c r="B17" s="4">
        <f>LAVORAZIONI!G523</f>
        <v/>
      </c>
      <c r="C17" s="3">
        <f>LAVORAZIONI!A523</f>
        <v/>
      </c>
      <c r="D17" s="3">
        <f>LAVORAZIONI!K523</f>
        <v/>
      </c>
      <c r="E17" s="4">
        <f>LAVORAZIONI!H523</f>
        <v/>
      </c>
      <c r="F17" s="4">
        <f>LAVORAZIONI!M523</f>
        <v/>
      </c>
      <c r="G17" s="5">
        <f>LAVORAZIONI!N523</f>
        <v/>
      </c>
      <c r="H17" s="6">
        <f>LAVORAZIONI!O523</f>
        <v/>
      </c>
      <c r="I17" s="13">
        <f>LAVORAZIONI!P523</f>
        <v/>
      </c>
      <c r="J17" s="5">
        <f>IF(LAVORAZIONI!Q523="","",LAVORAZIONI!Q523)</f>
        <v/>
      </c>
      <c r="K17" s="6">
        <f>IF(LAVORAZIONI!R523="","",LAVORAZIONI!R523)</f>
        <v/>
      </c>
      <c r="L17" s="13">
        <f>IF(LAVORAZIONI!S523="","",LAVORAZIONI!S523)</f>
        <v/>
      </c>
      <c r="M17" s="13">
        <f>LAVORAZIONI!T523</f>
        <v/>
      </c>
      <c r="O17" s="7">
        <f>LAVORAZIONI!U523</f>
        <v/>
      </c>
      <c r="P17" s="45">
        <f>LAVORAZIONI!V523</f>
        <v/>
      </c>
      <c r="Q17" s="7">
        <f>LAVORAZIONI!W523</f>
        <v/>
      </c>
      <c r="R17" s="6">
        <f>LAVORAZIONI!X523</f>
        <v/>
      </c>
      <c r="S17" s="7">
        <f>LAVORAZIONI!Y523</f>
        <v/>
      </c>
      <c r="T17" s="6">
        <f>LAVORAZIONI!Z523</f>
        <v/>
      </c>
      <c r="U17" s="7">
        <f>LAVORAZIONI!AA523</f>
        <v/>
      </c>
      <c r="V17" s="6">
        <f>LAVORAZIONI!AB523</f>
        <v/>
      </c>
      <c r="W17" s="7">
        <f>LAVORAZIONI!AC523</f>
        <v/>
      </c>
      <c r="X17" s="6">
        <f>LAVORAZIONI!AD523</f>
        <v/>
      </c>
      <c r="Y17" s="7">
        <f>LAVORAZIONI!AE523</f>
        <v/>
      </c>
      <c r="Z17" s="6">
        <f>LAVORAZIONI!AF523</f>
        <v/>
      </c>
      <c r="AA17" s="7">
        <f>LAVORAZIONI!AG523</f>
        <v/>
      </c>
      <c r="AB17" s="6">
        <f>LAVORAZIONI!AH523</f>
        <v/>
      </c>
      <c r="AC17" s="7">
        <f>LAVORAZIONI!AI523</f>
        <v/>
      </c>
      <c r="AD17" s="13">
        <f>LAVORAZIONI!AJ523</f>
        <v/>
      </c>
    </row>
    <row r="18" ht="56" customHeight="1" s="46">
      <c r="B18" s="4">
        <f>LAVORAZIONI!G524</f>
        <v/>
      </c>
      <c r="C18" s="3">
        <f>LAVORAZIONI!A524</f>
        <v/>
      </c>
      <c r="D18" s="3">
        <f>LAVORAZIONI!K524</f>
        <v/>
      </c>
      <c r="E18" s="4">
        <f>LAVORAZIONI!H524</f>
        <v/>
      </c>
      <c r="F18" s="4">
        <f>LAVORAZIONI!M524</f>
        <v/>
      </c>
      <c r="G18" s="5">
        <f>LAVORAZIONI!N524</f>
        <v/>
      </c>
      <c r="H18" s="6">
        <f>LAVORAZIONI!O524</f>
        <v/>
      </c>
      <c r="I18" s="13">
        <f>LAVORAZIONI!P524</f>
        <v/>
      </c>
      <c r="J18" s="5">
        <f>IF(LAVORAZIONI!Q524="","",LAVORAZIONI!Q524)</f>
        <v/>
      </c>
      <c r="K18" s="6">
        <f>IF(LAVORAZIONI!R524="","",LAVORAZIONI!R524)</f>
        <v/>
      </c>
      <c r="L18" s="13">
        <f>IF(LAVORAZIONI!S524="","",LAVORAZIONI!S524)</f>
        <v/>
      </c>
      <c r="M18" s="13">
        <f>LAVORAZIONI!T524</f>
        <v/>
      </c>
      <c r="O18" s="7">
        <f>LAVORAZIONI!U524</f>
        <v/>
      </c>
      <c r="P18" s="45">
        <f>LAVORAZIONI!V524</f>
        <v/>
      </c>
      <c r="Q18" s="7">
        <f>LAVORAZIONI!W524</f>
        <v/>
      </c>
      <c r="R18" s="6">
        <f>LAVORAZIONI!X524</f>
        <v/>
      </c>
      <c r="S18" s="7">
        <f>LAVORAZIONI!Y524</f>
        <v/>
      </c>
      <c r="T18" s="6">
        <f>LAVORAZIONI!Z524</f>
        <v/>
      </c>
      <c r="U18" s="7">
        <f>LAVORAZIONI!AA524</f>
        <v/>
      </c>
      <c r="V18" s="6">
        <f>LAVORAZIONI!AB524</f>
        <v/>
      </c>
      <c r="W18" s="7">
        <f>LAVORAZIONI!AC524</f>
        <v/>
      </c>
      <c r="X18" s="6">
        <f>LAVORAZIONI!AD524</f>
        <v/>
      </c>
      <c r="Y18" s="7">
        <f>LAVORAZIONI!AE524</f>
        <v/>
      </c>
      <c r="Z18" s="6">
        <f>LAVORAZIONI!AF524</f>
        <v/>
      </c>
      <c r="AA18" s="7">
        <f>LAVORAZIONI!AG524</f>
        <v/>
      </c>
      <c r="AB18" s="6">
        <f>LAVORAZIONI!AH524</f>
        <v/>
      </c>
      <c r="AC18" s="7">
        <f>LAVORAZIONI!AI524</f>
        <v/>
      </c>
      <c r="AD18" s="13">
        <f>LAVORAZIONI!AJ524</f>
        <v/>
      </c>
    </row>
    <row r="19" ht="56" customHeight="1" s="46">
      <c r="B19" s="4">
        <f>LAVORAZIONI!G525</f>
        <v/>
      </c>
      <c r="C19" s="3">
        <f>LAVORAZIONI!A525</f>
        <v/>
      </c>
      <c r="D19" s="3">
        <f>LAVORAZIONI!K525</f>
        <v/>
      </c>
      <c r="E19" s="4">
        <f>LAVORAZIONI!H525</f>
        <v/>
      </c>
      <c r="F19" s="4">
        <f>LAVORAZIONI!M525</f>
        <v/>
      </c>
      <c r="G19" s="5">
        <f>LAVORAZIONI!N525</f>
        <v/>
      </c>
      <c r="H19" s="6">
        <f>LAVORAZIONI!O525</f>
        <v/>
      </c>
      <c r="I19" s="13">
        <f>LAVORAZIONI!P525</f>
        <v/>
      </c>
      <c r="J19" s="5">
        <f>IF(LAVORAZIONI!Q525="","",LAVORAZIONI!Q525)</f>
        <v/>
      </c>
      <c r="K19" s="6">
        <f>IF(LAVORAZIONI!R525="","",LAVORAZIONI!R525)</f>
        <v/>
      </c>
      <c r="L19" s="13">
        <f>IF(LAVORAZIONI!S525="","",LAVORAZIONI!S525)</f>
        <v/>
      </c>
      <c r="M19" s="13">
        <f>LAVORAZIONI!T525</f>
        <v/>
      </c>
      <c r="O19" s="7">
        <f>LAVORAZIONI!U525</f>
        <v/>
      </c>
      <c r="P19" s="45">
        <f>LAVORAZIONI!V525</f>
        <v/>
      </c>
      <c r="Q19" s="7">
        <f>LAVORAZIONI!W525</f>
        <v/>
      </c>
      <c r="R19" s="6">
        <f>LAVORAZIONI!X525</f>
        <v/>
      </c>
      <c r="S19" s="7">
        <f>LAVORAZIONI!Y525</f>
        <v/>
      </c>
      <c r="T19" s="6">
        <f>LAVORAZIONI!Z525</f>
        <v/>
      </c>
      <c r="U19" s="7">
        <f>LAVORAZIONI!AA525</f>
        <v/>
      </c>
      <c r="V19" s="6">
        <f>LAVORAZIONI!AB525</f>
        <v/>
      </c>
      <c r="W19" s="7">
        <f>LAVORAZIONI!AC525</f>
        <v/>
      </c>
      <c r="X19" s="6">
        <f>LAVORAZIONI!AD525</f>
        <v/>
      </c>
      <c r="Y19" s="7">
        <f>LAVORAZIONI!AE525</f>
        <v/>
      </c>
      <c r="Z19" s="6">
        <f>LAVORAZIONI!AF525</f>
        <v/>
      </c>
      <c r="AA19" s="7">
        <f>LAVORAZIONI!AG525</f>
        <v/>
      </c>
      <c r="AB19" s="6">
        <f>LAVORAZIONI!AH525</f>
        <v/>
      </c>
      <c r="AC19" s="7">
        <f>LAVORAZIONI!AI525</f>
        <v/>
      </c>
      <c r="AD19" s="13">
        <f>LAVORAZIONI!AJ525</f>
        <v/>
      </c>
    </row>
    <row r="20" ht="56" customHeight="1" s="46">
      <c r="B20" s="4">
        <f>LAVORAZIONI!G526</f>
        <v/>
      </c>
      <c r="C20" s="3">
        <f>LAVORAZIONI!A526</f>
        <v/>
      </c>
      <c r="D20" s="3">
        <f>LAVORAZIONI!K526</f>
        <v/>
      </c>
      <c r="E20" s="4">
        <f>LAVORAZIONI!H526</f>
        <v/>
      </c>
      <c r="F20" s="4">
        <f>LAVORAZIONI!M526</f>
        <v/>
      </c>
      <c r="G20" s="5">
        <f>LAVORAZIONI!N526</f>
        <v/>
      </c>
      <c r="H20" s="6">
        <f>LAVORAZIONI!O526</f>
        <v/>
      </c>
      <c r="I20" s="13">
        <f>LAVORAZIONI!P526</f>
        <v/>
      </c>
      <c r="J20" s="5">
        <f>IF(LAVORAZIONI!Q526="","",LAVORAZIONI!Q526)</f>
        <v/>
      </c>
      <c r="K20" s="6">
        <f>IF(LAVORAZIONI!R526="","",LAVORAZIONI!R526)</f>
        <v/>
      </c>
      <c r="L20" s="13">
        <f>IF(LAVORAZIONI!S526="","",LAVORAZIONI!S526)</f>
        <v/>
      </c>
      <c r="M20" s="13">
        <f>LAVORAZIONI!T526</f>
        <v/>
      </c>
      <c r="O20" s="7">
        <f>LAVORAZIONI!U526</f>
        <v/>
      </c>
      <c r="P20" s="45">
        <f>LAVORAZIONI!V526</f>
        <v/>
      </c>
      <c r="Q20" s="7">
        <f>LAVORAZIONI!W526</f>
        <v/>
      </c>
      <c r="R20" s="6">
        <f>LAVORAZIONI!X526</f>
        <v/>
      </c>
      <c r="S20" s="7">
        <f>LAVORAZIONI!Y526</f>
        <v/>
      </c>
      <c r="T20" s="6">
        <f>LAVORAZIONI!Z526</f>
        <v/>
      </c>
      <c r="U20" s="7">
        <f>LAVORAZIONI!AA526</f>
        <v/>
      </c>
      <c r="V20" s="6">
        <f>LAVORAZIONI!AB526</f>
        <v/>
      </c>
      <c r="W20" s="7">
        <f>LAVORAZIONI!AC526</f>
        <v/>
      </c>
      <c r="X20" s="6">
        <f>LAVORAZIONI!AD526</f>
        <v/>
      </c>
      <c r="Y20" s="7">
        <f>LAVORAZIONI!AE526</f>
        <v/>
      </c>
      <c r="Z20" s="6">
        <f>LAVORAZIONI!AF526</f>
        <v/>
      </c>
      <c r="AA20" s="7">
        <f>LAVORAZIONI!AG526</f>
        <v/>
      </c>
      <c r="AB20" s="6">
        <f>LAVORAZIONI!AH526</f>
        <v/>
      </c>
      <c r="AC20" s="7">
        <f>LAVORAZIONI!AI526</f>
        <v/>
      </c>
      <c r="AD20" s="13">
        <f>LAVORAZIONI!AJ526</f>
        <v/>
      </c>
    </row>
    <row r="21" ht="56" customHeight="1" s="46">
      <c r="B21" s="4">
        <f>LAVORAZIONI!G527</f>
        <v/>
      </c>
      <c r="C21" s="3">
        <f>LAVORAZIONI!A527</f>
        <v/>
      </c>
      <c r="D21" s="3">
        <f>LAVORAZIONI!K527</f>
        <v/>
      </c>
      <c r="E21" s="4">
        <f>LAVORAZIONI!H527</f>
        <v/>
      </c>
      <c r="F21" s="4">
        <f>LAVORAZIONI!M527</f>
        <v/>
      </c>
      <c r="G21" s="5">
        <f>LAVORAZIONI!N527</f>
        <v/>
      </c>
      <c r="H21" s="6">
        <f>LAVORAZIONI!O527</f>
        <v/>
      </c>
      <c r="I21" s="13">
        <f>LAVORAZIONI!P527</f>
        <v/>
      </c>
      <c r="J21" s="5">
        <f>IF(LAVORAZIONI!Q527="","",LAVORAZIONI!Q527)</f>
        <v/>
      </c>
      <c r="K21" s="6">
        <f>IF(LAVORAZIONI!R527="","",LAVORAZIONI!R527)</f>
        <v/>
      </c>
      <c r="L21" s="13">
        <f>IF(LAVORAZIONI!S527="","",LAVORAZIONI!S527)</f>
        <v/>
      </c>
      <c r="M21" s="13">
        <f>LAVORAZIONI!T527</f>
        <v/>
      </c>
      <c r="O21" s="7">
        <f>LAVORAZIONI!U527</f>
        <v/>
      </c>
      <c r="P21" s="45">
        <f>LAVORAZIONI!V527</f>
        <v/>
      </c>
      <c r="Q21" s="7">
        <f>LAVORAZIONI!W527</f>
        <v/>
      </c>
      <c r="R21" s="6">
        <f>LAVORAZIONI!X527</f>
        <v/>
      </c>
      <c r="S21" s="7">
        <f>LAVORAZIONI!Y527</f>
        <v/>
      </c>
      <c r="T21" s="6">
        <f>LAVORAZIONI!Z527</f>
        <v/>
      </c>
      <c r="U21" s="7">
        <f>LAVORAZIONI!AA527</f>
        <v/>
      </c>
      <c r="V21" s="6">
        <f>LAVORAZIONI!AB527</f>
        <v/>
      </c>
      <c r="W21" s="7">
        <f>LAVORAZIONI!AC527</f>
        <v/>
      </c>
      <c r="X21" s="6">
        <f>LAVORAZIONI!AD527</f>
        <v/>
      </c>
      <c r="Y21" s="7">
        <f>LAVORAZIONI!AE527</f>
        <v/>
      </c>
      <c r="Z21" s="6">
        <f>LAVORAZIONI!AF527</f>
        <v/>
      </c>
      <c r="AA21" s="7">
        <f>LAVORAZIONI!AG527</f>
        <v/>
      </c>
      <c r="AB21" s="6">
        <f>LAVORAZIONI!AH527</f>
        <v/>
      </c>
      <c r="AC21" s="7">
        <f>LAVORAZIONI!AI527</f>
        <v/>
      </c>
      <c r="AD21" s="13">
        <f>LAVORAZIONI!AJ527</f>
        <v/>
      </c>
    </row>
    <row r="22" ht="56" customHeight="1" s="46">
      <c r="B22" s="4">
        <f>LAVORAZIONI!G528</f>
        <v/>
      </c>
      <c r="C22" s="3">
        <f>LAVORAZIONI!A528</f>
        <v/>
      </c>
      <c r="D22" s="3">
        <f>LAVORAZIONI!K528</f>
        <v/>
      </c>
      <c r="E22" s="4">
        <f>LAVORAZIONI!H528</f>
        <v/>
      </c>
      <c r="F22" s="4">
        <f>LAVORAZIONI!M528</f>
        <v/>
      </c>
      <c r="G22" s="5">
        <f>LAVORAZIONI!N528</f>
        <v/>
      </c>
      <c r="H22" s="6">
        <f>LAVORAZIONI!O528</f>
        <v/>
      </c>
      <c r="I22" s="13">
        <f>LAVORAZIONI!P528</f>
        <v/>
      </c>
      <c r="J22" s="5">
        <f>IF(LAVORAZIONI!Q528="","",LAVORAZIONI!Q528)</f>
        <v/>
      </c>
      <c r="K22" s="6">
        <f>IF(LAVORAZIONI!R528="","",LAVORAZIONI!R528)</f>
        <v/>
      </c>
      <c r="L22" s="13">
        <f>IF(LAVORAZIONI!S528="","",LAVORAZIONI!S528)</f>
        <v/>
      </c>
      <c r="M22" s="13">
        <f>LAVORAZIONI!T528</f>
        <v/>
      </c>
      <c r="O22" s="7">
        <f>LAVORAZIONI!U528</f>
        <v/>
      </c>
      <c r="P22" s="45">
        <f>LAVORAZIONI!V528</f>
        <v/>
      </c>
      <c r="Q22" s="7">
        <f>LAVORAZIONI!W528</f>
        <v/>
      </c>
      <c r="R22" s="6">
        <f>LAVORAZIONI!X528</f>
        <v/>
      </c>
      <c r="S22" s="7">
        <f>LAVORAZIONI!Y528</f>
        <v/>
      </c>
      <c r="T22" s="6">
        <f>LAVORAZIONI!Z528</f>
        <v/>
      </c>
      <c r="U22" s="7">
        <f>LAVORAZIONI!AA528</f>
        <v/>
      </c>
      <c r="V22" s="6">
        <f>LAVORAZIONI!AB528</f>
        <v/>
      </c>
      <c r="W22" s="7">
        <f>LAVORAZIONI!AC528</f>
        <v/>
      </c>
      <c r="X22" s="6">
        <f>LAVORAZIONI!AD528</f>
        <v/>
      </c>
      <c r="Y22" s="7">
        <f>LAVORAZIONI!AE528</f>
        <v/>
      </c>
      <c r="Z22" s="6">
        <f>LAVORAZIONI!AF528</f>
        <v/>
      </c>
      <c r="AA22" s="7">
        <f>LAVORAZIONI!AG528</f>
        <v/>
      </c>
      <c r="AB22" s="6">
        <f>LAVORAZIONI!AH528</f>
        <v/>
      </c>
      <c r="AC22" s="7">
        <f>LAVORAZIONI!AI528</f>
        <v/>
      </c>
      <c r="AD22" s="13">
        <f>LAVORAZIONI!AJ528</f>
        <v/>
      </c>
    </row>
    <row r="23" ht="56" customHeight="1" s="46">
      <c r="B23" s="4">
        <f>LAVORAZIONI!G529</f>
        <v/>
      </c>
      <c r="C23" s="3">
        <f>LAVORAZIONI!A529</f>
        <v/>
      </c>
      <c r="D23" s="3">
        <f>LAVORAZIONI!K529</f>
        <v/>
      </c>
      <c r="E23" s="4">
        <f>LAVORAZIONI!H529</f>
        <v/>
      </c>
      <c r="F23" s="4">
        <f>LAVORAZIONI!M529</f>
        <v/>
      </c>
      <c r="G23" s="5">
        <f>LAVORAZIONI!N529</f>
        <v/>
      </c>
      <c r="H23" s="6">
        <f>LAVORAZIONI!O529</f>
        <v/>
      </c>
      <c r="I23" s="13">
        <f>LAVORAZIONI!P529</f>
        <v/>
      </c>
      <c r="J23" s="5">
        <f>IF(LAVORAZIONI!Q529="","",LAVORAZIONI!Q529)</f>
        <v/>
      </c>
      <c r="K23" s="6">
        <f>IF(LAVORAZIONI!R529="","",LAVORAZIONI!R529)</f>
        <v/>
      </c>
      <c r="L23" s="13">
        <f>IF(LAVORAZIONI!S529="","",LAVORAZIONI!S529)</f>
        <v/>
      </c>
      <c r="M23" s="13">
        <f>LAVORAZIONI!T529</f>
        <v/>
      </c>
      <c r="O23" s="7">
        <f>LAVORAZIONI!U529</f>
        <v/>
      </c>
      <c r="P23" s="45">
        <f>LAVORAZIONI!V529</f>
        <v/>
      </c>
      <c r="Q23" s="7">
        <f>LAVORAZIONI!W529</f>
        <v/>
      </c>
      <c r="R23" s="6">
        <f>LAVORAZIONI!X529</f>
        <v/>
      </c>
      <c r="S23" s="7">
        <f>LAVORAZIONI!Y529</f>
        <v/>
      </c>
      <c r="T23" s="6">
        <f>LAVORAZIONI!Z529</f>
        <v/>
      </c>
      <c r="U23" s="7">
        <f>LAVORAZIONI!AA529</f>
        <v/>
      </c>
      <c r="V23" s="6">
        <f>LAVORAZIONI!AB529</f>
        <v/>
      </c>
      <c r="W23" s="7">
        <f>LAVORAZIONI!AC529</f>
        <v/>
      </c>
      <c r="X23" s="6">
        <f>LAVORAZIONI!AD529</f>
        <v/>
      </c>
      <c r="Y23" s="7">
        <f>LAVORAZIONI!AE529</f>
        <v/>
      </c>
      <c r="Z23" s="6">
        <f>LAVORAZIONI!AF529</f>
        <v/>
      </c>
      <c r="AA23" s="7">
        <f>LAVORAZIONI!AG529</f>
        <v/>
      </c>
      <c r="AB23" s="6">
        <f>LAVORAZIONI!AH529</f>
        <v/>
      </c>
      <c r="AC23" s="7">
        <f>LAVORAZIONI!AI529</f>
        <v/>
      </c>
      <c r="AD23" s="13">
        <f>LAVORAZIONI!AJ529</f>
        <v/>
      </c>
    </row>
    <row r="24" ht="56" customHeight="1" s="46">
      <c r="B24" s="4">
        <f>LAVORAZIONI!G530</f>
        <v/>
      </c>
      <c r="C24" s="3">
        <f>LAVORAZIONI!A530</f>
        <v/>
      </c>
      <c r="D24" s="3">
        <f>LAVORAZIONI!K530</f>
        <v/>
      </c>
      <c r="E24" s="4">
        <f>LAVORAZIONI!H530</f>
        <v/>
      </c>
      <c r="F24" s="4">
        <f>LAVORAZIONI!M530</f>
        <v/>
      </c>
      <c r="G24" s="5">
        <f>LAVORAZIONI!N530</f>
        <v/>
      </c>
      <c r="H24" s="6">
        <f>LAVORAZIONI!O530</f>
        <v/>
      </c>
      <c r="I24" s="13">
        <f>LAVORAZIONI!P530</f>
        <v/>
      </c>
      <c r="J24" s="5">
        <f>IF(LAVORAZIONI!Q530="","",LAVORAZIONI!Q530)</f>
        <v/>
      </c>
      <c r="K24" s="6">
        <f>IF(LAVORAZIONI!R530="","",LAVORAZIONI!R530)</f>
        <v/>
      </c>
      <c r="L24" s="13">
        <f>IF(LAVORAZIONI!S530="","",LAVORAZIONI!S530)</f>
        <v/>
      </c>
      <c r="M24" s="13">
        <f>LAVORAZIONI!T530</f>
        <v/>
      </c>
      <c r="O24" s="7">
        <f>LAVORAZIONI!U530</f>
        <v/>
      </c>
      <c r="P24" s="45">
        <f>LAVORAZIONI!V530</f>
        <v/>
      </c>
      <c r="Q24" s="7">
        <f>LAVORAZIONI!W530</f>
        <v/>
      </c>
      <c r="R24" s="6">
        <f>LAVORAZIONI!X530</f>
        <v/>
      </c>
      <c r="S24" s="7">
        <f>LAVORAZIONI!Y530</f>
        <v/>
      </c>
      <c r="T24" s="6">
        <f>LAVORAZIONI!Z530</f>
        <v/>
      </c>
      <c r="U24" s="7">
        <f>LAVORAZIONI!AA530</f>
        <v/>
      </c>
      <c r="V24" s="6">
        <f>LAVORAZIONI!AB530</f>
        <v/>
      </c>
      <c r="W24" s="7">
        <f>LAVORAZIONI!AC530</f>
        <v/>
      </c>
      <c r="X24" s="6">
        <f>LAVORAZIONI!AD530</f>
        <v/>
      </c>
      <c r="Y24" s="7">
        <f>LAVORAZIONI!AE530</f>
        <v/>
      </c>
      <c r="Z24" s="6">
        <f>LAVORAZIONI!AF530</f>
        <v/>
      </c>
      <c r="AA24" s="7">
        <f>LAVORAZIONI!AG530</f>
        <v/>
      </c>
      <c r="AB24" s="6">
        <f>LAVORAZIONI!AH530</f>
        <v/>
      </c>
      <c r="AC24" s="7">
        <f>LAVORAZIONI!AI530</f>
        <v/>
      </c>
      <c r="AD24" s="13">
        <f>LAVORAZIONI!AJ530</f>
        <v/>
      </c>
    </row>
    <row r="25" ht="56" customHeight="1" s="46">
      <c r="B25" s="4">
        <f>LAVORAZIONI!G531</f>
        <v/>
      </c>
      <c r="C25" s="3">
        <f>LAVORAZIONI!A531</f>
        <v/>
      </c>
      <c r="D25" s="3">
        <f>LAVORAZIONI!K531</f>
        <v/>
      </c>
      <c r="E25" s="4">
        <f>LAVORAZIONI!H531</f>
        <v/>
      </c>
      <c r="F25" s="4">
        <f>LAVORAZIONI!M531</f>
        <v/>
      </c>
      <c r="G25" s="5">
        <f>LAVORAZIONI!N531</f>
        <v/>
      </c>
      <c r="H25" s="6">
        <f>LAVORAZIONI!O531</f>
        <v/>
      </c>
      <c r="I25" s="13">
        <f>LAVORAZIONI!P531</f>
        <v/>
      </c>
      <c r="J25" s="5">
        <f>IF(LAVORAZIONI!Q531="","",LAVORAZIONI!Q531)</f>
        <v/>
      </c>
      <c r="K25" s="6">
        <f>IF(LAVORAZIONI!R531="","",LAVORAZIONI!R531)</f>
        <v/>
      </c>
      <c r="L25" s="13">
        <f>IF(LAVORAZIONI!S531="","",LAVORAZIONI!S531)</f>
        <v/>
      </c>
      <c r="M25" s="13">
        <f>LAVORAZIONI!T531</f>
        <v/>
      </c>
      <c r="O25" s="7">
        <f>LAVORAZIONI!U531</f>
        <v/>
      </c>
      <c r="P25" s="45">
        <f>LAVORAZIONI!V531</f>
        <v/>
      </c>
      <c r="Q25" s="7">
        <f>LAVORAZIONI!W531</f>
        <v/>
      </c>
      <c r="R25" s="6">
        <f>LAVORAZIONI!X531</f>
        <v/>
      </c>
      <c r="S25" s="7">
        <f>LAVORAZIONI!Y531</f>
        <v/>
      </c>
      <c r="T25" s="6">
        <f>LAVORAZIONI!Z531</f>
        <v/>
      </c>
      <c r="U25" s="7">
        <f>LAVORAZIONI!AA531</f>
        <v/>
      </c>
      <c r="V25" s="6">
        <f>LAVORAZIONI!AB531</f>
        <v/>
      </c>
      <c r="W25" s="7">
        <f>LAVORAZIONI!AC531</f>
        <v/>
      </c>
      <c r="X25" s="6">
        <f>LAVORAZIONI!AD531</f>
        <v/>
      </c>
      <c r="Y25" s="7">
        <f>LAVORAZIONI!AE531</f>
        <v/>
      </c>
      <c r="Z25" s="6">
        <f>LAVORAZIONI!AF531</f>
        <v/>
      </c>
      <c r="AA25" s="7">
        <f>LAVORAZIONI!AG531</f>
        <v/>
      </c>
      <c r="AB25" s="6">
        <f>LAVORAZIONI!AH531</f>
        <v/>
      </c>
      <c r="AC25" s="7">
        <f>LAVORAZIONI!AI531</f>
        <v/>
      </c>
      <c r="AD25" s="13">
        <f>LAVORAZIONI!AJ531</f>
        <v/>
      </c>
    </row>
    <row r="26" ht="56" customHeight="1" s="46">
      <c r="B26" s="4">
        <f>LAVORAZIONI!G532</f>
        <v/>
      </c>
      <c r="C26" s="3">
        <f>LAVORAZIONI!A532</f>
        <v/>
      </c>
      <c r="D26" s="3">
        <f>LAVORAZIONI!K532</f>
        <v/>
      </c>
      <c r="E26" s="4">
        <f>LAVORAZIONI!H532</f>
        <v/>
      </c>
      <c r="F26" s="4">
        <f>LAVORAZIONI!M532</f>
        <v/>
      </c>
      <c r="G26" s="5">
        <f>LAVORAZIONI!N532</f>
        <v/>
      </c>
      <c r="H26" s="6">
        <f>LAVORAZIONI!O532</f>
        <v/>
      </c>
      <c r="I26" s="13">
        <f>LAVORAZIONI!P532</f>
        <v/>
      </c>
      <c r="J26" s="5">
        <f>IF(LAVORAZIONI!Q532="","",LAVORAZIONI!Q532)</f>
        <v/>
      </c>
      <c r="K26" s="6">
        <f>IF(LAVORAZIONI!R532="","",LAVORAZIONI!R532)</f>
        <v/>
      </c>
      <c r="L26" s="13">
        <f>IF(LAVORAZIONI!S532="","",LAVORAZIONI!S532)</f>
        <v/>
      </c>
      <c r="M26" s="13">
        <f>LAVORAZIONI!T532</f>
        <v/>
      </c>
      <c r="O26" s="7">
        <f>LAVORAZIONI!U532</f>
        <v/>
      </c>
      <c r="P26" s="45">
        <f>LAVORAZIONI!V532</f>
        <v/>
      </c>
      <c r="Q26" s="7">
        <f>LAVORAZIONI!W532</f>
        <v/>
      </c>
      <c r="R26" s="6">
        <f>LAVORAZIONI!X532</f>
        <v/>
      </c>
      <c r="S26" s="7">
        <f>LAVORAZIONI!Y532</f>
        <v/>
      </c>
      <c r="T26" s="6">
        <f>LAVORAZIONI!Z532</f>
        <v/>
      </c>
      <c r="U26" s="7">
        <f>LAVORAZIONI!AA532</f>
        <v/>
      </c>
      <c r="V26" s="6">
        <f>LAVORAZIONI!AB532</f>
        <v/>
      </c>
      <c r="W26" s="7">
        <f>LAVORAZIONI!AC532</f>
        <v/>
      </c>
      <c r="X26" s="6">
        <f>LAVORAZIONI!AD532</f>
        <v/>
      </c>
      <c r="Y26" s="7">
        <f>LAVORAZIONI!AE532</f>
        <v/>
      </c>
      <c r="Z26" s="6">
        <f>LAVORAZIONI!AF532</f>
        <v/>
      </c>
      <c r="AA26" s="7">
        <f>LAVORAZIONI!AG532</f>
        <v/>
      </c>
      <c r="AB26" s="6">
        <f>LAVORAZIONI!AH532</f>
        <v/>
      </c>
      <c r="AC26" s="7">
        <f>LAVORAZIONI!AI532</f>
        <v/>
      </c>
      <c r="AD26" s="13">
        <f>LAVORAZIONI!AJ532</f>
        <v/>
      </c>
    </row>
    <row r="27" ht="56" customHeight="1" s="46">
      <c r="B27" s="4">
        <f>LAVORAZIONI!G533</f>
        <v/>
      </c>
      <c r="C27" s="3">
        <f>LAVORAZIONI!A533</f>
        <v/>
      </c>
      <c r="D27" s="3">
        <f>LAVORAZIONI!K533</f>
        <v/>
      </c>
      <c r="E27" s="4">
        <f>LAVORAZIONI!H533</f>
        <v/>
      </c>
      <c r="F27" s="4">
        <f>LAVORAZIONI!M533</f>
        <v/>
      </c>
      <c r="G27" s="5">
        <f>LAVORAZIONI!N533</f>
        <v/>
      </c>
      <c r="H27" s="6">
        <f>LAVORAZIONI!O533</f>
        <v/>
      </c>
      <c r="I27" s="13">
        <f>LAVORAZIONI!P533</f>
        <v/>
      </c>
      <c r="J27" s="5">
        <f>IF(LAVORAZIONI!Q533="","",LAVORAZIONI!Q533)</f>
        <v/>
      </c>
      <c r="K27" s="6">
        <f>IF(LAVORAZIONI!R533="","",LAVORAZIONI!R533)</f>
        <v/>
      </c>
      <c r="L27" s="13">
        <f>IF(LAVORAZIONI!S533="","",LAVORAZIONI!S533)</f>
        <v/>
      </c>
      <c r="M27" s="13">
        <f>LAVORAZIONI!T533</f>
        <v/>
      </c>
      <c r="O27" s="7">
        <f>LAVORAZIONI!U533</f>
        <v/>
      </c>
      <c r="P27" s="45">
        <f>LAVORAZIONI!V533</f>
        <v/>
      </c>
      <c r="Q27" s="7">
        <f>LAVORAZIONI!W533</f>
        <v/>
      </c>
      <c r="R27" s="6">
        <f>LAVORAZIONI!X533</f>
        <v/>
      </c>
      <c r="S27" s="7">
        <f>LAVORAZIONI!Y533</f>
        <v/>
      </c>
      <c r="T27" s="6">
        <f>LAVORAZIONI!Z533</f>
        <v/>
      </c>
      <c r="U27" s="7">
        <f>LAVORAZIONI!AA533</f>
        <v/>
      </c>
      <c r="V27" s="6">
        <f>LAVORAZIONI!AB533</f>
        <v/>
      </c>
      <c r="W27" s="7">
        <f>LAVORAZIONI!AC533</f>
        <v/>
      </c>
      <c r="X27" s="6">
        <f>LAVORAZIONI!AD533</f>
        <v/>
      </c>
      <c r="Y27" s="7">
        <f>LAVORAZIONI!AE533</f>
        <v/>
      </c>
      <c r="Z27" s="6">
        <f>LAVORAZIONI!AF533</f>
        <v/>
      </c>
      <c r="AA27" s="7">
        <f>LAVORAZIONI!AG533</f>
        <v/>
      </c>
      <c r="AB27" s="6">
        <f>LAVORAZIONI!AH533</f>
        <v/>
      </c>
      <c r="AC27" s="7">
        <f>LAVORAZIONI!AI533</f>
        <v/>
      </c>
      <c r="AD27" s="13">
        <f>LAVORAZIONI!AJ533</f>
        <v/>
      </c>
    </row>
    <row r="28" ht="56" customHeight="1" s="46">
      <c r="B28" s="4">
        <f>LAVORAZIONI!G534</f>
        <v/>
      </c>
      <c r="C28" s="3">
        <f>LAVORAZIONI!A534</f>
        <v/>
      </c>
      <c r="D28" s="3">
        <f>LAVORAZIONI!K534</f>
        <v/>
      </c>
      <c r="E28" s="4">
        <f>LAVORAZIONI!H534</f>
        <v/>
      </c>
      <c r="F28" s="4">
        <f>LAVORAZIONI!M534</f>
        <v/>
      </c>
      <c r="G28" s="5">
        <f>LAVORAZIONI!N534</f>
        <v/>
      </c>
      <c r="H28" s="6">
        <f>LAVORAZIONI!O534</f>
        <v/>
      </c>
      <c r="I28" s="13">
        <f>LAVORAZIONI!P534</f>
        <v/>
      </c>
      <c r="J28" s="5">
        <f>IF(LAVORAZIONI!Q534="","",LAVORAZIONI!Q534)</f>
        <v/>
      </c>
      <c r="K28" s="6">
        <f>IF(LAVORAZIONI!R534="","",LAVORAZIONI!R534)</f>
        <v/>
      </c>
      <c r="L28" s="13">
        <f>IF(LAVORAZIONI!S534="","",LAVORAZIONI!S534)</f>
        <v/>
      </c>
      <c r="M28" s="13">
        <f>LAVORAZIONI!T534</f>
        <v/>
      </c>
      <c r="O28" s="7">
        <f>LAVORAZIONI!U534</f>
        <v/>
      </c>
      <c r="P28" s="45">
        <f>LAVORAZIONI!V534</f>
        <v/>
      </c>
      <c r="Q28" s="7">
        <f>LAVORAZIONI!W534</f>
        <v/>
      </c>
      <c r="R28" s="6">
        <f>LAVORAZIONI!X534</f>
        <v/>
      </c>
      <c r="S28" s="7">
        <f>LAVORAZIONI!Y534</f>
        <v/>
      </c>
      <c r="T28" s="6">
        <f>LAVORAZIONI!Z534</f>
        <v/>
      </c>
      <c r="U28" s="7">
        <f>LAVORAZIONI!AA534</f>
        <v/>
      </c>
      <c r="V28" s="6">
        <f>LAVORAZIONI!AB534</f>
        <v/>
      </c>
      <c r="W28" s="7">
        <f>LAVORAZIONI!AC534</f>
        <v/>
      </c>
      <c r="X28" s="6">
        <f>LAVORAZIONI!AD534</f>
        <v/>
      </c>
      <c r="Y28" s="7">
        <f>LAVORAZIONI!AE534</f>
        <v/>
      </c>
      <c r="Z28" s="6">
        <f>LAVORAZIONI!AF534</f>
        <v/>
      </c>
      <c r="AA28" s="7">
        <f>LAVORAZIONI!AG534</f>
        <v/>
      </c>
      <c r="AB28" s="6">
        <f>LAVORAZIONI!AH534</f>
        <v/>
      </c>
      <c r="AC28" s="7">
        <f>LAVORAZIONI!AI534</f>
        <v/>
      </c>
      <c r="AD28" s="13">
        <f>LAVORAZIONI!AJ534</f>
        <v/>
      </c>
    </row>
    <row r="29" ht="56" customHeight="1" s="46">
      <c r="B29" s="4">
        <f>LAVORAZIONI!G535</f>
        <v/>
      </c>
      <c r="C29" s="3">
        <f>LAVORAZIONI!A535</f>
        <v/>
      </c>
      <c r="D29" s="3">
        <f>LAVORAZIONI!K535</f>
        <v/>
      </c>
      <c r="E29" s="4">
        <f>LAVORAZIONI!H535</f>
        <v/>
      </c>
      <c r="F29" s="4">
        <f>LAVORAZIONI!M535</f>
        <v/>
      </c>
      <c r="G29" s="5">
        <f>LAVORAZIONI!N535</f>
        <v/>
      </c>
      <c r="H29" s="6">
        <f>LAVORAZIONI!O535</f>
        <v/>
      </c>
      <c r="I29" s="13">
        <f>LAVORAZIONI!P535</f>
        <v/>
      </c>
      <c r="J29" s="5">
        <f>IF(LAVORAZIONI!Q535="","",LAVORAZIONI!Q535)</f>
        <v/>
      </c>
      <c r="K29" s="6">
        <f>IF(LAVORAZIONI!R535="","",LAVORAZIONI!R535)</f>
        <v/>
      </c>
      <c r="L29" s="13">
        <f>IF(LAVORAZIONI!S535="","",LAVORAZIONI!S535)</f>
        <v/>
      </c>
      <c r="M29" s="13">
        <f>LAVORAZIONI!T535</f>
        <v/>
      </c>
      <c r="O29" s="7">
        <f>LAVORAZIONI!U535</f>
        <v/>
      </c>
      <c r="P29" s="45">
        <f>LAVORAZIONI!V535</f>
        <v/>
      </c>
      <c r="Q29" s="7">
        <f>LAVORAZIONI!W535</f>
        <v/>
      </c>
      <c r="R29" s="6">
        <f>LAVORAZIONI!X535</f>
        <v/>
      </c>
      <c r="S29" s="7">
        <f>LAVORAZIONI!Y535</f>
        <v/>
      </c>
      <c r="T29" s="6">
        <f>LAVORAZIONI!Z535</f>
        <v/>
      </c>
      <c r="U29" s="7">
        <f>LAVORAZIONI!AA535</f>
        <v/>
      </c>
      <c r="V29" s="6">
        <f>LAVORAZIONI!AB535</f>
        <v/>
      </c>
      <c r="W29" s="7">
        <f>LAVORAZIONI!AC535</f>
        <v/>
      </c>
      <c r="X29" s="6">
        <f>LAVORAZIONI!AD535</f>
        <v/>
      </c>
      <c r="Y29" s="7">
        <f>LAVORAZIONI!AE535</f>
        <v/>
      </c>
      <c r="Z29" s="6">
        <f>LAVORAZIONI!AF535</f>
        <v/>
      </c>
      <c r="AA29" s="7">
        <f>LAVORAZIONI!AG535</f>
        <v/>
      </c>
      <c r="AB29" s="6">
        <f>LAVORAZIONI!AH535</f>
        <v/>
      </c>
      <c r="AC29" s="7">
        <f>LAVORAZIONI!AI535</f>
        <v/>
      </c>
      <c r="AD29" s="13">
        <f>LAVORAZIONI!AJ535</f>
        <v/>
      </c>
    </row>
    <row r="30" ht="56" customHeight="1" s="46">
      <c r="B30" s="4">
        <f>LAVORAZIONI!G536</f>
        <v/>
      </c>
      <c r="C30" s="3">
        <f>LAVORAZIONI!A536</f>
        <v/>
      </c>
      <c r="D30" s="3">
        <f>LAVORAZIONI!K536</f>
        <v/>
      </c>
      <c r="E30" s="4">
        <f>LAVORAZIONI!H536</f>
        <v/>
      </c>
      <c r="F30" s="4">
        <f>LAVORAZIONI!M536</f>
        <v/>
      </c>
      <c r="G30" s="5">
        <f>LAVORAZIONI!N536</f>
        <v/>
      </c>
      <c r="H30" s="6">
        <f>LAVORAZIONI!O536</f>
        <v/>
      </c>
      <c r="I30" s="13">
        <f>LAVORAZIONI!P536</f>
        <v/>
      </c>
      <c r="J30" s="5">
        <f>IF(LAVORAZIONI!Q536="","",LAVORAZIONI!Q536)</f>
        <v/>
      </c>
      <c r="K30" s="6">
        <f>IF(LAVORAZIONI!R536="","",LAVORAZIONI!R536)</f>
        <v/>
      </c>
      <c r="L30" s="13">
        <f>IF(LAVORAZIONI!S536="","",LAVORAZIONI!S536)</f>
        <v/>
      </c>
      <c r="M30" s="13">
        <f>LAVORAZIONI!T536</f>
        <v/>
      </c>
      <c r="O30" s="7">
        <f>LAVORAZIONI!U536</f>
        <v/>
      </c>
      <c r="P30" s="45">
        <f>LAVORAZIONI!V536</f>
        <v/>
      </c>
      <c r="Q30" s="7">
        <f>LAVORAZIONI!W536</f>
        <v/>
      </c>
      <c r="R30" s="6">
        <f>LAVORAZIONI!X536</f>
        <v/>
      </c>
      <c r="S30" s="7">
        <f>LAVORAZIONI!Y536</f>
        <v/>
      </c>
      <c r="T30" s="6">
        <f>LAVORAZIONI!Z536</f>
        <v/>
      </c>
      <c r="U30" s="7">
        <f>LAVORAZIONI!AA536</f>
        <v/>
      </c>
      <c r="V30" s="6">
        <f>LAVORAZIONI!AB536</f>
        <v/>
      </c>
      <c r="W30" s="7">
        <f>LAVORAZIONI!AC536</f>
        <v/>
      </c>
      <c r="X30" s="6">
        <f>LAVORAZIONI!AD536</f>
        <v/>
      </c>
      <c r="Y30" s="7">
        <f>LAVORAZIONI!AE536</f>
        <v/>
      </c>
      <c r="Z30" s="6">
        <f>LAVORAZIONI!AF536</f>
        <v/>
      </c>
      <c r="AA30" s="7">
        <f>LAVORAZIONI!AG536</f>
        <v/>
      </c>
      <c r="AB30" s="6">
        <f>LAVORAZIONI!AH536</f>
        <v/>
      </c>
      <c r="AC30" s="7">
        <f>LAVORAZIONI!AI536</f>
        <v/>
      </c>
      <c r="AD30" s="13">
        <f>LAVORAZIONI!AJ536</f>
        <v/>
      </c>
    </row>
    <row r="31" ht="56" customHeight="1" s="46">
      <c r="B31" s="4">
        <f>LAVORAZIONI!G537</f>
        <v/>
      </c>
      <c r="C31" s="3">
        <f>LAVORAZIONI!A537</f>
        <v/>
      </c>
      <c r="D31" s="3">
        <f>LAVORAZIONI!K537</f>
        <v/>
      </c>
      <c r="E31" s="4">
        <f>LAVORAZIONI!H537</f>
        <v/>
      </c>
      <c r="F31" s="4">
        <f>LAVORAZIONI!M537</f>
        <v/>
      </c>
      <c r="G31" s="5">
        <f>LAVORAZIONI!N537</f>
        <v/>
      </c>
      <c r="H31" s="6">
        <f>LAVORAZIONI!O537</f>
        <v/>
      </c>
      <c r="I31" s="13">
        <f>LAVORAZIONI!P537</f>
        <v/>
      </c>
      <c r="J31" s="5">
        <f>IF(LAVORAZIONI!Q537="","",LAVORAZIONI!Q537)</f>
        <v/>
      </c>
      <c r="K31" s="6">
        <f>IF(LAVORAZIONI!R537="","",LAVORAZIONI!R537)</f>
        <v/>
      </c>
      <c r="L31" s="13">
        <f>IF(LAVORAZIONI!S537="","",LAVORAZIONI!S537)</f>
        <v/>
      </c>
      <c r="M31" s="13">
        <f>LAVORAZIONI!T537</f>
        <v/>
      </c>
      <c r="O31" s="7">
        <f>LAVORAZIONI!U537</f>
        <v/>
      </c>
      <c r="P31" s="45">
        <f>LAVORAZIONI!V537</f>
        <v/>
      </c>
      <c r="Q31" s="7">
        <f>LAVORAZIONI!W537</f>
        <v/>
      </c>
      <c r="R31" s="6">
        <f>LAVORAZIONI!X537</f>
        <v/>
      </c>
      <c r="S31" s="7">
        <f>LAVORAZIONI!Y537</f>
        <v/>
      </c>
      <c r="T31" s="6">
        <f>LAVORAZIONI!Z537</f>
        <v/>
      </c>
      <c r="U31" s="7">
        <f>LAVORAZIONI!AA537</f>
        <v/>
      </c>
      <c r="V31" s="6">
        <f>LAVORAZIONI!AB537</f>
        <v/>
      </c>
      <c r="W31" s="7">
        <f>LAVORAZIONI!AC537</f>
        <v/>
      </c>
      <c r="X31" s="6">
        <f>LAVORAZIONI!AD537</f>
        <v/>
      </c>
      <c r="Y31" s="7">
        <f>LAVORAZIONI!AE537</f>
        <v/>
      </c>
      <c r="Z31" s="6">
        <f>LAVORAZIONI!AF537</f>
        <v/>
      </c>
      <c r="AA31" s="7">
        <f>LAVORAZIONI!AG537</f>
        <v/>
      </c>
      <c r="AB31" s="6">
        <f>LAVORAZIONI!AH537</f>
        <v/>
      </c>
      <c r="AC31" s="7">
        <f>LAVORAZIONI!AI537</f>
        <v/>
      </c>
      <c r="AD31" s="13">
        <f>LAVORAZIONI!AJ537</f>
        <v/>
      </c>
    </row>
    <row r="32" ht="56" customHeight="1" s="46">
      <c r="B32" s="4">
        <f>LAVORAZIONI!G538</f>
        <v/>
      </c>
      <c r="C32" s="3">
        <f>LAVORAZIONI!A538</f>
        <v/>
      </c>
      <c r="D32" s="3">
        <f>LAVORAZIONI!K538</f>
        <v/>
      </c>
      <c r="E32" s="4">
        <f>LAVORAZIONI!H538</f>
        <v/>
      </c>
      <c r="F32" s="4">
        <f>LAVORAZIONI!M538</f>
        <v/>
      </c>
      <c r="G32" s="5">
        <f>LAVORAZIONI!N538</f>
        <v/>
      </c>
      <c r="H32" s="6">
        <f>LAVORAZIONI!O538</f>
        <v/>
      </c>
      <c r="I32" s="13">
        <f>LAVORAZIONI!P538</f>
        <v/>
      </c>
      <c r="J32" s="5">
        <f>IF(LAVORAZIONI!Q538="","",LAVORAZIONI!Q538)</f>
        <v/>
      </c>
      <c r="K32" s="6">
        <f>IF(LAVORAZIONI!R538="","",LAVORAZIONI!R538)</f>
        <v/>
      </c>
      <c r="L32" s="13">
        <f>IF(LAVORAZIONI!S538="","",LAVORAZIONI!S538)</f>
        <v/>
      </c>
      <c r="M32" s="13">
        <f>LAVORAZIONI!T538</f>
        <v/>
      </c>
      <c r="O32" s="7">
        <f>LAVORAZIONI!U538</f>
        <v/>
      </c>
      <c r="P32" s="45">
        <f>LAVORAZIONI!V538</f>
        <v/>
      </c>
      <c r="Q32" s="7">
        <f>LAVORAZIONI!W538</f>
        <v/>
      </c>
      <c r="R32" s="6">
        <f>LAVORAZIONI!X538</f>
        <v/>
      </c>
      <c r="S32" s="7">
        <f>LAVORAZIONI!Y538</f>
        <v/>
      </c>
      <c r="T32" s="6">
        <f>LAVORAZIONI!Z538</f>
        <v/>
      </c>
      <c r="U32" s="7">
        <f>LAVORAZIONI!AA538</f>
        <v/>
      </c>
      <c r="V32" s="6">
        <f>LAVORAZIONI!AB538</f>
        <v/>
      </c>
      <c r="W32" s="7">
        <f>LAVORAZIONI!AC538</f>
        <v/>
      </c>
      <c r="X32" s="6">
        <f>LAVORAZIONI!AD538</f>
        <v/>
      </c>
      <c r="Y32" s="7">
        <f>LAVORAZIONI!AE538</f>
        <v/>
      </c>
      <c r="Z32" s="6">
        <f>LAVORAZIONI!AF538</f>
        <v/>
      </c>
      <c r="AA32" s="7">
        <f>LAVORAZIONI!AG538</f>
        <v/>
      </c>
      <c r="AB32" s="6">
        <f>LAVORAZIONI!AH538</f>
        <v/>
      </c>
      <c r="AC32" s="7">
        <f>LAVORAZIONI!AI538</f>
        <v/>
      </c>
      <c r="AD32" s="13">
        <f>LAVORAZIONI!AJ538</f>
        <v/>
      </c>
    </row>
    <row r="33" ht="56" customHeight="1" s="46">
      <c r="B33" s="4">
        <f>LAVORAZIONI!G539</f>
        <v/>
      </c>
      <c r="C33" s="3">
        <f>LAVORAZIONI!A539</f>
        <v/>
      </c>
      <c r="D33" s="3">
        <f>LAVORAZIONI!K539</f>
        <v/>
      </c>
      <c r="E33" s="4">
        <f>LAVORAZIONI!H539</f>
        <v/>
      </c>
      <c r="F33" s="4">
        <f>LAVORAZIONI!M539</f>
        <v/>
      </c>
      <c r="G33" s="5">
        <f>LAVORAZIONI!N539</f>
        <v/>
      </c>
      <c r="H33" s="6">
        <f>LAVORAZIONI!O539</f>
        <v/>
      </c>
      <c r="I33" s="13">
        <f>LAVORAZIONI!P539</f>
        <v/>
      </c>
      <c r="J33" s="5">
        <f>IF(LAVORAZIONI!Q539="","",LAVORAZIONI!Q539)</f>
        <v/>
      </c>
      <c r="K33" s="6">
        <f>IF(LAVORAZIONI!R539="","",LAVORAZIONI!R539)</f>
        <v/>
      </c>
      <c r="L33" s="13">
        <f>IF(LAVORAZIONI!S539="","",LAVORAZIONI!S539)</f>
        <v/>
      </c>
      <c r="M33" s="13">
        <f>LAVORAZIONI!T539</f>
        <v/>
      </c>
      <c r="O33" s="7">
        <f>LAVORAZIONI!U539</f>
        <v/>
      </c>
      <c r="P33" s="45">
        <f>LAVORAZIONI!V539</f>
        <v/>
      </c>
      <c r="Q33" s="7">
        <f>LAVORAZIONI!W539</f>
        <v/>
      </c>
      <c r="R33" s="6">
        <f>LAVORAZIONI!X539</f>
        <v/>
      </c>
      <c r="S33" s="7">
        <f>LAVORAZIONI!Y539</f>
        <v/>
      </c>
      <c r="T33" s="6">
        <f>LAVORAZIONI!Z539</f>
        <v/>
      </c>
      <c r="U33" s="7">
        <f>LAVORAZIONI!AA539</f>
        <v/>
      </c>
      <c r="V33" s="6">
        <f>LAVORAZIONI!AB539</f>
        <v/>
      </c>
      <c r="W33" s="7">
        <f>LAVORAZIONI!AC539</f>
        <v/>
      </c>
      <c r="X33" s="6">
        <f>LAVORAZIONI!AD539</f>
        <v/>
      </c>
      <c r="Y33" s="7">
        <f>LAVORAZIONI!AE539</f>
        <v/>
      </c>
      <c r="Z33" s="6">
        <f>LAVORAZIONI!AF539</f>
        <v/>
      </c>
      <c r="AA33" s="7">
        <f>LAVORAZIONI!AG539</f>
        <v/>
      </c>
      <c r="AB33" s="6">
        <f>LAVORAZIONI!AH539</f>
        <v/>
      </c>
      <c r="AC33" s="7">
        <f>LAVORAZIONI!AI539</f>
        <v/>
      </c>
      <c r="AD33" s="13">
        <f>LAVORAZIONI!AJ539</f>
        <v/>
      </c>
    </row>
    <row r="34" ht="56" customHeight="1" s="46">
      <c r="B34" s="4">
        <f>LAVORAZIONI!G540</f>
        <v/>
      </c>
      <c r="C34" s="3">
        <f>LAVORAZIONI!A540</f>
        <v/>
      </c>
      <c r="D34" s="3">
        <f>LAVORAZIONI!K540</f>
        <v/>
      </c>
      <c r="E34" s="4">
        <f>LAVORAZIONI!H540</f>
        <v/>
      </c>
      <c r="F34" s="4">
        <f>LAVORAZIONI!M540</f>
        <v/>
      </c>
      <c r="G34" s="5">
        <f>LAVORAZIONI!N540</f>
        <v/>
      </c>
      <c r="H34" s="6">
        <f>LAVORAZIONI!O540</f>
        <v/>
      </c>
      <c r="I34" s="13">
        <f>LAVORAZIONI!P540</f>
        <v/>
      </c>
      <c r="J34" s="5">
        <f>IF(LAVORAZIONI!Q540="","",LAVORAZIONI!Q540)</f>
        <v/>
      </c>
      <c r="K34" s="6">
        <f>IF(LAVORAZIONI!R540="","",LAVORAZIONI!R540)</f>
        <v/>
      </c>
      <c r="L34" s="13">
        <f>IF(LAVORAZIONI!S540="","",LAVORAZIONI!S540)</f>
        <v/>
      </c>
      <c r="M34" s="13">
        <f>LAVORAZIONI!T540</f>
        <v/>
      </c>
      <c r="O34" s="7">
        <f>LAVORAZIONI!U540</f>
        <v/>
      </c>
      <c r="P34" s="45">
        <f>LAVORAZIONI!V540</f>
        <v/>
      </c>
      <c r="Q34" s="7">
        <f>LAVORAZIONI!W540</f>
        <v/>
      </c>
      <c r="R34" s="6">
        <f>LAVORAZIONI!X540</f>
        <v/>
      </c>
      <c r="S34" s="7">
        <f>LAVORAZIONI!Y540</f>
        <v/>
      </c>
      <c r="T34" s="6">
        <f>LAVORAZIONI!Z540</f>
        <v/>
      </c>
      <c r="U34" s="7">
        <f>LAVORAZIONI!AA540</f>
        <v/>
      </c>
      <c r="V34" s="6">
        <f>LAVORAZIONI!AB540</f>
        <v/>
      </c>
      <c r="W34" s="7">
        <f>LAVORAZIONI!AC540</f>
        <v/>
      </c>
      <c r="X34" s="6">
        <f>LAVORAZIONI!AD540</f>
        <v/>
      </c>
      <c r="Y34" s="7">
        <f>LAVORAZIONI!AE540</f>
        <v/>
      </c>
      <c r="Z34" s="6">
        <f>LAVORAZIONI!AF540</f>
        <v/>
      </c>
      <c r="AA34" s="7">
        <f>LAVORAZIONI!AG540</f>
        <v/>
      </c>
      <c r="AB34" s="6">
        <f>LAVORAZIONI!AH540</f>
        <v/>
      </c>
      <c r="AC34" s="7">
        <f>LAVORAZIONI!AI540</f>
        <v/>
      </c>
      <c r="AD34" s="13">
        <f>LAVORAZIONI!AJ540</f>
        <v/>
      </c>
    </row>
    <row r="35" ht="56" customHeight="1" s="46">
      <c r="B35" s="4">
        <f>LAVORAZIONI!G541</f>
        <v/>
      </c>
      <c r="C35" s="3">
        <f>LAVORAZIONI!A541</f>
        <v/>
      </c>
      <c r="D35" s="3">
        <f>LAVORAZIONI!K541</f>
        <v/>
      </c>
      <c r="E35" s="4">
        <f>LAVORAZIONI!H541</f>
        <v/>
      </c>
      <c r="F35" s="4">
        <f>LAVORAZIONI!M541</f>
        <v/>
      </c>
      <c r="G35" s="5">
        <f>LAVORAZIONI!N541</f>
        <v/>
      </c>
      <c r="H35" s="6">
        <f>LAVORAZIONI!O541</f>
        <v/>
      </c>
      <c r="I35" s="13">
        <f>LAVORAZIONI!P541</f>
        <v/>
      </c>
      <c r="J35" s="5">
        <f>IF(LAVORAZIONI!Q541="","",LAVORAZIONI!Q541)</f>
        <v/>
      </c>
      <c r="K35" s="6">
        <f>IF(LAVORAZIONI!R541="","",LAVORAZIONI!R541)</f>
        <v/>
      </c>
      <c r="L35" s="13">
        <f>IF(LAVORAZIONI!S541="","",LAVORAZIONI!S541)</f>
        <v/>
      </c>
      <c r="M35" s="13">
        <f>LAVORAZIONI!T541</f>
        <v/>
      </c>
      <c r="O35" s="7">
        <f>LAVORAZIONI!U541</f>
        <v/>
      </c>
      <c r="P35" s="45">
        <f>LAVORAZIONI!V541</f>
        <v/>
      </c>
      <c r="Q35" s="7">
        <f>LAVORAZIONI!W541</f>
        <v/>
      </c>
      <c r="R35" s="6">
        <f>LAVORAZIONI!X541</f>
        <v/>
      </c>
      <c r="S35" s="7">
        <f>LAVORAZIONI!Y541</f>
        <v/>
      </c>
      <c r="T35" s="6">
        <f>LAVORAZIONI!Z541</f>
        <v/>
      </c>
      <c r="U35" s="7">
        <f>LAVORAZIONI!AA541</f>
        <v/>
      </c>
      <c r="V35" s="6">
        <f>LAVORAZIONI!AB541</f>
        <v/>
      </c>
      <c r="W35" s="7">
        <f>LAVORAZIONI!AC541</f>
        <v/>
      </c>
      <c r="X35" s="6">
        <f>LAVORAZIONI!AD541</f>
        <v/>
      </c>
      <c r="Y35" s="7">
        <f>LAVORAZIONI!AE541</f>
        <v/>
      </c>
      <c r="Z35" s="6">
        <f>LAVORAZIONI!AF541</f>
        <v/>
      </c>
      <c r="AA35" s="7">
        <f>LAVORAZIONI!AG541</f>
        <v/>
      </c>
      <c r="AB35" s="6">
        <f>LAVORAZIONI!AH541</f>
        <v/>
      </c>
      <c r="AC35" s="7">
        <f>LAVORAZIONI!AI541</f>
        <v/>
      </c>
      <c r="AD35" s="13">
        <f>LAVORAZIONI!AJ541</f>
        <v/>
      </c>
    </row>
    <row r="36" ht="56" customHeight="1" s="46">
      <c r="B36" s="4">
        <f>LAVORAZIONI!G542</f>
        <v/>
      </c>
      <c r="C36" s="3">
        <f>LAVORAZIONI!A542</f>
        <v/>
      </c>
      <c r="D36" s="3">
        <f>LAVORAZIONI!K542</f>
        <v/>
      </c>
      <c r="E36" s="4">
        <f>LAVORAZIONI!H542</f>
        <v/>
      </c>
      <c r="F36" s="4">
        <f>LAVORAZIONI!M542</f>
        <v/>
      </c>
      <c r="G36" s="5">
        <f>LAVORAZIONI!N542</f>
        <v/>
      </c>
      <c r="H36" s="6">
        <f>LAVORAZIONI!O542</f>
        <v/>
      </c>
      <c r="I36" s="13">
        <f>LAVORAZIONI!P542</f>
        <v/>
      </c>
      <c r="J36" s="5">
        <f>IF(LAVORAZIONI!Q542="","",LAVORAZIONI!Q542)</f>
        <v/>
      </c>
      <c r="K36" s="6">
        <f>IF(LAVORAZIONI!R542="","",LAVORAZIONI!R542)</f>
        <v/>
      </c>
      <c r="L36" s="13">
        <f>IF(LAVORAZIONI!S542="","",LAVORAZIONI!S542)</f>
        <v/>
      </c>
      <c r="M36" s="13">
        <f>LAVORAZIONI!T542</f>
        <v/>
      </c>
      <c r="O36" s="7">
        <f>LAVORAZIONI!U542</f>
        <v/>
      </c>
      <c r="P36" s="45">
        <f>LAVORAZIONI!V542</f>
        <v/>
      </c>
      <c r="Q36" s="7">
        <f>LAVORAZIONI!W542</f>
        <v/>
      </c>
      <c r="R36" s="6">
        <f>LAVORAZIONI!X542</f>
        <v/>
      </c>
      <c r="S36" s="7">
        <f>LAVORAZIONI!Y542</f>
        <v/>
      </c>
      <c r="T36" s="6">
        <f>LAVORAZIONI!Z542</f>
        <v/>
      </c>
      <c r="U36" s="7">
        <f>LAVORAZIONI!AA542</f>
        <v/>
      </c>
      <c r="V36" s="6">
        <f>LAVORAZIONI!AB542</f>
        <v/>
      </c>
      <c r="W36" s="7">
        <f>LAVORAZIONI!AC542</f>
        <v/>
      </c>
      <c r="X36" s="6">
        <f>LAVORAZIONI!AD542</f>
        <v/>
      </c>
      <c r="Y36" s="7">
        <f>LAVORAZIONI!AE542</f>
        <v/>
      </c>
      <c r="Z36" s="6">
        <f>LAVORAZIONI!AF542</f>
        <v/>
      </c>
      <c r="AA36" s="7">
        <f>LAVORAZIONI!AG542</f>
        <v/>
      </c>
      <c r="AB36" s="6">
        <f>LAVORAZIONI!AH542</f>
        <v/>
      </c>
      <c r="AC36" s="7">
        <f>LAVORAZIONI!AI542</f>
        <v/>
      </c>
      <c r="AD36" s="13">
        <f>LAVORAZIONI!AJ542</f>
        <v/>
      </c>
    </row>
    <row r="37" ht="56" customHeight="1" s="46">
      <c r="B37" s="4">
        <f>LAVORAZIONI!G543</f>
        <v/>
      </c>
      <c r="C37" s="3">
        <f>LAVORAZIONI!A543</f>
        <v/>
      </c>
      <c r="D37" s="3">
        <f>LAVORAZIONI!K543</f>
        <v/>
      </c>
      <c r="E37" s="4">
        <f>LAVORAZIONI!H543</f>
        <v/>
      </c>
      <c r="F37" s="4">
        <f>LAVORAZIONI!M543</f>
        <v/>
      </c>
      <c r="G37" s="5">
        <f>LAVORAZIONI!N543</f>
        <v/>
      </c>
      <c r="H37" s="6">
        <f>LAVORAZIONI!O543</f>
        <v/>
      </c>
      <c r="I37" s="13">
        <f>LAVORAZIONI!P543</f>
        <v/>
      </c>
      <c r="J37" s="5">
        <f>IF(LAVORAZIONI!Q543="","",LAVORAZIONI!Q543)</f>
        <v/>
      </c>
      <c r="K37" s="6">
        <f>IF(LAVORAZIONI!R543="","",LAVORAZIONI!R543)</f>
        <v/>
      </c>
      <c r="L37" s="13">
        <f>IF(LAVORAZIONI!S543="","",LAVORAZIONI!S543)</f>
        <v/>
      </c>
      <c r="M37" s="13">
        <f>LAVORAZIONI!T543</f>
        <v/>
      </c>
      <c r="O37" s="7">
        <f>LAVORAZIONI!U543</f>
        <v/>
      </c>
      <c r="P37" s="45">
        <f>LAVORAZIONI!V543</f>
        <v/>
      </c>
      <c r="Q37" s="7">
        <f>LAVORAZIONI!W543</f>
        <v/>
      </c>
      <c r="R37" s="6">
        <f>LAVORAZIONI!X543</f>
        <v/>
      </c>
      <c r="S37" s="7">
        <f>LAVORAZIONI!Y543</f>
        <v/>
      </c>
      <c r="T37" s="6">
        <f>LAVORAZIONI!Z543</f>
        <v/>
      </c>
      <c r="U37" s="7">
        <f>LAVORAZIONI!AA543</f>
        <v/>
      </c>
      <c r="V37" s="6">
        <f>LAVORAZIONI!AB543</f>
        <v/>
      </c>
      <c r="W37" s="7">
        <f>LAVORAZIONI!AC543</f>
        <v/>
      </c>
      <c r="X37" s="6">
        <f>LAVORAZIONI!AD543</f>
        <v/>
      </c>
      <c r="Y37" s="7">
        <f>LAVORAZIONI!AE543</f>
        <v/>
      </c>
      <c r="Z37" s="6">
        <f>LAVORAZIONI!AF543</f>
        <v/>
      </c>
      <c r="AA37" s="7">
        <f>LAVORAZIONI!AG543</f>
        <v/>
      </c>
      <c r="AB37" s="6">
        <f>LAVORAZIONI!AH543</f>
        <v/>
      </c>
      <c r="AC37" s="7">
        <f>LAVORAZIONI!AI543</f>
        <v/>
      </c>
      <c r="AD37" s="13">
        <f>LAVORAZIONI!AJ543</f>
        <v/>
      </c>
    </row>
    <row r="38" ht="56" customHeight="1" s="46">
      <c r="B38" s="4">
        <f>LAVORAZIONI!G544</f>
        <v/>
      </c>
      <c r="C38" s="3">
        <f>LAVORAZIONI!A544</f>
        <v/>
      </c>
      <c r="D38" s="3">
        <f>LAVORAZIONI!K544</f>
        <v/>
      </c>
      <c r="E38" s="4">
        <f>LAVORAZIONI!H544</f>
        <v/>
      </c>
      <c r="F38" s="4">
        <f>LAVORAZIONI!M544</f>
        <v/>
      </c>
      <c r="G38" s="5">
        <f>LAVORAZIONI!N544</f>
        <v/>
      </c>
      <c r="H38" s="6">
        <f>LAVORAZIONI!O544</f>
        <v/>
      </c>
      <c r="I38" s="13">
        <f>LAVORAZIONI!P544</f>
        <v/>
      </c>
      <c r="J38" s="5">
        <f>IF(LAVORAZIONI!Q544="","",LAVORAZIONI!Q544)</f>
        <v/>
      </c>
      <c r="K38" s="6">
        <f>IF(LAVORAZIONI!R544="","",LAVORAZIONI!R544)</f>
        <v/>
      </c>
      <c r="L38" s="13">
        <f>IF(LAVORAZIONI!S544="","",LAVORAZIONI!S544)</f>
        <v/>
      </c>
      <c r="M38" s="13">
        <f>LAVORAZIONI!T544</f>
        <v/>
      </c>
      <c r="O38" s="7">
        <f>LAVORAZIONI!U544</f>
        <v/>
      </c>
      <c r="P38" s="45">
        <f>LAVORAZIONI!V544</f>
        <v/>
      </c>
      <c r="Q38" s="7">
        <f>LAVORAZIONI!W544</f>
        <v/>
      </c>
      <c r="R38" s="6">
        <f>LAVORAZIONI!X544</f>
        <v/>
      </c>
      <c r="S38" s="7">
        <f>LAVORAZIONI!Y544</f>
        <v/>
      </c>
      <c r="T38" s="6">
        <f>LAVORAZIONI!Z544</f>
        <v/>
      </c>
      <c r="U38" s="7">
        <f>LAVORAZIONI!AA544</f>
        <v/>
      </c>
      <c r="V38" s="6">
        <f>LAVORAZIONI!AB544</f>
        <v/>
      </c>
      <c r="W38" s="7">
        <f>LAVORAZIONI!AC544</f>
        <v/>
      </c>
      <c r="X38" s="6">
        <f>LAVORAZIONI!AD544</f>
        <v/>
      </c>
      <c r="Y38" s="7">
        <f>LAVORAZIONI!AE544</f>
        <v/>
      </c>
      <c r="Z38" s="6">
        <f>LAVORAZIONI!AF544</f>
        <v/>
      </c>
      <c r="AA38" s="7">
        <f>LAVORAZIONI!AG544</f>
        <v/>
      </c>
      <c r="AB38" s="6">
        <f>LAVORAZIONI!AH544</f>
        <v/>
      </c>
      <c r="AC38" s="7">
        <f>LAVORAZIONI!AI544</f>
        <v/>
      </c>
      <c r="AD38" s="13">
        <f>LAVORAZIONI!AJ544</f>
        <v/>
      </c>
    </row>
    <row r="39" ht="56" customHeight="1" s="46">
      <c r="B39" s="4">
        <f>LAVORAZIONI!G545</f>
        <v/>
      </c>
      <c r="C39" s="3">
        <f>LAVORAZIONI!A545</f>
        <v/>
      </c>
      <c r="D39" s="3">
        <f>LAVORAZIONI!K545</f>
        <v/>
      </c>
      <c r="E39" s="4">
        <f>LAVORAZIONI!H545</f>
        <v/>
      </c>
      <c r="F39" s="4">
        <f>LAVORAZIONI!M545</f>
        <v/>
      </c>
      <c r="G39" s="5">
        <f>LAVORAZIONI!N545</f>
        <v/>
      </c>
      <c r="H39" s="6">
        <f>LAVORAZIONI!O545</f>
        <v/>
      </c>
      <c r="I39" s="13">
        <f>LAVORAZIONI!P545</f>
        <v/>
      </c>
      <c r="J39" s="5">
        <f>IF(LAVORAZIONI!Q545="","",LAVORAZIONI!Q545)</f>
        <v/>
      </c>
      <c r="K39" s="6">
        <f>IF(LAVORAZIONI!R545="","",LAVORAZIONI!R545)</f>
        <v/>
      </c>
      <c r="L39" s="13">
        <f>IF(LAVORAZIONI!S545="","",LAVORAZIONI!S545)</f>
        <v/>
      </c>
      <c r="M39" s="13">
        <f>LAVORAZIONI!T545</f>
        <v/>
      </c>
      <c r="O39" s="7">
        <f>LAVORAZIONI!U545</f>
        <v/>
      </c>
      <c r="P39" s="45">
        <f>LAVORAZIONI!V545</f>
        <v/>
      </c>
      <c r="Q39" s="7">
        <f>LAVORAZIONI!W545</f>
        <v/>
      </c>
      <c r="R39" s="6">
        <f>LAVORAZIONI!X545</f>
        <v/>
      </c>
      <c r="S39" s="7">
        <f>LAVORAZIONI!Y545</f>
        <v/>
      </c>
      <c r="T39" s="6">
        <f>LAVORAZIONI!Z545</f>
        <v/>
      </c>
      <c r="U39" s="7">
        <f>LAVORAZIONI!AA545</f>
        <v/>
      </c>
      <c r="V39" s="6">
        <f>LAVORAZIONI!AB545</f>
        <v/>
      </c>
      <c r="W39" s="7">
        <f>LAVORAZIONI!AC545</f>
        <v/>
      </c>
      <c r="X39" s="6">
        <f>LAVORAZIONI!AD545</f>
        <v/>
      </c>
      <c r="Y39" s="7">
        <f>LAVORAZIONI!AE545</f>
        <v/>
      </c>
      <c r="Z39" s="6">
        <f>LAVORAZIONI!AF545</f>
        <v/>
      </c>
      <c r="AA39" s="7">
        <f>LAVORAZIONI!AG545</f>
        <v/>
      </c>
      <c r="AB39" s="6">
        <f>LAVORAZIONI!AH545</f>
        <v/>
      </c>
      <c r="AC39" s="7">
        <f>LAVORAZIONI!AI545</f>
        <v/>
      </c>
      <c r="AD39" s="13">
        <f>LAVORAZIONI!AJ545</f>
        <v/>
      </c>
    </row>
    <row r="40" ht="56" customHeight="1" s="46">
      <c r="B40" s="4">
        <f>LAVORAZIONI!G546</f>
        <v/>
      </c>
      <c r="C40" s="3">
        <f>LAVORAZIONI!A546</f>
        <v/>
      </c>
      <c r="D40" s="3">
        <f>LAVORAZIONI!K546</f>
        <v/>
      </c>
      <c r="E40" s="4">
        <f>LAVORAZIONI!H546</f>
        <v/>
      </c>
      <c r="F40" s="4">
        <f>LAVORAZIONI!M546</f>
        <v/>
      </c>
      <c r="G40" s="5">
        <f>LAVORAZIONI!N546</f>
        <v/>
      </c>
      <c r="H40" s="6">
        <f>LAVORAZIONI!O546</f>
        <v/>
      </c>
      <c r="I40" s="13">
        <f>LAVORAZIONI!P546</f>
        <v/>
      </c>
      <c r="J40" s="5">
        <f>IF(LAVORAZIONI!Q546="","",LAVORAZIONI!Q546)</f>
        <v/>
      </c>
      <c r="K40" s="6">
        <f>IF(LAVORAZIONI!R546="","",LAVORAZIONI!R546)</f>
        <v/>
      </c>
      <c r="L40" s="13">
        <f>IF(LAVORAZIONI!S546="","",LAVORAZIONI!S546)</f>
        <v/>
      </c>
      <c r="M40" s="13">
        <f>LAVORAZIONI!T546</f>
        <v/>
      </c>
      <c r="O40" s="7">
        <f>LAVORAZIONI!U546</f>
        <v/>
      </c>
      <c r="P40" s="45">
        <f>LAVORAZIONI!V546</f>
        <v/>
      </c>
      <c r="Q40" s="7">
        <f>LAVORAZIONI!W546</f>
        <v/>
      </c>
      <c r="R40" s="6">
        <f>LAVORAZIONI!X546</f>
        <v/>
      </c>
      <c r="S40" s="7">
        <f>LAVORAZIONI!Y546</f>
        <v/>
      </c>
      <c r="T40" s="6">
        <f>LAVORAZIONI!Z546</f>
        <v/>
      </c>
      <c r="U40" s="7">
        <f>LAVORAZIONI!AA546</f>
        <v/>
      </c>
      <c r="V40" s="6">
        <f>LAVORAZIONI!AB546</f>
        <v/>
      </c>
      <c r="W40" s="7">
        <f>LAVORAZIONI!AC546</f>
        <v/>
      </c>
      <c r="X40" s="6">
        <f>LAVORAZIONI!AD546</f>
        <v/>
      </c>
      <c r="Y40" s="7">
        <f>LAVORAZIONI!AE546</f>
        <v/>
      </c>
      <c r="Z40" s="6">
        <f>LAVORAZIONI!AF546</f>
        <v/>
      </c>
      <c r="AA40" s="7">
        <f>LAVORAZIONI!AG546</f>
        <v/>
      </c>
      <c r="AB40" s="6">
        <f>LAVORAZIONI!AH546</f>
        <v/>
      </c>
      <c r="AC40" s="7">
        <f>LAVORAZIONI!AI546</f>
        <v/>
      </c>
      <c r="AD40" s="13">
        <f>LAVORAZIONI!AJ546</f>
        <v/>
      </c>
    </row>
    <row r="41" ht="56" customHeight="1" s="46">
      <c r="B41" s="4">
        <f>LAVORAZIONI!G547</f>
        <v/>
      </c>
      <c r="C41" s="3">
        <f>LAVORAZIONI!A547</f>
        <v/>
      </c>
      <c r="D41" s="3">
        <f>LAVORAZIONI!K547</f>
        <v/>
      </c>
      <c r="E41" s="4">
        <f>LAVORAZIONI!H547</f>
        <v/>
      </c>
      <c r="F41" s="4">
        <f>LAVORAZIONI!M547</f>
        <v/>
      </c>
      <c r="G41" s="5">
        <f>LAVORAZIONI!N547</f>
        <v/>
      </c>
      <c r="H41" s="6">
        <f>LAVORAZIONI!O547</f>
        <v/>
      </c>
      <c r="I41" s="13">
        <f>LAVORAZIONI!P547</f>
        <v/>
      </c>
      <c r="J41" s="5">
        <f>IF(LAVORAZIONI!Q547="","",LAVORAZIONI!Q547)</f>
        <v/>
      </c>
      <c r="K41" s="6">
        <f>IF(LAVORAZIONI!R547="","",LAVORAZIONI!R547)</f>
        <v/>
      </c>
      <c r="L41" s="13">
        <f>IF(LAVORAZIONI!S547="","",LAVORAZIONI!S547)</f>
        <v/>
      </c>
      <c r="M41" s="13">
        <f>LAVORAZIONI!T547</f>
        <v/>
      </c>
      <c r="O41" s="7">
        <f>LAVORAZIONI!U547</f>
        <v/>
      </c>
      <c r="P41" s="45">
        <f>LAVORAZIONI!V547</f>
        <v/>
      </c>
      <c r="Q41" s="7">
        <f>LAVORAZIONI!W547</f>
        <v/>
      </c>
      <c r="R41" s="6">
        <f>LAVORAZIONI!X547</f>
        <v/>
      </c>
      <c r="S41" s="7">
        <f>LAVORAZIONI!Y547</f>
        <v/>
      </c>
      <c r="T41" s="6">
        <f>LAVORAZIONI!Z547</f>
        <v/>
      </c>
      <c r="U41" s="7">
        <f>LAVORAZIONI!AA547</f>
        <v/>
      </c>
      <c r="V41" s="6">
        <f>LAVORAZIONI!AB547</f>
        <v/>
      </c>
      <c r="W41" s="7">
        <f>LAVORAZIONI!AC547</f>
        <v/>
      </c>
      <c r="X41" s="6">
        <f>LAVORAZIONI!AD547</f>
        <v/>
      </c>
      <c r="Y41" s="7">
        <f>LAVORAZIONI!AE547</f>
        <v/>
      </c>
      <c r="Z41" s="6">
        <f>LAVORAZIONI!AF547</f>
        <v/>
      </c>
      <c r="AA41" s="7">
        <f>LAVORAZIONI!AG547</f>
        <v/>
      </c>
      <c r="AB41" s="6">
        <f>LAVORAZIONI!AH547</f>
        <v/>
      </c>
      <c r="AC41" s="7">
        <f>LAVORAZIONI!AI547</f>
        <v/>
      </c>
      <c r="AD41" s="13">
        <f>LAVORAZIONI!AJ547</f>
        <v/>
      </c>
    </row>
    <row r="42" ht="56" customHeight="1" s="46">
      <c r="B42" s="4">
        <f>LAVORAZIONI!G548</f>
        <v/>
      </c>
      <c r="C42" s="3">
        <f>LAVORAZIONI!A548</f>
        <v/>
      </c>
      <c r="D42" s="3">
        <f>LAVORAZIONI!K548</f>
        <v/>
      </c>
      <c r="E42" s="4">
        <f>LAVORAZIONI!H548</f>
        <v/>
      </c>
      <c r="F42" s="4">
        <f>LAVORAZIONI!M548</f>
        <v/>
      </c>
      <c r="G42" s="5">
        <f>LAVORAZIONI!N548</f>
        <v/>
      </c>
      <c r="H42" s="6">
        <f>LAVORAZIONI!O548</f>
        <v/>
      </c>
      <c r="I42" s="13">
        <f>LAVORAZIONI!P548</f>
        <v/>
      </c>
      <c r="J42" s="5">
        <f>IF(LAVORAZIONI!Q548="","",LAVORAZIONI!Q548)</f>
        <v/>
      </c>
      <c r="K42" s="6">
        <f>IF(LAVORAZIONI!R548="","",LAVORAZIONI!R548)</f>
        <v/>
      </c>
      <c r="L42" s="13">
        <f>IF(LAVORAZIONI!S548="","",LAVORAZIONI!S548)</f>
        <v/>
      </c>
      <c r="M42" s="13">
        <f>LAVORAZIONI!T548</f>
        <v/>
      </c>
      <c r="O42" s="7">
        <f>LAVORAZIONI!U548</f>
        <v/>
      </c>
      <c r="P42" s="45">
        <f>LAVORAZIONI!V548</f>
        <v/>
      </c>
      <c r="Q42" s="7">
        <f>LAVORAZIONI!W548</f>
        <v/>
      </c>
      <c r="R42" s="6">
        <f>LAVORAZIONI!X548</f>
        <v/>
      </c>
      <c r="S42" s="7">
        <f>LAVORAZIONI!Y548</f>
        <v/>
      </c>
      <c r="T42" s="6">
        <f>LAVORAZIONI!Z548</f>
        <v/>
      </c>
      <c r="U42" s="7">
        <f>LAVORAZIONI!AA548</f>
        <v/>
      </c>
      <c r="V42" s="6">
        <f>LAVORAZIONI!AB548</f>
        <v/>
      </c>
      <c r="W42" s="7">
        <f>LAVORAZIONI!AC548</f>
        <v/>
      </c>
      <c r="X42" s="6">
        <f>LAVORAZIONI!AD548</f>
        <v/>
      </c>
      <c r="Y42" s="7">
        <f>LAVORAZIONI!AE548</f>
        <v/>
      </c>
      <c r="Z42" s="6">
        <f>LAVORAZIONI!AF548</f>
        <v/>
      </c>
      <c r="AA42" s="7">
        <f>LAVORAZIONI!AG548</f>
        <v/>
      </c>
      <c r="AB42" s="6">
        <f>LAVORAZIONI!AH548</f>
        <v/>
      </c>
      <c r="AC42" s="7">
        <f>LAVORAZIONI!AI548</f>
        <v/>
      </c>
      <c r="AD42" s="13">
        <f>LAVORAZIONI!AJ548</f>
        <v/>
      </c>
    </row>
    <row r="43" ht="56" customHeight="1" s="46">
      <c r="B43" s="4">
        <f>LAVORAZIONI!G549</f>
        <v/>
      </c>
      <c r="C43" s="3">
        <f>LAVORAZIONI!A549</f>
        <v/>
      </c>
      <c r="D43" s="3">
        <f>LAVORAZIONI!K549</f>
        <v/>
      </c>
      <c r="E43" s="4">
        <f>LAVORAZIONI!H549</f>
        <v/>
      </c>
      <c r="F43" s="4">
        <f>LAVORAZIONI!M549</f>
        <v/>
      </c>
      <c r="G43" s="5">
        <f>LAVORAZIONI!N549</f>
        <v/>
      </c>
      <c r="H43" s="6">
        <f>LAVORAZIONI!O549</f>
        <v/>
      </c>
      <c r="I43" s="13">
        <f>LAVORAZIONI!P549</f>
        <v/>
      </c>
      <c r="J43" s="5">
        <f>IF(LAVORAZIONI!Q549="","",LAVORAZIONI!Q549)</f>
        <v/>
      </c>
      <c r="K43" s="6">
        <f>IF(LAVORAZIONI!R549="","",LAVORAZIONI!R549)</f>
        <v/>
      </c>
      <c r="L43" s="13">
        <f>IF(LAVORAZIONI!S549="","",LAVORAZIONI!S549)</f>
        <v/>
      </c>
      <c r="M43" s="13">
        <f>LAVORAZIONI!T549</f>
        <v/>
      </c>
      <c r="O43" s="7">
        <f>LAVORAZIONI!U549</f>
        <v/>
      </c>
      <c r="P43" s="45">
        <f>LAVORAZIONI!V549</f>
        <v/>
      </c>
      <c r="Q43" s="7">
        <f>LAVORAZIONI!W549</f>
        <v/>
      </c>
      <c r="R43" s="6">
        <f>LAVORAZIONI!X549</f>
        <v/>
      </c>
      <c r="S43" s="7">
        <f>LAVORAZIONI!Y549</f>
        <v/>
      </c>
      <c r="T43" s="6">
        <f>LAVORAZIONI!Z549</f>
        <v/>
      </c>
      <c r="U43" s="7">
        <f>LAVORAZIONI!AA549</f>
        <v/>
      </c>
      <c r="V43" s="6">
        <f>LAVORAZIONI!AB549</f>
        <v/>
      </c>
      <c r="W43" s="7">
        <f>LAVORAZIONI!AC549</f>
        <v/>
      </c>
      <c r="X43" s="6">
        <f>LAVORAZIONI!AD549</f>
        <v/>
      </c>
      <c r="Y43" s="7">
        <f>LAVORAZIONI!AE549</f>
        <v/>
      </c>
      <c r="Z43" s="6">
        <f>LAVORAZIONI!AF549</f>
        <v/>
      </c>
      <c r="AA43" s="7">
        <f>LAVORAZIONI!AG549</f>
        <v/>
      </c>
      <c r="AB43" s="6">
        <f>LAVORAZIONI!AH549</f>
        <v/>
      </c>
      <c r="AC43" s="7">
        <f>LAVORAZIONI!AI549</f>
        <v/>
      </c>
      <c r="AD43" s="13">
        <f>LAVORAZIONI!AJ549</f>
        <v/>
      </c>
    </row>
    <row r="44" ht="56" customHeight="1" s="46">
      <c r="B44" s="4">
        <f>LAVORAZIONI!G550</f>
        <v/>
      </c>
      <c r="C44" s="3">
        <f>LAVORAZIONI!A550</f>
        <v/>
      </c>
      <c r="D44" s="3">
        <f>LAVORAZIONI!K550</f>
        <v/>
      </c>
      <c r="E44" s="4">
        <f>LAVORAZIONI!H550</f>
        <v/>
      </c>
      <c r="F44" s="4">
        <f>LAVORAZIONI!M550</f>
        <v/>
      </c>
      <c r="G44" s="5">
        <f>LAVORAZIONI!N550</f>
        <v/>
      </c>
      <c r="H44" s="6">
        <f>LAVORAZIONI!O550</f>
        <v/>
      </c>
      <c r="I44" s="13">
        <f>LAVORAZIONI!P550</f>
        <v/>
      </c>
      <c r="J44" s="5">
        <f>IF(LAVORAZIONI!Q550="","",LAVORAZIONI!Q550)</f>
        <v/>
      </c>
      <c r="K44" s="6">
        <f>IF(LAVORAZIONI!R550="","",LAVORAZIONI!R550)</f>
        <v/>
      </c>
      <c r="L44" s="13">
        <f>IF(LAVORAZIONI!S550="","",LAVORAZIONI!S550)</f>
        <v/>
      </c>
      <c r="M44" s="13">
        <f>LAVORAZIONI!T550</f>
        <v/>
      </c>
      <c r="O44" s="7">
        <f>LAVORAZIONI!U550</f>
        <v/>
      </c>
      <c r="P44" s="45">
        <f>LAVORAZIONI!V550</f>
        <v/>
      </c>
      <c r="Q44" s="7">
        <f>LAVORAZIONI!W550</f>
        <v/>
      </c>
      <c r="R44" s="6">
        <f>LAVORAZIONI!X550</f>
        <v/>
      </c>
      <c r="S44" s="7">
        <f>LAVORAZIONI!Y550</f>
        <v/>
      </c>
      <c r="T44" s="6">
        <f>LAVORAZIONI!Z550</f>
        <v/>
      </c>
      <c r="U44" s="7">
        <f>LAVORAZIONI!AA550</f>
        <v/>
      </c>
      <c r="V44" s="6">
        <f>LAVORAZIONI!AB550</f>
        <v/>
      </c>
      <c r="W44" s="7">
        <f>LAVORAZIONI!AC550</f>
        <v/>
      </c>
      <c r="X44" s="6">
        <f>LAVORAZIONI!AD550</f>
        <v/>
      </c>
      <c r="Y44" s="7">
        <f>LAVORAZIONI!AE550</f>
        <v/>
      </c>
      <c r="Z44" s="6">
        <f>LAVORAZIONI!AF550</f>
        <v/>
      </c>
      <c r="AA44" s="7">
        <f>LAVORAZIONI!AG550</f>
        <v/>
      </c>
      <c r="AB44" s="6">
        <f>LAVORAZIONI!AH550</f>
        <v/>
      </c>
      <c r="AC44" s="7">
        <f>LAVORAZIONI!AI550</f>
        <v/>
      </c>
      <c r="AD44" s="13">
        <f>LAVORAZIONI!AJ550</f>
        <v/>
      </c>
    </row>
    <row r="45" ht="56" customHeight="1" s="46">
      <c r="B45" s="4">
        <f>LAVORAZIONI!G551</f>
        <v/>
      </c>
      <c r="C45" s="3">
        <f>LAVORAZIONI!A551</f>
        <v/>
      </c>
      <c r="D45" s="3">
        <f>LAVORAZIONI!K551</f>
        <v/>
      </c>
      <c r="E45" s="4">
        <f>LAVORAZIONI!H551</f>
        <v/>
      </c>
      <c r="F45" s="4">
        <f>LAVORAZIONI!M551</f>
        <v/>
      </c>
      <c r="G45" s="5">
        <f>LAVORAZIONI!N551</f>
        <v/>
      </c>
      <c r="H45" s="6">
        <f>LAVORAZIONI!O551</f>
        <v/>
      </c>
      <c r="I45" s="13">
        <f>LAVORAZIONI!P551</f>
        <v/>
      </c>
      <c r="J45" s="5">
        <f>IF(LAVORAZIONI!Q551="","",LAVORAZIONI!Q551)</f>
        <v/>
      </c>
      <c r="K45" s="6">
        <f>IF(LAVORAZIONI!R551="","",LAVORAZIONI!R551)</f>
        <v/>
      </c>
      <c r="L45" s="13">
        <f>IF(LAVORAZIONI!S551="","",LAVORAZIONI!S551)</f>
        <v/>
      </c>
      <c r="M45" s="13">
        <f>LAVORAZIONI!T551</f>
        <v/>
      </c>
      <c r="O45" s="7">
        <f>LAVORAZIONI!U551</f>
        <v/>
      </c>
      <c r="P45" s="45">
        <f>LAVORAZIONI!V551</f>
        <v/>
      </c>
      <c r="Q45" s="7">
        <f>LAVORAZIONI!W551</f>
        <v/>
      </c>
      <c r="R45" s="6">
        <f>LAVORAZIONI!X551</f>
        <v/>
      </c>
      <c r="S45" s="7">
        <f>LAVORAZIONI!Y551</f>
        <v/>
      </c>
      <c r="T45" s="6">
        <f>LAVORAZIONI!Z551</f>
        <v/>
      </c>
      <c r="U45" s="7">
        <f>LAVORAZIONI!AA551</f>
        <v/>
      </c>
      <c r="V45" s="6">
        <f>LAVORAZIONI!AB551</f>
        <v/>
      </c>
      <c r="W45" s="7">
        <f>LAVORAZIONI!AC551</f>
        <v/>
      </c>
      <c r="X45" s="6">
        <f>LAVORAZIONI!AD551</f>
        <v/>
      </c>
      <c r="Y45" s="7">
        <f>LAVORAZIONI!AE551</f>
        <v/>
      </c>
      <c r="Z45" s="6">
        <f>LAVORAZIONI!AF551</f>
        <v/>
      </c>
      <c r="AA45" s="7">
        <f>LAVORAZIONI!AG551</f>
        <v/>
      </c>
      <c r="AB45" s="6">
        <f>LAVORAZIONI!AH551</f>
        <v/>
      </c>
      <c r="AC45" s="7">
        <f>LAVORAZIONI!AI551</f>
        <v/>
      </c>
      <c r="AD45" s="13">
        <f>LAVORAZIONI!AJ551</f>
        <v/>
      </c>
    </row>
    <row r="46" ht="56" customHeight="1" s="46">
      <c r="B46" s="4">
        <f>LAVORAZIONI!G552</f>
        <v/>
      </c>
      <c r="C46" s="3">
        <f>LAVORAZIONI!A552</f>
        <v/>
      </c>
      <c r="D46" s="3">
        <f>LAVORAZIONI!K552</f>
        <v/>
      </c>
      <c r="E46" s="4">
        <f>LAVORAZIONI!H552</f>
        <v/>
      </c>
      <c r="F46" s="4">
        <f>LAVORAZIONI!M552</f>
        <v/>
      </c>
      <c r="G46" s="5">
        <f>LAVORAZIONI!N552</f>
        <v/>
      </c>
      <c r="H46" s="6">
        <f>LAVORAZIONI!O552</f>
        <v/>
      </c>
      <c r="I46" s="13">
        <f>LAVORAZIONI!P552</f>
        <v/>
      </c>
      <c r="J46" s="5">
        <f>IF(LAVORAZIONI!Q552="","",LAVORAZIONI!Q552)</f>
        <v/>
      </c>
      <c r="K46" s="6">
        <f>IF(LAVORAZIONI!R552="","",LAVORAZIONI!R552)</f>
        <v/>
      </c>
      <c r="L46" s="13">
        <f>IF(LAVORAZIONI!S552="","",LAVORAZIONI!S552)</f>
        <v/>
      </c>
      <c r="M46" s="13">
        <f>LAVORAZIONI!T552</f>
        <v/>
      </c>
      <c r="O46" s="7">
        <f>LAVORAZIONI!U552</f>
        <v/>
      </c>
      <c r="P46" s="45">
        <f>LAVORAZIONI!V552</f>
        <v/>
      </c>
      <c r="Q46" s="7">
        <f>LAVORAZIONI!W552</f>
        <v/>
      </c>
      <c r="R46" s="6">
        <f>LAVORAZIONI!X552</f>
        <v/>
      </c>
      <c r="S46" s="7">
        <f>LAVORAZIONI!Y552</f>
        <v/>
      </c>
      <c r="T46" s="6">
        <f>LAVORAZIONI!Z552</f>
        <v/>
      </c>
      <c r="U46" s="7">
        <f>LAVORAZIONI!AA552</f>
        <v/>
      </c>
      <c r="V46" s="6">
        <f>LAVORAZIONI!AB552</f>
        <v/>
      </c>
      <c r="W46" s="7">
        <f>LAVORAZIONI!AC552</f>
        <v/>
      </c>
      <c r="X46" s="6">
        <f>LAVORAZIONI!AD552</f>
        <v/>
      </c>
      <c r="Y46" s="7">
        <f>LAVORAZIONI!AE552</f>
        <v/>
      </c>
      <c r="Z46" s="6">
        <f>LAVORAZIONI!AF552</f>
        <v/>
      </c>
      <c r="AA46" s="7">
        <f>LAVORAZIONI!AG552</f>
        <v/>
      </c>
      <c r="AB46" s="6">
        <f>LAVORAZIONI!AH552</f>
        <v/>
      </c>
      <c r="AC46" s="7">
        <f>LAVORAZIONI!AI552</f>
        <v/>
      </c>
      <c r="AD46" s="13">
        <f>LAVORAZIONI!AJ552</f>
        <v/>
      </c>
    </row>
    <row r="47" ht="56" customHeight="1" s="46">
      <c r="B47" s="4">
        <f>LAVORAZIONI!G553</f>
        <v/>
      </c>
      <c r="C47" s="3">
        <f>LAVORAZIONI!A553</f>
        <v/>
      </c>
      <c r="D47" s="3">
        <f>LAVORAZIONI!K553</f>
        <v/>
      </c>
      <c r="E47" s="4">
        <f>LAVORAZIONI!H553</f>
        <v/>
      </c>
      <c r="F47" s="4">
        <f>LAVORAZIONI!M553</f>
        <v/>
      </c>
      <c r="G47" s="5">
        <f>LAVORAZIONI!N553</f>
        <v/>
      </c>
      <c r="H47" s="6">
        <f>LAVORAZIONI!O553</f>
        <v/>
      </c>
      <c r="I47" s="13">
        <f>LAVORAZIONI!P553</f>
        <v/>
      </c>
      <c r="J47" s="5">
        <f>IF(LAVORAZIONI!Q553="","",LAVORAZIONI!Q553)</f>
        <v/>
      </c>
      <c r="K47" s="6">
        <f>IF(LAVORAZIONI!R553="","",LAVORAZIONI!R553)</f>
        <v/>
      </c>
      <c r="L47" s="13">
        <f>IF(LAVORAZIONI!S553="","",LAVORAZIONI!S553)</f>
        <v/>
      </c>
      <c r="M47" s="13">
        <f>LAVORAZIONI!T553</f>
        <v/>
      </c>
      <c r="O47" s="7">
        <f>LAVORAZIONI!U553</f>
        <v/>
      </c>
      <c r="P47" s="45">
        <f>LAVORAZIONI!V553</f>
        <v/>
      </c>
      <c r="Q47" s="7">
        <f>LAVORAZIONI!W553</f>
        <v/>
      </c>
      <c r="R47" s="6">
        <f>LAVORAZIONI!X553</f>
        <v/>
      </c>
      <c r="S47" s="7">
        <f>LAVORAZIONI!Y553</f>
        <v/>
      </c>
      <c r="T47" s="6">
        <f>LAVORAZIONI!Z553</f>
        <v/>
      </c>
      <c r="U47" s="7">
        <f>LAVORAZIONI!AA553</f>
        <v/>
      </c>
      <c r="V47" s="6">
        <f>LAVORAZIONI!AB553</f>
        <v/>
      </c>
      <c r="W47" s="7">
        <f>LAVORAZIONI!AC553</f>
        <v/>
      </c>
      <c r="X47" s="6">
        <f>LAVORAZIONI!AD553</f>
        <v/>
      </c>
      <c r="Y47" s="7">
        <f>LAVORAZIONI!AE553</f>
        <v/>
      </c>
      <c r="Z47" s="6">
        <f>LAVORAZIONI!AF553</f>
        <v/>
      </c>
      <c r="AA47" s="7">
        <f>LAVORAZIONI!AG553</f>
        <v/>
      </c>
      <c r="AB47" s="6">
        <f>LAVORAZIONI!AH553</f>
        <v/>
      </c>
      <c r="AC47" s="7">
        <f>LAVORAZIONI!AI553</f>
        <v/>
      </c>
      <c r="AD47" s="13">
        <f>LAVORAZIONI!AJ553</f>
        <v/>
      </c>
    </row>
    <row r="48" ht="56" customHeight="1" s="46">
      <c r="B48" s="4">
        <f>LAVORAZIONI!G554</f>
        <v/>
      </c>
      <c r="C48" s="3">
        <f>LAVORAZIONI!A554</f>
        <v/>
      </c>
      <c r="D48" s="3">
        <f>LAVORAZIONI!K554</f>
        <v/>
      </c>
      <c r="E48" s="4">
        <f>LAVORAZIONI!H554</f>
        <v/>
      </c>
      <c r="F48" s="4">
        <f>LAVORAZIONI!M554</f>
        <v/>
      </c>
      <c r="G48" s="5">
        <f>LAVORAZIONI!N554</f>
        <v/>
      </c>
      <c r="H48" s="6">
        <f>LAVORAZIONI!O554</f>
        <v/>
      </c>
      <c r="I48" s="13">
        <f>LAVORAZIONI!P554</f>
        <v/>
      </c>
      <c r="J48" s="5">
        <f>IF(LAVORAZIONI!Q554="","",LAVORAZIONI!Q554)</f>
        <v/>
      </c>
      <c r="K48" s="6">
        <f>IF(LAVORAZIONI!R554="","",LAVORAZIONI!R554)</f>
        <v/>
      </c>
      <c r="L48" s="13">
        <f>IF(LAVORAZIONI!S554="","",LAVORAZIONI!S554)</f>
        <v/>
      </c>
      <c r="M48" s="13">
        <f>LAVORAZIONI!T554</f>
        <v/>
      </c>
      <c r="O48" s="7">
        <f>LAVORAZIONI!U554</f>
        <v/>
      </c>
      <c r="P48" s="45">
        <f>LAVORAZIONI!V554</f>
        <v/>
      </c>
      <c r="Q48" s="7">
        <f>LAVORAZIONI!W554</f>
        <v/>
      </c>
      <c r="R48" s="6">
        <f>LAVORAZIONI!X554</f>
        <v/>
      </c>
      <c r="S48" s="7">
        <f>LAVORAZIONI!Y554</f>
        <v/>
      </c>
      <c r="T48" s="6">
        <f>LAVORAZIONI!Z554</f>
        <v/>
      </c>
      <c r="U48" s="7">
        <f>LAVORAZIONI!AA554</f>
        <v/>
      </c>
      <c r="V48" s="6">
        <f>LAVORAZIONI!AB554</f>
        <v/>
      </c>
      <c r="W48" s="7">
        <f>LAVORAZIONI!AC554</f>
        <v/>
      </c>
      <c r="X48" s="6">
        <f>LAVORAZIONI!AD554</f>
        <v/>
      </c>
      <c r="Y48" s="7">
        <f>LAVORAZIONI!AE554</f>
        <v/>
      </c>
      <c r="Z48" s="6">
        <f>LAVORAZIONI!AF554</f>
        <v/>
      </c>
      <c r="AA48" s="7">
        <f>LAVORAZIONI!AG554</f>
        <v/>
      </c>
      <c r="AB48" s="6">
        <f>LAVORAZIONI!AH554</f>
        <v/>
      </c>
      <c r="AC48" s="7">
        <f>LAVORAZIONI!AI554</f>
        <v/>
      </c>
      <c r="AD48" s="13">
        <f>LAVORAZIONI!AJ554</f>
        <v/>
      </c>
    </row>
    <row r="49" ht="56" customHeight="1" s="46">
      <c r="B49" s="4">
        <f>LAVORAZIONI!G555</f>
        <v/>
      </c>
      <c r="C49" s="3">
        <f>LAVORAZIONI!A555</f>
        <v/>
      </c>
      <c r="D49" s="3">
        <f>LAVORAZIONI!K555</f>
        <v/>
      </c>
      <c r="E49" s="4">
        <f>LAVORAZIONI!H555</f>
        <v/>
      </c>
      <c r="F49" s="4">
        <f>LAVORAZIONI!M555</f>
        <v/>
      </c>
      <c r="G49" s="5">
        <f>LAVORAZIONI!N555</f>
        <v/>
      </c>
      <c r="H49" s="6">
        <f>LAVORAZIONI!O555</f>
        <v/>
      </c>
      <c r="I49" s="13">
        <f>LAVORAZIONI!P555</f>
        <v/>
      </c>
      <c r="J49" s="5">
        <f>IF(LAVORAZIONI!Q555="","",LAVORAZIONI!Q555)</f>
        <v/>
      </c>
      <c r="K49" s="6">
        <f>IF(LAVORAZIONI!R555="","",LAVORAZIONI!R555)</f>
        <v/>
      </c>
      <c r="L49" s="13">
        <f>IF(LAVORAZIONI!S555="","",LAVORAZIONI!S555)</f>
        <v/>
      </c>
      <c r="M49" s="13">
        <f>LAVORAZIONI!T555</f>
        <v/>
      </c>
      <c r="O49" s="7">
        <f>LAVORAZIONI!U555</f>
        <v/>
      </c>
      <c r="P49" s="45">
        <f>LAVORAZIONI!V555</f>
        <v/>
      </c>
      <c r="Q49" s="7">
        <f>LAVORAZIONI!W555</f>
        <v/>
      </c>
      <c r="R49" s="6">
        <f>LAVORAZIONI!X555</f>
        <v/>
      </c>
      <c r="S49" s="7">
        <f>LAVORAZIONI!Y555</f>
        <v/>
      </c>
      <c r="T49" s="6">
        <f>LAVORAZIONI!Z555</f>
        <v/>
      </c>
      <c r="U49" s="7">
        <f>LAVORAZIONI!AA555</f>
        <v/>
      </c>
      <c r="V49" s="6">
        <f>LAVORAZIONI!AB555</f>
        <v/>
      </c>
      <c r="W49" s="7">
        <f>LAVORAZIONI!AC555</f>
        <v/>
      </c>
      <c r="X49" s="6">
        <f>LAVORAZIONI!AD555</f>
        <v/>
      </c>
      <c r="Y49" s="7">
        <f>LAVORAZIONI!AE555</f>
        <v/>
      </c>
      <c r="Z49" s="6">
        <f>LAVORAZIONI!AF555</f>
        <v/>
      </c>
      <c r="AA49" s="7">
        <f>LAVORAZIONI!AG555</f>
        <v/>
      </c>
      <c r="AB49" s="6">
        <f>LAVORAZIONI!AH555</f>
        <v/>
      </c>
      <c r="AC49" s="7">
        <f>LAVORAZIONI!AI555</f>
        <v/>
      </c>
      <c r="AD49" s="13">
        <f>LAVORAZIONI!AJ555</f>
        <v/>
      </c>
    </row>
    <row r="50" ht="56" customHeight="1" s="46">
      <c r="B50" s="4">
        <f>LAVORAZIONI!G556</f>
        <v/>
      </c>
      <c r="C50" s="3">
        <f>LAVORAZIONI!A556</f>
        <v/>
      </c>
      <c r="D50" s="3">
        <f>LAVORAZIONI!K556</f>
        <v/>
      </c>
      <c r="E50" s="4">
        <f>LAVORAZIONI!H556</f>
        <v/>
      </c>
      <c r="F50" s="4">
        <f>LAVORAZIONI!M556</f>
        <v/>
      </c>
      <c r="G50" s="5">
        <f>LAVORAZIONI!N556</f>
        <v/>
      </c>
      <c r="H50" s="6">
        <f>LAVORAZIONI!O556</f>
        <v/>
      </c>
      <c r="I50" s="13">
        <f>LAVORAZIONI!P556</f>
        <v/>
      </c>
      <c r="J50" s="5">
        <f>IF(LAVORAZIONI!Q556="","",LAVORAZIONI!Q556)</f>
        <v/>
      </c>
      <c r="K50" s="6">
        <f>IF(LAVORAZIONI!R556="","",LAVORAZIONI!R556)</f>
        <v/>
      </c>
      <c r="L50" s="13">
        <f>IF(LAVORAZIONI!S556="","",LAVORAZIONI!S556)</f>
        <v/>
      </c>
      <c r="M50" s="13">
        <f>LAVORAZIONI!T556</f>
        <v/>
      </c>
      <c r="O50" s="7">
        <f>LAVORAZIONI!U556</f>
        <v/>
      </c>
      <c r="P50" s="45">
        <f>LAVORAZIONI!V556</f>
        <v/>
      </c>
      <c r="Q50" s="7">
        <f>LAVORAZIONI!W556</f>
        <v/>
      </c>
      <c r="R50" s="6">
        <f>LAVORAZIONI!X556</f>
        <v/>
      </c>
      <c r="S50" s="7">
        <f>LAVORAZIONI!Y556</f>
        <v/>
      </c>
      <c r="T50" s="6">
        <f>LAVORAZIONI!Z556</f>
        <v/>
      </c>
      <c r="U50" s="7">
        <f>LAVORAZIONI!AA556</f>
        <v/>
      </c>
      <c r="V50" s="6">
        <f>LAVORAZIONI!AB556</f>
        <v/>
      </c>
      <c r="W50" s="7">
        <f>LAVORAZIONI!AC556</f>
        <v/>
      </c>
      <c r="X50" s="6">
        <f>LAVORAZIONI!AD556</f>
        <v/>
      </c>
      <c r="Y50" s="7">
        <f>LAVORAZIONI!AE556</f>
        <v/>
      </c>
      <c r="Z50" s="6">
        <f>LAVORAZIONI!AF556</f>
        <v/>
      </c>
      <c r="AA50" s="7">
        <f>LAVORAZIONI!AG556</f>
        <v/>
      </c>
      <c r="AB50" s="6">
        <f>LAVORAZIONI!AH556</f>
        <v/>
      </c>
      <c r="AC50" s="7">
        <f>LAVORAZIONI!AI556</f>
        <v/>
      </c>
      <c r="AD50" s="13">
        <f>LAVORAZIONI!AJ556</f>
        <v/>
      </c>
    </row>
    <row r="51" ht="56" customHeight="1" s="46">
      <c r="B51" s="4">
        <f>LAVORAZIONI!G557</f>
        <v/>
      </c>
      <c r="C51" s="3">
        <f>LAVORAZIONI!A557</f>
        <v/>
      </c>
      <c r="D51" s="3">
        <f>LAVORAZIONI!K557</f>
        <v/>
      </c>
      <c r="E51" s="4">
        <f>LAVORAZIONI!H557</f>
        <v/>
      </c>
      <c r="F51" s="4">
        <f>LAVORAZIONI!M557</f>
        <v/>
      </c>
      <c r="G51" s="5">
        <f>LAVORAZIONI!N557</f>
        <v/>
      </c>
      <c r="H51" s="6">
        <f>LAVORAZIONI!O557</f>
        <v/>
      </c>
      <c r="I51" s="13">
        <f>LAVORAZIONI!P557</f>
        <v/>
      </c>
      <c r="J51" s="5">
        <f>IF(LAVORAZIONI!Q557="","",LAVORAZIONI!Q557)</f>
        <v/>
      </c>
      <c r="K51" s="6">
        <f>IF(LAVORAZIONI!R557="","",LAVORAZIONI!R557)</f>
        <v/>
      </c>
      <c r="L51" s="13">
        <f>IF(LAVORAZIONI!S557="","",LAVORAZIONI!S557)</f>
        <v/>
      </c>
      <c r="M51" s="13">
        <f>LAVORAZIONI!T557</f>
        <v/>
      </c>
      <c r="O51" s="7">
        <f>LAVORAZIONI!U557</f>
        <v/>
      </c>
      <c r="P51" s="45">
        <f>LAVORAZIONI!V557</f>
        <v/>
      </c>
      <c r="Q51" s="7">
        <f>LAVORAZIONI!W557</f>
        <v/>
      </c>
      <c r="R51" s="6">
        <f>LAVORAZIONI!X557</f>
        <v/>
      </c>
      <c r="S51" s="7">
        <f>LAVORAZIONI!Y557</f>
        <v/>
      </c>
      <c r="T51" s="6">
        <f>LAVORAZIONI!Z557</f>
        <v/>
      </c>
      <c r="U51" s="7">
        <f>LAVORAZIONI!AA557</f>
        <v/>
      </c>
      <c r="V51" s="6">
        <f>LAVORAZIONI!AB557</f>
        <v/>
      </c>
      <c r="W51" s="7">
        <f>LAVORAZIONI!AC557</f>
        <v/>
      </c>
      <c r="X51" s="6">
        <f>LAVORAZIONI!AD557</f>
        <v/>
      </c>
      <c r="Y51" s="7">
        <f>LAVORAZIONI!AE557</f>
        <v/>
      </c>
      <c r="Z51" s="6">
        <f>LAVORAZIONI!AF557</f>
        <v/>
      </c>
      <c r="AA51" s="7">
        <f>LAVORAZIONI!AG557</f>
        <v/>
      </c>
      <c r="AB51" s="6">
        <f>LAVORAZIONI!AH557</f>
        <v/>
      </c>
      <c r="AC51" s="7">
        <f>LAVORAZIONI!AI557</f>
        <v/>
      </c>
      <c r="AD51" s="13">
        <f>LAVORAZIONI!AJ557</f>
        <v/>
      </c>
    </row>
    <row r="52" ht="56" customHeight="1" s="46">
      <c r="B52" s="4">
        <f>LAVORAZIONI!G558</f>
        <v/>
      </c>
      <c r="C52" s="3">
        <f>LAVORAZIONI!A558</f>
        <v/>
      </c>
      <c r="D52" s="3">
        <f>LAVORAZIONI!K558</f>
        <v/>
      </c>
      <c r="E52" s="4">
        <f>LAVORAZIONI!H558</f>
        <v/>
      </c>
      <c r="F52" s="4">
        <f>LAVORAZIONI!M558</f>
        <v/>
      </c>
      <c r="G52" s="5">
        <f>LAVORAZIONI!N558</f>
        <v/>
      </c>
      <c r="H52" s="6">
        <f>LAVORAZIONI!O558</f>
        <v/>
      </c>
      <c r="I52" s="13">
        <f>LAVORAZIONI!P558</f>
        <v/>
      </c>
      <c r="J52" s="5">
        <f>IF(LAVORAZIONI!Q558="","",LAVORAZIONI!Q558)</f>
        <v/>
      </c>
      <c r="K52" s="6">
        <f>IF(LAVORAZIONI!R558="","",LAVORAZIONI!R558)</f>
        <v/>
      </c>
      <c r="L52" s="13">
        <f>IF(LAVORAZIONI!S558="","",LAVORAZIONI!S558)</f>
        <v/>
      </c>
      <c r="M52" s="13">
        <f>LAVORAZIONI!T558</f>
        <v/>
      </c>
      <c r="O52" s="7">
        <f>LAVORAZIONI!U558</f>
        <v/>
      </c>
      <c r="P52" s="45">
        <f>LAVORAZIONI!V558</f>
        <v/>
      </c>
      <c r="Q52" s="7">
        <f>LAVORAZIONI!W558</f>
        <v/>
      </c>
      <c r="R52" s="6">
        <f>LAVORAZIONI!X558</f>
        <v/>
      </c>
      <c r="S52" s="7">
        <f>LAVORAZIONI!Y558</f>
        <v/>
      </c>
      <c r="T52" s="6">
        <f>LAVORAZIONI!Z558</f>
        <v/>
      </c>
      <c r="U52" s="7">
        <f>LAVORAZIONI!AA558</f>
        <v/>
      </c>
      <c r="V52" s="6">
        <f>LAVORAZIONI!AB558</f>
        <v/>
      </c>
      <c r="W52" s="7">
        <f>LAVORAZIONI!AC558</f>
        <v/>
      </c>
      <c r="X52" s="6">
        <f>LAVORAZIONI!AD558</f>
        <v/>
      </c>
      <c r="Y52" s="7">
        <f>LAVORAZIONI!AE558</f>
        <v/>
      </c>
      <c r="Z52" s="6">
        <f>LAVORAZIONI!AF558</f>
        <v/>
      </c>
      <c r="AA52" s="7">
        <f>LAVORAZIONI!AG558</f>
        <v/>
      </c>
      <c r="AB52" s="6">
        <f>LAVORAZIONI!AH558</f>
        <v/>
      </c>
      <c r="AC52" s="7">
        <f>LAVORAZIONI!AI558</f>
        <v/>
      </c>
      <c r="AD52" s="13">
        <f>LAVORAZIONI!AJ558</f>
        <v/>
      </c>
    </row>
    <row r="53" ht="56" customHeight="1" s="46">
      <c r="B53" s="4">
        <f>LAVORAZIONI!G559</f>
        <v/>
      </c>
      <c r="C53" s="3">
        <f>LAVORAZIONI!A559</f>
        <v/>
      </c>
      <c r="D53" s="3">
        <f>LAVORAZIONI!K559</f>
        <v/>
      </c>
      <c r="E53" s="4">
        <f>LAVORAZIONI!H559</f>
        <v/>
      </c>
      <c r="F53" s="4">
        <f>LAVORAZIONI!M559</f>
        <v/>
      </c>
      <c r="G53" s="5">
        <f>LAVORAZIONI!N559</f>
        <v/>
      </c>
      <c r="H53" s="6">
        <f>LAVORAZIONI!O559</f>
        <v/>
      </c>
      <c r="I53" s="13">
        <f>LAVORAZIONI!P559</f>
        <v/>
      </c>
      <c r="J53" s="5">
        <f>IF(LAVORAZIONI!Q559="","",LAVORAZIONI!Q559)</f>
        <v/>
      </c>
      <c r="K53" s="6">
        <f>IF(LAVORAZIONI!R559="","",LAVORAZIONI!R559)</f>
        <v/>
      </c>
      <c r="L53" s="13">
        <f>IF(LAVORAZIONI!S559="","",LAVORAZIONI!S559)</f>
        <v/>
      </c>
      <c r="M53" s="13">
        <f>LAVORAZIONI!T559</f>
        <v/>
      </c>
      <c r="O53" s="7">
        <f>LAVORAZIONI!U559</f>
        <v/>
      </c>
      <c r="P53" s="45">
        <f>LAVORAZIONI!V559</f>
        <v/>
      </c>
      <c r="Q53" s="7">
        <f>LAVORAZIONI!W559</f>
        <v/>
      </c>
      <c r="R53" s="6">
        <f>LAVORAZIONI!X559</f>
        <v/>
      </c>
      <c r="S53" s="7">
        <f>LAVORAZIONI!Y559</f>
        <v/>
      </c>
      <c r="T53" s="6">
        <f>LAVORAZIONI!Z559</f>
        <v/>
      </c>
      <c r="U53" s="7">
        <f>LAVORAZIONI!AA559</f>
        <v/>
      </c>
      <c r="V53" s="6">
        <f>LAVORAZIONI!AB559</f>
        <v/>
      </c>
      <c r="W53" s="7">
        <f>LAVORAZIONI!AC559</f>
        <v/>
      </c>
      <c r="X53" s="6">
        <f>LAVORAZIONI!AD559</f>
        <v/>
      </c>
      <c r="Y53" s="7">
        <f>LAVORAZIONI!AE559</f>
        <v/>
      </c>
      <c r="Z53" s="6">
        <f>LAVORAZIONI!AF559</f>
        <v/>
      </c>
      <c r="AA53" s="7">
        <f>LAVORAZIONI!AG559</f>
        <v/>
      </c>
      <c r="AB53" s="6">
        <f>LAVORAZIONI!AH559</f>
        <v/>
      </c>
      <c r="AC53" s="7">
        <f>LAVORAZIONI!AI559</f>
        <v/>
      </c>
      <c r="AD53" s="13">
        <f>LAVORAZIONI!AJ559</f>
        <v/>
      </c>
    </row>
    <row r="54" ht="56" customHeight="1" s="46">
      <c r="B54" s="4">
        <f>LAVORAZIONI!G560</f>
        <v/>
      </c>
      <c r="C54" s="3">
        <f>LAVORAZIONI!A560</f>
        <v/>
      </c>
      <c r="D54" s="3">
        <f>LAVORAZIONI!K560</f>
        <v/>
      </c>
      <c r="E54" s="4">
        <f>LAVORAZIONI!H560</f>
        <v/>
      </c>
      <c r="F54" s="4">
        <f>LAVORAZIONI!M560</f>
        <v/>
      </c>
      <c r="G54" s="5">
        <f>LAVORAZIONI!N560</f>
        <v/>
      </c>
      <c r="H54" s="6">
        <f>LAVORAZIONI!O560</f>
        <v/>
      </c>
      <c r="I54" s="13">
        <f>LAVORAZIONI!P560</f>
        <v/>
      </c>
      <c r="J54" s="5">
        <f>IF(LAVORAZIONI!Q560="","",LAVORAZIONI!Q560)</f>
        <v/>
      </c>
      <c r="K54" s="6">
        <f>IF(LAVORAZIONI!R560="","",LAVORAZIONI!R560)</f>
        <v/>
      </c>
      <c r="L54" s="13">
        <f>IF(LAVORAZIONI!S560="","",LAVORAZIONI!S560)</f>
        <v/>
      </c>
      <c r="M54" s="13">
        <f>LAVORAZIONI!T560</f>
        <v/>
      </c>
      <c r="O54" s="7">
        <f>LAVORAZIONI!U560</f>
        <v/>
      </c>
      <c r="P54" s="45">
        <f>LAVORAZIONI!V560</f>
        <v/>
      </c>
      <c r="Q54" s="7">
        <f>LAVORAZIONI!W560</f>
        <v/>
      </c>
      <c r="R54" s="6">
        <f>LAVORAZIONI!X560</f>
        <v/>
      </c>
      <c r="S54" s="7">
        <f>LAVORAZIONI!Y560</f>
        <v/>
      </c>
      <c r="T54" s="6">
        <f>LAVORAZIONI!Z560</f>
        <v/>
      </c>
      <c r="U54" s="7">
        <f>LAVORAZIONI!AA560</f>
        <v/>
      </c>
      <c r="V54" s="6">
        <f>LAVORAZIONI!AB560</f>
        <v/>
      </c>
      <c r="W54" s="7">
        <f>LAVORAZIONI!AC560</f>
        <v/>
      </c>
      <c r="X54" s="6">
        <f>LAVORAZIONI!AD560</f>
        <v/>
      </c>
      <c r="Y54" s="7">
        <f>LAVORAZIONI!AE560</f>
        <v/>
      </c>
      <c r="Z54" s="6">
        <f>LAVORAZIONI!AF560</f>
        <v/>
      </c>
      <c r="AA54" s="7">
        <f>LAVORAZIONI!AG560</f>
        <v/>
      </c>
      <c r="AB54" s="6">
        <f>LAVORAZIONI!AH560</f>
        <v/>
      </c>
      <c r="AC54" s="7">
        <f>LAVORAZIONI!AI560</f>
        <v/>
      </c>
      <c r="AD54" s="13">
        <f>LAVORAZIONI!AJ560</f>
        <v/>
      </c>
    </row>
    <row r="55" ht="56" customHeight="1" s="46">
      <c r="B55" s="4">
        <f>LAVORAZIONI!G561</f>
        <v/>
      </c>
      <c r="C55" s="3">
        <f>LAVORAZIONI!A561</f>
        <v/>
      </c>
      <c r="D55" s="3">
        <f>LAVORAZIONI!K561</f>
        <v/>
      </c>
      <c r="E55" s="4">
        <f>LAVORAZIONI!H561</f>
        <v/>
      </c>
      <c r="F55" s="4">
        <f>LAVORAZIONI!M561</f>
        <v/>
      </c>
      <c r="G55" s="5">
        <f>LAVORAZIONI!N561</f>
        <v/>
      </c>
      <c r="H55" s="6">
        <f>LAVORAZIONI!O561</f>
        <v/>
      </c>
      <c r="I55" s="13">
        <f>LAVORAZIONI!P561</f>
        <v/>
      </c>
      <c r="J55" s="5">
        <f>IF(LAVORAZIONI!Q561="","",LAVORAZIONI!Q561)</f>
        <v/>
      </c>
      <c r="K55" s="6">
        <f>IF(LAVORAZIONI!R561="","",LAVORAZIONI!R561)</f>
        <v/>
      </c>
      <c r="L55" s="13">
        <f>IF(LAVORAZIONI!S561="","",LAVORAZIONI!S561)</f>
        <v/>
      </c>
      <c r="M55" s="13">
        <f>LAVORAZIONI!T561</f>
        <v/>
      </c>
      <c r="O55" s="7">
        <f>LAVORAZIONI!U561</f>
        <v/>
      </c>
      <c r="P55" s="45">
        <f>LAVORAZIONI!V561</f>
        <v/>
      </c>
      <c r="Q55" s="7">
        <f>LAVORAZIONI!W561</f>
        <v/>
      </c>
      <c r="R55" s="6">
        <f>LAVORAZIONI!X561</f>
        <v/>
      </c>
      <c r="S55" s="7">
        <f>LAVORAZIONI!Y561</f>
        <v/>
      </c>
      <c r="T55" s="6">
        <f>LAVORAZIONI!Z561</f>
        <v/>
      </c>
      <c r="U55" s="7">
        <f>LAVORAZIONI!AA561</f>
        <v/>
      </c>
      <c r="V55" s="6">
        <f>LAVORAZIONI!AB561</f>
        <v/>
      </c>
      <c r="W55" s="7">
        <f>LAVORAZIONI!AC561</f>
        <v/>
      </c>
      <c r="X55" s="6">
        <f>LAVORAZIONI!AD561</f>
        <v/>
      </c>
      <c r="Y55" s="7">
        <f>LAVORAZIONI!AE561</f>
        <v/>
      </c>
      <c r="Z55" s="6">
        <f>LAVORAZIONI!AF561</f>
        <v/>
      </c>
      <c r="AA55" s="7">
        <f>LAVORAZIONI!AG561</f>
        <v/>
      </c>
      <c r="AB55" s="6">
        <f>LAVORAZIONI!AH561</f>
        <v/>
      </c>
      <c r="AC55" s="7">
        <f>LAVORAZIONI!AI561</f>
        <v/>
      </c>
      <c r="AD55" s="13">
        <f>LAVORAZIONI!AJ561</f>
        <v/>
      </c>
    </row>
    <row r="56" ht="56" customHeight="1" s="46">
      <c r="B56" s="4">
        <f>LAVORAZIONI!G562</f>
        <v/>
      </c>
      <c r="C56" s="3">
        <f>LAVORAZIONI!A562</f>
        <v/>
      </c>
      <c r="D56" s="3">
        <f>LAVORAZIONI!K562</f>
        <v/>
      </c>
      <c r="E56" s="4">
        <f>LAVORAZIONI!H562</f>
        <v/>
      </c>
      <c r="F56" s="4">
        <f>LAVORAZIONI!M562</f>
        <v/>
      </c>
      <c r="G56" s="5">
        <f>LAVORAZIONI!N562</f>
        <v/>
      </c>
      <c r="H56" s="6">
        <f>LAVORAZIONI!O562</f>
        <v/>
      </c>
      <c r="I56" s="13">
        <f>LAVORAZIONI!P562</f>
        <v/>
      </c>
      <c r="J56" s="5">
        <f>IF(LAVORAZIONI!Q562="","",LAVORAZIONI!Q562)</f>
        <v/>
      </c>
      <c r="K56" s="6">
        <f>IF(LAVORAZIONI!R562="","",LAVORAZIONI!R562)</f>
        <v/>
      </c>
      <c r="L56" s="13">
        <f>IF(LAVORAZIONI!S562="","",LAVORAZIONI!S562)</f>
        <v/>
      </c>
      <c r="M56" s="13">
        <f>LAVORAZIONI!T562</f>
        <v/>
      </c>
      <c r="O56" s="7">
        <f>LAVORAZIONI!U562</f>
        <v/>
      </c>
      <c r="P56" s="45">
        <f>LAVORAZIONI!V562</f>
        <v/>
      </c>
      <c r="Q56" s="7">
        <f>LAVORAZIONI!W562</f>
        <v/>
      </c>
      <c r="R56" s="6">
        <f>LAVORAZIONI!X562</f>
        <v/>
      </c>
      <c r="S56" s="7">
        <f>LAVORAZIONI!Y562</f>
        <v/>
      </c>
      <c r="T56" s="6">
        <f>LAVORAZIONI!Z562</f>
        <v/>
      </c>
      <c r="U56" s="7">
        <f>LAVORAZIONI!AA562</f>
        <v/>
      </c>
      <c r="V56" s="6">
        <f>LAVORAZIONI!AB562</f>
        <v/>
      </c>
      <c r="W56" s="7">
        <f>LAVORAZIONI!AC562</f>
        <v/>
      </c>
      <c r="X56" s="6">
        <f>LAVORAZIONI!AD562</f>
        <v/>
      </c>
      <c r="Y56" s="7">
        <f>LAVORAZIONI!AE562</f>
        <v/>
      </c>
      <c r="Z56" s="6">
        <f>LAVORAZIONI!AF562</f>
        <v/>
      </c>
      <c r="AA56" s="7">
        <f>LAVORAZIONI!AG562</f>
        <v/>
      </c>
      <c r="AB56" s="6">
        <f>LAVORAZIONI!AH562</f>
        <v/>
      </c>
      <c r="AC56" s="7">
        <f>LAVORAZIONI!AI562</f>
        <v/>
      </c>
      <c r="AD56" s="13">
        <f>LAVORAZIONI!AJ562</f>
        <v/>
      </c>
    </row>
    <row r="57" ht="56" customHeight="1" s="46">
      <c r="B57" s="4">
        <f>LAVORAZIONI!G563</f>
        <v/>
      </c>
      <c r="C57" s="3">
        <f>LAVORAZIONI!A563</f>
        <v/>
      </c>
      <c r="D57" s="3">
        <f>LAVORAZIONI!K563</f>
        <v/>
      </c>
      <c r="E57" s="4">
        <f>LAVORAZIONI!H563</f>
        <v/>
      </c>
      <c r="F57" s="4">
        <f>LAVORAZIONI!M563</f>
        <v/>
      </c>
      <c r="G57" s="5">
        <f>LAVORAZIONI!N563</f>
        <v/>
      </c>
      <c r="H57" s="6">
        <f>LAVORAZIONI!O563</f>
        <v/>
      </c>
      <c r="I57" s="13">
        <f>LAVORAZIONI!P563</f>
        <v/>
      </c>
      <c r="J57" s="5">
        <f>IF(LAVORAZIONI!Q563="","",LAVORAZIONI!Q563)</f>
        <v/>
      </c>
      <c r="K57" s="6">
        <f>IF(LAVORAZIONI!R563="","",LAVORAZIONI!R563)</f>
        <v/>
      </c>
      <c r="L57" s="13">
        <f>IF(LAVORAZIONI!S563="","",LAVORAZIONI!S563)</f>
        <v/>
      </c>
      <c r="M57" s="13">
        <f>LAVORAZIONI!T563</f>
        <v/>
      </c>
      <c r="O57" s="7">
        <f>LAVORAZIONI!U563</f>
        <v/>
      </c>
      <c r="P57" s="45">
        <f>LAVORAZIONI!V563</f>
        <v/>
      </c>
      <c r="Q57" s="7">
        <f>LAVORAZIONI!W563</f>
        <v/>
      </c>
      <c r="R57" s="6">
        <f>LAVORAZIONI!X563</f>
        <v/>
      </c>
      <c r="S57" s="7">
        <f>LAVORAZIONI!Y563</f>
        <v/>
      </c>
      <c r="T57" s="6">
        <f>LAVORAZIONI!Z563</f>
        <v/>
      </c>
      <c r="U57" s="7">
        <f>LAVORAZIONI!AA563</f>
        <v/>
      </c>
      <c r="V57" s="6">
        <f>LAVORAZIONI!AB563</f>
        <v/>
      </c>
      <c r="W57" s="7">
        <f>LAVORAZIONI!AC563</f>
        <v/>
      </c>
      <c r="X57" s="6">
        <f>LAVORAZIONI!AD563</f>
        <v/>
      </c>
      <c r="Y57" s="7">
        <f>LAVORAZIONI!AE563</f>
        <v/>
      </c>
      <c r="Z57" s="6">
        <f>LAVORAZIONI!AF563</f>
        <v/>
      </c>
      <c r="AA57" s="7">
        <f>LAVORAZIONI!AG563</f>
        <v/>
      </c>
      <c r="AB57" s="6">
        <f>LAVORAZIONI!AH563</f>
        <v/>
      </c>
      <c r="AC57" s="7">
        <f>LAVORAZIONI!AI563</f>
        <v/>
      </c>
      <c r="AD57" s="13">
        <f>LAVORAZIONI!AJ563</f>
        <v/>
      </c>
    </row>
    <row r="58" ht="56" customHeight="1" s="46">
      <c r="B58" s="4">
        <f>LAVORAZIONI!G564</f>
        <v/>
      </c>
      <c r="C58" s="3">
        <f>LAVORAZIONI!A564</f>
        <v/>
      </c>
      <c r="D58" s="3">
        <f>LAVORAZIONI!K564</f>
        <v/>
      </c>
      <c r="E58" s="4">
        <f>LAVORAZIONI!H564</f>
        <v/>
      </c>
      <c r="F58" s="4">
        <f>LAVORAZIONI!M564</f>
        <v/>
      </c>
      <c r="G58" s="5">
        <f>LAVORAZIONI!N564</f>
        <v/>
      </c>
      <c r="H58" s="6">
        <f>LAVORAZIONI!O564</f>
        <v/>
      </c>
      <c r="I58" s="13">
        <f>LAVORAZIONI!P564</f>
        <v/>
      </c>
      <c r="J58" s="5">
        <f>IF(LAVORAZIONI!Q564="","",LAVORAZIONI!Q564)</f>
        <v/>
      </c>
      <c r="K58" s="6">
        <f>IF(LAVORAZIONI!R564="","",LAVORAZIONI!R564)</f>
        <v/>
      </c>
      <c r="L58" s="13">
        <f>IF(LAVORAZIONI!S564="","",LAVORAZIONI!S564)</f>
        <v/>
      </c>
      <c r="M58" s="13">
        <f>LAVORAZIONI!T564</f>
        <v/>
      </c>
      <c r="O58" s="7">
        <f>LAVORAZIONI!U564</f>
        <v/>
      </c>
      <c r="P58" s="45">
        <f>LAVORAZIONI!V564</f>
        <v/>
      </c>
      <c r="Q58" s="7">
        <f>LAVORAZIONI!W564</f>
        <v/>
      </c>
      <c r="R58" s="6">
        <f>LAVORAZIONI!X564</f>
        <v/>
      </c>
      <c r="S58" s="7">
        <f>LAVORAZIONI!Y564</f>
        <v/>
      </c>
      <c r="T58" s="6">
        <f>LAVORAZIONI!Z564</f>
        <v/>
      </c>
      <c r="U58" s="7">
        <f>LAVORAZIONI!AA564</f>
        <v/>
      </c>
      <c r="V58" s="6">
        <f>LAVORAZIONI!AB564</f>
        <v/>
      </c>
      <c r="W58" s="7">
        <f>LAVORAZIONI!AC564</f>
        <v/>
      </c>
      <c r="X58" s="6">
        <f>LAVORAZIONI!AD564</f>
        <v/>
      </c>
      <c r="Y58" s="7">
        <f>LAVORAZIONI!AE564</f>
        <v/>
      </c>
      <c r="Z58" s="6">
        <f>LAVORAZIONI!AF564</f>
        <v/>
      </c>
      <c r="AA58" s="7">
        <f>LAVORAZIONI!AG564</f>
        <v/>
      </c>
      <c r="AB58" s="6">
        <f>LAVORAZIONI!AH564</f>
        <v/>
      </c>
      <c r="AC58" s="7">
        <f>LAVORAZIONI!AI564</f>
        <v/>
      </c>
      <c r="AD58" s="13">
        <f>LAVORAZIONI!AJ564</f>
        <v/>
      </c>
    </row>
    <row r="59" ht="56" customHeight="1" s="46">
      <c r="B59" s="4">
        <f>LAVORAZIONI!G565</f>
        <v/>
      </c>
      <c r="C59" s="3">
        <f>LAVORAZIONI!A565</f>
        <v/>
      </c>
      <c r="D59" s="3">
        <f>LAVORAZIONI!K565</f>
        <v/>
      </c>
      <c r="E59" s="4">
        <f>LAVORAZIONI!H565</f>
        <v/>
      </c>
      <c r="F59" s="4">
        <f>LAVORAZIONI!M565</f>
        <v/>
      </c>
      <c r="G59" s="5">
        <f>LAVORAZIONI!N565</f>
        <v/>
      </c>
      <c r="H59" s="6">
        <f>LAVORAZIONI!O565</f>
        <v/>
      </c>
      <c r="I59" s="13">
        <f>LAVORAZIONI!P565</f>
        <v/>
      </c>
      <c r="J59" s="5">
        <f>IF(LAVORAZIONI!Q565="","",LAVORAZIONI!Q565)</f>
        <v/>
      </c>
      <c r="K59" s="6">
        <f>IF(LAVORAZIONI!R565="","",LAVORAZIONI!R565)</f>
        <v/>
      </c>
      <c r="L59" s="13">
        <f>IF(LAVORAZIONI!S565="","",LAVORAZIONI!S565)</f>
        <v/>
      </c>
      <c r="M59" s="13">
        <f>LAVORAZIONI!T565</f>
        <v/>
      </c>
      <c r="O59" s="7">
        <f>LAVORAZIONI!U565</f>
        <v/>
      </c>
      <c r="P59" s="45">
        <f>LAVORAZIONI!V565</f>
        <v/>
      </c>
      <c r="Q59" s="7">
        <f>LAVORAZIONI!W565</f>
        <v/>
      </c>
      <c r="R59" s="6">
        <f>LAVORAZIONI!X565</f>
        <v/>
      </c>
      <c r="S59" s="7">
        <f>LAVORAZIONI!Y565</f>
        <v/>
      </c>
      <c r="T59" s="6">
        <f>LAVORAZIONI!Z565</f>
        <v/>
      </c>
      <c r="U59" s="7">
        <f>LAVORAZIONI!AA565</f>
        <v/>
      </c>
      <c r="V59" s="6">
        <f>LAVORAZIONI!AB565</f>
        <v/>
      </c>
      <c r="W59" s="7">
        <f>LAVORAZIONI!AC565</f>
        <v/>
      </c>
      <c r="X59" s="6">
        <f>LAVORAZIONI!AD565</f>
        <v/>
      </c>
      <c r="Y59" s="7">
        <f>LAVORAZIONI!AE565</f>
        <v/>
      </c>
      <c r="Z59" s="6">
        <f>LAVORAZIONI!AF565</f>
        <v/>
      </c>
      <c r="AA59" s="7">
        <f>LAVORAZIONI!AG565</f>
        <v/>
      </c>
      <c r="AB59" s="6">
        <f>LAVORAZIONI!AH565</f>
        <v/>
      </c>
      <c r="AC59" s="7">
        <f>LAVORAZIONI!AI565</f>
        <v/>
      </c>
      <c r="AD59" s="13">
        <f>LAVORAZIONI!AJ565</f>
        <v/>
      </c>
    </row>
    <row r="60" ht="56" customHeight="1" s="46">
      <c r="B60" s="4">
        <f>LAVORAZIONI!G566</f>
        <v/>
      </c>
      <c r="C60" s="3">
        <f>LAVORAZIONI!A566</f>
        <v/>
      </c>
      <c r="D60" s="3">
        <f>LAVORAZIONI!K566</f>
        <v/>
      </c>
      <c r="E60" s="4">
        <f>LAVORAZIONI!H566</f>
        <v/>
      </c>
      <c r="F60" s="4">
        <f>LAVORAZIONI!M566</f>
        <v/>
      </c>
      <c r="G60" s="5">
        <f>LAVORAZIONI!N566</f>
        <v/>
      </c>
      <c r="H60" s="6">
        <f>LAVORAZIONI!O566</f>
        <v/>
      </c>
      <c r="I60" s="13">
        <f>LAVORAZIONI!P566</f>
        <v/>
      </c>
      <c r="J60" s="5">
        <f>IF(LAVORAZIONI!Q566="","",LAVORAZIONI!Q566)</f>
        <v/>
      </c>
      <c r="K60" s="6">
        <f>IF(LAVORAZIONI!R566="","",LAVORAZIONI!R566)</f>
        <v/>
      </c>
      <c r="L60" s="13">
        <f>IF(LAVORAZIONI!S566="","",LAVORAZIONI!S566)</f>
        <v/>
      </c>
      <c r="M60" s="13">
        <f>LAVORAZIONI!T566</f>
        <v/>
      </c>
      <c r="O60" s="7">
        <f>LAVORAZIONI!U566</f>
        <v/>
      </c>
      <c r="P60" s="45">
        <f>LAVORAZIONI!V566</f>
        <v/>
      </c>
      <c r="Q60" s="7">
        <f>LAVORAZIONI!W566</f>
        <v/>
      </c>
      <c r="R60" s="6">
        <f>LAVORAZIONI!X566</f>
        <v/>
      </c>
      <c r="S60" s="7">
        <f>LAVORAZIONI!Y566</f>
        <v/>
      </c>
      <c r="T60" s="6">
        <f>LAVORAZIONI!Z566</f>
        <v/>
      </c>
      <c r="U60" s="7">
        <f>LAVORAZIONI!AA566</f>
        <v/>
      </c>
      <c r="V60" s="6">
        <f>LAVORAZIONI!AB566</f>
        <v/>
      </c>
      <c r="W60" s="7">
        <f>LAVORAZIONI!AC566</f>
        <v/>
      </c>
      <c r="X60" s="6">
        <f>LAVORAZIONI!AD566</f>
        <v/>
      </c>
      <c r="Y60" s="7">
        <f>LAVORAZIONI!AE566</f>
        <v/>
      </c>
      <c r="Z60" s="6">
        <f>LAVORAZIONI!AF566</f>
        <v/>
      </c>
      <c r="AA60" s="7">
        <f>LAVORAZIONI!AG566</f>
        <v/>
      </c>
      <c r="AB60" s="6">
        <f>LAVORAZIONI!AH566</f>
        <v/>
      </c>
      <c r="AC60" s="7">
        <f>LAVORAZIONI!AI566</f>
        <v/>
      </c>
      <c r="AD60" s="13">
        <f>LAVORAZIONI!AJ566</f>
        <v/>
      </c>
    </row>
    <row r="61" ht="56" customHeight="1" s="46">
      <c r="B61" s="4">
        <f>LAVORAZIONI!G567</f>
        <v/>
      </c>
      <c r="C61" s="3">
        <f>LAVORAZIONI!A567</f>
        <v/>
      </c>
      <c r="D61" s="3">
        <f>LAVORAZIONI!K567</f>
        <v/>
      </c>
      <c r="E61" s="4">
        <f>LAVORAZIONI!H567</f>
        <v/>
      </c>
      <c r="F61" s="4">
        <f>LAVORAZIONI!M567</f>
        <v/>
      </c>
      <c r="G61" s="5">
        <f>LAVORAZIONI!N567</f>
        <v/>
      </c>
      <c r="H61" s="6">
        <f>LAVORAZIONI!O567</f>
        <v/>
      </c>
      <c r="I61" s="13">
        <f>LAVORAZIONI!P567</f>
        <v/>
      </c>
      <c r="J61" s="5">
        <f>IF(LAVORAZIONI!Q567="","",LAVORAZIONI!Q567)</f>
        <v/>
      </c>
      <c r="K61" s="6">
        <f>IF(LAVORAZIONI!R567="","",LAVORAZIONI!R567)</f>
        <v/>
      </c>
      <c r="L61" s="13">
        <f>IF(LAVORAZIONI!S567="","",LAVORAZIONI!S567)</f>
        <v/>
      </c>
      <c r="M61" s="13">
        <f>LAVORAZIONI!T567</f>
        <v/>
      </c>
      <c r="O61" s="7">
        <f>LAVORAZIONI!U567</f>
        <v/>
      </c>
      <c r="P61" s="45">
        <f>LAVORAZIONI!V567</f>
        <v/>
      </c>
      <c r="Q61" s="7">
        <f>LAVORAZIONI!W567</f>
        <v/>
      </c>
      <c r="R61" s="6">
        <f>LAVORAZIONI!X567</f>
        <v/>
      </c>
      <c r="S61" s="7">
        <f>LAVORAZIONI!Y567</f>
        <v/>
      </c>
      <c r="T61" s="6">
        <f>LAVORAZIONI!Z567</f>
        <v/>
      </c>
      <c r="U61" s="7">
        <f>LAVORAZIONI!AA567</f>
        <v/>
      </c>
      <c r="V61" s="6">
        <f>LAVORAZIONI!AB567</f>
        <v/>
      </c>
      <c r="W61" s="7">
        <f>LAVORAZIONI!AC567</f>
        <v/>
      </c>
      <c r="X61" s="6">
        <f>LAVORAZIONI!AD567</f>
        <v/>
      </c>
      <c r="Y61" s="7">
        <f>LAVORAZIONI!AE567</f>
        <v/>
      </c>
      <c r="Z61" s="6">
        <f>LAVORAZIONI!AF567</f>
        <v/>
      </c>
      <c r="AA61" s="7">
        <f>LAVORAZIONI!AG567</f>
        <v/>
      </c>
      <c r="AB61" s="6">
        <f>LAVORAZIONI!AH567</f>
        <v/>
      </c>
      <c r="AC61" s="7">
        <f>LAVORAZIONI!AI567</f>
        <v/>
      </c>
      <c r="AD61" s="13">
        <f>LAVORAZIONI!AJ567</f>
        <v/>
      </c>
    </row>
    <row r="62" ht="56" customHeight="1" s="46">
      <c r="B62" s="4">
        <f>LAVORAZIONI!G568</f>
        <v/>
      </c>
      <c r="C62" s="3">
        <f>LAVORAZIONI!A568</f>
        <v/>
      </c>
      <c r="D62" s="3">
        <f>LAVORAZIONI!K568</f>
        <v/>
      </c>
      <c r="E62" s="4">
        <f>LAVORAZIONI!H568</f>
        <v/>
      </c>
      <c r="F62" s="4">
        <f>LAVORAZIONI!M568</f>
        <v/>
      </c>
      <c r="G62" s="5">
        <f>LAVORAZIONI!N568</f>
        <v/>
      </c>
      <c r="H62" s="6">
        <f>LAVORAZIONI!O568</f>
        <v/>
      </c>
      <c r="I62" s="13">
        <f>LAVORAZIONI!P568</f>
        <v/>
      </c>
      <c r="J62" s="5">
        <f>IF(LAVORAZIONI!Q568="","",LAVORAZIONI!Q568)</f>
        <v/>
      </c>
      <c r="K62" s="6">
        <f>IF(LAVORAZIONI!R568="","",LAVORAZIONI!R568)</f>
        <v/>
      </c>
      <c r="L62" s="13">
        <f>IF(LAVORAZIONI!S568="","",LAVORAZIONI!S568)</f>
        <v/>
      </c>
      <c r="M62" s="13">
        <f>LAVORAZIONI!T568</f>
        <v/>
      </c>
      <c r="O62" s="7">
        <f>LAVORAZIONI!U568</f>
        <v/>
      </c>
      <c r="P62" s="45">
        <f>LAVORAZIONI!V568</f>
        <v/>
      </c>
      <c r="Q62" s="7">
        <f>LAVORAZIONI!W568</f>
        <v/>
      </c>
      <c r="R62" s="6">
        <f>LAVORAZIONI!X568</f>
        <v/>
      </c>
      <c r="S62" s="7">
        <f>LAVORAZIONI!Y568</f>
        <v/>
      </c>
      <c r="T62" s="6">
        <f>LAVORAZIONI!Z568</f>
        <v/>
      </c>
      <c r="U62" s="7">
        <f>LAVORAZIONI!AA568</f>
        <v/>
      </c>
      <c r="V62" s="6">
        <f>LAVORAZIONI!AB568</f>
        <v/>
      </c>
      <c r="W62" s="7">
        <f>LAVORAZIONI!AC568</f>
        <v/>
      </c>
      <c r="X62" s="6">
        <f>LAVORAZIONI!AD568</f>
        <v/>
      </c>
      <c r="Y62" s="7">
        <f>LAVORAZIONI!AE568</f>
        <v/>
      </c>
      <c r="Z62" s="6">
        <f>LAVORAZIONI!AF568</f>
        <v/>
      </c>
      <c r="AA62" s="7">
        <f>LAVORAZIONI!AG568</f>
        <v/>
      </c>
      <c r="AB62" s="6">
        <f>LAVORAZIONI!AH568</f>
        <v/>
      </c>
      <c r="AC62" s="7">
        <f>LAVORAZIONI!AI568</f>
        <v/>
      </c>
      <c r="AD62" s="13">
        <f>LAVORAZIONI!AJ568</f>
        <v/>
      </c>
    </row>
    <row r="63" ht="56" customHeight="1" s="46">
      <c r="B63" s="4">
        <f>LAVORAZIONI!G569</f>
        <v/>
      </c>
      <c r="C63" s="3">
        <f>LAVORAZIONI!A569</f>
        <v/>
      </c>
      <c r="D63" s="3">
        <f>LAVORAZIONI!K569</f>
        <v/>
      </c>
      <c r="E63" s="4">
        <f>LAVORAZIONI!H569</f>
        <v/>
      </c>
      <c r="F63" s="4">
        <f>LAVORAZIONI!M569</f>
        <v/>
      </c>
      <c r="G63" s="5">
        <f>LAVORAZIONI!N569</f>
        <v/>
      </c>
      <c r="H63" s="6">
        <f>LAVORAZIONI!O569</f>
        <v/>
      </c>
      <c r="I63" s="13">
        <f>LAVORAZIONI!P569</f>
        <v/>
      </c>
      <c r="J63" s="5">
        <f>IF(LAVORAZIONI!Q569="","",LAVORAZIONI!Q569)</f>
        <v/>
      </c>
      <c r="K63" s="6">
        <f>IF(LAVORAZIONI!R569="","",LAVORAZIONI!R569)</f>
        <v/>
      </c>
      <c r="L63" s="13">
        <f>IF(LAVORAZIONI!S569="","",LAVORAZIONI!S569)</f>
        <v/>
      </c>
      <c r="M63" s="13">
        <f>LAVORAZIONI!T569</f>
        <v/>
      </c>
      <c r="O63" s="7">
        <f>LAVORAZIONI!U569</f>
        <v/>
      </c>
      <c r="P63" s="45">
        <f>LAVORAZIONI!V569</f>
        <v/>
      </c>
      <c r="Q63" s="7">
        <f>LAVORAZIONI!W569</f>
        <v/>
      </c>
      <c r="R63" s="6">
        <f>LAVORAZIONI!X569</f>
        <v/>
      </c>
      <c r="S63" s="7">
        <f>LAVORAZIONI!Y569</f>
        <v/>
      </c>
      <c r="T63" s="6">
        <f>LAVORAZIONI!Z569</f>
        <v/>
      </c>
      <c r="U63" s="7">
        <f>LAVORAZIONI!AA569</f>
        <v/>
      </c>
      <c r="V63" s="6">
        <f>LAVORAZIONI!AB569</f>
        <v/>
      </c>
      <c r="W63" s="7">
        <f>LAVORAZIONI!AC569</f>
        <v/>
      </c>
      <c r="X63" s="6">
        <f>LAVORAZIONI!AD569</f>
        <v/>
      </c>
      <c r="Y63" s="7">
        <f>LAVORAZIONI!AE569</f>
        <v/>
      </c>
      <c r="Z63" s="6">
        <f>LAVORAZIONI!AF569</f>
        <v/>
      </c>
      <c r="AA63" s="7">
        <f>LAVORAZIONI!AG569</f>
        <v/>
      </c>
      <c r="AB63" s="6">
        <f>LAVORAZIONI!AH569</f>
        <v/>
      </c>
      <c r="AC63" s="7">
        <f>LAVORAZIONI!AI569</f>
        <v/>
      </c>
      <c r="AD63" s="13">
        <f>LAVORAZIONI!AJ569</f>
        <v/>
      </c>
    </row>
    <row r="64" ht="56" customHeight="1" s="46">
      <c r="B64" s="4">
        <f>LAVORAZIONI!G570</f>
        <v/>
      </c>
      <c r="C64" s="3">
        <f>LAVORAZIONI!A570</f>
        <v/>
      </c>
      <c r="D64" s="3">
        <f>LAVORAZIONI!K570</f>
        <v/>
      </c>
      <c r="E64" s="4">
        <f>LAVORAZIONI!H570</f>
        <v/>
      </c>
      <c r="F64" s="4">
        <f>LAVORAZIONI!M570</f>
        <v/>
      </c>
      <c r="G64" s="5">
        <f>LAVORAZIONI!N570</f>
        <v/>
      </c>
      <c r="H64" s="6">
        <f>LAVORAZIONI!O570</f>
        <v/>
      </c>
      <c r="I64" s="13">
        <f>LAVORAZIONI!P570</f>
        <v/>
      </c>
      <c r="J64" s="5">
        <f>IF(LAVORAZIONI!Q570="","",LAVORAZIONI!Q570)</f>
        <v/>
      </c>
      <c r="K64" s="6">
        <f>IF(LAVORAZIONI!R570="","",LAVORAZIONI!R570)</f>
        <v/>
      </c>
      <c r="L64" s="13">
        <f>IF(LAVORAZIONI!S570="","",LAVORAZIONI!S570)</f>
        <v/>
      </c>
      <c r="M64" s="13">
        <f>LAVORAZIONI!T570</f>
        <v/>
      </c>
      <c r="O64" s="7">
        <f>LAVORAZIONI!U570</f>
        <v/>
      </c>
      <c r="P64" s="45">
        <f>LAVORAZIONI!V570</f>
        <v/>
      </c>
      <c r="Q64" s="7">
        <f>LAVORAZIONI!W570</f>
        <v/>
      </c>
      <c r="R64" s="6">
        <f>LAVORAZIONI!X570</f>
        <v/>
      </c>
      <c r="S64" s="7">
        <f>LAVORAZIONI!Y570</f>
        <v/>
      </c>
      <c r="T64" s="6">
        <f>LAVORAZIONI!Z570</f>
        <v/>
      </c>
      <c r="U64" s="7">
        <f>LAVORAZIONI!AA570</f>
        <v/>
      </c>
      <c r="V64" s="6">
        <f>LAVORAZIONI!AB570</f>
        <v/>
      </c>
      <c r="W64" s="7">
        <f>LAVORAZIONI!AC570</f>
        <v/>
      </c>
      <c r="X64" s="6">
        <f>LAVORAZIONI!AD570</f>
        <v/>
      </c>
      <c r="Y64" s="7">
        <f>LAVORAZIONI!AE570</f>
        <v/>
      </c>
      <c r="Z64" s="6">
        <f>LAVORAZIONI!AF570</f>
        <v/>
      </c>
      <c r="AA64" s="7">
        <f>LAVORAZIONI!AG570</f>
        <v/>
      </c>
      <c r="AB64" s="6">
        <f>LAVORAZIONI!AH570</f>
        <v/>
      </c>
      <c r="AC64" s="7">
        <f>LAVORAZIONI!AI570</f>
        <v/>
      </c>
      <c r="AD64" s="13">
        <f>LAVORAZIONI!AJ570</f>
        <v/>
      </c>
    </row>
    <row r="65" ht="56" customHeight="1" s="46">
      <c r="B65" s="4">
        <f>LAVORAZIONI!G571</f>
        <v/>
      </c>
      <c r="C65" s="3">
        <f>LAVORAZIONI!A571</f>
        <v/>
      </c>
      <c r="D65" s="3">
        <f>LAVORAZIONI!K571</f>
        <v/>
      </c>
      <c r="E65" s="4">
        <f>LAVORAZIONI!H571</f>
        <v/>
      </c>
      <c r="F65" s="4">
        <f>LAVORAZIONI!M571</f>
        <v/>
      </c>
      <c r="G65" s="5">
        <f>LAVORAZIONI!N571</f>
        <v/>
      </c>
      <c r="H65" s="6">
        <f>LAVORAZIONI!O571</f>
        <v/>
      </c>
      <c r="I65" s="13">
        <f>LAVORAZIONI!P571</f>
        <v/>
      </c>
      <c r="J65" s="5">
        <f>IF(LAVORAZIONI!Q571="","",LAVORAZIONI!Q571)</f>
        <v/>
      </c>
      <c r="K65" s="6">
        <f>IF(LAVORAZIONI!R571="","",LAVORAZIONI!R571)</f>
        <v/>
      </c>
      <c r="L65" s="13">
        <f>IF(LAVORAZIONI!S571="","",LAVORAZIONI!S571)</f>
        <v/>
      </c>
      <c r="M65" s="13">
        <f>LAVORAZIONI!T571</f>
        <v/>
      </c>
      <c r="O65" s="7">
        <f>LAVORAZIONI!U571</f>
        <v/>
      </c>
      <c r="P65" s="45">
        <f>LAVORAZIONI!V571</f>
        <v/>
      </c>
      <c r="Q65" s="7">
        <f>LAVORAZIONI!W571</f>
        <v/>
      </c>
      <c r="R65" s="6">
        <f>LAVORAZIONI!X571</f>
        <v/>
      </c>
      <c r="S65" s="7">
        <f>LAVORAZIONI!Y571</f>
        <v/>
      </c>
      <c r="T65" s="6">
        <f>LAVORAZIONI!Z571</f>
        <v/>
      </c>
      <c r="U65" s="7">
        <f>LAVORAZIONI!AA571</f>
        <v/>
      </c>
      <c r="V65" s="6">
        <f>LAVORAZIONI!AB571</f>
        <v/>
      </c>
      <c r="W65" s="7">
        <f>LAVORAZIONI!AC571</f>
        <v/>
      </c>
      <c r="X65" s="6">
        <f>LAVORAZIONI!AD571</f>
        <v/>
      </c>
      <c r="Y65" s="7">
        <f>LAVORAZIONI!AE571</f>
        <v/>
      </c>
      <c r="Z65" s="6">
        <f>LAVORAZIONI!AF571</f>
        <v/>
      </c>
      <c r="AA65" s="7">
        <f>LAVORAZIONI!AG571</f>
        <v/>
      </c>
      <c r="AB65" s="6">
        <f>LAVORAZIONI!AH571</f>
        <v/>
      </c>
      <c r="AC65" s="7">
        <f>LAVORAZIONI!AI571</f>
        <v/>
      </c>
      <c r="AD65" s="13">
        <f>LAVORAZIONI!AJ571</f>
        <v/>
      </c>
    </row>
    <row r="66" ht="56" customHeight="1" s="46">
      <c r="B66" s="4">
        <f>LAVORAZIONI!G572</f>
        <v/>
      </c>
      <c r="C66" s="3">
        <f>LAVORAZIONI!A572</f>
        <v/>
      </c>
      <c r="D66" s="3">
        <f>LAVORAZIONI!K572</f>
        <v/>
      </c>
      <c r="E66" s="4">
        <f>LAVORAZIONI!H572</f>
        <v/>
      </c>
      <c r="F66" s="4">
        <f>LAVORAZIONI!M572</f>
        <v/>
      </c>
      <c r="G66" s="5">
        <f>LAVORAZIONI!N572</f>
        <v/>
      </c>
      <c r="H66" s="6">
        <f>LAVORAZIONI!O572</f>
        <v/>
      </c>
      <c r="I66" s="13">
        <f>LAVORAZIONI!P572</f>
        <v/>
      </c>
      <c r="J66" s="5">
        <f>IF(LAVORAZIONI!Q572="","",LAVORAZIONI!Q572)</f>
        <v/>
      </c>
      <c r="K66" s="6">
        <f>IF(LAVORAZIONI!R572="","",LAVORAZIONI!R572)</f>
        <v/>
      </c>
      <c r="L66" s="13">
        <f>IF(LAVORAZIONI!S572="","",LAVORAZIONI!S572)</f>
        <v/>
      </c>
      <c r="M66" s="13">
        <f>LAVORAZIONI!T572</f>
        <v/>
      </c>
      <c r="O66" s="7">
        <f>LAVORAZIONI!U572</f>
        <v/>
      </c>
      <c r="P66" s="45">
        <f>LAVORAZIONI!V572</f>
        <v/>
      </c>
      <c r="Q66" s="7">
        <f>LAVORAZIONI!W572</f>
        <v/>
      </c>
      <c r="R66" s="6">
        <f>LAVORAZIONI!X572</f>
        <v/>
      </c>
      <c r="S66" s="7">
        <f>LAVORAZIONI!Y572</f>
        <v/>
      </c>
      <c r="T66" s="6">
        <f>LAVORAZIONI!Z572</f>
        <v/>
      </c>
      <c r="U66" s="7">
        <f>LAVORAZIONI!AA572</f>
        <v/>
      </c>
      <c r="V66" s="6">
        <f>LAVORAZIONI!AB572</f>
        <v/>
      </c>
      <c r="W66" s="7">
        <f>LAVORAZIONI!AC572</f>
        <v/>
      </c>
      <c r="X66" s="6">
        <f>LAVORAZIONI!AD572</f>
        <v/>
      </c>
      <c r="Y66" s="7">
        <f>LAVORAZIONI!AE572</f>
        <v/>
      </c>
      <c r="Z66" s="6">
        <f>LAVORAZIONI!AF572</f>
        <v/>
      </c>
      <c r="AA66" s="7">
        <f>LAVORAZIONI!AG572</f>
        <v/>
      </c>
      <c r="AB66" s="6">
        <f>LAVORAZIONI!AH572</f>
        <v/>
      </c>
      <c r="AC66" s="7">
        <f>LAVORAZIONI!AI572</f>
        <v/>
      </c>
      <c r="AD66" s="13">
        <f>LAVORAZIONI!AJ572</f>
        <v/>
      </c>
    </row>
    <row r="67" ht="56" customHeight="1" s="46">
      <c r="B67" s="4">
        <f>LAVORAZIONI!G573</f>
        <v/>
      </c>
      <c r="C67" s="3">
        <f>LAVORAZIONI!A573</f>
        <v/>
      </c>
      <c r="D67" s="3">
        <f>LAVORAZIONI!K573</f>
        <v/>
      </c>
      <c r="E67" s="4">
        <f>LAVORAZIONI!H573</f>
        <v/>
      </c>
      <c r="F67" s="4">
        <f>LAVORAZIONI!M573</f>
        <v/>
      </c>
      <c r="G67" s="5">
        <f>LAVORAZIONI!N573</f>
        <v/>
      </c>
      <c r="H67" s="6">
        <f>LAVORAZIONI!O573</f>
        <v/>
      </c>
      <c r="I67" s="13">
        <f>LAVORAZIONI!P573</f>
        <v/>
      </c>
      <c r="J67" s="5">
        <f>IF(LAVORAZIONI!Q573="","",LAVORAZIONI!Q573)</f>
        <v/>
      </c>
      <c r="K67" s="6">
        <f>IF(LAVORAZIONI!R573="","",LAVORAZIONI!R573)</f>
        <v/>
      </c>
      <c r="L67" s="13">
        <f>IF(LAVORAZIONI!S573="","",LAVORAZIONI!S573)</f>
        <v/>
      </c>
      <c r="M67" s="13">
        <f>LAVORAZIONI!T573</f>
        <v/>
      </c>
      <c r="O67" s="7">
        <f>LAVORAZIONI!U573</f>
        <v/>
      </c>
      <c r="P67" s="45">
        <f>LAVORAZIONI!V573</f>
        <v/>
      </c>
      <c r="Q67" s="7">
        <f>LAVORAZIONI!W573</f>
        <v/>
      </c>
      <c r="R67" s="6">
        <f>LAVORAZIONI!X573</f>
        <v/>
      </c>
      <c r="S67" s="7">
        <f>LAVORAZIONI!Y573</f>
        <v/>
      </c>
      <c r="T67" s="6">
        <f>LAVORAZIONI!Z573</f>
        <v/>
      </c>
      <c r="U67" s="7">
        <f>LAVORAZIONI!AA573</f>
        <v/>
      </c>
      <c r="V67" s="6">
        <f>LAVORAZIONI!AB573</f>
        <v/>
      </c>
      <c r="W67" s="7">
        <f>LAVORAZIONI!AC573</f>
        <v/>
      </c>
      <c r="X67" s="6">
        <f>LAVORAZIONI!AD573</f>
        <v/>
      </c>
      <c r="Y67" s="7">
        <f>LAVORAZIONI!AE573</f>
        <v/>
      </c>
      <c r="Z67" s="6">
        <f>LAVORAZIONI!AF573</f>
        <v/>
      </c>
      <c r="AA67" s="7">
        <f>LAVORAZIONI!AG573</f>
        <v/>
      </c>
      <c r="AB67" s="6">
        <f>LAVORAZIONI!AH573</f>
        <v/>
      </c>
      <c r="AC67" s="7">
        <f>LAVORAZIONI!AI573</f>
        <v/>
      </c>
      <c r="AD67" s="13">
        <f>LAVORAZIONI!AJ573</f>
        <v/>
      </c>
    </row>
    <row r="68" ht="56" customHeight="1" s="46">
      <c r="B68" s="4">
        <f>LAVORAZIONI!G574</f>
        <v/>
      </c>
      <c r="C68" s="3">
        <f>LAVORAZIONI!A574</f>
        <v/>
      </c>
      <c r="D68" s="3">
        <f>LAVORAZIONI!K574</f>
        <v/>
      </c>
      <c r="E68" s="4">
        <f>LAVORAZIONI!H574</f>
        <v/>
      </c>
      <c r="F68" s="4">
        <f>LAVORAZIONI!M574</f>
        <v/>
      </c>
      <c r="G68" s="5">
        <f>LAVORAZIONI!N574</f>
        <v/>
      </c>
      <c r="H68" s="6">
        <f>LAVORAZIONI!O574</f>
        <v/>
      </c>
      <c r="I68" s="13">
        <f>LAVORAZIONI!P574</f>
        <v/>
      </c>
      <c r="J68" s="5">
        <f>IF(LAVORAZIONI!Q574="","",LAVORAZIONI!Q574)</f>
        <v/>
      </c>
      <c r="K68" s="6">
        <f>IF(LAVORAZIONI!R574="","",LAVORAZIONI!R574)</f>
        <v/>
      </c>
      <c r="L68" s="13">
        <f>IF(LAVORAZIONI!S574="","",LAVORAZIONI!S574)</f>
        <v/>
      </c>
      <c r="M68" s="13">
        <f>LAVORAZIONI!T574</f>
        <v/>
      </c>
      <c r="O68" s="7">
        <f>LAVORAZIONI!U574</f>
        <v/>
      </c>
      <c r="P68" s="45">
        <f>LAVORAZIONI!V574</f>
        <v/>
      </c>
      <c r="Q68" s="7">
        <f>LAVORAZIONI!W574</f>
        <v/>
      </c>
      <c r="R68" s="6">
        <f>LAVORAZIONI!X574</f>
        <v/>
      </c>
      <c r="S68" s="7">
        <f>LAVORAZIONI!Y574</f>
        <v/>
      </c>
      <c r="T68" s="6">
        <f>LAVORAZIONI!Z574</f>
        <v/>
      </c>
      <c r="U68" s="7">
        <f>LAVORAZIONI!AA574</f>
        <v/>
      </c>
      <c r="V68" s="6">
        <f>LAVORAZIONI!AB574</f>
        <v/>
      </c>
      <c r="W68" s="7">
        <f>LAVORAZIONI!AC574</f>
        <v/>
      </c>
      <c r="X68" s="6">
        <f>LAVORAZIONI!AD574</f>
        <v/>
      </c>
      <c r="Y68" s="7">
        <f>LAVORAZIONI!AE574</f>
        <v/>
      </c>
      <c r="Z68" s="6">
        <f>LAVORAZIONI!AF574</f>
        <v/>
      </c>
      <c r="AA68" s="7">
        <f>LAVORAZIONI!AG574</f>
        <v/>
      </c>
      <c r="AB68" s="6">
        <f>LAVORAZIONI!AH574</f>
        <v/>
      </c>
      <c r="AC68" s="7">
        <f>LAVORAZIONI!AI574</f>
        <v/>
      </c>
      <c r="AD68" s="13">
        <f>LAVORAZIONI!AJ574</f>
        <v/>
      </c>
    </row>
    <row r="69" ht="56" customHeight="1" s="46">
      <c r="B69" s="4">
        <f>LAVORAZIONI!G575</f>
        <v/>
      </c>
      <c r="C69" s="3">
        <f>LAVORAZIONI!A575</f>
        <v/>
      </c>
      <c r="D69" s="3">
        <f>LAVORAZIONI!K575</f>
        <v/>
      </c>
      <c r="E69" s="4">
        <f>LAVORAZIONI!H575</f>
        <v/>
      </c>
      <c r="F69" s="4">
        <f>LAVORAZIONI!M575</f>
        <v/>
      </c>
      <c r="G69" s="5">
        <f>LAVORAZIONI!N575</f>
        <v/>
      </c>
      <c r="H69" s="6">
        <f>LAVORAZIONI!O575</f>
        <v/>
      </c>
      <c r="I69" s="13">
        <f>LAVORAZIONI!P575</f>
        <v/>
      </c>
      <c r="J69" s="5">
        <f>IF(LAVORAZIONI!Q575="","",LAVORAZIONI!Q575)</f>
        <v/>
      </c>
      <c r="K69" s="6">
        <f>IF(LAVORAZIONI!R575="","",LAVORAZIONI!R575)</f>
        <v/>
      </c>
      <c r="L69" s="13">
        <f>IF(LAVORAZIONI!S575="","",LAVORAZIONI!S575)</f>
        <v/>
      </c>
      <c r="M69" s="13">
        <f>LAVORAZIONI!T575</f>
        <v/>
      </c>
      <c r="O69" s="7">
        <f>LAVORAZIONI!U575</f>
        <v/>
      </c>
      <c r="P69" s="45">
        <f>LAVORAZIONI!V575</f>
        <v/>
      </c>
      <c r="Q69" s="7">
        <f>LAVORAZIONI!W575</f>
        <v/>
      </c>
      <c r="R69" s="6">
        <f>LAVORAZIONI!X575</f>
        <v/>
      </c>
      <c r="S69" s="7">
        <f>LAVORAZIONI!Y575</f>
        <v/>
      </c>
      <c r="T69" s="6">
        <f>LAVORAZIONI!Z575</f>
        <v/>
      </c>
      <c r="U69" s="7">
        <f>LAVORAZIONI!AA575</f>
        <v/>
      </c>
      <c r="V69" s="6">
        <f>LAVORAZIONI!AB575</f>
        <v/>
      </c>
      <c r="W69" s="7">
        <f>LAVORAZIONI!AC575</f>
        <v/>
      </c>
      <c r="X69" s="6">
        <f>LAVORAZIONI!AD575</f>
        <v/>
      </c>
      <c r="Y69" s="7">
        <f>LAVORAZIONI!AE575</f>
        <v/>
      </c>
      <c r="Z69" s="6">
        <f>LAVORAZIONI!AF575</f>
        <v/>
      </c>
      <c r="AA69" s="7">
        <f>LAVORAZIONI!AG575</f>
        <v/>
      </c>
      <c r="AB69" s="6">
        <f>LAVORAZIONI!AH575</f>
        <v/>
      </c>
      <c r="AC69" s="7">
        <f>LAVORAZIONI!AI575</f>
        <v/>
      </c>
      <c r="AD69" s="13">
        <f>LAVORAZIONI!AJ575</f>
        <v/>
      </c>
    </row>
    <row r="70" ht="56" customHeight="1" s="46">
      <c r="B70" s="4">
        <f>LAVORAZIONI!G576</f>
        <v/>
      </c>
      <c r="C70" s="3">
        <f>LAVORAZIONI!A576</f>
        <v/>
      </c>
      <c r="D70" s="3">
        <f>LAVORAZIONI!K576</f>
        <v/>
      </c>
      <c r="E70" s="4">
        <f>LAVORAZIONI!H576</f>
        <v/>
      </c>
      <c r="F70" s="4">
        <f>LAVORAZIONI!M576</f>
        <v/>
      </c>
      <c r="G70" s="5">
        <f>LAVORAZIONI!N576</f>
        <v/>
      </c>
      <c r="H70" s="6">
        <f>LAVORAZIONI!O576</f>
        <v/>
      </c>
      <c r="I70" s="13">
        <f>LAVORAZIONI!P576</f>
        <v/>
      </c>
      <c r="J70" s="5">
        <f>IF(LAVORAZIONI!Q576="","",LAVORAZIONI!Q576)</f>
        <v/>
      </c>
      <c r="K70" s="6">
        <f>IF(LAVORAZIONI!R576="","",LAVORAZIONI!R576)</f>
        <v/>
      </c>
      <c r="L70" s="13">
        <f>IF(LAVORAZIONI!S576="","",LAVORAZIONI!S576)</f>
        <v/>
      </c>
      <c r="M70" s="13">
        <f>LAVORAZIONI!T576</f>
        <v/>
      </c>
      <c r="O70" s="7">
        <f>LAVORAZIONI!U576</f>
        <v/>
      </c>
      <c r="P70" s="45">
        <f>LAVORAZIONI!V576</f>
        <v/>
      </c>
      <c r="Q70" s="7">
        <f>LAVORAZIONI!W576</f>
        <v/>
      </c>
      <c r="R70" s="6">
        <f>LAVORAZIONI!X576</f>
        <v/>
      </c>
      <c r="S70" s="7">
        <f>LAVORAZIONI!Y576</f>
        <v/>
      </c>
      <c r="T70" s="6">
        <f>LAVORAZIONI!Z576</f>
        <v/>
      </c>
      <c r="U70" s="7">
        <f>LAVORAZIONI!AA576</f>
        <v/>
      </c>
      <c r="V70" s="6">
        <f>LAVORAZIONI!AB576</f>
        <v/>
      </c>
      <c r="W70" s="7">
        <f>LAVORAZIONI!AC576</f>
        <v/>
      </c>
      <c r="X70" s="6">
        <f>LAVORAZIONI!AD576</f>
        <v/>
      </c>
      <c r="Y70" s="7">
        <f>LAVORAZIONI!AE576</f>
        <v/>
      </c>
      <c r="Z70" s="6">
        <f>LAVORAZIONI!AF576</f>
        <v/>
      </c>
      <c r="AA70" s="7">
        <f>LAVORAZIONI!AG576</f>
        <v/>
      </c>
      <c r="AB70" s="6">
        <f>LAVORAZIONI!AH576</f>
        <v/>
      </c>
      <c r="AC70" s="7">
        <f>LAVORAZIONI!AI576</f>
        <v/>
      </c>
      <c r="AD70" s="13">
        <f>LAVORAZIONI!AJ576</f>
        <v/>
      </c>
    </row>
    <row r="71" ht="56" customHeight="1" s="46">
      <c r="B71" s="4">
        <f>LAVORAZIONI!G577</f>
        <v/>
      </c>
      <c r="C71" s="3">
        <f>LAVORAZIONI!A577</f>
        <v/>
      </c>
      <c r="D71" s="3">
        <f>LAVORAZIONI!K577</f>
        <v/>
      </c>
      <c r="E71" s="4">
        <f>LAVORAZIONI!H577</f>
        <v/>
      </c>
      <c r="F71" s="4">
        <f>LAVORAZIONI!M577</f>
        <v/>
      </c>
      <c r="G71" s="5">
        <f>LAVORAZIONI!N577</f>
        <v/>
      </c>
      <c r="H71" s="6">
        <f>LAVORAZIONI!O577</f>
        <v/>
      </c>
      <c r="I71" s="13">
        <f>LAVORAZIONI!P577</f>
        <v/>
      </c>
      <c r="J71" s="5">
        <f>IF(LAVORAZIONI!Q577="","",LAVORAZIONI!Q577)</f>
        <v/>
      </c>
      <c r="K71" s="6">
        <f>IF(LAVORAZIONI!R577="","",LAVORAZIONI!R577)</f>
        <v/>
      </c>
      <c r="L71" s="13">
        <f>IF(LAVORAZIONI!S577="","",LAVORAZIONI!S577)</f>
        <v/>
      </c>
      <c r="M71" s="13">
        <f>LAVORAZIONI!T577</f>
        <v/>
      </c>
      <c r="O71" s="7">
        <f>LAVORAZIONI!U577</f>
        <v/>
      </c>
      <c r="P71" s="45">
        <f>LAVORAZIONI!V577</f>
        <v/>
      </c>
      <c r="Q71" s="7">
        <f>LAVORAZIONI!W577</f>
        <v/>
      </c>
      <c r="R71" s="6">
        <f>LAVORAZIONI!X577</f>
        <v/>
      </c>
      <c r="S71" s="7">
        <f>LAVORAZIONI!Y577</f>
        <v/>
      </c>
      <c r="T71" s="6">
        <f>LAVORAZIONI!Z577</f>
        <v/>
      </c>
      <c r="U71" s="7">
        <f>LAVORAZIONI!AA577</f>
        <v/>
      </c>
      <c r="V71" s="6">
        <f>LAVORAZIONI!AB577</f>
        <v/>
      </c>
      <c r="W71" s="7">
        <f>LAVORAZIONI!AC577</f>
        <v/>
      </c>
      <c r="X71" s="6">
        <f>LAVORAZIONI!AD577</f>
        <v/>
      </c>
      <c r="Y71" s="7">
        <f>LAVORAZIONI!AE577</f>
        <v/>
      </c>
      <c r="Z71" s="6">
        <f>LAVORAZIONI!AF577</f>
        <v/>
      </c>
      <c r="AA71" s="7">
        <f>LAVORAZIONI!AG577</f>
        <v/>
      </c>
      <c r="AB71" s="6">
        <f>LAVORAZIONI!AH577</f>
        <v/>
      </c>
      <c r="AC71" s="7">
        <f>LAVORAZIONI!AI577</f>
        <v/>
      </c>
      <c r="AD71" s="13">
        <f>LAVORAZIONI!AJ577</f>
        <v/>
      </c>
    </row>
    <row r="72" ht="56" customHeight="1" s="46">
      <c r="B72" s="4">
        <f>LAVORAZIONI!G578</f>
        <v/>
      </c>
      <c r="C72" s="3">
        <f>LAVORAZIONI!A578</f>
        <v/>
      </c>
      <c r="D72" s="3">
        <f>LAVORAZIONI!K578</f>
        <v/>
      </c>
      <c r="E72" s="4">
        <f>LAVORAZIONI!H578</f>
        <v/>
      </c>
      <c r="F72" s="4">
        <f>LAVORAZIONI!M578</f>
        <v/>
      </c>
      <c r="G72" s="5">
        <f>LAVORAZIONI!N578</f>
        <v/>
      </c>
      <c r="H72" s="6">
        <f>LAVORAZIONI!O578</f>
        <v/>
      </c>
      <c r="I72" s="13">
        <f>LAVORAZIONI!P578</f>
        <v/>
      </c>
      <c r="J72" s="5">
        <f>IF(LAVORAZIONI!Q578="","",LAVORAZIONI!Q578)</f>
        <v/>
      </c>
      <c r="K72" s="6">
        <f>IF(LAVORAZIONI!R578="","",LAVORAZIONI!R578)</f>
        <v/>
      </c>
      <c r="L72" s="13">
        <f>IF(LAVORAZIONI!S578="","",LAVORAZIONI!S578)</f>
        <v/>
      </c>
      <c r="M72" s="13">
        <f>LAVORAZIONI!T578</f>
        <v/>
      </c>
      <c r="O72" s="7">
        <f>LAVORAZIONI!U578</f>
        <v/>
      </c>
      <c r="P72" s="45">
        <f>LAVORAZIONI!V578</f>
        <v/>
      </c>
      <c r="Q72" s="7">
        <f>LAVORAZIONI!W578</f>
        <v/>
      </c>
      <c r="R72" s="6">
        <f>LAVORAZIONI!X578</f>
        <v/>
      </c>
      <c r="S72" s="7">
        <f>LAVORAZIONI!Y578</f>
        <v/>
      </c>
      <c r="T72" s="6">
        <f>LAVORAZIONI!Z578</f>
        <v/>
      </c>
      <c r="U72" s="7">
        <f>LAVORAZIONI!AA578</f>
        <v/>
      </c>
      <c r="V72" s="6">
        <f>LAVORAZIONI!AB578</f>
        <v/>
      </c>
      <c r="W72" s="7">
        <f>LAVORAZIONI!AC578</f>
        <v/>
      </c>
      <c r="X72" s="6">
        <f>LAVORAZIONI!AD578</f>
        <v/>
      </c>
      <c r="Y72" s="7">
        <f>LAVORAZIONI!AE578</f>
        <v/>
      </c>
      <c r="Z72" s="6">
        <f>LAVORAZIONI!AF578</f>
        <v/>
      </c>
      <c r="AA72" s="7">
        <f>LAVORAZIONI!AG578</f>
        <v/>
      </c>
      <c r="AB72" s="6">
        <f>LAVORAZIONI!AH578</f>
        <v/>
      </c>
      <c r="AC72" s="7">
        <f>LAVORAZIONI!AI578</f>
        <v/>
      </c>
      <c r="AD72" s="13">
        <f>LAVORAZIONI!AJ578</f>
        <v/>
      </c>
    </row>
    <row r="73" ht="56" customHeight="1" s="46">
      <c r="B73" s="4">
        <f>LAVORAZIONI!G579</f>
        <v/>
      </c>
      <c r="C73" s="3">
        <f>LAVORAZIONI!A579</f>
        <v/>
      </c>
      <c r="D73" s="3">
        <f>LAVORAZIONI!K579</f>
        <v/>
      </c>
      <c r="E73" s="4">
        <f>LAVORAZIONI!H579</f>
        <v/>
      </c>
      <c r="F73" s="4">
        <f>LAVORAZIONI!M579</f>
        <v/>
      </c>
      <c r="G73" s="5">
        <f>LAVORAZIONI!N579</f>
        <v/>
      </c>
      <c r="H73" s="6">
        <f>LAVORAZIONI!O579</f>
        <v/>
      </c>
      <c r="I73" s="13">
        <f>LAVORAZIONI!P579</f>
        <v/>
      </c>
      <c r="J73" s="5">
        <f>IF(LAVORAZIONI!Q579="","",LAVORAZIONI!Q579)</f>
        <v/>
      </c>
      <c r="K73" s="6">
        <f>IF(LAVORAZIONI!R579="","",LAVORAZIONI!R579)</f>
        <v/>
      </c>
      <c r="L73" s="13">
        <f>IF(LAVORAZIONI!S579="","",LAVORAZIONI!S579)</f>
        <v/>
      </c>
      <c r="M73" s="13">
        <f>LAVORAZIONI!T579</f>
        <v/>
      </c>
      <c r="O73" s="7">
        <f>LAVORAZIONI!U579</f>
        <v/>
      </c>
      <c r="P73" s="45">
        <f>LAVORAZIONI!V579</f>
        <v/>
      </c>
      <c r="Q73" s="7">
        <f>LAVORAZIONI!W579</f>
        <v/>
      </c>
      <c r="R73" s="6">
        <f>LAVORAZIONI!X579</f>
        <v/>
      </c>
      <c r="S73" s="7">
        <f>LAVORAZIONI!Y579</f>
        <v/>
      </c>
      <c r="T73" s="6">
        <f>LAVORAZIONI!Z579</f>
        <v/>
      </c>
      <c r="U73" s="7">
        <f>LAVORAZIONI!AA579</f>
        <v/>
      </c>
      <c r="V73" s="6">
        <f>LAVORAZIONI!AB579</f>
        <v/>
      </c>
      <c r="W73" s="7">
        <f>LAVORAZIONI!AC579</f>
        <v/>
      </c>
      <c r="X73" s="6">
        <f>LAVORAZIONI!AD579</f>
        <v/>
      </c>
      <c r="Y73" s="7">
        <f>LAVORAZIONI!AE579</f>
        <v/>
      </c>
      <c r="Z73" s="6">
        <f>LAVORAZIONI!AF579</f>
        <v/>
      </c>
      <c r="AA73" s="7">
        <f>LAVORAZIONI!AG579</f>
        <v/>
      </c>
      <c r="AB73" s="6">
        <f>LAVORAZIONI!AH579</f>
        <v/>
      </c>
      <c r="AC73" s="7">
        <f>LAVORAZIONI!AI579</f>
        <v/>
      </c>
      <c r="AD73" s="13">
        <f>LAVORAZIONI!AJ579</f>
        <v/>
      </c>
    </row>
    <row r="74" ht="56" customHeight="1" s="46">
      <c r="B74" s="4">
        <f>LAVORAZIONI!G580</f>
        <v/>
      </c>
      <c r="C74" s="3">
        <f>LAVORAZIONI!A580</f>
        <v/>
      </c>
      <c r="D74" s="3">
        <f>LAVORAZIONI!K580</f>
        <v/>
      </c>
      <c r="E74" s="4">
        <f>LAVORAZIONI!H580</f>
        <v/>
      </c>
      <c r="F74" s="4">
        <f>LAVORAZIONI!M580</f>
        <v/>
      </c>
      <c r="G74" s="5">
        <f>LAVORAZIONI!N580</f>
        <v/>
      </c>
      <c r="H74" s="6">
        <f>LAVORAZIONI!O580</f>
        <v/>
      </c>
      <c r="I74" s="13">
        <f>LAVORAZIONI!P580</f>
        <v/>
      </c>
      <c r="J74" s="5">
        <f>IF(LAVORAZIONI!Q580="","",LAVORAZIONI!Q580)</f>
        <v/>
      </c>
      <c r="K74" s="6">
        <f>IF(LAVORAZIONI!R580="","",LAVORAZIONI!R580)</f>
        <v/>
      </c>
      <c r="L74" s="13">
        <f>IF(LAVORAZIONI!S580="","",LAVORAZIONI!S580)</f>
        <v/>
      </c>
      <c r="M74" s="13">
        <f>LAVORAZIONI!T580</f>
        <v/>
      </c>
      <c r="O74" s="7">
        <f>LAVORAZIONI!U580</f>
        <v/>
      </c>
      <c r="P74" s="45">
        <f>LAVORAZIONI!V580</f>
        <v/>
      </c>
      <c r="Q74" s="7">
        <f>LAVORAZIONI!W580</f>
        <v/>
      </c>
      <c r="R74" s="6">
        <f>LAVORAZIONI!X580</f>
        <v/>
      </c>
      <c r="S74" s="7">
        <f>LAVORAZIONI!Y580</f>
        <v/>
      </c>
      <c r="T74" s="6">
        <f>LAVORAZIONI!Z580</f>
        <v/>
      </c>
      <c r="U74" s="7">
        <f>LAVORAZIONI!AA580</f>
        <v/>
      </c>
      <c r="V74" s="6">
        <f>LAVORAZIONI!AB580</f>
        <v/>
      </c>
      <c r="W74" s="7">
        <f>LAVORAZIONI!AC580</f>
        <v/>
      </c>
      <c r="X74" s="6">
        <f>LAVORAZIONI!AD580</f>
        <v/>
      </c>
      <c r="Y74" s="7">
        <f>LAVORAZIONI!AE580</f>
        <v/>
      </c>
      <c r="Z74" s="6">
        <f>LAVORAZIONI!AF580</f>
        <v/>
      </c>
      <c r="AA74" s="7">
        <f>LAVORAZIONI!AG580</f>
        <v/>
      </c>
      <c r="AB74" s="6">
        <f>LAVORAZIONI!AH580</f>
        <v/>
      </c>
      <c r="AC74" s="7">
        <f>LAVORAZIONI!AI580</f>
        <v/>
      </c>
      <c r="AD74" s="13">
        <f>LAVORAZIONI!AJ580</f>
        <v/>
      </c>
    </row>
    <row r="75" ht="56" customHeight="1" s="46">
      <c r="B75" s="4">
        <f>LAVORAZIONI!G581</f>
        <v/>
      </c>
      <c r="C75" s="3">
        <f>LAVORAZIONI!A581</f>
        <v/>
      </c>
      <c r="D75" s="3">
        <f>LAVORAZIONI!K581</f>
        <v/>
      </c>
      <c r="E75" s="4">
        <f>LAVORAZIONI!H581</f>
        <v/>
      </c>
      <c r="F75" s="4">
        <f>LAVORAZIONI!M581</f>
        <v/>
      </c>
      <c r="G75" s="5">
        <f>LAVORAZIONI!N581</f>
        <v/>
      </c>
      <c r="H75" s="6">
        <f>LAVORAZIONI!O581</f>
        <v/>
      </c>
      <c r="I75" s="13">
        <f>LAVORAZIONI!P581</f>
        <v/>
      </c>
      <c r="J75" s="5">
        <f>IF(LAVORAZIONI!Q581="","",LAVORAZIONI!Q581)</f>
        <v/>
      </c>
      <c r="K75" s="6">
        <f>IF(LAVORAZIONI!R581="","",LAVORAZIONI!R581)</f>
        <v/>
      </c>
      <c r="L75" s="13">
        <f>IF(LAVORAZIONI!S581="","",LAVORAZIONI!S581)</f>
        <v/>
      </c>
      <c r="M75" s="13">
        <f>LAVORAZIONI!T581</f>
        <v/>
      </c>
      <c r="O75" s="7">
        <f>LAVORAZIONI!U581</f>
        <v/>
      </c>
      <c r="P75" s="45">
        <f>LAVORAZIONI!V581</f>
        <v/>
      </c>
      <c r="Q75" s="7">
        <f>LAVORAZIONI!W581</f>
        <v/>
      </c>
      <c r="R75" s="6">
        <f>LAVORAZIONI!X581</f>
        <v/>
      </c>
      <c r="S75" s="7">
        <f>LAVORAZIONI!Y581</f>
        <v/>
      </c>
      <c r="T75" s="6">
        <f>LAVORAZIONI!Z581</f>
        <v/>
      </c>
      <c r="U75" s="7">
        <f>LAVORAZIONI!AA581</f>
        <v/>
      </c>
      <c r="V75" s="6">
        <f>LAVORAZIONI!AB581</f>
        <v/>
      </c>
      <c r="W75" s="7">
        <f>LAVORAZIONI!AC581</f>
        <v/>
      </c>
      <c r="X75" s="6">
        <f>LAVORAZIONI!AD581</f>
        <v/>
      </c>
      <c r="Y75" s="7">
        <f>LAVORAZIONI!AE581</f>
        <v/>
      </c>
      <c r="Z75" s="6">
        <f>LAVORAZIONI!AF581</f>
        <v/>
      </c>
      <c r="AA75" s="7">
        <f>LAVORAZIONI!AG581</f>
        <v/>
      </c>
      <c r="AB75" s="6">
        <f>LAVORAZIONI!AH581</f>
        <v/>
      </c>
      <c r="AC75" s="7">
        <f>LAVORAZIONI!AI581</f>
        <v/>
      </c>
      <c r="AD75" s="13">
        <f>LAVORAZIONI!AJ581</f>
        <v/>
      </c>
    </row>
    <row r="76" ht="56" customHeight="1" s="46">
      <c r="B76" s="4">
        <f>LAVORAZIONI!G582</f>
        <v/>
      </c>
      <c r="C76" s="3">
        <f>LAVORAZIONI!A582</f>
        <v/>
      </c>
      <c r="D76" s="3">
        <f>LAVORAZIONI!K582</f>
        <v/>
      </c>
      <c r="E76" s="4">
        <f>LAVORAZIONI!H582</f>
        <v/>
      </c>
      <c r="F76" s="4">
        <f>LAVORAZIONI!M582</f>
        <v/>
      </c>
      <c r="G76" s="5">
        <f>LAVORAZIONI!N582</f>
        <v/>
      </c>
      <c r="H76" s="6">
        <f>LAVORAZIONI!O582</f>
        <v/>
      </c>
      <c r="I76" s="13">
        <f>LAVORAZIONI!P582</f>
        <v/>
      </c>
      <c r="J76" s="5">
        <f>IF(LAVORAZIONI!Q582="","",LAVORAZIONI!Q582)</f>
        <v/>
      </c>
      <c r="K76" s="6">
        <f>IF(LAVORAZIONI!R582="","",LAVORAZIONI!R582)</f>
        <v/>
      </c>
      <c r="L76" s="13">
        <f>IF(LAVORAZIONI!S582="","",LAVORAZIONI!S582)</f>
        <v/>
      </c>
      <c r="M76" s="13">
        <f>LAVORAZIONI!T582</f>
        <v/>
      </c>
      <c r="O76" s="7">
        <f>LAVORAZIONI!U582</f>
        <v/>
      </c>
      <c r="P76" s="45">
        <f>LAVORAZIONI!V582</f>
        <v/>
      </c>
      <c r="Q76" s="7">
        <f>LAVORAZIONI!W582</f>
        <v/>
      </c>
      <c r="R76" s="6">
        <f>LAVORAZIONI!X582</f>
        <v/>
      </c>
      <c r="S76" s="7">
        <f>LAVORAZIONI!Y582</f>
        <v/>
      </c>
      <c r="T76" s="6">
        <f>LAVORAZIONI!Z582</f>
        <v/>
      </c>
      <c r="U76" s="7">
        <f>LAVORAZIONI!AA582</f>
        <v/>
      </c>
      <c r="V76" s="6">
        <f>LAVORAZIONI!AB582</f>
        <v/>
      </c>
      <c r="W76" s="7">
        <f>LAVORAZIONI!AC582</f>
        <v/>
      </c>
      <c r="X76" s="6">
        <f>LAVORAZIONI!AD582</f>
        <v/>
      </c>
      <c r="Y76" s="7">
        <f>LAVORAZIONI!AE582</f>
        <v/>
      </c>
      <c r="Z76" s="6">
        <f>LAVORAZIONI!AF582</f>
        <v/>
      </c>
      <c r="AA76" s="7">
        <f>LAVORAZIONI!AG582</f>
        <v/>
      </c>
      <c r="AB76" s="6">
        <f>LAVORAZIONI!AH582</f>
        <v/>
      </c>
      <c r="AC76" s="7">
        <f>LAVORAZIONI!AI582</f>
        <v/>
      </c>
      <c r="AD76" s="13">
        <f>LAVORAZIONI!AJ582</f>
        <v/>
      </c>
    </row>
    <row r="77" ht="56" customHeight="1" s="46">
      <c r="B77" s="4">
        <f>LAVORAZIONI!G583</f>
        <v/>
      </c>
      <c r="C77" s="3">
        <f>LAVORAZIONI!A583</f>
        <v/>
      </c>
      <c r="D77" s="3">
        <f>LAVORAZIONI!K583</f>
        <v/>
      </c>
      <c r="E77" s="4">
        <f>LAVORAZIONI!H583</f>
        <v/>
      </c>
      <c r="F77" s="4">
        <f>LAVORAZIONI!M583</f>
        <v/>
      </c>
      <c r="G77" s="5">
        <f>LAVORAZIONI!N583</f>
        <v/>
      </c>
      <c r="H77" s="6">
        <f>LAVORAZIONI!O583</f>
        <v/>
      </c>
      <c r="I77" s="13">
        <f>LAVORAZIONI!P583</f>
        <v/>
      </c>
      <c r="J77" s="5">
        <f>IF(LAVORAZIONI!Q583="","",LAVORAZIONI!Q583)</f>
        <v/>
      </c>
      <c r="K77" s="6">
        <f>IF(LAVORAZIONI!R583="","",LAVORAZIONI!R583)</f>
        <v/>
      </c>
      <c r="L77" s="13">
        <f>IF(LAVORAZIONI!S583="","",LAVORAZIONI!S583)</f>
        <v/>
      </c>
      <c r="M77" s="13">
        <f>LAVORAZIONI!T583</f>
        <v/>
      </c>
      <c r="O77" s="7">
        <f>LAVORAZIONI!U583</f>
        <v/>
      </c>
      <c r="P77" s="45">
        <f>LAVORAZIONI!V583</f>
        <v/>
      </c>
      <c r="Q77" s="7">
        <f>LAVORAZIONI!W583</f>
        <v/>
      </c>
      <c r="R77" s="6">
        <f>LAVORAZIONI!X583</f>
        <v/>
      </c>
      <c r="S77" s="7">
        <f>LAVORAZIONI!Y583</f>
        <v/>
      </c>
      <c r="T77" s="6">
        <f>LAVORAZIONI!Z583</f>
        <v/>
      </c>
      <c r="U77" s="7">
        <f>LAVORAZIONI!AA583</f>
        <v/>
      </c>
      <c r="V77" s="6">
        <f>LAVORAZIONI!AB583</f>
        <v/>
      </c>
      <c r="W77" s="7">
        <f>LAVORAZIONI!AC583</f>
        <v/>
      </c>
      <c r="X77" s="6">
        <f>LAVORAZIONI!AD583</f>
        <v/>
      </c>
      <c r="Y77" s="7">
        <f>LAVORAZIONI!AE583</f>
        <v/>
      </c>
      <c r="Z77" s="6">
        <f>LAVORAZIONI!AF583</f>
        <v/>
      </c>
      <c r="AA77" s="7">
        <f>LAVORAZIONI!AG583</f>
        <v/>
      </c>
      <c r="AB77" s="6">
        <f>LAVORAZIONI!AH583</f>
        <v/>
      </c>
      <c r="AC77" s="7">
        <f>LAVORAZIONI!AI583</f>
        <v/>
      </c>
      <c r="AD77" s="13">
        <f>LAVORAZIONI!AJ583</f>
        <v/>
      </c>
    </row>
    <row r="78" ht="56" customHeight="1" s="46">
      <c r="B78" s="4">
        <f>LAVORAZIONI!G584</f>
        <v/>
      </c>
      <c r="C78" s="3">
        <f>LAVORAZIONI!A584</f>
        <v/>
      </c>
      <c r="D78" s="3">
        <f>LAVORAZIONI!K584</f>
        <v/>
      </c>
      <c r="E78" s="4">
        <f>LAVORAZIONI!H584</f>
        <v/>
      </c>
      <c r="F78" s="4">
        <f>LAVORAZIONI!M584</f>
        <v/>
      </c>
      <c r="G78" s="5">
        <f>LAVORAZIONI!N584</f>
        <v/>
      </c>
      <c r="H78" s="6">
        <f>LAVORAZIONI!O584</f>
        <v/>
      </c>
      <c r="I78" s="13">
        <f>LAVORAZIONI!P584</f>
        <v/>
      </c>
      <c r="J78" s="5">
        <f>IF(LAVORAZIONI!Q584="","",LAVORAZIONI!Q584)</f>
        <v/>
      </c>
      <c r="K78" s="6">
        <f>IF(LAVORAZIONI!R584="","",LAVORAZIONI!R584)</f>
        <v/>
      </c>
      <c r="L78" s="13">
        <f>IF(LAVORAZIONI!S584="","",LAVORAZIONI!S584)</f>
        <v/>
      </c>
      <c r="M78" s="13">
        <f>LAVORAZIONI!T584</f>
        <v/>
      </c>
      <c r="O78" s="7">
        <f>LAVORAZIONI!U584</f>
        <v/>
      </c>
      <c r="P78" s="45">
        <f>LAVORAZIONI!V584</f>
        <v/>
      </c>
      <c r="Q78" s="7">
        <f>LAVORAZIONI!W584</f>
        <v/>
      </c>
      <c r="R78" s="6">
        <f>LAVORAZIONI!X584</f>
        <v/>
      </c>
      <c r="S78" s="7">
        <f>LAVORAZIONI!Y584</f>
        <v/>
      </c>
      <c r="T78" s="6">
        <f>LAVORAZIONI!Z584</f>
        <v/>
      </c>
      <c r="U78" s="7">
        <f>LAVORAZIONI!AA584</f>
        <v/>
      </c>
      <c r="V78" s="6">
        <f>LAVORAZIONI!AB584</f>
        <v/>
      </c>
      <c r="W78" s="7">
        <f>LAVORAZIONI!AC584</f>
        <v/>
      </c>
      <c r="X78" s="6">
        <f>LAVORAZIONI!AD584</f>
        <v/>
      </c>
      <c r="Y78" s="7">
        <f>LAVORAZIONI!AE584</f>
        <v/>
      </c>
      <c r="Z78" s="6">
        <f>LAVORAZIONI!AF584</f>
        <v/>
      </c>
      <c r="AA78" s="7">
        <f>LAVORAZIONI!AG584</f>
        <v/>
      </c>
      <c r="AB78" s="6">
        <f>LAVORAZIONI!AH584</f>
        <v/>
      </c>
      <c r="AC78" s="7">
        <f>LAVORAZIONI!AI584</f>
        <v/>
      </c>
      <c r="AD78" s="13">
        <f>LAVORAZIONI!AJ584</f>
        <v/>
      </c>
    </row>
    <row r="79" ht="56" customHeight="1" s="46">
      <c r="B79" s="4">
        <f>LAVORAZIONI!G585</f>
        <v/>
      </c>
      <c r="C79" s="3">
        <f>LAVORAZIONI!A585</f>
        <v/>
      </c>
      <c r="D79" s="3">
        <f>LAVORAZIONI!K585</f>
        <v/>
      </c>
      <c r="E79" s="4">
        <f>LAVORAZIONI!H585</f>
        <v/>
      </c>
      <c r="F79" s="4">
        <f>LAVORAZIONI!M585</f>
        <v/>
      </c>
      <c r="G79" s="5">
        <f>LAVORAZIONI!N585</f>
        <v/>
      </c>
      <c r="H79" s="6">
        <f>LAVORAZIONI!O585</f>
        <v/>
      </c>
      <c r="I79" s="13">
        <f>LAVORAZIONI!P585</f>
        <v/>
      </c>
      <c r="J79" s="5">
        <f>IF(LAVORAZIONI!Q585="","",LAVORAZIONI!Q585)</f>
        <v/>
      </c>
      <c r="K79" s="6">
        <f>IF(LAVORAZIONI!R585="","",LAVORAZIONI!R585)</f>
        <v/>
      </c>
      <c r="L79" s="13">
        <f>IF(LAVORAZIONI!S585="","",LAVORAZIONI!S585)</f>
        <v/>
      </c>
      <c r="M79" s="13">
        <f>LAVORAZIONI!T585</f>
        <v/>
      </c>
      <c r="O79" s="7">
        <f>LAVORAZIONI!U585</f>
        <v/>
      </c>
      <c r="P79" s="45">
        <f>LAVORAZIONI!V585</f>
        <v/>
      </c>
      <c r="Q79" s="7">
        <f>LAVORAZIONI!W585</f>
        <v/>
      </c>
      <c r="R79" s="6">
        <f>LAVORAZIONI!X585</f>
        <v/>
      </c>
      <c r="S79" s="7">
        <f>LAVORAZIONI!Y585</f>
        <v/>
      </c>
      <c r="T79" s="6">
        <f>LAVORAZIONI!Z585</f>
        <v/>
      </c>
      <c r="U79" s="7">
        <f>LAVORAZIONI!AA585</f>
        <v/>
      </c>
      <c r="V79" s="6">
        <f>LAVORAZIONI!AB585</f>
        <v/>
      </c>
      <c r="W79" s="7">
        <f>LAVORAZIONI!AC585</f>
        <v/>
      </c>
      <c r="X79" s="6">
        <f>LAVORAZIONI!AD585</f>
        <v/>
      </c>
      <c r="Y79" s="7">
        <f>LAVORAZIONI!AE585</f>
        <v/>
      </c>
      <c r="Z79" s="6">
        <f>LAVORAZIONI!AF585</f>
        <v/>
      </c>
      <c r="AA79" s="7">
        <f>LAVORAZIONI!AG585</f>
        <v/>
      </c>
      <c r="AB79" s="6">
        <f>LAVORAZIONI!AH585</f>
        <v/>
      </c>
      <c r="AC79" s="7">
        <f>LAVORAZIONI!AI585</f>
        <v/>
      </c>
      <c r="AD79" s="13">
        <f>LAVORAZIONI!AJ585</f>
        <v/>
      </c>
    </row>
    <row r="80" ht="56" customHeight="1" s="46">
      <c r="B80" s="4">
        <f>LAVORAZIONI!G586</f>
        <v/>
      </c>
      <c r="C80" s="3">
        <f>LAVORAZIONI!A586</f>
        <v/>
      </c>
      <c r="D80" s="3">
        <f>LAVORAZIONI!K586</f>
        <v/>
      </c>
      <c r="E80" s="4">
        <f>LAVORAZIONI!H586</f>
        <v/>
      </c>
      <c r="F80" s="4">
        <f>LAVORAZIONI!M586</f>
        <v/>
      </c>
      <c r="G80" s="5">
        <f>LAVORAZIONI!N586</f>
        <v/>
      </c>
      <c r="H80" s="6">
        <f>LAVORAZIONI!O586</f>
        <v/>
      </c>
      <c r="I80" s="13">
        <f>LAVORAZIONI!P586</f>
        <v/>
      </c>
      <c r="J80" s="5">
        <f>IF(LAVORAZIONI!Q586="","",LAVORAZIONI!Q586)</f>
        <v/>
      </c>
      <c r="K80" s="6">
        <f>IF(LAVORAZIONI!R586="","",LAVORAZIONI!R586)</f>
        <v/>
      </c>
      <c r="L80" s="13">
        <f>IF(LAVORAZIONI!S586="","",LAVORAZIONI!S586)</f>
        <v/>
      </c>
      <c r="M80" s="13">
        <f>LAVORAZIONI!T586</f>
        <v/>
      </c>
      <c r="O80" s="7">
        <f>LAVORAZIONI!U586</f>
        <v/>
      </c>
      <c r="P80" s="45">
        <f>LAVORAZIONI!V586</f>
        <v/>
      </c>
      <c r="Q80" s="7">
        <f>LAVORAZIONI!W586</f>
        <v/>
      </c>
      <c r="R80" s="6">
        <f>LAVORAZIONI!X586</f>
        <v/>
      </c>
      <c r="S80" s="7">
        <f>LAVORAZIONI!Y586</f>
        <v/>
      </c>
      <c r="T80" s="6">
        <f>LAVORAZIONI!Z586</f>
        <v/>
      </c>
      <c r="U80" s="7">
        <f>LAVORAZIONI!AA586</f>
        <v/>
      </c>
      <c r="V80" s="6">
        <f>LAVORAZIONI!AB586</f>
        <v/>
      </c>
      <c r="W80" s="7">
        <f>LAVORAZIONI!AC586</f>
        <v/>
      </c>
      <c r="X80" s="6">
        <f>LAVORAZIONI!AD586</f>
        <v/>
      </c>
      <c r="Y80" s="7">
        <f>LAVORAZIONI!AE586</f>
        <v/>
      </c>
      <c r="Z80" s="6">
        <f>LAVORAZIONI!AF586</f>
        <v/>
      </c>
      <c r="AA80" s="7">
        <f>LAVORAZIONI!AG586</f>
        <v/>
      </c>
      <c r="AB80" s="6">
        <f>LAVORAZIONI!AH586</f>
        <v/>
      </c>
      <c r="AC80" s="7">
        <f>LAVORAZIONI!AI586</f>
        <v/>
      </c>
      <c r="AD80" s="13">
        <f>LAVORAZIONI!AJ586</f>
        <v/>
      </c>
    </row>
    <row r="81" ht="56" customHeight="1" s="46">
      <c r="B81" s="4">
        <f>LAVORAZIONI!G587</f>
        <v/>
      </c>
      <c r="C81" s="3">
        <f>LAVORAZIONI!A587</f>
        <v/>
      </c>
      <c r="D81" s="3">
        <f>LAVORAZIONI!K587</f>
        <v/>
      </c>
      <c r="E81" s="4">
        <f>LAVORAZIONI!H587</f>
        <v/>
      </c>
      <c r="F81" s="4">
        <f>LAVORAZIONI!M587</f>
        <v/>
      </c>
      <c r="G81" s="5">
        <f>LAVORAZIONI!N587</f>
        <v/>
      </c>
      <c r="H81" s="6">
        <f>LAVORAZIONI!O587</f>
        <v/>
      </c>
      <c r="I81" s="13">
        <f>LAVORAZIONI!P587</f>
        <v/>
      </c>
      <c r="J81" s="5">
        <f>IF(LAVORAZIONI!Q587="","",LAVORAZIONI!Q587)</f>
        <v/>
      </c>
      <c r="K81" s="6">
        <f>IF(LAVORAZIONI!R587="","",LAVORAZIONI!R587)</f>
        <v/>
      </c>
      <c r="L81" s="13">
        <f>IF(LAVORAZIONI!S587="","",LAVORAZIONI!S587)</f>
        <v/>
      </c>
      <c r="M81" s="13">
        <f>LAVORAZIONI!T587</f>
        <v/>
      </c>
      <c r="O81" s="7">
        <f>LAVORAZIONI!U587</f>
        <v/>
      </c>
      <c r="P81" s="45">
        <f>LAVORAZIONI!V587</f>
        <v/>
      </c>
      <c r="Q81" s="7">
        <f>LAVORAZIONI!W587</f>
        <v/>
      </c>
      <c r="R81" s="6">
        <f>LAVORAZIONI!X587</f>
        <v/>
      </c>
      <c r="S81" s="7">
        <f>LAVORAZIONI!Y587</f>
        <v/>
      </c>
      <c r="T81" s="6">
        <f>LAVORAZIONI!Z587</f>
        <v/>
      </c>
      <c r="U81" s="7">
        <f>LAVORAZIONI!AA587</f>
        <v/>
      </c>
      <c r="V81" s="6">
        <f>LAVORAZIONI!AB587</f>
        <v/>
      </c>
      <c r="W81" s="7">
        <f>LAVORAZIONI!AC587</f>
        <v/>
      </c>
      <c r="X81" s="6">
        <f>LAVORAZIONI!AD587</f>
        <v/>
      </c>
      <c r="Y81" s="7">
        <f>LAVORAZIONI!AE587</f>
        <v/>
      </c>
      <c r="Z81" s="6">
        <f>LAVORAZIONI!AF587</f>
        <v/>
      </c>
      <c r="AA81" s="7">
        <f>LAVORAZIONI!AG587</f>
        <v/>
      </c>
      <c r="AB81" s="6">
        <f>LAVORAZIONI!AH587</f>
        <v/>
      </c>
      <c r="AC81" s="7">
        <f>LAVORAZIONI!AI587</f>
        <v/>
      </c>
      <c r="AD81" s="13">
        <f>LAVORAZIONI!AJ587</f>
        <v/>
      </c>
    </row>
    <row r="82" ht="56" customHeight="1" s="46">
      <c r="B82" s="4">
        <f>LAVORAZIONI!G588</f>
        <v/>
      </c>
      <c r="C82" s="3">
        <f>LAVORAZIONI!A588</f>
        <v/>
      </c>
      <c r="D82" s="3">
        <f>LAVORAZIONI!K588</f>
        <v/>
      </c>
      <c r="E82" s="4">
        <f>LAVORAZIONI!H588</f>
        <v/>
      </c>
      <c r="F82" s="4">
        <f>LAVORAZIONI!M588</f>
        <v/>
      </c>
      <c r="G82" s="5">
        <f>LAVORAZIONI!N588</f>
        <v/>
      </c>
      <c r="H82" s="6">
        <f>LAVORAZIONI!O588</f>
        <v/>
      </c>
      <c r="I82" s="13">
        <f>LAVORAZIONI!P588</f>
        <v/>
      </c>
      <c r="J82" s="5">
        <f>IF(LAVORAZIONI!Q588="","",LAVORAZIONI!Q588)</f>
        <v/>
      </c>
      <c r="K82" s="6">
        <f>IF(LAVORAZIONI!R588="","",LAVORAZIONI!R588)</f>
        <v/>
      </c>
      <c r="L82" s="13">
        <f>IF(LAVORAZIONI!S588="","",LAVORAZIONI!S588)</f>
        <v/>
      </c>
      <c r="M82" s="13">
        <f>LAVORAZIONI!T588</f>
        <v/>
      </c>
      <c r="O82" s="7">
        <f>LAVORAZIONI!U588</f>
        <v/>
      </c>
      <c r="P82" s="45">
        <f>LAVORAZIONI!V588</f>
        <v/>
      </c>
      <c r="Q82" s="7">
        <f>LAVORAZIONI!W588</f>
        <v/>
      </c>
      <c r="R82" s="6">
        <f>LAVORAZIONI!X588</f>
        <v/>
      </c>
      <c r="S82" s="7">
        <f>LAVORAZIONI!Y588</f>
        <v/>
      </c>
      <c r="T82" s="6">
        <f>LAVORAZIONI!Z588</f>
        <v/>
      </c>
      <c r="U82" s="7">
        <f>LAVORAZIONI!AA588</f>
        <v/>
      </c>
      <c r="V82" s="6">
        <f>LAVORAZIONI!AB588</f>
        <v/>
      </c>
      <c r="W82" s="7">
        <f>LAVORAZIONI!AC588</f>
        <v/>
      </c>
      <c r="X82" s="6">
        <f>LAVORAZIONI!AD588</f>
        <v/>
      </c>
      <c r="Y82" s="7">
        <f>LAVORAZIONI!AE588</f>
        <v/>
      </c>
      <c r="Z82" s="6">
        <f>LAVORAZIONI!AF588</f>
        <v/>
      </c>
      <c r="AA82" s="7">
        <f>LAVORAZIONI!AG588</f>
        <v/>
      </c>
      <c r="AB82" s="6">
        <f>LAVORAZIONI!AH588</f>
        <v/>
      </c>
      <c r="AC82" s="7">
        <f>LAVORAZIONI!AI588</f>
        <v/>
      </c>
      <c r="AD82" s="13">
        <f>LAVORAZIONI!AJ588</f>
        <v/>
      </c>
    </row>
    <row r="83" ht="56" customHeight="1" s="46">
      <c r="B83" s="4">
        <f>LAVORAZIONI!G589</f>
        <v/>
      </c>
      <c r="C83" s="3">
        <f>LAVORAZIONI!A589</f>
        <v/>
      </c>
      <c r="D83" s="3">
        <f>LAVORAZIONI!K589</f>
        <v/>
      </c>
      <c r="E83" s="4">
        <f>LAVORAZIONI!H589</f>
        <v/>
      </c>
      <c r="F83" s="4">
        <f>LAVORAZIONI!M589</f>
        <v/>
      </c>
      <c r="G83" s="5">
        <f>LAVORAZIONI!N589</f>
        <v/>
      </c>
      <c r="H83" s="6">
        <f>LAVORAZIONI!O589</f>
        <v/>
      </c>
      <c r="I83" s="13">
        <f>LAVORAZIONI!P589</f>
        <v/>
      </c>
      <c r="J83" s="5">
        <f>IF(LAVORAZIONI!Q589="","",LAVORAZIONI!Q589)</f>
        <v/>
      </c>
      <c r="K83" s="6">
        <f>IF(LAVORAZIONI!R589="","",LAVORAZIONI!R589)</f>
        <v/>
      </c>
      <c r="L83" s="13">
        <f>IF(LAVORAZIONI!S589="","",LAVORAZIONI!S589)</f>
        <v/>
      </c>
      <c r="M83" s="13">
        <f>LAVORAZIONI!T589</f>
        <v/>
      </c>
      <c r="O83" s="7">
        <f>LAVORAZIONI!U589</f>
        <v/>
      </c>
      <c r="P83" s="45">
        <f>LAVORAZIONI!V589</f>
        <v/>
      </c>
      <c r="Q83" s="7">
        <f>LAVORAZIONI!W589</f>
        <v/>
      </c>
      <c r="R83" s="6">
        <f>LAVORAZIONI!X589</f>
        <v/>
      </c>
      <c r="S83" s="7">
        <f>LAVORAZIONI!Y589</f>
        <v/>
      </c>
      <c r="T83" s="6">
        <f>LAVORAZIONI!Z589</f>
        <v/>
      </c>
      <c r="U83" s="7">
        <f>LAVORAZIONI!AA589</f>
        <v/>
      </c>
      <c r="V83" s="6">
        <f>LAVORAZIONI!AB589</f>
        <v/>
      </c>
      <c r="W83" s="7">
        <f>LAVORAZIONI!AC589</f>
        <v/>
      </c>
      <c r="X83" s="6">
        <f>LAVORAZIONI!AD589</f>
        <v/>
      </c>
      <c r="Y83" s="7">
        <f>LAVORAZIONI!AE589</f>
        <v/>
      </c>
      <c r="Z83" s="6">
        <f>LAVORAZIONI!AF589</f>
        <v/>
      </c>
      <c r="AA83" s="7">
        <f>LAVORAZIONI!AG589</f>
        <v/>
      </c>
      <c r="AB83" s="6">
        <f>LAVORAZIONI!AH589</f>
        <v/>
      </c>
      <c r="AC83" s="7">
        <f>LAVORAZIONI!AI589</f>
        <v/>
      </c>
      <c r="AD83" s="13">
        <f>LAVORAZIONI!AJ589</f>
        <v/>
      </c>
    </row>
    <row r="84" ht="56" customHeight="1" s="46">
      <c r="B84" s="4">
        <f>LAVORAZIONI!G590</f>
        <v/>
      </c>
      <c r="C84" s="3">
        <f>LAVORAZIONI!A590</f>
        <v/>
      </c>
      <c r="D84" s="3">
        <f>LAVORAZIONI!K590</f>
        <v/>
      </c>
      <c r="E84" s="4">
        <f>LAVORAZIONI!H590</f>
        <v/>
      </c>
      <c r="F84" s="4">
        <f>LAVORAZIONI!M590</f>
        <v/>
      </c>
      <c r="G84" s="5">
        <f>LAVORAZIONI!N590</f>
        <v/>
      </c>
      <c r="H84" s="6">
        <f>LAVORAZIONI!O590</f>
        <v/>
      </c>
      <c r="I84" s="13">
        <f>LAVORAZIONI!P590</f>
        <v/>
      </c>
      <c r="J84" s="5">
        <f>IF(LAVORAZIONI!Q590="","",LAVORAZIONI!Q590)</f>
        <v/>
      </c>
      <c r="K84" s="6">
        <f>IF(LAVORAZIONI!R590="","",LAVORAZIONI!R590)</f>
        <v/>
      </c>
      <c r="L84" s="13">
        <f>IF(LAVORAZIONI!S590="","",LAVORAZIONI!S590)</f>
        <v/>
      </c>
      <c r="M84" s="13">
        <f>LAVORAZIONI!T590</f>
        <v/>
      </c>
      <c r="O84" s="7">
        <f>LAVORAZIONI!U590</f>
        <v/>
      </c>
      <c r="P84" s="45">
        <f>LAVORAZIONI!V590</f>
        <v/>
      </c>
      <c r="Q84" s="7">
        <f>LAVORAZIONI!W590</f>
        <v/>
      </c>
      <c r="R84" s="6">
        <f>LAVORAZIONI!X590</f>
        <v/>
      </c>
      <c r="S84" s="7">
        <f>LAVORAZIONI!Y590</f>
        <v/>
      </c>
      <c r="T84" s="6">
        <f>LAVORAZIONI!Z590</f>
        <v/>
      </c>
      <c r="U84" s="7">
        <f>LAVORAZIONI!AA590</f>
        <v/>
      </c>
      <c r="V84" s="6">
        <f>LAVORAZIONI!AB590</f>
        <v/>
      </c>
      <c r="W84" s="7">
        <f>LAVORAZIONI!AC590</f>
        <v/>
      </c>
      <c r="X84" s="6">
        <f>LAVORAZIONI!AD590</f>
        <v/>
      </c>
      <c r="Y84" s="7">
        <f>LAVORAZIONI!AE590</f>
        <v/>
      </c>
      <c r="Z84" s="6">
        <f>LAVORAZIONI!AF590</f>
        <v/>
      </c>
      <c r="AA84" s="7">
        <f>LAVORAZIONI!AG590</f>
        <v/>
      </c>
      <c r="AB84" s="6">
        <f>LAVORAZIONI!AH590</f>
        <v/>
      </c>
      <c r="AC84" s="7">
        <f>LAVORAZIONI!AI590</f>
        <v/>
      </c>
      <c r="AD84" s="13">
        <f>LAVORAZIONI!AJ590</f>
        <v/>
      </c>
    </row>
    <row r="85" ht="56" customHeight="1" s="46">
      <c r="B85" s="4">
        <f>LAVORAZIONI!G591</f>
        <v/>
      </c>
      <c r="C85" s="3">
        <f>LAVORAZIONI!A591</f>
        <v/>
      </c>
      <c r="D85" s="3">
        <f>LAVORAZIONI!K591</f>
        <v/>
      </c>
      <c r="E85" s="4">
        <f>LAVORAZIONI!H591</f>
        <v/>
      </c>
      <c r="F85" s="4">
        <f>LAVORAZIONI!M591</f>
        <v/>
      </c>
      <c r="G85" s="5">
        <f>LAVORAZIONI!N591</f>
        <v/>
      </c>
      <c r="H85" s="6">
        <f>LAVORAZIONI!O591</f>
        <v/>
      </c>
      <c r="I85" s="13">
        <f>LAVORAZIONI!P591</f>
        <v/>
      </c>
      <c r="J85" s="5">
        <f>IF(LAVORAZIONI!Q591="","",LAVORAZIONI!Q591)</f>
        <v/>
      </c>
      <c r="K85" s="6">
        <f>IF(LAVORAZIONI!R591="","",LAVORAZIONI!R591)</f>
        <v/>
      </c>
      <c r="L85" s="13">
        <f>IF(LAVORAZIONI!S591="","",LAVORAZIONI!S591)</f>
        <v/>
      </c>
      <c r="M85" s="13">
        <f>LAVORAZIONI!T591</f>
        <v/>
      </c>
      <c r="O85" s="7">
        <f>LAVORAZIONI!U591</f>
        <v/>
      </c>
      <c r="P85" s="45">
        <f>LAVORAZIONI!V591</f>
        <v/>
      </c>
      <c r="Q85" s="7">
        <f>LAVORAZIONI!W591</f>
        <v/>
      </c>
      <c r="R85" s="6">
        <f>LAVORAZIONI!X591</f>
        <v/>
      </c>
      <c r="S85" s="7">
        <f>LAVORAZIONI!Y591</f>
        <v/>
      </c>
      <c r="T85" s="6">
        <f>LAVORAZIONI!Z591</f>
        <v/>
      </c>
      <c r="U85" s="7">
        <f>LAVORAZIONI!AA591</f>
        <v/>
      </c>
      <c r="V85" s="6">
        <f>LAVORAZIONI!AB591</f>
        <v/>
      </c>
      <c r="W85" s="7">
        <f>LAVORAZIONI!AC591</f>
        <v/>
      </c>
      <c r="X85" s="6">
        <f>LAVORAZIONI!AD591</f>
        <v/>
      </c>
      <c r="Y85" s="7">
        <f>LAVORAZIONI!AE591</f>
        <v/>
      </c>
      <c r="Z85" s="6">
        <f>LAVORAZIONI!AF591</f>
        <v/>
      </c>
      <c r="AA85" s="7">
        <f>LAVORAZIONI!AG591</f>
        <v/>
      </c>
      <c r="AB85" s="6">
        <f>LAVORAZIONI!AH591</f>
        <v/>
      </c>
      <c r="AC85" s="7">
        <f>LAVORAZIONI!AI591</f>
        <v/>
      </c>
      <c r="AD85" s="13">
        <f>LAVORAZIONI!AJ591</f>
        <v/>
      </c>
    </row>
    <row r="86" ht="56" customHeight="1" s="46">
      <c r="B86" s="4">
        <f>LAVORAZIONI!G592</f>
        <v/>
      </c>
      <c r="C86" s="3">
        <f>LAVORAZIONI!A592</f>
        <v/>
      </c>
      <c r="D86" s="3">
        <f>LAVORAZIONI!K592</f>
        <v/>
      </c>
      <c r="E86" s="4">
        <f>LAVORAZIONI!H592</f>
        <v/>
      </c>
      <c r="F86" s="4">
        <f>LAVORAZIONI!M592</f>
        <v/>
      </c>
      <c r="G86" s="5">
        <f>LAVORAZIONI!N592</f>
        <v/>
      </c>
      <c r="H86" s="6">
        <f>LAVORAZIONI!O592</f>
        <v/>
      </c>
      <c r="I86" s="13">
        <f>LAVORAZIONI!P592</f>
        <v/>
      </c>
      <c r="J86" s="5">
        <f>IF(LAVORAZIONI!Q592="","",LAVORAZIONI!Q592)</f>
        <v/>
      </c>
      <c r="K86" s="6">
        <f>IF(LAVORAZIONI!R592="","",LAVORAZIONI!R592)</f>
        <v/>
      </c>
      <c r="L86" s="13">
        <f>IF(LAVORAZIONI!S592="","",LAVORAZIONI!S592)</f>
        <v/>
      </c>
      <c r="M86" s="13">
        <f>LAVORAZIONI!T592</f>
        <v/>
      </c>
      <c r="O86" s="7">
        <f>LAVORAZIONI!U592</f>
        <v/>
      </c>
      <c r="P86" s="45">
        <f>LAVORAZIONI!V592</f>
        <v/>
      </c>
      <c r="Q86" s="7">
        <f>LAVORAZIONI!W592</f>
        <v/>
      </c>
      <c r="R86" s="6">
        <f>LAVORAZIONI!X592</f>
        <v/>
      </c>
      <c r="S86" s="7">
        <f>LAVORAZIONI!Y592</f>
        <v/>
      </c>
      <c r="T86" s="6">
        <f>LAVORAZIONI!Z592</f>
        <v/>
      </c>
      <c r="U86" s="7">
        <f>LAVORAZIONI!AA592</f>
        <v/>
      </c>
      <c r="V86" s="6">
        <f>LAVORAZIONI!AB592</f>
        <v/>
      </c>
      <c r="W86" s="7">
        <f>LAVORAZIONI!AC592</f>
        <v/>
      </c>
      <c r="X86" s="6">
        <f>LAVORAZIONI!AD592</f>
        <v/>
      </c>
      <c r="Y86" s="7">
        <f>LAVORAZIONI!AE592</f>
        <v/>
      </c>
      <c r="Z86" s="6">
        <f>LAVORAZIONI!AF592</f>
        <v/>
      </c>
      <c r="AA86" s="7">
        <f>LAVORAZIONI!AG592</f>
        <v/>
      </c>
      <c r="AB86" s="6">
        <f>LAVORAZIONI!AH592</f>
        <v/>
      </c>
      <c r="AC86" s="7">
        <f>LAVORAZIONI!AI592</f>
        <v/>
      </c>
      <c r="AD86" s="13">
        <f>LAVORAZIONI!AJ592</f>
        <v/>
      </c>
    </row>
    <row r="87" ht="56" customHeight="1" s="46">
      <c r="B87" s="4">
        <f>LAVORAZIONI!G593</f>
        <v/>
      </c>
      <c r="C87" s="3">
        <f>LAVORAZIONI!A593</f>
        <v/>
      </c>
      <c r="D87" s="3">
        <f>LAVORAZIONI!K593</f>
        <v/>
      </c>
      <c r="E87" s="4">
        <f>LAVORAZIONI!H593</f>
        <v/>
      </c>
      <c r="F87" s="4">
        <f>LAVORAZIONI!M593</f>
        <v/>
      </c>
      <c r="G87" s="5">
        <f>LAVORAZIONI!N593</f>
        <v/>
      </c>
      <c r="H87" s="6">
        <f>LAVORAZIONI!O593</f>
        <v/>
      </c>
      <c r="I87" s="13">
        <f>LAVORAZIONI!P593</f>
        <v/>
      </c>
      <c r="J87" s="5">
        <f>IF(LAVORAZIONI!Q593="","",LAVORAZIONI!Q593)</f>
        <v/>
      </c>
      <c r="K87" s="6">
        <f>IF(LAVORAZIONI!R593="","",LAVORAZIONI!R593)</f>
        <v/>
      </c>
      <c r="L87" s="13">
        <f>IF(LAVORAZIONI!S593="","",LAVORAZIONI!S593)</f>
        <v/>
      </c>
      <c r="M87" s="13">
        <f>LAVORAZIONI!T593</f>
        <v/>
      </c>
      <c r="O87" s="7">
        <f>LAVORAZIONI!U593</f>
        <v/>
      </c>
      <c r="P87" s="45">
        <f>LAVORAZIONI!V593</f>
        <v/>
      </c>
      <c r="Q87" s="7">
        <f>LAVORAZIONI!W593</f>
        <v/>
      </c>
      <c r="R87" s="6">
        <f>LAVORAZIONI!X593</f>
        <v/>
      </c>
      <c r="S87" s="7">
        <f>LAVORAZIONI!Y593</f>
        <v/>
      </c>
      <c r="T87" s="6">
        <f>LAVORAZIONI!Z593</f>
        <v/>
      </c>
      <c r="U87" s="7">
        <f>LAVORAZIONI!AA593</f>
        <v/>
      </c>
      <c r="V87" s="6">
        <f>LAVORAZIONI!AB593</f>
        <v/>
      </c>
      <c r="W87" s="7">
        <f>LAVORAZIONI!AC593</f>
        <v/>
      </c>
      <c r="X87" s="6">
        <f>LAVORAZIONI!AD593</f>
        <v/>
      </c>
      <c r="Y87" s="7">
        <f>LAVORAZIONI!AE593</f>
        <v/>
      </c>
      <c r="Z87" s="6">
        <f>LAVORAZIONI!AF593</f>
        <v/>
      </c>
      <c r="AA87" s="7">
        <f>LAVORAZIONI!AG593</f>
        <v/>
      </c>
      <c r="AB87" s="6">
        <f>LAVORAZIONI!AH593</f>
        <v/>
      </c>
      <c r="AC87" s="7">
        <f>LAVORAZIONI!AI593</f>
        <v/>
      </c>
      <c r="AD87" s="13">
        <f>LAVORAZIONI!AJ593</f>
        <v/>
      </c>
    </row>
    <row r="88" ht="56" customHeight="1" s="46">
      <c r="B88" s="4">
        <f>LAVORAZIONI!G594</f>
        <v/>
      </c>
      <c r="C88" s="3">
        <f>LAVORAZIONI!A594</f>
        <v/>
      </c>
      <c r="D88" s="3">
        <f>LAVORAZIONI!K594</f>
        <v/>
      </c>
      <c r="E88" s="4">
        <f>LAVORAZIONI!H594</f>
        <v/>
      </c>
      <c r="F88" s="4">
        <f>LAVORAZIONI!M594</f>
        <v/>
      </c>
      <c r="G88" s="5">
        <f>LAVORAZIONI!N594</f>
        <v/>
      </c>
      <c r="H88" s="6">
        <f>LAVORAZIONI!O594</f>
        <v/>
      </c>
      <c r="I88" s="13">
        <f>LAVORAZIONI!P594</f>
        <v/>
      </c>
      <c r="J88" s="5">
        <f>IF(LAVORAZIONI!Q594="","",LAVORAZIONI!Q594)</f>
        <v/>
      </c>
      <c r="K88" s="6">
        <f>IF(LAVORAZIONI!R594="","",LAVORAZIONI!R594)</f>
        <v/>
      </c>
      <c r="L88" s="13">
        <f>IF(LAVORAZIONI!S594="","",LAVORAZIONI!S594)</f>
        <v/>
      </c>
      <c r="M88" s="13">
        <f>LAVORAZIONI!T594</f>
        <v/>
      </c>
      <c r="O88" s="7">
        <f>LAVORAZIONI!U594</f>
        <v/>
      </c>
      <c r="P88" s="45">
        <f>LAVORAZIONI!V594</f>
        <v/>
      </c>
      <c r="Q88" s="7">
        <f>LAVORAZIONI!W594</f>
        <v/>
      </c>
      <c r="R88" s="6">
        <f>LAVORAZIONI!X594</f>
        <v/>
      </c>
      <c r="S88" s="7">
        <f>LAVORAZIONI!Y594</f>
        <v/>
      </c>
      <c r="T88" s="6">
        <f>LAVORAZIONI!Z594</f>
        <v/>
      </c>
      <c r="U88" s="7">
        <f>LAVORAZIONI!AA594</f>
        <v/>
      </c>
      <c r="V88" s="6">
        <f>LAVORAZIONI!AB594</f>
        <v/>
      </c>
      <c r="W88" s="7">
        <f>LAVORAZIONI!AC594</f>
        <v/>
      </c>
      <c r="X88" s="6">
        <f>LAVORAZIONI!AD594</f>
        <v/>
      </c>
      <c r="Y88" s="7">
        <f>LAVORAZIONI!AE594</f>
        <v/>
      </c>
      <c r="Z88" s="6">
        <f>LAVORAZIONI!AF594</f>
        <v/>
      </c>
      <c r="AA88" s="7">
        <f>LAVORAZIONI!AG594</f>
        <v/>
      </c>
      <c r="AB88" s="6">
        <f>LAVORAZIONI!AH594</f>
        <v/>
      </c>
      <c r="AC88" s="7">
        <f>LAVORAZIONI!AI594</f>
        <v/>
      </c>
      <c r="AD88" s="13">
        <f>LAVORAZIONI!AJ594</f>
        <v/>
      </c>
    </row>
    <row r="89" ht="56" customHeight="1" s="46">
      <c r="B89" s="4">
        <f>LAVORAZIONI!G595</f>
        <v/>
      </c>
      <c r="C89" s="3">
        <f>LAVORAZIONI!A595</f>
        <v/>
      </c>
      <c r="D89" s="3">
        <f>LAVORAZIONI!K595</f>
        <v/>
      </c>
      <c r="E89" s="4">
        <f>LAVORAZIONI!H595</f>
        <v/>
      </c>
      <c r="F89" s="4">
        <f>LAVORAZIONI!M595</f>
        <v/>
      </c>
      <c r="G89" s="5">
        <f>LAVORAZIONI!N595</f>
        <v/>
      </c>
      <c r="H89" s="6">
        <f>LAVORAZIONI!O595</f>
        <v/>
      </c>
      <c r="I89" s="13">
        <f>LAVORAZIONI!P595</f>
        <v/>
      </c>
      <c r="J89" s="5">
        <f>IF(LAVORAZIONI!Q595="","",LAVORAZIONI!Q595)</f>
        <v/>
      </c>
      <c r="K89" s="6">
        <f>IF(LAVORAZIONI!R595="","",LAVORAZIONI!R595)</f>
        <v/>
      </c>
      <c r="L89" s="13">
        <f>IF(LAVORAZIONI!S595="","",LAVORAZIONI!S595)</f>
        <v/>
      </c>
      <c r="M89" s="13">
        <f>LAVORAZIONI!T595</f>
        <v/>
      </c>
      <c r="O89" s="7">
        <f>LAVORAZIONI!U595</f>
        <v/>
      </c>
      <c r="P89" s="45">
        <f>LAVORAZIONI!V595</f>
        <v/>
      </c>
      <c r="Q89" s="7">
        <f>LAVORAZIONI!W595</f>
        <v/>
      </c>
      <c r="R89" s="6">
        <f>LAVORAZIONI!X595</f>
        <v/>
      </c>
      <c r="S89" s="7">
        <f>LAVORAZIONI!Y595</f>
        <v/>
      </c>
      <c r="T89" s="6">
        <f>LAVORAZIONI!Z595</f>
        <v/>
      </c>
      <c r="U89" s="7">
        <f>LAVORAZIONI!AA595</f>
        <v/>
      </c>
      <c r="V89" s="6">
        <f>LAVORAZIONI!AB595</f>
        <v/>
      </c>
      <c r="W89" s="7">
        <f>LAVORAZIONI!AC595</f>
        <v/>
      </c>
      <c r="X89" s="6">
        <f>LAVORAZIONI!AD595</f>
        <v/>
      </c>
      <c r="Y89" s="7">
        <f>LAVORAZIONI!AE595</f>
        <v/>
      </c>
      <c r="Z89" s="6">
        <f>LAVORAZIONI!AF595</f>
        <v/>
      </c>
      <c r="AA89" s="7">
        <f>LAVORAZIONI!AG595</f>
        <v/>
      </c>
      <c r="AB89" s="6">
        <f>LAVORAZIONI!AH595</f>
        <v/>
      </c>
      <c r="AC89" s="7">
        <f>LAVORAZIONI!AI595</f>
        <v/>
      </c>
      <c r="AD89" s="13">
        <f>LAVORAZIONI!AJ595</f>
        <v/>
      </c>
    </row>
    <row r="90" ht="56" customHeight="1" s="46">
      <c r="B90" s="4">
        <f>LAVORAZIONI!G596</f>
        <v/>
      </c>
      <c r="C90" s="3">
        <f>LAVORAZIONI!A596</f>
        <v/>
      </c>
      <c r="D90" s="3">
        <f>LAVORAZIONI!K596</f>
        <v/>
      </c>
      <c r="E90" s="4">
        <f>LAVORAZIONI!H596</f>
        <v/>
      </c>
      <c r="F90" s="4">
        <f>LAVORAZIONI!M596</f>
        <v/>
      </c>
      <c r="G90" s="5">
        <f>LAVORAZIONI!N596</f>
        <v/>
      </c>
      <c r="H90" s="6">
        <f>LAVORAZIONI!O596</f>
        <v/>
      </c>
      <c r="I90" s="13">
        <f>LAVORAZIONI!P596</f>
        <v/>
      </c>
      <c r="J90" s="5">
        <f>IF(LAVORAZIONI!Q596="","",LAVORAZIONI!Q596)</f>
        <v/>
      </c>
      <c r="K90" s="6">
        <f>IF(LAVORAZIONI!R596="","",LAVORAZIONI!R596)</f>
        <v/>
      </c>
      <c r="L90" s="13">
        <f>IF(LAVORAZIONI!S596="","",LAVORAZIONI!S596)</f>
        <v/>
      </c>
      <c r="M90" s="13">
        <f>LAVORAZIONI!T596</f>
        <v/>
      </c>
      <c r="O90" s="7">
        <f>LAVORAZIONI!U596</f>
        <v/>
      </c>
      <c r="P90" s="45">
        <f>LAVORAZIONI!V596</f>
        <v/>
      </c>
      <c r="Q90" s="7">
        <f>LAVORAZIONI!W596</f>
        <v/>
      </c>
      <c r="R90" s="6">
        <f>LAVORAZIONI!X596</f>
        <v/>
      </c>
      <c r="S90" s="7">
        <f>LAVORAZIONI!Y596</f>
        <v/>
      </c>
      <c r="T90" s="6">
        <f>LAVORAZIONI!Z596</f>
        <v/>
      </c>
      <c r="U90" s="7">
        <f>LAVORAZIONI!AA596</f>
        <v/>
      </c>
      <c r="V90" s="6">
        <f>LAVORAZIONI!AB596</f>
        <v/>
      </c>
      <c r="W90" s="7">
        <f>LAVORAZIONI!AC596</f>
        <v/>
      </c>
      <c r="X90" s="6">
        <f>LAVORAZIONI!AD596</f>
        <v/>
      </c>
      <c r="Y90" s="7">
        <f>LAVORAZIONI!AE596</f>
        <v/>
      </c>
      <c r="Z90" s="6">
        <f>LAVORAZIONI!AF596</f>
        <v/>
      </c>
      <c r="AA90" s="7">
        <f>LAVORAZIONI!AG596</f>
        <v/>
      </c>
      <c r="AB90" s="6">
        <f>LAVORAZIONI!AH596</f>
        <v/>
      </c>
      <c r="AC90" s="7">
        <f>LAVORAZIONI!AI596</f>
        <v/>
      </c>
      <c r="AD90" s="13">
        <f>LAVORAZIONI!AJ596</f>
        <v/>
      </c>
    </row>
    <row r="91" ht="56" customHeight="1" s="46">
      <c r="B91" s="4">
        <f>LAVORAZIONI!G597</f>
        <v/>
      </c>
      <c r="C91" s="3">
        <f>LAVORAZIONI!A597</f>
        <v/>
      </c>
      <c r="D91" s="3">
        <f>LAVORAZIONI!K597</f>
        <v/>
      </c>
      <c r="E91" s="4">
        <f>LAVORAZIONI!H597</f>
        <v/>
      </c>
      <c r="F91" s="4">
        <f>LAVORAZIONI!M597</f>
        <v/>
      </c>
      <c r="G91" s="5">
        <f>LAVORAZIONI!N597</f>
        <v/>
      </c>
      <c r="H91" s="6">
        <f>LAVORAZIONI!O597</f>
        <v/>
      </c>
      <c r="I91" s="13">
        <f>LAVORAZIONI!P597</f>
        <v/>
      </c>
      <c r="J91" s="5">
        <f>IF(LAVORAZIONI!Q597="","",LAVORAZIONI!Q597)</f>
        <v/>
      </c>
      <c r="K91" s="6">
        <f>IF(LAVORAZIONI!R597="","",LAVORAZIONI!R597)</f>
        <v/>
      </c>
      <c r="L91" s="13">
        <f>IF(LAVORAZIONI!S597="","",LAVORAZIONI!S597)</f>
        <v/>
      </c>
      <c r="M91" s="13">
        <f>LAVORAZIONI!T597</f>
        <v/>
      </c>
      <c r="O91" s="7">
        <f>LAVORAZIONI!U597</f>
        <v/>
      </c>
      <c r="P91" s="45">
        <f>LAVORAZIONI!V597</f>
        <v/>
      </c>
      <c r="Q91" s="7">
        <f>LAVORAZIONI!W597</f>
        <v/>
      </c>
      <c r="R91" s="6">
        <f>LAVORAZIONI!X597</f>
        <v/>
      </c>
      <c r="S91" s="7">
        <f>LAVORAZIONI!Y597</f>
        <v/>
      </c>
      <c r="T91" s="6">
        <f>LAVORAZIONI!Z597</f>
        <v/>
      </c>
      <c r="U91" s="7">
        <f>LAVORAZIONI!AA597</f>
        <v/>
      </c>
      <c r="V91" s="6">
        <f>LAVORAZIONI!AB597</f>
        <v/>
      </c>
      <c r="W91" s="7">
        <f>LAVORAZIONI!AC597</f>
        <v/>
      </c>
      <c r="X91" s="6">
        <f>LAVORAZIONI!AD597</f>
        <v/>
      </c>
      <c r="Y91" s="7">
        <f>LAVORAZIONI!AE597</f>
        <v/>
      </c>
      <c r="Z91" s="6">
        <f>LAVORAZIONI!AF597</f>
        <v/>
      </c>
      <c r="AA91" s="7">
        <f>LAVORAZIONI!AG597</f>
        <v/>
      </c>
      <c r="AB91" s="6">
        <f>LAVORAZIONI!AH597</f>
        <v/>
      </c>
      <c r="AC91" s="7">
        <f>LAVORAZIONI!AI597</f>
        <v/>
      </c>
      <c r="AD91" s="13">
        <f>LAVORAZIONI!AJ597</f>
        <v/>
      </c>
    </row>
    <row r="92" ht="56" customHeight="1" s="46">
      <c r="B92" s="4">
        <f>LAVORAZIONI!G598</f>
        <v/>
      </c>
      <c r="C92" s="3">
        <f>LAVORAZIONI!A598</f>
        <v/>
      </c>
      <c r="D92" s="3">
        <f>LAVORAZIONI!K598</f>
        <v/>
      </c>
      <c r="E92" s="4">
        <f>LAVORAZIONI!H598</f>
        <v/>
      </c>
      <c r="F92" s="4">
        <f>LAVORAZIONI!M598</f>
        <v/>
      </c>
      <c r="G92" s="5">
        <f>LAVORAZIONI!N598</f>
        <v/>
      </c>
      <c r="H92" s="6">
        <f>LAVORAZIONI!O598</f>
        <v/>
      </c>
      <c r="I92" s="13">
        <f>LAVORAZIONI!P598</f>
        <v/>
      </c>
      <c r="J92" s="5">
        <f>IF(LAVORAZIONI!Q598="","",LAVORAZIONI!Q598)</f>
        <v/>
      </c>
      <c r="K92" s="6">
        <f>IF(LAVORAZIONI!R598="","",LAVORAZIONI!R598)</f>
        <v/>
      </c>
      <c r="L92" s="13">
        <f>IF(LAVORAZIONI!S598="","",LAVORAZIONI!S598)</f>
        <v/>
      </c>
      <c r="M92" s="13">
        <f>LAVORAZIONI!T598</f>
        <v/>
      </c>
      <c r="O92" s="7">
        <f>LAVORAZIONI!U598</f>
        <v/>
      </c>
      <c r="P92" s="45">
        <f>LAVORAZIONI!V598</f>
        <v/>
      </c>
      <c r="Q92" s="7">
        <f>LAVORAZIONI!W598</f>
        <v/>
      </c>
      <c r="R92" s="6">
        <f>LAVORAZIONI!X598</f>
        <v/>
      </c>
      <c r="S92" s="7">
        <f>LAVORAZIONI!Y598</f>
        <v/>
      </c>
      <c r="T92" s="6">
        <f>LAVORAZIONI!Z598</f>
        <v/>
      </c>
      <c r="U92" s="7">
        <f>LAVORAZIONI!AA598</f>
        <v/>
      </c>
      <c r="V92" s="6">
        <f>LAVORAZIONI!AB598</f>
        <v/>
      </c>
      <c r="W92" s="7">
        <f>LAVORAZIONI!AC598</f>
        <v/>
      </c>
      <c r="X92" s="6">
        <f>LAVORAZIONI!AD598</f>
        <v/>
      </c>
      <c r="Y92" s="7">
        <f>LAVORAZIONI!AE598</f>
        <v/>
      </c>
      <c r="Z92" s="6">
        <f>LAVORAZIONI!AF598</f>
        <v/>
      </c>
      <c r="AA92" s="7">
        <f>LAVORAZIONI!AG598</f>
        <v/>
      </c>
      <c r="AB92" s="6">
        <f>LAVORAZIONI!AH598</f>
        <v/>
      </c>
      <c r="AC92" s="7">
        <f>LAVORAZIONI!AI598</f>
        <v/>
      </c>
      <c r="AD92" s="13">
        <f>LAVORAZIONI!AJ598</f>
        <v/>
      </c>
    </row>
    <row r="93" ht="56" customHeight="1" s="46">
      <c r="B93" s="4">
        <f>LAVORAZIONI!G599</f>
        <v/>
      </c>
      <c r="C93" s="3">
        <f>LAVORAZIONI!A599</f>
        <v/>
      </c>
      <c r="D93" s="3">
        <f>LAVORAZIONI!K599</f>
        <v/>
      </c>
      <c r="E93" s="4">
        <f>LAVORAZIONI!H599</f>
        <v/>
      </c>
      <c r="F93" s="4">
        <f>LAVORAZIONI!M599</f>
        <v/>
      </c>
      <c r="G93" s="5">
        <f>LAVORAZIONI!N599</f>
        <v/>
      </c>
      <c r="H93" s="6">
        <f>LAVORAZIONI!O599</f>
        <v/>
      </c>
      <c r="I93" s="13">
        <f>LAVORAZIONI!P599</f>
        <v/>
      </c>
      <c r="J93" s="5">
        <f>IF(LAVORAZIONI!Q599="","",LAVORAZIONI!Q599)</f>
        <v/>
      </c>
      <c r="K93" s="6">
        <f>IF(LAVORAZIONI!R599="","",LAVORAZIONI!R599)</f>
        <v/>
      </c>
      <c r="L93" s="13">
        <f>IF(LAVORAZIONI!S599="","",LAVORAZIONI!S599)</f>
        <v/>
      </c>
      <c r="M93" s="13">
        <f>LAVORAZIONI!T599</f>
        <v/>
      </c>
      <c r="O93" s="7">
        <f>LAVORAZIONI!U599</f>
        <v/>
      </c>
      <c r="P93" s="45">
        <f>LAVORAZIONI!V599</f>
        <v/>
      </c>
      <c r="Q93" s="7">
        <f>LAVORAZIONI!W599</f>
        <v/>
      </c>
      <c r="R93" s="6">
        <f>LAVORAZIONI!X599</f>
        <v/>
      </c>
      <c r="S93" s="7">
        <f>LAVORAZIONI!Y599</f>
        <v/>
      </c>
      <c r="T93" s="6">
        <f>LAVORAZIONI!Z599</f>
        <v/>
      </c>
      <c r="U93" s="7">
        <f>LAVORAZIONI!AA599</f>
        <v/>
      </c>
      <c r="V93" s="6">
        <f>LAVORAZIONI!AB599</f>
        <v/>
      </c>
      <c r="W93" s="7">
        <f>LAVORAZIONI!AC599</f>
        <v/>
      </c>
      <c r="X93" s="6">
        <f>LAVORAZIONI!AD599</f>
        <v/>
      </c>
      <c r="Y93" s="7">
        <f>LAVORAZIONI!AE599</f>
        <v/>
      </c>
      <c r="Z93" s="6">
        <f>LAVORAZIONI!AF599</f>
        <v/>
      </c>
      <c r="AA93" s="7">
        <f>LAVORAZIONI!AG599</f>
        <v/>
      </c>
      <c r="AB93" s="6">
        <f>LAVORAZIONI!AH599</f>
        <v/>
      </c>
      <c r="AC93" s="7">
        <f>LAVORAZIONI!AI599</f>
        <v/>
      </c>
      <c r="AD93" s="13">
        <f>LAVORAZIONI!AJ599</f>
        <v/>
      </c>
    </row>
    <row r="94" ht="56" customHeight="1" s="46">
      <c r="B94" s="4">
        <f>LAVORAZIONI!G600</f>
        <v/>
      </c>
      <c r="C94" s="3">
        <f>LAVORAZIONI!A600</f>
        <v/>
      </c>
      <c r="D94" s="3">
        <f>LAVORAZIONI!K600</f>
        <v/>
      </c>
      <c r="E94" s="4">
        <f>LAVORAZIONI!H600</f>
        <v/>
      </c>
      <c r="F94" s="4">
        <f>LAVORAZIONI!M600</f>
        <v/>
      </c>
      <c r="G94" s="5">
        <f>LAVORAZIONI!N600</f>
        <v/>
      </c>
      <c r="H94" s="6">
        <f>LAVORAZIONI!O600</f>
        <v/>
      </c>
      <c r="I94" s="13">
        <f>LAVORAZIONI!P600</f>
        <v/>
      </c>
      <c r="J94" s="5">
        <f>IF(LAVORAZIONI!Q600="","",LAVORAZIONI!Q600)</f>
        <v/>
      </c>
      <c r="K94" s="6">
        <f>IF(LAVORAZIONI!R600="","",LAVORAZIONI!R600)</f>
        <v/>
      </c>
      <c r="L94" s="13">
        <f>IF(LAVORAZIONI!S600="","",LAVORAZIONI!S600)</f>
        <v/>
      </c>
      <c r="M94" s="13">
        <f>LAVORAZIONI!T600</f>
        <v/>
      </c>
      <c r="O94" s="7">
        <f>LAVORAZIONI!U600</f>
        <v/>
      </c>
      <c r="P94" s="45">
        <f>LAVORAZIONI!V600</f>
        <v/>
      </c>
      <c r="Q94" s="7">
        <f>LAVORAZIONI!W600</f>
        <v/>
      </c>
      <c r="R94" s="6">
        <f>LAVORAZIONI!X600</f>
        <v/>
      </c>
      <c r="S94" s="7">
        <f>LAVORAZIONI!Y600</f>
        <v/>
      </c>
      <c r="T94" s="6">
        <f>LAVORAZIONI!Z600</f>
        <v/>
      </c>
      <c r="U94" s="7">
        <f>LAVORAZIONI!AA600</f>
        <v/>
      </c>
      <c r="V94" s="6">
        <f>LAVORAZIONI!AB600</f>
        <v/>
      </c>
      <c r="W94" s="7">
        <f>LAVORAZIONI!AC600</f>
        <v/>
      </c>
      <c r="X94" s="6">
        <f>LAVORAZIONI!AD600</f>
        <v/>
      </c>
      <c r="Y94" s="7">
        <f>LAVORAZIONI!AE600</f>
        <v/>
      </c>
      <c r="Z94" s="6">
        <f>LAVORAZIONI!AF600</f>
        <v/>
      </c>
      <c r="AA94" s="7">
        <f>LAVORAZIONI!AG600</f>
        <v/>
      </c>
      <c r="AB94" s="6">
        <f>LAVORAZIONI!AH600</f>
        <v/>
      </c>
      <c r="AC94" s="7">
        <f>LAVORAZIONI!AI600</f>
        <v/>
      </c>
      <c r="AD94" s="13">
        <f>LAVORAZIONI!AJ600</f>
        <v/>
      </c>
    </row>
    <row r="95" ht="56" customHeight="1" s="46">
      <c r="B95" s="4">
        <f>LAVORAZIONI!G601</f>
        <v/>
      </c>
      <c r="C95" s="3">
        <f>LAVORAZIONI!A601</f>
        <v/>
      </c>
      <c r="D95" s="3">
        <f>LAVORAZIONI!K601</f>
        <v/>
      </c>
      <c r="E95" s="4">
        <f>LAVORAZIONI!H601</f>
        <v/>
      </c>
      <c r="F95" s="4">
        <f>LAVORAZIONI!M601</f>
        <v/>
      </c>
      <c r="G95" s="5">
        <f>LAVORAZIONI!N601</f>
        <v/>
      </c>
      <c r="H95" s="6">
        <f>LAVORAZIONI!O601</f>
        <v/>
      </c>
      <c r="I95" s="13">
        <f>LAVORAZIONI!P601</f>
        <v/>
      </c>
      <c r="J95" s="5">
        <f>IF(LAVORAZIONI!Q601="","",LAVORAZIONI!Q601)</f>
        <v/>
      </c>
      <c r="K95" s="6">
        <f>IF(LAVORAZIONI!R601="","",LAVORAZIONI!R601)</f>
        <v/>
      </c>
      <c r="L95" s="13">
        <f>IF(LAVORAZIONI!S601="","",LAVORAZIONI!S601)</f>
        <v/>
      </c>
      <c r="M95" s="13">
        <f>LAVORAZIONI!T601</f>
        <v/>
      </c>
      <c r="O95" s="7">
        <f>LAVORAZIONI!U601</f>
        <v/>
      </c>
      <c r="P95" s="45">
        <f>LAVORAZIONI!V601</f>
        <v/>
      </c>
      <c r="Q95" s="7">
        <f>LAVORAZIONI!W601</f>
        <v/>
      </c>
      <c r="R95" s="6">
        <f>LAVORAZIONI!X601</f>
        <v/>
      </c>
      <c r="S95" s="7">
        <f>LAVORAZIONI!Y601</f>
        <v/>
      </c>
      <c r="T95" s="6">
        <f>LAVORAZIONI!Z601</f>
        <v/>
      </c>
      <c r="U95" s="7">
        <f>LAVORAZIONI!AA601</f>
        <v/>
      </c>
      <c r="V95" s="6">
        <f>LAVORAZIONI!AB601</f>
        <v/>
      </c>
      <c r="W95" s="7">
        <f>LAVORAZIONI!AC601</f>
        <v/>
      </c>
      <c r="X95" s="6">
        <f>LAVORAZIONI!AD601</f>
        <v/>
      </c>
      <c r="Y95" s="7">
        <f>LAVORAZIONI!AE601</f>
        <v/>
      </c>
      <c r="Z95" s="6">
        <f>LAVORAZIONI!AF601</f>
        <v/>
      </c>
      <c r="AA95" s="7">
        <f>LAVORAZIONI!AG601</f>
        <v/>
      </c>
      <c r="AB95" s="6">
        <f>LAVORAZIONI!AH601</f>
        <v/>
      </c>
      <c r="AC95" s="7">
        <f>LAVORAZIONI!AI601</f>
        <v/>
      </c>
      <c r="AD95" s="13">
        <f>LAVORAZIONI!AJ601</f>
        <v/>
      </c>
    </row>
    <row r="96" ht="56" customHeight="1" s="46">
      <c r="B96" s="4">
        <f>LAVORAZIONI!G602</f>
        <v/>
      </c>
      <c r="C96" s="3">
        <f>LAVORAZIONI!A602</f>
        <v/>
      </c>
      <c r="D96" s="3">
        <f>LAVORAZIONI!K602</f>
        <v/>
      </c>
      <c r="E96" s="4">
        <f>LAVORAZIONI!H602</f>
        <v/>
      </c>
      <c r="F96" s="4">
        <f>LAVORAZIONI!M602</f>
        <v/>
      </c>
      <c r="G96" s="5">
        <f>LAVORAZIONI!N602</f>
        <v/>
      </c>
      <c r="H96" s="6">
        <f>LAVORAZIONI!O602</f>
        <v/>
      </c>
      <c r="I96" s="13">
        <f>LAVORAZIONI!P602</f>
        <v/>
      </c>
      <c r="J96" s="5">
        <f>IF(LAVORAZIONI!Q602="","",LAVORAZIONI!Q602)</f>
        <v/>
      </c>
      <c r="K96" s="6">
        <f>IF(LAVORAZIONI!R602="","",LAVORAZIONI!R602)</f>
        <v/>
      </c>
      <c r="L96" s="13">
        <f>IF(LAVORAZIONI!S602="","",LAVORAZIONI!S602)</f>
        <v/>
      </c>
      <c r="M96" s="13">
        <f>LAVORAZIONI!T602</f>
        <v/>
      </c>
      <c r="O96" s="7">
        <f>LAVORAZIONI!U602</f>
        <v/>
      </c>
      <c r="P96" s="45">
        <f>LAVORAZIONI!V602</f>
        <v/>
      </c>
      <c r="Q96" s="7">
        <f>LAVORAZIONI!W602</f>
        <v/>
      </c>
      <c r="R96" s="6">
        <f>LAVORAZIONI!X602</f>
        <v/>
      </c>
      <c r="S96" s="7">
        <f>LAVORAZIONI!Y602</f>
        <v/>
      </c>
      <c r="T96" s="6">
        <f>LAVORAZIONI!Z602</f>
        <v/>
      </c>
      <c r="U96" s="7">
        <f>LAVORAZIONI!AA602</f>
        <v/>
      </c>
      <c r="V96" s="6">
        <f>LAVORAZIONI!AB602</f>
        <v/>
      </c>
      <c r="W96" s="7">
        <f>LAVORAZIONI!AC602</f>
        <v/>
      </c>
      <c r="X96" s="6">
        <f>LAVORAZIONI!AD602</f>
        <v/>
      </c>
      <c r="Y96" s="7">
        <f>LAVORAZIONI!AE602</f>
        <v/>
      </c>
      <c r="Z96" s="6">
        <f>LAVORAZIONI!AF602</f>
        <v/>
      </c>
      <c r="AA96" s="7">
        <f>LAVORAZIONI!AG602</f>
        <v/>
      </c>
      <c r="AB96" s="6">
        <f>LAVORAZIONI!AH602</f>
        <v/>
      </c>
      <c r="AC96" s="7">
        <f>LAVORAZIONI!AI602</f>
        <v/>
      </c>
      <c r="AD96" s="13">
        <f>LAVORAZIONI!AJ602</f>
        <v/>
      </c>
    </row>
    <row r="97" ht="56" customHeight="1" s="46">
      <c r="B97" s="4">
        <f>LAVORAZIONI!G603</f>
        <v/>
      </c>
      <c r="C97" s="3">
        <f>LAVORAZIONI!A603</f>
        <v/>
      </c>
      <c r="D97" s="3">
        <f>LAVORAZIONI!K603</f>
        <v/>
      </c>
      <c r="E97" s="4">
        <f>LAVORAZIONI!H603</f>
        <v/>
      </c>
      <c r="F97" s="4">
        <f>LAVORAZIONI!M603</f>
        <v/>
      </c>
      <c r="G97" s="5">
        <f>LAVORAZIONI!N603</f>
        <v/>
      </c>
      <c r="H97" s="6">
        <f>LAVORAZIONI!O603</f>
        <v/>
      </c>
      <c r="I97" s="13">
        <f>LAVORAZIONI!P603</f>
        <v/>
      </c>
      <c r="J97" s="5">
        <f>IF(LAVORAZIONI!Q603="","",LAVORAZIONI!Q603)</f>
        <v/>
      </c>
      <c r="K97" s="6">
        <f>IF(LAVORAZIONI!R603="","",LAVORAZIONI!R603)</f>
        <v/>
      </c>
      <c r="L97" s="13">
        <f>IF(LAVORAZIONI!S603="","",LAVORAZIONI!S603)</f>
        <v/>
      </c>
      <c r="M97" s="13">
        <f>LAVORAZIONI!T603</f>
        <v/>
      </c>
      <c r="O97" s="7">
        <f>LAVORAZIONI!U603</f>
        <v/>
      </c>
      <c r="P97" s="45">
        <f>LAVORAZIONI!V603</f>
        <v/>
      </c>
      <c r="Q97" s="7">
        <f>LAVORAZIONI!W603</f>
        <v/>
      </c>
      <c r="R97" s="6">
        <f>LAVORAZIONI!X603</f>
        <v/>
      </c>
      <c r="S97" s="7">
        <f>LAVORAZIONI!Y603</f>
        <v/>
      </c>
      <c r="T97" s="6">
        <f>LAVORAZIONI!Z603</f>
        <v/>
      </c>
      <c r="U97" s="7">
        <f>LAVORAZIONI!AA603</f>
        <v/>
      </c>
      <c r="V97" s="6">
        <f>LAVORAZIONI!AB603</f>
        <v/>
      </c>
      <c r="W97" s="7">
        <f>LAVORAZIONI!AC603</f>
        <v/>
      </c>
      <c r="X97" s="6">
        <f>LAVORAZIONI!AD603</f>
        <v/>
      </c>
      <c r="Y97" s="7">
        <f>LAVORAZIONI!AE603</f>
        <v/>
      </c>
      <c r="Z97" s="6">
        <f>LAVORAZIONI!AF603</f>
        <v/>
      </c>
      <c r="AA97" s="7">
        <f>LAVORAZIONI!AG603</f>
        <v/>
      </c>
      <c r="AB97" s="6">
        <f>LAVORAZIONI!AH603</f>
        <v/>
      </c>
      <c r="AC97" s="7">
        <f>LAVORAZIONI!AI603</f>
        <v/>
      </c>
      <c r="AD97" s="13">
        <f>LAVORAZIONI!AJ603</f>
        <v/>
      </c>
    </row>
    <row r="98" ht="56" customHeight="1" s="46">
      <c r="B98" s="4">
        <f>LAVORAZIONI!G604</f>
        <v/>
      </c>
      <c r="C98" s="3">
        <f>LAVORAZIONI!A604</f>
        <v/>
      </c>
      <c r="D98" s="3">
        <f>LAVORAZIONI!K604</f>
        <v/>
      </c>
      <c r="E98" s="4">
        <f>LAVORAZIONI!H604</f>
        <v/>
      </c>
      <c r="F98" s="4">
        <f>LAVORAZIONI!M604</f>
        <v/>
      </c>
      <c r="G98" s="5">
        <f>LAVORAZIONI!N604</f>
        <v/>
      </c>
      <c r="H98" s="6">
        <f>LAVORAZIONI!O604</f>
        <v/>
      </c>
      <c r="I98" s="13">
        <f>LAVORAZIONI!P604</f>
        <v/>
      </c>
      <c r="J98" s="5">
        <f>IF(LAVORAZIONI!Q604="","",LAVORAZIONI!Q604)</f>
        <v/>
      </c>
      <c r="K98" s="6">
        <f>IF(LAVORAZIONI!R604="","",LAVORAZIONI!R604)</f>
        <v/>
      </c>
      <c r="L98" s="13">
        <f>IF(LAVORAZIONI!S604="","",LAVORAZIONI!S604)</f>
        <v/>
      </c>
      <c r="M98" s="13">
        <f>LAVORAZIONI!T604</f>
        <v/>
      </c>
      <c r="O98" s="7">
        <f>LAVORAZIONI!U604</f>
        <v/>
      </c>
      <c r="P98" s="45">
        <f>LAVORAZIONI!V604</f>
        <v/>
      </c>
      <c r="Q98" s="7">
        <f>LAVORAZIONI!W604</f>
        <v/>
      </c>
      <c r="R98" s="6">
        <f>LAVORAZIONI!X604</f>
        <v/>
      </c>
      <c r="S98" s="7">
        <f>LAVORAZIONI!Y604</f>
        <v/>
      </c>
      <c r="T98" s="6">
        <f>LAVORAZIONI!Z604</f>
        <v/>
      </c>
      <c r="U98" s="7">
        <f>LAVORAZIONI!AA604</f>
        <v/>
      </c>
      <c r="V98" s="6">
        <f>LAVORAZIONI!AB604</f>
        <v/>
      </c>
      <c r="W98" s="7">
        <f>LAVORAZIONI!AC604</f>
        <v/>
      </c>
      <c r="X98" s="6">
        <f>LAVORAZIONI!AD604</f>
        <v/>
      </c>
      <c r="Y98" s="7">
        <f>LAVORAZIONI!AE604</f>
        <v/>
      </c>
      <c r="Z98" s="6">
        <f>LAVORAZIONI!AF604</f>
        <v/>
      </c>
      <c r="AA98" s="7">
        <f>LAVORAZIONI!AG604</f>
        <v/>
      </c>
      <c r="AB98" s="6">
        <f>LAVORAZIONI!AH604</f>
        <v/>
      </c>
      <c r="AC98" s="7">
        <f>LAVORAZIONI!AI604</f>
        <v/>
      </c>
      <c r="AD98" s="13">
        <f>LAVORAZIONI!AJ604</f>
        <v/>
      </c>
    </row>
    <row r="99" ht="56" customHeight="1" s="46">
      <c r="B99" s="4">
        <f>LAVORAZIONI!G605</f>
        <v/>
      </c>
      <c r="C99" s="3">
        <f>LAVORAZIONI!A605</f>
        <v/>
      </c>
      <c r="D99" s="3">
        <f>LAVORAZIONI!K605</f>
        <v/>
      </c>
      <c r="E99" s="4">
        <f>LAVORAZIONI!H605</f>
        <v/>
      </c>
      <c r="F99" s="4">
        <f>LAVORAZIONI!M605</f>
        <v/>
      </c>
      <c r="G99" s="5">
        <f>LAVORAZIONI!N605</f>
        <v/>
      </c>
      <c r="H99" s="6">
        <f>LAVORAZIONI!O605</f>
        <v/>
      </c>
      <c r="I99" s="13">
        <f>LAVORAZIONI!P605</f>
        <v/>
      </c>
      <c r="J99" s="5">
        <f>IF(LAVORAZIONI!Q605="","",LAVORAZIONI!Q605)</f>
        <v/>
      </c>
      <c r="K99" s="6">
        <f>IF(LAVORAZIONI!R605="","",LAVORAZIONI!R605)</f>
        <v/>
      </c>
      <c r="L99" s="13">
        <f>IF(LAVORAZIONI!S605="","",LAVORAZIONI!S605)</f>
        <v/>
      </c>
      <c r="M99" s="13">
        <f>LAVORAZIONI!T605</f>
        <v/>
      </c>
      <c r="O99" s="7">
        <f>LAVORAZIONI!U605</f>
        <v/>
      </c>
      <c r="P99" s="45">
        <f>LAVORAZIONI!V605</f>
        <v/>
      </c>
      <c r="Q99" s="7">
        <f>LAVORAZIONI!W605</f>
        <v/>
      </c>
      <c r="R99" s="6">
        <f>LAVORAZIONI!X605</f>
        <v/>
      </c>
      <c r="S99" s="7">
        <f>LAVORAZIONI!Y605</f>
        <v/>
      </c>
      <c r="T99" s="6">
        <f>LAVORAZIONI!Z605</f>
        <v/>
      </c>
      <c r="U99" s="7">
        <f>LAVORAZIONI!AA605</f>
        <v/>
      </c>
      <c r="V99" s="6">
        <f>LAVORAZIONI!AB605</f>
        <v/>
      </c>
      <c r="W99" s="7">
        <f>LAVORAZIONI!AC605</f>
        <v/>
      </c>
      <c r="X99" s="6">
        <f>LAVORAZIONI!AD605</f>
        <v/>
      </c>
      <c r="Y99" s="7">
        <f>LAVORAZIONI!AE605</f>
        <v/>
      </c>
      <c r="Z99" s="6">
        <f>LAVORAZIONI!AF605</f>
        <v/>
      </c>
      <c r="AA99" s="7">
        <f>LAVORAZIONI!AG605</f>
        <v/>
      </c>
      <c r="AB99" s="6">
        <f>LAVORAZIONI!AH605</f>
        <v/>
      </c>
      <c r="AC99" s="7">
        <f>LAVORAZIONI!AI605</f>
        <v/>
      </c>
      <c r="AD99" s="13">
        <f>LAVORAZIONI!AJ605</f>
        <v/>
      </c>
    </row>
    <row r="100" ht="56" customHeight="1" s="46">
      <c r="B100" s="4">
        <f>LAVORAZIONI!G606</f>
        <v/>
      </c>
      <c r="C100" s="3">
        <f>LAVORAZIONI!A606</f>
        <v/>
      </c>
      <c r="D100" s="3">
        <f>LAVORAZIONI!K606</f>
        <v/>
      </c>
      <c r="E100" s="4">
        <f>LAVORAZIONI!H606</f>
        <v/>
      </c>
      <c r="F100" s="4">
        <f>LAVORAZIONI!M606</f>
        <v/>
      </c>
      <c r="G100" s="5">
        <f>LAVORAZIONI!N606</f>
        <v/>
      </c>
      <c r="H100" s="6">
        <f>LAVORAZIONI!O606</f>
        <v/>
      </c>
      <c r="I100" s="13">
        <f>LAVORAZIONI!P606</f>
        <v/>
      </c>
      <c r="J100" s="5">
        <f>IF(LAVORAZIONI!Q606="","",LAVORAZIONI!Q606)</f>
        <v/>
      </c>
      <c r="K100" s="6">
        <f>IF(LAVORAZIONI!R606="","",LAVORAZIONI!R606)</f>
        <v/>
      </c>
      <c r="L100" s="13">
        <f>IF(LAVORAZIONI!S606="","",LAVORAZIONI!S606)</f>
        <v/>
      </c>
      <c r="M100" s="13">
        <f>LAVORAZIONI!T606</f>
        <v/>
      </c>
      <c r="O100" s="7">
        <f>LAVORAZIONI!U606</f>
        <v/>
      </c>
      <c r="P100" s="45">
        <f>LAVORAZIONI!V606</f>
        <v/>
      </c>
      <c r="Q100" s="7">
        <f>LAVORAZIONI!W606</f>
        <v/>
      </c>
      <c r="R100" s="6">
        <f>LAVORAZIONI!X606</f>
        <v/>
      </c>
      <c r="S100" s="7">
        <f>LAVORAZIONI!Y606</f>
        <v/>
      </c>
      <c r="T100" s="6">
        <f>LAVORAZIONI!Z606</f>
        <v/>
      </c>
      <c r="U100" s="7">
        <f>LAVORAZIONI!AA606</f>
        <v/>
      </c>
      <c r="V100" s="6">
        <f>LAVORAZIONI!AB606</f>
        <v/>
      </c>
      <c r="W100" s="7">
        <f>LAVORAZIONI!AC606</f>
        <v/>
      </c>
      <c r="X100" s="6">
        <f>LAVORAZIONI!AD606</f>
        <v/>
      </c>
      <c r="Y100" s="7">
        <f>LAVORAZIONI!AE606</f>
        <v/>
      </c>
      <c r="Z100" s="6">
        <f>LAVORAZIONI!AF606</f>
        <v/>
      </c>
      <c r="AA100" s="7">
        <f>LAVORAZIONI!AG606</f>
        <v/>
      </c>
      <c r="AB100" s="6">
        <f>LAVORAZIONI!AH606</f>
        <v/>
      </c>
      <c r="AC100" s="7">
        <f>LAVORAZIONI!AI606</f>
        <v/>
      </c>
      <c r="AD100" s="13">
        <f>LAVORAZIONI!AJ606</f>
        <v/>
      </c>
    </row>
    <row r="101" ht="56" customHeight="1" s="46">
      <c r="B101" s="4">
        <f>LAVORAZIONI!G607</f>
        <v/>
      </c>
      <c r="C101" s="3">
        <f>LAVORAZIONI!A607</f>
        <v/>
      </c>
      <c r="D101" s="3">
        <f>LAVORAZIONI!K607</f>
        <v/>
      </c>
      <c r="E101" s="4">
        <f>LAVORAZIONI!H607</f>
        <v/>
      </c>
      <c r="F101" s="4">
        <f>LAVORAZIONI!M607</f>
        <v/>
      </c>
      <c r="G101" s="5">
        <f>LAVORAZIONI!N607</f>
        <v/>
      </c>
      <c r="H101" s="6">
        <f>LAVORAZIONI!O607</f>
        <v/>
      </c>
      <c r="I101" s="13">
        <f>LAVORAZIONI!P607</f>
        <v/>
      </c>
      <c r="J101" s="5">
        <f>IF(LAVORAZIONI!Q607="","",LAVORAZIONI!Q607)</f>
        <v/>
      </c>
      <c r="K101" s="6">
        <f>IF(LAVORAZIONI!R607="","",LAVORAZIONI!R607)</f>
        <v/>
      </c>
      <c r="L101" s="13">
        <f>IF(LAVORAZIONI!S607="","",LAVORAZIONI!S607)</f>
        <v/>
      </c>
      <c r="M101" s="13">
        <f>LAVORAZIONI!T607</f>
        <v/>
      </c>
      <c r="O101" s="7">
        <f>LAVORAZIONI!U607</f>
        <v/>
      </c>
      <c r="P101" s="45">
        <f>LAVORAZIONI!V607</f>
        <v/>
      </c>
      <c r="Q101" s="7">
        <f>LAVORAZIONI!W607</f>
        <v/>
      </c>
      <c r="R101" s="6">
        <f>LAVORAZIONI!X607</f>
        <v/>
      </c>
      <c r="S101" s="7">
        <f>LAVORAZIONI!Y607</f>
        <v/>
      </c>
      <c r="T101" s="6">
        <f>LAVORAZIONI!Z607</f>
        <v/>
      </c>
      <c r="U101" s="7">
        <f>LAVORAZIONI!AA607</f>
        <v/>
      </c>
      <c r="V101" s="6">
        <f>LAVORAZIONI!AB607</f>
        <v/>
      </c>
      <c r="W101" s="7">
        <f>LAVORAZIONI!AC607</f>
        <v/>
      </c>
      <c r="X101" s="6">
        <f>LAVORAZIONI!AD607</f>
        <v/>
      </c>
      <c r="Y101" s="7">
        <f>LAVORAZIONI!AE607</f>
        <v/>
      </c>
      <c r="Z101" s="6">
        <f>LAVORAZIONI!AF607</f>
        <v/>
      </c>
      <c r="AA101" s="7">
        <f>LAVORAZIONI!AG607</f>
        <v/>
      </c>
      <c r="AB101" s="6">
        <f>LAVORAZIONI!AH607</f>
        <v/>
      </c>
      <c r="AC101" s="7">
        <f>LAVORAZIONI!AI607</f>
        <v/>
      </c>
      <c r="AD101" s="13">
        <f>LAVORAZIONI!AJ607</f>
        <v/>
      </c>
    </row>
    <row r="102" ht="56" customHeight="1" s="46">
      <c r="B102" s="4">
        <f>LAVORAZIONI!G608</f>
        <v/>
      </c>
      <c r="C102" s="3">
        <f>LAVORAZIONI!A608</f>
        <v/>
      </c>
      <c r="D102" s="3">
        <f>LAVORAZIONI!K608</f>
        <v/>
      </c>
      <c r="E102" s="4">
        <f>LAVORAZIONI!H608</f>
        <v/>
      </c>
      <c r="F102" s="4">
        <f>LAVORAZIONI!M608</f>
        <v/>
      </c>
      <c r="G102" s="5">
        <f>LAVORAZIONI!N608</f>
        <v/>
      </c>
      <c r="H102" s="6">
        <f>LAVORAZIONI!O608</f>
        <v/>
      </c>
      <c r="I102" s="13">
        <f>LAVORAZIONI!P608</f>
        <v/>
      </c>
      <c r="J102" s="5">
        <f>IF(LAVORAZIONI!Q608="","",LAVORAZIONI!Q608)</f>
        <v/>
      </c>
      <c r="K102" s="6">
        <f>IF(LAVORAZIONI!R608="","",LAVORAZIONI!R608)</f>
        <v/>
      </c>
      <c r="L102" s="13">
        <f>IF(LAVORAZIONI!S608="","",LAVORAZIONI!S608)</f>
        <v/>
      </c>
      <c r="M102" s="13">
        <f>LAVORAZIONI!T608</f>
        <v/>
      </c>
      <c r="O102" s="7">
        <f>LAVORAZIONI!U608</f>
        <v/>
      </c>
      <c r="P102" s="45">
        <f>LAVORAZIONI!V608</f>
        <v/>
      </c>
      <c r="Q102" s="7">
        <f>LAVORAZIONI!W608</f>
        <v/>
      </c>
      <c r="R102" s="6">
        <f>LAVORAZIONI!X608</f>
        <v/>
      </c>
      <c r="S102" s="7">
        <f>LAVORAZIONI!Y608</f>
        <v/>
      </c>
      <c r="T102" s="6">
        <f>LAVORAZIONI!Z608</f>
        <v/>
      </c>
      <c r="U102" s="7">
        <f>LAVORAZIONI!AA608</f>
        <v/>
      </c>
      <c r="V102" s="6">
        <f>LAVORAZIONI!AB608</f>
        <v/>
      </c>
      <c r="W102" s="7">
        <f>LAVORAZIONI!AC608</f>
        <v/>
      </c>
      <c r="X102" s="6">
        <f>LAVORAZIONI!AD608</f>
        <v/>
      </c>
      <c r="Y102" s="7">
        <f>LAVORAZIONI!AE608</f>
        <v/>
      </c>
      <c r="Z102" s="6">
        <f>LAVORAZIONI!AF608</f>
        <v/>
      </c>
      <c r="AA102" s="7">
        <f>LAVORAZIONI!AG608</f>
        <v/>
      </c>
      <c r="AB102" s="6">
        <f>LAVORAZIONI!AH608</f>
        <v/>
      </c>
      <c r="AC102" s="7">
        <f>LAVORAZIONI!AI608</f>
        <v/>
      </c>
      <c r="AD102" s="13">
        <f>LAVORAZIONI!AJ608</f>
        <v/>
      </c>
    </row>
    <row r="103" ht="56" customHeight="1" s="46">
      <c r="D103" s="14" t="inlineStr">
        <is>
          <t>TOTALE ELETTRICHE SPECIALI</t>
        </is>
      </c>
      <c r="I103" s="10">
        <f>SUM(I5:I102)</f>
        <v/>
      </c>
      <c r="L103" s="10">
        <f>SUM(L5:L102)</f>
        <v/>
      </c>
      <c r="M103" s="10">
        <f>SUM(M5:M102)</f>
        <v/>
      </c>
      <c r="P103" s="28">
        <f>SUM(P5:P102)</f>
        <v/>
      </c>
      <c r="R103" s="10">
        <f>SUM(R5:R102)</f>
        <v/>
      </c>
      <c r="T103" s="10">
        <f>SUM(T5:T102)</f>
        <v/>
      </c>
      <c r="V103" s="10">
        <f>SUM(V5:V102)</f>
        <v/>
      </c>
      <c r="X103" s="10">
        <f>SUM(X5:X102)</f>
        <v/>
      </c>
      <c r="Z103" s="10">
        <f>SUM(Z5:Z102)</f>
        <v/>
      </c>
      <c r="AB103" s="10">
        <f>SUM(AB5:AB102)</f>
        <v/>
      </c>
      <c r="AD103" s="10">
        <f>SUM(AD5:AD102)</f>
        <v/>
      </c>
    </row>
    <row r="105" ht="56" customHeight="1" s="46">
      <c r="R105" s="29">
        <f>R103+ELETTRICHE!R118</f>
        <v/>
      </c>
    </row>
    <row r="107" ht="56" customHeight="1" s="46">
      <c r="P107" s="29" t="n"/>
    </row>
  </sheetData>
  <mergeCells count="9">
    <mergeCell ref="AC3:AD3"/>
    <mergeCell ref="AA3:AB3"/>
    <mergeCell ref="O3:P3"/>
    <mergeCell ref="Q3:R3"/>
    <mergeCell ref="U3:V3"/>
    <mergeCell ref="Y3:Z3"/>
    <mergeCell ref="B2:L2"/>
    <mergeCell ref="W3:X3"/>
    <mergeCell ref="S3:T3"/>
  </mergeCells>
  <printOptions horizontalCentered="1" verticalCentered="1"/>
  <pageMargins left="0.75" right="0.75" top="1" bottom="1" header="0.511811023622047" footer="0.511811023622047"/>
  <pageSetup orientation="landscape" paperSize="9" scale="49" horizontalDpi="300" verticalDpi="300"/>
  <headerFooter>
    <oddHeader>&amp;C&amp;"Helvetica Oblique,Corsivo"&amp;11 &amp;K000000SAL APRILE 26 OPERE ELETTRICHE SPECIALI A SERVIZIO DELLE APPARECCHIATURE DI LABORATORIO</oddHeader>
    <oddFooter>&amp;L&amp;C&amp;R</oddFooter>
    <evenHeader/>
    <evenFooter/>
    <firstHeader/>
    <firstFooter/>
  </headerFooter>
  <rowBreaks count="1" manualBreakCount="1">
    <brk id="91" min="1" max="17" man="1"/>
  </rowBreaks>
</worksheet>
</file>

<file path=xl/worksheets/sheet8.xml><?xml version="1.0" encoding="utf-8"?>
<worksheet xmlns="http://schemas.openxmlformats.org/spreadsheetml/2006/main">
  <sheetPr>
    <outlinePr summaryBelow="1" summaryRight="1"/>
    <pageSetUpPr/>
  </sheetPr>
  <dimension ref="B2:X5"/>
  <sheetViews>
    <sheetView tabSelected="1" view="pageBreakPreview" topLeftCell="D1" zoomScaleNormal="100" workbookViewId="0">
      <selection activeCell="R46" sqref="R46"/>
    </sheetView>
  </sheetViews>
  <sheetFormatPr baseColWidth="10" defaultColWidth="8.6640625" defaultRowHeight="15"/>
  <cols>
    <col width="7" customWidth="1" style="46" min="2" max="2"/>
    <col width="14" customWidth="1" style="46" min="3" max="3"/>
    <col width="42" customWidth="1" style="46" min="4" max="4"/>
    <col width="8" customWidth="1" style="46" min="5" max="6"/>
    <col width="14" customWidth="1" style="46" min="7" max="7"/>
    <col width="1" customWidth="1" style="46" min="8" max="8"/>
    <col width="6" customWidth="1" style="46" min="9" max="9"/>
    <col width="13" customWidth="1" style="46" min="10" max="10"/>
    <col width="6" customWidth="1" style="46" min="11" max="11"/>
    <col width="13" customWidth="1" style="46" min="12" max="12"/>
    <col width="6" customWidth="1" style="46" min="13" max="13"/>
    <col width="13" customWidth="1" style="46" min="14" max="14"/>
    <col width="6" customWidth="1" style="46" min="15" max="15"/>
    <col width="13" customWidth="1" style="46" min="16" max="16"/>
    <col width="6" customWidth="1" style="46" min="17" max="17"/>
    <col width="13" customWidth="1" style="46" min="18" max="18"/>
    <col width="6" customWidth="1" style="46" min="19" max="19"/>
    <col width="13" customWidth="1" style="46" min="20" max="20"/>
    <col width="6" customWidth="1" style="46" min="21" max="21"/>
    <col width="13" customWidth="1" style="46" min="22" max="22"/>
    <col width="7" customWidth="1" style="46" min="23" max="23"/>
    <col width="14" customWidth="1" style="46" min="24" max="24"/>
  </cols>
  <sheetData>
    <row r="2" ht="27.75" customHeight="1" s="46">
      <c r="B2" s="33" t="inlineStr">
        <is>
          <t>ONERI DELLA SICUREZZA COME DA PSC</t>
        </is>
      </c>
      <c r="C2" s="34" t="n"/>
      <c r="D2" s="34" t="n"/>
      <c r="E2" s="34" t="n"/>
      <c r="F2" s="34" t="n"/>
      <c r="G2" s="23" t="n"/>
      <c r="H2" s="24" t="n"/>
      <c r="I2" s="25" t="n"/>
      <c r="J2" s="30" t="n"/>
      <c r="K2" s="25" t="n"/>
      <c r="L2" s="25" t="n"/>
    </row>
    <row r="3" ht="15" customHeight="1" s="46">
      <c r="B3" s="31" t="inlineStr">
        <is>
          <t>Nr.Ord.</t>
        </is>
      </c>
      <c r="C3" s="31" t="inlineStr">
        <is>
          <t>TARIFFA</t>
        </is>
      </c>
      <c r="D3" s="31" t="inlineStr">
        <is>
          <t>DESIGNAZIONE</t>
        </is>
      </c>
      <c r="G3" s="31" t="inlineStr">
        <is>
          <t>TOTALE</t>
        </is>
      </c>
      <c r="I3" s="35" t="inlineStr">
        <is>
          <t>SAL 01 APRILE</t>
        </is>
      </c>
      <c r="J3" s="32" t="n"/>
      <c r="K3" s="51" t="inlineStr">
        <is>
          <t>SAL 02 MAGGIO</t>
        </is>
      </c>
      <c r="L3" s="32" t="n"/>
      <c r="M3" s="31" t="inlineStr">
        <is>
          <t>SAL 03 GIUGNO</t>
        </is>
      </c>
      <c r="N3" s="32" t="n"/>
      <c r="O3" s="31" t="inlineStr">
        <is>
          <t>SAL 04 LUGLIO</t>
        </is>
      </c>
      <c r="P3" s="32" t="n"/>
      <c r="Q3" s="31" t="inlineStr">
        <is>
          <t>SAL 05 AGOSTO</t>
        </is>
      </c>
      <c r="R3" s="32" t="n"/>
      <c r="S3" s="31" t="inlineStr">
        <is>
          <t>SAL 06 SETTEMBRE</t>
        </is>
      </c>
      <c r="T3" s="32" t="n"/>
      <c r="U3" s="31" t="inlineStr">
        <is>
          <t>SAL 07 OTTOBRE</t>
        </is>
      </c>
      <c r="V3" s="32" t="n"/>
      <c r="W3" s="31" t="inlineStr">
        <is>
          <t>TOTALE COMPL.</t>
        </is>
      </c>
      <c r="X3" s="32" t="n"/>
    </row>
    <row r="4">
      <c r="I4" s="12" t="inlineStr">
        <is>
          <t>%</t>
        </is>
      </c>
      <c r="J4" s="26" t="inlineStr">
        <is>
          <t>TOTALE</t>
        </is>
      </c>
      <c r="K4" s="12" t="inlineStr">
        <is>
          <t>%</t>
        </is>
      </c>
      <c r="L4" s="12" t="inlineStr">
        <is>
          <t>TOTALE</t>
        </is>
      </c>
      <c r="M4" s="12" t="inlineStr">
        <is>
          <t>%</t>
        </is>
      </c>
      <c r="N4" s="12" t="inlineStr">
        <is>
          <t>TOTALE</t>
        </is>
      </c>
      <c r="O4" s="12" t="inlineStr">
        <is>
          <t>%</t>
        </is>
      </c>
      <c r="P4" s="12" t="inlineStr">
        <is>
          <t>TOTALE</t>
        </is>
      </c>
      <c r="Q4" s="12" t="inlineStr">
        <is>
          <t>%</t>
        </is>
      </c>
      <c r="R4" s="12" t="inlineStr">
        <is>
          <t>TOTALE</t>
        </is>
      </c>
      <c r="S4" s="12" t="inlineStr">
        <is>
          <t>%</t>
        </is>
      </c>
      <c r="T4" s="12" t="inlineStr">
        <is>
          <t>TOTALE</t>
        </is>
      </c>
      <c r="U4" s="12" t="inlineStr">
        <is>
          <t>%</t>
        </is>
      </c>
      <c r="V4" s="12" t="inlineStr">
        <is>
          <t>TOTALE</t>
        </is>
      </c>
      <c r="W4" s="12" t="inlineStr">
        <is>
          <t>%</t>
        </is>
      </c>
      <c r="X4" s="12" t="inlineStr">
        <is>
          <t>TOTALE</t>
        </is>
      </c>
    </row>
    <row r="5">
      <c r="B5" s="4" t="inlineStr">
        <is>
          <t>1</t>
        </is>
      </c>
      <c r="C5" s="4" t="inlineStr">
        <is>
          <t>PSC</t>
        </is>
      </c>
      <c r="D5" s="3" t="inlineStr">
        <is>
          <t>ONERI DELLA SICUREZZA COME DA PSC</t>
        </is>
      </c>
      <c r="G5" s="10" t="n">
        <v>51334.15</v>
      </c>
      <c r="I5" s="7" t="n">
        <v>0.15</v>
      </c>
      <c r="J5" s="45">
        <f>$G5*I5</f>
        <v/>
      </c>
      <c r="K5" s="7" t="n">
        <v>0.29</v>
      </c>
      <c r="L5" s="6">
        <f>$G5*K5</f>
        <v/>
      </c>
      <c r="M5" s="7" t="n">
        <v>0</v>
      </c>
      <c r="N5" s="6">
        <f>$G5*M5</f>
        <v/>
      </c>
      <c r="O5" s="7" t="n">
        <v>0</v>
      </c>
      <c r="P5" s="6">
        <f>$G5*O5</f>
        <v/>
      </c>
      <c r="Q5" s="7" t="n">
        <v>0</v>
      </c>
      <c r="R5" s="6">
        <f>$G5*Q5</f>
        <v/>
      </c>
      <c r="S5" s="7" t="n">
        <v>0</v>
      </c>
      <c r="T5" s="6">
        <f>$G5*S5</f>
        <v/>
      </c>
      <c r="U5" s="7" t="n">
        <v>0</v>
      </c>
      <c r="V5" s="6">
        <f>$G5*U5</f>
        <v/>
      </c>
      <c r="W5" s="7">
        <f>I5+K5+M5+O5+Q5+S5+U5</f>
        <v/>
      </c>
      <c r="X5" s="13">
        <f>J5+L5+N5+P5+R5+T5+V5</f>
        <v/>
      </c>
    </row>
  </sheetData>
  <mergeCells count="9">
    <mergeCell ref="O3:P3"/>
    <mergeCell ref="Q3:R3"/>
    <mergeCell ref="B2:F2"/>
    <mergeCell ref="U3:V3"/>
    <mergeCell ref="M3:N3"/>
    <mergeCell ref="W3:X3"/>
    <mergeCell ref="S3:T3"/>
    <mergeCell ref="K3:L3"/>
    <mergeCell ref="I3:J3"/>
  </mergeCells>
  <printOptions horizontalCentered="1" verticalCentered="1"/>
  <pageMargins left="0.75" right="0.75" top="1" bottom="1" header="0.511811023622047" footer="0.511811023622047"/>
  <pageSetup orientation="landscape" paperSize="9" scale="92" horizontalDpi="300" verticalDpi="300"/>
  <headerFooter>
    <oddHeader>&amp;C&amp;K000000SAL APRILE 26 - SICUREZZA</oddHeader>
    <oddFooter>&amp;L&amp;C&amp;R</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J13"/>
  <sheetViews>
    <sheetView zoomScaleNormal="100" workbookViewId="0">
      <selection activeCell="D11" sqref="D11"/>
    </sheetView>
  </sheetViews>
  <sheetFormatPr baseColWidth="10" defaultColWidth="8.6640625" defaultRowHeight="15"/>
  <cols>
    <col width="24" customWidth="1" style="46" min="1" max="1"/>
    <col width="16" customWidth="1" style="46" min="2" max="2"/>
    <col width="13" customWidth="1" style="46" min="3" max="9"/>
    <col width="16" customWidth="1" style="46" min="10" max="10"/>
  </cols>
  <sheetData>
    <row r="1" ht="27.75" customHeight="1" s="46">
      <c r="A1" s="38" t="inlineStr">
        <is>
          <t>TOTALE — RIEPILOGO AVANZAMENTO PER CATEGORIA × SAL</t>
        </is>
      </c>
      <c r="B1" s="34" t="n"/>
      <c r="C1" s="34" t="n"/>
      <c r="D1" s="34" t="n"/>
      <c r="E1" s="34" t="n"/>
      <c r="F1" s="34" t="n"/>
      <c r="G1" s="34" t="n"/>
      <c r="H1" s="34" t="n"/>
      <c r="I1" s="34" t="n"/>
      <c r="J1" s="32" t="n"/>
    </row>
    <row r="3" ht="36" customHeight="1" s="46">
      <c r="A3" s="36" t="inlineStr">
        <is>
          <t>CATEGORIA SAL</t>
        </is>
      </c>
      <c r="B3" s="36" t="inlineStr">
        <is>
          <t>PREVENTIVO</t>
        </is>
      </c>
      <c r="C3" s="36" t="inlineStr">
        <is>
          <t>SAL
01 APRILE</t>
        </is>
      </c>
      <c r="D3" s="36" t="inlineStr">
        <is>
          <t>SAL
02 MAGGIO</t>
        </is>
      </c>
      <c r="E3" s="36" t="inlineStr">
        <is>
          <t>SAL
03 GIUGNO</t>
        </is>
      </c>
      <c r="F3" s="36" t="inlineStr">
        <is>
          <t>SAL
04 LUGLIO</t>
        </is>
      </c>
      <c r="G3" s="36" t="inlineStr">
        <is>
          <t>SAL
05 AGOSTO</t>
        </is>
      </c>
      <c r="H3" s="36" t="inlineStr">
        <is>
          <t>SAL
06 SETTEMBRE</t>
        </is>
      </c>
      <c r="I3" s="36" t="inlineStr">
        <is>
          <t>SAL
07 OTTOBRE</t>
        </is>
      </c>
      <c r="J3" s="36" t="inlineStr">
        <is>
          <t>TOTALE</t>
        </is>
      </c>
    </row>
    <row r="4">
      <c r="A4" s="11" t="inlineStr">
        <is>
          <t>EDILI</t>
        </is>
      </c>
      <c r="B4" s="10">
        <f>SUMIFS(LAVORAZIONI!P:P,LAVORAZIONI!E:E,A4)</f>
        <v/>
      </c>
      <c r="C4" s="9">
        <f>SUMIFS(LAVORAZIONI!V:V,LAVORAZIONI!E:E,A4)</f>
        <v/>
      </c>
      <c r="D4" s="9">
        <f>SUMIFS(LAVORAZIONI!X:X,LAVORAZIONI!E:E,A4)</f>
        <v/>
      </c>
      <c r="E4" s="9">
        <f>SUMIFS(LAVORAZIONI!Z:Z,LAVORAZIONI!E:E,A4)</f>
        <v/>
      </c>
      <c r="F4" s="9">
        <f>SUMIFS(LAVORAZIONI!AB:AB,LAVORAZIONI!E:E,A4)</f>
        <v/>
      </c>
      <c r="G4" s="9">
        <f>SUMIFS(LAVORAZIONI!AD:AD,LAVORAZIONI!E:E,A4)</f>
        <v/>
      </c>
      <c r="H4" s="9">
        <f>SUMIFS(LAVORAZIONI!AF:AF,LAVORAZIONI!E:E,A4)</f>
        <v/>
      </c>
      <c r="I4" s="9">
        <f>SUMIFS(LAVORAZIONI!AH:AH,LAVORAZIONI!E:E,A4)</f>
        <v/>
      </c>
      <c r="J4" s="10">
        <f>SUM(C4:I4)</f>
        <v/>
      </c>
    </row>
    <row r="5">
      <c r="A5" s="11" t="inlineStr">
        <is>
          <t>EDILI SPECIALI</t>
        </is>
      </c>
      <c r="B5" s="10">
        <f>SUMIFS(LAVORAZIONI!P:P,LAVORAZIONI!E:E,A5)</f>
        <v/>
      </c>
      <c r="C5" s="9">
        <f>SUMIFS(LAVORAZIONI!V:V,LAVORAZIONI!E:E,A5)</f>
        <v/>
      </c>
      <c r="D5" s="9">
        <f>SUMIFS(LAVORAZIONI!X:X,LAVORAZIONI!E:E,A5)</f>
        <v/>
      </c>
      <c r="E5" s="9">
        <f>SUMIFS(LAVORAZIONI!Z:Z,LAVORAZIONI!E:E,A5)</f>
        <v/>
      </c>
      <c r="F5" s="9">
        <f>SUMIFS(LAVORAZIONI!AB:AB,LAVORAZIONI!E:E,A5)</f>
        <v/>
      </c>
      <c r="G5" s="9">
        <f>SUMIFS(LAVORAZIONI!AD:AD,LAVORAZIONI!E:E,A5)</f>
        <v/>
      </c>
      <c r="H5" s="9">
        <f>SUMIFS(LAVORAZIONI!AF:AF,LAVORAZIONI!E:E,A5)</f>
        <v/>
      </c>
      <c r="I5" s="9">
        <f>SUMIFS(LAVORAZIONI!AH:AH,LAVORAZIONI!E:E,A5)</f>
        <v/>
      </c>
      <c r="J5" s="10">
        <f>SUM(C5:I5)</f>
        <v/>
      </c>
    </row>
    <row r="6">
      <c r="A6" s="11" t="inlineStr">
        <is>
          <t>MECCANICHE</t>
        </is>
      </c>
      <c r="B6" s="10">
        <f>SUMIFS(LAVORAZIONI!P:P,LAVORAZIONI!E:E,A6)</f>
        <v/>
      </c>
      <c r="C6" s="9">
        <f>SUMIFS(LAVORAZIONI!V:V,LAVORAZIONI!E:E,A6)</f>
        <v/>
      </c>
      <c r="D6" s="9">
        <f>SUMIFS(LAVORAZIONI!X:X,LAVORAZIONI!E:E,A6)</f>
        <v/>
      </c>
      <c r="E6" s="9">
        <f>SUMIFS(LAVORAZIONI!Z:Z,LAVORAZIONI!E:E,A6)</f>
        <v/>
      </c>
      <c r="F6" s="9">
        <f>SUMIFS(LAVORAZIONI!AB:AB,LAVORAZIONI!E:E,A6)</f>
        <v/>
      </c>
      <c r="G6" s="9">
        <f>SUMIFS(LAVORAZIONI!AD:AD,LAVORAZIONI!E:E,A6)</f>
        <v/>
      </c>
      <c r="H6" s="9">
        <f>SUMIFS(LAVORAZIONI!AF:AF,LAVORAZIONI!E:E,A6)</f>
        <v/>
      </c>
      <c r="I6" s="9">
        <f>SUMIFS(LAVORAZIONI!AH:AH,LAVORAZIONI!E:E,A6)</f>
        <v/>
      </c>
      <c r="J6" s="10">
        <f>SUM(C6:I6)</f>
        <v/>
      </c>
    </row>
    <row r="7">
      <c r="A7" s="11" t="inlineStr">
        <is>
          <t>MECCANICHE SPECIALI</t>
        </is>
      </c>
      <c r="B7" s="10">
        <f>SUMIFS(LAVORAZIONI!P:P,LAVORAZIONI!E:E,A7)</f>
        <v/>
      </c>
      <c r="C7" s="9">
        <f>SUMIFS(LAVORAZIONI!V:V,LAVORAZIONI!E:E,A7)</f>
        <v/>
      </c>
      <c r="D7" s="9">
        <f>SUMIFS(LAVORAZIONI!X:X,LAVORAZIONI!E:E,A7)</f>
        <v/>
      </c>
      <c r="E7" s="9">
        <f>SUMIFS(LAVORAZIONI!Z:Z,LAVORAZIONI!E:E,A7)</f>
        <v/>
      </c>
      <c r="F7" s="9">
        <f>SUMIFS(LAVORAZIONI!AB:AB,LAVORAZIONI!E:E,A7)</f>
        <v/>
      </c>
      <c r="G7" s="9">
        <f>SUMIFS(LAVORAZIONI!AD:AD,LAVORAZIONI!E:E,A7)</f>
        <v/>
      </c>
      <c r="H7" s="9">
        <f>SUMIFS(LAVORAZIONI!AF:AF,LAVORAZIONI!E:E,A7)</f>
        <v/>
      </c>
      <c r="I7" s="9">
        <f>SUMIFS(LAVORAZIONI!AH:AH,LAVORAZIONI!E:E,A7)</f>
        <v/>
      </c>
      <c r="J7" s="10">
        <f>SUM(C7:I7)</f>
        <v/>
      </c>
    </row>
    <row r="8">
      <c r="A8" s="11" t="inlineStr">
        <is>
          <t>ELETTRICHE</t>
        </is>
      </c>
      <c r="B8" s="10">
        <f>SUMIFS(LAVORAZIONI!P:P,LAVORAZIONI!E:E,A8)</f>
        <v/>
      </c>
      <c r="C8" s="9">
        <f>SUMIFS(LAVORAZIONI!V:V,LAVORAZIONI!E:E,A8)</f>
        <v/>
      </c>
      <c r="D8" s="9">
        <f>SUMIFS(LAVORAZIONI!X:X,LAVORAZIONI!E:E,A8)</f>
        <v/>
      </c>
      <c r="E8" s="9">
        <f>SUMIFS(LAVORAZIONI!Z:Z,LAVORAZIONI!E:E,A8)</f>
        <v/>
      </c>
      <c r="F8" s="9">
        <f>SUMIFS(LAVORAZIONI!AB:AB,LAVORAZIONI!E:E,A8)</f>
        <v/>
      </c>
      <c r="G8" s="9">
        <f>SUMIFS(LAVORAZIONI!AD:AD,LAVORAZIONI!E:E,A8)</f>
        <v/>
      </c>
      <c r="H8" s="9">
        <f>SUMIFS(LAVORAZIONI!AF:AF,LAVORAZIONI!E:E,A8)</f>
        <v/>
      </c>
      <c r="I8" s="9">
        <f>SUMIFS(LAVORAZIONI!AH:AH,LAVORAZIONI!E:E,A8)</f>
        <v/>
      </c>
      <c r="J8" s="10">
        <f>SUM(C8:I8)</f>
        <v/>
      </c>
    </row>
    <row r="9">
      <c r="A9" s="11" t="inlineStr">
        <is>
          <t>ELETTRICHE SPECIALI</t>
        </is>
      </c>
      <c r="B9" s="10">
        <f>SUMIFS(LAVORAZIONI!P:P,LAVORAZIONI!E:E,A9)</f>
        <v/>
      </c>
      <c r="C9" s="9">
        <f>SUMIFS(LAVORAZIONI!V:V,LAVORAZIONI!E:E,A9)</f>
        <v/>
      </c>
      <c r="D9" s="9">
        <f>SUMIFS(LAVORAZIONI!X:X,LAVORAZIONI!E:E,A9)</f>
        <v/>
      </c>
      <c r="E9" s="9">
        <f>SUMIFS(LAVORAZIONI!Z:Z,LAVORAZIONI!E:E,A9)</f>
        <v/>
      </c>
      <c r="F9" s="9">
        <f>SUMIFS(LAVORAZIONI!AB:AB,LAVORAZIONI!E:E,A9)</f>
        <v/>
      </c>
      <c r="G9" s="9">
        <f>SUMIFS(LAVORAZIONI!AD:AD,LAVORAZIONI!E:E,A9)</f>
        <v/>
      </c>
      <c r="H9" s="9">
        <f>SUMIFS(LAVORAZIONI!AF:AF,LAVORAZIONI!E:E,A9)</f>
        <v/>
      </c>
      <c r="I9" s="9">
        <f>SUMIFS(LAVORAZIONI!AH:AH,LAVORAZIONI!E:E,A9)</f>
        <v/>
      </c>
      <c r="J9" s="10">
        <f>SUM(C9:I9)</f>
        <v/>
      </c>
    </row>
    <row r="10">
      <c r="A10" s="11" t="inlineStr">
        <is>
          <t>SICUREZZA</t>
        </is>
      </c>
      <c r="B10" s="10">
        <f>SICUREZZA!G5</f>
        <v/>
      </c>
      <c r="C10" s="9">
        <f>SICUREZZA!J5</f>
        <v/>
      </c>
      <c r="D10" s="9">
        <f>SICUREZZA!L5</f>
        <v/>
      </c>
      <c r="E10" s="9">
        <f>SICUREZZA!N5</f>
        <v/>
      </c>
      <c r="F10" s="9">
        <f>SICUREZZA!P5</f>
        <v/>
      </c>
      <c r="G10" s="9">
        <f>SICUREZZA!R5</f>
        <v/>
      </c>
      <c r="H10" s="9">
        <f>SICUREZZA!T5</f>
        <v/>
      </c>
      <c r="I10" s="9">
        <f>SICUREZZA!V5</f>
        <v/>
      </c>
      <c r="J10" s="10">
        <f>SUM(C10:I10)</f>
        <v/>
      </c>
    </row>
    <row r="11" ht="17" customHeight="1" s="46">
      <c r="A11" s="8" t="inlineStr">
        <is>
          <t>TOTALE COMPLESSIVO</t>
        </is>
      </c>
      <c r="B11" s="10">
        <f>SUM(B4:B10)</f>
        <v/>
      </c>
      <c r="C11" s="10">
        <f>SUM(C4:C10)</f>
        <v/>
      </c>
      <c r="D11" s="10">
        <f>SUM(D4:D10)</f>
        <v/>
      </c>
      <c r="E11" s="10">
        <f>SUM(E4:E10)</f>
        <v/>
      </c>
      <c r="F11" s="10">
        <f>SUM(F4:F10)</f>
        <v/>
      </c>
      <c r="G11" s="10">
        <f>SUM(G4:G10)</f>
        <v/>
      </c>
      <c r="H11" s="10">
        <f>SUM(H4:H10)</f>
        <v/>
      </c>
      <c r="I11" s="10">
        <f>SUM(I4:I10)</f>
        <v/>
      </c>
      <c r="J11" s="10">
        <f>SUM(J4:J10)</f>
        <v/>
      </c>
    </row>
    <row r="13" ht="16" customHeight="1" s="46">
      <c r="A13" s="15" t="inlineStr">
        <is>
          <t>CUMULATO %</t>
        </is>
      </c>
      <c r="C13" s="16">
        <f>IFERROR((C11)/$B$11,0)</f>
        <v/>
      </c>
      <c r="D13" s="16">
        <f>IFERROR((C11+D11)/$B$11,0)</f>
        <v/>
      </c>
      <c r="E13" s="16">
        <f>IFERROR((C11+D11+E11)/$B$11,0)</f>
        <v/>
      </c>
      <c r="F13" s="16">
        <f>IFERROR((C11+D11+E11+F11)/$B$11,0)</f>
        <v/>
      </c>
      <c r="G13" s="16">
        <f>IFERROR((C11+D11+E11+F11+G11)/$B$11,0)</f>
        <v/>
      </c>
      <c r="H13" s="16">
        <f>IFERROR((C11+D11+E11+F11+G11+H11)/$B$11,0)</f>
        <v/>
      </c>
      <c r="I13" s="16">
        <f>IFERROR((C11+D11+E11+F11+G11+H11+I11)/$B$11,0)</f>
        <v/>
      </c>
    </row>
  </sheetData>
  <mergeCells count="1">
    <mergeCell ref="A1:J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fitToPage="1"/>
  </sheetPr>
  <dimension ref="A1:I126"/>
  <sheetViews>
    <sheetView workbookViewId="0">
      <pane ySplit="4" topLeftCell="A5" activePane="bottomLeft" state="frozen"/>
      <selection pane="bottomLeft" activeCell="A1" sqref="A1"/>
    </sheetView>
  </sheetViews>
  <sheetFormatPr baseColWidth="8" defaultRowHeight="15"/>
  <cols>
    <col width="9" customWidth="1" style="46" min="1" max="1"/>
    <col width="26" customWidth="1" style="46" min="2" max="2"/>
    <col width="58" customWidth="1" style="46" min="3" max="3"/>
    <col width="8" customWidth="1" style="46" min="4" max="4"/>
    <col width="11" customWidth="1" style="46" min="5" max="5"/>
    <col width="12" customWidth="1" style="46" min="6" max="6"/>
    <col width="14" customWidth="1" style="46" min="7" max="7"/>
    <col width="9" customWidth="1" style="46" min="8" max="8"/>
    <col width="14" customWidth="1" style="46" min="9" max="9"/>
  </cols>
  <sheetData>
    <row r="1" ht="22" customHeight="1" s="46">
      <c r="A1" s="78" t="inlineStr">
        <is>
          <t>SAL APRILE 2026 — OPERE EDILI</t>
        </is>
      </c>
    </row>
    <row r="2" ht="28"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N. VOCE</t>
        </is>
      </c>
      <c r="B4" s="55" t="inlineStr">
        <is>
          <t>CODICE LAVORAZIONE</t>
        </is>
      </c>
      <c r="C4" s="55" t="inlineStr">
        <is>
          <t>DESCRIZIONE</t>
        </is>
      </c>
      <c r="D4" s="55" t="inlineStr">
        <is>
          <t>U.M.</t>
        </is>
      </c>
      <c r="E4" s="55" t="inlineStr">
        <is>
          <t>QUANTITÀ</t>
        </is>
      </c>
      <c r="F4" s="55" t="inlineStr">
        <is>
          <t>VAL. UNITARIO</t>
        </is>
      </c>
      <c r="G4" s="55" t="inlineStr">
        <is>
          <t>TOTALE PREVENTIVO</t>
        </is>
      </c>
      <c r="H4" s="55" t="inlineStr">
        <is>
          <t>% SAL Aprile</t>
        </is>
      </c>
      <c r="I4" s="55" t="inlineStr">
        <is>
          <t>IMPORTO SAL Aprile</t>
        </is>
      </c>
    </row>
    <row r="5">
      <c r="A5" s="79">
        <f>LAVORAZIONI!G4</f>
        <v/>
      </c>
      <c r="B5" s="80">
        <f>LAVORAZIONI!A4</f>
        <v/>
      </c>
      <c r="C5" s="80">
        <f>LAVORAZIONI!K4</f>
        <v/>
      </c>
      <c r="D5" s="79">
        <f>LAVORAZIONI!M4</f>
        <v/>
      </c>
      <c r="E5" s="81">
        <f>LAVORAZIONI!N4</f>
        <v/>
      </c>
      <c r="F5" s="81">
        <f>LAVORAZIONI!O4</f>
        <v/>
      </c>
      <c r="G5" s="82">
        <f>LAVORAZIONI!P4</f>
        <v/>
      </c>
      <c r="H5" s="83">
        <f>LAVORAZIONI!U4</f>
        <v/>
      </c>
      <c r="I5" s="82">
        <f>LAVORAZIONI!V4</f>
        <v/>
      </c>
    </row>
    <row r="6">
      <c r="A6" s="79">
        <f>LAVORAZIONI!G5</f>
        <v/>
      </c>
      <c r="B6" s="80">
        <f>LAVORAZIONI!A5</f>
        <v/>
      </c>
      <c r="C6" s="80">
        <f>LAVORAZIONI!K5</f>
        <v/>
      </c>
      <c r="D6" s="79">
        <f>LAVORAZIONI!M5</f>
        <v/>
      </c>
      <c r="E6" s="81">
        <f>LAVORAZIONI!N5</f>
        <v/>
      </c>
      <c r="F6" s="81">
        <f>LAVORAZIONI!O5</f>
        <v/>
      </c>
      <c r="G6" s="82">
        <f>LAVORAZIONI!P5</f>
        <v/>
      </c>
      <c r="H6" s="83">
        <f>LAVORAZIONI!U5</f>
        <v/>
      </c>
      <c r="I6" s="82">
        <f>LAVORAZIONI!V5</f>
        <v/>
      </c>
    </row>
    <row r="7">
      <c r="A7" s="79">
        <f>LAVORAZIONI!G6</f>
        <v/>
      </c>
      <c r="B7" s="80">
        <f>LAVORAZIONI!A6</f>
        <v/>
      </c>
      <c r="C7" s="80">
        <f>LAVORAZIONI!K6</f>
        <v/>
      </c>
      <c r="D7" s="79">
        <f>LAVORAZIONI!M6</f>
        <v/>
      </c>
      <c r="E7" s="81">
        <f>LAVORAZIONI!N6</f>
        <v/>
      </c>
      <c r="F7" s="81">
        <f>LAVORAZIONI!O6</f>
        <v/>
      </c>
      <c r="G7" s="82">
        <f>LAVORAZIONI!P6</f>
        <v/>
      </c>
      <c r="H7" s="83">
        <f>LAVORAZIONI!U6</f>
        <v/>
      </c>
      <c r="I7" s="82">
        <f>LAVORAZIONI!V6</f>
        <v/>
      </c>
    </row>
    <row r="8">
      <c r="A8" s="79">
        <f>LAVORAZIONI!G7</f>
        <v/>
      </c>
      <c r="B8" s="80">
        <f>LAVORAZIONI!A7</f>
        <v/>
      </c>
      <c r="C8" s="80">
        <f>LAVORAZIONI!K7</f>
        <v/>
      </c>
      <c r="D8" s="79">
        <f>LAVORAZIONI!M7</f>
        <v/>
      </c>
      <c r="E8" s="81">
        <f>LAVORAZIONI!N7</f>
        <v/>
      </c>
      <c r="F8" s="81">
        <f>LAVORAZIONI!O7</f>
        <v/>
      </c>
      <c r="G8" s="82">
        <f>LAVORAZIONI!P7</f>
        <v/>
      </c>
      <c r="H8" s="83">
        <f>LAVORAZIONI!U7</f>
        <v/>
      </c>
      <c r="I8" s="82">
        <f>LAVORAZIONI!V7</f>
        <v/>
      </c>
    </row>
    <row r="9">
      <c r="A9" s="84">
        <f>LAVORAZIONI!G8</f>
        <v/>
      </c>
      <c r="B9" s="85">
        <f>LAVORAZIONI!A8</f>
        <v/>
      </c>
      <c r="C9" s="85">
        <f>LAVORAZIONI!K8</f>
        <v/>
      </c>
      <c r="D9" s="84">
        <f>LAVORAZIONI!M8</f>
        <v/>
      </c>
      <c r="E9" s="86">
        <f>LAVORAZIONI!N8</f>
        <v/>
      </c>
      <c r="F9" s="86">
        <f>LAVORAZIONI!O8</f>
        <v/>
      </c>
      <c r="G9" s="87">
        <f>LAVORAZIONI!P8</f>
        <v/>
      </c>
      <c r="H9" s="88">
        <f>LAVORAZIONI!U8</f>
        <v/>
      </c>
      <c r="I9" s="87">
        <f>LAVORAZIONI!V8</f>
        <v/>
      </c>
    </row>
    <row r="10">
      <c r="A10" s="84">
        <f>LAVORAZIONI!G9</f>
        <v/>
      </c>
      <c r="B10" s="85">
        <f>LAVORAZIONI!A9</f>
        <v/>
      </c>
      <c r="C10" s="85">
        <f>LAVORAZIONI!K9</f>
        <v/>
      </c>
      <c r="D10" s="84">
        <f>LAVORAZIONI!M9</f>
        <v/>
      </c>
      <c r="E10" s="86">
        <f>LAVORAZIONI!N9</f>
        <v/>
      </c>
      <c r="F10" s="86">
        <f>LAVORAZIONI!O9</f>
        <v/>
      </c>
      <c r="G10" s="87">
        <f>LAVORAZIONI!P9</f>
        <v/>
      </c>
      <c r="H10" s="88">
        <f>LAVORAZIONI!U9</f>
        <v/>
      </c>
      <c r="I10" s="87">
        <f>LAVORAZIONI!V9</f>
        <v/>
      </c>
    </row>
    <row r="11">
      <c r="A11" s="84">
        <f>LAVORAZIONI!G10</f>
        <v/>
      </c>
      <c r="B11" s="85">
        <f>LAVORAZIONI!A10</f>
        <v/>
      </c>
      <c r="C11" s="85">
        <f>LAVORAZIONI!K10</f>
        <v/>
      </c>
      <c r="D11" s="84">
        <f>LAVORAZIONI!M10</f>
        <v/>
      </c>
      <c r="E11" s="86">
        <f>LAVORAZIONI!N10</f>
        <v/>
      </c>
      <c r="F11" s="86">
        <f>LAVORAZIONI!O10</f>
        <v/>
      </c>
      <c r="G11" s="87">
        <f>LAVORAZIONI!P10</f>
        <v/>
      </c>
      <c r="H11" s="88">
        <f>LAVORAZIONI!U10</f>
        <v/>
      </c>
      <c r="I11" s="87">
        <f>LAVORAZIONI!V10</f>
        <v/>
      </c>
    </row>
    <row r="12">
      <c r="A12" s="84">
        <f>LAVORAZIONI!G11</f>
        <v/>
      </c>
      <c r="B12" s="85">
        <f>LAVORAZIONI!A11</f>
        <v/>
      </c>
      <c r="C12" s="85">
        <f>LAVORAZIONI!K11</f>
        <v/>
      </c>
      <c r="D12" s="84">
        <f>LAVORAZIONI!M11</f>
        <v/>
      </c>
      <c r="E12" s="86">
        <f>LAVORAZIONI!N11</f>
        <v/>
      </c>
      <c r="F12" s="86">
        <f>LAVORAZIONI!O11</f>
        <v/>
      </c>
      <c r="G12" s="87">
        <f>LAVORAZIONI!P11</f>
        <v/>
      </c>
      <c r="H12" s="88">
        <f>LAVORAZIONI!U11</f>
        <v/>
      </c>
      <c r="I12" s="87">
        <f>LAVORAZIONI!V11</f>
        <v/>
      </c>
    </row>
    <row r="13">
      <c r="A13" s="84">
        <f>LAVORAZIONI!G12</f>
        <v/>
      </c>
      <c r="B13" s="85">
        <f>LAVORAZIONI!A12</f>
        <v/>
      </c>
      <c r="C13" s="85">
        <f>LAVORAZIONI!K12</f>
        <v/>
      </c>
      <c r="D13" s="84">
        <f>LAVORAZIONI!M12</f>
        <v/>
      </c>
      <c r="E13" s="86">
        <f>LAVORAZIONI!N12</f>
        <v/>
      </c>
      <c r="F13" s="86">
        <f>LAVORAZIONI!O12</f>
        <v/>
      </c>
      <c r="G13" s="87">
        <f>LAVORAZIONI!P12</f>
        <v/>
      </c>
      <c r="H13" s="88">
        <f>LAVORAZIONI!U12</f>
        <v/>
      </c>
      <c r="I13" s="87">
        <f>LAVORAZIONI!V12</f>
        <v/>
      </c>
    </row>
    <row r="14">
      <c r="A14" s="84">
        <f>LAVORAZIONI!G13</f>
        <v/>
      </c>
      <c r="B14" s="85">
        <f>LAVORAZIONI!A13</f>
        <v/>
      </c>
      <c r="C14" s="85">
        <f>LAVORAZIONI!K13</f>
        <v/>
      </c>
      <c r="D14" s="84">
        <f>LAVORAZIONI!M13</f>
        <v/>
      </c>
      <c r="E14" s="86">
        <f>LAVORAZIONI!N13</f>
        <v/>
      </c>
      <c r="F14" s="86">
        <f>LAVORAZIONI!O13</f>
        <v/>
      </c>
      <c r="G14" s="87">
        <f>LAVORAZIONI!P13</f>
        <v/>
      </c>
      <c r="H14" s="88">
        <f>LAVORAZIONI!U13</f>
        <v/>
      </c>
      <c r="I14" s="87">
        <f>LAVORAZIONI!V13</f>
        <v/>
      </c>
    </row>
    <row r="15">
      <c r="A15" s="84">
        <f>LAVORAZIONI!G14</f>
        <v/>
      </c>
      <c r="B15" s="85">
        <f>LAVORAZIONI!A14</f>
        <v/>
      </c>
      <c r="C15" s="85">
        <f>LAVORAZIONI!K14</f>
        <v/>
      </c>
      <c r="D15" s="84">
        <f>LAVORAZIONI!M14</f>
        <v/>
      </c>
      <c r="E15" s="86">
        <f>LAVORAZIONI!N14</f>
        <v/>
      </c>
      <c r="F15" s="86">
        <f>LAVORAZIONI!O14</f>
        <v/>
      </c>
      <c r="G15" s="87">
        <f>LAVORAZIONI!P14</f>
        <v/>
      </c>
      <c r="H15" s="88">
        <f>LAVORAZIONI!U14</f>
        <v/>
      </c>
      <c r="I15" s="87">
        <f>LAVORAZIONI!V14</f>
        <v/>
      </c>
    </row>
    <row r="16">
      <c r="A16" s="84">
        <f>LAVORAZIONI!G15</f>
        <v/>
      </c>
      <c r="B16" s="85">
        <f>LAVORAZIONI!A15</f>
        <v/>
      </c>
      <c r="C16" s="85">
        <f>LAVORAZIONI!K15</f>
        <v/>
      </c>
      <c r="D16" s="84">
        <f>LAVORAZIONI!M15</f>
        <v/>
      </c>
      <c r="E16" s="86">
        <f>LAVORAZIONI!N15</f>
        <v/>
      </c>
      <c r="F16" s="86">
        <f>LAVORAZIONI!O15</f>
        <v/>
      </c>
      <c r="G16" s="87">
        <f>LAVORAZIONI!P15</f>
        <v/>
      </c>
      <c r="H16" s="88">
        <f>LAVORAZIONI!U15</f>
        <v/>
      </c>
      <c r="I16" s="87">
        <f>LAVORAZIONI!V15</f>
        <v/>
      </c>
    </row>
    <row r="17">
      <c r="A17" s="84">
        <f>LAVORAZIONI!G16</f>
        <v/>
      </c>
      <c r="B17" s="85">
        <f>LAVORAZIONI!A16</f>
        <v/>
      </c>
      <c r="C17" s="85">
        <f>LAVORAZIONI!K16</f>
        <v/>
      </c>
      <c r="D17" s="84">
        <f>LAVORAZIONI!M16</f>
        <v/>
      </c>
      <c r="E17" s="86">
        <f>LAVORAZIONI!N16</f>
        <v/>
      </c>
      <c r="F17" s="86">
        <f>LAVORAZIONI!O16</f>
        <v/>
      </c>
      <c r="G17" s="87">
        <f>LAVORAZIONI!P16</f>
        <v/>
      </c>
      <c r="H17" s="88">
        <f>LAVORAZIONI!U16</f>
        <v/>
      </c>
      <c r="I17" s="87">
        <f>LAVORAZIONI!V16</f>
        <v/>
      </c>
    </row>
    <row r="18">
      <c r="A18" s="84">
        <f>LAVORAZIONI!G17</f>
        <v/>
      </c>
      <c r="B18" s="85">
        <f>LAVORAZIONI!A17</f>
        <v/>
      </c>
      <c r="C18" s="85">
        <f>LAVORAZIONI!K17</f>
        <v/>
      </c>
      <c r="D18" s="84">
        <f>LAVORAZIONI!M17</f>
        <v/>
      </c>
      <c r="E18" s="86">
        <f>LAVORAZIONI!N17</f>
        <v/>
      </c>
      <c r="F18" s="86">
        <f>LAVORAZIONI!O17</f>
        <v/>
      </c>
      <c r="G18" s="87">
        <f>LAVORAZIONI!P17</f>
        <v/>
      </c>
      <c r="H18" s="88">
        <f>LAVORAZIONI!U17</f>
        <v/>
      </c>
      <c r="I18" s="87">
        <f>LAVORAZIONI!V17</f>
        <v/>
      </c>
    </row>
    <row r="19">
      <c r="A19" s="84">
        <f>LAVORAZIONI!G18</f>
        <v/>
      </c>
      <c r="B19" s="85">
        <f>LAVORAZIONI!A18</f>
        <v/>
      </c>
      <c r="C19" s="85">
        <f>LAVORAZIONI!K18</f>
        <v/>
      </c>
      <c r="D19" s="84">
        <f>LAVORAZIONI!M18</f>
        <v/>
      </c>
      <c r="E19" s="86">
        <f>LAVORAZIONI!N18</f>
        <v/>
      </c>
      <c r="F19" s="86">
        <f>LAVORAZIONI!O18</f>
        <v/>
      </c>
      <c r="G19" s="87">
        <f>LAVORAZIONI!P18</f>
        <v/>
      </c>
      <c r="H19" s="88">
        <f>LAVORAZIONI!U18</f>
        <v/>
      </c>
      <c r="I19" s="87">
        <f>LAVORAZIONI!V18</f>
        <v/>
      </c>
    </row>
    <row r="20">
      <c r="A20" s="79">
        <f>LAVORAZIONI!G19</f>
        <v/>
      </c>
      <c r="B20" s="80">
        <f>LAVORAZIONI!A19</f>
        <v/>
      </c>
      <c r="C20" s="80">
        <f>LAVORAZIONI!K19</f>
        <v/>
      </c>
      <c r="D20" s="79">
        <f>LAVORAZIONI!M19</f>
        <v/>
      </c>
      <c r="E20" s="81">
        <f>LAVORAZIONI!N19</f>
        <v/>
      </c>
      <c r="F20" s="81">
        <f>LAVORAZIONI!O19</f>
        <v/>
      </c>
      <c r="G20" s="82">
        <f>LAVORAZIONI!P19</f>
        <v/>
      </c>
      <c r="H20" s="83">
        <f>LAVORAZIONI!U19</f>
        <v/>
      </c>
      <c r="I20" s="82">
        <f>LAVORAZIONI!V19</f>
        <v/>
      </c>
    </row>
    <row r="21">
      <c r="A21" s="79">
        <f>LAVORAZIONI!G20</f>
        <v/>
      </c>
      <c r="B21" s="80">
        <f>LAVORAZIONI!A20</f>
        <v/>
      </c>
      <c r="C21" s="80">
        <f>LAVORAZIONI!K20</f>
        <v/>
      </c>
      <c r="D21" s="79">
        <f>LAVORAZIONI!M20</f>
        <v/>
      </c>
      <c r="E21" s="81">
        <f>LAVORAZIONI!N20</f>
        <v/>
      </c>
      <c r="F21" s="81">
        <f>LAVORAZIONI!O20</f>
        <v/>
      </c>
      <c r="G21" s="82">
        <f>LAVORAZIONI!P20</f>
        <v/>
      </c>
      <c r="H21" s="83">
        <f>LAVORAZIONI!U20</f>
        <v/>
      </c>
      <c r="I21" s="82">
        <f>LAVORAZIONI!V20</f>
        <v/>
      </c>
    </row>
    <row r="22">
      <c r="A22" s="79">
        <f>LAVORAZIONI!G21</f>
        <v/>
      </c>
      <c r="B22" s="80">
        <f>LAVORAZIONI!A21</f>
        <v/>
      </c>
      <c r="C22" s="80">
        <f>LAVORAZIONI!K21</f>
        <v/>
      </c>
      <c r="D22" s="79">
        <f>LAVORAZIONI!M21</f>
        <v/>
      </c>
      <c r="E22" s="81">
        <f>LAVORAZIONI!N21</f>
        <v/>
      </c>
      <c r="F22" s="81">
        <f>LAVORAZIONI!O21</f>
        <v/>
      </c>
      <c r="G22" s="82">
        <f>LAVORAZIONI!P21</f>
        <v/>
      </c>
      <c r="H22" s="83">
        <f>LAVORAZIONI!U21</f>
        <v/>
      </c>
      <c r="I22" s="82">
        <f>LAVORAZIONI!V21</f>
        <v/>
      </c>
    </row>
    <row r="23">
      <c r="A23" s="79">
        <f>LAVORAZIONI!G22</f>
        <v/>
      </c>
      <c r="B23" s="80">
        <f>LAVORAZIONI!A22</f>
        <v/>
      </c>
      <c r="C23" s="80">
        <f>LAVORAZIONI!K22</f>
        <v/>
      </c>
      <c r="D23" s="79">
        <f>LAVORAZIONI!M22</f>
        <v/>
      </c>
      <c r="E23" s="81">
        <f>LAVORAZIONI!N22</f>
        <v/>
      </c>
      <c r="F23" s="81">
        <f>LAVORAZIONI!O22</f>
        <v/>
      </c>
      <c r="G23" s="82">
        <f>LAVORAZIONI!P22</f>
        <v/>
      </c>
      <c r="H23" s="83">
        <f>LAVORAZIONI!U22</f>
        <v/>
      </c>
      <c r="I23" s="82">
        <f>LAVORAZIONI!V22</f>
        <v/>
      </c>
    </row>
    <row r="24">
      <c r="A24" s="79">
        <f>LAVORAZIONI!G23</f>
        <v/>
      </c>
      <c r="B24" s="80">
        <f>LAVORAZIONI!A23</f>
        <v/>
      </c>
      <c r="C24" s="80">
        <f>LAVORAZIONI!K23</f>
        <v/>
      </c>
      <c r="D24" s="79">
        <f>LAVORAZIONI!M23</f>
        <v/>
      </c>
      <c r="E24" s="81">
        <f>LAVORAZIONI!N23</f>
        <v/>
      </c>
      <c r="F24" s="81">
        <f>LAVORAZIONI!O23</f>
        <v/>
      </c>
      <c r="G24" s="82">
        <f>LAVORAZIONI!P23</f>
        <v/>
      </c>
      <c r="H24" s="83">
        <f>LAVORAZIONI!U23</f>
        <v/>
      </c>
      <c r="I24" s="82">
        <f>LAVORAZIONI!V23</f>
        <v/>
      </c>
    </row>
    <row r="25">
      <c r="A25" s="79">
        <f>LAVORAZIONI!G24</f>
        <v/>
      </c>
      <c r="B25" s="80">
        <f>LAVORAZIONI!A24</f>
        <v/>
      </c>
      <c r="C25" s="80">
        <f>LAVORAZIONI!K24</f>
        <v/>
      </c>
      <c r="D25" s="79">
        <f>LAVORAZIONI!M24</f>
        <v/>
      </c>
      <c r="E25" s="81">
        <f>LAVORAZIONI!N24</f>
        <v/>
      </c>
      <c r="F25" s="81">
        <f>LAVORAZIONI!O24</f>
        <v/>
      </c>
      <c r="G25" s="82">
        <f>LAVORAZIONI!P24</f>
        <v/>
      </c>
      <c r="H25" s="83">
        <f>LAVORAZIONI!U24</f>
        <v/>
      </c>
      <c r="I25" s="82">
        <f>LAVORAZIONI!V24</f>
        <v/>
      </c>
    </row>
    <row r="26">
      <c r="A26" s="79">
        <f>LAVORAZIONI!G25</f>
        <v/>
      </c>
      <c r="B26" s="80">
        <f>LAVORAZIONI!A25</f>
        <v/>
      </c>
      <c r="C26" s="80">
        <f>LAVORAZIONI!K25</f>
        <v/>
      </c>
      <c r="D26" s="79">
        <f>LAVORAZIONI!M25</f>
        <v/>
      </c>
      <c r="E26" s="81">
        <f>LAVORAZIONI!N25</f>
        <v/>
      </c>
      <c r="F26" s="81">
        <f>LAVORAZIONI!O25</f>
        <v/>
      </c>
      <c r="G26" s="82">
        <f>LAVORAZIONI!P25</f>
        <v/>
      </c>
      <c r="H26" s="83">
        <f>LAVORAZIONI!U25</f>
        <v/>
      </c>
      <c r="I26" s="82">
        <f>LAVORAZIONI!V25</f>
        <v/>
      </c>
    </row>
    <row r="27">
      <c r="A27" s="79">
        <f>LAVORAZIONI!G26</f>
        <v/>
      </c>
      <c r="B27" s="80">
        <f>LAVORAZIONI!A26</f>
        <v/>
      </c>
      <c r="C27" s="80">
        <f>LAVORAZIONI!K26</f>
        <v/>
      </c>
      <c r="D27" s="79">
        <f>LAVORAZIONI!M26</f>
        <v/>
      </c>
      <c r="E27" s="81">
        <f>LAVORAZIONI!N26</f>
        <v/>
      </c>
      <c r="F27" s="81">
        <f>LAVORAZIONI!O26</f>
        <v/>
      </c>
      <c r="G27" s="82">
        <f>LAVORAZIONI!P26</f>
        <v/>
      </c>
      <c r="H27" s="83">
        <f>LAVORAZIONI!U26</f>
        <v/>
      </c>
      <c r="I27" s="82">
        <f>LAVORAZIONI!V26</f>
        <v/>
      </c>
    </row>
    <row r="28">
      <c r="A28" s="84">
        <f>LAVORAZIONI!G27</f>
        <v/>
      </c>
      <c r="B28" s="85">
        <f>LAVORAZIONI!A27</f>
        <v/>
      </c>
      <c r="C28" s="85">
        <f>LAVORAZIONI!K27</f>
        <v/>
      </c>
      <c r="D28" s="84">
        <f>LAVORAZIONI!M27</f>
        <v/>
      </c>
      <c r="E28" s="86">
        <f>LAVORAZIONI!N27</f>
        <v/>
      </c>
      <c r="F28" s="86">
        <f>LAVORAZIONI!O27</f>
        <v/>
      </c>
      <c r="G28" s="87">
        <f>LAVORAZIONI!P27</f>
        <v/>
      </c>
      <c r="H28" s="88">
        <f>LAVORAZIONI!U27</f>
        <v/>
      </c>
      <c r="I28" s="87">
        <f>LAVORAZIONI!V27</f>
        <v/>
      </c>
    </row>
    <row r="29">
      <c r="A29" s="84">
        <f>LAVORAZIONI!G28</f>
        <v/>
      </c>
      <c r="B29" s="85">
        <f>LAVORAZIONI!A28</f>
        <v/>
      </c>
      <c r="C29" s="85">
        <f>LAVORAZIONI!K28</f>
        <v/>
      </c>
      <c r="D29" s="84">
        <f>LAVORAZIONI!M28</f>
        <v/>
      </c>
      <c r="E29" s="86">
        <f>LAVORAZIONI!N28</f>
        <v/>
      </c>
      <c r="F29" s="86">
        <f>LAVORAZIONI!O28</f>
        <v/>
      </c>
      <c r="G29" s="87">
        <f>LAVORAZIONI!P28</f>
        <v/>
      </c>
      <c r="H29" s="88">
        <f>LAVORAZIONI!U28</f>
        <v/>
      </c>
      <c r="I29" s="87">
        <f>LAVORAZIONI!V28</f>
        <v/>
      </c>
    </row>
    <row r="30">
      <c r="A30" s="84">
        <f>LAVORAZIONI!G29</f>
        <v/>
      </c>
      <c r="B30" s="85">
        <f>LAVORAZIONI!A29</f>
        <v/>
      </c>
      <c r="C30" s="85">
        <f>LAVORAZIONI!K29</f>
        <v/>
      </c>
      <c r="D30" s="84">
        <f>LAVORAZIONI!M29</f>
        <v/>
      </c>
      <c r="E30" s="86">
        <f>LAVORAZIONI!N29</f>
        <v/>
      </c>
      <c r="F30" s="86">
        <f>LAVORAZIONI!O29</f>
        <v/>
      </c>
      <c r="G30" s="87">
        <f>LAVORAZIONI!P29</f>
        <v/>
      </c>
      <c r="H30" s="88">
        <f>LAVORAZIONI!U29</f>
        <v/>
      </c>
      <c r="I30" s="87">
        <f>LAVORAZIONI!V29</f>
        <v/>
      </c>
    </row>
    <row r="31">
      <c r="A31" s="84">
        <f>LAVORAZIONI!G30</f>
        <v/>
      </c>
      <c r="B31" s="85">
        <f>LAVORAZIONI!A30</f>
        <v/>
      </c>
      <c r="C31" s="85">
        <f>LAVORAZIONI!K30</f>
        <v/>
      </c>
      <c r="D31" s="84">
        <f>LAVORAZIONI!M30</f>
        <v/>
      </c>
      <c r="E31" s="86">
        <f>LAVORAZIONI!N30</f>
        <v/>
      </c>
      <c r="F31" s="86">
        <f>LAVORAZIONI!O30</f>
        <v/>
      </c>
      <c r="G31" s="87">
        <f>LAVORAZIONI!P30</f>
        <v/>
      </c>
      <c r="H31" s="88">
        <f>LAVORAZIONI!U30</f>
        <v/>
      </c>
      <c r="I31" s="87">
        <f>LAVORAZIONI!V30</f>
        <v/>
      </c>
    </row>
    <row r="32">
      <c r="A32" s="84">
        <f>LAVORAZIONI!G31</f>
        <v/>
      </c>
      <c r="B32" s="85">
        <f>LAVORAZIONI!A31</f>
        <v/>
      </c>
      <c r="C32" s="85">
        <f>LAVORAZIONI!K31</f>
        <v/>
      </c>
      <c r="D32" s="84">
        <f>LAVORAZIONI!M31</f>
        <v/>
      </c>
      <c r="E32" s="86">
        <f>LAVORAZIONI!N31</f>
        <v/>
      </c>
      <c r="F32" s="86">
        <f>LAVORAZIONI!O31</f>
        <v/>
      </c>
      <c r="G32" s="87">
        <f>LAVORAZIONI!P31</f>
        <v/>
      </c>
      <c r="H32" s="88">
        <f>LAVORAZIONI!U31</f>
        <v/>
      </c>
      <c r="I32" s="87">
        <f>LAVORAZIONI!V31</f>
        <v/>
      </c>
    </row>
    <row r="33">
      <c r="A33" s="84">
        <f>LAVORAZIONI!G32</f>
        <v/>
      </c>
      <c r="B33" s="85">
        <f>LAVORAZIONI!A32</f>
        <v/>
      </c>
      <c r="C33" s="85">
        <f>LAVORAZIONI!K32</f>
        <v/>
      </c>
      <c r="D33" s="84">
        <f>LAVORAZIONI!M32</f>
        <v/>
      </c>
      <c r="E33" s="86">
        <f>LAVORAZIONI!N32</f>
        <v/>
      </c>
      <c r="F33" s="86">
        <f>LAVORAZIONI!O32</f>
        <v/>
      </c>
      <c r="G33" s="87">
        <f>LAVORAZIONI!P32</f>
        <v/>
      </c>
      <c r="H33" s="88">
        <f>LAVORAZIONI!U32</f>
        <v/>
      </c>
      <c r="I33" s="87">
        <f>LAVORAZIONI!V32</f>
        <v/>
      </c>
    </row>
    <row r="34">
      <c r="A34" s="84">
        <f>LAVORAZIONI!G33</f>
        <v/>
      </c>
      <c r="B34" s="85">
        <f>LAVORAZIONI!A33</f>
        <v/>
      </c>
      <c r="C34" s="85">
        <f>LAVORAZIONI!K33</f>
        <v/>
      </c>
      <c r="D34" s="84">
        <f>LAVORAZIONI!M33</f>
        <v/>
      </c>
      <c r="E34" s="86">
        <f>LAVORAZIONI!N33</f>
        <v/>
      </c>
      <c r="F34" s="86">
        <f>LAVORAZIONI!O33</f>
        <v/>
      </c>
      <c r="G34" s="87">
        <f>LAVORAZIONI!P33</f>
        <v/>
      </c>
      <c r="H34" s="88">
        <f>LAVORAZIONI!U33</f>
        <v/>
      </c>
      <c r="I34" s="87">
        <f>LAVORAZIONI!V33</f>
        <v/>
      </c>
    </row>
    <row r="35">
      <c r="A35" s="84">
        <f>LAVORAZIONI!G34</f>
        <v/>
      </c>
      <c r="B35" s="85">
        <f>LAVORAZIONI!A34</f>
        <v/>
      </c>
      <c r="C35" s="85">
        <f>LAVORAZIONI!K34</f>
        <v/>
      </c>
      <c r="D35" s="84">
        <f>LAVORAZIONI!M34</f>
        <v/>
      </c>
      <c r="E35" s="86">
        <f>LAVORAZIONI!N34</f>
        <v/>
      </c>
      <c r="F35" s="86">
        <f>LAVORAZIONI!O34</f>
        <v/>
      </c>
      <c r="G35" s="87">
        <f>LAVORAZIONI!P34</f>
        <v/>
      </c>
      <c r="H35" s="88">
        <f>LAVORAZIONI!U34</f>
        <v/>
      </c>
      <c r="I35" s="87">
        <f>LAVORAZIONI!V34</f>
        <v/>
      </c>
    </row>
    <row r="36">
      <c r="A36" s="84">
        <f>LAVORAZIONI!G35</f>
        <v/>
      </c>
      <c r="B36" s="85">
        <f>LAVORAZIONI!A35</f>
        <v/>
      </c>
      <c r="C36" s="85">
        <f>LAVORAZIONI!K35</f>
        <v/>
      </c>
      <c r="D36" s="84">
        <f>LAVORAZIONI!M35</f>
        <v/>
      </c>
      <c r="E36" s="86">
        <f>LAVORAZIONI!N35</f>
        <v/>
      </c>
      <c r="F36" s="86">
        <f>LAVORAZIONI!O35</f>
        <v/>
      </c>
      <c r="G36" s="87">
        <f>LAVORAZIONI!P35</f>
        <v/>
      </c>
      <c r="H36" s="88">
        <f>LAVORAZIONI!U35</f>
        <v/>
      </c>
      <c r="I36" s="87">
        <f>LAVORAZIONI!V35</f>
        <v/>
      </c>
    </row>
    <row r="37">
      <c r="A37" s="84">
        <f>LAVORAZIONI!G36</f>
        <v/>
      </c>
      <c r="B37" s="85">
        <f>LAVORAZIONI!A36</f>
        <v/>
      </c>
      <c r="C37" s="85">
        <f>LAVORAZIONI!K36</f>
        <v/>
      </c>
      <c r="D37" s="84">
        <f>LAVORAZIONI!M36</f>
        <v/>
      </c>
      <c r="E37" s="86">
        <f>LAVORAZIONI!N36</f>
        <v/>
      </c>
      <c r="F37" s="86">
        <f>LAVORAZIONI!O36</f>
        <v/>
      </c>
      <c r="G37" s="87">
        <f>LAVORAZIONI!P36</f>
        <v/>
      </c>
      <c r="H37" s="88">
        <f>LAVORAZIONI!U36</f>
        <v/>
      </c>
      <c r="I37" s="87">
        <f>LAVORAZIONI!V36</f>
        <v/>
      </c>
    </row>
    <row r="38">
      <c r="A38" s="84">
        <f>LAVORAZIONI!G37</f>
        <v/>
      </c>
      <c r="B38" s="85">
        <f>LAVORAZIONI!A37</f>
        <v/>
      </c>
      <c r="C38" s="85">
        <f>LAVORAZIONI!K37</f>
        <v/>
      </c>
      <c r="D38" s="84">
        <f>LAVORAZIONI!M37</f>
        <v/>
      </c>
      <c r="E38" s="86">
        <f>LAVORAZIONI!N37</f>
        <v/>
      </c>
      <c r="F38" s="86">
        <f>LAVORAZIONI!O37</f>
        <v/>
      </c>
      <c r="G38" s="87">
        <f>LAVORAZIONI!P37</f>
        <v/>
      </c>
      <c r="H38" s="88">
        <f>LAVORAZIONI!U37</f>
        <v/>
      </c>
      <c r="I38" s="87">
        <f>LAVORAZIONI!V37</f>
        <v/>
      </c>
    </row>
    <row r="39">
      <c r="A39" s="84">
        <f>LAVORAZIONI!G38</f>
        <v/>
      </c>
      <c r="B39" s="85">
        <f>LAVORAZIONI!A38</f>
        <v/>
      </c>
      <c r="C39" s="85">
        <f>LAVORAZIONI!K38</f>
        <v/>
      </c>
      <c r="D39" s="84">
        <f>LAVORAZIONI!M38</f>
        <v/>
      </c>
      <c r="E39" s="86">
        <f>LAVORAZIONI!N38</f>
        <v/>
      </c>
      <c r="F39" s="86">
        <f>LAVORAZIONI!O38</f>
        <v/>
      </c>
      <c r="G39" s="87">
        <f>LAVORAZIONI!P38</f>
        <v/>
      </c>
      <c r="H39" s="88">
        <f>LAVORAZIONI!U38</f>
        <v/>
      </c>
      <c r="I39" s="87">
        <f>LAVORAZIONI!V38</f>
        <v/>
      </c>
    </row>
    <row r="40">
      <c r="A40" s="84">
        <f>LAVORAZIONI!G39</f>
        <v/>
      </c>
      <c r="B40" s="85">
        <f>LAVORAZIONI!A39</f>
        <v/>
      </c>
      <c r="C40" s="85">
        <f>LAVORAZIONI!K39</f>
        <v/>
      </c>
      <c r="D40" s="84">
        <f>LAVORAZIONI!M39</f>
        <v/>
      </c>
      <c r="E40" s="86">
        <f>LAVORAZIONI!N39</f>
        <v/>
      </c>
      <c r="F40" s="86">
        <f>LAVORAZIONI!O39</f>
        <v/>
      </c>
      <c r="G40" s="87">
        <f>LAVORAZIONI!P39</f>
        <v/>
      </c>
      <c r="H40" s="88">
        <f>LAVORAZIONI!U39</f>
        <v/>
      </c>
      <c r="I40" s="87">
        <f>LAVORAZIONI!V39</f>
        <v/>
      </c>
    </row>
    <row r="41">
      <c r="A41" s="79">
        <f>LAVORAZIONI!G40</f>
        <v/>
      </c>
      <c r="B41" s="80">
        <f>LAVORAZIONI!A40</f>
        <v/>
      </c>
      <c r="C41" s="80">
        <f>LAVORAZIONI!K40</f>
        <v/>
      </c>
      <c r="D41" s="79">
        <f>LAVORAZIONI!M40</f>
        <v/>
      </c>
      <c r="E41" s="81">
        <f>LAVORAZIONI!N40</f>
        <v/>
      </c>
      <c r="F41" s="81">
        <f>LAVORAZIONI!O40</f>
        <v/>
      </c>
      <c r="G41" s="82">
        <f>LAVORAZIONI!P40</f>
        <v/>
      </c>
      <c r="H41" s="83">
        <f>LAVORAZIONI!U40</f>
        <v/>
      </c>
      <c r="I41" s="82">
        <f>LAVORAZIONI!V40</f>
        <v/>
      </c>
    </row>
    <row r="42">
      <c r="A42" s="84">
        <f>LAVORAZIONI!G41</f>
        <v/>
      </c>
      <c r="B42" s="85">
        <f>LAVORAZIONI!A41</f>
        <v/>
      </c>
      <c r="C42" s="85">
        <f>LAVORAZIONI!K41</f>
        <v/>
      </c>
      <c r="D42" s="84">
        <f>LAVORAZIONI!M41</f>
        <v/>
      </c>
      <c r="E42" s="86">
        <f>LAVORAZIONI!N41</f>
        <v/>
      </c>
      <c r="F42" s="86">
        <f>LAVORAZIONI!O41</f>
        <v/>
      </c>
      <c r="G42" s="87">
        <f>LAVORAZIONI!P41</f>
        <v/>
      </c>
      <c r="H42" s="88">
        <f>LAVORAZIONI!U41</f>
        <v/>
      </c>
      <c r="I42" s="87">
        <f>LAVORAZIONI!V41</f>
        <v/>
      </c>
    </row>
    <row r="43">
      <c r="A43" s="84">
        <f>LAVORAZIONI!G42</f>
        <v/>
      </c>
      <c r="B43" s="85">
        <f>LAVORAZIONI!A42</f>
        <v/>
      </c>
      <c r="C43" s="85">
        <f>LAVORAZIONI!K42</f>
        <v/>
      </c>
      <c r="D43" s="84">
        <f>LAVORAZIONI!M42</f>
        <v/>
      </c>
      <c r="E43" s="86">
        <f>LAVORAZIONI!N42</f>
        <v/>
      </c>
      <c r="F43" s="86">
        <f>LAVORAZIONI!O42</f>
        <v/>
      </c>
      <c r="G43" s="87">
        <f>LAVORAZIONI!P42</f>
        <v/>
      </c>
      <c r="H43" s="88">
        <f>LAVORAZIONI!U42</f>
        <v/>
      </c>
      <c r="I43" s="87">
        <f>LAVORAZIONI!V42</f>
        <v/>
      </c>
    </row>
    <row r="44">
      <c r="A44" s="84">
        <f>LAVORAZIONI!G43</f>
        <v/>
      </c>
      <c r="B44" s="85">
        <f>LAVORAZIONI!A43</f>
        <v/>
      </c>
      <c r="C44" s="85">
        <f>LAVORAZIONI!K43</f>
        <v/>
      </c>
      <c r="D44" s="84">
        <f>LAVORAZIONI!M43</f>
        <v/>
      </c>
      <c r="E44" s="86">
        <f>LAVORAZIONI!N43</f>
        <v/>
      </c>
      <c r="F44" s="86">
        <f>LAVORAZIONI!O43</f>
        <v/>
      </c>
      <c r="G44" s="87">
        <f>LAVORAZIONI!P43</f>
        <v/>
      </c>
      <c r="H44" s="88">
        <f>LAVORAZIONI!U43</f>
        <v/>
      </c>
      <c r="I44" s="87">
        <f>LAVORAZIONI!V43</f>
        <v/>
      </c>
    </row>
    <row r="45">
      <c r="A45" s="84">
        <f>LAVORAZIONI!G44</f>
        <v/>
      </c>
      <c r="B45" s="85">
        <f>LAVORAZIONI!A44</f>
        <v/>
      </c>
      <c r="C45" s="85">
        <f>LAVORAZIONI!K44</f>
        <v/>
      </c>
      <c r="D45" s="84">
        <f>LAVORAZIONI!M44</f>
        <v/>
      </c>
      <c r="E45" s="86">
        <f>LAVORAZIONI!N44</f>
        <v/>
      </c>
      <c r="F45" s="86">
        <f>LAVORAZIONI!O44</f>
        <v/>
      </c>
      <c r="G45" s="87">
        <f>LAVORAZIONI!P44</f>
        <v/>
      </c>
      <c r="H45" s="88">
        <f>LAVORAZIONI!U44</f>
        <v/>
      </c>
      <c r="I45" s="87">
        <f>LAVORAZIONI!V44</f>
        <v/>
      </c>
    </row>
    <row r="46">
      <c r="A46" s="84">
        <f>LAVORAZIONI!G45</f>
        <v/>
      </c>
      <c r="B46" s="85">
        <f>LAVORAZIONI!A45</f>
        <v/>
      </c>
      <c r="C46" s="85">
        <f>LAVORAZIONI!K45</f>
        <v/>
      </c>
      <c r="D46" s="84">
        <f>LAVORAZIONI!M45</f>
        <v/>
      </c>
      <c r="E46" s="86">
        <f>LAVORAZIONI!N45</f>
        <v/>
      </c>
      <c r="F46" s="86">
        <f>LAVORAZIONI!O45</f>
        <v/>
      </c>
      <c r="G46" s="87">
        <f>LAVORAZIONI!P45</f>
        <v/>
      </c>
      <c r="H46" s="88">
        <f>LAVORAZIONI!U45</f>
        <v/>
      </c>
      <c r="I46" s="87">
        <f>LAVORAZIONI!V45</f>
        <v/>
      </c>
    </row>
    <row r="47">
      <c r="A47" s="84">
        <f>LAVORAZIONI!G46</f>
        <v/>
      </c>
      <c r="B47" s="85">
        <f>LAVORAZIONI!A46</f>
        <v/>
      </c>
      <c r="C47" s="85">
        <f>LAVORAZIONI!K46</f>
        <v/>
      </c>
      <c r="D47" s="84">
        <f>LAVORAZIONI!M46</f>
        <v/>
      </c>
      <c r="E47" s="86">
        <f>LAVORAZIONI!N46</f>
        <v/>
      </c>
      <c r="F47" s="86">
        <f>LAVORAZIONI!O46</f>
        <v/>
      </c>
      <c r="G47" s="87">
        <f>LAVORAZIONI!P46</f>
        <v/>
      </c>
      <c r="H47" s="88">
        <f>LAVORAZIONI!U46</f>
        <v/>
      </c>
      <c r="I47" s="87">
        <f>LAVORAZIONI!V46</f>
        <v/>
      </c>
    </row>
    <row r="48">
      <c r="A48" s="84">
        <f>LAVORAZIONI!G47</f>
        <v/>
      </c>
      <c r="B48" s="85">
        <f>LAVORAZIONI!A47</f>
        <v/>
      </c>
      <c r="C48" s="85">
        <f>LAVORAZIONI!K47</f>
        <v/>
      </c>
      <c r="D48" s="84">
        <f>LAVORAZIONI!M47</f>
        <v/>
      </c>
      <c r="E48" s="86">
        <f>LAVORAZIONI!N47</f>
        <v/>
      </c>
      <c r="F48" s="86">
        <f>LAVORAZIONI!O47</f>
        <v/>
      </c>
      <c r="G48" s="87">
        <f>LAVORAZIONI!P47</f>
        <v/>
      </c>
      <c r="H48" s="88">
        <f>LAVORAZIONI!U47</f>
        <v/>
      </c>
      <c r="I48" s="87">
        <f>LAVORAZIONI!V47</f>
        <v/>
      </c>
    </row>
    <row r="49">
      <c r="A49" s="84">
        <f>LAVORAZIONI!G48</f>
        <v/>
      </c>
      <c r="B49" s="85">
        <f>LAVORAZIONI!A48</f>
        <v/>
      </c>
      <c r="C49" s="85">
        <f>LAVORAZIONI!K48</f>
        <v/>
      </c>
      <c r="D49" s="84">
        <f>LAVORAZIONI!M48</f>
        <v/>
      </c>
      <c r="E49" s="86">
        <f>LAVORAZIONI!N48</f>
        <v/>
      </c>
      <c r="F49" s="86">
        <f>LAVORAZIONI!O48</f>
        <v/>
      </c>
      <c r="G49" s="87">
        <f>LAVORAZIONI!P48</f>
        <v/>
      </c>
      <c r="H49" s="88">
        <f>LAVORAZIONI!U48</f>
        <v/>
      </c>
      <c r="I49" s="87">
        <f>LAVORAZIONI!V48</f>
        <v/>
      </c>
    </row>
    <row r="50">
      <c r="A50" s="84">
        <f>LAVORAZIONI!G49</f>
        <v/>
      </c>
      <c r="B50" s="85">
        <f>LAVORAZIONI!A49</f>
        <v/>
      </c>
      <c r="C50" s="85">
        <f>LAVORAZIONI!K49</f>
        <v/>
      </c>
      <c r="D50" s="84">
        <f>LAVORAZIONI!M49</f>
        <v/>
      </c>
      <c r="E50" s="86">
        <f>LAVORAZIONI!N49</f>
        <v/>
      </c>
      <c r="F50" s="86">
        <f>LAVORAZIONI!O49</f>
        <v/>
      </c>
      <c r="G50" s="87">
        <f>LAVORAZIONI!P49</f>
        <v/>
      </c>
      <c r="H50" s="88">
        <f>LAVORAZIONI!U49</f>
        <v/>
      </c>
      <c r="I50" s="87">
        <f>LAVORAZIONI!V49</f>
        <v/>
      </c>
    </row>
    <row r="51">
      <c r="A51" s="84">
        <f>LAVORAZIONI!G50</f>
        <v/>
      </c>
      <c r="B51" s="85">
        <f>LAVORAZIONI!A50</f>
        <v/>
      </c>
      <c r="C51" s="85">
        <f>LAVORAZIONI!K50</f>
        <v/>
      </c>
      <c r="D51" s="84">
        <f>LAVORAZIONI!M50</f>
        <v/>
      </c>
      <c r="E51" s="86">
        <f>LAVORAZIONI!N50</f>
        <v/>
      </c>
      <c r="F51" s="86">
        <f>LAVORAZIONI!O50</f>
        <v/>
      </c>
      <c r="G51" s="87">
        <f>LAVORAZIONI!P50</f>
        <v/>
      </c>
      <c r="H51" s="88">
        <f>LAVORAZIONI!U50</f>
        <v/>
      </c>
      <c r="I51" s="87">
        <f>LAVORAZIONI!V50</f>
        <v/>
      </c>
    </row>
    <row r="52">
      <c r="A52" s="84">
        <f>LAVORAZIONI!G51</f>
        <v/>
      </c>
      <c r="B52" s="85">
        <f>LAVORAZIONI!A51</f>
        <v/>
      </c>
      <c r="C52" s="85">
        <f>LAVORAZIONI!K51</f>
        <v/>
      </c>
      <c r="D52" s="84">
        <f>LAVORAZIONI!M51</f>
        <v/>
      </c>
      <c r="E52" s="86">
        <f>LAVORAZIONI!N51</f>
        <v/>
      </c>
      <c r="F52" s="86">
        <f>LAVORAZIONI!O51</f>
        <v/>
      </c>
      <c r="G52" s="87">
        <f>LAVORAZIONI!P51</f>
        <v/>
      </c>
      <c r="H52" s="88">
        <f>LAVORAZIONI!U51</f>
        <v/>
      </c>
      <c r="I52" s="87">
        <f>LAVORAZIONI!V51</f>
        <v/>
      </c>
    </row>
    <row r="53">
      <c r="A53" s="84">
        <f>LAVORAZIONI!G52</f>
        <v/>
      </c>
      <c r="B53" s="85">
        <f>LAVORAZIONI!A52</f>
        <v/>
      </c>
      <c r="C53" s="85">
        <f>LAVORAZIONI!K52</f>
        <v/>
      </c>
      <c r="D53" s="84">
        <f>LAVORAZIONI!M52</f>
        <v/>
      </c>
      <c r="E53" s="86">
        <f>LAVORAZIONI!N52</f>
        <v/>
      </c>
      <c r="F53" s="86">
        <f>LAVORAZIONI!O52</f>
        <v/>
      </c>
      <c r="G53" s="87">
        <f>LAVORAZIONI!P52</f>
        <v/>
      </c>
      <c r="H53" s="88">
        <f>LAVORAZIONI!U52</f>
        <v/>
      </c>
      <c r="I53" s="87">
        <f>LAVORAZIONI!V52</f>
        <v/>
      </c>
    </row>
    <row r="54">
      <c r="A54" s="84">
        <f>LAVORAZIONI!G53</f>
        <v/>
      </c>
      <c r="B54" s="85">
        <f>LAVORAZIONI!A53</f>
        <v/>
      </c>
      <c r="C54" s="85">
        <f>LAVORAZIONI!K53</f>
        <v/>
      </c>
      <c r="D54" s="84">
        <f>LAVORAZIONI!M53</f>
        <v/>
      </c>
      <c r="E54" s="86">
        <f>LAVORAZIONI!N53</f>
        <v/>
      </c>
      <c r="F54" s="86">
        <f>LAVORAZIONI!O53</f>
        <v/>
      </c>
      <c r="G54" s="87">
        <f>LAVORAZIONI!P53</f>
        <v/>
      </c>
      <c r="H54" s="88">
        <f>LAVORAZIONI!U53</f>
        <v/>
      </c>
      <c r="I54" s="87">
        <f>LAVORAZIONI!V53</f>
        <v/>
      </c>
    </row>
    <row r="55">
      <c r="A55" s="84">
        <f>LAVORAZIONI!G54</f>
        <v/>
      </c>
      <c r="B55" s="85">
        <f>LAVORAZIONI!A54</f>
        <v/>
      </c>
      <c r="C55" s="85">
        <f>LAVORAZIONI!K54</f>
        <v/>
      </c>
      <c r="D55" s="84">
        <f>LAVORAZIONI!M54</f>
        <v/>
      </c>
      <c r="E55" s="86">
        <f>LAVORAZIONI!N54</f>
        <v/>
      </c>
      <c r="F55" s="86">
        <f>LAVORAZIONI!O54</f>
        <v/>
      </c>
      <c r="G55" s="87">
        <f>LAVORAZIONI!P54</f>
        <v/>
      </c>
      <c r="H55" s="88">
        <f>LAVORAZIONI!U54</f>
        <v/>
      </c>
      <c r="I55" s="87">
        <f>LAVORAZIONI!V54</f>
        <v/>
      </c>
    </row>
    <row r="56">
      <c r="A56" s="84">
        <f>LAVORAZIONI!G55</f>
        <v/>
      </c>
      <c r="B56" s="85">
        <f>LAVORAZIONI!A55</f>
        <v/>
      </c>
      <c r="C56" s="85">
        <f>LAVORAZIONI!K55</f>
        <v/>
      </c>
      <c r="D56" s="84">
        <f>LAVORAZIONI!M55</f>
        <v/>
      </c>
      <c r="E56" s="86">
        <f>LAVORAZIONI!N55</f>
        <v/>
      </c>
      <c r="F56" s="86">
        <f>LAVORAZIONI!O55</f>
        <v/>
      </c>
      <c r="G56" s="87">
        <f>LAVORAZIONI!P55</f>
        <v/>
      </c>
      <c r="H56" s="88">
        <f>LAVORAZIONI!U55</f>
        <v/>
      </c>
      <c r="I56" s="87">
        <f>LAVORAZIONI!V55</f>
        <v/>
      </c>
    </row>
    <row r="57">
      <c r="A57" s="84">
        <f>LAVORAZIONI!G56</f>
        <v/>
      </c>
      <c r="B57" s="85">
        <f>LAVORAZIONI!A56</f>
        <v/>
      </c>
      <c r="C57" s="85">
        <f>LAVORAZIONI!K56</f>
        <v/>
      </c>
      <c r="D57" s="84">
        <f>LAVORAZIONI!M56</f>
        <v/>
      </c>
      <c r="E57" s="86">
        <f>LAVORAZIONI!N56</f>
        <v/>
      </c>
      <c r="F57" s="86">
        <f>LAVORAZIONI!O56</f>
        <v/>
      </c>
      <c r="G57" s="87">
        <f>LAVORAZIONI!P56</f>
        <v/>
      </c>
      <c r="H57" s="88">
        <f>LAVORAZIONI!U56</f>
        <v/>
      </c>
      <c r="I57" s="87">
        <f>LAVORAZIONI!V56</f>
        <v/>
      </c>
    </row>
    <row r="58">
      <c r="A58" s="84">
        <f>LAVORAZIONI!G57</f>
        <v/>
      </c>
      <c r="B58" s="85">
        <f>LAVORAZIONI!A57</f>
        <v/>
      </c>
      <c r="C58" s="85">
        <f>LAVORAZIONI!K57</f>
        <v/>
      </c>
      <c r="D58" s="84">
        <f>LAVORAZIONI!M57</f>
        <v/>
      </c>
      <c r="E58" s="86">
        <f>LAVORAZIONI!N57</f>
        <v/>
      </c>
      <c r="F58" s="86">
        <f>LAVORAZIONI!O57</f>
        <v/>
      </c>
      <c r="G58" s="87">
        <f>LAVORAZIONI!P57</f>
        <v/>
      </c>
      <c r="H58" s="88">
        <f>LAVORAZIONI!U57</f>
        <v/>
      </c>
      <c r="I58" s="87">
        <f>LAVORAZIONI!V57</f>
        <v/>
      </c>
    </row>
    <row r="59">
      <c r="A59" s="84">
        <f>LAVORAZIONI!G58</f>
        <v/>
      </c>
      <c r="B59" s="85">
        <f>LAVORAZIONI!A58</f>
        <v/>
      </c>
      <c r="C59" s="85">
        <f>LAVORAZIONI!K58</f>
        <v/>
      </c>
      <c r="D59" s="84">
        <f>LAVORAZIONI!M58</f>
        <v/>
      </c>
      <c r="E59" s="86">
        <f>LAVORAZIONI!N58</f>
        <v/>
      </c>
      <c r="F59" s="86">
        <f>LAVORAZIONI!O58</f>
        <v/>
      </c>
      <c r="G59" s="87">
        <f>LAVORAZIONI!P58</f>
        <v/>
      </c>
      <c r="H59" s="88">
        <f>LAVORAZIONI!U58</f>
        <v/>
      </c>
      <c r="I59" s="87">
        <f>LAVORAZIONI!V58</f>
        <v/>
      </c>
    </row>
    <row r="60">
      <c r="A60" s="84">
        <f>LAVORAZIONI!G59</f>
        <v/>
      </c>
      <c r="B60" s="85">
        <f>LAVORAZIONI!A59</f>
        <v/>
      </c>
      <c r="C60" s="85">
        <f>LAVORAZIONI!K59</f>
        <v/>
      </c>
      <c r="D60" s="84">
        <f>LAVORAZIONI!M59</f>
        <v/>
      </c>
      <c r="E60" s="86">
        <f>LAVORAZIONI!N59</f>
        <v/>
      </c>
      <c r="F60" s="86">
        <f>LAVORAZIONI!O59</f>
        <v/>
      </c>
      <c r="G60" s="87">
        <f>LAVORAZIONI!P59</f>
        <v/>
      </c>
      <c r="H60" s="88">
        <f>LAVORAZIONI!U59</f>
        <v/>
      </c>
      <c r="I60" s="87">
        <f>LAVORAZIONI!V59</f>
        <v/>
      </c>
    </row>
    <row r="61">
      <c r="A61" s="84">
        <f>LAVORAZIONI!G60</f>
        <v/>
      </c>
      <c r="B61" s="85">
        <f>LAVORAZIONI!A60</f>
        <v/>
      </c>
      <c r="C61" s="85">
        <f>LAVORAZIONI!K60</f>
        <v/>
      </c>
      <c r="D61" s="84">
        <f>LAVORAZIONI!M60</f>
        <v/>
      </c>
      <c r="E61" s="86">
        <f>LAVORAZIONI!N60</f>
        <v/>
      </c>
      <c r="F61" s="86">
        <f>LAVORAZIONI!O60</f>
        <v/>
      </c>
      <c r="G61" s="87">
        <f>LAVORAZIONI!P60</f>
        <v/>
      </c>
      <c r="H61" s="88">
        <f>LAVORAZIONI!U60</f>
        <v/>
      </c>
      <c r="I61" s="87">
        <f>LAVORAZIONI!V60</f>
        <v/>
      </c>
    </row>
    <row r="62">
      <c r="A62" s="84">
        <f>LAVORAZIONI!G61</f>
        <v/>
      </c>
      <c r="B62" s="85">
        <f>LAVORAZIONI!A61</f>
        <v/>
      </c>
      <c r="C62" s="85">
        <f>LAVORAZIONI!K61</f>
        <v/>
      </c>
      <c r="D62" s="84">
        <f>LAVORAZIONI!M61</f>
        <v/>
      </c>
      <c r="E62" s="86">
        <f>LAVORAZIONI!N61</f>
        <v/>
      </c>
      <c r="F62" s="86">
        <f>LAVORAZIONI!O61</f>
        <v/>
      </c>
      <c r="G62" s="87">
        <f>LAVORAZIONI!P61</f>
        <v/>
      </c>
      <c r="H62" s="88">
        <f>LAVORAZIONI!U61</f>
        <v/>
      </c>
      <c r="I62" s="87">
        <f>LAVORAZIONI!V61</f>
        <v/>
      </c>
    </row>
    <row r="63">
      <c r="A63" s="84">
        <f>LAVORAZIONI!G62</f>
        <v/>
      </c>
      <c r="B63" s="85">
        <f>LAVORAZIONI!A62</f>
        <v/>
      </c>
      <c r="C63" s="85">
        <f>LAVORAZIONI!K62</f>
        <v/>
      </c>
      <c r="D63" s="84">
        <f>LAVORAZIONI!M62</f>
        <v/>
      </c>
      <c r="E63" s="86">
        <f>LAVORAZIONI!N62</f>
        <v/>
      </c>
      <c r="F63" s="86">
        <f>LAVORAZIONI!O62</f>
        <v/>
      </c>
      <c r="G63" s="87">
        <f>LAVORAZIONI!P62</f>
        <v/>
      </c>
      <c r="H63" s="88">
        <f>LAVORAZIONI!U62</f>
        <v/>
      </c>
      <c r="I63" s="87">
        <f>LAVORAZIONI!V62</f>
        <v/>
      </c>
    </row>
    <row r="64">
      <c r="A64" s="84">
        <f>LAVORAZIONI!G63</f>
        <v/>
      </c>
      <c r="B64" s="85">
        <f>LAVORAZIONI!A63</f>
        <v/>
      </c>
      <c r="C64" s="85">
        <f>LAVORAZIONI!K63</f>
        <v/>
      </c>
      <c r="D64" s="84">
        <f>LAVORAZIONI!M63</f>
        <v/>
      </c>
      <c r="E64" s="86">
        <f>LAVORAZIONI!N63</f>
        <v/>
      </c>
      <c r="F64" s="86">
        <f>LAVORAZIONI!O63</f>
        <v/>
      </c>
      <c r="G64" s="87">
        <f>LAVORAZIONI!P63</f>
        <v/>
      </c>
      <c r="H64" s="88">
        <f>LAVORAZIONI!U63</f>
        <v/>
      </c>
      <c r="I64" s="87">
        <f>LAVORAZIONI!V63</f>
        <v/>
      </c>
    </row>
    <row r="65">
      <c r="A65" s="84">
        <f>LAVORAZIONI!G64</f>
        <v/>
      </c>
      <c r="B65" s="85">
        <f>LAVORAZIONI!A64</f>
        <v/>
      </c>
      <c r="C65" s="85">
        <f>LAVORAZIONI!K64</f>
        <v/>
      </c>
      <c r="D65" s="84">
        <f>LAVORAZIONI!M64</f>
        <v/>
      </c>
      <c r="E65" s="86">
        <f>LAVORAZIONI!N64</f>
        <v/>
      </c>
      <c r="F65" s="86">
        <f>LAVORAZIONI!O64</f>
        <v/>
      </c>
      <c r="G65" s="87">
        <f>LAVORAZIONI!P64</f>
        <v/>
      </c>
      <c r="H65" s="88">
        <f>LAVORAZIONI!U64</f>
        <v/>
      </c>
      <c r="I65" s="87">
        <f>LAVORAZIONI!V64</f>
        <v/>
      </c>
    </row>
    <row r="66">
      <c r="A66" s="84">
        <f>LAVORAZIONI!G65</f>
        <v/>
      </c>
      <c r="B66" s="85">
        <f>LAVORAZIONI!A65</f>
        <v/>
      </c>
      <c r="C66" s="85">
        <f>LAVORAZIONI!K65</f>
        <v/>
      </c>
      <c r="D66" s="84">
        <f>LAVORAZIONI!M65</f>
        <v/>
      </c>
      <c r="E66" s="86">
        <f>LAVORAZIONI!N65</f>
        <v/>
      </c>
      <c r="F66" s="86">
        <f>LAVORAZIONI!O65</f>
        <v/>
      </c>
      <c r="G66" s="87">
        <f>LAVORAZIONI!P65</f>
        <v/>
      </c>
      <c r="H66" s="88">
        <f>LAVORAZIONI!U65</f>
        <v/>
      </c>
      <c r="I66" s="87">
        <f>LAVORAZIONI!V65</f>
        <v/>
      </c>
    </row>
    <row r="67">
      <c r="A67" s="84">
        <f>LAVORAZIONI!G66</f>
        <v/>
      </c>
      <c r="B67" s="85">
        <f>LAVORAZIONI!A66</f>
        <v/>
      </c>
      <c r="C67" s="85">
        <f>LAVORAZIONI!K66</f>
        <v/>
      </c>
      <c r="D67" s="84">
        <f>LAVORAZIONI!M66</f>
        <v/>
      </c>
      <c r="E67" s="86">
        <f>LAVORAZIONI!N66</f>
        <v/>
      </c>
      <c r="F67" s="86">
        <f>LAVORAZIONI!O66</f>
        <v/>
      </c>
      <c r="G67" s="87">
        <f>LAVORAZIONI!P66</f>
        <v/>
      </c>
      <c r="H67" s="88">
        <f>LAVORAZIONI!U66</f>
        <v/>
      </c>
      <c r="I67" s="87">
        <f>LAVORAZIONI!V66</f>
        <v/>
      </c>
    </row>
    <row r="68">
      <c r="A68" s="84">
        <f>LAVORAZIONI!G67</f>
        <v/>
      </c>
      <c r="B68" s="85">
        <f>LAVORAZIONI!A67</f>
        <v/>
      </c>
      <c r="C68" s="85">
        <f>LAVORAZIONI!K67</f>
        <v/>
      </c>
      <c r="D68" s="84">
        <f>LAVORAZIONI!M67</f>
        <v/>
      </c>
      <c r="E68" s="86">
        <f>LAVORAZIONI!N67</f>
        <v/>
      </c>
      <c r="F68" s="86">
        <f>LAVORAZIONI!O67</f>
        <v/>
      </c>
      <c r="G68" s="87">
        <f>LAVORAZIONI!P67</f>
        <v/>
      </c>
      <c r="H68" s="88">
        <f>LAVORAZIONI!U67</f>
        <v/>
      </c>
      <c r="I68" s="87">
        <f>LAVORAZIONI!V67</f>
        <v/>
      </c>
    </row>
    <row r="69">
      <c r="A69" s="84">
        <f>LAVORAZIONI!G68</f>
        <v/>
      </c>
      <c r="B69" s="85">
        <f>LAVORAZIONI!A68</f>
        <v/>
      </c>
      <c r="C69" s="85">
        <f>LAVORAZIONI!K68</f>
        <v/>
      </c>
      <c r="D69" s="84">
        <f>LAVORAZIONI!M68</f>
        <v/>
      </c>
      <c r="E69" s="86">
        <f>LAVORAZIONI!N68</f>
        <v/>
      </c>
      <c r="F69" s="86">
        <f>LAVORAZIONI!O68</f>
        <v/>
      </c>
      <c r="G69" s="87">
        <f>LAVORAZIONI!P68</f>
        <v/>
      </c>
      <c r="H69" s="88">
        <f>LAVORAZIONI!U68</f>
        <v/>
      </c>
      <c r="I69" s="87">
        <f>LAVORAZIONI!V68</f>
        <v/>
      </c>
    </row>
    <row r="70">
      <c r="A70" s="84">
        <f>LAVORAZIONI!G69</f>
        <v/>
      </c>
      <c r="B70" s="85">
        <f>LAVORAZIONI!A69</f>
        <v/>
      </c>
      <c r="C70" s="85">
        <f>LAVORAZIONI!K69</f>
        <v/>
      </c>
      <c r="D70" s="84">
        <f>LAVORAZIONI!M69</f>
        <v/>
      </c>
      <c r="E70" s="86">
        <f>LAVORAZIONI!N69</f>
        <v/>
      </c>
      <c r="F70" s="86">
        <f>LAVORAZIONI!O69</f>
        <v/>
      </c>
      <c r="G70" s="87">
        <f>LAVORAZIONI!P69</f>
        <v/>
      </c>
      <c r="H70" s="88">
        <f>LAVORAZIONI!U69</f>
        <v/>
      </c>
      <c r="I70" s="87">
        <f>LAVORAZIONI!V69</f>
        <v/>
      </c>
    </row>
    <row r="71">
      <c r="A71" s="84">
        <f>LAVORAZIONI!G70</f>
        <v/>
      </c>
      <c r="B71" s="85">
        <f>LAVORAZIONI!A70</f>
        <v/>
      </c>
      <c r="C71" s="85">
        <f>LAVORAZIONI!K70</f>
        <v/>
      </c>
      <c r="D71" s="84">
        <f>LAVORAZIONI!M70</f>
        <v/>
      </c>
      <c r="E71" s="86">
        <f>LAVORAZIONI!N70</f>
        <v/>
      </c>
      <c r="F71" s="86">
        <f>LAVORAZIONI!O70</f>
        <v/>
      </c>
      <c r="G71" s="87">
        <f>LAVORAZIONI!P70</f>
        <v/>
      </c>
      <c r="H71" s="88">
        <f>LAVORAZIONI!U70</f>
        <v/>
      </c>
      <c r="I71" s="87">
        <f>LAVORAZIONI!V70</f>
        <v/>
      </c>
    </row>
    <row r="72">
      <c r="A72" s="84">
        <f>LAVORAZIONI!G71</f>
        <v/>
      </c>
      <c r="B72" s="85">
        <f>LAVORAZIONI!A71</f>
        <v/>
      </c>
      <c r="C72" s="85">
        <f>LAVORAZIONI!K71</f>
        <v/>
      </c>
      <c r="D72" s="84">
        <f>LAVORAZIONI!M71</f>
        <v/>
      </c>
      <c r="E72" s="86">
        <f>LAVORAZIONI!N71</f>
        <v/>
      </c>
      <c r="F72" s="86">
        <f>LAVORAZIONI!O71</f>
        <v/>
      </c>
      <c r="G72" s="87">
        <f>LAVORAZIONI!P71</f>
        <v/>
      </c>
      <c r="H72" s="88">
        <f>LAVORAZIONI!U71</f>
        <v/>
      </c>
      <c r="I72" s="87">
        <f>LAVORAZIONI!V71</f>
        <v/>
      </c>
    </row>
    <row r="73">
      <c r="A73" s="84">
        <f>LAVORAZIONI!G72</f>
        <v/>
      </c>
      <c r="B73" s="85">
        <f>LAVORAZIONI!A72</f>
        <v/>
      </c>
      <c r="C73" s="85">
        <f>LAVORAZIONI!K72</f>
        <v/>
      </c>
      <c r="D73" s="84">
        <f>LAVORAZIONI!M72</f>
        <v/>
      </c>
      <c r="E73" s="86">
        <f>LAVORAZIONI!N72</f>
        <v/>
      </c>
      <c r="F73" s="86">
        <f>LAVORAZIONI!O72</f>
        <v/>
      </c>
      <c r="G73" s="87">
        <f>LAVORAZIONI!P72</f>
        <v/>
      </c>
      <c r="H73" s="88">
        <f>LAVORAZIONI!U72</f>
        <v/>
      </c>
      <c r="I73" s="87">
        <f>LAVORAZIONI!V72</f>
        <v/>
      </c>
    </row>
    <row r="74">
      <c r="A74" s="84">
        <f>LAVORAZIONI!G73</f>
        <v/>
      </c>
      <c r="B74" s="85">
        <f>LAVORAZIONI!A73</f>
        <v/>
      </c>
      <c r="C74" s="85">
        <f>LAVORAZIONI!K73</f>
        <v/>
      </c>
      <c r="D74" s="84">
        <f>LAVORAZIONI!M73</f>
        <v/>
      </c>
      <c r="E74" s="86">
        <f>LAVORAZIONI!N73</f>
        <v/>
      </c>
      <c r="F74" s="86">
        <f>LAVORAZIONI!O73</f>
        <v/>
      </c>
      <c r="G74" s="87">
        <f>LAVORAZIONI!P73</f>
        <v/>
      </c>
      <c r="H74" s="88">
        <f>LAVORAZIONI!U73</f>
        <v/>
      </c>
      <c r="I74" s="87">
        <f>LAVORAZIONI!V73</f>
        <v/>
      </c>
    </row>
    <row r="75">
      <c r="A75" s="84">
        <f>LAVORAZIONI!G74</f>
        <v/>
      </c>
      <c r="B75" s="85">
        <f>LAVORAZIONI!A74</f>
        <v/>
      </c>
      <c r="C75" s="85">
        <f>LAVORAZIONI!K74</f>
        <v/>
      </c>
      <c r="D75" s="84">
        <f>LAVORAZIONI!M74</f>
        <v/>
      </c>
      <c r="E75" s="86">
        <f>LAVORAZIONI!N74</f>
        <v/>
      </c>
      <c r="F75" s="86">
        <f>LAVORAZIONI!O74</f>
        <v/>
      </c>
      <c r="G75" s="87">
        <f>LAVORAZIONI!P74</f>
        <v/>
      </c>
      <c r="H75" s="88">
        <f>LAVORAZIONI!U74</f>
        <v/>
      </c>
      <c r="I75" s="87">
        <f>LAVORAZIONI!V74</f>
        <v/>
      </c>
    </row>
    <row r="76">
      <c r="A76" s="84">
        <f>LAVORAZIONI!G75</f>
        <v/>
      </c>
      <c r="B76" s="85">
        <f>LAVORAZIONI!A75</f>
        <v/>
      </c>
      <c r="C76" s="85">
        <f>LAVORAZIONI!K75</f>
        <v/>
      </c>
      <c r="D76" s="84">
        <f>LAVORAZIONI!M75</f>
        <v/>
      </c>
      <c r="E76" s="86">
        <f>LAVORAZIONI!N75</f>
        <v/>
      </c>
      <c r="F76" s="86">
        <f>LAVORAZIONI!O75</f>
        <v/>
      </c>
      <c r="G76" s="87">
        <f>LAVORAZIONI!P75</f>
        <v/>
      </c>
      <c r="H76" s="88">
        <f>LAVORAZIONI!U75</f>
        <v/>
      </c>
      <c r="I76" s="87">
        <f>LAVORAZIONI!V75</f>
        <v/>
      </c>
    </row>
    <row r="77">
      <c r="A77" s="84">
        <f>LAVORAZIONI!G76</f>
        <v/>
      </c>
      <c r="B77" s="85">
        <f>LAVORAZIONI!A76</f>
        <v/>
      </c>
      <c r="C77" s="85">
        <f>LAVORAZIONI!K76</f>
        <v/>
      </c>
      <c r="D77" s="84">
        <f>LAVORAZIONI!M76</f>
        <v/>
      </c>
      <c r="E77" s="86">
        <f>LAVORAZIONI!N76</f>
        <v/>
      </c>
      <c r="F77" s="86">
        <f>LAVORAZIONI!O76</f>
        <v/>
      </c>
      <c r="G77" s="87">
        <f>LAVORAZIONI!P76</f>
        <v/>
      </c>
      <c r="H77" s="88">
        <f>LAVORAZIONI!U76</f>
        <v/>
      </c>
      <c r="I77" s="87">
        <f>LAVORAZIONI!V76</f>
        <v/>
      </c>
    </row>
    <row r="78">
      <c r="A78" s="84">
        <f>LAVORAZIONI!G77</f>
        <v/>
      </c>
      <c r="B78" s="85">
        <f>LAVORAZIONI!A77</f>
        <v/>
      </c>
      <c r="C78" s="85">
        <f>LAVORAZIONI!K77</f>
        <v/>
      </c>
      <c r="D78" s="84">
        <f>LAVORAZIONI!M77</f>
        <v/>
      </c>
      <c r="E78" s="86">
        <f>LAVORAZIONI!N77</f>
        <v/>
      </c>
      <c r="F78" s="86">
        <f>LAVORAZIONI!O77</f>
        <v/>
      </c>
      <c r="G78" s="87">
        <f>LAVORAZIONI!P77</f>
        <v/>
      </c>
      <c r="H78" s="88">
        <f>LAVORAZIONI!U77</f>
        <v/>
      </c>
      <c r="I78" s="87">
        <f>LAVORAZIONI!V77</f>
        <v/>
      </c>
    </row>
    <row r="79">
      <c r="A79" s="84">
        <f>LAVORAZIONI!G78</f>
        <v/>
      </c>
      <c r="B79" s="85">
        <f>LAVORAZIONI!A78</f>
        <v/>
      </c>
      <c r="C79" s="85">
        <f>LAVORAZIONI!K78</f>
        <v/>
      </c>
      <c r="D79" s="84">
        <f>LAVORAZIONI!M78</f>
        <v/>
      </c>
      <c r="E79" s="86">
        <f>LAVORAZIONI!N78</f>
        <v/>
      </c>
      <c r="F79" s="86">
        <f>LAVORAZIONI!O78</f>
        <v/>
      </c>
      <c r="G79" s="87">
        <f>LAVORAZIONI!P78</f>
        <v/>
      </c>
      <c r="H79" s="88">
        <f>LAVORAZIONI!U78</f>
        <v/>
      </c>
      <c r="I79" s="87">
        <f>LAVORAZIONI!V78</f>
        <v/>
      </c>
    </row>
    <row r="80">
      <c r="A80" s="84">
        <f>LAVORAZIONI!G79</f>
        <v/>
      </c>
      <c r="B80" s="85">
        <f>LAVORAZIONI!A79</f>
        <v/>
      </c>
      <c r="C80" s="85">
        <f>LAVORAZIONI!K79</f>
        <v/>
      </c>
      <c r="D80" s="84">
        <f>LAVORAZIONI!M79</f>
        <v/>
      </c>
      <c r="E80" s="86">
        <f>LAVORAZIONI!N79</f>
        <v/>
      </c>
      <c r="F80" s="86">
        <f>LAVORAZIONI!O79</f>
        <v/>
      </c>
      <c r="G80" s="87">
        <f>LAVORAZIONI!P79</f>
        <v/>
      </c>
      <c r="H80" s="88">
        <f>LAVORAZIONI!U79</f>
        <v/>
      </c>
      <c r="I80" s="87">
        <f>LAVORAZIONI!V79</f>
        <v/>
      </c>
    </row>
    <row r="81">
      <c r="A81" s="84">
        <f>LAVORAZIONI!G80</f>
        <v/>
      </c>
      <c r="B81" s="85">
        <f>LAVORAZIONI!A80</f>
        <v/>
      </c>
      <c r="C81" s="85">
        <f>LAVORAZIONI!K80</f>
        <v/>
      </c>
      <c r="D81" s="84">
        <f>LAVORAZIONI!M80</f>
        <v/>
      </c>
      <c r="E81" s="86">
        <f>LAVORAZIONI!N80</f>
        <v/>
      </c>
      <c r="F81" s="86">
        <f>LAVORAZIONI!O80</f>
        <v/>
      </c>
      <c r="G81" s="87">
        <f>LAVORAZIONI!P80</f>
        <v/>
      </c>
      <c r="H81" s="88">
        <f>LAVORAZIONI!U80</f>
        <v/>
      </c>
      <c r="I81" s="87">
        <f>LAVORAZIONI!V80</f>
        <v/>
      </c>
    </row>
    <row r="82">
      <c r="A82" s="84">
        <f>LAVORAZIONI!G81</f>
        <v/>
      </c>
      <c r="B82" s="85">
        <f>LAVORAZIONI!A81</f>
        <v/>
      </c>
      <c r="C82" s="85">
        <f>LAVORAZIONI!K81</f>
        <v/>
      </c>
      <c r="D82" s="84">
        <f>LAVORAZIONI!M81</f>
        <v/>
      </c>
      <c r="E82" s="86">
        <f>LAVORAZIONI!N81</f>
        <v/>
      </c>
      <c r="F82" s="86">
        <f>LAVORAZIONI!O81</f>
        <v/>
      </c>
      <c r="G82" s="87">
        <f>LAVORAZIONI!P81</f>
        <v/>
      </c>
      <c r="H82" s="88">
        <f>LAVORAZIONI!U81</f>
        <v/>
      </c>
      <c r="I82" s="87">
        <f>LAVORAZIONI!V81</f>
        <v/>
      </c>
    </row>
    <row r="83">
      <c r="A83" s="84">
        <f>LAVORAZIONI!G82</f>
        <v/>
      </c>
      <c r="B83" s="85">
        <f>LAVORAZIONI!A82</f>
        <v/>
      </c>
      <c r="C83" s="85">
        <f>LAVORAZIONI!K82</f>
        <v/>
      </c>
      <c r="D83" s="84">
        <f>LAVORAZIONI!M82</f>
        <v/>
      </c>
      <c r="E83" s="86">
        <f>LAVORAZIONI!N82</f>
        <v/>
      </c>
      <c r="F83" s="86">
        <f>LAVORAZIONI!O82</f>
        <v/>
      </c>
      <c r="G83" s="87">
        <f>LAVORAZIONI!P82</f>
        <v/>
      </c>
      <c r="H83" s="88">
        <f>LAVORAZIONI!U82</f>
        <v/>
      </c>
      <c r="I83" s="87">
        <f>LAVORAZIONI!V82</f>
        <v/>
      </c>
    </row>
    <row r="84">
      <c r="A84" s="84">
        <f>LAVORAZIONI!G83</f>
        <v/>
      </c>
      <c r="B84" s="85">
        <f>LAVORAZIONI!A83</f>
        <v/>
      </c>
      <c r="C84" s="85">
        <f>LAVORAZIONI!K83</f>
        <v/>
      </c>
      <c r="D84" s="84">
        <f>LAVORAZIONI!M83</f>
        <v/>
      </c>
      <c r="E84" s="86">
        <f>LAVORAZIONI!N83</f>
        <v/>
      </c>
      <c r="F84" s="86">
        <f>LAVORAZIONI!O83</f>
        <v/>
      </c>
      <c r="G84" s="87">
        <f>LAVORAZIONI!P83</f>
        <v/>
      </c>
      <c r="H84" s="88">
        <f>LAVORAZIONI!U83</f>
        <v/>
      </c>
      <c r="I84" s="87">
        <f>LAVORAZIONI!V83</f>
        <v/>
      </c>
    </row>
    <row r="85">
      <c r="A85" s="84">
        <f>LAVORAZIONI!G84</f>
        <v/>
      </c>
      <c r="B85" s="85">
        <f>LAVORAZIONI!A84</f>
        <v/>
      </c>
      <c r="C85" s="85">
        <f>LAVORAZIONI!K84</f>
        <v/>
      </c>
      <c r="D85" s="84">
        <f>LAVORAZIONI!M84</f>
        <v/>
      </c>
      <c r="E85" s="86">
        <f>LAVORAZIONI!N84</f>
        <v/>
      </c>
      <c r="F85" s="86">
        <f>LAVORAZIONI!O84</f>
        <v/>
      </c>
      <c r="G85" s="87">
        <f>LAVORAZIONI!P84</f>
        <v/>
      </c>
      <c r="H85" s="88">
        <f>LAVORAZIONI!U84</f>
        <v/>
      </c>
      <c r="I85" s="87">
        <f>LAVORAZIONI!V84</f>
        <v/>
      </c>
    </row>
    <row r="86">
      <c r="A86" s="84">
        <f>LAVORAZIONI!G85</f>
        <v/>
      </c>
      <c r="B86" s="85">
        <f>LAVORAZIONI!A85</f>
        <v/>
      </c>
      <c r="C86" s="85">
        <f>LAVORAZIONI!K85</f>
        <v/>
      </c>
      <c r="D86" s="84">
        <f>LAVORAZIONI!M85</f>
        <v/>
      </c>
      <c r="E86" s="86">
        <f>LAVORAZIONI!N85</f>
        <v/>
      </c>
      <c r="F86" s="86">
        <f>LAVORAZIONI!O85</f>
        <v/>
      </c>
      <c r="G86" s="87">
        <f>LAVORAZIONI!P85</f>
        <v/>
      </c>
      <c r="H86" s="88">
        <f>LAVORAZIONI!U85</f>
        <v/>
      </c>
      <c r="I86" s="87">
        <f>LAVORAZIONI!V85</f>
        <v/>
      </c>
    </row>
    <row r="87">
      <c r="A87" s="84">
        <f>LAVORAZIONI!G86</f>
        <v/>
      </c>
      <c r="B87" s="85">
        <f>LAVORAZIONI!A86</f>
        <v/>
      </c>
      <c r="C87" s="85">
        <f>LAVORAZIONI!K86</f>
        <v/>
      </c>
      <c r="D87" s="84">
        <f>LAVORAZIONI!M86</f>
        <v/>
      </c>
      <c r="E87" s="86">
        <f>LAVORAZIONI!N86</f>
        <v/>
      </c>
      <c r="F87" s="86">
        <f>LAVORAZIONI!O86</f>
        <v/>
      </c>
      <c r="G87" s="87">
        <f>LAVORAZIONI!P86</f>
        <v/>
      </c>
      <c r="H87" s="88">
        <f>LAVORAZIONI!U86</f>
        <v/>
      </c>
      <c r="I87" s="87">
        <f>LAVORAZIONI!V86</f>
        <v/>
      </c>
    </row>
    <row r="88">
      <c r="A88" s="84">
        <f>LAVORAZIONI!G87</f>
        <v/>
      </c>
      <c r="B88" s="85">
        <f>LAVORAZIONI!A87</f>
        <v/>
      </c>
      <c r="C88" s="85">
        <f>LAVORAZIONI!K87</f>
        <v/>
      </c>
      <c r="D88" s="84">
        <f>LAVORAZIONI!M87</f>
        <v/>
      </c>
      <c r="E88" s="86">
        <f>LAVORAZIONI!N87</f>
        <v/>
      </c>
      <c r="F88" s="86">
        <f>LAVORAZIONI!O87</f>
        <v/>
      </c>
      <c r="G88" s="87">
        <f>LAVORAZIONI!P87</f>
        <v/>
      </c>
      <c r="H88" s="88">
        <f>LAVORAZIONI!U87</f>
        <v/>
      </c>
      <c r="I88" s="87">
        <f>LAVORAZIONI!V87</f>
        <v/>
      </c>
    </row>
    <row r="89">
      <c r="A89" s="84">
        <f>LAVORAZIONI!G88</f>
        <v/>
      </c>
      <c r="B89" s="85">
        <f>LAVORAZIONI!A88</f>
        <v/>
      </c>
      <c r="C89" s="85">
        <f>LAVORAZIONI!K88</f>
        <v/>
      </c>
      <c r="D89" s="84">
        <f>LAVORAZIONI!M88</f>
        <v/>
      </c>
      <c r="E89" s="86">
        <f>LAVORAZIONI!N88</f>
        <v/>
      </c>
      <c r="F89" s="86">
        <f>LAVORAZIONI!O88</f>
        <v/>
      </c>
      <c r="G89" s="87">
        <f>LAVORAZIONI!P88</f>
        <v/>
      </c>
      <c r="H89" s="88">
        <f>LAVORAZIONI!U88</f>
        <v/>
      </c>
      <c r="I89" s="87">
        <f>LAVORAZIONI!V88</f>
        <v/>
      </c>
    </row>
    <row r="90">
      <c r="A90" s="84">
        <f>LAVORAZIONI!G89</f>
        <v/>
      </c>
      <c r="B90" s="85">
        <f>LAVORAZIONI!A89</f>
        <v/>
      </c>
      <c r="C90" s="85">
        <f>LAVORAZIONI!K89</f>
        <v/>
      </c>
      <c r="D90" s="84">
        <f>LAVORAZIONI!M89</f>
        <v/>
      </c>
      <c r="E90" s="86">
        <f>LAVORAZIONI!N89</f>
        <v/>
      </c>
      <c r="F90" s="86">
        <f>LAVORAZIONI!O89</f>
        <v/>
      </c>
      <c r="G90" s="87">
        <f>LAVORAZIONI!P89</f>
        <v/>
      </c>
      <c r="H90" s="88">
        <f>LAVORAZIONI!U89</f>
        <v/>
      </c>
      <c r="I90" s="87">
        <f>LAVORAZIONI!V89</f>
        <v/>
      </c>
    </row>
    <row r="91">
      <c r="A91" s="79">
        <f>LAVORAZIONI!G90</f>
        <v/>
      </c>
      <c r="B91" s="80">
        <f>LAVORAZIONI!A90</f>
        <v/>
      </c>
      <c r="C91" s="80">
        <f>LAVORAZIONI!K90</f>
        <v/>
      </c>
      <c r="D91" s="79">
        <f>LAVORAZIONI!M90</f>
        <v/>
      </c>
      <c r="E91" s="81">
        <f>LAVORAZIONI!N90</f>
        <v/>
      </c>
      <c r="F91" s="81">
        <f>LAVORAZIONI!O90</f>
        <v/>
      </c>
      <c r="G91" s="82">
        <f>LAVORAZIONI!P90</f>
        <v/>
      </c>
      <c r="H91" s="83">
        <f>LAVORAZIONI!U90</f>
        <v/>
      </c>
      <c r="I91" s="82">
        <f>LAVORAZIONI!V90</f>
        <v/>
      </c>
    </row>
    <row r="92">
      <c r="A92" s="84">
        <f>LAVORAZIONI!G91</f>
        <v/>
      </c>
      <c r="B92" s="85">
        <f>LAVORAZIONI!A91</f>
        <v/>
      </c>
      <c r="C92" s="85">
        <f>LAVORAZIONI!K91</f>
        <v/>
      </c>
      <c r="D92" s="84">
        <f>LAVORAZIONI!M91</f>
        <v/>
      </c>
      <c r="E92" s="86">
        <f>LAVORAZIONI!N91</f>
        <v/>
      </c>
      <c r="F92" s="86">
        <f>LAVORAZIONI!O91</f>
        <v/>
      </c>
      <c r="G92" s="87">
        <f>LAVORAZIONI!P91</f>
        <v/>
      </c>
      <c r="H92" s="88">
        <f>LAVORAZIONI!U91</f>
        <v/>
      </c>
      <c r="I92" s="87">
        <f>LAVORAZIONI!V91</f>
        <v/>
      </c>
    </row>
    <row r="93">
      <c r="A93" s="84">
        <f>LAVORAZIONI!G92</f>
        <v/>
      </c>
      <c r="B93" s="85">
        <f>LAVORAZIONI!A92</f>
        <v/>
      </c>
      <c r="C93" s="85">
        <f>LAVORAZIONI!K92</f>
        <v/>
      </c>
      <c r="D93" s="84">
        <f>LAVORAZIONI!M92</f>
        <v/>
      </c>
      <c r="E93" s="86">
        <f>LAVORAZIONI!N92</f>
        <v/>
      </c>
      <c r="F93" s="86">
        <f>LAVORAZIONI!O92</f>
        <v/>
      </c>
      <c r="G93" s="87">
        <f>LAVORAZIONI!P92</f>
        <v/>
      </c>
      <c r="H93" s="88">
        <f>LAVORAZIONI!U92</f>
        <v/>
      </c>
      <c r="I93" s="87">
        <f>LAVORAZIONI!V92</f>
        <v/>
      </c>
    </row>
    <row r="94">
      <c r="A94" s="84">
        <f>LAVORAZIONI!G93</f>
        <v/>
      </c>
      <c r="B94" s="85">
        <f>LAVORAZIONI!A93</f>
        <v/>
      </c>
      <c r="C94" s="85">
        <f>LAVORAZIONI!K93</f>
        <v/>
      </c>
      <c r="D94" s="84">
        <f>LAVORAZIONI!M93</f>
        <v/>
      </c>
      <c r="E94" s="86">
        <f>LAVORAZIONI!N93</f>
        <v/>
      </c>
      <c r="F94" s="86">
        <f>LAVORAZIONI!O93</f>
        <v/>
      </c>
      <c r="G94" s="87">
        <f>LAVORAZIONI!P93</f>
        <v/>
      </c>
      <c r="H94" s="88">
        <f>LAVORAZIONI!U93</f>
        <v/>
      </c>
      <c r="I94" s="87">
        <f>LAVORAZIONI!V93</f>
        <v/>
      </c>
    </row>
    <row r="95">
      <c r="A95" s="84">
        <f>LAVORAZIONI!G94</f>
        <v/>
      </c>
      <c r="B95" s="85">
        <f>LAVORAZIONI!A94</f>
        <v/>
      </c>
      <c r="C95" s="85">
        <f>LAVORAZIONI!K94</f>
        <v/>
      </c>
      <c r="D95" s="84">
        <f>LAVORAZIONI!M94</f>
        <v/>
      </c>
      <c r="E95" s="86">
        <f>LAVORAZIONI!N94</f>
        <v/>
      </c>
      <c r="F95" s="86">
        <f>LAVORAZIONI!O94</f>
        <v/>
      </c>
      <c r="G95" s="87">
        <f>LAVORAZIONI!P94</f>
        <v/>
      </c>
      <c r="H95" s="88">
        <f>LAVORAZIONI!U94</f>
        <v/>
      </c>
      <c r="I95" s="87">
        <f>LAVORAZIONI!V94</f>
        <v/>
      </c>
    </row>
    <row r="96">
      <c r="A96" s="84">
        <f>LAVORAZIONI!G95</f>
        <v/>
      </c>
      <c r="B96" s="85">
        <f>LAVORAZIONI!A95</f>
        <v/>
      </c>
      <c r="C96" s="85">
        <f>LAVORAZIONI!K95</f>
        <v/>
      </c>
      <c r="D96" s="84">
        <f>LAVORAZIONI!M95</f>
        <v/>
      </c>
      <c r="E96" s="86">
        <f>LAVORAZIONI!N95</f>
        <v/>
      </c>
      <c r="F96" s="86">
        <f>LAVORAZIONI!O95</f>
        <v/>
      </c>
      <c r="G96" s="87">
        <f>LAVORAZIONI!P95</f>
        <v/>
      </c>
      <c r="H96" s="88">
        <f>LAVORAZIONI!U95</f>
        <v/>
      </c>
      <c r="I96" s="87">
        <f>LAVORAZIONI!V95</f>
        <v/>
      </c>
    </row>
    <row r="97">
      <c r="A97" s="84">
        <f>LAVORAZIONI!G96</f>
        <v/>
      </c>
      <c r="B97" s="85">
        <f>LAVORAZIONI!A96</f>
        <v/>
      </c>
      <c r="C97" s="85">
        <f>LAVORAZIONI!K96</f>
        <v/>
      </c>
      <c r="D97" s="84">
        <f>LAVORAZIONI!M96</f>
        <v/>
      </c>
      <c r="E97" s="86">
        <f>LAVORAZIONI!N96</f>
        <v/>
      </c>
      <c r="F97" s="86">
        <f>LAVORAZIONI!O96</f>
        <v/>
      </c>
      <c r="G97" s="87">
        <f>LAVORAZIONI!P96</f>
        <v/>
      </c>
      <c r="H97" s="88">
        <f>LAVORAZIONI!U96</f>
        <v/>
      </c>
      <c r="I97" s="87">
        <f>LAVORAZIONI!V96</f>
        <v/>
      </c>
    </row>
    <row r="98">
      <c r="A98" s="84">
        <f>LAVORAZIONI!G97</f>
        <v/>
      </c>
      <c r="B98" s="85">
        <f>LAVORAZIONI!A97</f>
        <v/>
      </c>
      <c r="C98" s="85">
        <f>LAVORAZIONI!K97</f>
        <v/>
      </c>
      <c r="D98" s="84">
        <f>LAVORAZIONI!M97</f>
        <v/>
      </c>
      <c r="E98" s="86">
        <f>LAVORAZIONI!N97</f>
        <v/>
      </c>
      <c r="F98" s="86">
        <f>LAVORAZIONI!O97</f>
        <v/>
      </c>
      <c r="G98" s="87">
        <f>LAVORAZIONI!P97</f>
        <v/>
      </c>
      <c r="H98" s="88">
        <f>LAVORAZIONI!U97</f>
        <v/>
      </c>
      <c r="I98" s="87">
        <f>LAVORAZIONI!V97</f>
        <v/>
      </c>
    </row>
    <row r="99">
      <c r="A99" s="84">
        <f>LAVORAZIONI!G98</f>
        <v/>
      </c>
      <c r="B99" s="85">
        <f>LAVORAZIONI!A98</f>
        <v/>
      </c>
      <c r="C99" s="85">
        <f>LAVORAZIONI!K98</f>
        <v/>
      </c>
      <c r="D99" s="84">
        <f>LAVORAZIONI!M98</f>
        <v/>
      </c>
      <c r="E99" s="86">
        <f>LAVORAZIONI!N98</f>
        <v/>
      </c>
      <c r="F99" s="86">
        <f>LAVORAZIONI!O98</f>
        <v/>
      </c>
      <c r="G99" s="87">
        <f>LAVORAZIONI!P98</f>
        <v/>
      </c>
      <c r="H99" s="88">
        <f>LAVORAZIONI!U98</f>
        <v/>
      </c>
      <c r="I99" s="87">
        <f>LAVORAZIONI!V98</f>
        <v/>
      </c>
    </row>
    <row r="100">
      <c r="A100" s="84">
        <f>LAVORAZIONI!G99</f>
        <v/>
      </c>
      <c r="B100" s="85">
        <f>LAVORAZIONI!A99</f>
        <v/>
      </c>
      <c r="C100" s="85">
        <f>LAVORAZIONI!K99</f>
        <v/>
      </c>
      <c r="D100" s="84">
        <f>LAVORAZIONI!M99</f>
        <v/>
      </c>
      <c r="E100" s="86">
        <f>LAVORAZIONI!N99</f>
        <v/>
      </c>
      <c r="F100" s="86">
        <f>LAVORAZIONI!O99</f>
        <v/>
      </c>
      <c r="G100" s="87">
        <f>LAVORAZIONI!P99</f>
        <v/>
      </c>
      <c r="H100" s="88">
        <f>LAVORAZIONI!U99</f>
        <v/>
      </c>
      <c r="I100" s="87">
        <f>LAVORAZIONI!V99</f>
        <v/>
      </c>
    </row>
    <row r="101">
      <c r="A101" s="84">
        <f>LAVORAZIONI!G100</f>
        <v/>
      </c>
      <c r="B101" s="85">
        <f>LAVORAZIONI!A100</f>
        <v/>
      </c>
      <c r="C101" s="85">
        <f>LAVORAZIONI!K100</f>
        <v/>
      </c>
      <c r="D101" s="84">
        <f>LAVORAZIONI!M100</f>
        <v/>
      </c>
      <c r="E101" s="86">
        <f>LAVORAZIONI!N100</f>
        <v/>
      </c>
      <c r="F101" s="86">
        <f>LAVORAZIONI!O100</f>
        <v/>
      </c>
      <c r="G101" s="87">
        <f>LAVORAZIONI!P100</f>
        <v/>
      </c>
      <c r="H101" s="88">
        <f>LAVORAZIONI!U100</f>
        <v/>
      </c>
      <c r="I101" s="87">
        <f>LAVORAZIONI!V100</f>
        <v/>
      </c>
    </row>
    <row r="102">
      <c r="A102" s="84">
        <f>LAVORAZIONI!G101</f>
        <v/>
      </c>
      <c r="B102" s="85">
        <f>LAVORAZIONI!A101</f>
        <v/>
      </c>
      <c r="C102" s="85">
        <f>LAVORAZIONI!K101</f>
        <v/>
      </c>
      <c r="D102" s="84">
        <f>LAVORAZIONI!M101</f>
        <v/>
      </c>
      <c r="E102" s="86">
        <f>LAVORAZIONI!N101</f>
        <v/>
      </c>
      <c r="F102" s="86">
        <f>LAVORAZIONI!O101</f>
        <v/>
      </c>
      <c r="G102" s="87">
        <f>LAVORAZIONI!P101</f>
        <v/>
      </c>
      <c r="H102" s="88">
        <f>LAVORAZIONI!U101</f>
        <v/>
      </c>
      <c r="I102" s="87">
        <f>LAVORAZIONI!V101</f>
        <v/>
      </c>
    </row>
    <row r="103">
      <c r="A103" s="84">
        <f>LAVORAZIONI!G102</f>
        <v/>
      </c>
      <c r="B103" s="85">
        <f>LAVORAZIONI!A102</f>
        <v/>
      </c>
      <c r="C103" s="85">
        <f>LAVORAZIONI!K102</f>
        <v/>
      </c>
      <c r="D103" s="84">
        <f>LAVORAZIONI!M102</f>
        <v/>
      </c>
      <c r="E103" s="86">
        <f>LAVORAZIONI!N102</f>
        <v/>
      </c>
      <c r="F103" s="86">
        <f>LAVORAZIONI!O102</f>
        <v/>
      </c>
      <c r="G103" s="87">
        <f>LAVORAZIONI!P102</f>
        <v/>
      </c>
      <c r="H103" s="88">
        <f>LAVORAZIONI!U102</f>
        <v/>
      </c>
      <c r="I103" s="87">
        <f>LAVORAZIONI!V102</f>
        <v/>
      </c>
    </row>
    <row r="104">
      <c r="A104" s="84">
        <f>LAVORAZIONI!G103</f>
        <v/>
      </c>
      <c r="B104" s="85">
        <f>LAVORAZIONI!A103</f>
        <v/>
      </c>
      <c r="C104" s="85">
        <f>LAVORAZIONI!K103</f>
        <v/>
      </c>
      <c r="D104" s="84">
        <f>LAVORAZIONI!M103</f>
        <v/>
      </c>
      <c r="E104" s="86">
        <f>LAVORAZIONI!N103</f>
        <v/>
      </c>
      <c r="F104" s="86">
        <f>LAVORAZIONI!O103</f>
        <v/>
      </c>
      <c r="G104" s="87">
        <f>LAVORAZIONI!P103</f>
        <v/>
      </c>
      <c r="H104" s="88">
        <f>LAVORAZIONI!U103</f>
        <v/>
      </c>
      <c r="I104" s="87">
        <f>LAVORAZIONI!V103</f>
        <v/>
      </c>
    </row>
    <row r="105">
      <c r="A105" s="79">
        <f>LAVORAZIONI!G104</f>
        <v/>
      </c>
      <c r="B105" s="80">
        <f>LAVORAZIONI!A104</f>
        <v/>
      </c>
      <c r="C105" s="80">
        <f>LAVORAZIONI!K104</f>
        <v/>
      </c>
      <c r="D105" s="79">
        <f>LAVORAZIONI!M104</f>
        <v/>
      </c>
      <c r="E105" s="81">
        <f>LAVORAZIONI!N104</f>
        <v/>
      </c>
      <c r="F105" s="81">
        <f>LAVORAZIONI!O104</f>
        <v/>
      </c>
      <c r="G105" s="82">
        <f>LAVORAZIONI!P104</f>
        <v/>
      </c>
      <c r="H105" s="83">
        <f>LAVORAZIONI!U104</f>
        <v/>
      </c>
      <c r="I105" s="82">
        <f>LAVORAZIONI!V104</f>
        <v/>
      </c>
    </row>
    <row r="106">
      <c r="A106" s="84">
        <f>LAVORAZIONI!G105</f>
        <v/>
      </c>
      <c r="B106" s="85">
        <f>LAVORAZIONI!A105</f>
        <v/>
      </c>
      <c r="C106" s="85">
        <f>LAVORAZIONI!K105</f>
        <v/>
      </c>
      <c r="D106" s="84">
        <f>LAVORAZIONI!M105</f>
        <v/>
      </c>
      <c r="E106" s="86">
        <f>LAVORAZIONI!N105</f>
        <v/>
      </c>
      <c r="F106" s="86">
        <f>LAVORAZIONI!O105</f>
        <v/>
      </c>
      <c r="G106" s="87">
        <f>LAVORAZIONI!P105</f>
        <v/>
      </c>
      <c r="H106" s="88">
        <f>LAVORAZIONI!U105</f>
        <v/>
      </c>
      <c r="I106" s="87">
        <f>LAVORAZIONI!V105</f>
        <v/>
      </c>
    </row>
    <row r="107">
      <c r="A107" s="84">
        <f>LAVORAZIONI!G106</f>
        <v/>
      </c>
      <c r="B107" s="85">
        <f>LAVORAZIONI!A106</f>
        <v/>
      </c>
      <c r="C107" s="85">
        <f>LAVORAZIONI!K106</f>
        <v/>
      </c>
      <c r="D107" s="84">
        <f>LAVORAZIONI!M106</f>
        <v/>
      </c>
      <c r="E107" s="86">
        <f>LAVORAZIONI!N106</f>
        <v/>
      </c>
      <c r="F107" s="86">
        <f>LAVORAZIONI!O106</f>
        <v/>
      </c>
      <c r="G107" s="87">
        <f>LAVORAZIONI!P106</f>
        <v/>
      </c>
      <c r="H107" s="88">
        <f>LAVORAZIONI!U106</f>
        <v/>
      </c>
      <c r="I107" s="87">
        <f>LAVORAZIONI!V106</f>
        <v/>
      </c>
    </row>
    <row r="108">
      <c r="A108" s="84">
        <f>LAVORAZIONI!G107</f>
        <v/>
      </c>
      <c r="B108" s="85">
        <f>LAVORAZIONI!A107</f>
        <v/>
      </c>
      <c r="C108" s="85">
        <f>LAVORAZIONI!K107</f>
        <v/>
      </c>
      <c r="D108" s="84">
        <f>LAVORAZIONI!M107</f>
        <v/>
      </c>
      <c r="E108" s="86">
        <f>LAVORAZIONI!N107</f>
        <v/>
      </c>
      <c r="F108" s="86">
        <f>LAVORAZIONI!O107</f>
        <v/>
      </c>
      <c r="G108" s="87">
        <f>LAVORAZIONI!P107</f>
        <v/>
      </c>
      <c r="H108" s="88">
        <f>LAVORAZIONI!U107</f>
        <v/>
      </c>
      <c r="I108" s="87">
        <f>LAVORAZIONI!V107</f>
        <v/>
      </c>
    </row>
    <row r="109">
      <c r="A109" s="79">
        <f>LAVORAZIONI!G108</f>
        <v/>
      </c>
      <c r="B109" s="80">
        <f>LAVORAZIONI!A108</f>
        <v/>
      </c>
      <c r="C109" s="80">
        <f>LAVORAZIONI!K108</f>
        <v/>
      </c>
      <c r="D109" s="79">
        <f>LAVORAZIONI!M108</f>
        <v/>
      </c>
      <c r="E109" s="81">
        <f>LAVORAZIONI!N108</f>
        <v/>
      </c>
      <c r="F109" s="81">
        <f>LAVORAZIONI!O108</f>
        <v/>
      </c>
      <c r="G109" s="82">
        <f>LAVORAZIONI!P108</f>
        <v/>
      </c>
      <c r="H109" s="83">
        <f>LAVORAZIONI!U108</f>
        <v/>
      </c>
      <c r="I109" s="82">
        <f>LAVORAZIONI!V108</f>
        <v/>
      </c>
    </row>
    <row r="110">
      <c r="A110" s="79">
        <f>LAVORAZIONI!G109</f>
        <v/>
      </c>
      <c r="B110" s="80">
        <f>LAVORAZIONI!A109</f>
        <v/>
      </c>
      <c r="C110" s="80">
        <f>LAVORAZIONI!K109</f>
        <v/>
      </c>
      <c r="D110" s="79">
        <f>LAVORAZIONI!M109</f>
        <v/>
      </c>
      <c r="E110" s="81">
        <f>LAVORAZIONI!N109</f>
        <v/>
      </c>
      <c r="F110" s="81">
        <f>LAVORAZIONI!O109</f>
        <v/>
      </c>
      <c r="G110" s="82">
        <f>LAVORAZIONI!P109</f>
        <v/>
      </c>
      <c r="H110" s="83">
        <f>LAVORAZIONI!U109</f>
        <v/>
      </c>
      <c r="I110" s="82">
        <f>LAVORAZIONI!V109</f>
        <v/>
      </c>
    </row>
    <row r="111">
      <c r="A111" s="84">
        <f>LAVORAZIONI!G110</f>
        <v/>
      </c>
      <c r="B111" s="85">
        <f>LAVORAZIONI!A110</f>
        <v/>
      </c>
      <c r="C111" s="85">
        <f>LAVORAZIONI!K110</f>
        <v/>
      </c>
      <c r="D111" s="84">
        <f>LAVORAZIONI!M110</f>
        <v/>
      </c>
      <c r="E111" s="86">
        <f>LAVORAZIONI!N110</f>
        <v/>
      </c>
      <c r="F111" s="86">
        <f>LAVORAZIONI!O110</f>
        <v/>
      </c>
      <c r="G111" s="87">
        <f>LAVORAZIONI!P110</f>
        <v/>
      </c>
      <c r="H111" s="88">
        <f>LAVORAZIONI!U110</f>
        <v/>
      </c>
      <c r="I111" s="87">
        <f>LAVORAZIONI!V110</f>
        <v/>
      </c>
    </row>
    <row r="112">
      <c r="A112" s="84">
        <f>LAVORAZIONI!G111</f>
        <v/>
      </c>
      <c r="B112" s="85">
        <f>LAVORAZIONI!A111</f>
        <v/>
      </c>
      <c r="C112" s="85">
        <f>LAVORAZIONI!K111</f>
        <v/>
      </c>
      <c r="D112" s="84">
        <f>LAVORAZIONI!M111</f>
        <v/>
      </c>
      <c r="E112" s="86">
        <f>LAVORAZIONI!N111</f>
        <v/>
      </c>
      <c r="F112" s="86">
        <f>LAVORAZIONI!O111</f>
        <v/>
      </c>
      <c r="G112" s="87">
        <f>LAVORAZIONI!P111</f>
        <v/>
      </c>
      <c r="H112" s="88">
        <f>LAVORAZIONI!U111</f>
        <v/>
      </c>
      <c r="I112" s="87">
        <f>LAVORAZIONI!V111</f>
        <v/>
      </c>
    </row>
    <row r="113">
      <c r="A113" s="84">
        <f>LAVORAZIONI!G112</f>
        <v/>
      </c>
      <c r="B113" s="85">
        <f>LAVORAZIONI!A112</f>
        <v/>
      </c>
      <c r="C113" s="85">
        <f>LAVORAZIONI!K112</f>
        <v/>
      </c>
      <c r="D113" s="84">
        <f>LAVORAZIONI!M112</f>
        <v/>
      </c>
      <c r="E113" s="86">
        <f>LAVORAZIONI!N112</f>
        <v/>
      </c>
      <c r="F113" s="86">
        <f>LAVORAZIONI!O112</f>
        <v/>
      </c>
      <c r="G113" s="87">
        <f>LAVORAZIONI!P112</f>
        <v/>
      </c>
      <c r="H113" s="88">
        <f>LAVORAZIONI!U112</f>
        <v/>
      </c>
      <c r="I113" s="87">
        <f>LAVORAZIONI!V112</f>
        <v/>
      </c>
    </row>
    <row r="114">
      <c r="A114" s="84">
        <f>LAVORAZIONI!G113</f>
        <v/>
      </c>
      <c r="B114" s="85">
        <f>LAVORAZIONI!A113</f>
        <v/>
      </c>
      <c r="C114" s="85">
        <f>LAVORAZIONI!K113</f>
        <v/>
      </c>
      <c r="D114" s="84">
        <f>LAVORAZIONI!M113</f>
        <v/>
      </c>
      <c r="E114" s="86">
        <f>LAVORAZIONI!N113</f>
        <v/>
      </c>
      <c r="F114" s="86">
        <f>LAVORAZIONI!O113</f>
        <v/>
      </c>
      <c r="G114" s="87">
        <f>LAVORAZIONI!P113</f>
        <v/>
      </c>
      <c r="H114" s="88">
        <f>LAVORAZIONI!U113</f>
        <v/>
      </c>
      <c r="I114" s="87">
        <f>LAVORAZIONI!V113</f>
        <v/>
      </c>
    </row>
    <row r="115">
      <c r="A115" s="84">
        <f>LAVORAZIONI!G114</f>
        <v/>
      </c>
      <c r="B115" s="85">
        <f>LAVORAZIONI!A114</f>
        <v/>
      </c>
      <c r="C115" s="85">
        <f>LAVORAZIONI!K114</f>
        <v/>
      </c>
      <c r="D115" s="84">
        <f>LAVORAZIONI!M114</f>
        <v/>
      </c>
      <c r="E115" s="86">
        <f>LAVORAZIONI!N114</f>
        <v/>
      </c>
      <c r="F115" s="86">
        <f>LAVORAZIONI!O114</f>
        <v/>
      </c>
      <c r="G115" s="87">
        <f>LAVORAZIONI!P114</f>
        <v/>
      </c>
      <c r="H115" s="88">
        <f>LAVORAZIONI!U114</f>
        <v/>
      </c>
      <c r="I115" s="87">
        <f>LAVORAZIONI!V114</f>
        <v/>
      </c>
    </row>
    <row r="116">
      <c r="A116" s="84">
        <f>LAVORAZIONI!G115</f>
        <v/>
      </c>
      <c r="B116" s="85">
        <f>LAVORAZIONI!A115</f>
        <v/>
      </c>
      <c r="C116" s="85">
        <f>LAVORAZIONI!K115</f>
        <v/>
      </c>
      <c r="D116" s="84">
        <f>LAVORAZIONI!M115</f>
        <v/>
      </c>
      <c r="E116" s="86">
        <f>LAVORAZIONI!N115</f>
        <v/>
      </c>
      <c r="F116" s="86">
        <f>LAVORAZIONI!O115</f>
        <v/>
      </c>
      <c r="G116" s="87">
        <f>LAVORAZIONI!P115</f>
        <v/>
      </c>
      <c r="H116" s="88">
        <f>LAVORAZIONI!U115</f>
        <v/>
      </c>
      <c r="I116" s="87">
        <f>LAVORAZIONI!V115</f>
        <v/>
      </c>
    </row>
    <row r="117">
      <c r="A117" s="84">
        <f>LAVORAZIONI!G116</f>
        <v/>
      </c>
      <c r="B117" s="85">
        <f>LAVORAZIONI!A116</f>
        <v/>
      </c>
      <c r="C117" s="85">
        <f>LAVORAZIONI!K116</f>
        <v/>
      </c>
      <c r="D117" s="84">
        <f>LAVORAZIONI!M116</f>
        <v/>
      </c>
      <c r="E117" s="86">
        <f>LAVORAZIONI!N116</f>
        <v/>
      </c>
      <c r="F117" s="86">
        <f>LAVORAZIONI!O116</f>
        <v/>
      </c>
      <c r="G117" s="87">
        <f>LAVORAZIONI!P116</f>
        <v/>
      </c>
      <c r="H117" s="88">
        <f>LAVORAZIONI!U116</f>
        <v/>
      </c>
      <c r="I117" s="87">
        <f>LAVORAZIONI!V116</f>
        <v/>
      </c>
    </row>
    <row r="118">
      <c r="A118" s="84">
        <f>LAVORAZIONI!G117</f>
        <v/>
      </c>
      <c r="B118" s="85">
        <f>LAVORAZIONI!A117</f>
        <v/>
      </c>
      <c r="C118" s="85">
        <f>LAVORAZIONI!K117</f>
        <v/>
      </c>
      <c r="D118" s="84">
        <f>LAVORAZIONI!M117</f>
        <v/>
      </c>
      <c r="E118" s="86">
        <f>LAVORAZIONI!N117</f>
        <v/>
      </c>
      <c r="F118" s="86">
        <f>LAVORAZIONI!O117</f>
        <v/>
      </c>
      <c r="G118" s="87">
        <f>LAVORAZIONI!P117</f>
        <v/>
      </c>
      <c r="H118" s="88">
        <f>LAVORAZIONI!U117</f>
        <v/>
      </c>
      <c r="I118" s="87">
        <f>LAVORAZIONI!V117</f>
        <v/>
      </c>
    </row>
    <row r="119">
      <c r="A119" s="84">
        <f>LAVORAZIONI!G118</f>
        <v/>
      </c>
      <c r="B119" s="85">
        <f>LAVORAZIONI!A118</f>
        <v/>
      </c>
      <c r="C119" s="85">
        <f>LAVORAZIONI!K118</f>
        <v/>
      </c>
      <c r="D119" s="84">
        <f>LAVORAZIONI!M118</f>
        <v/>
      </c>
      <c r="E119" s="86">
        <f>LAVORAZIONI!N118</f>
        <v/>
      </c>
      <c r="F119" s="86">
        <f>LAVORAZIONI!O118</f>
        <v/>
      </c>
      <c r="G119" s="87">
        <f>LAVORAZIONI!P118</f>
        <v/>
      </c>
      <c r="H119" s="88">
        <f>LAVORAZIONI!U118</f>
        <v/>
      </c>
      <c r="I119" s="87">
        <f>LAVORAZIONI!V118</f>
        <v/>
      </c>
    </row>
    <row r="120">
      <c r="A120" s="84">
        <f>LAVORAZIONI!G119</f>
        <v/>
      </c>
      <c r="B120" s="85">
        <f>LAVORAZIONI!A119</f>
        <v/>
      </c>
      <c r="C120" s="85">
        <f>LAVORAZIONI!K119</f>
        <v/>
      </c>
      <c r="D120" s="84">
        <f>LAVORAZIONI!M119</f>
        <v/>
      </c>
      <c r="E120" s="86">
        <f>LAVORAZIONI!N119</f>
        <v/>
      </c>
      <c r="F120" s="86">
        <f>LAVORAZIONI!O119</f>
        <v/>
      </c>
      <c r="G120" s="87">
        <f>LAVORAZIONI!P119</f>
        <v/>
      </c>
      <c r="H120" s="88">
        <f>LAVORAZIONI!U119</f>
        <v/>
      </c>
      <c r="I120" s="87">
        <f>LAVORAZIONI!V119</f>
        <v/>
      </c>
    </row>
    <row r="121">
      <c r="A121" s="84">
        <f>LAVORAZIONI!G120</f>
        <v/>
      </c>
      <c r="B121" s="85">
        <f>LAVORAZIONI!A120</f>
        <v/>
      </c>
      <c r="C121" s="85">
        <f>LAVORAZIONI!K120</f>
        <v/>
      </c>
      <c r="D121" s="84">
        <f>LAVORAZIONI!M120</f>
        <v/>
      </c>
      <c r="E121" s="86">
        <f>LAVORAZIONI!N120</f>
        <v/>
      </c>
      <c r="F121" s="86">
        <f>LAVORAZIONI!O120</f>
        <v/>
      </c>
      <c r="G121" s="87">
        <f>LAVORAZIONI!P120</f>
        <v/>
      </c>
      <c r="H121" s="88">
        <f>LAVORAZIONI!U120</f>
        <v/>
      </c>
      <c r="I121" s="87">
        <f>LAVORAZIONI!V120</f>
        <v/>
      </c>
    </row>
    <row r="122">
      <c r="A122" s="84">
        <f>LAVORAZIONI!G121</f>
        <v/>
      </c>
      <c r="B122" s="85">
        <f>LAVORAZIONI!A121</f>
        <v/>
      </c>
      <c r="C122" s="85">
        <f>LAVORAZIONI!K121</f>
        <v/>
      </c>
      <c r="D122" s="84">
        <f>LAVORAZIONI!M121</f>
        <v/>
      </c>
      <c r="E122" s="86">
        <f>LAVORAZIONI!N121</f>
        <v/>
      </c>
      <c r="F122" s="86">
        <f>LAVORAZIONI!O121</f>
        <v/>
      </c>
      <c r="G122" s="87">
        <f>LAVORAZIONI!P121</f>
        <v/>
      </c>
      <c r="H122" s="88">
        <f>LAVORAZIONI!U121</f>
        <v/>
      </c>
      <c r="I122" s="87">
        <f>LAVORAZIONI!V121</f>
        <v/>
      </c>
    </row>
    <row r="123">
      <c r="A123" s="84">
        <f>LAVORAZIONI!G122</f>
        <v/>
      </c>
      <c r="B123" s="85">
        <f>LAVORAZIONI!A122</f>
        <v/>
      </c>
      <c r="C123" s="85">
        <f>LAVORAZIONI!K122</f>
        <v/>
      </c>
      <c r="D123" s="84">
        <f>LAVORAZIONI!M122</f>
        <v/>
      </c>
      <c r="E123" s="86">
        <f>LAVORAZIONI!N122</f>
        <v/>
      </c>
      <c r="F123" s="86">
        <f>LAVORAZIONI!O122</f>
        <v/>
      </c>
      <c r="G123" s="87">
        <f>LAVORAZIONI!P122</f>
        <v/>
      </c>
      <c r="H123" s="88">
        <f>LAVORAZIONI!U122</f>
        <v/>
      </c>
      <c r="I123" s="87">
        <f>LAVORAZIONI!V122</f>
        <v/>
      </c>
    </row>
    <row r="124">
      <c r="A124" s="84">
        <f>LAVORAZIONI!G123</f>
        <v/>
      </c>
      <c r="B124" s="85">
        <f>LAVORAZIONI!A123</f>
        <v/>
      </c>
      <c r="C124" s="85">
        <f>LAVORAZIONI!K123</f>
        <v/>
      </c>
      <c r="D124" s="84">
        <f>LAVORAZIONI!M123</f>
        <v/>
      </c>
      <c r="E124" s="86">
        <f>LAVORAZIONI!N123</f>
        <v/>
      </c>
      <c r="F124" s="86">
        <f>LAVORAZIONI!O123</f>
        <v/>
      </c>
      <c r="G124" s="87">
        <f>LAVORAZIONI!P123</f>
        <v/>
      </c>
      <c r="H124" s="88">
        <f>LAVORAZIONI!U123</f>
        <v/>
      </c>
      <c r="I124" s="87">
        <f>LAVORAZIONI!V123</f>
        <v/>
      </c>
    </row>
    <row r="125">
      <c r="A125" s="84">
        <f>LAVORAZIONI!G124</f>
        <v/>
      </c>
      <c r="B125" s="85">
        <f>LAVORAZIONI!A124</f>
        <v/>
      </c>
      <c r="C125" s="85">
        <f>LAVORAZIONI!K124</f>
        <v/>
      </c>
      <c r="D125" s="84">
        <f>LAVORAZIONI!M124</f>
        <v/>
      </c>
      <c r="E125" s="86">
        <f>LAVORAZIONI!N124</f>
        <v/>
      </c>
      <c r="F125" s="86">
        <f>LAVORAZIONI!O124</f>
        <v/>
      </c>
      <c r="G125" s="87">
        <f>LAVORAZIONI!P124</f>
        <v/>
      </c>
      <c r="H125" s="88">
        <f>LAVORAZIONI!U124</f>
        <v/>
      </c>
      <c r="I125" s="87">
        <f>LAVORAZIONI!V124</f>
        <v/>
      </c>
    </row>
    <row r="126">
      <c r="A126" s="61" t="n"/>
      <c r="B126" s="62" t="n"/>
      <c r="C126" s="62" t="n"/>
      <c r="D126" s="62" t="n"/>
      <c r="E126" s="62" t="n"/>
      <c r="F126" s="62" t="n"/>
      <c r="G126" s="62" t="n"/>
      <c r="H126" s="62" t="n"/>
      <c r="I126" s="63">
        <f>SUM(I5:I125)</f>
        <v/>
      </c>
    </row>
  </sheetData>
  <mergeCells count="4">
    <mergeCell ref="A1:I1"/>
    <mergeCell ref="A126:H126"/>
    <mergeCell ref="A3:I3"/>
    <mergeCell ref="A2:I2"/>
  </mergeCells>
  <pageMargins left="0.5" right="0.5" top="1" bottom="0.8" header="0.4" footer="0.4"/>
  <pageSetup orientation="landscape" paperSize="9" fitToHeight="0" fitToWidth="1"/>
  <headerFooter>
    <oddHeader>&amp;L&amp;"Calibri,Italic"&amp;9Nuovo stabilimento radiofarmaceutico LENA - Pavia (PV)&amp;C&amp;"Calibri,Bold"&amp;13Aprile - Edili&amp;R&amp;"Calibri"&amp;9&amp;D</oddHeader>
    <oddFooter>&amp;C&amp;"Calibri"&amp;9Pagina &amp;P di &amp;N</oddFooter>
    <evenHeader>&amp;L&amp;"Calibri,Italic"&amp;9Nuovo stabilimento radiofarmaceutico LENA - Pavia (PV)&amp;C&amp;"Calibri,Bold"&amp;13Aprile - Edili</evenHeader>
    <evenFooter>&amp;C&amp;"Calibri"&amp;9Pagina &amp;P di &amp;N</evenFooter>
    <firstHeader/>
    <firstFooter/>
  </headerFooter>
</worksheet>
</file>

<file path=xl/worksheets/sheet11.xml><?xml version="1.0" encoding="utf-8"?>
<worksheet xmlns="http://schemas.openxmlformats.org/spreadsheetml/2006/main">
  <sheetPr>
    <outlinePr summaryBelow="1" summaryRight="1"/>
    <pageSetUpPr fitToPage="1"/>
  </sheetPr>
  <dimension ref="A1:I52"/>
  <sheetViews>
    <sheetView workbookViewId="0">
      <pane ySplit="4" topLeftCell="A5" activePane="bottomLeft" state="frozen"/>
      <selection pane="bottomLeft" activeCell="A1" sqref="A1"/>
    </sheetView>
  </sheetViews>
  <sheetFormatPr baseColWidth="8" defaultRowHeight="15"/>
  <cols>
    <col width="9" customWidth="1" style="46" min="1" max="1"/>
    <col width="26" customWidth="1" style="46" min="2" max="2"/>
    <col width="58" customWidth="1" style="46" min="3" max="3"/>
    <col width="8" customWidth="1" style="46" min="4" max="4"/>
    <col width="11" customWidth="1" style="46" min="5" max="5"/>
    <col width="12" customWidth="1" style="46" min="6" max="6"/>
    <col width="14" customWidth="1" style="46" min="7" max="7"/>
    <col width="9" customWidth="1" style="46" min="8" max="8"/>
    <col width="14" customWidth="1" style="46" min="9" max="9"/>
  </cols>
  <sheetData>
    <row r="1" ht="22" customHeight="1" s="46">
      <c r="A1" s="78" t="inlineStr">
        <is>
          <t>SAL APRILE 2026 — OPERE EDILI SPECIALI</t>
        </is>
      </c>
    </row>
    <row r="2" ht="28"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N. VOCE</t>
        </is>
      </c>
      <c r="B4" s="55" t="inlineStr">
        <is>
          <t>CODICE LAVORAZIONE</t>
        </is>
      </c>
      <c r="C4" s="55" t="inlineStr">
        <is>
          <t>DESCRIZIONE</t>
        </is>
      </c>
      <c r="D4" s="55" t="inlineStr">
        <is>
          <t>U.M.</t>
        </is>
      </c>
      <c r="E4" s="55" t="inlineStr">
        <is>
          <t>QUANTITÀ</t>
        </is>
      </c>
      <c r="F4" s="55" t="inlineStr">
        <is>
          <t>VAL. UNITARIO</t>
        </is>
      </c>
      <c r="G4" s="55" t="inlineStr">
        <is>
          <t>TOTALE PREVENTIVO</t>
        </is>
      </c>
      <c r="H4" s="55" t="inlineStr">
        <is>
          <t>% SAL Aprile</t>
        </is>
      </c>
      <c r="I4" s="55" t="inlineStr">
        <is>
          <t>IMPORTO SAL Aprile</t>
        </is>
      </c>
    </row>
    <row r="5">
      <c r="A5" s="84">
        <f>LAVORAZIONI!G125</f>
        <v/>
      </c>
      <c r="B5" s="85">
        <f>LAVORAZIONI!A125</f>
        <v/>
      </c>
      <c r="C5" s="85">
        <f>LAVORAZIONI!K125</f>
        <v/>
      </c>
      <c r="D5" s="84">
        <f>LAVORAZIONI!M125</f>
        <v/>
      </c>
      <c r="E5" s="86">
        <f>LAVORAZIONI!N125</f>
        <v/>
      </c>
      <c r="F5" s="86">
        <f>LAVORAZIONI!O125</f>
        <v/>
      </c>
      <c r="G5" s="87">
        <f>LAVORAZIONI!P125</f>
        <v/>
      </c>
      <c r="H5" s="88">
        <f>LAVORAZIONI!U125</f>
        <v/>
      </c>
      <c r="I5" s="87">
        <f>LAVORAZIONI!V125</f>
        <v/>
      </c>
    </row>
    <row r="6">
      <c r="A6" s="84">
        <f>LAVORAZIONI!G126</f>
        <v/>
      </c>
      <c r="B6" s="85">
        <f>LAVORAZIONI!A126</f>
        <v/>
      </c>
      <c r="C6" s="85">
        <f>LAVORAZIONI!K126</f>
        <v/>
      </c>
      <c r="D6" s="84">
        <f>LAVORAZIONI!M126</f>
        <v/>
      </c>
      <c r="E6" s="86">
        <f>LAVORAZIONI!N126</f>
        <v/>
      </c>
      <c r="F6" s="86">
        <f>LAVORAZIONI!O126</f>
        <v/>
      </c>
      <c r="G6" s="87">
        <f>LAVORAZIONI!P126</f>
        <v/>
      </c>
      <c r="H6" s="88">
        <f>LAVORAZIONI!U126</f>
        <v/>
      </c>
      <c r="I6" s="87">
        <f>LAVORAZIONI!V126</f>
        <v/>
      </c>
    </row>
    <row r="7">
      <c r="A7" s="84">
        <f>LAVORAZIONI!G127</f>
        <v/>
      </c>
      <c r="B7" s="85">
        <f>LAVORAZIONI!A127</f>
        <v/>
      </c>
      <c r="C7" s="85">
        <f>LAVORAZIONI!K127</f>
        <v/>
      </c>
      <c r="D7" s="84">
        <f>LAVORAZIONI!M127</f>
        <v/>
      </c>
      <c r="E7" s="86">
        <f>LAVORAZIONI!N127</f>
        <v/>
      </c>
      <c r="F7" s="86">
        <f>LAVORAZIONI!O127</f>
        <v/>
      </c>
      <c r="G7" s="87">
        <f>LAVORAZIONI!P127</f>
        <v/>
      </c>
      <c r="H7" s="88">
        <f>LAVORAZIONI!U127</f>
        <v/>
      </c>
      <c r="I7" s="87">
        <f>LAVORAZIONI!V127</f>
        <v/>
      </c>
    </row>
    <row r="8">
      <c r="A8" s="84">
        <f>LAVORAZIONI!G128</f>
        <v/>
      </c>
      <c r="B8" s="85">
        <f>LAVORAZIONI!A128</f>
        <v/>
      </c>
      <c r="C8" s="85">
        <f>LAVORAZIONI!K128</f>
        <v/>
      </c>
      <c r="D8" s="84">
        <f>LAVORAZIONI!M128</f>
        <v/>
      </c>
      <c r="E8" s="86">
        <f>LAVORAZIONI!N128</f>
        <v/>
      </c>
      <c r="F8" s="86">
        <f>LAVORAZIONI!O128</f>
        <v/>
      </c>
      <c r="G8" s="87">
        <f>LAVORAZIONI!P128</f>
        <v/>
      </c>
      <c r="H8" s="88">
        <f>LAVORAZIONI!U128</f>
        <v/>
      </c>
      <c r="I8" s="87">
        <f>LAVORAZIONI!V128</f>
        <v/>
      </c>
    </row>
    <row r="9">
      <c r="A9" s="84">
        <f>LAVORAZIONI!G129</f>
        <v/>
      </c>
      <c r="B9" s="85">
        <f>LAVORAZIONI!A129</f>
        <v/>
      </c>
      <c r="C9" s="85">
        <f>LAVORAZIONI!K129</f>
        <v/>
      </c>
      <c r="D9" s="84">
        <f>LAVORAZIONI!M129</f>
        <v/>
      </c>
      <c r="E9" s="86">
        <f>LAVORAZIONI!N129</f>
        <v/>
      </c>
      <c r="F9" s="86">
        <f>LAVORAZIONI!O129</f>
        <v/>
      </c>
      <c r="G9" s="87">
        <f>LAVORAZIONI!P129</f>
        <v/>
      </c>
      <c r="H9" s="88">
        <f>LAVORAZIONI!U129</f>
        <v/>
      </c>
      <c r="I9" s="87">
        <f>LAVORAZIONI!V129</f>
        <v/>
      </c>
    </row>
    <row r="10">
      <c r="A10" s="84">
        <f>LAVORAZIONI!G130</f>
        <v/>
      </c>
      <c r="B10" s="85">
        <f>LAVORAZIONI!A130</f>
        <v/>
      </c>
      <c r="C10" s="85">
        <f>LAVORAZIONI!K130</f>
        <v/>
      </c>
      <c r="D10" s="84">
        <f>LAVORAZIONI!M130</f>
        <v/>
      </c>
      <c r="E10" s="86">
        <f>LAVORAZIONI!N130</f>
        <v/>
      </c>
      <c r="F10" s="86">
        <f>LAVORAZIONI!O130</f>
        <v/>
      </c>
      <c r="G10" s="87">
        <f>LAVORAZIONI!P130</f>
        <v/>
      </c>
      <c r="H10" s="88">
        <f>LAVORAZIONI!U130</f>
        <v/>
      </c>
      <c r="I10" s="87">
        <f>LAVORAZIONI!V130</f>
        <v/>
      </c>
    </row>
    <row r="11">
      <c r="A11" s="84">
        <f>LAVORAZIONI!G131</f>
        <v/>
      </c>
      <c r="B11" s="85">
        <f>LAVORAZIONI!A131</f>
        <v/>
      </c>
      <c r="C11" s="85">
        <f>LAVORAZIONI!K131</f>
        <v/>
      </c>
      <c r="D11" s="84">
        <f>LAVORAZIONI!M131</f>
        <v/>
      </c>
      <c r="E11" s="86">
        <f>LAVORAZIONI!N131</f>
        <v/>
      </c>
      <c r="F11" s="86">
        <f>LAVORAZIONI!O131</f>
        <v/>
      </c>
      <c r="G11" s="87">
        <f>LAVORAZIONI!P131</f>
        <v/>
      </c>
      <c r="H11" s="88">
        <f>LAVORAZIONI!U131</f>
        <v/>
      </c>
      <c r="I11" s="87">
        <f>LAVORAZIONI!V131</f>
        <v/>
      </c>
    </row>
    <row r="12">
      <c r="A12" s="84">
        <f>LAVORAZIONI!G132</f>
        <v/>
      </c>
      <c r="B12" s="85">
        <f>LAVORAZIONI!A132</f>
        <v/>
      </c>
      <c r="C12" s="85">
        <f>LAVORAZIONI!K132</f>
        <v/>
      </c>
      <c r="D12" s="84">
        <f>LAVORAZIONI!M132</f>
        <v/>
      </c>
      <c r="E12" s="86">
        <f>LAVORAZIONI!N132</f>
        <v/>
      </c>
      <c r="F12" s="86">
        <f>LAVORAZIONI!O132</f>
        <v/>
      </c>
      <c r="G12" s="87">
        <f>LAVORAZIONI!P132</f>
        <v/>
      </c>
      <c r="H12" s="88">
        <f>LAVORAZIONI!U132</f>
        <v/>
      </c>
      <c r="I12" s="87">
        <f>LAVORAZIONI!V132</f>
        <v/>
      </c>
    </row>
    <row r="13">
      <c r="A13" s="84">
        <f>LAVORAZIONI!G133</f>
        <v/>
      </c>
      <c r="B13" s="85">
        <f>LAVORAZIONI!A133</f>
        <v/>
      </c>
      <c r="C13" s="85">
        <f>LAVORAZIONI!K133</f>
        <v/>
      </c>
      <c r="D13" s="84">
        <f>LAVORAZIONI!M133</f>
        <v/>
      </c>
      <c r="E13" s="86">
        <f>LAVORAZIONI!N133</f>
        <v/>
      </c>
      <c r="F13" s="86">
        <f>LAVORAZIONI!O133</f>
        <v/>
      </c>
      <c r="G13" s="87">
        <f>LAVORAZIONI!P133</f>
        <v/>
      </c>
      <c r="H13" s="88">
        <f>LAVORAZIONI!U133</f>
        <v/>
      </c>
      <c r="I13" s="87">
        <f>LAVORAZIONI!V133</f>
        <v/>
      </c>
    </row>
    <row r="14">
      <c r="A14" s="84">
        <f>LAVORAZIONI!G134</f>
        <v/>
      </c>
      <c r="B14" s="85">
        <f>LAVORAZIONI!A134</f>
        <v/>
      </c>
      <c r="C14" s="85">
        <f>LAVORAZIONI!K134</f>
        <v/>
      </c>
      <c r="D14" s="84">
        <f>LAVORAZIONI!M134</f>
        <v/>
      </c>
      <c r="E14" s="86">
        <f>LAVORAZIONI!N134</f>
        <v/>
      </c>
      <c r="F14" s="86">
        <f>LAVORAZIONI!O134</f>
        <v/>
      </c>
      <c r="G14" s="87">
        <f>LAVORAZIONI!P134</f>
        <v/>
      </c>
      <c r="H14" s="88">
        <f>LAVORAZIONI!U134</f>
        <v/>
      </c>
      <c r="I14" s="87">
        <f>LAVORAZIONI!V134</f>
        <v/>
      </c>
    </row>
    <row r="15">
      <c r="A15" s="84">
        <f>LAVORAZIONI!G135</f>
        <v/>
      </c>
      <c r="B15" s="85">
        <f>LAVORAZIONI!A135</f>
        <v/>
      </c>
      <c r="C15" s="85">
        <f>LAVORAZIONI!K135</f>
        <v/>
      </c>
      <c r="D15" s="84">
        <f>LAVORAZIONI!M135</f>
        <v/>
      </c>
      <c r="E15" s="86">
        <f>LAVORAZIONI!N135</f>
        <v/>
      </c>
      <c r="F15" s="86">
        <f>LAVORAZIONI!O135</f>
        <v/>
      </c>
      <c r="G15" s="87">
        <f>LAVORAZIONI!P135</f>
        <v/>
      </c>
      <c r="H15" s="88">
        <f>LAVORAZIONI!U135</f>
        <v/>
      </c>
      <c r="I15" s="87">
        <f>LAVORAZIONI!V135</f>
        <v/>
      </c>
    </row>
    <row r="16">
      <c r="A16" s="84">
        <f>LAVORAZIONI!G136</f>
        <v/>
      </c>
      <c r="B16" s="85">
        <f>LAVORAZIONI!A136</f>
        <v/>
      </c>
      <c r="C16" s="85">
        <f>LAVORAZIONI!K136</f>
        <v/>
      </c>
      <c r="D16" s="84">
        <f>LAVORAZIONI!M136</f>
        <v/>
      </c>
      <c r="E16" s="86">
        <f>LAVORAZIONI!N136</f>
        <v/>
      </c>
      <c r="F16" s="86">
        <f>LAVORAZIONI!O136</f>
        <v/>
      </c>
      <c r="G16" s="87">
        <f>LAVORAZIONI!P136</f>
        <v/>
      </c>
      <c r="H16" s="88">
        <f>LAVORAZIONI!U136</f>
        <v/>
      </c>
      <c r="I16" s="87">
        <f>LAVORAZIONI!V136</f>
        <v/>
      </c>
    </row>
    <row r="17">
      <c r="A17" s="84">
        <f>LAVORAZIONI!G137</f>
        <v/>
      </c>
      <c r="B17" s="85">
        <f>LAVORAZIONI!A137</f>
        <v/>
      </c>
      <c r="C17" s="85">
        <f>LAVORAZIONI!K137</f>
        <v/>
      </c>
      <c r="D17" s="84">
        <f>LAVORAZIONI!M137</f>
        <v/>
      </c>
      <c r="E17" s="86">
        <f>LAVORAZIONI!N137</f>
        <v/>
      </c>
      <c r="F17" s="86">
        <f>LAVORAZIONI!O137</f>
        <v/>
      </c>
      <c r="G17" s="87">
        <f>LAVORAZIONI!P137</f>
        <v/>
      </c>
      <c r="H17" s="88">
        <f>LAVORAZIONI!U137</f>
        <v/>
      </c>
      <c r="I17" s="87">
        <f>LAVORAZIONI!V137</f>
        <v/>
      </c>
    </row>
    <row r="18">
      <c r="A18" s="84">
        <f>LAVORAZIONI!G138</f>
        <v/>
      </c>
      <c r="B18" s="85">
        <f>LAVORAZIONI!A138</f>
        <v/>
      </c>
      <c r="C18" s="85">
        <f>LAVORAZIONI!K138</f>
        <v/>
      </c>
      <c r="D18" s="84">
        <f>LAVORAZIONI!M138</f>
        <v/>
      </c>
      <c r="E18" s="86">
        <f>LAVORAZIONI!N138</f>
        <v/>
      </c>
      <c r="F18" s="86">
        <f>LAVORAZIONI!O138</f>
        <v/>
      </c>
      <c r="G18" s="87">
        <f>LAVORAZIONI!P138</f>
        <v/>
      </c>
      <c r="H18" s="88">
        <f>LAVORAZIONI!U138</f>
        <v/>
      </c>
      <c r="I18" s="87">
        <f>LAVORAZIONI!V138</f>
        <v/>
      </c>
    </row>
    <row r="19">
      <c r="A19" s="84">
        <f>LAVORAZIONI!G139</f>
        <v/>
      </c>
      <c r="B19" s="85">
        <f>LAVORAZIONI!A139</f>
        <v/>
      </c>
      <c r="C19" s="85">
        <f>LAVORAZIONI!K139</f>
        <v/>
      </c>
      <c r="D19" s="84">
        <f>LAVORAZIONI!M139</f>
        <v/>
      </c>
      <c r="E19" s="86">
        <f>LAVORAZIONI!N139</f>
        <v/>
      </c>
      <c r="F19" s="86">
        <f>LAVORAZIONI!O139</f>
        <v/>
      </c>
      <c r="G19" s="87">
        <f>LAVORAZIONI!P139</f>
        <v/>
      </c>
      <c r="H19" s="88">
        <f>LAVORAZIONI!U139</f>
        <v/>
      </c>
      <c r="I19" s="87">
        <f>LAVORAZIONI!V139</f>
        <v/>
      </c>
    </row>
    <row r="20">
      <c r="A20" s="84">
        <f>LAVORAZIONI!G140</f>
        <v/>
      </c>
      <c r="B20" s="85">
        <f>LAVORAZIONI!A140</f>
        <v/>
      </c>
      <c r="C20" s="85">
        <f>LAVORAZIONI!K140</f>
        <v/>
      </c>
      <c r="D20" s="84">
        <f>LAVORAZIONI!M140</f>
        <v/>
      </c>
      <c r="E20" s="86">
        <f>LAVORAZIONI!N140</f>
        <v/>
      </c>
      <c r="F20" s="86">
        <f>LAVORAZIONI!O140</f>
        <v/>
      </c>
      <c r="G20" s="87">
        <f>LAVORAZIONI!P140</f>
        <v/>
      </c>
      <c r="H20" s="88">
        <f>LAVORAZIONI!U140</f>
        <v/>
      </c>
      <c r="I20" s="87">
        <f>LAVORAZIONI!V140</f>
        <v/>
      </c>
    </row>
    <row r="21">
      <c r="A21" s="84">
        <f>LAVORAZIONI!G141</f>
        <v/>
      </c>
      <c r="B21" s="85">
        <f>LAVORAZIONI!A141</f>
        <v/>
      </c>
      <c r="C21" s="85">
        <f>LAVORAZIONI!K141</f>
        <v/>
      </c>
      <c r="D21" s="84">
        <f>LAVORAZIONI!M141</f>
        <v/>
      </c>
      <c r="E21" s="86">
        <f>LAVORAZIONI!N141</f>
        <v/>
      </c>
      <c r="F21" s="86">
        <f>LAVORAZIONI!O141</f>
        <v/>
      </c>
      <c r="G21" s="87">
        <f>LAVORAZIONI!P141</f>
        <v/>
      </c>
      <c r="H21" s="88">
        <f>LAVORAZIONI!U141</f>
        <v/>
      </c>
      <c r="I21" s="87">
        <f>LAVORAZIONI!V141</f>
        <v/>
      </c>
    </row>
    <row r="22">
      <c r="A22" s="84">
        <f>LAVORAZIONI!G142</f>
        <v/>
      </c>
      <c r="B22" s="85">
        <f>LAVORAZIONI!A142</f>
        <v/>
      </c>
      <c r="C22" s="85">
        <f>LAVORAZIONI!K142</f>
        <v/>
      </c>
      <c r="D22" s="84">
        <f>LAVORAZIONI!M142</f>
        <v/>
      </c>
      <c r="E22" s="86">
        <f>LAVORAZIONI!N142</f>
        <v/>
      </c>
      <c r="F22" s="86">
        <f>LAVORAZIONI!O142</f>
        <v/>
      </c>
      <c r="G22" s="87">
        <f>LAVORAZIONI!P142</f>
        <v/>
      </c>
      <c r="H22" s="88">
        <f>LAVORAZIONI!U142</f>
        <v/>
      </c>
      <c r="I22" s="87">
        <f>LAVORAZIONI!V142</f>
        <v/>
      </c>
    </row>
    <row r="23">
      <c r="A23" s="84">
        <f>LAVORAZIONI!G143</f>
        <v/>
      </c>
      <c r="B23" s="85">
        <f>LAVORAZIONI!A143</f>
        <v/>
      </c>
      <c r="C23" s="85">
        <f>LAVORAZIONI!K143</f>
        <v/>
      </c>
      <c r="D23" s="84">
        <f>LAVORAZIONI!M143</f>
        <v/>
      </c>
      <c r="E23" s="86">
        <f>LAVORAZIONI!N143</f>
        <v/>
      </c>
      <c r="F23" s="86">
        <f>LAVORAZIONI!O143</f>
        <v/>
      </c>
      <c r="G23" s="87">
        <f>LAVORAZIONI!P143</f>
        <v/>
      </c>
      <c r="H23" s="88">
        <f>LAVORAZIONI!U143</f>
        <v/>
      </c>
      <c r="I23" s="87">
        <f>LAVORAZIONI!V143</f>
        <v/>
      </c>
    </row>
    <row r="24">
      <c r="A24" s="84">
        <f>LAVORAZIONI!G144</f>
        <v/>
      </c>
      <c r="B24" s="85">
        <f>LAVORAZIONI!A144</f>
        <v/>
      </c>
      <c r="C24" s="85">
        <f>LAVORAZIONI!K144</f>
        <v/>
      </c>
      <c r="D24" s="84">
        <f>LAVORAZIONI!M144</f>
        <v/>
      </c>
      <c r="E24" s="86">
        <f>LAVORAZIONI!N144</f>
        <v/>
      </c>
      <c r="F24" s="86">
        <f>LAVORAZIONI!O144</f>
        <v/>
      </c>
      <c r="G24" s="87">
        <f>LAVORAZIONI!P144</f>
        <v/>
      </c>
      <c r="H24" s="88">
        <f>LAVORAZIONI!U144</f>
        <v/>
      </c>
      <c r="I24" s="87">
        <f>LAVORAZIONI!V144</f>
        <v/>
      </c>
    </row>
    <row r="25">
      <c r="A25" s="84">
        <f>LAVORAZIONI!G145</f>
        <v/>
      </c>
      <c r="B25" s="85">
        <f>LAVORAZIONI!A145</f>
        <v/>
      </c>
      <c r="C25" s="85">
        <f>LAVORAZIONI!K145</f>
        <v/>
      </c>
      <c r="D25" s="84">
        <f>LAVORAZIONI!M145</f>
        <v/>
      </c>
      <c r="E25" s="86">
        <f>LAVORAZIONI!N145</f>
        <v/>
      </c>
      <c r="F25" s="86">
        <f>LAVORAZIONI!O145</f>
        <v/>
      </c>
      <c r="G25" s="87">
        <f>LAVORAZIONI!P145</f>
        <v/>
      </c>
      <c r="H25" s="88">
        <f>LAVORAZIONI!U145</f>
        <v/>
      </c>
      <c r="I25" s="87">
        <f>LAVORAZIONI!V145</f>
        <v/>
      </c>
    </row>
    <row r="26">
      <c r="A26" s="84">
        <f>LAVORAZIONI!G146</f>
        <v/>
      </c>
      <c r="B26" s="85">
        <f>LAVORAZIONI!A146</f>
        <v/>
      </c>
      <c r="C26" s="85">
        <f>LAVORAZIONI!K146</f>
        <v/>
      </c>
      <c r="D26" s="84">
        <f>LAVORAZIONI!M146</f>
        <v/>
      </c>
      <c r="E26" s="86">
        <f>LAVORAZIONI!N146</f>
        <v/>
      </c>
      <c r="F26" s="86">
        <f>LAVORAZIONI!O146</f>
        <v/>
      </c>
      <c r="G26" s="87">
        <f>LAVORAZIONI!P146</f>
        <v/>
      </c>
      <c r="H26" s="88">
        <f>LAVORAZIONI!U146</f>
        <v/>
      </c>
      <c r="I26" s="87">
        <f>LAVORAZIONI!V146</f>
        <v/>
      </c>
    </row>
    <row r="27">
      <c r="A27" s="84">
        <f>LAVORAZIONI!G147</f>
        <v/>
      </c>
      <c r="B27" s="85">
        <f>LAVORAZIONI!A147</f>
        <v/>
      </c>
      <c r="C27" s="85">
        <f>LAVORAZIONI!K147</f>
        <v/>
      </c>
      <c r="D27" s="84">
        <f>LAVORAZIONI!M147</f>
        <v/>
      </c>
      <c r="E27" s="86">
        <f>LAVORAZIONI!N147</f>
        <v/>
      </c>
      <c r="F27" s="86">
        <f>LAVORAZIONI!O147</f>
        <v/>
      </c>
      <c r="G27" s="87">
        <f>LAVORAZIONI!P147</f>
        <v/>
      </c>
      <c r="H27" s="88">
        <f>LAVORAZIONI!U147</f>
        <v/>
      </c>
      <c r="I27" s="87">
        <f>LAVORAZIONI!V147</f>
        <v/>
      </c>
    </row>
    <row r="28">
      <c r="A28" s="84">
        <f>LAVORAZIONI!G148</f>
        <v/>
      </c>
      <c r="B28" s="85">
        <f>LAVORAZIONI!A148</f>
        <v/>
      </c>
      <c r="C28" s="85">
        <f>LAVORAZIONI!K148</f>
        <v/>
      </c>
      <c r="D28" s="84">
        <f>LAVORAZIONI!M148</f>
        <v/>
      </c>
      <c r="E28" s="86">
        <f>LAVORAZIONI!N148</f>
        <v/>
      </c>
      <c r="F28" s="86">
        <f>LAVORAZIONI!O148</f>
        <v/>
      </c>
      <c r="G28" s="87">
        <f>LAVORAZIONI!P148</f>
        <v/>
      </c>
      <c r="H28" s="88">
        <f>LAVORAZIONI!U148</f>
        <v/>
      </c>
      <c r="I28" s="87">
        <f>LAVORAZIONI!V148</f>
        <v/>
      </c>
    </row>
    <row r="29">
      <c r="A29" s="84">
        <f>LAVORAZIONI!G149</f>
        <v/>
      </c>
      <c r="B29" s="85">
        <f>LAVORAZIONI!A149</f>
        <v/>
      </c>
      <c r="C29" s="85">
        <f>LAVORAZIONI!K149</f>
        <v/>
      </c>
      <c r="D29" s="84">
        <f>LAVORAZIONI!M149</f>
        <v/>
      </c>
      <c r="E29" s="86">
        <f>LAVORAZIONI!N149</f>
        <v/>
      </c>
      <c r="F29" s="86">
        <f>LAVORAZIONI!O149</f>
        <v/>
      </c>
      <c r="G29" s="87">
        <f>LAVORAZIONI!P149</f>
        <v/>
      </c>
      <c r="H29" s="88">
        <f>LAVORAZIONI!U149</f>
        <v/>
      </c>
      <c r="I29" s="87">
        <f>LAVORAZIONI!V149</f>
        <v/>
      </c>
    </row>
    <row r="30">
      <c r="A30" s="84">
        <f>LAVORAZIONI!G150</f>
        <v/>
      </c>
      <c r="B30" s="85">
        <f>LAVORAZIONI!A150</f>
        <v/>
      </c>
      <c r="C30" s="85">
        <f>LAVORAZIONI!K150</f>
        <v/>
      </c>
      <c r="D30" s="84">
        <f>LAVORAZIONI!M150</f>
        <v/>
      </c>
      <c r="E30" s="86">
        <f>LAVORAZIONI!N150</f>
        <v/>
      </c>
      <c r="F30" s="86">
        <f>LAVORAZIONI!O150</f>
        <v/>
      </c>
      <c r="G30" s="87">
        <f>LAVORAZIONI!P150</f>
        <v/>
      </c>
      <c r="H30" s="88">
        <f>LAVORAZIONI!U150</f>
        <v/>
      </c>
      <c r="I30" s="87">
        <f>LAVORAZIONI!V150</f>
        <v/>
      </c>
    </row>
    <row r="31">
      <c r="A31" s="84">
        <f>LAVORAZIONI!G151</f>
        <v/>
      </c>
      <c r="B31" s="85">
        <f>LAVORAZIONI!A151</f>
        <v/>
      </c>
      <c r="C31" s="85">
        <f>LAVORAZIONI!K151</f>
        <v/>
      </c>
      <c r="D31" s="84">
        <f>LAVORAZIONI!M151</f>
        <v/>
      </c>
      <c r="E31" s="86">
        <f>LAVORAZIONI!N151</f>
        <v/>
      </c>
      <c r="F31" s="86">
        <f>LAVORAZIONI!O151</f>
        <v/>
      </c>
      <c r="G31" s="87">
        <f>LAVORAZIONI!P151</f>
        <v/>
      </c>
      <c r="H31" s="88">
        <f>LAVORAZIONI!U151</f>
        <v/>
      </c>
      <c r="I31" s="87">
        <f>LAVORAZIONI!V151</f>
        <v/>
      </c>
    </row>
    <row r="32">
      <c r="A32" s="84">
        <f>LAVORAZIONI!G152</f>
        <v/>
      </c>
      <c r="B32" s="85">
        <f>LAVORAZIONI!A152</f>
        <v/>
      </c>
      <c r="C32" s="85">
        <f>LAVORAZIONI!K152</f>
        <v/>
      </c>
      <c r="D32" s="84">
        <f>LAVORAZIONI!M152</f>
        <v/>
      </c>
      <c r="E32" s="86">
        <f>LAVORAZIONI!N152</f>
        <v/>
      </c>
      <c r="F32" s="86">
        <f>LAVORAZIONI!O152</f>
        <v/>
      </c>
      <c r="G32" s="87">
        <f>LAVORAZIONI!P152</f>
        <v/>
      </c>
      <c r="H32" s="88">
        <f>LAVORAZIONI!U152</f>
        <v/>
      </c>
      <c r="I32" s="87">
        <f>LAVORAZIONI!V152</f>
        <v/>
      </c>
    </row>
    <row r="33">
      <c r="A33" s="84">
        <f>LAVORAZIONI!G153</f>
        <v/>
      </c>
      <c r="B33" s="85">
        <f>LAVORAZIONI!A153</f>
        <v/>
      </c>
      <c r="C33" s="85">
        <f>LAVORAZIONI!K153</f>
        <v/>
      </c>
      <c r="D33" s="84">
        <f>LAVORAZIONI!M153</f>
        <v/>
      </c>
      <c r="E33" s="86">
        <f>LAVORAZIONI!N153</f>
        <v/>
      </c>
      <c r="F33" s="86">
        <f>LAVORAZIONI!O153</f>
        <v/>
      </c>
      <c r="G33" s="87">
        <f>LAVORAZIONI!P153</f>
        <v/>
      </c>
      <c r="H33" s="88">
        <f>LAVORAZIONI!U153</f>
        <v/>
      </c>
      <c r="I33" s="87">
        <f>LAVORAZIONI!V153</f>
        <v/>
      </c>
    </row>
    <row r="34">
      <c r="A34" s="84">
        <f>LAVORAZIONI!G154</f>
        <v/>
      </c>
      <c r="B34" s="85">
        <f>LAVORAZIONI!A154</f>
        <v/>
      </c>
      <c r="C34" s="85">
        <f>LAVORAZIONI!K154</f>
        <v/>
      </c>
      <c r="D34" s="84">
        <f>LAVORAZIONI!M154</f>
        <v/>
      </c>
      <c r="E34" s="86">
        <f>LAVORAZIONI!N154</f>
        <v/>
      </c>
      <c r="F34" s="86">
        <f>LAVORAZIONI!O154</f>
        <v/>
      </c>
      <c r="G34" s="87">
        <f>LAVORAZIONI!P154</f>
        <v/>
      </c>
      <c r="H34" s="88">
        <f>LAVORAZIONI!U154</f>
        <v/>
      </c>
      <c r="I34" s="87">
        <f>LAVORAZIONI!V154</f>
        <v/>
      </c>
    </row>
    <row r="35">
      <c r="A35" s="84">
        <f>LAVORAZIONI!G155</f>
        <v/>
      </c>
      <c r="B35" s="85">
        <f>LAVORAZIONI!A155</f>
        <v/>
      </c>
      <c r="C35" s="85">
        <f>LAVORAZIONI!K155</f>
        <v/>
      </c>
      <c r="D35" s="84">
        <f>LAVORAZIONI!M155</f>
        <v/>
      </c>
      <c r="E35" s="86">
        <f>LAVORAZIONI!N155</f>
        <v/>
      </c>
      <c r="F35" s="86">
        <f>LAVORAZIONI!O155</f>
        <v/>
      </c>
      <c r="G35" s="87">
        <f>LAVORAZIONI!P155</f>
        <v/>
      </c>
      <c r="H35" s="88">
        <f>LAVORAZIONI!U155</f>
        <v/>
      </c>
      <c r="I35" s="87">
        <f>LAVORAZIONI!V155</f>
        <v/>
      </c>
    </row>
    <row r="36">
      <c r="A36" s="84">
        <f>LAVORAZIONI!G156</f>
        <v/>
      </c>
      <c r="B36" s="85">
        <f>LAVORAZIONI!A156</f>
        <v/>
      </c>
      <c r="C36" s="85">
        <f>LAVORAZIONI!K156</f>
        <v/>
      </c>
      <c r="D36" s="84">
        <f>LAVORAZIONI!M156</f>
        <v/>
      </c>
      <c r="E36" s="86">
        <f>LAVORAZIONI!N156</f>
        <v/>
      </c>
      <c r="F36" s="86">
        <f>LAVORAZIONI!O156</f>
        <v/>
      </c>
      <c r="G36" s="87">
        <f>LAVORAZIONI!P156</f>
        <v/>
      </c>
      <c r="H36" s="88">
        <f>LAVORAZIONI!U156</f>
        <v/>
      </c>
      <c r="I36" s="87">
        <f>LAVORAZIONI!V156</f>
        <v/>
      </c>
    </row>
    <row r="37">
      <c r="A37" s="84">
        <f>LAVORAZIONI!G157</f>
        <v/>
      </c>
      <c r="B37" s="85">
        <f>LAVORAZIONI!A157</f>
        <v/>
      </c>
      <c r="C37" s="85">
        <f>LAVORAZIONI!K157</f>
        <v/>
      </c>
      <c r="D37" s="84">
        <f>LAVORAZIONI!M157</f>
        <v/>
      </c>
      <c r="E37" s="86">
        <f>LAVORAZIONI!N157</f>
        <v/>
      </c>
      <c r="F37" s="86">
        <f>LAVORAZIONI!O157</f>
        <v/>
      </c>
      <c r="G37" s="87">
        <f>LAVORAZIONI!P157</f>
        <v/>
      </c>
      <c r="H37" s="88">
        <f>LAVORAZIONI!U157</f>
        <v/>
      </c>
      <c r="I37" s="87">
        <f>LAVORAZIONI!V157</f>
        <v/>
      </c>
    </row>
    <row r="38">
      <c r="A38" s="84">
        <f>LAVORAZIONI!G158</f>
        <v/>
      </c>
      <c r="B38" s="85">
        <f>LAVORAZIONI!A158</f>
        <v/>
      </c>
      <c r="C38" s="85">
        <f>LAVORAZIONI!K158</f>
        <v/>
      </c>
      <c r="D38" s="84">
        <f>LAVORAZIONI!M158</f>
        <v/>
      </c>
      <c r="E38" s="86">
        <f>LAVORAZIONI!N158</f>
        <v/>
      </c>
      <c r="F38" s="86">
        <f>LAVORAZIONI!O158</f>
        <v/>
      </c>
      <c r="G38" s="87">
        <f>LAVORAZIONI!P158</f>
        <v/>
      </c>
      <c r="H38" s="88">
        <f>LAVORAZIONI!U158</f>
        <v/>
      </c>
      <c r="I38" s="87">
        <f>LAVORAZIONI!V158</f>
        <v/>
      </c>
    </row>
    <row r="39">
      <c r="A39" s="84">
        <f>LAVORAZIONI!G159</f>
        <v/>
      </c>
      <c r="B39" s="85">
        <f>LAVORAZIONI!A159</f>
        <v/>
      </c>
      <c r="C39" s="85">
        <f>LAVORAZIONI!K159</f>
        <v/>
      </c>
      <c r="D39" s="84">
        <f>LAVORAZIONI!M159</f>
        <v/>
      </c>
      <c r="E39" s="86">
        <f>LAVORAZIONI!N159</f>
        <v/>
      </c>
      <c r="F39" s="86">
        <f>LAVORAZIONI!O159</f>
        <v/>
      </c>
      <c r="G39" s="87">
        <f>LAVORAZIONI!P159</f>
        <v/>
      </c>
      <c r="H39" s="88">
        <f>LAVORAZIONI!U159</f>
        <v/>
      </c>
      <c r="I39" s="87">
        <f>LAVORAZIONI!V159</f>
        <v/>
      </c>
    </row>
    <row r="40">
      <c r="A40" s="84">
        <f>LAVORAZIONI!G160</f>
        <v/>
      </c>
      <c r="B40" s="85">
        <f>LAVORAZIONI!A160</f>
        <v/>
      </c>
      <c r="C40" s="85">
        <f>LAVORAZIONI!K160</f>
        <v/>
      </c>
      <c r="D40" s="84">
        <f>LAVORAZIONI!M160</f>
        <v/>
      </c>
      <c r="E40" s="86">
        <f>LAVORAZIONI!N160</f>
        <v/>
      </c>
      <c r="F40" s="86">
        <f>LAVORAZIONI!O160</f>
        <v/>
      </c>
      <c r="G40" s="87">
        <f>LAVORAZIONI!P160</f>
        <v/>
      </c>
      <c r="H40" s="88">
        <f>LAVORAZIONI!U160</f>
        <v/>
      </c>
      <c r="I40" s="87">
        <f>LAVORAZIONI!V160</f>
        <v/>
      </c>
    </row>
    <row r="41">
      <c r="A41" s="84">
        <f>LAVORAZIONI!G161</f>
        <v/>
      </c>
      <c r="B41" s="85">
        <f>LAVORAZIONI!A161</f>
        <v/>
      </c>
      <c r="C41" s="85">
        <f>LAVORAZIONI!K161</f>
        <v/>
      </c>
      <c r="D41" s="84">
        <f>LAVORAZIONI!M161</f>
        <v/>
      </c>
      <c r="E41" s="86">
        <f>LAVORAZIONI!N161</f>
        <v/>
      </c>
      <c r="F41" s="86">
        <f>LAVORAZIONI!O161</f>
        <v/>
      </c>
      <c r="G41" s="87">
        <f>LAVORAZIONI!P161</f>
        <v/>
      </c>
      <c r="H41" s="88">
        <f>LAVORAZIONI!U161</f>
        <v/>
      </c>
      <c r="I41" s="87">
        <f>LAVORAZIONI!V161</f>
        <v/>
      </c>
    </row>
    <row r="42">
      <c r="A42" s="84">
        <f>LAVORAZIONI!G162</f>
        <v/>
      </c>
      <c r="B42" s="85">
        <f>LAVORAZIONI!A162</f>
        <v/>
      </c>
      <c r="C42" s="85">
        <f>LAVORAZIONI!K162</f>
        <v/>
      </c>
      <c r="D42" s="84">
        <f>LAVORAZIONI!M162</f>
        <v/>
      </c>
      <c r="E42" s="86">
        <f>LAVORAZIONI!N162</f>
        <v/>
      </c>
      <c r="F42" s="86">
        <f>LAVORAZIONI!O162</f>
        <v/>
      </c>
      <c r="G42" s="87">
        <f>LAVORAZIONI!P162</f>
        <v/>
      </c>
      <c r="H42" s="88">
        <f>LAVORAZIONI!U162</f>
        <v/>
      </c>
      <c r="I42" s="87">
        <f>LAVORAZIONI!V162</f>
        <v/>
      </c>
    </row>
    <row r="43">
      <c r="A43" s="84">
        <f>LAVORAZIONI!G163</f>
        <v/>
      </c>
      <c r="B43" s="85">
        <f>LAVORAZIONI!A163</f>
        <v/>
      </c>
      <c r="C43" s="85">
        <f>LAVORAZIONI!K163</f>
        <v/>
      </c>
      <c r="D43" s="84">
        <f>LAVORAZIONI!M163</f>
        <v/>
      </c>
      <c r="E43" s="86">
        <f>LAVORAZIONI!N163</f>
        <v/>
      </c>
      <c r="F43" s="86">
        <f>LAVORAZIONI!O163</f>
        <v/>
      </c>
      <c r="G43" s="87">
        <f>LAVORAZIONI!P163</f>
        <v/>
      </c>
      <c r="H43" s="88">
        <f>LAVORAZIONI!U163</f>
        <v/>
      </c>
      <c r="I43" s="87">
        <f>LAVORAZIONI!V163</f>
        <v/>
      </c>
    </row>
    <row r="44">
      <c r="A44" s="84">
        <f>LAVORAZIONI!G164</f>
        <v/>
      </c>
      <c r="B44" s="85">
        <f>LAVORAZIONI!A164</f>
        <v/>
      </c>
      <c r="C44" s="85">
        <f>LAVORAZIONI!K164</f>
        <v/>
      </c>
      <c r="D44" s="84">
        <f>LAVORAZIONI!M164</f>
        <v/>
      </c>
      <c r="E44" s="86">
        <f>LAVORAZIONI!N164</f>
        <v/>
      </c>
      <c r="F44" s="86">
        <f>LAVORAZIONI!O164</f>
        <v/>
      </c>
      <c r="G44" s="87">
        <f>LAVORAZIONI!P164</f>
        <v/>
      </c>
      <c r="H44" s="88">
        <f>LAVORAZIONI!U164</f>
        <v/>
      </c>
      <c r="I44" s="87">
        <f>LAVORAZIONI!V164</f>
        <v/>
      </c>
    </row>
    <row r="45">
      <c r="A45" s="84">
        <f>LAVORAZIONI!G165</f>
        <v/>
      </c>
      <c r="B45" s="85">
        <f>LAVORAZIONI!A165</f>
        <v/>
      </c>
      <c r="C45" s="85">
        <f>LAVORAZIONI!K165</f>
        <v/>
      </c>
      <c r="D45" s="84">
        <f>LAVORAZIONI!M165</f>
        <v/>
      </c>
      <c r="E45" s="86">
        <f>LAVORAZIONI!N165</f>
        <v/>
      </c>
      <c r="F45" s="86">
        <f>LAVORAZIONI!O165</f>
        <v/>
      </c>
      <c r="G45" s="87">
        <f>LAVORAZIONI!P165</f>
        <v/>
      </c>
      <c r="H45" s="88">
        <f>LAVORAZIONI!U165</f>
        <v/>
      </c>
      <c r="I45" s="87">
        <f>LAVORAZIONI!V165</f>
        <v/>
      </c>
    </row>
    <row r="46">
      <c r="A46" s="84">
        <f>LAVORAZIONI!G166</f>
        <v/>
      </c>
      <c r="B46" s="85">
        <f>LAVORAZIONI!A166</f>
        <v/>
      </c>
      <c r="C46" s="85">
        <f>LAVORAZIONI!K166</f>
        <v/>
      </c>
      <c r="D46" s="84">
        <f>LAVORAZIONI!M166</f>
        <v/>
      </c>
      <c r="E46" s="86">
        <f>LAVORAZIONI!N166</f>
        <v/>
      </c>
      <c r="F46" s="86">
        <f>LAVORAZIONI!O166</f>
        <v/>
      </c>
      <c r="G46" s="87">
        <f>LAVORAZIONI!P166</f>
        <v/>
      </c>
      <c r="H46" s="88">
        <f>LAVORAZIONI!U166</f>
        <v/>
      </c>
      <c r="I46" s="87">
        <f>LAVORAZIONI!V166</f>
        <v/>
      </c>
    </row>
    <row r="47">
      <c r="A47" s="84">
        <f>LAVORAZIONI!G167</f>
        <v/>
      </c>
      <c r="B47" s="85">
        <f>LAVORAZIONI!A167</f>
        <v/>
      </c>
      <c r="C47" s="85">
        <f>LAVORAZIONI!K167</f>
        <v/>
      </c>
      <c r="D47" s="84">
        <f>LAVORAZIONI!M167</f>
        <v/>
      </c>
      <c r="E47" s="86">
        <f>LAVORAZIONI!N167</f>
        <v/>
      </c>
      <c r="F47" s="86">
        <f>LAVORAZIONI!O167</f>
        <v/>
      </c>
      <c r="G47" s="87">
        <f>LAVORAZIONI!P167</f>
        <v/>
      </c>
      <c r="H47" s="88">
        <f>LAVORAZIONI!U167</f>
        <v/>
      </c>
      <c r="I47" s="87">
        <f>LAVORAZIONI!V167</f>
        <v/>
      </c>
    </row>
    <row r="48">
      <c r="A48" s="84">
        <f>LAVORAZIONI!G168</f>
        <v/>
      </c>
      <c r="B48" s="85">
        <f>LAVORAZIONI!A168</f>
        <v/>
      </c>
      <c r="C48" s="85">
        <f>LAVORAZIONI!K168</f>
        <v/>
      </c>
      <c r="D48" s="84">
        <f>LAVORAZIONI!M168</f>
        <v/>
      </c>
      <c r="E48" s="86">
        <f>LAVORAZIONI!N168</f>
        <v/>
      </c>
      <c r="F48" s="86">
        <f>LAVORAZIONI!O168</f>
        <v/>
      </c>
      <c r="G48" s="87">
        <f>LAVORAZIONI!P168</f>
        <v/>
      </c>
      <c r="H48" s="88">
        <f>LAVORAZIONI!U168</f>
        <v/>
      </c>
      <c r="I48" s="87">
        <f>LAVORAZIONI!V168</f>
        <v/>
      </c>
    </row>
    <row r="49">
      <c r="A49" s="84">
        <f>LAVORAZIONI!G169</f>
        <v/>
      </c>
      <c r="B49" s="85">
        <f>LAVORAZIONI!A169</f>
        <v/>
      </c>
      <c r="C49" s="85">
        <f>LAVORAZIONI!K169</f>
        <v/>
      </c>
      <c r="D49" s="84">
        <f>LAVORAZIONI!M169</f>
        <v/>
      </c>
      <c r="E49" s="86">
        <f>LAVORAZIONI!N169</f>
        <v/>
      </c>
      <c r="F49" s="86">
        <f>LAVORAZIONI!O169</f>
        <v/>
      </c>
      <c r="G49" s="87">
        <f>LAVORAZIONI!P169</f>
        <v/>
      </c>
      <c r="H49" s="88">
        <f>LAVORAZIONI!U169</f>
        <v/>
      </c>
      <c r="I49" s="87">
        <f>LAVORAZIONI!V169</f>
        <v/>
      </c>
    </row>
    <row r="50">
      <c r="A50" s="84">
        <f>LAVORAZIONI!G170</f>
        <v/>
      </c>
      <c r="B50" s="85">
        <f>LAVORAZIONI!A170</f>
        <v/>
      </c>
      <c r="C50" s="85">
        <f>LAVORAZIONI!K170</f>
        <v/>
      </c>
      <c r="D50" s="84">
        <f>LAVORAZIONI!M170</f>
        <v/>
      </c>
      <c r="E50" s="86">
        <f>LAVORAZIONI!N170</f>
        <v/>
      </c>
      <c r="F50" s="86">
        <f>LAVORAZIONI!O170</f>
        <v/>
      </c>
      <c r="G50" s="87">
        <f>LAVORAZIONI!P170</f>
        <v/>
      </c>
      <c r="H50" s="88">
        <f>LAVORAZIONI!U170</f>
        <v/>
      </c>
      <c r="I50" s="87">
        <f>LAVORAZIONI!V170</f>
        <v/>
      </c>
    </row>
    <row r="51">
      <c r="A51" s="84">
        <f>LAVORAZIONI!G171</f>
        <v/>
      </c>
      <c r="B51" s="85">
        <f>LAVORAZIONI!A171</f>
        <v/>
      </c>
      <c r="C51" s="85">
        <f>LAVORAZIONI!K171</f>
        <v/>
      </c>
      <c r="D51" s="84">
        <f>LAVORAZIONI!M171</f>
        <v/>
      </c>
      <c r="E51" s="86">
        <f>LAVORAZIONI!N171</f>
        <v/>
      </c>
      <c r="F51" s="86">
        <f>LAVORAZIONI!O171</f>
        <v/>
      </c>
      <c r="G51" s="87">
        <f>LAVORAZIONI!P171</f>
        <v/>
      </c>
      <c r="H51" s="88">
        <f>LAVORAZIONI!U171</f>
        <v/>
      </c>
      <c r="I51" s="87">
        <f>LAVORAZIONI!V171</f>
        <v/>
      </c>
    </row>
    <row r="52">
      <c r="A52" s="61" t="n"/>
      <c r="B52" s="62" t="n"/>
      <c r="C52" s="62" t="n"/>
      <c r="D52" s="62" t="n"/>
      <c r="E52" s="62" t="n"/>
      <c r="F52" s="62" t="n"/>
      <c r="G52" s="62" t="n"/>
      <c r="H52" s="62" t="n"/>
      <c r="I52" s="63">
        <f>SUM(I5:I51)</f>
        <v/>
      </c>
    </row>
  </sheetData>
  <mergeCells count="4">
    <mergeCell ref="A1:I1"/>
    <mergeCell ref="A3:I3"/>
    <mergeCell ref="A2:I2"/>
    <mergeCell ref="A52:H52"/>
  </mergeCells>
  <pageMargins left="0.5" right="0.5" top="1" bottom="0.8" header="0.4" footer="0.4"/>
  <pageSetup orientation="landscape" paperSize="9" fitToHeight="0" fitToWidth="1"/>
  <headerFooter>
    <oddHeader>&amp;L&amp;"Calibri,Italic"&amp;9Nuovo stabilimento radiofarmaceutico LENA - Pavia (PV)&amp;C&amp;"Calibri,Bold"&amp;13Aprile - Edili Speciali&amp;R&amp;"Calibri"&amp;9&amp;D</oddHeader>
    <oddFooter>&amp;C&amp;"Calibri"&amp;9Pagina &amp;P di &amp;N</oddFooter>
    <evenHeader>&amp;L&amp;"Calibri,Italic"&amp;9Nuovo stabilimento radiofarmaceutico LENA - Pavia (PV)&amp;C&amp;"Calibri,Bold"&amp;13Aprile - Edili Speciali</evenHeader>
    <evenFooter>&amp;C&amp;"Calibri"&amp;9Pagina &amp;P di &amp;N</evenFooter>
    <firstHeader/>
    <firstFooter/>
  </headerFooter>
</worksheet>
</file>

<file path=xl/worksheets/sheet12.xml><?xml version="1.0" encoding="utf-8"?>
<worksheet xmlns="http://schemas.openxmlformats.org/spreadsheetml/2006/main">
  <sheetPr>
    <outlinePr summaryBelow="1" summaryRight="1"/>
    <pageSetUpPr fitToPage="1"/>
  </sheetPr>
  <dimension ref="A1:I90"/>
  <sheetViews>
    <sheetView workbookViewId="0">
      <pane ySplit="4" topLeftCell="A5" activePane="bottomLeft" state="frozen"/>
      <selection pane="bottomLeft" activeCell="A1" sqref="A1"/>
    </sheetView>
  </sheetViews>
  <sheetFormatPr baseColWidth="8" defaultRowHeight="15"/>
  <cols>
    <col width="9" customWidth="1" style="46" min="1" max="1"/>
    <col width="26" customWidth="1" style="46" min="2" max="2"/>
    <col width="58" customWidth="1" style="46" min="3" max="3"/>
    <col width="8" customWidth="1" style="46" min="4" max="4"/>
    <col width="11" customWidth="1" style="46" min="5" max="5"/>
    <col width="12" customWidth="1" style="46" min="6" max="6"/>
    <col width="14" customWidth="1" style="46" min="7" max="7"/>
    <col width="9" customWidth="1" style="46" min="8" max="8"/>
    <col width="14" customWidth="1" style="46" min="9" max="9"/>
  </cols>
  <sheetData>
    <row r="1" ht="22" customHeight="1" s="46">
      <c r="A1" s="78" t="inlineStr">
        <is>
          <t>SAL APRILE 2026 — OPERE MECCANICHE</t>
        </is>
      </c>
    </row>
    <row r="2" ht="28"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N. VOCE</t>
        </is>
      </c>
      <c r="B4" s="55" t="inlineStr">
        <is>
          <t>CODICE LAVORAZIONE</t>
        </is>
      </c>
      <c r="C4" s="55" t="inlineStr">
        <is>
          <t>DESCRIZIONE</t>
        </is>
      </c>
      <c r="D4" s="55" t="inlineStr">
        <is>
          <t>U.M.</t>
        </is>
      </c>
      <c r="E4" s="55" t="inlineStr">
        <is>
          <t>QUANTITÀ</t>
        </is>
      </c>
      <c r="F4" s="55" t="inlineStr">
        <is>
          <t>VAL. UNITARIO</t>
        </is>
      </c>
      <c r="G4" s="55" t="inlineStr">
        <is>
          <t>TOTALE PREVENTIVO</t>
        </is>
      </c>
      <c r="H4" s="55" t="inlineStr">
        <is>
          <t>% SAL Aprile</t>
        </is>
      </c>
      <c r="I4" s="55" t="inlineStr">
        <is>
          <t>IMPORTO SAL Aprile</t>
        </is>
      </c>
    </row>
    <row r="5">
      <c r="A5" s="84">
        <f>LAVORAZIONI!G172</f>
        <v/>
      </c>
      <c r="B5" s="85">
        <f>LAVORAZIONI!A172</f>
        <v/>
      </c>
      <c r="C5" s="85">
        <f>LAVORAZIONI!K172</f>
        <v/>
      </c>
      <c r="D5" s="84">
        <f>LAVORAZIONI!M172</f>
        <v/>
      </c>
      <c r="E5" s="86">
        <f>LAVORAZIONI!N172</f>
        <v/>
      </c>
      <c r="F5" s="86">
        <f>LAVORAZIONI!O172</f>
        <v/>
      </c>
      <c r="G5" s="87">
        <f>LAVORAZIONI!P172</f>
        <v/>
      </c>
      <c r="H5" s="88">
        <f>LAVORAZIONI!U172</f>
        <v/>
      </c>
      <c r="I5" s="87">
        <f>LAVORAZIONI!V172</f>
        <v/>
      </c>
    </row>
    <row r="6">
      <c r="A6" s="84">
        <f>LAVORAZIONI!G173</f>
        <v/>
      </c>
      <c r="B6" s="85">
        <f>LAVORAZIONI!A173</f>
        <v/>
      </c>
      <c r="C6" s="85">
        <f>LAVORAZIONI!K173</f>
        <v/>
      </c>
      <c r="D6" s="84">
        <f>LAVORAZIONI!M173</f>
        <v/>
      </c>
      <c r="E6" s="86">
        <f>LAVORAZIONI!N173</f>
        <v/>
      </c>
      <c r="F6" s="86">
        <f>LAVORAZIONI!O173</f>
        <v/>
      </c>
      <c r="G6" s="87">
        <f>LAVORAZIONI!P173</f>
        <v/>
      </c>
      <c r="H6" s="88">
        <f>LAVORAZIONI!U173</f>
        <v/>
      </c>
      <c r="I6" s="87">
        <f>LAVORAZIONI!V173</f>
        <v/>
      </c>
    </row>
    <row r="7">
      <c r="A7" s="84">
        <f>LAVORAZIONI!G174</f>
        <v/>
      </c>
      <c r="B7" s="85">
        <f>LAVORAZIONI!A174</f>
        <v/>
      </c>
      <c r="C7" s="85">
        <f>LAVORAZIONI!K174</f>
        <v/>
      </c>
      <c r="D7" s="84">
        <f>LAVORAZIONI!M174</f>
        <v/>
      </c>
      <c r="E7" s="86">
        <f>LAVORAZIONI!N174</f>
        <v/>
      </c>
      <c r="F7" s="86">
        <f>LAVORAZIONI!O174</f>
        <v/>
      </c>
      <c r="G7" s="87">
        <f>LAVORAZIONI!P174</f>
        <v/>
      </c>
      <c r="H7" s="88">
        <f>LAVORAZIONI!U174</f>
        <v/>
      </c>
      <c r="I7" s="87">
        <f>LAVORAZIONI!V174</f>
        <v/>
      </c>
    </row>
    <row r="8">
      <c r="A8" s="84">
        <f>LAVORAZIONI!G175</f>
        <v/>
      </c>
      <c r="B8" s="85">
        <f>LAVORAZIONI!A175</f>
        <v/>
      </c>
      <c r="C8" s="85">
        <f>LAVORAZIONI!K175</f>
        <v/>
      </c>
      <c r="D8" s="84">
        <f>LAVORAZIONI!M175</f>
        <v/>
      </c>
      <c r="E8" s="86">
        <f>LAVORAZIONI!N175</f>
        <v/>
      </c>
      <c r="F8" s="86">
        <f>LAVORAZIONI!O175</f>
        <v/>
      </c>
      <c r="G8" s="87">
        <f>LAVORAZIONI!P175</f>
        <v/>
      </c>
      <c r="H8" s="88">
        <f>LAVORAZIONI!U175</f>
        <v/>
      </c>
      <c r="I8" s="87">
        <f>LAVORAZIONI!V175</f>
        <v/>
      </c>
    </row>
    <row r="9">
      <c r="A9" s="84">
        <f>LAVORAZIONI!G176</f>
        <v/>
      </c>
      <c r="B9" s="85">
        <f>LAVORAZIONI!A176</f>
        <v/>
      </c>
      <c r="C9" s="85">
        <f>LAVORAZIONI!K176</f>
        <v/>
      </c>
      <c r="D9" s="84">
        <f>LAVORAZIONI!M176</f>
        <v/>
      </c>
      <c r="E9" s="86">
        <f>LAVORAZIONI!N176</f>
        <v/>
      </c>
      <c r="F9" s="86">
        <f>LAVORAZIONI!O176</f>
        <v/>
      </c>
      <c r="G9" s="87">
        <f>LAVORAZIONI!P176</f>
        <v/>
      </c>
      <c r="H9" s="88">
        <f>LAVORAZIONI!U176</f>
        <v/>
      </c>
      <c r="I9" s="87">
        <f>LAVORAZIONI!V176</f>
        <v/>
      </c>
    </row>
    <row r="10">
      <c r="A10" s="84">
        <f>LAVORAZIONI!G177</f>
        <v/>
      </c>
      <c r="B10" s="85">
        <f>LAVORAZIONI!A177</f>
        <v/>
      </c>
      <c r="C10" s="85">
        <f>LAVORAZIONI!K177</f>
        <v/>
      </c>
      <c r="D10" s="84">
        <f>LAVORAZIONI!M177</f>
        <v/>
      </c>
      <c r="E10" s="86">
        <f>LAVORAZIONI!N177</f>
        <v/>
      </c>
      <c r="F10" s="86">
        <f>LAVORAZIONI!O177</f>
        <v/>
      </c>
      <c r="G10" s="87">
        <f>LAVORAZIONI!P177</f>
        <v/>
      </c>
      <c r="H10" s="88">
        <f>LAVORAZIONI!U177</f>
        <v/>
      </c>
      <c r="I10" s="87">
        <f>LAVORAZIONI!V177</f>
        <v/>
      </c>
    </row>
    <row r="11">
      <c r="A11" s="84">
        <f>LAVORAZIONI!G178</f>
        <v/>
      </c>
      <c r="B11" s="85">
        <f>LAVORAZIONI!A178</f>
        <v/>
      </c>
      <c r="C11" s="85">
        <f>LAVORAZIONI!K178</f>
        <v/>
      </c>
      <c r="D11" s="84">
        <f>LAVORAZIONI!M178</f>
        <v/>
      </c>
      <c r="E11" s="86">
        <f>LAVORAZIONI!N178</f>
        <v/>
      </c>
      <c r="F11" s="86">
        <f>LAVORAZIONI!O178</f>
        <v/>
      </c>
      <c r="G11" s="87">
        <f>LAVORAZIONI!P178</f>
        <v/>
      </c>
      <c r="H11" s="88">
        <f>LAVORAZIONI!U178</f>
        <v/>
      </c>
      <c r="I11" s="87">
        <f>LAVORAZIONI!V178</f>
        <v/>
      </c>
    </row>
    <row r="12">
      <c r="A12" s="84">
        <f>LAVORAZIONI!G179</f>
        <v/>
      </c>
      <c r="B12" s="85">
        <f>LAVORAZIONI!A179</f>
        <v/>
      </c>
      <c r="C12" s="85">
        <f>LAVORAZIONI!K179</f>
        <v/>
      </c>
      <c r="D12" s="84">
        <f>LAVORAZIONI!M179</f>
        <v/>
      </c>
      <c r="E12" s="86">
        <f>LAVORAZIONI!N179</f>
        <v/>
      </c>
      <c r="F12" s="86">
        <f>LAVORAZIONI!O179</f>
        <v/>
      </c>
      <c r="G12" s="87">
        <f>LAVORAZIONI!P179</f>
        <v/>
      </c>
      <c r="H12" s="88">
        <f>LAVORAZIONI!U179</f>
        <v/>
      </c>
      <c r="I12" s="87">
        <f>LAVORAZIONI!V179</f>
        <v/>
      </c>
    </row>
    <row r="13">
      <c r="A13" s="84">
        <f>LAVORAZIONI!G180</f>
        <v/>
      </c>
      <c r="B13" s="85">
        <f>LAVORAZIONI!A180</f>
        <v/>
      </c>
      <c r="C13" s="85">
        <f>LAVORAZIONI!K180</f>
        <v/>
      </c>
      <c r="D13" s="84">
        <f>LAVORAZIONI!M180</f>
        <v/>
      </c>
      <c r="E13" s="86">
        <f>LAVORAZIONI!N180</f>
        <v/>
      </c>
      <c r="F13" s="86">
        <f>LAVORAZIONI!O180</f>
        <v/>
      </c>
      <c r="G13" s="87">
        <f>LAVORAZIONI!P180</f>
        <v/>
      </c>
      <c r="H13" s="88">
        <f>LAVORAZIONI!U180</f>
        <v/>
      </c>
      <c r="I13" s="87">
        <f>LAVORAZIONI!V180</f>
        <v/>
      </c>
    </row>
    <row r="14">
      <c r="A14" s="84">
        <f>LAVORAZIONI!G181</f>
        <v/>
      </c>
      <c r="B14" s="85">
        <f>LAVORAZIONI!A181</f>
        <v/>
      </c>
      <c r="C14" s="85">
        <f>LAVORAZIONI!K181</f>
        <v/>
      </c>
      <c r="D14" s="84">
        <f>LAVORAZIONI!M181</f>
        <v/>
      </c>
      <c r="E14" s="86">
        <f>LAVORAZIONI!N181</f>
        <v/>
      </c>
      <c r="F14" s="86">
        <f>LAVORAZIONI!O181</f>
        <v/>
      </c>
      <c r="G14" s="87">
        <f>LAVORAZIONI!P181</f>
        <v/>
      </c>
      <c r="H14" s="88">
        <f>LAVORAZIONI!U181</f>
        <v/>
      </c>
      <c r="I14" s="87">
        <f>LAVORAZIONI!V181</f>
        <v/>
      </c>
    </row>
    <row r="15">
      <c r="A15" s="79">
        <f>LAVORAZIONI!G182</f>
        <v/>
      </c>
      <c r="B15" s="80">
        <f>LAVORAZIONI!A182</f>
        <v/>
      </c>
      <c r="C15" s="80">
        <f>LAVORAZIONI!K182</f>
        <v/>
      </c>
      <c r="D15" s="79">
        <f>LAVORAZIONI!M182</f>
        <v/>
      </c>
      <c r="E15" s="81">
        <f>LAVORAZIONI!N182</f>
        <v/>
      </c>
      <c r="F15" s="81">
        <f>LAVORAZIONI!O182</f>
        <v/>
      </c>
      <c r="G15" s="82">
        <f>LAVORAZIONI!P182</f>
        <v/>
      </c>
      <c r="H15" s="83">
        <f>LAVORAZIONI!U182</f>
        <v/>
      </c>
      <c r="I15" s="82">
        <f>LAVORAZIONI!V182</f>
        <v/>
      </c>
    </row>
    <row r="16">
      <c r="A16" s="84">
        <f>LAVORAZIONI!G183</f>
        <v/>
      </c>
      <c r="B16" s="85">
        <f>LAVORAZIONI!A183</f>
        <v/>
      </c>
      <c r="C16" s="85">
        <f>LAVORAZIONI!K183</f>
        <v/>
      </c>
      <c r="D16" s="84">
        <f>LAVORAZIONI!M183</f>
        <v/>
      </c>
      <c r="E16" s="86">
        <f>LAVORAZIONI!N183</f>
        <v/>
      </c>
      <c r="F16" s="86">
        <f>LAVORAZIONI!O183</f>
        <v/>
      </c>
      <c r="G16" s="87">
        <f>LAVORAZIONI!P183</f>
        <v/>
      </c>
      <c r="H16" s="88">
        <f>LAVORAZIONI!U183</f>
        <v/>
      </c>
      <c r="I16" s="87">
        <f>LAVORAZIONI!V183</f>
        <v/>
      </c>
    </row>
    <row r="17">
      <c r="A17" s="84">
        <f>LAVORAZIONI!G184</f>
        <v/>
      </c>
      <c r="B17" s="85">
        <f>LAVORAZIONI!A184</f>
        <v/>
      </c>
      <c r="C17" s="85">
        <f>LAVORAZIONI!K184</f>
        <v/>
      </c>
      <c r="D17" s="84">
        <f>LAVORAZIONI!M184</f>
        <v/>
      </c>
      <c r="E17" s="86">
        <f>LAVORAZIONI!N184</f>
        <v/>
      </c>
      <c r="F17" s="86">
        <f>LAVORAZIONI!O184</f>
        <v/>
      </c>
      <c r="G17" s="87">
        <f>LAVORAZIONI!P184</f>
        <v/>
      </c>
      <c r="H17" s="88">
        <f>LAVORAZIONI!U184</f>
        <v/>
      </c>
      <c r="I17" s="87">
        <f>LAVORAZIONI!V184</f>
        <v/>
      </c>
    </row>
    <row r="18">
      <c r="A18" s="84">
        <f>LAVORAZIONI!G185</f>
        <v/>
      </c>
      <c r="B18" s="85">
        <f>LAVORAZIONI!A185</f>
        <v/>
      </c>
      <c r="C18" s="85">
        <f>LAVORAZIONI!K185</f>
        <v/>
      </c>
      <c r="D18" s="84">
        <f>LAVORAZIONI!M185</f>
        <v/>
      </c>
      <c r="E18" s="86">
        <f>LAVORAZIONI!N185</f>
        <v/>
      </c>
      <c r="F18" s="86">
        <f>LAVORAZIONI!O185</f>
        <v/>
      </c>
      <c r="G18" s="87">
        <f>LAVORAZIONI!P185</f>
        <v/>
      </c>
      <c r="H18" s="88">
        <f>LAVORAZIONI!U185</f>
        <v/>
      </c>
      <c r="I18" s="87">
        <f>LAVORAZIONI!V185</f>
        <v/>
      </c>
    </row>
    <row r="19">
      <c r="A19" s="84">
        <f>LAVORAZIONI!G186</f>
        <v/>
      </c>
      <c r="B19" s="85">
        <f>LAVORAZIONI!A186</f>
        <v/>
      </c>
      <c r="C19" s="85">
        <f>LAVORAZIONI!K186</f>
        <v/>
      </c>
      <c r="D19" s="84">
        <f>LAVORAZIONI!M186</f>
        <v/>
      </c>
      <c r="E19" s="86">
        <f>LAVORAZIONI!N186</f>
        <v/>
      </c>
      <c r="F19" s="86">
        <f>LAVORAZIONI!O186</f>
        <v/>
      </c>
      <c r="G19" s="87">
        <f>LAVORAZIONI!P186</f>
        <v/>
      </c>
      <c r="H19" s="88">
        <f>LAVORAZIONI!U186</f>
        <v/>
      </c>
      <c r="I19" s="87">
        <f>LAVORAZIONI!V186</f>
        <v/>
      </c>
    </row>
    <row r="20">
      <c r="A20" s="84">
        <f>LAVORAZIONI!G187</f>
        <v/>
      </c>
      <c r="B20" s="85">
        <f>LAVORAZIONI!A187</f>
        <v/>
      </c>
      <c r="C20" s="85">
        <f>LAVORAZIONI!K187</f>
        <v/>
      </c>
      <c r="D20" s="84">
        <f>LAVORAZIONI!M187</f>
        <v/>
      </c>
      <c r="E20" s="86">
        <f>LAVORAZIONI!N187</f>
        <v/>
      </c>
      <c r="F20" s="86">
        <f>LAVORAZIONI!O187</f>
        <v/>
      </c>
      <c r="G20" s="87">
        <f>LAVORAZIONI!P187</f>
        <v/>
      </c>
      <c r="H20" s="88">
        <f>LAVORAZIONI!U187</f>
        <v/>
      </c>
      <c r="I20" s="87">
        <f>LAVORAZIONI!V187</f>
        <v/>
      </c>
    </row>
    <row r="21">
      <c r="A21" s="84">
        <f>LAVORAZIONI!G188</f>
        <v/>
      </c>
      <c r="B21" s="85">
        <f>LAVORAZIONI!A188</f>
        <v/>
      </c>
      <c r="C21" s="85">
        <f>LAVORAZIONI!K188</f>
        <v/>
      </c>
      <c r="D21" s="84">
        <f>LAVORAZIONI!M188</f>
        <v/>
      </c>
      <c r="E21" s="86">
        <f>LAVORAZIONI!N188</f>
        <v/>
      </c>
      <c r="F21" s="86">
        <f>LAVORAZIONI!O188</f>
        <v/>
      </c>
      <c r="G21" s="87">
        <f>LAVORAZIONI!P188</f>
        <v/>
      </c>
      <c r="H21" s="88">
        <f>LAVORAZIONI!U188</f>
        <v/>
      </c>
      <c r="I21" s="87">
        <f>LAVORAZIONI!V188</f>
        <v/>
      </c>
    </row>
    <row r="22">
      <c r="A22" s="84">
        <f>LAVORAZIONI!G189</f>
        <v/>
      </c>
      <c r="B22" s="85">
        <f>LAVORAZIONI!A189</f>
        <v/>
      </c>
      <c r="C22" s="85">
        <f>LAVORAZIONI!K189</f>
        <v/>
      </c>
      <c r="D22" s="84">
        <f>LAVORAZIONI!M189</f>
        <v/>
      </c>
      <c r="E22" s="86">
        <f>LAVORAZIONI!N189</f>
        <v/>
      </c>
      <c r="F22" s="86">
        <f>LAVORAZIONI!O189</f>
        <v/>
      </c>
      <c r="G22" s="87">
        <f>LAVORAZIONI!P189</f>
        <v/>
      </c>
      <c r="H22" s="88">
        <f>LAVORAZIONI!U189</f>
        <v/>
      </c>
      <c r="I22" s="87">
        <f>LAVORAZIONI!V189</f>
        <v/>
      </c>
    </row>
    <row r="23">
      <c r="A23" s="84">
        <f>LAVORAZIONI!G190</f>
        <v/>
      </c>
      <c r="B23" s="85">
        <f>LAVORAZIONI!A190</f>
        <v/>
      </c>
      <c r="C23" s="85">
        <f>LAVORAZIONI!K190</f>
        <v/>
      </c>
      <c r="D23" s="84">
        <f>LAVORAZIONI!M190</f>
        <v/>
      </c>
      <c r="E23" s="86">
        <f>LAVORAZIONI!N190</f>
        <v/>
      </c>
      <c r="F23" s="86">
        <f>LAVORAZIONI!O190</f>
        <v/>
      </c>
      <c r="G23" s="87">
        <f>LAVORAZIONI!P190</f>
        <v/>
      </c>
      <c r="H23" s="88">
        <f>LAVORAZIONI!U190</f>
        <v/>
      </c>
      <c r="I23" s="87">
        <f>LAVORAZIONI!V190</f>
        <v/>
      </c>
    </row>
    <row r="24">
      <c r="A24" s="84">
        <f>LAVORAZIONI!G191</f>
        <v/>
      </c>
      <c r="B24" s="85">
        <f>LAVORAZIONI!A191</f>
        <v/>
      </c>
      <c r="C24" s="85">
        <f>LAVORAZIONI!K191</f>
        <v/>
      </c>
      <c r="D24" s="84">
        <f>LAVORAZIONI!M191</f>
        <v/>
      </c>
      <c r="E24" s="86">
        <f>LAVORAZIONI!N191</f>
        <v/>
      </c>
      <c r="F24" s="86">
        <f>LAVORAZIONI!O191</f>
        <v/>
      </c>
      <c r="G24" s="87">
        <f>LAVORAZIONI!P191</f>
        <v/>
      </c>
      <c r="H24" s="88">
        <f>LAVORAZIONI!U191</f>
        <v/>
      </c>
      <c r="I24" s="87">
        <f>LAVORAZIONI!V191</f>
        <v/>
      </c>
    </row>
    <row r="25">
      <c r="A25" s="84">
        <f>LAVORAZIONI!G192</f>
        <v/>
      </c>
      <c r="B25" s="85">
        <f>LAVORAZIONI!A192</f>
        <v/>
      </c>
      <c r="C25" s="85">
        <f>LAVORAZIONI!K192</f>
        <v/>
      </c>
      <c r="D25" s="84">
        <f>LAVORAZIONI!M192</f>
        <v/>
      </c>
      <c r="E25" s="86">
        <f>LAVORAZIONI!N192</f>
        <v/>
      </c>
      <c r="F25" s="86">
        <f>LAVORAZIONI!O192</f>
        <v/>
      </c>
      <c r="G25" s="87">
        <f>LAVORAZIONI!P192</f>
        <v/>
      </c>
      <c r="H25" s="88">
        <f>LAVORAZIONI!U192</f>
        <v/>
      </c>
      <c r="I25" s="87">
        <f>LAVORAZIONI!V192</f>
        <v/>
      </c>
    </row>
    <row r="26">
      <c r="A26" s="84">
        <f>LAVORAZIONI!G193</f>
        <v/>
      </c>
      <c r="B26" s="85">
        <f>LAVORAZIONI!A193</f>
        <v/>
      </c>
      <c r="C26" s="85">
        <f>LAVORAZIONI!K193</f>
        <v/>
      </c>
      <c r="D26" s="84">
        <f>LAVORAZIONI!M193</f>
        <v/>
      </c>
      <c r="E26" s="86">
        <f>LAVORAZIONI!N193</f>
        <v/>
      </c>
      <c r="F26" s="86">
        <f>LAVORAZIONI!O193</f>
        <v/>
      </c>
      <c r="G26" s="87">
        <f>LAVORAZIONI!P193</f>
        <v/>
      </c>
      <c r="H26" s="88">
        <f>LAVORAZIONI!U193</f>
        <v/>
      </c>
      <c r="I26" s="87">
        <f>LAVORAZIONI!V193</f>
        <v/>
      </c>
    </row>
    <row r="27">
      <c r="A27" s="79">
        <f>LAVORAZIONI!G194</f>
        <v/>
      </c>
      <c r="B27" s="80">
        <f>LAVORAZIONI!A194</f>
        <v/>
      </c>
      <c r="C27" s="80">
        <f>LAVORAZIONI!K194</f>
        <v/>
      </c>
      <c r="D27" s="79">
        <f>LAVORAZIONI!M194</f>
        <v/>
      </c>
      <c r="E27" s="81">
        <f>LAVORAZIONI!N194</f>
        <v/>
      </c>
      <c r="F27" s="81">
        <f>LAVORAZIONI!O194</f>
        <v/>
      </c>
      <c r="G27" s="82">
        <f>LAVORAZIONI!P194</f>
        <v/>
      </c>
      <c r="H27" s="83">
        <f>LAVORAZIONI!U194</f>
        <v/>
      </c>
      <c r="I27" s="82">
        <f>LAVORAZIONI!V194</f>
        <v/>
      </c>
    </row>
    <row r="28">
      <c r="A28" s="84">
        <f>LAVORAZIONI!G195</f>
        <v/>
      </c>
      <c r="B28" s="85">
        <f>LAVORAZIONI!A195</f>
        <v/>
      </c>
      <c r="C28" s="85">
        <f>LAVORAZIONI!K195</f>
        <v/>
      </c>
      <c r="D28" s="84">
        <f>LAVORAZIONI!M195</f>
        <v/>
      </c>
      <c r="E28" s="86">
        <f>LAVORAZIONI!N195</f>
        <v/>
      </c>
      <c r="F28" s="86">
        <f>LAVORAZIONI!O195</f>
        <v/>
      </c>
      <c r="G28" s="87">
        <f>LAVORAZIONI!P195</f>
        <v/>
      </c>
      <c r="H28" s="88">
        <f>LAVORAZIONI!U195</f>
        <v/>
      </c>
      <c r="I28" s="87">
        <f>LAVORAZIONI!V195</f>
        <v/>
      </c>
    </row>
    <row r="29">
      <c r="A29" s="84">
        <f>LAVORAZIONI!G196</f>
        <v/>
      </c>
      <c r="B29" s="85">
        <f>LAVORAZIONI!A196</f>
        <v/>
      </c>
      <c r="C29" s="85">
        <f>LAVORAZIONI!K196</f>
        <v/>
      </c>
      <c r="D29" s="84">
        <f>LAVORAZIONI!M196</f>
        <v/>
      </c>
      <c r="E29" s="86">
        <f>LAVORAZIONI!N196</f>
        <v/>
      </c>
      <c r="F29" s="86">
        <f>LAVORAZIONI!O196</f>
        <v/>
      </c>
      <c r="G29" s="87">
        <f>LAVORAZIONI!P196</f>
        <v/>
      </c>
      <c r="H29" s="88">
        <f>LAVORAZIONI!U196</f>
        <v/>
      </c>
      <c r="I29" s="87">
        <f>LAVORAZIONI!V196</f>
        <v/>
      </c>
    </row>
    <row r="30">
      <c r="A30" s="84">
        <f>LAVORAZIONI!G197</f>
        <v/>
      </c>
      <c r="B30" s="85">
        <f>LAVORAZIONI!A197</f>
        <v/>
      </c>
      <c r="C30" s="85">
        <f>LAVORAZIONI!K197</f>
        <v/>
      </c>
      <c r="D30" s="84">
        <f>LAVORAZIONI!M197</f>
        <v/>
      </c>
      <c r="E30" s="86">
        <f>LAVORAZIONI!N197</f>
        <v/>
      </c>
      <c r="F30" s="86">
        <f>LAVORAZIONI!O197</f>
        <v/>
      </c>
      <c r="G30" s="87">
        <f>LAVORAZIONI!P197</f>
        <v/>
      </c>
      <c r="H30" s="88">
        <f>LAVORAZIONI!U197</f>
        <v/>
      </c>
      <c r="I30" s="87">
        <f>LAVORAZIONI!V197</f>
        <v/>
      </c>
    </row>
    <row r="31">
      <c r="A31" s="84">
        <f>LAVORAZIONI!G198</f>
        <v/>
      </c>
      <c r="B31" s="85">
        <f>LAVORAZIONI!A198</f>
        <v/>
      </c>
      <c r="C31" s="85">
        <f>LAVORAZIONI!K198</f>
        <v/>
      </c>
      <c r="D31" s="84">
        <f>LAVORAZIONI!M198</f>
        <v/>
      </c>
      <c r="E31" s="86">
        <f>LAVORAZIONI!N198</f>
        <v/>
      </c>
      <c r="F31" s="86">
        <f>LAVORAZIONI!O198</f>
        <v/>
      </c>
      <c r="G31" s="87">
        <f>LAVORAZIONI!P198</f>
        <v/>
      </c>
      <c r="H31" s="88">
        <f>LAVORAZIONI!U198</f>
        <v/>
      </c>
      <c r="I31" s="87">
        <f>LAVORAZIONI!V198</f>
        <v/>
      </c>
    </row>
    <row r="32">
      <c r="A32" s="84">
        <f>LAVORAZIONI!G199</f>
        <v/>
      </c>
      <c r="B32" s="85">
        <f>LAVORAZIONI!A199</f>
        <v/>
      </c>
      <c r="C32" s="85">
        <f>LAVORAZIONI!K199</f>
        <v/>
      </c>
      <c r="D32" s="84">
        <f>LAVORAZIONI!M199</f>
        <v/>
      </c>
      <c r="E32" s="86">
        <f>LAVORAZIONI!N199</f>
        <v/>
      </c>
      <c r="F32" s="86">
        <f>LAVORAZIONI!O199</f>
        <v/>
      </c>
      <c r="G32" s="87">
        <f>LAVORAZIONI!P199</f>
        <v/>
      </c>
      <c r="H32" s="88">
        <f>LAVORAZIONI!U199</f>
        <v/>
      </c>
      <c r="I32" s="87">
        <f>LAVORAZIONI!V199</f>
        <v/>
      </c>
    </row>
    <row r="33">
      <c r="A33" s="84">
        <f>LAVORAZIONI!G200</f>
        <v/>
      </c>
      <c r="B33" s="85">
        <f>LAVORAZIONI!A200</f>
        <v/>
      </c>
      <c r="C33" s="85">
        <f>LAVORAZIONI!K200</f>
        <v/>
      </c>
      <c r="D33" s="84">
        <f>LAVORAZIONI!M200</f>
        <v/>
      </c>
      <c r="E33" s="86">
        <f>LAVORAZIONI!N200</f>
        <v/>
      </c>
      <c r="F33" s="86">
        <f>LAVORAZIONI!O200</f>
        <v/>
      </c>
      <c r="G33" s="87">
        <f>LAVORAZIONI!P200</f>
        <v/>
      </c>
      <c r="H33" s="88">
        <f>LAVORAZIONI!U200</f>
        <v/>
      </c>
      <c r="I33" s="87">
        <f>LAVORAZIONI!V200</f>
        <v/>
      </c>
    </row>
    <row r="34">
      <c r="A34" s="84">
        <f>LAVORAZIONI!G201</f>
        <v/>
      </c>
      <c r="B34" s="85">
        <f>LAVORAZIONI!A201</f>
        <v/>
      </c>
      <c r="C34" s="85">
        <f>LAVORAZIONI!K201</f>
        <v/>
      </c>
      <c r="D34" s="84">
        <f>LAVORAZIONI!M201</f>
        <v/>
      </c>
      <c r="E34" s="86">
        <f>LAVORAZIONI!N201</f>
        <v/>
      </c>
      <c r="F34" s="86">
        <f>LAVORAZIONI!O201</f>
        <v/>
      </c>
      <c r="G34" s="87">
        <f>LAVORAZIONI!P201</f>
        <v/>
      </c>
      <c r="H34" s="88">
        <f>LAVORAZIONI!U201</f>
        <v/>
      </c>
      <c r="I34" s="87">
        <f>LAVORAZIONI!V201</f>
        <v/>
      </c>
    </row>
    <row r="35">
      <c r="A35" s="84">
        <f>LAVORAZIONI!G202</f>
        <v/>
      </c>
      <c r="B35" s="85">
        <f>LAVORAZIONI!A202</f>
        <v/>
      </c>
      <c r="C35" s="85">
        <f>LAVORAZIONI!K202</f>
        <v/>
      </c>
      <c r="D35" s="84">
        <f>LAVORAZIONI!M202</f>
        <v/>
      </c>
      <c r="E35" s="86">
        <f>LAVORAZIONI!N202</f>
        <v/>
      </c>
      <c r="F35" s="86">
        <f>LAVORAZIONI!O202</f>
        <v/>
      </c>
      <c r="G35" s="87">
        <f>LAVORAZIONI!P202</f>
        <v/>
      </c>
      <c r="H35" s="88">
        <f>LAVORAZIONI!U202</f>
        <v/>
      </c>
      <c r="I35" s="87">
        <f>LAVORAZIONI!V202</f>
        <v/>
      </c>
    </row>
    <row r="36">
      <c r="A36" s="84">
        <f>LAVORAZIONI!G203</f>
        <v/>
      </c>
      <c r="B36" s="85">
        <f>LAVORAZIONI!A203</f>
        <v/>
      </c>
      <c r="C36" s="85">
        <f>LAVORAZIONI!K203</f>
        <v/>
      </c>
      <c r="D36" s="84">
        <f>LAVORAZIONI!M203</f>
        <v/>
      </c>
      <c r="E36" s="86">
        <f>LAVORAZIONI!N203</f>
        <v/>
      </c>
      <c r="F36" s="86">
        <f>LAVORAZIONI!O203</f>
        <v/>
      </c>
      <c r="G36" s="87">
        <f>LAVORAZIONI!P203</f>
        <v/>
      </c>
      <c r="H36" s="88">
        <f>LAVORAZIONI!U203</f>
        <v/>
      </c>
      <c r="I36" s="87">
        <f>LAVORAZIONI!V203</f>
        <v/>
      </c>
    </row>
    <row r="37">
      <c r="A37" s="84">
        <f>LAVORAZIONI!G204</f>
        <v/>
      </c>
      <c r="B37" s="85">
        <f>LAVORAZIONI!A204</f>
        <v/>
      </c>
      <c r="C37" s="85">
        <f>LAVORAZIONI!K204</f>
        <v/>
      </c>
      <c r="D37" s="84">
        <f>LAVORAZIONI!M204</f>
        <v/>
      </c>
      <c r="E37" s="86">
        <f>LAVORAZIONI!N204</f>
        <v/>
      </c>
      <c r="F37" s="86">
        <f>LAVORAZIONI!O204</f>
        <v/>
      </c>
      <c r="G37" s="87">
        <f>LAVORAZIONI!P204</f>
        <v/>
      </c>
      <c r="H37" s="88">
        <f>LAVORAZIONI!U204</f>
        <v/>
      </c>
      <c r="I37" s="87">
        <f>LAVORAZIONI!V204</f>
        <v/>
      </c>
    </row>
    <row r="38">
      <c r="A38" s="84">
        <f>LAVORAZIONI!G205</f>
        <v/>
      </c>
      <c r="B38" s="85">
        <f>LAVORAZIONI!A205</f>
        <v/>
      </c>
      <c r="C38" s="85">
        <f>LAVORAZIONI!K205</f>
        <v/>
      </c>
      <c r="D38" s="84">
        <f>LAVORAZIONI!M205</f>
        <v/>
      </c>
      <c r="E38" s="86">
        <f>LAVORAZIONI!N205</f>
        <v/>
      </c>
      <c r="F38" s="86">
        <f>LAVORAZIONI!O205</f>
        <v/>
      </c>
      <c r="G38" s="87">
        <f>LAVORAZIONI!P205</f>
        <v/>
      </c>
      <c r="H38" s="88">
        <f>LAVORAZIONI!U205</f>
        <v/>
      </c>
      <c r="I38" s="87">
        <f>LAVORAZIONI!V205</f>
        <v/>
      </c>
    </row>
    <row r="39">
      <c r="A39" s="84">
        <f>LAVORAZIONI!G206</f>
        <v/>
      </c>
      <c r="B39" s="85">
        <f>LAVORAZIONI!A206</f>
        <v/>
      </c>
      <c r="C39" s="85">
        <f>LAVORAZIONI!K206</f>
        <v/>
      </c>
      <c r="D39" s="84">
        <f>LAVORAZIONI!M206</f>
        <v/>
      </c>
      <c r="E39" s="86">
        <f>LAVORAZIONI!N206</f>
        <v/>
      </c>
      <c r="F39" s="86">
        <f>LAVORAZIONI!O206</f>
        <v/>
      </c>
      <c r="G39" s="87">
        <f>LAVORAZIONI!P206</f>
        <v/>
      </c>
      <c r="H39" s="88">
        <f>LAVORAZIONI!U206</f>
        <v/>
      </c>
      <c r="I39" s="87">
        <f>LAVORAZIONI!V206</f>
        <v/>
      </c>
    </row>
    <row r="40">
      <c r="A40" s="84">
        <f>LAVORAZIONI!G207</f>
        <v/>
      </c>
      <c r="B40" s="85">
        <f>LAVORAZIONI!A207</f>
        <v/>
      </c>
      <c r="C40" s="85">
        <f>LAVORAZIONI!K207</f>
        <v/>
      </c>
      <c r="D40" s="84">
        <f>LAVORAZIONI!M207</f>
        <v/>
      </c>
      <c r="E40" s="86">
        <f>LAVORAZIONI!N207</f>
        <v/>
      </c>
      <c r="F40" s="86">
        <f>LAVORAZIONI!O207</f>
        <v/>
      </c>
      <c r="G40" s="87">
        <f>LAVORAZIONI!P207</f>
        <v/>
      </c>
      <c r="H40" s="88">
        <f>LAVORAZIONI!U207</f>
        <v/>
      </c>
      <c r="I40" s="87">
        <f>LAVORAZIONI!V207</f>
        <v/>
      </c>
    </row>
    <row r="41">
      <c r="A41" s="84">
        <f>LAVORAZIONI!G208</f>
        <v/>
      </c>
      <c r="B41" s="85">
        <f>LAVORAZIONI!A208</f>
        <v/>
      </c>
      <c r="C41" s="85">
        <f>LAVORAZIONI!K208</f>
        <v/>
      </c>
      <c r="D41" s="84">
        <f>LAVORAZIONI!M208</f>
        <v/>
      </c>
      <c r="E41" s="86">
        <f>LAVORAZIONI!N208</f>
        <v/>
      </c>
      <c r="F41" s="86">
        <f>LAVORAZIONI!O208</f>
        <v/>
      </c>
      <c r="G41" s="87">
        <f>LAVORAZIONI!P208</f>
        <v/>
      </c>
      <c r="H41" s="88">
        <f>LAVORAZIONI!U208</f>
        <v/>
      </c>
      <c r="I41" s="87">
        <f>LAVORAZIONI!V208</f>
        <v/>
      </c>
    </row>
    <row r="42">
      <c r="A42" s="84">
        <f>LAVORAZIONI!G209</f>
        <v/>
      </c>
      <c r="B42" s="85">
        <f>LAVORAZIONI!A209</f>
        <v/>
      </c>
      <c r="C42" s="85">
        <f>LAVORAZIONI!K209</f>
        <v/>
      </c>
      <c r="D42" s="84">
        <f>LAVORAZIONI!M209</f>
        <v/>
      </c>
      <c r="E42" s="86">
        <f>LAVORAZIONI!N209</f>
        <v/>
      </c>
      <c r="F42" s="86">
        <f>LAVORAZIONI!O209</f>
        <v/>
      </c>
      <c r="G42" s="87">
        <f>LAVORAZIONI!P209</f>
        <v/>
      </c>
      <c r="H42" s="88">
        <f>LAVORAZIONI!U209</f>
        <v/>
      </c>
      <c r="I42" s="87">
        <f>LAVORAZIONI!V209</f>
        <v/>
      </c>
    </row>
    <row r="43">
      <c r="A43" s="84">
        <f>LAVORAZIONI!G210</f>
        <v/>
      </c>
      <c r="B43" s="85">
        <f>LAVORAZIONI!A210</f>
        <v/>
      </c>
      <c r="C43" s="85">
        <f>LAVORAZIONI!K210</f>
        <v/>
      </c>
      <c r="D43" s="84">
        <f>LAVORAZIONI!M210</f>
        <v/>
      </c>
      <c r="E43" s="86">
        <f>LAVORAZIONI!N210</f>
        <v/>
      </c>
      <c r="F43" s="86">
        <f>LAVORAZIONI!O210</f>
        <v/>
      </c>
      <c r="G43" s="87">
        <f>LAVORAZIONI!P210</f>
        <v/>
      </c>
      <c r="H43" s="88">
        <f>LAVORAZIONI!U210</f>
        <v/>
      </c>
      <c r="I43" s="87">
        <f>LAVORAZIONI!V210</f>
        <v/>
      </c>
    </row>
    <row r="44">
      <c r="A44" s="84">
        <f>LAVORAZIONI!G211</f>
        <v/>
      </c>
      <c r="B44" s="85">
        <f>LAVORAZIONI!A211</f>
        <v/>
      </c>
      <c r="C44" s="85">
        <f>LAVORAZIONI!K211</f>
        <v/>
      </c>
      <c r="D44" s="84">
        <f>LAVORAZIONI!M211</f>
        <v/>
      </c>
      <c r="E44" s="86">
        <f>LAVORAZIONI!N211</f>
        <v/>
      </c>
      <c r="F44" s="86">
        <f>LAVORAZIONI!O211</f>
        <v/>
      </c>
      <c r="G44" s="87">
        <f>LAVORAZIONI!P211</f>
        <v/>
      </c>
      <c r="H44" s="88">
        <f>LAVORAZIONI!U211</f>
        <v/>
      </c>
      <c r="I44" s="87">
        <f>LAVORAZIONI!V211</f>
        <v/>
      </c>
    </row>
    <row r="45">
      <c r="A45" s="84">
        <f>LAVORAZIONI!G212</f>
        <v/>
      </c>
      <c r="B45" s="85">
        <f>LAVORAZIONI!A212</f>
        <v/>
      </c>
      <c r="C45" s="85">
        <f>LAVORAZIONI!K212</f>
        <v/>
      </c>
      <c r="D45" s="84">
        <f>LAVORAZIONI!M212</f>
        <v/>
      </c>
      <c r="E45" s="86">
        <f>LAVORAZIONI!N212</f>
        <v/>
      </c>
      <c r="F45" s="86">
        <f>LAVORAZIONI!O212</f>
        <v/>
      </c>
      <c r="G45" s="87">
        <f>LAVORAZIONI!P212</f>
        <v/>
      </c>
      <c r="H45" s="88">
        <f>LAVORAZIONI!U212</f>
        <v/>
      </c>
      <c r="I45" s="87">
        <f>LAVORAZIONI!V212</f>
        <v/>
      </c>
    </row>
    <row r="46">
      <c r="A46" s="84">
        <f>LAVORAZIONI!G213</f>
        <v/>
      </c>
      <c r="B46" s="85">
        <f>LAVORAZIONI!A213</f>
        <v/>
      </c>
      <c r="C46" s="85">
        <f>LAVORAZIONI!K213</f>
        <v/>
      </c>
      <c r="D46" s="84">
        <f>LAVORAZIONI!M213</f>
        <v/>
      </c>
      <c r="E46" s="86">
        <f>LAVORAZIONI!N213</f>
        <v/>
      </c>
      <c r="F46" s="86">
        <f>LAVORAZIONI!O213</f>
        <v/>
      </c>
      <c r="G46" s="87">
        <f>LAVORAZIONI!P213</f>
        <v/>
      </c>
      <c r="H46" s="88">
        <f>LAVORAZIONI!U213</f>
        <v/>
      </c>
      <c r="I46" s="87">
        <f>LAVORAZIONI!V213</f>
        <v/>
      </c>
    </row>
    <row r="47">
      <c r="A47" s="84">
        <f>LAVORAZIONI!G214</f>
        <v/>
      </c>
      <c r="B47" s="85">
        <f>LAVORAZIONI!A214</f>
        <v/>
      </c>
      <c r="C47" s="85">
        <f>LAVORAZIONI!K214</f>
        <v/>
      </c>
      <c r="D47" s="84">
        <f>LAVORAZIONI!M214</f>
        <v/>
      </c>
      <c r="E47" s="86">
        <f>LAVORAZIONI!N214</f>
        <v/>
      </c>
      <c r="F47" s="86">
        <f>LAVORAZIONI!O214</f>
        <v/>
      </c>
      <c r="G47" s="87">
        <f>LAVORAZIONI!P214</f>
        <v/>
      </c>
      <c r="H47" s="88">
        <f>LAVORAZIONI!U214</f>
        <v/>
      </c>
      <c r="I47" s="87">
        <f>LAVORAZIONI!V214</f>
        <v/>
      </c>
    </row>
    <row r="48">
      <c r="A48" s="84">
        <f>LAVORAZIONI!G215</f>
        <v/>
      </c>
      <c r="B48" s="85">
        <f>LAVORAZIONI!A215</f>
        <v/>
      </c>
      <c r="C48" s="85">
        <f>LAVORAZIONI!K215</f>
        <v/>
      </c>
      <c r="D48" s="84">
        <f>LAVORAZIONI!M215</f>
        <v/>
      </c>
      <c r="E48" s="86">
        <f>LAVORAZIONI!N215</f>
        <v/>
      </c>
      <c r="F48" s="86">
        <f>LAVORAZIONI!O215</f>
        <v/>
      </c>
      <c r="G48" s="87">
        <f>LAVORAZIONI!P215</f>
        <v/>
      </c>
      <c r="H48" s="88">
        <f>LAVORAZIONI!U215</f>
        <v/>
      </c>
      <c r="I48" s="87">
        <f>LAVORAZIONI!V215</f>
        <v/>
      </c>
    </row>
    <row r="49">
      <c r="A49" s="84">
        <f>LAVORAZIONI!G216</f>
        <v/>
      </c>
      <c r="B49" s="85">
        <f>LAVORAZIONI!A216</f>
        <v/>
      </c>
      <c r="C49" s="85">
        <f>LAVORAZIONI!K216</f>
        <v/>
      </c>
      <c r="D49" s="84">
        <f>LAVORAZIONI!M216</f>
        <v/>
      </c>
      <c r="E49" s="86">
        <f>LAVORAZIONI!N216</f>
        <v/>
      </c>
      <c r="F49" s="86">
        <f>LAVORAZIONI!O216</f>
        <v/>
      </c>
      <c r="G49" s="87">
        <f>LAVORAZIONI!P216</f>
        <v/>
      </c>
      <c r="H49" s="88">
        <f>LAVORAZIONI!U216</f>
        <v/>
      </c>
      <c r="I49" s="87">
        <f>LAVORAZIONI!V216</f>
        <v/>
      </c>
    </row>
    <row r="50">
      <c r="A50" s="84">
        <f>LAVORAZIONI!G217</f>
        <v/>
      </c>
      <c r="B50" s="85">
        <f>LAVORAZIONI!A217</f>
        <v/>
      </c>
      <c r="C50" s="85">
        <f>LAVORAZIONI!K217</f>
        <v/>
      </c>
      <c r="D50" s="84">
        <f>LAVORAZIONI!M217</f>
        <v/>
      </c>
      <c r="E50" s="86">
        <f>LAVORAZIONI!N217</f>
        <v/>
      </c>
      <c r="F50" s="86">
        <f>LAVORAZIONI!O217</f>
        <v/>
      </c>
      <c r="G50" s="87">
        <f>LAVORAZIONI!P217</f>
        <v/>
      </c>
      <c r="H50" s="88">
        <f>LAVORAZIONI!U217</f>
        <v/>
      </c>
      <c r="I50" s="87">
        <f>LAVORAZIONI!V217</f>
        <v/>
      </c>
    </row>
    <row r="51">
      <c r="A51" s="84">
        <f>LAVORAZIONI!G218</f>
        <v/>
      </c>
      <c r="B51" s="85">
        <f>LAVORAZIONI!A218</f>
        <v/>
      </c>
      <c r="C51" s="85">
        <f>LAVORAZIONI!K218</f>
        <v/>
      </c>
      <c r="D51" s="84">
        <f>LAVORAZIONI!M218</f>
        <v/>
      </c>
      <c r="E51" s="86">
        <f>LAVORAZIONI!N218</f>
        <v/>
      </c>
      <c r="F51" s="86">
        <f>LAVORAZIONI!O218</f>
        <v/>
      </c>
      <c r="G51" s="87">
        <f>LAVORAZIONI!P218</f>
        <v/>
      </c>
      <c r="H51" s="88">
        <f>LAVORAZIONI!U218</f>
        <v/>
      </c>
      <c r="I51" s="87">
        <f>LAVORAZIONI!V218</f>
        <v/>
      </c>
    </row>
    <row r="52">
      <c r="A52" s="84">
        <f>LAVORAZIONI!G219</f>
        <v/>
      </c>
      <c r="B52" s="85">
        <f>LAVORAZIONI!A219</f>
        <v/>
      </c>
      <c r="C52" s="85">
        <f>LAVORAZIONI!K219</f>
        <v/>
      </c>
      <c r="D52" s="84">
        <f>LAVORAZIONI!M219</f>
        <v/>
      </c>
      <c r="E52" s="86">
        <f>LAVORAZIONI!N219</f>
        <v/>
      </c>
      <c r="F52" s="86">
        <f>LAVORAZIONI!O219</f>
        <v/>
      </c>
      <c r="G52" s="87">
        <f>LAVORAZIONI!P219</f>
        <v/>
      </c>
      <c r="H52" s="88">
        <f>LAVORAZIONI!U219</f>
        <v/>
      </c>
      <c r="I52" s="87">
        <f>LAVORAZIONI!V219</f>
        <v/>
      </c>
    </row>
    <row r="53">
      <c r="A53" s="84">
        <f>LAVORAZIONI!G220</f>
        <v/>
      </c>
      <c r="B53" s="85">
        <f>LAVORAZIONI!A220</f>
        <v/>
      </c>
      <c r="C53" s="85">
        <f>LAVORAZIONI!K220</f>
        <v/>
      </c>
      <c r="D53" s="84">
        <f>LAVORAZIONI!M220</f>
        <v/>
      </c>
      <c r="E53" s="86">
        <f>LAVORAZIONI!N220</f>
        <v/>
      </c>
      <c r="F53" s="86">
        <f>LAVORAZIONI!O220</f>
        <v/>
      </c>
      <c r="G53" s="87">
        <f>LAVORAZIONI!P220</f>
        <v/>
      </c>
      <c r="H53" s="88">
        <f>LAVORAZIONI!U220</f>
        <v/>
      </c>
      <c r="I53" s="87">
        <f>LAVORAZIONI!V220</f>
        <v/>
      </c>
    </row>
    <row r="54">
      <c r="A54" s="84">
        <f>LAVORAZIONI!G221</f>
        <v/>
      </c>
      <c r="B54" s="85">
        <f>LAVORAZIONI!A221</f>
        <v/>
      </c>
      <c r="C54" s="85">
        <f>LAVORAZIONI!K221</f>
        <v/>
      </c>
      <c r="D54" s="84">
        <f>LAVORAZIONI!M221</f>
        <v/>
      </c>
      <c r="E54" s="86">
        <f>LAVORAZIONI!N221</f>
        <v/>
      </c>
      <c r="F54" s="86">
        <f>LAVORAZIONI!O221</f>
        <v/>
      </c>
      <c r="G54" s="87">
        <f>LAVORAZIONI!P221</f>
        <v/>
      </c>
      <c r="H54" s="88">
        <f>LAVORAZIONI!U221</f>
        <v/>
      </c>
      <c r="I54" s="87">
        <f>LAVORAZIONI!V221</f>
        <v/>
      </c>
    </row>
    <row r="55">
      <c r="A55" s="84">
        <f>LAVORAZIONI!G222</f>
        <v/>
      </c>
      <c r="B55" s="85">
        <f>LAVORAZIONI!A222</f>
        <v/>
      </c>
      <c r="C55" s="85">
        <f>LAVORAZIONI!K222</f>
        <v/>
      </c>
      <c r="D55" s="84">
        <f>LAVORAZIONI!M222</f>
        <v/>
      </c>
      <c r="E55" s="86">
        <f>LAVORAZIONI!N222</f>
        <v/>
      </c>
      <c r="F55" s="86">
        <f>LAVORAZIONI!O222</f>
        <v/>
      </c>
      <c r="G55" s="87">
        <f>LAVORAZIONI!P222</f>
        <v/>
      </c>
      <c r="H55" s="88">
        <f>LAVORAZIONI!U222</f>
        <v/>
      </c>
      <c r="I55" s="87">
        <f>LAVORAZIONI!V222</f>
        <v/>
      </c>
    </row>
    <row r="56">
      <c r="A56" s="84">
        <f>LAVORAZIONI!G223</f>
        <v/>
      </c>
      <c r="B56" s="85">
        <f>LAVORAZIONI!A223</f>
        <v/>
      </c>
      <c r="C56" s="85">
        <f>LAVORAZIONI!K223</f>
        <v/>
      </c>
      <c r="D56" s="84">
        <f>LAVORAZIONI!M223</f>
        <v/>
      </c>
      <c r="E56" s="86">
        <f>LAVORAZIONI!N223</f>
        <v/>
      </c>
      <c r="F56" s="86">
        <f>LAVORAZIONI!O223</f>
        <v/>
      </c>
      <c r="G56" s="87">
        <f>LAVORAZIONI!P223</f>
        <v/>
      </c>
      <c r="H56" s="88">
        <f>LAVORAZIONI!U223</f>
        <v/>
      </c>
      <c r="I56" s="87">
        <f>LAVORAZIONI!V223</f>
        <v/>
      </c>
    </row>
    <row r="57">
      <c r="A57" s="84">
        <f>LAVORAZIONI!G224</f>
        <v/>
      </c>
      <c r="B57" s="85">
        <f>LAVORAZIONI!A224</f>
        <v/>
      </c>
      <c r="C57" s="85">
        <f>LAVORAZIONI!K224</f>
        <v/>
      </c>
      <c r="D57" s="84">
        <f>LAVORAZIONI!M224</f>
        <v/>
      </c>
      <c r="E57" s="86">
        <f>LAVORAZIONI!N224</f>
        <v/>
      </c>
      <c r="F57" s="86">
        <f>LAVORAZIONI!O224</f>
        <v/>
      </c>
      <c r="G57" s="87">
        <f>LAVORAZIONI!P224</f>
        <v/>
      </c>
      <c r="H57" s="88">
        <f>LAVORAZIONI!U224</f>
        <v/>
      </c>
      <c r="I57" s="87">
        <f>LAVORAZIONI!V224</f>
        <v/>
      </c>
    </row>
    <row r="58">
      <c r="A58" s="84">
        <f>LAVORAZIONI!G225</f>
        <v/>
      </c>
      <c r="B58" s="85">
        <f>LAVORAZIONI!A225</f>
        <v/>
      </c>
      <c r="C58" s="85">
        <f>LAVORAZIONI!K225</f>
        <v/>
      </c>
      <c r="D58" s="84">
        <f>LAVORAZIONI!M225</f>
        <v/>
      </c>
      <c r="E58" s="86">
        <f>LAVORAZIONI!N225</f>
        <v/>
      </c>
      <c r="F58" s="86">
        <f>LAVORAZIONI!O225</f>
        <v/>
      </c>
      <c r="G58" s="87">
        <f>LAVORAZIONI!P225</f>
        <v/>
      </c>
      <c r="H58" s="88">
        <f>LAVORAZIONI!U225</f>
        <v/>
      </c>
      <c r="I58" s="87">
        <f>LAVORAZIONI!V225</f>
        <v/>
      </c>
    </row>
    <row r="59">
      <c r="A59" s="84">
        <f>LAVORAZIONI!G226</f>
        <v/>
      </c>
      <c r="B59" s="85">
        <f>LAVORAZIONI!A226</f>
        <v/>
      </c>
      <c r="C59" s="85">
        <f>LAVORAZIONI!K226</f>
        <v/>
      </c>
      <c r="D59" s="84">
        <f>LAVORAZIONI!M226</f>
        <v/>
      </c>
      <c r="E59" s="86">
        <f>LAVORAZIONI!N226</f>
        <v/>
      </c>
      <c r="F59" s="86">
        <f>LAVORAZIONI!O226</f>
        <v/>
      </c>
      <c r="G59" s="87">
        <f>LAVORAZIONI!P226</f>
        <v/>
      </c>
      <c r="H59" s="88">
        <f>LAVORAZIONI!U226</f>
        <v/>
      </c>
      <c r="I59" s="87">
        <f>LAVORAZIONI!V226</f>
        <v/>
      </c>
    </row>
    <row r="60">
      <c r="A60" s="84">
        <f>LAVORAZIONI!G227</f>
        <v/>
      </c>
      <c r="B60" s="85">
        <f>LAVORAZIONI!A227</f>
        <v/>
      </c>
      <c r="C60" s="85">
        <f>LAVORAZIONI!K227</f>
        <v/>
      </c>
      <c r="D60" s="84">
        <f>LAVORAZIONI!M227</f>
        <v/>
      </c>
      <c r="E60" s="86">
        <f>LAVORAZIONI!N227</f>
        <v/>
      </c>
      <c r="F60" s="86">
        <f>LAVORAZIONI!O227</f>
        <v/>
      </c>
      <c r="G60" s="87">
        <f>LAVORAZIONI!P227</f>
        <v/>
      </c>
      <c r="H60" s="88">
        <f>LAVORAZIONI!U227</f>
        <v/>
      </c>
      <c r="I60" s="87">
        <f>LAVORAZIONI!V227</f>
        <v/>
      </c>
    </row>
    <row r="61">
      <c r="A61" s="84">
        <f>LAVORAZIONI!G228</f>
        <v/>
      </c>
      <c r="B61" s="85">
        <f>LAVORAZIONI!A228</f>
        <v/>
      </c>
      <c r="C61" s="85">
        <f>LAVORAZIONI!K228</f>
        <v/>
      </c>
      <c r="D61" s="84">
        <f>LAVORAZIONI!M228</f>
        <v/>
      </c>
      <c r="E61" s="86">
        <f>LAVORAZIONI!N228</f>
        <v/>
      </c>
      <c r="F61" s="86">
        <f>LAVORAZIONI!O228</f>
        <v/>
      </c>
      <c r="G61" s="87">
        <f>LAVORAZIONI!P228</f>
        <v/>
      </c>
      <c r="H61" s="88">
        <f>LAVORAZIONI!U228</f>
        <v/>
      </c>
      <c r="I61" s="87">
        <f>LAVORAZIONI!V228</f>
        <v/>
      </c>
    </row>
    <row r="62">
      <c r="A62" s="84">
        <f>LAVORAZIONI!G229</f>
        <v/>
      </c>
      <c r="B62" s="85">
        <f>LAVORAZIONI!A229</f>
        <v/>
      </c>
      <c r="C62" s="85">
        <f>LAVORAZIONI!K229</f>
        <v/>
      </c>
      <c r="D62" s="84">
        <f>LAVORAZIONI!M229</f>
        <v/>
      </c>
      <c r="E62" s="86">
        <f>LAVORAZIONI!N229</f>
        <v/>
      </c>
      <c r="F62" s="86">
        <f>LAVORAZIONI!O229</f>
        <v/>
      </c>
      <c r="G62" s="87">
        <f>LAVORAZIONI!P229</f>
        <v/>
      </c>
      <c r="H62" s="88">
        <f>LAVORAZIONI!U229</f>
        <v/>
      </c>
      <c r="I62" s="87">
        <f>LAVORAZIONI!V229</f>
        <v/>
      </c>
    </row>
    <row r="63">
      <c r="A63" s="84">
        <f>LAVORAZIONI!G230</f>
        <v/>
      </c>
      <c r="B63" s="85">
        <f>LAVORAZIONI!A230</f>
        <v/>
      </c>
      <c r="C63" s="85">
        <f>LAVORAZIONI!K230</f>
        <v/>
      </c>
      <c r="D63" s="84">
        <f>LAVORAZIONI!M230</f>
        <v/>
      </c>
      <c r="E63" s="86">
        <f>LAVORAZIONI!N230</f>
        <v/>
      </c>
      <c r="F63" s="86">
        <f>LAVORAZIONI!O230</f>
        <v/>
      </c>
      <c r="G63" s="87">
        <f>LAVORAZIONI!P230</f>
        <v/>
      </c>
      <c r="H63" s="88">
        <f>LAVORAZIONI!U230</f>
        <v/>
      </c>
      <c r="I63" s="87">
        <f>LAVORAZIONI!V230</f>
        <v/>
      </c>
    </row>
    <row r="64">
      <c r="A64" s="84">
        <f>LAVORAZIONI!G231</f>
        <v/>
      </c>
      <c r="B64" s="85">
        <f>LAVORAZIONI!A231</f>
        <v/>
      </c>
      <c r="C64" s="85">
        <f>LAVORAZIONI!K231</f>
        <v/>
      </c>
      <c r="D64" s="84">
        <f>LAVORAZIONI!M231</f>
        <v/>
      </c>
      <c r="E64" s="86">
        <f>LAVORAZIONI!N231</f>
        <v/>
      </c>
      <c r="F64" s="86">
        <f>LAVORAZIONI!O231</f>
        <v/>
      </c>
      <c r="G64" s="87">
        <f>LAVORAZIONI!P231</f>
        <v/>
      </c>
      <c r="H64" s="88">
        <f>LAVORAZIONI!U231</f>
        <v/>
      </c>
      <c r="I64" s="87">
        <f>LAVORAZIONI!V231</f>
        <v/>
      </c>
    </row>
    <row r="65">
      <c r="A65" s="84">
        <f>LAVORAZIONI!G232</f>
        <v/>
      </c>
      <c r="B65" s="85">
        <f>LAVORAZIONI!A232</f>
        <v/>
      </c>
      <c r="C65" s="85">
        <f>LAVORAZIONI!K232</f>
        <v/>
      </c>
      <c r="D65" s="84">
        <f>LAVORAZIONI!M232</f>
        <v/>
      </c>
      <c r="E65" s="86">
        <f>LAVORAZIONI!N232</f>
        <v/>
      </c>
      <c r="F65" s="86">
        <f>LAVORAZIONI!O232</f>
        <v/>
      </c>
      <c r="G65" s="87">
        <f>LAVORAZIONI!P232</f>
        <v/>
      </c>
      <c r="H65" s="88">
        <f>LAVORAZIONI!U232</f>
        <v/>
      </c>
      <c r="I65" s="87">
        <f>LAVORAZIONI!V232</f>
        <v/>
      </c>
    </row>
    <row r="66">
      <c r="A66" s="84">
        <f>LAVORAZIONI!G233</f>
        <v/>
      </c>
      <c r="B66" s="85">
        <f>LAVORAZIONI!A233</f>
        <v/>
      </c>
      <c r="C66" s="85">
        <f>LAVORAZIONI!K233</f>
        <v/>
      </c>
      <c r="D66" s="84">
        <f>LAVORAZIONI!M233</f>
        <v/>
      </c>
      <c r="E66" s="86">
        <f>LAVORAZIONI!N233</f>
        <v/>
      </c>
      <c r="F66" s="86">
        <f>LAVORAZIONI!O233</f>
        <v/>
      </c>
      <c r="G66" s="87">
        <f>LAVORAZIONI!P233</f>
        <v/>
      </c>
      <c r="H66" s="88">
        <f>LAVORAZIONI!U233</f>
        <v/>
      </c>
      <c r="I66" s="87">
        <f>LAVORAZIONI!V233</f>
        <v/>
      </c>
    </row>
    <row r="67">
      <c r="A67" s="84">
        <f>LAVORAZIONI!G234</f>
        <v/>
      </c>
      <c r="B67" s="85">
        <f>LAVORAZIONI!A234</f>
        <v/>
      </c>
      <c r="C67" s="85">
        <f>LAVORAZIONI!K234</f>
        <v/>
      </c>
      <c r="D67" s="84">
        <f>LAVORAZIONI!M234</f>
        <v/>
      </c>
      <c r="E67" s="86">
        <f>LAVORAZIONI!N234</f>
        <v/>
      </c>
      <c r="F67" s="86">
        <f>LAVORAZIONI!O234</f>
        <v/>
      </c>
      <c r="G67" s="87">
        <f>LAVORAZIONI!P234</f>
        <v/>
      </c>
      <c r="H67" s="88">
        <f>LAVORAZIONI!U234</f>
        <v/>
      </c>
      <c r="I67" s="87">
        <f>LAVORAZIONI!V234</f>
        <v/>
      </c>
    </row>
    <row r="68">
      <c r="A68" s="84">
        <f>LAVORAZIONI!G235</f>
        <v/>
      </c>
      <c r="B68" s="85">
        <f>LAVORAZIONI!A235</f>
        <v/>
      </c>
      <c r="C68" s="85">
        <f>LAVORAZIONI!K235</f>
        <v/>
      </c>
      <c r="D68" s="84">
        <f>LAVORAZIONI!M235</f>
        <v/>
      </c>
      <c r="E68" s="86">
        <f>LAVORAZIONI!N235</f>
        <v/>
      </c>
      <c r="F68" s="86">
        <f>LAVORAZIONI!O235</f>
        <v/>
      </c>
      <c r="G68" s="87">
        <f>LAVORAZIONI!P235</f>
        <v/>
      </c>
      <c r="H68" s="88">
        <f>LAVORAZIONI!U235</f>
        <v/>
      </c>
      <c r="I68" s="87">
        <f>LAVORAZIONI!V235</f>
        <v/>
      </c>
    </row>
    <row r="69">
      <c r="A69" s="84">
        <f>LAVORAZIONI!G236</f>
        <v/>
      </c>
      <c r="B69" s="85">
        <f>LAVORAZIONI!A236</f>
        <v/>
      </c>
      <c r="C69" s="85">
        <f>LAVORAZIONI!K236</f>
        <v/>
      </c>
      <c r="D69" s="84">
        <f>LAVORAZIONI!M236</f>
        <v/>
      </c>
      <c r="E69" s="86">
        <f>LAVORAZIONI!N236</f>
        <v/>
      </c>
      <c r="F69" s="86">
        <f>LAVORAZIONI!O236</f>
        <v/>
      </c>
      <c r="G69" s="87">
        <f>LAVORAZIONI!P236</f>
        <v/>
      </c>
      <c r="H69" s="88">
        <f>LAVORAZIONI!U236</f>
        <v/>
      </c>
      <c r="I69" s="87">
        <f>LAVORAZIONI!V236</f>
        <v/>
      </c>
    </row>
    <row r="70">
      <c r="A70" s="84">
        <f>LAVORAZIONI!G237</f>
        <v/>
      </c>
      <c r="B70" s="85">
        <f>LAVORAZIONI!A237</f>
        <v/>
      </c>
      <c r="C70" s="85">
        <f>LAVORAZIONI!K237</f>
        <v/>
      </c>
      <c r="D70" s="84">
        <f>LAVORAZIONI!M237</f>
        <v/>
      </c>
      <c r="E70" s="86">
        <f>LAVORAZIONI!N237</f>
        <v/>
      </c>
      <c r="F70" s="86">
        <f>LAVORAZIONI!O237</f>
        <v/>
      </c>
      <c r="G70" s="87">
        <f>LAVORAZIONI!P237</f>
        <v/>
      </c>
      <c r="H70" s="88">
        <f>LAVORAZIONI!U237</f>
        <v/>
      </c>
      <c r="I70" s="87">
        <f>LAVORAZIONI!V237</f>
        <v/>
      </c>
    </row>
    <row r="71">
      <c r="A71" s="84">
        <f>LAVORAZIONI!G238</f>
        <v/>
      </c>
      <c r="B71" s="85">
        <f>LAVORAZIONI!A238</f>
        <v/>
      </c>
      <c r="C71" s="85">
        <f>LAVORAZIONI!K238</f>
        <v/>
      </c>
      <c r="D71" s="84">
        <f>LAVORAZIONI!M238</f>
        <v/>
      </c>
      <c r="E71" s="86">
        <f>LAVORAZIONI!N238</f>
        <v/>
      </c>
      <c r="F71" s="86">
        <f>LAVORAZIONI!O238</f>
        <v/>
      </c>
      <c r="G71" s="87">
        <f>LAVORAZIONI!P238</f>
        <v/>
      </c>
      <c r="H71" s="88">
        <f>LAVORAZIONI!U238</f>
        <v/>
      </c>
      <c r="I71" s="87">
        <f>LAVORAZIONI!V238</f>
        <v/>
      </c>
    </row>
    <row r="72">
      <c r="A72" s="84">
        <f>LAVORAZIONI!G239</f>
        <v/>
      </c>
      <c r="B72" s="85">
        <f>LAVORAZIONI!A239</f>
        <v/>
      </c>
      <c r="C72" s="85">
        <f>LAVORAZIONI!K239</f>
        <v/>
      </c>
      <c r="D72" s="84">
        <f>LAVORAZIONI!M239</f>
        <v/>
      </c>
      <c r="E72" s="86">
        <f>LAVORAZIONI!N239</f>
        <v/>
      </c>
      <c r="F72" s="86">
        <f>LAVORAZIONI!O239</f>
        <v/>
      </c>
      <c r="G72" s="87">
        <f>LAVORAZIONI!P239</f>
        <v/>
      </c>
      <c r="H72" s="88">
        <f>LAVORAZIONI!U239</f>
        <v/>
      </c>
      <c r="I72" s="87">
        <f>LAVORAZIONI!V239</f>
        <v/>
      </c>
    </row>
    <row r="73">
      <c r="A73" s="84">
        <f>LAVORAZIONI!G240</f>
        <v/>
      </c>
      <c r="B73" s="85">
        <f>LAVORAZIONI!A240</f>
        <v/>
      </c>
      <c r="C73" s="85">
        <f>LAVORAZIONI!K240</f>
        <v/>
      </c>
      <c r="D73" s="84">
        <f>LAVORAZIONI!M240</f>
        <v/>
      </c>
      <c r="E73" s="86">
        <f>LAVORAZIONI!N240</f>
        <v/>
      </c>
      <c r="F73" s="86">
        <f>LAVORAZIONI!O240</f>
        <v/>
      </c>
      <c r="G73" s="87">
        <f>LAVORAZIONI!P240</f>
        <v/>
      </c>
      <c r="H73" s="88">
        <f>LAVORAZIONI!U240</f>
        <v/>
      </c>
      <c r="I73" s="87">
        <f>LAVORAZIONI!V240</f>
        <v/>
      </c>
    </row>
    <row r="74">
      <c r="A74" s="84">
        <f>LAVORAZIONI!G241</f>
        <v/>
      </c>
      <c r="B74" s="85">
        <f>LAVORAZIONI!A241</f>
        <v/>
      </c>
      <c r="C74" s="85">
        <f>LAVORAZIONI!K241</f>
        <v/>
      </c>
      <c r="D74" s="84">
        <f>LAVORAZIONI!M241</f>
        <v/>
      </c>
      <c r="E74" s="86">
        <f>LAVORAZIONI!N241</f>
        <v/>
      </c>
      <c r="F74" s="86">
        <f>LAVORAZIONI!O241</f>
        <v/>
      </c>
      <c r="G74" s="87">
        <f>LAVORAZIONI!P241</f>
        <v/>
      </c>
      <c r="H74" s="88">
        <f>LAVORAZIONI!U241</f>
        <v/>
      </c>
      <c r="I74" s="87">
        <f>LAVORAZIONI!V241</f>
        <v/>
      </c>
    </row>
    <row r="75">
      <c r="A75" s="84">
        <f>LAVORAZIONI!G242</f>
        <v/>
      </c>
      <c r="B75" s="85">
        <f>LAVORAZIONI!A242</f>
        <v/>
      </c>
      <c r="C75" s="85">
        <f>LAVORAZIONI!K242</f>
        <v/>
      </c>
      <c r="D75" s="84">
        <f>LAVORAZIONI!M242</f>
        <v/>
      </c>
      <c r="E75" s="86">
        <f>LAVORAZIONI!N242</f>
        <v/>
      </c>
      <c r="F75" s="86">
        <f>LAVORAZIONI!O242</f>
        <v/>
      </c>
      <c r="G75" s="87">
        <f>LAVORAZIONI!P242</f>
        <v/>
      </c>
      <c r="H75" s="88">
        <f>LAVORAZIONI!U242</f>
        <v/>
      </c>
      <c r="I75" s="87">
        <f>LAVORAZIONI!V242</f>
        <v/>
      </c>
    </row>
    <row r="76">
      <c r="A76" s="84">
        <f>LAVORAZIONI!G243</f>
        <v/>
      </c>
      <c r="B76" s="85">
        <f>LAVORAZIONI!A243</f>
        <v/>
      </c>
      <c r="C76" s="85">
        <f>LAVORAZIONI!K243</f>
        <v/>
      </c>
      <c r="D76" s="84">
        <f>LAVORAZIONI!M243</f>
        <v/>
      </c>
      <c r="E76" s="86">
        <f>LAVORAZIONI!N243</f>
        <v/>
      </c>
      <c r="F76" s="86">
        <f>LAVORAZIONI!O243</f>
        <v/>
      </c>
      <c r="G76" s="87">
        <f>LAVORAZIONI!P243</f>
        <v/>
      </c>
      <c r="H76" s="88">
        <f>LAVORAZIONI!U243</f>
        <v/>
      </c>
      <c r="I76" s="87">
        <f>LAVORAZIONI!V243</f>
        <v/>
      </c>
    </row>
    <row r="77">
      <c r="A77" s="84">
        <f>LAVORAZIONI!G244</f>
        <v/>
      </c>
      <c r="B77" s="85">
        <f>LAVORAZIONI!A244</f>
        <v/>
      </c>
      <c r="C77" s="85">
        <f>LAVORAZIONI!K244</f>
        <v/>
      </c>
      <c r="D77" s="84">
        <f>LAVORAZIONI!M244</f>
        <v/>
      </c>
      <c r="E77" s="86">
        <f>LAVORAZIONI!N244</f>
        <v/>
      </c>
      <c r="F77" s="86">
        <f>LAVORAZIONI!O244</f>
        <v/>
      </c>
      <c r="G77" s="87">
        <f>LAVORAZIONI!P244</f>
        <v/>
      </c>
      <c r="H77" s="88">
        <f>LAVORAZIONI!U244</f>
        <v/>
      </c>
      <c r="I77" s="87">
        <f>LAVORAZIONI!V244</f>
        <v/>
      </c>
    </row>
    <row r="78">
      <c r="A78" s="84">
        <f>LAVORAZIONI!G245</f>
        <v/>
      </c>
      <c r="B78" s="85">
        <f>LAVORAZIONI!A245</f>
        <v/>
      </c>
      <c r="C78" s="85">
        <f>LAVORAZIONI!K245</f>
        <v/>
      </c>
      <c r="D78" s="84">
        <f>LAVORAZIONI!M245</f>
        <v/>
      </c>
      <c r="E78" s="86">
        <f>LAVORAZIONI!N245</f>
        <v/>
      </c>
      <c r="F78" s="86">
        <f>LAVORAZIONI!O245</f>
        <v/>
      </c>
      <c r="G78" s="87">
        <f>LAVORAZIONI!P245</f>
        <v/>
      </c>
      <c r="H78" s="88">
        <f>LAVORAZIONI!U245</f>
        <v/>
      </c>
      <c r="I78" s="87">
        <f>LAVORAZIONI!V245</f>
        <v/>
      </c>
    </row>
    <row r="79">
      <c r="A79" s="84">
        <f>LAVORAZIONI!G246</f>
        <v/>
      </c>
      <c r="B79" s="85">
        <f>LAVORAZIONI!A246</f>
        <v/>
      </c>
      <c r="C79" s="85">
        <f>LAVORAZIONI!K246</f>
        <v/>
      </c>
      <c r="D79" s="84">
        <f>LAVORAZIONI!M246</f>
        <v/>
      </c>
      <c r="E79" s="86">
        <f>LAVORAZIONI!N246</f>
        <v/>
      </c>
      <c r="F79" s="86">
        <f>LAVORAZIONI!O246</f>
        <v/>
      </c>
      <c r="G79" s="87">
        <f>LAVORAZIONI!P246</f>
        <v/>
      </c>
      <c r="H79" s="88">
        <f>LAVORAZIONI!U246</f>
        <v/>
      </c>
      <c r="I79" s="87">
        <f>LAVORAZIONI!V246</f>
        <v/>
      </c>
    </row>
    <row r="80">
      <c r="A80" s="84">
        <f>LAVORAZIONI!G247</f>
        <v/>
      </c>
      <c r="B80" s="85">
        <f>LAVORAZIONI!A247</f>
        <v/>
      </c>
      <c r="C80" s="85">
        <f>LAVORAZIONI!K247</f>
        <v/>
      </c>
      <c r="D80" s="84">
        <f>LAVORAZIONI!M247</f>
        <v/>
      </c>
      <c r="E80" s="86">
        <f>LAVORAZIONI!N247</f>
        <v/>
      </c>
      <c r="F80" s="86">
        <f>LAVORAZIONI!O247</f>
        <v/>
      </c>
      <c r="G80" s="87">
        <f>LAVORAZIONI!P247</f>
        <v/>
      </c>
      <c r="H80" s="88">
        <f>LAVORAZIONI!U247</f>
        <v/>
      </c>
      <c r="I80" s="87">
        <f>LAVORAZIONI!V247</f>
        <v/>
      </c>
    </row>
    <row r="81">
      <c r="A81" s="84">
        <f>LAVORAZIONI!G248</f>
        <v/>
      </c>
      <c r="B81" s="85">
        <f>LAVORAZIONI!A248</f>
        <v/>
      </c>
      <c r="C81" s="85">
        <f>LAVORAZIONI!K248</f>
        <v/>
      </c>
      <c r="D81" s="84">
        <f>LAVORAZIONI!M248</f>
        <v/>
      </c>
      <c r="E81" s="86">
        <f>LAVORAZIONI!N248</f>
        <v/>
      </c>
      <c r="F81" s="86">
        <f>LAVORAZIONI!O248</f>
        <v/>
      </c>
      <c r="G81" s="87">
        <f>LAVORAZIONI!P248</f>
        <v/>
      </c>
      <c r="H81" s="88">
        <f>LAVORAZIONI!U248</f>
        <v/>
      </c>
      <c r="I81" s="87">
        <f>LAVORAZIONI!V248</f>
        <v/>
      </c>
    </row>
    <row r="82">
      <c r="A82" s="79">
        <f>LAVORAZIONI!G249</f>
        <v/>
      </c>
      <c r="B82" s="80">
        <f>LAVORAZIONI!A249</f>
        <v/>
      </c>
      <c r="C82" s="80">
        <f>LAVORAZIONI!K249</f>
        <v/>
      </c>
      <c r="D82" s="79">
        <f>LAVORAZIONI!M249</f>
        <v/>
      </c>
      <c r="E82" s="81">
        <f>LAVORAZIONI!N249</f>
        <v/>
      </c>
      <c r="F82" s="81">
        <f>LAVORAZIONI!O249</f>
        <v/>
      </c>
      <c r="G82" s="82">
        <f>LAVORAZIONI!P249</f>
        <v/>
      </c>
      <c r="H82" s="83">
        <f>LAVORAZIONI!U249</f>
        <v/>
      </c>
      <c r="I82" s="82">
        <f>LAVORAZIONI!V249</f>
        <v/>
      </c>
    </row>
    <row r="83">
      <c r="A83" s="84">
        <f>LAVORAZIONI!G250</f>
        <v/>
      </c>
      <c r="B83" s="85">
        <f>LAVORAZIONI!A250</f>
        <v/>
      </c>
      <c r="C83" s="85">
        <f>LAVORAZIONI!K250</f>
        <v/>
      </c>
      <c r="D83" s="84">
        <f>LAVORAZIONI!M250</f>
        <v/>
      </c>
      <c r="E83" s="86">
        <f>LAVORAZIONI!N250</f>
        <v/>
      </c>
      <c r="F83" s="86">
        <f>LAVORAZIONI!O250</f>
        <v/>
      </c>
      <c r="G83" s="87">
        <f>LAVORAZIONI!P250</f>
        <v/>
      </c>
      <c r="H83" s="88">
        <f>LAVORAZIONI!U250</f>
        <v/>
      </c>
      <c r="I83" s="87">
        <f>LAVORAZIONI!V250</f>
        <v/>
      </c>
    </row>
    <row r="84">
      <c r="A84" s="84">
        <f>LAVORAZIONI!G251</f>
        <v/>
      </c>
      <c r="B84" s="85">
        <f>LAVORAZIONI!A251</f>
        <v/>
      </c>
      <c r="C84" s="85">
        <f>LAVORAZIONI!K251</f>
        <v/>
      </c>
      <c r="D84" s="84">
        <f>LAVORAZIONI!M251</f>
        <v/>
      </c>
      <c r="E84" s="86">
        <f>LAVORAZIONI!N251</f>
        <v/>
      </c>
      <c r="F84" s="86">
        <f>LAVORAZIONI!O251</f>
        <v/>
      </c>
      <c r="G84" s="87">
        <f>LAVORAZIONI!P251</f>
        <v/>
      </c>
      <c r="H84" s="88">
        <f>LAVORAZIONI!U251</f>
        <v/>
      </c>
      <c r="I84" s="87">
        <f>LAVORAZIONI!V251</f>
        <v/>
      </c>
    </row>
    <row r="85">
      <c r="A85" s="79">
        <f>LAVORAZIONI!G252</f>
        <v/>
      </c>
      <c r="B85" s="80">
        <f>LAVORAZIONI!A252</f>
        <v/>
      </c>
      <c r="C85" s="80">
        <f>LAVORAZIONI!K252</f>
        <v/>
      </c>
      <c r="D85" s="79">
        <f>LAVORAZIONI!M252</f>
        <v/>
      </c>
      <c r="E85" s="81">
        <f>LAVORAZIONI!N252</f>
        <v/>
      </c>
      <c r="F85" s="81">
        <f>LAVORAZIONI!O252</f>
        <v/>
      </c>
      <c r="G85" s="82">
        <f>LAVORAZIONI!P252</f>
        <v/>
      </c>
      <c r="H85" s="83">
        <f>LAVORAZIONI!U252</f>
        <v/>
      </c>
      <c r="I85" s="82">
        <f>LAVORAZIONI!V252</f>
        <v/>
      </c>
    </row>
    <row r="86">
      <c r="A86" s="84">
        <f>LAVORAZIONI!G253</f>
        <v/>
      </c>
      <c r="B86" s="85">
        <f>LAVORAZIONI!A253</f>
        <v/>
      </c>
      <c r="C86" s="85">
        <f>LAVORAZIONI!K253</f>
        <v/>
      </c>
      <c r="D86" s="84">
        <f>LAVORAZIONI!M253</f>
        <v/>
      </c>
      <c r="E86" s="86">
        <f>LAVORAZIONI!N253</f>
        <v/>
      </c>
      <c r="F86" s="86">
        <f>LAVORAZIONI!O253</f>
        <v/>
      </c>
      <c r="G86" s="87">
        <f>LAVORAZIONI!P253</f>
        <v/>
      </c>
      <c r="H86" s="88">
        <f>LAVORAZIONI!U253</f>
        <v/>
      </c>
      <c r="I86" s="87">
        <f>LAVORAZIONI!V253</f>
        <v/>
      </c>
    </row>
    <row r="87">
      <c r="A87" s="84">
        <f>LAVORAZIONI!G254</f>
        <v/>
      </c>
      <c r="B87" s="85">
        <f>LAVORAZIONI!A254</f>
        <v/>
      </c>
      <c r="C87" s="85">
        <f>LAVORAZIONI!K254</f>
        <v/>
      </c>
      <c r="D87" s="84">
        <f>LAVORAZIONI!M254</f>
        <v/>
      </c>
      <c r="E87" s="86">
        <f>LAVORAZIONI!N254</f>
        <v/>
      </c>
      <c r="F87" s="86">
        <f>LAVORAZIONI!O254</f>
        <v/>
      </c>
      <c r="G87" s="87">
        <f>LAVORAZIONI!P254</f>
        <v/>
      </c>
      <c r="H87" s="88">
        <f>LAVORAZIONI!U254</f>
        <v/>
      </c>
      <c r="I87" s="87">
        <f>LAVORAZIONI!V254</f>
        <v/>
      </c>
    </row>
    <row r="88">
      <c r="A88" s="84">
        <f>LAVORAZIONI!G255</f>
        <v/>
      </c>
      <c r="B88" s="85">
        <f>LAVORAZIONI!A255</f>
        <v/>
      </c>
      <c r="C88" s="85">
        <f>LAVORAZIONI!K255</f>
        <v/>
      </c>
      <c r="D88" s="84">
        <f>LAVORAZIONI!M255</f>
        <v/>
      </c>
      <c r="E88" s="86">
        <f>LAVORAZIONI!N255</f>
        <v/>
      </c>
      <c r="F88" s="86">
        <f>LAVORAZIONI!O255</f>
        <v/>
      </c>
      <c r="G88" s="87">
        <f>LAVORAZIONI!P255</f>
        <v/>
      </c>
      <c r="H88" s="88">
        <f>LAVORAZIONI!U255</f>
        <v/>
      </c>
      <c r="I88" s="87">
        <f>LAVORAZIONI!V255</f>
        <v/>
      </c>
    </row>
    <row r="89">
      <c r="A89" s="79">
        <f>LAVORAZIONI!G256</f>
        <v/>
      </c>
      <c r="B89" s="80">
        <f>LAVORAZIONI!A256</f>
        <v/>
      </c>
      <c r="C89" s="80">
        <f>LAVORAZIONI!K256</f>
        <v/>
      </c>
      <c r="D89" s="79">
        <f>LAVORAZIONI!M256</f>
        <v/>
      </c>
      <c r="E89" s="81">
        <f>LAVORAZIONI!N256</f>
        <v/>
      </c>
      <c r="F89" s="81">
        <f>LAVORAZIONI!O256</f>
        <v/>
      </c>
      <c r="G89" s="82">
        <f>LAVORAZIONI!P256</f>
        <v/>
      </c>
      <c r="H89" s="83">
        <f>LAVORAZIONI!U256</f>
        <v/>
      </c>
      <c r="I89" s="82">
        <f>LAVORAZIONI!V256</f>
        <v/>
      </c>
    </row>
    <row r="90">
      <c r="A90" s="61" t="n"/>
      <c r="B90" s="62" t="n"/>
      <c r="C90" s="62" t="n"/>
      <c r="D90" s="62" t="n"/>
      <c r="E90" s="62" t="n"/>
      <c r="F90" s="62" t="n"/>
      <c r="G90" s="62" t="n"/>
      <c r="H90" s="62" t="n"/>
      <c r="I90" s="63">
        <f>SUM(I5:I89)</f>
        <v/>
      </c>
    </row>
  </sheetData>
  <mergeCells count="4">
    <mergeCell ref="A1:I1"/>
    <mergeCell ref="A3:I3"/>
    <mergeCell ref="A90:H90"/>
    <mergeCell ref="A2:I2"/>
  </mergeCells>
  <pageMargins left="0.5" right="0.5" top="1" bottom="0.8" header="0.4" footer="0.4"/>
  <pageSetup orientation="landscape" paperSize="9" fitToHeight="0" fitToWidth="1"/>
  <headerFooter>
    <oddHeader>&amp;L&amp;"Calibri,Italic"&amp;9Nuovo stabilimento radiofarmaceutico LENA - Pavia (PV)&amp;C&amp;"Calibri,Bold"&amp;13Aprile - Meccaniche&amp;R&amp;"Calibri"&amp;9&amp;D</oddHeader>
    <oddFooter>&amp;C&amp;"Calibri"&amp;9Pagina &amp;P di &amp;N</oddFooter>
    <evenHeader>&amp;L&amp;"Calibri,Italic"&amp;9Nuovo stabilimento radiofarmaceutico LENA - Pavia (PV)&amp;C&amp;"Calibri,Bold"&amp;13Aprile - Meccaniche</evenHeader>
    <evenFooter>&amp;C&amp;"Calibri"&amp;9Pagina &amp;P di &amp;N</evenFooter>
    <firstHeader/>
    <firstFooter/>
  </headerFooter>
</worksheet>
</file>

<file path=xl/worksheets/sheet13.xml><?xml version="1.0" encoding="utf-8"?>
<worksheet xmlns="http://schemas.openxmlformats.org/spreadsheetml/2006/main">
  <sheetPr>
    <outlinePr summaryBelow="1" summaryRight="1"/>
    <pageSetUpPr fitToPage="1"/>
  </sheetPr>
  <dimension ref="A1:I146"/>
  <sheetViews>
    <sheetView workbookViewId="0">
      <pane ySplit="4" topLeftCell="A5" activePane="bottomLeft" state="frozen"/>
      <selection pane="bottomLeft" activeCell="A1" sqref="A1"/>
    </sheetView>
  </sheetViews>
  <sheetFormatPr baseColWidth="8" defaultRowHeight="15"/>
  <cols>
    <col width="9" customWidth="1" style="46" min="1" max="1"/>
    <col width="26" customWidth="1" style="46" min="2" max="2"/>
    <col width="58" customWidth="1" style="46" min="3" max="3"/>
    <col width="8" customWidth="1" style="46" min="4" max="4"/>
    <col width="11" customWidth="1" style="46" min="5" max="5"/>
    <col width="12" customWidth="1" style="46" min="6" max="6"/>
    <col width="14" customWidth="1" style="46" min="7" max="7"/>
    <col width="9" customWidth="1" style="46" min="8" max="8"/>
    <col width="14" customWidth="1" style="46" min="9" max="9"/>
  </cols>
  <sheetData>
    <row r="1" ht="22" customHeight="1" s="46">
      <c r="A1" s="78" t="inlineStr">
        <is>
          <t>SAL APRILE 2026 — OPERE MECCANICHE SPECIALI</t>
        </is>
      </c>
    </row>
    <row r="2" ht="28"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N. VOCE</t>
        </is>
      </c>
      <c r="B4" s="55" t="inlineStr">
        <is>
          <t>CODICE LAVORAZIONE</t>
        </is>
      </c>
      <c r="C4" s="55" t="inlineStr">
        <is>
          <t>DESCRIZIONE</t>
        </is>
      </c>
      <c r="D4" s="55" t="inlineStr">
        <is>
          <t>U.M.</t>
        </is>
      </c>
      <c r="E4" s="55" t="inlineStr">
        <is>
          <t>QUANTITÀ</t>
        </is>
      </c>
      <c r="F4" s="55" t="inlineStr">
        <is>
          <t>VAL. UNITARIO</t>
        </is>
      </c>
      <c r="G4" s="55" t="inlineStr">
        <is>
          <t>TOTALE PREVENTIVO</t>
        </is>
      </c>
      <c r="H4" s="55" t="inlineStr">
        <is>
          <t>% SAL Aprile</t>
        </is>
      </c>
      <c r="I4" s="55" t="inlineStr">
        <is>
          <t>IMPORTO SAL Aprile</t>
        </is>
      </c>
    </row>
    <row r="5">
      <c r="A5" s="84">
        <f>LAVORAZIONI!G257</f>
        <v/>
      </c>
      <c r="B5" s="85">
        <f>LAVORAZIONI!A257</f>
        <v/>
      </c>
      <c r="C5" s="85">
        <f>LAVORAZIONI!K257</f>
        <v/>
      </c>
      <c r="D5" s="84">
        <f>LAVORAZIONI!M257</f>
        <v/>
      </c>
      <c r="E5" s="86">
        <f>LAVORAZIONI!N257</f>
        <v/>
      </c>
      <c r="F5" s="86">
        <f>LAVORAZIONI!O257</f>
        <v/>
      </c>
      <c r="G5" s="87">
        <f>LAVORAZIONI!P257</f>
        <v/>
      </c>
      <c r="H5" s="88">
        <f>LAVORAZIONI!U257</f>
        <v/>
      </c>
      <c r="I5" s="87">
        <f>LAVORAZIONI!V257</f>
        <v/>
      </c>
    </row>
    <row r="6">
      <c r="A6" s="84">
        <f>LAVORAZIONI!G258</f>
        <v/>
      </c>
      <c r="B6" s="85">
        <f>LAVORAZIONI!A258</f>
        <v/>
      </c>
      <c r="C6" s="85">
        <f>LAVORAZIONI!K258</f>
        <v/>
      </c>
      <c r="D6" s="84">
        <f>LAVORAZIONI!M258</f>
        <v/>
      </c>
      <c r="E6" s="86">
        <f>LAVORAZIONI!N258</f>
        <v/>
      </c>
      <c r="F6" s="86">
        <f>LAVORAZIONI!O258</f>
        <v/>
      </c>
      <c r="G6" s="87">
        <f>LAVORAZIONI!P258</f>
        <v/>
      </c>
      <c r="H6" s="88">
        <f>LAVORAZIONI!U258</f>
        <v/>
      </c>
      <c r="I6" s="87">
        <f>LAVORAZIONI!V258</f>
        <v/>
      </c>
    </row>
    <row r="7">
      <c r="A7" s="84">
        <f>LAVORAZIONI!G259</f>
        <v/>
      </c>
      <c r="B7" s="85">
        <f>LAVORAZIONI!A259</f>
        <v/>
      </c>
      <c r="C7" s="85">
        <f>LAVORAZIONI!K259</f>
        <v/>
      </c>
      <c r="D7" s="84">
        <f>LAVORAZIONI!M259</f>
        <v/>
      </c>
      <c r="E7" s="86">
        <f>LAVORAZIONI!N259</f>
        <v/>
      </c>
      <c r="F7" s="86">
        <f>LAVORAZIONI!O259</f>
        <v/>
      </c>
      <c r="G7" s="87">
        <f>LAVORAZIONI!P259</f>
        <v/>
      </c>
      <c r="H7" s="88">
        <f>LAVORAZIONI!U259</f>
        <v/>
      </c>
      <c r="I7" s="87">
        <f>LAVORAZIONI!V259</f>
        <v/>
      </c>
    </row>
    <row r="8">
      <c r="A8" s="84">
        <f>LAVORAZIONI!G260</f>
        <v/>
      </c>
      <c r="B8" s="85">
        <f>LAVORAZIONI!A260</f>
        <v/>
      </c>
      <c r="C8" s="85">
        <f>LAVORAZIONI!K260</f>
        <v/>
      </c>
      <c r="D8" s="84">
        <f>LAVORAZIONI!M260</f>
        <v/>
      </c>
      <c r="E8" s="86">
        <f>LAVORAZIONI!N260</f>
        <v/>
      </c>
      <c r="F8" s="86">
        <f>LAVORAZIONI!O260</f>
        <v/>
      </c>
      <c r="G8" s="87">
        <f>LAVORAZIONI!P260</f>
        <v/>
      </c>
      <c r="H8" s="88">
        <f>LAVORAZIONI!U260</f>
        <v/>
      </c>
      <c r="I8" s="87">
        <f>LAVORAZIONI!V260</f>
        <v/>
      </c>
    </row>
    <row r="9">
      <c r="A9" s="84">
        <f>LAVORAZIONI!G261</f>
        <v/>
      </c>
      <c r="B9" s="85">
        <f>LAVORAZIONI!A261</f>
        <v/>
      </c>
      <c r="C9" s="85">
        <f>LAVORAZIONI!K261</f>
        <v/>
      </c>
      <c r="D9" s="84">
        <f>LAVORAZIONI!M261</f>
        <v/>
      </c>
      <c r="E9" s="86">
        <f>LAVORAZIONI!N261</f>
        <v/>
      </c>
      <c r="F9" s="86">
        <f>LAVORAZIONI!O261</f>
        <v/>
      </c>
      <c r="G9" s="87">
        <f>LAVORAZIONI!P261</f>
        <v/>
      </c>
      <c r="H9" s="88">
        <f>LAVORAZIONI!U261</f>
        <v/>
      </c>
      <c r="I9" s="87">
        <f>LAVORAZIONI!V261</f>
        <v/>
      </c>
    </row>
    <row r="10">
      <c r="A10" s="84">
        <f>LAVORAZIONI!G262</f>
        <v/>
      </c>
      <c r="B10" s="85">
        <f>LAVORAZIONI!A262</f>
        <v/>
      </c>
      <c r="C10" s="85">
        <f>LAVORAZIONI!K262</f>
        <v/>
      </c>
      <c r="D10" s="84">
        <f>LAVORAZIONI!M262</f>
        <v/>
      </c>
      <c r="E10" s="86">
        <f>LAVORAZIONI!N262</f>
        <v/>
      </c>
      <c r="F10" s="86">
        <f>LAVORAZIONI!O262</f>
        <v/>
      </c>
      <c r="G10" s="87">
        <f>LAVORAZIONI!P262</f>
        <v/>
      </c>
      <c r="H10" s="88">
        <f>LAVORAZIONI!U262</f>
        <v/>
      </c>
      <c r="I10" s="87">
        <f>LAVORAZIONI!V262</f>
        <v/>
      </c>
    </row>
    <row r="11">
      <c r="A11" s="84">
        <f>LAVORAZIONI!G263</f>
        <v/>
      </c>
      <c r="B11" s="85">
        <f>LAVORAZIONI!A263</f>
        <v/>
      </c>
      <c r="C11" s="85">
        <f>LAVORAZIONI!K263</f>
        <v/>
      </c>
      <c r="D11" s="84">
        <f>LAVORAZIONI!M263</f>
        <v/>
      </c>
      <c r="E11" s="86">
        <f>LAVORAZIONI!N263</f>
        <v/>
      </c>
      <c r="F11" s="86">
        <f>LAVORAZIONI!O263</f>
        <v/>
      </c>
      <c r="G11" s="87">
        <f>LAVORAZIONI!P263</f>
        <v/>
      </c>
      <c r="H11" s="88">
        <f>LAVORAZIONI!U263</f>
        <v/>
      </c>
      <c r="I11" s="87">
        <f>LAVORAZIONI!V263</f>
        <v/>
      </c>
    </row>
    <row r="12">
      <c r="A12" s="84">
        <f>LAVORAZIONI!G264</f>
        <v/>
      </c>
      <c r="B12" s="85">
        <f>LAVORAZIONI!A264</f>
        <v/>
      </c>
      <c r="C12" s="85">
        <f>LAVORAZIONI!K264</f>
        <v/>
      </c>
      <c r="D12" s="84">
        <f>LAVORAZIONI!M264</f>
        <v/>
      </c>
      <c r="E12" s="86">
        <f>LAVORAZIONI!N264</f>
        <v/>
      </c>
      <c r="F12" s="86">
        <f>LAVORAZIONI!O264</f>
        <v/>
      </c>
      <c r="G12" s="87">
        <f>LAVORAZIONI!P264</f>
        <v/>
      </c>
      <c r="H12" s="88">
        <f>LAVORAZIONI!U264</f>
        <v/>
      </c>
      <c r="I12" s="87">
        <f>LAVORAZIONI!V264</f>
        <v/>
      </c>
    </row>
    <row r="13">
      <c r="A13" s="84">
        <f>LAVORAZIONI!G265</f>
        <v/>
      </c>
      <c r="B13" s="85">
        <f>LAVORAZIONI!A265</f>
        <v/>
      </c>
      <c r="C13" s="85">
        <f>LAVORAZIONI!K265</f>
        <v/>
      </c>
      <c r="D13" s="84">
        <f>LAVORAZIONI!M265</f>
        <v/>
      </c>
      <c r="E13" s="86">
        <f>LAVORAZIONI!N265</f>
        <v/>
      </c>
      <c r="F13" s="86">
        <f>LAVORAZIONI!O265</f>
        <v/>
      </c>
      <c r="G13" s="87">
        <f>LAVORAZIONI!P265</f>
        <v/>
      </c>
      <c r="H13" s="88">
        <f>LAVORAZIONI!U265</f>
        <v/>
      </c>
      <c r="I13" s="87">
        <f>LAVORAZIONI!V265</f>
        <v/>
      </c>
    </row>
    <row r="14">
      <c r="A14" s="84">
        <f>LAVORAZIONI!G266</f>
        <v/>
      </c>
      <c r="B14" s="85">
        <f>LAVORAZIONI!A266</f>
        <v/>
      </c>
      <c r="C14" s="85">
        <f>LAVORAZIONI!K266</f>
        <v/>
      </c>
      <c r="D14" s="84">
        <f>LAVORAZIONI!M266</f>
        <v/>
      </c>
      <c r="E14" s="86">
        <f>LAVORAZIONI!N266</f>
        <v/>
      </c>
      <c r="F14" s="86">
        <f>LAVORAZIONI!O266</f>
        <v/>
      </c>
      <c r="G14" s="87">
        <f>LAVORAZIONI!P266</f>
        <v/>
      </c>
      <c r="H14" s="88">
        <f>LAVORAZIONI!U266</f>
        <v/>
      </c>
      <c r="I14" s="87">
        <f>LAVORAZIONI!V266</f>
        <v/>
      </c>
    </row>
    <row r="15">
      <c r="A15" s="84">
        <f>LAVORAZIONI!G267</f>
        <v/>
      </c>
      <c r="B15" s="85">
        <f>LAVORAZIONI!A267</f>
        <v/>
      </c>
      <c r="C15" s="85">
        <f>LAVORAZIONI!K267</f>
        <v/>
      </c>
      <c r="D15" s="84">
        <f>LAVORAZIONI!M267</f>
        <v/>
      </c>
      <c r="E15" s="86">
        <f>LAVORAZIONI!N267</f>
        <v/>
      </c>
      <c r="F15" s="86">
        <f>LAVORAZIONI!O267</f>
        <v/>
      </c>
      <c r="G15" s="87">
        <f>LAVORAZIONI!P267</f>
        <v/>
      </c>
      <c r="H15" s="88">
        <f>LAVORAZIONI!U267</f>
        <v/>
      </c>
      <c r="I15" s="87">
        <f>LAVORAZIONI!V267</f>
        <v/>
      </c>
    </row>
    <row r="16">
      <c r="A16" s="84">
        <f>LAVORAZIONI!G268</f>
        <v/>
      </c>
      <c r="B16" s="85">
        <f>LAVORAZIONI!A268</f>
        <v/>
      </c>
      <c r="C16" s="85">
        <f>LAVORAZIONI!K268</f>
        <v/>
      </c>
      <c r="D16" s="84">
        <f>LAVORAZIONI!M268</f>
        <v/>
      </c>
      <c r="E16" s="86">
        <f>LAVORAZIONI!N268</f>
        <v/>
      </c>
      <c r="F16" s="86">
        <f>LAVORAZIONI!O268</f>
        <v/>
      </c>
      <c r="G16" s="87">
        <f>LAVORAZIONI!P268</f>
        <v/>
      </c>
      <c r="H16" s="88">
        <f>LAVORAZIONI!U268</f>
        <v/>
      </c>
      <c r="I16" s="87">
        <f>LAVORAZIONI!V268</f>
        <v/>
      </c>
    </row>
    <row r="17">
      <c r="A17" s="84">
        <f>LAVORAZIONI!G269</f>
        <v/>
      </c>
      <c r="B17" s="85">
        <f>LAVORAZIONI!A269</f>
        <v/>
      </c>
      <c r="C17" s="85">
        <f>LAVORAZIONI!K269</f>
        <v/>
      </c>
      <c r="D17" s="84">
        <f>LAVORAZIONI!M269</f>
        <v/>
      </c>
      <c r="E17" s="86">
        <f>LAVORAZIONI!N269</f>
        <v/>
      </c>
      <c r="F17" s="86">
        <f>LAVORAZIONI!O269</f>
        <v/>
      </c>
      <c r="G17" s="87">
        <f>LAVORAZIONI!P269</f>
        <v/>
      </c>
      <c r="H17" s="88">
        <f>LAVORAZIONI!U269</f>
        <v/>
      </c>
      <c r="I17" s="87">
        <f>LAVORAZIONI!V269</f>
        <v/>
      </c>
    </row>
    <row r="18">
      <c r="A18" s="84">
        <f>LAVORAZIONI!G270</f>
        <v/>
      </c>
      <c r="B18" s="85">
        <f>LAVORAZIONI!A270</f>
        <v/>
      </c>
      <c r="C18" s="85">
        <f>LAVORAZIONI!K270</f>
        <v/>
      </c>
      <c r="D18" s="84">
        <f>LAVORAZIONI!M270</f>
        <v/>
      </c>
      <c r="E18" s="86">
        <f>LAVORAZIONI!N270</f>
        <v/>
      </c>
      <c r="F18" s="86">
        <f>LAVORAZIONI!O270</f>
        <v/>
      </c>
      <c r="G18" s="87">
        <f>LAVORAZIONI!P270</f>
        <v/>
      </c>
      <c r="H18" s="88">
        <f>LAVORAZIONI!U270</f>
        <v/>
      </c>
      <c r="I18" s="87">
        <f>LAVORAZIONI!V270</f>
        <v/>
      </c>
    </row>
    <row r="19">
      <c r="A19" s="84">
        <f>LAVORAZIONI!G271</f>
        <v/>
      </c>
      <c r="B19" s="85">
        <f>LAVORAZIONI!A271</f>
        <v/>
      </c>
      <c r="C19" s="85">
        <f>LAVORAZIONI!K271</f>
        <v/>
      </c>
      <c r="D19" s="84">
        <f>LAVORAZIONI!M271</f>
        <v/>
      </c>
      <c r="E19" s="86">
        <f>LAVORAZIONI!N271</f>
        <v/>
      </c>
      <c r="F19" s="86">
        <f>LAVORAZIONI!O271</f>
        <v/>
      </c>
      <c r="G19" s="87">
        <f>LAVORAZIONI!P271</f>
        <v/>
      </c>
      <c r="H19" s="88">
        <f>LAVORAZIONI!U271</f>
        <v/>
      </c>
      <c r="I19" s="87">
        <f>LAVORAZIONI!V271</f>
        <v/>
      </c>
    </row>
    <row r="20">
      <c r="A20" s="84">
        <f>LAVORAZIONI!G272</f>
        <v/>
      </c>
      <c r="B20" s="85">
        <f>LAVORAZIONI!A272</f>
        <v/>
      </c>
      <c r="C20" s="85">
        <f>LAVORAZIONI!K272</f>
        <v/>
      </c>
      <c r="D20" s="84">
        <f>LAVORAZIONI!M272</f>
        <v/>
      </c>
      <c r="E20" s="86">
        <f>LAVORAZIONI!N272</f>
        <v/>
      </c>
      <c r="F20" s="86">
        <f>LAVORAZIONI!O272</f>
        <v/>
      </c>
      <c r="G20" s="87">
        <f>LAVORAZIONI!P272</f>
        <v/>
      </c>
      <c r="H20" s="88">
        <f>LAVORAZIONI!U272</f>
        <v/>
      </c>
      <c r="I20" s="87">
        <f>LAVORAZIONI!V272</f>
        <v/>
      </c>
    </row>
    <row r="21">
      <c r="A21" s="84">
        <f>LAVORAZIONI!G273</f>
        <v/>
      </c>
      <c r="B21" s="85">
        <f>LAVORAZIONI!A273</f>
        <v/>
      </c>
      <c r="C21" s="85">
        <f>LAVORAZIONI!K273</f>
        <v/>
      </c>
      <c r="D21" s="84">
        <f>LAVORAZIONI!M273</f>
        <v/>
      </c>
      <c r="E21" s="86">
        <f>LAVORAZIONI!N273</f>
        <v/>
      </c>
      <c r="F21" s="86">
        <f>LAVORAZIONI!O273</f>
        <v/>
      </c>
      <c r="G21" s="87">
        <f>LAVORAZIONI!P273</f>
        <v/>
      </c>
      <c r="H21" s="88">
        <f>LAVORAZIONI!U273</f>
        <v/>
      </c>
      <c r="I21" s="87">
        <f>LAVORAZIONI!V273</f>
        <v/>
      </c>
    </row>
    <row r="22">
      <c r="A22" s="84">
        <f>LAVORAZIONI!G274</f>
        <v/>
      </c>
      <c r="B22" s="85">
        <f>LAVORAZIONI!A274</f>
        <v/>
      </c>
      <c r="C22" s="85">
        <f>LAVORAZIONI!K274</f>
        <v/>
      </c>
      <c r="D22" s="84">
        <f>LAVORAZIONI!M274</f>
        <v/>
      </c>
      <c r="E22" s="86">
        <f>LAVORAZIONI!N274</f>
        <v/>
      </c>
      <c r="F22" s="86">
        <f>LAVORAZIONI!O274</f>
        <v/>
      </c>
      <c r="G22" s="87">
        <f>LAVORAZIONI!P274</f>
        <v/>
      </c>
      <c r="H22" s="88">
        <f>LAVORAZIONI!U274</f>
        <v/>
      </c>
      <c r="I22" s="87">
        <f>LAVORAZIONI!V274</f>
        <v/>
      </c>
    </row>
    <row r="23">
      <c r="A23" s="84">
        <f>LAVORAZIONI!G275</f>
        <v/>
      </c>
      <c r="B23" s="85">
        <f>LAVORAZIONI!A275</f>
        <v/>
      </c>
      <c r="C23" s="85">
        <f>LAVORAZIONI!K275</f>
        <v/>
      </c>
      <c r="D23" s="84">
        <f>LAVORAZIONI!M275</f>
        <v/>
      </c>
      <c r="E23" s="86">
        <f>LAVORAZIONI!N275</f>
        <v/>
      </c>
      <c r="F23" s="86">
        <f>LAVORAZIONI!O275</f>
        <v/>
      </c>
      <c r="G23" s="87">
        <f>LAVORAZIONI!P275</f>
        <v/>
      </c>
      <c r="H23" s="88">
        <f>LAVORAZIONI!U275</f>
        <v/>
      </c>
      <c r="I23" s="87">
        <f>LAVORAZIONI!V275</f>
        <v/>
      </c>
    </row>
    <row r="24">
      <c r="A24" s="84">
        <f>LAVORAZIONI!G276</f>
        <v/>
      </c>
      <c r="B24" s="85">
        <f>LAVORAZIONI!A276</f>
        <v/>
      </c>
      <c r="C24" s="85">
        <f>LAVORAZIONI!K276</f>
        <v/>
      </c>
      <c r="D24" s="84">
        <f>LAVORAZIONI!M276</f>
        <v/>
      </c>
      <c r="E24" s="86">
        <f>LAVORAZIONI!N276</f>
        <v/>
      </c>
      <c r="F24" s="86">
        <f>LAVORAZIONI!O276</f>
        <v/>
      </c>
      <c r="G24" s="87">
        <f>LAVORAZIONI!P276</f>
        <v/>
      </c>
      <c r="H24" s="88">
        <f>LAVORAZIONI!U276</f>
        <v/>
      </c>
      <c r="I24" s="87">
        <f>LAVORAZIONI!V276</f>
        <v/>
      </c>
    </row>
    <row r="25">
      <c r="A25" s="84">
        <f>LAVORAZIONI!G277</f>
        <v/>
      </c>
      <c r="B25" s="85">
        <f>LAVORAZIONI!A277</f>
        <v/>
      </c>
      <c r="C25" s="85">
        <f>LAVORAZIONI!K277</f>
        <v/>
      </c>
      <c r="D25" s="84">
        <f>LAVORAZIONI!M277</f>
        <v/>
      </c>
      <c r="E25" s="86">
        <f>LAVORAZIONI!N277</f>
        <v/>
      </c>
      <c r="F25" s="86">
        <f>LAVORAZIONI!O277</f>
        <v/>
      </c>
      <c r="G25" s="87">
        <f>LAVORAZIONI!P277</f>
        <v/>
      </c>
      <c r="H25" s="88">
        <f>LAVORAZIONI!U277</f>
        <v/>
      </c>
      <c r="I25" s="87">
        <f>LAVORAZIONI!V277</f>
        <v/>
      </c>
    </row>
    <row r="26">
      <c r="A26" s="84">
        <f>LAVORAZIONI!G278</f>
        <v/>
      </c>
      <c r="B26" s="85">
        <f>LAVORAZIONI!A278</f>
        <v/>
      </c>
      <c r="C26" s="85">
        <f>LAVORAZIONI!K278</f>
        <v/>
      </c>
      <c r="D26" s="84">
        <f>LAVORAZIONI!M278</f>
        <v/>
      </c>
      <c r="E26" s="86">
        <f>LAVORAZIONI!N278</f>
        <v/>
      </c>
      <c r="F26" s="86">
        <f>LAVORAZIONI!O278</f>
        <v/>
      </c>
      <c r="G26" s="87">
        <f>LAVORAZIONI!P278</f>
        <v/>
      </c>
      <c r="H26" s="88">
        <f>LAVORAZIONI!U278</f>
        <v/>
      </c>
      <c r="I26" s="87">
        <f>LAVORAZIONI!V278</f>
        <v/>
      </c>
    </row>
    <row r="27">
      <c r="A27" s="84">
        <f>LAVORAZIONI!G279</f>
        <v/>
      </c>
      <c r="B27" s="85">
        <f>LAVORAZIONI!A279</f>
        <v/>
      </c>
      <c r="C27" s="85">
        <f>LAVORAZIONI!K279</f>
        <v/>
      </c>
      <c r="D27" s="84">
        <f>LAVORAZIONI!M279</f>
        <v/>
      </c>
      <c r="E27" s="86">
        <f>LAVORAZIONI!N279</f>
        <v/>
      </c>
      <c r="F27" s="86">
        <f>LAVORAZIONI!O279</f>
        <v/>
      </c>
      <c r="G27" s="87">
        <f>LAVORAZIONI!P279</f>
        <v/>
      </c>
      <c r="H27" s="88">
        <f>LAVORAZIONI!U279</f>
        <v/>
      </c>
      <c r="I27" s="87">
        <f>LAVORAZIONI!V279</f>
        <v/>
      </c>
    </row>
    <row r="28">
      <c r="A28" s="84">
        <f>LAVORAZIONI!G280</f>
        <v/>
      </c>
      <c r="B28" s="85">
        <f>LAVORAZIONI!A280</f>
        <v/>
      </c>
      <c r="C28" s="85">
        <f>LAVORAZIONI!K280</f>
        <v/>
      </c>
      <c r="D28" s="84">
        <f>LAVORAZIONI!M280</f>
        <v/>
      </c>
      <c r="E28" s="86">
        <f>LAVORAZIONI!N280</f>
        <v/>
      </c>
      <c r="F28" s="86">
        <f>LAVORAZIONI!O280</f>
        <v/>
      </c>
      <c r="G28" s="87">
        <f>LAVORAZIONI!P280</f>
        <v/>
      </c>
      <c r="H28" s="88">
        <f>LAVORAZIONI!U280</f>
        <v/>
      </c>
      <c r="I28" s="87">
        <f>LAVORAZIONI!V280</f>
        <v/>
      </c>
    </row>
    <row r="29">
      <c r="A29" s="84">
        <f>LAVORAZIONI!G281</f>
        <v/>
      </c>
      <c r="B29" s="85">
        <f>LAVORAZIONI!A281</f>
        <v/>
      </c>
      <c r="C29" s="85">
        <f>LAVORAZIONI!K281</f>
        <v/>
      </c>
      <c r="D29" s="84">
        <f>LAVORAZIONI!M281</f>
        <v/>
      </c>
      <c r="E29" s="86">
        <f>LAVORAZIONI!N281</f>
        <v/>
      </c>
      <c r="F29" s="86">
        <f>LAVORAZIONI!O281</f>
        <v/>
      </c>
      <c r="G29" s="87">
        <f>LAVORAZIONI!P281</f>
        <v/>
      </c>
      <c r="H29" s="88">
        <f>LAVORAZIONI!U281</f>
        <v/>
      </c>
      <c r="I29" s="87">
        <f>LAVORAZIONI!V281</f>
        <v/>
      </c>
    </row>
    <row r="30">
      <c r="A30" s="84">
        <f>LAVORAZIONI!G282</f>
        <v/>
      </c>
      <c r="B30" s="85">
        <f>LAVORAZIONI!A282</f>
        <v/>
      </c>
      <c r="C30" s="85">
        <f>LAVORAZIONI!K282</f>
        <v/>
      </c>
      <c r="D30" s="84">
        <f>LAVORAZIONI!M282</f>
        <v/>
      </c>
      <c r="E30" s="86">
        <f>LAVORAZIONI!N282</f>
        <v/>
      </c>
      <c r="F30" s="86">
        <f>LAVORAZIONI!O282</f>
        <v/>
      </c>
      <c r="G30" s="87">
        <f>LAVORAZIONI!P282</f>
        <v/>
      </c>
      <c r="H30" s="88">
        <f>LAVORAZIONI!U282</f>
        <v/>
      </c>
      <c r="I30" s="87">
        <f>LAVORAZIONI!V282</f>
        <v/>
      </c>
    </row>
    <row r="31">
      <c r="A31" s="84">
        <f>LAVORAZIONI!G283</f>
        <v/>
      </c>
      <c r="B31" s="85">
        <f>LAVORAZIONI!A283</f>
        <v/>
      </c>
      <c r="C31" s="85">
        <f>LAVORAZIONI!K283</f>
        <v/>
      </c>
      <c r="D31" s="84">
        <f>LAVORAZIONI!M283</f>
        <v/>
      </c>
      <c r="E31" s="86">
        <f>LAVORAZIONI!N283</f>
        <v/>
      </c>
      <c r="F31" s="86">
        <f>LAVORAZIONI!O283</f>
        <v/>
      </c>
      <c r="G31" s="87">
        <f>LAVORAZIONI!P283</f>
        <v/>
      </c>
      <c r="H31" s="88">
        <f>LAVORAZIONI!U283</f>
        <v/>
      </c>
      <c r="I31" s="87">
        <f>LAVORAZIONI!V283</f>
        <v/>
      </c>
    </row>
    <row r="32">
      <c r="A32" s="84">
        <f>LAVORAZIONI!G284</f>
        <v/>
      </c>
      <c r="B32" s="85">
        <f>LAVORAZIONI!A284</f>
        <v/>
      </c>
      <c r="C32" s="85">
        <f>LAVORAZIONI!K284</f>
        <v/>
      </c>
      <c r="D32" s="84">
        <f>LAVORAZIONI!M284</f>
        <v/>
      </c>
      <c r="E32" s="86">
        <f>LAVORAZIONI!N284</f>
        <v/>
      </c>
      <c r="F32" s="86">
        <f>LAVORAZIONI!O284</f>
        <v/>
      </c>
      <c r="G32" s="87">
        <f>LAVORAZIONI!P284</f>
        <v/>
      </c>
      <c r="H32" s="88">
        <f>LAVORAZIONI!U284</f>
        <v/>
      </c>
      <c r="I32" s="87">
        <f>LAVORAZIONI!V284</f>
        <v/>
      </c>
    </row>
    <row r="33">
      <c r="A33" s="84">
        <f>LAVORAZIONI!G285</f>
        <v/>
      </c>
      <c r="B33" s="85">
        <f>LAVORAZIONI!A285</f>
        <v/>
      </c>
      <c r="C33" s="85">
        <f>LAVORAZIONI!K285</f>
        <v/>
      </c>
      <c r="D33" s="84">
        <f>LAVORAZIONI!M285</f>
        <v/>
      </c>
      <c r="E33" s="86">
        <f>LAVORAZIONI!N285</f>
        <v/>
      </c>
      <c r="F33" s="86">
        <f>LAVORAZIONI!O285</f>
        <v/>
      </c>
      <c r="G33" s="87">
        <f>LAVORAZIONI!P285</f>
        <v/>
      </c>
      <c r="H33" s="88">
        <f>LAVORAZIONI!U285</f>
        <v/>
      </c>
      <c r="I33" s="87">
        <f>LAVORAZIONI!V285</f>
        <v/>
      </c>
    </row>
    <row r="34">
      <c r="A34" s="84">
        <f>LAVORAZIONI!G286</f>
        <v/>
      </c>
      <c r="B34" s="85">
        <f>LAVORAZIONI!A286</f>
        <v/>
      </c>
      <c r="C34" s="85">
        <f>LAVORAZIONI!K286</f>
        <v/>
      </c>
      <c r="D34" s="84">
        <f>LAVORAZIONI!M286</f>
        <v/>
      </c>
      <c r="E34" s="86">
        <f>LAVORAZIONI!N286</f>
        <v/>
      </c>
      <c r="F34" s="86">
        <f>LAVORAZIONI!O286</f>
        <v/>
      </c>
      <c r="G34" s="87">
        <f>LAVORAZIONI!P286</f>
        <v/>
      </c>
      <c r="H34" s="88">
        <f>LAVORAZIONI!U286</f>
        <v/>
      </c>
      <c r="I34" s="87">
        <f>LAVORAZIONI!V286</f>
        <v/>
      </c>
    </row>
    <row r="35">
      <c r="A35" s="84">
        <f>LAVORAZIONI!G287</f>
        <v/>
      </c>
      <c r="B35" s="85">
        <f>LAVORAZIONI!A287</f>
        <v/>
      </c>
      <c r="C35" s="85">
        <f>LAVORAZIONI!K287</f>
        <v/>
      </c>
      <c r="D35" s="84">
        <f>LAVORAZIONI!M287</f>
        <v/>
      </c>
      <c r="E35" s="86">
        <f>LAVORAZIONI!N287</f>
        <v/>
      </c>
      <c r="F35" s="86">
        <f>LAVORAZIONI!O287</f>
        <v/>
      </c>
      <c r="G35" s="87">
        <f>LAVORAZIONI!P287</f>
        <v/>
      </c>
      <c r="H35" s="88">
        <f>LAVORAZIONI!U287</f>
        <v/>
      </c>
      <c r="I35" s="87">
        <f>LAVORAZIONI!V287</f>
        <v/>
      </c>
    </row>
    <row r="36">
      <c r="A36" s="84">
        <f>LAVORAZIONI!G288</f>
        <v/>
      </c>
      <c r="B36" s="85">
        <f>LAVORAZIONI!A288</f>
        <v/>
      </c>
      <c r="C36" s="85">
        <f>LAVORAZIONI!K288</f>
        <v/>
      </c>
      <c r="D36" s="84">
        <f>LAVORAZIONI!M288</f>
        <v/>
      </c>
      <c r="E36" s="86">
        <f>LAVORAZIONI!N288</f>
        <v/>
      </c>
      <c r="F36" s="86">
        <f>LAVORAZIONI!O288</f>
        <v/>
      </c>
      <c r="G36" s="87">
        <f>LAVORAZIONI!P288</f>
        <v/>
      </c>
      <c r="H36" s="88">
        <f>LAVORAZIONI!U288</f>
        <v/>
      </c>
      <c r="I36" s="87">
        <f>LAVORAZIONI!V288</f>
        <v/>
      </c>
    </row>
    <row r="37">
      <c r="A37" s="84">
        <f>LAVORAZIONI!G289</f>
        <v/>
      </c>
      <c r="B37" s="85">
        <f>LAVORAZIONI!A289</f>
        <v/>
      </c>
      <c r="C37" s="85">
        <f>LAVORAZIONI!K289</f>
        <v/>
      </c>
      <c r="D37" s="84">
        <f>LAVORAZIONI!M289</f>
        <v/>
      </c>
      <c r="E37" s="86">
        <f>LAVORAZIONI!N289</f>
        <v/>
      </c>
      <c r="F37" s="86">
        <f>LAVORAZIONI!O289</f>
        <v/>
      </c>
      <c r="G37" s="87">
        <f>LAVORAZIONI!P289</f>
        <v/>
      </c>
      <c r="H37" s="88">
        <f>LAVORAZIONI!U289</f>
        <v/>
      </c>
      <c r="I37" s="87">
        <f>LAVORAZIONI!V289</f>
        <v/>
      </c>
    </row>
    <row r="38">
      <c r="A38" s="84">
        <f>LAVORAZIONI!G290</f>
        <v/>
      </c>
      <c r="B38" s="85">
        <f>LAVORAZIONI!A290</f>
        <v/>
      </c>
      <c r="C38" s="85">
        <f>LAVORAZIONI!K290</f>
        <v/>
      </c>
      <c r="D38" s="84">
        <f>LAVORAZIONI!M290</f>
        <v/>
      </c>
      <c r="E38" s="86">
        <f>LAVORAZIONI!N290</f>
        <v/>
      </c>
      <c r="F38" s="86">
        <f>LAVORAZIONI!O290</f>
        <v/>
      </c>
      <c r="G38" s="87">
        <f>LAVORAZIONI!P290</f>
        <v/>
      </c>
      <c r="H38" s="88">
        <f>LAVORAZIONI!U290</f>
        <v/>
      </c>
      <c r="I38" s="87">
        <f>LAVORAZIONI!V290</f>
        <v/>
      </c>
    </row>
    <row r="39">
      <c r="A39" s="84">
        <f>LAVORAZIONI!G291</f>
        <v/>
      </c>
      <c r="B39" s="85">
        <f>LAVORAZIONI!A291</f>
        <v/>
      </c>
      <c r="C39" s="85">
        <f>LAVORAZIONI!K291</f>
        <v/>
      </c>
      <c r="D39" s="84">
        <f>LAVORAZIONI!M291</f>
        <v/>
      </c>
      <c r="E39" s="86">
        <f>LAVORAZIONI!N291</f>
        <v/>
      </c>
      <c r="F39" s="86">
        <f>LAVORAZIONI!O291</f>
        <v/>
      </c>
      <c r="G39" s="87">
        <f>LAVORAZIONI!P291</f>
        <v/>
      </c>
      <c r="H39" s="88">
        <f>LAVORAZIONI!U291</f>
        <v/>
      </c>
      <c r="I39" s="87">
        <f>LAVORAZIONI!V291</f>
        <v/>
      </c>
    </row>
    <row r="40">
      <c r="A40" s="84">
        <f>LAVORAZIONI!G292</f>
        <v/>
      </c>
      <c r="B40" s="85">
        <f>LAVORAZIONI!A292</f>
        <v/>
      </c>
      <c r="C40" s="85">
        <f>LAVORAZIONI!K292</f>
        <v/>
      </c>
      <c r="D40" s="84">
        <f>LAVORAZIONI!M292</f>
        <v/>
      </c>
      <c r="E40" s="86">
        <f>LAVORAZIONI!N292</f>
        <v/>
      </c>
      <c r="F40" s="86">
        <f>LAVORAZIONI!O292</f>
        <v/>
      </c>
      <c r="G40" s="87">
        <f>LAVORAZIONI!P292</f>
        <v/>
      </c>
      <c r="H40" s="88">
        <f>LAVORAZIONI!U292</f>
        <v/>
      </c>
      <c r="I40" s="87">
        <f>LAVORAZIONI!V292</f>
        <v/>
      </c>
    </row>
    <row r="41">
      <c r="A41" s="84">
        <f>LAVORAZIONI!G293</f>
        <v/>
      </c>
      <c r="B41" s="85">
        <f>LAVORAZIONI!A293</f>
        <v/>
      </c>
      <c r="C41" s="85">
        <f>LAVORAZIONI!K293</f>
        <v/>
      </c>
      <c r="D41" s="84">
        <f>LAVORAZIONI!M293</f>
        <v/>
      </c>
      <c r="E41" s="86">
        <f>LAVORAZIONI!N293</f>
        <v/>
      </c>
      <c r="F41" s="86">
        <f>LAVORAZIONI!O293</f>
        <v/>
      </c>
      <c r="G41" s="87">
        <f>LAVORAZIONI!P293</f>
        <v/>
      </c>
      <c r="H41" s="88">
        <f>LAVORAZIONI!U293</f>
        <v/>
      </c>
      <c r="I41" s="87">
        <f>LAVORAZIONI!V293</f>
        <v/>
      </c>
    </row>
    <row r="42">
      <c r="A42" s="84">
        <f>LAVORAZIONI!G294</f>
        <v/>
      </c>
      <c r="B42" s="85">
        <f>LAVORAZIONI!A294</f>
        <v/>
      </c>
      <c r="C42" s="85">
        <f>LAVORAZIONI!K294</f>
        <v/>
      </c>
      <c r="D42" s="84">
        <f>LAVORAZIONI!M294</f>
        <v/>
      </c>
      <c r="E42" s="86">
        <f>LAVORAZIONI!N294</f>
        <v/>
      </c>
      <c r="F42" s="86">
        <f>LAVORAZIONI!O294</f>
        <v/>
      </c>
      <c r="G42" s="87">
        <f>LAVORAZIONI!P294</f>
        <v/>
      </c>
      <c r="H42" s="88">
        <f>LAVORAZIONI!U294</f>
        <v/>
      </c>
      <c r="I42" s="87">
        <f>LAVORAZIONI!V294</f>
        <v/>
      </c>
    </row>
    <row r="43">
      <c r="A43" s="84">
        <f>LAVORAZIONI!G295</f>
        <v/>
      </c>
      <c r="B43" s="85">
        <f>LAVORAZIONI!A295</f>
        <v/>
      </c>
      <c r="C43" s="85">
        <f>LAVORAZIONI!K295</f>
        <v/>
      </c>
      <c r="D43" s="84">
        <f>LAVORAZIONI!M295</f>
        <v/>
      </c>
      <c r="E43" s="86">
        <f>LAVORAZIONI!N295</f>
        <v/>
      </c>
      <c r="F43" s="86">
        <f>LAVORAZIONI!O295</f>
        <v/>
      </c>
      <c r="G43" s="87">
        <f>LAVORAZIONI!P295</f>
        <v/>
      </c>
      <c r="H43" s="88">
        <f>LAVORAZIONI!U295</f>
        <v/>
      </c>
      <c r="I43" s="87">
        <f>LAVORAZIONI!V295</f>
        <v/>
      </c>
    </row>
    <row r="44">
      <c r="A44" s="84">
        <f>LAVORAZIONI!G296</f>
        <v/>
      </c>
      <c r="B44" s="85">
        <f>LAVORAZIONI!A296</f>
        <v/>
      </c>
      <c r="C44" s="85">
        <f>LAVORAZIONI!K296</f>
        <v/>
      </c>
      <c r="D44" s="84">
        <f>LAVORAZIONI!M296</f>
        <v/>
      </c>
      <c r="E44" s="86">
        <f>LAVORAZIONI!N296</f>
        <v/>
      </c>
      <c r="F44" s="86">
        <f>LAVORAZIONI!O296</f>
        <v/>
      </c>
      <c r="G44" s="87">
        <f>LAVORAZIONI!P296</f>
        <v/>
      </c>
      <c r="H44" s="88">
        <f>LAVORAZIONI!U296</f>
        <v/>
      </c>
      <c r="I44" s="87">
        <f>LAVORAZIONI!V296</f>
        <v/>
      </c>
    </row>
    <row r="45">
      <c r="A45" s="84">
        <f>LAVORAZIONI!G297</f>
        <v/>
      </c>
      <c r="B45" s="85">
        <f>LAVORAZIONI!A297</f>
        <v/>
      </c>
      <c r="C45" s="85">
        <f>LAVORAZIONI!K297</f>
        <v/>
      </c>
      <c r="D45" s="84">
        <f>LAVORAZIONI!M297</f>
        <v/>
      </c>
      <c r="E45" s="86">
        <f>LAVORAZIONI!N297</f>
        <v/>
      </c>
      <c r="F45" s="86">
        <f>LAVORAZIONI!O297</f>
        <v/>
      </c>
      <c r="G45" s="87">
        <f>LAVORAZIONI!P297</f>
        <v/>
      </c>
      <c r="H45" s="88">
        <f>LAVORAZIONI!U297</f>
        <v/>
      </c>
      <c r="I45" s="87">
        <f>LAVORAZIONI!V297</f>
        <v/>
      </c>
    </row>
    <row r="46">
      <c r="A46" s="84">
        <f>LAVORAZIONI!G298</f>
        <v/>
      </c>
      <c r="B46" s="85">
        <f>LAVORAZIONI!A298</f>
        <v/>
      </c>
      <c r="C46" s="85">
        <f>LAVORAZIONI!K298</f>
        <v/>
      </c>
      <c r="D46" s="84">
        <f>LAVORAZIONI!M298</f>
        <v/>
      </c>
      <c r="E46" s="86">
        <f>LAVORAZIONI!N298</f>
        <v/>
      </c>
      <c r="F46" s="86">
        <f>LAVORAZIONI!O298</f>
        <v/>
      </c>
      <c r="G46" s="87">
        <f>LAVORAZIONI!P298</f>
        <v/>
      </c>
      <c r="H46" s="88">
        <f>LAVORAZIONI!U298</f>
        <v/>
      </c>
      <c r="I46" s="87">
        <f>LAVORAZIONI!V298</f>
        <v/>
      </c>
    </row>
    <row r="47">
      <c r="A47" s="84">
        <f>LAVORAZIONI!G299</f>
        <v/>
      </c>
      <c r="B47" s="85">
        <f>LAVORAZIONI!A299</f>
        <v/>
      </c>
      <c r="C47" s="85">
        <f>LAVORAZIONI!K299</f>
        <v/>
      </c>
      <c r="D47" s="84">
        <f>LAVORAZIONI!M299</f>
        <v/>
      </c>
      <c r="E47" s="86">
        <f>LAVORAZIONI!N299</f>
        <v/>
      </c>
      <c r="F47" s="86">
        <f>LAVORAZIONI!O299</f>
        <v/>
      </c>
      <c r="G47" s="87">
        <f>LAVORAZIONI!P299</f>
        <v/>
      </c>
      <c r="H47" s="88">
        <f>LAVORAZIONI!U299</f>
        <v/>
      </c>
      <c r="I47" s="87">
        <f>LAVORAZIONI!V299</f>
        <v/>
      </c>
    </row>
    <row r="48">
      <c r="A48" s="84">
        <f>LAVORAZIONI!G300</f>
        <v/>
      </c>
      <c r="B48" s="85">
        <f>LAVORAZIONI!A300</f>
        <v/>
      </c>
      <c r="C48" s="85">
        <f>LAVORAZIONI!K300</f>
        <v/>
      </c>
      <c r="D48" s="84">
        <f>LAVORAZIONI!M300</f>
        <v/>
      </c>
      <c r="E48" s="86">
        <f>LAVORAZIONI!N300</f>
        <v/>
      </c>
      <c r="F48" s="86">
        <f>LAVORAZIONI!O300</f>
        <v/>
      </c>
      <c r="G48" s="87">
        <f>LAVORAZIONI!P300</f>
        <v/>
      </c>
      <c r="H48" s="88">
        <f>LAVORAZIONI!U300</f>
        <v/>
      </c>
      <c r="I48" s="87">
        <f>LAVORAZIONI!V300</f>
        <v/>
      </c>
    </row>
    <row r="49">
      <c r="A49" s="84">
        <f>LAVORAZIONI!G301</f>
        <v/>
      </c>
      <c r="B49" s="85">
        <f>LAVORAZIONI!A301</f>
        <v/>
      </c>
      <c r="C49" s="85">
        <f>LAVORAZIONI!K301</f>
        <v/>
      </c>
      <c r="D49" s="84">
        <f>LAVORAZIONI!M301</f>
        <v/>
      </c>
      <c r="E49" s="86">
        <f>LAVORAZIONI!N301</f>
        <v/>
      </c>
      <c r="F49" s="86">
        <f>LAVORAZIONI!O301</f>
        <v/>
      </c>
      <c r="G49" s="87">
        <f>LAVORAZIONI!P301</f>
        <v/>
      </c>
      <c r="H49" s="88">
        <f>LAVORAZIONI!U301</f>
        <v/>
      </c>
      <c r="I49" s="87">
        <f>LAVORAZIONI!V301</f>
        <v/>
      </c>
    </row>
    <row r="50">
      <c r="A50" s="84">
        <f>LAVORAZIONI!G302</f>
        <v/>
      </c>
      <c r="B50" s="85">
        <f>LAVORAZIONI!A302</f>
        <v/>
      </c>
      <c r="C50" s="85">
        <f>LAVORAZIONI!K302</f>
        <v/>
      </c>
      <c r="D50" s="84">
        <f>LAVORAZIONI!M302</f>
        <v/>
      </c>
      <c r="E50" s="86">
        <f>LAVORAZIONI!N302</f>
        <v/>
      </c>
      <c r="F50" s="86">
        <f>LAVORAZIONI!O302</f>
        <v/>
      </c>
      <c r="G50" s="87">
        <f>LAVORAZIONI!P302</f>
        <v/>
      </c>
      <c r="H50" s="88">
        <f>LAVORAZIONI!U302</f>
        <v/>
      </c>
      <c r="I50" s="87">
        <f>LAVORAZIONI!V302</f>
        <v/>
      </c>
    </row>
    <row r="51">
      <c r="A51" s="84">
        <f>LAVORAZIONI!G303</f>
        <v/>
      </c>
      <c r="B51" s="85">
        <f>LAVORAZIONI!A303</f>
        <v/>
      </c>
      <c r="C51" s="85">
        <f>LAVORAZIONI!K303</f>
        <v/>
      </c>
      <c r="D51" s="84">
        <f>LAVORAZIONI!M303</f>
        <v/>
      </c>
      <c r="E51" s="86">
        <f>LAVORAZIONI!N303</f>
        <v/>
      </c>
      <c r="F51" s="86">
        <f>LAVORAZIONI!O303</f>
        <v/>
      </c>
      <c r="G51" s="87">
        <f>LAVORAZIONI!P303</f>
        <v/>
      </c>
      <c r="H51" s="88">
        <f>LAVORAZIONI!U303</f>
        <v/>
      </c>
      <c r="I51" s="87">
        <f>LAVORAZIONI!V303</f>
        <v/>
      </c>
    </row>
    <row r="52">
      <c r="A52" s="84">
        <f>LAVORAZIONI!G304</f>
        <v/>
      </c>
      <c r="B52" s="85">
        <f>LAVORAZIONI!A304</f>
        <v/>
      </c>
      <c r="C52" s="85">
        <f>LAVORAZIONI!K304</f>
        <v/>
      </c>
      <c r="D52" s="84">
        <f>LAVORAZIONI!M304</f>
        <v/>
      </c>
      <c r="E52" s="86">
        <f>LAVORAZIONI!N304</f>
        <v/>
      </c>
      <c r="F52" s="86">
        <f>LAVORAZIONI!O304</f>
        <v/>
      </c>
      <c r="G52" s="87">
        <f>LAVORAZIONI!P304</f>
        <v/>
      </c>
      <c r="H52" s="88">
        <f>LAVORAZIONI!U304</f>
        <v/>
      </c>
      <c r="I52" s="87">
        <f>LAVORAZIONI!V304</f>
        <v/>
      </c>
    </row>
    <row r="53">
      <c r="A53" s="84">
        <f>LAVORAZIONI!G305</f>
        <v/>
      </c>
      <c r="B53" s="85">
        <f>LAVORAZIONI!A305</f>
        <v/>
      </c>
      <c r="C53" s="85">
        <f>LAVORAZIONI!K305</f>
        <v/>
      </c>
      <c r="D53" s="84">
        <f>LAVORAZIONI!M305</f>
        <v/>
      </c>
      <c r="E53" s="86">
        <f>LAVORAZIONI!N305</f>
        <v/>
      </c>
      <c r="F53" s="86">
        <f>LAVORAZIONI!O305</f>
        <v/>
      </c>
      <c r="G53" s="87">
        <f>LAVORAZIONI!P305</f>
        <v/>
      </c>
      <c r="H53" s="88">
        <f>LAVORAZIONI!U305</f>
        <v/>
      </c>
      <c r="I53" s="87">
        <f>LAVORAZIONI!V305</f>
        <v/>
      </c>
    </row>
    <row r="54">
      <c r="A54" s="84">
        <f>LAVORAZIONI!G306</f>
        <v/>
      </c>
      <c r="B54" s="85">
        <f>LAVORAZIONI!A306</f>
        <v/>
      </c>
      <c r="C54" s="85">
        <f>LAVORAZIONI!K306</f>
        <v/>
      </c>
      <c r="D54" s="84">
        <f>LAVORAZIONI!M306</f>
        <v/>
      </c>
      <c r="E54" s="86">
        <f>LAVORAZIONI!N306</f>
        <v/>
      </c>
      <c r="F54" s="86">
        <f>LAVORAZIONI!O306</f>
        <v/>
      </c>
      <c r="G54" s="87">
        <f>LAVORAZIONI!P306</f>
        <v/>
      </c>
      <c r="H54" s="88">
        <f>LAVORAZIONI!U306</f>
        <v/>
      </c>
      <c r="I54" s="87">
        <f>LAVORAZIONI!V306</f>
        <v/>
      </c>
    </row>
    <row r="55">
      <c r="A55" s="79">
        <f>LAVORAZIONI!G307</f>
        <v/>
      </c>
      <c r="B55" s="80">
        <f>LAVORAZIONI!A307</f>
        <v/>
      </c>
      <c r="C55" s="80">
        <f>LAVORAZIONI!K307</f>
        <v/>
      </c>
      <c r="D55" s="79">
        <f>LAVORAZIONI!M307</f>
        <v/>
      </c>
      <c r="E55" s="81">
        <f>LAVORAZIONI!N307</f>
        <v/>
      </c>
      <c r="F55" s="81">
        <f>LAVORAZIONI!O307</f>
        <v/>
      </c>
      <c r="G55" s="82">
        <f>LAVORAZIONI!P307</f>
        <v/>
      </c>
      <c r="H55" s="83">
        <f>LAVORAZIONI!U307</f>
        <v/>
      </c>
      <c r="I55" s="82">
        <f>LAVORAZIONI!V307</f>
        <v/>
      </c>
    </row>
    <row r="56">
      <c r="A56" s="79">
        <f>LAVORAZIONI!G308</f>
        <v/>
      </c>
      <c r="B56" s="80">
        <f>LAVORAZIONI!A308</f>
        <v/>
      </c>
      <c r="C56" s="80">
        <f>LAVORAZIONI!K308</f>
        <v/>
      </c>
      <c r="D56" s="79">
        <f>LAVORAZIONI!M308</f>
        <v/>
      </c>
      <c r="E56" s="81">
        <f>LAVORAZIONI!N308</f>
        <v/>
      </c>
      <c r="F56" s="81">
        <f>LAVORAZIONI!O308</f>
        <v/>
      </c>
      <c r="G56" s="82">
        <f>LAVORAZIONI!P308</f>
        <v/>
      </c>
      <c r="H56" s="83">
        <f>LAVORAZIONI!U308</f>
        <v/>
      </c>
      <c r="I56" s="82">
        <f>LAVORAZIONI!V308</f>
        <v/>
      </c>
    </row>
    <row r="57">
      <c r="A57" s="79">
        <f>LAVORAZIONI!G309</f>
        <v/>
      </c>
      <c r="B57" s="80">
        <f>LAVORAZIONI!A309</f>
        <v/>
      </c>
      <c r="C57" s="80">
        <f>LAVORAZIONI!K309</f>
        <v/>
      </c>
      <c r="D57" s="79">
        <f>LAVORAZIONI!M309</f>
        <v/>
      </c>
      <c r="E57" s="81">
        <f>LAVORAZIONI!N309</f>
        <v/>
      </c>
      <c r="F57" s="81">
        <f>LAVORAZIONI!O309</f>
        <v/>
      </c>
      <c r="G57" s="82">
        <f>LAVORAZIONI!P309</f>
        <v/>
      </c>
      <c r="H57" s="83">
        <f>LAVORAZIONI!U309</f>
        <v/>
      </c>
      <c r="I57" s="82">
        <f>LAVORAZIONI!V309</f>
        <v/>
      </c>
    </row>
    <row r="58">
      <c r="A58" s="79">
        <f>LAVORAZIONI!G310</f>
        <v/>
      </c>
      <c r="B58" s="80">
        <f>LAVORAZIONI!A310</f>
        <v/>
      </c>
      <c r="C58" s="80">
        <f>LAVORAZIONI!K310</f>
        <v/>
      </c>
      <c r="D58" s="79">
        <f>LAVORAZIONI!M310</f>
        <v/>
      </c>
      <c r="E58" s="81">
        <f>LAVORAZIONI!N310</f>
        <v/>
      </c>
      <c r="F58" s="81">
        <f>LAVORAZIONI!O310</f>
        <v/>
      </c>
      <c r="G58" s="82">
        <f>LAVORAZIONI!P310</f>
        <v/>
      </c>
      <c r="H58" s="83">
        <f>LAVORAZIONI!U310</f>
        <v/>
      </c>
      <c r="I58" s="82">
        <f>LAVORAZIONI!V310</f>
        <v/>
      </c>
    </row>
    <row r="59">
      <c r="A59" s="84">
        <f>LAVORAZIONI!G311</f>
        <v/>
      </c>
      <c r="B59" s="85">
        <f>LAVORAZIONI!A311</f>
        <v/>
      </c>
      <c r="C59" s="85">
        <f>LAVORAZIONI!K311</f>
        <v/>
      </c>
      <c r="D59" s="84">
        <f>LAVORAZIONI!M311</f>
        <v/>
      </c>
      <c r="E59" s="86">
        <f>LAVORAZIONI!N311</f>
        <v/>
      </c>
      <c r="F59" s="86">
        <f>LAVORAZIONI!O311</f>
        <v/>
      </c>
      <c r="G59" s="87">
        <f>LAVORAZIONI!P311</f>
        <v/>
      </c>
      <c r="H59" s="88">
        <f>LAVORAZIONI!U311</f>
        <v/>
      </c>
      <c r="I59" s="87">
        <f>LAVORAZIONI!V311</f>
        <v/>
      </c>
    </row>
    <row r="60">
      <c r="A60" s="84">
        <f>LAVORAZIONI!G312</f>
        <v/>
      </c>
      <c r="B60" s="85">
        <f>LAVORAZIONI!A312</f>
        <v/>
      </c>
      <c r="C60" s="85">
        <f>LAVORAZIONI!K312</f>
        <v/>
      </c>
      <c r="D60" s="84">
        <f>LAVORAZIONI!M312</f>
        <v/>
      </c>
      <c r="E60" s="86">
        <f>LAVORAZIONI!N312</f>
        <v/>
      </c>
      <c r="F60" s="86">
        <f>LAVORAZIONI!O312</f>
        <v/>
      </c>
      <c r="G60" s="87">
        <f>LAVORAZIONI!P312</f>
        <v/>
      </c>
      <c r="H60" s="88">
        <f>LAVORAZIONI!U312</f>
        <v/>
      </c>
      <c r="I60" s="87">
        <f>LAVORAZIONI!V312</f>
        <v/>
      </c>
    </row>
    <row r="61">
      <c r="A61" s="84">
        <f>LAVORAZIONI!G313</f>
        <v/>
      </c>
      <c r="B61" s="85">
        <f>LAVORAZIONI!A313</f>
        <v/>
      </c>
      <c r="C61" s="85">
        <f>LAVORAZIONI!K313</f>
        <v/>
      </c>
      <c r="D61" s="84">
        <f>LAVORAZIONI!M313</f>
        <v/>
      </c>
      <c r="E61" s="86">
        <f>LAVORAZIONI!N313</f>
        <v/>
      </c>
      <c r="F61" s="86">
        <f>LAVORAZIONI!O313</f>
        <v/>
      </c>
      <c r="G61" s="87">
        <f>LAVORAZIONI!P313</f>
        <v/>
      </c>
      <c r="H61" s="88">
        <f>LAVORAZIONI!U313</f>
        <v/>
      </c>
      <c r="I61" s="87">
        <f>LAVORAZIONI!V313</f>
        <v/>
      </c>
    </row>
    <row r="62">
      <c r="A62" s="84">
        <f>LAVORAZIONI!G314</f>
        <v/>
      </c>
      <c r="B62" s="85">
        <f>LAVORAZIONI!A314</f>
        <v/>
      </c>
      <c r="C62" s="85">
        <f>LAVORAZIONI!K314</f>
        <v/>
      </c>
      <c r="D62" s="84">
        <f>LAVORAZIONI!M314</f>
        <v/>
      </c>
      <c r="E62" s="86">
        <f>LAVORAZIONI!N314</f>
        <v/>
      </c>
      <c r="F62" s="86">
        <f>LAVORAZIONI!O314</f>
        <v/>
      </c>
      <c r="G62" s="87">
        <f>LAVORAZIONI!P314</f>
        <v/>
      </c>
      <c r="H62" s="88">
        <f>LAVORAZIONI!U314</f>
        <v/>
      </c>
      <c r="I62" s="87">
        <f>LAVORAZIONI!V314</f>
        <v/>
      </c>
    </row>
    <row r="63">
      <c r="A63" s="84">
        <f>LAVORAZIONI!G315</f>
        <v/>
      </c>
      <c r="B63" s="85">
        <f>LAVORAZIONI!A315</f>
        <v/>
      </c>
      <c r="C63" s="85">
        <f>LAVORAZIONI!K315</f>
        <v/>
      </c>
      <c r="D63" s="84">
        <f>LAVORAZIONI!M315</f>
        <v/>
      </c>
      <c r="E63" s="86">
        <f>LAVORAZIONI!N315</f>
        <v/>
      </c>
      <c r="F63" s="86">
        <f>LAVORAZIONI!O315</f>
        <v/>
      </c>
      <c r="G63" s="87">
        <f>LAVORAZIONI!P315</f>
        <v/>
      </c>
      <c r="H63" s="88">
        <f>LAVORAZIONI!U315</f>
        <v/>
      </c>
      <c r="I63" s="87">
        <f>LAVORAZIONI!V315</f>
        <v/>
      </c>
    </row>
    <row r="64">
      <c r="A64" s="84">
        <f>LAVORAZIONI!G316</f>
        <v/>
      </c>
      <c r="B64" s="85">
        <f>LAVORAZIONI!A316</f>
        <v/>
      </c>
      <c r="C64" s="85">
        <f>LAVORAZIONI!K316</f>
        <v/>
      </c>
      <c r="D64" s="84">
        <f>LAVORAZIONI!M316</f>
        <v/>
      </c>
      <c r="E64" s="86">
        <f>LAVORAZIONI!N316</f>
        <v/>
      </c>
      <c r="F64" s="86">
        <f>LAVORAZIONI!O316</f>
        <v/>
      </c>
      <c r="G64" s="87">
        <f>LAVORAZIONI!P316</f>
        <v/>
      </c>
      <c r="H64" s="88">
        <f>LAVORAZIONI!U316</f>
        <v/>
      </c>
      <c r="I64" s="87">
        <f>LAVORAZIONI!V316</f>
        <v/>
      </c>
    </row>
    <row r="65">
      <c r="A65" s="79">
        <f>LAVORAZIONI!G317</f>
        <v/>
      </c>
      <c r="B65" s="80">
        <f>LAVORAZIONI!A317</f>
        <v/>
      </c>
      <c r="C65" s="80">
        <f>LAVORAZIONI!K317</f>
        <v/>
      </c>
      <c r="D65" s="79">
        <f>LAVORAZIONI!M317</f>
        <v/>
      </c>
      <c r="E65" s="81">
        <f>LAVORAZIONI!N317</f>
        <v/>
      </c>
      <c r="F65" s="81">
        <f>LAVORAZIONI!O317</f>
        <v/>
      </c>
      <c r="G65" s="82">
        <f>LAVORAZIONI!P317</f>
        <v/>
      </c>
      <c r="H65" s="83">
        <f>LAVORAZIONI!U317</f>
        <v/>
      </c>
      <c r="I65" s="82">
        <f>LAVORAZIONI!V317</f>
        <v/>
      </c>
    </row>
    <row r="66">
      <c r="A66" s="79">
        <f>LAVORAZIONI!G318</f>
        <v/>
      </c>
      <c r="B66" s="80">
        <f>LAVORAZIONI!A318</f>
        <v/>
      </c>
      <c r="C66" s="80">
        <f>LAVORAZIONI!K318</f>
        <v/>
      </c>
      <c r="D66" s="79">
        <f>LAVORAZIONI!M318</f>
        <v/>
      </c>
      <c r="E66" s="81">
        <f>LAVORAZIONI!N318</f>
        <v/>
      </c>
      <c r="F66" s="81">
        <f>LAVORAZIONI!O318</f>
        <v/>
      </c>
      <c r="G66" s="82">
        <f>LAVORAZIONI!P318</f>
        <v/>
      </c>
      <c r="H66" s="83">
        <f>LAVORAZIONI!U318</f>
        <v/>
      </c>
      <c r="I66" s="82">
        <f>LAVORAZIONI!V318</f>
        <v/>
      </c>
    </row>
    <row r="67">
      <c r="A67" s="79">
        <f>LAVORAZIONI!G319</f>
        <v/>
      </c>
      <c r="B67" s="80">
        <f>LAVORAZIONI!A319</f>
        <v/>
      </c>
      <c r="C67" s="80">
        <f>LAVORAZIONI!K319</f>
        <v/>
      </c>
      <c r="D67" s="79">
        <f>LAVORAZIONI!M319</f>
        <v/>
      </c>
      <c r="E67" s="81">
        <f>LAVORAZIONI!N319</f>
        <v/>
      </c>
      <c r="F67" s="81">
        <f>LAVORAZIONI!O319</f>
        <v/>
      </c>
      <c r="G67" s="82">
        <f>LAVORAZIONI!P319</f>
        <v/>
      </c>
      <c r="H67" s="83">
        <f>LAVORAZIONI!U319</f>
        <v/>
      </c>
      <c r="I67" s="82">
        <f>LAVORAZIONI!V319</f>
        <v/>
      </c>
    </row>
    <row r="68">
      <c r="A68" s="79">
        <f>LAVORAZIONI!G320</f>
        <v/>
      </c>
      <c r="B68" s="80">
        <f>LAVORAZIONI!A320</f>
        <v/>
      </c>
      <c r="C68" s="80">
        <f>LAVORAZIONI!K320</f>
        <v/>
      </c>
      <c r="D68" s="79">
        <f>LAVORAZIONI!M320</f>
        <v/>
      </c>
      <c r="E68" s="81">
        <f>LAVORAZIONI!N320</f>
        <v/>
      </c>
      <c r="F68" s="81">
        <f>LAVORAZIONI!O320</f>
        <v/>
      </c>
      <c r="G68" s="82">
        <f>LAVORAZIONI!P320</f>
        <v/>
      </c>
      <c r="H68" s="83">
        <f>LAVORAZIONI!U320</f>
        <v/>
      </c>
      <c r="I68" s="82">
        <f>LAVORAZIONI!V320</f>
        <v/>
      </c>
    </row>
    <row r="69">
      <c r="A69" s="79">
        <f>LAVORAZIONI!G321</f>
        <v/>
      </c>
      <c r="B69" s="80">
        <f>LAVORAZIONI!A321</f>
        <v/>
      </c>
      <c r="C69" s="80">
        <f>LAVORAZIONI!K321</f>
        <v/>
      </c>
      <c r="D69" s="79">
        <f>LAVORAZIONI!M321</f>
        <v/>
      </c>
      <c r="E69" s="81">
        <f>LAVORAZIONI!N321</f>
        <v/>
      </c>
      <c r="F69" s="81">
        <f>LAVORAZIONI!O321</f>
        <v/>
      </c>
      <c r="G69" s="82">
        <f>LAVORAZIONI!P321</f>
        <v/>
      </c>
      <c r="H69" s="83">
        <f>LAVORAZIONI!U321</f>
        <v/>
      </c>
      <c r="I69" s="82">
        <f>LAVORAZIONI!V321</f>
        <v/>
      </c>
    </row>
    <row r="70">
      <c r="A70" s="84">
        <f>LAVORAZIONI!G322</f>
        <v/>
      </c>
      <c r="B70" s="85">
        <f>LAVORAZIONI!A322</f>
        <v/>
      </c>
      <c r="C70" s="85">
        <f>LAVORAZIONI!K322</f>
        <v/>
      </c>
      <c r="D70" s="84">
        <f>LAVORAZIONI!M322</f>
        <v/>
      </c>
      <c r="E70" s="86">
        <f>LAVORAZIONI!N322</f>
        <v/>
      </c>
      <c r="F70" s="86">
        <f>LAVORAZIONI!O322</f>
        <v/>
      </c>
      <c r="G70" s="87">
        <f>LAVORAZIONI!P322</f>
        <v/>
      </c>
      <c r="H70" s="88">
        <f>LAVORAZIONI!U322</f>
        <v/>
      </c>
      <c r="I70" s="87">
        <f>LAVORAZIONI!V322</f>
        <v/>
      </c>
    </row>
    <row r="71">
      <c r="A71" s="84">
        <f>LAVORAZIONI!G323</f>
        <v/>
      </c>
      <c r="B71" s="85">
        <f>LAVORAZIONI!A323</f>
        <v/>
      </c>
      <c r="C71" s="85">
        <f>LAVORAZIONI!K323</f>
        <v/>
      </c>
      <c r="D71" s="84">
        <f>LAVORAZIONI!M323</f>
        <v/>
      </c>
      <c r="E71" s="86">
        <f>LAVORAZIONI!N323</f>
        <v/>
      </c>
      <c r="F71" s="86">
        <f>LAVORAZIONI!O323</f>
        <v/>
      </c>
      <c r="G71" s="87">
        <f>LAVORAZIONI!P323</f>
        <v/>
      </c>
      <c r="H71" s="88">
        <f>LAVORAZIONI!U323</f>
        <v/>
      </c>
      <c r="I71" s="87">
        <f>LAVORAZIONI!V323</f>
        <v/>
      </c>
    </row>
    <row r="72">
      <c r="A72" s="84">
        <f>LAVORAZIONI!G324</f>
        <v/>
      </c>
      <c r="B72" s="85">
        <f>LAVORAZIONI!A324</f>
        <v/>
      </c>
      <c r="C72" s="85">
        <f>LAVORAZIONI!K324</f>
        <v/>
      </c>
      <c r="D72" s="84">
        <f>LAVORAZIONI!M324</f>
        <v/>
      </c>
      <c r="E72" s="86">
        <f>LAVORAZIONI!N324</f>
        <v/>
      </c>
      <c r="F72" s="86">
        <f>LAVORAZIONI!O324</f>
        <v/>
      </c>
      <c r="G72" s="87">
        <f>LAVORAZIONI!P324</f>
        <v/>
      </c>
      <c r="H72" s="88">
        <f>LAVORAZIONI!U324</f>
        <v/>
      </c>
      <c r="I72" s="87">
        <f>LAVORAZIONI!V324</f>
        <v/>
      </c>
    </row>
    <row r="73">
      <c r="A73" s="84">
        <f>LAVORAZIONI!G325</f>
        <v/>
      </c>
      <c r="B73" s="85">
        <f>LAVORAZIONI!A325</f>
        <v/>
      </c>
      <c r="C73" s="85">
        <f>LAVORAZIONI!K325</f>
        <v/>
      </c>
      <c r="D73" s="84">
        <f>LAVORAZIONI!M325</f>
        <v/>
      </c>
      <c r="E73" s="86">
        <f>LAVORAZIONI!N325</f>
        <v/>
      </c>
      <c r="F73" s="86">
        <f>LAVORAZIONI!O325</f>
        <v/>
      </c>
      <c r="G73" s="87">
        <f>LAVORAZIONI!P325</f>
        <v/>
      </c>
      <c r="H73" s="88">
        <f>LAVORAZIONI!U325</f>
        <v/>
      </c>
      <c r="I73" s="87">
        <f>LAVORAZIONI!V325</f>
        <v/>
      </c>
    </row>
    <row r="74">
      <c r="A74" s="84">
        <f>LAVORAZIONI!G326</f>
        <v/>
      </c>
      <c r="B74" s="85">
        <f>LAVORAZIONI!A326</f>
        <v/>
      </c>
      <c r="C74" s="85">
        <f>LAVORAZIONI!K326</f>
        <v/>
      </c>
      <c r="D74" s="84">
        <f>LAVORAZIONI!M326</f>
        <v/>
      </c>
      <c r="E74" s="86">
        <f>LAVORAZIONI!N326</f>
        <v/>
      </c>
      <c r="F74" s="86">
        <f>LAVORAZIONI!O326</f>
        <v/>
      </c>
      <c r="G74" s="87">
        <f>LAVORAZIONI!P326</f>
        <v/>
      </c>
      <c r="H74" s="88">
        <f>LAVORAZIONI!U326</f>
        <v/>
      </c>
      <c r="I74" s="87">
        <f>LAVORAZIONI!V326</f>
        <v/>
      </c>
    </row>
    <row r="75">
      <c r="A75" s="84">
        <f>LAVORAZIONI!G327</f>
        <v/>
      </c>
      <c r="B75" s="85">
        <f>LAVORAZIONI!A327</f>
        <v/>
      </c>
      <c r="C75" s="85">
        <f>LAVORAZIONI!K327</f>
        <v/>
      </c>
      <c r="D75" s="84">
        <f>LAVORAZIONI!M327</f>
        <v/>
      </c>
      <c r="E75" s="86">
        <f>LAVORAZIONI!N327</f>
        <v/>
      </c>
      <c r="F75" s="86">
        <f>LAVORAZIONI!O327</f>
        <v/>
      </c>
      <c r="G75" s="87">
        <f>LAVORAZIONI!P327</f>
        <v/>
      </c>
      <c r="H75" s="88">
        <f>LAVORAZIONI!U327</f>
        <v/>
      </c>
      <c r="I75" s="87">
        <f>LAVORAZIONI!V327</f>
        <v/>
      </c>
    </row>
    <row r="76">
      <c r="A76" s="84">
        <f>LAVORAZIONI!G328</f>
        <v/>
      </c>
      <c r="B76" s="85">
        <f>LAVORAZIONI!A328</f>
        <v/>
      </c>
      <c r="C76" s="85">
        <f>LAVORAZIONI!K328</f>
        <v/>
      </c>
      <c r="D76" s="84">
        <f>LAVORAZIONI!M328</f>
        <v/>
      </c>
      <c r="E76" s="86">
        <f>LAVORAZIONI!N328</f>
        <v/>
      </c>
      <c r="F76" s="86">
        <f>LAVORAZIONI!O328</f>
        <v/>
      </c>
      <c r="G76" s="87">
        <f>LAVORAZIONI!P328</f>
        <v/>
      </c>
      <c r="H76" s="88">
        <f>LAVORAZIONI!U328</f>
        <v/>
      </c>
      <c r="I76" s="87">
        <f>LAVORAZIONI!V328</f>
        <v/>
      </c>
    </row>
    <row r="77">
      <c r="A77" s="84">
        <f>LAVORAZIONI!G329</f>
        <v/>
      </c>
      <c r="B77" s="85">
        <f>LAVORAZIONI!A329</f>
        <v/>
      </c>
      <c r="C77" s="85">
        <f>LAVORAZIONI!K329</f>
        <v/>
      </c>
      <c r="D77" s="84">
        <f>LAVORAZIONI!M329</f>
        <v/>
      </c>
      <c r="E77" s="86">
        <f>LAVORAZIONI!N329</f>
        <v/>
      </c>
      <c r="F77" s="86">
        <f>LAVORAZIONI!O329</f>
        <v/>
      </c>
      <c r="G77" s="87">
        <f>LAVORAZIONI!P329</f>
        <v/>
      </c>
      <c r="H77" s="88">
        <f>LAVORAZIONI!U329</f>
        <v/>
      </c>
      <c r="I77" s="87">
        <f>LAVORAZIONI!V329</f>
        <v/>
      </c>
    </row>
    <row r="78">
      <c r="A78" s="84">
        <f>LAVORAZIONI!G330</f>
        <v/>
      </c>
      <c r="B78" s="85">
        <f>LAVORAZIONI!A330</f>
        <v/>
      </c>
      <c r="C78" s="85">
        <f>LAVORAZIONI!K330</f>
        <v/>
      </c>
      <c r="D78" s="84">
        <f>LAVORAZIONI!M330</f>
        <v/>
      </c>
      <c r="E78" s="86">
        <f>LAVORAZIONI!N330</f>
        <v/>
      </c>
      <c r="F78" s="86">
        <f>LAVORAZIONI!O330</f>
        <v/>
      </c>
      <c r="G78" s="87">
        <f>LAVORAZIONI!P330</f>
        <v/>
      </c>
      <c r="H78" s="88">
        <f>LAVORAZIONI!U330</f>
        <v/>
      </c>
      <c r="I78" s="87">
        <f>LAVORAZIONI!V330</f>
        <v/>
      </c>
    </row>
    <row r="79">
      <c r="A79" s="84">
        <f>LAVORAZIONI!G331</f>
        <v/>
      </c>
      <c r="B79" s="85">
        <f>LAVORAZIONI!A331</f>
        <v/>
      </c>
      <c r="C79" s="85">
        <f>LAVORAZIONI!K331</f>
        <v/>
      </c>
      <c r="D79" s="84">
        <f>LAVORAZIONI!M331</f>
        <v/>
      </c>
      <c r="E79" s="86">
        <f>LAVORAZIONI!N331</f>
        <v/>
      </c>
      <c r="F79" s="86">
        <f>LAVORAZIONI!O331</f>
        <v/>
      </c>
      <c r="G79" s="87">
        <f>LAVORAZIONI!P331</f>
        <v/>
      </c>
      <c r="H79" s="88">
        <f>LAVORAZIONI!U331</f>
        <v/>
      </c>
      <c r="I79" s="87">
        <f>LAVORAZIONI!V331</f>
        <v/>
      </c>
    </row>
    <row r="80">
      <c r="A80" s="84">
        <f>LAVORAZIONI!G332</f>
        <v/>
      </c>
      <c r="B80" s="85">
        <f>LAVORAZIONI!A332</f>
        <v/>
      </c>
      <c r="C80" s="85">
        <f>LAVORAZIONI!K332</f>
        <v/>
      </c>
      <c r="D80" s="84">
        <f>LAVORAZIONI!M332</f>
        <v/>
      </c>
      <c r="E80" s="86">
        <f>LAVORAZIONI!N332</f>
        <v/>
      </c>
      <c r="F80" s="86">
        <f>LAVORAZIONI!O332</f>
        <v/>
      </c>
      <c r="G80" s="87">
        <f>LAVORAZIONI!P332</f>
        <v/>
      </c>
      <c r="H80" s="88">
        <f>LAVORAZIONI!U332</f>
        <v/>
      </c>
      <c r="I80" s="87">
        <f>LAVORAZIONI!V332</f>
        <v/>
      </c>
    </row>
    <row r="81">
      <c r="A81" s="84">
        <f>LAVORAZIONI!G333</f>
        <v/>
      </c>
      <c r="B81" s="85">
        <f>LAVORAZIONI!A333</f>
        <v/>
      </c>
      <c r="C81" s="85">
        <f>LAVORAZIONI!K333</f>
        <v/>
      </c>
      <c r="D81" s="84">
        <f>LAVORAZIONI!M333</f>
        <v/>
      </c>
      <c r="E81" s="86">
        <f>LAVORAZIONI!N333</f>
        <v/>
      </c>
      <c r="F81" s="86">
        <f>LAVORAZIONI!O333</f>
        <v/>
      </c>
      <c r="G81" s="87">
        <f>LAVORAZIONI!P333</f>
        <v/>
      </c>
      <c r="H81" s="88">
        <f>LAVORAZIONI!U333</f>
        <v/>
      </c>
      <c r="I81" s="87">
        <f>LAVORAZIONI!V333</f>
        <v/>
      </c>
    </row>
    <row r="82">
      <c r="A82" s="84">
        <f>LAVORAZIONI!G334</f>
        <v/>
      </c>
      <c r="B82" s="85">
        <f>LAVORAZIONI!A334</f>
        <v/>
      </c>
      <c r="C82" s="85">
        <f>LAVORAZIONI!K334</f>
        <v/>
      </c>
      <c r="D82" s="84">
        <f>LAVORAZIONI!M334</f>
        <v/>
      </c>
      <c r="E82" s="86">
        <f>LAVORAZIONI!N334</f>
        <v/>
      </c>
      <c r="F82" s="86">
        <f>LAVORAZIONI!O334</f>
        <v/>
      </c>
      <c r="G82" s="87">
        <f>LAVORAZIONI!P334</f>
        <v/>
      </c>
      <c r="H82" s="88">
        <f>LAVORAZIONI!U334</f>
        <v/>
      </c>
      <c r="I82" s="87">
        <f>LAVORAZIONI!V334</f>
        <v/>
      </c>
    </row>
    <row r="83">
      <c r="A83" s="84">
        <f>LAVORAZIONI!G335</f>
        <v/>
      </c>
      <c r="B83" s="85">
        <f>LAVORAZIONI!A335</f>
        <v/>
      </c>
      <c r="C83" s="85">
        <f>LAVORAZIONI!K335</f>
        <v/>
      </c>
      <c r="D83" s="84">
        <f>LAVORAZIONI!M335</f>
        <v/>
      </c>
      <c r="E83" s="86">
        <f>LAVORAZIONI!N335</f>
        <v/>
      </c>
      <c r="F83" s="86">
        <f>LAVORAZIONI!O335</f>
        <v/>
      </c>
      <c r="G83" s="87">
        <f>LAVORAZIONI!P335</f>
        <v/>
      </c>
      <c r="H83" s="88">
        <f>LAVORAZIONI!U335</f>
        <v/>
      </c>
      <c r="I83" s="87">
        <f>LAVORAZIONI!V335</f>
        <v/>
      </c>
    </row>
    <row r="84">
      <c r="A84" s="84">
        <f>LAVORAZIONI!G336</f>
        <v/>
      </c>
      <c r="B84" s="85">
        <f>LAVORAZIONI!A336</f>
        <v/>
      </c>
      <c r="C84" s="85">
        <f>LAVORAZIONI!K336</f>
        <v/>
      </c>
      <c r="D84" s="84">
        <f>LAVORAZIONI!M336</f>
        <v/>
      </c>
      <c r="E84" s="86">
        <f>LAVORAZIONI!N336</f>
        <v/>
      </c>
      <c r="F84" s="86">
        <f>LAVORAZIONI!O336</f>
        <v/>
      </c>
      <c r="G84" s="87">
        <f>LAVORAZIONI!P336</f>
        <v/>
      </c>
      <c r="H84" s="88">
        <f>LAVORAZIONI!U336</f>
        <v/>
      </c>
      <c r="I84" s="87">
        <f>LAVORAZIONI!V336</f>
        <v/>
      </c>
    </row>
    <row r="85">
      <c r="A85" s="84">
        <f>LAVORAZIONI!G337</f>
        <v/>
      </c>
      <c r="B85" s="85">
        <f>LAVORAZIONI!A337</f>
        <v/>
      </c>
      <c r="C85" s="85">
        <f>LAVORAZIONI!K337</f>
        <v/>
      </c>
      <c r="D85" s="84">
        <f>LAVORAZIONI!M337</f>
        <v/>
      </c>
      <c r="E85" s="86">
        <f>LAVORAZIONI!N337</f>
        <v/>
      </c>
      <c r="F85" s="86">
        <f>LAVORAZIONI!O337</f>
        <v/>
      </c>
      <c r="G85" s="87">
        <f>LAVORAZIONI!P337</f>
        <v/>
      </c>
      <c r="H85" s="88">
        <f>LAVORAZIONI!U337</f>
        <v/>
      </c>
      <c r="I85" s="87">
        <f>LAVORAZIONI!V337</f>
        <v/>
      </c>
    </row>
    <row r="86">
      <c r="A86" s="84">
        <f>LAVORAZIONI!G338</f>
        <v/>
      </c>
      <c r="B86" s="85">
        <f>LAVORAZIONI!A338</f>
        <v/>
      </c>
      <c r="C86" s="85">
        <f>LAVORAZIONI!K338</f>
        <v/>
      </c>
      <c r="D86" s="84">
        <f>LAVORAZIONI!M338</f>
        <v/>
      </c>
      <c r="E86" s="86">
        <f>LAVORAZIONI!N338</f>
        <v/>
      </c>
      <c r="F86" s="86">
        <f>LAVORAZIONI!O338</f>
        <v/>
      </c>
      <c r="G86" s="87">
        <f>LAVORAZIONI!P338</f>
        <v/>
      </c>
      <c r="H86" s="88">
        <f>LAVORAZIONI!U338</f>
        <v/>
      </c>
      <c r="I86" s="87">
        <f>LAVORAZIONI!V338</f>
        <v/>
      </c>
    </row>
    <row r="87">
      <c r="A87" s="84">
        <f>LAVORAZIONI!G339</f>
        <v/>
      </c>
      <c r="B87" s="85">
        <f>LAVORAZIONI!A339</f>
        <v/>
      </c>
      <c r="C87" s="85">
        <f>LAVORAZIONI!K339</f>
        <v/>
      </c>
      <c r="D87" s="84">
        <f>LAVORAZIONI!M339</f>
        <v/>
      </c>
      <c r="E87" s="86">
        <f>LAVORAZIONI!N339</f>
        <v/>
      </c>
      <c r="F87" s="86">
        <f>LAVORAZIONI!O339</f>
        <v/>
      </c>
      <c r="G87" s="87">
        <f>LAVORAZIONI!P339</f>
        <v/>
      </c>
      <c r="H87" s="88">
        <f>LAVORAZIONI!U339</f>
        <v/>
      </c>
      <c r="I87" s="87">
        <f>LAVORAZIONI!V339</f>
        <v/>
      </c>
    </row>
    <row r="88">
      <c r="A88" s="84">
        <f>LAVORAZIONI!G340</f>
        <v/>
      </c>
      <c r="B88" s="85">
        <f>LAVORAZIONI!A340</f>
        <v/>
      </c>
      <c r="C88" s="85">
        <f>LAVORAZIONI!K340</f>
        <v/>
      </c>
      <c r="D88" s="84">
        <f>LAVORAZIONI!M340</f>
        <v/>
      </c>
      <c r="E88" s="86">
        <f>LAVORAZIONI!N340</f>
        <v/>
      </c>
      <c r="F88" s="86">
        <f>LAVORAZIONI!O340</f>
        <v/>
      </c>
      <c r="G88" s="87">
        <f>LAVORAZIONI!P340</f>
        <v/>
      </c>
      <c r="H88" s="88">
        <f>LAVORAZIONI!U340</f>
        <v/>
      </c>
      <c r="I88" s="87">
        <f>LAVORAZIONI!V340</f>
        <v/>
      </c>
    </row>
    <row r="89">
      <c r="A89" s="84">
        <f>LAVORAZIONI!G341</f>
        <v/>
      </c>
      <c r="B89" s="85">
        <f>LAVORAZIONI!A341</f>
        <v/>
      </c>
      <c r="C89" s="85">
        <f>LAVORAZIONI!K341</f>
        <v/>
      </c>
      <c r="D89" s="84">
        <f>LAVORAZIONI!M341</f>
        <v/>
      </c>
      <c r="E89" s="86">
        <f>LAVORAZIONI!N341</f>
        <v/>
      </c>
      <c r="F89" s="86">
        <f>LAVORAZIONI!O341</f>
        <v/>
      </c>
      <c r="G89" s="87">
        <f>LAVORAZIONI!P341</f>
        <v/>
      </c>
      <c r="H89" s="88">
        <f>LAVORAZIONI!U341</f>
        <v/>
      </c>
      <c r="I89" s="87">
        <f>LAVORAZIONI!V341</f>
        <v/>
      </c>
    </row>
    <row r="90">
      <c r="A90" s="84">
        <f>LAVORAZIONI!G342</f>
        <v/>
      </c>
      <c r="B90" s="85">
        <f>LAVORAZIONI!A342</f>
        <v/>
      </c>
      <c r="C90" s="85">
        <f>LAVORAZIONI!K342</f>
        <v/>
      </c>
      <c r="D90" s="84">
        <f>LAVORAZIONI!M342</f>
        <v/>
      </c>
      <c r="E90" s="86">
        <f>LAVORAZIONI!N342</f>
        <v/>
      </c>
      <c r="F90" s="86">
        <f>LAVORAZIONI!O342</f>
        <v/>
      </c>
      <c r="G90" s="87">
        <f>LAVORAZIONI!P342</f>
        <v/>
      </c>
      <c r="H90" s="88">
        <f>LAVORAZIONI!U342</f>
        <v/>
      </c>
      <c r="I90" s="87">
        <f>LAVORAZIONI!V342</f>
        <v/>
      </c>
    </row>
    <row r="91">
      <c r="A91" s="84">
        <f>LAVORAZIONI!G343</f>
        <v/>
      </c>
      <c r="B91" s="85">
        <f>LAVORAZIONI!A343</f>
        <v/>
      </c>
      <c r="C91" s="85">
        <f>LAVORAZIONI!K343</f>
        <v/>
      </c>
      <c r="D91" s="84">
        <f>LAVORAZIONI!M343</f>
        <v/>
      </c>
      <c r="E91" s="86">
        <f>LAVORAZIONI!N343</f>
        <v/>
      </c>
      <c r="F91" s="86">
        <f>LAVORAZIONI!O343</f>
        <v/>
      </c>
      <c r="G91" s="87">
        <f>LAVORAZIONI!P343</f>
        <v/>
      </c>
      <c r="H91" s="88">
        <f>LAVORAZIONI!U343</f>
        <v/>
      </c>
      <c r="I91" s="87">
        <f>LAVORAZIONI!V343</f>
        <v/>
      </c>
    </row>
    <row r="92">
      <c r="A92" s="84">
        <f>LAVORAZIONI!G344</f>
        <v/>
      </c>
      <c r="B92" s="85">
        <f>LAVORAZIONI!A344</f>
        <v/>
      </c>
      <c r="C92" s="85">
        <f>LAVORAZIONI!K344</f>
        <v/>
      </c>
      <c r="D92" s="84">
        <f>LAVORAZIONI!M344</f>
        <v/>
      </c>
      <c r="E92" s="86">
        <f>LAVORAZIONI!N344</f>
        <v/>
      </c>
      <c r="F92" s="86">
        <f>LAVORAZIONI!O344</f>
        <v/>
      </c>
      <c r="G92" s="87">
        <f>LAVORAZIONI!P344</f>
        <v/>
      </c>
      <c r="H92" s="88">
        <f>LAVORAZIONI!U344</f>
        <v/>
      </c>
      <c r="I92" s="87">
        <f>LAVORAZIONI!V344</f>
        <v/>
      </c>
    </row>
    <row r="93">
      <c r="A93" s="84">
        <f>LAVORAZIONI!G345</f>
        <v/>
      </c>
      <c r="B93" s="85">
        <f>LAVORAZIONI!A345</f>
        <v/>
      </c>
      <c r="C93" s="85">
        <f>LAVORAZIONI!K345</f>
        <v/>
      </c>
      <c r="D93" s="84">
        <f>LAVORAZIONI!M345</f>
        <v/>
      </c>
      <c r="E93" s="86">
        <f>LAVORAZIONI!N345</f>
        <v/>
      </c>
      <c r="F93" s="86">
        <f>LAVORAZIONI!O345</f>
        <v/>
      </c>
      <c r="G93" s="87">
        <f>LAVORAZIONI!P345</f>
        <v/>
      </c>
      <c r="H93" s="88">
        <f>LAVORAZIONI!U345</f>
        <v/>
      </c>
      <c r="I93" s="87">
        <f>LAVORAZIONI!V345</f>
        <v/>
      </c>
    </row>
    <row r="94">
      <c r="A94" s="84">
        <f>LAVORAZIONI!G346</f>
        <v/>
      </c>
      <c r="B94" s="85">
        <f>LAVORAZIONI!A346</f>
        <v/>
      </c>
      <c r="C94" s="85">
        <f>LAVORAZIONI!K346</f>
        <v/>
      </c>
      <c r="D94" s="84">
        <f>LAVORAZIONI!M346</f>
        <v/>
      </c>
      <c r="E94" s="86">
        <f>LAVORAZIONI!N346</f>
        <v/>
      </c>
      <c r="F94" s="86">
        <f>LAVORAZIONI!O346</f>
        <v/>
      </c>
      <c r="G94" s="87">
        <f>LAVORAZIONI!P346</f>
        <v/>
      </c>
      <c r="H94" s="88">
        <f>LAVORAZIONI!U346</f>
        <v/>
      </c>
      <c r="I94" s="87">
        <f>LAVORAZIONI!V346</f>
        <v/>
      </c>
    </row>
    <row r="95">
      <c r="A95" s="84">
        <f>LAVORAZIONI!G347</f>
        <v/>
      </c>
      <c r="B95" s="85">
        <f>LAVORAZIONI!A347</f>
        <v/>
      </c>
      <c r="C95" s="85">
        <f>LAVORAZIONI!K347</f>
        <v/>
      </c>
      <c r="D95" s="84">
        <f>LAVORAZIONI!M347</f>
        <v/>
      </c>
      <c r="E95" s="86">
        <f>LAVORAZIONI!N347</f>
        <v/>
      </c>
      <c r="F95" s="86">
        <f>LAVORAZIONI!O347</f>
        <v/>
      </c>
      <c r="G95" s="87">
        <f>LAVORAZIONI!P347</f>
        <v/>
      </c>
      <c r="H95" s="88">
        <f>LAVORAZIONI!U347</f>
        <v/>
      </c>
      <c r="I95" s="87">
        <f>LAVORAZIONI!V347</f>
        <v/>
      </c>
    </row>
    <row r="96">
      <c r="A96" s="84">
        <f>LAVORAZIONI!G348</f>
        <v/>
      </c>
      <c r="B96" s="85">
        <f>LAVORAZIONI!A348</f>
        <v/>
      </c>
      <c r="C96" s="85">
        <f>LAVORAZIONI!K348</f>
        <v/>
      </c>
      <c r="D96" s="84">
        <f>LAVORAZIONI!M348</f>
        <v/>
      </c>
      <c r="E96" s="86">
        <f>LAVORAZIONI!N348</f>
        <v/>
      </c>
      <c r="F96" s="86">
        <f>LAVORAZIONI!O348</f>
        <v/>
      </c>
      <c r="G96" s="87">
        <f>LAVORAZIONI!P348</f>
        <v/>
      </c>
      <c r="H96" s="88">
        <f>LAVORAZIONI!U348</f>
        <v/>
      </c>
      <c r="I96" s="87">
        <f>LAVORAZIONI!V348</f>
        <v/>
      </c>
    </row>
    <row r="97">
      <c r="A97" s="79">
        <f>LAVORAZIONI!G349</f>
        <v/>
      </c>
      <c r="B97" s="80">
        <f>LAVORAZIONI!A349</f>
        <v/>
      </c>
      <c r="C97" s="80">
        <f>LAVORAZIONI!K349</f>
        <v/>
      </c>
      <c r="D97" s="79">
        <f>LAVORAZIONI!M349</f>
        <v/>
      </c>
      <c r="E97" s="81">
        <f>LAVORAZIONI!N349</f>
        <v/>
      </c>
      <c r="F97" s="81">
        <f>LAVORAZIONI!O349</f>
        <v/>
      </c>
      <c r="G97" s="82">
        <f>LAVORAZIONI!P349</f>
        <v/>
      </c>
      <c r="H97" s="83">
        <f>LAVORAZIONI!U349</f>
        <v/>
      </c>
      <c r="I97" s="82">
        <f>LAVORAZIONI!V349</f>
        <v/>
      </c>
    </row>
    <row r="98">
      <c r="A98" s="84">
        <f>LAVORAZIONI!G350</f>
        <v/>
      </c>
      <c r="B98" s="85">
        <f>LAVORAZIONI!A350</f>
        <v/>
      </c>
      <c r="C98" s="85">
        <f>LAVORAZIONI!K350</f>
        <v/>
      </c>
      <c r="D98" s="84">
        <f>LAVORAZIONI!M350</f>
        <v/>
      </c>
      <c r="E98" s="86">
        <f>LAVORAZIONI!N350</f>
        <v/>
      </c>
      <c r="F98" s="86">
        <f>LAVORAZIONI!O350</f>
        <v/>
      </c>
      <c r="G98" s="87">
        <f>LAVORAZIONI!P350</f>
        <v/>
      </c>
      <c r="H98" s="88">
        <f>LAVORAZIONI!U350</f>
        <v/>
      </c>
      <c r="I98" s="87">
        <f>LAVORAZIONI!V350</f>
        <v/>
      </c>
    </row>
    <row r="99">
      <c r="A99" s="84">
        <f>LAVORAZIONI!G351</f>
        <v/>
      </c>
      <c r="B99" s="85">
        <f>LAVORAZIONI!A351</f>
        <v/>
      </c>
      <c r="C99" s="85">
        <f>LAVORAZIONI!K351</f>
        <v/>
      </c>
      <c r="D99" s="84">
        <f>LAVORAZIONI!M351</f>
        <v/>
      </c>
      <c r="E99" s="86">
        <f>LAVORAZIONI!N351</f>
        <v/>
      </c>
      <c r="F99" s="86">
        <f>LAVORAZIONI!O351</f>
        <v/>
      </c>
      <c r="G99" s="87">
        <f>LAVORAZIONI!P351</f>
        <v/>
      </c>
      <c r="H99" s="88">
        <f>LAVORAZIONI!U351</f>
        <v/>
      </c>
      <c r="I99" s="87">
        <f>LAVORAZIONI!V351</f>
        <v/>
      </c>
    </row>
    <row r="100">
      <c r="A100" s="84">
        <f>LAVORAZIONI!G352</f>
        <v/>
      </c>
      <c r="B100" s="85">
        <f>LAVORAZIONI!A352</f>
        <v/>
      </c>
      <c r="C100" s="85">
        <f>LAVORAZIONI!K352</f>
        <v/>
      </c>
      <c r="D100" s="84">
        <f>LAVORAZIONI!M352</f>
        <v/>
      </c>
      <c r="E100" s="86">
        <f>LAVORAZIONI!N352</f>
        <v/>
      </c>
      <c r="F100" s="86">
        <f>LAVORAZIONI!O352</f>
        <v/>
      </c>
      <c r="G100" s="87">
        <f>LAVORAZIONI!P352</f>
        <v/>
      </c>
      <c r="H100" s="88">
        <f>LAVORAZIONI!U352</f>
        <v/>
      </c>
      <c r="I100" s="87">
        <f>LAVORAZIONI!V352</f>
        <v/>
      </c>
    </row>
    <row r="101">
      <c r="A101" s="84">
        <f>LAVORAZIONI!G353</f>
        <v/>
      </c>
      <c r="B101" s="85">
        <f>LAVORAZIONI!A353</f>
        <v/>
      </c>
      <c r="C101" s="85">
        <f>LAVORAZIONI!K353</f>
        <v/>
      </c>
      <c r="D101" s="84">
        <f>LAVORAZIONI!M353</f>
        <v/>
      </c>
      <c r="E101" s="86">
        <f>LAVORAZIONI!N353</f>
        <v/>
      </c>
      <c r="F101" s="86">
        <f>LAVORAZIONI!O353</f>
        <v/>
      </c>
      <c r="G101" s="87">
        <f>LAVORAZIONI!P353</f>
        <v/>
      </c>
      <c r="H101" s="88">
        <f>LAVORAZIONI!U353</f>
        <v/>
      </c>
      <c r="I101" s="87">
        <f>LAVORAZIONI!V353</f>
        <v/>
      </c>
    </row>
    <row r="102">
      <c r="A102" s="84">
        <f>LAVORAZIONI!G354</f>
        <v/>
      </c>
      <c r="B102" s="85">
        <f>LAVORAZIONI!A354</f>
        <v/>
      </c>
      <c r="C102" s="85">
        <f>LAVORAZIONI!K354</f>
        <v/>
      </c>
      <c r="D102" s="84">
        <f>LAVORAZIONI!M354</f>
        <v/>
      </c>
      <c r="E102" s="86">
        <f>LAVORAZIONI!N354</f>
        <v/>
      </c>
      <c r="F102" s="86">
        <f>LAVORAZIONI!O354</f>
        <v/>
      </c>
      <c r="G102" s="87">
        <f>LAVORAZIONI!P354</f>
        <v/>
      </c>
      <c r="H102" s="88">
        <f>LAVORAZIONI!U354</f>
        <v/>
      </c>
      <c r="I102" s="87">
        <f>LAVORAZIONI!V354</f>
        <v/>
      </c>
    </row>
    <row r="103">
      <c r="A103" s="84">
        <f>LAVORAZIONI!G355</f>
        <v/>
      </c>
      <c r="B103" s="85">
        <f>LAVORAZIONI!A355</f>
        <v/>
      </c>
      <c r="C103" s="85">
        <f>LAVORAZIONI!K355</f>
        <v/>
      </c>
      <c r="D103" s="84">
        <f>LAVORAZIONI!M355</f>
        <v/>
      </c>
      <c r="E103" s="86">
        <f>LAVORAZIONI!N355</f>
        <v/>
      </c>
      <c r="F103" s="86">
        <f>LAVORAZIONI!O355</f>
        <v/>
      </c>
      <c r="G103" s="87">
        <f>LAVORAZIONI!P355</f>
        <v/>
      </c>
      <c r="H103" s="88">
        <f>LAVORAZIONI!U355</f>
        <v/>
      </c>
      <c r="I103" s="87">
        <f>LAVORAZIONI!V355</f>
        <v/>
      </c>
    </row>
    <row r="104">
      <c r="A104" s="84">
        <f>LAVORAZIONI!G356</f>
        <v/>
      </c>
      <c r="B104" s="85">
        <f>LAVORAZIONI!A356</f>
        <v/>
      </c>
      <c r="C104" s="85">
        <f>LAVORAZIONI!K356</f>
        <v/>
      </c>
      <c r="D104" s="84">
        <f>LAVORAZIONI!M356</f>
        <v/>
      </c>
      <c r="E104" s="86">
        <f>LAVORAZIONI!N356</f>
        <v/>
      </c>
      <c r="F104" s="86">
        <f>LAVORAZIONI!O356</f>
        <v/>
      </c>
      <c r="G104" s="87">
        <f>LAVORAZIONI!P356</f>
        <v/>
      </c>
      <c r="H104" s="88">
        <f>LAVORAZIONI!U356</f>
        <v/>
      </c>
      <c r="I104" s="87">
        <f>LAVORAZIONI!V356</f>
        <v/>
      </c>
    </row>
    <row r="105">
      <c r="A105" s="84">
        <f>LAVORAZIONI!G357</f>
        <v/>
      </c>
      <c r="B105" s="85">
        <f>LAVORAZIONI!A357</f>
        <v/>
      </c>
      <c r="C105" s="85">
        <f>LAVORAZIONI!K357</f>
        <v/>
      </c>
      <c r="D105" s="84">
        <f>LAVORAZIONI!M357</f>
        <v/>
      </c>
      <c r="E105" s="86">
        <f>LAVORAZIONI!N357</f>
        <v/>
      </c>
      <c r="F105" s="86">
        <f>LAVORAZIONI!O357</f>
        <v/>
      </c>
      <c r="G105" s="87">
        <f>LAVORAZIONI!P357</f>
        <v/>
      </c>
      <c r="H105" s="88">
        <f>LAVORAZIONI!U357</f>
        <v/>
      </c>
      <c r="I105" s="87">
        <f>LAVORAZIONI!V357</f>
        <v/>
      </c>
    </row>
    <row r="106">
      <c r="A106" s="84">
        <f>LAVORAZIONI!G358</f>
        <v/>
      </c>
      <c r="B106" s="85">
        <f>LAVORAZIONI!A358</f>
        <v/>
      </c>
      <c r="C106" s="85">
        <f>LAVORAZIONI!K358</f>
        <v/>
      </c>
      <c r="D106" s="84">
        <f>LAVORAZIONI!M358</f>
        <v/>
      </c>
      <c r="E106" s="86">
        <f>LAVORAZIONI!N358</f>
        <v/>
      </c>
      <c r="F106" s="86">
        <f>LAVORAZIONI!O358</f>
        <v/>
      </c>
      <c r="G106" s="87">
        <f>LAVORAZIONI!P358</f>
        <v/>
      </c>
      <c r="H106" s="88">
        <f>LAVORAZIONI!U358</f>
        <v/>
      </c>
      <c r="I106" s="87">
        <f>LAVORAZIONI!V358</f>
        <v/>
      </c>
    </row>
    <row r="107">
      <c r="A107" s="84">
        <f>LAVORAZIONI!G359</f>
        <v/>
      </c>
      <c r="B107" s="85">
        <f>LAVORAZIONI!A359</f>
        <v/>
      </c>
      <c r="C107" s="85">
        <f>LAVORAZIONI!K359</f>
        <v/>
      </c>
      <c r="D107" s="84">
        <f>LAVORAZIONI!M359</f>
        <v/>
      </c>
      <c r="E107" s="86">
        <f>LAVORAZIONI!N359</f>
        <v/>
      </c>
      <c r="F107" s="86">
        <f>LAVORAZIONI!O359</f>
        <v/>
      </c>
      <c r="G107" s="87">
        <f>LAVORAZIONI!P359</f>
        <v/>
      </c>
      <c r="H107" s="88">
        <f>LAVORAZIONI!U359</f>
        <v/>
      </c>
      <c r="I107" s="87">
        <f>LAVORAZIONI!V359</f>
        <v/>
      </c>
    </row>
    <row r="108">
      <c r="A108" s="84">
        <f>LAVORAZIONI!G360</f>
        <v/>
      </c>
      <c r="B108" s="85">
        <f>LAVORAZIONI!A360</f>
        <v/>
      </c>
      <c r="C108" s="85">
        <f>LAVORAZIONI!K360</f>
        <v/>
      </c>
      <c r="D108" s="84">
        <f>LAVORAZIONI!M360</f>
        <v/>
      </c>
      <c r="E108" s="86">
        <f>LAVORAZIONI!N360</f>
        <v/>
      </c>
      <c r="F108" s="86">
        <f>LAVORAZIONI!O360</f>
        <v/>
      </c>
      <c r="G108" s="87">
        <f>LAVORAZIONI!P360</f>
        <v/>
      </c>
      <c r="H108" s="88">
        <f>LAVORAZIONI!U360</f>
        <v/>
      </c>
      <c r="I108" s="87">
        <f>LAVORAZIONI!V360</f>
        <v/>
      </c>
    </row>
    <row r="109">
      <c r="A109" s="84">
        <f>LAVORAZIONI!G361</f>
        <v/>
      </c>
      <c r="B109" s="85">
        <f>LAVORAZIONI!A361</f>
        <v/>
      </c>
      <c r="C109" s="85">
        <f>LAVORAZIONI!K361</f>
        <v/>
      </c>
      <c r="D109" s="84">
        <f>LAVORAZIONI!M361</f>
        <v/>
      </c>
      <c r="E109" s="86">
        <f>LAVORAZIONI!N361</f>
        <v/>
      </c>
      <c r="F109" s="86">
        <f>LAVORAZIONI!O361</f>
        <v/>
      </c>
      <c r="G109" s="87">
        <f>LAVORAZIONI!P361</f>
        <v/>
      </c>
      <c r="H109" s="88">
        <f>LAVORAZIONI!U361</f>
        <v/>
      </c>
      <c r="I109" s="87">
        <f>LAVORAZIONI!V361</f>
        <v/>
      </c>
    </row>
    <row r="110">
      <c r="A110" s="84">
        <f>LAVORAZIONI!G362</f>
        <v/>
      </c>
      <c r="B110" s="85">
        <f>LAVORAZIONI!A362</f>
        <v/>
      </c>
      <c r="C110" s="85">
        <f>LAVORAZIONI!K362</f>
        <v/>
      </c>
      <c r="D110" s="84">
        <f>LAVORAZIONI!M362</f>
        <v/>
      </c>
      <c r="E110" s="86">
        <f>LAVORAZIONI!N362</f>
        <v/>
      </c>
      <c r="F110" s="86">
        <f>LAVORAZIONI!O362</f>
        <v/>
      </c>
      <c r="G110" s="87">
        <f>LAVORAZIONI!P362</f>
        <v/>
      </c>
      <c r="H110" s="88">
        <f>LAVORAZIONI!U362</f>
        <v/>
      </c>
      <c r="I110" s="87">
        <f>LAVORAZIONI!V362</f>
        <v/>
      </c>
    </row>
    <row r="111">
      <c r="A111" s="84">
        <f>LAVORAZIONI!G363</f>
        <v/>
      </c>
      <c r="B111" s="85">
        <f>LAVORAZIONI!A363</f>
        <v/>
      </c>
      <c r="C111" s="85">
        <f>LAVORAZIONI!K363</f>
        <v/>
      </c>
      <c r="D111" s="84">
        <f>LAVORAZIONI!M363</f>
        <v/>
      </c>
      <c r="E111" s="86">
        <f>LAVORAZIONI!N363</f>
        <v/>
      </c>
      <c r="F111" s="86">
        <f>LAVORAZIONI!O363</f>
        <v/>
      </c>
      <c r="G111" s="87">
        <f>LAVORAZIONI!P363</f>
        <v/>
      </c>
      <c r="H111" s="88">
        <f>LAVORAZIONI!U363</f>
        <v/>
      </c>
      <c r="I111" s="87">
        <f>LAVORAZIONI!V363</f>
        <v/>
      </c>
    </row>
    <row r="112">
      <c r="A112" s="84">
        <f>LAVORAZIONI!G364</f>
        <v/>
      </c>
      <c r="B112" s="85">
        <f>LAVORAZIONI!A364</f>
        <v/>
      </c>
      <c r="C112" s="85">
        <f>LAVORAZIONI!K364</f>
        <v/>
      </c>
      <c r="D112" s="84">
        <f>LAVORAZIONI!M364</f>
        <v/>
      </c>
      <c r="E112" s="86">
        <f>LAVORAZIONI!N364</f>
        <v/>
      </c>
      <c r="F112" s="86">
        <f>LAVORAZIONI!O364</f>
        <v/>
      </c>
      <c r="G112" s="87">
        <f>LAVORAZIONI!P364</f>
        <v/>
      </c>
      <c r="H112" s="88">
        <f>LAVORAZIONI!U364</f>
        <v/>
      </c>
      <c r="I112" s="87">
        <f>LAVORAZIONI!V364</f>
        <v/>
      </c>
    </row>
    <row r="113">
      <c r="A113" s="84">
        <f>LAVORAZIONI!G365</f>
        <v/>
      </c>
      <c r="B113" s="85">
        <f>LAVORAZIONI!A365</f>
        <v/>
      </c>
      <c r="C113" s="85">
        <f>LAVORAZIONI!K365</f>
        <v/>
      </c>
      <c r="D113" s="84">
        <f>LAVORAZIONI!M365</f>
        <v/>
      </c>
      <c r="E113" s="86">
        <f>LAVORAZIONI!N365</f>
        <v/>
      </c>
      <c r="F113" s="86">
        <f>LAVORAZIONI!O365</f>
        <v/>
      </c>
      <c r="G113" s="87">
        <f>LAVORAZIONI!P365</f>
        <v/>
      </c>
      <c r="H113" s="88">
        <f>LAVORAZIONI!U365</f>
        <v/>
      </c>
      <c r="I113" s="87">
        <f>LAVORAZIONI!V365</f>
        <v/>
      </c>
    </row>
    <row r="114">
      <c r="A114" s="84">
        <f>LAVORAZIONI!G366</f>
        <v/>
      </c>
      <c r="B114" s="85">
        <f>LAVORAZIONI!A366</f>
        <v/>
      </c>
      <c r="C114" s="85">
        <f>LAVORAZIONI!K366</f>
        <v/>
      </c>
      <c r="D114" s="84">
        <f>LAVORAZIONI!M366</f>
        <v/>
      </c>
      <c r="E114" s="86">
        <f>LAVORAZIONI!N366</f>
        <v/>
      </c>
      <c r="F114" s="86">
        <f>LAVORAZIONI!O366</f>
        <v/>
      </c>
      <c r="G114" s="87">
        <f>LAVORAZIONI!P366</f>
        <v/>
      </c>
      <c r="H114" s="88">
        <f>LAVORAZIONI!U366</f>
        <v/>
      </c>
      <c r="I114" s="87">
        <f>LAVORAZIONI!V366</f>
        <v/>
      </c>
    </row>
    <row r="115">
      <c r="A115" s="84">
        <f>LAVORAZIONI!G367</f>
        <v/>
      </c>
      <c r="B115" s="85">
        <f>LAVORAZIONI!A367</f>
        <v/>
      </c>
      <c r="C115" s="85">
        <f>LAVORAZIONI!K367</f>
        <v/>
      </c>
      <c r="D115" s="84">
        <f>LAVORAZIONI!M367</f>
        <v/>
      </c>
      <c r="E115" s="86">
        <f>LAVORAZIONI!N367</f>
        <v/>
      </c>
      <c r="F115" s="86">
        <f>LAVORAZIONI!O367</f>
        <v/>
      </c>
      <c r="G115" s="87">
        <f>LAVORAZIONI!P367</f>
        <v/>
      </c>
      <c r="H115" s="88">
        <f>LAVORAZIONI!U367</f>
        <v/>
      </c>
      <c r="I115" s="87">
        <f>LAVORAZIONI!V367</f>
        <v/>
      </c>
    </row>
    <row r="116">
      <c r="A116" s="84">
        <f>LAVORAZIONI!G368</f>
        <v/>
      </c>
      <c r="B116" s="85">
        <f>LAVORAZIONI!A368</f>
        <v/>
      </c>
      <c r="C116" s="85">
        <f>LAVORAZIONI!K368</f>
        <v/>
      </c>
      <c r="D116" s="84">
        <f>LAVORAZIONI!M368</f>
        <v/>
      </c>
      <c r="E116" s="86">
        <f>LAVORAZIONI!N368</f>
        <v/>
      </c>
      <c r="F116" s="86">
        <f>LAVORAZIONI!O368</f>
        <v/>
      </c>
      <c r="G116" s="87">
        <f>LAVORAZIONI!P368</f>
        <v/>
      </c>
      <c r="H116" s="88">
        <f>LAVORAZIONI!U368</f>
        <v/>
      </c>
      <c r="I116" s="87">
        <f>LAVORAZIONI!V368</f>
        <v/>
      </c>
    </row>
    <row r="117">
      <c r="A117" s="84">
        <f>LAVORAZIONI!G369</f>
        <v/>
      </c>
      <c r="B117" s="85">
        <f>LAVORAZIONI!A369</f>
        <v/>
      </c>
      <c r="C117" s="85">
        <f>LAVORAZIONI!K369</f>
        <v/>
      </c>
      <c r="D117" s="84">
        <f>LAVORAZIONI!M369</f>
        <v/>
      </c>
      <c r="E117" s="86">
        <f>LAVORAZIONI!N369</f>
        <v/>
      </c>
      <c r="F117" s="86">
        <f>LAVORAZIONI!O369</f>
        <v/>
      </c>
      <c r="G117" s="87">
        <f>LAVORAZIONI!P369</f>
        <v/>
      </c>
      <c r="H117" s="88">
        <f>LAVORAZIONI!U369</f>
        <v/>
      </c>
      <c r="I117" s="87">
        <f>LAVORAZIONI!V369</f>
        <v/>
      </c>
    </row>
    <row r="118">
      <c r="A118" s="84">
        <f>LAVORAZIONI!G370</f>
        <v/>
      </c>
      <c r="B118" s="85">
        <f>LAVORAZIONI!A370</f>
        <v/>
      </c>
      <c r="C118" s="85">
        <f>LAVORAZIONI!K370</f>
        <v/>
      </c>
      <c r="D118" s="84">
        <f>LAVORAZIONI!M370</f>
        <v/>
      </c>
      <c r="E118" s="86">
        <f>LAVORAZIONI!N370</f>
        <v/>
      </c>
      <c r="F118" s="86">
        <f>LAVORAZIONI!O370</f>
        <v/>
      </c>
      <c r="G118" s="87">
        <f>LAVORAZIONI!P370</f>
        <v/>
      </c>
      <c r="H118" s="88">
        <f>LAVORAZIONI!U370</f>
        <v/>
      </c>
      <c r="I118" s="87">
        <f>LAVORAZIONI!V370</f>
        <v/>
      </c>
    </row>
    <row r="119">
      <c r="A119" s="84">
        <f>LAVORAZIONI!G371</f>
        <v/>
      </c>
      <c r="B119" s="85">
        <f>LAVORAZIONI!A371</f>
        <v/>
      </c>
      <c r="C119" s="85">
        <f>LAVORAZIONI!K371</f>
        <v/>
      </c>
      <c r="D119" s="84">
        <f>LAVORAZIONI!M371</f>
        <v/>
      </c>
      <c r="E119" s="86">
        <f>LAVORAZIONI!N371</f>
        <v/>
      </c>
      <c r="F119" s="86">
        <f>LAVORAZIONI!O371</f>
        <v/>
      </c>
      <c r="G119" s="87">
        <f>LAVORAZIONI!P371</f>
        <v/>
      </c>
      <c r="H119" s="88">
        <f>LAVORAZIONI!U371</f>
        <v/>
      </c>
      <c r="I119" s="87">
        <f>LAVORAZIONI!V371</f>
        <v/>
      </c>
    </row>
    <row r="120">
      <c r="A120" s="84">
        <f>LAVORAZIONI!G372</f>
        <v/>
      </c>
      <c r="B120" s="85">
        <f>LAVORAZIONI!A372</f>
        <v/>
      </c>
      <c r="C120" s="85">
        <f>LAVORAZIONI!K372</f>
        <v/>
      </c>
      <c r="D120" s="84">
        <f>LAVORAZIONI!M372</f>
        <v/>
      </c>
      <c r="E120" s="86">
        <f>LAVORAZIONI!N372</f>
        <v/>
      </c>
      <c r="F120" s="86">
        <f>LAVORAZIONI!O372</f>
        <v/>
      </c>
      <c r="G120" s="87">
        <f>LAVORAZIONI!P372</f>
        <v/>
      </c>
      <c r="H120" s="88">
        <f>LAVORAZIONI!U372</f>
        <v/>
      </c>
      <c r="I120" s="87">
        <f>LAVORAZIONI!V372</f>
        <v/>
      </c>
    </row>
    <row r="121">
      <c r="A121" s="84">
        <f>LAVORAZIONI!G373</f>
        <v/>
      </c>
      <c r="B121" s="85">
        <f>LAVORAZIONI!A373</f>
        <v/>
      </c>
      <c r="C121" s="85">
        <f>LAVORAZIONI!K373</f>
        <v/>
      </c>
      <c r="D121" s="84">
        <f>LAVORAZIONI!M373</f>
        <v/>
      </c>
      <c r="E121" s="86">
        <f>LAVORAZIONI!N373</f>
        <v/>
      </c>
      <c r="F121" s="86">
        <f>LAVORAZIONI!O373</f>
        <v/>
      </c>
      <c r="G121" s="87">
        <f>LAVORAZIONI!P373</f>
        <v/>
      </c>
      <c r="H121" s="88">
        <f>LAVORAZIONI!U373</f>
        <v/>
      </c>
      <c r="I121" s="87">
        <f>LAVORAZIONI!V373</f>
        <v/>
      </c>
    </row>
    <row r="122">
      <c r="A122" s="84">
        <f>LAVORAZIONI!G374</f>
        <v/>
      </c>
      <c r="B122" s="85">
        <f>LAVORAZIONI!A374</f>
        <v/>
      </c>
      <c r="C122" s="85">
        <f>LAVORAZIONI!K374</f>
        <v/>
      </c>
      <c r="D122" s="84">
        <f>LAVORAZIONI!M374</f>
        <v/>
      </c>
      <c r="E122" s="86">
        <f>LAVORAZIONI!N374</f>
        <v/>
      </c>
      <c r="F122" s="86">
        <f>LAVORAZIONI!O374</f>
        <v/>
      </c>
      <c r="G122" s="87">
        <f>LAVORAZIONI!P374</f>
        <v/>
      </c>
      <c r="H122" s="88">
        <f>LAVORAZIONI!U374</f>
        <v/>
      </c>
      <c r="I122" s="87">
        <f>LAVORAZIONI!V374</f>
        <v/>
      </c>
    </row>
    <row r="123">
      <c r="A123" s="84">
        <f>LAVORAZIONI!G375</f>
        <v/>
      </c>
      <c r="B123" s="85">
        <f>LAVORAZIONI!A375</f>
        <v/>
      </c>
      <c r="C123" s="85">
        <f>LAVORAZIONI!K375</f>
        <v/>
      </c>
      <c r="D123" s="84">
        <f>LAVORAZIONI!M375</f>
        <v/>
      </c>
      <c r="E123" s="86">
        <f>LAVORAZIONI!N375</f>
        <v/>
      </c>
      <c r="F123" s="86">
        <f>LAVORAZIONI!O375</f>
        <v/>
      </c>
      <c r="G123" s="87">
        <f>LAVORAZIONI!P375</f>
        <v/>
      </c>
      <c r="H123" s="88">
        <f>LAVORAZIONI!U375</f>
        <v/>
      </c>
      <c r="I123" s="87">
        <f>LAVORAZIONI!V375</f>
        <v/>
      </c>
    </row>
    <row r="124">
      <c r="A124" s="84">
        <f>LAVORAZIONI!G376</f>
        <v/>
      </c>
      <c r="B124" s="85">
        <f>LAVORAZIONI!A376</f>
        <v/>
      </c>
      <c r="C124" s="85">
        <f>LAVORAZIONI!K376</f>
        <v/>
      </c>
      <c r="D124" s="84">
        <f>LAVORAZIONI!M376</f>
        <v/>
      </c>
      <c r="E124" s="86">
        <f>LAVORAZIONI!N376</f>
        <v/>
      </c>
      <c r="F124" s="86">
        <f>LAVORAZIONI!O376</f>
        <v/>
      </c>
      <c r="G124" s="87">
        <f>LAVORAZIONI!P376</f>
        <v/>
      </c>
      <c r="H124" s="88">
        <f>LAVORAZIONI!U376</f>
        <v/>
      </c>
      <c r="I124" s="87">
        <f>LAVORAZIONI!V376</f>
        <v/>
      </c>
    </row>
    <row r="125">
      <c r="A125" s="84">
        <f>LAVORAZIONI!G377</f>
        <v/>
      </c>
      <c r="B125" s="85">
        <f>LAVORAZIONI!A377</f>
        <v/>
      </c>
      <c r="C125" s="85">
        <f>LAVORAZIONI!K377</f>
        <v/>
      </c>
      <c r="D125" s="84">
        <f>LAVORAZIONI!M377</f>
        <v/>
      </c>
      <c r="E125" s="86">
        <f>LAVORAZIONI!N377</f>
        <v/>
      </c>
      <c r="F125" s="86">
        <f>LAVORAZIONI!O377</f>
        <v/>
      </c>
      <c r="G125" s="87">
        <f>LAVORAZIONI!P377</f>
        <v/>
      </c>
      <c r="H125" s="88">
        <f>LAVORAZIONI!U377</f>
        <v/>
      </c>
      <c r="I125" s="87">
        <f>LAVORAZIONI!V377</f>
        <v/>
      </c>
    </row>
    <row r="126">
      <c r="A126" s="84">
        <f>LAVORAZIONI!G378</f>
        <v/>
      </c>
      <c r="B126" s="85">
        <f>LAVORAZIONI!A378</f>
        <v/>
      </c>
      <c r="C126" s="85">
        <f>LAVORAZIONI!K378</f>
        <v/>
      </c>
      <c r="D126" s="84">
        <f>LAVORAZIONI!M378</f>
        <v/>
      </c>
      <c r="E126" s="86">
        <f>LAVORAZIONI!N378</f>
        <v/>
      </c>
      <c r="F126" s="86">
        <f>LAVORAZIONI!O378</f>
        <v/>
      </c>
      <c r="G126" s="87">
        <f>LAVORAZIONI!P378</f>
        <v/>
      </c>
      <c r="H126" s="88">
        <f>LAVORAZIONI!U378</f>
        <v/>
      </c>
      <c r="I126" s="87">
        <f>LAVORAZIONI!V378</f>
        <v/>
      </c>
    </row>
    <row r="127">
      <c r="A127" s="84">
        <f>LAVORAZIONI!G379</f>
        <v/>
      </c>
      <c r="B127" s="85">
        <f>LAVORAZIONI!A379</f>
        <v/>
      </c>
      <c r="C127" s="85">
        <f>LAVORAZIONI!K379</f>
        <v/>
      </c>
      <c r="D127" s="84">
        <f>LAVORAZIONI!M379</f>
        <v/>
      </c>
      <c r="E127" s="86">
        <f>LAVORAZIONI!N379</f>
        <v/>
      </c>
      <c r="F127" s="86">
        <f>LAVORAZIONI!O379</f>
        <v/>
      </c>
      <c r="G127" s="87">
        <f>LAVORAZIONI!P379</f>
        <v/>
      </c>
      <c r="H127" s="88">
        <f>LAVORAZIONI!U379</f>
        <v/>
      </c>
      <c r="I127" s="87">
        <f>LAVORAZIONI!V379</f>
        <v/>
      </c>
    </row>
    <row r="128">
      <c r="A128" s="79">
        <f>LAVORAZIONI!G380</f>
        <v/>
      </c>
      <c r="B128" s="80">
        <f>LAVORAZIONI!A380</f>
        <v/>
      </c>
      <c r="C128" s="80">
        <f>LAVORAZIONI!K380</f>
        <v/>
      </c>
      <c r="D128" s="79">
        <f>LAVORAZIONI!M380</f>
        <v/>
      </c>
      <c r="E128" s="81">
        <f>LAVORAZIONI!N380</f>
        <v/>
      </c>
      <c r="F128" s="81">
        <f>LAVORAZIONI!O380</f>
        <v/>
      </c>
      <c r="G128" s="82">
        <f>LAVORAZIONI!P380</f>
        <v/>
      </c>
      <c r="H128" s="83">
        <f>LAVORAZIONI!U380</f>
        <v/>
      </c>
      <c r="I128" s="82">
        <f>LAVORAZIONI!V380</f>
        <v/>
      </c>
    </row>
    <row r="129">
      <c r="A129" s="79">
        <f>LAVORAZIONI!G381</f>
        <v/>
      </c>
      <c r="B129" s="80">
        <f>LAVORAZIONI!A381</f>
        <v/>
      </c>
      <c r="C129" s="80">
        <f>LAVORAZIONI!K381</f>
        <v/>
      </c>
      <c r="D129" s="79">
        <f>LAVORAZIONI!M381</f>
        <v/>
      </c>
      <c r="E129" s="81">
        <f>LAVORAZIONI!N381</f>
        <v/>
      </c>
      <c r="F129" s="81">
        <f>LAVORAZIONI!O381</f>
        <v/>
      </c>
      <c r="G129" s="82">
        <f>LAVORAZIONI!P381</f>
        <v/>
      </c>
      <c r="H129" s="83">
        <f>LAVORAZIONI!U381</f>
        <v/>
      </c>
      <c r="I129" s="82">
        <f>LAVORAZIONI!V381</f>
        <v/>
      </c>
    </row>
    <row r="130">
      <c r="A130" s="79">
        <f>LAVORAZIONI!G382</f>
        <v/>
      </c>
      <c r="B130" s="80">
        <f>LAVORAZIONI!A382</f>
        <v/>
      </c>
      <c r="C130" s="80">
        <f>LAVORAZIONI!K382</f>
        <v/>
      </c>
      <c r="D130" s="79">
        <f>LAVORAZIONI!M382</f>
        <v/>
      </c>
      <c r="E130" s="81">
        <f>LAVORAZIONI!N382</f>
        <v/>
      </c>
      <c r="F130" s="81">
        <f>LAVORAZIONI!O382</f>
        <v/>
      </c>
      <c r="G130" s="82">
        <f>LAVORAZIONI!P382</f>
        <v/>
      </c>
      <c r="H130" s="83">
        <f>LAVORAZIONI!U382</f>
        <v/>
      </c>
      <c r="I130" s="82">
        <f>LAVORAZIONI!V382</f>
        <v/>
      </c>
    </row>
    <row r="131">
      <c r="A131" s="79">
        <f>LAVORAZIONI!G383</f>
        <v/>
      </c>
      <c r="B131" s="80">
        <f>LAVORAZIONI!A383</f>
        <v/>
      </c>
      <c r="C131" s="80">
        <f>LAVORAZIONI!K383</f>
        <v/>
      </c>
      <c r="D131" s="79">
        <f>LAVORAZIONI!M383</f>
        <v/>
      </c>
      <c r="E131" s="81">
        <f>LAVORAZIONI!N383</f>
        <v/>
      </c>
      <c r="F131" s="81">
        <f>LAVORAZIONI!O383</f>
        <v/>
      </c>
      <c r="G131" s="82">
        <f>LAVORAZIONI!P383</f>
        <v/>
      </c>
      <c r="H131" s="83">
        <f>LAVORAZIONI!U383</f>
        <v/>
      </c>
      <c r="I131" s="82">
        <f>LAVORAZIONI!V383</f>
        <v/>
      </c>
    </row>
    <row r="132">
      <c r="A132" s="79">
        <f>LAVORAZIONI!G384</f>
        <v/>
      </c>
      <c r="B132" s="80">
        <f>LAVORAZIONI!A384</f>
        <v/>
      </c>
      <c r="C132" s="80">
        <f>LAVORAZIONI!K384</f>
        <v/>
      </c>
      <c r="D132" s="79">
        <f>LAVORAZIONI!M384</f>
        <v/>
      </c>
      <c r="E132" s="81">
        <f>LAVORAZIONI!N384</f>
        <v/>
      </c>
      <c r="F132" s="81">
        <f>LAVORAZIONI!O384</f>
        <v/>
      </c>
      <c r="G132" s="82">
        <f>LAVORAZIONI!P384</f>
        <v/>
      </c>
      <c r="H132" s="83">
        <f>LAVORAZIONI!U384</f>
        <v/>
      </c>
      <c r="I132" s="82">
        <f>LAVORAZIONI!V384</f>
        <v/>
      </c>
    </row>
    <row r="133">
      <c r="A133" s="84">
        <f>LAVORAZIONI!G385</f>
        <v/>
      </c>
      <c r="B133" s="85">
        <f>LAVORAZIONI!A385</f>
        <v/>
      </c>
      <c r="C133" s="85">
        <f>LAVORAZIONI!K385</f>
        <v/>
      </c>
      <c r="D133" s="84">
        <f>LAVORAZIONI!M385</f>
        <v/>
      </c>
      <c r="E133" s="86">
        <f>LAVORAZIONI!N385</f>
        <v/>
      </c>
      <c r="F133" s="86">
        <f>LAVORAZIONI!O385</f>
        <v/>
      </c>
      <c r="G133" s="87">
        <f>LAVORAZIONI!P385</f>
        <v/>
      </c>
      <c r="H133" s="88">
        <f>LAVORAZIONI!U385</f>
        <v/>
      </c>
      <c r="I133" s="87">
        <f>LAVORAZIONI!V385</f>
        <v/>
      </c>
    </row>
    <row r="134">
      <c r="A134" s="84">
        <f>LAVORAZIONI!G386</f>
        <v/>
      </c>
      <c r="B134" s="85">
        <f>LAVORAZIONI!A386</f>
        <v/>
      </c>
      <c r="C134" s="85">
        <f>LAVORAZIONI!K386</f>
        <v/>
      </c>
      <c r="D134" s="84">
        <f>LAVORAZIONI!M386</f>
        <v/>
      </c>
      <c r="E134" s="86">
        <f>LAVORAZIONI!N386</f>
        <v/>
      </c>
      <c r="F134" s="86">
        <f>LAVORAZIONI!O386</f>
        <v/>
      </c>
      <c r="G134" s="87">
        <f>LAVORAZIONI!P386</f>
        <v/>
      </c>
      <c r="H134" s="88">
        <f>LAVORAZIONI!U386</f>
        <v/>
      </c>
      <c r="I134" s="87">
        <f>LAVORAZIONI!V386</f>
        <v/>
      </c>
    </row>
    <row r="135">
      <c r="A135" s="84">
        <f>LAVORAZIONI!G387</f>
        <v/>
      </c>
      <c r="B135" s="85">
        <f>LAVORAZIONI!A387</f>
        <v/>
      </c>
      <c r="C135" s="85">
        <f>LAVORAZIONI!K387</f>
        <v/>
      </c>
      <c r="D135" s="84">
        <f>LAVORAZIONI!M387</f>
        <v/>
      </c>
      <c r="E135" s="86">
        <f>LAVORAZIONI!N387</f>
        <v/>
      </c>
      <c r="F135" s="86">
        <f>LAVORAZIONI!O387</f>
        <v/>
      </c>
      <c r="G135" s="87">
        <f>LAVORAZIONI!P387</f>
        <v/>
      </c>
      <c r="H135" s="88">
        <f>LAVORAZIONI!U387</f>
        <v/>
      </c>
      <c r="I135" s="87">
        <f>LAVORAZIONI!V387</f>
        <v/>
      </c>
    </row>
    <row r="136">
      <c r="A136" s="84">
        <f>LAVORAZIONI!G388</f>
        <v/>
      </c>
      <c r="B136" s="85">
        <f>LAVORAZIONI!A388</f>
        <v/>
      </c>
      <c r="C136" s="85">
        <f>LAVORAZIONI!K388</f>
        <v/>
      </c>
      <c r="D136" s="84">
        <f>LAVORAZIONI!M388</f>
        <v/>
      </c>
      <c r="E136" s="86">
        <f>LAVORAZIONI!N388</f>
        <v/>
      </c>
      <c r="F136" s="86">
        <f>LAVORAZIONI!O388</f>
        <v/>
      </c>
      <c r="G136" s="87">
        <f>LAVORAZIONI!P388</f>
        <v/>
      </c>
      <c r="H136" s="88">
        <f>LAVORAZIONI!U388</f>
        <v/>
      </c>
      <c r="I136" s="87">
        <f>LAVORAZIONI!V388</f>
        <v/>
      </c>
    </row>
    <row r="137">
      <c r="A137" s="84">
        <f>LAVORAZIONI!G389</f>
        <v/>
      </c>
      <c r="B137" s="85">
        <f>LAVORAZIONI!A389</f>
        <v/>
      </c>
      <c r="C137" s="85">
        <f>LAVORAZIONI!K389</f>
        <v/>
      </c>
      <c r="D137" s="84">
        <f>LAVORAZIONI!M389</f>
        <v/>
      </c>
      <c r="E137" s="86">
        <f>LAVORAZIONI!N389</f>
        <v/>
      </c>
      <c r="F137" s="86">
        <f>LAVORAZIONI!O389</f>
        <v/>
      </c>
      <c r="G137" s="87">
        <f>LAVORAZIONI!P389</f>
        <v/>
      </c>
      <c r="H137" s="88">
        <f>LAVORAZIONI!U389</f>
        <v/>
      </c>
      <c r="I137" s="87">
        <f>LAVORAZIONI!V389</f>
        <v/>
      </c>
    </row>
    <row r="138">
      <c r="A138" s="84">
        <f>LAVORAZIONI!G390</f>
        <v/>
      </c>
      <c r="B138" s="85">
        <f>LAVORAZIONI!A390</f>
        <v/>
      </c>
      <c r="C138" s="85">
        <f>LAVORAZIONI!K390</f>
        <v/>
      </c>
      <c r="D138" s="84">
        <f>LAVORAZIONI!M390</f>
        <v/>
      </c>
      <c r="E138" s="86">
        <f>LAVORAZIONI!N390</f>
        <v/>
      </c>
      <c r="F138" s="86">
        <f>LAVORAZIONI!O390</f>
        <v/>
      </c>
      <c r="G138" s="87">
        <f>LAVORAZIONI!P390</f>
        <v/>
      </c>
      <c r="H138" s="88">
        <f>LAVORAZIONI!U390</f>
        <v/>
      </c>
      <c r="I138" s="87">
        <f>LAVORAZIONI!V390</f>
        <v/>
      </c>
    </row>
    <row r="139">
      <c r="A139" s="84">
        <f>LAVORAZIONI!G391</f>
        <v/>
      </c>
      <c r="B139" s="85">
        <f>LAVORAZIONI!A391</f>
        <v/>
      </c>
      <c r="C139" s="85">
        <f>LAVORAZIONI!K391</f>
        <v/>
      </c>
      <c r="D139" s="84">
        <f>LAVORAZIONI!M391</f>
        <v/>
      </c>
      <c r="E139" s="86">
        <f>LAVORAZIONI!N391</f>
        <v/>
      </c>
      <c r="F139" s="86">
        <f>LAVORAZIONI!O391</f>
        <v/>
      </c>
      <c r="G139" s="87">
        <f>LAVORAZIONI!P391</f>
        <v/>
      </c>
      <c r="H139" s="88">
        <f>LAVORAZIONI!U391</f>
        <v/>
      </c>
      <c r="I139" s="87">
        <f>LAVORAZIONI!V391</f>
        <v/>
      </c>
    </row>
    <row r="140">
      <c r="A140" s="84">
        <f>LAVORAZIONI!G392</f>
        <v/>
      </c>
      <c r="B140" s="85">
        <f>LAVORAZIONI!A392</f>
        <v/>
      </c>
      <c r="C140" s="85">
        <f>LAVORAZIONI!K392</f>
        <v/>
      </c>
      <c r="D140" s="84">
        <f>LAVORAZIONI!M392</f>
        <v/>
      </c>
      <c r="E140" s="86">
        <f>LAVORAZIONI!N392</f>
        <v/>
      </c>
      <c r="F140" s="86">
        <f>LAVORAZIONI!O392</f>
        <v/>
      </c>
      <c r="G140" s="87">
        <f>LAVORAZIONI!P392</f>
        <v/>
      </c>
      <c r="H140" s="88">
        <f>LAVORAZIONI!U392</f>
        <v/>
      </c>
      <c r="I140" s="87">
        <f>LAVORAZIONI!V392</f>
        <v/>
      </c>
    </row>
    <row r="141">
      <c r="A141" s="84">
        <f>LAVORAZIONI!G393</f>
        <v/>
      </c>
      <c r="B141" s="85">
        <f>LAVORAZIONI!A393</f>
        <v/>
      </c>
      <c r="C141" s="85">
        <f>LAVORAZIONI!K393</f>
        <v/>
      </c>
      <c r="D141" s="84">
        <f>LAVORAZIONI!M393</f>
        <v/>
      </c>
      <c r="E141" s="86">
        <f>LAVORAZIONI!N393</f>
        <v/>
      </c>
      <c r="F141" s="86">
        <f>LAVORAZIONI!O393</f>
        <v/>
      </c>
      <c r="G141" s="87">
        <f>LAVORAZIONI!P393</f>
        <v/>
      </c>
      <c r="H141" s="88">
        <f>LAVORAZIONI!U393</f>
        <v/>
      </c>
      <c r="I141" s="87">
        <f>LAVORAZIONI!V393</f>
        <v/>
      </c>
    </row>
    <row r="142">
      <c r="A142" s="84">
        <f>LAVORAZIONI!G394</f>
        <v/>
      </c>
      <c r="B142" s="85">
        <f>LAVORAZIONI!A394</f>
        <v/>
      </c>
      <c r="C142" s="85">
        <f>LAVORAZIONI!K394</f>
        <v/>
      </c>
      <c r="D142" s="84">
        <f>LAVORAZIONI!M394</f>
        <v/>
      </c>
      <c r="E142" s="86">
        <f>LAVORAZIONI!N394</f>
        <v/>
      </c>
      <c r="F142" s="86">
        <f>LAVORAZIONI!O394</f>
        <v/>
      </c>
      <c r="G142" s="87">
        <f>LAVORAZIONI!P394</f>
        <v/>
      </c>
      <c r="H142" s="88">
        <f>LAVORAZIONI!U394</f>
        <v/>
      </c>
      <c r="I142" s="87">
        <f>LAVORAZIONI!V394</f>
        <v/>
      </c>
    </row>
    <row r="143">
      <c r="A143" s="79">
        <f>LAVORAZIONI!G395</f>
        <v/>
      </c>
      <c r="B143" s="80">
        <f>LAVORAZIONI!A395</f>
        <v/>
      </c>
      <c r="C143" s="80">
        <f>LAVORAZIONI!K395</f>
        <v/>
      </c>
      <c r="D143" s="79">
        <f>LAVORAZIONI!M395</f>
        <v/>
      </c>
      <c r="E143" s="81">
        <f>LAVORAZIONI!N395</f>
        <v/>
      </c>
      <c r="F143" s="81">
        <f>LAVORAZIONI!O395</f>
        <v/>
      </c>
      <c r="G143" s="82">
        <f>LAVORAZIONI!P395</f>
        <v/>
      </c>
      <c r="H143" s="83">
        <f>LAVORAZIONI!U395</f>
        <v/>
      </c>
      <c r="I143" s="82">
        <f>LAVORAZIONI!V395</f>
        <v/>
      </c>
    </row>
    <row r="144">
      <c r="A144" s="84">
        <f>LAVORAZIONI!G396</f>
        <v/>
      </c>
      <c r="B144" s="85">
        <f>LAVORAZIONI!A396</f>
        <v/>
      </c>
      <c r="C144" s="85">
        <f>LAVORAZIONI!K396</f>
        <v/>
      </c>
      <c r="D144" s="84">
        <f>LAVORAZIONI!M396</f>
        <v/>
      </c>
      <c r="E144" s="86">
        <f>LAVORAZIONI!N396</f>
        <v/>
      </c>
      <c r="F144" s="86">
        <f>LAVORAZIONI!O396</f>
        <v/>
      </c>
      <c r="G144" s="87">
        <f>LAVORAZIONI!P396</f>
        <v/>
      </c>
      <c r="H144" s="88">
        <f>LAVORAZIONI!U396</f>
        <v/>
      </c>
      <c r="I144" s="87">
        <f>LAVORAZIONI!V396</f>
        <v/>
      </c>
    </row>
    <row r="145">
      <c r="A145" s="84">
        <f>LAVORAZIONI!G397</f>
        <v/>
      </c>
      <c r="B145" s="85">
        <f>LAVORAZIONI!A397</f>
        <v/>
      </c>
      <c r="C145" s="85">
        <f>LAVORAZIONI!K397</f>
        <v/>
      </c>
      <c r="D145" s="84">
        <f>LAVORAZIONI!M397</f>
        <v/>
      </c>
      <c r="E145" s="86">
        <f>LAVORAZIONI!N397</f>
        <v/>
      </c>
      <c r="F145" s="86">
        <f>LAVORAZIONI!O397</f>
        <v/>
      </c>
      <c r="G145" s="87">
        <f>LAVORAZIONI!P397</f>
        <v/>
      </c>
      <c r="H145" s="88">
        <f>LAVORAZIONI!U397</f>
        <v/>
      </c>
      <c r="I145" s="87">
        <f>LAVORAZIONI!V397</f>
        <v/>
      </c>
    </row>
    <row r="146">
      <c r="A146" s="61" t="n"/>
      <c r="B146" s="62" t="n"/>
      <c r="C146" s="62" t="n"/>
      <c r="D146" s="62" t="n"/>
      <c r="E146" s="62" t="n"/>
      <c r="F146" s="62" t="n"/>
      <c r="G146" s="62" t="n"/>
      <c r="H146" s="62" t="n"/>
      <c r="I146" s="63">
        <f>SUM(I5:I145)</f>
        <v/>
      </c>
    </row>
  </sheetData>
  <mergeCells count="4">
    <mergeCell ref="A1:I1"/>
    <mergeCell ref="A146:H146"/>
    <mergeCell ref="A3:I3"/>
    <mergeCell ref="A2:I2"/>
  </mergeCells>
  <pageMargins left="0.5" right="0.5" top="1" bottom="0.8" header="0.4" footer="0.4"/>
  <pageSetup orientation="landscape" paperSize="9" fitToHeight="0" fitToWidth="1"/>
  <headerFooter>
    <oddHeader>&amp;L&amp;"Calibri,Italic"&amp;9Nuovo stabilimento radiofarmaceutico LENA - Pavia (PV)&amp;C&amp;"Calibri,Bold"&amp;13Aprile - Meccaniche Speciali&amp;R&amp;"Calibri"&amp;9&amp;D</oddHeader>
    <oddFooter>&amp;C&amp;"Calibri"&amp;9Pagina &amp;P di &amp;N</oddFooter>
    <evenHeader>&amp;L&amp;"Calibri,Italic"&amp;9Nuovo stabilimento radiofarmaceutico LENA - Pavia (PV)&amp;C&amp;"Calibri,Bold"&amp;13Aprile - Meccaniche Speciali</evenHeader>
    <evenFooter>&amp;C&amp;"Calibri"&amp;9Pagina &amp;P di &amp;N</evenFooter>
    <firstHeader/>
    <firstFooter/>
  </headerFooter>
</worksheet>
</file>

<file path=xl/worksheets/sheet14.xml><?xml version="1.0" encoding="utf-8"?>
<worksheet xmlns="http://schemas.openxmlformats.org/spreadsheetml/2006/main">
  <sheetPr>
    <outlinePr summaryBelow="1" summaryRight="1"/>
    <pageSetUpPr fitToPage="1"/>
  </sheetPr>
  <dimension ref="A1:I118"/>
  <sheetViews>
    <sheetView workbookViewId="0">
      <pane ySplit="4" topLeftCell="A5" activePane="bottomLeft" state="frozen"/>
      <selection pane="bottomLeft" activeCell="A1" sqref="A1"/>
    </sheetView>
  </sheetViews>
  <sheetFormatPr baseColWidth="8" defaultRowHeight="15"/>
  <cols>
    <col width="9" customWidth="1" style="46" min="1" max="1"/>
    <col width="26" customWidth="1" style="46" min="2" max="2"/>
    <col width="58" customWidth="1" style="46" min="3" max="3"/>
    <col width="8" customWidth="1" style="46" min="4" max="4"/>
    <col width="11" customWidth="1" style="46" min="5" max="5"/>
    <col width="12" customWidth="1" style="46" min="6" max="6"/>
    <col width="14" customWidth="1" style="46" min="7" max="7"/>
    <col width="9" customWidth="1" style="46" min="8" max="8"/>
    <col width="14" customWidth="1" style="46" min="9" max="9"/>
  </cols>
  <sheetData>
    <row r="1" ht="22" customHeight="1" s="46">
      <c r="A1" s="78" t="inlineStr">
        <is>
          <t>SAL APRILE 2026 — OPERE ELETTRICHE</t>
        </is>
      </c>
    </row>
    <row r="2" ht="28"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N. VOCE</t>
        </is>
      </c>
      <c r="B4" s="55" t="inlineStr">
        <is>
          <t>CODICE LAVORAZIONE</t>
        </is>
      </c>
      <c r="C4" s="55" t="inlineStr">
        <is>
          <t>DESCRIZIONE</t>
        </is>
      </c>
      <c r="D4" s="55" t="inlineStr">
        <is>
          <t>U.M.</t>
        </is>
      </c>
      <c r="E4" s="55" t="inlineStr">
        <is>
          <t>QUANTITÀ</t>
        </is>
      </c>
      <c r="F4" s="55" t="inlineStr">
        <is>
          <t>VAL. UNITARIO</t>
        </is>
      </c>
      <c r="G4" s="55" t="inlineStr">
        <is>
          <t>TOTALE PREVENTIVO</t>
        </is>
      </c>
      <c r="H4" s="55" t="inlineStr">
        <is>
          <t>% SAL Aprile</t>
        </is>
      </c>
      <c r="I4" s="55" t="inlineStr">
        <is>
          <t>IMPORTO SAL Aprile</t>
        </is>
      </c>
    </row>
    <row r="5">
      <c r="A5" s="84">
        <f>LAVORAZIONI!G398</f>
        <v/>
      </c>
      <c r="B5" s="85">
        <f>LAVORAZIONI!A398</f>
        <v/>
      </c>
      <c r="C5" s="85">
        <f>LAVORAZIONI!K398</f>
        <v/>
      </c>
      <c r="D5" s="84">
        <f>LAVORAZIONI!M398</f>
        <v/>
      </c>
      <c r="E5" s="86">
        <f>LAVORAZIONI!N398</f>
        <v/>
      </c>
      <c r="F5" s="86">
        <f>LAVORAZIONI!O398</f>
        <v/>
      </c>
      <c r="G5" s="87">
        <f>LAVORAZIONI!P398</f>
        <v/>
      </c>
      <c r="H5" s="88">
        <f>LAVORAZIONI!U398</f>
        <v/>
      </c>
      <c r="I5" s="87">
        <f>LAVORAZIONI!V398</f>
        <v/>
      </c>
    </row>
    <row r="6">
      <c r="A6" s="84">
        <f>LAVORAZIONI!G399</f>
        <v/>
      </c>
      <c r="B6" s="85">
        <f>LAVORAZIONI!A399</f>
        <v/>
      </c>
      <c r="C6" s="85">
        <f>LAVORAZIONI!K399</f>
        <v/>
      </c>
      <c r="D6" s="84">
        <f>LAVORAZIONI!M399</f>
        <v/>
      </c>
      <c r="E6" s="86">
        <f>LAVORAZIONI!N399</f>
        <v/>
      </c>
      <c r="F6" s="86">
        <f>LAVORAZIONI!O399</f>
        <v/>
      </c>
      <c r="G6" s="87">
        <f>LAVORAZIONI!P399</f>
        <v/>
      </c>
      <c r="H6" s="88">
        <f>LAVORAZIONI!U399</f>
        <v/>
      </c>
      <c r="I6" s="87">
        <f>LAVORAZIONI!V399</f>
        <v/>
      </c>
    </row>
    <row r="7">
      <c r="A7" s="84">
        <f>LAVORAZIONI!G400</f>
        <v/>
      </c>
      <c r="B7" s="85">
        <f>LAVORAZIONI!A400</f>
        <v/>
      </c>
      <c r="C7" s="85">
        <f>LAVORAZIONI!K400</f>
        <v/>
      </c>
      <c r="D7" s="84">
        <f>LAVORAZIONI!M400</f>
        <v/>
      </c>
      <c r="E7" s="86">
        <f>LAVORAZIONI!N400</f>
        <v/>
      </c>
      <c r="F7" s="86">
        <f>LAVORAZIONI!O400</f>
        <v/>
      </c>
      <c r="G7" s="87">
        <f>LAVORAZIONI!P400</f>
        <v/>
      </c>
      <c r="H7" s="88">
        <f>LAVORAZIONI!U400</f>
        <v/>
      </c>
      <c r="I7" s="87">
        <f>LAVORAZIONI!V400</f>
        <v/>
      </c>
    </row>
    <row r="8">
      <c r="A8" s="84">
        <f>LAVORAZIONI!G401</f>
        <v/>
      </c>
      <c r="B8" s="85">
        <f>LAVORAZIONI!A401</f>
        <v/>
      </c>
      <c r="C8" s="85">
        <f>LAVORAZIONI!K401</f>
        <v/>
      </c>
      <c r="D8" s="84">
        <f>LAVORAZIONI!M401</f>
        <v/>
      </c>
      <c r="E8" s="86">
        <f>LAVORAZIONI!N401</f>
        <v/>
      </c>
      <c r="F8" s="86">
        <f>LAVORAZIONI!O401</f>
        <v/>
      </c>
      <c r="G8" s="87">
        <f>LAVORAZIONI!P401</f>
        <v/>
      </c>
      <c r="H8" s="88">
        <f>LAVORAZIONI!U401</f>
        <v/>
      </c>
      <c r="I8" s="87">
        <f>LAVORAZIONI!V401</f>
        <v/>
      </c>
    </row>
    <row r="9">
      <c r="A9" s="84">
        <f>LAVORAZIONI!G402</f>
        <v/>
      </c>
      <c r="B9" s="85">
        <f>LAVORAZIONI!A402</f>
        <v/>
      </c>
      <c r="C9" s="85">
        <f>LAVORAZIONI!K402</f>
        <v/>
      </c>
      <c r="D9" s="84">
        <f>LAVORAZIONI!M402</f>
        <v/>
      </c>
      <c r="E9" s="86">
        <f>LAVORAZIONI!N402</f>
        <v/>
      </c>
      <c r="F9" s="86">
        <f>LAVORAZIONI!O402</f>
        <v/>
      </c>
      <c r="G9" s="87">
        <f>LAVORAZIONI!P402</f>
        <v/>
      </c>
      <c r="H9" s="88">
        <f>LAVORAZIONI!U402</f>
        <v/>
      </c>
      <c r="I9" s="87">
        <f>LAVORAZIONI!V402</f>
        <v/>
      </c>
    </row>
    <row r="10">
      <c r="A10" s="84">
        <f>LAVORAZIONI!G403</f>
        <v/>
      </c>
      <c r="B10" s="85">
        <f>LAVORAZIONI!A403</f>
        <v/>
      </c>
      <c r="C10" s="85">
        <f>LAVORAZIONI!K403</f>
        <v/>
      </c>
      <c r="D10" s="84">
        <f>LAVORAZIONI!M403</f>
        <v/>
      </c>
      <c r="E10" s="86">
        <f>LAVORAZIONI!N403</f>
        <v/>
      </c>
      <c r="F10" s="86">
        <f>LAVORAZIONI!O403</f>
        <v/>
      </c>
      <c r="G10" s="87">
        <f>LAVORAZIONI!P403</f>
        <v/>
      </c>
      <c r="H10" s="88">
        <f>LAVORAZIONI!U403</f>
        <v/>
      </c>
      <c r="I10" s="87">
        <f>LAVORAZIONI!V403</f>
        <v/>
      </c>
    </row>
    <row r="11">
      <c r="A11" s="84">
        <f>LAVORAZIONI!G404</f>
        <v/>
      </c>
      <c r="B11" s="85">
        <f>LAVORAZIONI!A404</f>
        <v/>
      </c>
      <c r="C11" s="85">
        <f>LAVORAZIONI!K404</f>
        <v/>
      </c>
      <c r="D11" s="84">
        <f>LAVORAZIONI!M404</f>
        <v/>
      </c>
      <c r="E11" s="86">
        <f>LAVORAZIONI!N404</f>
        <v/>
      </c>
      <c r="F11" s="86">
        <f>LAVORAZIONI!O404</f>
        <v/>
      </c>
      <c r="G11" s="87">
        <f>LAVORAZIONI!P404</f>
        <v/>
      </c>
      <c r="H11" s="88">
        <f>LAVORAZIONI!U404</f>
        <v/>
      </c>
      <c r="I11" s="87">
        <f>LAVORAZIONI!V404</f>
        <v/>
      </c>
    </row>
    <row r="12">
      <c r="A12" s="84">
        <f>LAVORAZIONI!G405</f>
        <v/>
      </c>
      <c r="B12" s="85">
        <f>LAVORAZIONI!A405</f>
        <v/>
      </c>
      <c r="C12" s="85">
        <f>LAVORAZIONI!K405</f>
        <v/>
      </c>
      <c r="D12" s="84">
        <f>LAVORAZIONI!M405</f>
        <v/>
      </c>
      <c r="E12" s="86">
        <f>LAVORAZIONI!N405</f>
        <v/>
      </c>
      <c r="F12" s="86">
        <f>LAVORAZIONI!O405</f>
        <v/>
      </c>
      <c r="G12" s="87">
        <f>LAVORAZIONI!P405</f>
        <v/>
      </c>
      <c r="H12" s="88">
        <f>LAVORAZIONI!U405</f>
        <v/>
      </c>
      <c r="I12" s="87">
        <f>LAVORAZIONI!V405</f>
        <v/>
      </c>
    </row>
    <row r="13">
      <c r="A13" s="84">
        <f>LAVORAZIONI!G406</f>
        <v/>
      </c>
      <c r="B13" s="85">
        <f>LAVORAZIONI!A406</f>
        <v/>
      </c>
      <c r="C13" s="85">
        <f>LAVORAZIONI!K406</f>
        <v/>
      </c>
      <c r="D13" s="84">
        <f>LAVORAZIONI!M406</f>
        <v/>
      </c>
      <c r="E13" s="86">
        <f>LAVORAZIONI!N406</f>
        <v/>
      </c>
      <c r="F13" s="86">
        <f>LAVORAZIONI!O406</f>
        <v/>
      </c>
      <c r="G13" s="87">
        <f>LAVORAZIONI!P406</f>
        <v/>
      </c>
      <c r="H13" s="88">
        <f>LAVORAZIONI!U406</f>
        <v/>
      </c>
      <c r="I13" s="87">
        <f>LAVORAZIONI!V406</f>
        <v/>
      </c>
    </row>
    <row r="14">
      <c r="A14" s="84">
        <f>LAVORAZIONI!G407</f>
        <v/>
      </c>
      <c r="B14" s="85">
        <f>LAVORAZIONI!A407</f>
        <v/>
      </c>
      <c r="C14" s="85">
        <f>LAVORAZIONI!K407</f>
        <v/>
      </c>
      <c r="D14" s="84">
        <f>LAVORAZIONI!M407</f>
        <v/>
      </c>
      <c r="E14" s="86">
        <f>LAVORAZIONI!N407</f>
        <v/>
      </c>
      <c r="F14" s="86">
        <f>LAVORAZIONI!O407</f>
        <v/>
      </c>
      <c r="G14" s="87">
        <f>LAVORAZIONI!P407</f>
        <v/>
      </c>
      <c r="H14" s="88">
        <f>LAVORAZIONI!U407</f>
        <v/>
      </c>
      <c r="I14" s="87">
        <f>LAVORAZIONI!V407</f>
        <v/>
      </c>
    </row>
    <row r="15">
      <c r="A15" s="84">
        <f>LAVORAZIONI!G408</f>
        <v/>
      </c>
      <c r="B15" s="85">
        <f>LAVORAZIONI!A408</f>
        <v/>
      </c>
      <c r="C15" s="85">
        <f>LAVORAZIONI!K408</f>
        <v/>
      </c>
      <c r="D15" s="84">
        <f>LAVORAZIONI!M408</f>
        <v/>
      </c>
      <c r="E15" s="86">
        <f>LAVORAZIONI!N408</f>
        <v/>
      </c>
      <c r="F15" s="86">
        <f>LAVORAZIONI!O408</f>
        <v/>
      </c>
      <c r="G15" s="87">
        <f>LAVORAZIONI!P408</f>
        <v/>
      </c>
      <c r="H15" s="88">
        <f>LAVORAZIONI!U408</f>
        <v/>
      </c>
      <c r="I15" s="87">
        <f>LAVORAZIONI!V408</f>
        <v/>
      </c>
    </row>
    <row r="16">
      <c r="A16" s="84">
        <f>LAVORAZIONI!G409</f>
        <v/>
      </c>
      <c r="B16" s="85">
        <f>LAVORAZIONI!A409</f>
        <v/>
      </c>
      <c r="C16" s="85">
        <f>LAVORAZIONI!K409</f>
        <v/>
      </c>
      <c r="D16" s="84">
        <f>LAVORAZIONI!M409</f>
        <v/>
      </c>
      <c r="E16" s="86">
        <f>LAVORAZIONI!N409</f>
        <v/>
      </c>
      <c r="F16" s="86">
        <f>LAVORAZIONI!O409</f>
        <v/>
      </c>
      <c r="G16" s="87">
        <f>LAVORAZIONI!P409</f>
        <v/>
      </c>
      <c r="H16" s="88">
        <f>LAVORAZIONI!U409</f>
        <v/>
      </c>
      <c r="I16" s="87">
        <f>LAVORAZIONI!V409</f>
        <v/>
      </c>
    </row>
    <row r="17">
      <c r="A17" s="84">
        <f>LAVORAZIONI!G410</f>
        <v/>
      </c>
      <c r="B17" s="85">
        <f>LAVORAZIONI!A410</f>
        <v/>
      </c>
      <c r="C17" s="85">
        <f>LAVORAZIONI!K410</f>
        <v/>
      </c>
      <c r="D17" s="84">
        <f>LAVORAZIONI!M410</f>
        <v/>
      </c>
      <c r="E17" s="86">
        <f>LAVORAZIONI!N410</f>
        <v/>
      </c>
      <c r="F17" s="86">
        <f>LAVORAZIONI!O410</f>
        <v/>
      </c>
      <c r="G17" s="87">
        <f>LAVORAZIONI!P410</f>
        <v/>
      </c>
      <c r="H17" s="88">
        <f>LAVORAZIONI!U410</f>
        <v/>
      </c>
      <c r="I17" s="87">
        <f>LAVORAZIONI!V410</f>
        <v/>
      </c>
    </row>
    <row r="18">
      <c r="A18" s="84">
        <f>LAVORAZIONI!G411</f>
        <v/>
      </c>
      <c r="B18" s="85">
        <f>LAVORAZIONI!A411</f>
        <v/>
      </c>
      <c r="C18" s="85">
        <f>LAVORAZIONI!K411</f>
        <v/>
      </c>
      <c r="D18" s="84">
        <f>LAVORAZIONI!M411</f>
        <v/>
      </c>
      <c r="E18" s="86">
        <f>LAVORAZIONI!N411</f>
        <v/>
      </c>
      <c r="F18" s="86">
        <f>LAVORAZIONI!O411</f>
        <v/>
      </c>
      <c r="G18" s="87">
        <f>LAVORAZIONI!P411</f>
        <v/>
      </c>
      <c r="H18" s="88">
        <f>LAVORAZIONI!U411</f>
        <v/>
      </c>
      <c r="I18" s="87">
        <f>LAVORAZIONI!V411</f>
        <v/>
      </c>
    </row>
    <row r="19">
      <c r="A19" s="84">
        <f>LAVORAZIONI!G412</f>
        <v/>
      </c>
      <c r="B19" s="85">
        <f>LAVORAZIONI!A412</f>
        <v/>
      </c>
      <c r="C19" s="85">
        <f>LAVORAZIONI!K412</f>
        <v/>
      </c>
      <c r="D19" s="84">
        <f>LAVORAZIONI!M412</f>
        <v/>
      </c>
      <c r="E19" s="86">
        <f>LAVORAZIONI!N412</f>
        <v/>
      </c>
      <c r="F19" s="86">
        <f>LAVORAZIONI!O412</f>
        <v/>
      </c>
      <c r="G19" s="87">
        <f>LAVORAZIONI!P412</f>
        <v/>
      </c>
      <c r="H19" s="88">
        <f>LAVORAZIONI!U412</f>
        <v/>
      </c>
      <c r="I19" s="87">
        <f>LAVORAZIONI!V412</f>
        <v/>
      </c>
    </row>
    <row r="20">
      <c r="A20" s="84">
        <f>LAVORAZIONI!G413</f>
        <v/>
      </c>
      <c r="B20" s="85">
        <f>LAVORAZIONI!A413</f>
        <v/>
      </c>
      <c r="C20" s="85">
        <f>LAVORAZIONI!K413</f>
        <v/>
      </c>
      <c r="D20" s="84">
        <f>LAVORAZIONI!M413</f>
        <v/>
      </c>
      <c r="E20" s="86">
        <f>LAVORAZIONI!N413</f>
        <v/>
      </c>
      <c r="F20" s="86">
        <f>LAVORAZIONI!O413</f>
        <v/>
      </c>
      <c r="G20" s="87">
        <f>LAVORAZIONI!P413</f>
        <v/>
      </c>
      <c r="H20" s="88">
        <f>LAVORAZIONI!U413</f>
        <v/>
      </c>
      <c r="I20" s="87">
        <f>LAVORAZIONI!V413</f>
        <v/>
      </c>
    </row>
    <row r="21">
      <c r="A21" s="84">
        <f>LAVORAZIONI!G414</f>
        <v/>
      </c>
      <c r="B21" s="85">
        <f>LAVORAZIONI!A414</f>
        <v/>
      </c>
      <c r="C21" s="85">
        <f>LAVORAZIONI!K414</f>
        <v/>
      </c>
      <c r="D21" s="84">
        <f>LAVORAZIONI!M414</f>
        <v/>
      </c>
      <c r="E21" s="86">
        <f>LAVORAZIONI!N414</f>
        <v/>
      </c>
      <c r="F21" s="86">
        <f>LAVORAZIONI!O414</f>
        <v/>
      </c>
      <c r="G21" s="87">
        <f>LAVORAZIONI!P414</f>
        <v/>
      </c>
      <c r="H21" s="88">
        <f>LAVORAZIONI!U414</f>
        <v/>
      </c>
      <c r="I21" s="87">
        <f>LAVORAZIONI!V414</f>
        <v/>
      </c>
    </row>
    <row r="22">
      <c r="A22" s="84">
        <f>LAVORAZIONI!G415</f>
        <v/>
      </c>
      <c r="B22" s="85">
        <f>LAVORAZIONI!A415</f>
        <v/>
      </c>
      <c r="C22" s="85">
        <f>LAVORAZIONI!K415</f>
        <v/>
      </c>
      <c r="D22" s="84">
        <f>LAVORAZIONI!M415</f>
        <v/>
      </c>
      <c r="E22" s="86">
        <f>LAVORAZIONI!N415</f>
        <v/>
      </c>
      <c r="F22" s="86">
        <f>LAVORAZIONI!O415</f>
        <v/>
      </c>
      <c r="G22" s="87">
        <f>LAVORAZIONI!P415</f>
        <v/>
      </c>
      <c r="H22" s="88">
        <f>LAVORAZIONI!U415</f>
        <v/>
      </c>
      <c r="I22" s="87">
        <f>LAVORAZIONI!V415</f>
        <v/>
      </c>
    </row>
    <row r="23">
      <c r="A23" s="84">
        <f>LAVORAZIONI!G416</f>
        <v/>
      </c>
      <c r="B23" s="85">
        <f>LAVORAZIONI!A416</f>
        <v/>
      </c>
      <c r="C23" s="85">
        <f>LAVORAZIONI!K416</f>
        <v/>
      </c>
      <c r="D23" s="84">
        <f>LAVORAZIONI!M416</f>
        <v/>
      </c>
      <c r="E23" s="86">
        <f>LAVORAZIONI!N416</f>
        <v/>
      </c>
      <c r="F23" s="86">
        <f>LAVORAZIONI!O416</f>
        <v/>
      </c>
      <c r="G23" s="87">
        <f>LAVORAZIONI!P416</f>
        <v/>
      </c>
      <c r="H23" s="88">
        <f>LAVORAZIONI!U416</f>
        <v/>
      </c>
      <c r="I23" s="87">
        <f>LAVORAZIONI!V416</f>
        <v/>
      </c>
    </row>
    <row r="24">
      <c r="A24" s="84">
        <f>LAVORAZIONI!G417</f>
        <v/>
      </c>
      <c r="B24" s="85">
        <f>LAVORAZIONI!A417</f>
        <v/>
      </c>
      <c r="C24" s="85">
        <f>LAVORAZIONI!K417</f>
        <v/>
      </c>
      <c r="D24" s="84">
        <f>LAVORAZIONI!M417</f>
        <v/>
      </c>
      <c r="E24" s="86">
        <f>LAVORAZIONI!N417</f>
        <v/>
      </c>
      <c r="F24" s="86">
        <f>LAVORAZIONI!O417</f>
        <v/>
      </c>
      <c r="G24" s="87">
        <f>LAVORAZIONI!P417</f>
        <v/>
      </c>
      <c r="H24" s="88">
        <f>LAVORAZIONI!U417</f>
        <v/>
      </c>
      <c r="I24" s="87">
        <f>LAVORAZIONI!V417</f>
        <v/>
      </c>
    </row>
    <row r="25">
      <c r="A25" s="84">
        <f>LAVORAZIONI!G418</f>
        <v/>
      </c>
      <c r="B25" s="85">
        <f>LAVORAZIONI!A418</f>
        <v/>
      </c>
      <c r="C25" s="85">
        <f>LAVORAZIONI!K418</f>
        <v/>
      </c>
      <c r="D25" s="84">
        <f>LAVORAZIONI!M418</f>
        <v/>
      </c>
      <c r="E25" s="86">
        <f>LAVORAZIONI!N418</f>
        <v/>
      </c>
      <c r="F25" s="86">
        <f>LAVORAZIONI!O418</f>
        <v/>
      </c>
      <c r="G25" s="87">
        <f>LAVORAZIONI!P418</f>
        <v/>
      </c>
      <c r="H25" s="88">
        <f>LAVORAZIONI!U418</f>
        <v/>
      </c>
      <c r="I25" s="87">
        <f>LAVORAZIONI!V418</f>
        <v/>
      </c>
    </row>
    <row r="26">
      <c r="A26" s="84">
        <f>LAVORAZIONI!G419</f>
        <v/>
      </c>
      <c r="B26" s="85">
        <f>LAVORAZIONI!A419</f>
        <v/>
      </c>
      <c r="C26" s="85">
        <f>LAVORAZIONI!K419</f>
        <v/>
      </c>
      <c r="D26" s="84">
        <f>LAVORAZIONI!M419</f>
        <v/>
      </c>
      <c r="E26" s="86">
        <f>LAVORAZIONI!N419</f>
        <v/>
      </c>
      <c r="F26" s="86">
        <f>LAVORAZIONI!O419</f>
        <v/>
      </c>
      <c r="G26" s="87">
        <f>LAVORAZIONI!P419</f>
        <v/>
      </c>
      <c r="H26" s="88">
        <f>LAVORAZIONI!U419</f>
        <v/>
      </c>
      <c r="I26" s="87">
        <f>LAVORAZIONI!V419</f>
        <v/>
      </c>
    </row>
    <row r="27">
      <c r="A27" s="84">
        <f>LAVORAZIONI!G420</f>
        <v/>
      </c>
      <c r="B27" s="85">
        <f>LAVORAZIONI!A420</f>
        <v/>
      </c>
      <c r="C27" s="85">
        <f>LAVORAZIONI!K420</f>
        <v/>
      </c>
      <c r="D27" s="84">
        <f>LAVORAZIONI!M420</f>
        <v/>
      </c>
      <c r="E27" s="86">
        <f>LAVORAZIONI!N420</f>
        <v/>
      </c>
      <c r="F27" s="86">
        <f>LAVORAZIONI!O420</f>
        <v/>
      </c>
      <c r="G27" s="87">
        <f>LAVORAZIONI!P420</f>
        <v/>
      </c>
      <c r="H27" s="88">
        <f>LAVORAZIONI!U420</f>
        <v/>
      </c>
      <c r="I27" s="87">
        <f>LAVORAZIONI!V420</f>
        <v/>
      </c>
    </row>
    <row r="28">
      <c r="A28" s="84">
        <f>LAVORAZIONI!G421</f>
        <v/>
      </c>
      <c r="B28" s="85">
        <f>LAVORAZIONI!A421</f>
        <v/>
      </c>
      <c r="C28" s="85">
        <f>LAVORAZIONI!K421</f>
        <v/>
      </c>
      <c r="D28" s="84">
        <f>LAVORAZIONI!M421</f>
        <v/>
      </c>
      <c r="E28" s="86">
        <f>LAVORAZIONI!N421</f>
        <v/>
      </c>
      <c r="F28" s="86">
        <f>LAVORAZIONI!O421</f>
        <v/>
      </c>
      <c r="G28" s="87">
        <f>LAVORAZIONI!P421</f>
        <v/>
      </c>
      <c r="H28" s="88">
        <f>LAVORAZIONI!U421</f>
        <v/>
      </c>
      <c r="I28" s="87">
        <f>LAVORAZIONI!V421</f>
        <v/>
      </c>
    </row>
    <row r="29">
      <c r="A29" s="84">
        <f>LAVORAZIONI!G422</f>
        <v/>
      </c>
      <c r="B29" s="85">
        <f>LAVORAZIONI!A422</f>
        <v/>
      </c>
      <c r="C29" s="85">
        <f>LAVORAZIONI!K422</f>
        <v/>
      </c>
      <c r="D29" s="84">
        <f>LAVORAZIONI!M422</f>
        <v/>
      </c>
      <c r="E29" s="86">
        <f>LAVORAZIONI!N422</f>
        <v/>
      </c>
      <c r="F29" s="86">
        <f>LAVORAZIONI!O422</f>
        <v/>
      </c>
      <c r="G29" s="87">
        <f>LAVORAZIONI!P422</f>
        <v/>
      </c>
      <c r="H29" s="88">
        <f>LAVORAZIONI!U422</f>
        <v/>
      </c>
      <c r="I29" s="87">
        <f>LAVORAZIONI!V422</f>
        <v/>
      </c>
    </row>
    <row r="30">
      <c r="A30" s="84">
        <f>LAVORAZIONI!G423</f>
        <v/>
      </c>
      <c r="B30" s="85">
        <f>LAVORAZIONI!A423</f>
        <v/>
      </c>
      <c r="C30" s="85">
        <f>LAVORAZIONI!K423</f>
        <v/>
      </c>
      <c r="D30" s="84">
        <f>LAVORAZIONI!M423</f>
        <v/>
      </c>
      <c r="E30" s="86">
        <f>LAVORAZIONI!N423</f>
        <v/>
      </c>
      <c r="F30" s="86">
        <f>LAVORAZIONI!O423</f>
        <v/>
      </c>
      <c r="G30" s="87">
        <f>LAVORAZIONI!P423</f>
        <v/>
      </c>
      <c r="H30" s="88">
        <f>LAVORAZIONI!U423</f>
        <v/>
      </c>
      <c r="I30" s="87">
        <f>LAVORAZIONI!V423</f>
        <v/>
      </c>
    </row>
    <row r="31">
      <c r="A31" s="84">
        <f>LAVORAZIONI!G424</f>
        <v/>
      </c>
      <c r="B31" s="85">
        <f>LAVORAZIONI!A424</f>
        <v/>
      </c>
      <c r="C31" s="85">
        <f>LAVORAZIONI!K424</f>
        <v/>
      </c>
      <c r="D31" s="84">
        <f>LAVORAZIONI!M424</f>
        <v/>
      </c>
      <c r="E31" s="86">
        <f>LAVORAZIONI!N424</f>
        <v/>
      </c>
      <c r="F31" s="86">
        <f>LAVORAZIONI!O424</f>
        <v/>
      </c>
      <c r="G31" s="87">
        <f>LAVORAZIONI!P424</f>
        <v/>
      </c>
      <c r="H31" s="88">
        <f>LAVORAZIONI!U424</f>
        <v/>
      </c>
      <c r="I31" s="87">
        <f>LAVORAZIONI!V424</f>
        <v/>
      </c>
    </row>
    <row r="32">
      <c r="A32" s="84">
        <f>LAVORAZIONI!G425</f>
        <v/>
      </c>
      <c r="B32" s="85">
        <f>LAVORAZIONI!A425</f>
        <v/>
      </c>
      <c r="C32" s="85">
        <f>LAVORAZIONI!K425</f>
        <v/>
      </c>
      <c r="D32" s="84">
        <f>LAVORAZIONI!M425</f>
        <v/>
      </c>
      <c r="E32" s="86">
        <f>LAVORAZIONI!N425</f>
        <v/>
      </c>
      <c r="F32" s="86">
        <f>LAVORAZIONI!O425</f>
        <v/>
      </c>
      <c r="G32" s="87">
        <f>LAVORAZIONI!P425</f>
        <v/>
      </c>
      <c r="H32" s="88">
        <f>LAVORAZIONI!U425</f>
        <v/>
      </c>
      <c r="I32" s="87">
        <f>LAVORAZIONI!V425</f>
        <v/>
      </c>
    </row>
    <row r="33">
      <c r="A33" s="84">
        <f>LAVORAZIONI!G426</f>
        <v/>
      </c>
      <c r="B33" s="85">
        <f>LAVORAZIONI!A426</f>
        <v/>
      </c>
      <c r="C33" s="85">
        <f>LAVORAZIONI!K426</f>
        <v/>
      </c>
      <c r="D33" s="84">
        <f>LAVORAZIONI!M426</f>
        <v/>
      </c>
      <c r="E33" s="86">
        <f>LAVORAZIONI!N426</f>
        <v/>
      </c>
      <c r="F33" s="86">
        <f>LAVORAZIONI!O426</f>
        <v/>
      </c>
      <c r="G33" s="87">
        <f>LAVORAZIONI!P426</f>
        <v/>
      </c>
      <c r="H33" s="88">
        <f>LAVORAZIONI!U426</f>
        <v/>
      </c>
      <c r="I33" s="87">
        <f>LAVORAZIONI!V426</f>
        <v/>
      </c>
    </row>
    <row r="34">
      <c r="A34" s="84">
        <f>LAVORAZIONI!G427</f>
        <v/>
      </c>
      <c r="B34" s="85">
        <f>LAVORAZIONI!A427</f>
        <v/>
      </c>
      <c r="C34" s="85">
        <f>LAVORAZIONI!K427</f>
        <v/>
      </c>
      <c r="D34" s="84">
        <f>LAVORAZIONI!M427</f>
        <v/>
      </c>
      <c r="E34" s="86">
        <f>LAVORAZIONI!N427</f>
        <v/>
      </c>
      <c r="F34" s="86">
        <f>LAVORAZIONI!O427</f>
        <v/>
      </c>
      <c r="G34" s="87">
        <f>LAVORAZIONI!P427</f>
        <v/>
      </c>
      <c r="H34" s="88">
        <f>LAVORAZIONI!U427</f>
        <v/>
      </c>
      <c r="I34" s="87">
        <f>LAVORAZIONI!V427</f>
        <v/>
      </c>
    </row>
    <row r="35">
      <c r="A35" s="84">
        <f>LAVORAZIONI!G428</f>
        <v/>
      </c>
      <c r="B35" s="85">
        <f>LAVORAZIONI!A428</f>
        <v/>
      </c>
      <c r="C35" s="85">
        <f>LAVORAZIONI!K428</f>
        <v/>
      </c>
      <c r="D35" s="84">
        <f>LAVORAZIONI!M428</f>
        <v/>
      </c>
      <c r="E35" s="86">
        <f>LAVORAZIONI!N428</f>
        <v/>
      </c>
      <c r="F35" s="86">
        <f>LAVORAZIONI!O428</f>
        <v/>
      </c>
      <c r="G35" s="87">
        <f>LAVORAZIONI!P428</f>
        <v/>
      </c>
      <c r="H35" s="88">
        <f>LAVORAZIONI!U428</f>
        <v/>
      </c>
      <c r="I35" s="87">
        <f>LAVORAZIONI!V428</f>
        <v/>
      </c>
    </row>
    <row r="36">
      <c r="A36" s="84">
        <f>LAVORAZIONI!G429</f>
        <v/>
      </c>
      <c r="B36" s="85">
        <f>LAVORAZIONI!A429</f>
        <v/>
      </c>
      <c r="C36" s="85">
        <f>LAVORAZIONI!K429</f>
        <v/>
      </c>
      <c r="D36" s="84">
        <f>LAVORAZIONI!M429</f>
        <v/>
      </c>
      <c r="E36" s="86">
        <f>LAVORAZIONI!N429</f>
        <v/>
      </c>
      <c r="F36" s="86">
        <f>LAVORAZIONI!O429</f>
        <v/>
      </c>
      <c r="G36" s="87">
        <f>LAVORAZIONI!P429</f>
        <v/>
      </c>
      <c r="H36" s="88">
        <f>LAVORAZIONI!U429</f>
        <v/>
      </c>
      <c r="I36" s="87">
        <f>LAVORAZIONI!V429</f>
        <v/>
      </c>
    </row>
    <row r="37">
      <c r="A37" s="84">
        <f>LAVORAZIONI!G430</f>
        <v/>
      </c>
      <c r="B37" s="85">
        <f>LAVORAZIONI!A430</f>
        <v/>
      </c>
      <c r="C37" s="85">
        <f>LAVORAZIONI!K430</f>
        <v/>
      </c>
      <c r="D37" s="84">
        <f>LAVORAZIONI!M430</f>
        <v/>
      </c>
      <c r="E37" s="86">
        <f>LAVORAZIONI!N430</f>
        <v/>
      </c>
      <c r="F37" s="86">
        <f>LAVORAZIONI!O430</f>
        <v/>
      </c>
      <c r="G37" s="87">
        <f>LAVORAZIONI!P430</f>
        <v/>
      </c>
      <c r="H37" s="88">
        <f>LAVORAZIONI!U430</f>
        <v/>
      </c>
      <c r="I37" s="87">
        <f>LAVORAZIONI!V430</f>
        <v/>
      </c>
    </row>
    <row r="38">
      <c r="A38" s="84">
        <f>LAVORAZIONI!G431</f>
        <v/>
      </c>
      <c r="B38" s="85">
        <f>LAVORAZIONI!A431</f>
        <v/>
      </c>
      <c r="C38" s="85">
        <f>LAVORAZIONI!K431</f>
        <v/>
      </c>
      <c r="D38" s="84">
        <f>LAVORAZIONI!M431</f>
        <v/>
      </c>
      <c r="E38" s="86">
        <f>LAVORAZIONI!N431</f>
        <v/>
      </c>
      <c r="F38" s="86">
        <f>LAVORAZIONI!O431</f>
        <v/>
      </c>
      <c r="G38" s="87">
        <f>LAVORAZIONI!P431</f>
        <v/>
      </c>
      <c r="H38" s="88">
        <f>LAVORAZIONI!U431</f>
        <v/>
      </c>
      <c r="I38" s="87">
        <f>LAVORAZIONI!V431</f>
        <v/>
      </c>
    </row>
    <row r="39">
      <c r="A39" s="84">
        <f>LAVORAZIONI!G432</f>
        <v/>
      </c>
      <c r="B39" s="85">
        <f>LAVORAZIONI!A432</f>
        <v/>
      </c>
      <c r="C39" s="85">
        <f>LAVORAZIONI!K432</f>
        <v/>
      </c>
      <c r="D39" s="84">
        <f>LAVORAZIONI!M432</f>
        <v/>
      </c>
      <c r="E39" s="86">
        <f>LAVORAZIONI!N432</f>
        <v/>
      </c>
      <c r="F39" s="86">
        <f>LAVORAZIONI!O432</f>
        <v/>
      </c>
      <c r="G39" s="87">
        <f>LAVORAZIONI!P432</f>
        <v/>
      </c>
      <c r="H39" s="88">
        <f>LAVORAZIONI!U432</f>
        <v/>
      </c>
      <c r="I39" s="87">
        <f>LAVORAZIONI!V432</f>
        <v/>
      </c>
    </row>
    <row r="40">
      <c r="A40" s="84">
        <f>LAVORAZIONI!G433</f>
        <v/>
      </c>
      <c r="B40" s="85">
        <f>LAVORAZIONI!A433</f>
        <v/>
      </c>
      <c r="C40" s="85">
        <f>LAVORAZIONI!K433</f>
        <v/>
      </c>
      <c r="D40" s="84">
        <f>LAVORAZIONI!M433</f>
        <v/>
      </c>
      <c r="E40" s="86">
        <f>LAVORAZIONI!N433</f>
        <v/>
      </c>
      <c r="F40" s="86">
        <f>LAVORAZIONI!O433</f>
        <v/>
      </c>
      <c r="G40" s="87">
        <f>LAVORAZIONI!P433</f>
        <v/>
      </c>
      <c r="H40" s="88">
        <f>LAVORAZIONI!U433</f>
        <v/>
      </c>
      <c r="I40" s="87">
        <f>LAVORAZIONI!V433</f>
        <v/>
      </c>
    </row>
    <row r="41">
      <c r="A41" s="84">
        <f>LAVORAZIONI!G434</f>
        <v/>
      </c>
      <c r="B41" s="85">
        <f>LAVORAZIONI!A434</f>
        <v/>
      </c>
      <c r="C41" s="85">
        <f>LAVORAZIONI!K434</f>
        <v/>
      </c>
      <c r="D41" s="84">
        <f>LAVORAZIONI!M434</f>
        <v/>
      </c>
      <c r="E41" s="86">
        <f>LAVORAZIONI!N434</f>
        <v/>
      </c>
      <c r="F41" s="86">
        <f>LAVORAZIONI!O434</f>
        <v/>
      </c>
      <c r="G41" s="87">
        <f>LAVORAZIONI!P434</f>
        <v/>
      </c>
      <c r="H41" s="88">
        <f>LAVORAZIONI!U434</f>
        <v/>
      </c>
      <c r="I41" s="87">
        <f>LAVORAZIONI!V434</f>
        <v/>
      </c>
    </row>
    <row r="42">
      <c r="A42" s="84">
        <f>LAVORAZIONI!G435</f>
        <v/>
      </c>
      <c r="B42" s="85">
        <f>LAVORAZIONI!A435</f>
        <v/>
      </c>
      <c r="C42" s="85">
        <f>LAVORAZIONI!K435</f>
        <v/>
      </c>
      <c r="D42" s="84">
        <f>LAVORAZIONI!M435</f>
        <v/>
      </c>
      <c r="E42" s="86">
        <f>LAVORAZIONI!N435</f>
        <v/>
      </c>
      <c r="F42" s="86">
        <f>LAVORAZIONI!O435</f>
        <v/>
      </c>
      <c r="G42" s="87">
        <f>LAVORAZIONI!P435</f>
        <v/>
      </c>
      <c r="H42" s="88">
        <f>LAVORAZIONI!U435</f>
        <v/>
      </c>
      <c r="I42" s="87">
        <f>LAVORAZIONI!V435</f>
        <v/>
      </c>
    </row>
    <row r="43">
      <c r="A43" s="84">
        <f>LAVORAZIONI!G436</f>
        <v/>
      </c>
      <c r="B43" s="85">
        <f>LAVORAZIONI!A436</f>
        <v/>
      </c>
      <c r="C43" s="85">
        <f>LAVORAZIONI!K436</f>
        <v/>
      </c>
      <c r="D43" s="84">
        <f>LAVORAZIONI!M436</f>
        <v/>
      </c>
      <c r="E43" s="86">
        <f>LAVORAZIONI!N436</f>
        <v/>
      </c>
      <c r="F43" s="86">
        <f>LAVORAZIONI!O436</f>
        <v/>
      </c>
      <c r="G43" s="87">
        <f>LAVORAZIONI!P436</f>
        <v/>
      </c>
      <c r="H43" s="88">
        <f>LAVORAZIONI!U436</f>
        <v/>
      </c>
      <c r="I43" s="87">
        <f>LAVORAZIONI!V436</f>
        <v/>
      </c>
    </row>
    <row r="44">
      <c r="A44" s="84">
        <f>LAVORAZIONI!G437</f>
        <v/>
      </c>
      <c r="B44" s="85">
        <f>LAVORAZIONI!A437</f>
        <v/>
      </c>
      <c r="C44" s="85">
        <f>LAVORAZIONI!K437</f>
        <v/>
      </c>
      <c r="D44" s="84">
        <f>LAVORAZIONI!M437</f>
        <v/>
      </c>
      <c r="E44" s="86">
        <f>LAVORAZIONI!N437</f>
        <v/>
      </c>
      <c r="F44" s="86">
        <f>LAVORAZIONI!O437</f>
        <v/>
      </c>
      <c r="G44" s="87">
        <f>LAVORAZIONI!P437</f>
        <v/>
      </c>
      <c r="H44" s="88">
        <f>LAVORAZIONI!U437</f>
        <v/>
      </c>
      <c r="I44" s="87">
        <f>LAVORAZIONI!V437</f>
        <v/>
      </c>
    </row>
    <row r="45">
      <c r="A45" s="84">
        <f>LAVORAZIONI!G438</f>
        <v/>
      </c>
      <c r="B45" s="85">
        <f>LAVORAZIONI!A438</f>
        <v/>
      </c>
      <c r="C45" s="85">
        <f>LAVORAZIONI!K438</f>
        <v/>
      </c>
      <c r="D45" s="84">
        <f>LAVORAZIONI!M438</f>
        <v/>
      </c>
      <c r="E45" s="86">
        <f>LAVORAZIONI!N438</f>
        <v/>
      </c>
      <c r="F45" s="86">
        <f>LAVORAZIONI!O438</f>
        <v/>
      </c>
      <c r="G45" s="87">
        <f>LAVORAZIONI!P438</f>
        <v/>
      </c>
      <c r="H45" s="88">
        <f>LAVORAZIONI!U438</f>
        <v/>
      </c>
      <c r="I45" s="87">
        <f>LAVORAZIONI!V438</f>
        <v/>
      </c>
    </row>
    <row r="46">
      <c r="A46" s="84">
        <f>LAVORAZIONI!G439</f>
        <v/>
      </c>
      <c r="B46" s="85">
        <f>LAVORAZIONI!A439</f>
        <v/>
      </c>
      <c r="C46" s="85">
        <f>LAVORAZIONI!K439</f>
        <v/>
      </c>
      <c r="D46" s="84">
        <f>LAVORAZIONI!M439</f>
        <v/>
      </c>
      <c r="E46" s="86">
        <f>LAVORAZIONI!N439</f>
        <v/>
      </c>
      <c r="F46" s="86">
        <f>LAVORAZIONI!O439</f>
        <v/>
      </c>
      <c r="G46" s="87">
        <f>LAVORAZIONI!P439</f>
        <v/>
      </c>
      <c r="H46" s="88">
        <f>LAVORAZIONI!U439</f>
        <v/>
      </c>
      <c r="I46" s="87">
        <f>LAVORAZIONI!V439</f>
        <v/>
      </c>
    </row>
    <row r="47">
      <c r="A47" s="84">
        <f>LAVORAZIONI!G440</f>
        <v/>
      </c>
      <c r="B47" s="85">
        <f>LAVORAZIONI!A440</f>
        <v/>
      </c>
      <c r="C47" s="85">
        <f>LAVORAZIONI!K440</f>
        <v/>
      </c>
      <c r="D47" s="84">
        <f>LAVORAZIONI!M440</f>
        <v/>
      </c>
      <c r="E47" s="86">
        <f>LAVORAZIONI!N440</f>
        <v/>
      </c>
      <c r="F47" s="86">
        <f>LAVORAZIONI!O440</f>
        <v/>
      </c>
      <c r="G47" s="87">
        <f>LAVORAZIONI!P440</f>
        <v/>
      </c>
      <c r="H47" s="88">
        <f>LAVORAZIONI!U440</f>
        <v/>
      </c>
      <c r="I47" s="87">
        <f>LAVORAZIONI!V440</f>
        <v/>
      </c>
    </row>
    <row r="48">
      <c r="A48" s="84">
        <f>LAVORAZIONI!G441</f>
        <v/>
      </c>
      <c r="B48" s="85">
        <f>LAVORAZIONI!A441</f>
        <v/>
      </c>
      <c r="C48" s="85">
        <f>LAVORAZIONI!K441</f>
        <v/>
      </c>
      <c r="D48" s="84">
        <f>LAVORAZIONI!M441</f>
        <v/>
      </c>
      <c r="E48" s="86">
        <f>LAVORAZIONI!N441</f>
        <v/>
      </c>
      <c r="F48" s="86">
        <f>LAVORAZIONI!O441</f>
        <v/>
      </c>
      <c r="G48" s="87">
        <f>LAVORAZIONI!P441</f>
        <v/>
      </c>
      <c r="H48" s="88">
        <f>LAVORAZIONI!U441</f>
        <v/>
      </c>
      <c r="I48" s="87">
        <f>LAVORAZIONI!V441</f>
        <v/>
      </c>
    </row>
    <row r="49">
      <c r="A49" s="84">
        <f>LAVORAZIONI!G442</f>
        <v/>
      </c>
      <c r="B49" s="85">
        <f>LAVORAZIONI!A442</f>
        <v/>
      </c>
      <c r="C49" s="85">
        <f>LAVORAZIONI!K442</f>
        <v/>
      </c>
      <c r="D49" s="84">
        <f>LAVORAZIONI!M442</f>
        <v/>
      </c>
      <c r="E49" s="86">
        <f>LAVORAZIONI!N442</f>
        <v/>
      </c>
      <c r="F49" s="86">
        <f>LAVORAZIONI!O442</f>
        <v/>
      </c>
      <c r="G49" s="87">
        <f>LAVORAZIONI!P442</f>
        <v/>
      </c>
      <c r="H49" s="88">
        <f>LAVORAZIONI!U442</f>
        <v/>
      </c>
      <c r="I49" s="87">
        <f>LAVORAZIONI!V442</f>
        <v/>
      </c>
    </row>
    <row r="50">
      <c r="A50" s="84">
        <f>LAVORAZIONI!G443</f>
        <v/>
      </c>
      <c r="B50" s="85">
        <f>LAVORAZIONI!A443</f>
        <v/>
      </c>
      <c r="C50" s="85">
        <f>LAVORAZIONI!K443</f>
        <v/>
      </c>
      <c r="D50" s="84">
        <f>LAVORAZIONI!M443</f>
        <v/>
      </c>
      <c r="E50" s="86">
        <f>LAVORAZIONI!N443</f>
        <v/>
      </c>
      <c r="F50" s="86">
        <f>LAVORAZIONI!O443</f>
        <v/>
      </c>
      <c r="G50" s="87">
        <f>LAVORAZIONI!P443</f>
        <v/>
      </c>
      <c r="H50" s="88">
        <f>LAVORAZIONI!U443</f>
        <v/>
      </c>
      <c r="I50" s="87">
        <f>LAVORAZIONI!V443</f>
        <v/>
      </c>
    </row>
    <row r="51">
      <c r="A51" s="84">
        <f>LAVORAZIONI!G444</f>
        <v/>
      </c>
      <c r="B51" s="85">
        <f>LAVORAZIONI!A444</f>
        <v/>
      </c>
      <c r="C51" s="85">
        <f>LAVORAZIONI!K444</f>
        <v/>
      </c>
      <c r="D51" s="84">
        <f>LAVORAZIONI!M444</f>
        <v/>
      </c>
      <c r="E51" s="86">
        <f>LAVORAZIONI!N444</f>
        <v/>
      </c>
      <c r="F51" s="86">
        <f>LAVORAZIONI!O444</f>
        <v/>
      </c>
      <c r="G51" s="87">
        <f>LAVORAZIONI!P444</f>
        <v/>
      </c>
      <c r="H51" s="88">
        <f>LAVORAZIONI!U444</f>
        <v/>
      </c>
      <c r="I51" s="87">
        <f>LAVORAZIONI!V444</f>
        <v/>
      </c>
    </row>
    <row r="52">
      <c r="A52" s="84">
        <f>LAVORAZIONI!G445</f>
        <v/>
      </c>
      <c r="B52" s="85">
        <f>LAVORAZIONI!A445</f>
        <v/>
      </c>
      <c r="C52" s="85">
        <f>LAVORAZIONI!K445</f>
        <v/>
      </c>
      <c r="D52" s="84">
        <f>LAVORAZIONI!M445</f>
        <v/>
      </c>
      <c r="E52" s="86">
        <f>LAVORAZIONI!N445</f>
        <v/>
      </c>
      <c r="F52" s="86">
        <f>LAVORAZIONI!O445</f>
        <v/>
      </c>
      <c r="G52" s="87">
        <f>LAVORAZIONI!P445</f>
        <v/>
      </c>
      <c r="H52" s="88">
        <f>LAVORAZIONI!U445</f>
        <v/>
      </c>
      <c r="I52" s="87">
        <f>LAVORAZIONI!V445</f>
        <v/>
      </c>
    </row>
    <row r="53">
      <c r="A53" s="84">
        <f>LAVORAZIONI!G446</f>
        <v/>
      </c>
      <c r="B53" s="85">
        <f>LAVORAZIONI!A446</f>
        <v/>
      </c>
      <c r="C53" s="85">
        <f>LAVORAZIONI!K446</f>
        <v/>
      </c>
      <c r="D53" s="84">
        <f>LAVORAZIONI!M446</f>
        <v/>
      </c>
      <c r="E53" s="86">
        <f>LAVORAZIONI!N446</f>
        <v/>
      </c>
      <c r="F53" s="86">
        <f>LAVORAZIONI!O446</f>
        <v/>
      </c>
      <c r="G53" s="87">
        <f>LAVORAZIONI!P446</f>
        <v/>
      </c>
      <c r="H53" s="88">
        <f>LAVORAZIONI!U446</f>
        <v/>
      </c>
      <c r="I53" s="87">
        <f>LAVORAZIONI!V446</f>
        <v/>
      </c>
    </row>
    <row r="54">
      <c r="A54" s="84">
        <f>LAVORAZIONI!G447</f>
        <v/>
      </c>
      <c r="B54" s="85">
        <f>LAVORAZIONI!A447</f>
        <v/>
      </c>
      <c r="C54" s="85">
        <f>LAVORAZIONI!K447</f>
        <v/>
      </c>
      <c r="D54" s="84">
        <f>LAVORAZIONI!M447</f>
        <v/>
      </c>
      <c r="E54" s="86">
        <f>LAVORAZIONI!N447</f>
        <v/>
      </c>
      <c r="F54" s="86">
        <f>LAVORAZIONI!O447</f>
        <v/>
      </c>
      <c r="G54" s="87">
        <f>LAVORAZIONI!P447</f>
        <v/>
      </c>
      <c r="H54" s="88">
        <f>LAVORAZIONI!U447</f>
        <v/>
      </c>
      <c r="I54" s="87">
        <f>LAVORAZIONI!V447</f>
        <v/>
      </c>
    </row>
    <row r="55">
      <c r="A55" s="84">
        <f>LAVORAZIONI!G448</f>
        <v/>
      </c>
      <c r="B55" s="85">
        <f>LAVORAZIONI!A448</f>
        <v/>
      </c>
      <c r="C55" s="85">
        <f>LAVORAZIONI!K448</f>
        <v/>
      </c>
      <c r="D55" s="84">
        <f>LAVORAZIONI!M448</f>
        <v/>
      </c>
      <c r="E55" s="86">
        <f>LAVORAZIONI!N448</f>
        <v/>
      </c>
      <c r="F55" s="86">
        <f>LAVORAZIONI!O448</f>
        <v/>
      </c>
      <c r="G55" s="87">
        <f>LAVORAZIONI!P448</f>
        <v/>
      </c>
      <c r="H55" s="88">
        <f>LAVORAZIONI!U448</f>
        <v/>
      </c>
      <c r="I55" s="87">
        <f>LAVORAZIONI!V448</f>
        <v/>
      </c>
    </row>
    <row r="56">
      <c r="A56" s="84">
        <f>LAVORAZIONI!G449</f>
        <v/>
      </c>
      <c r="B56" s="85">
        <f>LAVORAZIONI!A449</f>
        <v/>
      </c>
      <c r="C56" s="85">
        <f>LAVORAZIONI!K449</f>
        <v/>
      </c>
      <c r="D56" s="84">
        <f>LAVORAZIONI!M449</f>
        <v/>
      </c>
      <c r="E56" s="86">
        <f>LAVORAZIONI!N449</f>
        <v/>
      </c>
      <c r="F56" s="86">
        <f>LAVORAZIONI!O449</f>
        <v/>
      </c>
      <c r="G56" s="87">
        <f>LAVORAZIONI!P449</f>
        <v/>
      </c>
      <c r="H56" s="88">
        <f>LAVORAZIONI!U449</f>
        <v/>
      </c>
      <c r="I56" s="87">
        <f>LAVORAZIONI!V449</f>
        <v/>
      </c>
    </row>
    <row r="57">
      <c r="A57" s="84">
        <f>LAVORAZIONI!G450</f>
        <v/>
      </c>
      <c r="B57" s="85">
        <f>LAVORAZIONI!A450</f>
        <v/>
      </c>
      <c r="C57" s="85">
        <f>LAVORAZIONI!K450</f>
        <v/>
      </c>
      <c r="D57" s="84">
        <f>LAVORAZIONI!M450</f>
        <v/>
      </c>
      <c r="E57" s="86">
        <f>LAVORAZIONI!N450</f>
        <v/>
      </c>
      <c r="F57" s="86">
        <f>LAVORAZIONI!O450</f>
        <v/>
      </c>
      <c r="G57" s="87">
        <f>LAVORAZIONI!P450</f>
        <v/>
      </c>
      <c r="H57" s="88">
        <f>LAVORAZIONI!U450</f>
        <v/>
      </c>
      <c r="I57" s="87">
        <f>LAVORAZIONI!V450</f>
        <v/>
      </c>
    </row>
    <row r="58">
      <c r="A58" s="84">
        <f>LAVORAZIONI!G451</f>
        <v/>
      </c>
      <c r="B58" s="85">
        <f>LAVORAZIONI!A451</f>
        <v/>
      </c>
      <c r="C58" s="85">
        <f>LAVORAZIONI!K451</f>
        <v/>
      </c>
      <c r="D58" s="84">
        <f>LAVORAZIONI!M451</f>
        <v/>
      </c>
      <c r="E58" s="86">
        <f>LAVORAZIONI!N451</f>
        <v/>
      </c>
      <c r="F58" s="86">
        <f>LAVORAZIONI!O451</f>
        <v/>
      </c>
      <c r="G58" s="87">
        <f>LAVORAZIONI!P451</f>
        <v/>
      </c>
      <c r="H58" s="88">
        <f>LAVORAZIONI!U451</f>
        <v/>
      </c>
      <c r="I58" s="87">
        <f>LAVORAZIONI!V451</f>
        <v/>
      </c>
    </row>
    <row r="59">
      <c r="A59" s="84">
        <f>LAVORAZIONI!G452</f>
        <v/>
      </c>
      <c r="B59" s="85">
        <f>LAVORAZIONI!A452</f>
        <v/>
      </c>
      <c r="C59" s="85">
        <f>LAVORAZIONI!K452</f>
        <v/>
      </c>
      <c r="D59" s="84">
        <f>LAVORAZIONI!M452</f>
        <v/>
      </c>
      <c r="E59" s="86">
        <f>LAVORAZIONI!N452</f>
        <v/>
      </c>
      <c r="F59" s="86">
        <f>LAVORAZIONI!O452</f>
        <v/>
      </c>
      <c r="G59" s="87">
        <f>LAVORAZIONI!P452</f>
        <v/>
      </c>
      <c r="H59" s="88">
        <f>LAVORAZIONI!U452</f>
        <v/>
      </c>
      <c r="I59" s="87">
        <f>LAVORAZIONI!V452</f>
        <v/>
      </c>
    </row>
    <row r="60">
      <c r="A60" s="84">
        <f>LAVORAZIONI!G453</f>
        <v/>
      </c>
      <c r="B60" s="85">
        <f>LAVORAZIONI!A453</f>
        <v/>
      </c>
      <c r="C60" s="85">
        <f>LAVORAZIONI!K453</f>
        <v/>
      </c>
      <c r="D60" s="84">
        <f>LAVORAZIONI!M453</f>
        <v/>
      </c>
      <c r="E60" s="86">
        <f>LAVORAZIONI!N453</f>
        <v/>
      </c>
      <c r="F60" s="86">
        <f>LAVORAZIONI!O453</f>
        <v/>
      </c>
      <c r="G60" s="87">
        <f>LAVORAZIONI!P453</f>
        <v/>
      </c>
      <c r="H60" s="88">
        <f>LAVORAZIONI!U453</f>
        <v/>
      </c>
      <c r="I60" s="87">
        <f>LAVORAZIONI!V453</f>
        <v/>
      </c>
    </row>
    <row r="61">
      <c r="A61" s="84">
        <f>LAVORAZIONI!G454</f>
        <v/>
      </c>
      <c r="B61" s="85">
        <f>LAVORAZIONI!A454</f>
        <v/>
      </c>
      <c r="C61" s="85">
        <f>LAVORAZIONI!K454</f>
        <v/>
      </c>
      <c r="D61" s="84">
        <f>LAVORAZIONI!M454</f>
        <v/>
      </c>
      <c r="E61" s="86">
        <f>LAVORAZIONI!N454</f>
        <v/>
      </c>
      <c r="F61" s="86">
        <f>LAVORAZIONI!O454</f>
        <v/>
      </c>
      <c r="G61" s="87">
        <f>LAVORAZIONI!P454</f>
        <v/>
      </c>
      <c r="H61" s="88">
        <f>LAVORAZIONI!U454</f>
        <v/>
      </c>
      <c r="I61" s="87">
        <f>LAVORAZIONI!V454</f>
        <v/>
      </c>
    </row>
    <row r="62">
      <c r="A62" s="84">
        <f>LAVORAZIONI!G455</f>
        <v/>
      </c>
      <c r="B62" s="85">
        <f>LAVORAZIONI!A455</f>
        <v/>
      </c>
      <c r="C62" s="85">
        <f>LAVORAZIONI!K455</f>
        <v/>
      </c>
      <c r="D62" s="84">
        <f>LAVORAZIONI!M455</f>
        <v/>
      </c>
      <c r="E62" s="86">
        <f>LAVORAZIONI!N455</f>
        <v/>
      </c>
      <c r="F62" s="86">
        <f>LAVORAZIONI!O455</f>
        <v/>
      </c>
      <c r="G62" s="87">
        <f>LAVORAZIONI!P455</f>
        <v/>
      </c>
      <c r="H62" s="88">
        <f>LAVORAZIONI!U455</f>
        <v/>
      </c>
      <c r="I62" s="87">
        <f>LAVORAZIONI!V455</f>
        <v/>
      </c>
    </row>
    <row r="63">
      <c r="A63" s="84">
        <f>LAVORAZIONI!G456</f>
        <v/>
      </c>
      <c r="B63" s="85">
        <f>LAVORAZIONI!A456</f>
        <v/>
      </c>
      <c r="C63" s="85">
        <f>LAVORAZIONI!K456</f>
        <v/>
      </c>
      <c r="D63" s="84">
        <f>LAVORAZIONI!M456</f>
        <v/>
      </c>
      <c r="E63" s="86">
        <f>LAVORAZIONI!N456</f>
        <v/>
      </c>
      <c r="F63" s="86">
        <f>LAVORAZIONI!O456</f>
        <v/>
      </c>
      <c r="G63" s="87">
        <f>LAVORAZIONI!P456</f>
        <v/>
      </c>
      <c r="H63" s="88">
        <f>LAVORAZIONI!U456</f>
        <v/>
      </c>
      <c r="I63" s="87">
        <f>LAVORAZIONI!V456</f>
        <v/>
      </c>
    </row>
    <row r="64">
      <c r="A64" s="84">
        <f>LAVORAZIONI!G457</f>
        <v/>
      </c>
      <c r="B64" s="85">
        <f>LAVORAZIONI!A457</f>
        <v/>
      </c>
      <c r="C64" s="85">
        <f>LAVORAZIONI!K457</f>
        <v/>
      </c>
      <c r="D64" s="84">
        <f>LAVORAZIONI!M457</f>
        <v/>
      </c>
      <c r="E64" s="86">
        <f>LAVORAZIONI!N457</f>
        <v/>
      </c>
      <c r="F64" s="86">
        <f>LAVORAZIONI!O457</f>
        <v/>
      </c>
      <c r="G64" s="87">
        <f>LAVORAZIONI!P457</f>
        <v/>
      </c>
      <c r="H64" s="88">
        <f>LAVORAZIONI!U457</f>
        <v/>
      </c>
      <c r="I64" s="87">
        <f>LAVORAZIONI!V457</f>
        <v/>
      </c>
    </row>
    <row r="65">
      <c r="A65" s="79">
        <f>LAVORAZIONI!G458</f>
        <v/>
      </c>
      <c r="B65" s="80">
        <f>LAVORAZIONI!A458</f>
        <v/>
      </c>
      <c r="C65" s="80">
        <f>LAVORAZIONI!K458</f>
        <v/>
      </c>
      <c r="D65" s="79">
        <f>LAVORAZIONI!M458</f>
        <v/>
      </c>
      <c r="E65" s="81">
        <f>LAVORAZIONI!N458</f>
        <v/>
      </c>
      <c r="F65" s="81">
        <f>LAVORAZIONI!O458</f>
        <v/>
      </c>
      <c r="G65" s="82">
        <f>LAVORAZIONI!P458</f>
        <v/>
      </c>
      <c r="H65" s="83">
        <f>LAVORAZIONI!U458</f>
        <v/>
      </c>
      <c r="I65" s="82">
        <f>LAVORAZIONI!V458</f>
        <v/>
      </c>
    </row>
    <row r="66">
      <c r="A66" s="79">
        <f>LAVORAZIONI!G459</f>
        <v/>
      </c>
      <c r="B66" s="80">
        <f>LAVORAZIONI!A459</f>
        <v/>
      </c>
      <c r="C66" s="80">
        <f>LAVORAZIONI!K459</f>
        <v/>
      </c>
      <c r="D66" s="79">
        <f>LAVORAZIONI!M459</f>
        <v/>
      </c>
      <c r="E66" s="81">
        <f>LAVORAZIONI!N459</f>
        <v/>
      </c>
      <c r="F66" s="81">
        <f>LAVORAZIONI!O459</f>
        <v/>
      </c>
      <c r="G66" s="82">
        <f>LAVORAZIONI!P459</f>
        <v/>
      </c>
      <c r="H66" s="83">
        <f>LAVORAZIONI!U459</f>
        <v/>
      </c>
      <c r="I66" s="82">
        <f>LAVORAZIONI!V459</f>
        <v/>
      </c>
    </row>
    <row r="67">
      <c r="A67" s="84">
        <f>LAVORAZIONI!G460</f>
        <v/>
      </c>
      <c r="B67" s="85">
        <f>LAVORAZIONI!A460</f>
        <v/>
      </c>
      <c r="C67" s="85">
        <f>LAVORAZIONI!K460</f>
        <v/>
      </c>
      <c r="D67" s="84">
        <f>LAVORAZIONI!M460</f>
        <v/>
      </c>
      <c r="E67" s="86">
        <f>LAVORAZIONI!N460</f>
        <v/>
      </c>
      <c r="F67" s="86">
        <f>LAVORAZIONI!O460</f>
        <v/>
      </c>
      <c r="G67" s="87">
        <f>LAVORAZIONI!P460</f>
        <v/>
      </c>
      <c r="H67" s="88">
        <f>LAVORAZIONI!U460</f>
        <v/>
      </c>
      <c r="I67" s="87">
        <f>LAVORAZIONI!V460</f>
        <v/>
      </c>
    </row>
    <row r="68">
      <c r="A68" s="84">
        <f>LAVORAZIONI!G461</f>
        <v/>
      </c>
      <c r="B68" s="85">
        <f>LAVORAZIONI!A461</f>
        <v/>
      </c>
      <c r="C68" s="85">
        <f>LAVORAZIONI!K461</f>
        <v/>
      </c>
      <c r="D68" s="84">
        <f>LAVORAZIONI!M461</f>
        <v/>
      </c>
      <c r="E68" s="86">
        <f>LAVORAZIONI!N461</f>
        <v/>
      </c>
      <c r="F68" s="86">
        <f>LAVORAZIONI!O461</f>
        <v/>
      </c>
      <c r="G68" s="87">
        <f>LAVORAZIONI!P461</f>
        <v/>
      </c>
      <c r="H68" s="88">
        <f>LAVORAZIONI!U461</f>
        <v/>
      </c>
      <c r="I68" s="87">
        <f>LAVORAZIONI!V461</f>
        <v/>
      </c>
    </row>
    <row r="69">
      <c r="A69" s="84">
        <f>LAVORAZIONI!G462</f>
        <v/>
      </c>
      <c r="B69" s="85">
        <f>LAVORAZIONI!A462</f>
        <v/>
      </c>
      <c r="C69" s="85">
        <f>LAVORAZIONI!K462</f>
        <v/>
      </c>
      <c r="D69" s="84">
        <f>LAVORAZIONI!M462</f>
        <v/>
      </c>
      <c r="E69" s="86">
        <f>LAVORAZIONI!N462</f>
        <v/>
      </c>
      <c r="F69" s="86">
        <f>LAVORAZIONI!O462</f>
        <v/>
      </c>
      <c r="G69" s="87">
        <f>LAVORAZIONI!P462</f>
        <v/>
      </c>
      <c r="H69" s="88">
        <f>LAVORAZIONI!U462</f>
        <v/>
      </c>
      <c r="I69" s="87">
        <f>LAVORAZIONI!V462</f>
        <v/>
      </c>
    </row>
    <row r="70">
      <c r="A70" s="84">
        <f>LAVORAZIONI!G463</f>
        <v/>
      </c>
      <c r="B70" s="85">
        <f>LAVORAZIONI!A463</f>
        <v/>
      </c>
      <c r="C70" s="85">
        <f>LAVORAZIONI!K463</f>
        <v/>
      </c>
      <c r="D70" s="84">
        <f>LAVORAZIONI!M463</f>
        <v/>
      </c>
      <c r="E70" s="86">
        <f>LAVORAZIONI!N463</f>
        <v/>
      </c>
      <c r="F70" s="86">
        <f>LAVORAZIONI!O463</f>
        <v/>
      </c>
      <c r="G70" s="87">
        <f>LAVORAZIONI!P463</f>
        <v/>
      </c>
      <c r="H70" s="88">
        <f>LAVORAZIONI!U463</f>
        <v/>
      </c>
      <c r="I70" s="87">
        <f>LAVORAZIONI!V463</f>
        <v/>
      </c>
    </row>
    <row r="71">
      <c r="A71" s="84">
        <f>LAVORAZIONI!G464</f>
        <v/>
      </c>
      <c r="B71" s="85">
        <f>LAVORAZIONI!A464</f>
        <v/>
      </c>
      <c r="C71" s="85">
        <f>LAVORAZIONI!K464</f>
        <v/>
      </c>
      <c r="D71" s="84">
        <f>LAVORAZIONI!M464</f>
        <v/>
      </c>
      <c r="E71" s="86">
        <f>LAVORAZIONI!N464</f>
        <v/>
      </c>
      <c r="F71" s="86">
        <f>LAVORAZIONI!O464</f>
        <v/>
      </c>
      <c r="G71" s="87">
        <f>LAVORAZIONI!P464</f>
        <v/>
      </c>
      <c r="H71" s="88">
        <f>LAVORAZIONI!U464</f>
        <v/>
      </c>
      <c r="I71" s="87">
        <f>LAVORAZIONI!V464</f>
        <v/>
      </c>
    </row>
    <row r="72">
      <c r="A72" s="84">
        <f>LAVORAZIONI!G465</f>
        <v/>
      </c>
      <c r="B72" s="85">
        <f>LAVORAZIONI!A465</f>
        <v/>
      </c>
      <c r="C72" s="85">
        <f>LAVORAZIONI!K465</f>
        <v/>
      </c>
      <c r="D72" s="84">
        <f>LAVORAZIONI!M465</f>
        <v/>
      </c>
      <c r="E72" s="86">
        <f>LAVORAZIONI!N465</f>
        <v/>
      </c>
      <c r="F72" s="86">
        <f>LAVORAZIONI!O465</f>
        <v/>
      </c>
      <c r="G72" s="87">
        <f>LAVORAZIONI!P465</f>
        <v/>
      </c>
      <c r="H72" s="88">
        <f>LAVORAZIONI!U465</f>
        <v/>
      </c>
      <c r="I72" s="87">
        <f>LAVORAZIONI!V465</f>
        <v/>
      </c>
    </row>
    <row r="73">
      <c r="A73" s="84">
        <f>LAVORAZIONI!G466</f>
        <v/>
      </c>
      <c r="B73" s="85">
        <f>LAVORAZIONI!A466</f>
        <v/>
      </c>
      <c r="C73" s="85">
        <f>LAVORAZIONI!K466</f>
        <v/>
      </c>
      <c r="D73" s="84">
        <f>LAVORAZIONI!M466</f>
        <v/>
      </c>
      <c r="E73" s="86">
        <f>LAVORAZIONI!N466</f>
        <v/>
      </c>
      <c r="F73" s="86">
        <f>LAVORAZIONI!O466</f>
        <v/>
      </c>
      <c r="G73" s="87">
        <f>LAVORAZIONI!P466</f>
        <v/>
      </c>
      <c r="H73" s="88">
        <f>LAVORAZIONI!U466</f>
        <v/>
      </c>
      <c r="I73" s="87">
        <f>LAVORAZIONI!V466</f>
        <v/>
      </c>
    </row>
    <row r="74">
      <c r="A74" s="84">
        <f>LAVORAZIONI!G467</f>
        <v/>
      </c>
      <c r="B74" s="85">
        <f>LAVORAZIONI!A467</f>
        <v/>
      </c>
      <c r="C74" s="85">
        <f>LAVORAZIONI!K467</f>
        <v/>
      </c>
      <c r="D74" s="84">
        <f>LAVORAZIONI!M467</f>
        <v/>
      </c>
      <c r="E74" s="86">
        <f>LAVORAZIONI!N467</f>
        <v/>
      </c>
      <c r="F74" s="86">
        <f>LAVORAZIONI!O467</f>
        <v/>
      </c>
      <c r="G74" s="87">
        <f>LAVORAZIONI!P467</f>
        <v/>
      </c>
      <c r="H74" s="88">
        <f>LAVORAZIONI!U467</f>
        <v/>
      </c>
      <c r="I74" s="87">
        <f>LAVORAZIONI!V467</f>
        <v/>
      </c>
    </row>
    <row r="75">
      <c r="A75" s="84">
        <f>LAVORAZIONI!G468</f>
        <v/>
      </c>
      <c r="B75" s="85">
        <f>LAVORAZIONI!A468</f>
        <v/>
      </c>
      <c r="C75" s="85">
        <f>LAVORAZIONI!K468</f>
        <v/>
      </c>
      <c r="D75" s="84">
        <f>LAVORAZIONI!M468</f>
        <v/>
      </c>
      <c r="E75" s="86">
        <f>LAVORAZIONI!N468</f>
        <v/>
      </c>
      <c r="F75" s="86">
        <f>LAVORAZIONI!O468</f>
        <v/>
      </c>
      <c r="G75" s="87">
        <f>LAVORAZIONI!P468</f>
        <v/>
      </c>
      <c r="H75" s="88">
        <f>LAVORAZIONI!U468</f>
        <v/>
      </c>
      <c r="I75" s="87">
        <f>LAVORAZIONI!V468</f>
        <v/>
      </c>
    </row>
    <row r="76">
      <c r="A76" s="84">
        <f>LAVORAZIONI!G469</f>
        <v/>
      </c>
      <c r="B76" s="85">
        <f>LAVORAZIONI!A469</f>
        <v/>
      </c>
      <c r="C76" s="85">
        <f>LAVORAZIONI!K469</f>
        <v/>
      </c>
      <c r="D76" s="84">
        <f>LAVORAZIONI!M469</f>
        <v/>
      </c>
      <c r="E76" s="86">
        <f>LAVORAZIONI!N469</f>
        <v/>
      </c>
      <c r="F76" s="86">
        <f>LAVORAZIONI!O469</f>
        <v/>
      </c>
      <c r="G76" s="87">
        <f>LAVORAZIONI!P469</f>
        <v/>
      </c>
      <c r="H76" s="88">
        <f>LAVORAZIONI!U469</f>
        <v/>
      </c>
      <c r="I76" s="87">
        <f>LAVORAZIONI!V469</f>
        <v/>
      </c>
    </row>
    <row r="77">
      <c r="A77" s="84">
        <f>LAVORAZIONI!G470</f>
        <v/>
      </c>
      <c r="B77" s="85">
        <f>LAVORAZIONI!A470</f>
        <v/>
      </c>
      <c r="C77" s="85">
        <f>LAVORAZIONI!K470</f>
        <v/>
      </c>
      <c r="D77" s="84">
        <f>LAVORAZIONI!M470</f>
        <v/>
      </c>
      <c r="E77" s="86">
        <f>LAVORAZIONI!N470</f>
        <v/>
      </c>
      <c r="F77" s="86">
        <f>LAVORAZIONI!O470</f>
        <v/>
      </c>
      <c r="G77" s="87">
        <f>LAVORAZIONI!P470</f>
        <v/>
      </c>
      <c r="H77" s="88">
        <f>LAVORAZIONI!U470</f>
        <v/>
      </c>
      <c r="I77" s="87">
        <f>LAVORAZIONI!V470</f>
        <v/>
      </c>
    </row>
    <row r="78">
      <c r="A78" s="84">
        <f>LAVORAZIONI!G471</f>
        <v/>
      </c>
      <c r="B78" s="85">
        <f>LAVORAZIONI!A471</f>
        <v/>
      </c>
      <c r="C78" s="85">
        <f>LAVORAZIONI!K471</f>
        <v/>
      </c>
      <c r="D78" s="84">
        <f>LAVORAZIONI!M471</f>
        <v/>
      </c>
      <c r="E78" s="86">
        <f>LAVORAZIONI!N471</f>
        <v/>
      </c>
      <c r="F78" s="86">
        <f>LAVORAZIONI!O471</f>
        <v/>
      </c>
      <c r="G78" s="87">
        <f>LAVORAZIONI!P471</f>
        <v/>
      </c>
      <c r="H78" s="88">
        <f>LAVORAZIONI!U471</f>
        <v/>
      </c>
      <c r="I78" s="87">
        <f>LAVORAZIONI!V471</f>
        <v/>
      </c>
    </row>
    <row r="79">
      <c r="A79" s="84">
        <f>LAVORAZIONI!G472</f>
        <v/>
      </c>
      <c r="B79" s="85">
        <f>LAVORAZIONI!A472</f>
        <v/>
      </c>
      <c r="C79" s="85">
        <f>LAVORAZIONI!K472</f>
        <v/>
      </c>
      <c r="D79" s="84">
        <f>LAVORAZIONI!M472</f>
        <v/>
      </c>
      <c r="E79" s="86">
        <f>LAVORAZIONI!N472</f>
        <v/>
      </c>
      <c r="F79" s="86">
        <f>LAVORAZIONI!O472</f>
        <v/>
      </c>
      <c r="G79" s="87">
        <f>LAVORAZIONI!P472</f>
        <v/>
      </c>
      <c r="H79" s="88">
        <f>LAVORAZIONI!U472</f>
        <v/>
      </c>
      <c r="I79" s="87">
        <f>LAVORAZIONI!V472</f>
        <v/>
      </c>
    </row>
    <row r="80">
      <c r="A80" s="84">
        <f>LAVORAZIONI!G473</f>
        <v/>
      </c>
      <c r="B80" s="85">
        <f>LAVORAZIONI!A473</f>
        <v/>
      </c>
      <c r="C80" s="85">
        <f>LAVORAZIONI!K473</f>
        <v/>
      </c>
      <c r="D80" s="84">
        <f>LAVORAZIONI!M473</f>
        <v/>
      </c>
      <c r="E80" s="86">
        <f>LAVORAZIONI!N473</f>
        <v/>
      </c>
      <c r="F80" s="86">
        <f>LAVORAZIONI!O473</f>
        <v/>
      </c>
      <c r="G80" s="87">
        <f>LAVORAZIONI!P473</f>
        <v/>
      </c>
      <c r="H80" s="88">
        <f>LAVORAZIONI!U473</f>
        <v/>
      </c>
      <c r="I80" s="87">
        <f>LAVORAZIONI!V473</f>
        <v/>
      </c>
    </row>
    <row r="81">
      <c r="A81" s="84">
        <f>LAVORAZIONI!G474</f>
        <v/>
      </c>
      <c r="B81" s="85">
        <f>LAVORAZIONI!A474</f>
        <v/>
      </c>
      <c r="C81" s="85">
        <f>LAVORAZIONI!K474</f>
        <v/>
      </c>
      <c r="D81" s="84">
        <f>LAVORAZIONI!M474</f>
        <v/>
      </c>
      <c r="E81" s="86">
        <f>LAVORAZIONI!N474</f>
        <v/>
      </c>
      <c r="F81" s="86">
        <f>LAVORAZIONI!O474</f>
        <v/>
      </c>
      <c r="G81" s="87">
        <f>LAVORAZIONI!P474</f>
        <v/>
      </c>
      <c r="H81" s="88">
        <f>LAVORAZIONI!U474</f>
        <v/>
      </c>
      <c r="I81" s="87">
        <f>LAVORAZIONI!V474</f>
        <v/>
      </c>
    </row>
    <row r="82">
      <c r="A82" s="84">
        <f>LAVORAZIONI!G475</f>
        <v/>
      </c>
      <c r="B82" s="85">
        <f>LAVORAZIONI!A475</f>
        <v/>
      </c>
      <c r="C82" s="85">
        <f>LAVORAZIONI!K475</f>
        <v/>
      </c>
      <c r="D82" s="84">
        <f>LAVORAZIONI!M475</f>
        <v/>
      </c>
      <c r="E82" s="86">
        <f>LAVORAZIONI!N475</f>
        <v/>
      </c>
      <c r="F82" s="86">
        <f>LAVORAZIONI!O475</f>
        <v/>
      </c>
      <c r="G82" s="87">
        <f>LAVORAZIONI!P475</f>
        <v/>
      </c>
      <c r="H82" s="88">
        <f>LAVORAZIONI!U475</f>
        <v/>
      </c>
      <c r="I82" s="87">
        <f>LAVORAZIONI!V475</f>
        <v/>
      </c>
    </row>
    <row r="83">
      <c r="A83" s="84">
        <f>LAVORAZIONI!G476</f>
        <v/>
      </c>
      <c r="B83" s="85">
        <f>LAVORAZIONI!A476</f>
        <v/>
      </c>
      <c r="C83" s="85">
        <f>LAVORAZIONI!K476</f>
        <v/>
      </c>
      <c r="D83" s="84">
        <f>LAVORAZIONI!M476</f>
        <v/>
      </c>
      <c r="E83" s="86">
        <f>LAVORAZIONI!N476</f>
        <v/>
      </c>
      <c r="F83" s="86">
        <f>LAVORAZIONI!O476</f>
        <v/>
      </c>
      <c r="G83" s="87">
        <f>LAVORAZIONI!P476</f>
        <v/>
      </c>
      <c r="H83" s="88">
        <f>LAVORAZIONI!U476</f>
        <v/>
      </c>
      <c r="I83" s="87">
        <f>LAVORAZIONI!V476</f>
        <v/>
      </c>
    </row>
    <row r="84">
      <c r="A84" s="84">
        <f>LAVORAZIONI!G477</f>
        <v/>
      </c>
      <c r="B84" s="85">
        <f>LAVORAZIONI!A477</f>
        <v/>
      </c>
      <c r="C84" s="85">
        <f>LAVORAZIONI!K477</f>
        <v/>
      </c>
      <c r="D84" s="84">
        <f>LAVORAZIONI!M477</f>
        <v/>
      </c>
      <c r="E84" s="86">
        <f>LAVORAZIONI!N477</f>
        <v/>
      </c>
      <c r="F84" s="86">
        <f>LAVORAZIONI!O477</f>
        <v/>
      </c>
      <c r="G84" s="87">
        <f>LAVORAZIONI!P477</f>
        <v/>
      </c>
      <c r="H84" s="88">
        <f>LAVORAZIONI!U477</f>
        <v/>
      </c>
      <c r="I84" s="87">
        <f>LAVORAZIONI!V477</f>
        <v/>
      </c>
    </row>
    <row r="85">
      <c r="A85" s="84">
        <f>LAVORAZIONI!G478</f>
        <v/>
      </c>
      <c r="B85" s="85">
        <f>LAVORAZIONI!A478</f>
        <v/>
      </c>
      <c r="C85" s="85">
        <f>LAVORAZIONI!K478</f>
        <v/>
      </c>
      <c r="D85" s="84">
        <f>LAVORAZIONI!M478</f>
        <v/>
      </c>
      <c r="E85" s="86">
        <f>LAVORAZIONI!N478</f>
        <v/>
      </c>
      <c r="F85" s="86">
        <f>LAVORAZIONI!O478</f>
        <v/>
      </c>
      <c r="G85" s="87">
        <f>LAVORAZIONI!P478</f>
        <v/>
      </c>
      <c r="H85" s="88">
        <f>LAVORAZIONI!U478</f>
        <v/>
      </c>
      <c r="I85" s="87">
        <f>LAVORAZIONI!V478</f>
        <v/>
      </c>
    </row>
    <row r="86">
      <c r="A86" s="84">
        <f>LAVORAZIONI!G479</f>
        <v/>
      </c>
      <c r="B86" s="85">
        <f>LAVORAZIONI!A479</f>
        <v/>
      </c>
      <c r="C86" s="85">
        <f>LAVORAZIONI!K479</f>
        <v/>
      </c>
      <c r="D86" s="84">
        <f>LAVORAZIONI!M479</f>
        <v/>
      </c>
      <c r="E86" s="86">
        <f>LAVORAZIONI!N479</f>
        <v/>
      </c>
      <c r="F86" s="86">
        <f>LAVORAZIONI!O479</f>
        <v/>
      </c>
      <c r="G86" s="87">
        <f>LAVORAZIONI!P479</f>
        <v/>
      </c>
      <c r="H86" s="88">
        <f>LAVORAZIONI!U479</f>
        <v/>
      </c>
      <c r="I86" s="87">
        <f>LAVORAZIONI!V479</f>
        <v/>
      </c>
    </row>
    <row r="87">
      <c r="A87" s="84">
        <f>LAVORAZIONI!G480</f>
        <v/>
      </c>
      <c r="B87" s="85">
        <f>LAVORAZIONI!A480</f>
        <v/>
      </c>
      <c r="C87" s="85">
        <f>LAVORAZIONI!K480</f>
        <v/>
      </c>
      <c r="D87" s="84">
        <f>LAVORAZIONI!M480</f>
        <v/>
      </c>
      <c r="E87" s="86">
        <f>LAVORAZIONI!N480</f>
        <v/>
      </c>
      <c r="F87" s="86">
        <f>LAVORAZIONI!O480</f>
        <v/>
      </c>
      <c r="G87" s="87">
        <f>LAVORAZIONI!P480</f>
        <v/>
      </c>
      <c r="H87" s="88">
        <f>LAVORAZIONI!U480</f>
        <v/>
      </c>
      <c r="I87" s="87">
        <f>LAVORAZIONI!V480</f>
        <v/>
      </c>
    </row>
    <row r="88">
      <c r="A88" s="84">
        <f>LAVORAZIONI!G481</f>
        <v/>
      </c>
      <c r="B88" s="85">
        <f>LAVORAZIONI!A481</f>
        <v/>
      </c>
      <c r="C88" s="85">
        <f>LAVORAZIONI!K481</f>
        <v/>
      </c>
      <c r="D88" s="84">
        <f>LAVORAZIONI!M481</f>
        <v/>
      </c>
      <c r="E88" s="86">
        <f>LAVORAZIONI!N481</f>
        <v/>
      </c>
      <c r="F88" s="86">
        <f>LAVORAZIONI!O481</f>
        <v/>
      </c>
      <c r="G88" s="87">
        <f>LAVORAZIONI!P481</f>
        <v/>
      </c>
      <c r="H88" s="88">
        <f>LAVORAZIONI!U481</f>
        <v/>
      </c>
      <c r="I88" s="87">
        <f>LAVORAZIONI!V481</f>
        <v/>
      </c>
    </row>
    <row r="89">
      <c r="A89" s="84">
        <f>LAVORAZIONI!G482</f>
        <v/>
      </c>
      <c r="B89" s="85">
        <f>LAVORAZIONI!A482</f>
        <v/>
      </c>
      <c r="C89" s="85">
        <f>LAVORAZIONI!K482</f>
        <v/>
      </c>
      <c r="D89" s="84">
        <f>LAVORAZIONI!M482</f>
        <v/>
      </c>
      <c r="E89" s="86">
        <f>LAVORAZIONI!N482</f>
        <v/>
      </c>
      <c r="F89" s="86">
        <f>LAVORAZIONI!O482</f>
        <v/>
      </c>
      <c r="G89" s="87">
        <f>LAVORAZIONI!P482</f>
        <v/>
      </c>
      <c r="H89" s="88">
        <f>LAVORAZIONI!U482</f>
        <v/>
      </c>
      <c r="I89" s="87">
        <f>LAVORAZIONI!V482</f>
        <v/>
      </c>
    </row>
    <row r="90">
      <c r="A90" s="84">
        <f>LAVORAZIONI!G483</f>
        <v/>
      </c>
      <c r="B90" s="85">
        <f>LAVORAZIONI!A483</f>
        <v/>
      </c>
      <c r="C90" s="85">
        <f>LAVORAZIONI!K483</f>
        <v/>
      </c>
      <c r="D90" s="84">
        <f>LAVORAZIONI!M483</f>
        <v/>
      </c>
      <c r="E90" s="86">
        <f>LAVORAZIONI!N483</f>
        <v/>
      </c>
      <c r="F90" s="86">
        <f>LAVORAZIONI!O483</f>
        <v/>
      </c>
      <c r="G90" s="87">
        <f>LAVORAZIONI!P483</f>
        <v/>
      </c>
      <c r="H90" s="88">
        <f>LAVORAZIONI!U483</f>
        <v/>
      </c>
      <c r="I90" s="87">
        <f>LAVORAZIONI!V483</f>
        <v/>
      </c>
    </row>
    <row r="91">
      <c r="A91" s="84">
        <f>LAVORAZIONI!G484</f>
        <v/>
      </c>
      <c r="B91" s="85">
        <f>LAVORAZIONI!A484</f>
        <v/>
      </c>
      <c r="C91" s="85">
        <f>LAVORAZIONI!K484</f>
        <v/>
      </c>
      <c r="D91" s="84">
        <f>LAVORAZIONI!M484</f>
        <v/>
      </c>
      <c r="E91" s="86">
        <f>LAVORAZIONI!N484</f>
        <v/>
      </c>
      <c r="F91" s="86">
        <f>LAVORAZIONI!O484</f>
        <v/>
      </c>
      <c r="G91" s="87">
        <f>LAVORAZIONI!P484</f>
        <v/>
      </c>
      <c r="H91" s="88">
        <f>LAVORAZIONI!U484</f>
        <v/>
      </c>
      <c r="I91" s="87">
        <f>LAVORAZIONI!V484</f>
        <v/>
      </c>
    </row>
    <row r="92">
      <c r="A92" s="84">
        <f>LAVORAZIONI!G485</f>
        <v/>
      </c>
      <c r="B92" s="85">
        <f>LAVORAZIONI!A485</f>
        <v/>
      </c>
      <c r="C92" s="85">
        <f>LAVORAZIONI!K485</f>
        <v/>
      </c>
      <c r="D92" s="84">
        <f>LAVORAZIONI!M485</f>
        <v/>
      </c>
      <c r="E92" s="86">
        <f>LAVORAZIONI!N485</f>
        <v/>
      </c>
      <c r="F92" s="86">
        <f>LAVORAZIONI!O485</f>
        <v/>
      </c>
      <c r="G92" s="87">
        <f>LAVORAZIONI!P485</f>
        <v/>
      </c>
      <c r="H92" s="88">
        <f>LAVORAZIONI!U485</f>
        <v/>
      </c>
      <c r="I92" s="87">
        <f>LAVORAZIONI!V485</f>
        <v/>
      </c>
    </row>
    <row r="93">
      <c r="A93" s="84">
        <f>LAVORAZIONI!G486</f>
        <v/>
      </c>
      <c r="B93" s="85">
        <f>LAVORAZIONI!A486</f>
        <v/>
      </c>
      <c r="C93" s="85">
        <f>LAVORAZIONI!K486</f>
        <v/>
      </c>
      <c r="D93" s="84">
        <f>LAVORAZIONI!M486</f>
        <v/>
      </c>
      <c r="E93" s="86">
        <f>LAVORAZIONI!N486</f>
        <v/>
      </c>
      <c r="F93" s="86">
        <f>LAVORAZIONI!O486</f>
        <v/>
      </c>
      <c r="G93" s="87">
        <f>LAVORAZIONI!P486</f>
        <v/>
      </c>
      <c r="H93" s="88">
        <f>LAVORAZIONI!U486</f>
        <v/>
      </c>
      <c r="I93" s="87">
        <f>LAVORAZIONI!V486</f>
        <v/>
      </c>
    </row>
    <row r="94">
      <c r="A94" s="84">
        <f>LAVORAZIONI!G487</f>
        <v/>
      </c>
      <c r="B94" s="85">
        <f>LAVORAZIONI!A487</f>
        <v/>
      </c>
      <c r="C94" s="85">
        <f>LAVORAZIONI!K487</f>
        <v/>
      </c>
      <c r="D94" s="84">
        <f>LAVORAZIONI!M487</f>
        <v/>
      </c>
      <c r="E94" s="86">
        <f>LAVORAZIONI!N487</f>
        <v/>
      </c>
      <c r="F94" s="86">
        <f>LAVORAZIONI!O487</f>
        <v/>
      </c>
      <c r="G94" s="87">
        <f>LAVORAZIONI!P487</f>
        <v/>
      </c>
      <c r="H94" s="88">
        <f>LAVORAZIONI!U487</f>
        <v/>
      </c>
      <c r="I94" s="87">
        <f>LAVORAZIONI!V487</f>
        <v/>
      </c>
    </row>
    <row r="95">
      <c r="A95" s="84">
        <f>LAVORAZIONI!G488</f>
        <v/>
      </c>
      <c r="B95" s="85">
        <f>LAVORAZIONI!A488</f>
        <v/>
      </c>
      <c r="C95" s="85">
        <f>LAVORAZIONI!K488</f>
        <v/>
      </c>
      <c r="D95" s="84">
        <f>LAVORAZIONI!M488</f>
        <v/>
      </c>
      <c r="E95" s="86">
        <f>LAVORAZIONI!N488</f>
        <v/>
      </c>
      <c r="F95" s="86">
        <f>LAVORAZIONI!O488</f>
        <v/>
      </c>
      <c r="G95" s="87">
        <f>LAVORAZIONI!P488</f>
        <v/>
      </c>
      <c r="H95" s="88">
        <f>LAVORAZIONI!U488</f>
        <v/>
      </c>
      <c r="I95" s="87">
        <f>LAVORAZIONI!V488</f>
        <v/>
      </c>
    </row>
    <row r="96">
      <c r="A96" s="84">
        <f>LAVORAZIONI!G489</f>
        <v/>
      </c>
      <c r="B96" s="85">
        <f>LAVORAZIONI!A489</f>
        <v/>
      </c>
      <c r="C96" s="85">
        <f>LAVORAZIONI!K489</f>
        <v/>
      </c>
      <c r="D96" s="84">
        <f>LAVORAZIONI!M489</f>
        <v/>
      </c>
      <c r="E96" s="86">
        <f>LAVORAZIONI!N489</f>
        <v/>
      </c>
      <c r="F96" s="86">
        <f>LAVORAZIONI!O489</f>
        <v/>
      </c>
      <c r="G96" s="87">
        <f>LAVORAZIONI!P489</f>
        <v/>
      </c>
      <c r="H96" s="88">
        <f>LAVORAZIONI!U489</f>
        <v/>
      </c>
      <c r="I96" s="87">
        <f>LAVORAZIONI!V489</f>
        <v/>
      </c>
    </row>
    <row r="97">
      <c r="A97" s="84">
        <f>LAVORAZIONI!G490</f>
        <v/>
      </c>
      <c r="B97" s="85">
        <f>LAVORAZIONI!A490</f>
        <v/>
      </c>
      <c r="C97" s="85">
        <f>LAVORAZIONI!K490</f>
        <v/>
      </c>
      <c r="D97" s="84">
        <f>LAVORAZIONI!M490</f>
        <v/>
      </c>
      <c r="E97" s="86">
        <f>LAVORAZIONI!N490</f>
        <v/>
      </c>
      <c r="F97" s="86">
        <f>LAVORAZIONI!O490</f>
        <v/>
      </c>
      <c r="G97" s="87">
        <f>LAVORAZIONI!P490</f>
        <v/>
      </c>
      <c r="H97" s="88">
        <f>LAVORAZIONI!U490</f>
        <v/>
      </c>
      <c r="I97" s="87">
        <f>LAVORAZIONI!V490</f>
        <v/>
      </c>
    </row>
    <row r="98">
      <c r="A98" s="84">
        <f>LAVORAZIONI!G491</f>
        <v/>
      </c>
      <c r="B98" s="85">
        <f>LAVORAZIONI!A491</f>
        <v/>
      </c>
      <c r="C98" s="85">
        <f>LAVORAZIONI!K491</f>
        <v/>
      </c>
      <c r="D98" s="84">
        <f>LAVORAZIONI!M491</f>
        <v/>
      </c>
      <c r="E98" s="86">
        <f>LAVORAZIONI!N491</f>
        <v/>
      </c>
      <c r="F98" s="86">
        <f>LAVORAZIONI!O491</f>
        <v/>
      </c>
      <c r="G98" s="87">
        <f>LAVORAZIONI!P491</f>
        <v/>
      </c>
      <c r="H98" s="88">
        <f>LAVORAZIONI!U491</f>
        <v/>
      </c>
      <c r="I98" s="87">
        <f>LAVORAZIONI!V491</f>
        <v/>
      </c>
    </row>
    <row r="99">
      <c r="A99" s="84">
        <f>LAVORAZIONI!G492</f>
        <v/>
      </c>
      <c r="B99" s="85">
        <f>LAVORAZIONI!A492</f>
        <v/>
      </c>
      <c r="C99" s="85">
        <f>LAVORAZIONI!K492</f>
        <v/>
      </c>
      <c r="D99" s="84">
        <f>LAVORAZIONI!M492</f>
        <v/>
      </c>
      <c r="E99" s="86">
        <f>LAVORAZIONI!N492</f>
        <v/>
      </c>
      <c r="F99" s="86">
        <f>LAVORAZIONI!O492</f>
        <v/>
      </c>
      <c r="G99" s="87">
        <f>LAVORAZIONI!P492</f>
        <v/>
      </c>
      <c r="H99" s="88">
        <f>LAVORAZIONI!U492</f>
        <v/>
      </c>
      <c r="I99" s="87">
        <f>LAVORAZIONI!V492</f>
        <v/>
      </c>
    </row>
    <row r="100">
      <c r="A100" s="84">
        <f>LAVORAZIONI!G493</f>
        <v/>
      </c>
      <c r="B100" s="85">
        <f>LAVORAZIONI!A493</f>
        <v/>
      </c>
      <c r="C100" s="85">
        <f>LAVORAZIONI!K493</f>
        <v/>
      </c>
      <c r="D100" s="84">
        <f>LAVORAZIONI!M493</f>
        <v/>
      </c>
      <c r="E100" s="86">
        <f>LAVORAZIONI!N493</f>
        <v/>
      </c>
      <c r="F100" s="86">
        <f>LAVORAZIONI!O493</f>
        <v/>
      </c>
      <c r="G100" s="87">
        <f>LAVORAZIONI!P493</f>
        <v/>
      </c>
      <c r="H100" s="88">
        <f>LAVORAZIONI!U493</f>
        <v/>
      </c>
      <c r="I100" s="87">
        <f>LAVORAZIONI!V493</f>
        <v/>
      </c>
    </row>
    <row r="101">
      <c r="A101" s="84">
        <f>LAVORAZIONI!G494</f>
        <v/>
      </c>
      <c r="B101" s="85">
        <f>LAVORAZIONI!A494</f>
        <v/>
      </c>
      <c r="C101" s="85">
        <f>LAVORAZIONI!K494</f>
        <v/>
      </c>
      <c r="D101" s="84">
        <f>LAVORAZIONI!M494</f>
        <v/>
      </c>
      <c r="E101" s="86">
        <f>LAVORAZIONI!N494</f>
        <v/>
      </c>
      <c r="F101" s="86">
        <f>LAVORAZIONI!O494</f>
        <v/>
      </c>
      <c r="G101" s="87">
        <f>LAVORAZIONI!P494</f>
        <v/>
      </c>
      <c r="H101" s="88">
        <f>LAVORAZIONI!U494</f>
        <v/>
      </c>
      <c r="I101" s="87">
        <f>LAVORAZIONI!V494</f>
        <v/>
      </c>
    </row>
    <row r="102">
      <c r="A102" s="84">
        <f>LAVORAZIONI!G495</f>
        <v/>
      </c>
      <c r="B102" s="85">
        <f>LAVORAZIONI!A495</f>
        <v/>
      </c>
      <c r="C102" s="85">
        <f>LAVORAZIONI!K495</f>
        <v/>
      </c>
      <c r="D102" s="84">
        <f>LAVORAZIONI!M495</f>
        <v/>
      </c>
      <c r="E102" s="86">
        <f>LAVORAZIONI!N495</f>
        <v/>
      </c>
      <c r="F102" s="86">
        <f>LAVORAZIONI!O495</f>
        <v/>
      </c>
      <c r="G102" s="87">
        <f>LAVORAZIONI!P495</f>
        <v/>
      </c>
      <c r="H102" s="88">
        <f>LAVORAZIONI!U495</f>
        <v/>
      </c>
      <c r="I102" s="87">
        <f>LAVORAZIONI!V495</f>
        <v/>
      </c>
    </row>
    <row r="103">
      <c r="A103" s="84">
        <f>LAVORAZIONI!G496</f>
        <v/>
      </c>
      <c r="B103" s="85">
        <f>LAVORAZIONI!A496</f>
        <v/>
      </c>
      <c r="C103" s="85">
        <f>LAVORAZIONI!K496</f>
        <v/>
      </c>
      <c r="D103" s="84">
        <f>LAVORAZIONI!M496</f>
        <v/>
      </c>
      <c r="E103" s="86">
        <f>LAVORAZIONI!N496</f>
        <v/>
      </c>
      <c r="F103" s="86">
        <f>LAVORAZIONI!O496</f>
        <v/>
      </c>
      <c r="G103" s="87">
        <f>LAVORAZIONI!P496</f>
        <v/>
      </c>
      <c r="H103" s="88">
        <f>LAVORAZIONI!U496</f>
        <v/>
      </c>
      <c r="I103" s="87">
        <f>LAVORAZIONI!V496</f>
        <v/>
      </c>
    </row>
    <row r="104">
      <c r="A104" s="84">
        <f>LAVORAZIONI!G497</f>
        <v/>
      </c>
      <c r="B104" s="85">
        <f>LAVORAZIONI!A497</f>
        <v/>
      </c>
      <c r="C104" s="85">
        <f>LAVORAZIONI!K497</f>
        <v/>
      </c>
      <c r="D104" s="84">
        <f>LAVORAZIONI!M497</f>
        <v/>
      </c>
      <c r="E104" s="86">
        <f>LAVORAZIONI!N497</f>
        <v/>
      </c>
      <c r="F104" s="86">
        <f>LAVORAZIONI!O497</f>
        <v/>
      </c>
      <c r="G104" s="87">
        <f>LAVORAZIONI!P497</f>
        <v/>
      </c>
      <c r="H104" s="88">
        <f>LAVORAZIONI!U497</f>
        <v/>
      </c>
      <c r="I104" s="87">
        <f>LAVORAZIONI!V497</f>
        <v/>
      </c>
    </row>
    <row r="105">
      <c r="A105" s="84">
        <f>LAVORAZIONI!G498</f>
        <v/>
      </c>
      <c r="B105" s="85">
        <f>LAVORAZIONI!A498</f>
        <v/>
      </c>
      <c r="C105" s="85">
        <f>LAVORAZIONI!K498</f>
        <v/>
      </c>
      <c r="D105" s="84">
        <f>LAVORAZIONI!M498</f>
        <v/>
      </c>
      <c r="E105" s="86">
        <f>LAVORAZIONI!N498</f>
        <v/>
      </c>
      <c r="F105" s="86">
        <f>LAVORAZIONI!O498</f>
        <v/>
      </c>
      <c r="G105" s="87">
        <f>LAVORAZIONI!P498</f>
        <v/>
      </c>
      <c r="H105" s="88">
        <f>LAVORAZIONI!U498</f>
        <v/>
      </c>
      <c r="I105" s="87">
        <f>LAVORAZIONI!V498</f>
        <v/>
      </c>
    </row>
    <row r="106">
      <c r="A106" s="84">
        <f>LAVORAZIONI!G499</f>
        <v/>
      </c>
      <c r="B106" s="85">
        <f>LAVORAZIONI!A499</f>
        <v/>
      </c>
      <c r="C106" s="85">
        <f>LAVORAZIONI!K499</f>
        <v/>
      </c>
      <c r="D106" s="84">
        <f>LAVORAZIONI!M499</f>
        <v/>
      </c>
      <c r="E106" s="86">
        <f>LAVORAZIONI!N499</f>
        <v/>
      </c>
      <c r="F106" s="86">
        <f>LAVORAZIONI!O499</f>
        <v/>
      </c>
      <c r="G106" s="87">
        <f>LAVORAZIONI!P499</f>
        <v/>
      </c>
      <c r="H106" s="88">
        <f>LAVORAZIONI!U499</f>
        <v/>
      </c>
      <c r="I106" s="87">
        <f>LAVORAZIONI!V499</f>
        <v/>
      </c>
    </row>
    <row r="107">
      <c r="A107" s="84">
        <f>LAVORAZIONI!G500</f>
        <v/>
      </c>
      <c r="B107" s="85">
        <f>LAVORAZIONI!A500</f>
        <v/>
      </c>
      <c r="C107" s="85">
        <f>LAVORAZIONI!K500</f>
        <v/>
      </c>
      <c r="D107" s="84">
        <f>LAVORAZIONI!M500</f>
        <v/>
      </c>
      <c r="E107" s="86">
        <f>LAVORAZIONI!N500</f>
        <v/>
      </c>
      <c r="F107" s="86">
        <f>LAVORAZIONI!O500</f>
        <v/>
      </c>
      <c r="G107" s="87">
        <f>LAVORAZIONI!P500</f>
        <v/>
      </c>
      <c r="H107" s="88">
        <f>LAVORAZIONI!U500</f>
        <v/>
      </c>
      <c r="I107" s="87">
        <f>LAVORAZIONI!V500</f>
        <v/>
      </c>
    </row>
    <row r="108">
      <c r="A108" s="84">
        <f>LAVORAZIONI!G501</f>
        <v/>
      </c>
      <c r="B108" s="85">
        <f>LAVORAZIONI!A501</f>
        <v/>
      </c>
      <c r="C108" s="85">
        <f>LAVORAZIONI!K501</f>
        <v/>
      </c>
      <c r="D108" s="84">
        <f>LAVORAZIONI!M501</f>
        <v/>
      </c>
      <c r="E108" s="86">
        <f>LAVORAZIONI!N501</f>
        <v/>
      </c>
      <c r="F108" s="86">
        <f>LAVORAZIONI!O501</f>
        <v/>
      </c>
      <c r="G108" s="87">
        <f>LAVORAZIONI!P501</f>
        <v/>
      </c>
      <c r="H108" s="88">
        <f>LAVORAZIONI!U501</f>
        <v/>
      </c>
      <c r="I108" s="87">
        <f>LAVORAZIONI!V501</f>
        <v/>
      </c>
    </row>
    <row r="109">
      <c r="A109" s="84">
        <f>LAVORAZIONI!G502</f>
        <v/>
      </c>
      <c r="B109" s="85">
        <f>LAVORAZIONI!A502</f>
        <v/>
      </c>
      <c r="C109" s="85">
        <f>LAVORAZIONI!K502</f>
        <v/>
      </c>
      <c r="D109" s="84">
        <f>LAVORAZIONI!M502</f>
        <v/>
      </c>
      <c r="E109" s="86">
        <f>LAVORAZIONI!N502</f>
        <v/>
      </c>
      <c r="F109" s="86">
        <f>LAVORAZIONI!O502</f>
        <v/>
      </c>
      <c r="G109" s="87">
        <f>LAVORAZIONI!P502</f>
        <v/>
      </c>
      <c r="H109" s="88">
        <f>LAVORAZIONI!U502</f>
        <v/>
      </c>
      <c r="I109" s="87">
        <f>LAVORAZIONI!V502</f>
        <v/>
      </c>
    </row>
    <row r="110">
      <c r="A110" s="84">
        <f>LAVORAZIONI!G503</f>
        <v/>
      </c>
      <c r="B110" s="85">
        <f>LAVORAZIONI!A503</f>
        <v/>
      </c>
      <c r="C110" s="85">
        <f>LAVORAZIONI!K503</f>
        <v/>
      </c>
      <c r="D110" s="84">
        <f>LAVORAZIONI!M503</f>
        <v/>
      </c>
      <c r="E110" s="86">
        <f>LAVORAZIONI!N503</f>
        <v/>
      </c>
      <c r="F110" s="86">
        <f>LAVORAZIONI!O503</f>
        <v/>
      </c>
      <c r="G110" s="87">
        <f>LAVORAZIONI!P503</f>
        <v/>
      </c>
      <c r="H110" s="88">
        <f>LAVORAZIONI!U503</f>
        <v/>
      </c>
      <c r="I110" s="87">
        <f>LAVORAZIONI!V503</f>
        <v/>
      </c>
    </row>
    <row r="111">
      <c r="A111" s="84">
        <f>LAVORAZIONI!G504</f>
        <v/>
      </c>
      <c r="B111" s="85">
        <f>LAVORAZIONI!A504</f>
        <v/>
      </c>
      <c r="C111" s="85">
        <f>LAVORAZIONI!K504</f>
        <v/>
      </c>
      <c r="D111" s="84">
        <f>LAVORAZIONI!M504</f>
        <v/>
      </c>
      <c r="E111" s="86">
        <f>LAVORAZIONI!N504</f>
        <v/>
      </c>
      <c r="F111" s="86">
        <f>LAVORAZIONI!O504</f>
        <v/>
      </c>
      <c r="G111" s="87">
        <f>LAVORAZIONI!P504</f>
        <v/>
      </c>
      <c r="H111" s="88">
        <f>LAVORAZIONI!U504</f>
        <v/>
      </c>
      <c r="I111" s="87">
        <f>LAVORAZIONI!V504</f>
        <v/>
      </c>
    </row>
    <row r="112">
      <c r="A112" s="84">
        <f>LAVORAZIONI!G505</f>
        <v/>
      </c>
      <c r="B112" s="85">
        <f>LAVORAZIONI!A505</f>
        <v/>
      </c>
      <c r="C112" s="85">
        <f>LAVORAZIONI!K505</f>
        <v/>
      </c>
      <c r="D112" s="84">
        <f>LAVORAZIONI!M505</f>
        <v/>
      </c>
      <c r="E112" s="86">
        <f>LAVORAZIONI!N505</f>
        <v/>
      </c>
      <c r="F112" s="86">
        <f>LAVORAZIONI!O505</f>
        <v/>
      </c>
      <c r="G112" s="87">
        <f>LAVORAZIONI!P505</f>
        <v/>
      </c>
      <c r="H112" s="88">
        <f>LAVORAZIONI!U505</f>
        <v/>
      </c>
      <c r="I112" s="87">
        <f>LAVORAZIONI!V505</f>
        <v/>
      </c>
    </row>
    <row r="113">
      <c r="A113" s="84">
        <f>LAVORAZIONI!G506</f>
        <v/>
      </c>
      <c r="B113" s="85">
        <f>LAVORAZIONI!A506</f>
        <v/>
      </c>
      <c r="C113" s="85">
        <f>LAVORAZIONI!K506</f>
        <v/>
      </c>
      <c r="D113" s="84">
        <f>LAVORAZIONI!M506</f>
        <v/>
      </c>
      <c r="E113" s="86">
        <f>LAVORAZIONI!N506</f>
        <v/>
      </c>
      <c r="F113" s="86">
        <f>LAVORAZIONI!O506</f>
        <v/>
      </c>
      <c r="G113" s="87">
        <f>LAVORAZIONI!P506</f>
        <v/>
      </c>
      <c r="H113" s="88">
        <f>LAVORAZIONI!U506</f>
        <v/>
      </c>
      <c r="I113" s="87">
        <f>LAVORAZIONI!V506</f>
        <v/>
      </c>
    </row>
    <row r="114">
      <c r="A114" s="84">
        <f>LAVORAZIONI!G507</f>
        <v/>
      </c>
      <c r="B114" s="85">
        <f>LAVORAZIONI!A507</f>
        <v/>
      </c>
      <c r="C114" s="85">
        <f>LAVORAZIONI!K507</f>
        <v/>
      </c>
      <c r="D114" s="84">
        <f>LAVORAZIONI!M507</f>
        <v/>
      </c>
      <c r="E114" s="86">
        <f>LAVORAZIONI!N507</f>
        <v/>
      </c>
      <c r="F114" s="86">
        <f>LAVORAZIONI!O507</f>
        <v/>
      </c>
      <c r="G114" s="87">
        <f>LAVORAZIONI!P507</f>
        <v/>
      </c>
      <c r="H114" s="88">
        <f>LAVORAZIONI!U507</f>
        <v/>
      </c>
      <c r="I114" s="87">
        <f>LAVORAZIONI!V507</f>
        <v/>
      </c>
    </row>
    <row r="115">
      <c r="A115" s="84">
        <f>LAVORAZIONI!G508</f>
        <v/>
      </c>
      <c r="B115" s="85">
        <f>LAVORAZIONI!A508</f>
        <v/>
      </c>
      <c r="C115" s="85">
        <f>LAVORAZIONI!K508</f>
        <v/>
      </c>
      <c r="D115" s="84">
        <f>LAVORAZIONI!M508</f>
        <v/>
      </c>
      <c r="E115" s="86">
        <f>LAVORAZIONI!N508</f>
        <v/>
      </c>
      <c r="F115" s="86">
        <f>LAVORAZIONI!O508</f>
        <v/>
      </c>
      <c r="G115" s="87">
        <f>LAVORAZIONI!P508</f>
        <v/>
      </c>
      <c r="H115" s="88">
        <f>LAVORAZIONI!U508</f>
        <v/>
      </c>
      <c r="I115" s="87">
        <f>LAVORAZIONI!V508</f>
        <v/>
      </c>
    </row>
    <row r="116">
      <c r="A116" s="84">
        <f>LAVORAZIONI!G509</f>
        <v/>
      </c>
      <c r="B116" s="85">
        <f>LAVORAZIONI!A509</f>
        <v/>
      </c>
      <c r="C116" s="85">
        <f>LAVORAZIONI!K509</f>
        <v/>
      </c>
      <c r="D116" s="84">
        <f>LAVORAZIONI!M509</f>
        <v/>
      </c>
      <c r="E116" s="86">
        <f>LAVORAZIONI!N509</f>
        <v/>
      </c>
      <c r="F116" s="86">
        <f>LAVORAZIONI!O509</f>
        <v/>
      </c>
      <c r="G116" s="87">
        <f>LAVORAZIONI!P509</f>
        <v/>
      </c>
      <c r="H116" s="88">
        <f>LAVORAZIONI!U509</f>
        <v/>
      </c>
      <c r="I116" s="87">
        <f>LAVORAZIONI!V509</f>
        <v/>
      </c>
    </row>
    <row r="117">
      <c r="A117" s="84">
        <f>LAVORAZIONI!G510</f>
        <v/>
      </c>
      <c r="B117" s="85">
        <f>LAVORAZIONI!A510</f>
        <v/>
      </c>
      <c r="C117" s="85">
        <f>LAVORAZIONI!K510</f>
        <v/>
      </c>
      <c r="D117" s="84">
        <f>LAVORAZIONI!M510</f>
        <v/>
      </c>
      <c r="E117" s="86">
        <f>LAVORAZIONI!N510</f>
        <v/>
      </c>
      <c r="F117" s="86">
        <f>LAVORAZIONI!O510</f>
        <v/>
      </c>
      <c r="G117" s="87">
        <f>LAVORAZIONI!P510</f>
        <v/>
      </c>
      <c r="H117" s="88">
        <f>LAVORAZIONI!U510</f>
        <v/>
      </c>
      <c r="I117" s="87">
        <f>LAVORAZIONI!V510</f>
        <v/>
      </c>
    </row>
    <row r="118">
      <c r="A118" s="61" t="n"/>
      <c r="B118" s="62" t="n"/>
      <c r="C118" s="62" t="n"/>
      <c r="D118" s="62" t="n"/>
      <c r="E118" s="62" t="n"/>
      <c r="F118" s="62" t="n"/>
      <c r="G118" s="62" t="n"/>
      <c r="H118" s="62" t="n"/>
      <c r="I118" s="63">
        <f>SUM(I5:I117)</f>
        <v/>
      </c>
    </row>
  </sheetData>
  <mergeCells count="4">
    <mergeCell ref="A1:I1"/>
    <mergeCell ref="A3:I3"/>
    <mergeCell ref="A2:I2"/>
    <mergeCell ref="A118:H118"/>
  </mergeCells>
  <pageMargins left="0.5" right="0.5" top="1" bottom="0.8" header="0.4" footer="0.4"/>
  <pageSetup orientation="landscape" paperSize="9" fitToHeight="0" fitToWidth="1"/>
  <headerFooter>
    <oddHeader>&amp;L&amp;"Calibri,Italic"&amp;9Nuovo stabilimento radiofarmaceutico LENA - Pavia (PV)&amp;C&amp;"Calibri,Bold"&amp;13Aprile - Elettriche&amp;R&amp;"Calibri"&amp;9&amp;D</oddHeader>
    <oddFooter>&amp;C&amp;"Calibri"&amp;9Pagina &amp;P di &amp;N</oddFooter>
    <evenHeader>&amp;L&amp;"Calibri,Italic"&amp;9Nuovo stabilimento radiofarmaceutico LENA - Pavia (PV)&amp;C&amp;"Calibri,Bold"&amp;13Aprile - Elettriche</evenHeader>
    <evenFooter>&amp;C&amp;"Calibri"&amp;9Pagina &amp;P di &amp;N</evenFooter>
    <firstHeader/>
    <firstFooter/>
  </headerFooter>
</worksheet>
</file>

<file path=xl/worksheets/sheet15.xml><?xml version="1.0" encoding="utf-8"?>
<worksheet xmlns="http://schemas.openxmlformats.org/spreadsheetml/2006/main">
  <sheetPr>
    <outlinePr summaryBelow="1" summaryRight="1"/>
    <pageSetUpPr fitToPage="1"/>
  </sheetPr>
  <dimension ref="A1:I103"/>
  <sheetViews>
    <sheetView workbookViewId="0">
      <pane ySplit="4" topLeftCell="A5" activePane="bottomLeft" state="frozen"/>
      <selection pane="bottomLeft" activeCell="A1" sqref="A1"/>
    </sheetView>
  </sheetViews>
  <sheetFormatPr baseColWidth="8" defaultRowHeight="15"/>
  <cols>
    <col width="9" customWidth="1" style="46" min="1" max="1"/>
    <col width="26" customWidth="1" style="46" min="2" max="2"/>
    <col width="58" customWidth="1" style="46" min="3" max="3"/>
    <col width="8" customWidth="1" style="46" min="4" max="4"/>
    <col width="11" customWidth="1" style="46" min="5" max="5"/>
    <col width="12" customWidth="1" style="46" min="6" max="6"/>
    <col width="14" customWidth="1" style="46" min="7" max="7"/>
    <col width="9" customWidth="1" style="46" min="8" max="8"/>
    <col width="14" customWidth="1" style="46" min="9" max="9"/>
  </cols>
  <sheetData>
    <row r="1" ht="22" customHeight="1" s="46">
      <c r="A1" s="78" t="inlineStr">
        <is>
          <t>SAL APRILE 2026 — OPERE ELETTRICHE SPECIALI</t>
        </is>
      </c>
    </row>
    <row r="2" ht="28"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N. VOCE</t>
        </is>
      </c>
      <c r="B4" s="55" t="inlineStr">
        <is>
          <t>CODICE LAVORAZIONE</t>
        </is>
      </c>
      <c r="C4" s="55" t="inlineStr">
        <is>
          <t>DESCRIZIONE</t>
        </is>
      </c>
      <c r="D4" s="55" t="inlineStr">
        <is>
          <t>U.M.</t>
        </is>
      </c>
      <c r="E4" s="55" t="inlineStr">
        <is>
          <t>QUANTITÀ</t>
        </is>
      </c>
      <c r="F4" s="55" t="inlineStr">
        <is>
          <t>VAL. UNITARIO</t>
        </is>
      </c>
      <c r="G4" s="55" t="inlineStr">
        <is>
          <t>TOTALE PREVENTIVO</t>
        </is>
      </c>
      <c r="H4" s="55" t="inlineStr">
        <is>
          <t>% SAL Aprile</t>
        </is>
      </c>
      <c r="I4" s="55" t="inlineStr">
        <is>
          <t>IMPORTO SAL Aprile</t>
        </is>
      </c>
    </row>
    <row r="5">
      <c r="A5" s="79">
        <f>LAVORAZIONI!G511</f>
        <v/>
      </c>
      <c r="B5" s="80">
        <f>LAVORAZIONI!A511</f>
        <v/>
      </c>
      <c r="C5" s="80">
        <f>LAVORAZIONI!K511</f>
        <v/>
      </c>
      <c r="D5" s="79">
        <f>LAVORAZIONI!M511</f>
        <v/>
      </c>
      <c r="E5" s="81">
        <f>LAVORAZIONI!N511</f>
        <v/>
      </c>
      <c r="F5" s="81">
        <f>LAVORAZIONI!O511</f>
        <v/>
      </c>
      <c r="G5" s="82">
        <f>LAVORAZIONI!P511</f>
        <v/>
      </c>
      <c r="H5" s="83">
        <f>LAVORAZIONI!U511</f>
        <v/>
      </c>
      <c r="I5" s="82">
        <f>LAVORAZIONI!V511</f>
        <v/>
      </c>
    </row>
    <row r="6">
      <c r="A6" s="79">
        <f>LAVORAZIONI!G512</f>
        <v/>
      </c>
      <c r="B6" s="80">
        <f>LAVORAZIONI!A512</f>
        <v/>
      </c>
      <c r="C6" s="80">
        <f>LAVORAZIONI!K512</f>
        <v/>
      </c>
      <c r="D6" s="79">
        <f>LAVORAZIONI!M512</f>
        <v/>
      </c>
      <c r="E6" s="81">
        <f>LAVORAZIONI!N512</f>
        <v/>
      </c>
      <c r="F6" s="81">
        <f>LAVORAZIONI!O512</f>
        <v/>
      </c>
      <c r="G6" s="82">
        <f>LAVORAZIONI!P512</f>
        <v/>
      </c>
      <c r="H6" s="83">
        <f>LAVORAZIONI!U512</f>
        <v/>
      </c>
      <c r="I6" s="82">
        <f>LAVORAZIONI!V512</f>
        <v/>
      </c>
    </row>
    <row r="7">
      <c r="A7" s="84">
        <f>LAVORAZIONI!G513</f>
        <v/>
      </c>
      <c r="B7" s="85">
        <f>LAVORAZIONI!A513</f>
        <v/>
      </c>
      <c r="C7" s="85">
        <f>LAVORAZIONI!K513</f>
        <v/>
      </c>
      <c r="D7" s="84">
        <f>LAVORAZIONI!M513</f>
        <v/>
      </c>
      <c r="E7" s="86">
        <f>LAVORAZIONI!N513</f>
        <v/>
      </c>
      <c r="F7" s="86">
        <f>LAVORAZIONI!O513</f>
        <v/>
      </c>
      <c r="G7" s="87">
        <f>LAVORAZIONI!P513</f>
        <v/>
      </c>
      <c r="H7" s="88">
        <f>LAVORAZIONI!U513</f>
        <v/>
      </c>
      <c r="I7" s="87">
        <f>LAVORAZIONI!V513</f>
        <v/>
      </c>
    </row>
    <row r="8">
      <c r="A8" s="84">
        <f>LAVORAZIONI!G514</f>
        <v/>
      </c>
      <c r="B8" s="85">
        <f>LAVORAZIONI!A514</f>
        <v/>
      </c>
      <c r="C8" s="85">
        <f>LAVORAZIONI!K514</f>
        <v/>
      </c>
      <c r="D8" s="84">
        <f>LAVORAZIONI!M514</f>
        <v/>
      </c>
      <c r="E8" s="86">
        <f>LAVORAZIONI!N514</f>
        <v/>
      </c>
      <c r="F8" s="86">
        <f>LAVORAZIONI!O514</f>
        <v/>
      </c>
      <c r="G8" s="87">
        <f>LAVORAZIONI!P514</f>
        <v/>
      </c>
      <c r="H8" s="88">
        <f>LAVORAZIONI!U514</f>
        <v/>
      </c>
      <c r="I8" s="87">
        <f>LAVORAZIONI!V514</f>
        <v/>
      </c>
    </row>
    <row r="9">
      <c r="A9" s="84">
        <f>LAVORAZIONI!G515</f>
        <v/>
      </c>
      <c r="B9" s="85">
        <f>LAVORAZIONI!A515</f>
        <v/>
      </c>
      <c r="C9" s="85">
        <f>LAVORAZIONI!K515</f>
        <v/>
      </c>
      <c r="D9" s="84">
        <f>LAVORAZIONI!M515</f>
        <v/>
      </c>
      <c r="E9" s="86">
        <f>LAVORAZIONI!N515</f>
        <v/>
      </c>
      <c r="F9" s="86">
        <f>LAVORAZIONI!O515</f>
        <v/>
      </c>
      <c r="G9" s="87">
        <f>LAVORAZIONI!P515</f>
        <v/>
      </c>
      <c r="H9" s="88">
        <f>LAVORAZIONI!U515</f>
        <v/>
      </c>
      <c r="I9" s="87">
        <f>LAVORAZIONI!V515</f>
        <v/>
      </c>
    </row>
    <row r="10">
      <c r="A10" s="84">
        <f>LAVORAZIONI!G516</f>
        <v/>
      </c>
      <c r="B10" s="85">
        <f>LAVORAZIONI!A516</f>
        <v/>
      </c>
      <c r="C10" s="85">
        <f>LAVORAZIONI!K516</f>
        <v/>
      </c>
      <c r="D10" s="84">
        <f>LAVORAZIONI!M516</f>
        <v/>
      </c>
      <c r="E10" s="86">
        <f>LAVORAZIONI!N516</f>
        <v/>
      </c>
      <c r="F10" s="86">
        <f>LAVORAZIONI!O516</f>
        <v/>
      </c>
      <c r="G10" s="87">
        <f>LAVORAZIONI!P516</f>
        <v/>
      </c>
      <c r="H10" s="88">
        <f>LAVORAZIONI!U516</f>
        <v/>
      </c>
      <c r="I10" s="87">
        <f>LAVORAZIONI!V516</f>
        <v/>
      </c>
    </row>
    <row r="11">
      <c r="A11" s="84">
        <f>LAVORAZIONI!G517</f>
        <v/>
      </c>
      <c r="B11" s="85">
        <f>LAVORAZIONI!A517</f>
        <v/>
      </c>
      <c r="C11" s="85">
        <f>LAVORAZIONI!K517</f>
        <v/>
      </c>
      <c r="D11" s="84">
        <f>LAVORAZIONI!M517</f>
        <v/>
      </c>
      <c r="E11" s="86">
        <f>LAVORAZIONI!N517</f>
        <v/>
      </c>
      <c r="F11" s="86">
        <f>LAVORAZIONI!O517</f>
        <v/>
      </c>
      <c r="G11" s="87">
        <f>LAVORAZIONI!P517</f>
        <v/>
      </c>
      <c r="H11" s="88">
        <f>LAVORAZIONI!U517</f>
        <v/>
      </c>
      <c r="I11" s="87">
        <f>LAVORAZIONI!V517</f>
        <v/>
      </c>
    </row>
    <row r="12">
      <c r="A12" s="84">
        <f>LAVORAZIONI!G518</f>
        <v/>
      </c>
      <c r="B12" s="85">
        <f>LAVORAZIONI!A518</f>
        <v/>
      </c>
      <c r="C12" s="85">
        <f>LAVORAZIONI!K518</f>
        <v/>
      </c>
      <c r="D12" s="84">
        <f>LAVORAZIONI!M518</f>
        <v/>
      </c>
      <c r="E12" s="86">
        <f>LAVORAZIONI!N518</f>
        <v/>
      </c>
      <c r="F12" s="86">
        <f>LAVORAZIONI!O518</f>
        <v/>
      </c>
      <c r="G12" s="87">
        <f>LAVORAZIONI!P518</f>
        <v/>
      </c>
      <c r="H12" s="88">
        <f>LAVORAZIONI!U518</f>
        <v/>
      </c>
      <c r="I12" s="87">
        <f>LAVORAZIONI!V518</f>
        <v/>
      </c>
    </row>
    <row r="13">
      <c r="A13" s="84">
        <f>LAVORAZIONI!G519</f>
        <v/>
      </c>
      <c r="B13" s="85">
        <f>LAVORAZIONI!A519</f>
        <v/>
      </c>
      <c r="C13" s="85">
        <f>LAVORAZIONI!K519</f>
        <v/>
      </c>
      <c r="D13" s="84">
        <f>LAVORAZIONI!M519</f>
        <v/>
      </c>
      <c r="E13" s="86">
        <f>LAVORAZIONI!N519</f>
        <v/>
      </c>
      <c r="F13" s="86">
        <f>LAVORAZIONI!O519</f>
        <v/>
      </c>
      <c r="G13" s="87">
        <f>LAVORAZIONI!P519</f>
        <v/>
      </c>
      <c r="H13" s="88">
        <f>LAVORAZIONI!U519</f>
        <v/>
      </c>
      <c r="I13" s="87">
        <f>LAVORAZIONI!V519</f>
        <v/>
      </c>
    </row>
    <row r="14">
      <c r="A14" s="84">
        <f>LAVORAZIONI!G520</f>
        <v/>
      </c>
      <c r="B14" s="85">
        <f>LAVORAZIONI!A520</f>
        <v/>
      </c>
      <c r="C14" s="85">
        <f>LAVORAZIONI!K520</f>
        <v/>
      </c>
      <c r="D14" s="84">
        <f>LAVORAZIONI!M520</f>
        <v/>
      </c>
      <c r="E14" s="86">
        <f>LAVORAZIONI!N520</f>
        <v/>
      </c>
      <c r="F14" s="86">
        <f>LAVORAZIONI!O520</f>
        <v/>
      </c>
      <c r="G14" s="87">
        <f>LAVORAZIONI!P520</f>
        <v/>
      </c>
      <c r="H14" s="88">
        <f>LAVORAZIONI!U520</f>
        <v/>
      </c>
      <c r="I14" s="87">
        <f>LAVORAZIONI!V520</f>
        <v/>
      </c>
    </row>
    <row r="15">
      <c r="A15" s="84">
        <f>LAVORAZIONI!G521</f>
        <v/>
      </c>
      <c r="B15" s="85">
        <f>LAVORAZIONI!A521</f>
        <v/>
      </c>
      <c r="C15" s="85">
        <f>LAVORAZIONI!K521</f>
        <v/>
      </c>
      <c r="D15" s="84">
        <f>LAVORAZIONI!M521</f>
        <v/>
      </c>
      <c r="E15" s="86">
        <f>LAVORAZIONI!N521</f>
        <v/>
      </c>
      <c r="F15" s="86">
        <f>LAVORAZIONI!O521</f>
        <v/>
      </c>
      <c r="G15" s="87">
        <f>LAVORAZIONI!P521</f>
        <v/>
      </c>
      <c r="H15" s="88">
        <f>LAVORAZIONI!U521</f>
        <v/>
      </c>
      <c r="I15" s="87">
        <f>LAVORAZIONI!V521</f>
        <v/>
      </c>
    </row>
    <row r="16">
      <c r="A16" s="84">
        <f>LAVORAZIONI!G522</f>
        <v/>
      </c>
      <c r="B16" s="85">
        <f>LAVORAZIONI!A522</f>
        <v/>
      </c>
      <c r="C16" s="85">
        <f>LAVORAZIONI!K522</f>
        <v/>
      </c>
      <c r="D16" s="84">
        <f>LAVORAZIONI!M522</f>
        <v/>
      </c>
      <c r="E16" s="86">
        <f>LAVORAZIONI!N522</f>
        <v/>
      </c>
      <c r="F16" s="86">
        <f>LAVORAZIONI!O522</f>
        <v/>
      </c>
      <c r="G16" s="87">
        <f>LAVORAZIONI!P522</f>
        <v/>
      </c>
      <c r="H16" s="88">
        <f>LAVORAZIONI!U522</f>
        <v/>
      </c>
      <c r="I16" s="87">
        <f>LAVORAZIONI!V522</f>
        <v/>
      </c>
    </row>
    <row r="17">
      <c r="A17" s="84">
        <f>LAVORAZIONI!G523</f>
        <v/>
      </c>
      <c r="B17" s="85">
        <f>LAVORAZIONI!A523</f>
        <v/>
      </c>
      <c r="C17" s="85">
        <f>LAVORAZIONI!K523</f>
        <v/>
      </c>
      <c r="D17" s="84">
        <f>LAVORAZIONI!M523</f>
        <v/>
      </c>
      <c r="E17" s="86">
        <f>LAVORAZIONI!N523</f>
        <v/>
      </c>
      <c r="F17" s="86">
        <f>LAVORAZIONI!O523</f>
        <v/>
      </c>
      <c r="G17" s="87">
        <f>LAVORAZIONI!P523</f>
        <v/>
      </c>
      <c r="H17" s="88">
        <f>LAVORAZIONI!U523</f>
        <v/>
      </c>
      <c r="I17" s="87">
        <f>LAVORAZIONI!V523</f>
        <v/>
      </c>
    </row>
    <row r="18">
      <c r="A18" s="84">
        <f>LAVORAZIONI!G524</f>
        <v/>
      </c>
      <c r="B18" s="85">
        <f>LAVORAZIONI!A524</f>
        <v/>
      </c>
      <c r="C18" s="85">
        <f>LAVORAZIONI!K524</f>
        <v/>
      </c>
      <c r="D18" s="84">
        <f>LAVORAZIONI!M524</f>
        <v/>
      </c>
      <c r="E18" s="86">
        <f>LAVORAZIONI!N524</f>
        <v/>
      </c>
      <c r="F18" s="86">
        <f>LAVORAZIONI!O524</f>
        <v/>
      </c>
      <c r="G18" s="87">
        <f>LAVORAZIONI!P524</f>
        <v/>
      </c>
      <c r="H18" s="88">
        <f>LAVORAZIONI!U524</f>
        <v/>
      </c>
      <c r="I18" s="87">
        <f>LAVORAZIONI!V524</f>
        <v/>
      </c>
    </row>
    <row r="19">
      <c r="A19" s="84">
        <f>LAVORAZIONI!G525</f>
        <v/>
      </c>
      <c r="B19" s="85">
        <f>LAVORAZIONI!A525</f>
        <v/>
      </c>
      <c r="C19" s="85">
        <f>LAVORAZIONI!K525</f>
        <v/>
      </c>
      <c r="D19" s="84">
        <f>LAVORAZIONI!M525</f>
        <v/>
      </c>
      <c r="E19" s="86">
        <f>LAVORAZIONI!N525</f>
        <v/>
      </c>
      <c r="F19" s="86">
        <f>LAVORAZIONI!O525</f>
        <v/>
      </c>
      <c r="G19" s="87">
        <f>LAVORAZIONI!P525</f>
        <v/>
      </c>
      <c r="H19" s="88">
        <f>LAVORAZIONI!U525</f>
        <v/>
      </c>
      <c r="I19" s="87">
        <f>LAVORAZIONI!V525</f>
        <v/>
      </c>
    </row>
    <row r="20">
      <c r="A20" s="84">
        <f>LAVORAZIONI!G526</f>
        <v/>
      </c>
      <c r="B20" s="85">
        <f>LAVORAZIONI!A526</f>
        <v/>
      </c>
      <c r="C20" s="85">
        <f>LAVORAZIONI!K526</f>
        <v/>
      </c>
      <c r="D20" s="84">
        <f>LAVORAZIONI!M526</f>
        <v/>
      </c>
      <c r="E20" s="86">
        <f>LAVORAZIONI!N526</f>
        <v/>
      </c>
      <c r="F20" s="86">
        <f>LAVORAZIONI!O526</f>
        <v/>
      </c>
      <c r="G20" s="87">
        <f>LAVORAZIONI!P526</f>
        <v/>
      </c>
      <c r="H20" s="88">
        <f>LAVORAZIONI!U526</f>
        <v/>
      </c>
      <c r="I20" s="87">
        <f>LAVORAZIONI!V526</f>
        <v/>
      </c>
    </row>
    <row r="21">
      <c r="A21" s="84">
        <f>LAVORAZIONI!G527</f>
        <v/>
      </c>
      <c r="B21" s="85">
        <f>LAVORAZIONI!A527</f>
        <v/>
      </c>
      <c r="C21" s="85">
        <f>LAVORAZIONI!K527</f>
        <v/>
      </c>
      <c r="D21" s="84">
        <f>LAVORAZIONI!M527</f>
        <v/>
      </c>
      <c r="E21" s="86">
        <f>LAVORAZIONI!N527</f>
        <v/>
      </c>
      <c r="F21" s="86">
        <f>LAVORAZIONI!O527</f>
        <v/>
      </c>
      <c r="G21" s="87">
        <f>LAVORAZIONI!P527</f>
        <v/>
      </c>
      <c r="H21" s="88">
        <f>LAVORAZIONI!U527</f>
        <v/>
      </c>
      <c r="I21" s="87">
        <f>LAVORAZIONI!V527</f>
        <v/>
      </c>
    </row>
    <row r="22">
      <c r="A22" s="84">
        <f>LAVORAZIONI!G528</f>
        <v/>
      </c>
      <c r="B22" s="85">
        <f>LAVORAZIONI!A528</f>
        <v/>
      </c>
      <c r="C22" s="85">
        <f>LAVORAZIONI!K528</f>
        <v/>
      </c>
      <c r="D22" s="84">
        <f>LAVORAZIONI!M528</f>
        <v/>
      </c>
      <c r="E22" s="86">
        <f>LAVORAZIONI!N528</f>
        <v/>
      </c>
      <c r="F22" s="86">
        <f>LAVORAZIONI!O528</f>
        <v/>
      </c>
      <c r="G22" s="87">
        <f>LAVORAZIONI!P528</f>
        <v/>
      </c>
      <c r="H22" s="88">
        <f>LAVORAZIONI!U528</f>
        <v/>
      </c>
      <c r="I22" s="87">
        <f>LAVORAZIONI!V528</f>
        <v/>
      </c>
    </row>
    <row r="23">
      <c r="A23" s="84">
        <f>LAVORAZIONI!G529</f>
        <v/>
      </c>
      <c r="B23" s="85">
        <f>LAVORAZIONI!A529</f>
        <v/>
      </c>
      <c r="C23" s="85">
        <f>LAVORAZIONI!K529</f>
        <v/>
      </c>
      <c r="D23" s="84">
        <f>LAVORAZIONI!M529</f>
        <v/>
      </c>
      <c r="E23" s="86">
        <f>LAVORAZIONI!N529</f>
        <v/>
      </c>
      <c r="F23" s="86">
        <f>LAVORAZIONI!O529</f>
        <v/>
      </c>
      <c r="G23" s="87">
        <f>LAVORAZIONI!P529</f>
        <v/>
      </c>
      <c r="H23" s="88">
        <f>LAVORAZIONI!U529</f>
        <v/>
      </c>
      <c r="I23" s="87">
        <f>LAVORAZIONI!V529</f>
        <v/>
      </c>
    </row>
    <row r="24">
      <c r="A24" s="79">
        <f>LAVORAZIONI!G530</f>
        <v/>
      </c>
      <c r="B24" s="80">
        <f>LAVORAZIONI!A530</f>
        <v/>
      </c>
      <c r="C24" s="80">
        <f>LAVORAZIONI!K530</f>
        <v/>
      </c>
      <c r="D24" s="79">
        <f>LAVORAZIONI!M530</f>
        <v/>
      </c>
      <c r="E24" s="81">
        <f>LAVORAZIONI!N530</f>
        <v/>
      </c>
      <c r="F24" s="81">
        <f>LAVORAZIONI!O530</f>
        <v/>
      </c>
      <c r="G24" s="82">
        <f>LAVORAZIONI!P530</f>
        <v/>
      </c>
      <c r="H24" s="83">
        <f>LAVORAZIONI!U530</f>
        <v/>
      </c>
      <c r="I24" s="82">
        <f>LAVORAZIONI!V530</f>
        <v/>
      </c>
    </row>
    <row r="25">
      <c r="A25" s="79">
        <f>LAVORAZIONI!G531</f>
        <v/>
      </c>
      <c r="B25" s="80">
        <f>LAVORAZIONI!A531</f>
        <v/>
      </c>
      <c r="C25" s="80">
        <f>LAVORAZIONI!K531</f>
        <v/>
      </c>
      <c r="D25" s="79">
        <f>LAVORAZIONI!M531</f>
        <v/>
      </c>
      <c r="E25" s="81">
        <f>LAVORAZIONI!N531</f>
        <v/>
      </c>
      <c r="F25" s="81">
        <f>LAVORAZIONI!O531</f>
        <v/>
      </c>
      <c r="G25" s="82">
        <f>LAVORAZIONI!P531</f>
        <v/>
      </c>
      <c r="H25" s="83">
        <f>LAVORAZIONI!U531</f>
        <v/>
      </c>
      <c r="I25" s="82">
        <f>LAVORAZIONI!V531</f>
        <v/>
      </c>
    </row>
    <row r="26">
      <c r="A26" s="79">
        <f>LAVORAZIONI!G532</f>
        <v/>
      </c>
      <c r="B26" s="80">
        <f>LAVORAZIONI!A532</f>
        <v/>
      </c>
      <c r="C26" s="80">
        <f>LAVORAZIONI!K532</f>
        <v/>
      </c>
      <c r="D26" s="79">
        <f>LAVORAZIONI!M532</f>
        <v/>
      </c>
      <c r="E26" s="81">
        <f>LAVORAZIONI!N532</f>
        <v/>
      </c>
      <c r="F26" s="81">
        <f>LAVORAZIONI!O532</f>
        <v/>
      </c>
      <c r="G26" s="82">
        <f>LAVORAZIONI!P532</f>
        <v/>
      </c>
      <c r="H26" s="83">
        <f>LAVORAZIONI!U532</f>
        <v/>
      </c>
      <c r="I26" s="82">
        <f>LAVORAZIONI!V532</f>
        <v/>
      </c>
    </row>
    <row r="27">
      <c r="A27" s="79">
        <f>LAVORAZIONI!G533</f>
        <v/>
      </c>
      <c r="B27" s="80">
        <f>LAVORAZIONI!A533</f>
        <v/>
      </c>
      <c r="C27" s="80">
        <f>LAVORAZIONI!K533</f>
        <v/>
      </c>
      <c r="D27" s="79">
        <f>LAVORAZIONI!M533</f>
        <v/>
      </c>
      <c r="E27" s="81">
        <f>LAVORAZIONI!N533</f>
        <v/>
      </c>
      <c r="F27" s="81">
        <f>LAVORAZIONI!O533</f>
        <v/>
      </c>
      <c r="G27" s="82">
        <f>LAVORAZIONI!P533</f>
        <v/>
      </c>
      <c r="H27" s="83">
        <f>LAVORAZIONI!U533</f>
        <v/>
      </c>
      <c r="I27" s="82">
        <f>LAVORAZIONI!V533</f>
        <v/>
      </c>
    </row>
    <row r="28">
      <c r="A28" s="79">
        <f>LAVORAZIONI!G534</f>
        <v/>
      </c>
      <c r="B28" s="80">
        <f>LAVORAZIONI!A534</f>
        <v/>
      </c>
      <c r="C28" s="80">
        <f>LAVORAZIONI!K534</f>
        <v/>
      </c>
      <c r="D28" s="79">
        <f>LAVORAZIONI!M534</f>
        <v/>
      </c>
      <c r="E28" s="81">
        <f>LAVORAZIONI!N534</f>
        <v/>
      </c>
      <c r="F28" s="81">
        <f>LAVORAZIONI!O534</f>
        <v/>
      </c>
      <c r="G28" s="82">
        <f>LAVORAZIONI!P534</f>
        <v/>
      </c>
      <c r="H28" s="83">
        <f>LAVORAZIONI!U534</f>
        <v/>
      </c>
      <c r="I28" s="82">
        <f>LAVORAZIONI!V534</f>
        <v/>
      </c>
    </row>
    <row r="29">
      <c r="A29" s="84">
        <f>LAVORAZIONI!G535</f>
        <v/>
      </c>
      <c r="B29" s="85">
        <f>LAVORAZIONI!A535</f>
        <v/>
      </c>
      <c r="C29" s="85">
        <f>LAVORAZIONI!K535</f>
        <v/>
      </c>
      <c r="D29" s="84">
        <f>LAVORAZIONI!M535</f>
        <v/>
      </c>
      <c r="E29" s="86">
        <f>LAVORAZIONI!N535</f>
        <v/>
      </c>
      <c r="F29" s="86">
        <f>LAVORAZIONI!O535</f>
        <v/>
      </c>
      <c r="G29" s="87">
        <f>LAVORAZIONI!P535</f>
        <v/>
      </c>
      <c r="H29" s="88">
        <f>LAVORAZIONI!U535</f>
        <v/>
      </c>
      <c r="I29" s="87">
        <f>LAVORAZIONI!V535</f>
        <v/>
      </c>
    </row>
    <row r="30">
      <c r="A30" s="84">
        <f>LAVORAZIONI!G536</f>
        <v/>
      </c>
      <c r="B30" s="85">
        <f>LAVORAZIONI!A536</f>
        <v/>
      </c>
      <c r="C30" s="85">
        <f>LAVORAZIONI!K536</f>
        <v/>
      </c>
      <c r="D30" s="84">
        <f>LAVORAZIONI!M536</f>
        <v/>
      </c>
      <c r="E30" s="86">
        <f>LAVORAZIONI!N536</f>
        <v/>
      </c>
      <c r="F30" s="86">
        <f>LAVORAZIONI!O536</f>
        <v/>
      </c>
      <c r="G30" s="87">
        <f>LAVORAZIONI!P536</f>
        <v/>
      </c>
      <c r="H30" s="88">
        <f>LAVORAZIONI!U536</f>
        <v/>
      </c>
      <c r="I30" s="87">
        <f>LAVORAZIONI!V536</f>
        <v/>
      </c>
    </row>
    <row r="31">
      <c r="A31" s="84">
        <f>LAVORAZIONI!G537</f>
        <v/>
      </c>
      <c r="B31" s="85">
        <f>LAVORAZIONI!A537</f>
        <v/>
      </c>
      <c r="C31" s="85">
        <f>LAVORAZIONI!K537</f>
        <v/>
      </c>
      <c r="D31" s="84">
        <f>LAVORAZIONI!M537</f>
        <v/>
      </c>
      <c r="E31" s="86">
        <f>LAVORAZIONI!N537</f>
        <v/>
      </c>
      <c r="F31" s="86">
        <f>LAVORAZIONI!O537</f>
        <v/>
      </c>
      <c r="G31" s="87">
        <f>LAVORAZIONI!P537</f>
        <v/>
      </c>
      <c r="H31" s="88">
        <f>LAVORAZIONI!U537</f>
        <v/>
      </c>
      <c r="I31" s="87">
        <f>LAVORAZIONI!V537</f>
        <v/>
      </c>
    </row>
    <row r="32">
      <c r="A32" s="84">
        <f>LAVORAZIONI!G538</f>
        <v/>
      </c>
      <c r="B32" s="85">
        <f>LAVORAZIONI!A538</f>
        <v/>
      </c>
      <c r="C32" s="85">
        <f>LAVORAZIONI!K538</f>
        <v/>
      </c>
      <c r="D32" s="84">
        <f>LAVORAZIONI!M538</f>
        <v/>
      </c>
      <c r="E32" s="86">
        <f>LAVORAZIONI!N538</f>
        <v/>
      </c>
      <c r="F32" s="86">
        <f>LAVORAZIONI!O538</f>
        <v/>
      </c>
      <c r="G32" s="87">
        <f>LAVORAZIONI!P538</f>
        <v/>
      </c>
      <c r="H32" s="88">
        <f>LAVORAZIONI!U538</f>
        <v/>
      </c>
      <c r="I32" s="87">
        <f>LAVORAZIONI!V538</f>
        <v/>
      </c>
    </row>
    <row r="33">
      <c r="A33" s="84">
        <f>LAVORAZIONI!G539</f>
        <v/>
      </c>
      <c r="B33" s="85">
        <f>LAVORAZIONI!A539</f>
        <v/>
      </c>
      <c r="C33" s="85">
        <f>LAVORAZIONI!K539</f>
        <v/>
      </c>
      <c r="D33" s="84">
        <f>LAVORAZIONI!M539</f>
        <v/>
      </c>
      <c r="E33" s="86">
        <f>LAVORAZIONI!N539</f>
        <v/>
      </c>
      <c r="F33" s="86">
        <f>LAVORAZIONI!O539</f>
        <v/>
      </c>
      <c r="G33" s="87">
        <f>LAVORAZIONI!P539</f>
        <v/>
      </c>
      <c r="H33" s="88">
        <f>LAVORAZIONI!U539</f>
        <v/>
      </c>
      <c r="I33" s="87">
        <f>LAVORAZIONI!V539</f>
        <v/>
      </c>
    </row>
    <row r="34">
      <c r="A34" s="84">
        <f>LAVORAZIONI!G540</f>
        <v/>
      </c>
      <c r="B34" s="85">
        <f>LAVORAZIONI!A540</f>
        <v/>
      </c>
      <c r="C34" s="85">
        <f>LAVORAZIONI!K540</f>
        <v/>
      </c>
      <c r="D34" s="84">
        <f>LAVORAZIONI!M540</f>
        <v/>
      </c>
      <c r="E34" s="86">
        <f>LAVORAZIONI!N540</f>
        <v/>
      </c>
      <c r="F34" s="86">
        <f>LAVORAZIONI!O540</f>
        <v/>
      </c>
      <c r="G34" s="87">
        <f>LAVORAZIONI!P540</f>
        <v/>
      </c>
      <c r="H34" s="88">
        <f>LAVORAZIONI!U540</f>
        <v/>
      </c>
      <c r="I34" s="87">
        <f>LAVORAZIONI!V540</f>
        <v/>
      </c>
    </row>
    <row r="35">
      <c r="A35" s="84">
        <f>LAVORAZIONI!G541</f>
        <v/>
      </c>
      <c r="B35" s="85">
        <f>LAVORAZIONI!A541</f>
        <v/>
      </c>
      <c r="C35" s="85">
        <f>LAVORAZIONI!K541</f>
        <v/>
      </c>
      <c r="D35" s="84">
        <f>LAVORAZIONI!M541</f>
        <v/>
      </c>
      <c r="E35" s="86">
        <f>LAVORAZIONI!N541</f>
        <v/>
      </c>
      <c r="F35" s="86">
        <f>LAVORAZIONI!O541</f>
        <v/>
      </c>
      <c r="G35" s="87">
        <f>LAVORAZIONI!P541</f>
        <v/>
      </c>
      <c r="H35" s="88">
        <f>LAVORAZIONI!U541</f>
        <v/>
      </c>
      <c r="I35" s="87">
        <f>LAVORAZIONI!V541</f>
        <v/>
      </c>
    </row>
    <row r="36">
      <c r="A36" s="84">
        <f>LAVORAZIONI!G542</f>
        <v/>
      </c>
      <c r="B36" s="85">
        <f>LAVORAZIONI!A542</f>
        <v/>
      </c>
      <c r="C36" s="85">
        <f>LAVORAZIONI!K542</f>
        <v/>
      </c>
      <c r="D36" s="84">
        <f>LAVORAZIONI!M542</f>
        <v/>
      </c>
      <c r="E36" s="86">
        <f>LAVORAZIONI!N542</f>
        <v/>
      </c>
      <c r="F36" s="86">
        <f>LAVORAZIONI!O542</f>
        <v/>
      </c>
      <c r="G36" s="87">
        <f>LAVORAZIONI!P542</f>
        <v/>
      </c>
      <c r="H36" s="88">
        <f>LAVORAZIONI!U542</f>
        <v/>
      </c>
      <c r="I36" s="87">
        <f>LAVORAZIONI!V542</f>
        <v/>
      </c>
    </row>
    <row r="37">
      <c r="A37" s="84">
        <f>LAVORAZIONI!G543</f>
        <v/>
      </c>
      <c r="B37" s="85">
        <f>LAVORAZIONI!A543</f>
        <v/>
      </c>
      <c r="C37" s="85">
        <f>LAVORAZIONI!K543</f>
        <v/>
      </c>
      <c r="D37" s="84">
        <f>LAVORAZIONI!M543</f>
        <v/>
      </c>
      <c r="E37" s="86">
        <f>LAVORAZIONI!N543</f>
        <v/>
      </c>
      <c r="F37" s="86">
        <f>LAVORAZIONI!O543</f>
        <v/>
      </c>
      <c r="G37" s="87">
        <f>LAVORAZIONI!P543</f>
        <v/>
      </c>
      <c r="H37" s="88">
        <f>LAVORAZIONI!U543</f>
        <v/>
      </c>
      <c r="I37" s="87">
        <f>LAVORAZIONI!V543</f>
        <v/>
      </c>
    </row>
    <row r="38">
      <c r="A38" s="84">
        <f>LAVORAZIONI!G544</f>
        <v/>
      </c>
      <c r="B38" s="85">
        <f>LAVORAZIONI!A544</f>
        <v/>
      </c>
      <c r="C38" s="85">
        <f>LAVORAZIONI!K544</f>
        <v/>
      </c>
      <c r="D38" s="84">
        <f>LAVORAZIONI!M544</f>
        <v/>
      </c>
      <c r="E38" s="86">
        <f>LAVORAZIONI!N544</f>
        <v/>
      </c>
      <c r="F38" s="86">
        <f>LAVORAZIONI!O544</f>
        <v/>
      </c>
      <c r="G38" s="87">
        <f>LAVORAZIONI!P544</f>
        <v/>
      </c>
      <c r="H38" s="88">
        <f>LAVORAZIONI!U544</f>
        <v/>
      </c>
      <c r="I38" s="87">
        <f>LAVORAZIONI!V544</f>
        <v/>
      </c>
    </row>
    <row r="39">
      <c r="A39" s="84">
        <f>LAVORAZIONI!G545</f>
        <v/>
      </c>
      <c r="B39" s="85">
        <f>LAVORAZIONI!A545</f>
        <v/>
      </c>
      <c r="C39" s="85">
        <f>LAVORAZIONI!K545</f>
        <v/>
      </c>
      <c r="D39" s="84">
        <f>LAVORAZIONI!M545</f>
        <v/>
      </c>
      <c r="E39" s="86">
        <f>LAVORAZIONI!N545</f>
        <v/>
      </c>
      <c r="F39" s="86">
        <f>LAVORAZIONI!O545</f>
        <v/>
      </c>
      <c r="G39" s="87">
        <f>LAVORAZIONI!P545</f>
        <v/>
      </c>
      <c r="H39" s="88">
        <f>LAVORAZIONI!U545</f>
        <v/>
      </c>
      <c r="I39" s="87">
        <f>LAVORAZIONI!V545</f>
        <v/>
      </c>
    </row>
    <row r="40">
      <c r="A40" s="84">
        <f>LAVORAZIONI!G546</f>
        <v/>
      </c>
      <c r="B40" s="85">
        <f>LAVORAZIONI!A546</f>
        <v/>
      </c>
      <c r="C40" s="85">
        <f>LAVORAZIONI!K546</f>
        <v/>
      </c>
      <c r="D40" s="84">
        <f>LAVORAZIONI!M546</f>
        <v/>
      </c>
      <c r="E40" s="86">
        <f>LAVORAZIONI!N546</f>
        <v/>
      </c>
      <c r="F40" s="86">
        <f>LAVORAZIONI!O546</f>
        <v/>
      </c>
      <c r="G40" s="87">
        <f>LAVORAZIONI!P546</f>
        <v/>
      </c>
      <c r="H40" s="88">
        <f>LAVORAZIONI!U546</f>
        <v/>
      </c>
      <c r="I40" s="87">
        <f>LAVORAZIONI!V546</f>
        <v/>
      </c>
    </row>
    <row r="41">
      <c r="A41" s="84">
        <f>LAVORAZIONI!G547</f>
        <v/>
      </c>
      <c r="B41" s="85">
        <f>LAVORAZIONI!A547</f>
        <v/>
      </c>
      <c r="C41" s="85">
        <f>LAVORAZIONI!K547</f>
        <v/>
      </c>
      <c r="D41" s="84">
        <f>LAVORAZIONI!M547</f>
        <v/>
      </c>
      <c r="E41" s="86">
        <f>LAVORAZIONI!N547</f>
        <v/>
      </c>
      <c r="F41" s="86">
        <f>LAVORAZIONI!O547</f>
        <v/>
      </c>
      <c r="G41" s="87">
        <f>LAVORAZIONI!P547</f>
        <v/>
      </c>
      <c r="H41" s="88">
        <f>LAVORAZIONI!U547</f>
        <v/>
      </c>
      <c r="I41" s="87">
        <f>LAVORAZIONI!V547</f>
        <v/>
      </c>
    </row>
    <row r="42">
      <c r="A42" s="84">
        <f>LAVORAZIONI!G548</f>
        <v/>
      </c>
      <c r="B42" s="85">
        <f>LAVORAZIONI!A548</f>
        <v/>
      </c>
      <c r="C42" s="85">
        <f>LAVORAZIONI!K548</f>
        <v/>
      </c>
      <c r="D42" s="84">
        <f>LAVORAZIONI!M548</f>
        <v/>
      </c>
      <c r="E42" s="86">
        <f>LAVORAZIONI!N548</f>
        <v/>
      </c>
      <c r="F42" s="86">
        <f>LAVORAZIONI!O548</f>
        <v/>
      </c>
      <c r="G42" s="87">
        <f>LAVORAZIONI!P548</f>
        <v/>
      </c>
      <c r="H42" s="88">
        <f>LAVORAZIONI!U548</f>
        <v/>
      </c>
      <c r="I42" s="87">
        <f>LAVORAZIONI!V548</f>
        <v/>
      </c>
    </row>
    <row r="43">
      <c r="A43" s="84">
        <f>LAVORAZIONI!G549</f>
        <v/>
      </c>
      <c r="B43" s="85">
        <f>LAVORAZIONI!A549</f>
        <v/>
      </c>
      <c r="C43" s="85">
        <f>LAVORAZIONI!K549</f>
        <v/>
      </c>
      <c r="D43" s="84">
        <f>LAVORAZIONI!M549</f>
        <v/>
      </c>
      <c r="E43" s="86">
        <f>LAVORAZIONI!N549</f>
        <v/>
      </c>
      <c r="F43" s="86">
        <f>LAVORAZIONI!O549</f>
        <v/>
      </c>
      <c r="G43" s="87">
        <f>LAVORAZIONI!P549</f>
        <v/>
      </c>
      <c r="H43" s="88">
        <f>LAVORAZIONI!U549</f>
        <v/>
      </c>
      <c r="I43" s="87">
        <f>LAVORAZIONI!V549</f>
        <v/>
      </c>
    </row>
    <row r="44">
      <c r="A44" s="84">
        <f>LAVORAZIONI!G550</f>
        <v/>
      </c>
      <c r="B44" s="85">
        <f>LAVORAZIONI!A550</f>
        <v/>
      </c>
      <c r="C44" s="85">
        <f>LAVORAZIONI!K550</f>
        <v/>
      </c>
      <c r="D44" s="84">
        <f>LAVORAZIONI!M550</f>
        <v/>
      </c>
      <c r="E44" s="86">
        <f>LAVORAZIONI!N550</f>
        <v/>
      </c>
      <c r="F44" s="86">
        <f>LAVORAZIONI!O550</f>
        <v/>
      </c>
      <c r="G44" s="87">
        <f>LAVORAZIONI!P550</f>
        <v/>
      </c>
      <c r="H44" s="88">
        <f>LAVORAZIONI!U550</f>
        <v/>
      </c>
      <c r="I44" s="87">
        <f>LAVORAZIONI!V550</f>
        <v/>
      </c>
    </row>
    <row r="45">
      <c r="A45" s="84">
        <f>LAVORAZIONI!G551</f>
        <v/>
      </c>
      <c r="B45" s="85">
        <f>LAVORAZIONI!A551</f>
        <v/>
      </c>
      <c r="C45" s="85">
        <f>LAVORAZIONI!K551</f>
        <v/>
      </c>
      <c r="D45" s="84">
        <f>LAVORAZIONI!M551</f>
        <v/>
      </c>
      <c r="E45" s="86">
        <f>LAVORAZIONI!N551</f>
        <v/>
      </c>
      <c r="F45" s="86">
        <f>LAVORAZIONI!O551</f>
        <v/>
      </c>
      <c r="G45" s="87">
        <f>LAVORAZIONI!P551</f>
        <v/>
      </c>
      <c r="H45" s="88">
        <f>LAVORAZIONI!U551</f>
        <v/>
      </c>
      <c r="I45" s="87">
        <f>LAVORAZIONI!V551</f>
        <v/>
      </c>
    </row>
    <row r="46">
      <c r="A46" s="84">
        <f>LAVORAZIONI!G552</f>
        <v/>
      </c>
      <c r="B46" s="85">
        <f>LAVORAZIONI!A552</f>
        <v/>
      </c>
      <c r="C46" s="85">
        <f>LAVORAZIONI!K552</f>
        <v/>
      </c>
      <c r="D46" s="84">
        <f>LAVORAZIONI!M552</f>
        <v/>
      </c>
      <c r="E46" s="86">
        <f>LAVORAZIONI!N552</f>
        <v/>
      </c>
      <c r="F46" s="86">
        <f>LAVORAZIONI!O552</f>
        <v/>
      </c>
      <c r="G46" s="87">
        <f>LAVORAZIONI!P552</f>
        <v/>
      </c>
      <c r="H46" s="88">
        <f>LAVORAZIONI!U552</f>
        <v/>
      </c>
      <c r="I46" s="87">
        <f>LAVORAZIONI!V552</f>
        <v/>
      </c>
    </row>
    <row r="47">
      <c r="A47" s="84">
        <f>LAVORAZIONI!G553</f>
        <v/>
      </c>
      <c r="B47" s="85">
        <f>LAVORAZIONI!A553</f>
        <v/>
      </c>
      <c r="C47" s="85">
        <f>LAVORAZIONI!K553</f>
        <v/>
      </c>
      <c r="D47" s="84">
        <f>LAVORAZIONI!M553</f>
        <v/>
      </c>
      <c r="E47" s="86">
        <f>LAVORAZIONI!N553</f>
        <v/>
      </c>
      <c r="F47" s="86">
        <f>LAVORAZIONI!O553</f>
        <v/>
      </c>
      <c r="G47" s="87">
        <f>LAVORAZIONI!P553</f>
        <v/>
      </c>
      <c r="H47" s="88">
        <f>LAVORAZIONI!U553</f>
        <v/>
      </c>
      <c r="I47" s="87">
        <f>LAVORAZIONI!V553</f>
        <v/>
      </c>
    </row>
    <row r="48">
      <c r="A48" s="84">
        <f>LAVORAZIONI!G554</f>
        <v/>
      </c>
      <c r="B48" s="85">
        <f>LAVORAZIONI!A554</f>
        <v/>
      </c>
      <c r="C48" s="85">
        <f>LAVORAZIONI!K554</f>
        <v/>
      </c>
      <c r="D48" s="84">
        <f>LAVORAZIONI!M554</f>
        <v/>
      </c>
      <c r="E48" s="86">
        <f>LAVORAZIONI!N554</f>
        <v/>
      </c>
      <c r="F48" s="86">
        <f>LAVORAZIONI!O554</f>
        <v/>
      </c>
      <c r="G48" s="87">
        <f>LAVORAZIONI!P554</f>
        <v/>
      </c>
      <c r="H48" s="88">
        <f>LAVORAZIONI!U554</f>
        <v/>
      </c>
      <c r="I48" s="87">
        <f>LAVORAZIONI!V554</f>
        <v/>
      </c>
    </row>
    <row r="49">
      <c r="A49" s="84">
        <f>LAVORAZIONI!G555</f>
        <v/>
      </c>
      <c r="B49" s="85">
        <f>LAVORAZIONI!A555</f>
        <v/>
      </c>
      <c r="C49" s="85">
        <f>LAVORAZIONI!K555</f>
        <v/>
      </c>
      <c r="D49" s="84">
        <f>LAVORAZIONI!M555</f>
        <v/>
      </c>
      <c r="E49" s="86">
        <f>LAVORAZIONI!N555</f>
        <v/>
      </c>
      <c r="F49" s="86">
        <f>LAVORAZIONI!O555</f>
        <v/>
      </c>
      <c r="G49" s="87">
        <f>LAVORAZIONI!P555</f>
        <v/>
      </c>
      <c r="H49" s="88">
        <f>LAVORAZIONI!U555</f>
        <v/>
      </c>
      <c r="I49" s="87">
        <f>LAVORAZIONI!V555</f>
        <v/>
      </c>
    </row>
    <row r="50">
      <c r="A50" s="84">
        <f>LAVORAZIONI!G556</f>
        <v/>
      </c>
      <c r="B50" s="85">
        <f>LAVORAZIONI!A556</f>
        <v/>
      </c>
      <c r="C50" s="85">
        <f>LAVORAZIONI!K556</f>
        <v/>
      </c>
      <c r="D50" s="84">
        <f>LAVORAZIONI!M556</f>
        <v/>
      </c>
      <c r="E50" s="86">
        <f>LAVORAZIONI!N556</f>
        <v/>
      </c>
      <c r="F50" s="86">
        <f>LAVORAZIONI!O556</f>
        <v/>
      </c>
      <c r="G50" s="87">
        <f>LAVORAZIONI!P556</f>
        <v/>
      </c>
      <c r="H50" s="88">
        <f>LAVORAZIONI!U556</f>
        <v/>
      </c>
      <c r="I50" s="87">
        <f>LAVORAZIONI!V556</f>
        <v/>
      </c>
    </row>
    <row r="51">
      <c r="A51" s="84">
        <f>LAVORAZIONI!G557</f>
        <v/>
      </c>
      <c r="B51" s="85">
        <f>LAVORAZIONI!A557</f>
        <v/>
      </c>
      <c r="C51" s="85">
        <f>LAVORAZIONI!K557</f>
        <v/>
      </c>
      <c r="D51" s="84">
        <f>LAVORAZIONI!M557</f>
        <v/>
      </c>
      <c r="E51" s="86">
        <f>LAVORAZIONI!N557</f>
        <v/>
      </c>
      <c r="F51" s="86">
        <f>LAVORAZIONI!O557</f>
        <v/>
      </c>
      <c r="G51" s="87">
        <f>LAVORAZIONI!P557</f>
        <v/>
      </c>
      <c r="H51" s="88">
        <f>LAVORAZIONI!U557</f>
        <v/>
      </c>
      <c r="I51" s="87">
        <f>LAVORAZIONI!V557</f>
        <v/>
      </c>
    </row>
    <row r="52">
      <c r="A52" s="84">
        <f>LAVORAZIONI!G558</f>
        <v/>
      </c>
      <c r="B52" s="85">
        <f>LAVORAZIONI!A558</f>
        <v/>
      </c>
      <c r="C52" s="85">
        <f>LAVORAZIONI!K558</f>
        <v/>
      </c>
      <c r="D52" s="84">
        <f>LAVORAZIONI!M558</f>
        <v/>
      </c>
      <c r="E52" s="86">
        <f>LAVORAZIONI!N558</f>
        <v/>
      </c>
      <c r="F52" s="86">
        <f>LAVORAZIONI!O558</f>
        <v/>
      </c>
      <c r="G52" s="87">
        <f>LAVORAZIONI!P558</f>
        <v/>
      </c>
      <c r="H52" s="88">
        <f>LAVORAZIONI!U558</f>
        <v/>
      </c>
      <c r="I52" s="87">
        <f>LAVORAZIONI!V558</f>
        <v/>
      </c>
    </row>
    <row r="53">
      <c r="A53" s="84">
        <f>LAVORAZIONI!G559</f>
        <v/>
      </c>
      <c r="B53" s="85">
        <f>LAVORAZIONI!A559</f>
        <v/>
      </c>
      <c r="C53" s="85">
        <f>LAVORAZIONI!K559</f>
        <v/>
      </c>
      <c r="D53" s="84">
        <f>LAVORAZIONI!M559</f>
        <v/>
      </c>
      <c r="E53" s="86">
        <f>LAVORAZIONI!N559</f>
        <v/>
      </c>
      <c r="F53" s="86">
        <f>LAVORAZIONI!O559</f>
        <v/>
      </c>
      <c r="G53" s="87">
        <f>LAVORAZIONI!P559</f>
        <v/>
      </c>
      <c r="H53" s="88">
        <f>LAVORAZIONI!U559</f>
        <v/>
      </c>
      <c r="I53" s="87">
        <f>LAVORAZIONI!V559</f>
        <v/>
      </c>
    </row>
    <row r="54">
      <c r="A54" s="84">
        <f>LAVORAZIONI!G560</f>
        <v/>
      </c>
      <c r="B54" s="85">
        <f>LAVORAZIONI!A560</f>
        <v/>
      </c>
      <c r="C54" s="85">
        <f>LAVORAZIONI!K560</f>
        <v/>
      </c>
      <c r="D54" s="84">
        <f>LAVORAZIONI!M560</f>
        <v/>
      </c>
      <c r="E54" s="86">
        <f>LAVORAZIONI!N560</f>
        <v/>
      </c>
      <c r="F54" s="86">
        <f>LAVORAZIONI!O560</f>
        <v/>
      </c>
      <c r="G54" s="87">
        <f>LAVORAZIONI!P560</f>
        <v/>
      </c>
      <c r="H54" s="88">
        <f>LAVORAZIONI!U560</f>
        <v/>
      </c>
      <c r="I54" s="87">
        <f>LAVORAZIONI!V560</f>
        <v/>
      </c>
    </row>
    <row r="55">
      <c r="A55" s="79">
        <f>LAVORAZIONI!G561</f>
        <v/>
      </c>
      <c r="B55" s="80">
        <f>LAVORAZIONI!A561</f>
        <v/>
      </c>
      <c r="C55" s="80">
        <f>LAVORAZIONI!K561</f>
        <v/>
      </c>
      <c r="D55" s="79">
        <f>LAVORAZIONI!M561</f>
        <v/>
      </c>
      <c r="E55" s="81">
        <f>LAVORAZIONI!N561</f>
        <v/>
      </c>
      <c r="F55" s="81">
        <f>LAVORAZIONI!O561</f>
        <v/>
      </c>
      <c r="G55" s="82">
        <f>LAVORAZIONI!P561</f>
        <v/>
      </c>
      <c r="H55" s="83">
        <f>LAVORAZIONI!U561</f>
        <v/>
      </c>
      <c r="I55" s="82">
        <f>LAVORAZIONI!V561</f>
        <v/>
      </c>
    </row>
    <row r="56">
      <c r="A56" s="84">
        <f>LAVORAZIONI!G562</f>
        <v/>
      </c>
      <c r="B56" s="85">
        <f>LAVORAZIONI!A562</f>
        <v/>
      </c>
      <c r="C56" s="85">
        <f>LAVORAZIONI!K562</f>
        <v/>
      </c>
      <c r="D56" s="84">
        <f>LAVORAZIONI!M562</f>
        <v/>
      </c>
      <c r="E56" s="86">
        <f>LAVORAZIONI!N562</f>
        <v/>
      </c>
      <c r="F56" s="86">
        <f>LAVORAZIONI!O562</f>
        <v/>
      </c>
      <c r="G56" s="87">
        <f>LAVORAZIONI!P562</f>
        <v/>
      </c>
      <c r="H56" s="88">
        <f>LAVORAZIONI!U562</f>
        <v/>
      </c>
      <c r="I56" s="87">
        <f>LAVORAZIONI!V562</f>
        <v/>
      </c>
    </row>
    <row r="57">
      <c r="A57" s="84">
        <f>LAVORAZIONI!G563</f>
        <v/>
      </c>
      <c r="B57" s="85">
        <f>LAVORAZIONI!A563</f>
        <v/>
      </c>
      <c r="C57" s="85">
        <f>LAVORAZIONI!K563</f>
        <v/>
      </c>
      <c r="D57" s="84">
        <f>LAVORAZIONI!M563</f>
        <v/>
      </c>
      <c r="E57" s="86">
        <f>LAVORAZIONI!N563</f>
        <v/>
      </c>
      <c r="F57" s="86">
        <f>LAVORAZIONI!O563</f>
        <v/>
      </c>
      <c r="G57" s="87">
        <f>LAVORAZIONI!P563</f>
        <v/>
      </c>
      <c r="H57" s="88">
        <f>LAVORAZIONI!U563</f>
        <v/>
      </c>
      <c r="I57" s="87">
        <f>LAVORAZIONI!V563</f>
        <v/>
      </c>
    </row>
    <row r="58">
      <c r="A58" s="84">
        <f>LAVORAZIONI!G564</f>
        <v/>
      </c>
      <c r="B58" s="85">
        <f>LAVORAZIONI!A564</f>
        <v/>
      </c>
      <c r="C58" s="85">
        <f>LAVORAZIONI!K564</f>
        <v/>
      </c>
      <c r="D58" s="84">
        <f>LAVORAZIONI!M564</f>
        <v/>
      </c>
      <c r="E58" s="86">
        <f>LAVORAZIONI!N564</f>
        <v/>
      </c>
      <c r="F58" s="86">
        <f>LAVORAZIONI!O564</f>
        <v/>
      </c>
      <c r="G58" s="87">
        <f>LAVORAZIONI!P564</f>
        <v/>
      </c>
      <c r="H58" s="88">
        <f>LAVORAZIONI!U564</f>
        <v/>
      </c>
      <c r="I58" s="87">
        <f>LAVORAZIONI!V564</f>
        <v/>
      </c>
    </row>
    <row r="59">
      <c r="A59" s="84">
        <f>LAVORAZIONI!G565</f>
        <v/>
      </c>
      <c r="B59" s="85">
        <f>LAVORAZIONI!A565</f>
        <v/>
      </c>
      <c r="C59" s="85">
        <f>LAVORAZIONI!K565</f>
        <v/>
      </c>
      <c r="D59" s="84">
        <f>LAVORAZIONI!M565</f>
        <v/>
      </c>
      <c r="E59" s="86">
        <f>LAVORAZIONI!N565</f>
        <v/>
      </c>
      <c r="F59" s="86">
        <f>LAVORAZIONI!O565</f>
        <v/>
      </c>
      <c r="G59" s="87">
        <f>LAVORAZIONI!P565</f>
        <v/>
      </c>
      <c r="H59" s="88">
        <f>LAVORAZIONI!U565</f>
        <v/>
      </c>
      <c r="I59" s="87">
        <f>LAVORAZIONI!V565</f>
        <v/>
      </c>
    </row>
    <row r="60">
      <c r="A60" s="84">
        <f>LAVORAZIONI!G566</f>
        <v/>
      </c>
      <c r="B60" s="85">
        <f>LAVORAZIONI!A566</f>
        <v/>
      </c>
      <c r="C60" s="85">
        <f>LAVORAZIONI!K566</f>
        <v/>
      </c>
      <c r="D60" s="84">
        <f>LAVORAZIONI!M566</f>
        <v/>
      </c>
      <c r="E60" s="86">
        <f>LAVORAZIONI!N566</f>
        <v/>
      </c>
      <c r="F60" s="86">
        <f>LAVORAZIONI!O566</f>
        <v/>
      </c>
      <c r="G60" s="87">
        <f>LAVORAZIONI!P566</f>
        <v/>
      </c>
      <c r="H60" s="88">
        <f>LAVORAZIONI!U566</f>
        <v/>
      </c>
      <c r="I60" s="87">
        <f>LAVORAZIONI!V566</f>
        <v/>
      </c>
    </row>
    <row r="61">
      <c r="A61" s="84">
        <f>LAVORAZIONI!G567</f>
        <v/>
      </c>
      <c r="B61" s="85">
        <f>LAVORAZIONI!A567</f>
        <v/>
      </c>
      <c r="C61" s="85">
        <f>LAVORAZIONI!K567</f>
        <v/>
      </c>
      <c r="D61" s="84">
        <f>LAVORAZIONI!M567</f>
        <v/>
      </c>
      <c r="E61" s="86">
        <f>LAVORAZIONI!N567</f>
        <v/>
      </c>
      <c r="F61" s="86">
        <f>LAVORAZIONI!O567</f>
        <v/>
      </c>
      <c r="G61" s="87">
        <f>LAVORAZIONI!P567</f>
        <v/>
      </c>
      <c r="H61" s="88">
        <f>LAVORAZIONI!U567</f>
        <v/>
      </c>
      <c r="I61" s="87">
        <f>LAVORAZIONI!V567</f>
        <v/>
      </c>
    </row>
    <row r="62">
      <c r="A62" s="84">
        <f>LAVORAZIONI!G568</f>
        <v/>
      </c>
      <c r="B62" s="85">
        <f>LAVORAZIONI!A568</f>
        <v/>
      </c>
      <c r="C62" s="85">
        <f>LAVORAZIONI!K568</f>
        <v/>
      </c>
      <c r="D62" s="84">
        <f>LAVORAZIONI!M568</f>
        <v/>
      </c>
      <c r="E62" s="86">
        <f>LAVORAZIONI!N568</f>
        <v/>
      </c>
      <c r="F62" s="86">
        <f>LAVORAZIONI!O568</f>
        <v/>
      </c>
      <c r="G62" s="87">
        <f>LAVORAZIONI!P568</f>
        <v/>
      </c>
      <c r="H62" s="88">
        <f>LAVORAZIONI!U568</f>
        <v/>
      </c>
      <c r="I62" s="87">
        <f>LAVORAZIONI!V568</f>
        <v/>
      </c>
    </row>
    <row r="63">
      <c r="A63" s="84">
        <f>LAVORAZIONI!G569</f>
        <v/>
      </c>
      <c r="B63" s="85">
        <f>LAVORAZIONI!A569</f>
        <v/>
      </c>
      <c r="C63" s="85">
        <f>LAVORAZIONI!K569</f>
        <v/>
      </c>
      <c r="D63" s="84">
        <f>LAVORAZIONI!M569</f>
        <v/>
      </c>
      <c r="E63" s="86">
        <f>LAVORAZIONI!N569</f>
        <v/>
      </c>
      <c r="F63" s="86">
        <f>LAVORAZIONI!O569</f>
        <v/>
      </c>
      <c r="G63" s="87">
        <f>LAVORAZIONI!P569</f>
        <v/>
      </c>
      <c r="H63" s="88">
        <f>LAVORAZIONI!U569</f>
        <v/>
      </c>
      <c r="I63" s="87">
        <f>LAVORAZIONI!V569</f>
        <v/>
      </c>
    </row>
    <row r="64">
      <c r="A64" s="84">
        <f>LAVORAZIONI!G570</f>
        <v/>
      </c>
      <c r="B64" s="85">
        <f>LAVORAZIONI!A570</f>
        <v/>
      </c>
      <c r="C64" s="85">
        <f>LAVORAZIONI!K570</f>
        <v/>
      </c>
      <c r="D64" s="84">
        <f>LAVORAZIONI!M570</f>
        <v/>
      </c>
      <c r="E64" s="86">
        <f>LAVORAZIONI!N570</f>
        <v/>
      </c>
      <c r="F64" s="86">
        <f>LAVORAZIONI!O570</f>
        <v/>
      </c>
      <c r="G64" s="87">
        <f>LAVORAZIONI!P570</f>
        <v/>
      </c>
      <c r="H64" s="88">
        <f>LAVORAZIONI!U570</f>
        <v/>
      </c>
      <c r="I64" s="87">
        <f>LAVORAZIONI!V570</f>
        <v/>
      </c>
    </row>
    <row r="65">
      <c r="A65" s="84">
        <f>LAVORAZIONI!G571</f>
        <v/>
      </c>
      <c r="B65" s="85">
        <f>LAVORAZIONI!A571</f>
        <v/>
      </c>
      <c r="C65" s="85">
        <f>LAVORAZIONI!K571</f>
        <v/>
      </c>
      <c r="D65" s="84">
        <f>LAVORAZIONI!M571</f>
        <v/>
      </c>
      <c r="E65" s="86">
        <f>LAVORAZIONI!N571</f>
        <v/>
      </c>
      <c r="F65" s="86">
        <f>LAVORAZIONI!O571</f>
        <v/>
      </c>
      <c r="G65" s="87">
        <f>LAVORAZIONI!P571</f>
        <v/>
      </c>
      <c r="H65" s="88">
        <f>LAVORAZIONI!U571</f>
        <v/>
      </c>
      <c r="I65" s="87">
        <f>LAVORAZIONI!V571</f>
        <v/>
      </c>
    </row>
    <row r="66">
      <c r="A66" s="84">
        <f>LAVORAZIONI!G572</f>
        <v/>
      </c>
      <c r="B66" s="85">
        <f>LAVORAZIONI!A572</f>
        <v/>
      </c>
      <c r="C66" s="85">
        <f>LAVORAZIONI!K572</f>
        <v/>
      </c>
      <c r="D66" s="84">
        <f>LAVORAZIONI!M572</f>
        <v/>
      </c>
      <c r="E66" s="86">
        <f>LAVORAZIONI!N572</f>
        <v/>
      </c>
      <c r="F66" s="86">
        <f>LAVORAZIONI!O572</f>
        <v/>
      </c>
      <c r="G66" s="87">
        <f>LAVORAZIONI!P572</f>
        <v/>
      </c>
      <c r="H66" s="88">
        <f>LAVORAZIONI!U572</f>
        <v/>
      </c>
      <c r="I66" s="87">
        <f>LAVORAZIONI!V572</f>
        <v/>
      </c>
    </row>
    <row r="67">
      <c r="A67" s="84">
        <f>LAVORAZIONI!G573</f>
        <v/>
      </c>
      <c r="B67" s="85">
        <f>LAVORAZIONI!A573</f>
        <v/>
      </c>
      <c r="C67" s="85">
        <f>LAVORAZIONI!K573</f>
        <v/>
      </c>
      <c r="D67" s="84">
        <f>LAVORAZIONI!M573</f>
        <v/>
      </c>
      <c r="E67" s="86">
        <f>LAVORAZIONI!N573</f>
        <v/>
      </c>
      <c r="F67" s="86">
        <f>LAVORAZIONI!O573</f>
        <v/>
      </c>
      <c r="G67" s="87">
        <f>LAVORAZIONI!P573</f>
        <v/>
      </c>
      <c r="H67" s="88">
        <f>LAVORAZIONI!U573</f>
        <v/>
      </c>
      <c r="I67" s="87">
        <f>LAVORAZIONI!V573</f>
        <v/>
      </c>
    </row>
    <row r="68">
      <c r="A68" s="84">
        <f>LAVORAZIONI!G574</f>
        <v/>
      </c>
      <c r="B68" s="85">
        <f>LAVORAZIONI!A574</f>
        <v/>
      </c>
      <c r="C68" s="85">
        <f>LAVORAZIONI!K574</f>
        <v/>
      </c>
      <c r="D68" s="84">
        <f>LAVORAZIONI!M574</f>
        <v/>
      </c>
      <c r="E68" s="86">
        <f>LAVORAZIONI!N574</f>
        <v/>
      </c>
      <c r="F68" s="86">
        <f>LAVORAZIONI!O574</f>
        <v/>
      </c>
      <c r="G68" s="87">
        <f>LAVORAZIONI!P574</f>
        <v/>
      </c>
      <c r="H68" s="88">
        <f>LAVORAZIONI!U574</f>
        <v/>
      </c>
      <c r="I68" s="87">
        <f>LAVORAZIONI!V574</f>
        <v/>
      </c>
    </row>
    <row r="69">
      <c r="A69" s="84">
        <f>LAVORAZIONI!G575</f>
        <v/>
      </c>
      <c r="B69" s="85">
        <f>LAVORAZIONI!A575</f>
        <v/>
      </c>
      <c r="C69" s="85">
        <f>LAVORAZIONI!K575</f>
        <v/>
      </c>
      <c r="D69" s="84">
        <f>LAVORAZIONI!M575</f>
        <v/>
      </c>
      <c r="E69" s="86">
        <f>LAVORAZIONI!N575</f>
        <v/>
      </c>
      <c r="F69" s="86">
        <f>LAVORAZIONI!O575</f>
        <v/>
      </c>
      <c r="G69" s="87">
        <f>LAVORAZIONI!P575</f>
        <v/>
      </c>
      <c r="H69" s="88">
        <f>LAVORAZIONI!U575</f>
        <v/>
      </c>
      <c r="I69" s="87">
        <f>LAVORAZIONI!V575</f>
        <v/>
      </c>
    </row>
    <row r="70">
      <c r="A70" s="84">
        <f>LAVORAZIONI!G576</f>
        <v/>
      </c>
      <c r="B70" s="85">
        <f>LAVORAZIONI!A576</f>
        <v/>
      </c>
      <c r="C70" s="85">
        <f>LAVORAZIONI!K576</f>
        <v/>
      </c>
      <c r="D70" s="84">
        <f>LAVORAZIONI!M576</f>
        <v/>
      </c>
      <c r="E70" s="86">
        <f>LAVORAZIONI!N576</f>
        <v/>
      </c>
      <c r="F70" s="86">
        <f>LAVORAZIONI!O576</f>
        <v/>
      </c>
      <c r="G70" s="87">
        <f>LAVORAZIONI!P576</f>
        <v/>
      </c>
      <c r="H70" s="88">
        <f>LAVORAZIONI!U576</f>
        <v/>
      </c>
      <c r="I70" s="87">
        <f>LAVORAZIONI!V576</f>
        <v/>
      </c>
    </row>
    <row r="71">
      <c r="A71" s="84">
        <f>LAVORAZIONI!G577</f>
        <v/>
      </c>
      <c r="B71" s="85">
        <f>LAVORAZIONI!A577</f>
        <v/>
      </c>
      <c r="C71" s="85">
        <f>LAVORAZIONI!K577</f>
        <v/>
      </c>
      <c r="D71" s="84">
        <f>LAVORAZIONI!M577</f>
        <v/>
      </c>
      <c r="E71" s="86">
        <f>LAVORAZIONI!N577</f>
        <v/>
      </c>
      <c r="F71" s="86">
        <f>LAVORAZIONI!O577</f>
        <v/>
      </c>
      <c r="G71" s="87">
        <f>LAVORAZIONI!P577</f>
        <v/>
      </c>
      <c r="H71" s="88">
        <f>LAVORAZIONI!U577</f>
        <v/>
      </c>
      <c r="I71" s="87">
        <f>LAVORAZIONI!V577</f>
        <v/>
      </c>
    </row>
    <row r="72">
      <c r="A72" s="84">
        <f>LAVORAZIONI!G578</f>
        <v/>
      </c>
      <c r="B72" s="85">
        <f>LAVORAZIONI!A578</f>
        <v/>
      </c>
      <c r="C72" s="85">
        <f>LAVORAZIONI!K578</f>
        <v/>
      </c>
      <c r="D72" s="84">
        <f>LAVORAZIONI!M578</f>
        <v/>
      </c>
      <c r="E72" s="86">
        <f>LAVORAZIONI!N578</f>
        <v/>
      </c>
      <c r="F72" s="86">
        <f>LAVORAZIONI!O578</f>
        <v/>
      </c>
      <c r="G72" s="87">
        <f>LAVORAZIONI!P578</f>
        <v/>
      </c>
      <c r="H72" s="88">
        <f>LAVORAZIONI!U578</f>
        <v/>
      </c>
      <c r="I72" s="87">
        <f>LAVORAZIONI!V578</f>
        <v/>
      </c>
    </row>
    <row r="73">
      <c r="A73" s="84">
        <f>LAVORAZIONI!G579</f>
        <v/>
      </c>
      <c r="B73" s="85">
        <f>LAVORAZIONI!A579</f>
        <v/>
      </c>
      <c r="C73" s="85">
        <f>LAVORAZIONI!K579</f>
        <v/>
      </c>
      <c r="D73" s="84">
        <f>LAVORAZIONI!M579</f>
        <v/>
      </c>
      <c r="E73" s="86">
        <f>LAVORAZIONI!N579</f>
        <v/>
      </c>
      <c r="F73" s="86">
        <f>LAVORAZIONI!O579</f>
        <v/>
      </c>
      <c r="G73" s="87">
        <f>LAVORAZIONI!P579</f>
        <v/>
      </c>
      <c r="H73" s="88">
        <f>LAVORAZIONI!U579</f>
        <v/>
      </c>
      <c r="I73" s="87">
        <f>LAVORAZIONI!V579</f>
        <v/>
      </c>
    </row>
    <row r="74">
      <c r="A74" s="84">
        <f>LAVORAZIONI!G580</f>
        <v/>
      </c>
      <c r="B74" s="85">
        <f>LAVORAZIONI!A580</f>
        <v/>
      </c>
      <c r="C74" s="85">
        <f>LAVORAZIONI!K580</f>
        <v/>
      </c>
      <c r="D74" s="84">
        <f>LAVORAZIONI!M580</f>
        <v/>
      </c>
      <c r="E74" s="86">
        <f>LAVORAZIONI!N580</f>
        <v/>
      </c>
      <c r="F74" s="86">
        <f>LAVORAZIONI!O580</f>
        <v/>
      </c>
      <c r="G74" s="87">
        <f>LAVORAZIONI!P580</f>
        <v/>
      </c>
      <c r="H74" s="88">
        <f>LAVORAZIONI!U580</f>
        <v/>
      </c>
      <c r="I74" s="87">
        <f>LAVORAZIONI!V580</f>
        <v/>
      </c>
    </row>
    <row r="75">
      <c r="A75" s="84">
        <f>LAVORAZIONI!G581</f>
        <v/>
      </c>
      <c r="B75" s="85">
        <f>LAVORAZIONI!A581</f>
        <v/>
      </c>
      <c r="C75" s="85">
        <f>LAVORAZIONI!K581</f>
        <v/>
      </c>
      <c r="D75" s="84">
        <f>LAVORAZIONI!M581</f>
        <v/>
      </c>
      <c r="E75" s="86">
        <f>LAVORAZIONI!N581</f>
        <v/>
      </c>
      <c r="F75" s="86">
        <f>LAVORAZIONI!O581</f>
        <v/>
      </c>
      <c r="G75" s="87">
        <f>LAVORAZIONI!P581</f>
        <v/>
      </c>
      <c r="H75" s="88">
        <f>LAVORAZIONI!U581</f>
        <v/>
      </c>
      <c r="I75" s="87">
        <f>LAVORAZIONI!V581</f>
        <v/>
      </c>
    </row>
    <row r="76">
      <c r="A76" s="84">
        <f>LAVORAZIONI!G582</f>
        <v/>
      </c>
      <c r="B76" s="85">
        <f>LAVORAZIONI!A582</f>
        <v/>
      </c>
      <c r="C76" s="85">
        <f>LAVORAZIONI!K582</f>
        <v/>
      </c>
      <c r="D76" s="84">
        <f>LAVORAZIONI!M582</f>
        <v/>
      </c>
      <c r="E76" s="86">
        <f>LAVORAZIONI!N582</f>
        <v/>
      </c>
      <c r="F76" s="86">
        <f>LAVORAZIONI!O582</f>
        <v/>
      </c>
      <c r="G76" s="87">
        <f>LAVORAZIONI!P582</f>
        <v/>
      </c>
      <c r="H76" s="88">
        <f>LAVORAZIONI!U582</f>
        <v/>
      </c>
      <c r="I76" s="87">
        <f>LAVORAZIONI!V582</f>
        <v/>
      </c>
    </row>
    <row r="77">
      <c r="A77" s="84">
        <f>LAVORAZIONI!G583</f>
        <v/>
      </c>
      <c r="B77" s="85">
        <f>LAVORAZIONI!A583</f>
        <v/>
      </c>
      <c r="C77" s="85">
        <f>LAVORAZIONI!K583</f>
        <v/>
      </c>
      <c r="D77" s="84">
        <f>LAVORAZIONI!M583</f>
        <v/>
      </c>
      <c r="E77" s="86">
        <f>LAVORAZIONI!N583</f>
        <v/>
      </c>
      <c r="F77" s="86">
        <f>LAVORAZIONI!O583</f>
        <v/>
      </c>
      <c r="G77" s="87">
        <f>LAVORAZIONI!P583</f>
        <v/>
      </c>
      <c r="H77" s="88">
        <f>LAVORAZIONI!U583</f>
        <v/>
      </c>
      <c r="I77" s="87">
        <f>LAVORAZIONI!V583</f>
        <v/>
      </c>
    </row>
    <row r="78">
      <c r="A78" s="84">
        <f>LAVORAZIONI!G584</f>
        <v/>
      </c>
      <c r="B78" s="85">
        <f>LAVORAZIONI!A584</f>
        <v/>
      </c>
      <c r="C78" s="85">
        <f>LAVORAZIONI!K584</f>
        <v/>
      </c>
      <c r="D78" s="84">
        <f>LAVORAZIONI!M584</f>
        <v/>
      </c>
      <c r="E78" s="86">
        <f>LAVORAZIONI!N584</f>
        <v/>
      </c>
      <c r="F78" s="86">
        <f>LAVORAZIONI!O584</f>
        <v/>
      </c>
      <c r="G78" s="87">
        <f>LAVORAZIONI!P584</f>
        <v/>
      </c>
      <c r="H78" s="88">
        <f>LAVORAZIONI!U584</f>
        <v/>
      </c>
      <c r="I78" s="87">
        <f>LAVORAZIONI!V584</f>
        <v/>
      </c>
    </row>
    <row r="79">
      <c r="A79" s="84">
        <f>LAVORAZIONI!G585</f>
        <v/>
      </c>
      <c r="B79" s="85">
        <f>LAVORAZIONI!A585</f>
        <v/>
      </c>
      <c r="C79" s="85">
        <f>LAVORAZIONI!K585</f>
        <v/>
      </c>
      <c r="D79" s="84">
        <f>LAVORAZIONI!M585</f>
        <v/>
      </c>
      <c r="E79" s="86">
        <f>LAVORAZIONI!N585</f>
        <v/>
      </c>
      <c r="F79" s="86">
        <f>LAVORAZIONI!O585</f>
        <v/>
      </c>
      <c r="G79" s="87">
        <f>LAVORAZIONI!P585</f>
        <v/>
      </c>
      <c r="H79" s="88">
        <f>LAVORAZIONI!U585</f>
        <v/>
      </c>
      <c r="I79" s="87">
        <f>LAVORAZIONI!V585</f>
        <v/>
      </c>
    </row>
    <row r="80">
      <c r="A80" s="84">
        <f>LAVORAZIONI!G586</f>
        <v/>
      </c>
      <c r="B80" s="85">
        <f>LAVORAZIONI!A586</f>
        <v/>
      </c>
      <c r="C80" s="85">
        <f>LAVORAZIONI!K586</f>
        <v/>
      </c>
      <c r="D80" s="84">
        <f>LAVORAZIONI!M586</f>
        <v/>
      </c>
      <c r="E80" s="86">
        <f>LAVORAZIONI!N586</f>
        <v/>
      </c>
      <c r="F80" s="86">
        <f>LAVORAZIONI!O586</f>
        <v/>
      </c>
      <c r="G80" s="87">
        <f>LAVORAZIONI!P586</f>
        <v/>
      </c>
      <c r="H80" s="88">
        <f>LAVORAZIONI!U586</f>
        <v/>
      </c>
      <c r="I80" s="87">
        <f>LAVORAZIONI!V586</f>
        <v/>
      </c>
    </row>
    <row r="81">
      <c r="A81" s="84">
        <f>LAVORAZIONI!G587</f>
        <v/>
      </c>
      <c r="B81" s="85">
        <f>LAVORAZIONI!A587</f>
        <v/>
      </c>
      <c r="C81" s="85">
        <f>LAVORAZIONI!K587</f>
        <v/>
      </c>
      <c r="D81" s="84">
        <f>LAVORAZIONI!M587</f>
        <v/>
      </c>
      <c r="E81" s="86">
        <f>LAVORAZIONI!N587</f>
        <v/>
      </c>
      <c r="F81" s="86">
        <f>LAVORAZIONI!O587</f>
        <v/>
      </c>
      <c r="G81" s="87">
        <f>LAVORAZIONI!P587</f>
        <v/>
      </c>
      <c r="H81" s="88">
        <f>LAVORAZIONI!U587</f>
        <v/>
      </c>
      <c r="I81" s="87">
        <f>LAVORAZIONI!V587</f>
        <v/>
      </c>
    </row>
    <row r="82">
      <c r="A82" s="84">
        <f>LAVORAZIONI!G588</f>
        <v/>
      </c>
      <c r="B82" s="85">
        <f>LAVORAZIONI!A588</f>
        <v/>
      </c>
      <c r="C82" s="85">
        <f>LAVORAZIONI!K588</f>
        <v/>
      </c>
      <c r="D82" s="84">
        <f>LAVORAZIONI!M588</f>
        <v/>
      </c>
      <c r="E82" s="86">
        <f>LAVORAZIONI!N588</f>
        <v/>
      </c>
      <c r="F82" s="86">
        <f>LAVORAZIONI!O588</f>
        <v/>
      </c>
      <c r="G82" s="87">
        <f>LAVORAZIONI!P588</f>
        <v/>
      </c>
      <c r="H82" s="88">
        <f>LAVORAZIONI!U588</f>
        <v/>
      </c>
      <c r="I82" s="87">
        <f>LAVORAZIONI!V588</f>
        <v/>
      </c>
    </row>
    <row r="83">
      <c r="A83" s="84">
        <f>LAVORAZIONI!G589</f>
        <v/>
      </c>
      <c r="B83" s="85">
        <f>LAVORAZIONI!A589</f>
        <v/>
      </c>
      <c r="C83" s="85">
        <f>LAVORAZIONI!K589</f>
        <v/>
      </c>
      <c r="D83" s="84">
        <f>LAVORAZIONI!M589</f>
        <v/>
      </c>
      <c r="E83" s="86">
        <f>LAVORAZIONI!N589</f>
        <v/>
      </c>
      <c r="F83" s="86">
        <f>LAVORAZIONI!O589</f>
        <v/>
      </c>
      <c r="G83" s="87">
        <f>LAVORAZIONI!P589</f>
        <v/>
      </c>
      <c r="H83" s="88">
        <f>LAVORAZIONI!U589</f>
        <v/>
      </c>
      <c r="I83" s="87">
        <f>LAVORAZIONI!V589</f>
        <v/>
      </c>
    </row>
    <row r="84">
      <c r="A84" s="84">
        <f>LAVORAZIONI!G590</f>
        <v/>
      </c>
      <c r="B84" s="85">
        <f>LAVORAZIONI!A590</f>
        <v/>
      </c>
      <c r="C84" s="85">
        <f>LAVORAZIONI!K590</f>
        <v/>
      </c>
      <c r="D84" s="84">
        <f>LAVORAZIONI!M590</f>
        <v/>
      </c>
      <c r="E84" s="86">
        <f>LAVORAZIONI!N590</f>
        <v/>
      </c>
      <c r="F84" s="86">
        <f>LAVORAZIONI!O590</f>
        <v/>
      </c>
      <c r="G84" s="87">
        <f>LAVORAZIONI!P590</f>
        <v/>
      </c>
      <c r="H84" s="88">
        <f>LAVORAZIONI!U590</f>
        <v/>
      </c>
      <c r="I84" s="87">
        <f>LAVORAZIONI!V590</f>
        <v/>
      </c>
    </row>
    <row r="85">
      <c r="A85" s="84">
        <f>LAVORAZIONI!G591</f>
        <v/>
      </c>
      <c r="B85" s="85">
        <f>LAVORAZIONI!A591</f>
        <v/>
      </c>
      <c r="C85" s="85">
        <f>LAVORAZIONI!K591</f>
        <v/>
      </c>
      <c r="D85" s="84">
        <f>LAVORAZIONI!M591</f>
        <v/>
      </c>
      <c r="E85" s="86">
        <f>LAVORAZIONI!N591</f>
        <v/>
      </c>
      <c r="F85" s="86">
        <f>LAVORAZIONI!O591</f>
        <v/>
      </c>
      <c r="G85" s="87">
        <f>LAVORAZIONI!P591</f>
        <v/>
      </c>
      <c r="H85" s="88">
        <f>LAVORAZIONI!U591</f>
        <v/>
      </c>
      <c r="I85" s="87">
        <f>LAVORAZIONI!V591</f>
        <v/>
      </c>
    </row>
    <row r="86">
      <c r="A86" s="84">
        <f>LAVORAZIONI!G592</f>
        <v/>
      </c>
      <c r="B86" s="85">
        <f>LAVORAZIONI!A592</f>
        <v/>
      </c>
      <c r="C86" s="85">
        <f>LAVORAZIONI!K592</f>
        <v/>
      </c>
      <c r="D86" s="84">
        <f>LAVORAZIONI!M592</f>
        <v/>
      </c>
      <c r="E86" s="86">
        <f>LAVORAZIONI!N592</f>
        <v/>
      </c>
      <c r="F86" s="86">
        <f>LAVORAZIONI!O592</f>
        <v/>
      </c>
      <c r="G86" s="87">
        <f>LAVORAZIONI!P592</f>
        <v/>
      </c>
      <c r="H86" s="88">
        <f>LAVORAZIONI!U592</f>
        <v/>
      </c>
      <c r="I86" s="87">
        <f>LAVORAZIONI!V592</f>
        <v/>
      </c>
    </row>
    <row r="87">
      <c r="A87" s="84">
        <f>LAVORAZIONI!G593</f>
        <v/>
      </c>
      <c r="B87" s="85">
        <f>LAVORAZIONI!A593</f>
        <v/>
      </c>
      <c r="C87" s="85">
        <f>LAVORAZIONI!K593</f>
        <v/>
      </c>
      <c r="D87" s="84">
        <f>LAVORAZIONI!M593</f>
        <v/>
      </c>
      <c r="E87" s="86">
        <f>LAVORAZIONI!N593</f>
        <v/>
      </c>
      <c r="F87" s="86">
        <f>LAVORAZIONI!O593</f>
        <v/>
      </c>
      <c r="G87" s="87">
        <f>LAVORAZIONI!P593</f>
        <v/>
      </c>
      <c r="H87" s="88">
        <f>LAVORAZIONI!U593</f>
        <v/>
      </c>
      <c r="I87" s="87">
        <f>LAVORAZIONI!V593</f>
        <v/>
      </c>
    </row>
    <row r="88">
      <c r="A88" s="84">
        <f>LAVORAZIONI!G594</f>
        <v/>
      </c>
      <c r="B88" s="85">
        <f>LAVORAZIONI!A594</f>
        <v/>
      </c>
      <c r="C88" s="85">
        <f>LAVORAZIONI!K594</f>
        <v/>
      </c>
      <c r="D88" s="84">
        <f>LAVORAZIONI!M594</f>
        <v/>
      </c>
      <c r="E88" s="86">
        <f>LAVORAZIONI!N594</f>
        <v/>
      </c>
      <c r="F88" s="86">
        <f>LAVORAZIONI!O594</f>
        <v/>
      </c>
      <c r="G88" s="87">
        <f>LAVORAZIONI!P594</f>
        <v/>
      </c>
      <c r="H88" s="88">
        <f>LAVORAZIONI!U594</f>
        <v/>
      </c>
      <c r="I88" s="87">
        <f>LAVORAZIONI!V594</f>
        <v/>
      </c>
    </row>
    <row r="89">
      <c r="A89" s="84">
        <f>LAVORAZIONI!G595</f>
        <v/>
      </c>
      <c r="B89" s="85">
        <f>LAVORAZIONI!A595</f>
        <v/>
      </c>
      <c r="C89" s="85">
        <f>LAVORAZIONI!K595</f>
        <v/>
      </c>
      <c r="D89" s="84">
        <f>LAVORAZIONI!M595</f>
        <v/>
      </c>
      <c r="E89" s="86">
        <f>LAVORAZIONI!N595</f>
        <v/>
      </c>
      <c r="F89" s="86">
        <f>LAVORAZIONI!O595</f>
        <v/>
      </c>
      <c r="G89" s="87">
        <f>LAVORAZIONI!P595</f>
        <v/>
      </c>
      <c r="H89" s="88">
        <f>LAVORAZIONI!U595</f>
        <v/>
      </c>
      <c r="I89" s="87">
        <f>LAVORAZIONI!V595</f>
        <v/>
      </c>
    </row>
    <row r="90">
      <c r="A90" s="84">
        <f>LAVORAZIONI!G596</f>
        <v/>
      </c>
      <c r="B90" s="85">
        <f>LAVORAZIONI!A596</f>
        <v/>
      </c>
      <c r="C90" s="85">
        <f>LAVORAZIONI!K596</f>
        <v/>
      </c>
      <c r="D90" s="84">
        <f>LAVORAZIONI!M596</f>
        <v/>
      </c>
      <c r="E90" s="86">
        <f>LAVORAZIONI!N596</f>
        <v/>
      </c>
      <c r="F90" s="86">
        <f>LAVORAZIONI!O596</f>
        <v/>
      </c>
      <c r="G90" s="87">
        <f>LAVORAZIONI!P596</f>
        <v/>
      </c>
      <c r="H90" s="88">
        <f>LAVORAZIONI!U596</f>
        <v/>
      </c>
      <c r="I90" s="87">
        <f>LAVORAZIONI!V596</f>
        <v/>
      </c>
    </row>
    <row r="91">
      <c r="A91" s="79">
        <f>LAVORAZIONI!G597</f>
        <v/>
      </c>
      <c r="B91" s="80">
        <f>LAVORAZIONI!A597</f>
        <v/>
      </c>
      <c r="C91" s="80">
        <f>LAVORAZIONI!K597</f>
        <v/>
      </c>
      <c r="D91" s="79">
        <f>LAVORAZIONI!M597</f>
        <v/>
      </c>
      <c r="E91" s="81">
        <f>LAVORAZIONI!N597</f>
        <v/>
      </c>
      <c r="F91" s="81">
        <f>LAVORAZIONI!O597</f>
        <v/>
      </c>
      <c r="G91" s="82">
        <f>LAVORAZIONI!P597</f>
        <v/>
      </c>
      <c r="H91" s="83">
        <f>LAVORAZIONI!U597</f>
        <v/>
      </c>
      <c r="I91" s="82">
        <f>LAVORAZIONI!V597</f>
        <v/>
      </c>
    </row>
    <row r="92">
      <c r="A92" s="79">
        <f>LAVORAZIONI!G598</f>
        <v/>
      </c>
      <c r="B92" s="80">
        <f>LAVORAZIONI!A598</f>
        <v/>
      </c>
      <c r="C92" s="80">
        <f>LAVORAZIONI!K598</f>
        <v/>
      </c>
      <c r="D92" s="79">
        <f>LAVORAZIONI!M598</f>
        <v/>
      </c>
      <c r="E92" s="81">
        <f>LAVORAZIONI!N598</f>
        <v/>
      </c>
      <c r="F92" s="81">
        <f>LAVORAZIONI!O598</f>
        <v/>
      </c>
      <c r="G92" s="82">
        <f>LAVORAZIONI!P598</f>
        <v/>
      </c>
      <c r="H92" s="83">
        <f>LAVORAZIONI!U598</f>
        <v/>
      </c>
      <c r="I92" s="82">
        <f>LAVORAZIONI!V598</f>
        <v/>
      </c>
    </row>
    <row r="93">
      <c r="A93" s="79">
        <f>LAVORAZIONI!G599</f>
        <v/>
      </c>
      <c r="B93" s="80">
        <f>LAVORAZIONI!A599</f>
        <v/>
      </c>
      <c r="C93" s="80">
        <f>LAVORAZIONI!K599</f>
        <v/>
      </c>
      <c r="D93" s="79">
        <f>LAVORAZIONI!M599</f>
        <v/>
      </c>
      <c r="E93" s="81">
        <f>LAVORAZIONI!N599</f>
        <v/>
      </c>
      <c r="F93" s="81">
        <f>LAVORAZIONI!O599</f>
        <v/>
      </c>
      <c r="G93" s="82">
        <f>LAVORAZIONI!P599</f>
        <v/>
      </c>
      <c r="H93" s="83">
        <f>LAVORAZIONI!U599</f>
        <v/>
      </c>
      <c r="I93" s="82">
        <f>LAVORAZIONI!V599</f>
        <v/>
      </c>
    </row>
    <row r="94">
      <c r="A94" s="79">
        <f>LAVORAZIONI!G600</f>
        <v/>
      </c>
      <c r="B94" s="80">
        <f>LAVORAZIONI!A600</f>
        <v/>
      </c>
      <c r="C94" s="80">
        <f>LAVORAZIONI!K600</f>
        <v/>
      </c>
      <c r="D94" s="79">
        <f>LAVORAZIONI!M600</f>
        <v/>
      </c>
      <c r="E94" s="81">
        <f>LAVORAZIONI!N600</f>
        <v/>
      </c>
      <c r="F94" s="81">
        <f>LAVORAZIONI!O600</f>
        <v/>
      </c>
      <c r="G94" s="82">
        <f>LAVORAZIONI!P600</f>
        <v/>
      </c>
      <c r="H94" s="83">
        <f>LAVORAZIONI!U600</f>
        <v/>
      </c>
      <c r="I94" s="82">
        <f>LAVORAZIONI!V600</f>
        <v/>
      </c>
    </row>
    <row r="95">
      <c r="A95" s="79">
        <f>LAVORAZIONI!G601</f>
        <v/>
      </c>
      <c r="B95" s="80">
        <f>LAVORAZIONI!A601</f>
        <v/>
      </c>
      <c r="C95" s="80">
        <f>LAVORAZIONI!K601</f>
        <v/>
      </c>
      <c r="D95" s="79">
        <f>LAVORAZIONI!M601</f>
        <v/>
      </c>
      <c r="E95" s="81">
        <f>LAVORAZIONI!N601</f>
        <v/>
      </c>
      <c r="F95" s="81">
        <f>LAVORAZIONI!O601</f>
        <v/>
      </c>
      <c r="G95" s="82">
        <f>LAVORAZIONI!P601</f>
        <v/>
      </c>
      <c r="H95" s="83">
        <f>LAVORAZIONI!U601</f>
        <v/>
      </c>
      <c r="I95" s="82">
        <f>LAVORAZIONI!V601</f>
        <v/>
      </c>
    </row>
    <row r="96">
      <c r="A96" s="79">
        <f>LAVORAZIONI!G602</f>
        <v/>
      </c>
      <c r="B96" s="80">
        <f>LAVORAZIONI!A602</f>
        <v/>
      </c>
      <c r="C96" s="80">
        <f>LAVORAZIONI!K602</f>
        <v/>
      </c>
      <c r="D96" s="79">
        <f>LAVORAZIONI!M602</f>
        <v/>
      </c>
      <c r="E96" s="81">
        <f>LAVORAZIONI!N602</f>
        <v/>
      </c>
      <c r="F96" s="81">
        <f>LAVORAZIONI!O602</f>
        <v/>
      </c>
      <c r="G96" s="82">
        <f>LAVORAZIONI!P602</f>
        <v/>
      </c>
      <c r="H96" s="83">
        <f>LAVORAZIONI!U602</f>
        <v/>
      </c>
      <c r="I96" s="82">
        <f>LAVORAZIONI!V602</f>
        <v/>
      </c>
    </row>
    <row r="97">
      <c r="A97" s="79">
        <f>LAVORAZIONI!G603</f>
        <v/>
      </c>
      <c r="B97" s="80">
        <f>LAVORAZIONI!A603</f>
        <v/>
      </c>
      <c r="C97" s="80">
        <f>LAVORAZIONI!K603</f>
        <v/>
      </c>
      <c r="D97" s="79">
        <f>LAVORAZIONI!M603</f>
        <v/>
      </c>
      <c r="E97" s="81">
        <f>LAVORAZIONI!N603</f>
        <v/>
      </c>
      <c r="F97" s="81">
        <f>LAVORAZIONI!O603</f>
        <v/>
      </c>
      <c r="G97" s="82">
        <f>LAVORAZIONI!P603</f>
        <v/>
      </c>
      <c r="H97" s="83">
        <f>LAVORAZIONI!U603</f>
        <v/>
      </c>
      <c r="I97" s="82">
        <f>LAVORAZIONI!V603</f>
        <v/>
      </c>
    </row>
    <row r="98">
      <c r="A98" s="79">
        <f>LAVORAZIONI!G604</f>
        <v/>
      </c>
      <c r="B98" s="80">
        <f>LAVORAZIONI!A604</f>
        <v/>
      </c>
      <c r="C98" s="80">
        <f>LAVORAZIONI!K604</f>
        <v/>
      </c>
      <c r="D98" s="79">
        <f>LAVORAZIONI!M604</f>
        <v/>
      </c>
      <c r="E98" s="81">
        <f>LAVORAZIONI!N604</f>
        <v/>
      </c>
      <c r="F98" s="81">
        <f>LAVORAZIONI!O604</f>
        <v/>
      </c>
      <c r="G98" s="82">
        <f>LAVORAZIONI!P604</f>
        <v/>
      </c>
      <c r="H98" s="83">
        <f>LAVORAZIONI!U604</f>
        <v/>
      </c>
      <c r="I98" s="82">
        <f>LAVORAZIONI!V604</f>
        <v/>
      </c>
    </row>
    <row r="99">
      <c r="A99" s="79">
        <f>LAVORAZIONI!G605</f>
        <v/>
      </c>
      <c r="B99" s="80">
        <f>LAVORAZIONI!A605</f>
        <v/>
      </c>
      <c r="C99" s="80">
        <f>LAVORAZIONI!K605</f>
        <v/>
      </c>
      <c r="D99" s="79">
        <f>LAVORAZIONI!M605</f>
        <v/>
      </c>
      <c r="E99" s="81">
        <f>LAVORAZIONI!N605</f>
        <v/>
      </c>
      <c r="F99" s="81">
        <f>LAVORAZIONI!O605</f>
        <v/>
      </c>
      <c r="G99" s="82">
        <f>LAVORAZIONI!P605</f>
        <v/>
      </c>
      <c r="H99" s="83">
        <f>LAVORAZIONI!U605</f>
        <v/>
      </c>
      <c r="I99" s="82">
        <f>LAVORAZIONI!V605</f>
        <v/>
      </c>
    </row>
    <row r="100">
      <c r="A100" s="79">
        <f>LAVORAZIONI!G606</f>
        <v/>
      </c>
      <c r="B100" s="80">
        <f>LAVORAZIONI!A606</f>
        <v/>
      </c>
      <c r="C100" s="80">
        <f>LAVORAZIONI!K606</f>
        <v/>
      </c>
      <c r="D100" s="79">
        <f>LAVORAZIONI!M606</f>
        <v/>
      </c>
      <c r="E100" s="81">
        <f>LAVORAZIONI!N606</f>
        <v/>
      </c>
      <c r="F100" s="81">
        <f>LAVORAZIONI!O606</f>
        <v/>
      </c>
      <c r="G100" s="82">
        <f>LAVORAZIONI!P606</f>
        <v/>
      </c>
      <c r="H100" s="83">
        <f>LAVORAZIONI!U606</f>
        <v/>
      </c>
      <c r="I100" s="82">
        <f>LAVORAZIONI!V606</f>
        <v/>
      </c>
    </row>
    <row r="101">
      <c r="A101" s="79">
        <f>LAVORAZIONI!G607</f>
        <v/>
      </c>
      <c r="B101" s="80">
        <f>LAVORAZIONI!A607</f>
        <v/>
      </c>
      <c r="C101" s="80">
        <f>LAVORAZIONI!K607</f>
        <v/>
      </c>
      <c r="D101" s="79">
        <f>LAVORAZIONI!M607</f>
        <v/>
      </c>
      <c r="E101" s="81">
        <f>LAVORAZIONI!N607</f>
        <v/>
      </c>
      <c r="F101" s="81">
        <f>LAVORAZIONI!O607</f>
        <v/>
      </c>
      <c r="G101" s="82">
        <f>LAVORAZIONI!P607</f>
        <v/>
      </c>
      <c r="H101" s="83">
        <f>LAVORAZIONI!U607</f>
        <v/>
      </c>
      <c r="I101" s="82">
        <f>LAVORAZIONI!V607</f>
        <v/>
      </c>
    </row>
    <row r="102">
      <c r="A102" s="79">
        <f>LAVORAZIONI!G608</f>
        <v/>
      </c>
      <c r="B102" s="80">
        <f>LAVORAZIONI!A608</f>
        <v/>
      </c>
      <c r="C102" s="80">
        <f>LAVORAZIONI!K608</f>
        <v/>
      </c>
      <c r="D102" s="79">
        <f>LAVORAZIONI!M608</f>
        <v/>
      </c>
      <c r="E102" s="81">
        <f>LAVORAZIONI!N608</f>
        <v/>
      </c>
      <c r="F102" s="81">
        <f>LAVORAZIONI!O608</f>
        <v/>
      </c>
      <c r="G102" s="82">
        <f>LAVORAZIONI!P608</f>
        <v/>
      </c>
      <c r="H102" s="83">
        <f>LAVORAZIONI!U608</f>
        <v/>
      </c>
      <c r="I102" s="82">
        <f>LAVORAZIONI!V608</f>
        <v/>
      </c>
    </row>
    <row r="103">
      <c r="A103" s="61" t="n"/>
      <c r="B103" s="62" t="n"/>
      <c r="C103" s="62" t="n"/>
      <c r="D103" s="62" t="n"/>
      <c r="E103" s="62" t="n"/>
      <c r="F103" s="62" t="n"/>
      <c r="G103" s="62" t="n"/>
      <c r="H103" s="62" t="n"/>
      <c r="I103" s="63">
        <f>SUM(I5:I102)</f>
        <v/>
      </c>
    </row>
  </sheetData>
  <mergeCells count="4">
    <mergeCell ref="A1:I1"/>
    <mergeCell ref="A3:I3"/>
    <mergeCell ref="A2:I2"/>
    <mergeCell ref="A103:H103"/>
  </mergeCells>
  <pageMargins left="0.5" right="0.5" top="1" bottom="0.8" header="0.4" footer="0.4"/>
  <pageSetup orientation="landscape" paperSize="9" fitToHeight="0" fitToWidth="1"/>
  <headerFooter>
    <oddHeader>&amp;L&amp;"Calibri,Italic"&amp;9Nuovo stabilimento radiofarmaceutico LENA - Pavia (PV)&amp;C&amp;"Calibri,Bold"&amp;13Aprile - Elettriche Speciali&amp;R&amp;"Calibri"&amp;9&amp;D</oddHeader>
    <oddFooter>&amp;C&amp;"Calibri"&amp;9Pagina &amp;P di &amp;N</oddFooter>
    <evenHeader>&amp;L&amp;"Calibri,Italic"&amp;9Nuovo stabilimento radiofarmaceutico LENA - Pavia (PV)&amp;C&amp;"Calibri,Bold"&amp;13Aprile - Elettriche Speciali</evenHeader>
    <evenFooter>&amp;C&amp;"Calibri"&amp;9Pagina &amp;P di &amp;N</evenFooter>
    <firstHeader/>
    <firstFooter/>
  </headerFooter>
</worksheet>
</file>

<file path=xl/worksheets/sheet16.xml><?xml version="1.0" encoding="utf-8"?>
<worksheet xmlns="http://schemas.openxmlformats.org/spreadsheetml/2006/main">
  <sheetPr>
    <outlinePr summaryBelow="1" summaryRight="1"/>
    <pageSetUpPr fitToPage="1"/>
  </sheetPr>
  <dimension ref="A1:I126"/>
  <sheetViews>
    <sheetView workbookViewId="0">
      <pane ySplit="4" topLeftCell="A5" activePane="bottomLeft" state="frozen"/>
      <selection pane="bottomLeft" activeCell="A1" sqref="A1"/>
    </sheetView>
  </sheetViews>
  <sheetFormatPr baseColWidth="8" defaultRowHeight="15"/>
  <cols>
    <col width="9" customWidth="1" style="46" min="1" max="1"/>
    <col width="26" customWidth="1" style="46" min="2" max="2"/>
    <col width="58" customWidth="1" style="46" min="3" max="3"/>
    <col width="8" customWidth="1" style="46" min="4" max="4"/>
    <col width="11" customWidth="1" style="46" min="5" max="5"/>
    <col width="12" customWidth="1" style="46" min="6" max="6"/>
    <col width="14" customWidth="1" style="46" min="7" max="7"/>
    <col width="9" customWidth="1" style="46" min="8" max="8"/>
    <col width="14" customWidth="1" style="46" min="9" max="9"/>
  </cols>
  <sheetData>
    <row r="1" ht="22" customHeight="1" s="46">
      <c r="A1" s="78" t="inlineStr">
        <is>
          <t>SAL MAGGIO 2026 — OPERE EDILI</t>
        </is>
      </c>
    </row>
    <row r="2" ht="28"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N. VOCE</t>
        </is>
      </c>
      <c r="B4" s="55" t="inlineStr">
        <is>
          <t>CODICE LAVORAZIONE</t>
        </is>
      </c>
      <c r="C4" s="55" t="inlineStr">
        <is>
          <t>DESCRIZIONE</t>
        </is>
      </c>
      <c r="D4" s="55" t="inlineStr">
        <is>
          <t>U.M.</t>
        </is>
      </c>
      <c r="E4" s="55" t="inlineStr">
        <is>
          <t>QUANTITÀ</t>
        </is>
      </c>
      <c r="F4" s="55" t="inlineStr">
        <is>
          <t>VAL. UNITARIO</t>
        </is>
      </c>
      <c r="G4" s="55" t="inlineStr">
        <is>
          <t>TOTALE PREVENTIVO</t>
        </is>
      </c>
      <c r="H4" s="55" t="inlineStr">
        <is>
          <t>% SAL Maggio</t>
        </is>
      </c>
      <c r="I4" s="55" t="inlineStr">
        <is>
          <t>IMPORTO SAL Maggio</t>
        </is>
      </c>
    </row>
    <row r="5">
      <c r="A5" s="84">
        <f>LAVORAZIONI!G4</f>
        <v/>
      </c>
      <c r="B5" s="85">
        <f>LAVORAZIONI!A4</f>
        <v/>
      </c>
      <c r="C5" s="85">
        <f>LAVORAZIONI!K4</f>
        <v/>
      </c>
      <c r="D5" s="84">
        <f>LAVORAZIONI!M4</f>
        <v/>
      </c>
      <c r="E5" s="86">
        <f>LAVORAZIONI!N4</f>
        <v/>
      </c>
      <c r="F5" s="86">
        <f>LAVORAZIONI!O4</f>
        <v/>
      </c>
      <c r="G5" s="87">
        <f>LAVORAZIONI!P4</f>
        <v/>
      </c>
      <c r="H5" s="88">
        <f>LAVORAZIONI!W4</f>
        <v/>
      </c>
      <c r="I5" s="87">
        <f>LAVORAZIONI!X4</f>
        <v/>
      </c>
    </row>
    <row r="6">
      <c r="A6" s="84">
        <f>LAVORAZIONI!G5</f>
        <v/>
      </c>
      <c r="B6" s="85">
        <f>LAVORAZIONI!A5</f>
        <v/>
      </c>
      <c r="C6" s="85">
        <f>LAVORAZIONI!K5</f>
        <v/>
      </c>
      <c r="D6" s="84">
        <f>LAVORAZIONI!M5</f>
        <v/>
      </c>
      <c r="E6" s="86">
        <f>LAVORAZIONI!N5</f>
        <v/>
      </c>
      <c r="F6" s="86">
        <f>LAVORAZIONI!O5</f>
        <v/>
      </c>
      <c r="G6" s="87">
        <f>LAVORAZIONI!P5</f>
        <v/>
      </c>
      <c r="H6" s="88">
        <f>LAVORAZIONI!W5</f>
        <v/>
      </c>
      <c r="I6" s="87">
        <f>LAVORAZIONI!X5</f>
        <v/>
      </c>
    </row>
    <row r="7">
      <c r="A7" s="84">
        <f>LAVORAZIONI!G6</f>
        <v/>
      </c>
      <c r="B7" s="85">
        <f>LAVORAZIONI!A6</f>
        <v/>
      </c>
      <c r="C7" s="85">
        <f>LAVORAZIONI!K6</f>
        <v/>
      </c>
      <c r="D7" s="84">
        <f>LAVORAZIONI!M6</f>
        <v/>
      </c>
      <c r="E7" s="86">
        <f>LAVORAZIONI!N6</f>
        <v/>
      </c>
      <c r="F7" s="86">
        <f>LAVORAZIONI!O6</f>
        <v/>
      </c>
      <c r="G7" s="87">
        <f>LAVORAZIONI!P6</f>
        <v/>
      </c>
      <c r="H7" s="88">
        <f>LAVORAZIONI!W6</f>
        <v/>
      </c>
      <c r="I7" s="87">
        <f>LAVORAZIONI!X6</f>
        <v/>
      </c>
    </row>
    <row r="8">
      <c r="A8" s="84">
        <f>LAVORAZIONI!G7</f>
        <v/>
      </c>
      <c r="B8" s="85">
        <f>LAVORAZIONI!A7</f>
        <v/>
      </c>
      <c r="C8" s="85">
        <f>LAVORAZIONI!K7</f>
        <v/>
      </c>
      <c r="D8" s="84">
        <f>LAVORAZIONI!M7</f>
        <v/>
      </c>
      <c r="E8" s="86">
        <f>LAVORAZIONI!N7</f>
        <v/>
      </c>
      <c r="F8" s="86">
        <f>LAVORAZIONI!O7</f>
        <v/>
      </c>
      <c r="G8" s="87">
        <f>LAVORAZIONI!P7</f>
        <v/>
      </c>
      <c r="H8" s="88">
        <f>LAVORAZIONI!W7</f>
        <v/>
      </c>
      <c r="I8" s="87">
        <f>LAVORAZIONI!X7</f>
        <v/>
      </c>
    </row>
    <row r="9">
      <c r="A9" s="79">
        <f>LAVORAZIONI!G8</f>
        <v/>
      </c>
      <c r="B9" s="80">
        <f>LAVORAZIONI!A8</f>
        <v/>
      </c>
      <c r="C9" s="80">
        <f>LAVORAZIONI!K8</f>
        <v/>
      </c>
      <c r="D9" s="79">
        <f>LAVORAZIONI!M8</f>
        <v/>
      </c>
      <c r="E9" s="81">
        <f>LAVORAZIONI!N8</f>
        <v/>
      </c>
      <c r="F9" s="81">
        <f>LAVORAZIONI!O8</f>
        <v/>
      </c>
      <c r="G9" s="82">
        <f>LAVORAZIONI!P8</f>
        <v/>
      </c>
      <c r="H9" s="83">
        <f>LAVORAZIONI!W8</f>
        <v/>
      </c>
      <c r="I9" s="82">
        <f>LAVORAZIONI!X8</f>
        <v/>
      </c>
    </row>
    <row r="10">
      <c r="A10" s="84">
        <f>LAVORAZIONI!G9</f>
        <v/>
      </c>
      <c r="B10" s="85">
        <f>LAVORAZIONI!A9</f>
        <v/>
      </c>
      <c r="C10" s="85">
        <f>LAVORAZIONI!K9</f>
        <v/>
      </c>
      <c r="D10" s="84">
        <f>LAVORAZIONI!M9</f>
        <v/>
      </c>
      <c r="E10" s="86">
        <f>LAVORAZIONI!N9</f>
        <v/>
      </c>
      <c r="F10" s="86">
        <f>LAVORAZIONI!O9</f>
        <v/>
      </c>
      <c r="G10" s="87">
        <f>LAVORAZIONI!P9</f>
        <v/>
      </c>
      <c r="H10" s="88">
        <f>LAVORAZIONI!W9</f>
        <v/>
      </c>
      <c r="I10" s="87">
        <f>LAVORAZIONI!X9</f>
        <v/>
      </c>
    </row>
    <row r="11">
      <c r="A11" s="79">
        <f>LAVORAZIONI!G10</f>
        <v/>
      </c>
      <c r="B11" s="80">
        <f>LAVORAZIONI!A10</f>
        <v/>
      </c>
      <c r="C11" s="80">
        <f>LAVORAZIONI!K10</f>
        <v/>
      </c>
      <c r="D11" s="79">
        <f>LAVORAZIONI!M10</f>
        <v/>
      </c>
      <c r="E11" s="81">
        <f>LAVORAZIONI!N10</f>
        <v/>
      </c>
      <c r="F11" s="81">
        <f>LAVORAZIONI!O10</f>
        <v/>
      </c>
      <c r="G11" s="82">
        <f>LAVORAZIONI!P10</f>
        <v/>
      </c>
      <c r="H11" s="83">
        <f>LAVORAZIONI!W10</f>
        <v/>
      </c>
      <c r="I11" s="82">
        <f>LAVORAZIONI!X10</f>
        <v/>
      </c>
    </row>
    <row r="12">
      <c r="A12" s="79">
        <f>LAVORAZIONI!G11</f>
        <v/>
      </c>
      <c r="B12" s="80">
        <f>LAVORAZIONI!A11</f>
        <v/>
      </c>
      <c r="C12" s="80">
        <f>LAVORAZIONI!K11</f>
        <v/>
      </c>
      <c r="D12" s="79">
        <f>LAVORAZIONI!M11</f>
        <v/>
      </c>
      <c r="E12" s="81">
        <f>LAVORAZIONI!N11</f>
        <v/>
      </c>
      <c r="F12" s="81">
        <f>LAVORAZIONI!O11</f>
        <v/>
      </c>
      <c r="G12" s="82">
        <f>LAVORAZIONI!P11</f>
        <v/>
      </c>
      <c r="H12" s="83">
        <f>LAVORAZIONI!W11</f>
        <v/>
      </c>
      <c r="I12" s="82">
        <f>LAVORAZIONI!X11</f>
        <v/>
      </c>
    </row>
    <row r="13">
      <c r="A13" s="79">
        <f>LAVORAZIONI!G12</f>
        <v/>
      </c>
      <c r="B13" s="80">
        <f>LAVORAZIONI!A12</f>
        <v/>
      </c>
      <c r="C13" s="80">
        <f>LAVORAZIONI!K12</f>
        <v/>
      </c>
      <c r="D13" s="79">
        <f>LAVORAZIONI!M12</f>
        <v/>
      </c>
      <c r="E13" s="81">
        <f>LAVORAZIONI!N12</f>
        <v/>
      </c>
      <c r="F13" s="81">
        <f>LAVORAZIONI!O12</f>
        <v/>
      </c>
      <c r="G13" s="82">
        <f>LAVORAZIONI!P12</f>
        <v/>
      </c>
      <c r="H13" s="83">
        <f>LAVORAZIONI!W12</f>
        <v/>
      </c>
      <c r="I13" s="82">
        <f>LAVORAZIONI!X12</f>
        <v/>
      </c>
    </row>
    <row r="14">
      <c r="A14" s="79">
        <f>LAVORAZIONI!G13</f>
        <v/>
      </c>
      <c r="B14" s="80">
        <f>LAVORAZIONI!A13</f>
        <v/>
      </c>
      <c r="C14" s="80">
        <f>LAVORAZIONI!K13</f>
        <v/>
      </c>
      <c r="D14" s="79">
        <f>LAVORAZIONI!M13</f>
        <v/>
      </c>
      <c r="E14" s="81">
        <f>LAVORAZIONI!N13</f>
        <v/>
      </c>
      <c r="F14" s="81">
        <f>LAVORAZIONI!O13</f>
        <v/>
      </c>
      <c r="G14" s="82">
        <f>LAVORAZIONI!P13</f>
        <v/>
      </c>
      <c r="H14" s="83">
        <f>LAVORAZIONI!W13</f>
        <v/>
      </c>
      <c r="I14" s="82">
        <f>LAVORAZIONI!X13</f>
        <v/>
      </c>
    </row>
    <row r="15">
      <c r="A15" s="84">
        <f>LAVORAZIONI!G14</f>
        <v/>
      </c>
      <c r="B15" s="85">
        <f>LAVORAZIONI!A14</f>
        <v/>
      </c>
      <c r="C15" s="85">
        <f>LAVORAZIONI!K14</f>
        <v/>
      </c>
      <c r="D15" s="84">
        <f>LAVORAZIONI!M14</f>
        <v/>
      </c>
      <c r="E15" s="86">
        <f>LAVORAZIONI!N14</f>
        <v/>
      </c>
      <c r="F15" s="86">
        <f>LAVORAZIONI!O14</f>
        <v/>
      </c>
      <c r="G15" s="87">
        <f>LAVORAZIONI!P14</f>
        <v/>
      </c>
      <c r="H15" s="88">
        <f>LAVORAZIONI!W14</f>
        <v/>
      </c>
      <c r="I15" s="87">
        <f>LAVORAZIONI!X14</f>
        <v/>
      </c>
    </row>
    <row r="16">
      <c r="A16" s="84">
        <f>LAVORAZIONI!G15</f>
        <v/>
      </c>
      <c r="B16" s="85">
        <f>LAVORAZIONI!A15</f>
        <v/>
      </c>
      <c r="C16" s="85">
        <f>LAVORAZIONI!K15</f>
        <v/>
      </c>
      <c r="D16" s="84">
        <f>LAVORAZIONI!M15</f>
        <v/>
      </c>
      <c r="E16" s="86">
        <f>LAVORAZIONI!N15</f>
        <v/>
      </c>
      <c r="F16" s="86">
        <f>LAVORAZIONI!O15</f>
        <v/>
      </c>
      <c r="G16" s="87">
        <f>LAVORAZIONI!P15</f>
        <v/>
      </c>
      <c r="H16" s="88">
        <f>LAVORAZIONI!W15</f>
        <v/>
      </c>
      <c r="I16" s="87">
        <f>LAVORAZIONI!X15</f>
        <v/>
      </c>
    </row>
    <row r="17">
      <c r="A17" s="84">
        <f>LAVORAZIONI!G16</f>
        <v/>
      </c>
      <c r="B17" s="85">
        <f>LAVORAZIONI!A16</f>
        <v/>
      </c>
      <c r="C17" s="85">
        <f>LAVORAZIONI!K16</f>
        <v/>
      </c>
      <c r="D17" s="84">
        <f>LAVORAZIONI!M16</f>
        <v/>
      </c>
      <c r="E17" s="86">
        <f>LAVORAZIONI!N16</f>
        <v/>
      </c>
      <c r="F17" s="86">
        <f>LAVORAZIONI!O16</f>
        <v/>
      </c>
      <c r="G17" s="87">
        <f>LAVORAZIONI!P16</f>
        <v/>
      </c>
      <c r="H17" s="88">
        <f>LAVORAZIONI!W16</f>
        <v/>
      </c>
      <c r="I17" s="87">
        <f>LAVORAZIONI!X16</f>
        <v/>
      </c>
    </row>
    <row r="18">
      <c r="A18" s="79">
        <f>LAVORAZIONI!G17</f>
        <v/>
      </c>
      <c r="B18" s="80">
        <f>LAVORAZIONI!A17</f>
        <v/>
      </c>
      <c r="C18" s="80">
        <f>LAVORAZIONI!K17</f>
        <v/>
      </c>
      <c r="D18" s="79">
        <f>LAVORAZIONI!M17</f>
        <v/>
      </c>
      <c r="E18" s="81">
        <f>LAVORAZIONI!N17</f>
        <v/>
      </c>
      <c r="F18" s="81">
        <f>LAVORAZIONI!O17</f>
        <v/>
      </c>
      <c r="G18" s="82">
        <f>LAVORAZIONI!P17</f>
        <v/>
      </c>
      <c r="H18" s="83">
        <f>LAVORAZIONI!W17</f>
        <v/>
      </c>
      <c r="I18" s="82">
        <f>LAVORAZIONI!X17</f>
        <v/>
      </c>
    </row>
    <row r="19">
      <c r="A19" s="79">
        <f>LAVORAZIONI!G18</f>
        <v/>
      </c>
      <c r="B19" s="80">
        <f>LAVORAZIONI!A18</f>
        <v/>
      </c>
      <c r="C19" s="80">
        <f>LAVORAZIONI!K18</f>
        <v/>
      </c>
      <c r="D19" s="79">
        <f>LAVORAZIONI!M18</f>
        <v/>
      </c>
      <c r="E19" s="81">
        <f>LAVORAZIONI!N18</f>
        <v/>
      </c>
      <c r="F19" s="81">
        <f>LAVORAZIONI!O18</f>
        <v/>
      </c>
      <c r="G19" s="82">
        <f>LAVORAZIONI!P18</f>
        <v/>
      </c>
      <c r="H19" s="83">
        <f>LAVORAZIONI!W18</f>
        <v/>
      </c>
      <c r="I19" s="82">
        <f>LAVORAZIONI!X18</f>
        <v/>
      </c>
    </row>
    <row r="20">
      <c r="A20" s="84">
        <f>LAVORAZIONI!G19</f>
        <v/>
      </c>
      <c r="B20" s="85">
        <f>LAVORAZIONI!A19</f>
        <v/>
      </c>
      <c r="C20" s="85">
        <f>LAVORAZIONI!K19</f>
        <v/>
      </c>
      <c r="D20" s="84">
        <f>LAVORAZIONI!M19</f>
        <v/>
      </c>
      <c r="E20" s="86">
        <f>LAVORAZIONI!N19</f>
        <v/>
      </c>
      <c r="F20" s="86">
        <f>LAVORAZIONI!O19</f>
        <v/>
      </c>
      <c r="G20" s="87">
        <f>LAVORAZIONI!P19</f>
        <v/>
      </c>
      <c r="H20" s="88">
        <f>LAVORAZIONI!W19</f>
        <v/>
      </c>
      <c r="I20" s="87">
        <f>LAVORAZIONI!X19</f>
        <v/>
      </c>
    </row>
    <row r="21">
      <c r="A21" s="79">
        <f>LAVORAZIONI!G20</f>
        <v/>
      </c>
      <c r="B21" s="80">
        <f>LAVORAZIONI!A20</f>
        <v/>
      </c>
      <c r="C21" s="80">
        <f>LAVORAZIONI!K20</f>
        <v/>
      </c>
      <c r="D21" s="79">
        <f>LAVORAZIONI!M20</f>
        <v/>
      </c>
      <c r="E21" s="81">
        <f>LAVORAZIONI!N20</f>
        <v/>
      </c>
      <c r="F21" s="81">
        <f>LAVORAZIONI!O20</f>
        <v/>
      </c>
      <c r="G21" s="82">
        <f>LAVORAZIONI!P20</f>
        <v/>
      </c>
      <c r="H21" s="83">
        <f>LAVORAZIONI!W20</f>
        <v/>
      </c>
      <c r="I21" s="82">
        <f>LAVORAZIONI!X20</f>
        <v/>
      </c>
    </row>
    <row r="22">
      <c r="A22" s="84">
        <f>LAVORAZIONI!G21</f>
        <v/>
      </c>
      <c r="B22" s="85">
        <f>LAVORAZIONI!A21</f>
        <v/>
      </c>
      <c r="C22" s="85">
        <f>LAVORAZIONI!K21</f>
        <v/>
      </c>
      <c r="D22" s="84">
        <f>LAVORAZIONI!M21</f>
        <v/>
      </c>
      <c r="E22" s="86">
        <f>LAVORAZIONI!N21</f>
        <v/>
      </c>
      <c r="F22" s="86">
        <f>LAVORAZIONI!O21</f>
        <v/>
      </c>
      <c r="G22" s="87">
        <f>LAVORAZIONI!P21</f>
        <v/>
      </c>
      <c r="H22" s="88">
        <f>LAVORAZIONI!W21</f>
        <v/>
      </c>
      <c r="I22" s="87">
        <f>LAVORAZIONI!X21</f>
        <v/>
      </c>
    </row>
    <row r="23">
      <c r="A23" s="79">
        <f>LAVORAZIONI!G22</f>
        <v/>
      </c>
      <c r="B23" s="80">
        <f>LAVORAZIONI!A22</f>
        <v/>
      </c>
      <c r="C23" s="80">
        <f>LAVORAZIONI!K22</f>
        <v/>
      </c>
      <c r="D23" s="79">
        <f>LAVORAZIONI!M22</f>
        <v/>
      </c>
      <c r="E23" s="81">
        <f>LAVORAZIONI!N22</f>
        <v/>
      </c>
      <c r="F23" s="81">
        <f>LAVORAZIONI!O22</f>
        <v/>
      </c>
      <c r="G23" s="82">
        <f>LAVORAZIONI!P22</f>
        <v/>
      </c>
      <c r="H23" s="83">
        <f>LAVORAZIONI!W22</f>
        <v/>
      </c>
      <c r="I23" s="82">
        <f>LAVORAZIONI!X22</f>
        <v/>
      </c>
    </row>
    <row r="24">
      <c r="A24" s="84">
        <f>LAVORAZIONI!G23</f>
        <v/>
      </c>
      <c r="B24" s="85">
        <f>LAVORAZIONI!A23</f>
        <v/>
      </c>
      <c r="C24" s="85">
        <f>LAVORAZIONI!K23</f>
        <v/>
      </c>
      <c r="D24" s="84">
        <f>LAVORAZIONI!M23</f>
        <v/>
      </c>
      <c r="E24" s="86">
        <f>LAVORAZIONI!N23</f>
        <v/>
      </c>
      <c r="F24" s="86">
        <f>LAVORAZIONI!O23</f>
        <v/>
      </c>
      <c r="G24" s="87">
        <f>LAVORAZIONI!P23</f>
        <v/>
      </c>
      <c r="H24" s="88">
        <f>LAVORAZIONI!W23</f>
        <v/>
      </c>
      <c r="I24" s="87">
        <f>LAVORAZIONI!X23</f>
        <v/>
      </c>
    </row>
    <row r="25">
      <c r="A25" s="79">
        <f>LAVORAZIONI!G24</f>
        <v/>
      </c>
      <c r="B25" s="80">
        <f>LAVORAZIONI!A24</f>
        <v/>
      </c>
      <c r="C25" s="80">
        <f>LAVORAZIONI!K24</f>
        <v/>
      </c>
      <c r="D25" s="79">
        <f>LAVORAZIONI!M24</f>
        <v/>
      </c>
      <c r="E25" s="81">
        <f>LAVORAZIONI!N24</f>
        <v/>
      </c>
      <c r="F25" s="81">
        <f>LAVORAZIONI!O24</f>
        <v/>
      </c>
      <c r="G25" s="82">
        <f>LAVORAZIONI!P24</f>
        <v/>
      </c>
      <c r="H25" s="83">
        <f>LAVORAZIONI!W24</f>
        <v/>
      </c>
      <c r="I25" s="82">
        <f>LAVORAZIONI!X24</f>
        <v/>
      </c>
    </row>
    <row r="26">
      <c r="A26" s="79">
        <f>LAVORAZIONI!G25</f>
        <v/>
      </c>
      <c r="B26" s="80">
        <f>LAVORAZIONI!A25</f>
        <v/>
      </c>
      <c r="C26" s="80">
        <f>LAVORAZIONI!K25</f>
        <v/>
      </c>
      <c r="D26" s="79">
        <f>LAVORAZIONI!M25</f>
        <v/>
      </c>
      <c r="E26" s="81">
        <f>LAVORAZIONI!N25</f>
        <v/>
      </c>
      <c r="F26" s="81">
        <f>LAVORAZIONI!O25</f>
        <v/>
      </c>
      <c r="G26" s="82">
        <f>LAVORAZIONI!P25</f>
        <v/>
      </c>
      <c r="H26" s="83">
        <f>LAVORAZIONI!W25</f>
        <v/>
      </c>
      <c r="I26" s="82">
        <f>LAVORAZIONI!X25</f>
        <v/>
      </c>
    </row>
    <row r="27">
      <c r="A27" s="79">
        <f>LAVORAZIONI!G26</f>
        <v/>
      </c>
      <c r="B27" s="80">
        <f>LAVORAZIONI!A26</f>
        <v/>
      </c>
      <c r="C27" s="80">
        <f>LAVORAZIONI!K26</f>
        <v/>
      </c>
      <c r="D27" s="79">
        <f>LAVORAZIONI!M26</f>
        <v/>
      </c>
      <c r="E27" s="81">
        <f>LAVORAZIONI!N26</f>
        <v/>
      </c>
      <c r="F27" s="81">
        <f>LAVORAZIONI!O26</f>
        <v/>
      </c>
      <c r="G27" s="82">
        <f>LAVORAZIONI!P26</f>
        <v/>
      </c>
      <c r="H27" s="83">
        <f>LAVORAZIONI!W26</f>
        <v/>
      </c>
      <c r="I27" s="82">
        <f>LAVORAZIONI!X26</f>
        <v/>
      </c>
    </row>
    <row r="28">
      <c r="A28" s="84">
        <f>LAVORAZIONI!G27</f>
        <v/>
      </c>
      <c r="B28" s="85">
        <f>LAVORAZIONI!A27</f>
        <v/>
      </c>
      <c r="C28" s="85">
        <f>LAVORAZIONI!K27</f>
        <v/>
      </c>
      <c r="D28" s="84">
        <f>LAVORAZIONI!M27</f>
        <v/>
      </c>
      <c r="E28" s="86">
        <f>LAVORAZIONI!N27</f>
        <v/>
      </c>
      <c r="F28" s="86">
        <f>LAVORAZIONI!O27</f>
        <v/>
      </c>
      <c r="G28" s="87">
        <f>LAVORAZIONI!P27</f>
        <v/>
      </c>
      <c r="H28" s="88">
        <f>LAVORAZIONI!W27</f>
        <v/>
      </c>
      <c r="I28" s="87">
        <f>LAVORAZIONI!X27</f>
        <v/>
      </c>
    </row>
    <row r="29">
      <c r="A29" s="79">
        <f>LAVORAZIONI!G28</f>
        <v/>
      </c>
      <c r="B29" s="80">
        <f>LAVORAZIONI!A28</f>
        <v/>
      </c>
      <c r="C29" s="80">
        <f>LAVORAZIONI!K28</f>
        <v/>
      </c>
      <c r="D29" s="79">
        <f>LAVORAZIONI!M28</f>
        <v/>
      </c>
      <c r="E29" s="81">
        <f>LAVORAZIONI!N28</f>
        <v/>
      </c>
      <c r="F29" s="81">
        <f>LAVORAZIONI!O28</f>
        <v/>
      </c>
      <c r="G29" s="82">
        <f>LAVORAZIONI!P28</f>
        <v/>
      </c>
      <c r="H29" s="83">
        <f>LAVORAZIONI!W28</f>
        <v/>
      </c>
      <c r="I29" s="82">
        <f>LAVORAZIONI!X28</f>
        <v/>
      </c>
    </row>
    <row r="30">
      <c r="A30" s="79">
        <f>LAVORAZIONI!G29</f>
        <v/>
      </c>
      <c r="B30" s="80">
        <f>LAVORAZIONI!A29</f>
        <v/>
      </c>
      <c r="C30" s="80">
        <f>LAVORAZIONI!K29</f>
        <v/>
      </c>
      <c r="D30" s="79">
        <f>LAVORAZIONI!M29</f>
        <v/>
      </c>
      <c r="E30" s="81">
        <f>LAVORAZIONI!N29</f>
        <v/>
      </c>
      <c r="F30" s="81">
        <f>LAVORAZIONI!O29</f>
        <v/>
      </c>
      <c r="G30" s="82">
        <f>LAVORAZIONI!P29</f>
        <v/>
      </c>
      <c r="H30" s="83">
        <f>LAVORAZIONI!W29</f>
        <v/>
      </c>
      <c r="I30" s="82">
        <f>LAVORAZIONI!X29</f>
        <v/>
      </c>
    </row>
    <row r="31">
      <c r="A31" s="79">
        <f>LAVORAZIONI!G30</f>
        <v/>
      </c>
      <c r="B31" s="80">
        <f>LAVORAZIONI!A30</f>
        <v/>
      </c>
      <c r="C31" s="80">
        <f>LAVORAZIONI!K30</f>
        <v/>
      </c>
      <c r="D31" s="79">
        <f>LAVORAZIONI!M30</f>
        <v/>
      </c>
      <c r="E31" s="81">
        <f>LAVORAZIONI!N30</f>
        <v/>
      </c>
      <c r="F31" s="81">
        <f>LAVORAZIONI!O30</f>
        <v/>
      </c>
      <c r="G31" s="82">
        <f>LAVORAZIONI!P30</f>
        <v/>
      </c>
      <c r="H31" s="83">
        <f>LAVORAZIONI!W30</f>
        <v/>
      </c>
      <c r="I31" s="82">
        <f>LAVORAZIONI!X30</f>
        <v/>
      </c>
    </row>
    <row r="32">
      <c r="A32" s="84">
        <f>LAVORAZIONI!G31</f>
        <v/>
      </c>
      <c r="B32" s="85">
        <f>LAVORAZIONI!A31</f>
        <v/>
      </c>
      <c r="C32" s="85">
        <f>LAVORAZIONI!K31</f>
        <v/>
      </c>
      <c r="D32" s="84">
        <f>LAVORAZIONI!M31</f>
        <v/>
      </c>
      <c r="E32" s="86">
        <f>LAVORAZIONI!N31</f>
        <v/>
      </c>
      <c r="F32" s="86">
        <f>LAVORAZIONI!O31</f>
        <v/>
      </c>
      <c r="G32" s="87">
        <f>LAVORAZIONI!P31</f>
        <v/>
      </c>
      <c r="H32" s="88">
        <f>LAVORAZIONI!W31</f>
        <v/>
      </c>
      <c r="I32" s="87">
        <f>LAVORAZIONI!X31</f>
        <v/>
      </c>
    </row>
    <row r="33">
      <c r="A33" s="79">
        <f>LAVORAZIONI!G32</f>
        <v/>
      </c>
      <c r="B33" s="80">
        <f>LAVORAZIONI!A32</f>
        <v/>
      </c>
      <c r="C33" s="80">
        <f>LAVORAZIONI!K32</f>
        <v/>
      </c>
      <c r="D33" s="79">
        <f>LAVORAZIONI!M32</f>
        <v/>
      </c>
      <c r="E33" s="81">
        <f>LAVORAZIONI!N32</f>
        <v/>
      </c>
      <c r="F33" s="81">
        <f>LAVORAZIONI!O32</f>
        <v/>
      </c>
      <c r="G33" s="82">
        <f>LAVORAZIONI!P32</f>
        <v/>
      </c>
      <c r="H33" s="83">
        <f>LAVORAZIONI!W32</f>
        <v/>
      </c>
      <c r="I33" s="82">
        <f>LAVORAZIONI!X32</f>
        <v/>
      </c>
    </row>
    <row r="34">
      <c r="A34" s="79">
        <f>LAVORAZIONI!G33</f>
        <v/>
      </c>
      <c r="B34" s="80">
        <f>LAVORAZIONI!A33</f>
        <v/>
      </c>
      <c r="C34" s="80">
        <f>LAVORAZIONI!K33</f>
        <v/>
      </c>
      <c r="D34" s="79">
        <f>LAVORAZIONI!M33</f>
        <v/>
      </c>
      <c r="E34" s="81">
        <f>LAVORAZIONI!N33</f>
        <v/>
      </c>
      <c r="F34" s="81">
        <f>LAVORAZIONI!O33</f>
        <v/>
      </c>
      <c r="G34" s="82">
        <f>LAVORAZIONI!P33</f>
        <v/>
      </c>
      <c r="H34" s="83">
        <f>LAVORAZIONI!W33</f>
        <v/>
      </c>
      <c r="I34" s="82">
        <f>LAVORAZIONI!X33</f>
        <v/>
      </c>
    </row>
    <row r="35">
      <c r="A35" s="79">
        <f>LAVORAZIONI!G34</f>
        <v/>
      </c>
      <c r="B35" s="80">
        <f>LAVORAZIONI!A34</f>
        <v/>
      </c>
      <c r="C35" s="80">
        <f>LAVORAZIONI!K34</f>
        <v/>
      </c>
      <c r="D35" s="79">
        <f>LAVORAZIONI!M34</f>
        <v/>
      </c>
      <c r="E35" s="81">
        <f>LAVORAZIONI!N34</f>
        <v/>
      </c>
      <c r="F35" s="81">
        <f>LAVORAZIONI!O34</f>
        <v/>
      </c>
      <c r="G35" s="82">
        <f>LAVORAZIONI!P34</f>
        <v/>
      </c>
      <c r="H35" s="83">
        <f>LAVORAZIONI!W34</f>
        <v/>
      </c>
      <c r="I35" s="82">
        <f>LAVORAZIONI!X34</f>
        <v/>
      </c>
    </row>
    <row r="36">
      <c r="A36" s="84">
        <f>LAVORAZIONI!G35</f>
        <v/>
      </c>
      <c r="B36" s="85">
        <f>LAVORAZIONI!A35</f>
        <v/>
      </c>
      <c r="C36" s="85">
        <f>LAVORAZIONI!K35</f>
        <v/>
      </c>
      <c r="D36" s="84">
        <f>LAVORAZIONI!M35</f>
        <v/>
      </c>
      <c r="E36" s="86">
        <f>LAVORAZIONI!N35</f>
        <v/>
      </c>
      <c r="F36" s="86">
        <f>LAVORAZIONI!O35</f>
        <v/>
      </c>
      <c r="G36" s="87">
        <f>LAVORAZIONI!P35</f>
        <v/>
      </c>
      <c r="H36" s="88">
        <f>LAVORAZIONI!W35</f>
        <v/>
      </c>
      <c r="I36" s="87">
        <f>LAVORAZIONI!X35</f>
        <v/>
      </c>
    </row>
    <row r="37">
      <c r="A37" s="79">
        <f>LAVORAZIONI!G36</f>
        <v/>
      </c>
      <c r="B37" s="80">
        <f>LAVORAZIONI!A36</f>
        <v/>
      </c>
      <c r="C37" s="80">
        <f>LAVORAZIONI!K36</f>
        <v/>
      </c>
      <c r="D37" s="79">
        <f>LAVORAZIONI!M36</f>
        <v/>
      </c>
      <c r="E37" s="81">
        <f>LAVORAZIONI!N36</f>
        <v/>
      </c>
      <c r="F37" s="81">
        <f>LAVORAZIONI!O36</f>
        <v/>
      </c>
      <c r="G37" s="82">
        <f>LAVORAZIONI!P36</f>
        <v/>
      </c>
      <c r="H37" s="83">
        <f>LAVORAZIONI!W36</f>
        <v/>
      </c>
      <c r="I37" s="82">
        <f>LAVORAZIONI!X36</f>
        <v/>
      </c>
    </row>
    <row r="38">
      <c r="A38" s="79">
        <f>LAVORAZIONI!G37</f>
        <v/>
      </c>
      <c r="B38" s="80">
        <f>LAVORAZIONI!A37</f>
        <v/>
      </c>
      <c r="C38" s="80">
        <f>LAVORAZIONI!K37</f>
        <v/>
      </c>
      <c r="D38" s="79">
        <f>LAVORAZIONI!M37</f>
        <v/>
      </c>
      <c r="E38" s="81">
        <f>LAVORAZIONI!N37</f>
        <v/>
      </c>
      <c r="F38" s="81">
        <f>LAVORAZIONI!O37</f>
        <v/>
      </c>
      <c r="G38" s="82">
        <f>LAVORAZIONI!P37</f>
        <v/>
      </c>
      <c r="H38" s="83">
        <f>LAVORAZIONI!W37</f>
        <v/>
      </c>
      <c r="I38" s="82">
        <f>LAVORAZIONI!X37</f>
        <v/>
      </c>
    </row>
    <row r="39">
      <c r="A39" s="79">
        <f>LAVORAZIONI!G38</f>
        <v/>
      </c>
      <c r="B39" s="80">
        <f>LAVORAZIONI!A38</f>
        <v/>
      </c>
      <c r="C39" s="80">
        <f>LAVORAZIONI!K38</f>
        <v/>
      </c>
      <c r="D39" s="79">
        <f>LAVORAZIONI!M38</f>
        <v/>
      </c>
      <c r="E39" s="81">
        <f>LAVORAZIONI!N38</f>
        <v/>
      </c>
      <c r="F39" s="81">
        <f>LAVORAZIONI!O38</f>
        <v/>
      </c>
      <c r="G39" s="82">
        <f>LAVORAZIONI!P38</f>
        <v/>
      </c>
      <c r="H39" s="83">
        <f>LAVORAZIONI!W38</f>
        <v/>
      </c>
      <c r="I39" s="82">
        <f>LAVORAZIONI!X38</f>
        <v/>
      </c>
    </row>
    <row r="40">
      <c r="A40" s="84">
        <f>LAVORAZIONI!G39</f>
        <v/>
      </c>
      <c r="B40" s="85">
        <f>LAVORAZIONI!A39</f>
        <v/>
      </c>
      <c r="C40" s="85">
        <f>LAVORAZIONI!K39</f>
        <v/>
      </c>
      <c r="D40" s="84">
        <f>LAVORAZIONI!M39</f>
        <v/>
      </c>
      <c r="E40" s="86">
        <f>LAVORAZIONI!N39</f>
        <v/>
      </c>
      <c r="F40" s="86">
        <f>LAVORAZIONI!O39</f>
        <v/>
      </c>
      <c r="G40" s="87">
        <f>LAVORAZIONI!P39</f>
        <v/>
      </c>
      <c r="H40" s="88">
        <f>LAVORAZIONI!W39</f>
        <v/>
      </c>
      <c r="I40" s="87">
        <f>LAVORAZIONI!X39</f>
        <v/>
      </c>
    </row>
    <row r="41">
      <c r="A41" s="79">
        <f>LAVORAZIONI!G40</f>
        <v/>
      </c>
      <c r="B41" s="80">
        <f>LAVORAZIONI!A40</f>
        <v/>
      </c>
      <c r="C41" s="80">
        <f>LAVORAZIONI!K40</f>
        <v/>
      </c>
      <c r="D41" s="79">
        <f>LAVORAZIONI!M40</f>
        <v/>
      </c>
      <c r="E41" s="81">
        <f>LAVORAZIONI!N40</f>
        <v/>
      </c>
      <c r="F41" s="81">
        <f>LAVORAZIONI!O40</f>
        <v/>
      </c>
      <c r="G41" s="82">
        <f>LAVORAZIONI!P40</f>
        <v/>
      </c>
      <c r="H41" s="83">
        <f>LAVORAZIONI!W40</f>
        <v/>
      </c>
      <c r="I41" s="82">
        <f>LAVORAZIONI!X40</f>
        <v/>
      </c>
    </row>
    <row r="42">
      <c r="A42" s="79">
        <f>LAVORAZIONI!G41</f>
        <v/>
      </c>
      <c r="B42" s="80">
        <f>LAVORAZIONI!A41</f>
        <v/>
      </c>
      <c r="C42" s="80">
        <f>LAVORAZIONI!K41</f>
        <v/>
      </c>
      <c r="D42" s="79">
        <f>LAVORAZIONI!M41</f>
        <v/>
      </c>
      <c r="E42" s="81">
        <f>LAVORAZIONI!N41</f>
        <v/>
      </c>
      <c r="F42" s="81">
        <f>LAVORAZIONI!O41</f>
        <v/>
      </c>
      <c r="G42" s="82">
        <f>LAVORAZIONI!P41</f>
        <v/>
      </c>
      <c r="H42" s="83">
        <f>LAVORAZIONI!W41</f>
        <v/>
      </c>
      <c r="I42" s="82">
        <f>LAVORAZIONI!X41</f>
        <v/>
      </c>
    </row>
    <row r="43">
      <c r="A43" s="79">
        <f>LAVORAZIONI!G42</f>
        <v/>
      </c>
      <c r="B43" s="80">
        <f>LAVORAZIONI!A42</f>
        <v/>
      </c>
      <c r="C43" s="80">
        <f>LAVORAZIONI!K42</f>
        <v/>
      </c>
      <c r="D43" s="79">
        <f>LAVORAZIONI!M42</f>
        <v/>
      </c>
      <c r="E43" s="81">
        <f>LAVORAZIONI!N42</f>
        <v/>
      </c>
      <c r="F43" s="81">
        <f>LAVORAZIONI!O42</f>
        <v/>
      </c>
      <c r="G43" s="82">
        <f>LAVORAZIONI!P42</f>
        <v/>
      </c>
      <c r="H43" s="83">
        <f>LAVORAZIONI!W42</f>
        <v/>
      </c>
      <c r="I43" s="82">
        <f>LAVORAZIONI!X42</f>
        <v/>
      </c>
    </row>
    <row r="44">
      <c r="A44" s="79">
        <f>LAVORAZIONI!G43</f>
        <v/>
      </c>
      <c r="B44" s="80">
        <f>LAVORAZIONI!A43</f>
        <v/>
      </c>
      <c r="C44" s="80">
        <f>LAVORAZIONI!K43</f>
        <v/>
      </c>
      <c r="D44" s="79">
        <f>LAVORAZIONI!M43</f>
        <v/>
      </c>
      <c r="E44" s="81">
        <f>LAVORAZIONI!N43</f>
        <v/>
      </c>
      <c r="F44" s="81">
        <f>LAVORAZIONI!O43</f>
        <v/>
      </c>
      <c r="G44" s="82">
        <f>LAVORAZIONI!P43</f>
        <v/>
      </c>
      <c r="H44" s="83">
        <f>LAVORAZIONI!W43</f>
        <v/>
      </c>
      <c r="I44" s="82">
        <f>LAVORAZIONI!X43</f>
        <v/>
      </c>
    </row>
    <row r="45">
      <c r="A45" s="79">
        <f>LAVORAZIONI!G44</f>
        <v/>
      </c>
      <c r="B45" s="80">
        <f>LAVORAZIONI!A44</f>
        <v/>
      </c>
      <c r="C45" s="80">
        <f>LAVORAZIONI!K44</f>
        <v/>
      </c>
      <c r="D45" s="79">
        <f>LAVORAZIONI!M44</f>
        <v/>
      </c>
      <c r="E45" s="81">
        <f>LAVORAZIONI!N44</f>
        <v/>
      </c>
      <c r="F45" s="81">
        <f>LAVORAZIONI!O44</f>
        <v/>
      </c>
      <c r="G45" s="82">
        <f>LAVORAZIONI!P44</f>
        <v/>
      </c>
      <c r="H45" s="83">
        <f>LAVORAZIONI!W44</f>
        <v/>
      </c>
      <c r="I45" s="82">
        <f>LAVORAZIONI!X44</f>
        <v/>
      </c>
    </row>
    <row r="46">
      <c r="A46" s="79">
        <f>LAVORAZIONI!G45</f>
        <v/>
      </c>
      <c r="B46" s="80">
        <f>LAVORAZIONI!A45</f>
        <v/>
      </c>
      <c r="C46" s="80">
        <f>LAVORAZIONI!K45</f>
        <v/>
      </c>
      <c r="D46" s="79">
        <f>LAVORAZIONI!M45</f>
        <v/>
      </c>
      <c r="E46" s="81">
        <f>LAVORAZIONI!N45</f>
        <v/>
      </c>
      <c r="F46" s="81">
        <f>LAVORAZIONI!O45</f>
        <v/>
      </c>
      <c r="G46" s="82">
        <f>LAVORAZIONI!P45</f>
        <v/>
      </c>
      <c r="H46" s="83">
        <f>LAVORAZIONI!W45</f>
        <v/>
      </c>
      <c r="I46" s="82">
        <f>LAVORAZIONI!X45</f>
        <v/>
      </c>
    </row>
    <row r="47">
      <c r="A47" s="79">
        <f>LAVORAZIONI!G46</f>
        <v/>
      </c>
      <c r="B47" s="80">
        <f>LAVORAZIONI!A46</f>
        <v/>
      </c>
      <c r="C47" s="80">
        <f>LAVORAZIONI!K46</f>
        <v/>
      </c>
      <c r="D47" s="79">
        <f>LAVORAZIONI!M46</f>
        <v/>
      </c>
      <c r="E47" s="81">
        <f>LAVORAZIONI!N46</f>
        <v/>
      </c>
      <c r="F47" s="81">
        <f>LAVORAZIONI!O46</f>
        <v/>
      </c>
      <c r="G47" s="82">
        <f>LAVORAZIONI!P46</f>
        <v/>
      </c>
      <c r="H47" s="83">
        <f>LAVORAZIONI!W46</f>
        <v/>
      </c>
      <c r="I47" s="82">
        <f>LAVORAZIONI!X46</f>
        <v/>
      </c>
    </row>
    <row r="48">
      <c r="A48" s="79">
        <f>LAVORAZIONI!G47</f>
        <v/>
      </c>
      <c r="B48" s="80">
        <f>LAVORAZIONI!A47</f>
        <v/>
      </c>
      <c r="C48" s="80">
        <f>LAVORAZIONI!K47</f>
        <v/>
      </c>
      <c r="D48" s="79">
        <f>LAVORAZIONI!M47</f>
        <v/>
      </c>
      <c r="E48" s="81">
        <f>LAVORAZIONI!N47</f>
        <v/>
      </c>
      <c r="F48" s="81">
        <f>LAVORAZIONI!O47</f>
        <v/>
      </c>
      <c r="G48" s="82">
        <f>LAVORAZIONI!P47</f>
        <v/>
      </c>
      <c r="H48" s="83">
        <f>LAVORAZIONI!W47</f>
        <v/>
      </c>
      <c r="I48" s="82">
        <f>LAVORAZIONI!X47</f>
        <v/>
      </c>
    </row>
    <row r="49">
      <c r="A49" s="79">
        <f>LAVORAZIONI!G48</f>
        <v/>
      </c>
      <c r="B49" s="80">
        <f>LAVORAZIONI!A48</f>
        <v/>
      </c>
      <c r="C49" s="80">
        <f>LAVORAZIONI!K48</f>
        <v/>
      </c>
      <c r="D49" s="79">
        <f>LAVORAZIONI!M48</f>
        <v/>
      </c>
      <c r="E49" s="81">
        <f>LAVORAZIONI!N48</f>
        <v/>
      </c>
      <c r="F49" s="81">
        <f>LAVORAZIONI!O48</f>
        <v/>
      </c>
      <c r="G49" s="82">
        <f>LAVORAZIONI!P48</f>
        <v/>
      </c>
      <c r="H49" s="83">
        <f>LAVORAZIONI!W48</f>
        <v/>
      </c>
      <c r="I49" s="82">
        <f>LAVORAZIONI!X48</f>
        <v/>
      </c>
    </row>
    <row r="50">
      <c r="A50" s="79">
        <f>LAVORAZIONI!G49</f>
        <v/>
      </c>
      <c r="B50" s="80">
        <f>LAVORAZIONI!A49</f>
        <v/>
      </c>
      <c r="C50" s="80">
        <f>LAVORAZIONI!K49</f>
        <v/>
      </c>
      <c r="D50" s="79">
        <f>LAVORAZIONI!M49</f>
        <v/>
      </c>
      <c r="E50" s="81">
        <f>LAVORAZIONI!N49</f>
        <v/>
      </c>
      <c r="F50" s="81">
        <f>LAVORAZIONI!O49</f>
        <v/>
      </c>
      <c r="G50" s="82">
        <f>LAVORAZIONI!P49</f>
        <v/>
      </c>
      <c r="H50" s="83">
        <f>LAVORAZIONI!W49</f>
        <v/>
      </c>
      <c r="I50" s="82">
        <f>LAVORAZIONI!X49</f>
        <v/>
      </c>
    </row>
    <row r="51">
      <c r="A51" s="79">
        <f>LAVORAZIONI!G50</f>
        <v/>
      </c>
      <c r="B51" s="80">
        <f>LAVORAZIONI!A50</f>
        <v/>
      </c>
      <c r="C51" s="80">
        <f>LAVORAZIONI!K50</f>
        <v/>
      </c>
      <c r="D51" s="79">
        <f>LAVORAZIONI!M50</f>
        <v/>
      </c>
      <c r="E51" s="81">
        <f>LAVORAZIONI!N50</f>
        <v/>
      </c>
      <c r="F51" s="81">
        <f>LAVORAZIONI!O50</f>
        <v/>
      </c>
      <c r="G51" s="82">
        <f>LAVORAZIONI!P50</f>
        <v/>
      </c>
      <c r="H51" s="83">
        <f>LAVORAZIONI!W50</f>
        <v/>
      </c>
      <c r="I51" s="82">
        <f>LAVORAZIONI!X50</f>
        <v/>
      </c>
    </row>
    <row r="52">
      <c r="A52" s="79">
        <f>LAVORAZIONI!G51</f>
        <v/>
      </c>
      <c r="B52" s="80">
        <f>LAVORAZIONI!A51</f>
        <v/>
      </c>
      <c r="C52" s="80">
        <f>LAVORAZIONI!K51</f>
        <v/>
      </c>
      <c r="D52" s="79">
        <f>LAVORAZIONI!M51</f>
        <v/>
      </c>
      <c r="E52" s="81">
        <f>LAVORAZIONI!N51</f>
        <v/>
      </c>
      <c r="F52" s="81">
        <f>LAVORAZIONI!O51</f>
        <v/>
      </c>
      <c r="G52" s="82">
        <f>LAVORAZIONI!P51</f>
        <v/>
      </c>
      <c r="H52" s="83">
        <f>LAVORAZIONI!W51</f>
        <v/>
      </c>
      <c r="I52" s="82">
        <f>LAVORAZIONI!X51</f>
        <v/>
      </c>
    </row>
    <row r="53">
      <c r="A53" s="79">
        <f>LAVORAZIONI!G52</f>
        <v/>
      </c>
      <c r="B53" s="80">
        <f>LAVORAZIONI!A52</f>
        <v/>
      </c>
      <c r="C53" s="80">
        <f>LAVORAZIONI!K52</f>
        <v/>
      </c>
      <c r="D53" s="79">
        <f>LAVORAZIONI!M52</f>
        <v/>
      </c>
      <c r="E53" s="81">
        <f>LAVORAZIONI!N52</f>
        <v/>
      </c>
      <c r="F53" s="81">
        <f>LAVORAZIONI!O52</f>
        <v/>
      </c>
      <c r="G53" s="82">
        <f>LAVORAZIONI!P52</f>
        <v/>
      </c>
      <c r="H53" s="83">
        <f>LAVORAZIONI!W52</f>
        <v/>
      </c>
      <c r="I53" s="82">
        <f>LAVORAZIONI!X52</f>
        <v/>
      </c>
    </row>
    <row r="54">
      <c r="A54" s="79">
        <f>LAVORAZIONI!G53</f>
        <v/>
      </c>
      <c r="B54" s="80">
        <f>LAVORAZIONI!A53</f>
        <v/>
      </c>
      <c r="C54" s="80">
        <f>LAVORAZIONI!K53</f>
        <v/>
      </c>
      <c r="D54" s="79">
        <f>LAVORAZIONI!M53</f>
        <v/>
      </c>
      <c r="E54" s="81">
        <f>LAVORAZIONI!N53</f>
        <v/>
      </c>
      <c r="F54" s="81">
        <f>LAVORAZIONI!O53</f>
        <v/>
      </c>
      <c r="G54" s="82">
        <f>LAVORAZIONI!P53</f>
        <v/>
      </c>
      <c r="H54" s="83">
        <f>LAVORAZIONI!W53</f>
        <v/>
      </c>
      <c r="I54" s="82">
        <f>LAVORAZIONI!X53</f>
        <v/>
      </c>
    </row>
    <row r="55">
      <c r="A55" s="79">
        <f>LAVORAZIONI!G54</f>
        <v/>
      </c>
      <c r="B55" s="80">
        <f>LAVORAZIONI!A54</f>
        <v/>
      </c>
      <c r="C55" s="80">
        <f>LAVORAZIONI!K54</f>
        <v/>
      </c>
      <c r="D55" s="79">
        <f>LAVORAZIONI!M54</f>
        <v/>
      </c>
      <c r="E55" s="81">
        <f>LAVORAZIONI!N54</f>
        <v/>
      </c>
      <c r="F55" s="81">
        <f>LAVORAZIONI!O54</f>
        <v/>
      </c>
      <c r="G55" s="82">
        <f>LAVORAZIONI!P54</f>
        <v/>
      </c>
      <c r="H55" s="83">
        <f>LAVORAZIONI!W54</f>
        <v/>
      </c>
      <c r="I55" s="82">
        <f>LAVORAZIONI!X54</f>
        <v/>
      </c>
    </row>
    <row r="56">
      <c r="A56" s="79">
        <f>LAVORAZIONI!G55</f>
        <v/>
      </c>
      <c r="B56" s="80">
        <f>LAVORAZIONI!A55</f>
        <v/>
      </c>
      <c r="C56" s="80">
        <f>LAVORAZIONI!K55</f>
        <v/>
      </c>
      <c r="D56" s="79">
        <f>LAVORAZIONI!M55</f>
        <v/>
      </c>
      <c r="E56" s="81">
        <f>LAVORAZIONI!N55</f>
        <v/>
      </c>
      <c r="F56" s="81">
        <f>LAVORAZIONI!O55</f>
        <v/>
      </c>
      <c r="G56" s="82">
        <f>LAVORAZIONI!P55</f>
        <v/>
      </c>
      <c r="H56" s="83">
        <f>LAVORAZIONI!W55</f>
        <v/>
      </c>
      <c r="I56" s="82">
        <f>LAVORAZIONI!X55</f>
        <v/>
      </c>
    </row>
    <row r="57">
      <c r="A57" s="79">
        <f>LAVORAZIONI!G56</f>
        <v/>
      </c>
      <c r="B57" s="80">
        <f>LAVORAZIONI!A56</f>
        <v/>
      </c>
      <c r="C57" s="80">
        <f>LAVORAZIONI!K56</f>
        <v/>
      </c>
      <c r="D57" s="79">
        <f>LAVORAZIONI!M56</f>
        <v/>
      </c>
      <c r="E57" s="81">
        <f>LAVORAZIONI!N56</f>
        <v/>
      </c>
      <c r="F57" s="81">
        <f>LAVORAZIONI!O56</f>
        <v/>
      </c>
      <c r="G57" s="82">
        <f>LAVORAZIONI!P56</f>
        <v/>
      </c>
      <c r="H57" s="83">
        <f>LAVORAZIONI!W56</f>
        <v/>
      </c>
      <c r="I57" s="82">
        <f>LAVORAZIONI!X56</f>
        <v/>
      </c>
    </row>
    <row r="58">
      <c r="A58" s="79">
        <f>LAVORAZIONI!G57</f>
        <v/>
      </c>
      <c r="B58" s="80">
        <f>LAVORAZIONI!A57</f>
        <v/>
      </c>
      <c r="C58" s="80">
        <f>LAVORAZIONI!K57</f>
        <v/>
      </c>
      <c r="D58" s="79">
        <f>LAVORAZIONI!M57</f>
        <v/>
      </c>
      <c r="E58" s="81">
        <f>LAVORAZIONI!N57</f>
        <v/>
      </c>
      <c r="F58" s="81">
        <f>LAVORAZIONI!O57</f>
        <v/>
      </c>
      <c r="G58" s="82">
        <f>LAVORAZIONI!P57</f>
        <v/>
      </c>
      <c r="H58" s="83">
        <f>LAVORAZIONI!W57</f>
        <v/>
      </c>
      <c r="I58" s="82">
        <f>LAVORAZIONI!X57</f>
        <v/>
      </c>
    </row>
    <row r="59">
      <c r="A59" s="79">
        <f>LAVORAZIONI!G58</f>
        <v/>
      </c>
      <c r="B59" s="80">
        <f>LAVORAZIONI!A58</f>
        <v/>
      </c>
      <c r="C59" s="80">
        <f>LAVORAZIONI!K58</f>
        <v/>
      </c>
      <c r="D59" s="79">
        <f>LAVORAZIONI!M58</f>
        <v/>
      </c>
      <c r="E59" s="81">
        <f>LAVORAZIONI!N58</f>
        <v/>
      </c>
      <c r="F59" s="81">
        <f>LAVORAZIONI!O58</f>
        <v/>
      </c>
      <c r="G59" s="82">
        <f>LAVORAZIONI!P58</f>
        <v/>
      </c>
      <c r="H59" s="83">
        <f>LAVORAZIONI!W58</f>
        <v/>
      </c>
      <c r="I59" s="82">
        <f>LAVORAZIONI!X58</f>
        <v/>
      </c>
    </row>
    <row r="60">
      <c r="A60" s="84">
        <f>LAVORAZIONI!G59</f>
        <v/>
      </c>
      <c r="B60" s="85">
        <f>LAVORAZIONI!A59</f>
        <v/>
      </c>
      <c r="C60" s="85">
        <f>LAVORAZIONI!K59</f>
        <v/>
      </c>
      <c r="D60" s="84">
        <f>LAVORAZIONI!M59</f>
        <v/>
      </c>
      <c r="E60" s="86">
        <f>LAVORAZIONI!N59</f>
        <v/>
      </c>
      <c r="F60" s="86">
        <f>LAVORAZIONI!O59</f>
        <v/>
      </c>
      <c r="G60" s="87">
        <f>LAVORAZIONI!P59</f>
        <v/>
      </c>
      <c r="H60" s="88">
        <f>LAVORAZIONI!W59</f>
        <v/>
      </c>
      <c r="I60" s="87">
        <f>LAVORAZIONI!X59</f>
        <v/>
      </c>
    </row>
    <row r="61">
      <c r="A61" s="84">
        <f>LAVORAZIONI!G60</f>
        <v/>
      </c>
      <c r="B61" s="85">
        <f>LAVORAZIONI!A60</f>
        <v/>
      </c>
      <c r="C61" s="85">
        <f>LAVORAZIONI!K60</f>
        <v/>
      </c>
      <c r="D61" s="84">
        <f>LAVORAZIONI!M60</f>
        <v/>
      </c>
      <c r="E61" s="86">
        <f>LAVORAZIONI!N60</f>
        <v/>
      </c>
      <c r="F61" s="86">
        <f>LAVORAZIONI!O60</f>
        <v/>
      </c>
      <c r="G61" s="87">
        <f>LAVORAZIONI!P60</f>
        <v/>
      </c>
      <c r="H61" s="88">
        <f>LAVORAZIONI!W60</f>
        <v/>
      </c>
      <c r="I61" s="87">
        <f>LAVORAZIONI!X60</f>
        <v/>
      </c>
    </row>
    <row r="62">
      <c r="A62" s="84">
        <f>LAVORAZIONI!G61</f>
        <v/>
      </c>
      <c r="B62" s="85">
        <f>LAVORAZIONI!A61</f>
        <v/>
      </c>
      <c r="C62" s="85">
        <f>LAVORAZIONI!K61</f>
        <v/>
      </c>
      <c r="D62" s="84">
        <f>LAVORAZIONI!M61</f>
        <v/>
      </c>
      <c r="E62" s="86">
        <f>LAVORAZIONI!N61</f>
        <v/>
      </c>
      <c r="F62" s="86">
        <f>LAVORAZIONI!O61</f>
        <v/>
      </c>
      <c r="G62" s="87">
        <f>LAVORAZIONI!P61</f>
        <v/>
      </c>
      <c r="H62" s="88">
        <f>LAVORAZIONI!W61</f>
        <v/>
      </c>
      <c r="I62" s="87">
        <f>LAVORAZIONI!X61</f>
        <v/>
      </c>
    </row>
    <row r="63">
      <c r="A63" s="84">
        <f>LAVORAZIONI!G62</f>
        <v/>
      </c>
      <c r="B63" s="85">
        <f>LAVORAZIONI!A62</f>
        <v/>
      </c>
      <c r="C63" s="85">
        <f>LAVORAZIONI!K62</f>
        <v/>
      </c>
      <c r="D63" s="84">
        <f>LAVORAZIONI!M62</f>
        <v/>
      </c>
      <c r="E63" s="86">
        <f>LAVORAZIONI!N62</f>
        <v/>
      </c>
      <c r="F63" s="86">
        <f>LAVORAZIONI!O62</f>
        <v/>
      </c>
      <c r="G63" s="87">
        <f>LAVORAZIONI!P62</f>
        <v/>
      </c>
      <c r="H63" s="88">
        <f>LAVORAZIONI!W62</f>
        <v/>
      </c>
      <c r="I63" s="87">
        <f>LAVORAZIONI!X62</f>
        <v/>
      </c>
    </row>
    <row r="64">
      <c r="A64" s="79">
        <f>LAVORAZIONI!G63</f>
        <v/>
      </c>
      <c r="B64" s="80">
        <f>LAVORAZIONI!A63</f>
        <v/>
      </c>
      <c r="C64" s="80">
        <f>LAVORAZIONI!K63</f>
        <v/>
      </c>
      <c r="D64" s="79">
        <f>LAVORAZIONI!M63</f>
        <v/>
      </c>
      <c r="E64" s="81">
        <f>LAVORAZIONI!N63</f>
        <v/>
      </c>
      <c r="F64" s="81">
        <f>LAVORAZIONI!O63</f>
        <v/>
      </c>
      <c r="G64" s="82">
        <f>LAVORAZIONI!P63</f>
        <v/>
      </c>
      <c r="H64" s="83">
        <f>LAVORAZIONI!W63</f>
        <v/>
      </c>
      <c r="I64" s="82">
        <f>LAVORAZIONI!X63</f>
        <v/>
      </c>
    </row>
    <row r="65">
      <c r="A65" s="84">
        <f>LAVORAZIONI!G64</f>
        <v/>
      </c>
      <c r="B65" s="85">
        <f>LAVORAZIONI!A64</f>
        <v/>
      </c>
      <c r="C65" s="85">
        <f>LAVORAZIONI!K64</f>
        <v/>
      </c>
      <c r="D65" s="84">
        <f>LAVORAZIONI!M64</f>
        <v/>
      </c>
      <c r="E65" s="86">
        <f>LAVORAZIONI!N64</f>
        <v/>
      </c>
      <c r="F65" s="86">
        <f>LAVORAZIONI!O64</f>
        <v/>
      </c>
      <c r="G65" s="87">
        <f>LAVORAZIONI!P64</f>
        <v/>
      </c>
      <c r="H65" s="88">
        <f>LAVORAZIONI!W64</f>
        <v/>
      </c>
      <c r="I65" s="87">
        <f>LAVORAZIONI!X64</f>
        <v/>
      </c>
    </row>
    <row r="66">
      <c r="A66" s="79">
        <f>LAVORAZIONI!G65</f>
        <v/>
      </c>
      <c r="B66" s="80">
        <f>LAVORAZIONI!A65</f>
        <v/>
      </c>
      <c r="C66" s="80">
        <f>LAVORAZIONI!K65</f>
        <v/>
      </c>
      <c r="D66" s="79">
        <f>LAVORAZIONI!M65</f>
        <v/>
      </c>
      <c r="E66" s="81">
        <f>LAVORAZIONI!N65</f>
        <v/>
      </c>
      <c r="F66" s="81">
        <f>LAVORAZIONI!O65</f>
        <v/>
      </c>
      <c r="G66" s="82">
        <f>LAVORAZIONI!P65</f>
        <v/>
      </c>
      <c r="H66" s="83">
        <f>LAVORAZIONI!W65</f>
        <v/>
      </c>
      <c r="I66" s="82">
        <f>LAVORAZIONI!X65</f>
        <v/>
      </c>
    </row>
    <row r="67">
      <c r="A67" s="79">
        <f>LAVORAZIONI!G66</f>
        <v/>
      </c>
      <c r="B67" s="80">
        <f>LAVORAZIONI!A66</f>
        <v/>
      </c>
      <c r="C67" s="80">
        <f>LAVORAZIONI!K66</f>
        <v/>
      </c>
      <c r="D67" s="79">
        <f>LAVORAZIONI!M66</f>
        <v/>
      </c>
      <c r="E67" s="81">
        <f>LAVORAZIONI!N66</f>
        <v/>
      </c>
      <c r="F67" s="81">
        <f>LAVORAZIONI!O66</f>
        <v/>
      </c>
      <c r="G67" s="82">
        <f>LAVORAZIONI!P66</f>
        <v/>
      </c>
      <c r="H67" s="83">
        <f>LAVORAZIONI!W66</f>
        <v/>
      </c>
      <c r="I67" s="82">
        <f>LAVORAZIONI!X66</f>
        <v/>
      </c>
    </row>
    <row r="68">
      <c r="A68" s="84">
        <f>LAVORAZIONI!G67</f>
        <v/>
      </c>
      <c r="B68" s="85">
        <f>LAVORAZIONI!A67</f>
        <v/>
      </c>
      <c r="C68" s="85">
        <f>LAVORAZIONI!K67</f>
        <v/>
      </c>
      <c r="D68" s="84">
        <f>LAVORAZIONI!M67</f>
        <v/>
      </c>
      <c r="E68" s="86">
        <f>LAVORAZIONI!N67</f>
        <v/>
      </c>
      <c r="F68" s="86">
        <f>LAVORAZIONI!O67</f>
        <v/>
      </c>
      <c r="G68" s="87">
        <f>LAVORAZIONI!P67</f>
        <v/>
      </c>
      <c r="H68" s="88">
        <f>LAVORAZIONI!W67</f>
        <v/>
      </c>
      <c r="I68" s="87">
        <f>LAVORAZIONI!X67</f>
        <v/>
      </c>
    </row>
    <row r="69">
      <c r="A69" s="79">
        <f>LAVORAZIONI!G68</f>
        <v/>
      </c>
      <c r="B69" s="80">
        <f>LAVORAZIONI!A68</f>
        <v/>
      </c>
      <c r="C69" s="80">
        <f>LAVORAZIONI!K68</f>
        <v/>
      </c>
      <c r="D69" s="79">
        <f>LAVORAZIONI!M68</f>
        <v/>
      </c>
      <c r="E69" s="81">
        <f>LAVORAZIONI!N68</f>
        <v/>
      </c>
      <c r="F69" s="81">
        <f>LAVORAZIONI!O68</f>
        <v/>
      </c>
      <c r="G69" s="82">
        <f>LAVORAZIONI!P68</f>
        <v/>
      </c>
      <c r="H69" s="83">
        <f>LAVORAZIONI!W68</f>
        <v/>
      </c>
      <c r="I69" s="82">
        <f>LAVORAZIONI!X68</f>
        <v/>
      </c>
    </row>
    <row r="70">
      <c r="A70" s="79">
        <f>LAVORAZIONI!G69</f>
        <v/>
      </c>
      <c r="B70" s="80">
        <f>LAVORAZIONI!A69</f>
        <v/>
      </c>
      <c r="C70" s="80">
        <f>LAVORAZIONI!K69</f>
        <v/>
      </c>
      <c r="D70" s="79">
        <f>LAVORAZIONI!M69</f>
        <v/>
      </c>
      <c r="E70" s="81">
        <f>LAVORAZIONI!N69</f>
        <v/>
      </c>
      <c r="F70" s="81">
        <f>LAVORAZIONI!O69</f>
        <v/>
      </c>
      <c r="G70" s="82">
        <f>LAVORAZIONI!P69</f>
        <v/>
      </c>
      <c r="H70" s="83">
        <f>LAVORAZIONI!W69</f>
        <v/>
      </c>
      <c r="I70" s="82">
        <f>LAVORAZIONI!X69</f>
        <v/>
      </c>
    </row>
    <row r="71">
      <c r="A71" s="84">
        <f>LAVORAZIONI!G70</f>
        <v/>
      </c>
      <c r="B71" s="85">
        <f>LAVORAZIONI!A70</f>
        <v/>
      </c>
      <c r="C71" s="85">
        <f>LAVORAZIONI!K70</f>
        <v/>
      </c>
      <c r="D71" s="84">
        <f>LAVORAZIONI!M70</f>
        <v/>
      </c>
      <c r="E71" s="86">
        <f>LAVORAZIONI!N70</f>
        <v/>
      </c>
      <c r="F71" s="86">
        <f>LAVORAZIONI!O70</f>
        <v/>
      </c>
      <c r="G71" s="87">
        <f>LAVORAZIONI!P70</f>
        <v/>
      </c>
      <c r="H71" s="88">
        <f>LAVORAZIONI!W70</f>
        <v/>
      </c>
      <c r="I71" s="87">
        <f>LAVORAZIONI!X70</f>
        <v/>
      </c>
    </row>
    <row r="72">
      <c r="A72" s="84">
        <f>LAVORAZIONI!G71</f>
        <v/>
      </c>
      <c r="B72" s="85">
        <f>LAVORAZIONI!A71</f>
        <v/>
      </c>
      <c r="C72" s="85">
        <f>LAVORAZIONI!K71</f>
        <v/>
      </c>
      <c r="D72" s="84">
        <f>LAVORAZIONI!M71</f>
        <v/>
      </c>
      <c r="E72" s="86">
        <f>LAVORAZIONI!N71</f>
        <v/>
      </c>
      <c r="F72" s="86">
        <f>LAVORAZIONI!O71</f>
        <v/>
      </c>
      <c r="G72" s="87">
        <f>LAVORAZIONI!P71</f>
        <v/>
      </c>
      <c r="H72" s="88">
        <f>LAVORAZIONI!W71</f>
        <v/>
      </c>
      <c r="I72" s="87">
        <f>LAVORAZIONI!X71</f>
        <v/>
      </c>
    </row>
    <row r="73">
      <c r="A73" s="84">
        <f>LAVORAZIONI!G72</f>
        <v/>
      </c>
      <c r="B73" s="85">
        <f>LAVORAZIONI!A72</f>
        <v/>
      </c>
      <c r="C73" s="85">
        <f>LAVORAZIONI!K72</f>
        <v/>
      </c>
      <c r="D73" s="84">
        <f>LAVORAZIONI!M72</f>
        <v/>
      </c>
      <c r="E73" s="86">
        <f>LAVORAZIONI!N72</f>
        <v/>
      </c>
      <c r="F73" s="86">
        <f>LAVORAZIONI!O72</f>
        <v/>
      </c>
      <c r="G73" s="87">
        <f>LAVORAZIONI!P72</f>
        <v/>
      </c>
      <c r="H73" s="88">
        <f>LAVORAZIONI!W72</f>
        <v/>
      </c>
      <c r="I73" s="87">
        <f>LAVORAZIONI!X72</f>
        <v/>
      </c>
    </row>
    <row r="74">
      <c r="A74" s="84">
        <f>LAVORAZIONI!G73</f>
        <v/>
      </c>
      <c r="B74" s="85">
        <f>LAVORAZIONI!A73</f>
        <v/>
      </c>
      <c r="C74" s="85">
        <f>LAVORAZIONI!K73</f>
        <v/>
      </c>
      <c r="D74" s="84">
        <f>LAVORAZIONI!M73</f>
        <v/>
      </c>
      <c r="E74" s="86">
        <f>LAVORAZIONI!N73</f>
        <v/>
      </c>
      <c r="F74" s="86">
        <f>LAVORAZIONI!O73</f>
        <v/>
      </c>
      <c r="G74" s="87">
        <f>LAVORAZIONI!P73</f>
        <v/>
      </c>
      <c r="H74" s="88">
        <f>LAVORAZIONI!W73</f>
        <v/>
      </c>
      <c r="I74" s="87">
        <f>LAVORAZIONI!X73</f>
        <v/>
      </c>
    </row>
    <row r="75">
      <c r="A75" s="84">
        <f>LAVORAZIONI!G74</f>
        <v/>
      </c>
      <c r="B75" s="85">
        <f>LAVORAZIONI!A74</f>
        <v/>
      </c>
      <c r="C75" s="85">
        <f>LAVORAZIONI!K74</f>
        <v/>
      </c>
      <c r="D75" s="84">
        <f>LAVORAZIONI!M74</f>
        <v/>
      </c>
      <c r="E75" s="86">
        <f>LAVORAZIONI!N74</f>
        <v/>
      </c>
      <c r="F75" s="86">
        <f>LAVORAZIONI!O74</f>
        <v/>
      </c>
      <c r="G75" s="87">
        <f>LAVORAZIONI!P74</f>
        <v/>
      </c>
      <c r="H75" s="88">
        <f>LAVORAZIONI!W74</f>
        <v/>
      </c>
      <c r="I75" s="87">
        <f>LAVORAZIONI!X74</f>
        <v/>
      </c>
    </row>
    <row r="76">
      <c r="A76" s="84">
        <f>LAVORAZIONI!G75</f>
        <v/>
      </c>
      <c r="B76" s="85">
        <f>LAVORAZIONI!A75</f>
        <v/>
      </c>
      <c r="C76" s="85">
        <f>LAVORAZIONI!K75</f>
        <v/>
      </c>
      <c r="D76" s="84">
        <f>LAVORAZIONI!M75</f>
        <v/>
      </c>
      <c r="E76" s="86">
        <f>LAVORAZIONI!N75</f>
        <v/>
      </c>
      <c r="F76" s="86">
        <f>LAVORAZIONI!O75</f>
        <v/>
      </c>
      <c r="G76" s="87">
        <f>LAVORAZIONI!P75</f>
        <v/>
      </c>
      <c r="H76" s="88">
        <f>LAVORAZIONI!W75</f>
        <v/>
      </c>
      <c r="I76" s="87">
        <f>LAVORAZIONI!X75</f>
        <v/>
      </c>
    </row>
    <row r="77">
      <c r="A77" s="84">
        <f>LAVORAZIONI!G76</f>
        <v/>
      </c>
      <c r="B77" s="85">
        <f>LAVORAZIONI!A76</f>
        <v/>
      </c>
      <c r="C77" s="85">
        <f>LAVORAZIONI!K76</f>
        <v/>
      </c>
      <c r="D77" s="84">
        <f>LAVORAZIONI!M76</f>
        <v/>
      </c>
      <c r="E77" s="86">
        <f>LAVORAZIONI!N76</f>
        <v/>
      </c>
      <c r="F77" s="86">
        <f>LAVORAZIONI!O76</f>
        <v/>
      </c>
      <c r="G77" s="87">
        <f>LAVORAZIONI!P76</f>
        <v/>
      </c>
      <c r="H77" s="88">
        <f>LAVORAZIONI!W76</f>
        <v/>
      </c>
      <c r="I77" s="87">
        <f>LAVORAZIONI!X76</f>
        <v/>
      </c>
    </row>
    <row r="78">
      <c r="A78" s="79">
        <f>LAVORAZIONI!G77</f>
        <v/>
      </c>
      <c r="B78" s="80">
        <f>LAVORAZIONI!A77</f>
        <v/>
      </c>
      <c r="C78" s="80">
        <f>LAVORAZIONI!K77</f>
        <v/>
      </c>
      <c r="D78" s="79">
        <f>LAVORAZIONI!M77</f>
        <v/>
      </c>
      <c r="E78" s="81">
        <f>LAVORAZIONI!N77</f>
        <v/>
      </c>
      <c r="F78" s="81">
        <f>LAVORAZIONI!O77</f>
        <v/>
      </c>
      <c r="G78" s="82">
        <f>LAVORAZIONI!P77</f>
        <v/>
      </c>
      <c r="H78" s="83">
        <f>LAVORAZIONI!W77</f>
        <v/>
      </c>
      <c r="I78" s="82">
        <f>LAVORAZIONI!X77</f>
        <v/>
      </c>
    </row>
    <row r="79">
      <c r="A79" s="79">
        <f>LAVORAZIONI!G78</f>
        <v/>
      </c>
      <c r="B79" s="80">
        <f>LAVORAZIONI!A78</f>
        <v/>
      </c>
      <c r="C79" s="80">
        <f>LAVORAZIONI!K78</f>
        <v/>
      </c>
      <c r="D79" s="79">
        <f>LAVORAZIONI!M78</f>
        <v/>
      </c>
      <c r="E79" s="81">
        <f>LAVORAZIONI!N78</f>
        <v/>
      </c>
      <c r="F79" s="81">
        <f>LAVORAZIONI!O78</f>
        <v/>
      </c>
      <c r="G79" s="82">
        <f>LAVORAZIONI!P78</f>
        <v/>
      </c>
      <c r="H79" s="83">
        <f>LAVORAZIONI!W78</f>
        <v/>
      </c>
      <c r="I79" s="82">
        <f>LAVORAZIONI!X78</f>
        <v/>
      </c>
    </row>
    <row r="80">
      <c r="A80" s="79">
        <f>LAVORAZIONI!G79</f>
        <v/>
      </c>
      <c r="B80" s="80">
        <f>LAVORAZIONI!A79</f>
        <v/>
      </c>
      <c r="C80" s="80">
        <f>LAVORAZIONI!K79</f>
        <v/>
      </c>
      <c r="D80" s="79">
        <f>LAVORAZIONI!M79</f>
        <v/>
      </c>
      <c r="E80" s="81">
        <f>LAVORAZIONI!N79</f>
        <v/>
      </c>
      <c r="F80" s="81">
        <f>LAVORAZIONI!O79</f>
        <v/>
      </c>
      <c r="G80" s="82">
        <f>LAVORAZIONI!P79</f>
        <v/>
      </c>
      <c r="H80" s="83">
        <f>LAVORAZIONI!W79</f>
        <v/>
      </c>
      <c r="I80" s="82">
        <f>LAVORAZIONI!X79</f>
        <v/>
      </c>
    </row>
    <row r="81">
      <c r="A81" s="79">
        <f>LAVORAZIONI!G80</f>
        <v/>
      </c>
      <c r="B81" s="80">
        <f>LAVORAZIONI!A80</f>
        <v/>
      </c>
      <c r="C81" s="80">
        <f>LAVORAZIONI!K80</f>
        <v/>
      </c>
      <c r="D81" s="79">
        <f>LAVORAZIONI!M80</f>
        <v/>
      </c>
      <c r="E81" s="81">
        <f>LAVORAZIONI!N80</f>
        <v/>
      </c>
      <c r="F81" s="81">
        <f>LAVORAZIONI!O80</f>
        <v/>
      </c>
      <c r="G81" s="82">
        <f>LAVORAZIONI!P80</f>
        <v/>
      </c>
      <c r="H81" s="83">
        <f>LAVORAZIONI!W80</f>
        <v/>
      </c>
      <c r="I81" s="82">
        <f>LAVORAZIONI!X80</f>
        <v/>
      </c>
    </row>
    <row r="82">
      <c r="A82" s="79">
        <f>LAVORAZIONI!G81</f>
        <v/>
      </c>
      <c r="B82" s="80">
        <f>LAVORAZIONI!A81</f>
        <v/>
      </c>
      <c r="C82" s="80">
        <f>LAVORAZIONI!K81</f>
        <v/>
      </c>
      <c r="D82" s="79">
        <f>LAVORAZIONI!M81</f>
        <v/>
      </c>
      <c r="E82" s="81">
        <f>LAVORAZIONI!N81</f>
        <v/>
      </c>
      <c r="F82" s="81">
        <f>LAVORAZIONI!O81</f>
        <v/>
      </c>
      <c r="G82" s="82">
        <f>LAVORAZIONI!P81</f>
        <v/>
      </c>
      <c r="H82" s="83">
        <f>LAVORAZIONI!W81</f>
        <v/>
      </c>
      <c r="I82" s="82">
        <f>LAVORAZIONI!X81</f>
        <v/>
      </c>
    </row>
    <row r="83">
      <c r="A83" s="79">
        <f>LAVORAZIONI!G82</f>
        <v/>
      </c>
      <c r="B83" s="80">
        <f>LAVORAZIONI!A82</f>
        <v/>
      </c>
      <c r="C83" s="80">
        <f>LAVORAZIONI!K82</f>
        <v/>
      </c>
      <c r="D83" s="79">
        <f>LAVORAZIONI!M82</f>
        <v/>
      </c>
      <c r="E83" s="81">
        <f>LAVORAZIONI!N82</f>
        <v/>
      </c>
      <c r="F83" s="81">
        <f>LAVORAZIONI!O82</f>
        <v/>
      </c>
      <c r="G83" s="82">
        <f>LAVORAZIONI!P82</f>
        <v/>
      </c>
      <c r="H83" s="83">
        <f>LAVORAZIONI!W82</f>
        <v/>
      </c>
      <c r="I83" s="82">
        <f>LAVORAZIONI!X82</f>
        <v/>
      </c>
    </row>
    <row r="84">
      <c r="A84" s="79">
        <f>LAVORAZIONI!G83</f>
        <v/>
      </c>
      <c r="B84" s="80">
        <f>LAVORAZIONI!A83</f>
        <v/>
      </c>
      <c r="C84" s="80">
        <f>LAVORAZIONI!K83</f>
        <v/>
      </c>
      <c r="D84" s="79">
        <f>LAVORAZIONI!M83</f>
        <v/>
      </c>
      <c r="E84" s="81">
        <f>LAVORAZIONI!N83</f>
        <v/>
      </c>
      <c r="F84" s="81">
        <f>LAVORAZIONI!O83</f>
        <v/>
      </c>
      <c r="G84" s="82">
        <f>LAVORAZIONI!P83</f>
        <v/>
      </c>
      <c r="H84" s="83">
        <f>LAVORAZIONI!W83</f>
        <v/>
      </c>
      <c r="I84" s="82">
        <f>LAVORAZIONI!X83</f>
        <v/>
      </c>
    </row>
    <row r="85">
      <c r="A85" s="79">
        <f>LAVORAZIONI!G84</f>
        <v/>
      </c>
      <c r="B85" s="80">
        <f>LAVORAZIONI!A84</f>
        <v/>
      </c>
      <c r="C85" s="80">
        <f>LAVORAZIONI!K84</f>
        <v/>
      </c>
      <c r="D85" s="79">
        <f>LAVORAZIONI!M84</f>
        <v/>
      </c>
      <c r="E85" s="81">
        <f>LAVORAZIONI!N84</f>
        <v/>
      </c>
      <c r="F85" s="81">
        <f>LAVORAZIONI!O84</f>
        <v/>
      </c>
      <c r="G85" s="82">
        <f>LAVORAZIONI!P84</f>
        <v/>
      </c>
      <c r="H85" s="83">
        <f>LAVORAZIONI!W84</f>
        <v/>
      </c>
      <c r="I85" s="82">
        <f>LAVORAZIONI!X84</f>
        <v/>
      </c>
    </row>
    <row r="86">
      <c r="A86" s="79">
        <f>LAVORAZIONI!G85</f>
        <v/>
      </c>
      <c r="B86" s="80">
        <f>LAVORAZIONI!A85</f>
        <v/>
      </c>
      <c r="C86" s="80">
        <f>LAVORAZIONI!K85</f>
        <v/>
      </c>
      <c r="D86" s="79">
        <f>LAVORAZIONI!M85</f>
        <v/>
      </c>
      <c r="E86" s="81">
        <f>LAVORAZIONI!N85</f>
        <v/>
      </c>
      <c r="F86" s="81">
        <f>LAVORAZIONI!O85</f>
        <v/>
      </c>
      <c r="G86" s="82">
        <f>LAVORAZIONI!P85</f>
        <v/>
      </c>
      <c r="H86" s="83">
        <f>LAVORAZIONI!W85</f>
        <v/>
      </c>
      <c r="I86" s="82">
        <f>LAVORAZIONI!X85</f>
        <v/>
      </c>
    </row>
    <row r="87">
      <c r="A87" s="84">
        <f>LAVORAZIONI!G86</f>
        <v/>
      </c>
      <c r="B87" s="85">
        <f>LAVORAZIONI!A86</f>
        <v/>
      </c>
      <c r="C87" s="85">
        <f>LAVORAZIONI!K86</f>
        <v/>
      </c>
      <c r="D87" s="84">
        <f>LAVORAZIONI!M86</f>
        <v/>
      </c>
      <c r="E87" s="86">
        <f>LAVORAZIONI!N86</f>
        <v/>
      </c>
      <c r="F87" s="86">
        <f>LAVORAZIONI!O86</f>
        <v/>
      </c>
      <c r="G87" s="87">
        <f>LAVORAZIONI!P86</f>
        <v/>
      </c>
      <c r="H87" s="88">
        <f>LAVORAZIONI!W86</f>
        <v/>
      </c>
      <c r="I87" s="87">
        <f>LAVORAZIONI!X86</f>
        <v/>
      </c>
    </row>
    <row r="88">
      <c r="A88" s="79">
        <f>LAVORAZIONI!G87</f>
        <v/>
      </c>
      <c r="B88" s="80">
        <f>LAVORAZIONI!A87</f>
        <v/>
      </c>
      <c r="C88" s="80">
        <f>LAVORAZIONI!K87</f>
        <v/>
      </c>
      <c r="D88" s="79">
        <f>LAVORAZIONI!M87</f>
        <v/>
      </c>
      <c r="E88" s="81">
        <f>LAVORAZIONI!N87</f>
        <v/>
      </c>
      <c r="F88" s="81">
        <f>LAVORAZIONI!O87</f>
        <v/>
      </c>
      <c r="G88" s="82">
        <f>LAVORAZIONI!P87</f>
        <v/>
      </c>
      <c r="H88" s="83">
        <f>LAVORAZIONI!W87</f>
        <v/>
      </c>
      <c r="I88" s="82">
        <f>LAVORAZIONI!X87</f>
        <v/>
      </c>
    </row>
    <row r="89">
      <c r="A89" s="79">
        <f>LAVORAZIONI!G88</f>
        <v/>
      </c>
      <c r="B89" s="80">
        <f>LAVORAZIONI!A88</f>
        <v/>
      </c>
      <c r="C89" s="80">
        <f>LAVORAZIONI!K88</f>
        <v/>
      </c>
      <c r="D89" s="79">
        <f>LAVORAZIONI!M88</f>
        <v/>
      </c>
      <c r="E89" s="81">
        <f>LAVORAZIONI!N88</f>
        <v/>
      </c>
      <c r="F89" s="81">
        <f>LAVORAZIONI!O88</f>
        <v/>
      </c>
      <c r="G89" s="82">
        <f>LAVORAZIONI!P88</f>
        <v/>
      </c>
      <c r="H89" s="83">
        <f>LAVORAZIONI!W88</f>
        <v/>
      </c>
      <c r="I89" s="82">
        <f>LAVORAZIONI!X88</f>
        <v/>
      </c>
    </row>
    <row r="90">
      <c r="A90" s="84">
        <f>LAVORAZIONI!G89</f>
        <v/>
      </c>
      <c r="B90" s="85">
        <f>LAVORAZIONI!A89</f>
        <v/>
      </c>
      <c r="C90" s="85">
        <f>LAVORAZIONI!K89</f>
        <v/>
      </c>
      <c r="D90" s="84">
        <f>LAVORAZIONI!M89</f>
        <v/>
      </c>
      <c r="E90" s="86">
        <f>LAVORAZIONI!N89</f>
        <v/>
      </c>
      <c r="F90" s="86">
        <f>LAVORAZIONI!O89</f>
        <v/>
      </c>
      <c r="G90" s="87">
        <f>LAVORAZIONI!P89</f>
        <v/>
      </c>
      <c r="H90" s="88">
        <f>LAVORAZIONI!W89</f>
        <v/>
      </c>
      <c r="I90" s="87">
        <f>LAVORAZIONI!X89</f>
        <v/>
      </c>
    </row>
    <row r="91">
      <c r="A91" s="79">
        <f>LAVORAZIONI!G90</f>
        <v/>
      </c>
      <c r="B91" s="80">
        <f>LAVORAZIONI!A90</f>
        <v/>
      </c>
      <c r="C91" s="80">
        <f>LAVORAZIONI!K90</f>
        <v/>
      </c>
      <c r="D91" s="79">
        <f>LAVORAZIONI!M90</f>
        <v/>
      </c>
      <c r="E91" s="81">
        <f>LAVORAZIONI!N90</f>
        <v/>
      </c>
      <c r="F91" s="81">
        <f>LAVORAZIONI!O90</f>
        <v/>
      </c>
      <c r="G91" s="82">
        <f>LAVORAZIONI!P90</f>
        <v/>
      </c>
      <c r="H91" s="83">
        <f>LAVORAZIONI!W90</f>
        <v/>
      </c>
      <c r="I91" s="82">
        <f>LAVORAZIONI!X90</f>
        <v/>
      </c>
    </row>
    <row r="92">
      <c r="A92" s="84">
        <f>LAVORAZIONI!G91</f>
        <v/>
      </c>
      <c r="B92" s="85">
        <f>LAVORAZIONI!A91</f>
        <v/>
      </c>
      <c r="C92" s="85">
        <f>LAVORAZIONI!K91</f>
        <v/>
      </c>
      <c r="D92" s="84">
        <f>LAVORAZIONI!M91</f>
        <v/>
      </c>
      <c r="E92" s="86">
        <f>LAVORAZIONI!N91</f>
        <v/>
      </c>
      <c r="F92" s="86">
        <f>LAVORAZIONI!O91</f>
        <v/>
      </c>
      <c r="G92" s="87">
        <f>LAVORAZIONI!P91</f>
        <v/>
      </c>
      <c r="H92" s="88">
        <f>LAVORAZIONI!W91</f>
        <v/>
      </c>
      <c r="I92" s="87">
        <f>LAVORAZIONI!X91</f>
        <v/>
      </c>
    </row>
    <row r="93">
      <c r="A93" s="84">
        <f>LAVORAZIONI!G92</f>
        <v/>
      </c>
      <c r="B93" s="85">
        <f>LAVORAZIONI!A92</f>
        <v/>
      </c>
      <c r="C93" s="85">
        <f>LAVORAZIONI!K92</f>
        <v/>
      </c>
      <c r="D93" s="84">
        <f>LAVORAZIONI!M92</f>
        <v/>
      </c>
      <c r="E93" s="86">
        <f>LAVORAZIONI!N92</f>
        <v/>
      </c>
      <c r="F93" s="86">
        <f>LAVORAZIONI!O92</f>
        <v/>
      </c>
      <c r="G93" s="87">
        <f>LAVORAZIONI!P92</f>
        <v/>
      </c>
      <c r="H93" s="88">
        <f>LAVORAZIONI!W92</f>
        <v/>
      </c>
      <c r="I93" s="87">
        <f>LAVORAZIONI!X92</f>
        <v/>
      </c>
    </row>
    <row r="94">
      <c r="A94" s="84">
        <f>LAVORAZIONI!G93</f>
        <v/>
      </c>
      <c r="B94" s="85">
        <f>LAVORAZIONI!A93</f>
        <v/>
      </c>
      <c r="C94" s="85">
        <f>LAVORAZIONI!K93</f>
        <v/>
      </c>
      <c r="D94" s="84">
        <f>LAVORAZIONI!M93</f>
        <v/>
      </c>
      <c r="E94" s="86">
        <f>LAVORAZIONI!N93</f>
        <v/>
      </c>
      <c r="F94" s="86">
        <f>LAVORAZIONI!O93</f>
        <v/>
      </c>
      <c r="G94" s="87">
        <f>LAVORAZIONI!P93</f>
        <v/>
      </c>
      <c r="H94" s="88">
        <f>LAVORAZIONI!W93</f>
        <v/>
      </c>
      <c r="I94" s="87">
        <f>LAVORAZIONI!X93</f>
        <v/>
      </c>
    </row>
    <row r="95">
      <c r="A95" s="84">
        <f>LAVORAZIONI!G94</f>
        <v/>
      </c>
      <c r="B95" s="85">
        <f>LAVORAZIONI!A94</f>
        <v/>
      </c>
      <c r="C95" s="85">
        <f>LAVORAZIONI!K94</f>
        <v/>
      </c>
      <c r="D95" s="84">
        <f>LAVORAZIONI!M94</f>
        <v/>
      </c>
      <c r="E95" s="86">
        <f>LAVORAZIONI!N94</f>
        <v/>
      </c>
      <c r="F95" s="86">
        <f>LAVORAZIONI!O94</f>
        <v/>
      </c>
      <c r="G95" s="87">
        <f>LAVORAZIONI!P94</f>
        <v/>
      </c>
      <c r="H95" s="88">
        <f>LAVORAZIONI!W94</f>
        <v/>
      </c>
      <c r="I95" s="87">
        <f>LAVORAZIONI!X94</f>
        <v/>
      </c>
    </row>
    <row r="96">
      <c r="A96" s="79">
        <f>LAVORAZIONI!G95</f>
        <v/>
      </c>
      <c r="B96" s="80">
        <f>LAVORAZIONI!A95</f>
        <v/>
      </c>
      <c r="C96" s="80">
        <f>LAVORAZIONI!K95</f>
        <v/>
      </c>
      <c r="D96" s="79">
        <f>LAVORAZIONI!M95</f>
        <v/>
      </c>
      <c r="E96" s="81">
        <f>LAVORAZIONI!N95</f>
        <v/>
      </c>
      <c r="F96" s="81">
        <f>LAVORAZIONI!O95</f>
        <v/>
      </c>
      <c r="G96" s="82">
        <f>LAVORAZIONI!P95</f>
        <v/>
      </c>
      <c r="H96" s="83">
        <f>LAVORAZIONI!W95</f>
        <v/>
      </c>
      <c r="I96" s="82">
        <f>LAVORAZIONI!X95</f>
        <v/>
      </c>
    </row>
    <row r="97">
      <c r="A97" s="79">
        <f>LAVORAZIONI!G96</f>
        <v/>
      </c>
      <c r="B97" s="80">
        <f>LAVORAZIONI!A96</f>
        <v/>
      </c>
      <c r="C97" s="80">
        <f>LAVORAZIONI!K96</f>
        <v/>
      </c>
      <c r="D97" s="79">
        <f>LAVORAZIONI!M96</f>
        <v/>
      </c>
      <c r="E97" s="81">
        <f>LAVORAZIONI!N96</f>
        <v/>
      </c>
      <c r="F97" s="81">
        <f>LAVORAZIONI!O96</f>
        <v/>
      </c>
      <c r="G97" s="82">
        <f>LAVORAZIONI!P96</f>
        <v/>
      </c>
      <c r="H97" s="83">
        <f>LAVORAZIONI!W96</f>
        <v/>
      </c>
      <c r="I97" s="82">
        <f>LAVORAZIONI!X96</f>
        <v/>
      </c>
    </row>
    <row r="98">
      <c r="A98" s="79">
        <f>LAVORAZIONI!G97</f>
        <v/>
      </c>
      <c r="B98" s="80">
        <f>LAVORAZIONI!A97</f>
        <v/>
      </c>
      <c r="C98" s="80">
        <f>LAVORAZIONI!K97</f>
        <v/>
      </c>
      <c r="D98" s="79">
        <f>LAVORAZIONI!M97</f>
        <v/>
      </c>
      <c r="E98" s="81">
        <f>LAVORAZIONI!N97</f>
        <v/>
      </c>
      <c r="F98" s="81">
        <f>LAVORAZIONI!O97</f>
        <v/>
      </c>
      <c r="G98" s="82">
        <f>LAVORAZIONI!P97</f>
        <v/>
      </c>
      <c r="H98" s="83">
        <f>LAVORAZIONI!W97</f>
        <v/>
      </c>
      <c r="I98" s="82">
        <f>LAVORAZIONI!X97</f>
        <v/>
      </c>
    </row>
    <row r="99">
      <c r="A99" s="79">
        <f>LAVORAZIONI!G98</f>
        <v/>
      </c>
      <c r="B99" s="80">
        <f>LAVORAZIONI!A98</f>
        <v/>
      </c>
      <c r="C99" s="80">
        <f>LAVORAZIONI!K98</f>
        <v/>
      </c>
      <c r="D99" s="79">
        <f>LAVORAZIONI!M98</f>
        <v/>
      </c>
      <c r="E99" s="81">
        <f>LAVORAZIONI!N98</f>
        <v/>
      </c>
      <c r="F99" s="81">
        <f>LAVORAZIONI!O98</f>
        <v/>
      </c>
      <c r="G99" s="82">
        <f>LAVORAZIONI!P98</f>
        <v/>
      </c>
      <c r="H99" s="83">
        <f>LAVORAZIONI!W98</f>
        <v/>
      </c>
      <c r="I99" s="82">
        <f>LAVORAZIONI!X98</f>
        <v/>
      </c>
    </row>
    <row r="100">
      <c r="A100" s="79">
        <f>LAVORAZIONI!G99</f>
        <v/>
      </c>
      <c r="B100" s="80">
        <f>LAVORAZIONI!A99</f>
        <v/>
      </c>
      <c r="C100" s="80">
        <f>LAVORAZIONI!K99</f>
        <v/>
      </c>
      <c r="D100" s="79">
        <f>LAVORAZIONI!M99</f>
        <v/>
      </c>
      <c r="E100" s="81">
        <f>LAVORAZIONI!N99</f>
        <v/>
      </c>
      <c r="F100" s="81">
        <f>LAVORAZIONI!O99</f>
        <v/>
      </c>
      <c r="G100" s="82">
        <f>LAVORAZIONI!P99</f>
        <v/>
      </c>
      <c r="H100" s="83">
        <f>LAVORAZIONI!W99</f>
        <v/>
      </c>
      <c r="I100" s="82">
        <f>LAVORAZIONI!X99</f>
        <v/>
      </c>
    </row>
    <row r="101">
      <c r="A101" s="79">
        <f>LAVORAZIONI!G100</f>
        <v/>
      </c>
      <c r="B101" s="80">
        <f>LAVORAZIONI!A100</f>
        <v/>
      </c>
      <c r="C101" s="80">
        <f>LAVORAZIONI!K100</f>
        <v/>
      </c>
      <c r="D101" s="79">
        <f>LAVORAZIONI!M100</f>
        <v/>
      </c>
      <c r="E101" s="81">
        <f>LAVORAZIONI!N100</f>
        <v/>
      </c>
      <c r="F101" s="81">
        <f>LAVORAZIONI!O100</f>
        <v/>
      </c>
      <c r="G101" s="82">
        <f>LAVORAZIONI!P100</f>
        <v/>
      </c>
      <c r="H101" s="83">
        <f>LAVORAZIONI!W100</f>
        <v/>
      </c>
      <c r="I101" s="82">
        <f>LAVORAZIONI!X100</f>
        <v/>
      </c>
    </row>
    <row r="102">
      <c r="A102" s="79">
        <f>LAVORAZIONI!G101</f>
        <v/>
      </c>
      <c r="B102" s="80">
        <f>LAVORAZIONI!A101</f>
        <v/>
      </c>
      <c r="C102" s="80">
        <f>LAVORAZIONI!K101</f>
        <v/>
      </c>
      <c r="D102" s="79">
        <f>LAVORAZIONI!M101</f>
        <v/>
      </c>
      <c r="E102" s="81">
        <f>LAVORAZIONI!N101</f>
        <v/>
      </c>
      <c r="F102" s="81">
        <f>LAVORAZIONI!O101</f>
        <v/>
      </c>
      <c r="G102" s="82">
        <f>LAVORAZIONI!P101</f>
        <v/>
      </c>
      <c r="H102" s="83">
        <f>LAVORAZIONI!W101</f>
        <v/>
      </c>
      <c r="I102" s="82">
        <f>LAVORAZIONI!X101</f>
        <v/>
      </c>
    </row>
    <row r="103">
      <c r="A103" s="84">
        <f>LAVORAZIONI!G102</f>
        <v/>
      </c>
      <c r="B103" s="85">
        <f>LAVORAZIONI!A102</f>
        <v/>
      </c>
      <c r="C103" s="85">
        <f>LAVORAZIONI!K102</f>
        <v/>
      </c>
      <c r="D103" s="84">
        <f>LAVORAZIONI!M102</f>
        <v/>
      </c>
      <c r="E103" s="86">
        <f>LAVORAZIONI!N102</f>
        <v/>
      </c>
      <c r="F103" s="86">
        <f>LAVORAZIONI!O102</f>
        <v/>
      </c>
      <c r="G103" s="87">
        <f>LAVORAZIONI!P102</f>
        <v/>
      </c>
      <c r="H103" s="88">
        <f>LAVORAZIONI!W102</f>
        <v/>
      </c>
      <c r="I103" s="87">
        <f>LAVORAZIONI!X102</f>
        <v/>
      </c>
    </row>
    <row r="104">
      <c r="A104" s="84">
        <f>LAVORAZIONI!G103</f>
        <v/>
      </c>
      <c r="B104" s="85">
        <f>LAVORAZIONI!A103</f>
        <v/>
      </c>
      <c r="C104" s="85">
        <f>LAVORAZIONI!K103</f>
        <v/>
      </c>
      <c r="D104" s="84">
        <f>LAVORAZIONI!M103</f>
        <v/>
      </c>
      <c r="E104" s="86">
        <f>LAVORAZIONI!N103</f>
        <v/>
      </c>
      <c r="F104" s="86">
        <f>LAVORAZIONI!O103</f>
        <v/>
      </c>
      <c r="G104" s="87">
        <f>LAVORAZIONI!P103</f>
        <v/>
      </c>
      <c r="H104" s="88">
        <f>LAVORAZIONI!W103</f>
        <v/>
      </c>
      <c r="I104" s="87">
        <f>LAVORAZIONI!X103</f>
        <v/>
      </c>
    </row>
    <row r="105">
      <c r="A105" s="79">
        <f>LAVORAZIONI!G104</f>
        <v/>
      </c>
      <c r="B105" s="80">
        <f>LAVORAZIONI!A104</f>
        <v/>
      </c>
      <c r="C105" s="80">
        <f>LAVORAZIONI!K104</f>
        <v/>
      </c>
      <c r="D105" s="79">
        <f>LAVORAZIONI!M104</f>
        <v/>
      </c>
      <c r="E105" s="81">
        <f>LAVORAZIONI!N104</f>
        <v/>
      </c>
      <c r="F105" s="81">
        <f>LAVORAZIONI!O104</f>
        <v/>
      </c>
      <c r="G105" s="82">
        <f>LAVORAZIONI!P104</f>
        <v/>
      </c>
      <c r="H105" s="83">
        <f>LAVORAZIONI!W104</f>
        <v/>
      </c>
      <c r="I105" s="82">
        <f>LAVORAZIONI!X104</f>
        <v/>
      </c>
    </row>
    <row r="106">
      <c r="A106" s="79">
        <f>LAVORAZIONI!G105</f>
        <v/>
      </c>
      <c r="B106" s="80">
        <f>LAVORAZIONI!A105</f>
        <v/>
      </c>
      <c r="C106" s="80">
        <f>LAVORAZIONI!K105</f>
        <v/>
      </c>
      <c r="D106" s="79">
        <f>LAVORAZIONI!M105</f>
        <v/>
      </c>
      <c r="E106" s="81">
        <f>LAVORAZIONI!N105</f>
        <v/>
      </c>
      <c r="F106" s="81">
        <f>LAVORAZIONI!O105</f>
        <v/>
      </c>
      <c r="G106" s="82">
        <f>LAVORAZIONI!P105</f>
        <v/>
      </c>
      <c r="H106" s="83">
        <f>LAVORAZIONI!W105</f>
        <v/>
      </c>
      <c r="I106" s="82">
        <f>LAVORAZIONI!X105</f>
        <v/>
      </c>
    </row>
    <row r="107">
      <c r="A107" s="79">
        <f>LAVORAZIONI!G106</f>
        <v/>
      </c>
      <c r="B107" s="80">
        <f>LAVORAZIONI!A106</f>
        <v/>
      </c>
      <c r="C107" s="80">
        <f>LAVORAZIONI!K106</f>
        <v/>
      </c>
      <c r="D107" s="79">
        <f>LAVORAZIONI!M106</f>
        <v/>
      </c>
      <c r="E107" s="81">
        <f>LAVORAZIONI!N106</f>
        <v/>
      </c>
      <c r="F107" s="81">
        <f>LAVORAZIONI!O106</f>
        <v/>
      </c>
      <c r="G107" s="82">
        <f>LAVORAZIONI!P106</f>
        <v/>
      </c>
      <c r="H107" s="83">
        <f>LAVORAZIONI!W106</f>
        <v/>
      </c>
      <c r="I107" s="82">
        <f>LAVORAZIONI!X106</f>
        <v/>
      </c>
    </row>
    <row r="108">
      <c r="A108" s="84">
        <f>LAVORAZIONI!G107</f>
        <v/>
      </c>
      <c r="B108" s="85">
        <f>LAVORAZIONI!A107</f>
        <v/>
      </c>
      <c r="C108" s="85">
        <f>LAVORAZIONI!K107</f>
        <v/>
      </c>
      <c r="D108" s="84">
        <f>LAVORAZIONI!M107</f>
        <v/>
      </c>
      <c r="E108" s="86">
        <f>LAVORAZIONI!N107</f>
        <v/>
      </c>
      <c r="F108" s="86">
        <f>LAVORAZIONI!O107</f>
        <v/>
      </c>
      <c r="G108" s="87">
        <f>LAVORAZIONI!P107</f>
        <v/>
      </c>
      <c r="H108" s="88">
        <f>LAVORAZIONI!W107</f>
        <v/>
      </c>
      <c r="I108" s="87">
        <f>LAVORAZIONI!X107</f>
        <v/>
      </c>
    </row>
    <row r="109">
      <c r="A109" s="79">
        <f>LAVORAZIONI!G108</f>
        <v/>
      </c>
      <c r="B109" s="80">
        <f>LAVORAZIONI!A108</f>
        <v/>
      </c>
      <c r="C109" s="80">
        <f>LAVORAZIONI!K108</f>
        <v/>
      </c>
      <c r="D109" s="79">
        <f>LAVORAZIONI!M108</f>
        <v/>
      </c>
      <c r="E109" s="81">
        <f>LAVORAZIONI!N108</f>
        <v/>
      </c>
      <c r="F109" s="81">
        <f>LAVORAZIONI!O108</f>
        <v/>
      </c>
      <c r="G109" s="82">
        <f>LAVORAZIONI!P108</f>
        <v/>
      </c>
      <c r="H109" s="83">
        <f>LAVORAZIONI!W108</f>
        <v/>
      </c>
      <c r="I109" s="82">
        <f>LAVORAZIONI!X108</f>
        <v/>
      </c>
    </row>
    <row r="110">
      <c r="A110" s="79">
        <f>LAVORAZIONI!G109</f>
        <v/>
      </c>
      <c r="B110" s="80">
        <f>LAVORAZIONI!A109</f>
        <v/>
      </c>
      <c r="C110" s="80">
        <f>LAVORAZIONI!K109</f>
        <v/>
      </c>
      <c r="D110" s="79">
        <f>LAVORAZIONI!M109</f>
        <v/>
      </c>
      <c r="E110" s="81">
        <f>LAVORAZIONI!N109</f>
        <v/>
      </c>
      <c r="F110" s="81">
        <f>LAVORAZIONI!O109</f>
        <v/>
      </c>
      <c r="G110" s="82">
        <f>LAVORAZIONI!P109</f>
        <v/>
      </c>
      <c r="H110" s="83">
        <f>LAVORAZIONI!W109</f>
        <v/>
      </c>
      <c r="I110" s="82">
        <f>LAVORAZIONI!X109</f>
        <v/>
      </c>
    </row>
    <row r="111">
      <c r="A111" s="79">
        <f>LAVORAZIONI!G110</f>
        <v/>
      </c>
      <c r="B111" s="80">
        <f>LAVORAZIONI!A110</f>
        <v/>
      </c>
      <c r="C111" s="80">
        <f>LAVORAZIONI!K110</f>
        <v/>
      </c>
      <c r="D111" s="79">
        <f>LAVORAZIONI!M110</f>
        <v/>
      </c>
      <c r="E111" s="81">
        <f>LAVORAZIONI!N110</f>
        <v/>
      </c>
      <c r="F111" s="81">
        <f>LAVORAZIONI!O110</f>
        <v/>
      </c>
      <c r="G111" s="82">
        <f>LAVORAZIONI!P110</f>
        <v/>
      </c>
      <c r="H111" s="83">
        <f>LAVORAZIONI!W110</f>
        <v/>
      </c>
      <c r="I111" s="82">
        <f>LAVORAZIONI!X110</f>
        <v/>
      </c>
    </row>
    <row r="112">
      <c r="A112" s="79">
        <f>LAVORAZIONI!G111</f>
        <v/>
      </c>
      <c r="B112" s="80">
        <f>LAVORAZIONI!A111</f>
        <v/>
      </c>
      <c r="C112" s="80">
        <f>LAVORAZIONI!K111</f>
        <v/>
      </c>
      <c r="D112" s="79">
        <f>LAVORAZIONI!M111</f>
        <v/>
      </c>
      <c r="E112" s="81">
        <f>LAVORAZIONI!N111</f>
        <v/>
      </c>
      <c r="F112" s="81">
        <f>LAVORAZIONI!O111</f>
        <v/>
      </c>
      <c r="G112" s="82">
        <f>LAVORAZIONI!P111</f>
        <v/>
      </c>
      <c r="H112" s="83">
        <f>LAVORAZIONI!W111</f>
        <v/>
      </c>
      <c r="I112" s="82">
        <f>LAVORAZIONI!X111</f>
        <v/>
      </c>
    </row>
    <row r="113">
      <c r="A113" s="84">
        <f>LAVORAZIONI!G112</f>
        <v/>
      </c>
      <c r="B113" s="85">
        <f>LAVORAZIONI!A112</f>
        <v/>
      </c>
      <c r="C113" s="85">
        <f>LAVORAZIONI!K112</f>
        <v/>
      </c>
      <c r="D113" s="84">
        <f>LAVORAZIONI!M112</f>
        <v/>
      </c>
      <c r="E113" s="86">
        <f>LAVORAZIONI!N112</f>
        <v/>
      </c>
      <c r="F113" s="86">
        <f>LAVORAZIONI!O112</f>
        <v/>
      </c>
      <c r="G113" s="87">
        <f>LAVORAZIONI!P112</f>
        <v/>
      </c>
      <c r="H113" s="88">
        <f>LAVORAZIONI!W112</f>
        <v/>
      </c>
      <c r="I113" s="87">
        <f>LAVORAZIONI!X112</f>
        <v/>
      </c>
    </row>
    <row r="114">
      <c r="A114" s="79">
        <f>LAVORAZIONI!G113</f>
        <v/>
      </c>
      <c r="B114" s="80">
        <f>LAVORAZIONI!A113</f>
        <v/>
      </c>
      <c r="C114" s="80">
        <f>LAVORAZIONI!K113</f>
        <v/>
      </c>
      <c r="D114" s="79">
        <f>LAVORAZIONI!M113</f>
        <v/>
      </c>
      <c r="E114" s="81">
        <f>LAVORAZIONI!N113</f>
        <v/>
      </c>
      <c r="F114" s="81">
        <f>LAVORAZIONI!O113</f>
        <v/>
      </c>
      <c r="G114" s="82">
        <f>LAVORAZIONI!P113</f>
        <v/>
      </c>
      <c r="H114" s="83">
        <f>LAVORAZIONI!W113</f>
        <v/>
      </c>
      <c r="I114" s="82">
        <f>LAVORAZIONI!X113</f>
        <v/>
      </c>
    </row>
    <row r="115">
      <c r="A115" s="79">
        <f>LAVORAZIONI!G114</f>
        <v/>
      </c>
      <c r="B115" s="80">
        <f>LAVORAZIONI!A114</f>
        <v/>
      </c>
      <c r="C115" s="80">
        <f>LAVORAZIONI!K114</f>
        <v/>
      </c>
      <c r="D115" s="79">
        <f>LAVORAZIONI!M114</f>
        <v/>
      </c>
      <c r="E115" s="81">
        <f>LAVORAZIONI!N114</f>
        <v/>
      </c>
      <c r="F115" s="81">
        <f>LAVORAZIONI!O114</f>
        <v/>
      </c>
      <c r="G115" s="82">
        <f>LAVORAZIONI!P114</f>
        <v/>
      </c>
      <c r="H115" s="83">
        <f>LAVORAZIONI!W114</f>
        <v/>
      </c>
      <c r="I115" s="82">
        <f>LAVORAZIONI!X114</f>
        <v/>
      </c>
    </row>
    <row r="116">
      <c r="A116" s="84">
        <f>LAVORAZIONI!G115</f>
        <v/>
      </c>
      <c r="B116" s="85">
        <f>LAVORAZIONI!A115</f>
        <v/>
      </c>
      <c r="C116" s="85">
        <f>LAVORAZIONI!K115</f>
        <v/>
      </c>
      <c r="D116" s="84">
        <f>LAVORAZIONI!M115</f>
        <v/>
      </c>
      <c r="E116" s="86">
        <f>LAVORAZIONI!N115</f>
        <v/>
      </c>
      <c r="F116" s="86">
        <f>LAVORAZIONI!O115</f>
        <v/>
      </c>
      <c r="G116" s="87">
        <f>LAVORAZIONI!P115</f>
        <v/>
      </c>
      <c r="H116" s="88">
        <f>LAVORAZIONI!W115</f>
        <v/>
      </c>
      <c r="I116" s="87">
        <f>LAVORAZIONI!X115</f>
        <v/>
      </c>
    </row>
    <row r="117">
      <c r="A117" s="79">
        <f>LAVORAZIONI!G116</f>
        <v/>
      </c>
      <c r="B117" s="80">
        <f>LAVORAZIONI!A116</f>
        <v/>
      </c>
      <c r="C117" s="80">
        <f>LAVORAZIONI!K116</f>
        <v/>
      </c>
      <c r="D117" s="79">
        <f>LAVORAZIONI!M116</f>
        <v/>
      </c>
      <c r="E117" s="81">
        <f>LAVORAZIONI!N116</f>
        <v/>
      </c>
      <c r="F117" s="81">
        <f>LAVORAZIONI!O116</f>
        <v/>
      </c>
      <c r="G117" s="82">
        <f>LAVORAZIONI!P116</f>
        <v/>
      </c>
      <c r="H117" s="83">
        <f>LAVORAZIONI!W116</f>
        <v/>
      </c>
      <c r="I117" s="82">
        <f>LAVORAZIONI!X116</f>
        <v/>
      </c>
    </row>
    <row r="118">
      <c r="A118" s="84">
        <f>LAVORAZIONI!G117</f>
        <v/>
      </c>
      <c r="B118" s="85">
        <f>LAVORAZIONI!A117</f>
        <v/>
      </c>
      <c r="C118" s="85">
        <f>LAVORAZIONI!K117</f>
        <v/>
      </c>
      <c r="D118" s="84">
        <f>LAVORAZIONI!M117</f>
        <v/>
      </c>
      <c r="E118" s="86">
        <f>LAVORAZIONI!N117</f>
        <v/>
      </c>
      <c r="F118" s="86">
        <f>LAVORAZIONI!O117</f>
        <v/>
      </c>
      <c r="G118" s="87">
        <f>LAVORAZIONI!P117</f>
        <v/>
      </c>
      <c r="H118" s="88">
        <f>LAVORAZIONI!W117</f>
        <v/>
      </c>
      <c r="I118" s="87">
        <f>LAVORAZIONI!X117</f>
        <v/>
      </c>
    </row>
    <row r="119">
      <c r="A119" s="84">
        <f>LAVORAZIONI!G118</f>
        <v/>
      </c>
      <c r="B119" s="85">
        <f>LAVORAZIONI!A118</f>
        <v/>
      </c>
      <c r="C119" s="85">
        <f>LAVORAZIONI!K118</f>
        <v/>
      </c>
      <c r="D119" s="84">
        <f>LAVORAZIONI!M118</f>
        <v/>
      </c>
      <c r="E119" s="86">
        <f>LAVORAZIONI!N118</f>
        <v/>
      </c>
      <c r="F119" s="86">
        <f>LAVORAZIONI!O118</f>
        <v/>
      </c>
      <c r="G119" s="87">
        <f>LAVORAZIONI!P118</f>
        <v/>
      </c>
      <c r="H119" s="88">
        <f>LAVORAZIONI!W118</f>
        <v/>
      </c>
      <c r="I119" s="87">
        <f>LAVORAZIONI!X118</f>
        <v/>
      </c>
    </row>
    <row r="120">
      <c r="A120" s="84">
        <f>LAVORAZIONI!G119</f>
        <v/>
      </c>
      <c r="B120" s="85">
        <f>LAVORAZIONI!A119</f>
        <v/>
      </c>
      <c r="C120" s="85">
        <f>LAVORAZIONI!K119</f>
        <v/>
      </c>
      <c r="D120" s="84">
        <f>LAVORAZIONI!M119</f>
        <v/>
      </c>
      <c r="E120" s="86">
        <f>LAVORAZIONI!N119</f>
        <v/>
      </c>
      <c r="F120" s="86">
        <f>LAVORAZIONI!O119</f>
        <v/>
      </c>
      <c r="G120" s="87">
        <f>LAVORAZIONI!P119</f>
        <v/>
      </c>
      <c r="H120" s="88">
        <f>LAVORAZIONI!W119</f>
        <v/>
      </c>
      <c r="I120" s="87">
        <f>LAVORAZIONI!X119</f>
        <v/>
      </c>
    </row>
    <row r="121">
      <c r="A121" s="79">
        <f>LAVORAZIONI!G120</f>
        <v/>
      </c>
      <c r="B121" s="80">
        <f>LAVORAZIONI!A120</f>
        <v/>
      </c>
      <c r="C121" s="80">
        <f>LAVORAZIONI!K120</f>
        <v/>
      </c>
      <c r="D121" s="79">
        <f>LAVORAZIONI!M120</f>
        <v/>
      </c>
      <c r="E121" s="81">
        <f>LAVORAZIONI!N120</f>
        <v/>
      </c>
      <c r="F121" s="81">
        <f>LAVORAZIONI!O120</f>
        <v/>
      </c>
      <c r="G121" s="82">
        <f>LAVORAZIONI!P120</f>
        <v/>
      </c>
      <c r="H121" s="83">
        <f>LAVORAZIONI!W120</f>
        <v/>
      </c>
      <c r="I121" s="82">
        <f>LAVORAZIONI!X120</f>
        <v/>
      </c>
    </row>
    <row r="122">
      <c r="A122" s="79">
        <f>LAVORAZIONI!G121</f>
        <v/>
      </c>
      <c r="B122" s="80">
        <f>LAVORAZIONI!A121</f>
        <v/>
      </c>
      <c r="C122" s="80">
        <f>LAVORAZIONI!K121</f>
        <v/>
      </c>
      <c r="D122" s="79">
        <f>LAVORAZIONI!M121</f>
        <v/>
      </c>
      <c r="E122" s="81">
        <f>LAVORAZIONI!N121</f>
        <v/>
      </c>
      <c r="F122" s="81">
        <f>LAVORAZIONI!O121</f>
        <v/>
      </c>
      <c r="G122" s="82">
        <f>LAVORAZIONI!P121</f>
        <v/>
      </c>
      <c r="H122" s="83">
        <f>LAVORAZIONI!W121</f>
        <v/>
      </c>
      <c r="I122" s="82">
        <f>LAVORAZIONI!X121</f>
        <v/>
      </c>
    </row>
    <row r="123">
      <c r="A123" s="79">
        <f>LAVORAZIONI!G122</f>
        <v/>
      </c>
      <c r="B123" s="80">
        <f>LAVORAZIONI!A122</f>
        <v/>
      </c>
      <c r="C123" s="80">
        <f>LAVORAZIONI!K122</f>
        <v/>
      </c>
      <c r="D123" s="79">
        <f>LAVORAZIONI!M122</f>
        <v/>
      </c>
      <c r="E123" s="81">
        <f>LAVORAZIONI!N122</f>
        <v/>
      </c>
      <c r="F123" s="81">
        <f>LAVORAZIONI!O122</f>
        <v/>
      </c>
      <c r="G123" s="82">
        <f>LAVORAZIONI!P122</f>
        <v/>
      </c>
      <c r="H123" s="83">
        <f>LAVORAZIONI!W122</f>
        <v/>
      </c>
      <c r="I123" s="82">
        <f>LAVORAZIONI!X122</f>
        <v/>
      </c>
    </row>
    <row r="124">
      <c r="A124" s="79">
        <f>LAVORAZIONI!G123</f>
        <v/>
      </c>
      <c r="B124" s="80">
        <f>LAVORAZIONI!A123</f>
        <v/>
      </c>
      <c r="C124" s="80">
        <f>LAVORAZIONI!K123</f>
        <v/>
      </c>
      <c r="D124" s="79">
        <f>LAVORAZIONI!M123</f>
        <v/>
      </c>
      <c r="E124" s="81">
        <f>LAVORAZIONI!N123</f>
        <v/>
      </c>
      <c r="F124" s="81">
        <f>LAVORAZIONI!O123</f>
        <v/>
      </c>
      <c r="G124" s="82">
        <f>LAVORAZIONI!P123</f>
        <v/>
      </c>
      <c r="H124" s="83">
        <f>LAVORAZIONI!W123</f>
        <v/>
      </c>
      <c r="I124" s="82">
        <f>LAVORAZIONI!X123</f>
        <v/>
      </c>
    </row>
    <row r="125">
      <c r="A125" s="84">
        <f>LAVORAZIONI!G124</f>
        <v/>
      </c>
      <c r="B125" s="85">
        <f>LAVORAZIONI!A124</f>
        <v/>
      </c>
      <c r="C125" s="85">
        <f>LAVORAZIONI!K124</f>
        <v/>
      </c>
      <c r="D125" s="84">
        <f>LAVORAZIONI!M124</f>
        <v/>
      </c>
      <c r="E125" s="86">
        <f>LAVORAZIONI!N124</f>
        <v/>
      </c>
      <c r="F125" s="86">
        <f>LAVORAZIONI!O124</f>
        <v/>
      </c>
      <c r="G125" s="87">
        <f>LAVORAZIONI!P124</f>
        <v/>
      </c>
      <c r="H125" s="88">
        <f>LAVORAZIONI!W124</f>
        <v/>
      </c>
      <c r="I125" s="87">
        <f>LAVORAZIONI!X124</f>
        <v/>
      </c>
    </row>
    <row r="126">
      <c r="A126" s="61" t="n"/>
      <c r="B126" s="62" t="n"/>
      <c r="C126" s="62" t="n"/>
      <c r="D126" s="62" t="n"/>
      <c r="E126" s="62" t="n"/>
      <c r="F126" s="62" t="n"/>
      <c r="G126" s="62" t="n"/>
      <c r="H126" s="62" t="n"/>
      <c r="I126" s="63">
        <f>SUM(I5:I125)</f>
        <v/>
      </c>
    </row>
  </sheetData>
  <mergeCells count="4">
    <mergeCell ref="A1:I1"/>
    <mergeCell ref="A126:H126"/>
    <mergeCell ref="A3:I3"/>
    <mergeCell ref="A2:I2"/>
  </mergeCells>
  <pageMargins left="0.5" right="0.5" top="1" bottom="0.8" header="0.4" footer="0.4"/>
  <pageSetup orientation="landscape" paperSize="9" fitToHeight="0" fitToWidth="1"/>
  <headerFooter>
    <oddHeader>&amp;L&amp;"Calibri,Italic"&amp;9Nuovo stabilimento radiofarmaceutico LENA - Pavia (PV)&amp;C&amp;"Calibri,Bold"&amp;13Maggio - Edili&amp;R&amp;"Calibri"&amp;9&amp;D</oddHeader>
    <oddFooter>&amp;C&amp;"Calibri"&amp;9Pagina &amp;P di &amp;N</oddFooter>
    <evenHeader>&amp;L&amp;"Calibri,Italic"&amp;9Nuovo stabilimento radiofarmaceutico LENA - Pavia (PV)&amp;C&amp;"Calibri,Bold"&amp;13Maggio - Edili</evenHeader>
    <evenFooter>&amp;C&amp;"Calibri"&amp;9Pagina &amp;P di &amp;N</evenFooter>
    <firstHeader/>
    <firstFooter/>
  </headerFooter>
</worksheet>
</file>

<file path=xl/worksheets/sheet17.xml><?xml version="1.0" encoding="utf-8"?>
<worksheet xmlns="http://schemas.openxmlformats.org/spreadsheetml/2006/main">
  <sheetPr>
    <outlinePr summaryBelow="1" summaryRight="1"/>
    <pageSetUpPr fitToPage="1"/>
  </sheetPr>
  <dimension ref="A1:I52"/>
  <sheetViews>
    <sheetView workbookViewId="0">
      <pane ySplit="4" topLeftCell="A5" activePane="bottomLeft" state="frozen"/>
      <selection pane="bottomLeft" activeCell="A1" sqref="A1"/>
    </sheetView>
  </sheetViews>
  <sheetFormatPr baseColWidth="8" defaultRowHeight="15"/>
  <cols>
    <col width="9" customWidth="1" style="46" min="1" max="1"/>
    <col width="26" customWidth="1" style="46" min="2" max="2"/>
    <col width="58" customWidth="1" style="46" min="3" max="3"/>
    <col width="8" customWidth="1" style="46" min="4" max="4"/>
    <col width="11" customWidth="1" style="46" min="5" max="5"/>
    <col width="12" customWidth="1" style="46" min="6" max="6"/>
    <col width="14" customWidth="1" style="46" min="7" max="7"/>
    <col width="9" customWidth="1" style="46" min="8" max="8"/>
    <col width="14" customWidth="1" style="46" min="9" max="9"/>
  </cols>
  <sheetData>
    <row r="1" ht="22" customHeight="1" s="46">
      <c r="A1" s="78" t="inlineStr">
        <is>
          <t>SAL MAGGIO 2026 — OPERE EDILI SPECIALI</t>
        </is>
      </c>
    </row>
    <row r="2" ht="28"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N. VOCE</t>
        </is>
      </c>
      <c r="B4" s="55" t="inlineStr">
        <is>
          <t>CODICE LAVORAZIONE</t>
        </is>
      </c>
      <c r="C4" s="55" t="inlineStr">
        <is>
          <t>DESCRIZIONE</t>
        </is>
      </c>
      <c r="D4" s="55" t="inlineStr">
        <is>
          <t>U.M.</t>
        </is>
      </c>
      <c r="E4" s="55" t="inlineStr">
        <is>
          <t>QUANTITÀ</t>
        </is>
      </c>
      <c r="F4" s="55" t="inlineStr">
        <is>
          <t>VAL. UNITARIO</t>
        </is>
      </c>
      <c r="G4" s="55" t="inlineStr">
        <is>
          <t>TOTALE PREVENTIVO</t>
        </is>
      </c>
      <c r="H4" s="55" t="inlineStr">
        <is>
          <t>% SAL Maggio</t>
        </is>
      </c>
      <c r="I4" s="55" t="inlineStr">
        <is>
          <t>IMPORTO SAL Maggio</t>
        </is>
      </c>
    </row>
    <row r="5">
      <c r="A5" s="79">
        <f>LAVORAZIONI!G125</f>
        <v/>
      </c>
      <c r="B5" s="80">
        <f>LAVORAZIONI!A125</f>
        <v/>
      </c>
      <c r="C5" s="80">
        <f>LAVORAZIONI!K125</f>
        <v/>
      </c>
      <c r="D5" s="79">
        <f>LAVORAZIONI!M125</f>
        <v/>
      </c>
      <c r="E5" s="81">
        <f>LAVORAZIONI!N125</f>
        <v/>
      </c>
      <c r="F5" s="81">
        <f>LAVORAZIONI!O125</f>
        <v/>
      </c>
      <c r="G5" s="82">
        <f>LAVORAZIONI!P125</f>
        <v/>
      </c>
      <c r="H5" s="83">
        <f>LAVORAZIONI!W125</f>
        <v/>
      </c>
      <c r="I5" s="82">
        <f>LAVORAZIONI!X125</f>
        <v/>
      </c>
    </row>
    <row r="6">
      <c r="A6" s="84">
        <f>LAVORAZIONI!G126</f>
        <v/>
      </c>
      <c r="B6" s="85">
        <f>LAVORAZIONI!A126</f>
        <v/>
      </c>
      <c r="C6" s="85">
        <f>LAVORAZIONI!K126</f>
        <v/>
      </c>
      <c r="D6" s="84">
        <f>LAVORAZIONI!M126</f>
        <v/>
      </c>
      <c r="E6" s="86">
        <f>LAVORAZIONI!N126</f>
        <v/>
      </c>
      <c r="F6" s="86">
        <f>LAVORAZIONI!O126</f>
        <v/>
      </c>
      <c r="G6" s="87">
        <f>LAVORAZIONI!P126</f>
        <v/>
      </c>
      <c r="H6" s="88">
        <f>LAVORAZIONI!W126</f>
        <v/>
      </c>
      <c r="I6" s="87">
        <f>LAVORAZIONI!X126</f>
        <v/>
      </c>
    </row>
    <row r="7">
      <c r="A7" s="84">
        <f>LAVORAZIONI!G127</f>
        <v/>
      </c>
      <c r="B7" s="85">
        <f>LAVORAZIONI!A127</f>
        <v/>
      </c>
      <c r="C7" s="85">
        <f>LAVORAZIONI!K127</f>
        <v/>
      </c>
      <c r="D7" s="84">
        <f>LAVORAZIONI!M127</f>
        <v/>
      </c>
      <c r="E7" s="86">
        <f>LAVORAZIONI!N127</f>
        <v/>
      </c>
      <c r="F7" s="86">
        <f>LAVORAZIONI!O127</f>
        <v/>
      </c>
      <c r="G7" s="87">
        <f>LAVORAZIONI!P127</f>
        <v/>
      </c>
      <c r="H7" s="88">
        <f>LAVORAZIONI!W127</f>
        <v/>
      </c>
      <c r="I7" s="87">
        <f>LAVORAZIONI!X127</f>
        <v/>
      </c>
    </row>
    <row r="8">
      <c r="A8" s="79">
        <f>LAVORAZIONI!G128</f>
        <v/>
      </c>
      <c r="B8" s="80">
        <f>LAVORAZIONI!A128</f>
        <v/>
      </c>
      <c r="C8" s="80">
        <f>LAVORAZIONI!K128</f>
        <v/>
      </c>
      <c r="D8" s="79">
        <f>LAVORAZIONI!M128</f>
        <v/>
      </c>
      <c r="E8" s="81">
        <f>LAVORAZIONI!N128</f>
        <v/>
      </c>
      <c r="F8" s="81">
        <f>LAVORAZIONI!O128</f>
        <v/>
      </c>
      <c r="G8" s="82">
        <f>LAVORAZIONI!P128</f>
        <v/>
      </c>
      <c r="H8" s="83">
        <f>LAVORAZIONI!W128</f>
        <v/>
      </c>
      <c r="I8" s="82">
        <f>LAVORAZIONI!X128</f>
        <v/>
      </c>
    </row>
    <row r="9">
      <c r="A9" s="79">
        <f>LAVORAZIONI!G129</f>
        <v/>
      </c>
      <c r="B9" s="80">
        <f>LAVORAZIONI!A129</f>
        <v/>
      </c>
      <c r="C9" s="80">
        <f>LAVORAZIONI!K129</f>
        <v/>
      </c>
      <c r="D9" s="79">
        <f>LAVORAZIONI!M129</f>
        <v/>
      </c>
      <c r="E9" s="81">
        <f>LAVORAZIONI!N129</f>
        <v/>
      </c>
      <c r="F9" s="81">
        <f>LAVORAZIONI!O129</f>
        <v/>
      </c>
      <c r="G9" s="82">
        <f>LAVORAZIONI!P129</f>
        <v/>
      </c>
      <c r="H9" s="83">
        <f>LAVORAZIONI!W129</f>
        <v/>
      </c>
      <c r="I9" s="82">
        <f>LAVORAZIONI!X129</f>
        <v/>
      </c>
    </row>
    <row r="10">
      <c r="A10" s="79">
        <f>LAVORAZIONI!G130</f>
        <v/>
      </c>
      <c r="B10" s="80">
        <f>LAVORAZIONI!A130</f>
        <v/>
      </c>
      <c r="C10" s="80">
        <f>LAVORAZIONI!K130</f>
        <v/>
      </c>
      <c r="D10" s="79">
        <f>LAVORAZIONI!M130</f>
        <v/>
      </c>
      <c r="E10" s="81">
        <f>LAVORAZIONI!N130</f>
        <v/>
      </c>
      <c r="F10" s="81">
        <f>LAVORAZIONI!O130</f>
        <v/>
      </c>
      <c r="G10" s="82">
        <f>LAVORAZIONI!P130</f>
        <v/>
      </c>
      <c r="H10" s="83">
        <f>LAVORAZIONI!W130</f>
        <v/>
      </c>
      <c r="I10" s="82">
        <f>LAVORAZIONI!X130</f>
        <v/>
      </c>
    </row>
    <row r="11">
      <c r="A11" s="84">
        <f>LAVORAZIONI!G131</f>
        <v/>
      </c>
      <c r="B11" s="85">
        <f>LAVORAZIONI!A131</f>
        <v/>
      </c>
      <c r="C11" s="85">
        <f>LAVORAZIONI!K131</f>
        <v/>
      </c>
      <c r="D11" s="84">
        <f>LAVORAZIONI!M131</f>
        <v/>
      </c>
      <c r="E11" s="86">
        <f>LAVORAZIONI!N131</f>
        <v/>
      </c>
      <c r="F11" s="86">
        <f>LAVORAZIONI!O131</f>
        <v/>
      </c>
      <c r="G11" s="87">
        <f>LAVORAZIONI!P131</f>
        <v/>
      </c>
      <c r="H11" s="88">
        <f>LAVORAZIONI!W131</f>
        <v/>
      </c>
      <c r="I11" s="87">
        <f>LAVORAZIONI!X131</f>
        <v/>
      </c>
    </row>
    <row r="12">
      <c r="A12" s="79">
        <f>LAVORAZIONI!G132</f>
        <v/>
      </c>
      <c r="B12" s="80">
        <f>LAVORAZIONI!A132</f>
        <v/>
      </c>
      <c r="C12" s="80">
        <f>LAVORAZIONI!K132</f>
        <v/>
      </c>
      <c r="D12" s="79">
        <f>LAVORAZIONI!M132</f>
        <v/>
      </c>
      <c r="E12" s="81">
        <f>LAVORAZIONI!N132</f>
        <v/>
      </c>
      <c r="F12" s="81">
        <f>LAVORAZIONI!O132</f>
        <v/>
      </c>
      <c r="G12" s="82">
        <f>LAVORAZIONI!P132</f>
        <v/>
      </c>
      <c r="H12" s="83">
        <f>LAVORAZIONI!W132</f>
        <v/>
      </c>
      <c r="I12" s="82">
        <f>LAVORAZIONI!X132</f>
        <v/>
      </c>
    </row>
    <row r="13">
      <c r="A13" s="84">
        <f>LAVORAZIONI!G133</f>
        <v/>
      </c>
      <c r="B13" s="85">
        <f>LAVORAZIONI!A133</f>
        <v/>
      </c>
      <c r="C13" s="85">
        <f>LAVORAZIONI!K133</f>
        <v/>
      </c>
      <c r="D13" s="84">
        <f>LAVORAZIONI!M133</f>
        <v/>
      </c>
      <c r="E13" s="86">
        <f>LAVORAZIONI!N133</f>
        <v/>
      </c>
      <c r="F13" s="86">
        <f>LAVORAZIONI!O133</f>
        <v/>
      </c>
      <c r="G13" s="87">
        <f>LAVORAZIONI!P133</f>
        <v/>
      </c>
      <c r="H13" s="88">
        <f>LAVORAZIONI!W133</f>
        <v/>
      </c>
      <c r="I13" s="87">
        <f>LAVORAZIONI!X133</f>
        <v/>
      </c>
    </row>
    <row r="14">
      <c r="A14" s="79">
        <f>LAVORAZIONI!G134</f>
        <v/>
      </c>
      <c r="B14" s="80">
        <f>LAVORAZIONI!A134</f>
        <v/>
      </c>
      <c r="C14" s="80">
        <f>LAVORAZIONI!K134</f>
        <v/>
      </c>
      <c r="D14" s="79">
        <f>LAVORAZIONI!M134</f>
        <v/>
      </c>
      <c r="E14" s="81">
        <f>LAVORAZIONI!N134</f>
        <v/>
      </c>
      <c r="F14" s="81">
        <f>LAVORAZIONI!O134</f>
        <v/>
      </c>
      <c r="G14" s="82">
        <f>LAVORAZIONI!P134</f>
        <v/>
      </c>
      <c r="H14" s="83">
        <f>LAVORAZIONI!W134</f>
        <v/>
      </c>
      <c r="I14" s="82">
        <f>LAVORAZIONI!X134</f>
        <v/>
      </c>
    </row>
    <row r="15">
      <c r="A15" s="79">
        <f>LAVORAZIONI!G135</f>
        <v/>
      </c>
      <c r="B15" s="80">
        <f>LAVORAZIONI!A135</f>
        <v/>
      </c>
      <c r="C15" s="80">
        <f>LAVORAZIONI!K135</f>
        <v/>
      </c>
      <c r="D15" s="79">
        <f>LAVORAZIONI!M135</f>
        <v/>
      </c>
      <c r="E15" s="81">
        <f>LAVORAZIONI!N135</f>
        <v/>
      </c>
      <c r="F15" s="81">
        <f>LAVORAZIONI!O135</f>
        <v/>
      </c>
      <c r="G15" s="82">
        <f>LAVORAZIONI!P135</f>
        <v/>
      </c>
      <c r="H15" s="83">
        <f>LAVORAZIONI!W135</f>
        <v/>
      </c>
      <c r="I15" s="82">
        <f>LAVORAZIONI!X135</f>
        <v/>
      </c>
    </row>
    <row r="16">
      <c r="A16" s="84">
        <f>LAVORAZIONI!G136</f>
        <v/>
      </c>
      <c r="B16" s="85">
        <f>LAVORAZIONI!A136</f>
        <v/>
      </c>
      <c r="C16" s="85">
        <f>LAVORAZIONI!K136</f>
        <v/>
      </c>
      <c r="D16" s="84">
        <f>LAVORAZIONI!M136</f>
        <v/>
      </c>
      <c r="E16" s="86">
        <f>LAVORAZIONI!N136</f>
        <v/>
      </c>
      <c r="F16" s="86">
        <f>LAVORAZIONI!O136</f>
        <v/>
      </c>
      <c r="G16" s="87">
        <f>LAVORAZIONI!P136</f>
        <v/>
      </c>
      <c r="H16" s="88">
        <f>LAVORAZIONI!W136</f>
        <v/>
      </c>
      <c r="I16" s="87">
        <f>LAVORAZIONI!X136</f>
        <v/>
      </c>
    </row>
    <row r="17">
      <c r="A17" s="84">
        <f>LAVORAZIONI!G137</f>
        <v/>
      </c>
      <c r="B17" s="85">
        <f>LAVORAZIONI!A137</f>
        <v/>
      </c>
      <c r="C17" s="85">
        <f>LAVORAZIONI!K137</f>
        <v/>
      </c>
      <c r="D17" s="84">
        <f>LAVORAZIONI!M137</f>
        <v/>
      </c>
      <c r="E17" s="86">
        <f>LAVORAZIONI!N137</f>
        <v/>
      </c>
      <c r="F17" s="86">
        <f>LAVORAZIONI!O137</f>
        <v/>
      </c>
      <c r="G17" s="87">
        <f>LAVORAZIONI!P137</f>
        <v/>
      </c>
      <c r="H17" s="88">
        <f>LAVORAZIONI!W137</f>
        <v/>
      </c>
      <c r="I17" s="87">
        <f>LAVORAZIONI!X137</f>
        <v/>
      </c>
    </row>
    <row r="18">
      <c r="A18" s="79">
        <f>LAVORAZIONI!G138</f>
        <v/>
      </c>
      <c r="B18" s="80">
        <f>LAVORAZIONI!A138</f>
        <v/>
      </c>
      <c r="C18" s="80">
        <f>LAVORAZIONI!K138</f>
        <v/>
      </c>
      <c r="D18" s="79">
        <f>LAVORAZIONI!M138</f>
        <v/>
      </c>
      <c r="E18" s="81">
        <f>LAVORAZIONI!N138</f>
        <v/>
      </c>
      <c r="F18" s="81">
        <f>LAVORAZIONI!O138</f>
        <v/>
      </c>
      <c r="G18" s="82">
        <f>LAVORAZIONI!P138</f>
        <v/>
      </c>
      <c r="H18" s="83">
        <f>LAVORAZIONI!W138</f>
        <v/>
      </c>
      <c r="I18" s="82">
        <f>LAVORAZIONI!X138</f>
        <v/>
      </c>
    </row>
    <row r="19">
      <c r="A19" s="84">
        <f>LAVORAZIONI!G139</f>
        <v/>
      </c>
      <c r="B19" s="85">
        <f>LAVORAZIONI!A139</f>
        <v/>
      </c>
      <c r="C19" s="85">
        <f>LAVORAZIONI!K139</f>
        <v/>
      </c>
      <c r="D19" s="84">
        <f>LAVORAZIONI!M139</f>
        <v/>
      </c>
      <c r="E19" s="86">
        <f>LAVORAZIONI!N139</f>
        <v/>
      </c>
      <c r="F19" s="86">
        <f>LAVORAZIONI!O139</f>
        <v/>
      </c>
      <c r="G19" s="87">
        <f>LAVORAZIONI!P139</f>
        <v/>
      </c>
      <c r="H19" s="88">
        <f>LAVORAZIONI!W139</f>
        <v/>
      </c>
      <c r="I19" s="87">
        <f>LAVORAZIONI!X139</f>
        <v/>
      </c>
    </row>
    <row r="20">
      <c r="A20" s="79">
        <f>LAVORAZIONI!G140</f>
        <v/>
      </c>
      <c r="B20" s="80">
        <f>LAVORAZIONI!A140</f>
        <v/>
      </c>
      <c r="C20" s="80">
        <f>LAVORAZIONI!K140</f>
        <v/>
      </c>
      <c r="D20" s="79">
        <f>LAVORAZIONI!M140</f>
        <v/>
      </c>
      <c r="E20" s="81">
        <f>LAVORAZIONI!N140</f>
        <v/>
      </c>
      <c r="F20" s="81">
        <f>LAVORAZIONI!O140</f>
        <v/>
      </c>
      <c r="G20" s="82">
        <f>LAVORAZIONI!P140</f>
        <v/>
      </c>
      <c r="H20" s="83">
        <f>LAVORAZIONI!W140</f>
        <v/>
      </c>
      <c r="I20" s="82">
        <f>LAVORAZIONI!X140</f>
        <v/>
      </c>
    </row>
    <row r="21">
      <c r="A21" s="84">
        <f>LAVORAZIONI!G141</f>
        <v/>
      </c>
      <c r="B21" s="85">
        <f>LAVORAZIONI!A141</f>
        <v/>
      </c>
      <c r="C21" s="85">
        <f>LAVORAZIONI!K141</f>
        <v/>
      </c>
      <c r="D21" s="84">
        <f>LAVORAZIONI!M141</f>
        <v/>
      </c>
      <c r="E21" s="86">
        <f>LAVORAZIONI!N141</f>
        <v/>
      </c>
      <c r="F21" s="86">
        <f>LAVORAZIONI!O141</f>
        <v/>
      </c>
      <c r="G21" s="87">
        <f>LAVORAZIONI!P141</f>
        <v/>
      </c>
      <c r="H21" s="88">
        <f>LAVORAZIONI!W141</f>
        <v/>
      </c>
      <c r="I21" s="87">
        <f>LAVORAZIONI!X141</f>
        <v/>
      </c>
    </row>
    <row r="22">
      <c r="A22" s="84">
        <f>LAVORAZIONI!G142</f>
        <v/>
      </c>
      <c r="B22" s="85">
        <f>LAVORAZIONI!A142</f>
        <v/>
      </c>
      <c r="C22" s="85">
        <f>LAVORAZIONI!K142</f>
        <v/>
      </c>
      <c r="D22" s="84">
        <f>LAVORAZIONI!M142</f>
        <v/>
      </c>
      <c r="E22" s="86">
        <f>LAVORAZIONI!N142</f>
        <v/>
      </c>
      <c r="F22" s="86">
        <f>LAVORAZIONI!O142</f>
        <v/>
      </c>
      <c r="G22" s="87">
        <f>LAVORAZIONI!P142</f>
        <v/>
      </c>
      <c r="H22" s="88">
        <f>LAVORAZIONI!W142</f>
        <v/>
      </c>
      <c r="I22" s="87">
        <f>LAVORAZIONI!X142</f>
        <v/>
      </c>
    </row>
    <row r="23">
      <c r="A23" s="84">
        <f>LAVORAZIONI!G143</f>
        <v/>
      </c>
      <c r="B23" s="85">
        <f>LAVORAZIONI!A143</f>
        <v/>
      </c>
      <c r="C23" s="85">
        <f>LAVORAZIONI!K143</f>
        <v/>
      </c>
      <c r="D23" s="84">
        <f>LAVORAZIONI!M143</f>
        <v/>
      </c>
      <c r="E23" s="86">
        <f>LAVORAZIONI!N143</f>
        <v/>
      </c>
      <c r="F23" s="86">
        <f>LAVORAZIONI!O143</f>
        <v/>
      </c>
      <c r="G23" s="87">
        <f>LAVORAZIONI!P143</f>
        <v/>
      </c>
      <c r="H23" s="88">
        <f>LAVORAZIONI!W143</f>
        <v/>
      </c>
      <c r="I23" s="87">
        <f>LAVORAZIONI!X143</f>
        <v/>
      </c>
    </row>
    <row r="24">
      <c r="A24" s="84">
        <f>LAVORAZIONI!G144</f>
        <v/>
      </c>
      <c r="B24" s="85">
        <f>LAVORAZIONI!A144</f>
        <v/>
      </c>
      <c r="C24" s="85">
        <f>LAVORAZIONI!K144</f>
        <v/>
      </c>
      <c r="D24" s="84">
        <f>LAVORAZIONI!M144</f>
        <v/>
      </c>
      <c r="E24" s="86">
        <f>LAVORAZIONI!N144</f>
        <v/>
      </c>
      <c r="F24" s="86">
        <f>LAVORAZIONI!O144</f>
        <v/>
      </c>
      <c r="G24" s="87">
        <f>LAVORAZIONI!P144</f>
        <v/>
      </c>
      <c r="H24" s="88">
        <f>LAVORAZIONI!W144</f>
        <v/>
      </c>
      <c r="I24" s="87">
        <f>LAVORAZIONI!X144</f>
        <v/>
      </c>
    </row>
    <row r="25">
      <c r="A25" s="79">
        <f>LAVORAZIONI!G145</f>
        <v/>
      </c>
      <c r="B25" s="80">
        <f>LAVORAZIONI!A145</f>
        <v/>
      </c>
      <c r="C25" s="80">
        <f>LAVORAZIONI!K145</f>
        <v/>
      </c>
      <c r="D25" s="79">
        <f>LAVORAZIONI!M145</f>
        <v/>
      </c>
      <c r="E25" s="81">
        <f>LAVORAZIONI!N145</f>
        <v/>
      </c>
      <c r="F25" s="81">
        <f>LAVORAZIONI!O145</f>
        <v/>
      </c>
      <c r="G25" s="82">
        <f>LAVORAZIONI!P145</f>
        <v/>
      </c>
      <c r="H25" s="83">
        <f>LAVORAZIONI!W145</f>
        <v/>
      </c>
      <c r="I25" s="82">
        <f>LAVORAZIONI!X145</f>
        <v/>
      </c>
    </row>
    <row r="26">
      <c r="A26" s="79">
        <f>LAVORAZIONI!G146</f>
        <v/>
      </c>
      <c r="B26" s="80">
        <f>LAVORAZIONI!A146</f>
        <v/>
      </c>
      <c r="C26" s="80">
        <f>LAVORAZIONI!K146</f>
        <v/>
      </c>
      <c r="D26" s="79">
        <f>LAVORAZIONI!M146</f>
        <v/>
      </c>
      <c r="E26" s="81">
        <f>LAVORAZIONI!N146</f>
        <v/>
      </c>
      <c r="F26" s="81">
        <f>LAVORAZIONI!O146</f>
        <v/>
      </c>
      <c r="G26" s="82">
        <f>LAVORAZIONI!P146</f>
        <v/>
      </c>
      <c r="H26" s="83">
        <f>LAVORAZIONI!W146</f>
        <v/>
      </c>
      <c r="I26" s="82">
        <f>LAVORAZIONI!X146</f>
        <v/>
      </c>
    </row>
    <row r="27">
      <c r="A27" s="84">
        <f>LAVORAZIONI!G147</f>
        <v/>
      </c>
      <c r="B27" s="85">
        <f>LAVORAZIONI!A147</f>
        <v/>
      </c>
      <c r="C27" s="85">
        <f>LAVORAZIONI!K147</f>
        <v/>
      </c>
      <c r="D27" s="84">
        <f>LAVORAZIONI!M147</f>
        <v/>
      </c>
      <c r="E27" s="86">
        <f>LAVORAZIONI!N147</f>
        <v/>
      </c>
      <c r="F27" s="86">
        <f>LAVORAZIONI!O147</f>
        <v/>
      </c>
      <c r="G27" s="87">
        <f>LAVORAZIONI!P147</f>
        <v/>
      </c>
      <c r="H27" s="88">
        <f>LAVORAZIONI!W147</f>
        <v/>
      </c>
      <c r="I27" s="87">
        <f>LAVORAZIONI!X147</f>
        <v/>
      </c>
    </row>
    <row r="28">
      <c r="A28" s="79">
        <f>LAVORAZIONI!G148</f>
        <v/>
      </c>
      <c r="B28" s="80">
        <f>LAVORAZIONI!A148</f>
        <v/>
      </c>
      <c r="C28" s="80">
        <f>LAVORAZIONI!K148</f>
        <v/>
      </c>
      <c r="D28" s="79">
        <f>LAVORAZIONI!M148</f>
        <v/>
      </c>
      <c r="E28" s="81">
        <f>LAVORAZIONI!N148</f>
        <v/>
      </c>
      <c r="F28" s="81">
        <f>LAVORAZIONI!O148</f>
        <v/>
      </c>
      <c r="G28" s="82">
        <f>LAVORAZIONI!P148</f>
        <v/>
      </c>
      <c r="H28" s="83">
        <f>LAVORAZIONI!W148</f>
        <v/>
      </c>
      <c r="I28" s="82">
        <f>LAVORAZIONI!X148</f>
        <v/>
      </c>
    </row>
    <row r="29">
      <c r="A29" s="84">
        <f>LAVORAZIONI!G149</f>
        <v/>
      </c>
      <c r="B29" s="85">
        <f>LAVORAZIONI!A149</f>
        <v/>
      </c>
      <c r="C29" s="85">
        <f>LAVORAZIONI!K149</f>
        <v/>
      </c>
      <c r="D29" s="84">
        <f>LAVORAZIONI!M149</f>
        <v/>
      </c>
      <c r="E29" s="86">
        <f>LAVORAZIONI!N149</f>
        <v/>
      </c>
      <c r="F29" s="86">
        <f>LAVORAZIONI!O149</f>
        <v/>
      </c>
      <c r="G29" s="87">
        <f>LAVORAZIONI!P149</f>
        <v/>
      </c>
      <c r="H29" s="88">
        <f>LAVORAZIONI!W149</f>
        <v/>
      </c>
      <c r="I29" s="87">
        <f>LAVORAZIONI!X149</f>
        <v/>
      </c>
    </row>
    <row r="30">
      <c r="A30" s="84">
        <f>LAVORAZIONI!G150</f>
        <v/>
      </c>
      <c r="B30" s="85">
        <f>LAVORAZIONI!A150</f>
        <v/>
      </c>
      <c r="C30" s="85">
        <f>LAVORAZIONI!K150</f>
        <v/>
      </c>
      <c r="D30" s="84">
        <f>LAVORAZIONI!M150</f>
        <v/>
      </c>
      <c r="E30" s="86">
        <f>LAVORAZIONI!N150</f>
        <v/>
      </c>
      <c r="F30" s="86">
        <f>LAVORAZIONI!O150</f>
        <v/>
      </c>
      <c r="G30" s="87">
        <f>LAVORAZIONI!P150</f>
        <v/>
      </c>
      <c r="H30" s="88">
        <f>LAVORAZIONI!W150</f>
        <v/>
      </c>
      <c r="I30" s="87">
        <f>LAVORAZIONI!X150</f>
        <v/>
      </c>
    </row>
    <row r="31">
      <c r="A31" s="84">
        <f>LAVORAZIONI!G151</f>
        <v/>
      </c>
      <c r="B31" s="85">
        <f>LAVORAZIONI!A151</f>
        <v/>
      </c>
      <c r="C31" s="85">
        <f>LAVORAZIONI!K151</f>
        <v/>
      </c>
      <c r="D31" s="84">
        <f>LAVORAZIONI!M151</f>
        <v/>
      </c>
      <c r="E31" s="86">
        <f>LAVORAZIONI!N151</f>
        <v/>
      </c>
      <c r="F31" s="86">
        <f>LAVORAZIONI!O151</f>
        <v/>
      </c>
      <c r="G31" s="87">
        <f>LAVORAZIONI!P151</f>
        <v/>
      </c>
      <c r="H31" s="88">
        <f>LAVORAZIONI!W151</f>
        <v/>
      </c>
      <c r="I31" s="87">
        <f>LAVORAZIONI!X151</f>
        <v/>
      </c>
    </row>
    <row r="32">
      <c r="A32" s="79">
        <f>LAVORAZIONI!G152</f>
        <v/>
      </c>
      <c r="B32" s="80">
        <f>LAVORAZIONI!A152</f>
        <v/>
      </c>
      <c r="C32" s="80">
        <f>LAVORAZIONI!K152</f>
        <v/>
      </c>
      <c r="D32" s="79">
        <f>LAVORAZIONI!M152</f>
        <v/>
      </c>
      <c r="E32" s="81">
        <f>LAVORAZIONI!N152</f>
        <v/>
      </c>
      <c r="F32" s="81">
        <f>LAVORAZIONI!O152</f>
        <v/>
      </c>
      <c r="G32" s="82">
        <f>LAVORAZIONI!P152</f>
        <v/>
      </c>
      <c r="H32" s="83">
        <f>LAVORAZIONI!W152</f>
        <v/>
      </c>
      <c r="I32" s="82">
        <f>LAVORAZIONI!X152</f>
        <v/>
      </c>
    </row>
    <row r="33">
      <c r="A33" s="84">
        <f>LAVORAZIONI!G153</f>
        <v/>
      </c>
      <c r="B33" s="85">
        <f>LAVORAZIONI!A153</f>
        <v/>
      </c>
      <c r="C33" s="85">
        <f>LAVORAZIONI!K153</f>
        <v/>
      </c>
      <c r="D33" s="84">
        <f>LAVORAZIONI!M153</f>
        <v/>
      </c>
      <c r="E33" s="86">
        <f>LAVORAZIONI!N153</f>
        <v/>
      </c>
      <c r="F33" s="86">
        <f>LAVORAZIONI!O153</f>
        <v/>
      </c>
      <c r="G33" s="87">
        <f>LAVORAZIONI!P153</f>
        <v/>
      </c>
      <c r="H33" s="88">
        <f>LAVORAZIONI!W153</f>
        <v/>
      </c>
      <c r="I33" s="87">
        <f>LAVORAZIONI!X153</f>
        <v/>
      </c>
    </row>
    <row r="34">
      <c r="A34" s="79">
        <f>LAVORAZIONI!G154</f>
        <v/>
      </c>
      <c r="B34" s="80">
        <f>LAVORAZIONI!A154</f>
        <v/>
      </c>
      <c r="C34" s="80">
        <f>LAVORAZIONI!K154</f>
        <v/>
      </c>
      <c r="D34" s="79">
        <f>LAVORAZIONI!M154</f>
        <v/>
      </c>
      <c r="E34" s="81">
        <f>LAVORAZIONI!N154</f>
        <v/>
      </c>
      <c r="F34" s="81">
        <f>LAVORAZIONI!O154</f>
        <v/>
      </c>
      <c r="G34" s="82">
        <f>LAVORAZIONI!P154</f>
        <v/>
      </c>
      <c r="H34" s="83">
        <f>LAVORAZIONI!W154</f>
        <v/>
      </c>
      <c r="I34" s="82">
        <f>LAVORAZIONI!X154</f>
        <v/>
      </c>
    </row>
    <row r="35">
      <c r="A35" s="79">
        <f>LAVORAZIONI!G155</f>
        <v/>
      </c>
      <c r="B35" s="80">
        <f>LAVORAZIONI!A155</f>
        <v/>
      </c>
      <c r="C35" s="80">
        <f>LAVORAZIONI!K155</f>
        <v/>
      </c>
      <c r="D35" s="79">
        <f>LAVORAZIONI!M155</f>
        <v/>
      </c>
      <c r="E35" s="81">
        <f>LAVORAZIONI!N155</f>
        <v/>
      </c>
      <c r="F35" s="81">
        <f>LAVORAZIONI!O155</f>
        <v/>
      </c>
      <c r="G35" s="82">
        <f>LAVORAZIONI!P155</f>
        <v/>
      </c>
      <c r="H35" s="83">
        <f>LAVORAZIONI!W155</f>
        <v/>
      </c>
      <c r="I35" s="82">
        <f>LAVORAZIONI!X155</f>
        <v/>
      </c>
    </row>
    <row r="36">
      <c r="A36" s="84">
        <f>LAVORAZIONI!G156</f>
        <v/>
      </c>
      <c r="B36" s="85">
        <f>LAVORAZIONI!A156</f>
        <v/>
      </c>
      <c r="C36" s="85">
        <f>LAVORAZIONI!K156</f>
        <v/>
      </c>
      <c r="D36" s="84">
        <f>LAVORAZIONI!M156</f>
        <v/>
      </c>
      <c r="E36" s="86">
        <f>LAVORAZIONI!N156</f>
        <v/>
      </c>
      <c r="F36" s="86">
        <f>LAVORAZIONI!O156</f>
        <v/>
      </c>
      <c r="G36" s="87">
        <f>LAVORAZIONI!P156</f>
        <v/>
      </c>
      <c r="H36" s="88">
        <f>LAVORAZIONI!W156</f>
        <v/>
      </c>
      <c r="I36" s="87">
        <f>LAVORAZIONI!X156</f>
        <v/>
      </c>
    </row>
    <row r="37">
      <c r="A37" s="79">
        <f>LAVORAZIONI!G157</f>
        <v/>
      </c>
      <c r="B37" s="80">
        <f>LAVORAZIONI!A157</f>
        <v/>
      </c>
      <c r="C37" s="80">
        <f>LAVORAZIONI!K157</f>
        <v/>
      </c>
      <c r="D37" s="79">
        <f>LAVORAZIONI!M157</f>
        <v/>
      </c>
      <c r="E37" s="81">
        <f>LAVORAZIONI!N157</f>
        <v/>
      </c>
      <c r="F37" s="81">
        <f>LAVORAZIONI!O157</f>
        <v/>
      </c>
      <c r="G37" s="82">
        <f>LAVORAZIONI!P157</f>
        <v/>
      </c>
      <c r="H37" s="83">
        <f>LAVORAZIONI!W157</f>
        <v/>
      </c>
      <c r="I37" s="82">
        <f>LAVORAZIONI!X157</f>
        <v/>
      </c>
    </row>
    <row r="38">
      <c r="A38" s="84">
        <f>LAVORAZIONI!G158</f>
        <v/>
      </c>
      <c r="B38" s="85">
        <f>LAVORAZIONI!A158</f>
        <v/>
      </c>
      <c r="C38" s="85">
        <f>LAVORAZIONI!K158</f>
        <v/>
      </c>
      <c r="D38" s="84">
        <f>LAVORAZIONI!M158</f>
        <v/>
      </c>
      <c r="E38" s="86">
        <f>LAVORAZIONI!N158</f>
        <v/>
      </c>
      <c r="F38" s="86">
        <f>LAVORAZIONI!O158</f>
        <v/>
      </c>
      <c r="G38" s="87">
        <f>LAVORAZIONI!P158</f>
        <v/>
      </c>
      <c r="H38" s="88">
        <f>LAVORAZIONI!W158</f>
        <v/>
      </c>
      <c r="I38" s="87">
        <f>LAVORAZIONI!X158</f>
        <v/>
      </c>
    </row>
    <row r="39">
      <c r="A39" s="79">
        <f>LAVORAZIONI!G159</f>
        <v/>
      </c>
      <c r="B39" s="80">
        <f>LAVORAZIONI!A159</f>
        <v/>
      </c>
      <c r="C39" s="80">
        <f>LAVORAZIONI!K159</f>
        <v/>
      </c>
      <c r="D39" s="79">
        <f>LAVORAZIONI!M159</f>
        <v/>
      </c>
      <c r="E39" s="81">
        <f>LAVORAZIONI!N159</f>
        <v/>
      </c>
      <c r="F39" s="81">
        <f>LAVORAZIONI!O159</f>
        <v/>
      </c>
      <c r="G39" s="82">
        <f>LAVORAZIONI!P159</f>
        <v/>
      </c>
      <c r="H39" s="83">
        <f>LAVORAZIONI!W159</f>
        <v/>
      </c>
      <c r="I39" s="82">
        <f>LAVORAZIONI!X159</f>
        <v/>
      </c>
    </row>
    <row r="40">
      <c r="A40" s="79">
        <f>LAVORAZIONI!G160</f>
        <v/>
      </c>
      <c r="B40" s="80">
        <f>LAVORAZIONI!A160</f>
        <v/>
      </c>
      <c r="C40" s="80">
        <f>LAVORAZIONI!K160</f>
        <v/>
      </c>
      <c r="D40" s="79">
        <f>LAVORAZIONI!M160</f>
        <v/>
      </c>
      <c r="E40" s="81">
        <f>LAVORAZIONI!N160</f>
        <v/>
      </c>
      <c r="F40" s="81">
        <f>LAVORAZIONI!O160</f>
        <v/>
      </c>
      <c r="G40" s="82">
        <f>LAVORAZIONI!P160</f>
        <v/>
      </c>
      <c r="H40" s="83">
        <f>LAVORAZIONI!W160</f>
        <v/>
      </c>
      <c r="I40" s="82">
        <f>LAVORAZIONI!X160</f>
        <v/>
      </c>
    </row>
    <row r="41">
      <c r="A41" s="79">
        <f>LAVORAZIONI!G161</f>
        <v/>
      </c>
      <c r="B41" s="80">
        <f>LAVORAZIONI!A161</f>
        <v/>
      </c>
      <c r="C41" s="80">
        <f>LAVORAZIONI!K161</f>
        <v/>
      </c>
      <c r="D41" s="79">
        <f>LAVORAZIONI!M161</f>
        <v/>
      </c>
      <c r="E41" s="81">
        <f>LAVORAZIONI!N161</f>
        <v/>
      </c>
      <c r="F41" s="81">
        <f>LAVORAZIONI!O161</f>
        <v/>
      </c>
      <c r="G41" s="82">
        <f>LAVORAZIONI!P161</f>
        <v/>
      </c>
      <c r="H41" s="83">
        <f>LAVORAZIONI!W161</f>
        <v/>
      </c>
      <c r="I41" s="82">
        <f>LAVORAZIONI!X161</f>
        <v/>
      </c>
    </row>
    <row r="42">
      <c r="A42" s="79">
        <f>LAVORAZIONI!G162</f>
        <v/>
      </c>
      <c r="B42" s="80">
        <f>LAVORAZIONI!A162</f>
        <v/>
      </c>
      <c r="C42" s="80">
        <f>LAVORAZIONI!K162</f>
        <v/>
      </c>
      <c r="D42" s="79">
        <f>LAVORAZIONI!M162</f>
        <v/>
      </c>
      <c r="E42" s="81">
        <f>LAVORAZIONI!N162</f>
        <v/>
      </c>
      <c r="F42" s="81">
        <f>LAVORAZIONI!O162</f>
        <v/>
      </c>
      <c r="G42" s="82">
        <f>LAVORAZIONI!P162</f>
        <v/>
      </c>
      <c r="H42" s="83">
        <f>LAVORAZIONI!W162</f>
        <v/>
      </c>
      <c r="I42" s="82">
        <f>LAVORAZIONI!X162</f>
        <v/>
      </c>
    </row>
    <row r="43">
      <c r="A43" s="79">
        <f>LAVORAZIONI!G163</f>
        <v/>
      </c>
      <c r="B43" s="80">
        <f>LAVORAZIONI!A163</f>
        <v/>
      </c>
      <c r="C43" s="80">
        <f>LAVORAZIONI!K163</f>
        <v/>
      </c>
      <c r="D43" s="79">
        <f>LAVORAZIONI!M163</f>
        <v/>
      </c>
      <c r="E43" s="81">
        <f>LAVORAZIONI!N163</f>
        <v/>
      </c>
      <c r="F43" s="81">
        <f>LAVORAZIONI!O163</f>
        <v/>
      </c>
      <c r="G43" s="82">
        <f>LAVORAZIONI!P163</f>
        <v/>
      </c>
      <c r="H43" s="83">
        <f>LAVORAZIONI!W163</f>
        <v/>
      </c>
      <c r="I43" s="82">
        <f>LAVORAZIONI!X163</f>
        <v/>
      </c>
    </row>
    <row r="44">
      <c r="A44" s="84">
        <f>LAVORAZIONI!G164</f>
        <v/>
      </c>
      <c r="B44" s="85">
        <f>LAVORAZIONI!A164</f>
        <v/>
      </c>
      <c r="C44" s="85">
        <f>LAVORAZIONI!K164</f>
        <v/>
      </c>
      <c r="D44" s="84">
        <f>LAVORAZIONI!M164</f>
        <v/>
      </c>
      <c r="E44" s="86">
        <f>LAVORAZIONI!N164</f>
        <v/>
      </c>
      <c r="F44" s="86">
        <f>LAVORAZIONI!O164</f>
        <v/>
      </c>
      <c r="G44" s="87">
        <f>LAVORAZIONI!P164</f>
        <v/>
      </c>
      <c r="H44" s="88">
        <f>LAVORAZIONI!W164</f>
        <v/>
      </c>
      <c r="I44" s="87">
        <f>LAVORAZIONI!X164</f>
        <v/>
      </c>
    </row>
    <row r="45">
      <c r="A45" s="84">
        <f>LAVORAZIONI!G165</f>
        <v/>
      </c>
      <c r="B45" s="85">
        <f>LAVORAZIONI!A165</f>
        <v/>
      </c>
      <c r="C45" s="85">
        <f>LAVORAZIONI!K165</f>
        <v/>
      </c>
      <c r="D45" s="84">
        <f>LAVORAZIONI!M165</f>
        <v/>
      </c>
      <c r="E45" s="86">
        <f>LAVORAZIONI!N165</f>
        <v/>
      </c>
      <c r="F45" s="86">
        <f>LAVORAZIONI!O165</f>
        <v/>
      </c>
      <c r="G45" s="87">
        <f>LAVORAZIONI!P165</f>
        <v/>
      </c>
      <c r="H45" s="88">
        <f>LAVORAZIONI!W165</f>
        <v/>
      </c>
      <c r="I45" s="87">
        <f>LAVORAZIONI!X165</f>
        <v/>
      </c>
    </row>
    <row r="46">
      <c r="A46" s="84">
        <f>LAVORAZIONI!G166</f>
        <v/>
      </c>
      <c r="B46" s="85">
        <f>LAVORAZIONI!A166</f>
        <v/>
      </c>
      <c r="C46" s="85">
        <f>LAVORAZIONI!K166</f>
        <v/>
      </c>
      <c r="D46" s="84">
        <f>LAVORAZIONI!M166</f>
        <v/>
      </c>
      <c r="E46" s="86">
        <f>LAVORAZIONI!N166</f>
        <v/>
      </c>
      <c r="F46" s="86">
        <f>LAVORAZIONI!O166</f>
        <v/>
      </c>
      <c r="G46" s="87">
        <f>LAVORAZIONI!P166</f>
        <v/>
      </c>
      <c r="H46" s="88">
        <f>LAVORAZIONI!W166</f>
        <v/>
      </c>
      <c r="I46" s="87">
        <f>LAVORAZIONI!X166</f>
        <v/>
      </c>
    </row>
    <row r="47">
      <c r="A47" s="84">
        <f>LAVORAZIONI!G167</f>
        <v/>
      </c>
      <c r="B47" s="85">
        <f>LAVORAZIONI!A167</f>
        <v/>
      </c>
      <c r="C47" s="85">
        <f>LAVORAZIONI!K167</f>
        <v/>
      </c>
      <c r="D47" s="84">
        <f>LAVORAZIONI!M167</f>
        <v/>
      </c>
      <c r="E47" s="86">
        <f>LAVORAZIONI!N167</f>
        <v/>
      </c>
      <c r="F47" s="86">
        <f>LAVORAZIONI!O167</f>
        <v/>
      </c>
      <c r="G47" s="87">
        <f>LAVORAZIONI!P167</f>
        <v/>
      </c>
      <c r="H47" s="88">
        <f>LAVORAZIONI!W167</f>
        <v/>
      </c>
      <c r="I47" s="87">
        <f>LAVORAZIONI!X167</f>
        <v/>
      </c>
    </row>
    <row r="48">
      <c r="A48" s="79">
        <f>LAVORAZIONI!G168</f>
        <v/>
      </c>
      <c r="B48" s="80">
        <f>LAVORAZIONI!A168</f>
        <v/>
      </c>
      <c r="C48" s="80">
        <f>LAVORAZIONI!K168</f>
        <v/>
      </c>
      <c r="D48" s="79">
        <f>LAVORAZIONI!M168</f>
        <v/>
      </c>
      <c r="E48" s="81">
        <f>LAVORAZIONI!N168</f>
        <v/>
      </c>
      <c r="F48" s="81">
        <f>LAVORAZIONI!O168</f>
        <v/>
      </c>
      <c r="G48" s="82">
        <f>LAVORAZIONI!P168</f>
        <v/>
      </c>
      <c r="H48" s="83">
        <f>LAVORAZIONI!W168</f>
        <v/>
      </c>
      <c r="I48" s="82">
        <f>LAVORAZIONI!X168</f>
        <v/>
      </c>
    </row>
    <row r="49">
      <c r="A49" s="84">
        <f>LAVORAZIONI!G169</f>
        <v/>
      </c>
      <c r="B49" s="85">
        <f>LAVORAZIONI!A169</f>
        <v/>
      </c>
      <c r="C49" s="85">
        <f>LAVORAZIONI!K169</f>
        <v/>
      </c>
      <c r="D49" s="84">
        <f>LAVORAZIONI!M169</f>
        <v/>
      </c>
      <c r="E49" s="86">
        <f>LAVORAZIONI!N169</f>
        <v/>
      </c>
      <c r="F49" s="86">
        <f>LAVORAZIONI!O169</f>
        <v/>
      </c>
      <c r="G49" s="87">
        <f>LAVORAZIONI!P169</f>
        <v/>
      </c>
      <c r="H49" s="88">
        <f>LAVORAZIONI!W169</f>
        <v/>
      </c>
      <c r="I49" s="87">
        <f>LAVORAZIONI!X169</f>
        <v/>
      </c>
    </row>
    <row r="50">
      <c r="A50" s="84">
        <f>LAVORAZIONI!G170</f>
        <v/>
      </c>
      <c r="B50" s="85">
        <f>LAVORAZIONI!A170</f>
        <v/>
      </c>
      <c r="C50" s="85">
        <f>LAVORAZIONI!K170</f>
        <v/>
      </c>
      <c r="D50" s="84">
        <f>LAVORAZIONI!M170</f>
        <v/>
      </c>
      <c r="E50" s="86">
        <f>LAVORAZIONI!N170</f>
        <v/>
      </c>
      <c r="F50" s="86">
        <f>LAVORAZIONI!O170</f>
        <v/>
      </c>
      <c r="G50" s="87">
        <f>LAVORAZIONI!P170</f>
        <v/>
      </c>
      <c r="H50" s="88">
        <f>LAVORAZIONI!W170</f>
        <v/>
      </c>
      <c r="I50" s="87">
        <f>LAVORAZIONI!X170</f>
        <v/>
      </c>
    </row>
    <row r="51">
      <c r="A51" s="84">
        <f>LAVORAZIONI!G171</f>
        <v/>
      </c>
      <c r="B51" s="85">
        <f>LAVORAZIONI!A171</f>
        <v/>
      </c>
      <c r="C51" s="85">
        <f>LAVORAZIONI!K171</f>
        <v/>
      </c>
      <c r="D51" s="84">
        <f>LAVORAZIONI!M171</f>
        <v/>
      </c>
      <c r="E51" s="86">
        <f>LAVORAZIONI!N171</f>
        <v/>
      </c>
      <c r="F51" s="86">
        <f>LAVORAZIONI!O171</f>
        <v/>
      </c>
      <c r="G51" s="87">
        <f>LAVORAZIONI!P171</f>
        <v/>
      </c>
      <c r="H51" s="88">
        <f>LAVORAZIONI!W171</f>
        <v/>
      </c>
      <c r="I51" s="87">
        <f>LAVORAZIONI!X171</f>
        <v/>
      </c>
    </row>
    <row r="52">
      <c r="A52" s="61" t="n"/>
      <c r="B52" s="62" t="n"/>
      <c r="C52" s="62" t="n"/>
      <c r="D52" s="62" t="n"/>
      <c r="E52" s="62" t="n"/>
      <c r="F52" s="62" t="n"/>
      <c r="G52" s="62" t="n"/>
      <c r="H52" s="62" t="n"/>
      <c r="I52" s="63">
        <f>SUM(I5:I51)</f>
        <v/>
      </c>
    </row>
  </sheetData>
  <mergeCells count="4">
    <mergeCell ref="A1:I1"/>
    <mergeCell ref="A3:I3"/>
    <mergeCell ref="A2:I2"/>
    <mergeCell ref="A52:H52"/>
  </mergeCells>
  <pageMargins left="0.5" right="0.5" top="1" bottom="0.8" header="0.4" footer="0.4"/>
  <pageSetup orientation="landscape" paperSize="9" fitToHeight="0" fitToWidth="1"/>
  <headerFooter>
    <oddHeader>&amp;L&amp;"Calibri,Italic"&amp;9Nuovo stabilimento radiofarmaceutico LENA - Pavia (PV)&amp;C&amp;"Calibri,Bold"&amp;13Maggio - Edili Speciali&amp;R&amp;"Calibri"&amp;9&amp;D</oddHeader>
    <oddFooter>&amp;C&amp;"Calibri"&amp;9Pagina &amp;P di &amp;N</oddFooter>
    <evenHeader>&amp;L&amp;"Calibri,Italic"&amp;9Nuovo stabilimento radiofarmaceutico LENA - Pavia (PV)&amp;C&amp;"Calibri,Bold"&amp;13Maggio - Edili Speciali</evenHeader>
    <evenFooter>&amp;C&amp;"Calibri"&amp;9Pagina &amp;P di &amp;N</evenFooter>
    <firstHeader/>
    <firstFooter/>
  </headerFooter>
</worksheet>
</file>

<file path=xl/worksheets/sheet18.xml><?xml version="1.0" encoding="utf-8"?>
<worksheet xmlns="http://schemas.openxmlformats.org/spreadsheetml/2006/main">
  <sheetPr>
    <outlinePr summaryBelow="1" summaryRight="1"/>
    <pageSetUpPr fitToPage="1"/>
  </sheetPr>
  <dimension ref="A1:I90"/>
  <sheetViews>
    <sheetView workbookViewId="0">
      <pane ySplit="4" topLeftCell="A5" activePane="bottomLeft" state="frozen"/>
      <selection pane="bottomLeft" activeCell="A1" sqref="A1"/>
    </sheetView>
  </sheetViews>
  <sheetFormatPr baseColWidth="8" defaultRowHeight="15"/>
  <cols>
    <col width="9" customWidth="1" style="46" min="1" max="1"/>
    <col width="26" customWidth="1" style="46" min="2" max="2"/>
    <col width="58" customWidth="1" style="46" min="3" max="3"/>
    <col width="8" customWidth="1" style="46" min="4" max="4"/>
    <col width="11" customWidth="1" style="46" min="5" max="5"/>
    <col width="12" customWidth="1" style="46" min="6" max="6"/>
    <col width="14" customWidth="1" style="46" min="7" max="7"/>
    <col width="9" customWidth="1" style="46" min="8" max="8"/>
    <col width="14" customWidth="1" style="46" min="9" max="9"/>
  </cols>
  <sheetData>
    <row r="1" ht="22" customHeight="1" s="46">
      <c r="A1" s="78" t="inlineStr">
        <is>
          <t>SAL MAGGIO 2026 — OPERE MECCANICHE</t>
        </is>
      </c>
    </row>
    <row r="2" ht="28"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N. VOCE</t>
        </is>
      </c>
      <c r="B4" s="55" t="inlineStr">
        <is>
          <t>CODICE LAVORAZIONE</t>
        </is>
      </c>
      <c r="C4" s="55" t="inlineStr">
        <is>
          <t>DESCRIZIONE</t>
        </is>
      </c>
      <c r="D4" s="55" t="inlineStr">
        <is>
          <t>U.M.</t>
        </is>
      </c>
      <c r="E4" s="55" t="inlineStr">
        <is>
          <t>QUANTITÀ</t>
        </is>
      </c>
      <c r="F4" s="55" t="inlineStr">
        <is>
          <t>VAL. UNITARIO</t>
        </is>
      </c>
      <c r="G4" s="55" t="inlineStr">
        <is>
          <t>TOTALE PREVENTIVO</t>
        </is>
      </c>
      <c r="H4" s="55" t="inlineStr">
        <is>
          <t>% SAL Maggio</t>
        </is>
      </c>
      <c r="I4" s="55" t="inlineStr">
        <is>
          <t>IMPORTO SAL Maggio</t>
        </is>
      </c>
    </row>
    <row r="5">
      <c r="A5" s="79">
        <f>LAVORAZIONI!G172</f>
        <v/>
      </c>
      <c r="B5" s="80">
        <f>LAVORAZIONI!A172</f>
        <v/>
      </c>
      <c r="C5" s="80">
        <f>LAVORAZIONI!K172</f>
        <v/>
      </c>
      <c r="D5" s="79">
        <f>LAVORAZIONI!M172</f>
        <v/>
      </c>
      <c r="E5" s="81">
        <f>LAVORAZIONI!N172</f>
        <v/>
      </c>
      <c r="F5" s="81">
        <f>LAVORAZIONI!O172</f>
        <v/>
      </c>
      <c r="G5" s="82">
        <f>LAVORAZIONI!P172</f>
        <v/>
      </c>
      <c r="H5" s="83">
        <f>LAVORAZIONI!W172</f>
        <v/>
      </c>
      <c r="I5" s="82">
        <f>LAVORAZIONI!X172</f>
        <v/>
      </c>
    </row>
    <row r="6">
      <c r="A6" s="84">
        <f>LAVORAZIONI!G173</f>
        <v/>
      </c>
      <c r="B6" s="85">
        <f>LAVORAZIONI!A173</f>
        <v/>
      </c>
      <c r="C6" s="85">
        <f>LAVORAZIONI!K173</f>
        <v/>
      </c>
      <c r="D6" s="84">
        <f>LAVORAZIONI!M173</f>
        <v/>
      </c>
      <c r="E6" s="86">
        <f>LAVORAZIONI!N173</f>
        <v/>
      </c>
      <c r="F6" s="86">
        <f>LAVORAZIONI!O173</f>
        <v/>
      </c>
      <c r="G6" s="87">
        <f>LAVORAZIONI!P173</f>
        <v/>
      </c>
      <c r="H6" s="88">
        <f>LAVORAZIONI!W173</f>
        <v/>
      </c>
      <c r="I6" s="87">
        <f>LAVORAZIONI!X173</f>
        <v/>
      </c>
    </row>
    <row r="7">
      <c r="A7" s="84">
        <f>LAVORAZIONI!G174</f>
        <v/>
      </c>
      <c r="B7" s="85">
        <f>LAVORAZIONI!A174</f>
        <v/>
      </c>
      <c r="C7" s="85">
        <f>LAVORAZIONI!K174</f>
        <v/>
      </c>
      <c r="D7" s="84">
        <f>LAVORAZIONI!M174</f>
        <v/>
      </c>
      <c r="E7" s="86">
        <f>LAVORAZIONI!N174</f>
        <v/>
      </c>
      <c r="F7" s="86">
        <f>LAVORAZIONI!O174</f>
        <v/>
      </c>
      <c r="G7" s="87">
        <f>LAVORAZIONI!P174</f>
        <v/>
      </c>
      <c r="H7" s="88">
        <f>LAVORAZIONI!W174</f>
        <v/>
      </c>
      <c r="I7" s="87">
        <f>LAVORAZIONI!X174</f>
        <v/>
      </c>
    </row>
    <row r="8">
      <c r="A8" s="84">
        <f>LAVORAZIONI!G175</f>
        <v/>
      </c>
      <c r="B8" s="85">
        <f>LAVORAZIONI!A175</f>
        <v/>
      </c>
      <c r="C8" s="85">
        <f>LAVORAZIONI!K175</f>
        <v/>
      </c>
      <c r="D8" s="84">
        <f>LAVORAZIONI!M175</f>
        <v/>
      </c>
      <c r="E8" s="86">
        <f>LAVORAZIONI!N175</f>
        <v/>
      </c>
      <c r="F8" s="86">
        <f>LAVORAZIONI!O175</f>
        <v/>
      </c>
      <c r="G8" s="87">
        <f>LAVORAZIONI!P175</f>
        <v/>
      </c>
      <c r="H8" s="88">
        <f>LAVORAZIONI!W175</f>
        <v/>
      </c>
      <c r="I8" s="87">
        <f>LAVORAZIONI!X175</f>
        <v/>
      </c>
    </row>
    <row r="9">
      <c r="A9" s="84">
        <f>LAVORAZIONI!G176</f>
        <v/>
      </c>
      <c r="B9" s="85">
        <f>LAVORAZIONI!A176</f>
        <v/>
      </c>
      <c r="C9" s="85">
        <f>LAVORAZIONI!K176</f>
        <v/>
      </c>
      <c r="D9" s="84">
        <f>LAVORAZIONI!M176</f>
        <v/>
      </c>
      <c r="E9" s="86">
        <f>LAVORAZIONI!N176</f>
        <v/>
      </c>
      <c r="F9" s="86">
        <f>LAVORAZIONI!O176</f>
        <v/>
      </c>
      <c r="G9" s="87">
        <f>LAVORAZIONI!P176</f>
        <v/>
      </c>
      <c r="H9" s="88">
        <f>LAVORAZIONI!W176</f>
        <v/>
      </c>
      <c r="I9" s="87">
        <f>LAVORAZIONI!X176</f>
        <v/>
      </c>
    </row>
    <row r="10">
      <c r="A10" s="84">
        <f>LAVORAZIONI!G177</f>
        <v/>
      </c>
      <c r="B10" s="85">
        <f>LAVORAZIONI!A177</f>
        <v/>
      </c>
      <c r="C10" s="85">
        <f>LAVORAZIONI!K177</f>
        <v/>
      </c>
      <c r="D10" s="84">
        <f>LAVORAZIONI!M177</f>
        <v/>
      </c>
      <c r="E10" s="86">
        <f>LAVORAZIONI!N177</f>
        <v/>
      </c>
      <c r="F10" s="86">
        <f>LAVORAZIONI!O177</f>
        <v/>
      </c>
      <c r="G10" s="87">
        <f>LAVORAZIONI!P177</f>
        <v/>
      </c>
      <c r="H10" s="88">
        <f>LAVORAZIONI!W177</f>
        <v/>
      </c>
      <c r="I10" s="87">
        <f>LAVORAZIONI!X177</f>
        <v/>
      </c>
    </row>
    <row r="11">
      <c r="A11" s="79">
        <f>LAVORAZIONI!G178</f>
        <v/>
      </c>
      <c r="B11" s="80">
        <f>LAVORAZIONI!A178</f>
        <v/>
      </c>
      <c r="C11" s="80">
        <f>LAVORAZIONI!K178</f>
        <v/>
      </c>
      <c r="D11" s="79">
        <f>LAVORAZIONI!M178</f>
        <v/>
      </c>
      <c r="E11" s="81">
        <f>LAVORAZIONI!N178</f>
        <v/>
      </c>
      <c r="F11" s="81">
        <f>LAVORAZIONI!O178</f>
        <v/>
      </c>
      <c r="G11" s="82">
        <f>LAVORAZIONI!P178</f>
        <v/>
      </c>
      <c r="H11" s="83">
        <f>LAVORAZIONI!W178</f>
        <v/>
      </c>
      <c r="I11" s="82">
        <f>LAVORAZIONI!X178</f>
        <v/>
      </c>
    </row>
    <row r="12">
      <c r="A12" s="79">
        <f>LAVORAZIONI!G179</f>
        <v/>
      </c>
      <c r="B12" s="80">
        <f>LAVORAZIONI!A179</f>
        <v/>
      </c>
      <c r="C12" s="80">
        <f>LAVORAZIONI!K179</f>
        <v/>
      </c>
      <c r="D12" s="79">
        <f>LAVORAZIONI!M179</f>
        <v/>
      </c>
      <c r="E12" s="81">
        <f>LAVORAZIONI!N179</f>
        <v/>
      </c>
      <c r="F12" s="81">
        <f>LAVORAZIONI!O179</f>
        <v/>
      </c>
      <c r="G12" s="82">
        <f>LAVORAZIONI!P179</f>
        <v/>
      </c>
      <c r="H12" s="83">
        <f>LAVORAZIONI!W179</f>
        <v/>
      </c>
      <c r="I12" s="82">
        <f>LAVORAZIONI!X179</f>
        <v/>
      </c>
    </row>
    <row r="13">
      <c r="A13" s="84">
        <f>LAVORAZIONI!G180</f>
        <v/>
      </c>
      <c r="B13" s="85">
        <f>LAVORAZIONI!A180</f>
        <v/>
      </c>
      <c r="C13" s="85">
        <f>LAVORAZIONI!K180</f>
        <v/>
      </c>
      <c r="D13" s="84">
        <f>LAVORAZIONI!M180</f>
        <v/>
      </c>
      <c r="E13" s="86">
        <f>LAVORAZIONI!N180</f>
        <v/>
      </c>
      <c r="F13" s="86">
        <f>LAVORAZIONI!O180</f>
        <v/>
      </c>
      <c r="G13" s="87">
        <f>LAVORAZIONI!P180</f>
        <v/>
      </c>
      <c r="H13" s="88">
        <f>LAVORAZIONI!W180</f>
        <v/>
      </c>
      <c r="I13" s="87">
        <f>LAVORAZIONI!X180</f>
        <v/>
      </c>
    </row>
    <row r="14">
      <c r="A14" s="84">
        <f>LAVORAZIONI!G181</f>
        <v/>
      </c>
      <c r="B14" s="85">
        <f>LAVORAZIONI!A181</f>
        <v/>
      </c>
      <c r="C14" s="85">
        <f>LAVORAZIONI!K181</f>
        <v/>
      </c>
      <c r="D14" s="84">
        <f>LAVORAZIONI!M181</f>
        <v/>
      </c>
      <c r="E14" s="86">
        <f>LAVORAZIONI!N181</f>
        <v/>
      </c>
      <c r="F14" s="86">
        <f>LAVORAZIONI!O181</f>
        <v/>
      </c>
      <c r="G14" s="87">
        <f>LAVORAZIONI!P181</f>
        <v/>
      </c>
      <c r="H14" s="88">
        <f>LAVORAZIONI!W181</f>
        <v/>
      </c>
      <c r="I14" s="87">
        <f>LAVORAZIONI!X181</f>
        <v/>
      </c>
    </row>
    <row r="15">
      <c r="A15" s="79">
        <f>LAVORAZIONI!G182</f>
        <v/>
      </c>
      <c r="B15" s="80">
        <f>LAVORAZIONI!A182</f>
        <v/>
      </c>
      <c r="C15" s="80">
        <f>LAVORAZIONI!K182</f>
        <v/>
      </c>
      <c r="D15" s="79">
        <f>LAVORAZIONI!M182</f>
        <v/>
      </c>
      <c r="E15" s="81">
        <f>LAVORAZIONI!N182</f>
        <v/>
      </c>
      <c r="F15" s="81">
        <f>LAVORAZIONI!O182</f>
        <v/>
      </c>
      <c r="G15" s="82">
        <f>LAVORAZIONI!P182</f>
        <v/>
      </c>
      <c r="H15" s="83">
        <f>LAVORAZIONI!W182</f>
        <v/>
      </c>
      <c r="I15" s="82">
        <f>LAVORAZIONI!X182</f>
        <v/>
      </c>
    </row>
    <row r="16">
      <c r="A16" s="84">
        <f>LAVORAZIONI!G183</f>
        <v/>
      </c>
      <c r="B16" s="85">
        <f>LAVORAZIONI!A183</f>
        <v/>
      </c>
      <c r="C16" s="85">
        <f>LAVORAZIONI!K183</f>
        <v/>
      </c>
      <c r="D16" s="84">
        <f>LAVORAZIONI!M183</f>
        <v/>
      </c>
      <c r="E16" s="86">
        <f>LAVORAZIONI!N183</f>
        <v/>
      </c>
      <c r="F16" s="86">
        <f>LAVORAZIONI!O183</f>
        <v/>
      </c>
      <c r="G16" s="87">
        <f>LAVORAZIONI!P183</f>
        <v/>
      </c>
      <c r="H16" s="88">
        <f>LAVORAZIONI!W183</f>
        <v/>
      </c>
      <c r="I16" s="87">
        <f>LAVORAZIONI!X183</f>
        <v/>
      </c>
    </row>
    <row r="17">
      <c r="A17" s="84">
        <f>LAVORAZIONI!G184</f>
        <v/>
      </c>
      <c r="B17" s="85">
        <f>LAVORAZIONI!A184</f>
        <v/>
      </c>
      <c r="C17" s="85">
        <f>LAVORAZIONI!K184</f>
        <v/>
      </c>
      <c r="D17" s="84">
        <f>LAVORAZIONI!M184</f>
        <v/>
      </c>
      <c r="E17" s="86">
        <f>LAVORAZIONI!N184</f>
        <v/>
      </c>
      <c r="F17" s="86">
        <f>LAVORAZIONI!O184</f>
        <v/>
      </c>
      <c r="G17" s="87">
        <f>LAVORAZIONI!P184</f>
        <v/>
      </c>
      <c r="H17" s="88">
        <f>LAVORAZIONI!W184</f>
        <v/>
      </c>
      <c r="I17" s="87">
        <f>LAVORAZIONI!X184</f>
        <v/>
      </c>
    </row>
    <row r="18">
      <c r="A18" s="84">
        <f>LAVORAZIONI!G185</f>
        <v/>
      </c>
      <c r="B18" s="85">
        <f>LAVORAZIONI!A185</f>
        <v/>
      </c>
      <c r="C18" s="85">
        <f>LAVORAZIONI!K185</f>
        <v/>
      </c>
      <c r="D18" s="84">
        <f>LAVORAZIONI!M185</f>
        <v/>
      </c>
      <c r="E18" s="86">
        <f>LAVORAZIONI!N185</f>
        <v/>
      </c>
      <c r="F18" s="86">
        <f>LAVORAZIONI!O185</f>
        <v/>
      </c>
      <c r="G18" s="87">
        <f>LAVORAZIONI!P185</f>
        <v/>
      </c>
      <c r="H18" s="88">
        <f>LAVORAZIONI!W185</f>
        <v/>
      </c>
      <c r="I18" s="87">
        <f>LAVORAZIONI!X185</f>
        <v/>
      </c>
    </row>
    <row r="19">
      <c r="A19" s="84">
        <f>LAVORAZIONI!G186</f>
        <v/>
      </c>
      <c r="B19" s="85">
        <f>LAVORAZIONI!A186</f>
        <v/>
      </c>
      <c r="C19" s="85">
        <f>LAVORAZIONI!K186</f>
        <v/>
      </c>
      <c r="D19" s="84">
        <f>LAVORAZIONI!M186</f>
        <v/>
      </c>
      <c r="E19" s="86">
        <f>LAVORAZIONI!N186</f>
        <v/>
      </c>
      <c r="F19" s="86">
        <f>LAVORAZIONI!O186</f>
        <v/>
      </c>
      <c r="G19" s="87">
        <f>LAVORAZIONI!P186</f>
        <v/>
      </c>
      <c r="H19" s="88">
        <f>LAVORAZIONI!W186</f>
        <v/>
      </c>
      <c r="I19" s="87">
        <f>LAVORAZIONI!X186</f>
        <v/>
      </c>
    </row>
    <row r="20">
      <c r="A20" s="84">
        <f>LAVORAZIONI!G187</f>
        <v/>
      </c>
      <c r="B20" s="85">
        <f>LAVORAZIONI!A187</f>
        <v/>
      </c>
      <c r="C20" s="85">
        <f>LAVORAZIONI!K187</f>
        <v/>
      </c>
      <c r="D20" s="84">
        <f>LAVORAZIONI!M187</f>
        <v/>
      </c>
      <c r="E20" s="86">
        <f>LAVORAZIONI!N187</f>
        <v/>
      </c>
      <c r="F20" s="86">
        <f>LAVORAZIONI!O187</f>
        <v/>
      </c>
      <c r="G20" s="87">
        <f>LAVORAZIONI!P187</f>
        <v/>
      </c>
      <c r="H20" s="88">
        <f>LAVORAZIONI!W187</f>
        <v/>
      </c>
      <c r="I20" s="87">
        <f>LAVORAZIONI!X187</f>
        <v/>
      </c>
    </row>
    <row r="21">
      <c r="A21" s="84">
        <f>LAVORAZIONI!G188</f>
        <v/>
      </c>
      <c r="B21" s="85">
        <f>LAVORAZIONI!A188</f>
        <v/>
      </c>
      <c r="C21" s="85">
        <f>LAVORAZIONI!K188</f>
        <v/>
      </c>
      <c r="D21" s="84">
        <f>LAVORAZIONI!M188</f>
        <v/>
      </c>
      <c r="E21" s="86">
        <f>LAVORAZIONI!N188</f>
        <v/>
      </c>
      <c r="F21" s="86">
        <f>LAVORAZIONI!O188</f>
        <v/>
      </c>
      <c r="G21" s="87">
        <f>LAVORAZIONI!P188</f>
        <v/>
      </c>
      <c r="H21" s="88">
        <f>LAVORAZIONI!W188</f>
        <v/>
      </c>
      <c r="I21" s="87">
        <f>LAVORAZIONI!X188</f>
        <v/>
      </c>
    </row>
    <row r="22">
      <c r="A22" s="84">
        <f>LAVORAZIONI!G189</f>
        <v/>
      </c>
      <c r="B22" s="85">
        <f>LAVORAZIONI!A189</f>
        <v/>
      </c>
      <c r="C22" s="85">
        <f>LAVORAZIONI!K189</f>
        <v/>
      </c>
      <c r="D22" s="84">
        <f>LAVORAZIONI!M189</f>
        <v/>
      </c>
      <c r="E22" s="86">
        <f>LAVORAZIONI!N189</f>
        <v/>
      </c>
      <c r="F22" s="86">
        <f>LAVORAZIONI!O189</f>
        <v/>
      </c>
      <c r="G22" s="87">
        <f>LAVORAZIONI!P189</f>
        <v/>
      </c>
      <c r="H22" s="88">
        <f>LAVORAZIONI!W189</f>
        <v/>
      </c>
      <c r="I22" s="87">
        <f>LAVORAZIONI!X189</f>
        <v/>
      </c>
    </row>
    <row r="23">
      <c r="A23" s="84">
        <f>LAVORAZIONI!G190</f>
        <v/>
      </c>
      <c r="B23" s="85">
        <f>LAVORAZIONI!A190</f>
        <v/>
      </c>
      <c r="C23" s="85">
        <f>LAVORAZIONI!K190</f>
        <v/>
      </c>
      <c r="D23" s="84">
        <f>LAVORAZIONI!M190</f>
        <v/>
      </c>
      <c r="E23" s="86">
        <f>LAVORAZIONI!N190</f>
        <v/>
      </c>
      <c r="F23" s="86">
        <f>LAVORAZIONI!O190</f>
        <v/>
      </c>
      <c r="G23" s="87">
        <f>LAVORAZIONI!P190</f>
        <v/>
      </c>
      <c r="H23" s="88">
        <f>LAVORAZIONI!W190</f>
        <v/>
      </c>
      <c r="I23" s="87">
        <f>LAVORAZIONI!X190</f>
        <v/>
      </c>
    </row>
    <row r="24">
      <c r="A24" s="84">
        <f>LAVORAZIONI!G191</f>
        <v/>
      </c>
      <c r="B24" s="85">
        <f>LAVORAZIONI!A191</f>
        <v/>
      </c>
      <c r="C24" s="85">
        <f>LAVORAZIONI!K191</f>
        <v/>
      </c>
      <c r="D24" s="84">
        <f>LAVORAZIONI!M191</f>
        <v/>
      </c>
      <c r="E24" s="86">
        <f>LAVORAZIONI!N191</f>
        <v/>
      </c>
      <c r="F24" s="86">
        <f>LAVORAZIONI!O191</f>
        <v/>
      </c>
      <c r="G24" s="87">
        <f>LAVORAZIONI!P191</f>
        <v/>
      </c>
      <c r="H24" s="88">
        <f>LAVORAZIONI!W191</f>
        <v/>
      </c>
      <c r="I24" s="87">
        <f>LAVORAZIONI!X191</f>
        <v/>
      </c>
    </row>
    <row r="25">
      <c r="A25" s="84">
        <f>LAVORAZIONI!G192</f>
        <v/>
      </c>
      <c r="B25" s="85">
        <f>LAVORAZIONI!A192</f>
        <v/>
      </c>
      <c r="C25" s="85">
        <f>LAVORAZIONI!K192</f>
        <v/>
      </c>
      <c r="D25" s="84">
        <f>LAVORAZIONI!M192</f>
        <v/>
      </c>
      <c r="E25" s="86">
        <f>LAVORAZIONI!N192</f>
        <v/>
      </c>
      <c r="F25" s="86">
        <f>LAVORAZIONI!O192</f>
        <v/>
      </c>
      <c r="G25" s="87">
        <f>LAVORAZIONI!P192</f>
        <v/>
      </c>
      <c r="H25" s="88">
        <f>LAVORAZIONI!W192</f>
        <v/>
      </c>
      <c r="I25" s="87">
        <f>LAVORAZIONI!X192</f>
        <v/>
      </c>
    </row>
    <row r="26">
      <c r="A26" s="84">
        <f>LAVORAZIONI!G193</f>
        <v/>
      </c>
      <c r="B26" s="85">
        <f>LAVORAZIONI!A193</f>
        <v/>
      </c>
      <c r="C26" s="85">
        <f>LAVORAZIONI!K193</f>
        <v/>
      </c>
      <c r="D26" s="84">
        <f>LAVORAZIONI!M193</f>
        <v/>
      </c>
      <c r="E26" s="86">
        <f>LAVORAZIONI!N193</f>
        <v/>
      </c>
      <c r="F26" s="86">
        <f>LAVORAZIONI!O193</f>
        <v/>
      </c>
      <c r="G26" s="87">
        <f>LAVORAZIONI!P193</f>
        <v/>
      </c>
      <c r="H26" s="88">
        <f>LAVORAZIONI!W193</f>
        <v/>
      </c>
      <c r="I26" s="87">
        <f>LAVORAZIONI!X193</f>
        <v/>
      </c>
    </row>
    <row r="27">
      <c r="A27" s="79">
        <f>LAVORAZIONI!G194</f>
        <v/>
      </c>
      <c r="B27" s="80">
        <f>LAVORAZIONI!A194</f>
        <v/>
      </c>
      <c r="C27" s="80">
        <f>LAVORAZIONI!K194</f>
        <v/>
      </c>
      <c r="D27" s="79">
        <f>LAVORAZIONI!M194</f>
        <v/>
      </c>
      <c r="E27" s="81">
        <f>LAVORAZIONI!N194</f>
        <v/>
      </c>
      <c r="F27" s="81">
        <f>LAVORAZIONI!O194</f>
        <v/>
      </c>
      <c r="G27" s="82">
        <f>LAVORAZIONI!P194</f>
        <v/>
      </c>
      <c r="H27" s="83">
        <f>LAVORAZIONI!W194</f>
        <v/>
      </c>
      <c r="I27" s="82">
        <f>LAVORAZIONI!X194</f>
        <v/>
      </c>
    </row>
    <row r="28">
      <c r="A28" s="84">
        <f>LAVORAZIONI!G195</f>
        <v/>
      </c>
      <c r="B28" s="85">
        <f>LAVORAZIONI!A195</f>
        <v/>
      </c>
      <c r="C28" s="85">
        <f>LAVORAZIONI!K195</f>
        <v/>
      </c>
      <c r="D28" s="84">
        <f>LAVORAZIONI!M195</f>
        <v/>
      </c>
      <c r="E28" s="86">
        <f>LAVORAZIONI!N195</f>
        <v/>
      </c>
      <c r="F28" s="86">
        <f>LAVORAZIONI!O195</f>
        <v/>
      </c>
      <c r="G28" s="87">
        <f>LAVORAZIONI!P195</f>
        <v/>
      </c>
      <c r="H28" s="88">
        <f>LAVORAZIONI!W195</f>
        <v/>
      </c>
      <c r="I28" s="87">
        <f>LAVORAZIONI!X195</f>
        <v/>
      </c>
    </row>
    <row r="29">
      <c r="A29" s="84">
        <f>LAVORAZIONI!G196</f>
        <v/>
      </c>
      <c r="B29" s="85">
        <f>LAVORAZIONI!A196</f>
        <v/>
      </c>
      <c r="C29" s="85">
        <f>LAVORAZIONI!K196</f>
        <v/>
      </c>
      <c r="D29" s="84">
        <f>LAVORAZIONI!M196</f>
        <v/>
      </c>
      <c r="E29" s="86">
        <f>LAVORAZIONI!N196</f>
        <v/>
      </c>
      <c r="F29" s="86">
        <f>LAVORAZIONI!O196</f>
        <v/>
      </c>
      <c r="G29" s="87">
        <f>LAVORAZIONI!P196</f>
        <v/>
      </c>
      <c r="H29" s="88">
        <f>LAVORAZIONI!W196</f>
        <v/>
      </c>
      <c r="I29" s="87">
        <f>LAVORAZIONI!X196</f>
        <v/>
      </c>
    </row>
    <row r="30">
      <c r="A30" s="84">
        <f>LAVORAZIONI!G197</f>
        <v/>
      </c>
      <c r="B30" s="85">
        <f>LAVORAZIONI!A197</f>
        <v/>
      </c>
      <c r="C30" s="85">
        <f>LAVORAZIONI!K197</f>
        <v/>
      </c>
      <c r="D30" s="84">
        <f>LAVORAZIONI!M197</f>
        <v/>
      </c>
      <c r="E30" s="86">
        <f>LAVORAZIONI!N197</f>
        <v/>
      </c>
      <c r="F30" s="86">
        <f>LAVORAZIONI!O197</f>
        <v/>
      </c>
      <c r="G30" s="87">
        <f>LAVORAZIONI!P197</f>
        <v/>
      </c>
      <c r="H30" s="88">
        <f>LAVORAZIONI!W197</f>
        <v/>
      </c>
      <c r="I30" s="87">
        <f>LAVORAZIONI!X197</f>
        <v/>
      </c>
    </row>
    <row r="31">
      <c r="A31" s="84">
        <f>LAVORAZIONI!G198</f>
        <v/>
      </c>
      <c r="B31" s="85">
        <f>LAVORAZIONI!A198</f>
        <v/>
      </c>
      <c r="C31" s="85">
        <f>LAVORAZIONI!K198</f>
        <v/>
      </c>
      <c r="D31" s="84">
        <f>LAVORAZIONI!M198</f>
        <v/>
      </c>
      <c r="E31" s="86">
        <f>LAVORAZIONI!N198</f>
        <v/>
      </c>
      <c r="F31" s="86">
        <f>LAVORAZIONI!O198</f>
        <v/>
      </c>
      <c r="G31" s="87">
        <f>LAVORAZIONI!P198</f>
        <v/>
      </c>
      <c r="H31" s="88">
        <f>LAVORAZIONI!W198</f>
        <v/>
      </c>
      <c r="I31" s="87">
        <f>LAVORAZIONI!X198</f>
        <v/>
      </c>
    </row>
    <row r="32">
      <c r="A32" s="84">
        <f>LAVORAZIONI!G199</f>
        <v/>
      </c>
      <c r="B32" s="85">
        <f>LAVORAZIONI!A199</f>
        <v/>
      </c>
      <c r="C32" s="85">
        <f>LAVORAZIONI!K199</f>
        <v/>
      </c>
      <c r="D32" s="84">
        <f>LAVORAZIONI!M199</f>
        <v/>
      </c>
      <c r="E32" s="86">
        <f>LAVORAZIONI!N199</f>
        <v/>
      </c>
      <c r="F32" s="86">
        <f>LAVORAZIONI!O199</f>
        <v/>
      </c>
      <c r="G32" s="87">
        <f>LAVORAZIONI!P199</f>
        <v/>
      </c>
      <c r="H32" s="88">
        <f>LAVORAZIONI!W199</f>
        <v/>
      </c>
      <c r="I32" s="87">
        <f>LAVORAZIONI!X199</f>
        <v/>
      </c>
    </row>
    <row r="33">
      <c r="A33" s="84">
        <f>LAVORAZIONI!G200</f>
        <v/>
      </c>
      <c r="B33" s="85">
        <f>LAVORAZIONI!A200</f>
        <v/>
      </c>
      <c r="C33" s="85">
        <f>LAVORAZIONI!K200</f>
        <v/>
      </c>
      <c r="D33" s="84">
        <f>LAVORAZIONI!M200</f>
        <v/>
      </c>
      <c r="E33" s="86">
        <f>LAVORAZIONI!N200</f>
        <v/>
      </c>
      <c r="F33" s="86">
        <f>LAVORAZIONI!O200</f>
        <v/>
      </c>
      <c r="G33" s="87">
        <f>LAVORAZIONI!P200</f>
        <v/>
      </c>
      <c r="H33" s="88">
        <f>LAVORAZIONI!W200</f>
        <v/>
      </c>
      <c r="I33" s="87">
        <f>LAVORAZIONI!X200</f>
        <v/>
      </c>
    </row>
    <row r="34">
      <c r="A34" s="84">
        <f>LAVORAZIONI!G201</f>
        <v/>
      </c>
      <c r="B34" s="85">
        <f>LAVORAZIONI!A201</f>
        <v/>
      </c>
      <c r="C34" s="85">
        <f>LAVORAZIONI!K201</f>
        <v/>
      </c>
      <c r="D34" s="84">
        <f>LAVORAZIONI!M201</f>
        <v/>
      </c>
      <c r="E34" s="86">
        <f>LAVORAZIONI!N201</f>
        <v/>
      </c>
      <c r="F34" s="86">
        <f>LAVORAZIONI!O201</f>
        <v/>
      </c>
      <c r="G34" s="87">
        <f>LAVORAZIONI!P201</f>
        <v/>
      </c>
      <c r="H34" s="88">
        <f>LAVORAZIONI!W201</f>
        <v/>
      </c>
      <c r="I34" s="87">
        <f>LAVORAZIONI!X201</f>
        <v/>
      </c>
    </row>
    <row r="35">
      <c r="A35" s="84">
        <f>LAVORAZIONI!G202</f>
        <v/>
      </c>
      <c r="B35" s="85">
        <f>LAVORAZIONI!A202</f>
        <v/>
      </c>
      <c r="C35" s="85">
        <f>LAVORAZIONI!K202</f>
        <v/>
      </c>
      <c r="D35" s="84">
        <f>LAVORAZIONI!M202</f>
        <v/>
      </c>
      <c r="E35" s="86">
        <f>LAVORAZIONI!N202</f>
        <v/>
      </c>
      <c r="F35" s="86">
        <f>LAVORAZIONI!O202</f>
        <v/>
      </c>
      <c r="G35" s="87">
        <f>LAVORAZIONI!P202</f>
        <v/>
      </c>
      <c r="H35" s="88">
        <f>LAVORAZIONI!W202</f>
        <v/>
      </c>
      <c r="I35" s="87">
        <f>LAVORAZIONI!X202</f>
        <v/>
      </c>
    </row>
    <row r="36">
      <c r="A36" s="84">
        <f>LAVORAZIONI!G203</f>
        <v/>
      </c>
      <c r="B36" s="85">
        <f>LAVORAZIONI!A203</f>
        <v/>
      </c>
      <c r="C36" s="85">
        <f>LAVORAZIONI!K203</f>
        <v/>
      </c>
      <c r="D36" s="84">
        <f>LAVORAZIONI!M203</f>
        <v/>
      </c>
      <c r="E36" s="86">
        <f>LAVORAZIONI!N203</f>
        <v/>
      </c>
      <c r="F36" s="86">
        <f>LAVORAZIONI!O203</f>
        <v/>
      </c>
      <c r="G36" s="87">
        <f>LAVORAZIONI!P203</f>
        <v/>
      </c>
      <c r="H36" s="88">
        <f>LAVORAZIONI!W203</f>
        <v/>
      </c>
      <c r="I36" s="87">
        <f>LAVORAZIONI!X203</f>
        <v/>
      </c>
    </row>
    <row r="37">
      <c r="A37" s="79">
        <f>LAVORAZIONI!G204</f>
        <v/>
      </c>
      <c r="B37" s="80">
        <f>LAVORAZIONI!A204</f>
        <v/>
      </c>
      <c r="C37" s="80">
        <f>LAVORAZIONI!K204</f>
        <v/>
      </c>
      <c r="D37" s="79">
        <f>LAVORAZIONI!M204</f>
        <v/>
      </c>
      <c r="E37" s="81">
        <f>LAVORAZIONI!N204</f>
        <v/>
      </c>
      <c r="F37" s="81">
        <f>LAVORAZIONI!O204</f>
        <v/>
      </c>
      <c r="G37" s="82">
        <f>LAVORAZIONI!P204</f>
        <v/>
      </c>
      <c r="H37" s="83">
        <f>LAVORAZIONI!W204</f>
        <v/>
      </c>
      <c r="I37" s="82">
        <f>LAVORAZIONI!X204</f>
        <v/>
      </c>
    </row>
    <row r="38">
      <c r="A38" s="84">
        <f>LAVORAZIONI!G205</f>
        <v/>
      </c>
      <c r="B38" s="85">
        <f>LAVORAZIONI!A205</f>
        <v/>
      </c>
      <c r="C38" s="85">
        <f>LAVORAZIONI!K205</f>
        <v/>
      </c>
      <c r="D38" s="84">
        <f>LAVORAZIONI!M205</f>
        <v/>
      </c>
      <c r="E38" s="86">
        <f>LAVORAZIONI!N205</f>
        <v/>
      </c>
      <c r="F38" s="86">
        <f>LAVORAZIONI!O205</f>
        <v/>
      </c>
      <c r="G38" s="87">
        <f>LAVORAZIONI!P205</f>
        <v/>
      </c>
      <c r="H38" s="88">
        <f>LAVORAZIONI!W205</f>
        <v/>
      </c>
      <c r="I38" s="87">
        <f>LAVORAZIONI!X205</f>
        <v/>
      </c>
    </row>
    <row r="39">
      <c r="A39" s="84">
        <f>LAVORAZIONI!G206</f>
        <v/>
      </c>
      <c r="B39" s="85">
        <f>LAVORAZIONI!A206</f>
        <v/>
      </c>
      <c r="C39" s="85">
        <f>LAVORAZIONI!K206</f>
        <v/>
      </c>
      <c r="D39" s="84">
        <f>LAVORAZIONI!M206</f>
        <v/>
      </c>
      <c r="E39" s="86">
        <f>LAVORAZIONI!N206</f>
        <v/>
      </c>
      <c r="F39" s="86">
        <f>LAVORAZIONI!O206</f>
        <v/>
      </c>
      <c r="G39" s="87">
        <f>LAVORAZIONI!P206</f>
        <v/>
      </c>
      <c r="H39" s="88">
        <f>LAVORAZIONI!W206</f>
        <v/>
      </c>
      <c r="I39" s="87">
        <f>LAVORAZIONI!X206</f>
        <v/>
      </c>
    </row>
    <row r="40">
      <c r="A40" s="84">
        <f>LAVORAZIONI!G207</f>
        <v/>
      </c>
      <c r="B40" s="85">
        <f>LAVORAZIONI!A207</f>
        <v/>
      </c>
      <c r="C40" s="85">
        <f>LAVORAZIONI!K207</f>
        <v/>
      </c>
      <c r="D40" s="84">
        <f>LAVORAZIONI!M207</f>
        <v/>
      </c>
      <c r="E40" s="86">
        <f>LAVORAZIONI!N207</f>
        <v/>
      </c>
      <c r="F40" s="86">
        <f>LAVORAZIONI!O207</f>
        <v/>
      </c>
      <c r="G40" s="87">
        <f>LAVORAZIONI!P207</f>
        <v/>
      </c>
      <c r="H40" s="88">
        <f>LAVORAZIONI!W207</f>
        <v/>
      </c>
      <c r="I40" s="87">
        <f>LAVORAZIONI!X207</f>
        <v/>
      </c>
    </row>
    <row r="41">
      <c r="A41" s="84">
        <f>LAVORAZIONI!G208</f>
        <v/>
      </c>
      <c r="B41" s="85">
        <f>LAVORAZIONI!A208</f>
        <v/>
      </c>
      <c r="C41" s="85">
        <f>LAVORAZIONI!K208</f>
        <v/>
      </c>
      <c r="D41" s="84">
        <f>LAVORAZIONI!M208</f>
        <v/>
      </c>
      <c r="E41" s="86">
        <f>LAVORAZIONI!N208</f>
        <v/>
      </c>
      <c r="F41" s="86">
        <f>LAVORAZIONI!O208</f>
        <v/>
      </c>
      <c r="G41" s="87">
        <f>LAVORAZIONI!P208</f>
        <v/>
      </c>
      <c r="H41" s="88">
        <f>LAVORAZIONI!W208</f>
        <v/>
      </c>
      <c r="I41" s="87">
        <f>LAVORAZIONI!X208</f>
        <v/>
      </c>
    </row>
    <row r="42">
      <c r="A42" s="84">
        <f>LAVORAZIONI!G209</f>
        <v/>
      </c>
      <c r="B42" s="85">
        <f>LAVORAZIONI!A209</f>
        <v/>
      </c>
      <c r="C42" s="85">
        <f>LAVORAZIONI!K209</f>
        <v/>
      </c>
      <c r="D42" s="84">
        <f>LAVORAZIONI!M209</f>
        <v/>
      </c>
      <c r="E42" s="86">
        <f>LAVORAZIONI!N209</f>
        <v/>
      </c>
      <c r="F42" s="86">
        <f>LAVORAZIONI!O209</f>
        <v/>
      </c>
      <c r="G42" s="87">
        <f>LAVORAZIONI!P209</f>
        <v/>
      </c>
      <c r="H42" s="88">
        <f>LAVORAZIONI!W209</f>
        <v/>
      </c>
      <c r="I42" s="87">
        <f>LAVORAZIONI!X209</f>
        <v/>
      </c>
    </row>
    <row r="43">
      <c r="A43" s="84">
        <f>LAVORAZIONI!G210</f>
        <v/>
      </c>
      <c r="B43" s="85">
        <f>LAVORAZIONI!A210</f>
        <v/>
      </c>
      <c r="C43" s="85">
        <f>LAVORAZIONI!K210</f>
        <v/>
      </c>
      <c r="D43" s="84">
        <f>LAVORAZIONI!M210</f>
        <v/>
      </c>
      <c r="E43" s="86">
        <f>LAVORAZIONI!N210</f>
        <v/>
      </c>
      <c r="F43" s="86">
        <f>LAVORAZIONI!O210</f>
        <v/>
      </c>
      <c r="G43" s="87">
        <f>LAVORAZIONI!P210</f>
        <v/>
      </c>
      <c r="H43" s="88">
        <f>LAVORAZIONI!W210</f>
        <v/>
      </c>
      <c r="I43" s="87">
        <f>LAVORAZIONI!X210</f>
        <v/>
      </c>
    </row>
    <row r="44">
      <c r="A44" s="84">
        <f>LAVORAZIONI!G211</f>
        <v/>
      </c>
      <c r="B44" s="85">
        <f>LAVORAZIONI!A211</f>
        <v/>
      </c>
      <c r="C44" s="85">
        <f>LAVORAZIONI!K211</f>
        <v/>
      </c>
      <c r="D44" s="84">
        <f>LAVORAZIONI!M211</f>
        <v/>
      </c>
      <c r="E44" s="86">
        <f>LAVORAZIONI!N211</f>
        <v/>
      </c>
      <c r="F44" s="86">
        <f>LAVORAZIONI!O211</f>
        <v/>
      </c>
      <c r="G44" s="87">
        <f>LAVORAZIONI!P211</f>
        <v/>
      </c>
      <c r="H44" s="88">
        <f>LAVORAZIONI!W211</f>
        <v/>
      </c>
      <c r="I44" s="87">
        <f>LAVORAZIONI!X211</f>
        <v/>
      </c>
    </row>
    <row r="45">
      <c r="A45" s="84">
        <f>LAVORAZIONI!G212</f>
        <v/>
      </c>
      <c r="B45" s="85">
        <f>LAVORAZIONI!A212</f>
        <v/>
      </c>
      <c r="C45" s="85">
        <f>LAVORAZIONI!K212</f>
        <v/>
      </c>
      <c r="D45" s="84">
        <f>LAVORAZIONI!M212</f>
        <v/>
      </c>
      <c r="E45" s="86">
        <f>LAVORAZIONI!N212</f>
        <v/>
      </c>
      <c r="F45" s="86">
        <f>LAVORAZIONI!O212</f>
        <v/>
      </c>
      <c r="G45" s="87">
        <f>LAVORAZIONI!P212</f>
        <v/>
      </c>
      <c r="H45" s="88">
        <f>LAVORAZIONI!W212</f>
        <v/>
      </c>
      <c r="I45" s="87">
        <f>LAVORAZIONI!X212</f>
        <v/>
      </c>
    </row>
    <row r="46">
      <c r="A46" s="84">
        <f>LAVORAZIONI!G213</f>
        <v/>
      </c>
      <c r="B46" s="85">
        <f>LAVORAZIONI!A213</f>
        <v/>
      </c>
      <c r="C46" s="85">
        <f>LAVORAZIONI!K213</f>
        <v/>
      </c>
      <c r="D46" s="84">
        <f>LAVORAZIONI!M213</f>
        <v/>
      </c>
      <c r="E46" s="86">
        <f>LAVORAZIONI!N213</f>
        <v/>
      </c>
      <c r="F46" s="86">
        <f>LAVORAZIONI!O213</f>
        <v/>
      </c>
      <c r="G46" s="87">
        <f>LAVORAZIONI!P213</f>
        <v/>
      </c>
      <c r="H46" s="88">
        <f>LAVORAZIONI!W213</f>
        <v/>
      </c>
      <c r="I46" s="87">
        <f>LAVORAZIONI!X213</f>
        <v/>
      </c>
    </row>
    <row r="47">
      <c r="A47" s="84">
        <f>LAVORAZIONI!G214</f>
        <v/>
      </c>
      <c r="B47" s="85">
        <f>LAVORAZIONI!A214</f>
        <v/>
      </c>
      <c r="C47" s="85">
        <f>LAVORAZIONI!K214</f>
        <v/>
      </c>
      <c r="D47" s="84">
        <f>LAVORAZIONI!M214</f>
        <v/>
      </c>
      <c r="E47" s="86">
        <f>LAVORAZIONI!N214</f>
        <v/>
      </c>
      <c r="F47" s="86">
        <f>LAVORAZIONI!O214</f>
        <v/>
      </c>
      <c r="G47" s="87">
        <f>LAVORAZIONI!P214</f>
        <v/>
      </c>
      <c r="H47" s="88">
        <f>LAVORAZIONI!W214</f>
        <v/>
      </c>
      <c r="I47" s="87">
        <f>LAVORAZIONI!X214</f>
        <v/>
      </c>
    </row>
    <row r="48">
      <c r="A48" s="84">
        <f>LAVORAZIONI!G215</f>
        <v/>
      </c>
      <c r="B48" s="85">
        <f>LAVORAZIONI!A215</f>
        <v/>
      </c>
      <c r="C48" s="85">
        <f>LAVORAZIONI!K215</f>
        <v/>
      </c>
      <c r="D48" s="84">
        <f>LAVORAZIONI!M215</f>
        <v/>
      </c>
      <c r="E48" s="86">
        <f>LAVORAZIONI!N215</f>
        <v/>
      </c>
      <c r="F48" s="86">
        <f>LAVORAZIONI!O215</f>
        <v/>
      </c>
      <c r="G48" s="87">
        <f>LAVORAZIONI!P215</f>
        <v/>
      </c>
      <c r="H48" s="88">
        <f>LAVORAZIONI!W215</f>
        <v/>
      </c>
      <c r="I48" s="87">
        <f>LAVORAZIONI!X215</f>
        <v/>
      </c>
    </row>
    <row r="49">
      <c r="A49" s="84">
        <f>LAVORAZIONI!G216</f>
        <v/>
      </c>
      <c r="B49" s="85">
        <f>LAVORAZIONI!A216</f>
        <v/>
      </c>
      <c r="C49" s="85">
        <f>LAVORAZIONI!K216</f>
        <v/>
      </c>
      <c r="D49" s="84">
        <f>LAVORAZIONI!M216</f>
        <v/>
      </c>
      <c r="E49" s="86">
        <f>LAVORAZIONI!N216</f>
        <v/>
      </c>
      <c r="F49" s="86">
        <f>LAVORAZIONI!O216</f>
        <v/>
      </c>
      <c r="G49" s="87">
        <f>LAVORAZIONI!P216</f>
        <v/>
      </c>
      <c r="H49" s="88">
        <f>LAVORAZIONI!W216</f>
        <v/>
      </c>
      <c r="I49" s="87">
        <f>LAVORAZIONI!X216</f>
        <v/>
      </c>
    </row>
    <row r="50">
      <c r="A50" s="84">
        <f>LAVORAZIONI!G217</f>
        <v/>
      </c>
      <c r="B50" s="85">
        <f>LAVORAZIONI!A217</f>
        <v/>
      </c>
      <c r="C50" s="85">
        <f>LAVORAZIONI!K217</f>
        <v/>
      </c>
      <c r="D50" s="84">
        <f>LAVORAZIONI!M217</f>
        <v/>
      </c>
      <c r="E50" s="86">
        <f>LAVORAZIONI!N217</f>
        <v/>
      </c>
      <c r="F50" s="86">
        <f>LAVORAZIONI!O217</f>
        <v/>
      </c>
      <c r="G50" s="87">
        <f>LAVORAZIONI!P217</f>
        <v/>
      </c>
      <c r="H50" s="88">
        <f>LAVORAZIONI!W217</f>
        <v/>
      </c>
      <c r="I50" s="87">
        <f>LAVORAZIONI!X217</f>
        <v/>
      </c>
    </row>
    <row r="51">
      <c r="A51" s="84">
        <f>LAVORAZIONI!G218</f>
        <v/>
      </c>
      <c r="B51" s="85">
        <f>LAVORAZIONI!A218</f>
        <v/>
      </c>
      <c r="C51" s="85">
        <f>LAVORAZIONI!K218</f>
        <v/>
      </c>
      <c r="D51" s="84">
        <f>LAVORAZIONI!M218</f>
        <v/>
      </c>
      <c r="E51" s="86">
        <f>LAVORAZIONI!N218</f>
        <v/>
      </c>
      <c r="F51" s="86">
        <f>LAVORAZIONI!O218</f>
        <v/>
      </c>
      <c r="G51" s="87">
        <f>LAVORAZIONI!P218</f>
        <v/>
      </c>
      <c r="H51" s="88">
        <f>LAVORAZIONI!W218</f>
        <v/>
      </c>
      <c r="I51" s="87">
        <f>LAVORAZIONI!X218</f>
        <v/>
      </c>
    </row>
    <row r="52">
      <c r="A52" s="84">
        <f>LAVORAZIONI!G219</f>
        <v/>
      </c>
      <c r="B52" s="85">
        <f>LAVORAZIONI!A219</f>
        <v/>
      </c>
      <c r="C52" s="85">
        <f>LAVORAZIONI!K219</f>
        <v/>
      </c>
      <c r="D52" s="84">
        <f>LAVORAZIONI!M219</f>
        <v/>
      </c>
      <c r="E52" s="86">
        <f>LAVORAZIONI!N219</f>
        <v/>
      </c>
      <c r="F52" s="86">
        <f>LAVORAZIONI!O219</f>
        <v/>
      </c>
      <c r="G52" s="87">
        <f>LAVORAZIONI!P219</f>
        <v/>
      </c>
      <c r="H52" s="88">
        <f>LAVORAZIONI!W219</f>
        <v/>
      </c>
      <c r="I52" s="87">
        <f>LAVORAZIONI!X219</f>
        <v/>
      </c>
    </row>
    <row r="53">
      <c r="A53" s="84">
        <f>LAVORAZIONI!G220</f>
        <v/>
      </c>
      <c r="B53" s="85">
        <f>LAVORAZIONI!A220</f>
        <v/>
      </c>
      <c r="C53" s="85">
        <f>LAVORAZIONI!K220</f>
        <v/>
      </c>
      <c r="D53" s="84">
        <f>LAVORAZIONI!M220</f>
        <v/>
      </c>
      <c r="E53" s="86">
        <f>LAVORAZIONI!N220</f>
        <v/>
      </c>
      <c r="F53" s="86">
        <f>LAVORAZIONI!O220</f>
        <v/>
      </c>
      <c r="G53" s="87">
        <f>LAVORAZIONI!P220</f>
        <v/>
      </c>
      <c r="H53" s="88">
        <f>LAVORAZIONI!W220</f>
        <v/>
      </c>
      <c r="I53" s="87">
        <f>LAVORAZIONI!X220</f>
        <v/>
      </c>
    </row>
    <row r="54">
      <c r="A54" s="84">
        <f>LAVORAZIONI!G221</f>
        <v/>
      </c>
      <c r="B54" s="85">
        <f>LAVORAZIONI!A221</f>
        <v/>
      </c>
      <c r="C54" s="85">
        <f>LAVORAZIONI!K221</f>
        <v/>
      </c>
      <c r="D54" s="84">
        <f>LAVORAZIONI!M221</f>
        <v/>
      </c>
      <c r="E54" s="86">
        <f>LAVORAZIONI!N221</f>
        <v/>
      </c>
      <c r="F54" s="86">
        <f>LAVORAZIONI!O221</f>
        <v/>
      </c>
      <c r="G54" s="87">
        <f>LAVORAZIONI!P221</f>
        <v/>
      </c>
      <c r="H54" s="88">
        <f>LAVORAZIONI!W221</f>
        <v/>
      </c>
      <c r="I54" s="87">
        <f>LAVORAZIONI!X221</f>
        <v/>
      </c>
    </row>
    <row r="55">
      <c r="A55" s="84">
        <f>LAVORAZIONI!G222</f>
        <v/>
      </c>
      <c r="B55" s="85">
        <f>LAVORAZIONI!A222</f>
        <v/>
      </c>
      <c r="C55" s="85">
        <f>LAVORAZIONI!K222</f>
        <v/>
      </c>
      <c r="D55" s="84">
        <f>LAVORAZIONI!M222</f>
        <v/>
      </c>
      <c r="E55" s="86">
        <f>LAVORAZIONI!N222</f>
        <v/>
      </c>
      <c r="F55" s="86">
        <f>LAVORAZIONI!O222</f>
        <v/>
      </c>
      <c r="G55" s="87">
        <f>LAVORAZIONI!P222</f>
        <v/>
      </c>
      <c r="H55" s="88">
        <f>LAVORAZIONI!W222</f>
        <v/>
      </c>
      <c r="I55" s="87">
        <f>LAVORAZIONI!X222</f>
        <v/>
      </c>
    </row>
    <row r="56">
      <c r="A56" s="84">
        <f>LAVORAZIONI!G223</f>
        <v/>
      </c>
      <c r="B56" s="85">
        <f>LAVORAZIONI!A223</f>
        <v/>
      </c>
      <c r="C56" s="85">
        <f>LAVORAZIONI!K223</f>
        <v/>
      </c>
      <c r="D56" s="84">
        <f>LAVORAZIONI!M223</f>
        <v/>
      </c>
      <c r="E56" s="86">
        <f>LAVORAZIONI!N223</f>
        <v/>
      </c>
      <c r="F56" s="86">
        <f>LAVORAZIONI!O223</f>
        <v/>
      </c>
      <c r="G56" s="87">
        <f>LAVORAZIONI!P223</f>
        <v/>
      </c>
      <c r="H56" s="88">
        <f>LAVORAZIONI!W223</f>
        <v/>
      </c>
      <c r="I56" s="87">
        <f>LAVORAZIONI!X223</f>
        <v/>
      </c>
    </row>
    <row r="57">
      <c r="A57" s="84">
        <f>LAVORAZIONI!G224</f>
        <v/>
      </c>
      <c r="B57" s="85">
        <f>LAVORAZIONI!A224</f>
        <v/>
      </c>
      <c r="C57" s="85">
        <f>LAVORAZIONI!K224</f>
        <v/>
      </c>
      <c r="D57" s="84">
        <f>LAVORAZIONI!M224</f>
        <v/>
      </c>
      <c r="E57" s="86">
        <f>LAVORAZIONI!N224</f>
        <v/>
      </c>
      <c r="F57" s="86">
        <f>LAVORAZIONI!O224</f>
        <v/>
      </c>
      <c r="G57" s="87">
        <f>LAVORAZIONI!P224</f>
        <v/>
      </c>
      <c r="H57" s="88">
        <f>LAVORAZIONI!W224</f>
        <v/>
      </c>
      <c r="I57" s="87">
        <f>LAVORAZIONI!X224</f>
        <v/>
      </c>
    </row>
    <row r="58">
      <c r="A58" s="84">
        <f>LAVORAZIONI!G225</f>
        <v/>
      </c>
      <c r="B58" s="85">
        <f>LAVORAZIONI!A225</f>
        <v/>
      </c>
      <c r="C58" s="85">
        <f>LAVORAZIONI!K225</f>
        <v/>
      </c>
      <c r="D58" s="84">
        <f>LAVORAZIONI!M225</f>
        <v/>
      </c>
      <c r="E58" s="86">
        <f>LAVORAZIONI!N225</f>
        <v/>
      </c>
      <c r="F58" s="86">
        <f>LAVORAZIONI!O225</f>
        <v/>
      </c>
      <c r="G58" s="87">
        <f>LAVORAZIONI!P225</f>
        <v/>
      </c>
      <c r="H58" s="88">
        <f>LAVORAZIONI!W225</f>
        <v/>
      </c>
      <c r="I58" s="87">
        <f>LAVORAZIONI!X225</f>
        <v/>
      </c>
    </row>
    <row r="59">
      <c r="A59" s="84">
        <f>LAVORAZIONI!G226</f>
        <v/>
      </c>
      <c r="B59" s="85">
        <f>LAVORAZIONI!A226</f>
        <v/>
      </c>
      <c r="C59" s="85">
        <f>LAVORAZIONI!K226</f>
        <v/>
      </c>
      <c r="D59" s="84">
        <f>LAVORAZIONI!M226</f>
        <v/>
      </c>
      <c r="E59" s="86">
        <f>LAVORAZIONI!N226</f>
        <v/>
      </c>
      <c r="F59" s="86">
        <f>LAVORAZIONI!O226</f>
        <v/>
      </c>
      <c r="G59" s="87">
        <f>LAVORAZIONI!P226</f>
        <v/>
      </c>
      <c r="H59" s="88">
        <f>LAVORAZIONI!W226</f>
        <v/>
      </c>
      <c r="I59" s="87">
        <f>LAVORAZIONI!X226</f>
        <v/>
      </c>
    </row>
    <row r="60">
      <c r="A60" s="79">
        <f>LAVORAZIONI!G227</f>
        <v/>
      </c>
      <c r="B60" s="80">
        <f>LAVORAZIONI!A227</f>
        <v/>
      </c>
      <c r="C60" s="80">
        <f>LAVORAZIONI!K227</f>
        <v/>
      </c>
      <c r="D60" s="79">
        <f>LAVORAZIONI!M227</f>
        <v/>
      </c>
      <c r="E60" s="81">
        <f>LAVORAZIONI!N227</f>
        <v/>
      </c>
      <c r="F60" s="81">
        <f>LAVORAZIONI!O227</f>
        <v/>
      </c>
      <c r="G60" s="82">
        <f>LAVORAZIONI!P227</f>
        <v/>
      </c>
      <c r="H60" s="83">
        <f>LAVORAZIONI!W227</f>
        <v/>
      </c>
      <c r="I60" s="82">
        <f>LAVORAZIONI!X227</f>
        <v/>
      </c>
    </row>
    <row r="61">
      <c r="A61" s="79">
        <f>LAVORAZIONI!G228</f>
        <v/>
      </c>
      <c r="B61" s="80">
        <f>LAVORAZIONI!A228</f>
        <v/>
      </c>
      <c r="C61" s="80">
        <f>LAVORAZIONI!K228</f>
        <v/>
      </c>
      <c r="D61" s="79">
        <f>LAVORAZIONI!M228</f>
        <v/>
      </c>
      <c r="E61" s="81">
        <f>LAVORAZIONI!N228</f>
        <v/>
      </c>
      <c r="F61" s="81">
        <f>LAVORAZIONI!O228</f>
        <v/>
      </c>
      <c r="G61" s="82">
        <f>LAVORAZIONI!P228</f>
        <v/>
      </c>
      <c r="H61" s="83">
        <f>LAVORAZIONI!W228</f>
        <v/>
      </c>
      <c r="I61" s="82">
        <f>LAVORAZIONI!X228</f>
        <v/>
      </c>
    </row>
    <row r="62">
      <c r="A62" s="79">
        <f>LAVORAZIONI!G229</f>
        <v/>
      </c>
      <c r="B62" s="80">
        <f>LAVORAZIONI!A229</f>
        <v/>
      </c>
      <c r="C62" s="80">
        <f>LAVORAZIONI!K229</f>
        <v/>
      </c>
      <c r="D62" s="79">
        <f>LAVORAZIONI!M229</f>
        <v/>
      </c>
      <c r="E62" s="81">
        <f>LAVORAZIONI!N229</f>
        <v/>
      </c>
      <c r="F62" s="81">
        <f>LAVORAZIONI!O229</f>
        <v/>
      </c>
      <c r="G62" s="82">
        <f>LAVORAZIONI!P229</f>
        <v/>
      </c>
      <c r="H62" s="83">
        <f>LAVORAZIONI!W229</f>
        <v/>
      </c>
      <c r="I62" s="82">
        <f>LAVORAZIONI!X229</f>
        <v/>
      </c>
    </row>
    <row r="63">
      <c r="A63" s="84">
        <f>LAVORAZIONI!G230</f>
        <v/>
      </c>
      <c r="B63" s="85">
        <f>LAVORAZIONI!A230</f>
        <v/>
      </c>
      <c r="C63" s="85">
        <f>LAVORAZIONI!K230</f>
        <v/>
      </c>
      <c r="D63" s="84">
        <f>LAVORAZIONI!M230</f>
        <v/>
      </c>
      <c r="E63" s="86">
        <f>LAVORAZIONI!N230</f>
        <v/>
      </c>
      <c r="F63" s="86">
        <f>LAVORAZIONI!O230</f>
        <v/>
      </c>
      <c r="G63" s="87">
        <f>LAVORAZIONI!P230</f>
        <v/>
      </c>
      <c r="H63" s="88">
        <f>LAVORAZIONI!W230</f>
        <v/>
      </c>
      <c r="I63" s="87">
        <f>LAVORAZIONI!X230</f>
        <v/>
      </c>
    </row>
    <row r="64">
      <c r="A64" s="84">
        <f>LAVORAZIONI!G231</f>
        <v/>
      </c>
      <c r="B64" s="85">
        <f>LAVORAZIONI!A231</f>
        <v/>
      </c>
      <c r="C64" s="85">
        <f>LAVORAZIONI!K231</f>
        <v/>
      </c>
      <c r="D64" s="84">
        <f>LAVORAZIONI!M231</f>
        <v/>
      </c>
      <c r="E64" s="86">
        <f>LAVORAZIONI!N231</f>
        <v/>
      </c>
      <c r="F64" s="86">
        <f>LAVORAZIONI!O231</f>
        <v/>
      </c>
      <c r="G64" s="87">
        <f>LAVORAZIONI!P231</f>
        <v/>
      </c>
      <c r="H64" s="88">
        <f>LAVORAZIONI!W231</f>
        <v/>
      </c>
      <c r="I64" s="87">
        <f>LAVORAZIONI!X231</f>
        <v/>
      </c>
    </row>
    <row r="65">
      <c r="A65" s="84">
        <f>LAVORAZIONI!G232</f>
        <v/>
      </c>
      <c r="B65" s="85">
        <f>LAVORAZIONI!A232</f>
        <v/>
      </c>
      <c r="C65" s="85">
        <f>LAVORAZIONI!K232</f>
        <v/>
      </c>
      <c r="D65" s="84">
        <f>LAVORAZIONI!M232</f>
        <v/>
      </c>
      <c r="E65" s="86">
        <f>LAVORAZIONI!N232</f>
        <v/>
      </c>
      <c r="F65" s="86">
        <f>LAVORAZIONI!O232</f>
        <v/>
      </c>
      <c r="G65" s="87">
        <f>LAVORAZIONI!P232</f>
        <v/>
      </c>
      <c r="H65" s="88">
        <f>LAVORAZIONI!W232</f>
        <v/>
      </c>
      <c r="I65" s="87">
        <f>LAVORAZIONI!X232</f>
        <v/>
      </c>
    </row>
    <row r="66">
      <c r="A66" s="84">
        <f>LAVORAZIONI!G233</f>
        <v/>
      </c>
      <c r="B66" s="85">
        <f>LAVORAZIONI!A233</f>
        <v/>
      </c>
      <c r="C66" s="85">
        <f>LAVORAZIONI!K233</f>
        <v/>
      </c>
      <c r="D66" s="84">
        <f>LAVORAZIONI!M233</f>
        <v/>
      </c>
      <c r="E66" s="86">
        <f>LAVORAZIONI!N233</f>
        <v/>
      </c>
      <c r="F66" s="86">
        <f>LAVORAZIONI!O233</f>
        <v/>
      </c>
      <c r="G66" s="87">
        <f>LAVORAZIONI!P233</f>
        <v/>
      </c>
      <c r="H66" s="88">
        <f>LAVORAZIONI!W233</f>
        <v/>
      </c>
      <c r="I66" s="87">
        <f>LAVORAZIONI!X233</f>
        <v/>
      </c>
    </row>
    <row r="67">
      <c r="A67" s="84">
        <f>LAVORAZIONI!G234</f>
        <v/>
      </c>
      <c r="B67" s="85">
        <f>LAVORAZIONI!A234</f>
        <v/>
      </c>
      <c r="C67" s="85">
        <f>LAVORAZIONI!K234</f>
        <v/>
      </c>
      <c r="D67" s="84">
        <f>LAVORAZIONI!M234</f>
        <v/>
      </c>
      <c r="E67" s="86">
        <f>LAVORAZIONI!N234</f>
        <v/>
      </c>
      <c r="F67" s="86">
        <f>LAVORAZIONI!O234</f>
        <v/>
      </c>
      <c r="G67" s="87">
        <f>LAVORAZIONI!P234</f>
        <v/>
      </c>
      <c r="H67" s="88">
        <f>LAVORAZIONI!W234</f>
        <v/>
      </c>
      <c r="I67" s="87">
        <f>LAVORAZIONI!X234</f>
        <v/>
      </c>
    </row>
    <row r="68">
      <c r="A68" s="84">
        <f>LAVORAZIONI!G235</f>
        <v/>
      </c>
      <c r="B68" s="85">
        <f>LAVORAZIONI!A235</f>
        <v/>
      </c>
      <c r="C68" s="85">
        <f>LAVORAZIONI!K235</f>
        <v/>
      </c>
      <c r="D68" s="84">
        <f>LAVORAZIONI!M235</f>
        <v/>
      </c>
      <c r="E68" s="86">
        <f>LAVORAZIONI!N235</f>
        <v/>
      </c>
      <c r="F68" s="86">
        <f>LAVORAZIONI!O235</f>
        <v/>
      </c>
      <c r="G68" s="87">
        <f>LAVORAZIONI!P235</f>
        <v/>
      </c>
      <c r="H68" s="88">
        <f>LAVORAZIONI!W235</f>
        <v/>
      </c>
      <c r="I68" s="87">
        <f>LAVORAZIONI!X235</f>
        <v/>
      </c>
    </row>
    <row r="69">
      <c r="A69" s="79">
        <f>LAVORAZIONI!G236</f>
        <v/>
      </c>
      <c r="B69" s="80">
        <f>LAVORAZIONI!A236</f>
        <v/>
      </c>
      <c r="C69" s="80">
        <f>LAVORAZIONI!K236</f>
        <v/>
      </c>
      <c r="D69" s="79">
        <f>LAVORAZIONI!M236</f>
        <v/>
      </c>
      <c r="E69" s="81">
        <f>LAVORAZIONI!N236</f>
        <v/>
      </c>
      <c r="F69" s="81">
        <f>LAVORAZIONI!O236</f>
        <v/>
      </c>
      <c r="G69" s="82">
        <f>LAVORAZIONI!P236</f>
        <v/>
      </c>
      <c r="H69" s="83">
        <f>LAVORAZIONI!W236</f>
        <v/>
      </c>
      <c r="I69" s="82">
        <f>LAVORAZIONI!X236</f>
        <v/>
      </c>
    </row>
    <row r="70">
      <c r="A70" s="79">
        <f>LAVORAZIONI!G237</f>
        <v/>
      </c>
      <c r="B70" s="80">
        <f>LAVORAZIONI!A237</f>
        <v/>
      </c>
      <c r="C70" s="80">
        <f>LAVORAZIONI!K237</f>
        <v/>
      </c>
      <c r="D70" s="79">
        <f>LAVORAZIONI!M237</f>
        <v/>
      </c>
      <c r="E70" s="81">
        <f>LAVORAZIONI!N237</f>
        <v/>
      </c>
      <c r="F70" s="81">
        <f>LAVORAZIONI!O237</f>
        <v/>
      </c>
      <c r="G70" s="82">
        <f>LAVORAZIONI!P237</f>
        <v/>
      </c>
      <c r="H70" s="83">
        <f>LAVORAZIONI!W237</f>
        <v/>
      </c>
      <c r="I70" s="82">
        <f>LAVORAZIONI!X237</f>
        <v/>
      </c>
    </row>
    <row r="71">
      <c r="A71" s="79">
        <f>LAVORAZIONI!G238</f>
        <v/>
      </c>
      <c r="B71" s="80">
        <f>LAVORAZIONI!A238</f>
        <v/>
      </c>
      <c r="C71" s="80">
        <f>LAVORAZIONI!K238</f>
        <v/>
      </c>
      <c r="D71" s="79">
        <f>LAVORAZIONI!M238</f>
        <v/>
      </c>
      <c r="E71" s="81">
        <f>LAVORAZIONI!N238</f>
        <v/>
      </c>
      <c r="F71" s="81">
        <f>LAVORAZIONI!O238</f>
        <v/>
      </c>
      <c r="G71" s="82">
        <f>LAVORAZIONI!P238</f>
        <v/>
      </c>
      <c r="H71" s="83">
        <f>LAVORAZIONI!W238</f>
        <v/>
      </c>
      <c r="I71" s="82">
        <f>LAVORAZIONI!X238</f>
        <v/>
      </c>
    </row>
    <row r="72">
      <c r="A72" s="79">
        <f>LAVORAZIONI!G239</f>
        <v/>
      </c>
      <c r="B72" s="80">
        <f>LAVORAZIONI!A239</f>
        <v/>
      </c>
      <c r="C72" s="80">
        <f>LAVORAZIONI!K239</f>
        <v/>
      </c>
      <c r="D72" s="79">
        <f>LAVORAZIONI!M239</f>
        <v/>
      </c>
      <c r="E72" s="81">
        <f>LAVORAZIONI!N239</f>
        <v/>
      </c>
      <c r="F72" s="81">
        <f>LAVORAZIONI!O239</f>
        <v/>
      </c>
      <c r="G72" s="82">
        <f>LAVORAZIONI!P239</f>
        <v/>
      </c>
      <c r="H72" s="83">
        <f>LAVORAZIONI!W239</f>
        <v/>
      </c>
      <c r="I72" s="82">
        <f>LAVORAZIONI!X239</f>
        <v/>
      </c>
    </row>
    <row r="73">
      <c r="A73" s="79">
        <f>LAVORAZIONI!G240</f>
        <v/>
      </c>
      <c r="B73" s="80">
        <f>LAVORAZIONI!A240</f>
        <v/>
      </c>
      <c r="C73" s="80">
        <f>LAVORAZIONI!K240</f>
        <v/>
      </c>
      <c r="D73" s="79">
        <f>LAVORAZIONI!M240</f>
        <v/>
      </c>
      <c r="E73" s="81">
        <f>LAVORAZIONI!N240</f>
        <v/>
      </c>
      <c r="F73" s="81">
        <f>LAVORAZIONI!O240</f>
        <v/>
      </c>
      <c r="G73" s="82">
        <f>LAVORAZIONI!P240</f>
        <v/>
      </c>
      <c r="H73" s="83">
        <f>LAVORAZIONI!W240</f>
        <v/>
      </c>
      <c r="I73" s="82">
        <f>LAVORAZIONI!X240</f>
        <v/>
      </c>
    </row>
    <row r="74">
      <c r="A74" s="79">
        <f>LAVORAZIONI!G241</f>
        <v/>
      </c>
      <c r="B74" s="80">
        <f>LAVORAZIONI!A241</f>
        <v/>
      </c>
      <c r="C74" s="80">
        <f>LAVORAZIONI!K241</f>
        <v/>
      </c>
      <c r="D74" s="79">
        <f>LAVORAZIONI!M241</f>
        <v/>
      </c>
      <c r="E74" s="81">
        <f>LAVORAZIONI!N241</f>
        <v/>
      </c>
      <c r="F74" s="81">
        <f>LAVORAZIONI!O241</f>
        <v/>
      </c>
      <c r="G74" s="82">
        <f>LAVORAZIONI!P241</f>
        <v/>
      </c>
      <c r="H74" s="83">
        <f>LAVORAZIONI!W241</f>
        <v/>
      </c>
      <c r="I74" s="82">
        <f>LAVORAZIONI!X241</f>
        <v/>
      </c>
    </row>
    <row r="75">
      <c r="A75" s="79">
        <f>LAVORAZIONI!G242</f>
        <v/>
      </c>
      <c r="B75" s="80">
        <f>LAVORAZIONI!A242</f>
        <v/>
      </c>
      <c r="C75" s="80">
        <f>LAVORAZIONI!K242</f>
        <v/>
      </c>
      <c r="D75" s="79">
        <f>LAVORAZIONI!M242</f>
        <v/>
      </c>
      <c r="E75" s="81">
        <f>LAVORAZIONI!N242</f>
        <v/>
      </c>
      <c r="F75" s="81">
        <f>LAVORAZIONI!O242</f>
        <v/>
      </c>
      <c r="G75" s="82">
        <f>LAVORAZIONI!P242</f>
        <v/>
      </c>
      <c r="H75" s="83">
        <f>LAVORAZIONI!W242</f>
        <v/>
      </c>
      <c r="I75" s="82">
        <f>LAVORAZIONI!X242</f>
        <v/>
      </c>
    </row>
    <row r="76">
      <c r="A76" s="79">
        <f>LAVORAZIONI!G243</f>
        <v/>
      </c>
      <c r="B76" s="80">
        <f>LAVORAZIONI!A243</f>
        <v/>
      </c>
      <c r="C76" s="80">
        <f>LAVORAZIONI!K243</f>
        <v/>
      </c>
      <c r="D76" s="79">
        <f>LAVORAZIONI!M243</f>
        <v/>
      </c>
      <c r="E76" s="81">
        <f>LAVORAZIONI!N243</f>
        <v/>
      </c>
      <c r="F76" s="81">
        <f>LAVORAZIONI!O243</f>
        <v/>
      </c>
      <c r="G76" s="82">
        <f>LAVORAZIONI!P243</f>
        <v/>
      </c>
      <c r="H76" s="83">
        <f>LAVORAZIONI!W243</f>
        <v/>
      </c>
      <c r="I76" s="82">
        <f>LAVORAZIONI!X243</f>
        <v/>
      </c>
    </row>
    <row r="77">
      <c r="A77" s="79">
        <f>LAVORAZIONI!G244</f>
        <v/>
      </c>
      <c r="B77" s="80">
        <f>LAVORAZIONI!A244</f>
        <v/>
      </c>
      <c r="C77" s="80">
        <f>LAVORAZIONI!K244</f>
        <v/>
      </c>
      <c r="D77" s="79">
        <f>LAVORAZIONI!M244</f>
        <v/>
      </c>
      <c r="E77" s="81">
        <f>LAVORAZIONI!N244</f>
        <v/>
      </c>
      <c r="F77" s="81">
        <f>LAVORAZIONI!O244</f>
        <v/>
      </c>
      <c r="G77" s="82">
        <f>LAVORAZIONI!P244</f>
        <v/>
      </c>
      <c r="H77" s="83">
        <f>LAVORAZIONI!W244</f>
        <v/>
      </c>
      <c r="I77" s="82">
        <f>LAVORAZIONI!X244</f>
        <v/>
      </c>
    </row>
    <row r="78">
      <c r="A78" s="79">
        <f>LAVORAZIONI!G245</f>
        <v/>
      </c>
      <c r="B78" s="80">
        <f>LAVORAZIONI!A245</f>
        <v/>
      </c>
      <c r="C78" s="80">
        <f>LAVORAZIONI!K245</f>
        <v/>
      </c>
      <c r="D78" s="79">
        <f>LAVORAZIONI!M245</f>
        <v/>
      </c>
      <c r="E78" s="81">
        <f>LAVORAZIONI!N245</f>
        <v/>
      </c>
      <c r="F78" s="81">
        <f>LAVORAZIONI!O245</f>
        <v/>
      </c>
      <c r="G78" s="82">
        <f>LAVORAZIONI!P245</f>
        <v/>
      </c>
      <c r="H78" s="83">
        <f>LAVORAZIONI!W245</f>
        <v/>
      </c>
      <c r="I78" s="82">
        <f>LAVORAZIONI!X245</f>
        <v/>
      </c>
    </row>
    <row r="79">
      <c r="A79" s="84">
        <f>LAVORAZIONI!G246</f>
        <v/>
      </c>
      <c r="B79" s="85">
        <f>LAVORAZIONI!A246</f>
        <v/>
      </c>
      <c r="C79" s="85">
        <f>LAVORAZIONI!K246</f>
        <v/>
      </c>
      <c r="D79" s="84">
        <f>LAVORAZIONI!M246</f>
        <v/>
      </c>
      <c r="E79" s="86">
        <f>LAVORAZIONI!N246</f>
        <v/>
      </c>
      <c r="F79" s="86">
        <f>LAVORAZIONI!O246</f>
        <v/>
      </c>
      <c r="G79" s="87">
        <f>LAVORAZIONI!P246</f>
        <v/>
      </c>
      <c r="H79" s="88">
        <f>LAVORAZIONI!W246</f>
        <v/>
      </c>
      <c r="I79" s="87">
        <f>LAVORAZIONI!X246</f>
        <v/>
      </c>
    </row>
    <row r="80">
      <c r="A80" s="84">
        <f>LAVORAZIONI!G247</f>
        <v/>
      </c>
      <c r="B80" s="85">
        <f>LAVORAZIONI!A247</f>
        <v/>
      </c>
      <c r="C80" s="85">
        <f>LAVORAZIONI!K247</f>
        <v/>
      </c>
      <c r="D80" s="84">
        <f>LAVORAZIONI!M247</f>
        <v/>
      </c>
      <c r="E80" s="86">
        <f>LAVORAZIONI!N247</f>
        <v/>
      </c>
      <c r="F80" s="86">
        <f>LAVORAZIONI!O247</f>
        <v/>
      </c>
      <c r="G80" s="87">
        <f>LAVORAZIONI!P247</f>
        <v/>
      </c>
      <c r="H80" s="88">
        <f>LAVORAZIONI!W247</f>
        <v/>
      </c>
      <c r="I80" s="87">
        <f>LAVORAZIONI!X247</f>
        <v/>
      </c>
    </row>
    <row r="81">
      <c r="A81" s="84">
        <f>LAVORAZIONI!G248</f>
        <v/>
      </c>
      <c r="B81" s="85">
        <f>LAVORAZIONI!A248</f>
        <v/>
      </c>
      <c r="C81" s="85">
        <f>LAVORAZIONI!K248</f>
        <v/>
      </c>
      <c r="D81" s="84">
        <f>LAVORAZIONI!M248</f>
        <v/>
      </c>
      <c r="E81" s="86">
        <f>LAVORAZIONI!N248</f>
        <v/>
      </c>
      <c r="F81" s="86">
        <f>LAVORAZIONI!O248</f>
        <v/>
      </c>
      <c r="G81" s="87">
        <f>LAVORAZIONI!P248</f>
        <v/>
      </c>
      <c r="H81" s="88">
        <f>LAVORAZIONI!W248</f>
        <v/>
      </c>
      <c r="I81" s="87">
        <f>LAVORAZIONI!X248</f>
        <v/>
      </c>
    </row>
    <row r="82">
      <c r="A82" s="79">
        <f>LAVORAZIONI!G249</f>
        <v/>
      </c>
      <c r="B82" s="80">
        <f>LAVORAZIONI!A249</f>
        <v/>
      </c>
      <c r="C82" s="80">
        <f>LAVORAZIONI!K249</f>
        <v/>
      </c>
      <c r="D82" s="79">
        <f>LAVORAZIONI!M249</f>
        <v/>
      </c>
      <c r="E82" s="81">
        <f>LAVORAZIONI!N249</f>
        <v/>
      </c>
      <c r="F82" s="81">
        <f>LAVORAZIONI!O249</f>
        <v/>
      </c>
      <c r="G82" s="82">
        <f>LAVORAZIONI!P249</f>
        <v/>
      </c>
      <c r="H82" s="83">
        <f>LAVORAZIONI!W249</f>
        <v/>
      </c>
      <c r="I82" s="82">
        <f>LAVORAZIONI!X249</f>
        <v/>
      </c>
    </row>
    <row r="83">
      <c r="A83" s="79">
        <f>LAVORAZIONI!G250</f>
        <v/>
      </c>
      <c r="B83" s="80">
        <f>LAVORAZIONI!A250</f>
        <v/>
      </c>
      <c r="C83" s="80">
        <f>LAVORAZIONI!K250</f>
        <v/>
      </c>
      <c r="D83" s="79">
        <f>LAVORAZIONI!M250</f>
        <v/>
      </c>
      <c r="E83" s="81">
        <f>LAVORAZIONI!N250</f>
        <v/>
      </c>
      <c r="F83" s="81">
        <f>LAVORAZIONI!O250</f>
        <v/>
      </c>
      <c r="G83" s="82">
        <f>LAVORAZIONI!P250</f>
        <v/>
      </c>
      <c r="H83" s="83">
        <f>LAVORAZIONI!W250</f>
        <v/>
      </c>
      <c r="I83" s="82">
        <f>LAVORAZIONI!X250</f>
        <v/>
      </c>
    </row>
    <row r="84">
      <c r="A84" s="79">
        <f>LAVORAZIONI!G251</f>
        <v/>
      </c>
      <c r="B84" s="80">
        <f>LAVORAZIONI!A251</f>
        <v/>
      </c>
      <c r="C84" s="80">
        <f>LAVORAZIONI!K251</f>
        <v/>
      </c>
      <c r="D84" s="79">
        <f>LAVORAZIONI!M251</f>
        <v/>
      </c>
      <c r="E84" s="81">
        <f>LAVORAZIONI!N251</f>
        <v/>
      </c>
      <c r="F84" s="81">
        <f>LAVORAZIONI!O251</f>
        <v/>
      </c>
      <c r="G84" s="82">
        <f>LAVORAZIONI!P251</f>
        <v/>
      </c>
      <c r="H84" s="83">
        <f>LAVORAZIONI!W251</f>
        <v/>
      </c>
      <c r="I84" s="82">
        <f>LAVORAZIONI!X251</f>
        <v/>
      </c>
    </row>
    <row r="85">
      <c r="A85" s="79">
        <f>LAVORAZIONI!G252</f>
        <v/>
      </c>
      <c r="B85" s="80">
        <f>LAVORAZIONI!A252</f>
        <v/>
      </c>
      <c r="C85" s="80">
        <f>LAVORAZIONI!K252</f>
        <v/>
      </c>
      <c r="D85" s="79">
        <f>LAVORAZIONI!M252</f>
        <v/>
      </c>
      <c r="E85" s="81">
        <f>LAVORAZIONI!N252</f>
        <v/>
      </c>
      <c r="F85" s="81">
        <f>LAVORAZIONI!O252</f>
        <v/>
      </c>
      <c r="G85" s="82">
        <f>LAVORAZIONI!P252</f>
        <v/>
      </c>
      <c r="H85" s="83">
        <f>LAVORAZIONI!W252</f>
        <v/>
      </c>
      <c r="I85" s="82">
        <f>LAVORAZIONI!X252</f>
        <v/>
      </c>
    </row>
    <row r="86">
      <c r="A86" s="79">
        <f>LAVORAZIONI!G253</f>
        <v/>
      </c>
      <c r="B86" s="80">
        <f>LAVORAZIONI!A253</f>
        <v/>
      </c>
      <c r="C86" s="80">
        <f>LAVORAZIONI!K253</f>
        <v/>
      </c>
      <c r="D86" s="79">
        <f>LAVORAZIONI!M253</f>
        <v/>
      </c>
      <c r="E86" s="81">
        <f>LAVORAZIONI!N253</f>
        <v/>
      </c>
      <c r="F86" s="81">
        <f>LAVORAZIONI!O253</f>
        <v/>
      </c>
      <c r="G86" s="82">
        <f>LAVORAZIONI!P253</f>
        <v/>
      </c>
      <c r="H86" s="83">
        <f>LAVORAZIONI!W253</f>
        <v/>
      </c>
      <c r="I86" s="82">
        <f>LAVORAZIONI!X253</f>
        <v/>
      </c>
    </row>
    <row r="87">
      <c r="A87" s="79">
        <f>LAVORAZIONI!G254</f>
        <v/>
      </c>
      <c r="B87" s="80">
        <f>LAVORAZIONI!A254</f>
        <v/>
      </c>
      <c r="C87" s="80">
        <f>LAVORAZIONI!K254</f>
        <v/>
      </c>
      <c r="D87" s="79">
        <f>LAVORAZIONI!M254</f>
        <v/>
      </c>
      <c r="E87" s="81">
        <f>LAVORAZIONI!N254</f>
        <v/>
      </c>
      <c r="F87" s="81">
        <f>LAVORAZIONI!O254</f>
        <v/>
      </c>
      <c r="G87" s="82">
        <f>LAVORAZIONI!P254</f>
        <v/>
      </c>
      <c r="H87" s="83">
        <f>LAVORAZIONI!W254</f>
        <v/>
      </c>
      <c r="I87" s="82">
        <f>LAVORAZIONI!X254</f>
        <v/>
      </c>
    </row>
    <row r="88">
      <c r="A88" s="84">
        <f>LAVORAZIONI!G255</f>
        <v/>
      </c>
      <c r="B88" s="85">
        <f>LAVORAZIONI!A255</f>
        <v/>
      </c>
      <c r="C88" s="85">
        <f>LAVORAZIONI!K255</f>
        <v/>
      </c>
      <c r="D88" s="84">
        <f>LAVORAZIONI!M255</f>
        <v/>
      </c>
      <c r="E88" s="86">
        <f>LAVORAZIONI!N255</f>
        <v/>
      </c>
      <c r="F88" s="86">
        <f>LAVORAZIONI!O255</f>
        <v/>
      </c>
      <c r="G88" s="87">
        <f>LAVORAZIONI!P255</f>
        <v/>
      </c>
      <c r="H88" s="88">
        <f>LAVORAZIONI!W255</f>
        <v/>
      </c>
      <c r="I88" s="87">
        <f>LAVORAZIONI!X255</f>
        <v/>
      </c>
    </row>
    <row r="89">
      <c r="A89" s="79">
        <f>LAVORAZIONI!G256</f>
        <v/>
      </c>
      <c r="B89" s="80">
        <f>LAVORAZIONI!A256</f>
        <v/>
      </c>
      <c r="C89" s="80">
        <f>LAVORAZIONI!K256</f>
        <v/>
      </c>
      <c r="D89" s="79">
        <f>LAVORAZIONI!M256</f>
        <v/>
      </c>
      <c r="E89" s="81">
        <f>LAVORAZIONI!N256</f>
        <v/>
      </c>
      <c r="F89" s="81">
        <f>LAVORAZIONI!O256</f>
        <v/>
      </c>
      <c r="G89" s="82">
        <f>LAVORAZIONI!P256</f>
        <v/>
      </c>
      <c r="H89" s="83">
        <f>LAVORAZIONI!W256</f>
        <v/>
      </c>
      <c r="I89" s="82">
        <f>LAVORAZIONI!X256</f>
        <v/>
      </c>
    </row>
    <row r="90">
      <c r="A90" s="61" t="n"/>
      <c r="B90" s="62" t="n"/>
      <c r="C90" s="62" t="n"/>
      <c r="D90" s="62" t="n"/>
      <c r="E90" s="62" t="n"/>
      <c r="F90" s="62" t="n"/>
      <c r="G90" s="62" t="n"/>
      <c r="H90" s="62" t="n"/>
      <c r="I90" s="63">
        <f>SUM(I5:I89)</f>
        <v/>
      </c>
    </row>
  </sheetData>
  <mergeCells count="4">
    <mergeCell ref="A1:I1"/>
    <mergeCell ref="A3:I3"/>
    <mergeCell ref="A90:H90"/>
    <mergeCell ref="A2:I2"/>
  </mergeCells>
  <pageMargins left="0.5" right="0.5" top="1" bottom="0.8" header="0.4" footer="0.4"/>
  <pageSetup orientation="landscape" paperSize="9" fitToHeight="0" fitToWidth="1"/>
  <headerFooter>
    <oddHeader>&amp;L&amp;"Calibri,Italic"&amp;9Nuovo stabilimento radiofarmaceutico LENA - Pavia (PV)&amp;C&amp;"Calibri,Bold"&amp;13Maggio - Meccaniche&amp;R&amp;"Calibri"&amp;9&amp;D</oddHeader>
    <oddFooter>&amp;C&amp;"Calibri"&amp;9Pagina &amp;P di &amp;N</oddFooter>
    <evenHeader>&amp;L&amp;"Calibri,Italic"&amp;9Nuovo stabilimento radiofarmaceutico LENA - Pavia (PV)&amp;C&amp;"Calibri,Bold"&amp;13Maggio - Meccaniche</evenHeader>
    <evenFooter>&amp;C&amp;"Calibri"&amp;9Pagina &amp;P di &amp;N</evenFooter>
    <firstHeader/>
    <firstFooter/>
  </headerFooter>
</worksheet>
</file>

<file path=xl/worksheets/sheet19.xml><?xml version="1.0" encoding="utf-8"?>
<worksheet xmlns="http://schemas.openxmlformats.org/spreadsheetml/2006/main">
  <sheetPr>
    <outlinePr summaryBelow="1" summaryRight="1"/>
    <pageSetUpPr fitToPage="1"/>
  </sheetPr>
  <dimension ref="A1:I146"/>
  <sheetViews>
    <sheetView workbookViewId="0">
      <pane ySplit="4" topLeftCell="A5" activePane="bottomLeft" state="frozen"/>
      <selection pane="bottomLeft" activeCell="A1" sqref="A1"/>
    </sheetView>
  </sheetViews>
  <sheetFormatPr baseColWidth="8" defaultRowHeight="15"/>
  <cols>
    <col width="9" customWidth="1" style="46" min="1" max="1"/>
    <col width="26" customWidth="1" style="46" min="2" max="2"/>
    <col width="58" customWidth="1" style="46" min="3" max="3"/>
    <col width="8" customWidth="1" style="46" min="4" max="4"/>
    <col width="11" customWidth="1" style="46" min="5" max="5"/>
    <col width="12" customWidth="1" style="46" min="6" max="6"/>
    <col width="14" customWidth="1" style="46" min="7" max="7"/>
    <col width="9" customWidth="1" style="46" min="8" max="8"/>
    <col width="14" customWidth="1" style="46" min="9" max="9"/>
  </cols>
  <sheetData>
    <row r="1" ht="22" customHeight="1" s="46">
      <c r="A1" s="78" t="inlineStr">
        <is>
          <t>SAL MAGGIO 2026 — OPERE MECCANICHE SPECIALI</t>
        </is>
      </c>
    </row>
    <row r="2" ht="28"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N. VOCE</t>
        </is>
      </c>
      <c r="B4" s="55" t="inlineStr">
        <is>
          <t>CODICE LAVORAZIONE</t>
        </is>
      </c>
      <c r="C4" s="55" t="inlineStr">
        <is>
          <t>DESCRIZIONE</t>
        </is>
      </c>
      <c r="D4" s="55" t="inlineStr">
        <is>
          <t>U.M.</t>
        </is>
      </c>
      <c r="E4" s="55" t="inlineStr">
        <is>
          <t>QUANTITÀ</t>
        </is>
      </c>
      <c r="F4" s="55" t="inlineStr">
        <is>
          <t>VAL. UNITARIO</t>
        </is>
      </c>
      <c r="G4" s="55" t="inlineStr">
        <is>
          <t>TOTALE PREVENTIVO</t>
        </is>
      </c>
      <c r="H4" s="55" t="inlineStr">
        <is>
          <t>% SAL Maggio</t>
        </is>
      </c>
      <c r="I4" s="55" t="inlineStr">
        <is>
          <t>IMPORTO SAL Maggio</t>
        </is>
      </c>
    </row>
    <row r="5">
      <c r="A5" s="79">
        <f>LAVORAZIONI!G257</f>
        <v/>
      </c>
      <c r="B5" s="80">
        <f>LAVORAZIONI!A257</f>
        <v/>
      </c>
      <c r="C5" s="80">
        <f>LAVORAZIONI!K257</f>
        <v/>
      </c>
      <c r="D5" s="79">
        <f>LAVORAZIONI!M257</f>
        <v/>
      </c>
      <c r="E5" s="81">
        <f>LAVORAZIONI!N257</f>
        <v/>
      </c>
      <c r="F5" s="81">
        <f>LAVORAZIONI!O257</f>
        <v/>
      </c>
      <c r="G5" s="82">
        <f>LAVORAZIONI!P257</f>
        <v/>
      </c>
      <c r="H5" s="83">
        <f>LAVORAZIONI!W257</f>
        <v/>
      </c>
      <c r="I5" s="82">
        <f>LAVORAZIONI!X257</f>
        <v/>
      </c>
    </row>
    <row r="6">
      <c r="A6" s="79">
        <f>LAVORAZIONI!G258</f>
        <v/>
      </c>
      <c r="B6" s="80">
        <f>LAVORAZIONI!A258</f>
        <v/>
      </c>
      <c r="C6" s="80">
        <f>LAVORAZIONI!K258</f>
        <v/>
      </c>
      <c r="D6" s="79">
        <f>LAVORAZIONI!M258</f>
        <v/>
      </c>
      <c r="E6" s="81">
        <f>LAVORAZIONI!N258</f>
        <v/>
      </c>
      <c r="F6" s="81">
        <f>LAVORAZIONI!O258</f>
        <v/>
      </c>
      <c r="G6" s="82">
        <f>LAVORAZIONI!P258</f>
        <v/>
      </c>
      <c r="H6" s="83">
        <f>LAVORAZIONI!W258</f>
        <v/>
      </c>
      <c r="I6" s="82">
        <f>LAVORAZIONI!X258</f>
        <v/>
      </c>
    </row>
    <row r="7">
      <c r="A7" s="79">
        <f>LAVORAZIONI!G259</f>
        <v/>
      </c>
      <c r="B7" s="80">
        <f>LAVORAZIONI!A259</f>
        <v/>
      </c>
      <c r="C7" s="80">
        <f>LAVORAZIONI!K259</f>
        <v/>
      </c>
      <c r="D7" s="79">
        <f>LAVORAZIONI!M259</f>
        <v/>
      </c>
      <c r="E7" s="81">
        <f>LAVORAZIONI!N259</f>
        <v/>
      </c>
      <c r="F7" s="81">
        <f>LAVORAZIONI!O259</f>
        <v/>
      </c>
      <c r="G7" s="82">
        <f>LAVORAZIONI!P259</f>
        <v/>
      </c>
      <c r="H7" s="83">
        <f>LAVORAZIONI!W259</f>
        <v/>
      </c>
      <c r="I7" s="82">
        <f>LAVORAZIONI!X259</f>
        <v/>
      </c>
    </row>
    <row r="8">
      <c r="A8" s="79">
        <f>LAVORAZIONI!G260</f>
        <v/>
      </c>
      <c r="B8" s="80">
        <f>LAVORAZIONI!A260</f>
        <v/>
      </c>
      <c r="C8" s="80">
        <f>LAVORAZIONI!K260</f>
        <v/>
      </c>
      <c r="D8" s="79">
        <f>LAVORAZIONI!M260</f>
        <v/>
      </c>
      <c r="E8" s="81">
        <f>LAVORAZIONI!N260</f>
        <v/>
      </c>
      <c r="F8" s="81">
        <f>LAVORAZIONI!O260</f>
        <v/>
      </c>
      <c r="G8" s="82">
        <f>LAVORAZIONI!P260</f>
        <v/>
      </c>
      <c r="H8" s="83">
        <f>LAVORAZIONI!W260</f>
        <v/>
      </c>
      <c r="I8" s="82">
        <f>LAVORAZIONI!X260</f>
        <v/>
      </c>
    </row>
    <row r="9">
      <c r="A9" s="79">
        <f>LAVORAZIONI!G261</f>
        <v/>
      </c>
      <c r="B9" s="80">
        <f>LAVORAZIONI!A261</f>
        <v/>
      </c>
      <c r="C9" s="80">
        <f>LAVORAZIONI!K261</f>
        <v/>
      </c>
      <c r="D9" s="79">
        <f>LAVORAZIONI!M261</f>
        <v/>
      </c>
      <c r="E9" s="81">
        <f>LAVORAZIONI!N261</f>
        <v/>
      </c>
      <c r="F9" s="81">
        <f>LAVORAZIONI!O261</f>
        <v/>
      </c>
      <c r="G9" s="82">
        <f>LAVORAZIONI!P261</f>
        <v/>
      </c>
      <c r="H9" s="83">
        <f>LAVORAZIONI!W261</f>
        <v/>
      </c>
      <c r="I9" s="82">
        <f>LAVORAZIONI!X261</f>
        <v/>
      </c>
    </row>
    <row r="10">
      <c r="A10" s="79">
        <f>LAVORAZIONI!G262</f>
        <v/>
      </c>
      <c r="B10" s="80">
        <f>LAVORAZIONI!A262</f>
        <v/>
      </c>
      <c r="C10" s="80">
        <f>LAVORAZIONI!K262</f>
        <v/>
      </c>
      <c r="D10" s="79">
        <f>LAVORAZIONI!M262</f>
        <v/>
      </c>
      <c r="E10" s="81">
        <f>LAVORAZIONI!N262</f>
        <v/>
      </c>
      <c r="F10" s="81">
        <f>LAVORAZIONI!O262</f>
        <v/>
      </c>
      <c r="G10" s="82">
        <f>LAVORAZIONI!P262</f>
        <v/>
      </c>
      <c r="H10" s="83">
        <f>LAVORAZIONI!W262</f>
        <v/>
      </c>
      <c r="I10" s="82">
        <f>LAVORAZIONI!X262</f>
        <v/>
      </c>
    </row>
    <row r="11">
      <c r="A11" s="79">
        <f>LAVORAZIONI!G263</f>
        <v/>
      </c>
      <c r="B11" s="80">
        <f>LAVORAZIONI!A263</f>
        <v/>
      </c>
      <c r="C11" s="80">
        <f>LAVORAZIONI!K263</f>
        <v/>
      </c>
      <c r="D11" s="79">
        <f>LAVORAZIONI!M263</f>
        <v/>
      </c>
      <c r="E11" s="81">
        <f>LAVORAZIONI!N263</f>
        <v/>
      </c>
      <c r="F11" s="81">
        <f>LAVORAZIONI!O263</f>
        <v/>
      </c>
      <c r="G11" s="82">
        <f>LAVORAZIONI!P263</f>
        <v/>
      </c>
      <c r="H11" s="83">
        <f>LAVORAZIONI!W263</f>
        <v/>
      </c>
      <c r="I11" s="82">
        <f>LAVORAZIONI!X263</f>
        <v/>
      </c>
    </row>
    <row r="12">
      <c r="A12" s="79">
        <f>LAVORAZIONI!G264</f>
        <v/>
      </c>
      <c r="B12" s="80">
        <f>LAVORAZIONI!A264</f>
        <v/>
      </c>
      <c r="C12" s="80">
        <f>LAVORAZIONI!K264</f>
        <v/>
      </c>
      <c r="D12" s="79">
        <f>LAVORAZIONI!M264</f>
        <v/>
      </c>
      <c r="E12" s="81">
        <f>LAVORAZIONI!N264</f>
        <v/>
      </c>
      <c r="F12" s="81">
        <f>LAVORAZIONI!O264</f>
        <v/>
      </c>
      <c r="G12" s="82">
        <f>LAVORAZIONI!P264</f>
        <v/>
      </c>
      <c r="H12" s="83">
        <f>LAVORAZIONI!W264</f>
        <v/>
      </c>
      <c r="I12" s="82">
        <f>LAVORAZIONI!X264</f>
        <v/>
      </c>
    </row>
    <row r="13">
      <c r="A13" s="79">
        <f>LAVORAZIONI!G265</f>
        <v/>
      </c>
      <c r="B13" s="80">
        <f>LAVORAZIONI!A265</f>
        <v/>
      </c>
      <c r="C13" s="80">
        <f>LAVORAZIONI!K265</f>
        <v/>
      </c>
      <c r="D13" s="79">
        <f>LAVORAZIONI!M265</f>
        <v/>
      </c>
      <c r="E13" s="81">
        <f>LAVORAZIONI!N265</f>
        <v/>
      </c>
      <c r="F13" s="81">
        <f>LAVORAZIONI!O265</f>
        <v/>
      </c>
      <c r="G13" s="82">
        <f>LAVORAZIONI!P265</f>
        <v/>
      </c>
      <c r="H13" s="83">
        <f>LAVORAZIONI!W265</f>
        <v/>
      </c>
      <c r="I13" s="82">
        <f>LAVORAZIONI!X265</f>
        <v/>
      </c>
    </row>
    <row r="14">
      <c r="A14" s="79">
        <f>LAVORAZIONI!G266</f>
        <v/>
      </c>
      <c r="B14" s="80">
        <f>LAVORAZIONI!A266</f>
        <v/>
      </c>
      <c r="C14" s="80">
        <f>LAVORAZIONI!K266</f>
        <v/>
      </c>
      <c r="D14" s="79">
        <f>LAVORAZIONI!M266</f>
        <v/>
      </c>
      <c r="E14" s="81">
        <f>LAVORAZIONI!N266</f>
        <v/>
      </c>
      <c r="F14" s="81">
        <f>LAVORAZIONI!O266</f>
        <v/>
      </c>
      <c r="G14" s="82">
        <f>LAVORAZIONI!P266</f>
        <v/>
      </c>
      <c r="H14" s="83">
        <f>LAVORAZIONI!W266</f>
        <v/>
      </c>
      <c r="I14" s="82">
        <f>LAVORAZIONI!X266</f>
        <v/>
      </c>
    </row>
    <row r="15">
      <c r="A15" s="79">
        <f>LAVORAZIONI!G267</f>
        <v/>
      </c>
      <c r="B15" s="80">
        <f>LAVORAZIONI!A267</f>
        <v/>
      </c>
      <c r="C15" s="80">
        <f>LAVORAZIONI!K267</f>
        <v/>
      </c>
      <c r="D15" s="79">
        <f>LAVORAZIONI!M267</f>
        <v/>
      </c>
      <c r="E15" s="81">
        <f>LAVORAZIONI!N267</f>
        <v/>
      </c>
      <c r="F15" s="81">
        <f>LAVORAZIONI!O267</f>
        <v/>
      </c>
      <c r="G15" s="82">
        <f>LAVORAZIONI!P267</f>
        <v/>
      </c>
      <c r="H15" s="83">
        <f>LAVORAZIONI!W267</f>
        <v/>
      </c>
      <c r="I15" s="82">
        <f>LAVORAZIONI!X267</f>
        <v/>
      </c>
    </row>
    <row r="16">
      <c r="A16" s="79">
        <f>LAVORAZIONI!G268</f>
        <v/>
      </c>
      <c r="B16" s="80">
        <f>LAVORAZIONI!A268</f>
        <v/>
      </c>
      <c r="C16" s="80">
        <f>LAVORAZIONI!K268</f>
        <v/>
      </c>
      <c r="D16" s="79">
        <f>LAVORAZIONI!M268</f>
        <v/>
      </c>
      <c r="E16" s="81">
        <f>LAVORAZIONI!N268</f>
        <v/>
      </c>
      <c r="F16" s="81">
        <f>LAVORAZIONI!O268</f>
        <v/>
      </c>
      <c r="G16" s="82">
        <f>LAVORAZIONI!P268</f>
        <v/>
      </c>
      <c r="H16" s="83">
        <f>LAVORAZIONI!W268</f>
        <v/>
      </c>
      <c r="I16" s="82">
        <f>LAVORAZIONI!X268</f>
        <v/>
      </c>
    </row>
    <row r="17">
      <c r="A17" s="84">
        <f>LAVORAZIONI!G269</f>
        <v/>
      </c>
      <c r="B17" s="85">
        <f>LAVORAZIONI!A269</f>
        <v/>
      </c>
      <c r="C17" s="85">
        <f>LAVORAZIONI!K269</f>
        <v/>
      </c>
      <c r="D17" s="84">
        <f>LAVORAZIONI!M269</f>
        <v/>
      </c>
      <c r="E17" s="86">
        <f>LAVORAZIONI!N269</f>
        <v/>
      </c>
      <c r="F17" s="86">
        <f>LAVORAZIONI!O269</f>
        <v/>
      </c>
      <c r="G17" s="87">
        <f>LAVORAZIONI!P269</f>
        <v/>
      </c>
      <c r="H17" s="88">
        <f>LAVORAZIONI!W269</f>
        <v/>
      </c>
      <c r="I17" s="87">
        <f>LAVORAZIONI!X269</f>
        <v/>
      </c>
    </row>
    <row r="18">
      <c r="A18" s="84">
        <f>LAVORAZIONI!G270</f>
        <v/>
      </c>
      <c r="B18" s="85">
        <f>LAVORAZIONI!A270</f>
        <v/>
      </c>
      <c r="C18" s="85">
        <f>LAVORAZIONI!K270</f>
        <v/>
      </c>
      <c r="D18" s="84">
        <f>LAVORAZIONI!M270</f>
        <v/>
      </c>
      <c r="E18" s="86">
        <f>LAVORAZIONI!N270</f>
        <v/>
      </c>
      <c r="F18" s="86">
        <f>LAVORAZIONI!O270</f>
        <v/>
      </c>
      <c r="G18" s="87">
        <f>LAVORAZIONI!P270</f>
        <v/>
      </c>
      <c r="H18" s="88">
        <f>LAVORAZIONI!W270</f>
        <v/>
      </c>
      <c r="I18" s="87">
        <f>LAVORAZIONI!X270</f>
        <v/>
      </c>
    </row>
    <row r="19">
      <c r="A19" s="84">
        <f>LAVORAZIONI!G271</f>
        <v/>
      </c>
      <c r="B19" s="85">
        <f>LAVORAZIONI!A271</f>
        <v/>
      </c>
      <c r="C19" s="85">
        <f>LAVORAZIONI!K271</f>
        <v/>
      </c>
      <c r="D19" s="84">
        <f>LAVORAZIONI!M271</f>
        <v/>
      </c>
      <c r="E19" s="86">
        <f>LAVORAZIONI!N271</f>
        <v/>
      </c>
      <c r="F19" s="86">
        <f>LAVORAZIONI!O271</f>
        <v/>
      </c>
      <c r="G19" s="87">
        <f>LAVORAZIONI!P271</f>
        <v/>
      </c>
      <c r="H19" s="88">
        <f>LAVORAZIONI!W271</f>
        <v/>
      </c>
      <c r="I19" s="87">
        <f>LAVORAZIONI!X271</f>
        <v/>
      </c>
    </row>
    <row r="20">
      <c r="A20" s="84">
        <f>LAVORAZIONI!G272</f>
        <v/>
      </c>
      <c r="B20" s="85">
        <f>LAVORAZIONI!A272</f>
        <v/>
      </c>
      <c r="C20" s="85">
        <f>LAVORAZIONI!K272</f>
        <v/>
      </c>
      <c r="D20" s="84">
        <f>LAVORAZIONI!M272</f>
        <v/>
      </c>
      <c r="E20" s="86">
        <f>LAVORAZIONI!N272</f>
        <v/>
      </c>
      <c r="F20" s="86">
        <f>LAVORAZIONI!O272</f>
        <v/>
      </c>
      <c r="G20" s="87">
        <f>LAVORAZIONI!P272</f>
        <v/>
      </c>
      <c r="H20" s="88">
        <f>LAVORAZIONI!W272</f>
        <v/>
      </c>
      <c r="I20" s="87">
        <f>LAVORAZIONI!X272</f>
        <v/>
      </c>
    </row>
    <row r="21">
      <c r="A21" s="84">
        <f>LAVORAZIONI!G273</f>
        <v/>
      </c>
      <c r="B21" s="85">
        <f>LAVORAZIONI!A273</f>
        <v/>
      </c>
      <c r="C21" s="85">
        <f>LAVORAZIONI!K273</f>
        <v/>
      </c>
      <c r="D21" s="84">
        <f>LAVORAZIONI!M273</f>
        <v/>
      </c>
      <c r="E21" s="86">
        <f>LAVORAZIONI!N273</f>
        <v/>
      </c>
      <c r="F21" s="86">
        <f>LAVORAZIONI!O273</f>
        <v/>
      </c>
      <c r="G21" s="87">
        <f>LAVORAZIONI!P273</f>
        <v/>
      </c>
      <c r="H21" s="88">
        <f>LAVORAZIONI!W273</f>
        <v/>
      </c>
      <c r="I21" s="87">
        <f>LAVORAZIONI!X273</f>
        <v/>
      </c>
    </row>
    <row r="22">
      <c r="A22" s="84">
        <f>LAVORAZIONI!G274</f>
        <v/>
      </c>
      <c r="B22" s="85">
        <f>LAVORAZIONI!A274</f>
        <v/>
      </c>
      <c r="C22" s="85">
        <f>LAVORAZIONI!K274</f>
        <v/>
      </c>
      <c r="D22" s="84">
        <f>LAVORAZIONI!M274</f>
        <v/>
      </c>
      <c r="E22" s="86">
        <f>LAVORAZIONI!N274</f>
        <v/>
      </c>
      <c r="F22" s="86">
        <f>LAVORAZIONI!O274</f>
        <v/>
      </c>
      <c r="G22" s="87">
        <f>LAVORAZIONI!P274</f>
        <v/>
      </c>
      <c r="H22" s="88">
        <f>LAVORAZIONI!W274</f>
        <v/>
      </c>
      <c r="I22" s="87">
        <f>LAVORAZIONI!X274</f>
        <v/>
      </c>
    </row>
    <row r="23">
      <c r="A23" s="84">
        <f>LAVORAZIONI!G275</f>
        <v/>
      </c>
      <c r="B23" s="85">
        <f>LAVORAZIONI!A275</f>
        <v/>
      </c>
      <c r="C23" s="85">
        <f>LAVORAZIONI!K275</f>
        <v/>
      </c>
      <c r="D23" s="84">
        <f>LAVORAZIONI!M275</f>
        <v/>
      </c>
      <c r="E23" s="86">
        <f>LAVORAZIONI!N275</f>
        <v/>
      </c>
      <c r="F23" s="86">
        <f>LAVORAZIONI!O275</f>
        <v/>
      </c>
      <c r="G23" s="87">
        <f>LAVORAZIONI!P275</f>
        <v/>
      </c>
      <c r="H23" s="88">
        <f>LAVORAZIONI!W275</f>
        <v/>
      </c>
      <c r="I23" s="87">
        <f>LAVORAZIONI!X275</f>
        <v/>
      </c>
    </row>
    <row r="24">
      <c r="A24" s="84">
        <f>LAVORAZIONI!G276</f>
        <v/>
      </c>
      <c r="B24" s="85">
        <f>LAVORAZIONI!A276</f>
        <v/>
      </c>
      <c r="C24" s="85">
        <f>LAVORAZIONI!K276</f>
        <v/>
      </c>
      <c r="D24" s="84">
        <f>LAVORAZIONI!M276</f>
        <v/>
      </c>
      <c r="E24" s="86">
        <f>LAVORAZIONI!N276</f>
        <v/>
      </c>
      <c r="F24" s="86">
        <f>LAVORAZIONI!O276</f>
        <v/>
      </c>
      <c r="G24" s="87">
        <f>LAVORAZIONI!P276</f>
        <v/>
      </c>
      <c r="H24" s="88">
        <f>LAVORAZIONI!W276</f>
        <v/>
      </c>
      <c r="I24" s="87">
        <f>LAVORAZIONI!X276</f>
        <v/>
      </c>
    </row>
    <row r="25">
      <c r="A25" s="84">
        <f>LAVORAZIONI!G277</f>
        <v/>
      </c>
      <c r="B25" s="85">
        <f>LAVORAZIONI!A277</f>
        <v/>
      </c>
      <c r="C25" s="85">
        <f>LAVORAZIONI!K277</f>
        <v/>
      </c>
      <c r="D25" s="84">
        <f>LAVORAZIONI!M277</f>
        <v/>
      </c>
      <c r="E25" s="86">
        <f>LAVORAZIONI!N277</f>
        <v/>
      </c>
      <c r="F25" s="86">
        <f>LAVORAZIONI!O277</f>
        <v/>
      </c>
      <c r="G25" s="87">
        <f>LAVORAZIONI!P277</f>
        <v/>
      </c>
      <c r="H25" s="88">
        <f>LAVORAZIONI!W277</f>
        <v/>
      </c>
      <c r="I25" s="87">
        <f>LAVORAZIONI!X277</f>
        <v/>
      </c>
    </row>
    <row r="26">
      <c r="A26" s="84">
        <f>LAVORAZIONI!G278</f>
        <v/>
      </c>
      <c r="B26" s="85">
        <f>LAVORAZIONI!A278</f>
        <v/>
      </c>
      <c r="C26" s="85">
        <f>LAVORAZIONI!K278</f>
        <v/>
      </c>
      <c r="D26" s="84">
        <f>LAVORAZIONI!M278</f>
        <v/>
      </c>
      <c r="E26" s="86">
        <f>LAVORAZIONI!N278</f>
        <v/>
      </c>
      <c r="F26" s="86">
        <f>LAVORAZIONI!O278</f>
        <v/>
      </c>
      <c r="G26" s="87">
        <f>LAVORAZIONI!P278</f>
        <v/>
      </c>
      <c r="H26" s="88">
        <f>LAVORAZIONI!W278</f>
        <v/>
      </c>
      <c r="I26" s="87">
        <f>LAVORAZIONI!X278</f>
        <v/>
      </c>
    </row>
    <row r="27">
      <c r="A27" s="84">
        <f>LAVORAZIONI!G279</f>
        <v/>
      </c>
      <c r="B27" s="85">
        <f>LAVORAZIONI!A279</f>
        <v/>
      </c>
      <c r="C27" s="85">
        <f>LAVORAZIONI!K279</f>
        <v/>
      </c>
      <c r="D27" s="84">
        <f>LAVORAZIONI!M279</f>
        <v/>
      </c>
      <c r="E27" s="86">
        <f>LAVORAZIONI!N279</f>
        <v/>
      </c>
      <c r="F27" s="86">
        <f>LAVORAZIONI!O279</f>
        <v/>
      </c>
      <c r="G27" s="87">
        <f>LAVORAZIONI!P279</f>
        <v/>
      </c>
      <c r="H27" s="88">
        <f>LAVORAZIONI!W279</f>
        <v/>
      </c>
      <c r="I27" s="87">
        <f>LAVORAZIONI!X279</f>
        <v/>
      </c>
    </row>
    <row r="28">
      <c r="A28" s="84">
        <f>LAVORAZIONI!G280</f>
        <v/>
      </c>
      <c r="B28" s="85">
        <f>LAVORAZIONI!A280</f>
        <v/>
      </c>
      <c r="C28" s="85">
        <f>LAVORAZIONI!K280</f>
        <v/>
      </c>
      <c r="D28" s="84">
        <f>LAVORAZIONI!M280</f>
        <v/>
      </c>
      <c r="E28" s="86">
        <f>LAVORAZIONI!N280</f>
        <v/>
      </c>
      <c r="F28" s="86">
        <f>LAVORAZIONI!O280</f>
        <v/>
      </c>
      <c r="G28" s="87">
        <f>LAVORAZIONI!P280</f>
        <v/>
      </c>
      <c r="H28" s="88">
        <f>LAVORAZIONI!W280</f>
        <v/>
      </c>
      <c r="I28" s="87">
        <f>LAVORAZIONI!X280</f>
        <v/>
      </c>
    </row>
    <row r="29">
      <c r="A29" s="84">
        <f>LAVORAZIONI!G281</f>
        <v/>
      </c>
      <c r="B29" s="85">
        <f>LAVORAZIONI!A281</f>
        <v/>
      </c>
      <c r="C29" s="85">
        <f>LAVORAZIONI!K281</f>
        <v/>
      </c>
      <c r="D29" s="84">
        <f>LAVORAZIONI!M281</f>
        <v/>
      </c>
      <c r="E29" s="86">
        <f>LAVORAZIONI!N281</f>
        <v/>
      </c>
      <c r="F29" s="86">
        <f>LAVORAZIONI!O281</f>
        <v/>
      </c>
      <c r="G29" s="87">
        <f>LAVORAZIONI!P281</f>
        <v/>
      </c>
      <c r="H29" s="88">
        <f>LAVORAZIONI!W281</f>
        <v/>
      </c>
      <c r="I29" s="87">
        <f>LAVORAZIONI!X281</f>
        <v/>
      </c>
    </row>
    <row r="30">
      <c r="A30" s="84">
        <f>LAVORAZIONI!G282</f>
        <v/>
      </c>
      <c r="B30" s="85">
        <f>LAVORAZIONI!A282</f>
        <v/>
      </c>
      <c r="C30" s="85">
        <f>LAVORAZIONI!K282</f>
        <v/>
      </c>
      <c r="D30" s="84">
        <f>LAVORAZIONI!M282</f>
        <v/>
      </c>
      <c r="E30" s="86">
        <f>LAVORAZIONI!N282</f>
        <v/>
      </c>
      <c r="F30" s="86">
        <f>LAVORAZIONI!O282</f>
        <v/>
      </c>
      <c r="G30" s="87">
        <f>LAVORAZIONI!P282</f>
        <v/>
      </c>
      <c r="H30" s="88">
        <f>LAVORAZIONI!W282</f>
        <v/>
      </c>
      <c r="I30" s="87">
        <f>LAVORAZIONI!X282</f>
        <v/>
      </c>
    </row>
    <row r="31">
      <c r="A31" s="79">
        <f>LAVORAZIONI!G283</f>
        <v/>
      </c>
      <c r="B31" s="80">
        <f>LAVORAZIONI!A283</f>
        <v/>
      </c>
      <c r="C31" s="80">
        <f>LAVORAZIONI!K283</f>
        <v/>
      </c>
      <c r="D31" s="79">
        <f>LAVORAZIONI!M283</f>
        <v/>
      </c>
      <c r="E31" s="81">
        <f>LAVORAZIONI!N283</f>
        <v/>
      </c>
      <c r="F31" s="81">
        <f>LAVORAZIONI!O283</f>
        <v/>
      </c>
      <c r="G31" s="82">
        <f>LAVORAZIONI!P283</f>
        <v/>
      </c>
      <c r="H31" s="83">
        <f>LAVORAZIONI!W283</f>
        <v/>
      </c>
      <c r="I31" s="82">
        <f>LAVORAZIONI!X283</f>
        <v/>
      </c>
    </row>
    <row r="32">
      <c r="A32" s="79">
        <f>LAVORAZIONI!G284</f>
        <v/>
      </c>
      <c r="B32" s="80">
        <f>LAVORAZIONI!A284</f>
        <v/>
      </c>
      <c r="C32" s="80">
        <f>LAVORAZIONI!K284</f>
        <v/>
      </c>
      <c r="D32" s="79">
        <f>LAVORAZIONI!M284</f>
        <v/>
      </c>
      <c r="E32" s="81">
        <f>LAVORAZIONI!N284</f>
        <v/>
      </c>
      <c r="F32" s="81">
        <f>LAVORAZIONI!O284</f>
        <v/>
      </c>
      <c r="G32" s="82">
        <f>LAVORAZIONI!P284</f>
        <v/>
      </c>
      <c r="H32" s="83">
        <f>LAVORAZIONI!W284</f>
        <v/>
      </c>
      <c r="I32" s="82">
        <f>LAVORAZIONI!X284</f>
        <v/>
      </c>
    </row>
    <row r="33">
      <c r="A33" s="79">
        <f>LAVORAZIONI!G285</f>
        <v/>
      </c>
      <c r="B33" s="80">
        <f>LAVORAZIONI!A285</f>
        <v/>
      </c>
      <c r="C33" s="80">
        <f>LAVORAZIONI!K285</f>
        <v/>
      </c>
      <c r="D33" s="79">
        <f>LAVORAZIONI!M285</f>
        <v/>
      </c>
      <c r="E33" s="81">
        <f>LAVORAZIONI!N285</f>
        <v/>
      </c>
      <c r="F33" s="81">
        <f>LAVORAZIONI!O285</f>
        <v/>
      </c>
      <c r="G33" s="82">
        <f>LAVORAZIONI!P285</f>
        <v/>
      </c>
      <c r="H33" s="83">
        <f>LAVORAZIONI!W285</f>
        <v/>
      </c>
      <c r="I33" s="82">
        <f>LAVORAZIONI!X285</f>
        <v/>
      </c>
    </row>
    <row r="34">
      <c r="A34" s="79">
        <f>LAVORAZIONI!G286</f>
        <v/>
      </c>
      <c r="B34" s="80">
        <f>LAVORAZIONI!A286</f>
        <v/>
      </c>
      <c r="C34" s="80">
        <f>LAVORAZIONI!K286</f>
        <v/>
      </c>
      <c r="D34" s="79">
        <f>LAVORAZIONI!M286</f>
        <v/>
      </c>
      <c r="E34" s="81">
        <f>LAVORAZIONI!N286</f>
        <v/>
      </c>
      <c r="F34" s="81">
        <f>LAVORAZIONI!O286</f>
        <v/>
      </c>
      <c r="G34" s="82">
        <f>LAVORAZIONI!P286</f>
        <v/>
      </c>
      <c r="H34" s="83">
        <f>LAVORAZIONI!W286</f>
        <v/>
      </c>
      <c r="I34" s="82">
        <f>LAVORAZIONI!X286</f>
        <v/>
      </c>
    </row>
    <row r="35">
      <c r="A35" s="79">
        <f>LAVORAZIONI!G287</f>
        <v/>
      </c>
      <c r="B35" s="80">
        <f>LAVORAZIONI!A287</f>
        <v/>
      </c>
      <c r="C35" s="80">
        <f>LAVORAZIONI!K287</f>
        <v/>
      </c>
      <c r="D35" s="79">
        <f>LAVORAZIONI!M287</f>
        <v/>
      </c>
      <c r="E35" s="81">
        <f>LAVORAZIONI!N287</f>
        <v/>
      </c>
      <c r="F35" s="81">
        <f>LAVORAZIONI!O287</f>
        <v/>
      </c>
      <c r="G35" s="82">
        <f>LAVORAZIONI!P287</f>
        <v/>
      </c>
      <c r="H35" s="83">
        <f>LAVORAZIONI!W287</f>
        <v/>
      </c>
      <c r="I35" s="82">
        <f>LAVORAZIONI!X287</f>
        <v/>
      </c>
    </row>
    <row r="36">
      <c r="A36" s="79">
        <f>LAVORAZIONI!G288</f>
        <v/>
      </c>
      <c r="B36" s="80">
        <f>LAVORAZIONI!A288</f>
        <v/>
      </c>
      <c r="C36" s="80">
        <f>LAVORAZIONI!K288</f>
        <v/>
      </c>
      <c r="D36" s="79">
        <f>LAVORAZIONI!M288</f>
        <v/>
      </c>
      <c r="E36" s="81">
        <f>LAVORAZIONI!N288</f>
        <v/>
      </c>
      <c r="F36" s="81">
        <f>LAVORAZIONI!O288</f>
        <v/>
      </c>
      <c r="G36" s="82">
        <f>LAVORAZIONI!P288</f>
        <v/>
      </c>
      <c r="H36" s="83">
        <f>LAVORAZIONI!W288</f>
        <v/>
      </c>
      <c r="I36" s="82">
        <f>LAVORAZIONI!X288</f>
        <v/>
      </c>
    </row>
    <row r="37">
      <c r="A37" s="79">
        <f>LAVORAZIONI!G289</f>
        <v/>
      </c>
      <c r="B37" s="80">
        <f>LAVORAZIONI!A289</f>
        <v/>
      </c>
      <c r="C37" s="80">
        <f>LAVORAZIONI!K289</f>
        <v/>
      </c>
      <c r="D37" s="79">
        <f>LAVORAZIONI!M289</f>
        <v/>
      </c>
      <c r="E37" s="81">
        <f>LAVORAZIONI!N289</f>
        <v/>
      </c>
      <c r="F37" s="81">
        <f>LAVORAZIONI!O289</f>
        <v/>
      </c>
      <c r="G37" s="82">
        <f>LAVORAZIONI!P289</f>
        <v/>
      </c>
      <c r="H37" s="83">
        <f>LAVORAZIONI!W289</f>
        <v/>
      </c>
      <c r="I37" s="82">
        <f>LAVORAZIONI!X289</f>
        <v/>
      </c>
    </row>
    <row r="38">
      <c r="A38" s="79">
        <f>LAVORAZIONI!G290</f>
        <v/>
      </c>
      <c r="B38" s="80">
        <f>LAVORAZIONI!A290</f>
        <v/>
      </c>
      <c r="C38" s="80">
        <f>LAVORAZIONI!K290</f>
        <v/>
      </c>
      <c r="D38" s="79">
        <f>LAVORAZIONI!M290</f>
        <v/>
      </c>
      <c r="E38" s="81">
        <f>LAVORAZIONI!N290</f>
        <v/>
      </c>
      <c r="F38" s="81">
        <f>LAVORAZIONI!O290</f>
        <v/>
      </c>
      <c r="G38" s="82">
        <f>LAVORAZIONI!P290</f>
        <v/>
      </c>
      <c r="H38" s="83">
        <f>LAVORAZIONI!W290</f>
        <v/>
      </c>
      <c r="I38" s="82">
        <f>LAVORAZIONI!X290</f>
        <v/>
      </c>
    </row>
    <row r="39">
      <c r="A39" s="79">
        <f>LAVORAZIONI!G291</f>
        <v/>
      </c>
      <c r="B39" s="80">
        <f>LAVORAZIONI!A291</f>
        <v/>
      </c>
      <c r="C39" s="80">
        <f>LAVORAZIONI!K291</f>
        <v/>
      </c>
      <c r="D39" s="79">
        <f>LAVORAZIONI!M291</f>
        <v/>
      </c>
      <c r="E39" s="81">
        <f>LAVORAZIONI!N291</f>
        <v/>
      </c>
      <c r="F39" s="81">
        <f>LAVORAZIONI!O291</f>
        <v/>
      </c>
      <c r="G39" s="82">
        <f>LAVORAZIONI!P291</f>
        <v/>
      </c>
      <c r="H39" s="83">
        <f>LAVORAZIONI!W291</f>
        <v/>
      </c>
      <c r="I39" s="82">
        <f>LAVORAZIONI!X291</f>
        <v/>
      </c>
    </row>
    <row r="40">
      <c r="A40" s="79">
        <f>LAVORAZIONI!G292</f>
        <v/>
      </c>
      <c r="B40" s="80">
        <f>LAVORAZIONI!A292</f>
        <v/>
      </c>
      <c r="C40" s="80">
        <f>LAVORAZIONI!K292</f>
        <v/>
      </c>
      <c r="D40" s="79">
        <f>LAVORAZIONI!M292</f>
        <v/>
      </c>
      <c r="E40" s="81">
        <f>LAVORAZIONI!N292</f>
        <v/>
      </c>
      <c r="F40" s="81">
        <f>LAVORAZIONI!O292</f>
        <v/>
      </c>
      <c r="G40" s="82">
        <f>LAVORAZIONI!P292</f>
        <v/>
      </c>
      <c r="H40" s="83">
        <f>LAVORAZIONI!W292</f>
        <v/>
      </c>
      <c r="I40" s="82">
        <f>LAVORAZIONI!X292</f>
        <v/>
      </c>
    </row>
    <row r="41">
      <c r="A41" s="79">
        <f>LAVORAZIONI!G293</f>
        <v/>
      </c>
      <c r="B41" s="80">
        <f>LAVORAZIONI!A293</f>
        <v/>
      </c>
      <c r="C41" s="80">
        <f>LAVORAZIONI!K293</f>
        <v/>
      </c>
      <c r="D41" s="79">
        <f>LAVORAZIONI!M293</f>
        <v/>
      </c>
      <c r="E41" s="81">
        <f>LAVORAZIONI!N293</f>
        <v/>
      </c>
      <c r="F41" s="81">
        <f>LAVORAZIONI!O293</f>
        <v/>
      </c>
      <c r="G41" s="82">
        <f>LAVORAZIONI!P293</f>
        <v/>
      </c>
      <c r="H41" s="83">
        <f>LAVORAZIONI!W293</f>
        <v/>
      </c>
      <c r="I41" s="82">
        <f>LAVORAZIONI!X293</f>
        <v/>
      </c>
    </row>
    <row r="42">
      <c r="A42" s="79">
        <f>LAVORAZIONI!G294</f>
        <v/>
      </c>
      <c r="B42" s="80">
        <f>LAVORAZIONI!A294</f>
        <v/>
      </c>
      <c r="C42" s="80">
        <f>LAVORAZIONI!K294</f>
        <v/>
      </c>
      <c r="D42" s="79">
        <f>LAVORAZIONI!M294</f>
        <v/>
      </c>
      <c r="E42" s="81">
        <f>LAVORAZIONI!N294</f>
        <v/>
      </c>
      <c r="F42" s="81">
        <f>LAVORAZIONI!O294</f>
        <v/>
      </c>
      <c r="G42" s="82">
        <f>LAVORAZIONI!P294</f>
        <v/>
      </c>
      <c r="H42" s="83">
        <f>LAVORAZIONI!W294</f>
        <v/>
      </c>
      <c r="I42" s="82">
        <f>LAVORAZIONI!X294</f>
        <v/>
      </c>
    </row>
    <row r="43">
      <c r="A43" s="79">
        <f>LAVORAZIONI!G295</f>
        <v/>
      </c>
      <c r="B43" s="80">
        <f>LAVORAZIONI!A295</f>
        <v/>
      </c>
      <c r="C43" s="80">
        <f>LAVORAZIONI!K295</f>
        <v/>
      </c>
      <c r="D43" s="79">
        <f>LAVORAZIONI!M295</f>
        <v/>
      </c>
      <c r="E43" s="81">
        <f>LAVORAZIONI!N295</f>
        <v/>
      </c>
      <c r="F43" s="81">
        <f>LAVORAZIONI!O295</f>
        <v/>
      </c>
      <c r="G43" s="82">
        <f>LAVORAZIONI!P295</f>
        <v/>
      </c>
      <c r="H43" s="83">
        <f>LAVORAZIONI!W295</f>
        <v/>
      </c>
      <c r="I43" s="82">
        <f>LAVORAZIONI!X295</f>
        <v/>
      </c>
    </row>
    <row r="44">
      <c r="A44" s="79">
        <f>LAVORAZIONI!G296</f>
        <v/>
      </c>
      <c r="B44" s="80">
        <f>LAVORAZIONI!A296</f>
        <v/>
      </c>
      <c r="C44" s="80">
        <f>LAVORAZIONI!K296</f>
        <v/>
      </c>
      <c r="D44" s="79">
        <f>LAVORAZIONI!M296</f>
        <v/>
      </c>
      <c r="E44" s="81">
        <f>LAVORAZIONI!N296</f>
        <v/>
      </c>
      <c r="F44" s="81">
        <f>LAVORAZIONI!O296</f>
        <v/>
      </c>
      <c r="G44" s="82">
        <f>LAVORAZIONI!P296</f>
        <v/>
      </c>
      <c r="H44" s="83">
        <f>LAVORAZIONI!W296</f>
        <v/>
      </c>
      <c r="I44" s="82">
        <f>LAVORAZIONI!X296</f>
        <v/>
      </c>
    </row>
    <row r="45">
      <c r="A45" s="79">
        <f>LAVORAZIONI!G297</f>
        <v/>
      </c>
      <c r="B45" s="80">
        <f>LAVORAZIONI!A297</f>
        <v/>
      </c>
      <c r="C45" s="80">
        <f>LAVORAZIONI!K297</f>
        <v/>
      </c>
      <c r="D45" s="79">
        <f>LAVORAZIONI!M297</f>
        <v/>
      </c>
      <c r="E45" s="81">
        <f>LAVORAZIONI!N297</f>
        <v/>
      </c>
      <c r="F45" s="81">
        <f>LAVORAZIONI!O297</f>
        <v/>
      </c>
      <c r="G45" s="82">
        <f>LAVORAZIONI!P297</f>
        <v/>
      </c>
      <c r="H45" s="83">
        <f>LAVORAZIONI!W297</f>
        <v/>
      </c>
      <c r="I45" s="82">
        <f>LAVORAZIONI!X297</f>
        <v/>
      </c>
    </row>
    <row r="46">
      <c r="A46" s="79">
        <f>LAVORAZIONI!G298</f>
        <v/>
      </c>
      <c r="B46" s="80">
        <f>LAVORAZIONI!A298</f>
        <v/>
      </c>
      <c r="C46" s="80">
        <f>LAVORAZIONI!K298</f>
        <v/>
      </c>
      <c r="D46" s="79">
        <f>LAVORAZIONI!M298</f>
        <v/>
      </c>
      <c r="E46" s="81">
        <f>LAVORAZIONI!N298</f>
        <v/>
      </c>
      <c r="F46" s="81">
        <f>LAVORAZIONI!O298</f>
        <v/>
      </c>
      <c r="G46" s="82">
        <f>LAVORAZIONI!P298</f>
        <v/>
      </c>
      <c r="H46" s="83">
        <f>LAVORAZIONI!W298</f>
        <v/>
      </c>
      <c r="I46" s="82">
        <f>LAVORAZIONI!X298</f>
        <v/>
      </c>
    </row>
    <row r="47">
      <c r="A47" s="79">
        <f>LAVORAZIONI!G299</f>
        <v/>
      </c>
      <c r="B47" s="80">
        <f>LAVORAZIONI!A299</f>
        <v/>
      </c>
      <c r="C47" s="80">
        <f>LAVORAZIONI!K299</f>
        <v/>
      </c>
      <c r="D47" s="79">
        <f>LAVORAZIONI!M299</f>
        <v/>
      </c>
      <c r="E47" s="81">
        <f>LAVORAZIONI!N299</f>
        <v/>
      </c>
      <c r="F47" s="81">
        <f>LAVORAZIONI!O299</f>
        <v/>
      </c>
      <c r="G47" s="82">
        <f>LAVORAZIONI!P299</f>
        <v/>
      </c>
      <c r="H47" s="83">
        <f>LAVORAZIONI!W299</f>
        <v/>
      </c>
      <c r="I47" s="82">
        <f>LAVORAZIONI!X299</f>
        <v/>
      </c>
    </row>
    <row r="48">
      <c r="A48" s="79">
        <f>LAVORAZIONI!G300</f>
        <v/>
      </c>
      <c r="B48" s="80">
        <f>LAVORAZIONI!A300</f>
        <v/>
      </c>
      <c r="C48" s="80">
        <f>LAVORAZIONI!K300</f>
        <v/>
      </c>
      <c r="D48" s="79">
        <f>LAVORAZIONI!M300</f>
        <v/>
      </c>
      <c r="E48" s="81">
        <f>LAVORAZIONI!N300</f>
        <v/>
      </c>
      <c r="F48" s="81">
        <f>LAVORAZIONI!O300</f>
        <v/>
      </c>
      <c r="G48" s="82">
        <f>LAVORAZIONI!P300</f>
        <v/>
      </c>
      <c r="H48" s="83">
        <f>LAVORAZIONI!W300</f>
        <v/>
      </c>
      <c r="I48" s="82">
        <f>LAVORAZIONI!X300</f>
        <v/>
      </c>
    </row>
    <row r="49">
      <c r="A49" s="79">
        <f>LAVORAZIONI!G301</f>
        <v/>
      </c>
      <c r="B49" s="80">
        <f>LAVORAZIONI!A301</f>
        <v/>
      </c>
      <c r="C49" s="80">
        <f>LAVORAZIONI!K301</f>
        <v/>
      </c>
      <c r="D49" s="79">
        <f>LAVORAZIONI!M301</f>
        <v/>
      </c>
      <c r="E49" s="81">
        <f>LAVORAZIONI!N301</f>
        <v/>
      </c>
      <c r="F49" s="81">
        <f>LAVORAZIONI!O301</f>
        <v/>
      </c>
      <c r="G49" s="82">
        <f>LAVORAZIONI!P301</f>
        <v/>
      </c>
      <c r="H49" s="83">
        <f>LAVORAZIONI!W301</f>
        <v/>
      </c>
      <c r="I49" s="82">
        <f>LAVORAZIONI!X301</f>
        <v/>
      </c>
    </row>
    <row r="50">
      <c r="A50" s="79">
        <f>LAVORAZIONI!G302</f>
        <v/>
      </c>
      <c r="B50" s="80">
        <f>LAVORAZIONI!A302</f>
        <v/>
      </c>
      <c r="C50" s="80">
        <f>LAVORAZIONI!K302</f>
        <v/>
      </c>
      <c r="D50" s="79">
        <f>LAVORAZIONI!M302</f>
        <v/>
      </c>
      <c r="E50" s="81">
        <f>LAVORAZIONI!N302</f>
        <v/>
      </c>
      <c r="F50" s="81">
        <f>LAVORAZIONI!O302</f>
        <v/>
      </c>
      <c r="G50" s="82">
        <f>LAVORAZIONI!P302</f>
        <v/>
      </c>
      <c r="H50" s="83">
        <f>LAVORAZIONI!W302</f>
        <v/>
      </c>
      <c r="I50" s="82">
        <f>LAVORAZIONI!X302</f>
        <v/>
      </c>
    </row>
    <row r="51">
      <c r="A51" s="84">
        <f>LAVORAZIONI!G303</f>
        <v/>
      </c>
      <c r="B51" s="85">
        <f>LAVORAZIONI!A303</f>
        <v/>
      </c>
      <c r="C51" s="85">
        <f>LAVORAZIONI!K303</f>
        <v/>
      </c>
      <c r="D51" s="84">
        <f>LAVORAZIONI!M303</f>
        <v/>
      </c>
      <c r="E51" s="86">
        <f>LAVORAZIONI!N303</f>
        <v/>
      </c>
      <c r="F51" s="86">
        <f>LAVORAZIONI!O303</f>
        <v/>
      </c>
      <c r="G51" s="87">
        <f>LAVORAZIONI!P303</f>
        <v/>
      </c>
      <c r="H51" s="88">
        <f>LAVORAZIONI!W303</f>
        <v/>
      </c>
      <c r="I51" s="87">
        <f>LAVORAZIONI!X303</f>
        <v/>
      </c>
    </row>
    <row r="52">
      <c r="A52" s="84">
        <f>LAVORAZIONI!G304</f>
        <v/>
      </c>
      <c r="B52" s="85">
        <f>LAVORAZIONI!A304</f>
        <v/>
      </c>
      <c r="C52" s="85">
        <f>LAVORAZIONI!K304</f>
        <v/>
      </c>
      <c r="D52" s="84">
        <f>LAVORAZIONI!M304</f>
        <v/>
      </c>
      <c r="E52" s="86">
        <f>LAVORAZIONI!N304</f>
        <v/>
      </c>
      <c r="F52" s="86">
        <f>LAVORAZIONI!O304</f>
        <v/>
      </c>
      <c r="G52" s="87">
        <f>LAVORAZIONI!P304</f>
        <v/>
      </c>
      <c r="H52" s="88">
        <f>LAVORAZIONI!W304</f>
        <v/>
      </c>
      <c r="I52" s="87">
        <f>LAVORAZIONI!X304</f>
        <v/>
      </c>
    </row>
    <row r="53">
      <c r="A53" s="84">
        <f>LAVORAZIONI!G305</f>
        <v/>
      </c>
      <c r="B53" s="85">
        <f>LAVORAZIONI!A305</f>
        <v/>
      </c>
      <c r="C53" s="85">
        <f>LAVORAZIONI!K305</f>
        <v/>
      </c>
      <c r="D53" s="84">
        <f>LAVORAZIONI!M305</f>
        <v/>
      </c>
      <c r="E53" s="86">
        <f>LAVORAZIONI!N305</f>
        <v/>
      </c>
      <c r="F53" s="86">
        <f>LAVORAZIONI!O305</f>
        <v/>
      </c>
      <c r="G53" s="87">
        <f>LAVORAZIONI!P305</f>
        <v/>
      </c>
      <c r="H53" s="88">
        <f>LAVORAZIONI!W305</f>
        <v/>
      </c>
      <c r="I53" s="87">
        <f>LAVORAZIONI!X305</f>
        <v/>
      </c>
    </row>
    <row r="54">
      <c r="A54" s="84">
        <f>LAVORAZIONI!G306</f>
        <v/>
      </c>
      <c r="B54" s="85">
        <f>LAVORAZIONI!A306</f>
        <v/>
      </c>
      <c r="C54" s="85">
        <f>LAVORAZIONI!K306</f>
        <v/>
      </c>
      <c r="D54" s="84">
        <f>LAVORAZIONI!M306</f>
        <v/>
      </c>
      <c r="E54" s="86">
        <f>LAVORAZIONI!N306</f>
        <v/>
      </c>
      <c r="F54" s="86">
        <f>LAVORAZIONI!O306</f>
        <v/>
      </c>
      <c r="G54" s="87">
        <f>LAVORAZIONI!P306</f>
        <v/>
      </c>
      <c r="H54" s="88">
        <f>LAVORAZIONI!W306</f>
        <v/>
      </c>
      <c r="I54" s="87">
        <f>LAVORAZIONI!X306</f>
        <v/>
      </c>
    </row>
    <row r="55">
      <c r="A55" s="79">
        <f>LAVORAZIONI!G307</f>
        <v/>
      </c>
      <c r="B55" s="80">
        <f>LAVORAZIONI!A307</f>
        <v/>
      </c>
      <c r="C55" s="80">
        <f>LAVORAZIONI!K307</f>
        <v/>
      </c>
      <c r="D55" s="79">
        <f>LAVORAZIONI!M307</f>
        <v/>
      </c>
      <c r="E55" s="81">
        <f>LAVORAZIONI!N307</f>
        <v/>
      </c>
      <c r="F55" s="81">
        <f>LAVORAZIONI!O307</f>
        <v/>
      </c>
      <c r="G55" s="82">
        <f>LAVORAZIONI!P307</f>
        <v/>
      </c>
      <c r="H55" s="83">
        <f>LAVORAZIONI!W307</f>
        <v/>
      </c>
      <c r="I55" s="82">
        <f>LAVORAZIONI!X307</f>
        <v/>
      </c>
    </row>
    <row r="56">
      <c r="A56" s="79">
        <f>LAVORAZIONI!G308</f>
        <v/>
      </c>
      <c r="B56" s="80">
        <f>LAVORAZIONI!A308</f>
        <v/>
      </c>
      <c r="C56" s="80">
        <f>LAVORAZIONI!K308</f>
        <v/>
      </c>
      <c r="D56" s="79">
        <f>LAVORAZIONI!M308</f>
        <v/>
      </c>
      <c r="E56" s="81">
        <f>LAVORAZIONI!N308</f>
        <v/>
      </c>
      <c r="F56" s="81">
        <f>LAVORAZIONI!O308</f>
        <v/>
      </c>
      <c r="G56" s="82">
        <f>LAVORAZIONI!P308</f>
        <v/>
      </c>
      <c r="H56" s="83">
        <f>LAVORAZIONI!W308</f>
        <v/>
      </c>
      <c r="I56" s="82">
        <f>LAVORAZIONI!X308</f>
        <v/>
      </c>
    </row>
    <row r="57">
      <c r="A57" s="79">
        <f>LAVORAZIONI!G309</f>
        <v/>
      </c>
      <c r="B57" s="80">
        <f>LAVORAZIONI!A309</f>
        <v/>
      </c>
      <c r="C57" s="80">
        <f>LAVORAZIONI!K309</f>
        <v/>
      </c>
      <c r="D57" s="79">
        <f>LAVORAZIONI!M309</f>
        <v/>
      </c>
      <c r="E57" s="81">
        <f>LAVORAZIONI!N309</f>
        <v/>
      </c>
      <c r="F57" s="81">
        <f>LAVORAZIONI!O309</f>
        <v/>
      </c>
      <c r="G57" s="82">
        <f>LAVORAZIONI!P309</f>
        <v/>
      </c>
      <c r="H57" s="83">
        <f>LAVORAZIONI!W309</f>
        <v/>
      </c>
      <c r="I57" s="82">
        <f>LAVORAZIONI!X309</f>
        <v/>
      </c>
    </row>
    <row r="58">
      <c r="A58" s="79">
        <f>LAVORAZIONI!G310</f>
        <v/>
      </c>
      <c r="B58" s="80">
        <f>LAVORAZIONI!A310</f>
        <v/>
      </c>
      <c r="C58" s="80">
        <f>LAVORAZIONI!K310</f>
        <v/>
      </c>
      <c r="D58" s="79">
        <f>LAVORAZIONI!M310</f>
        <v/>
      </c>
      <c r="E58" s="81">
        <f>LAVORAZIONI!N310</f>
        <v/>
      </c>
      <c r="F58" s="81">
        <f>LAVORAZIONI!O310</f>
        <v/>
      </c>
      <c r="G58" s="82">
        <f>LAVORAZIONI!P310</f>
        <v/>
      </c>
      <c r="H58" s="83">
        <f>LAVORAZIONI!W310</f>
        <v/>
      </c>
      <c r="I58" s="82">
        <f>LAVORAZIONI!X310</f>
        <v/>
      </c>
    </row>
    <row r="59">
      <c r="A59" s="84">
        <f>LAVORAZIONI!G311</f>
        <v/>
      </c>
      <c r="B59" s="85">
        <f>LAVORAZIONI!A311</f>
        <v/>
      </c>
      <c r="C59" s="85">
        <f>LAVORAZIONI!K311</f>
        <v/>
      </c>
      <c r="D59" s="84">
        <f>LAVORAZIONI!M311</f>
        <v/>
      </c>
      <c r="E59" s="86">
        <f>LAVORAZIONI!N311</f>
        <v/>
      </c>
      <c r="F59" s="86">
        <f>LAVORAZIONI!O311</f>
        <v/>
      </c>
      <c r="G59" s="87">
        <f>LAVORAZIONI!P311</f>
        <v/>
      </c>
      <c r="H59" s="88">
        <f>LAVORAZIONI!W311</f>
        <v/>
      </c>
      <c r="I59" s="87">
        <f>LAVORAZIONI!X311</f>
        <v/>
      </c>
    </row>
    <row r="60">
      <c r="A60" s="84">
        <f>LAVORAZIONI!G312</f>
        <v/>
      </c>
      <c r="B60" s="85">
        <f>LAVORAZIONI!A312</f>
        <v/>
      </c>
      <c r="C60" s="85">
        <f>LAVORAZIONI!K312</f>
        <v/>
      </c>
      <c r="D60" s="84">
        <f>LAVORAZIONI!M312</f>
        <v/>
      </c>
      <c r="E60" s="86">
        <f>LAVORAZIONI!N312</f>
        <v/>
      </c>
      <c r="F60" s="86">
        <f>LAVORAZIONI!O312</f>
        <v/>
      </c>
      <c r="G60" s="87">
        <f>LAVORAZIONI!P312</f>
        <v/>
      </c>
      <c r="H60" s="88">
        <f>LAVORAZIONI!W312</f>
        <v/>
      </c>
      <c r="I60" s="87">
        <f>LAVORAZIONI!X312</f>
        <v/>
      </c>
    </row>
    <row r="61">
      <c r="A61" s="84">
        <f>LAVORAZIONI!G313</f>
        <v/>
      </c>
      <c r="B61" s="85">
        <f>LAVORAZIONI!A313</f>
        <v/>
      </c>
      <c r="C61" s="85">
        <f>LAVORAZIONI!K313</f>
        <v/>
      </c>
      <c r="D61" s="84">
        <f>LAVORAZIONI!M313</f>
        <v/>
      </c>
      <c r="E61" s="86">
        <f>LAVORAZIONI!N313</f>
        <v/>
      </c>
      <c r="F61" s="86">
        <f>LAVORAZIONI!O313</f>
        <v/>
      </c>
      <c r="G61" s="87">
        <f>LAVORAZIONI!P313</f>
        <v/>
      </c>
      <c r="H61" s="88">
        <f>LAVORAZIONI!W313</f>
        <v/>
      </c>
      <c r="I61" s="87">
        <f>LAVORAZIONI!X313</f>
        <v/>
      </c>
    </row>
    <row r="62">
      <c r="A62" s="84">
        <f>LAVORAZIONI!G314</f>
        <v/>
      </c>
      <c r="B62" s="85">
        <f>LAVORAZIONI!A314</f>
        <v/>
      </c>
      <c r="C62" s="85">
        <f>LAVORAZIONI!K314</f>
        <v/>
      </c>
      <c r="D62" s="84">
        <f>LAVORAZIONI!M314</f>
        <v/>
      </c>
      <c r="E62" s="86">
        <f>LAVORAZIONI!N314</f>
        <v/>
      </c>
      <c r="F62" s="86">
        <f>LAVORAZIONI!O314</f>
        <v/>
      </c>
      <c r="G62" s="87">
        <f>LAVORAZIONI!P314</f>
        <v/>
      </c>
      <c r="H62" s="88">
        <f>LAVORAZIONI!W314</f>
        <v/>
      </c>
      <c r="I62" s="87">
        <f>LAVORAZIONI!X314</f>
        <v/>
      </c>
    </row>
    <row r="63">
      <c r="A63" s="84">
        <f>LAVORAZIONI!G315</f>
        <v/>
      </c>
      <c r="B63" s="85">
        <f>LAVORAZIONI!A315</f>
        <v/>
      </c>
      <c r="C63" s="85">
        <f>LAVORAZIONI!K315</f>
        <v/>
      </c>
      <c r="D63" s="84">
        <f>LAVORAZIONI!M315</f>
        <v/>
      </c>
      <c r="E63" s="86">
        <f>LAVORAZIONI!N315</f>
        <v/>
      </c>
      <c r="F63" s="86">
        <f>LAVORAZIONI!O315</f>
        <v/>
      </c>
      <c r="G63" s="87">
        <f>LAVORAZIONI!P315</f>
        <v/>
      </c>
      <c r="H63" s="88">
        <f>LAVORAZIONI!W315</f>
        <v/>
      </c>
      <c r="I63" s="87">
        <f>LAVORAZIONI!X315</f>
        <v/>
      </c>
    </row>
    <row r="64">
      <c r="A64" s="84">
        <f>LAVORAZIONI!G316</f>
        <v/>
      </c>
      <c r="B64" s="85">
        <f>LAVORAZIONI!A316</f>
        <v/>
      </c>
      <c r="C64" s="85">
        <f>LAVORAZIONI!K316</f>
        <v/>
      </c>
      <c r="D64" s="84">
        <f>LAVORAZIONI!M316</f>
        <v/>
      </c>
      <c r="E64" s="86">
        <f>LAVORAZIONI!N316</f>
        <v/>
      </c>
      <c r="F64" s="86">
        <f>LAVORAZIONI!O316</f>
        <v/>
      </c>
      <c r="G64" s="87">
        <f>LAVORAZIONI!P316</f>
        <v/>
      </c>
      <c r="H64" s="88">
        <f>LAVORAZIONI!W316</f>
        <v/>
      </c>
      <c r="I64" s="87">
        <f>LAVORAZIONI!X316</f>
        <v/>
      </c>
    </row>
    <row r="65">
      <c r="A65" s="79">
        <f>LAVORAZIONI!G317</f>
        <v/>
      </c>
      <c r="B65" s="80">
        <f>LAVORAZIONI!A317</f>
        <v/>
      </c>
      <c r="C65" s="80">
        <f>LAVORAZIONI!K317</f>
        <v/>
      </c>
      <c r="D65" s="79">
        <f>LAVORAZIONI!M317</f>
        <v/>
      </c>
      <c r="E65" s="81">
        <f>LAVORAZIONI!N317</f>
        <v/>
      </c>
      <c r="F65" s="81">
        <f>LAVORAZIONI!O317</f>
        <v/>
      </c>
      <c r="G65" s="82">
        <f>LAVORAZIONI!P317</f>
        <v/>
      </c>
      <c r="H65" s="83">
        <f>LAVORAZIONI!W317</f>
        <v/>
      </c>
      <c r="I65" s="82">
        <f>LAVORAZIONI!X317</f>
        <v/>
      </c>
    </row>
    <row r="66">
      <c r="A66" s="79">
        <f>LAVORAZIONI!G318</f>
        <v/>
      </c>
      <c r="B66" s="80">
        <f>LAVORAZIONI!A318</f>
        <v/>
      </c>
      <c r="C66" s="80">
        <f>LAVORAZIONI!K318</f>
        <v/>
      </c>
      <c r="D66" s="79">
        <f>LAVORAZIONI!M318</f>
        <v/>
      </c>
      <c r="E66" s="81">
        <f>LAVORAZIONI!N318</f>
        <v/>
      </c>
      <c r="F66" s="81">
        <f>LAVORAZIONI!O318</f>
        <v/>
      </c>
      <c r="G66" s="82">
        <f>LAVORAZIONI!P318</f>
        <v/>
      </c>
      <c r="H66" s="83">
        <f>LAVORAZIONI!W318</f>
        <v/>
      </c>
      <c r="I66" s="82">
        <f>LAVORAZIONI!X318</f>
        <v/>
      </c>
    </row>
    <row r="67">
      <c r="A67" s="79">
        <f>LAVORAZIONI!G319</f>
        <v/>
      </c>
      <c r="B67" s="80">
        <f>LAVORAZIONI!A319</f>
        <v/>
      </c>
      <c r="C67" s="80">
        <f>LAVORAZIONI!K319</f>
        <v/>
      </c>
      <c r="D67" s="79">
        <f>LAVORAZIONI!M319</f>
        <v/>
      </c>
      <c r="E67" s="81">
        <f>LAVORAZIONI!N319</f>
        <v/>
      </c>
      <c r="F67" s="81">
        <f>LAVORAZIONI!O319</f>
        <v/>
      </c>
      <c r="G67" s="82">
        <f>LAVORAZIONI!P319</f>
        <v/>
      </c>
      <c r="H67" s="83">
        <f>LAVORAZIONI!W319</f>
        <v/>
      </c>
      <c r="I67" s="82">
        <f>LAVORAZIONI!X319</f>
        <v/>
      </c>
    </row>
    <row r="68">
      <c r="A68" s="79">
        <f>LAVORAZIONI!G320</f>
        <v/>
      </c>
      <c r="B68" s="80">
        <f>LAVORAZIONI!A320</f>
        <v/>
      </c>
      <c r="C68" s="80">
        <f>LAVORAZIONI!K320</f>
        <v/>
      </c>
      <c r="D68" s="79">
        <f>LAVORAZIONI!M320</f>
        <v/>
      </c>
      <c r="E68" s="81">
        <f>LAVORAZIONI!N320</f>
        <v/>
      </c>
      <c r="F68" s="81">
        <f>LAVORAZIONI!O320</f>
        <v/>
      </c>
      <c r="G68" s="82">
        <f>LAVORAZIONI!P320</f>
        <v/>
      </c>
      <c r="H68" s="83">
        <f>LAVORAZIONI!W320</f>
        <v/>
      </c>
      <c r="I68" s="82">
        <f>LAVORAZIONI!X320</f>
        <v/>
      </c>
    </row>
    <row r="69">
      <c r="A69" s="79">
        <f>LAVORAZIONI!G321</f>
        <v/>
      </c>
      <c r="B69" s="80">
        <f>LAVORAZIONI!A321</f>
        <v/>
      </c>
      <c r="C69" s="80">
        <f>LAVORAZIONI!K321</f>
        <v/>
      </c>
      <c r="D69" s="79">
        <f>LAVORAZIONI!M321</f>
        <v/>
      </c>
      <c r="E69" s="81">
        <f>LAVORAZIONI!N321</f>
        <v/>
      </c>
      <c r="F69" s="81">
        <f>LAVORAZIONI!O321</f>
        <v/>
      </c>
      <c r="G69" s="82">
        <f>LAVORAZIONI!P321</f>
        <v/>
      </c>
      <c r="H69" s="83">
        <f>LAVORAZIONI!W321</f>
        <v/>
      </c>
      <c r="I69" s="82">
        <f>LAVORAZIONI!X321</f>
        <v/>
      </c>
    </row>
    <row r="70">
      <c r="A70" s="79">
        <f>LAVORAZIONI!G322</f>
        <v/>
      </c>
      <c r="B70" s="80">
        <f>LAVORAZIONI!A322</f>
        <v/>
      </c>
      <c r="C70" s="80">
        <f>LAVORAZIONI!K322</f>
        <v/>
      </c>
      <c r="D70" s="79">
        <f>LAVORAZIONI!M322</f>
        <v/>
      </c>
      <c r="E70" s="81">
        <f>LAVORAZIONI!N322</f>
        <v/>
      </c>
      <c r="F70" s="81">
        <f>LAVORAZIONI!O322</f>
        <v/>
      </c>
      <c r="G70" s="82">
        <f>LAVORAZIONI!P322</f>
        <v/>
      </c>
      <c r="H70" s="83">
        <f>LAVORAZIONI!W322</f>
        <v/>
      </c>
      <c r="I70" s="82">
        <f>LAVORAZIONI!X322</f>
        <v/>
      </c>
    </row>
    <row r="71">
      <c r="A71" s="79">
        <f>LAVORAZIONI!G323</f>
        <v/>
      </c>
      <c r="B71" s="80">
        <f>LAVORAZIONI!A323</f>
        <v/>
      </c>
      <c r="C71" s="80">
        <f>LAVORAZIONI!K323</f>
        <v/>
      </c>
      <c r="D71" s="79">
        <f>LAVORAZIONI!M323</f>
        <v/>
      </c>
      <c r="E71" s="81">
        <f>LAVORAZIONI!N323</f>
        <v/>
      </c>
      <c r="F71" s="81">
        <f>LAVORAZIONI!O323</f>
        <v/>
      </c>
      <c r="G71" s="82">
        <f>LAVORAZIONI!P323</f>
        <v/>
      </c>
      <c r="H71" s="83">
        <f>LAVORAZIONI!W323</f>
        <v/>
      </c>
      <c r="I71" s="82">
        <f>LAVORAZIONI!X323</f>
        <v/>
      </c>
    </row>
    <row r="72">
      <c r="A72" s="79">
        <f>LAVORAZIONI!G324</f>
        <v/>
      </c>
      <c r="B72" s="80">
        <f>LAVORAZIONI!A324</f>
        <v/>
      </c>
      <c r="C72" s="80">
        <f>LAVORAZIONI!K324</f>
        <v/>
      </c>
      <c r="D72" s="79">
        <f>LAVORAZIONI!M324</f>
        <v/>
      </c>
      <c r="E72" s="81">
        <f>LAVORAZIONI!N324</f>
        <v/>
      </c>
      <c r="F72" s="81">
        <f>LAVORAZIONI!O324</f>
        <v/>
      </c>
      <c r="G72" s="82">
        <f>LAVORAZIONI!P324</f>
        <v/>
      </c>
      <c r="H72" s="83">
        <f>LAVORAZIONI!W324</f>
        <v/>
      </c>
      <c r="I72" s="82">
        <f>LAVORAZIONI!X324</f>
        <v/>
      </c>
    </row>
    <row r="73">
      <c r="A73" s="79">
        <f>LAVORAZIONI!G325</f>
        <v/>
      </c>
      <c r="B73" s="80">
        <f>LAVORAZIONI!A325</f>
        <v/>
      </c>
      <c r="C73" s="80">
        <f>LAVORAZIONI!K325</f>
        <v/>
      </c>
      <c r="D73" s="79">
        <f>LAVORAZIONI!M325</f>
        <v/>
      </c>
      <c r="E73" s="81">
        <f>LAVORAZIONI!N325</f>
        <v/>
      </c>
      <c r="F73" s="81">
        <f>LAVORAZIONI!O325</f>
        <v/>
      </c>
      <c r="G73" s="82">
        <f>LAVORAZIONI!P325</f>
        <v/>
      </c>
      <c r="H73" s="83">
        <f>LAVORAZIONI!W325</f>
        <v/>
      </c>
      <c r="I73" s="82">
        <f>LAVORAZIONI!X325</f>
        <v/>
      </c>
    </row>
    <row r="74">
      <c r="A74" s="84">
        <f>LAVORAZIONI!G326</f>
        <v/>
      </c>
      <c r="B74" s="85">
        <f>LAVORAZIONI!A326</f>
        <v/>
      </c>
      <c r="C74" s="85">
        <f>LAVORAZIONI!K326</f>
        <v/>
      </c>
      <c r="D74" s="84">
        <f>LAVORAZIONI!M326</f>
        <v/>
      </c>
      <c r="E74" s="86">
        <f>LAVORAZIONI!N326</f>
        <v/>
      </c>
      <c r="F74" s="86">
        <f>LAVORAZIONI!O326</f>
        <v/>
      </c>
      <c r="G74" s="87">
        <f>LAVORAZIONI!P326</f>
        <v/>
      </c>
      <c r="H74" s="88">
        <f>LAVORAZIONI!W326</f>
        <v/>
      </c>
      <c r="I74" s="87">
        <f>LAVORAZIONI!X326</f>
        <v/>
      </c>
    </row>
    <row r="75">
      <c r="A75" s="84">
        <f>LAVORAZIONI!G327</f>
        <v/>
      </c>
      <c r="B75" s="85">
        <f>LAVORAZIONI!A327</f>
        <v/>
      </c>
      <c r="C75" s="85">
        <f>LAVORAZIONI!K327</f>
        <v/>
      </c>
      <c r="D75" s="84">
        <f>LAVORAZIONI!M327</f>
        <v/>
      </c>
      <c r="E75" s="86">
        <f>LAVORAZIONI!N327</f>
        <v/>
      </c>
      <c r="F75" s="86">
        <f>LAVORAZIONI!O327</f>
        <v/>
      </c>
      <c r="G75" s="87">
        <f>LAVORAZIONI!P327</f>
        <v/>
      </c>
      <c r="H75" s="88">
        <f>LAVORAZIONI!W327</f>
        <v/>
      </c>
      <c r="I75" s="87">
        <f>LAVORAZIONI!X327</f>
        <v/>
      </c>
    </row>
    <row r="76">
      <c r="A76" s="79">
        <f>LAVORAZIONI!G328</f>
        <v/>
      </c>
      <c r="B76" s="80">
        <f>LAVORAZIONI!A328</f>
        <v/>
      </c>
      <c r="C76" s="80">
        <f>LAVORAZIONI!K328</f>
        <v/>
      </c>
      <c r="D76" s="79">
        <f>LAVORAZIONI!M328</f>
        <v/>
      </c>
      <c r="E76" s="81">
        <f>LAVORAZIONI!N328</f>
        <v/>
      </c>
      <c r="F76" s="81">
        <f>LAVORAZIONI!O328</f>
        <v/>
      </c>
      <c r="G76" s="82">
        <f>LAVORAZIONI!P328</f>
        <v/>
      </c>
      <c r="H76" s="83">
        <f>LAVORAZIONI!W328</f>
        <v/>
      </c>
      <c r="I76" s="82">
        <f>LAVORAZIONI!X328</f>
        <v/>
      </c>
    </row>
    <row r="77">
      <c r="A77" s="79">
        <f>LAVORAZIONI!G329</f>
        <v/>
      </c>
      <c r="B77" s="80">
        <f>LAVORAZIONI!A329</f>
        <v/>
      </c>
      <c r="C77" s="80">
        <f>LAVORAZIONI!K329</f>
        <v/>
      </c>
      <c r="D77" s="79">
        <f>LAVORAZIONI!M329</f>
        <v/>
      </c>
      <c r="E77" s="81">
        <f>LAVORAZIONI!N329</f>
        <v/>
      </c>
      <c r="F77" s="81">
        <f>LAVORAZIONI!O329</f>
        <v/>
      </c>
      <c r="G77" s="82">
        <f>LAVORAZIONI!P329</f>
        <v/>
      </c>
      <c r="H77" s="83">
        <f>LAVORAZIONI!W329</f>
        <v/>
      </c>
      <c r="I77" s="82">
        <f>LAVORAZIONI!X329</f>
        <v/>
      </c>
    </row>
    <row r="78">
      <c r="A78" s="84">
        <f>LAVORAZIONI!G330</f>
        <v/>
      </c>
      <c r="B78" s="85">
        <f>LAVORAZIONI!A330</f>
        <v/>
      </c>
      <c r="C78" s="85">
        <f>LAVORAZIONI!K330</f>
        <v/>
      </c>
      <c r="D78" s="84">
        <f>LAVORAZIONI!M330</f>
        <v/>
      </c>
      <c r="E78" s="86">
        <f>LAVORAZIONI!N330</f>
        <v/>
      </c>
      <c r="F78" s="86">
        <f>LAVORAZIONI!O330</f>
        <v/>
      </c>
      <c r="G78" s="87">
        <f>LAVORAZIONI!P330</f>
        <v/>
      </c>
      <c r="H78" s="88">
        <f>LAVORAZIONI!W330</f>
        <v/>
      </c>
      <c r="I78" s="87">
        <f>LAVORAZIONI!X330</f>
        <v/>
      </c>
    </row>
    <row r="79">
      <c r="A79" s="79">
        <f>LAVORAZIONI!G331</f>
        <v/>
      </c>
      <c r="B79" s="80">
        <f>LAVORAZIONI!A331</f>
        <v/>
      </c>
      <c r="C79" s="80">
        <f>LAVORAZIONI!K331</f>
        <v/>
      </c>
      <c r="D79" s="79">
        <f>LAVORAZIONI!M331</f>
        <v/>
      </c>
      <c r="E79" s="81">
        <f>LAVORAZIONI!N331</f>
        <v/>
      </c>
      <c r="F79" s="81">
        <f>LAVORAZIONI!O331</f>
        <v/>
      </c>
      <c r="G79" s="82">
        <f>LAVORAZIONI!P331</f>
        <v/>
      </c>
      <c r="H79" s="83">
        <f>LAVORAZIONI!W331</f>
        <v/>
      </c>
      <c r="I79" s="82">
        <f>LAVORAZIONI!X331</f>
        <v/>
      </c>
    </row>
    <row r="80">
      <c r="A80" s="84">
        <f>LAVORAZIONI!G332</f>
        <v/>
      </c>
      <c r="B80" s="85">
        <f>LAVORAZIONI!A332</f>
        <v/>
      </c>
      <c r="C80" s="85">
        <f>LAVORAZIONI!K332</f>
        <v/>
      </c>
      <c r="D80" s="84">
        <f>LAVORAZIONI!M332</f>
        <v/>
      </c>
      <c r="E80" s="86">
        <f>LAVORAZIONI!N332</f>
        <v/>
      </c>
      <c r="F80" s="86">
        <f>LAVORAZIONI!O332</f>
        <v/>
      </c>
      <c r="G80" s="87">
        <f>LAVORAZIONI!P332</f>
        <v/>
      </c>
      <c r="H80" s="88">
        <f>LAVORAZIONI!W332</f>
        <v/>
      </c>
      <c r="I80" s="87">
        <f>LAVORAZIONI!X332</f>
        <v/>
      </c>
    </row>
    <row r="81">
      <c r="A81" s="84">
        <f>LAVORAZIONI!G333</f>
        <v/>
      </c>
      <c r="B81" s="85">
        <f>LAVORAZIONI!A333</f>
        <v/>
      </c>
      <c r="C81" s="85">
        <f>LAVORAZIONI!K333</f>
        <v/>
      </c>
      <c r="D81" s="84">
        <f>LAVORAZIONI!M333</f>
        <v/>
      </c>
      <c r="E81" s="86">
        <f>LAVORAZIONI!N333</f>
        <v/>
      </c>
      <c r="F81" s="86">
        <f>LAVORAZIONI!O333</f>
        <v/>
      </c>
      <c r="G81" s="87">
        <f>LAVORAZIONI!P333</f>
        <v/>
      </c>
      <c r="H81" s="88">
        <f>LAVORAZIONI!W333</f>
        <v/>
      </c>
      <c r="I81" s="87">
        <f>LAVORAZIONI!X333</f>
        <v/>
      </c>
    </row>
    <row r="82">
      <c r="A82" s="79">
        <f>LAVORAZIONI!G334</f>
        <v/>
      </c>
      <c r="B82" s="80">
        <f>LAVORAZIONI!A334</f>
        <v/>
      </c>
      <c r="C82" s="80">
        <f>LAVORAZIONI!K334</f>
        <v/>
      </c>
      <c r="D82" s="79">
        <f>LAVORAZIONI!M334</f>
        <v/>
      </c>
      <c r="E82" s="81">
        <f>LAVORAZIONI!N334</f>
        <v/>
      </c>
      <c r="F82" s="81">
        <f>LAVORAZIONI!O334</f>
        <v/>
      </c>
      <c r="G82" s="82">
        <f>LAVORAZIONI!P334</f>
        <v/>
      </c>
      <c r="H82" s="83">
        <f>LAVORAZIONI!W334</f>
        <v/>
      </c>
      <c r="I82" s="82">
        <f>LAVORAZIONI!X334</f>
        <v/>
      </c>
    </row>
    <row r="83">
      <c r="A83" s="79">
        <f>LAVORAZIONI!G335</f>
        <v/>
      </c>
      <c r="B83" s="80">
        <f>LAVORAZIONI!A335</f>
        <v/>
      </c>
      <c r="C83" s="80">
        <f>LAVORAZIONI!K335</f>
        <v/>
      </c>
      <c r="D83" s="79">
        <f>LAVORAZIONI!M335</f>
        <v/>
      </c>
      <c r="E83" s="81">
        <f>LAVORAZIONI!N335</f>
        <v/>
      </c>
      <c r="F83" s="81">
        <f>LAVORAZIONI!O335</f>
        <v/>
      </c>
      <c r="G83" s="82">
        <f>LAVORAZIONI!P335</f>
        <v/>
      </c>
      <c r="H83" s="83">
        <f>LAVORAZIONI!W335</f>
        <v/>
      </c>
      <c r="I83" s="82">
        <f>LAVORAZIONI!X335</f>
        <v/>
      </c>
    </row>
    <row r="84">
      <c r="A84" s="79">
        <f>LAVORAZIONI!G336</f>
        <v/>
      </c>
      <c r="B84" s="80">
        <f>LAVORAZIONI!A336</f>
        <v/>
      </c>
      <c r="C84" s="80">
        <f>LAVORAZIONI!K336</f>
        <v/>
      </c>
      <c r="D84" s="79">
        <f>LAVORAZIONI!M336</f>
        <v/>
      </c>
      <c r="E84" s="81">
        <f>LAVORAZIONI!N336</f>
        <v/>
      </c>
      <c r="F84" s="81">
        <f>LAVORAZIONI!O336</f>
        <v/>
      </c>
      <c r="G84" s="82">
        <f>LAVORAZIONI!P336</f>
        <v/>
      </c>
      <c r="H84" s="83">
        <f>LAVORAZIONI!W336</f>
        <v/>
      </c>
      <c r="I84" s="82">
        <f>LAVORAZIONI!X336</f>
        <v/>
      </c>
    </row>
    <row r="85">
      <c r="A85" s="84">
        <f>LAVORAZIONI!G337</f>
        <v/>
      </c>
      <c r="B85" s="85">
        <f>LAVORAZIONI!A337</f>
        <v/>
      </c>
      <c r="C85" s="85">
        <f>LAVORAZIONI!K337</f>
        <v/>
      </c>
      <c r="D85" s="84">
        <f>LAVORAZIONI!M337</f>
        <v/>
      </c>
      <c r="E85" s="86">
        <f>LAVORAZIONI!N337</f>
        <v/>
      </c>
      <c r="F85" s="86">
        <f>LAVORAZIONI!O337</f>
        <v/>
      </c>
      <c r="G85" s="87">
        <f>LAVORAZIONI!P337</f>
        <v/>
      </c>
      <c r="H85" s="88">
        <f>LAVORAZIONI!W337</f>
        <v/>
      </c>
      <c r="I85" s="87">
        <f>LAVORAZIONI!X337</f>
        <v/>
      </c>
    </row>
    <row r="86">
      <c r="A86" s="79">
        <f>LAVORAZIONI!G338</f>
        <v/>
      </c>
      <c r="B86" s="80">
        <f>LAVORAZIONI!A338</f>
        <v/>
      </c>
      <c r="C86" s="80">
        <f>LAVORAZIONI!K338</f>
        <v/>
      </c>
      <c r="D86" s="79">
        <f>LAVORAZIONI!M338</f>
        <v/>
      </c>
      <c r="E86" s="81">
        <f>LAVORAZIONI!N338</f>
        <v/>
      </c>
      <c r="F86" s="81">
        <f>LAVORAZIONI!O338</f>
        <v/>
      </c>
      <c r="G86" s="82">
        <f>LAVORAZIONI!P338</f>
        <v/>
      </c>
      <c r="H86" s="83">
        <f>LAVORAZIONI!W338</f>
        <v/>
      </c>
      <c r="I86" s="82">
        <f>LAVORAZIONI!X338</f>
        <v/>
      </c>
    </row>
    <row r="87">
      <c r="A87" s="84">
        <f>LAVORAZIONI!G339</f>
        <v/>
      </c>
      <c r="B87" s="85">
        <f>LAVORAZIONI!A339</f>
        <v/>
      </c>
      <c r="C87" s="85">
        <f>LAVORAZIONI!K339</f>
        <v/>
      </c>
      <c r="D87" s="84">
        <f>LAVORAZIONI!M339</f>
        <v/>
      </c>
      <c r="E87" s="86">
        <f>LAVORAZIONI!N339</f>
        <v/>
      </c>
      <c r="F87" s="86">
        <f>LAVORAZIONI!O339</f>
        <v/>
      </c>
      <c r="G87" s="87">
        <f>LAVORAZIONI!P339</f>
        <v/>
      </c>
      <c r="H87" s="88">
        <f>LAVORAZIONI!W339</f>
        <v/>
      </c>
      <c r="I87" s="87">
        <f>LAVORAZIONI!X339</f>
        <v/>
      </c>
    </row>
    <row r="88">
      <c r="A88" s="84">
        <f>LAVORAZIONI!G340</f>
        <v/>
      </c>
      <c r="B88" s="85">
        <f>LAVORAZIONI!A340</f>
        <v/>
      </c>
      <c r="C88" s="85">
        <f>LAVORAZIONI!K340</f>
        <v/>
      </c>
      <c r="D88" s="84">
        <f>LAVORAZIONI!M340</f>
        <v/>
      </c>
      <c r="E88" s="86">
        <f>LAVORAZIONI!N340</f>
        <v/>
      </c>
      <c r="F88" s="86">
        <f>LAVORAZIONI!O340</f>
        <v/>
      </c>
      <c r="G88" s="87">
        <f>LAVORAZIONI!P340</f>
        <v/>
      </c>
      <c r="H88" s="88">
        <f>LAVORAZIONI!W340</f>
        <v/>
      </c>
      <c r="I88" s="87">
        <f>LAVORAZIONI!X340</f>
        <v/>
      </c>
    </row>
    <row r="89">
      <c r="A89" s="79">
        <f>LAVORAZIONI!G341</f>
        <v/>
      </c>
      <c r="B89" s="80">
        <f>LAVORAZIONI!A341</f>
        <v/>
      </c>
      <c r="C89" s="80">
        <f>LAVORAZIONI!K341</f>
        <v/>
      </c>
      <c r="D89" s="79">
        <f>LAVORAZIONI!M341</f>
        <v/>
      </c>
      <c r="E89" s="81">
        <f>LAVORAZIONI!N341</f>
        <v/>
      </c>
      <c r="F89" s="81">
        <f>LAVORAZIONI!O341</f>
        <v/>
      </c>
      <c r="G89" s="82">
        <f>LAVORAZIONI!P341</f>
        <v/>
      </c>
      <c r="H89" s="83">
        <f>LAVORAZIONI!W341</f>
        <v/>
      </c>
      <c r="I89" s="82">
        <f>LAVORAZIONI!X341</f>
        <v/>
      </c>
    </row>
    <row r="90">
      <c r="A90" s="79">
        <f>LAVORAZIONI!G342</f>
        <v/>
      </c>
      <c r="B90" s="80">
        <f>LAVORAZIONI!A342</f>
        <v/>
      </c>
      <c r="C90" s="80">
        <f>LAVORAZIONI!K342</f>
        <v/>
      </c>
      <c r="D90" s="79">
        <f>LAVORAZIONI!M342</f>
        <v/>
      </c>
      <c r="E90" s="81">
        <f>LAVORAZIONI!N342</f>
        <v/>
      </c>
      <c r="F90" s="81">
        <f>LAVORAZIONI!O342</f>
        <v/>
      </c>
      <c r="G90" s="82">
        <f>LAVORAZIONI!P342</f>
        <v/>
      </c>
      <c r="H90" s="83">
        <f>LAVORAZIONI!W342</f>
        <v/>
      </c>
      <c r="I90" s="82">
        <f>LAVORAZIONI!X342</f>
        <v/>
      </c>
    </row>
    <row r="91">
      <c r="A91" s="84">
        <f>LAVORAZIONI!G343</f>
        <v/>
      </c>
      <c r="B91" s="85">
        <f>LAVORAZIONI!A343</f>
        <v/>
      </c>
      <c r="C91" s="85">
        <f>LAVORAZIONI!K343</f>
        <v/>
      </c>
      <c r="D91" s="84">
        <f>LAVORAZIONI!M343</f>
        <v/>
      </c>
      <c r="E91" s="86">
        <f>LAVORAZIONI!N343</f>
        <v/>
      </c>
      <c r="F91" s="86">
        <f>LAVORAZIONI!O343</f>
        <v/>
      </c>
      <c r="G91" s="87">
        <f>LAVORAZIONI!P343</f>
        <v/>
      </c>
      <c r="H91" s="88">
        <f>LAVORAZIONI!W343</f>
        <v/>
      </c>
      <c r="I91" s="87">
        <f>LAVORAZIONI!X343</f>
        <v/>
      </c>
    </row>
    <row r="92">
      <c r="A92" s="84">
        <f>LAVORAZIONI!G344</f>
        <v/>
      </c>
      <c r="B92" s="85">
        <f>LAVORAZIONI!A344</f>
        <v/>
      </c>
      <c r="C92" s="85">
        <f>LAVORAZIONI!K344</f>
        <v/>
      </c>
      <c r="D92" s="84">
        <f>LAVORAZIONI!M344</f>
        <v/>
      </c>
      <c r="E92" s="86">
        <f>LAVORAZIONI!N344</f>
        <v/>
      </c>
      <c r="F92" s="86">
        <f>LAVORAZIONI!O344</f>
        <v/>
      </c>
      <c r="G92" s="87">
        <f>LAVORAZIONI!P344</f>
        <v/>
      </c>
      <c r="H92" s="88">
        <f>LAVORAZIONI!W344</f>
        <v/>
      </c>
      <c r="I92" s="87">
        <f>LAVORAZIONI!X344</f>
        <v/>
      </c>
    </row>
    <row r="93">
      <c r="A93" s="79">
        <f>LAVORAZIONI!G345</f>
        <v/>
      </c>
      <c r="B93" s="80">
        <f>LAVORAZIONI!A345</f>
        <v/>
      </c>
      <c r="C93" s="80">
        <f>LAVORAZIONI!K345</f>
        <v/>
      </c>
      <c r="D93" s="79">
        <f>LAVORAZIONI!M345</f>
        <v/>
      </c>
      <c r="E93" s="81">
        <f>LAVORAZIONI!N345</f>
        <v/>
      </c>
      <c r="F93" s="81">
        <f>LAVORAZIONI!O345</f>
        <v/>
      </c>
      <c r="G93" s="82">
        <f>LAVORAZIONI!P345</f>
        <v/>
      </c>
      <c r="H93" s="83">
        <f>LAVORAZIONI!W345</f>
        <v/>
      </c>
      <c r="I93" s="82">
        <f>LAVORAZIONI!X345</f>
        <v/>
      </c>
    </row>
    <row r="94">
      <c r="A94" s="79">
        <f>LAVORAZIONI!G346</f>
        <v/>
      </c>
      <c r="B94" s="80">
        <f>LAVORAZIONI!A346</f>
        <v/>
      </c>
      <c r="C94" s="80">
        <f>LAVORAZIONI!K346</f>
        <v/>
      </c>
      <c r="D94" s="79">
        <f>LAVORAZIONI!M346</f>
        <v/>
      </c>
      <c r="E94" s="81">
        <f>LAVORAZIONI!N346</f>
        <v/>
      </c>
      <c r="F94" s="81">
        <f>LAVORAZIONI!O346</f>
        <v/>
      </c>
      <c r="G94" s="82">
        <f>LAVORAZIONI!P346</f>
        <v/>
      </c>
      <c r="H94" s="83">
        <f>LAVORAZIONI!W346</f>
        <v/>
      </c>
      <c r="I94" s="82">
        <f>LAVORAZIONI!X346</f>
        <v/>
      </c>
    </row>
    <row r="95">
      <c r="A95" s="84">
        <f>LAVORAZIONI!G347</f>
        <v/>
      </c>
      <c r="B95" s="85">
        <f>LAVORAZIONI!A347</f>
        <v/>
      </c>
      <c r="C95" s="85">
        <f>LAVORAZIONI!K347</f>
        <v/>
      </c>
      <c r="D95" s="84">
        <f>LAVORAZIONI!M347</f>
        <v/>
      </c>
      <c r="E95" s="86">
        <f>LAVORAZIONI!N347</f>
        <v/>
      </c>
      <c r="F95" s="86">
        <f>LAVORAZIONI!O347</f>
        <v/>
      </c>
      <c r="G95" s="87">
        <f>LAVORAZIONI!P347</f>
        <v/>
      </c>
      <c r="H95" s="88">
        <f>LAVORAZIONI!W347</f>
        <v/>
      </c>
      <c r="I95" s="87">
        <f>LAVORAZIONI!X347</f>
        <v/>
      </c>
    </row>
    <row r="96">
      <c r="A96" s="84">
        <f>LAVORAZIONI!G348</f>
        <v/>
      </c>
      <c r="B96" s="85">
        <f>LAVORAZIONI!A348</f>
        <v/>
      </c>
      <c r="C96" s="85">
        <f>LAVORAZIONI!K348</f>
        <v/>
      </c>
      <c r="D96" s="84">
        <f>LAVORAZIONI!M348</f>
        <v/>
      </c>
      <c r="E96" s="86">
        <f>LAVORAZIONI!N348</f>
        <v/>
      </c>
      <c r="F96" s="86">
        <f>LAVORAZIONI!O348</f>
        <v/>
      </c>
      <c r="G96" s="87">
        <f>LAVORAZIONI!P348</f>
        <v/>
      </c>
      <c r="H96" s="88">
        <f>LAVORAZIONI!W348</f>
        <v/>
      </c>
      <c r="I96" s="87">
        <f>LAVORAZIONI!X348</f>
        <v/>
      </c>
    </row>
    <row r="97">
      <c r="A97" s="79">
        <f>LAVORAZIONI!G349</f>
        <v/>
      </c>
      <c r="B97" s="80">
        <f>LAVORAZIONI!A349</f>
        <v/>
      </c>
      <c r="C97" s="80">
        <f>LAVORAZIONI!K349</f>
        <v/>
      </c>
      <c r="D97" s="79">
        <f>LAVORAZIONI!M349</f>
        <v/>
      </c>
      <c r="E97" s="81">
        <f>LAVORAZIONI!N349</f>
        <v/>
      </c>
      <c r="F97" s="81">
        <f>LAVORAZIONI!O349</f>
        <v/>
      </c>
      <c r="G97" s="82">
        <f>LAVORAZIONI!P349</f>
        <v/>
      </c>
      <c r="H97" s="83">
        <f>LAVORAZIONI!W349</f>
        <v/>
      </c>
      <c r="I97" s="82">
        <f>LAVORAZIONI!X349</f>
        <v/>
      </c>
    </row>
    <row r="98">
      <c r="A98" s="79">
        <f>LAVORAZIONI!G350</f>
        <v/>
      </c>
      <c r="B98" s="80">
        <f>LAVORAZIONI!A350</f>
        <v/>
      </c>
      <c r="C98" s="80">
        <f>LAVORAZIONI!K350</f>
        <v/>
      </c>
      <c r="D98" s="79">
        <f>LAVORAZIONI!M350</f>
        <v/>
      </c>
      <c r="E98" s="81">
        <f>LAVORAZIONI!N350</f>
        <v/>
      </c>
      <c r="F98" s="81">
        <f>LAVORAZIONI!O350</f>
        <v/>
      </c>
      <c r="G98" s="82">
        <f>LAVORAZIONI!P350</f>
        <v/>
      </c>
      <c r="H98" s="83">
        <f>LAVORAZIONI!W350</f>
        <v/>
      </c>
      <c r="I98" s="82">
        <f>LAVORAZIONI!X350</f>
        <v/>
      </c>
    </row>
    <row r="99">
      <c r="A99" s="79">
        <f>LAVORAZIONI!G351</f>
        <v/>
      </c>
      <c r="B99" s="80">
        <f>LAVORAZIONI!A351</f>
        <v/>
      </c>
      <c r="C99" s="80">
        <f>LAVORAZIONI!K351</f>
        <v/>
      </c>
      <c r="D99" s="79">
        <f>LAVORAZIONI!M351</f>
        <v/>
      </c>
      <c r="E99" s="81">
        <f>LAVORAZIONI!N351</f>
        <v/>
      </c>
      <c r="F99" s="81">
        <f>LAVORAZIONI!O351</f>
        <v/>
      </c>
      <c r="G99" s="82">
        <f>LAVORAZIONI!P351</f>
        <v/>
      </c>
      <c r="H99" s="83">
        <f>LAVORAZIONI!W351</f>
        <v/>
      </c>
      <c r="I99" s="82">
        <f>LAVORAZIONI!X351</f>
        <v/>
      </c>
    </row>
    <row r="100">
      <c r="A100" s="84">
        <f>LAVORAZIONI!G352</f>
        <v/>
      </c>
      <c r="B100" s="85">
        <f>LAVORAZIONI!A352</f>
        <v/>
      </c>
      <c r="C100" s="85">
        <f>LAVORAZIONI!K352</f>
        <v/>
      </c>
      <c r="D100" s="84">
        <f>LAVORAZIONI!M352</f>
        <v/>
      </c>
      <c r="E100" s="86">
        <f>LAVORAZIONI!N352</f>
        <v/>
      </c>
      <c r="F100" s="86">
        <f>LAVORAZIONI!O352</f>
        <v/>
      </c>
      <c r="G100" s="87">
        <f>LAVORAZIONI!P352</f>
        <v/>
      </c>
      <c r="H100" s="88">
        <f>LAVORAZIONI!W352</f>
        <v/>
      </c>
      <c r="I100" s="87">
        <f>LAVORAZIONI!X352</f>
        <v/>
      </c>
    </row>
    <row r="101">
      <c r="A101" s="84">
        <f>LAVORAZIONI!G353</f>
        <v/>
      </c>
      <c r="B101" s="85">
        <f>LAVORAZIONI!A353</f>
        <v/>
      </c>
      <c r="C101" s="85">
        <f>LAVORAZIONI!K353</f>
        <v/>
      </c>
      <c r="D101" s="84">
        <f>LAVORAZIONI!M353</f>
        <v/>
      </c>
      <c r="E101" s="86">
        <f>LAVORAZIONI!N353</f>
        <v/>
      </c>
      <c r="F101" s="86">
        <f>LAVORAZIONI!O353</f>
        <v/>
      </c>
      <c r="G101" s="87">
        <f>LAVORAZIONI!P353</f>
        <v/>
      </c>
      <c r="H101" s="88">
        <f>LAVORAZIONI!W353</f>
        <v/>
      </c>
      <c r="I101" s="87">
        <f>LAVORAZIONI!X353</f>
        <v/>
      </c>
    </row>
    <row r="102">
      <c r="A102" s="84">
        <f>LAVORAZIONI!G354</f>
        <v/>
      </c>
      <c r="B102" s="85">
        <f>LAVORAZIONI!A354</f>
        <v/>
      </c>
      <c r="C102" s="85">
        <f>LAVORAZIONI!K354</f>
        <v/>
      </c>
      <c r="D102" s="84">
        <f>LAVORAZIONI!M354</f>
        <v/>
      </c>
      <c r="E102" s="86">
        <f>LAVORAZIONI!N354</f>
        <v/>
      </c>
      <c r="F102" s="86">
        <f>LAVORAZIONI!O354</f>
        <v/>
      </c>
      <c r="G102" s="87">
        <f>LAVORAZIONI!P354</f>
        <v/>
      </c>
      <c r="H102" s="88">
        <f>LAVORAZIONI!W354</f>
        <v/>
      </c>
      <c r="I102" s="87">
        <f>LAVORAZIONI!X354</f>
        <v/>
      </c>
    </row>
    <row r="103">
      <c r="A103" s="84">
        <f>LAVORAZIONI!G355</f>
        <v/>
      </c>
      <c r="B103" s="85">
        <f>LAVORAZIONI!A355</f>
        <v/>
      </c>
      <c r="C103" s="85">
        <f>LAVORAZIONI!K355</f>
        <v/>
      </c>
      <c r="D103" s="84">
        <f>LAVORAZIONI!M355</f>
        <v/>
      </c>
      <c r="E103" s="86">
        <f>LAVORAZIONI!N355</f>
        <v/>
      </c>
      <c r="F103" s="86">
        <f>LAVORAZIONI!O355</f>
        <v/>
      </c>
      <c r="G103" s="87">
        <f>LAVORAZIONI!P355</f>
        <v/>
      </c>
      <c r="H103" s="88">
        <f>LAVORAZIONI!W355</f>
        <v/>
      </c>
      <c r="I103" s="87">
        <f>LAVORAZIONI!X355</f>
        <v/>
      </c>
    </row>
    <row r="104">
      <c r="A104" s="84">
        <f>LAVORAZIONI!G356</f>
        <v/>
      </c>
      <c r="B104" s="85">
        <f>LAVORAZIONI!A356</f>
        <v/>
      </c>
      <c r="C104" s="85">
        <f>LAVORAZIONI!K356</f>
        <v/>
      </c>
      <c r="D104" s="84">
        <f>LAVORAZIONI!M356</f>
        <v/>
      </c>
      <c r="E104" s="86">
        <f>LAVORAZIONI!N356</f>
        <v/>
      </c>
      <c r="F104" s="86">
        <f>LAVORAZIONI!O356</f>
        <v/>
      </c>
      <c r="G104" s="87">
        <f>LAVORAZIONI!P356</f>
        <v/>
      </c>
      <c r="H104" s="88">
        <f>LAVORAZIONI!W356</f>
        <v/>
      </c>
      <c r="I104" s="87">
        <f>LAVORAZIONI!X356</f>
        <v/>
      </c>
    </row>
    <row r="105">
      <c r="A105" s="84">
        <f>LAVORAZIONI!G357</f>
        <v/>
      </c>
      <c r="B105" s="85">
        <f>LAVORAZIONI!A357</f>
        <v/>
      </c>
      <c r="C105" s="85">
        <f>LAVORAZIONI!K357</f>
        <v/>
      </c>
      <c r="D105" s="84">
        <f>LAVORAZIONI!M357</f>
        <v/>
      </c>
      <c r="E105" s="86">
        <f>LAVORAZIONI!N357</f>
        <v/>
      </c>
      <c r="F105" s="86">
        <f>LAVORAZIONI!O357</f>
        <v/>
      </c>
      <c r="G105" s="87">
        <f>LAVORAZIONI!P357</f>
        <v/>
      </c>
      <c r="H105" s="88">
        <f>LAVORAZIONI!W357</f>
        <v/>
      </c>
      <c r="I105" s="87">
        <f>LAVORAZIONI!X357</f>
        <v/>
      </c>
    </row>
    <row r="106">
      <c r="A106" s="84">
        <f>LAVORAZIONI!G358</f>
        <v/>
      </c>
      <c r="B106" s="85">
        <f>LAVORAZIONI!A358</f>
        <v/>
      </c>
      <c r="C106" s="85">
        <f>LAVORAZIONI!K358</f>
        <v/>
      </c>
      <c r="D106" s="84">
        <f>LAVORAZIONI!M358</f>
        <v/>
      </c>
      <c r="E106" s="86">
        <f>LAVORAZIONI!N358</f>
        <v/>
      </c>
      <c r="F106" s="86">
        <f>LAVORAZIONI!O358</f>
        <v/>
      </c>
      <c r="G106" s="87">
        <f>LAVORAZIONI!P358</f>
        <v/>
      </c>
      <c r="H106" s="88">
        <f>LAVORAZIONI!W358</f>
        <v/>
      </c>
      <c r="I106" s="87">
        <f>LAVORAZIONI!X358</f>
        <v/>
      </c>
    </row>
    <row r="107">
      <c r="A107" s="84">
        <f>LAVORAZIONI!G359</f>
        <v/>
      </c>
      <c r="B107" s="85">
        <f>LAVORAZIONI!A359</f>
        <v/>
      </c>
      <c r="C107" s="85">
        <f>LAVORAZIONI!K359</f>
        <v/>
      </c>
      <c r="D107" s="84">
        <f>LAVORAZIONI!M359</f>
        <v/>
      </c>
      <c r="E107" s="86">
        <f>LAVORAZIONI!N359</f>
        <v/>
      </c>
      <c r="F107" s="86">
        <f>LAVORAZIONI!O359</f>
        <v/>
      </c>
      <c r="G107" s="87">
        <f>LAVORAZIONI!P359</f>
        <v/>
      </c>
      <c r="H107" s="88">
        <f>LAVORAZIONI!W359</f>
        <v/>
      </c>
      <c r="I107" s="87">
        <f>LAVORAZIONI!X359</f>
        <v/>
      </c>
    </row>
    <row r="108">
      <c r="A108" s="84">
        <f>LAVORAZIONI!G360</f>
        <v/>
      </c>
      <c r="B108" s="85">
        <f>LAVORAZIONI!A360</f>
        <v/>
      </c>
      <c r="C108" s="85">
        <f>LAVORAZIONI!K360</f>
        <v/>
      </c>
      <c r="D108" s="84">
        <f>LAVORAZIONI!M360</f>
        <v/>
      </c>
      <c r="E108" s="86">
        <f>LAVORAZIONI!N360</f>
        <v/>
      </c>
      <c r="F108" s="86">
        <f>LAVORAZIONI!O360</f>
        <v/>
      </c>
      <c r="G108" s="87">
        <f>LAVORAZIONI!P360</f>
        <v/>
      </c>
      <c r="H108" s="88">
        <f>LAVORAZIONI!W360</f>
        <v/>
      </c>
      <c r="I108" s="87">
        <f>LAVORAZIONI!X360</f>
        <v/>
      </c>
    </row>
    <row r="109">
      <c r="A109" s="84">
        <f>LAVORAZIONI!G361</f>
        <v/>
      </c>
      <c r="B109" s="85">
        <f>LAVORAZIONI!A361</f>
        <v/>
      </c>
      <c r="C109" s="85">
        <f>LAVORAZIONI!K361</f>
        <v/>
      </c>
      <c r="D109" s="84">
        <f>LAVORAZIONI!M361</f>
        <v/>
      </c>
      <c r="E109" s="86">
        <f>LAVORAZIONI!N361</f>
        <v/>
      </c>
      <c r="F109" s="86">
        <f>LAVORAZIONI!O361</f>
        <v/>
      </c>
      <c r="G109" s="87">
        <f>LAVORAZIONI!P361</f>
        <v/>
      </c>
      <c r="H109" s="88">
        <f>LAVORAZIONI!W361</f>
        <v/>
      </c>
      <c r="I109" s="87">
        <f>LAVORAZIONI!X361</f>
        <v/>
      </c>
    </row>
    <row r="110">
      <c r="A110" s="84">
        <f>LAVORAZIONI!G362</f>
        <v/>
      </c>
      <c r="B110" s="85">
        <f>LAVORAZIONI!A362</f>
        <v/>
      </c>
      <c r="C110" s="85">
        <f>LAVORAZIONI!K362</f>
        <v/>
      </c>
      <c r="D110" s="84">
        <f>LAVORAZIONI!M362</f>
        <v/>
      </c>
      <c r="E110" s="86">
        <f>LAVORAZIONI!N362</f>
        <v/>
      </c>
      <c r="F110" s="86">
        <f>LAVORAZIONI!O362</f>
        <v/>
      </c>
      <c r="G110" s="87">
        <f>LAVORAZIONI!P362</f>
        <v/>
      </c>
      <c r="H110" s="88">
        <f>LAVORAZIONI!W362</f>
        <v/>
      </c>
      <c r="I110" s="87">
        <f>LAVORAZIONI!X362</f>
        <v/>
      </c>
    </row>
    <row r="111">
      <c r="A111" s="84">
        <f>LAVORAZIONI!G363</f>
        <v/>
      </c>
      <c r="B111" s="85">
        <f>LAVORAZIONI!A363</f>
        <v/>
      </c>
      <c r="C111" s="85">
        <f>LAVORAZIONI!K363</f>
        <v/>
      </c>
      <c r="D111" s="84">
        <f>LAVORAZIONI!M363</f>
        <v/>
      </c>
      <c r="E111" s="86">
        <f>LAVORAZIONI!N363</f>
        <v/>
      </c>
      <c r="F111" s="86">
        <f>LAVORAZIONI!O363</f>
        <v/>
      </c>
      <c r="G111" s="87">
        <f>LAVORAZIONI!P363</f>
        <v/>
      </c>
      <c r="H111" s="88">
        <f>LAVORAZIONI!W363</f>
        <v/>
      </c>
      <c r="I111" s="87">
        <f>LAVORAZIONI!X363</f>
        <v/>
      </c>
    </row>
    <row r="112">
      <c r="A112" s="84">
        <f>LAVORAZIONI!G364</f>
        <v/>
      </c>
      <c r="B112" s="85">
        <f>LAVORAZIONI!A364</f>
        <v/>
      </c>
      <c r="C112" s="85">
        <f>LAVORAZIONI!K364</f>
        <v/>
      </c>
      <c r="D112" s="84">
        <f>LAVORAZIONI!M364</f>
        <v/>
      </c>
      <c r="E112" s="86">
        <f>LAVORAZIONI!N364</f>
        <v/>
      </c>
      <c r="F112" s="86">
        <f>LAVORAZIONI!O364</f>
        <v/>
      </c>
      <c r="G112" s="87">
        <f>LAVORAZIONI!P364</f>
        <v/>
      </c>
      <c r="H112" s="88">
        <f>LAVORAZIONI!W364</f>
        <v/>
      </c>
      <c r="I112" s="87">
        <f>LAVORAZIONI!X364</f>
        <v/>
      </c>
    </row>
    <row r="113">
      <c r="A113" s="84">
        <f>LAVORAZIONI!G365</f>
        <v/>
      </c>
      <c r="B113" s="85">
        <f>LAVORAZIONI!A365</f>
        <v/>
      </c>
      <c r="C113" s="85">
        <f>LAVORAZIONI!K365</f>
        <v/>
      </c>
      <c r="D113" s="84">
        <f>LAVORAZIONI!M365</f>
        <v/>
      </c>
      <c r="E113" s="86">
        <f>LAVORAZIONI!N365</f>
        <v/>
      </c>
      <c r="F113" s="86">
        <f>LAVORAZIONI!O365</f>
        <v/>
      </c>
      <c r="G113" s="87">
        <f>LAVORAZIONI!P365</f>
        <v/>
      </c>
      <c r="H113" s="88">
        <f>LAVORAZIONI!W365</f>
        <v/>
      </c>
      <c r="I113" s="87">
        <f>LAVORAZIONI!X365</f>
        <v/>
      </c>
    </row>
    <row r="114">
      <c r="A114" s="84">
        <f>LAVORAZIONI!G366</f>
        <v/>
      </c>
      <c r="B114" s="85">
        <f>LAVORAZIONI!A366</f>
        <v/>
      </c>
      <c r="C114" s="85">
        <f>LAVORAZIONI!K366</f>
        <v/>
      </c>
      <c r="D114" s="84">
        <f>LAVORAZIONI!M366</f>
        <v/>
      </c>
      <c r="E114" s="86">
        <f>LAVORAZIONI!N366</f>
        <v/>
      </c>
      <c r="F114" s="86">
        <f>LAVORAZIONI!O366</f>
        <v/>
      </c>
      <c r="G114" s="87">
        <f>LAVORAZIONI!P366</f>
        <v/>
      </c>
      <c r="H114" s="88">
        <f>LAVORAZIONI!W366</f>
        <v/>
      </c>
      <c r="I114" s="87">
        <f>LAVORAZIONI!X366</f>
        <v/>
      </c>
    </row>
    <row r="115">
      <c r="A115" s="84">
        <f>LAVORAZIONI!G367</f>
        <v/>
      </c>
      <c r="B115" s="85">
        <f>LAVORAZIONI!A367</f>
        <v/>
      </c>
      <c r="C115" s="85">
        <f>LAVORAZIONI!K367</f>
        <v/>
      </c>
      <c r="D115" s="84">
        <f>LAVORAZIONI!M367</f>
        <v/>
      </c>
      <c r="E115" s="86">
        <f>LAVORAZIONI!N367</f>
        <v/>
      </c>
      <c r="F115" s="86">
        <f>LAVORAZIONI!O367</f>
        <v/>
      </c>
      <c r="G115" s="87">
        <f>LAVORAZIONI!P367</f>
        <v/>
      </c>
      <c r="H115" s="88">
        <f>LAVORAZIONI!W367</f>
        <v/>
      </c>
      <c r="I115" s="87">
        <f>LAVORAZIONI!X367</f>
        <v/>
      </c>
    </row>
    <row r="116">
      <c r="A116" s="84">
        <f>LAVORAZIONI!G368</f>
        <v/>
      </c>
      <c r="B116" s="85">
        <f>LAVORAZIONI!A368</f>
        <v/>
      </c>
      <c r="C116" s="85">
        <f>LAVORAZIONI!K368</f>
        <v/>
      </c>
      <c r="D116" s="84">
        <f>LAVORAZIONI!M368</f>
        <v/>
      </c>
      <c r="E116" s="86">
        <f>LAVORAZIONI!N368</f>
        <v/>
      </c>
      <c r="F116" s="86">
        <f>LAVORAZIONI!O368</f>
        <v/>
      </c>
      <c r="G116" s="87">
        <f>LAVORAZIONI!P368</f>
        <v/>
      </c>
      <c r="H116" s="88">
        <f>LAVORAZIONI!W368</f>
        <v/>
      </c>
      <c r="I116" s="87">
        <f>LAVORAZIONI!X368</f>
        <v/>
      </c>
    </row>
    <row r="117">
      <c r="A117" s="84">
        <f>LAVORAZIONI!G369</f>
        <v/>
      </c>
      <c r="B117" s="85">
        <f>LAVORAZIONI!A369</f>
        <v/>
      </c>
      <c r="C117" s="85">
        <f>LAVORAZIONI!K369</f>
        <v/>
      </c>
      <c r="D117" s="84">
        <f>LAVORAZIONI!M369</f>
        <v/>
      </c>
      <c r="E117" s="86">
        <f>LAVORAZIONI!N369</f>
        <v/>
      </c>
      <c r="F117" s="86">
        <f>LAVORAZIONI!O369</f>
        <v/>
      </c>
      <c r="G117" s="87">
        <f>LAVORAZIONI!P369</f>
        <v/>
      </c>
      <c r="H117" s="88">
        <f>LAVORAZIONI!W369</f>
        <v/>
      </c>
      <c r="I117" s="87">
        <f>LAVORAZIONI!X369</f>
        <v/>
      </c>
    </row>
    <row r="118">
      <c r="A118" s="84">
        <f>LAVORAZIONI!G370</f>
        <v/>
      </c>
      <c r="B118" s="85">
        <f>LAVORAZIONI!A370</f>
        <v/>
      </c>
      <c r="C118" s="85">
        <f>LAVORAZIONI!K370</f>
        <v/>
      </c>
      <c r="D118" s="84">
        <f>LAVORAZIONI!M370</f>
        <v/>
      </c>
      <c r="E118" s="86">
        <f>LAVORAZIONI!N370</f>
        <v/>
      </c>
      <c r="F118" s="86">
        <f>LAVORAZIONI!O370</f>
        <v/>
      </c>
      <c r="G118" s="87">
        <f>LAVORAZIONI!P370</f>
        <v/>
      </c>
      <c r="H118" s="88">
        <f>LAVORAZIONI!W370</f>
        <v/>
      </c>
      <c r="I118" s="87">
        <f>LAVORAZIONI!X370</f>
        <v/>
      </c>
    </row>
    <row r="119">
      <c r="A119" s="84">
        <f>LAVORAZIONI!G371</f>
        <v/>
      </c>
      <c r="B119" s="85">
        <f>LAVORAZIONI!A371</f>
        <v/>
      </c>
      <c r="C119" s="85">
        <f>LAVORAZIONI!K371</f>
        <v/>
      </c>
      <c r="D119" s="84">
        <f>LAVORAZIONI!M371</f>
        <v/>
      </c>
      <c r="E119" s="86">
        <f>LAVORAZIONI!N371</f>
        <v/>
      </c>
      <c r="F119" s="86">
        <f>LAVORAZIONI!O371</f>
        <v/>
      </c>
      <c r="G119" s="87">
        <f>LAVORAZIONI!P371</f>
        <v/>
      </c>
      <c r="H119" s="88">
        <f>LAVORAZIONI!W371</f>
        <v/>
      </c>
      <c r="I119" s="87">
        <f>LAVORAZIONI!X371</f>
        <v/>
      </c>
    </row>
    <row r="120">
      <c r="A120" s="84">
        <f>LAVORAZIONI!G372</f>
        <v/>
      </c>
      <c r="B120" s="85">
        <f>LAVORAZIONI!A372</f>
        <v/>
      </c>
      <c r="C120" s="85">
        <f>LAVORAZIONI!K372</f>
        <v/>
      </c>
      <c r="D120" s="84">
        <f>LAVORAZIONI!M372</f>
        <v/>
      </c>
      <c r="E120" s="86">
        <f>LAVORAZIONI!N372</f>
        <v/>
      </c>
      <c r="F120" s="86">
        <f>LAVORAZIONI!O372</f>
        <v/>
      </c>
      <c r="G120" s="87">
        <f>LAVORAZIONI!P372</f>
        <v/>
      </c>
      <c r="H120" s="88">
        <f>LAVORAZIONI!W372</f>
        <v/>
      </c>
      <c r="I120" s="87">
        <f>LAVORAZIONI!X372</f>
        <v/>
      </c>
    </row>
    <row r="121">
      <c r="A121" s="84">
        <f>LAVORAZIONI!G373</f>
        <v/>
      </c>
      <c r="B121" s="85">
        <f>LAVORAZIONI!A373</f>
        <v/>
      </c>
      <c r="C121" s="85">
        <f>LAVORAZIONI!K373</f>
        <v/>
      </c>
      <c r="D121" s="84">
        <f>LAVORAZIONI!M373</f>
        <v/>
      </c>
      <c r="E121" s="86">
        <f>LAVORAZIONI!N373</f>
        <v/>
      </c>
      <c r="F121" s="86">
        <f>LAVORAZIONI!O373</f>
        <v/>
      </c>
      <c r="G121" s="87">
        <f>LAVORAZIONI!P373</f>
        <v/>
      </c>
      <c r="H121" s="88">
        <f>LAVORAZIONI!W373</f>
        <v/>
      </c>
      <c r="I121" s="87">
        <f>LAVORAZIONI!X373</f>
        <v/>
      </c>
    </row>
    <row r="122">
      <c r="A122" s="84">
        <f>LAVORAZIONI!G374</f>
        <v/>
      </c>
      <c r="B122" s="85">
        <f>LAVORAZIONI!A374</f>
        <v/>
      </c>
      <c r="C122" s="85">
        <f>LAVORAZIONI!K374</f>
        <v/>
      </c>
      <c r="D122" s="84">
        <f>LAVORAZIONI!M374</f>
        <v/>
      </c>
      <c r="E122" s="86">
        <f>LAVORAZIONI!N374</f>
        <v/>
      </c>
      <c r="F122" s="86">
        <f>LAVORAZIONI!O374</f>
        <v/>
      </c>
      <c r="G122" s="87">
        <f>LAVORAZIONI!P374</f>
        <v/>
      </c>
      <c r="H122" s="88">
        <f>LAVORAZIONI!W374</f>
        <v/>
      </c>
      <c r="I122" s="87">
        <f>LAVORAZIONI!X374</f>
        <v/>
      </c>
    </row>
    <row r="123">
      <c r="A123" s="84">
        <f>LAVORAZIONI!G375</f>
        <v/>
      </c>
      <c r="B123" s="85">
        <f>LAVORAZIONI!A375</f>
        <v/>
      </c>
      <c r="C123" s="85">
        <f>LAVORAZIONI!K375</f>
        <v/>
      </c>
      <c r="D123" s="84">
        <f>LAVORAZIONI!M375</f>
        <v/>
      </c>
      <c r="E123" s="86">
        <f>LAVORAZIONI!N375</f>
        <v/>
      </c>
      <c r="F123" s="86">
        <f>LAVORAZIONI!O375</f>
        <v/>
      </c>
      <c r="G123" s="87">
        <f>LAVORAZIONI!P375</f>
        <v/>
      </c>
      <c r="H123" s="88">
        <f>LAVORAZIONI!W375</f>
        <v/>
      </c>
      <c r="I123" s="87">
        <f>LAVORAZIONI!X375</f>
        <v/>
      </c>
    </row>
    <row r="124">
      <c r="A124" s="84">
        <f>LAVORAZIONI!G376</f>
        <v/>
      </c>
      <c r="B124" s="85">
        <f>LAVORAZIONI!A376</f>
        <v/>
      </c>
      <c r="C124" s="85">
        <f>LAVORAZIONI!K376</f>
        <v/>
      </c>
      <c r="D124" s="84">
        <f>LAVORAZIONI!M376</f>
        <v/>
      </c>
      <c r="E124" s="86">
        <f>LAVORAZIONI!N376</f>
        <v/>
      </c>
      <c r="F124" s="86">
        <f>LAVORAZIONI!O376</f>
        <v/>
      </c>
      <c r="G124" s="87">
        <f>LAVORAZIONI!P376</f>
        <v/>
      </c>
      <c r="H124" s="88">
        <f>LAVORAZIONI!W376</f>
        <v/>
      </c>
      <c r="I124" s="87">
        <f>LAVORAZIONI!X376</f>
        <v/>
      </c>
    </row>
    <row r="125">
      <c r="A125" s="84">
        <f>LAVORAZIONI!G377</f>
        <v/>
      </c>
      <c r="B125" s="85">
        <f>LAVORAZIONI!A377</f>
        <v/>
      </c>
      <c r="C125" s="85">
        <f>LAVORAZIONI!K377</f>
        <v/>
      </c>
      <c r="D125" s="84">
        <f>LAVORAZIONI!M377</f>
        <v/>
      </c>
      <c r="E125" s="86">
        <f>LAVORAZIONI!N377</f>
        <v/>
      </c>
      <c r="F125" s="86">
        <f>LAVORAZIONI!O377</f>
        <v/>
      </c>
      <c r="G125" s="87">
        <f>LAVORAZIONI!P377</f>
        <v/>
      </c>
      <c r="H125" s="88">
        <f>LAVORAZIONI!W377</f>
        <v/>
      </c>
      <c r="I125" s="87">
        <f>LAVORAZIONI!X377</f>
        <v/>
      </c>
    </row>
    <row r="126">
      <c r="A126" s="84">
        <f>LAVORAZIONI!G378</f>
        <v/>
      </c>
      <c r="B126" s="85">
        <f>LAVORAZIONI!A378</f>
        <v/>
      </c>
      <c r="C126" s="85">
        <f>LAVORAZIONI!K378</f>
        <v/>
      </c>
      <c r="D126" s="84">
        <f>LAVORAZIONI!M378</f>
        <v/>
      </c>
      <c r="E126" s="86">
        <f>LAVORAZIONI!N378</f>
        <v/>
      </c>
      <c r="F126" s="86">
        <f>LAVORAZIONI!O378</f>
        <v/>
      </c>
      <c r="G126" s="87">
        <f>LAVORAZIONI!P378</f>
        <v/>
      </c>
      <c r="H126" s="88">
        <f>LAVORAZIONI!W378</f>
        <v/>
      </c>
      <c r="I126" s="87">
        <f>LAVORAZIONI!X378</f>
        <v/>
      </c>
    </row>
    <row r="127">
      <c r="A127" s="79">
        <f>LAVORAZIONI!G379</f>
        <v/>
      </c>
      <c r="B127" s="80">
        <f>LAVORAZIONI!A379</f>
        <v/>
      </c>
      <c r="C127" s="80">
        <f>LAVORAZIONI!K379</f>
        <v/>
      </c>
      <c r="D127" s="79">
        <f>LAVORAZIONI!M379</f>
        <v/>
      </c>
      <c r="E127" s="81">
        <f>LAVORAZIONI!N379</f>
        <v/>
      </c>
      <c r="F127" s="81">
        <f>LAVORAZIONI!O379</f>
        <v/>
      </c>
      <c r="G127" s="82">
        <f>LAVORAZIONI!P379</f>
        <v/>
      </c>
      <c r="H127" s="83">
        <f>LAVORAZIONI!W379</f>
        <v/>
      </c>
      <c r="I127" s="82">
        <f>LAVORAZIONI!X379</f>
        <v/>
      </c>
    </row>
    <row r="128">
      <c r="A128" s="79">
        <f>LAVORAZIONI!G380</f>
        <v/>
      </c>
      <c r="B128" s="80">
        <f>LAVORAZIONI!A380</f>
        <v/>
      </c>
      <c r="C128" s="80">
        <f>LAVORAZIONI!K380</f>
        <v/>
      </c>
      <c r="D128" s="79">
        <f>LAVORAZIONI!M380</f>
        <v/>
      </c>
      <c r="E128" s="81">
        <f>LAVORAZIONI!N380</f>
        <v/>
      </c>
      <c r="F128" s="81">
        <f>LAVORAZIONI!O380</f>
        <v/>
      </c>
      <c r="G128" s="82">
        <f>LAVORAZIONI!P380</f>
        <v/>
      </c>
      <c r="H128" s="83">
        <f>LAVORAZIONI!W380</f>
        <v/>
      </c>
      <c r="I128" s="82">
        <f>LAVORAZIONI!X380</f>
        <v/>
      </c>
    </row>
    <row r="129">
      <c r="A129" s="79">
        <f>LAVORAZIONI!G381</f>
        <v/>
      </c>
      <c r="B129" s="80">
        <f>LAVORAZIONI!A381</f>
        <v/>
      </c>
      <c r="C129" s="80">
        <f>LAVORAZIONI!K381</f>
        <v/>
      </c>
      <c r="D129" s="79">
        <f>LAVORAZIONI!M381</f>
        <v/>
      </c>
      <c r="E129" s="81">
        <f>LAVORAZIONI!N381</f>
        <v/>
      </c>
      <c r="F129" s="81">
        <f>LAVORAZIONI!O381</f>
        <v/>
      </c>
      <c r="G129" s="82">
        <f>LAVORAZIONI!P381</f>
        <v/>
      </c>
      <c r="H129" s="83">
        <f>LAVORAZIONI!W381</f>
        <v/>
      </c>
      <c r="I129" s="82">
        <f>LAVORAZIONI!X381</f>
        <v/>
      </c>
    </row>
    <row r="130">
      <c r="A130" s="79">
        <f>LAVORAZIONI!G382</f>
        <v/>
      </c>
      <c r="B130" s="80">
        <f>LAVORAZIONI!A382</f>
        <v/>
      </c>
      <c r="C130" s="80">
        <f>LAVORAZIONI!K382</f>
        <v/>
      </c>
      <c r="D130" s="79">
        <f>LAVORAZIONI!M382</f>
        <v/>
      </c>
      <c r="E130" s="81">
        <f>LAVORAZIONI!N382</f>
        <v/>
      </c>
      <c r="F130" s="81">
        <f>LAVORAZIONI!O382</f>
        <v/>
      </c>
      <c r="G130" s="82">
        <f>LAVORAZIONI!P382</f>
        <v/>
      </c>
      <c r="H130" s="83">
        <f>LAVORAZIONI!W382</f>
        <v/>
      </c>
      <c r="I130" s="82">
        <f>LAVORAZIONI!X382</f>
        <v/>
      </c>
    </row>
    <row r="131">
      <c r="A131" s="79">
        <f>LAVORAZIONI!G383</f>
        <v/>
      </c>
      <c r="B131" s="80">
        <f>LAVORAZIONI!A383</f>
        <v/>
      </c>
      <c r="C131" s="80">
        <f>LAVORAZIONI!K383</f>
        <v/>
      </c>
      <c r="D131" s="79">
        <f>LAVORAZIONI!M383</f>
        <v/>
      </c>
      <c r="E131" s="81">
        <f>LAVORAZIONI!N383</f>
        <v/>
      </c>
      <c r="F131" s="81">
        <f>LAVORAZIONI!O383</f>
        <v/>
      </c>
      <c r="G131" s="82">
        <f>LAVORAZIONI!P383</f>
        <v/>
      </c>
      <c r="H131" s="83">
        <f>LAVORAZIONI!W383</f>
        <v/>
      </c>
      <c r="I131" s="82">
        <f>LAVORAZIONI!X383</f>
        <v/>
      </c>
    </row>
    <row r="132">
      <c r="A132" s="79">
        <f>LAVORAZIONI!G384</f>
        <v/>
      </c>
      <c r="B132" s="80">
        <f>LAVORAZIONI!A384</f>
        <v/>
      </c>
      <c r="C132" s="80">
        <f>LAVORAZIONI!K384</f>
        <v/>
      </c>
      <c r="D132" s="79">
        <f>LAVORAZIONI!M384</f>
        <v/>
      </c>
      <c r="E132" s="81">
        <f>LAVORAZIONI!N384</f>
        <v/>
      </c>
      <c r="F132" s="81">
        <f>LAVORAZIONI!O384</f>
        <v/>
      </c>
      <c r="G132" s="82">
        <f>LAVORAZIONI!P384</f>
        <v/>
      </c>
      <c r="H132" s="83">
        <f>LAVORAZIONI!W384</f>
        <v/>
      </c>
      <c r="I132" s="82">
        <f>LAVORAZIONI!X384</f>
        <v/>
      </c>
    </row>
    <row r="133">
      <c r="A133" s="79">
        <f>LAVORAZIONI!G385</f>
        <v/>
      </c>
      <c r="B133" s="80">
        <f>LAVORAZIONI!A385</f>
        <v/>
      </c>
      <c r="C133" s="80">
        <f>LAVORAZIONI!K385</f>
        <v/>
      </c>
      <c r="D133" s="79">
        <f>LAVORAZIONI!M385</f>
        <v/>
      </c>
      <c r="E133" s="81">
        <f>LAVORAZIONI!N385</f>
        <v/>
      </c>
      <c r="F133" s="81">
        <f>LAVORAZIONI!O385</f>
        <v/>
      </c>
      <c r="G133" s="82">
        <f>LAVORAZIONI!P385</f>
        <v/>
      </c>
      <c r="H133" s="83">
        <f>LAVORAZIONI!W385</f>
        <v/>
      </c>
      <c r="I133" s="82">
        <f>LAVORAZIONI!X385</f>
        <v/>
      </c>
    </row>
    <row r="134">
      <c r="A134" s="79">
        <f>LAVORAZIONI!G386</f>
        <v/>
      </c>
      <c r="B134" s="80">
        <f>LAVORAZIONI!A386</f>
        <v/>
      </c>
      <c r="C134" s="80">
        <f>LAVORAZIONI!K386</f>
        <v/>
      </c>
      <c r="D134" s="79">
        <f>LAVORAZIONI!M386</f>
        <v/>
      </c>
      <c r="E134" s="81">
        <f>LAVORAZIONI!N386</f>
        <v/>
      </c>
      <c r="F134" s="81">
        <f>LAVORAZIONI!O386</f>
        <v/>
      </c>
      <c r="G134" s="82">
        <f>LAVORAZIONI!P386</f>
        <v/>
      </c>
      <c r="H134" s="83">
        <f>LAVORAZIONI!W386</f>
        <v/>
      </c>
      <c r="I134" s="82">
        <f>LAVORAZIONI!X386</f>
        <v/>
      </c>
    </row>
    <row r="135">
      <c r="A135" s="79">
        <f>LAVORAZIONI!G387</f>
        <v/>
      </c>
      <c r="B135" s="80">
        <f>LAVORAZIONI!A387</f>
        <v/>
      </c>
      <c r="C135" s="80">
        <f>LAVORAZIONI!K387</f>
        <v/>
      </c>
      <c r="D135" s="79">
        <f>LAVORAZIONI!M387</f>
        <v/>
      </c>
      <c r="E135" s="81">
        <f>LAVORAZIONI!N387</f>
        <v/>
      </c>
      <c r="F135" s="81">
        <f>LAVORAZIONI!O387</f>
        <v/>
      </c>
      <c r="G135" s="82">
        <f>LAVORAZIONI!P387</f>
        <v/>
      </c>
      <c r="H135" s="83">
        <f>LAVORAZIONI!W387</f>
        <v/>
      </c>
      <c r="I135" s="82">
        <f>LAVORAZIONI!X387</f>
        <v/>
      </c>
    </row>
    <row r="136">
      <c r="A136" s="79">
        <f>LAVORAZIONI!G388</f>
        <v/>
      </c>
      <c r="B136" s="80">
        <f>LAVORAZIONI!A388</f>
        <v/>
      </c>
      <c r="C136" s="80">
        <f>LAVORAZIONI!K388</f>
        <v/>
      </c>
      <c r="D136" s="79">
        <f>LAVORAZIONI!M388</f>
        <v/>
      </c>
      <c r="E136" s="81">
        <f>LAVORAZIONI!N388</f>
        <v/>
      </c>
      <c r="F136" s="81">
        <f>LAVORAZIONI!O388</f>
        <v/>
      </c>
      <c r="G136" s="82">
        <f>LAVORAZIONI!P388</f>
        <v/>
      </c>
      <c r="H136" s="83">
        <f>LAVORAZIONI!W388</f>
        <v/>
      </c>
      <c r="I136" s="82">
        <f>LAVORAZIONI!X388</f>
        <v/>
      </c>
    </row>
    <row r="137">
      <c r="A137" s="79">
        <f>LAVORAZIONI!G389</f>
        <v/>
      </c>
      <c r="B137" s="80">
        <f>LAVORAZIONI!A389</f>
        <v/>
      </c>
      <c r="C137" s="80">
        <f>LAVORAZIONI!K389</f>
        <v/>
      </c>
      <c r="D137" s="79">
        <f>LAVORAZIONI!M389</f>
        <v/>
      </c>
      <c r="E137" s="81">
        <f>LAVORAZIONI!N389</f>
        <v/>
      </c>
      <c r="F137" s="81">
        <f>LAVORAZIONI!O389</f>
        <v/>
      </c>
      <c r="G137" s="82">
        <f>LAVORAZIONI!P389</f>
        <v/>
      </c>
      <c r="H137" s="83">
        <f>LAVORAZIONI!W389</f>
        <v/>
      </c>
      <c r="I137" s="82">
        <f>LAVORAZIONI!X389</f>
        <v/>
      </c>
    </row>
    <row r="138">
      <c r="A138" s="79">
        <f>LAVORAZIONI!G390</f>
        <v/>
      </c>
      <c r="B138" s="80">
        <f>LAVORAZIONI!A390</f>
        <v/>
      </c>
      <c r="C138" s="80">
        <f>LAVORAZIONI!K390</f>
        <v/>
      </c>
      <c r="D138" s="79">
        <f>LAVORAZIONI!M390</f>
        <v/>
      </c>
      <c r="E138" s="81">
        <f>LAVORAZIONI!N390</f>
        <v/>
      </c>
      <c r="F138" s="81">
        <f>LAVORAZIONI!O390</f>
        <v/>
      </c>
      <c r="G138" s="82">
        <f>LAVORAZIONI!P390</f>
        <v/>
      </c>
      <c r="H138" s="83">
        <f>LAVORAZIONI!W390</f>
        <v/>
      </c>
      <c r="I138" s="82">
        <f>LAVORAZIONI!X390</f>
        <v/>
      </c>
    </row>
    <row r="139">
      <c r="A139" s="79">
        <f>LAVORAZIONI!G391</f>
        <v/>
      </c>
      <c r="B139" s="80">
        <f>LAVORAZIONI!A391</f>
        <v/>
      </c>
      <c r="C139" s="80">
        <f>LAVORAZIONI!K391</f>
        <v/>
      </c>
      <c r="D139" s="79">
        <f>LAVORAZIONI!M391</f>
        <v/>
      </c>
      <c r="E139" s="81">
        <f>LAVORAZIONI!N391</f>
        <v/>
      </c>
      <c r="F139" s="81">
        <f>LAVORAZIONI!O391</f>
        <v/>
      </c>
      <c r="G139" s="82">
        <f>LAVORAZIONI!P391</f>
        <v/>
      </c>
      <c r="H139" s="83">
        <f>LAVORAZIONI!W391</f>
        <v/>
      </c>
      <c r="I139" s="82">
        <f>LAVORAZIONI!X391</f>
        <v/>
      </c>
    </row>
    <row r="140">
      <c r="A140" s="79">
        <f>LAVORAZIONI!G392</f>
        <v/>
      </c>
      <c r="B140" s="80">
        <f>LAVORAZIONI!A392</f>
        <v/>
      </c>
      <c r="C140" s="80">
        <f>LAVORAZIONI!K392</f>
        <v/>
      </c>
      <c r="D140" s="79">
        <f>LAVORAZIONI!M392</f>
        <v/>
      </c>
      <c r="E140" s="81">
        <f>LAVORAZIONI!N392</f>
        <v/>
      </c>
      <c r="F140" s="81">
        <f>LAVORAZIONI!O392</f>
        <v/>
      </c>
      <c r="G140" s="82">
        <f>LAVORAZIONI!P392</f>
        <v/>
      </c>
      <c r="H140" s="83">
        <f>LAVORAZIONI!W392</f>
        <v/>
      </c>
      <c r="I140" s="82">
        <f>LAVORAZIONI!X392</f>
        <v/>
      </c>
    </row>
    <row r="141">
      <c r="A141" s="79">
        <f>LAVORAZIONI!G393</f>
        <v/>
      </c>
      <c r="B141" s="80">
        <f>LAVORAZIONI!A393</f>
        <v/>
      </c>
      <c r="C141" s="80">
        <f>LAVORAZIONI!K393</f>
        <v/>
      </c>
      <c r="D141" s="79">
        <f>LAVORAZIONI!M393</f>
        <v/>
      </c>
      <c r="E141" s="81">
        <f>LAVORAZIONI!N393</f>
        <v/>
      </c>
      <c r="F141" s="81">
        <f>LAVORAZIONI!O393</f>
        <v/>
      </c>
      <c r="G141" s="82">
        <f>LAVORAZIONI!P393</f>
        <v/>
      </c>
      <c r="H141" s="83">
        <f>LAVORAZIONI!W393</f>
        <v/>
      </c>
      <c r="I141" s="82">
        <f>LAVORAZIONI!X393</f>
        <v/>
      </c>
    </row>
    <row r="142">
      <c r="A142" s="84">
        <f>LAVORAZIONI!G394</f>
        <v/>
      </c>
      <c r="B142" s="85">
        <f>LAVORAZIONI!A394</f>
        <v/>
      </c>
      <c r="C142" s="85">
        <f>LAVORAZIONI!K394</f>
        <v/>
      </c>
      <c r="D142" s="84">
        <f>LAVORAZIONI!M394</f>
        <v/>
      </c>
      <c r="E142" s="86">
        <f>LAVORAZIONI!N394</f>
        <v/>
      </c>
      <c r="F142" s="86">
        <f>LAVORAZIONI!O394</f>
        <v/>
      </c>
      <c r="G142" s="87">
        <f>LAVORAZIONI!P394</f>
        <v/>
      </c>
      <c r="H142" s="88">
        <f>LAVORAZIONI!W394</f>
        <v/>
      </c>
      <c r="I142" s="87">
        <f>LAVORAZIONI!X394</f>
        <v/>
      </c>
    </row>
    <row r="143">
      <c r="A143" s="79">
        <f>LAVORAZIONI!G395</f>
        <v/>
      </c>
      <c r="B143" s="80">
        <f>LAVORAZIONI!A395</f>
        <v/>
      </c>
      <c r="C143" s="80">
        <f>LAVORAZIONI!K395</f>
        <v/>
      </c>
      <c r="D143" s="79">
        <f>LAVORAZIONI!M395</f>
        <v/>
      </c>
      <c r="E143" s="81">
        <f>LAVORAZIONI!N395</f>
        <v/>
      </c>
      <c r="F143" s="81">
        <f>LAVORAZIONI!O395</f>
        <v/>
      </c>
      <c r="G143" s="82">
        <f>LAVORAZIONI!P395</f>
        <v/>
      </c>
      <c r="H143" s="83">
        <f>LAVORAZIONI!W395</f>
        <v/>
      </c>
      <c r="I143" s="82">
        <f>LAVORAZIONI!X395</f>
        <v/>
      </c>
    </row>
    <row r="144">
      <c r="A144" s="79">
        <f>LAVORAZIONI!G396</f>
        <v/>
      </c>
      <c r="B144" s="80">
        <f>LAVORAZIONI!A396</f>
        <v/>
      </c>
      <c r="C144" s="80">
        <f>LAVORAZIONI!K396</f>
        <v/>
      </c>
      <c r="D144" s="79">
        <f>LAVORAZIONI!M396</f>
        <v/>
      </c>
      <c r="E144" s="81">
        <f>LAVORAZIONI!N396</f>
        <v/>
      </c>
      <c r="F144" s="81">
        <f>LAVORAZIONI!O396</f>
        <v/>
      </c>
      <c r="G144" s="82">
        <f>LAVORAZIONI!P396</f>
        <v/>
      </c>
      <c r="H144" s="83">
        <f>LAVORAZIONI!W396</f>
        <v/>
      </c>
      <c r="I144" s="82">
        <f>LAVORAZIONI!X396</f>
        <v/>
      </c>
    </row>
    <row r="145">
      <c r="A145" s="84">
        <f>LAVORAZIONI!G397</f>
        <v/>
      </c>
      <c r="B145" s="85">
        <f>LAVORAZIONI!A397</f>
        <v/>
      </c>
      <c r="C145" s="85">
        <f>LAVORAZIONI!K397</f>
        <v/>
      </c>
      <c r="D145" s="84">
        <f>LAVORAZIONI!M397</f>
        <v/>
      </c>
      <c r="E145" s="86">
        <f>LAVORAZIONI!N397</f>
        <v/>
      </c>
      <c r="F145" s="86">
        <f>LAVORAZIONI!O397</f>
        <v/>
      </c>
      <c r="G145" s="87">
        <f>LAVORAZIONI!P397</f>
        <v/>
      </c>
      <c r="H145" s="88">
        <f>LAVORAZIONI!W397</f>
        <v/>
      </c>
      <c r="I145" s="87">
        <f>LAVORAZIONI!X397</f>
        <v/>
      </c>
    </row>
    <row r="146">
      <c r="A146" s="61" t="n"/>
      <c r="B146" s="62" t="n"/>
      <c r="C146" s="62" t="n"/>
      <c r="D146" s="62" t="n"/>
      <c r="E146" s="62" t="n"/>
      <c r="F146" s="62" t="n"/>
      <c r="G146" s="62" t="n"/>
      <c r="H146" s="62" t="n"/>
      <c r="I146" s="63">
        <f>SUM(I5:I145)</f>
        <v/>
      </c>
    </row>
  </sheetData>
  <mergeCells count="4">
    <mergeCell ref="A1:I1"/>
    <mergeCell ref="A146:H146"/>
    <mergeCell ref="A3:I3"/>
    <mergeCell ref="A2:I2"/>
  </mergeCells>
  <pageMargins left="0.5" right="0.5" top="1" bottom="0.8" header="0.4" footer="0.4"/>
  <pageSetup orientation="landscape" paperSize="9" fitToHeight="0" fitToWidth="1"/>
  <headerFooter>
    <oddHeader>&amp;L&amp;"Calibri,Italic"&amp;9Nuovo stabilimento radiofarmaceutico LENA - Pavia (PV)&amp;C&amp;"Calibri,Bold"&amp;13Maggio - Meccaniche Speciali&amp;R&amp;"Calibri"&amp;9&amp;D</oddHeader>
    <oddFooter>&amp;C&amp;"Calibri"&amp;9Pagina &amp;P di &amp;N</oddFooter>
    <evenHeader>&amp;L&amp;"Calibri,Italic"&amp;9Nuovo stabilimento radiofarmaceutico LENA - Pavia (PV)&amp;C&amp;"Calibri,Bold"&amp;13Maggio - Meccaniche Speciali</evenHeader>
    <evenFooter>&amp;C&amp;"Calibri"&amp;9Pagina &amp;P di &amp;N</evenFooter>
    <firstHeader/>
    <firstFooter/>
  </headerFooter>
</worksheet>
</file>

<file path=xl/worksheets/sheet20.xml><?xml version="1.0" encoding="utf-8"?>
<worksheet xmlns="http://schemas.openxmlformats.org/spreadsheetml/2006/main">
  <sheetPr>
    <outlinePr summaryBelow="1" summaryRight="1"/>
    <pageSetUpPr fitToPage="1"/>
  </sheetPr>
  <dimension ref="A1:I118"/>
  <sheetViews>
    <sheetView workbookViewId="0">
      <pane ySplit="4" topLeftCell="A5" activePane="bottomLeft" state="frozen"/>
      <selection pane="bottomLeft" activeCell="A1" sqref="A1"/>
    </sheetView>
  </sheetViews>
  <sheetFormatPr baseColWidth="8" defaultRowHeight="15"/>
  <cols>
    <col width="9" customWidth="1" style="46" min="1" max="1"/>
    <col width="26" customWidth="1" style="46" min="2" max="2"/>
    <col width="58" customWidth="1" style="46" min="3" max="3"/>
    <col width="8" customWidth="1" style="46" min="4" max="4"/>
    <col width="11" customWidth="1" style="46" min="5" max="5"/>
    <col width="12" customWidth="1" style="46" min="6" max="6"/>
    <col width="14" customWidth="1" style="46" min="7" max="7"/>
    <col width="9" customWidth="1" style="46" min="8" max="8"/>
    <col width="14" customWidth="1" style="46" min="9" max="9"/>
  </cols>
  <sheetData>
    <row r="1" ht="22" customHeight="1" s="46">
      <c r="A1" s="78" t="inlineStr">
        <is>
          <t>SAL MAGGIO 2026 — OPERE ELETTRICHE</t>
        </is>
      </c>
    </row>
    <row r="2" ht="28"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N. VOCE</t>
        </is>
      </c>
      <c r="B4" s="55" t="inlineStr">
        <is>
          <t>CODICE LAVORAZIONE</t>
        </is>
      </c>
      <c r="C4" s="55" t="inlineStr">
        <is>
          <t>DESCRIZIONE</t>
        </is>
      </c>
      <c r="D4" s="55" t="inlineStr">
        <is>
          <t>U.M.</t>
        </is>
      </c>
      <c r="E4" s="55" t="inlineStr">
        <is>
          <t>QUANTITÀ</t>
        </is>
      </c>
      <c r="F4" s="55" t="inlineStr">
        <is>
          <t>VAL. UNITARIO</t>
        </is>
      </c>
      <c r="G4" s="55" t="inlineStr">
        <is>
          <t>TOTALE PREVENTIVO</t>
        </is>
      </c>
      <c r="H4" s="55" t="inlineStr">
        <is>
          <t>% SAL Maggio</t>
        </is>
      </c>
      <c r="I4" s="55" t="inlineStr">
        <is>
          <t>IMPORTO SAL Maggio</t>
        </is>
      </c>
    </row>
    <row r="5">
      <c r="A5" s="84">
        <f>LAVORAZIONI!G398</f>
        <v/>
      </c>
      <c r="B5" s="85">
        <f>LAVORAZIONI!A398</f>
        <v/>
      </c>
      <c r="C5" s="85">
        <f>LAVORAZIONI!K398</f>
        <v/>
      </c>
      <c r="D5" s="84">
        <f>LAVORAZIONI!M398</f>
        <v/>
      </c>
      <c r="E5" s="86">
        <f>LAVORAZIONI!N398</f>
        <v/>
      </c>
      <c r="F5" s="86">
        <f>LAVORAZIONI!O398</f>
        <v/>
      </c>
      <c r="G5" s="87">
        <f>LAVORAZIONI!P398</f>
        <v/>
      </c>
      <c r="H5" s="88">
        <f>LAVORAZIONI!W398</f>
        <v/>
      </c>
      <c r="I5" s="87">
        <f>LAVORAZIONI!X398</f>
        <v/>
      </c>
    </row>
    <row r="6">
      <c r="A6" s="84">
        <f>LAVORAZIONI!G399</f>
        <v/>
      </c>
      <c r="B6" s="85">
        <f>LAVORAZIONI!A399</f>
        <v/>
      </c>
      <c r="C6" s="85">
        <f>LAVORAZIONI!K399</f>
        <v/>
      </c>
      <c r="D6" s="84">
        <f>LAVORAZIONI!M399</f>
        <v/>
      </c>
      <c r="E6" s="86">
        <f>LAVORAZIONI!N399</f>
        <v/>
      </c>
      <c r="F6" s="86">
        <f>LAVORAZIONI!O399</f>
        <v/>
      </c>
      <c r="G6" s="87">
        <f>LAVORAZIONI!P399</f>
        <v/>
      </c>
      <c r="H6" s="88">
        <f>LAVORAZIONI!W399</f>
        <v/>
      </c>
      <c r="I6" s="87">
        <f>LAVORAZIONI!X399</f>
        <v/>
      </c>
    </row>
    <row r="7">
      <c r="A7" s="84">
        <f>LAVORAZIONI!G400</f>
        <v/>
      </c>
      <c r="B7" s="85">
        <f>LAVORAZIONI!A400</f>
        <v/>
      </c>
      <c r="C7" s="85">
        <f>LAVORAZIONI!K400</f>
        <v/>
      </c>
      <c r="D7" s="84">
        <f>LAVORAZIONI!M400</f>
        <v/>
      </c>
      <c r="E7" s="86">
        <f>LAVORAZIONI!N400</f>
        <v/>
      </c>
      <c r="F7" s="86">
        <f>LAVORAZIONI!O400</f>
        <v/>
      </c>
      <c r="G7" s="87">
        <f>LAVORAZIONI!P400</f>
        <v/>
      </c>
      <c r="H7" s="88">
        <f>LAVORAZIONI!W400</f>
        <v/>
      </c>
      <c r="I7" s="87">
        <f>LAVORAZIONI!X400</f>
        <v/>
      </c>
    </row>
    <row r="8">
      <c r="A8" s="84">
        <f>LAVORAZIONI!G401</f>
        <v/>
      </c>
      <c r="B8" s="85">
        <f>LAVORAZIONI!A401</f>
        <v/>
      </c>
      <c r="C8" s="85">
        <f>LAVORAZIONI!K401</f>
        <v/>
      </c>
      <c r="D8" s="84">
        <f>LAVORAZIONI!M401</f>
        <v/>
      </c>
      <c r="E8" s="86">
        <f>LAVORAZIONI!N401</f>
        <v/>
      </c>
      <c r="F8" s="86">
        <f>LAVORAZIONI!O401</f>
        <v/>
      </c>
      <c r="G8" s="87">
        <f>LAVORAZIONI!P401</f>
        <v/>
      </c>
      <c r="H8" s="88">
        <f>LAVORAZIONI!W401</f>
        <v/>
      </c>
      <c r="I8" s="87">
        <f>LAVORAZIONI!X401</f>
        <v/>
      </c>
    </row>
    <row r="9">
      <c r="A9" s="84">
        <f>LAVORAZIONI!G402</f>
        <v/>
      </c>
      <c r="B9" s="85">
        <f>LAVORAZIONI!A402</f>
        <v/>
      </c>
      <c r="C9" s="85">
        <f>LAVORAZIONI!K402</f>
        <v/>
      </c>
      <c r="D9" s="84">
        <f>LAVORAZIONI!M402</f>
        <v/>
      </c>
      <c r="E9" s="86">
        <f>LAVORAZIONI!N402</f>
        <v/>
      </c>
      <c r="F9" s="86">
        <f>LAVORAZIONI!O402</f>
        <v/>
      </c>
      <c r="G9" s="87">
        <f>LAVORAZIONI!P402</f>
        <v/>
      </c>
      <c r="H9" s="88">
        <f>LAVORAZIONI!W402</f>
        <v/>
      </c>
      <c r="I9" s="87">
        <f>LAVORAZIONI!X402</f>
        <v/>
      </c>
    </row>
    <row r="10">
      <c r="A10" s="84">
        <f>LAVORAZIONI!G403</f>
        <v/>
      </c>
      <c r="B10" s="85">
        <f>LAVORAZIONI!A403</f>
        <v/>
      </c>
      <c r="C10" s="85">
        <f>LAVORAZIONI!K403</f>
        <v/>
      </c>
      <c r="D10" s="84">
        <f>LAVORAZIONI!M403</f>
        <v/>
      </c>
      <c r="E10" s="86">
        <f>LAVORAZIONI!N403</f>
        <v/>
      </c>
      <c r="F10" s="86">
        <f>LAVORAZIONI!O403</f>
        <v/>
      </c>
      <c r="G10" s="87">
        <f>LAVORAZIONI!P403</f>
        <v/>
      </c>
      <c r="H10" s="88">
        <f>LAVORAZIONI!W403</f>
        <v/>
      </c>
      <c r="I10" s="87">
        <f>LAVORAZIONI!X403</f>
        <v/>
      </c>
    </row>
    <row r="11">
      <c r="A11" s="84">
        <f>LAVORAZIONI!G404</f>
        <v/>
      </c>
      <c r="B11" s="85">
        <f>LAVORAZIONI!A404</f>
        <v/>
      </c>
      <c r="C11" s="85">
        <f>LAVORAZIONI!K404</f>
        <v/>
      </c>
      <c r="D11" s="84">
        <f>LAVORAZIONI!M404</f>
        <v/>
      </c>
      <c r="E11" s="86">
        <f>LAVORAZIONI!N404</f>
        <v/>
      </c>
      <c r="F11" s="86">
        <f>LAVORAZIONI!O404</f>
        <v/>
      </c>
      <c r="G11" s="87">
        <f>LAVORAZIONI!P404</f>
        <v/>
      </c>
      <c r="H11" s="88">
        <f>LAVORAZIONI!W404</f>
        <v/>
      </c>
      <c r="I11" s="87">
        <f>LAVORAZIONI!X404</f>
        <v/>
      </c>
    </row>
    <row r="12">
      <c r="A12" s="84">
        <f>LAVORAZIONI!G405</f>
        <v/>
      </c>
      <c r="B12" s="85">
        <f>LAVORAZIONI!A405</f>
        <v/>
      </c>
      <c r="C12" s="85">
        <f>LAVORAZIONI!K405</f>
        <v/>
      </c>
      <c r="D12" s="84">
        <f>LAVORAZIONI!M405</f>
        <v/>
      </c>
      <c r="E12" s="86">
        <f>LAVORAZIONI!N405</f>
        <v/>
      </c>
      <c r="F12" s="86">
        <f>LAVORAZIONI!O405</f>
        <v/>
      </c>
      <c r="G12" s="87">
        <f>LAVORAZIONI!P405</f>
        <v/>
      </c>
      <c r="H12" s="88">
        <f>LAVORAZIONI!W405</f>
        <v/>
      </c>
      <c r="I12" s="87">
        <f>LAVORAZIONI!X405</f>
        <v/>
      </c>
    </row>
    <row r="13">
      <c r="A13" s="84">
        <f>LAVORAZIONI!G406</f>
        <v/>
      </c>
      <c r="B13" s="85">
        <f>LAVORAZIONI!A406</f>
        <v/>
      </c>
      <c r="C13" s="85">
        <f>LAVORAZIONI!K406</f>
        <v/>
      </c>
      <c r="D13" s="84">
        <f>LAVORAZIONI!M406</f>
        <v/>
      </c>
      <c r="E13" s="86">
        <f>LAVORAZIONI!N406</f>
        <v/>
      </c>
      <c r="F13" s="86">
        <f>LAVORAZIONI!O406</f>
        <v/>
      </c>
      <c r="G13" s="87">
        <f>LAVORAZIONI!P406</f>
        <v/>
      </c>
      <c r="H13" s="88">
        <f>LAVORAZIONI!W406</f>
        <v/>
      </c>
      <c r="I13" s="87">
        <f>LAVORAZIONI!X406</f>
        <v/>
      </c>
    </row>
    <row r="14">
      <c r="A14" s="84">
        <f>LAVORAZIONI!G407</f>
        <v/>
      </c>
      <c r="B14" s="85">
        <f>LAVORAZIONI!A407</f>
        <v/>
      </c>
      <c r="C14" s="85">
        <f>LAVORAZIONI!K407</f>
        <v/>
      </c>
      <c r="D14" s="84">
        <f>LAVORAZIONI!M407</f>
        <v/>
      </c>
      <c r="E14" s="86">
        <f>LAVORAZIONI!N407</f>
        <v/>
      </c>
      <c r="F14" s="86">
        <f>LAVORAZIONI!O407</f>
        <v/>
      </c>
      <c r="G14" s="87">
        <f>LAVORAZIONI!P407</f>
        <v/>
      </c>
      <c r="H14" s="88">
        <f>LAVORAZIONI!W407</f>
        <v/>
      </c>
      <c r="I14" s="87">
        <f>LAVORAZIONI!X407</f>
        <v/>
      </c>
    </row>
    <row r="15">
      <c r="A15" s="84">
        <f>LAVORAZIONI!G408</f>
        <v/>
      </c>
      <c r="B15" s="85">
        <f>LAVORAZIONI!A408</f>
        <v/>
      </c>
      <c r="C15" s="85">
        <f>LAVORAZIONI!K408</f>
        <v/>
      </c>
      <c r="D15" s="84">
        <f>LAVORAZIONI!M408</f>
        <v/>
      </c>
      <c r="E15" s="86">
        <f>LAVORAZIONI!N408</f>
        <v/>
      </c>
      <c r="F15" s="86">
        <f>LAVORAZIONI!O408</f>
        <v/>
      </c>
      <c r="G15" s="87">
        <f>LAVORAZIONI!P408</f>
        <v/>
      </c>
      <c r="H15" s="88">
        <f>LAVORAZIONI!W408</f>
        <v/>
      </c>
      <c r="I15" s="87">
        <f>LAVORAZIONI!X408</f>
        <v/>
      </c>
    </row>
    <row r="16">
      <c r="A16" s="84">
        <f>LAVORAZIONI!G409</f>
        <v/>
      </c>
      <c r="B16" s="85">
        <f>LAVORAZIONI!A409</f>
        <v/>
      </c>
      <c r="C16" s="85">
        <f>LAVORAZIONI!K409</f>
        <v/>
      </c>
      <c r="D16" s="84">
        <f>LAVORAZIONI!M409</f>
        <v/>
      </c>
      <c r="E16" s="86">
        <f>LAVORAZIONI!N409</f>
        <v/>
      </c>
      <c r="F16" s="86">
        <f>LAVORAZIONI!O409</f>
        <v/>
      </c>
      <c r="G16" s="87">
        <f>LAVORAZIONI!P409</f>
        <v/>
      </c>
      <c r="H16" s="88">
        <f>LAVORAZIONI!W409</f>
        <v/>
      </c>
      <c r="I16" s="87">
        <f>LAVORAZIONI!X409</f>
        <v/>
      </c>
    </row>
    <row r="17">
      <c r="A17" s="84">
        <f>LAVORAZIONI!G410</f>
        <v/>
      </c>
      <c r="B17" s="85">
        <f>LAVORAZIONI!A410</f>
        <v/>
      </c>
      <c r="C17" s="85">
        <f>LAVORAZIONI!K410</f>
        <v/>
      </c>
      <c r="D17" s="84">
        <f>LAVORAZIONI!M410</f>
        <v/>
      </c>
      <c r="E17" s="86">
        <f>LAVORAZIONI!N410</f>
        <v/>
      </c>
      <c r="F17" s="86">
        <f>LAVORAZIONI!O410</f>
        <v/>
      </c>
      <c r="G17" s="87">
        <f>LAVORAZIONI!P410</f>
        <v/>
      </c>
      <c r="H17" s="88">
        <f>LAVORAZIONI!W410</f>
        <v/>
      </c>
      <c r="I17" s="87">
        <f>LAVORAZIONI!X410</f>
        <v/>
      </c>
    </row>
    <row r="18">
      <c r="A18" s="84">
        <f>LAVORAZIONI!G411</f>
        <v/>
      </c>
      <c r="B18" s="85">
        <f>LAVORAZIONI!A411</f>
        <v/>
      </c>
      <c r="C18" s="85">
        <f>LAVORAZIONI!K411</f>
        <v/>
      </c>
      <c r="D18" s="84">
        <f>LAVORAZIONI!M411</f>
        <v/>
      </c>
      <c r="E18" s="86">
        <f>LAVORAZIONI!N411</f>
        <v/>
      </c>
      <c r="F18" s="86">
        <f>LAVORAZIONI!O411</f>
        <v/>
      </c>
      <c r="G18" s="87">
        <f>LAVORAZIONI!P411</f>
        <v/>
      </c>
      <c r="H18" s="88">
        <f>LAVORAZIONI!W411</f>
        <v/>
      </c>
      <c r="I18" s="87">
        <f>LAVORAZIONI!X411</f>
        <v/>
      </c>
    </row>
    <row r="19">
      <c r="A19" s="84">
        <f>LAVORAZIONI!G412</f>
        <v/>
      </c>
      <c r="B19" s="85">
        <f>LAVORAZIONI!A412</f>
        <v/>
      </c>
      <c r="C19" s="85">
        <f>LAVORAZIONI!K412</f>
        <v/>
      </c>
      <c r="D19" s="84">
        <f>LAVORAZIONI!M412</f>
        <v/>
      </c>
      <c r="E19" s="86">
        <f>LAVORAZIONI!N412</f>
        <v/>
      </c>
      <c r="F19" s="86">
        <f>LAVORAZIONI!O412</f>
        <v/>
      </c>
      <c r="G19" s="87">
        <f>LAVORAZIONI!P412</f>
        <v/>
      </c>
      <c r="H19" s="88">
        <f>LAVORAZIONI!W412</f>
        <v/>
      </c>
      <c r="I19" s="87">
        <f>LAVORAZIONI!X412</f>
        <v/>
      </c>
    </row>
    <row r="20">
      <c r="A20" s="84">
        <f>LAVORAZIONI!G413</f>
        <v/>
      </c>
      <c r="B20" s="85">
        <f>LAVORAZIONI!A413</f>
        <v/>
      </c>
      <c r="C20" s="85">
        <f>LAVORAZIONI!K413</f>
        <v/>
      </c>
      <c r="D20" s="84">
        <f>LAVORAZIONI!M413</f>
        <v/>
      </c>
      <c r="E20" s="86">
        <f>LAVORAZIONI!N413</f>
        <v/>
      </c>
      <c r="F20" s="86">
        <f>LAVORAZIONI!O413</f>
        <v/>
      </c>
      <c r="G20" s="87">
        <f>LAVORAZIONI!P413</f>
        <v/>
      </c>
      <c r="H20" s="88">
        <f>LAVORAZIONI!W413</f>
        <v/>
      </c>
      <c r="I20" s="87">
        <f>LAVORAZIONI!X413</f>
        <v/>
      </c>
    </row>
    <row r="21">
      <c r="A21" s="84">
        <f>LAVORAZIONI!G414</f>
        <v/>
      </c>
      <c r="B21" s="85">
        <f>LAVORAZIONI!A414</f>
        <v/>
      </c>
      <c r="C21" s="85">
        <f>LAVORAZIONI!K414</f>
        <v/>
      </c>
      <c r="D21" s="84">
        <f>LAVORAZIONI!M414</f>
        <v/>
      </c>
      <c r="E21" s="86">
        <f>LAVORAZIONI!N414</f>
        <v/>
      </c>
      <c r="F21" s="86">
        <f>LAVORAZIONI!O414</f>
        <v/>
      </c>
      <c r="G21" s="87">
        <f>LAVORAZIONI!P414</f>
        <v/>
      </c>
      <c r="H21" s="88">
        <f>LAVORAZIONI!W414</f>
        <v/>
      </c>
      <c r="I21" s="87">
        <f>LAVORAZIONI!X414</f>
        <v/>
      </c>
    </row>
    <row r="22">
      <c r="A22" s="84">
        <f>LAVORAZIONI!G415</f>
        <v/>
      </c>
      <c r="B22" s="85">
        <f>LAVORAZIONI!A415</f>
        <v/>
      </c>
      <c r="C22" s="85">
        <f>LAVORAZIONI!K415</f>
        <v/>
      </c>
      <c r="D22" s="84">
        <f>LAVORAZIONI!M415</f>
        <v/>
      </c>
      <c r="E22" s="86">
        <f>LAVORAZIONI!N415</f>
        <v/>
      </c>
      <c r="F22" s="86">
        <f>LAVORAZIONI!O415</f>
        <v/>
      </c>
      <c r="G22" s="87">
        <f>LAVORAZIONI!P415</f>
        <v/>
      </c>
      <c r="H22" s="88">
        <f>LAVORAZIONI!W415</f>
        <v/>
      </c>
      <c r="I22" s="87">
        <f>LAVORAZIONI!X415</f>
        <v/>
      </c>
    </row>
    <row r="23">
      <c r="A23" s="84">
        <f>LAVORAZIONI!G416</f>
        <v/>
      </c>
      <c r="B23" s="85">
        <f>LAVORAZIONI!A416</f>
        <v/>
      </c>
      <c r="C23" s="85">
        <f>LAVORAZIONI!K416</f>
        <v/>
      </c>
      <c r="D23" s="84">
        <f>LAVORAZIONI!M416</f>
        <v/>
      </c>
      <c r="E23" s="86">
        <f>LAVORAZIONI!N416</f>
        <v/>
      </c>
      <c r="F23" s="86">
        <f>LAVORAZIONI!O416</f>
        <v/>
      </c>
      <c r="G23" s="87">
        <f>LAVORAZIONI!P416</f>
        <v/>
      </c>
      <c r="H23" s="88">
        <f>LAVORAZIONI!W416</f>
        <v/>
      </c>
      <c r="I23" s="87">
        <f>LAVORAZIONI!X416</f>
        <v/>
      </c>
    </row>
    <row r="24">
      <c r="A24" s="84">
        <f>LAVORAZIONI!G417</f>
        <v/>
      </c>
      <c r="B24" s="85">
        <f>LAVORAZIONI!A417</f>
        <v/>
      </c>
      <c r="C24" s="85">
        <f>LAVORAZIONI!K417</f>
        <v/>
      </c>
      <c r="D24" s="84">
        <f>LAVORAZIONI!M417</f>
        <v/>
      </c>
      <c r="E24" s="86">
        <f>LAVORAZIONI!N417</f>
        <v/>
      </c>
      <c r="F24" s="86">
        <f>LAVORAZIONI!O417</f>
        <v/>
      </c>
      <c r="G24" s="87">
        <f>LAVORAZIONI!P417</f>
        <v/>
      </c>
      <c r="H24" s="88">
        <f>LAVORAZIONI!W417</f>
        <v/>
      </c>
      <c r="I24" s="87">
        <f>LAVORAZIONI!X417</f>
        <v/>
      </c>
    </row>
    <row r="25">
      <c r="A25" s="84">
        <f>LAVORAZIONI!G418</f>
        <v/>
      </c>
      <c r="B25" s="85">
        <f>LAVORAZIONI!A418</f>
        <v/>
      </c>
      <c r="C25" s="85">
        <f>LAVORAZIONI!K418</f>
        <v/>
      </c>
      <c r="D25" s="84">
        <f>LAVORAZIONI!M418</f>
        <v/>
      </c>
      <c r="E25" s="86">
        <f>LAVORAZIONI!N418</f>
        <v/>
      </c>
      <c r="F25" s="86">
        <f>LAVORAZIONI!O418</f>
        <v/>
      </c>
      <c r="G25" s="87">
        <f>LAVORAZIONI!P418</f>
        <v/>
      </c>
      <c r="H25" s="88">
        <f>LAVORAZIONI!W418</f>
        <v/>
      </c>
      <c r="I25" s="87">
        <f>LAVORAZIONI!X418</f>
        <v/>
      </c>
    </row>
    <row r="26">
      <c r="A26" s="84">
        <f>LAVORAZIONI!G419</f>
        <v/>
      </c>
      <c r="B26" s="85">
        <f>LAVORAZIONI!A419</f>
        <v/>
      </c>
      <c r="C26" s="85">
        <f>LAVORAZIONI!K419</f>
        <v/>
      </c>
      <c r="D26" s="84">
        <f>LAVORAZIONI!M419</f>
        <v/>
      </c>
      <c r="E26" s="86">
        <f>LAVORAZIONI!N419</f>
        <v/>
      </c>
      <c r="F26" s="86">
        <f>LAVORAZIONI!O419</f>
        <v/>
      </c>
      <c r="G26" s="87">
        <f>LAVORAZIONI!P419</f>
        <v/>
      </c>
      <c r="H26" s="88">
        <f>LAVORAZIONI!W419</f>
        <v/>
      </c>
      <c r="I26" s="87">
        <f>LAVORAZIONI!X419</f>
        <v/>
      </c>
    </row>
    <row r="27">
      <c r="A27" s="84">
        <f>LAVORAZIONI!G420</f>
        <v/>
      </c>
      <c r="B27" s="85">
        <f>LAVORAZIONI!A420</f>
        <v/>
      </c>
      <c r="C27" s="85">
        <f>LAVORAZIONI!K420</f>
        <v/>
      </c>
      <c r="D27" s="84">
        <f>LAVORAZIONI!M420</f>
        <v/>
      </c>
      <c r="E27" s="86">
        <f>LAVORAZIONI!N420</f>
        <v/>
      </c>
      <c r="F27" s="86">
        <f>LAVORAZIONI!O420</f>
        <v/>
      </c>
      <c r="G27" s="87">
        <f>LAVORAZIONI!P420</f>
        <v/>
      </c>
      <c r="H27" s="88">
        <f>LAVORAZIONI!W420</f>
        <v/>
      </c>
      <c r="I27" s="87">
        <f>LAVORAZIONI!X420</f>
        <v/>
      </c>
    </row>
    <row r="28">
      <c r="A28" s="84">
        <f>LAVORAZIONI!G421</f>
        <v/>
      </c>
      <c r="B28" s="85">
        <f>LAVORAZIONI!A421</f>
        <v/>
      </c>
      <c r="C28" s="85">
        <f>LAVORAZIONI!K421</f>
        <v/>
      </c>
      <c r="D28" s="84">
        <f>LAVORAZIONI!M421</f>
        <v/>
      </c>
      <c r="E28" s="86">
        <f>LAVORAZIONI!N421</f>
        <v/>
      </c>
      <c r="F28" s="86">
        <f>LAVORAZIONI!O421</f>
        <v/>
      </c>
      <c r="G28" s="87">
        <f>LAVORAZIONI!P421</f>
        <v/>
      </c>
      <c r="H28" s="88">
        <f>LAVORAZIONI!W421</f>
        <v/>
      </c>
      <c r="I28" s="87">
        <f>LAVORAZIONI!X421</f>
        <v/>
      </c>
    </row>
    <row r="29">
      <c r="A29" s="84">
        <f>LAVORAZIONI!G422</f>
        <v/>
      </c>
      <c r="B29" s="85">
        <f>LAVORAZIONI!A422</f>
        <v/>
      </c>
      <c r="C29" s="85">
        <f>LAVORAZIONI!K422</f>
        <v/>
      </c>
      <c r="D29" s="84">
        <f>LAVORAZIONI!M422</f>
        <v/>
      </c>
      <c r="E29" s="86">
        <f>LAVORAZIONI!N422</f>
        <v/>
      </c>
      <c r="F29" s="86">
        <f>LAVORAZIONI!O422</f>
        <v/>
      </c>
      <c r="G29" s="87">
        <f>LAVORAZIONI!P422</f>
        <v/>
      </c>
      <c r="H29" s="88">
        <f>LAVORAZIONI!W422</f>
        <v/>
      </c>
      <c r="I29" s="87">
        <f>LAVORAZIONI!X422</f>
        <v/>
      </c>
    </row>
    <row r="30">
      <c r="A30" s="84">
        <f>LAVORAZIONI!G423</f>
        <v/>
      </c>
      <c r="B30" s="85">
        <f>LAVORAZIONI!A423</f>
        <v/>
      </c>
      <c r="C30" s="85">
        <f>LAVORAZIONI!K423</f>
        <v/>
      </c>
      <c r="D30" s="84">
        <f>LAVORAZIONI!M423</f>
        <v/>
      </c>
      <c r="E30" s="86">
        <f>LAVORAZIONI!N423</f>
        <v/>
      </c>
      <c r="F30" s="86">
        <f>LAVORAZIONI!O423</f>
        <v/>
      </c>
      <c r="G30" s="87">
        <f>LAVORAZIONI!P423</f>
        <v/>
      </c>
      <c r="H30" s="88">
        <f>LAVORAZIONI!W423</f>
        <v/>
      </c>
      <c r="I30" s="87">
        <f>LAVORAZIONI!X423</f>
        <v/>
      </c>
    </row>
    <row r="31">
      <c r="A31" s="84">
        <f>LAVORAZIONI!G424</f>
        <v/>
      </c>
      <c r="B31" s="85">
        <f>LAVORAZIONI!A424</f>
        <v/>
      </c>
      <c r="C31" s="85">
        <f>LAVORAZIONI!K424</f>
        <v/>
      </c>
      <c r="D31" s="84">
        <f>LAVORAZIONI!M424</f>
        <v/>
      </c>
      <c r="E31" s="86">
        <f>LAVORAZIONI!N424</f>
        <v/>
      </c>
      <c r="F31" s="86">
        <f>LAVORAZIONI!O424</f>
        <v/>
      </c>
      <c r="G31" s="87">
        <f>LAVORAZIONI!P424</f>
        <v/>
      </c>
      <c r="H31" s="88">
        <f>LAVORAZIONI!W424</f>
        <v/>
      </c>
      <c r="I31" s="87">
        <f>LAVORAZIONI!X424</f>
        <v/>
      </c>
    </row>
    <row r="32">
      <c r="A32" s="84">
        <f>LAVORAZIONI!G425</f>
        <v/>
      </c>
      <c r="B32" s="85">
        <f>LAVORAZIONI!A425</f>
        <v/>
      </c>
      <c r="C32" s="85">
        <f>LAVORAZIONI!K425</f>
        <v/>
      </c>
      <c r="D32" s="84">
        <f>LAVORAZIONI!M425</f>
        <v/>
      </c>
      <c r="E32" s="86">
        <f>LAVORAZIONI!N425</f>
        <v/>
      </c>
      <c r="F32" s="86">
        <f>LAVORAZIONI!O425</f>
        <v/>
      </c>
      <c r="G32" s="87">
        <f>LAVORAZIONI!P425</f>
        <v/>
      </c>
      <c r="H32" s="88">
        <f>LAVORAZIONI!W425</f>
        <v/>
      </c>
      <c r="I32" s="87">
        <f>LAVORAZIONI!X425</f>
        <v/>
      </c>
    </row>
    <row r="33">
      <c r="A33" s="84">
        <f>LAVORAZIONI!G426</f>
        <v/>
      </c>
      <c r="B33" s="85">
        <f>LAVORAZIONI!A426</f>
        <v/>
      </c>
      <c r="C33" s="85">
        <f>LAVORAZIONI!K426</f>
        <v/>
      </c>
      <c r="D33" s="84">
        <f>LAVORAZIONI!M426</f>
        <v/>
      </c>
      <c r="E33" s="86">
        <f>LAVORAZIONI!N426</f>
        <v/>
      </c>
      <c r="F33" s="86">
        <f>LAVORAZIONI!O426</f>
        <v/>
      </c>
      <c r="G33" s="87">
        <f>LAVORAZIONI!P426</f>
        <v/>
      </c>
      <c r="H33" s="88">
        <f>LAVORAZIONI!W426</f>
        <v/>
      </c>
      <c r="I33" s="87">
        <f>LAVORAZIONI!X426</f>
        <v/>
      </c>
    </row>
    <row r="34">
      <c r="A34" s="84">
        <f>LAVORAZIONI!G427</f>
        <v/>
      </c>
      <c r="B34" s="85">
        <f>LAVORAZIONI!A427</f>
        <v/>
      </c>
      <c r="C34" s="85">
        <f>LAVORAZIONI!K427</f>
        <v/>
      </c>
      <c r="D34" s="84">
        <f>LAVORAZIONI!M427</f>
        <v/>
      </c>
      <c r="E34" s="86">
        <f>LAVORAZIONI!N427</f>
        <v/>
      </c>
      <c r="F34" s="86">
        <f>LAVORAZIONI!O427</f>
        <v/>
      </c>
      <c r="G34" s="87">
        <f>LAVORAZIONI!P427</f>
        <v/>
      </c>
      <c r="H34" s="88">
        <f>LAVORAZIONI!W427</f>
        <v/>
      </c>
      <c r="I34" s="87">
        <f>LAVORAZIONI!X427</f>
        <v/>
      </c>
    </row>
    <row r="35">
      <c r="A35" s="84">
        <f>LAVORAZIONI!G428</f>
        <v/>
      </c>
      <c r="B35" s="85">
        <f>LAVORAZIONI!A428</f>
        <v/>
      </c>
      <c r="C35" s="85">
        <f>LAVORAZIONI!K428</f>
        <v/>
      </c>
      <c r="D35" s="84">
        <f>LAVORAZIONI!M428</f>
        <v/>
      </c>
      <c r="E35" s="86">
        <f>LAVORAZIONI!N428</f>
        <v/>
      </c>
      <c r="F35" s="86">
        <f>LAVORAZIONI!O428</f>
        <v/>
      </c>
      <c r="G35" s="87">
        <f>LAVORAZIONI!P428</f>
        <v/>
      </c>
      <c r="H35" s="88">
        <f>LAVORAZIONI!W428</f>
        <v/>
      </c>
      <c r="I35" s="87">
        <f>LAVORAZIONI!X428</f>
        <v/>
      </c>
    </row>
    <row r="36">
      <c r="A36" s="84">
        <f>LAVORAZIONI!G429</f>
        <v/>
      </c>
      <c r="B36" s="85">
        <f>LAVORAZIONI!A429</f>
        <v/>
      </c>
      <c r="C36" s="85">
        <f>LAVORAZIONI!K429</f>
        <v/>
      </c>
      <c r="D36" s="84">
        <f>LAVORAZIONI!M429</f>
        <v/>
      </c>
      <c r="E36" s="86">
        <f>LAVORAZIONI!N429</f>
        <v/>
      </c>
      <c r="F36" s="86">
        <f>LAVORAZIONI!O429</f>
        <v/>
      </c>
      <c r="G36" s="87">
        <f>LAVORAZIONI!P429</f>
        <v/>
      </c>
      <c r="H36" s="88">
        <f>LAVORAZIONI!W429</f>
        <v/>
      </c>
      <c r="I36" s="87">
        <f>LAVORAZIONI!X429</f>
        <v/>
      </c>
    </row>
    <row r="37">
      <c r="A37" s="84">
        <f>LAVORAZIONI!G430</f>
        <v/>
      </c>
      <c r="B37" s="85">
        <f>LAVORAZIONI!A430</f>
        <v/>
      </c>
      <c r="C37" s="85">
        <f>LAVORAZIONI!K430</f>
        <v/>
      </c>
      <c r="D37" s="84">
        <f>LAVORAZIONI!M430</f>
        <v/>
      </c>
      <c r="E37" s="86">
        <f>LAVORAZIONI!N430</f>
        <v/>
      </c>
      <c r="F37" s="86">
        <f>LAVORAZIONI!O430</f>
        <v/>
      </c>
      <c r="G37" s="87">
        <f>LAVORAZIONI!P430</f>
        <v/>
      </c>
      <c r="H37" s="88">
        <f>LAVORAZIONI!W430</f>
        <v/>
      </c>
      <c r="I37" s="87">
        <f>LAVORAZIONI!X430</f>
        <v/>
      </c>
    </row>
    <row r="38">
      <c r="A38" s="84">
        <f>LAVORAZIONI!G431</f>
        <v/>
      </c>
      <c r="B38" s="85">
        <f>LAVORAZIONI!A431</f>
        <v/>
      </c>
      <c r="C38" s="85">
        <f>LAVORAZIONI!K431</f>
        <v/>
      </c>
      <c r="D38" s="84">
        <f>LAVORAZIONI!M431</f>
        <v/>
      </c>
      <c r="E38" s="86">
        <f>LAVORAZIONI!N431</f>
        <v/>
      </c>
      <c r="F38" s="86">
        <f>LAVORAZIONI!O431</f>
        <v/>
      </c>
      <c r="G38" s="87">
        <f>LAVORAZIONI!P431</f>
        <v/>
      </c>
      <c r="H38" s="88">
        <f>LAVORAZIONI!W431</f>
        <v/>
      </c>
      <c r="I38" s="87">
        <f>LAVORAZIONI!X431</f>
        <v/>
      </c>
    </row>
    <row r="39">
      <c r="A39" s="79">
        <f>LAVORAZIONI!G432</f>
        <v/>
      </c>
      <c r="B39" s="80">
        <f>LAVORAZIONI!A432</f>
        <v/>
      </c>
      <c r="C39" s="80">
        <f>LAVORAZIONI!K432</f>
        <v/>
      </c>
      <c r="D39" s="79">
        <f>LAVORAZIONI!M432</f>
        <v/>
      </c>
      <c r="E39" s="81">
        <f>LAVORAZIONI!N432</f>
        <v/>
      </c>
      <c r="F39" s="81">
        <f>LAVORAZIONI!O432</f>
        <v/>
      </c>
      <c r="G39" s="82">
        <f>LAVORAZIONI!P432</f>
        <v/>
      </c>
      <c r="H39" s="83">
        <f>LAVORAZIONI!W432</f>
        <v/>
      </c>
      <c r="I39" s="82">
        <f>LAVORAZIONI!X432</f>
        <v/>
      </c>
    </row>
    <row r="40">
      <c r="A40" s="79">
        <f>LAVORAZIONI!G433</f>
        <v/>
      </c>
      <c r="B40" s="80">
        <f>LAVORAZIONI!A433</f>
        <v/>
      </c>
      <c r="C40" s="80">
        <f>LAVORAZIONI!K433</f>
        <v/>
      </c>
      <c r="D40" s="79">
        <f>LAVORAZIONI!M433</f>
        <v/>
      </c>
      <c r="E40" s="81">
        <f>LAVORAZIONI!N433</f>
        <v/>
      </c>
      <c r="F40" s="81">
        <f>LAVORAZIONI!O433</f>
        <v/>
      </c>
      <c r="G40" s="82">
        <f>LAVORAZIONI!P433</f>
        <v/>
      </c>
      <c r="H40" s="83">
        <f>LAVORAZIONI!W433</f>
        <v/>
      </c>
      <c r="I40" s="82">
        <f>LAVORAZIONI!X433</f>
        <v/>
      </c>
    </row>
    <row r="41">
      <c r="A41" s="84">
        <f>LAVORAZIONI!G434</f>
        <v/>
      </c>
      <c r="B41" s="85">
        <f>LAVORAZIONI!A434</f>
        <v/>
      </c>
      <c r="C41" s="85">
        <f>LAVORAZIONI!K434</f>
        <v/>
      </c>
      <c r="D41" s="84">
        <f>LAVORAZIONI!M434</f>
        <v/>
      </c>
      <c r="E41" s="86">
        <f>LAVORAZIONI!N434</f>
        <v/>
      </c>
      <c r="F41" s="86">
        <f>LAVORAZIONI!O434</f>
        <v/>
      </c>
      <c r="G41" s="87">
        <f>LAVORAZIONI!P434</f>
        <v/>
      </c>
      <c r="H41" s="88">
        <f>LAVORAZIONI!W434</f>
        <v/>
      </c>
      <c r="I41" s="87">
        <f>LAVORAZIONI!X434</f>
        <v/>
      </c>
    </row>
    <row r="42">
      <c r="A42" s="84">
        <f>LAVORAZIONI!G435</f>
        <v/>
      </c>
      <c r="B42" s="85">
        <f>LAVORAZIONI!A435</f>
        <v/>
      </c>
      <c r="C42" s="85">
        <f>LAVORAZIONI!K435</f>
        <v/>
      </c>
      <c r="D42" s="84">
        <f>LAVORAZIONI!M435</f>
        <v/>
      </c>
      <c r="E42" s="86">
        <f>LAVORAZIONI!N435</f>
        <v/>
      </c>
      <c r="F42" s="86">
        <f>LAVORAZIONI!O435</f>
        <v/>
      </c>
      <c r="G42" s="87">
        <f>LAVORAZIONI!P435</f>
        <v/>
      </c>
      <c r="H42" s="88">
        <f>LAVORAZIONI!W435</f>
        <v/>
      </c>
      <c r="I42" s="87">
        <f>LAVORAZIONI!X435</f>
        <v/>
      </c>
    </row>
    <row r="43">
      <c r="A43" s="84">
        <f>LAVORAZIONI!G436</f>
        <v/>
      </c>
      <c r="B43" s="85">
        <f>LAVORAZIONI!A436</f>
        <v/>
      </c>
      <c r="C43" s="85">
        <f>LAVORAZIONI!K436</f>
        <v/>
      </c>
      <c r="D43" s="84">
        <f>LAVORAZIONI!M436</f>
        <v/>
      </c>
      <c r="E43" s="86">
        <f>LAVORAZIONI!N436</f>
        <v/>
      </c>
      <c r="F43" s="86">
        <f>LAVORAZIONI!O436</f>
        <v/>
      </c>
      <c r="G43" s="87">
        <f>LAVORAZIONI!P436</f>
        <v/>
      </c>
      <c r="H43" s="88">
        <f>LAVORAZIONI!W436</f>
        <v/>
      </c>
      <c r="I43" s="87">
        <f>LAVORAZIONI!X436</f>
        <v/>
      </c>
    </row>
    <row r="44">
      <c r="A44" s="84">
        <f>LAVORAZIONI!G437</f>
        <v/>
      </c>
      <c r="B44" s="85">
        <f>LAVORAZIONI!A437</f>
        <v/>
      </c>
      <c r="C44" s="85">
        <f>LAVORAZIONI!K437</f>
        <v/>
      </c>
      <c r="D44" s="84">
        <f>LAVORAZIONI!M437</f>
        <v/>
      </c>
      <c r="E44" s="86">
        <f>LAVORAZIONI!N437</f>
        <v/>
      </c>
      <c r="F44" s="86">
        <f>LAVORAZIONI!O437</f>
        <v/>
      </c>
      <c r="G44" s="87">
        <f>LAVORAZIONI!P437</f>
        <v/>
      </c>
      <c r="H44" s="88">
        <f>LAVORAZIONI!W437</f>
        <v/>
      </c>
      <c r="I44" s="87">
        <f>LAVORAZIONI!X437</f>
        <v/>
      </c>
    </row>
    <row r="45">
      <c r="A45" s="84">
        <f>LAVORAZIONI!G438</f>
        <v/>
      </c>
      <c r="B45" s="85">
        <f>LAVORAZIONI!A438</f>
        <v/>
      </c>
      <c r="C45" s="85">
        <f>LAVORAZIONI!K438</f>
        <v/>
      </c>
      <c r="D45" s="84">
        <f>LAVORAZIONI!M438</f>
        <v/>
      </c>
      <c r="E45" s="86">
        <f>LAVORAZIONI!N438</f>
        <v/>
      </c>
      <c r="F45" s="86">
        <f>LAVORAZIONI!O438</f>
        <v/>
      </c>
      <c r="G45" s="87">
        <f>LAVORAZIONI!P438</f>
        <v/>
      </c>
      <c r="H45" s="88">
        <f>LAVORAZIONI!W438</f>
        <v/>
      </c>
      <c r="I45" s="87">
        <f>LAVORAZIONI!X438</f>
        <v/>
      </c>
    </row>
    <row r="46">
      <c r="A46" s="84">
        <f>LAVORAZIONI!G439</f>
        <v/>
      </c>
      <c r="B46" s="85">
        <f>LAVORAZIONI!A439</f>
        <v/>
      </c>
      <c r="C46" s="85">
        <f>LAVORAZIONI!K439</f>
        <v/>
      </c>
      <c r="D46" s="84">
        <f>LAVORAZIONI!M439</f>
        <v/>
      </c>
      <c r="E46" s="86">
        <f>LAVORAZIONI!N439</f>
        <v/>
      </c>
      <c r="F46" s="86">
        <f>LAVORAZIONI!O439</f>
        <v/>
      </c>
      <c r="G46" s="87">
        <f>LAVORAZIONI!P439</f>
        <v/>
      </c>
      <c r="H46" s="88">
        <f>LAVORAZIONI!W439</f>
        <v/>
      </c>
      <c r="I46" s="87">
        <f>LAVORAZIONI!X439</f>
        <v/>
      </c>
    </row>
    <row r="47">
      <c r="A47" s="84">
        <f>LAVORAZIONI!G440</f>
        <v/>
      </c>
      <c r="B47" s="85">
        <f>LAVORAZIONI!A440</f>
        <v/>
      </c>
      <c r="C47" s="85">
        <f>LAVORAZIONI!K440</f>
        <v/>
      </c>
      <c r="D47" s="84">
        <f>LAVORAZIONI!M440</f>
        <v/>
      </c>
      <c r="E47" s="86">
        <f>LAVORAZIONI!N440</f>
        <v/>
      </c>
      <c r="F47" s="86">
        <f>LAVORAZIONI!O440</f>
        <v/>
      </c>
      <c r="G47" s="87">
        <f>LAVORAZIONI!P440</f>
        <v/>
      </c>
      <c r="H47" s="88">
        <f>LAVORAZIONI!W440</f>
        <v/>
      </c>
      <c r="I47" s="87">
        <f>LAVORAZIONI!X440</f>
        <v/>
      </c>
    </row>
    <row r="48">
      <c r="A48" s="84">
        <f>LAVORAZIONI!G441</f>
        <v/>
      </c>
      <c r="B48" s="85">
        <f>LAVORAZIONI!A441</f>
        <v/>
      </c>
      <c r="C48" s="85">
        <f>LAVORAZIONI!K441</f>
        <v/>
      </c>
      <c r="D48" s="84">
        <f>LAVORAZIONI!M441</f>
        <v/>
      </c>
      <c r="E48" s="86">
        <f>LAVORAZIONI!N441</f>
        <v/>
      </c>
      <c r="F48" s="86">
        <f>LAVORAZIONI!O441</f>
        <v/>
      </c>
      <c r="G48" s="87">
        <f>LAVORAZIONI!P441</f>
        <v/>
      </c>
      <c r="H48" s="88">
        <f>LAVORAZIONI!W441</f>
        <v/>
      </c>
      <c r="I48" s="87">
        <f>LAVORAZIONI!X441</f>
        <v/>
      </c>
    </row>
    <row r="49">
      <c r="A49" s="84">
        <f>LAVORAZIONI!G442</f>
        <v/>
      </c>
      <c r="B49" s="85">
        <f>LAVORAZIONI!A442</f>
        <v/>
      </c>
      <c r="C49" s="85">
        <f>LAVORAZIONI!K442</f>
        <v/>
      </c>
      <c r="D49" s="84">
        <f>LAVORAZIONI!M442</f>
        <v/>
      </c>
      <c r="E49" s="86">
        <f>LAVORAZIONI!N442</f>
        <v/>
      </c>
      <c r="F49" s="86">
        <f>LAVORAZIONI!O442</f>
        <v/>
      </c>
      <c r="G49" s="87">
        <f>LAVORAZIONI!P442</f>
        <v/>
      </c>
      <c r="H49" s="88">
        <f>LAVORAZIONI!W442</f>
        <v/>
      </c>
      <c r="I49" s="87">
        <f>LAVORAZIONI!X442</f>
        <v/>
      </c>
    </row>
    <row r="50">
      <c r="A50" s="84">
        <f>LAVORAZIONI!G443</f>
        <v/>
      </c>
      <c r="B50" s="85">
        <f>LAVORAZIONI!A443</f>
        <v/>
      </c>
      <c r="C50" s="85">
        <f>LAVORAZIONI!K443</f>
        <v/>
      </c>
      <c r="D50" s="84">
        <f>LAVORAZIONI!M443</f>
        <v/>
      </c>
      <c r="E50" s="86">
        <f>LAVORAZIONI!N443</f>
        <v/>
      </c>
      <c r="F50" s="86">
        <f>LAVORAZIONI!O443</f>
        <v/>
      </c>
      <c r="G50" s="87">
        <f>LAVORAZIONI!P443</f>
        <v/>
      </c>
      <c r="H50" s="88">
        <f>LAVORAZIONI!W443</f>
        <v/>
      </c>
      <c r="I50" s="87">
        <f>LAVORAZIONI!X443</f>
        <v/>
      </c>
    </row>
    <row r="51">
      <c r="A51" s="84">
        <f>LAVORAZIONI!G444</f>
        <v/>
      </c>
      <c r="B51" s="85">
        <f>LAVORAZIONI!A444</f>
        <v/>
      </c>
      <c r="C51" s="85">
        <f>LAVORAZIONI!K444</f>
        <v/>
      </c>
      <c r="D51" s="84">
        <f>LAVORAZIONI!M444</f>
        <v/>
      </c>
      <c r="E51" s="86">
        <f>LAVORAZIONI!N444</f>
        <v/>
      </c>
      <c r="F51" s="86">
        <f>LAVORAZIONI!O444</f>
        <v/>
      </c>
      <c r="G51" s="87">
        <f>LAVORAZIONI!P444</f>
        <v/>
      </c>
      <c r="H51" s="88">
        <f>LAVORAZIONI!W444</f>
        <v/>
      </c>
      <c r="I51" s="87">
        <f>LAVORAZIONI!X444</f>
        <v/>
      </c>
    </row>
    <row r="52">
      <c r="A52" s="79">
        <f>LAVORAZIONI!G445</f>
        <v/>
      </c>
      <c r="B52" s="80">
        <f>LAVORAZIONI!A445</f>
        <v/>
      </c>
      <c r="C52" s="80">
        <f>LAVORAZIONI!K445</f>
        <v/>
      </c>
      <c r="D52" s="79">
        <f>LAVORAZIONI!M445</f>
        <v/>
      </c>
      <c r="E52" s="81">
        <f>LAVORAZIONI!N445</f>
        <v/>
      </c>
      <c r="F52" s="81">
        <f>LAVORAZIONI!O445</f>
        <v/>
      </c>
      <c r="G52" s="82">
        <f>LAVORAZIONI!P445</f>
        <v/>
      </c>
      <c r="H52" s="83">
        <f>LAVORAZIONI!W445</f>
        <v/>
      </c>
      <c r="I52" s="82">
        <f>LAVORAZIONI!X445</f>
        <v/>
      </c>
    </row>
    <row r="53">
      <c r="A53" s="84">
        <f>LAVORAZIONI!G446</f>
        <v/>
      </c>
      <c r="B53" s="85">
        <f>LAVORAZIONI!A446</f>
        <v/>
      </c>
      <c r="C53" s="85">
        <f>LAVORAZIONI!K446</f>
        <v/>
      </c>
      <c r="D53" s="84">
        <f>LAVORAZIONI!M446</f>
        <v/>
      </c>
      <c r="E53" s="86">
        <f>LAVORAZIONI!N446</f>
        <v/>
      </c>
      <c r="F53" s="86">
        <f>LAVORAZIONI!O446</f>
        <v/>
      </c>
      <c r="G53" s="87">
        <f>LAVORAZIONI!P446</f>
        <v/>
      </c>
      <c r="H53" s="88">
        <f>LAVORAZIONI!W446</f>
        <v/>
      </c>
      <c r="I53" s="87">
        <f>LAVORAZIONI!X446</f>
        <v/>
      </c>
    </row>
    <row r="54">
      <c r="A54" s="79">
        <f>LAVORAZIONI!G447</f>
        <v/>
      </c>
      <c r="B54" s="80">
        <f>LAVORAZIONI!A447</f>
        <v/>
      </c>
      <c r="C54" s="80">
        <f>LAVORAZIONI!K447</f>
        <v/>
      </c>
      <c r="D54" s="79">
        <f>LAVORAZIONI!M447</f>
        <v/>
      </c>
      <c r="E54" s="81">
        <f>LAVORAZIONI!N447</f>
        <v/>
      </c>
      <c r="F54" s="81">
        <f>LAVORAZIONI!O447</f>
        <v/>
      </c>
      <c r="G54" s="82">
        <f>LAVORAZIONI!P447</f>
        <v/>
      </c>
      <c r="H54" s="83">
        <f>LAVORAZIONI!W447</f>
        <v/>
      </c>
      <c r="I54" s="82">
        <f>LAVORAZIONI!X447</f>
        <v/>
      </c>
    </row>
    <row r="55">
      <c r="A55" s="79">
        <f>LAVORAZIONI!G448</f>
        <v/>
      </c>
      <c r="B55" s="80">
        <f>LAVORAZIONI!A448</f>
        <v/>
      </c>
      <c r="C55" s="80">
        <f>LAVORAZIONI!K448</f>
        <v/>
      </c>
      <c r="D55" s="79">
        <f>LAVORAZIONI!M448</f>
        <v/>
      </c>
      <c r="E55" s="81">
        <f>LAVORAZIONI!N448</f>
        <v/>
      </c>
      <c r="F55" s="81">
        <f>LAVORAZIONI!O448</f>
        <v/>
      </c>
      <c r="G55" s="82">
        <f>LAVORAZIONI!P448</f>
        <v/>
      </c>
      <c r="H55" s="83">
        <f>LAVORAZIONI!W448</f>
        <v/>
      </c>
      <c r="I55" s="82">
        <f>LAVORAZIONI!X448</f>
        <v/>
      </c>
    </row>
    <row r="56">
      <c r="A56" s="79">
        <f>LAVORAZIONI!G449</f>
        <v/>
      </c>
      <c r="B56" s="80">
        <f>LAVORAZIONI!A449</f>
        <v/>
      </c>
      <c r="C56" s="80">
        <f>LAVORAZIONI!K449</f>
        <v/>
      </c>
      <c r="D56" s="79">
        <f>LAVORAZIONI!M449</f>
        <v/>
      </c>
      <c r="E56" s="81">
        <f>LAVORAZIONI!N449</f>
        <v/>
      </c>
      <c r="F56" s="81">
        <f>LAVORAZIONI!O449</f>
        <v/>
      </c>
      <c r="G56" s="82">
        <f>LAVORAZIONI!P449</f>
        <v/>
      </c>
      <c r="H56" s="83">
        <f>LAVORAZIONI!W449</f>
        <v/>
      </c>
      <c r="I56" s="82">
        <f>LAVORAZIONI!X449</f>
        <v/>
      </c>
    </row>
    <row r="57">
      <c r="A57" s="79">
        <f>LAVORAZIONI!G450</f>
        <v/>
      </c>
      <c r="B57" s="80">
        <f>LAVORAZIONI!A450</f>
        <v/>
      </c>
      <c r="C57" s="80">
        <f>LAVORAZIONI!K450</f>
        <v/>
      </c>
      <c r="D57" s="79">
        <f>LAVORAZIONI!M450</f>
        <v/>
      </c>
      <c r="E57" s="81">
        <f>LAVORAZIONI!N450</f>
        <v/>
      </c>
      <c r="F57" s="81">
        <f>LAVORAZIONI!O450</f>
        <v/>
      </c>
      <c r="G57" s="82">
        <f>LAVORAZIONI!P450</f>
        <v/>
      </c>
      <c r="H57" s="83">
        <f>LAVORAZIONI!W450</f>
        <v/>
      </c>
      <c r="I57" s="82">
        <f>LAVORAZIONI!X450</f>
        <v/>
      </c>
    </row>
    <row r="58">
      <c r="A58" s="79">
        <f>LAVORAZIONI!G451</f>
        <v/>
      </c>
      <c r="B58" s="80">
        <f>LAVORAZIONI!A451</f>
        <v/>
      </c>
      <c r="C58" s="80">
        <f>LAVORAZIONI!K451</f>
        <v/>
      </c>
      <c r="D58" s="79">
        <f>LAVORAZIONI!M451</f>
        <v/>
      </c>
      <c r="E58" s="81">
        <f>LAVORAZIONI!N451</f>
        <v/>
      </c>
      <c r="F58" s="81">
        <f>LAVORAZIONI!O451</f>
        <v/>
      </c>
      <c r="G58" s="82">
        <f>LAVORAZIONI!P451</f>
        <v/>
      </c>
      <c r="H58" s="83">
        <f>LAVORAZIONI!W451</f>
        <v/>
      </c>
      <c r="I58" s="82">
        <f>LAVORAZIONI!X451</f>
        <v/>
      </c>
    </row>
    <row r="59">
      <c r="A59" s="79">
        <f>LAVORAZIONI!G452</f>
        <v/>
      </c>
      <c r="B59" s="80">
        <f>LAVORAZIONI!A452</f>
        <v/>
      </c>
      <c r="C59" s="80">
        <f>LAVORAZIONI!K452</f>
        <v/>
      </c>
      <c r="D59" s="79">
        <f>LAVORAZIONI!M452</f>
        <v/>
      </c>
      <c r="E59" s="81">
        <f>LAVORAZIONI!N452</f>
        <v/>
      </c>
      <c r="F59" s="81">
        <f>LAVORAZIONI!O452</f>
        <v/>
      </c>
      <c r="G59" s="82">
        <f>LAVORAZIONI!P452</f>
        <v/>
      </c>
      <c r="H59" s="83">
        <f>LAVORAZIONI!W452</f>
        <v/>
      </c>
      <c r="I59" s="82">
        <f>LAVORAZIONI!X452</f>
        <v/>
      </c>
    </row>
    <row r="60">
      <c r="A60" s="84">
        <f>LAVORAZIONI!G453</f>
        <v/>
      </c>
      <c r="B60" s="85">
        <f>LAVORAZIONI!A453</f>
        <v/>
      </c>
      <c r="C60" s="85">
        <f>LAVORAZIONI!K453</f>
        <v/>
      </c>
      <c r="D60" s="84">
        <f>LAVORAZIONI!M453</f>
        <v/>
      </c>
      <c r="E60" s="86">
        <f>LAVORAZIONI!N453</f>
        <v/>
      </c>
      <c r="F60" s="86">
        <f>LAVORAZIONI!O453</f>
        <v/>
      </c>
      <c r="G60" s="87">
        <f>LAVORAZIONI!P453</f>
        <v/>
      </c>
      <c r="H60" s="88">
        <f>LAVORAZIONI!W453</f>
        <v/>
      </c>
      <c r="I60" s="87">
        <f>LAVORAZIONI!X453</f>
        <v/>
      </c>
    </row>
    <row r="61">
      <c r="A61" s="79">
        <f>LAVORAZIONI!G454</f>
        <v/>
      </c>
      <c r="B61" s="80">
        <f>LAVORAZIONI!A454</f>
        <v/>
      </c>
      <c r="C61" s="80">
        <f>LAVORAZIONI!K454</f>
        <v/>
      </c>
      <c r="D61" s="79">
        <f>LAVORAZIONI!M454</f>
        <v/>
      </c>
      <c r="E61" s="81">
        <f>LAVORAZIONI!N454</f>
        <v/>
      </c>
      <c r="F61" s="81">
        <f>LAVORAZIONI!O454</f>
        <v/>
      </c>
      <c r="G61" s="82">
        <f>LAVORAZIONI!P454</f>
        <v/>
      </c>
      <c r="H61" s="83">
        <f>LAVORAZIONI!W454</f>
        <v/>
      </c>
      <c r="I61" s="82">
        <f>LAVORAZIONI!X454</f>
        <v/>
      </c>
    </row>
    <row r="62">
      <c r="A62" s="79">
        <f>LAVORAZIONI!G455</f>
        <v/>
      </c>
      <c r="B62" s="80">
        <f>LAVORAZIONI!A455</f>
        <v/>
      </c>
      <c r="C62" s="80">
        <f>LAVORAZIONI!K455</f>
        <v/>
      </c>
      <c r="D62" s="79">
        <f>LAVORAZIONI!M455</f>
        <v/>
      </c>
      <c r="E62" s="81">
        <f>LAVORAZIONI!N455</f>
        <v/>
      </c>
      <c r="F62" s="81">
        <f>LAVORAZIONI!O455</f>
        <v/>
      </c>
      <c r="G62" s="82">
        <f>LAVORAZIONI!P455</f>
        <v/>
      </c>
      <c r="H62" s="83">
        <f>LAVORAZIONI!W455</f>
        <v/>
      </c>
      <c r="I62" s="82">
        <f>LAVORAZIONI!X455</f>
        <v/>
      </c>
    </row>
    <row r="63">
      <c r="A63" s="79">
        <f>LAVORAZIONI!G456</f>
        <v/>
      </c>
      <c r="B63" s="80">
        <f>LAVORAZIONI!A456</f>
        <v/>
      </c>
      <c r="C63" s="80">
        <f>LAVORAZIONI!K456</f>
        <v/>
      </c>
      <c r="D63" s="79">
        <f>LAVORAZIONI!M456</f>
        <v/>
      </c>
      <c r="E63" s="81">
        <f>LAVORAZIONI!N456</f>
        <v/>
      </c>
      <c r="F63" s="81">
        <f>LAVORAZIONI!O456</f>
        <v/>
      </c>
      <c r="G63" s="82">
        <f>LAVORAZIONI!P456</f>
        <v/>
      </c>
      <c r="H63" s="83">
        <f>LAVORAZIONI!W456</f>
        <v/>
      </c>
      <c r="I63" s="82">
        <f>LAVORAZIONI!X456</f>
        <v/>
      </c>
    </row>
    <row r="64">
      <c r="A64" s="84">
        <f>LAVORAZIONI!G457</f>
        <v/>
      </c>
      <c r="B64" s="85">
        <f>LAVORAZIONI!A457</f>
        <v/>
      </c>
      <c r="C64" s="85">
        <f>LAVORAZIONI!K457</f>
        <v/>
      </c>
      <c r="D64" s="84">
        <f>LAVORAZIONI!M457</f>
        <v/>
      </c>
      <c r="E64" s="86">
        <f>LAVORAZIONI!N457</f>
        <v/>
      </c>
      <c r="F64" s="86">
        <f>LAVORAZIONI!O457</f>
        <v/>
      </c>
      <c r="G64" s="87">
        <f>LAVORAZIONI!P457</f>
        <v/>
      </c>
      <c r="H64" s="88">
        <f>LAVORAZIONI!W457</f>
        <v/>
      </c>
      <c r="I64" s="87">
        <f>LAVORAZIONI!X457</f>
        <v/>
      </c>
    </row>
    <row r="65">
      <c r="A65" s="79">
        <f>LAVORAZIONI!G458</f>
        <v/>
      </c>
      <c r="B65" s="80">
        <f>LAVORAZIONI!A458</f>
        <v/>
      </c>
      <c r="C65" s="80">
        <f>LAVORAZIONI!K458</f>
        <v/>
      </c>
      <c r="D65" s="79">
        <f>LAVORAZIONI!M458</f>
        <v/>
      </c>
      <c r="E65" s="81">
        <f>LAVORAZIONI!N458</f>
        <v/>
      </c>
      <c r="F65" s="81">
        <f>LAVORAZIONI!O458</f>
        <v/>
      </c>
      <c r="G65" s="82">
        <f>LAVORAZIONI!P458</f>
        <v/>
      </c>
      <c r="H65" s="83">
        <f>LAVORAZIONI!W458</f>
        <v/>
      </c>
      <c r="I65" s="82">
        <f>LAVORAZIONI!X458</f>
        <v/>
      </c>
    </row>
    <row r="66">
      <c r="A66" s="79">
        <f>LAVORAZIONI!G459</f>
        <v/>
      </c>
      <c r="B66" s="80">
        <f>LAVORAZIONI!A459</f>
        <v/>
      </c>
      <c r="C66" s="80">
        <f>LAVORAZIONI!K459</f>
        <v/>
      </c>
      <c r="D66" s="79">
        <f>LAVORAZIONI!M459</f>
        <v/>
      </c>
      <c r="E66" s="81">
        <f>LAVORAZIONI!N459</f>
        <v/>
      </c>
      <c r="F66" s="81">
        <f>LAVORAZIONI!O459</f>
        <v/>
      </c>
      <c r="G66" s="82">
        <f>LAVORAZIONI!P459</f>
        <v/>
      </c>
      <c r="H66" s="83">
        <f>LAVORAZIONI!W459</f>
        <v/>
      </c>
      <c r="I66" s="82">
        <f>LAVORAZIONI!X459</f>
        <v/>
      </c>
    </row>
    <row r="67">
      <c r="A67" s="79">
        <f>LAVORAZIONI!G460</f>
        <v/>
      </c>
      <c r="B67" s="80">
        <f>LAVORAZIONI!A460</f>
        <v/>
      </c>
      <c r="C67" s="80">
        <f>LAVORAZIONI!K460</f>
        <v/>
      </c>
      <c r="D67" s="79">
        <f>LAVORAZIONI!M460</f>
        <v/>
      </c>
      <c r="E67" s="81">
        <f>LAVORAZIONI!N460</f>
        <v/>
      </c>
      <c r="F67" s="81">
        <f>LAVORAZIONI!O460</f>
        <v/>
      </c>
      <c r="G67" s="82">
        <f>LAVORAZIONI!P460</f>
        <v/>
      </c>
      <c r="H67" s="83">
        <f>LAVORAZIONI!W460</f>
        <v/>
      </c>
      <c r="I67" s="82">
        <f>LAVORAZIONI!X460</f>
        <v/>
      </c>
    </row>
    <row r="68">
      <c r="A68" s="84">
        <f>LAVORAZIONI!G461</f>
        <v/>
      </c>
      <c r="B68" s="85">
        <f>LAVORAZIONI!A461</f>
        <v/>
      </c>
      <c r="C68" s="85">
        <f>LAVORAZIONI!K461</f>
        <v/>
      </c>
      <c r="D68" s="84">
        <f>LAVORAZIONI!M461</f>
        <v/>
      </c>
      <c r="E68" s="86">
        <f>LAVORAZIONI!N461</f>
        <v/>
      </c>
      <c r="F68" s="86">
        <f>LAVORAZIONI!O461</f>
        <v/>
      </c>
      <c r="G68" s="87">
        <f>LAVORAZIONI!P461</f>
        <v/>
      </c>
      <c r="H68" s="88">
        <f>LAVORAZIONI!W461</f>
        <v/>
      </c>
      <c r="I68" s="87">
        <f>LAVORAZIONI!X461</f>
        <v/>
      </c>
    </row>
    <row r="69">
      <c r="A69" s="84">
        <f>LAVORAZIONI!G462</f>
        <v/>
      </c>
      <c r="B69" s="85">
        <f>LAVORAZIONI!A462</f>
        <v/>
      </c>
      <c r="C69" s="85">
        <f>LAVORAZIONI!K462</f>
        <v/>
      </c>
      <c r="D69" s="84">
        <f>LAVORAZIONI!M462</f>
        <v/>
      </c>
      <c r="E69" s="86">
        <f>LAVORAZIONI!N462</f>
        <v/>
      </c>
      <c r="F69" s="86">
        <f>LAVORAZIONI!O462</f>
        <v/>
      </c>
      <c r="G69" s="87">
        <f>LAVORAZIONI!P462</f>
        <v/>
      </c>
      <c r="H69" s="88">
        <f>LAVORAZIONI!W462</f>
        <v/>
      </c>
      <c r="I69" s="87">
        <f>LAVORAZIONI!X462</f>
        <v/>
      </c>
    </row>
    <row r="70">
      <c r="A70" s="84">
        <f>LAVORAZIONI!G463</f>
        <v/>
      </c>
      <c r="B70" s="85">
        <f>LAVORAZIONI!A463</f>
        <v/>
      </c>
      <c r="C70" s="85">
        <f>LAVORAZIONI!K463</f>
        <v/>
      </c>
      <c r="D70" s="84">
        <f>LAVORAZIONI!M463</f>
        <v/>
      </c>
      <c r="E70" s="86">
        <f>LAVORAZIONI!N463</f>
        <v/>
      </c>
      <c r="F70" s="86">
        <f>LAVORAZIONI!O463</f>
        <v/>
      </c>
      <c r="G70" s="87">
        <f>LAVORAZIONI!P463</f>
        <v/>
      </c>
      <c r="H70" s="88">
        <f>LAVORAZIONI!W463</f>
        <v/>
      </c>
      <c r="I70" s="87">
        <f>LAVORAZIONI!X463</f>
        <v/>
      </c>
    </row>
    <row r="71">
      <c r="A71" s="84">
        <f>LAVORAZIONI!G464</f>
        <v/>
      </c>
      <c r="B71" s="85">
        <f>LAVORAZIONI!A464</f>
        <v/>
      </c>
      <c r="C71" s="85">
        <f>LAVORAZIONI!K464</f>
        <v/>
      </c>
      <c r="D71" s="84">
        <f>LAVORAZIONI!M464</f>
        <v/>
      </c>
      <c r="E71" s="86">
        <f>LAVORAZIONI!N464</f>
        <v/>
      </c>
      <c r="F71" s="86">
        <f>LAVORAZIONI!O464</f>
        <v/>
      </c>
      <c r="G71" s="87">
        <f>LAVORAZIONI!P464</f>
        <v/>
      </c>
      <c r="H71" s="88">
        <f>LAVORAZIONI!W464</f>
        <v/>
      </c>
      <c r="I71" s="87">
        <f>LAVORAZIONI!X464</f>
        <v/>
      </c>
    </row>
    <row r="72">
      <c r="A72" s="84">
        <f>LAVORAZIONI!G465</f>
        <v/>
      </c>
      <c r="B72" s="85">
        <f>LAVORAZIONI!A465</f>
        <v/>
      </c>
      <c r="C72" s="85">
        <f>LAVORAZIONI!K465</f>
        <v/>
      </c>
      <c r="D72" s="84">
        <f>LAVORAZIONI!M465</f>
        <v/>
      </c>
      <c r="E72" s="86">
        <f>LAVORAZIONI!N465</f>
        <v/>
      </c>
      <c r="F72" s="86">
        <f>LAVORAZIONI!O465</f>
        <v/>
      </c>
      <c r="G72" s="87">
        <f>LAVORAZIONI!P465</f>
        <v/>
      </c>
      <c r="H72" s="88">
        <f>LAVORAZIONI!W465</f>
        <v/>
      </c>
      <c r="I72" s="87">
        <f>LAVORAZIONI!X465</f>
        <v/>
      </c>
    </row>
    <row r="73">
      <c r="A73" s="84">
        <f>LAVORAZIONI!G466</f>
        <v/>
      </c>
      <c r="B73" s="85">
        <f>LAVORAZIONI!A466</f>
        <v/>
      </c>
      <c r="C73" s="85">
        <f>LAVORAZIONI!K466</f>
        <v/>
      </c>
      <c r="D73" s="84">
        <f>LAVORAZIONI!M466</f>
        <v/>
      </c>
      <c r="E73" s="86">
        <f>LAVORAZIONI!N466</f>
        <v/>
      </c>
      <c r="F73" s="86">
        <f>LAVORAZIONI!O466</f>
        <v/>
      </c>
      <c r="G73" s="87">
        <f>LAVORAZIONI!P466</f>
        <v/>
      </c>
      <c r="H73" s="88">
        <f>LAVORAZIONI!W466</f>
        <v/>
      </c>
      <c r="I73" s="87">
        <f>LAVORAZIONI!X466</f>
        <v/>
      </c>
    </row>
    <row r="74">
      <c r="A74" s="84">
        <f>LAVORAZIONI!G467</f>
        <v/>
      </c>
      <c r="B74" s="85">
        <f>LAVORAZIONI!A467</f>
        <v/>
      </c>
      <c r="C74" s="85">
        <f>LAVORAZIONI!K467</f>
        <v/>
      </c>
      <c r="D74" s="84">
        <f>LAVORAZIONI!M467</f>
        <v/>
      </c>
      <c r="E74" s="86">
        <f>LAVORAZIONI!N467</f>
        <v/>
      </c>
      <c r="F74" s="86">
        <f>LAVORAZIONI!O467</f>
        <v/>
      </c>
      <c r="G74" s="87">
        <f>LAVORAZIONI!P467</f>
        <v/>
      </c>
      <c r="H74" s="88">
        <f>LAVORAZIONI!W467</f>
        <v/>
      </c>
      <c r="I74" s="87">
        <f>LAVORAZIONI!X467</f>
        <v/>
      </c>
    </row>
    <row r="75">
      <c r="A75" s="79">
        <f>LAVORAZIONI!G468</f>
        <v/>
      </c>
      <c r="B75" s="80">
        <f>LAVORAZIONI!A468</f>
        <v/>
      </c>
      <c r="C75" s="80">
        <f>LAVORAZIONI!K468</f>
        <v/>
      </c>
      <c r="D75" s="79">
        <f>LAVORAZIONI!M468</f>
        <v/>
      </c>
      <c r="E75" s="81">
        <f>LAVORAZIONI!N468</f>
        <v/>
      </c>
      <c r="F75" s="81">
        <f>LAVORAZIONI!O468</f>
        <v/>
      </c>
      <c r="G75" s="82">
        <f>LAVORAZIONI!P468</f>
        <v/>
      </c>
      <c r="H75" s="83">
        <f>LAVORAZIONI!W468</f>
        <v/>
      </c>
      <c r="I75" s="82">
        <f>LAVORAZIONI!X468</f>
        <v/>
      </c>
    </row>
    <row r="76">
      <c r="A76" s="79">
        <f>LAVORAZIONI!G469</f>
        <v/>
      </c>
      <c r="B76" s="80">
        <f>LAVORAZIONI!A469</f>
        <v/>
      </c>
      <c r="C76" s="80">
        <f>LAVORAZIONI!K469</f>
        <v/>
      </c>
      <c r="D76" s="79">
        <f>LAVORAZIONI!M469</f>
        <v/>
      </c>
      <c r="E76" s="81">
        <f>LAVORAZIONI!N469</f>
        <v/>
      </c>
      <c r="F76" s="81">
        <f>LAVORAZIONI!O469</f>
        <v/>
      </c>
      <c r="G76" s="82">
        <f>LAVORAZIONI!P469</f>
        <v/>
      </c>
      <c r="H76" s="83">
        <f>LAVORAZIONI!W469</f>
        <v/>
      </c>
      <c r="I76" s="82">
        <f>LAVORAZIONI!X469</f>
        <v/>
      </c>
    </row>
    <row r="77">
      <c r="A77" s="79">
        <f>LAVORAZIONI!G470</f>
        <v/>
      </c>
      <c r="B77" s="80">
        <f>LAVORAZIONI!A470</f>
        <v/>
      </c>
      <c r="C77" s="80">
        <f>LAVORAZIONI!K470</f>
        <v/>
      </c>
      <c r="D77" s="79">
        <f>LAVORAZIONI!M470</f>
        <v/>
      </c>
      <c r="E77" s="81">
        <f>LAVORAZIONI!N470</f>
        <v/>
      </c>
      <c r="F77" s="81">
        <f>LAVORAZIONI!O470</f>
        <v/>
      </c>
      <c r="G77" s="82">
        <f>LAVORAZIONI!P470</f>
        <v/>
      </c>
      <c r="H77" s="83">
        <f>LAVORAZIONI!W470</f>
        <v/>
      </c>
      <c r="I77" s="82">
        <f>LAVORAZIONI!X470</f>
        <v/>
      </c>
    </row>
    <row r="78">
      <c r="A78" s="79">
        <f>LAVORAZIONI!G471</f>
        <v/>
      </c>
      <c r="B78" s="80">
        <f>LAVORAZIONI!A471</f>
        <v/>
      </c>
      <c r="C78" s="80">
        <f>LAVORAZIONI!K471</f>
        <v/>
      </c>
      <c r="D78" s="79">
        <f>LAVORAZIONI!M471</f>
        <v/>
      </c>
      <c r="E78" s="81">
        <f>LAVORAZIONI!N471</f>
        <v/>
      </c>
      <c r="F78" s="81">
        <f>LAVORAZIONI!O471</f>
        <v/>
      </c>
      <c r="G78" s="82">
        <f>LAVORAZIONI!P471</f>
        <v/>
      </c>
      <c r="H78" s="83">
        <f>LAVORAZIONI!W471</f>
        <v/>
      </c>
      <c r="I78" s="82">
        <f>LAVORAZIONI!X471</f>
        <v/>
      </c>
    </row>
    <row r="79">
      <c r="A79" s="79">
        <f>LAVORAZIONI!G472</f>
        <v/>
      </c>
      <c r="B79" s="80">
        <f>LAVORAZIONI!A472</f>
        <v/>
      </c>
      <c r="C79" s="80">
        <f>LAVORAZIONI!K472</f>
        <v/>
      </c>
      <c r="D79" s="79">
        <f>LAVORAZIONI!M472</f>
        <v/>
      </c>
      <c r="E79" s="81">
        <f>LAVORAZIONI!N472</f>
        <v/>
      </c>
      <c r="F79" s="81">
        <f>LAVORAZIONI!O472</f>
        <v/>
      </c>
      <c r="G79" s="82">
        <f>LAVORAZIONI!P472</f>
        <v/>
      </c>
      <c r="H79" s="83">
        <f>LAVORAZIONI!W472</f>
        <v/>
      </c>
      <c r="I79" s="82">
        <f>LAVORAZIONI!X472</f>
        <v/>
      </c>
    </row>
    <row r="80">
      <c r="A80" s="84">
        <f>LAVORAZIONI!G473</f>
        <v/>
      </c>
      <c r="B80" s="85">
        <f>LAVORAZIONI!A473</f>
        <v/>
      </c>
      <c r="C80" s="85">
        <f>LAVORAZIONI!K473</f>
        <v/>
      </c>
      <c r="D80" s="84">
        <f>LAVORAZIONI!M473</f>
        <v/>
      </c>
      <c r="E80" s="86">
        <f>LAVORAZIONI!N473</f>
        <v/>
      </c>
      <c r="F80" s="86">
        <f>LAVORAZIONI!O473</f>
        <v/>
      </c>
      <c r="G80" s="87">
        <f>LAVORAZIONI!P473</f>
        <v/>
      </c>
      <c r="H80" s="88">
        <f>LAVORAZIONI!W473</f>
        <v/>
      </c>
      <c r="I80" s="87">
        <f>LAVORAZIONI!X473</f>
        <v/>
      </c>
    </row>
    <row r="81">
      <c r="A81" s="79">
        <f>LAVORAZIONI!G474</f>
        <v/>
      </c>
      <c r="B81" s="80">
        <f>LAVORAZIONI!A474</f>
        <v/>
      </c>
      <c r="C81" s="80">
        <f>LAVORAZIONI!K474</f>
        <v/>
      </c>
      <c r="D81" s="79">
        <f>LAVORAZIONI!M474</f>
        <v/>
      </c>
      <c r="E81" s="81">
        <f>LAVORAZIONI!N474</f>
        <v/>
      </c>
      <c r="F81" s="81">
        <f>LAVORAZIONI!O474</f>
        <v/>
      </c>
      <c r="G81" s="82">
        <f>LAVORAZIONI!P474</f>
        <v/>
      </c>
      <c r="H81" s="83">
        <f>LAVORAZIONI!W474</f>
        <v/>
      </c>
      <c r="I81" s="82">
        <f>LAVORAZIONI!X474</f>
        <v/>
      </c>
    </row>
    <row r="82">
      <c r="A82" s="79">
        <f>LAVORAZIONI!G475</f>
        <v/>
      </c>
      <c r="B82" s="80">
        <f>LAVORAZIONI!A475</f>
        <v/>
      </c>
      <c r="C82" s="80">
        <f>LAVORAZIONI!K475</f>
        <v/>
      </c>
      <c r="D82" s="79">
        <f>LAVORAZIONI!M475</f>
        <v/>
      </c>
      <c r="E82" s="81">
        <f>LAVORAZIONI!N475</f>
        <v/>
      </c>
      <c r="F82" s="81">
        <f>LAVORAZIONI!O475</f>
        <v/>
      </c>
      <c r="G82" s="82">
        <f>LAVORAZIONI!P475</f>
        <v/>
      </c>
      <c r="H82" s="83">
        <f>LAVORAZIONI!W475</f>
        <v/>
      </c>
      <c r="I82" s="82">
        <f>LAVORAZIONI!X475</f>
        <v/>
      </c>
    </row>
    <row r="83">
      <c r="A83" s="79">
        <f>LAVORAZIONI!G476</f>
        <v/>
      </c>
      <c r="B83" s="80">
        <f>LAVORAZIONI!A476</f>
        <v/>
      </c>
      <c r="C83" s="80">
        <f>LAVORAZIONI!K476</f>
        <v/>
      </c>
      <c r="D83" s="79">
        <f>LAVORAZIONI!M476</f>
        <v/>
      </c>
      <c r="E83" s="81">
        <f>LAVORAZIONI!N476</f>
        <v/>
      </c>
      <c r="F83" s="81">
        <f>LAVORAZIONI!O476</f>
        <v/>
      </c>
      <c r="G83" s="82">
        <f>LAVORAZIONI!P476</f>
        <v/>
      </c>
      <c r="H83" s="83">
        <f>LAVORAZIONI!W476</f>
        <v/>
      </c>
      <c r="I83" s="82">
        <f>LAVORAZIONI!X476</f>
        <v/>
      </c>
    </row>
    <row r="84">
      <c r="A84" s="79">
        <f>LAVORAZIONI!G477</f>
        <v/>
      </c>
      <c r="B84" s="80">
        <f>LAVORAZIONI!A477</f>
        <v/>
      </c>
      <c r="C84" s="80">
        <f>LAVORAZIONI!K477</f>
        <v/>
      </c>
      <c r="D84" s="79">
        <f>LAVORAZIONI!M477</f>
        <v/>
      </c>
      <c r="E84" s="81">
        <f>LAVORAZIONI!N477</f>
        <v/>
      </c>
      <c r="F84" s="81">
        <f>LAVORAZIONI!O477</f>
        <v/>
      </c>
      <c r="G84" s="82">
        <f>LAVORAZIONI!P477</f>
        <v/>
      </c>
      <c r="H84" s="83">
        <f>LAVORAZIONI!W477</f>
        <v/>
      </c>
      <c r="I84" s="82">
        <f>LAVORAZIONI!X477</f>
        <v/>
      </c>
    </row>
    <row r="85">
      <c r="A85" s="84">
        <f>LAVORAZIONI!G478</f>
        <v/>
      </c>
      <c r="B85" s="85">
        <f>LAVORAZIONI!A478</f>
        <v/>
      </c>
      <c r="C85" s="85">
        <f>LAVORAZIONI!K478</f>
        <v/>
      </c>
      <c r="D85" s="84">
        <f>LAVORAZIONI!M478</f>
        <v/>
      </c>
      <c r="E85" s="86">
        <f>LAVORAZIONI!N478</f>
        <v/>
      </c>
      <c r="F85" s="86">
        <f>LAVORAZIONI!O478</f>
        <v/>
      </c>
      <c r="G85" s="87">
        <f>LAVORAZIONI!P478</f>
        <v/>
      </c>
      <c r="H85" s="88">
        <f>LAVORAZIONI!W478</f>
        <v/>
      </c>
      <c r="I85" s="87">
        <f>LAVORAZIONI!X478</f>
        <v/>
      </c>
    </row>
    <row r="86">
      <c r="A86" s="84">
        <f>LAVORAZIONI!G479</f>
        <v/>
      </c>
      <c r="B86" s="85">
        <f>LAVORAZIONI!A479</f>
        <v/>
      </c>
      <c r="C86" s="85">
        <f>LAVORAZIONI!K479</f>
        <v/>
      </c>
      <c r="D86" s="84">
        <f>LAVORAZIONI!M479</f>
        <v/>
      </c>
      <c r="E86" s="86">
        <f>LAVORAZIONI!N479</f>
        <v/>
      </c>
      <c r="F86" s="86">
        <f>LAVORAZIONI!O479</f>
        <v/>
      </c>
      <c r="G86" s="87">
        <f>LAVORAZIONI!P479</f>
        <v/>
      </c>
      <c r="H86" s="88">
        <f>LAVORAZIONI!W479</f>
        <v/>
      </c>
      <c r="I86" s="87">
        <f>LAVORAZIONI!X479</f>
        <v/>
      </c>
    </row>
    <row r="87">
      <c r="A87" s="84">
        <f>LAVORAZIONI!G480</f>
        <v/>
      </c>
      <c r="B87" s="85">
        <f>LAVORAZIONI!A480</f>
        <v/>
      </c>
      <c r="C87" s="85">
        <f>LAVORAZIONI!K480</f>
        <v/>
      </c>
      <c r="D87" s="84">
        <f>LAVORAZIONI!M480</f>
        <v/>
      </c>
      <c r="E87" s="86">
        <f>LAVORAZIONI!N480</f>
        <v/>
      </c>
      <c r="F87" s="86">
        <f>LAVORAZIONI!O480</f>
        <v/>
      </c>
      <c r="G87" s="87">
        <f>LAVORAZIONI!P480</f>
        <v/>
      </c>
      <c r="H87" s="88">
        <f>LAVORAZIONI!W480</f>
        <v/>
      </c>
      <c r="I87" s="87">
        <f>LAVORAZIONI!X480</f>
        <v/>
      </c>
    </row>
    <row r="88">
      <c r="A88" s="84">
        <f>LAVORAZIONI!G481</f>
        <v/>
      </c>
      <c r="B88" s="85">
        <f>LAVORAZIONI!A481</f>
        <v/>
      </c>
      <c r="C88" s="85">
        <f>LAVORAZIONI!K481</f>
        <v/>
      </c>
      <c r="D88" s="84">
        <f>LAVORAZIONI!M481</f>
        <v/>
      </c>
      <c r="E88" s="86">
        <f>LAVORAZIONI!N481</f>
        <v/>
      </c>
      <c r="F88" s="86">
        <f>LAVORAZIONI!O481</f>
        <v/>
      </c>
      <c r="G88" s="87">
        <f>LAVORAZIONI!P481</f>
        <v/>
      </c>
      <c r="H88" s="88">
        <f>LAVORAZIONI!W481</f>
        <v/>
      </c>
      <c r="I88" s="87">
        <f>LAVORAZIONI!X481</f>
        <v/>
      </c>
    </row>
    <row r="89">
      <c r="A89" s="84">
        <f>LAVORAZIONI!G482</f>
        <v/>
      </c>
      <c r="B89" s="85">
        <f>LAVORAZIONI!A482</f>
        <v/>
      </c>
      <c r="C89" s="85">
        <f>LAVORAZIONI!K482</f>
        <v/>
      </c>
      <c r="D89" s="84">
        <f>LAVORAZIONI!M482</f>
        <v/>
      </c>
      <c r="E89" s="86">
        <f>LAVORAZIONI!N482</f>
        <v/>
      </c>
      <c r="F89" s="86">
        <f>LAVORAZIONI!O482</f>
        <v/>
      </c>
      <c r="G89" s="87">
        <f>LAVORAZIONI!P482</f>
        <v/>
      </c>
      <c r="H89" s="88">
        <f>LAVORAZIONI!W482</f>
        <v/>
      </c>
      <c r="I89" s="87">
        <f>LAVORAZIONI!X482</f>
        <v/>
      </c>
    </row>
    <row r="90">
      <c r="A90" s="84">
        <f>LAVORAZIONI!G483</f>
        <v/>
      </c>
      <c r="B90" s="85">
        <f>LAVORAZIONI!A483</f>
        <v/>
      </c>
      <c r="C90" s="85">
        <f>LAVORAZIONI!K483</f>
        <v/>
      </c>
      <c r="D90" s="84">
        <f>LAVORAZIONI!M483</f>
        <v/>
      </c>
      <c r="E90" s="86">
        <f>LAVORAZIONI!N483</f>
        <v/>
      </c>
      <c r="F90" s="86">
        <f>LAVORAZIONI!O483</f>
        <v/>
      </c>
      <c r="G90" s="87">
        <f>LAVORAZIONI!P483</f>
        <v/>
      </c>
      <c r="H90" s="88">
        <f>LAVORAZIONI!W483</f>
        <v/>
      </c>
      <c r="I90" s="87">
        <f>LAVORAZIONI!X483</f>
        <v/>
      </c>
    </row>
    <row r="91">
      <c r="A91" s="84">
        <f>LAVORAZIONI!G484</f>
        <v/>
      </c>
      <c r="B91" s="85">
        <f>LAVORAZIONI!A484</f>
        <v/>
      </c>
      <c r="C91" s="85">
        <f>LAVORAZIONI!K484</f>
        <v/>
      </c>
      <c r="D91" s="84">
        <f>LAVORAZIONI!M484</f>
        <v/>
      </c>
      <c r="E91" s="86">
        <f>LAVORAZIONI!N484</f>
        <v/>
      </c>
      <c r="F91" s="86">
        <f>LAVORAZIONI!O484</f>
        <v/>
      </c>
      <c r="G91" s="87">
        <f>LAVORAZIONI!P484</f>
        <v/>
      </c>
      <c r="H91" s="88">
        <f>LAVORAZIONI!W484</f>
        <v/>
      </c>
      <c r="I91" s="87">
        <f>LAVORAZIONI!X484</f>
        <v/>
      </c>
    </row>
    <row r="92">
      <c r="A92" s="84">
        <f>LAVORAZIONI!G485</f>
        <v/>
      </c>
      <c r="B92" s="85">
        <f>LAVORAZIONI!A485</f>
        <v/>
      </c>
      <c r="C92" s="85">
        <f>LAVORAZIONI!K485</f>
        <v/>
      </c>
      <c r="D92" s="84">
        <f>LAVORAZIONI!M485</f>
        <v/>
      </c>
      <c r="E92" s="86">
        <f>LAVORAZIONI!N485</f>
        <v/>
      </c>
      <c r="F92" s="86">
        <f>LAVORAZIONI!O485</f>
        <v/>
      </c>
      <c r="G92" s="87">
        <f>LAVORAZIONI!P485</f>
        <v/>
      </c>
      <c r="H92" s="88">
        <f>LAVORAZIONI!W485</f>
        <v/>
      </c>
      <c r="I92" s="87">
        <f>LAVORAZIONI!X485</f>
        <v/>
      </c>
    </row>
    <row r="93">
      <c r="A93" s="84">
        <f>LAVORAZIONI!G486</f>
        <v/>
      </c>
      <c r="B93" s="85">
        <f>LAVORAZIONI!A486</f>
        <v/>
      </c>
      <c r="C93" s="85">
        <f>LAVORAZIONI!K486</f>
        <v/>
      </c>
      <c r="D93" s="84">
        <f>LAVORAZIONI!M486</f>
        <v/>
      </c>
      <c r="E93" s="86">
        <f>LAVORAZIONI!N486</f>
        <v/>
      </c>
      <c r="F93" s="86">
        <f>LAVORAZIONI!O486</f>
        <v/>
      </c>
      <c r="G93" s="87">
        <f>LAVORAZIONI!P486</f>
        <v/>
      </c>
      <c r="H93" s="88">
        <f>LAVORAZIONI!W486</f>
        <v/>
      </c>
      <c r="I93" s="87">
        <f>LAVORAZIONI!X486</f>
        <v/>
      </c>
    </row>
    <row r="94">
      <c r="A94" s="84">
        <f>LAVORAZIONI!G487</f>
        <v/>
      </c>
      <c r="B94" s="85">
        <f>LAVORAZIONI!A487</f>
        <v/>
      </c>
      <c r="C94" s="85">
        <f>LAVORAZIONI!K487</f>
        <v/>
      </c>
      <c r="D94" s="84">
        <f>LAVORAZIONI!M487</f>
        <v/>
      </c>
      <c r="E94" s="86">
        <f>LAVORAZIONI!N487</f>
        <v/>
      </c>
      <c r="F94" s="86">
        <f>LAVORAZIONI!O487</f>
        <v/>
      </c>
      <c r="G94" s="87">
        <f>LAVORAZIONI!P487</f>
        <v/>
      </c>
      <c r="H94" s="88">
        <f>LAVORAZIONI!W487</f>
        <v/>
      </c>
      <c r="I94" s="87">
        <f>LAVORAZIONI!X487</f>
        <v/>
      </c>
    </row>
    <row r="95">
      <c r="A95" s="84">
        <f>LAVORAZIONI!G488</f>
        <v/>
      </c>
      <c r="B95" s="85">
        <f>LAVORAZIONI!A488</f>
        <v/>
      </c>
      <c r="C95" s="85">
        <f>LAVORAZIONI!K488</f>
        <v/>
      </c>
      <c r="D95" s="84">
        <f>LAVORAZIONI!M488</f>
        <v/>
      </c>
      <c r="E95" s="86">
        <f>LAVORAZIONI!N488</f>
        <v/>
      </c>
      <c r="F95" s="86">
        <f>LAVORAZIONI!O488</f>
        <v/>
      </c>
      <c r="G95" s="87">
        <f>LAVORAZIONI!P488</f>
        <v/>
      </c>
      <c r="H95" s="88">
        <f>LAVORAZIONI!W488</f>
        <v/>
      </c>
      <c r="I95" s="87">
        <f>LAVORAZIONI!X488</f>
        <v/>
      </c>
    </row>
    <row r="96">
      <c r="A96" s="79">
        <f>LAVORAZIONI!G489</f>
        <v/>
      </c>
      <c r="B96" s="80">
        <f>LAVORAZIONI!A489</f>
        <v/>
      </c>
      <c r="C96" s="80">
        <f>LAVORAZIONI!K489</f>
        <v/>
      </c>
      <c r="D96" s="79">
        <f>LAVORAZIONI!M489</f>
        <v/>
      </c>
      <c r="E96" s="81">
        <f>LAVORAZIONI!N489</f>
        <v/>
      </c>
      <c r="F96" s="81">
        <f>LAVORAZIONI!O489</f>
        <v/>
      </c>
      <c r="G96" s="82">
        <f>LAVORAZIONI!P489</f>
        <v/>
      </c>
      <c r="H96" s="83">
        <f>LAVORAZIONI!W489</f>
        <v/>
      </c>
      <c r="I96" s="82">
        <f>LAVORAZIONI!X489</f>
        <v/>
      </c>
    </row>
    <row r="97">
      <c r="A97" s="79">
        <f>LAVORAZIONI!G490</f>
        <v/>
      </c>
      <c r="B97" s="80">
        <f>LAVORAZIONI!A490</f>
        <v/>
      </c>
      <c r="C97" s="80">
        <f>LAVORAZIONI!K490</f>
        <v/>
      </c>
      <c r="D97" s="79">
        <f>LAVORAZIONI!M490</f>
        <v/>
      </c>
      <c r="E97" s="81">
        <f>LAVORAZIONI!N490</f>
        <v/>
      </c>
      <c r="F97" s="81">
        <f>LAVORAZIONI!O490</f>
        <v/>
      </c>
      <c r="G97" s="82">
        <f>LAVORAZIONI!P490</f>
        <v/>
      </c>
      <c r="H97" s="83">
        <f>LAVORAZIONI!W490</f>
        <v/>
      </c>
      <c r="I97" s="82">
        <f>LAVORAZIONI!X490</f>
        <v/>
      </c>
    </row>
    <row r="98">
      <c r="A98" s="79">
        <f>LAVORAZIONI!G491</f>
        <v/>
      </c>
      <c r="B98" s="80">
        <f>LAVORAZIONI!A491</f>
        <v/>
      </c>
      <c r="C98" s="80">
        <f>LAVORAZIONI!K491</f>
        <v/>
      </c>
      <c r="D98" s="79">
        <f>LAVORAZIONI!M491</f>
        <v/>
      </c>
      <c r="E98" s="81">
        <f>LAVORAZIONI!N491</f>
        <v/>
      </c>
      <c r="F98" s="81">
        <f>LAVORAZIONI!O491</f>
        <v/>
      </c>
      <c r="G98" s="82">
        <f>LAVORAZIONI!P491</f>
        <v/>
      </c>
      <c r="H98" s="83">
        <f>LAVORAZIONI!W491</f>
        <v/>
      </c>
      <c r="I98" s="82">
        <f>LAVORAZIONI!X491</f>
        <v/>
      </c>
    </row>
    <row r="99">
      <c r="A99" s="84">
        <f>LAVORAZIONI!G492</f>
        <v/>
      </c>
      <c r="B99" s="85">
        <f>LAVORAZIONI!A492</f>
        <v/>
      </c>
      <c r="C99" s="85">
        <f>LAVORAZIONI!K492</f>
        <v/>
      </c>
      <c r="D99" s="84">
        <f>LAVORAZIONI!M492</f>
        <v/>
      </c>
      <c r="E99" s="86">
        <f>LAVORAZIONI!N492</f>
        <v/>
      </c>
      <c r="F99" s="86">
        <f>LAVORAZIONI!O492</f>
        <v/>
      </c>
      <c r="G99" s="87">
        <f>LAVORAZIONI!P492</f>
        <v/>
      </c>
      <c r="H99" s="88">
        <f>LAVORAZIONI!W492</f>
        <v/>
      </c>
      <c r="I99" s="87">
        <f>LAVORAZIONI!X492</f>
        <v/>
      </c>
    </row>
    <row r="100">
      <c r="A100" s="84">
        <f>LAVORAZIONI!G493</f>
        <v/>
      </c>
      <c r="B100" s="85">
        <f>LAVORAZIONI!A493</f>
        <v/>
      </c>
      <c r="C100" s="85">
        <f>LAVORAZIONI!K493</f>
        <v/>
      </c>
      <c r="D100" s="84">
        <f>LAVORAZIONI!M493</f>
        <v/>
      </c>
      <c r="E100" s="86">
        <f>LAVORAZIONI!N493</f>
        <v/>
      </c>
      <c r="F100" s="86">
        <f>LAVORAZIONI!O493</f>
        <v/>
      </c>
      <c r="G100" s="87">
        <f>LAVORAZIONI!P493</f>
        <v/>
      </c>
      <c r="H100" s="88">
        <f>LAVORAZIONI!W493</f>
        <v/>
      </c>
      <c r="I100" s="87">
        <f>LAVORAZIONI!X493</f>
        <v/>
      </c>
    </row>
    <row r="101">
      <c r="A101" s="84">
        <f>LAVORAZIONI!G494</f>
        <v/>
      </c>
      <c r="B101" s="85">
        <f>LAVORAZIONI!A494</f>
        <v/>
      </c>
      <c r="C101" s="85">
        <f>LAVORAZIONI!K494</f>
        <v/>
      </c>
      <c r="D101" s="84">
        <f>LAVORAZIONI!M494</f>
        <v/>
      </c>
      <c r="E101" s="86">
        <f>LAVORAZIONI!N494</f>
        <v/>
      </c>
      <c r="F101" s="86">
        <f>LAVORAZIONI!O494</f>
        <v/>
      </c>
      <c r="G101" s="87">
        <f>LAVORAZIONI!P494</f>
        <v/>
      </c>
      <c r="H101" s="88">
        <f>LAVORAZIONI!W494</f>
        <v/>
      </c>
      <c r="I101" s="87">
        <f>LAVORAZIONI!X494</f>
        <v/>
      </c>
    </row>
    <row r="102">
      <c r="A102" s="84">
        <f>LAVORAZIONI!G495</f>
        <v/>
      </c>
      <c r="B102" s="85">
        <f>LAVORAZIONI!A495</f>
        <v/>
      </c>
      <c r="C102" s="85">
        <f>LAVORAZIONI!K495</f>
        <v/>
      </c>
      <c r="D102" s="84">
        <f>LAVORAZIONI!M495</f>
        <v/>
      </c>
      <c r="E102" s="86">
        <f>LAVORAZIONI!N495</f>
        <v/>
      </c>
      <c r="F102" s="86">
        <f>LAVORAZIONI!O495</f>
        <v/>
      </c>
      <c r="G102" s="87">
        <f>LAVORAZIONI!P495</f>
        <v/>
      </c>
      <c r="H102" s="88">
        <f>LAVORAZIONI!W495</f>
        <v/>
      </c>
      <c r="I102" s="87">
        <f>LAVORAZIONI!X495</f>
        <v/>
      </c>
    </row>
    <row r="103">
      <c r="A103" s="84">
        <f>LAVORAZIONI!G496</f>
        <v/>
      </c>
      <c r="B103" s="85">
        <f>LAVORAZIONI!A496</f>
        <v/>
      </c>
      <c r="C103" s="85">
        <f>LAVORAZIONI!K496</f>
        <v/>
      </c>
      <c r="D103" s="84">
        <f>LAVORAZIONI!M496</f>
        <v/>
      </c>
      <c r="E103" s="86">
        <f>LAVORAZIONI!N496</f>
        <v/>
      </c>
      <c r="F103" s="86">
        <f>LAVORAZIONI!O496</f>
        <v/>
      </c>
      <c r="G103" s="87">
        <f>LAVORAZIONI!P496</f>
        <v/>
      </c>
      <c r="H103" s="88">
        <f>LAVORAZIONI!W496</f>
        <v/>
      </c>
      <c r="I103" s="87">
        <f>LAVORAZIONI!X496</f>
        <v/>
      </c>
    </row>
    <row r="104">
      <c r="A104" s="84">
        <f>LAVORAZIONI!G497</f>
        <v/>
      </c>
      <c r="B104" s="85">
        <f>LAVORAZIONI!A497</f>
        <v/>
      </c>
      <c r="C104" s="85">
        <f>LAVORAZIONI!K497</f>
        <v/>
      </c>
      <c r="D104" s="84">
        <f>LAVORAZIONI!M497</f>
        <v/>
      </c>
      <c r="E104" s="86">
        <f>LAVORAZIONI!N497</f>
        <v/>
      </c>
      <c r="F104" s="86">
        <f>LAVORAZIONI!O497</f>
        <v/>
      </c>
      <c r="G104" s="87">
        <f>LAVORAZIONI!P497</f>
        <v/>
      </c>
      <c r="H104" s="88">
        <f>LAVORAZIONI!W497</f>
        <v/>
      </c>
      <c r="I104" s="87">
        <f>LAVORAZIONI!X497</f>
        <v/>
      </c>
    </row>
    <row r="105">
      <c r="A105" s="84">
        <f>LAVORAZIONI!G498</f>
        <v/>
      </c>
      <c r="B105" s="85">
        <f>LAVORAZIONI!A498</f>
        <v/>
      </c>
      <c r="C105" s="85">
        <f>LAVORAZIONI!K498</f>
        <v/>
      </c>
      <c r="D105" s="84">
        <f>LAVORAZIONI!M498</f>
        <v/>
      </c>
      <c r="E105" s="86">
        <f>LAVORAZIONI!N498</f>
        <v/>
      </c>
      <c r="F105" s="86">
        <f>LAVORAZIONI!O498</f>
        <v/>
      </c>
      <c r="G105" s="87">
        <f>LAVORAZIONI!P498</f>
        <v/>
      </c>
      <c r="H105" s="88">
        <f>LAVORAZIONI!W498</f>
        <v/>
      </c>
      <c r="I105" s="87">
        <f>LAVORAZIONI!X498</f>
        <v/>
      </c>
    </row>
    <row r="106">
      <c r="A106" s="84">
        <f>LAVORAZIONI!G499</f>
        <v/>
      </c>
      <c r="B106" s="85">
        <f>LAVORAZIONI!A499</f>
        <v/>
      </c>
      <c r="C106" s="85">
        <f>LAVORAZIONI!K499</f>
        <v/>
      </c>
      <c r="D106" s="84">
        <f>LAVORAZIONI!M499</f>
        <v/>
      </c>
      <c r="E106" s="86">
        <f>LAVORAZIONI!N499</f>
        <v/>
      </c>
      <c r="F106" s="86">
        <f>LAVORAZIONI!O499</f>
        <v/>
      </c>
      <c r="G106" s="87">
        <f>LAVORAZIONI!P499</f>
        <v/>
      </c>
      <c r="H106" s="88">
        <f>LAVORAZIONI!W499</f>
        <v/>
      </c>
      <c r="I106" s="87">
        <f>LAVORAZIONI!X499</f>
        <v/>
      </c>
    </row>
    <row r="107">
      <c r="A107" s="84">
        <f>LAVORAZIONI!G500</f>
        <v/>
      </c>
      <c r="B107" s="85">
        <f>LAVORAZIONI!A500</f>
        <v/>
      </c>
      <c r="C107" s="85">
        <f>LAVORAZIONI!K500</f>
        <v/>
      </c>
      <c r="D107" s="84">
        <f>LAVORAZIONI!M500</f>
        <v/>
      </c>
      <c r="E107" s="86">
        <f>LAVORAZIONI!N500</f>
        <v/>
      </c>
      <c r="F107" s="86">
        <f>LAVORAZIONI!O500</f>
        <v/>
      </c>
      <c r="G107" s="87">
        <f>LAVORAZIONI!P500</f>
        <v/>
      </c>
      <c r="H107" s="88">
        <f>LAVORAZIONI!W500</f>
        <v/>
      </c>
      <c r="I107" s="87">
        <f>LAVORAZIONI!X500</f>
        <v/>
      </c>
    </row>
    <row r="108">
      <c r="A108" s="84">
        <f>LAVORAZIONI!G501</f>
        <v/>
      </c>
      <c r="B108" s="85">
        <f>LAVORAZIONI!A501</f>
        <v/>
      </c>
      <c r="C108" s="85">
        <f>LAVORAZIONI!K501</f>
        <v/>
      </c>
      <c r="D108" s="84">
        <f>LAVORAZIONI!M501</f>
        <v/>
      </c>
      <c r="E108" s="86">
        <f>LAVORAZIONI!N501</f>
        <v/>
      </c>
      <c r="F108" s="86">
        <f>LAVORAZIONI!O501</f>
        <v/>
      </c>
      <c r="G108" s="87">
        <f>LAVORAZIONI!P501</f>
        <v/>
      </c>
      <c r="H108" s="88">
        <f>LAVORAZIONI!W501</f>
        <v/>
      </c>
      <c r="I108" s="87">
        <f>LAVORAZIONI!X501</f>
        <v/>
      </c>
    </row>
    <row r="109">
      <c r="A109" s="84">
        <f>LAVORAZIONI!G502</f>
        <v/>
      </c>
      <c r="B109" s="85">
        <f>LAVORAZIONI!A502</f>
        <v/>
      </c>
      <c r="C109" s="85">
        <f>LAVORAZIONI!K502</f>
        <v/>
      </c>
      <c r="D109" s="84">
        <f>LAVORAZIONI!M502</f>
        <v/>
      </c>
      <c r="E109" s="86">
        <f>LAVORAZIONI!N502</f>
        <v/>
      </c>
      <c r="F109" s="86">
        <f>LAVORAZIONI!O502</f>
        <v/>
      </c>
      <c r="G109" s="87">
        <f>LAVORAZIONI!P502</f>
        <v/>
      </c>
      <c r="H109" s="88">
        <f>LAVORAZIONI!W502</f>
        <v/>
      </c>
      <c r="I109" s="87">
        <f>LAVORAZIONI!X502</f>
        <v/>
      </c>
    </row>
    <row r="110">
      <c r="A110" s="79">
        <f>LAVORAZIONI!G503</f>
        <v/>
      </c>
      <c r="B110" s="80">
        <f>LAVORAZIONI!A503</f>
        <v/>
      </c>
      <c r="C110" s="80">
        <f>LAVORAZIONI!K503</f>
        <v/>
      </c>
      <c r="D110" s="79">
        <f>LAVORAZIONI!M503</f>
        <v/>
      </c>
      <c r="E110" s="81">
        <f>LAVORAZIONI!N503</f>
        <v/>
      </c>
      <c r="F110" s="81">
        <f>LAVORAZIONI!O503</f>
        <v/>
      </c>
      <c r="G110" s="82">
        <f>LAVORAZIONI!P503</f>
        <v/>
      </c>
      <c r="H110" s="83">
        <f>LAVORAZIONI!W503</f>
        <v/>
      </c>
      <c r="I110" s="82">
        <f>LAVORAZIONI!X503</f>
        <v/>
      </c>
    </row>
    <row r="111">
      <c r="A111" s="79">
        <f>LAVORAZIONI!G504</f>
        <v/>
      </c>
      <c r="B111" s="80">
        <f>LAVORAZIONI!A504</f>
        <v/>
      </c>
      <c r="C111" s="80">
        <f>LAVORAZIONI!K504</f>
        <v/>
      </c>
      <c r="D111" s="79">
        <f>LAVORAZIONI!M504</f>
        <v/>
      </c>
      <c r="E111" s="81">
        <f>LAVORAZIONI!N504</f>
        <v/>
      </c>
      <c r="F111" s="81">
        <f>LAVORAZIONI!O504</f>
        <v/>
      </c>
      <c r="G111" s="82">
        <f>LAVORAZIONI!P504</f>
        <v/>
      </c>
      <c r="H111" s="83">
        <f>LAVORAZIONI!W504</f>
        <v/>
      </c>
      <c r="I111" s="82">
        <f>LAVORAZIONI!X504</f>
        <v/>
      </c>
    </row>
    <row r="112">
      <c r="A112" s="84">
        <f>LAVORAZIONI!G505</f>
        <v/>
      </c>
      <c r="B112" s="85">
        <f>LAVORAZIONI!A505</f>
        <v/>
      </c>
      <c r="C112" s="85">
        <f>LAVORAZIONI!K505</f>
        <v/>
      </c>
      <c r="D112" s="84">
        <f>LAVORAZIONI!M505</f>
        <v/>
      </c>
      <c r="E112" s="86">
        <f>LAVORAZIONI!N505</f>
        <v/>
      </c>
      <c r="F112" s="86">
        <f>LAVORAZIONI!O505</f>
        <v/>
      </c>
      <c r="G112" s="87">
        <f>LAVORAZIONI!P505</f>
        <v/>
      </c>
      <c r="H112" s="88">
        <f>LAVORAZIONI!W505</f>
        <v/>
      </c>
      <c r="I112" s="87">
        <f>LAVORAZIONI!X505</f>
        <v/>
      </c>
    </row>
    <row r="113">
      <c r="A113" s="79">
        <f>LAVORAZIONI!G506</f>
        <v/>
      </c>
      <c r="B113" s="80">
        <f>LAVORAZIONI!A506</f>
        <v/>
      </c>
      <c r="C113" s="80">
        <f>LAVORAZIONI!K506</f>
        <v/>
      </c>
      <c r="D113" s="79">
        <f>LAVORAZIONI!M506</f>
        <v/>
      </c>
      <c r="E113" s="81">
        <f>LAVORAZIONI!N506</f>
        <v/>
      </c>
      <c r="F113" s="81">
        <f>LAVORAZIONI!O506</f>
        <v/>
      </c>
      <c r="G113" s="82">
        <f>LAVORAZIONI!P506</f>
        <v/>
      </c>
      <c r="H113" s="83">
        <f>LAVORAZIONI!W506</f>
        <v/>
      </c>
      <c r="I113" s="82">
        <f>LAVORAZIONI!X506</f>
        <v/>
      </c>
    </row>
    <row r="114">
      <c r="A114" s="84">
        <f>LAVORAZIONI!G507</f>
        <v/>
      </c>
      <c r="B114" s="85">
        <f>LAVORAZIONI!A507</f>
        <v/>
      </c>
      <c r="C114" s="85">
        <f>LAVORAZIONI!K507</f>
        <v/>
      </c>
      <c r="D114" s="84">
        <f>LAVORAZIONI!M507</f>
        <v/>
      </c>
      <c r="E114" s="86">
        <f>LAVORAZIONI!N507</f>
        <v/>
      </c>
      <c r="F114" s="86">
        <f>LAVORAZIONI!O507</f>
        <v/>
      </c>
      <c r="G114" s="87">
        <f>LAVORAZIONI!P507</f>
        <v/>
      </c>
      <c r="H114" s="88">
        <f>LAVORAZIONI!W507</f>
        <v/>
      </c>
      <c r="I114" s="87">
        <f>LAVORAZIONI!X507</f>
        <v/>
      </c>
    </row>
    <row r="115">
      <c r="A115" s="79">
        <f>LAVORAZIONI!G508</f>
        <v/>
      </c>
      <c r="B115" s="80">
        <f>LAVORAZIONI!A508</f>
        <v/>
      </c>
      <c r="C115" s="80">
        <f>LAVORAZIONI!K508</f>
        <v/>
      </c>
      <c r="D115" s="79">
        <f>LAVORAZIONI!M508</f>
        <v/>
      </c>
      <c r="E115" s="81">
        <f>LAVORAZIONI!N508</f>
        <v/>
      </c>
      <c r="F115" s="81">
        <f>LAVORAZIONI!O508</f>
        <v/>
      </c>
      <c r="G115" s="82">
        <f>LAVORAZIONI!P508</f>
        <v/>
      </c>
      <c r="H115" s="83">
        <f>LAVORAZIONI!W508</f>
        <v/>
      </c>
      <c r="I115" s="82">
        <f>LAVORAZIONI!X508</f>
        <v/>
      </c>
    </row>
    <row r="116">
      <c r="A116" s="84">
        <f>LAVORAZIONI!G509</f>
        <v/>
      </c>
      <c r="B116" s="85">
        <f>LAVORAZIONI!A509</f>
        <v/>
      </c>
      <c r="C116" s="85">
        <f>LAVORAZIONI!K509</f>
        <v/>
      </c>
      <c r="D116" s="84">
        <f>LAVORAZIONI!M509</f>
        <v/>
      </c>
      <c r="E116" s="86">
        <f>LAVORAZIONI!N509</f>
        <v/>
      </c>
      <c r="F116" s="86">
        <f>LAVORAZIONI!O509</f>
        <v/>
      </c>
      <c r="G116" s="87">
        <f>LAVORAZIONI!P509</f>
        <v/>
      </c>
      <c r="H116" s="88">
        <f>LAVORAZIONI!W509</f>
        <v/>
      </c>
      <c r="I116" s="87">
        <f>LAVORAZIONI!X509</f>
        <v/>
      </c>
    </row>
    <row r="117">
      <c r="A117" s="79">
        <f>LAVORAZIONI!G510</f>
        <v/>
      </c>
      <c r="B117" s="80">
        <f>LAVORAZIONI!A510</f>
        <v/>
      </c>
      <c r="C117" s="80">
        <f>LAVORAZIONI!K510</f>
        <v/>
      </c>
      <c r="D117" s="79">
        <f>LAVORAZIONI!M510</f>
        <v/>
      </c>
      <c r="E117" s="81">
        <f>LAVORAZIONI!N510</f>
        <v/>
      </c>
      <c r="F117" s="81">
        <f>LAVORAZIONI!O510</f>
        <v/>
      </c>
      <c r="G117" s="82">
        <f>LAVORAZIONI!P510</f>
        <v/>
      </c>
      <c r="H117" s="83">
        <f>LAVORAZIONI!W510</f>
        <v/>
      </c>
      <c r="I117" s="82">
        <f>LAVORAZIONI!X510</f>
        <v/>
      </c>
    </row>
    <row r="118">
      <c r="A118" s="61" t="n"/>
      <c r="B118" s="62" t="n"/>
      <c r="C118" s="62" t="n"/>
      <c r="D118" s="62" t="n"/>
      <c r="E118" s="62" t="n"/>
      <c r="F118" s="62" t="n"/>
      <c r="G118" s="62" t="n"/>
      <c r="H118" s="62" t="n"/>
      <c r="I118" s="63">
        <f>SUM(I5:I117)</f>
        <v/>
      </c>
    </row>
  </sheetData>
  <mergeCells count="4">
    <mergeCell ref="A1:I1"/>
    <mergeCell ref="A3:I3"/>
    <mergeCell ref="A2:I2"/>
    <mergeCell ref="A118:H118"/>
  </mergeCells>
  <pageMargins left="0.5" right="0.5" top="1" bottom="0.8" header="0.4" footer="0.4"/>
  <pageSetup orientation="landscape" paperSize="9" fitToHeight="0" fitToWidth="1"/>
  <headerFooter>
    <oddHeader>&amp;L&amp;"Calibri,Italic"&amp;9Nuovo stabilimento radiofarmaceutico LENA - Pavia (PV)&amp;C&amp;"Calibri,Bold"&amp;13Maggio - Elettriche&amp;R&amp;"Calibri"&amp;9&amp;D</oddHeader>
    <oddFooter>&amp;C&amp;"Calibri"&amp;9Pagina &amp;P di &amp;N</oddFooter>
    <evenHeader>&amp;L&amp;"Calibri,Italic"&amp;9Nuovo stabilimento radiofarmaceutico LENA - Pavia (PV)&amp;C&amp;"Calibri,Bold"&amp;13Maggio - Elettriche</evenHeader>
    <evenFooter>&amp;C&amp;"Calibri"&amp;9Pagina &amp;P di &amp;N</evenFooter>
    <firstHeader/>
    <firstFooter/>
  </headerFooter>
</worksheet>
</file>

<file path=xl/worksheets/sheet21.xml><?xml version="1.0" encoding="utf-8"?>
<worksheet xmlns="http://schemas.openxmlformats.org/spreadsheetml/2006/main">
  <sheetPr>
    <outlinePr summaryBelow="1" summaryRight="1"/>
    <pageSetUpPr fitToPage="1"/>
  </sheetPr>
  <dimension ref="A1:I103"/>
  <sheetViews>
    <sheetView workbookViewId="0">
      <pane ySplit="4" topLeftCell="A5" activePane="bottomLeft" state="frozen"/>
      <selection pane="bottomLeft" activeCell="A1" sqref="A1"/>
    </sheetView>
  </sheetViews>
  <sheetFormatPr baseColWidth="8" defaultRowHeight="15"/>
  <cols>
    <col width="9" customWidth="1" style="46" min="1" max="1"/>
    <col width="26" customWidth="1" style="46" min="2" max="2"/>
    <col width="58" customWidth="1" style="46" min="3" max="3"/>
    <col width="8" customWidth="1" style="46" min="4" max="4"/>
    <col width="11" customWidth="1" style="46" min="5" max="5"/>
    <col width="12" customWidth="1" style="46" min="6" max="6"/>
    <col width="14" customWidth="1" style="46" min="7" max="7"/>
    <col width="9" customWidth="1" style="46" min="8" max="8"/>
    <col width="14" customWidth="1" style="46" min="9" max="9"/>
  </cols>
  <sheetData>
    <row r="1" ht="22" customHeight="1" s="46">
      <c r="A1" s="78" t="inlineStr">
        <is>
          <t>SAL MAGGIO 2026 — OPERE ELETTRICHE SPECIALI</t>
        </is>
      </c>
    </row>
    <row r="2" ht="28"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N. VOCE</t>
        </is>
      </c>
      <c r="B4" s="55" t="inlineStr">
        <is>
          <t>CODICE LAVORAZIONE</t>
        </is>
      </c>
      <c r="C4" s="55" t="inlineStr">
        <is>
          <t>DESCRIZIONE</t>
        </is>
      </c>
      <c r="D4" s="55" t="inlineStr">
        <is>
          <t>U.M.</t>
        </is>
      </c>
      <c r="E4" s="55" t="inlineStr">
        <is>
          <t>QUANTITÀ</t>
        </is>
      </c>
      <c r="F4" s="55" t="inlineStr">
        <is>
          <t>VAL. UNITARIO</t>
        </is>
      </c>
      <c r="G4" s="55" t="inlineStr">
        <is>
          <t>TOTALE PREVENTIVO</t>
        </is>
      </c>
      <c r="H4" s="55" t="inlineStr">
        <is>
          <t>% SAL Maggio</t>
        </is>
      </c>
      <c r="I4" s="55" t="inlineStr">
        <is>
          <t>IMPORTO SAL Maggio</t>
        </is>
      </c>
    </row>
    <row r="5">
      <c r="A5" s="79">
        <f>LAVORAZIONI!G511</f>
        <v/>
      </c>
      <c r="B5" s="80">
        <f>LAVORAZIONI!A511</f>
        <v/>
      </c>
      <c r="C5" s="80">
        <f>LAVORAZIONI!K511</f>
        <v/>
      </c>
      <c r="D5" s="79">
        <f>LAVORAZIONI!M511</f>
        <v/>
      </c>
      <c r="E5" s="81">
        <f>LAVORAZIONI!N511</f>
        <v/>
      </c>
      <c r="F5" s="81">
        <f>LAVORAZIONI!O511</f>
        <v/>
      </c>
      <c r="G5" s="82">
        <f>LAVORAZIONI!P511</f>
        <v/>
      </c>
      <c r="H5" s="83">
        <f>LAVORAZIONI!W511</f>
        <v/>
      </c>
      <c r="I5" s="82">
        <f>LAVORAZIONI!X511</f>
        <v/>
      </c>
    </row>
    <row r="6">
      <c r="A6" s="79">
        <f>LAVORAZIONI!G512</f>
        <v/>
      </c>
      <c r="B6" s="80">
        <f>LAVORAZIONI!A512</f>
        <v/>
      </c>
      <c r="C6" s="80">
        <f>LAVORAZIONI!K512</f>
        <v/>
      </c>
      <c r="D6" s="79">
        <f>LAVORAZIONI!M512</f>
        <v/>
      </c>
      <c r="E6" s="81">
        <f>LAVORAZIONI!N512</f>
        <v/>
      </c>
      <c r="F6" s="81">
        <f>LAVORAZIONI!O512</f>
        <v/>
      </c>
      <c r="G6" s="82">
        <f>LAVORAZIONI!P512</f>
        <v/>
      </c>
      <c r="H6" s="83">
        <f>LAVORAZIONI!W512</f>
        <v/>
      </c>
      <c r="I6" s="82">
        <f>LAVORAZIONI!X512</f>
        <v/>
      </c>
    </row>
    <row r="7">
      <c r="A7" s="84">
        <f>LAVORAZIONI!G513</f>
        <v/>
      </c>
      <c r="B7" s="85">
        <f>LAVORAZIONI!A513</f>
        <v/>
      </c>
      <c r="C7" s="85">
        <f>LAVORAZIONI!K513</f>
        <v/>
      </c>
      <c r="D7" s="84">
        <f>LAVORAZIONI!M513</f>
        <v/>
      </c>
      <c r="E7" s="86">
        <f>LAVORAZIONI!N513</f>
        <v/>
      </c>
      <c r="F7" s="86">
        <f>LAVORAZIONI!O513</f>
        <v/>
      </c>
      <c r="G7" s="87">
        <f>LAVORAZIONI!P513</f>
        <v/>
      </c>
      <c r="H7" s="88">
        <f>LAVORAZIONI!W513</f>
        <v/>
      </c>
      <c r="I7" s="87">
        <f>LAVORAZIONI!X513</f>
        <v/>
      </c>
    </row>
    <row r="8">
      <c r="A8" s="84">
        <f>LAVORAZIONI!G514</f>
        <v/>
      </c>
      <c r="B8" s="85">
        <f>LAVORAZIONI!A514</f>
        <v/>
      </c>
      <c r="C8" s="85">
        <f>LAVORAZIONI!K514</f>
        <v/>
      </c>
      <c r="D8" s="84">
        <f>LAVORAZIONI!M514</f>
        <v/>
      </c>
      <c r="E8" s="86">
        <f>LAVORAZIONI!N514</f>
        <v/>
      </c>
      <c r="F8" s="86">
        <f>LAVORAZIONI!O514</f>
        <v/>
      </c>
      <c r="G8" s="87">
        <f>LAVORAZIONI!P514</f>
        <v/>
      </c>
      <c r="H8" s="88">
        <f>LAVORAZIONI!W514</f>
        <v/>
      </c>
      <c r="I8" s="87">
        <f>LAVORAZIONI!X514</f>
        <v/>
      </c>
    </row>
    <row r="9">
      <c r="A9" s="84">
        <f>LAVORAZIONI!G515</f>
        <v/>
      </c>
      <c r="B9" s="85">
        <f>LAVORAZIONI!A515</f>
        <v/>
      </c>
      <c r="C9" s="85">
        <f>LAVORAZIONI!K515</f>
        <v/>
      </c>
      <c r="D9" s="84">
        <f>LAVORAZIONI!M515</f>
        <v/>
      </c>
      <c r="E9" s="86">
        <f>LAVORAZIONI!N515</f>
        <v/>
      </c>
      <c r="F9" s="86">
        <f>LAVORAZIONI!O515</f>
        <v/>
      </c>
      <c r="G9" s="87">
        <f>LAVORAZIONI!P515</f>
        <v/>
      </c>
      <c r="H9" s="88">
        <f>LAVORAZIONI!W515</f>
        <v/>
      </c>
      <c r="I9" s="87">
        <f>LAVORAZIONI!X515</f>
        <v/>
      </c>
    </row>
    <row r="10">
      <c r="A10" s="84">
        <f>LAVORAZIONI!G516</f>
        <v/>
      </c>
      <c r="B10" s="85">
        <f>LAVORAZIONI!A516</f>
        <v/>
      </c>
      <c r="C10" s="85">
        <f>LAVORAZIONI!K516</f>
        <v/>
      </c>
      <c r="D10" s="84">
        <f>LAVORAZIONI!M516</f>
        <v/>
      </c>
      <c r="E10" s="86">
        <f>LAVORAZIONI!N516</f>
        <v/>
      </c>
      <c r="F10" s="86">
        <f>LAVORAZIONI!O516</f>
        <v/>
      </c>
      <c r="G10" s="87">
        <f>LAVORAZIONI!P516</f>
        <v/>
      </c>
      <c r="H10" s="88">
        <f>LAVORAZIONI!W516</f>
        <v/>
      </c>
      <c r="I10" s="87">
        <f>LAVORAZIONI!X516</f>
        <v/>
      </c>
    </row>
    <row r="11">
      <c r="A11" s="84">
        <f>LAVORAZIONI!G517</f>
        <v/>
      </c>
      <c r="B11" s="85">
        <f>LAVORAZIONI!A517</f>
        <v/>
      </c>
      <c r="C11" s="85">
        <f>LAVORAZIONI!K517</f>
        <v/>
      </c>
      <c r="D11" s="84">
        <f>LAVORAZIONI!M517</f>
        <v/>
      </c>
      <c r="E11" s="86">
        <f>LAVORAZIONI!N517</f>
        <v/>
      </c>
      <c r="F11" s="86">
        <f>LAVORAZIONI!O517</f>
        <v/>
      </c>
      <c r="G11" s="87">
        <f>LAVORAZIONI!P517</f>
        <v/>
      </c>
      <c r="H11" s="88">
        <f>LAVORAZIONI!W517</f>
        <v/>
      </c>
      <c r="I11" s="87">
        <f>LAVORAZIONI!X517</f>
        <v/>
      </c>
    </row>
    <row r="12">
      <c r="A12" s="84">
        <f>LAVORAZIONI!G518</f>
        <v/>
      </c>
      <c r="B12" s="85">
        <f>LAVORAZIONI!A518</f>
        <v/>
      </c>
      <c r="C12" s="85">
        <f>LAVORAZIONI!K518</f>
        <v/>
      </c>
      <c r="D12" s="84">
        <f>LAVORAZIONI!M518</f>
        <v/>
      </c>
      <c r="E12" s="86">
        <f>LAVORAZIONI!N518</f>
        <v/>
      </c>
      <c r="F12" s="86">
        <f>LAVORAZIONI!O518</f>
        <v/>
      </c>
      <c r="G12" s="87">
        <f>LAVORAZIONI!P518</f>
        <v/>
      </c>
      <c r="H12" s="88">
        <f>LAVORAZIONI!W518</f>
        <v/>
      </c>
      <c r="I12" s="87">
        <f>LAVORAZIONI!X518</f>
        <v/>
      </c>
    </row>
    <row r="13">
      <c r="A13" s="84">
        <f>LAVORAZIONI!G519</f>
        <v/>
      </c>
      <c r="B13" s="85">
        <f>LAVORAZIONI!A519</f>
        <v/>
      </c>
      <c r="C13" s="85">
        <f>LAVORAZIONI!K519</f>
        <v/>
      </c>
      <c r="D13" s="84">
        <f>LAVORAZIONI!M519</f>
        <v/>
      </c>
      <c r="E13" s="86">
        <f>LAVORAZIONI!N519</f>
        <v/>
      </c>
      <c r="F13" s="86">
        <f>LAVORAZIONI!O519</f>
        <v/>
      </c>
      <c r="G13" s="87">
        <f>LAVORAZIONI!P519</f>
        <v/>
      </c>
      <c r="H13" s="88">
        <f>LAVORAZIONI!W519</f>
        <v/>
      </c>
      <c r="I13" s="87">
        <f>LAVORAZIONI!X519</f>
        <v/>
      </c>
    </row>
    <row r="14">
      <c r="A14" s="84">
        <f>LAVORAZIONI!G520</f>
        <v/>
      </c>
      <c r="B14" s="85">
        <f>LAVORAZIONI!A520</f>
        <v/>
      </c>
      <c r="C14" s="85">
        <f>LAVORAZIONI!K520</f>
        <v/>
      </c>
      <c r="D14" s="84">
        <f>LAVORAZIONI!M520</f>
        <v/>
      </c>
      <c r="E14" s="86">
        <f>LAVORAZIONI!N520</f>
        <v/>
      </c>
      <c r="F14" s="86">
        <f>LAVORAZIONI!O520</f>
        <v/>
      </c>
      <c r="G14" s="87">
        <f>LAVORAZIONI!P520</f>
        <v/>
      </c>
      <c r="H14" s="88">
        <f>LAVORAZIONI!W520</f>
        <v/>
      </c>
      <c r="I14" s="87">
        <f>LAVORAZIONI!X520</f>
        <v/>
      </c>
    </row>
    <row r="15">
      <c r="A15" s="84">
        <f>LAVORAZIONI!G521</f>
        <v/>
      </c>
      <c r="B15" s="85">
        <f>LAVORAZIONI!A521</f>
        <v/>
      </c>
      <c r="C15" s="85">
        <f>LAVORAZIONI!K521</f>
        <v/>
      </c>
      <c r="D15" s="84">
        <f>LAVORAZIONI!M521</f>
        <v/>
      </c>
      <c r="E15" s="86">
        <f>LAVORAZIONI!N521</f>
        <v/>
      </c>
      <c r="F15" s="86">
        <f>LAVORAZIONI!O521</f>
        <v/>
      </c>
      <c r="G15" s="87">
        <f>LAVORAZIONI!P521</f>
        <v/>
      </c>
      <c r="H15" s="88">
        <f>LAVORAZIONI!W521</f>
        <v/>
      </c>
      <c r="I15" s="87">
        <f>LAVORAZIONI!X521</f>
        <v/>
      </c>
    </row>
    <row r="16">
      <c r="A16" s="84">
        <f>LAVORAZIONI!G522</f>
        <v/>
      </c>
      <c r="B16" s="85">
        <f>LAVORAZIONI!A522</f>
        <v/>
      </c>
      <c r="C16" s="85">
        <f>LAVORAZIONI!K522</f>
        <v/>
      </c>
      <c r="D16" s="84">
        <f>LAVORAZIONI!M522</f>
        <v/>
      </c>
      <c r="E16" s="86">
        <f>LAVORAZIONI!N522</f>
        <v/>
      </c>
      <c r="F16" s="86">
        <f>LAVORAZIONI!O522</f>
        <v/>
      </c>
      <c r="G16" s="87">
        <f>LAVORAZIONI!P522</f>
        <v/>
      </c>
      <c r="H16" s="88">
        <f>LAVORAZIONI!W522</f>
        <v/>
      </c>
      <c r="I16" s="87">
        <f>LAVORAZIONI!X522</f>
        <v/>
      </c>
    </row>
    <row r="17">
      <c r="A17" s="79">
        <f>LAVORAZIONI!G523</f>
        <v/>
      </c>
      <c r="B17" s="80">
        <f>LAVORAZIONI!A523</f>
        <v/>
      </c>
      <c r="C17" s="80">
        <f>LAVORAZIONI!K523</f>
        <v/>
      </c>
      <c r="D17" s="79">
        <f>LAVORAZIONI!M523</f>
        <v/>
      </c>
      <c r="E17" s="81">
        <f>LAVORAZIONI!N523</f>
        <v/>
      </c>
      <c r="F17" s="81">
        <f>LAVORAZIONI!O523</f>
        <v/>
      </c>
      <c r="G17" s="82">
        <f>LAVORAZIONI!P523</f>
        <v/>
      </c>
      <c r="H17" s="83">
        <f>LAVORAZIONI!W523</f>
        <v/>
      </c>
      <c r="I17" s="82">
        <f>LAVORAZIONI!X523</f>
        <v/>
      </c>
    </row>
    <row r="18">
      <c r="A18" s="79">
        <f>LAVORAZIONI!G524</f>
        <v/>
      </c>
      <c r="B18" s="80">
        <f>LAVORAZIONI!A524</f>
        <v/>
      </c>
      <c r="C18" s="80">
        <f>LAVORAZIONI!K524</f>
        <v/>
      </c>
      <c r="D18" s="79">
        <f>LAVORAZIONI!M524</f>
        <v/>
      </c>
      <c r="E18" s="81">
        <f>LAVORAZIONI!N524</f>
        <v/>
      </c>
      <c r="F18" s="81">
        <f>LAVORAZIONI!O524</f>
        <v/>
      </c>
      <c r="G18" s="82">
        <f>LAVORAZIONI!P524</f>
        <v/>
      </c>
      <c r="H18" s="83">
        <f>LAVORAZIONI!W524</f>
        <v/>
      </c>
      <c r="I18" s="82">
        <f>LAVORAZIONI!X524</f>
        <v/>
      </c>
    </row>
    <row r="19">
      <c r="A19" s="79">
        <f>LAVORAZIONI!G525</f>
        <v/>
      </c>
      <c r="B19" s="80">
        <f>LAVORAZIONI!A525</f>
        <v/>
      </c>
      <c r="C19" s="80">
        <f>LAVORAZIONI!K525</f>
        <v/>
      </c>
      <c r="D19" s="79">
        <f>LAVORAZIONI!M525</f>
        <v/>
      </c>
      <c r="E19" s="81">
        <f>LAVORAZIONI!N525</f>
        <v/>
      </c>
      <c r="F19" s="81">
        <f>LAVORAZIONI!O525</f>
        <v/>
      </c>
      <c r="G19" s="82">
        <f>LAVORAZIONI!P525</f>
        <v/>
      </c>
      <c r="H19" s="83">
        <f>LAVORAZIONI!W525</f>
        <v/>
      </c>
      <c r="I19" s="82">
        <f>LAVORAZIONI!X525</f>
        <v/>
      </c>
    </row>
    <row r="20">
      <c r="A20" s="84">
        <f>LAVORAZIONI!G526</f>
        <v/>
      </c>
      <c r="B20" s="85">
        <f>LAVORAZIONI!A526</f>
        <v/>
      </c>
      <c r="C20" s="85">
        <f>LAVORAZIONI!K526</f>
        <v/>
      </c>
      <c r="D20" s="84">
        <f>LAVORAZIONI!M526</f>
        <v/>
      </c>
      <c r="E20" s="86">
        <f>LAVORAZIONI!N526</f>
        <v/>
      </c>
      <c r="F20" s="86">
        <f>LAVORAZIONI!O526</f>
        <v/>
      </c>
      <c r="G20" s="87">
        <f>LAVORAZIONI!P526</f>
        <v/>
      </c>
      <c r="H20" s="88">
        <f>LAVORAZIONI!W526</f>
        <v/>
      </c>
      <c r="I20" s="87">
        <f>LAVORAZIONI!X526</f>
        <v/>
      </c>
    </row>
    <row r="21">
      <c r="A21" s="79">
        <f>LAVORAZIONI!G527</f>
        <v/>
      </c>
      <c r="B21" s="80">
        <f>LAVORAZIONI!A527</f>
        <v/>
      </c>
      <c r="C21" s="80">
        <f>LAVORAZIONI!K527</f>
        <v/>
      </c>
      <c r="D21" s="79">
        <f>LAVORAZIONI!M527</f>
        <v/>
      </c>
      <c r="E21" s="81">
        <f>LAVORAZIONI!N527</f>
        <v/>
      </c>
      <c r="F21" s="81">
        <f>LAVORAZIONI!O527</f>
        <v/>
      </c>
      <c r="G21" s="82">
        <f>LAVORAZIONI!P527</f>
        <v/>
      </c>
      <c r="H21" s="83">
        <f>LAVORAZIONI!W527</f>
        <v/>
      </c>
      <c r="I21" s="82">
        <f>LAVORAZIONI!X527</f>
        <v/>
      </c>
    </row>
    <row r="22">
      <c r="A22" s="79">
        <f>LAVORAZIONI!G528</f>
        <v/>
      </c>
      <c r="B22" s="80">
        <f>LAVORAZIONI!A528</f>
        <v/>
      </c>
      <c r="C22" s="80">
        <f>LAVORAZIONI!K528</f>
        <v/>
      </c>
      <c r="D22" s="79">
        <f>LAVORAZIONI!M528</f>
        <v/>
      </c>
      <c r="E22" s="81">
        <f>LAVORAZIONI!N528</f>
        <v/>
      </c>
      <c r="F22" s="81">
        <f>LAVORAZIONI!O528</f>
        <v/>
      </c>
      <c r="G22" s="82">
        <f>LAVORAZIONI!P528</f>
        <v/>
      </c>
      <c r="H22" s="83">
        <f>LAVORAZIONI!W528</f>
        <v/>
      </c>
      <c r="I22" s="82">
        <f>LAVORAZIONI!X528</f>
        <v/>
      </c>
    </row>
    <row r="23">
      <c r="A23" s="84">
        <f>LAVORAZIONI!G529</f>
        <v/>
      </c>
      <c r="B23" s="85">
        <f>LAVORAZIONI!A529</f>
        <v/>
      </c>
      <c r="C23" s="85">
        <f>LAVORAZIONI!K529</f>
        <v/>
      </c>
      <c r="D23" s="84">
        <f>LAVORAZIONI!M529</f>
        <v/>
      </c>
      <c r="E23" s="86">
        <f>LAVORAZIONI!N529</f>
        <v/>
      </c>
      <c r="F23" s="86">
        <f>LAVORAZIONI!O529</f>
        <v/>
      </c>
      <c r="G23" s="87">
        <f>LAVORAZIONI!P529</f>
        <v/>
      </c>
      <c r="H23" s="88">
        <f>LAVORAZIONI!W529</f>
        <v/>
      </c>
      <c r="I23" s="87">
        <f>LAVORAZIONI!X529</f>
        <v/>
      </c>
    </row>
    <row r="24">
      <c r="A24" s="79">
        <f>LAVORAZIONI!G530</f>
        <v/>
      </c>
      <c r="B24" s="80">
        <f>LAVORAZIONI!A530</f>
        <v/>
      </c>
      <c r="C24" s="80">
        <f>LAVORAZIONI!K530</f>
        <v/>
      </c>
      <c r="D24" s="79">
        <f>LAVORAZIONI!M530</f>
        <v/>
      </c>
      <c r="E24" s="81">
        <f>LAVORAZIONI!N530</f>
        <v/>
      </c>
      <c r="F24" s="81">
        <f>LAVORAZIONI!O530</f>
        <v/>
      </c>
      <c r="G24" s="82">
        <f>LAVORAZIONI!P530</f>
        <v/>
      </c>
      <c r="H24" s="83">
        <f>LAVORAZIONI!W530</f>
        <v/>
      </c>
      <c r="I24" s="82">
        <f>LAVORAZIONI!X530</f>
        <v/>
      </c>
    </row>
    <row r="25">
      <c r="A25" s="79">
        <f>LAVORAZIONI!G531</f>
        <v/>
      </c>
      <c r="B25" s="80">
        <f>LAVORAZIONI!A531</f>
        <v/>
      </c>
      <c r="C25" s="80">
        <f>LAVORAZIONI!K531</f>
        <v/>
      </c>
      <c r="D25" s="79">
        <f>LAVORAZIONI!M531</f>
        <v/>
      </c>
      <c r="E25" s="81">
        <f>LAVORAZIONI!N531</f>
        <v/>
      </c>
      <c r="F25" s="81">
        <f>LAVORAZIONI!O531</f>
        <v/>
      </c>
      <c r="G25" s="82">
        <f>LAVORAZIONI!P531</f>
        <v/>
      </c>
      <c r="H25" s="83">
        <f>LAVORAZIONI!W531</f>
        <v/>
      </c>
      <c r="I25" s="82">
        <f>LAVORAZIONI!X531</f>
        <v/>
      </c>
    </row>
    <row r="26">
      <c r="A26" s="79">
        <f>LAVORAZIONI!G532</f>
        <v/>
      </c>
      <c r="B26" s="80">
        <f>LAVORAZIONI!A532</f>
        <v/>
      </c>
      <c r="C26" s="80">
        <f>LAVORAZIONI!K532</f>
        <v/>
      </c>
      <c r="D26" s="79">
        <f>LAVORAZIONI!M532</f>
        <v/>
      </c>
      <c r="E26" s="81">
        <f>LAVORAZIONI!N532</f>
        <v/>
      </c>
      <c r="F26" s="81">
        <f>LAVORAZIONI!O532</f>
        <v/>
      </c>
      <c r="G26" s="82">
        <f>LAVORAZIONI!P532</f>
        <v/>
      </c>
      <c r="H26" s="83">
        <f>LAVORAZIONI!W532</f>
        <v/>
      </c>
      <c r="I26" s="82">
        <f>LAVORAZIONI!X532</f>
        <v/>
      </c>
    </row>
    <row r="27">
      <c r="A27" s="79">
        <f>LAVORAZIONI!G533</f>
        <v/>
      </c>
      <c r="B27" s="80">
        <f>LAVORAZIONI!A533</f>
        <v/>
      </c>
      <c r="C27" s="80">
        <f>LAVORAZIONI!K533</f>
        <v/>
      </c>
      <c r="D27" s="79">
        <f>LAVORAZIONI!M533</f>
        <v/>
      </c>
      <c r="E27" s="81">
        <f>LAVORAZIONI!N533</f>
        <v/>
      </c>
      <c r="F27" s="81">
        <f>LAVORAZIONI!O533</f>
        <v/>
      </c>
      <c r="G27" s="82">
        <f>LAVORAZIONI!P533</f>
        <v/>
      </c>
      <c r="H27" s="83">
        <f>LAVORAZIONI!W533</f>
        <v/>
      </c>
      <c r="I27" s="82">
        <f>LAVORAZIONI!X533</f>
        <v/>
      </c>
    </row>
    <row r="28">
      <c r="A28" s="79">
        <f>LAVORAZIONI!G534</f>
        <v/>
      </c>
      <c r="B28" s="80">
        <f>LAVORAZIONI!A534</f>
        <v/>
      </c>
      <c r="C28" s="80">
        <f>LAVORAZIONI!K534</f>
        <v/>
      </c>
      <c r="D28" s="79">
        <f>LAVORAZIONI!M534</f>
        <v/>
      </c>
      <c r="E28" s="81">
        <f>LAVORAZIONI!N534</f>
        <v/>
      </c>
      <c r="F28" s="81">
        <f>LAVORAZIONI!O534</f>
        <v/>
      </c>
      <c r="G28" s="82">
        <f>LAVORAZIONI!P534</f>
        <v/>
      </c>
      <c r="H28" s="83">
        <f>LAVORAZIONI!W534</f>
        <v/>
      </c>
      <c r="I28" s="82">
        <f>LAVORAZIONI!X534</f>
        <v/>
      </c>
    </row>
    <row r="29">
      <c r="A29" s="84">
        <f>LAVORAZIONI!G535</f>
        <v/>
      </c>
      <c r="B29" s="85">
        <f>LAVORAZIONI!A535</f>
        <v/>
      </c>
      <c r="C29" s="85">
        <f>LAVORAZIONI!K535</f>
        <v/>
      </c>
      <c r="D29" s="84">
        <f>LAVORAZIONI!M535</f>
        <v/>
      </c>
      <c r="E29" s="86">
        <f>LAVORAZIONI!N535</f>
        <v/>
      </c>
      <c r="F29" s="86">
        <f>LAVORAZIONI!O535</f>
        <v/>
      </c>
      <c r="G29" s="87">
        <f>LAVORAZIONI!P535</f>
        <v/>
      </c>
      <c r="H29" s="88">
        <f>LAVORAZIONI!W535</f>
        <v/>
      </c>
      <c r="I29" s="87">
        <f>LAVORAZIONI!X535</f>
        <v/>
      </c>
    </row>
    <row r="30">
      <c r="A30" s="84">
        <f>LAVORAZIONI!G536</f>
        <v/>
      </c>
      <c r="B30" s="85">
        <f>LAVORAZIONI!A536</f>
        <v/>
      </c>
      <c r="C30" s="85">
        <f>LAVORAZIONI!K536</f>
        <v/>
      </c>
      <c r="D30" s="84">
        <f>LAVORAZIONI!M536</f>
        <v/>
      </c>
      <c r="E30" s="86">
        <f>LAVORAZIONI!N536</f>
        <v/>
      </c>
      <c r="F30" s="86">
        <f>LAVORAZIONI!O536</f>
        <v/>
      </c>
      <c r="G30" s="87">
        <f>LAVORAZIONI!P536</f>
        <v/>
      </c>
      <c r="H30" s="88">
        <f>LAVORAZIONI!W536</f>
        <v/>
      </c>
      <c r="I30" s="87">
        <f>LAVORAZIONI!X536</f>
        <v/>
      </c>
    </row>
    <row r="31">
      <c r="A31" s="84">
        <f>LAVORAZIONI!G537</f>
        <v/>
      </c>
      <c r="B31" s="85">
        <f>LAVORAZIONI!A537</f>
        <v/>
      </c>
      <c r="C31" s="85">
        <f>LAVORAZIONI!K537</f>
        <v/>
      </c>
      <c r="D31" s="84">
        <f>LAVORAZIONI!M537</f>
        <v/>
      </c>
      <c r="E31" s="86">
        <f>LAVORAZIONI!N537</f>
        <v/>
      </c>
      <c r="F31" s="86">
        <f>LAVORAZIONI!O537</f>
        <v/>
      </c>
      <c r="G31" s="87">
        <f>LAVORAZIONI!P537</f>
        <v/>
      </c>
      <c r="H31" s="88">
        <f>LAVORAZIONI!W537</f>
        <v/>
      </c>
      <c r="I31" s="87">
        <f>LAVORAZIONI!X537</f>
        <v/>
      </c>
    </row>
    <row r="32">
      <c r="A32" s="84">
        <f>LAVORAZIONI!G538</f>
        <v/>
      </c>
      <c r="B32" s="85">
        <f>LAVORAZIONI!A538</f>
        <v/>
      </c>
      <c r="C32" s="85">
        <f>LAVORAZIONI!K538</f>
        <v/>
      </c>
      <c r="D32" s="84">
        <f>LAVORAZIONI!M538</f>
        <v/>
      </c>
      <c r="E32" s="86">
        <f>LAVORAZIONI!N538</f>
        <v/>
      </c>
      <c r="F32" s="86">
        <f>LAVORAZIONI!O538</f>
        <v/>
      </c>
      <c r="G32" s="87">
        <f>LAVORAZIONI!P538</f>
        <v/>
      </c>
      <c r="H32" s="88">
        <f>LAVORAZIONI!W538</f>
        <v/>
      </c>
      <c r="I32" s="87">
        <f>LAVORAZIONI!X538</f>
        <v/>
      </c>
    </row>
    <row r="33">
      <c r="A33" s="79">
        <f>LAVORAZIONI!G539</f>
        <v/>
      </c>
      <c r="B33" s="80">
        <f>LAVORAZIONI!A539</f>
        <v/>
      </c>
      <c r="C33" s="80">
        <f>LAVORAZIONI!K539</f>
        <v/>
      </c>
      <c r="D33" s="79">
        <f>LAVORAZIONI!M539</f>
        <v/>
      </c>
      <c r="E33" s="81">
        <f>LAVORAZIONI!N539</f>
        <v/>
      </c>
      <c r="F33" s="81">
        <f>LAVORAZIONI!O539</f>
        <v/>
      </c>
      <c r="G33" s="82">
        <f>LAVORAZIONI!P539</f>
        <v/>
      </c>
      <c r="H33" s="83">
        <f>LAVORAZIONI!W539</f>
        <v/>
      </c>
      <c r="I33" s="82">
        <f>LAVORAZIONI!X539</f>
        <v/>
      </c>
    </row>
    <row r="34">
      <c r="A34" s="79">
        <f>LAVORAZIONI!G540</f>
        <v/>
      </c>
      <c r="B34" s="80">
        <f>LAVORAZIONI!A540</f>
        <v/>
      </c>
      <c r="C34" s="80">
        <f>LAVORAZIONI!K540</f>
        <v/>
      </c>
      <c r="D34" s="79">
        <f>LAVORAZIONI!M540</f>
        <v/>
      </c>
      <c r="E34" s="81">
        <f>LAVORAZIONI!N540</f>
        <v/>
      </c>
      <c r="F34" s="81">
        <f>LAVORAZIONI!O540</f>
        <v/>
      </c>
      <c r="G34" s="82">
        <f>LAVORAZIONI!P540</f>
        <v/>
      </c>
      <c r="H34" s="83">
        <f>LAVORAZIONI!W540</f>
        <v/>
      </c>
      <c r="I34" s="82">
        <f>LAVORAZIONI!X540</f>
        <v/>
      </c>
    </row>
    <row r="35">
      <c r="A35" s="79">
        <f>LAVORAZIONI!G541</f>
        <v/>
      </c>
      <c r="B35" s="80">
        <f>LAVORAZIONI!A541</f>
        <v/>
      </c>
      <c r="C35" s="80">
        <f>LAVORAZIONI!K541</f>
        <v/>
      </c>
      <c r="D35" s="79">
        <f>LAVORAZIONI!M541</f>
        <v/>
      </c>
      <c r="E35" s="81">
        <f>LAVORAZIONI!N541</f>
        <v/>
      </c>
      <c r="F35" s="81">
        <f>LAVORAZIONI!O541</f>
        <v/>
      </c>
      <c r="G35" s="82">
        <f>LAVORAZIONI!P541</f>
        <v/>
      </c>
      <c r="H35" s="83">
        <f>LAVORAZIONI!W541</f>
        <v/>
      </c>
      <c r="I35" s="82">
        <f>LAVORAZIONI!X541</f>
        <v/>
      </c>
    </row>
    <row r="36">
      <c r="A36" s="79">
        <f>LAVORAZIONI!G542</f>
        <v/>
      </c>
      <c r="B36" s="80">
        <f>LAVORAZIONI!A542</f>
        <v/>
      </c>
      <c r="C36" s="80">
        <f>LAVORAZIONI!K542</f>
        <v/>
      </c>
      <c r="D36" s="79">
        <f>LAVORAZIONI!M542</f>
        <v/>
      </c>
      <c r="E36" s="81">
        <f>LAVORAZIONI!N542</f>
        <v/>
      </c>
      <c r="F36" s="81">
        <f>LAVORAZIONI!O542</f>
        <v/>
      </c>
      <c r="G36" s="82">
        <f>LAVORAZIONI!P542</f>
        <v/>
      </c>
      <c r="H36" s="83">
        <f>LAVORAZIONI!W542</f>
        <v/>
      </c>
      <c r="I36" s="82">
        <f>LAVORAZIONI!X542</f>
        <v/>
      </c>
    </row>
    <row r="37">
      <c r="A37" s="79">
        <f>LAVORAZIONI!G543</f>
        <v/>
      </c>
      <c r="B37" s="80">
        <f>LAVORAZIONI!A543</f>
        <v/>
      </c>
      <c r="C37" s="80">
        <f>LAVORAZIONI!K543</f>
        <v/>
      </c>
      <c r="D37" s="79">
        <f>LAVORAZIONI!M543</f>
        <v/>
      </c>
      <c r="E37" s="81">
        <f>LAVORAZIONI!N543</f>
        <v/>
      </c>
      <c r="F37" s="81">
        <f>LAVORAZIONI!O543</f>
        <v/>
      </c>
      <c r="G37" s="82">
        <f>LAVORAZIONI!P543</f>
        <v/>
      </c>
      <c r="H37" s="83">
        <f>LAVORAZIONI!W543</f>
        <v/>
      </c>
      <c r="I37" s="82">
        <f>LAVORAZIONI!X543</f>
        <v/>
      </c>
    </row>
    <row r="38">
      <c r="A38" s="79">
        <f>LAVORAZIONI!G544</f>
        <v/>
      </c>
      <c r="B38" s="80">
        <f>LAVORAZIONI!A544</f>
        <v/>
      </c>
      <c r="C38" s="80">
        <f>LAVORAZIONI!K544</f>
        <v/>
      </c>
      <c r="D38" s="79">
        <f>LAVORAZIONI!M544</f>
        <v/>
      </c>
      <c r="E38" s="81">
        <f>LAVORAZIONI!N544</f>
        <v/>
      </c>
      <c r="F38" s="81">
        <f>LAVORAZIONI!O544</f>
        <v/>
      </c>
      <c r="G38" s="82">
        <f>LAVORAZIONI!P544</f>
        <v/>
      </c>
      <c r="H38" s="83">
        <f>LAVORAZIONI!W544</f>
        <v/>
      </c>
      <c r="I38" s="82">
        <f>LAVORAZIONI!X544</f>
        <v/>
      </c>
    </row>
    <row r="39">
      <c r="A39" s="79">
        <f>LAVORAZIONI!G545</f>
        <v/>
      </c>
      <c r="B39" s="80">
        <f>LAVORAZIONI!A545</f>
        <v/>
      </c>
      <c r="C39" s="80">
        <f>LAVORAZIONI!K545</f>
        <v/>
      </c>
      <c r="D39" s="79">
        <f>LAVORAZIONI!M545</f>
        <v/>
      </c>
      <c r="E39" s="81">
        <f>LAVORAZIONI!N545</f>
        <v/>
      </c>
      <c r="F39" s="81">
        <f>LAVORAZIONI!O545</f>
        <v/>
      </c>
      <c r="G39" s="82">
        <f>LAVORAZIONI!P545</f>
        <v/>
      </c>
      <c r="H39" s="83">
        <f>LAVORAZIONI!W545</f>
        <v/>
      </c>
      <c r="I39" s="82">
        <f>LAVORAZIONI!X545</f>
        <v/>
      </c>
    </row>
    <row r="40">
      <c r="A40" s="79">
        <f>LAVORAZIONI!G546</f>
        <v/>
      </c>
      <c r="B40" s="80">
        <f>LAVORAZIONI!A546</f>
        <v/>
      </c>
      <c r="C40" s="80">
        <f>LAVORAZIONI!K546</f>
        <v/>
      </c>
      <c r="D40" s="79">
        <f>LAVORAZIONI!M546</f>
        <v/>
      </c>
      <c r="E40" s="81">
        <f>LAVORAZIONI!N546</f>
        <v/>
      </c>
      <c r="F40" s="81">
        <f>LAVORAZIONI!O546</f>
        <v/>
      </c>
      <c r="G40" s="82">
        <f>LAVORAZIONI!P546</f>
        <v/>
      </c>
      <c r="H40" s="83">
        <f>LAVORAZIONI!W546</f>
        <v/>
      </c>
      <c r="I40" s="82">
        <f>LAVORAZIONI!X546</f>
        <v/>
      </c>
    </row>
    <row r="41">
      <c r="A41" s="79">
        <f>LAVORAZIONI!G547</f>
        <v/>
      </c>
      <c r="B41" s="80">
        <f>LAVORAZIONI!A547</f>
        <v/>
      </c>
      <c r="C41" s="80">
        <f>LAVORAZIONI!K547</f>
        <v/>
      </c>
      <c r="D41" s="79">
        <f>LAVORAZIONI!M547</f>
        <v/>
      </c>
      <c r="E41" s="81">
        <f>LAVORAZIONI!N547</f>
        <v/>
      </c>
      <c r="F41" s="81">
        <f>LAVORAZIONI!O547</f>
        <v/>
      </c>
      <c r="G41" s="82">
        <f>LAVORAZIONI!P547</f>
        <v/>
      </c>
      <c r="H41" s="83">
        <f>LAVORAZIONI!W547</f>
        <v/>
      </c>
      <c r="I41" s="82">
        <f>LAVORAZIONI!X547</f>
        <v/>
      </c>
    </row>
    <row r="42">
      <c r="A42" s="79">
        <f>LAVORAZIONI!G548</f>
        <v/>
      </c>
      <c r="B42" s="80">
        <f>LAVORAZIONI!A548</f>
        <v/>
      </c>
      <c r="C42" s="80">
        <f>LAVORAZIONI!K548</f>
        <v/>
      </c>
      <c r="D42" s="79">
        <f>LAVORAZIONI!M548</f>
        <v/>
      </c>
      <c r="E42" s="81">
        <f>LAVORAZIONI!N548</f>
        <v/>
      </c>
      <c r="F42" s="81">
        <f>LAVORAZIONI!O548</f>
        <v/>
      </c>
      <c r="G42" s="82">
        <f>LAVORAZIONI!P548</f>
        <v/>
      </c>
      <c r="H42" s="83">
        <f>LAVORAZIONI!W548</f>
        <v/>
      </c>
      <c r="I42" s="82">
        <f>LAVORAZIONI!X548</f>
        <v/>
      </c>
    </row>
    <row r="43">
      <c r="A43" s="79">
        <f>LAVORAZIONI!G549</f>
        <v/>
      </c>
      <c r="B43" s="80">
        <f>LAVORAZIONI!A549</f>
        <v/>
      </c>
      <c r="C43" s="80">
        <f>LAVORAZIONI!K549</f>
        <v/>
      </c>
      <c r="D43" s="79">
        <f>LAVORAZIONI!M549</f>
        <v/>
      </c>
      <c r="E43" s="81">
        <f>LAVORAZIONI!N549</f>
        <v/>
      </c>
      <c r="F43" s="81">
        <f>LAVORAZIONI!O549</f>
        <v/>
      </c>
      <c r="G43" s="82">
        <f>LAVORAZIONI!P549</f>
        <v/>
      </c>
      <c r="H43" s="83">
        <f>LAVORAZIONI!W549</f>
        <v/>
      </c>
      <c r="I43" s="82">
        <f>LAVORAZIONI!X549</f>
        <v/>
      </c>
    </row>
    <row r="44">
      <c r="A44" s="79">
        <f>LAVORAZIONI!G550</f>
        <v/>
      </c>
      <c r="B44" s="80">
        <f>LAVORAZIONI!A550</f>
        <v/>
      </c>
      <c r="C44" s="80">
        <f>LAVORAZIONI!K550</f>
        <v/>
      </c>
      <c r="D44" s="79">
        <f>LAVORAZIONI!M550</f>
        <v/>
      </c>
      <c r="E44" s="81">
        <f>LAVORAZIONI!N550</f>
        <v/>
      </c>
      <c r="F44" s="81">
        <f>LAVORAZIONI!O550</f>
        <v/>
      </c>
      <c r="G44" s="82">
        <f>LAVORAZIONI!P550</f>
        <v/>
      </c>
      <c r="H44" s="83">
        <f>LAVORAZIONI!W550</f>
        <v/>
      </c>
      <c r="I44" s="82">
        <f>LAVORAZIONI!X550</f>
        <v/>
      </c>
    </row>
    <row r="45">
      <c r="A45" s="84">
        <f>LAVORAZIONI!G551</f>
        <v/>
      </c>
      <c r="B45" s="85">
        <f>LAVORAZIONI!A551</f>
        <v/>
      </c>
      <c r="C45" s="85">
        <f>LAVORAZIONI!K551</f>
        <v/>
      </c>
      <c r="D45" s="84">
        <f>LAVORAZIONI!M551</f>
        <v/>
      </c>
      <c r="E45" s="86">
        <f>LAVORAZIONI!N551</f>
        <v/>
      </c>
      <c r="F45" s="86">
        <f>LAVORAZIONI!O551</f>
        <v/>
      </c>
      <c r="G45" s="87">
        <f>LAVORAZIONI!P551</f>
        <v/>
      </c>
      <c r="H45" s="88">
        <f>LAVORAZIONI!W551</f>
        <v/>
      </c>
      <c r="I45" s="87">
        <f>LAVORAZIONI!X551</f>
        <v/>
      </c>
    </row>
    <row r="46">
      <c r="A46" s="84">
        <f>LAVORAZIONI!G552</f>
        <v/>
      </c>
      <c r="B46" s="85">
        <f>LAVORAZIONI!A552</f>
        <v/>
      </c>
      <c r="C46" s="85">
        <f>LAVORAZIONI!K552</f>
        <v/>
      </c>
      <c r="D46" s="84">
        <f>LAVORAZIONI!M552</f>
        <v/>
      </c>
      <c r="E46" s="86">
        <f>LAVORAZIONI!N552</f>
        <v/>
      </c>
      <c r="F46" s="86">
        <f>LAVORAZIONI!O552</f>
        <v/>
      </c>
      <c r="G46" s="87">
        <f>LAVORAZIONI!P552</f>
        <v/>
      </c>
      <c r="H46" s="88">
        <f>LAVORAZIONI!W552</f>
        <v/>
      </c>
      <c r="I46" s="87">
        <f>LAVORAZIONI!X552</f>
        <v/>
      </c>
    </row>
    <row r="47">
      <c r="A47" s="84">
        <f>LAVORAZIONI!G553</f>
        <v/>
      </c>
      <c r="B47" s="85">
        <f>LAVORAZIONI!A553</f>
        <v/>
      </c>
      <c r="C47" s="85">
        <f>LAVORAZIONI!K553</f>
        <v/>
      </c>
      <c r="D47" s="84">
        <f>LAVORAZIONI!M553</f>
        <v/>
      </c>
      <c r="E47" s="86">
        <f>LAVORAZIONI!N553</f>
        <v/>
      </c>
      <c r="F47" s="86">
        <f>LAVORAZIONI!O553</f>
        <v/>
      </c>
      <c r="G47" s="87">
        <f>LAVORAZIONI!P553</f>
        <v/>
      </c>
      <c r="H47" s="88">
        <f>LAVORAZIONI!W553</f>
        <v/>
      </c>
      <c r="I47" s="87">
        <f>LAVORAZIONI!X553</f>
        <v/>
      </c>
    </row>
    <row r="48">
      <c r="A48" s="84">
        <f>LAVORAZIONI!G554</f>
        <v/>
      </c>
      <c r="B48" s="85">
        <f>LAVORAZIONI!A554</f>
        <v/>
      </c>
      <c r="C48" s="85">
        <f>LAVORAZIONI!K554</f>
        <v/>
      </c>
      <c r="D48" s="84">
        <f>LAVORAZIONI!M554</f>
        <v/>
      </c>
      <c r="E48" s="86">
        <f>LAVORAZIONI!N554</f>
        <v/>
      </c>
      <c r="F48" s="86">
        <f>LAVORAZIONI!O554</f>
        <v/>
      </c>
      <c r="G48" s="87">
        <f>LAVORAZIONI!P554</f>
        <v/>
      </c>
      <c r="H48" s="88">
        <f>LAVORAZIONI!W554</f>
        <v/>
      </c>
      <c r="I48" s="87">
        <f>LAVORAZIONI!X554</f>
        <v/>
      </c>
    </row>
    <row r="49">
      <c r="A49" s="84">
        <f>LAVORAZIONI!G555</f>
        <v/>
      </c>
      <c r="B49" s="85">
        <f>LAVORAZIONI!A555</f>
        <v/>
      </c>
      <c r="C49" s="85">
        <f>LAVORAZIONI!K555</f>
        <v/>
      </c>
      <c r="D49" s="84">
        <f>LAVORAZIONI!M555</f>
        <v/>
      </c>
      <c r="E49" s="86">
        <f>LAVORAZIONI!N555</f>
        <v/>
      </c>
      <c r="F49" s="86">
        <f>LAVORAZIONI!O555</f>
        <v/>
      </c>
      <c r="G49" s="87">
        <f>LAVORAZIONI!P555</f>
        <v/>
      </c>
      <c r="H49" s="88">
        <f>LAVORAZIONI!W555</f>
        <v/>
      </c>
      <c r="I49" s="87">
        <f>LAVORAZIONI!X555</f>
        <v/>
      </c>
    </row>
    <row r="50">
      <c r="A50" s="84">
        <f>LAVORAZIONI!G556</f>
        <v/>
      </c>
      <c r="B50" s="85">
        <f>LAVORAZIONI!A556</f>
        <v/>
      </c>
      <c r="C50" s="85">
        <f>LAVORAZIONI!K556</f>
        <v/>
      </c>
      <c r="D50" s="84">
        <f>LAVORAZIONI!M556</f>
        <v/>
      </c>
      <c r="E50" s="86">
        <f>LAVORAZIONI!N556</f>
        <v/>
      </c>
      <c r="F50" s="86">
        <f>LAVORAZIONI!O556</f>
        <v/>
      </c>
      <c r="G50" s="87">
        <f>LAVORAZIONI!P556</f>
        <v/>
      </c>
      <c r="H50" s="88">
        <f>LAVORAZIONI!W556</f>
        <v/>
      </c>
      <c r="I50" s="87">
        <f>LAVORAZIONI!X556</f>
        <v/>
      </c>
    </row>
    <row r="51">
      <c r="A51" s="79">
        <f>LAVORAZIONI!G557</f>
        <v/>
      </c>
      <c r="B51" s="80">
        <f>LAVORAZIONI!A557</f>
        <v/>
      </c>
      <c r="C51" s="80">
        <f>LAVORAZIONI!K557</f>
        <v/>
      </c>
      <c r="D51" s="79">
        <f>LAVORAZIONI!M557</f>
        <v/>
      </c>
      <c r="E51" s="81">
        <f>LAVORAZIONI!N557</f>
        <v/>
      </c>
      <c r="F51" s="81">
        <f>LAVORAZIONI!O557</f>
        <v/>
      </c>
      <c r="G51" s="82">
        <f>LAVORAZIONI!P557</f>
        <v/>
      </c>
      <c r="H51" s="83">
        <f>LAVORAZIONI!W557</f>
        <v/>
      </c>
      <c r="I51" s="82">
        <f>LAVORAZIONI!X557</f>
        <v/>
      </c>
    </row>
    <row r="52">
      <c r="A52" s="79">
        <f>LAVORAZIONI!G558</f>
        <v/>
      </c>
      <c r="B52" s="80">
        <f>LAVORAZIONI!A558</f>
        <v/>
      </c>
      <c r="C52" s="80">
        <f>LAVORAZIONI!K558</f>
        <v/>
      </c>
      <c r="D52" s="79">
        <f>LAVORAZIONI!M558</f>
        <v/>
      </c>
      <c r="E52" s="81">
        <f>LAVORAZIONI!N558</f>
        <v/>
      </c>
      <c r="F52" s="81">
        <f>LAVORAZIONI!O558</f>
        <v/>
      </c>
      <c r="G52" s="82">
        <f>LAVORAZIONI!P558</f>
        <v/>
      </c>
      <c r="H52" s="83">
        <f>LAVORAZIONI!W558</f>
        <v/>
      </c>
      <c r="I52" s="82">
        <f>LAVORAZIONI!X558</f>
        <v/>
      </c>
    </row>
    <row r="53">
      <c r="A53" s="79">
        <f>LAVORAZIONI!G559</f>
        <v/>
      </c>
      <c r="B53" s="80">
        <f>LAVORAZIONI!A559</f>
        <v/>
      </c>
      <c r="C53" s="80">
        <f>LAVORAZIONI!K559</f>
        <v/>
      </c>
      <c r="D53" s="79">
        <f>LAVORAZIONI!M559</f>
        <v/>
      </c>
      <c r="E53" s="81">
        <f>LAVORAZIONI!N559</f>
        <v/>
      </c>
      <c r="F53" s="81">
        <f>LAVORAZIONI!O559</f>
        <v/>
      </c>
      <c r="G53" s="82">
        <f>LAVORAZIONI!P559</f>
        <v/>
      </c>
      <c r="H53" s="83">
        <f>LAVORAZIONI!W559</f>
        <v/>
      </c>
      <c r="I53" s="82">
        <f>LAVORAZIONI!X559</f>
        <v/>
      </c>
    </row>
    <row r="54">
      <c r="A54" s="79">
        <f>LAVORAZIONI!G560</f>
        <v/>
      </c>
      <c r="B54" s="80">
        <f>LAVORAZIONI!A560</f>
        <v/>
      </c>
      <c r="C54" s="80">
        <f>LAVORAZIONI!K560</f>
        <v/>
      </c>
      <c r="D54" s="79">
        <f>LAVORAZIONI!M560</f>
        <v/>
      </c>
      <c r="E54" s="81">
        <f>LAVORAZIONI!N560</f>
        <v/>
      </c>
      <c r="F54" s="81">
        <f>LAVORAZIONI!O560</f>
        <v/>
      </c>
      <c r="G54" s="82">
        <f>LAVORAZIONI!P560</f>
        <v/>
      </c>
      <c r="H54" s="83">
        <f>LAVORAZIONI!W560</f>
        <v/>
      </c>
      <c r="I54" s="82">
        <f>LAVORAZIONI!X560</f>
        <v/>
      </c>
    </row>
    <row r="55">
      <c r="A55" s="79">
        <f>LAVORAZIONI!G561</f>
        <v/>
      </c>
      <c r="B55" s="80">
        <f>LAVORAZIONI!A561</f>
        <v/>
      </c>
      <c r="C55" s="80">
        <f>LAVORAZIONI!K561</f>
        <v/>
      </c>
      <c r="D55" s="79">
        <f>LAVORAZIONI!M561</f>
        <v/>
      </c>
      <c r="E55" s="81">
        <f>LAVORAZIONI!N561</f>
        <v/>
      </c>
      <c r="F55" s="81">
        <f>LAVORAZIONI!O561</f>
        <v/>
      </c>
      <c r="G55" s="82">
        <f>LAVORAZIONI!P561</f>
        <v/>
      </c>
      <c r="H55" s="83">
        <f>LAVORAZIONI!W561</f>
        <v/>
      </c>
      <c r="I55" s="82">
        <f>LAVORAZIONI!X561</f>
        <v/>
      </c>
    </row>
    <row r="56">
      <c r="A56" s="79">
        <f>LAVORAZIONI!G562</f>
        <v/>
      </c>
      <c r="B56" s="80">
        <f>LAVORAZIONI!A562</f>
        <v/>
      </c>
      <c r="C56" s="80">
        <f>LAVORAZIONI!K562</f>
        <v/>
      </c>
      <c r="D56" s="79">
        <f>LAVORAZIONI!M562</f>
        <v/>
      </c>
      <c r="E56" s="81">
        <f>LAVORAZIONI!N562</f>
        <v/>
      </c>
      <c r="F56" s="81">
        <f>LAVORAZIONI!O562</f>
        <v/>
      </c>
      <c r="G56" s="82">
        <f>LAVORAZIONI!P562</f>
        <v/>
      </c>
      <c r="H56" s="83">
        <f>LAVORAZIONI!W562</f>
        <v/>
      </c>
      <c r="I56" s="82">
        <f>LAVORAZIONI!X562</f>
        <v/>
      </c>
    </row>
    <row r="57">
      <c r="A57" s="84">
        <f>LAVORAZIONI!G563</f>
        <v/>
      </c>
      <c r="B57" s="85">
        <f>LAVORAZIONI!A563</f>
        <v/>
      </c>
      <c r="C57" s="85">
        <f>LAVORAZIONI!K563</f>
        <v/>
      </c>
      <c r="D57" s="84">
        <f>LAVORAZIONI!M563</f>
        <v/>
      </c>
      <c r="E57" s="86">
        <f>LAVORAZIONI!N563</f>
        <v/>
      </c>
      <c r="F57" s="86">
        <f>LAVORAZIONI!O563</f>
        <v/>
      </c>
      <c r="G57" s="87">
        <f>LAVORAZIONI!P563</f>
        <v/>
      </c>
      <c r="H57" s="88">
        <f>LAVORAZIONI!W563</f>
        <v/>
      </c>
      <c r="I57" s="87">
        <f>LAVORAZIONI!X563</f>
        <v/>
      </c>
    </row>
    <row r="58">
      <c r="A58" s="84">
        <f>LAVORAZIONI!G564</f>
        <v/>
      </c>
      <c r="B58" s="85">
        <f>LAVORAZIONI!A564</f>
        <v/>
      </c>
      <c r="C58" s="85">
        <f>LAVORAZIONI!K564</f>
        <v/>
      </c>
      <c r="D58" s="84">
        <f>LAVORAZIONI!M564</f>
        <v/>
      </c>
      <c r="E58" s="86">
        <f>LAVORAZIONI!N564</f>
        <v/>
      </c>
      <c r="F58" s="86">
        <f>LAVORAZIONI!O564</f>
        <v/>
      </c>
      <c r="G58" s="87">
        <f>LAVORAZIONI!P564</f>
        <v/>
      </c>
      <c r="H58" s="88">
        <f>LAVORAZIONI!W564</f>
        <v/>
      </c>
      <c r="I58" s="87">
        <f>LAVORAZIONI!X564</f>
        <v/>
      </c>
    </row>
    <row r="59">
      <c r="A59" s="84">
        <f>LAVORAZIONI!G565</f>
        <v/>
      </c>
      <c r="B59" s="85">
        <f>LAVORAZIONI!A565</f>
        <v/>
      </c>
      <c r="C59" s="85">
        <f>LAVORAZIONI!K565</f>
        <v/>
      </c>
      <c r="D59" s="84">
        <f>LAVORAZIONI!M565</f>
        <v/>
      </c>
      <c r="E59" s="86">
        <f>LAVORAZIONI!N565</f>
        <v/>
      </c>
      <c r="F59" s="86">
        <f>LAVORAZIONI!O565</f>
        <v/>
      </c>
      <c r="G59" s="87">
        <f>LAVORAZIONI!P565</f>
        <v/>
      </c>
      <c r="H59" s="88">
        <f>LAVORAZIONI!W565</f>
        <v/>
      </c>
      <c r="I59" s="87">
        <f>LAVORAZIONI!X565</f>
        <v/>
      </c>
    </row>
    <row r="60">
      <c r="A60" s="84">
        <f>LAVORAZIONI!G566</f>
        <v/>
      </c>
      <c r="B60" s="85">
        <f>LAVORAZIONI!A566</f>
        <v/>
      </c>
      <c r="C60" s="85">
        <f>LAVORAZIONI!K566</f>
        <v/>
      </c>
      <c r="D60" s="84">
        <f>LAVORAZIONI!M566</f>
        <v/>
      </c>
      <c r="E60" s="86">
        <f>LAVORAZIONI!N566</f>
        <v/>
      </c>
      <c r="F60" s="86">
        <f>LAVORAZIONI!O566</f>
        <v/>
      </c>
      <c r="G60" s="87">
        <f>LAVORAZIONI!P566</f>
        <v/>
      </c>
      <c r="H60" s="88">
        <f>LAVORAZIONI!W566</f>
        <v/>
      </c>
      <c r="I60" s="87">
        <f>LAVORAZIONI!X566</f>
        <v/>
      </c>
    </row>
    <row r="61">
      <c r="A61" s="84">
        <f>LAVORAZIONI!G567</f>
        <v/>
      </c>
      <c r="B61" s="85">
        <f>LAVORAZIONI!A567</f>
        <v/>
      </c>
      <c r="C61" s="85">
        <f>LAVORAZIONI!K567</f>
        <v/>
      </c>
      <c r="D61" s="84">
        <f>LAVORAZIONI!M567</f>
        <v/>
      </c>
      <c r="E61" s="86">
        <f>LAVORAZIONI!N567</f>
        <v/>
      </c>
      <c r="F61" s="86">
        <f>LAVORAZIONI!O567</f>
        <v/>
      </c>
      <c r="G61" s="87">
        <f>LAVORAZIONI!P567</f>
        <v/>
      </c>
      <c r="H61" s="88">
        <f>LAVORAZIONI!W567</f>
        <v/>
      </c>
      <c r="I61" s="87">
        <f>LAVORAZIONI!X567</f>
        <v/>
      </c>
    </row>
    <row r="62">
      <c r="A62" s="84">
        <f>LAVORAZIONI!G568</f>
        <v/>
      </c>
      <c r="B62" s="85">
        <f>LAVORAZIONI!A568</f>
        <v/>
      </c>
      <c r="C62" s="85">
        <f>LAVORAZIONI!K568</f>
        <v/>
      </c>
      <c r="D62" s="84">
        <f>LAVORAZIONI!M568</f>
        <v/>
      </c>
      <c r="E62" s="86">
        <f>LAVORAZIONI!N568</f>
        <v/>
      </c>
      <c r="F62" s="86">
        <f>LAVORAZIONI!O568</f>
        <v/>
      </c>
      <c r="G62" s="87">
        <f>LAVORAZIONI!P568</f>
        <v/>
      </c>
      <c r="H62" s="88">
        <f>LAVORAZIONI!W568</f>
        <v/>
      </c>
      <c r="I62" s="87">
        <f>LAVORAZIONI!X568</f>
        <v/>
      </c>
    </row>
    <row r="63">
      <c r="A63" s="84">
        <f>LAVORAZIONI!G569</f>
        <v/>
      </c>
      <c r="B63" s="85">
        <f>LAVORAZIONI!A569</f>
        <v/>
      </c>
      <c r="C63" s="85">
        <f>LAVORAZIONI!K569</f>
        <v/>
      </c>
      <c r="D63" s="84">
        <f>LAVORAZIONI!M569</f>
        <v/>
      </c>
      <c r="E63" s="86">
        <f>LAVORAZIONI!N569</f>
        <v/>
      </c>
      <c r="F63" s="86">
        <f>LAVORAZIONI!O569</f>
        <v/>
      </c>
      <c r="G63" s="87">
        <f>LAVORAZIONI!P569</f>
        <v/>
      </c>
      <c r="H63" s="88">
        <f>LAVORAZIONI!W569</f>
        <v/>
      </c>
      <c r="I63" s="87">
        <f>LAVORAZIONI!X569</f>
        <v/>
      </c>
    </row>
    <row r="64">
      <c r="A64" s="84">
        <f>LAVORAZIONI!G570</f>
        <v/>
      </c>
      <c r="B64" s="85">
        <f>LAVORAZIONI!A570</f>
        <v/>
      </c>
      <c r="C64" s="85">
        <f>LAVORAZIONI!K570</f>
        <v/>
      </c>
      <c r="D64" s="84">
        <f>LAVORAZIONI!M570</f>
        <v/>
      </c>
      <c r="E64" s="86">
        <f>LAVORAZIONI!N570</f>
        <v/>
      </c>
      <c r="F64" s="86">
        <f>LAVORAZIONI!O570</f>
        <v/>
      </c>
      <c r="G64" s="87">
        <f>LAVORAZIONI!P570</f>
        <v/>
      </c>
      <c r="H64" s="88">
        <f>LAVORAZIONI!W570</f>
        <v/>
      </c>
      <c r="I64" s="87">
        <f>LAVORAZIONI!X570</f>
        <v/>
      </c>
    </row>
    <row r="65">
      <c r="A65" s="84">
        <f>LAVORAZIONI!G571</f>
        <v/>
      </c>
      <c r="B65" s="85">
        <f>LAVORAZIONI!A571</f>
        <v/>
      </c>
      <c r="C65" s="85">
        <f>LAVORAZIONI!K571</f>
        <v/>
      </c>
      <c r="D65" s="84">
        <f>LAVORAZIONI!M571</f>
        <v/>
      </c>
      <c r="E65" s="86">
        <f>LAVORAZIONI!N571</f>
        <v/>
      </c>
      <c r="F65" s="86">
        <f>LAVORAZIONI!O571</f>
        <v/>
      </c>
      <c r="G65" s="87">
        <f>LAVORAZIONI!P571</f>
        <v/>
      </c>
      <c r="H65" s="88">
        <f>LAVORAZIONI!W571</f>
        <v/>
      </c>
      <c r="I65" s="87">
        <f>LAVORAZIONI!X571</f>
        <v/>
      </c>
    </row>
    <row r="66">
      <c r="A66" s="84">
        <f>LAVORAZIONI!G572</f>
        <v/>
      </c>
      <c r="B66" s="85">
        <f>LAVORAZIONI!A572</f>
        <v/>
      </c>
      <c r="C66" s="85">
        <f>LAVORAZIONI!K572</f>
        <v/>
      </c>
      <c r="D66" s="84">
        <f>LAVORAZIONI!M572</f>
        <v/>
      </c>
      <c r="E66" s="86">
        <f>LAVORAZIONI!N572</f>
        <v/>
      </c>
      <c r="F66" s="86">
        <f>LAVORAZIONI!O572</f>
        <v/>
      </c>
      <c r="G66" s="87">
        <f>LAVORAZIONI!P572</f>
        <v/>
      </c>
      <c r="H66" s="88">
        <f>LAVORAZIONI!W572</f>
        <v/>
      </c>
      <c r="I66" s="87">
        <f>LAVORAZIONI!X572</f>
        <v/>
      </c>
    </row>
    <row r="67">
      <c r="A67" s="84">
        <f>LAVORAZIONI!G573</f>
        <v/>
      </c>
      <c r="B67" s="85">
        <f>LAVORAZIONI!A573</f>
        <v/>
      </c>
      <c r="C67" s="85">
        <f>LAVORAZIONI!K573</f>
        <v/>
      </c>
      <c r="D67" s="84">
        <f>LAVORAZIONI!M573</f>
        <v/>
      </c>
      <c r="E67" s="86">
        <f>LAVORAZIONI!N573</f>
        <v/>
      </c>
      <c r="F67" s="86">
        <f>LAVORAZIONI!O573</f>
        <v/>
      </c>
      <c r="G67" s="87">
        <f>LAVORAZIONI!P573</f>
        <v/>
      </c>
      <c r="H67" s="88">
        <f>LAVORAZIONI!W573</f>
        <v/>
      </c>
      <c r="I67" s="87">
        <f>LAVORAZIONI!X573</f>
        <v/>
      </c>
    </row>
    <row r="68">
      <c r="A68" s="84">
        <f>LAVORAZIONI!G574</f>
        <v/>
      </c>
      <c r="B68" s="85">
        <f>LAVORAZIONI!A574</f>
        <v/>
      </c>
      <c r="C68" s="85">
        <f>LAVORAZIONI!K574</f>
        <v/>
      </c>
      <c r="D68" s="84">
        <f>LAVORAZIONI!M574</f>
        <v/>
      </c>
      <c r="E68" s="86">
        <f>LAVORAZIONI!N574</f>
        <v/>
      </c>
      <c r="F68" s="86">
        <f>LAVORAZIONI!O574</f>
        <v/>
      </c>
      <c r="G68" s="87">
        <f>LAVORAZIONI!P574</f>
        <v/>
      </c>
      <c r="H68" s="88">
        <f>LAVORAZIONI!W574</f>
        <v/>
      </c>
      <c r="I68" s="87">
        <f>LAVORAZIONI!X574</f>
        <v/>
      </c>
    </row>
    <row r="69">
      <c r="A69" s="84">
        <f>LAVORAZIONI!G575</f>
        <v/>
      </c>
      <c r="B69" s="85">
        <f>LAVORAZIONI!A575</f>
        <v/>
      </c>
      <c r="C69" s="85">
        <f>LAVORAZIONI!K575</f>
        <v/>
      </c>
      <c r="D69" s="84">
        <f>LAVORAZIONI!M575</f>
        <v/>
      </c>
      <c r="E69" s="86">
        <f>LAVORAZIONI!N575</f>
        <v/>
      </c>
      <c r="F69" s="86">
        <f>LAVORAZIONI!O575</f>
        <v/>
      </c>
      <c r="G69" s="87">
        <f>LAVORAZIONI!P575</f>
        <v/>
      </c>
      <c r="H69" s="88">
        <f>LAVORAZIONI!W575</f>
        <v/>
      </c>
      <c r="I69" s="87">
        <f>LAVORAZIONI!X575</f>
        <v/>
      </c>
    </row>
    <row r="70">
      <c r="A70" s="84">
        <f>LAVORAZIONI!G576</f>
        <v/>
      </c>
      <c r="B70" s="85">
        <f>LAVORAZIONI!A576</f>
        <v/>
      </c>
      <c r="C70" s="85">
        <f>LAVORAZIONI!K576</f>
        <v/>
      </c>
      <c r="D70" s="84">
        <f>LAVORAZIONI!M576</f>
        <v/>
      </c>
      <c r="E70" s="86">
        <f>LAVORAZIONI!N576</f>
        <v/>
      </c>
      <c r="F70" s="86">
        <f>LAVORAZIONI!O576</f>
        <v/>
      </c>
      <c r="G70" s="87">
        <f>LAVORAZIONI!P576</f>
        <v/>
      </c>
      <c r="H70" s="88">
        <f>LAVORAZIONI!W576</f>
        <v/>
      </c>
      <c r="I70" s="87">
        <f>LAVORAZIONI!X576</f>
        <v/>
      </c>
    </row>
    <row r="71">
      <c r="A71" s="84">
        <f>LAVORAZIONI!G577</f>
        <v/>
      </c>
      <c r="B71" s="85">
        <f>LAVORAZIONI!A577</f>
        <v/>
      </c>
      <c r="C71" s="85">
        <f>LAVORAZIONI!K577</f>
        <v/>
      </c>
      <c r="D71" s="84">
        <f>LAVORAZIONI!M577</f>
        <v/>
      </c>
      <c r="E71" s="86">
        <f>LAVORAZIONI!N577</f>
        <v/>
      </c>
      <c r="F71" s="86">
        <f>LAVORAZIONI!O577</f>
        <v/>
      </c>
      <c r="G71" s="87">
        <f>LAVORAZIONI!P577</f>
        <v/>
      </c>
      <c r="H71" s="88">
        <f>LAVORAZIONI!W577</f>
        <v/>
      </c>
      <c r="I71" s="87">
        <f>LAVORAZIONI!X577</f>
        <v/>
      </c>
    </row>
    <row r="72">
      <c r="A72" s="84">
        <f>LAVORAZIONI!G578</f>
        <v/>
      </c>
      <c r="B72" s="85">
        <f>LAVORAZIONI!A578</f>
        <v/>
      </c>
      <c r="C72" s="85">
        <f>LAVORAZIONI!K578</f>
        <v/>
      </c>
      <c r="D72" s="84">
        <f>LAVORAZIONI!M578</f>
        <v/>
      </c>
      <c r="E72" s="86">
        <f>LAVORAZIONI!N578</f>
        <v/>
      </c>
      <c r="F72" s="86">
        <f>LAVORAZIONI!O578</f>
        <v/>
      </c>
      <c r="G72" s="87">
        <f>LAVORAZIONI!P578</f>
        <v/>
      </c>
      <c r="H72" s="88">
        <f>LAVORAZIONI!W578</f>
        <v/>
      </c>
      <c r="I72" s="87">
        <f>LAVORAZIONI!X578</f>
        <v/>
      </c>
    </row>
    <row r="73">
      <c r="A73" s="84">
        <f>LAVORAZIONI!G579</f>
        <v/>
      </c>
      <c r="B73" s="85">
        <f>LAVORAZIONI!A579</f>
        <v/>
      </c>
      <c r="C73" s="85">
        <f>LAVORAZIONI!K579</f>
        <v/>
      </c>
      <c r="D73" s="84">
        <f>LAVORAZIONI!M579</f>
        <v/>
      </c>
      <c r="E73" s="86">
        <f>LAVORAZIONI!N579</f>
        <v/>
      </c>
      <c r="F73" s="86">
        <f>LAVORAZIONI!O579</f>
        <v/>
      </c>
      <c r="G73" s="87">
        <f>LAVORAZIONI!P579</f>
        <v/>
      </c>
      <c r="H73" s="88">
        <f>LAVORAZIONI!W579</f>
        <v/>
      </c>
      <c r="I73" s="87">
        <f>LAVORAZIONI!X579</f>
        <v/>
      </c>
    </row>
    <row r="74">
      <c r="A74" s="84">
        <f>LAVORAZIONI!G580</f>
        <v/>
      </c>
      <c r="B74" s="85">
        <f>LAVORAZIONI!A580</f>
        <v/>
      </c>
      <c r="C74" s="85">
        <f>LAVORAZIONI!K580</f>
        <v/>
      </c>
      <c r="D74" s="84">
        <f>LAVORAZIONI!M580</f>
        <v/>
      </c>
      <c r="E74" s="86">
        <f>LAVORAZIONI!N580</f>
        <v/>
      </c>
      <c r="F74" s="86">
        <f>LAVORAZIONI!O580</f>
        <v/>
      </c>
      <c r="G74" s="87">
        <f>LAVORAZIONI!P580</f>
        <v/>
      </c>
      <c r="H74" s="88">
        <f>LAVORAZIONI!W580</f>
        <v/>
      </c>
      <c r="I74" s="87">
        <f>LAVORAZIONI!X580</f>
        <v/>
      </c>
    </row>
    <row r="75">
      <c r="A75" s="84">
        <f>LAVORAZIONI!G581</f>
        <v/>
      </c>
      <c r="B75" s="85">
        <f>LAVORAZIONI!A581</f>
        <v/>
      </c>
      <c r="C75" s="85">
        <f>LAVORAZIONI!K581</f>
        <v/>
      </c>
      <c r="D75" s="84">
        <f>LAVORAZIONI!M581</f>
        <v/>
      </c>
      <c r="E75" s="86">
        <f>LAVORAZIONI!N581</f>
        <v/>
      </c>
      <c r="F75" s="86">
        <f>LAVORAZIONI!O581</f>
        <v/>
      </c>
      <c r="G75" s="87">
        <f>LAVORAZIONI!P581</f>
        <v/>
      </c>
      <c r="H75" s="88">
        <f>LAVORAZIONI!W581</f>
        <v/>
      </c>
      <c r="I75" s="87">
        <f>LAVORAZIONI!X581</f>
        <v/>
      </c>
    </row>
    <row r="76">
      <c r="A76" s="84">
        <f>LAVORAZIONI!G582</f>
        <v/>
      </c>
      <c r="B76" s="85">
        <f>LAVORAZIONI!A582</f>
        <v/>
      </c>
      <c r="C76" s="85">
        <f>LAVORAZIONI!K582</f>
        <v/>
      </c>
      <c r="D76" s="84">
        <f>LAVORAZIONI!M582</f>
        <v/>
      </c>
      <c r="E76" s="86">
        <f>LAVORAZIONI!N582</f>
        <v/>
      </c>
      <c r="F76" s="86">
        <f>LAVORAZIONI!O582</f>
        <v/>
      </c>
      <c r="G76" s="87">
        <f>LAVORAZIONI!P582</f>
        <v/>
      </c>
      <c r="H76" s="88">
        <f>LAVORAZIONI!W582</f>
        <v/>
      </c>
      <c r="I76" s="87">
        <f>LAVORAZIONI!X582</f>
        <v/>
      </c>
    </row>
    <row r="77">
      <c r="A77" s="84">
        <f>LAVORAZIONI!G583</f>
        <v/>
      </c>
      <c r="B77" s="85">
        <f>LAVORAZIONI!A583</f>
        <v/>
      </c>
      <c r="C77" s="85">
        <f>LAVORAZIONI!K583</f>
        <v/>
      </c>
      <c r="D77" s="84">
        <f>LAVORAZIONI!M583</f>
        <v/>
      </c>
      <c r="E77" s="86">
        <f>LAVORAZIONI!N583</f>
        <v/>
      </c>
      <c r="F77" s="86">
        <f>LAVORAZIONI!O583</f>
        <v/>
      </c>
      <c r="G77" s="87">
        <f>LAVORAZIONI!P583</f>
        <v/>
      </c>
      <c r="H77" s="88">
        <f>LAVORAZIONI!W583</f>
        <v/>
      </c>
      <c r="I77" s="87">
        <f>LAVORAZIONI!X583</f>
        <v/>
      </c>
    </row>
    <row r="78">
      <c r="A78" s="84">
        <f>LAVORAZIONI!G584</f>
        <v/>
      </c>
      <c r="B78" s="85">
        <f>LAVORAZIONI!A584</f>
        <v/>
      </c>
      <c r="C78" s="85">
        <f>LAVORAZIONI!K584</f>
        <v/>
      </c>
      <c r="D78" s="84">
        <f>LAVORAZIONI!M584</f>
        <v/>
      </c>
      <c r="E78" s="86">
        <f>LAVORAZIONI!N584</f>
        <v/>
      </c>
      <c r="F78" s="86">
        <f>LAVORAZIONI!O584</f>
        <v/>
      </c>
      <c r="G78" s="87">
        <f>LAVORAZIONI!P584</f>
        <v/>
      </c>
      <c r="H78" s="88">
        <f>LAVORAZIONI!W584</f>
        <v/>
      </c>
      <c r="I78" s="87">
        <f>LAVORAZIONI!X584</f>
        <v/>
      </c>
    </row>
    <row r="79">
      <c r="A79" s="79">
        <f>LAVORAZIONI!G585</f>
        <v/>
      </c>
      <c r="B79" s="80">
        <f>LAVORAZIONI!A585</f>
        <v/>
      </c>
      <c r="C79" s="80">
        <f>LAVORAZIONI!K585</f>
        <v/>
      </c>
      <c r="D79" s="79">
        <f>LAVORAZIONI!M585</f>
        <v/>
      </c>
      <c r="E79" s="81">
        <f>LAVORAZIONI!N585</f>
        <v/>
      </c>
      <c r="F79" s="81">
        <f>LAVORAZIONI!O585</f>
        <v/>
      </c>
      <c r="G79" s="82">
        <f>LAVORAZIONI!P585</f>
        <v/>
      </c>
      <c r="H79" s="83">
        <f>LAVORAZIONI!W585</f>
        <v/>
      </c>
      <c r="I79" s="82">
        <f>LAVORAZIONI!X585</f>
        <v/>
      </c>
    </row>
    <row r="80">
      <c r="A80" s="84">
        <f>LAVORAZIONI!G586</f>
        <v/>
      </c>
      <c r="B80" s="85">
        <f>LAVORAZIONI!A586</f>
        <v/>
      </c>
      <c r="C80" s="85">
        <f>LAVORAZIONI!K586</f>
        <v/>
      </c>
      <c r="D80" s="84">
        <f>LAVORAZIONI!M586</f>
        <v/>
      </c>
      <c r="E80" s="86">
        <f>LAVORAZIONI!N586</f>
        <v/>
      </c>
      <c r="F80" s="86">
        <f>LAVORAZIONI!O586</f>
        <v/>
      </c>
      <c r="G80" s="87">
        <f>LAVORAZIONI!P586</f>
        <v/>
      </c>
      <c r="H80" s="88">
        <f>LAVORAZIONI!W586</f>
        <v/>
      </c>
      <c r="I80" s="87">
        <f>LAVORAZIONI!X586</f>
        <v/>
      </c>
    </row>
    <row r="81">
      <c r="A81" s="84">
        <f>LAVORAZIONI!G587</f>
        <v/>
      </c>
      <c r="B81" s="85">
        <f>LAVORAZIONI!A587</f>
        <v/>
      </c>
      <c r="C81" s="85">
        <f>LAVORAZIONI!K587</f>
        <v/>
      </c>
      <c r="D81" s="84">
        <f>LAVORAZIONI!M587</f>
        <v/>
      </c>
      <c r="E81" s="86">
        <f>LAVORAZIONI!N587</f>
        <v/>
      </c>
      <c r="F81" s="86">
        <f>LAVORAZIONI!O587</f>
        <v/>
      </c>
      <c r="G81" s="87">
        <f>LAVORAZIONI!P587</f>
        <v/>
      </c>
      <c r="H81" s="88">
        <f>LAVORAZIONI!W587</f>
        <v/>
      </c>
      <c r="I81" s="87">
        <f>LAVORAZIONI!X587</f>
        <v/>
      </c>
    </row>
    <row r="82">
      <c r="A82" s="84">
        <f>LAVORAZIONI!G588</f>
        <v/>
      </c>
      <c r="B82" s="85">
        <f>LAVORAZIONI!A588</f>
        <v/>
      </c>
      <c r="C82" s="85">
        <f>LAVORAZIONI!K588</f>
        <v/>
      </c>
      <c r="D82" s="84">
        <f>LAVORAZIONI!M588</f>
        <v/>
      </c>
      <c r="E82" s="86">
        <f>LAVORAZIONI!N588</f>
        <v/>
      </c>
      <c r="F82" s="86">
        <f>LAVORAZIONI!O588</f>
        <v/>
      </c>
      <c r="G82" s="87">
        <f>LAVORAZIONI!P588</f>
        <v/>
      </c>
      <c r="H82" s="88">
        <f>LAVORAZIONI!W588</f>
        <v/>
      </c>
      <c r="I82" s="87">
        <f>LAVORAZIONI!X588</f>
        <v/>
      </c>
    </row>
    <row r="83">
      <c r="A83" s="84">
        <f>LAVORAZIONI!G589</f>
        <v/>
      </c>
      <c r="B83" s="85">
        <f>LAVORAZIONI!A589</f>
        <v/>
      </c>
      <c r="C83" s="85">
        <f>LAVORAZIONI!K589</f>
        <v/>
      </c>
      <c r="D83" s="84">
        <f>LAVORAZIONI!M589</f>
        <v/>
      </c>
      <c r="E83" s="86">
        <f>LAVORAZIONI!N589</f>
        <v/>
      </c>
      <c r="F83" s="86">
        <f>LAVORAZIONI!O589</f>
        <v/>
      </c>
      <c r="G83" s="87">
        <f>LAVORAZIONI!P589</f>
        <v/>
      </c>
      <c r="H83" s="88">
        <f>LAVORAZIONI!W589</f>
        <v/>
      </c>
      <c r="I83" s="87">
        <f>LAVORAZIONI!X589</f>
        <v/>
      </c>
    </row>
    <row r="84">
      <c r="A84" s="84">
        <f>LAVORAZIONI!G590</f>
        <v/>
      </c>
      <c r="B84" s="85">
        <f>LAVORAZIONI!A590</f>
        <v/>
      </c>
      <c r="C84" s="85">
        <f>LAVORAZIONI!K590</f>
        <v/>
      </c>
      <c r="D84" s="84">
        <f>LAVORAZIONI!M590</f>
        <v/>
      </c>
      <c r="E84" s="86">
        <f>LAVORAZIONI!N590</f>
        <v/>
      </c>
      <c r="F84" s="86">
        <f>LAVORAZIONI!O590</f>
        <v/>
      </c>
      <c r="G84" s="87">
        <f>LAVORAZIONI!P590</f>
        <v/>
      </c>
      <c r="H84" s="88">
        <f>LAVORAZIONI!W590</f>
        <v/>
      </c>
      <c r="I84" s="87">
        <f>LAVORAZIONI!X590</f>
        <v/>
      </c>
    </row>
    <row r="85">
      <c r="A85" s="84">
        <f>LAVORAZIONI!G591</f>
        <v/>
      </c>
      <c r="B85" s="85">
        <f>LAVORAZIONI!A591</f>
        <v/>
      </c>
      <c r="C85" s="85">
        <f>LAVORAZIONI!K591</f>
        <v/>
      </c>
      <c r="D85" s="84">
        <f>LAVORAZIONI!M591</f>
        <v/>
      </c>
      <c r="E85" s="86">
        <f>LAVORAZIONI!N591</f>
        <v/>
      </c>
      <c r="F85" s="86">
        <f>LAVORAZIONI!O591</f>
        <v/>
      </c>
      <c r="G85" s="87">
        <f>LAVORAZIONI!P591</f>
        <v/>
      </c>
      <c r="H85" s="88">
        <f>LAVORAZIONI!W591</f>
        <v/>
      </c>
      <c r="I85" s="87">
        <f>LAVORAZIONI!X591</f>
        <v/>
      </c>
    </row>
    <row r="86">
      <c r="A86" s="84">
        <f>LAVORAZIONI!G592</f>
        <v/>
      </c>
      <c r="B86" s="85">
        <f>LAVORAZIONI!A592</f>
        <v/>
      </c>
      <c r="C86" s="85">
        <f>LAVORAZIONI!K592</f>
        <v/>
      </c>
      <c r="D86" s="84">
        <f>LAVORAZIONI!M592</f>
        <v/>
      </c>
      <c r="E86" s="86">
        <f>LAVORAZIONI!N592</f>
        <v/>
      </c>
      <c r="F86" s="86">
        <f>LAVORAZIONI!O592</f>
        <v/>
      </c>
      <c r="G86" s="87">
        <f>LAVORAZIONI!P592</f>
        <v/>
      </c>
      <c r="H86" s="88">
        <f>LAVORAZIONI!W592</f>
        <v/>
      </c>
      <c r="I86" s="87">
        <f>LAVORAZIONI!X592</f>
        <v/>
      </c>
    </row>
    <row r="87">
      <c r="A87" s="84">
        <f>LAVORAZIONI!G593</f>
        <v/>
      </c>
      <c r="B87" s="85">
        <f>LAVORAZIONI!A593</f>
        <v/>
      </c>
      <c r="C87" s="85">
        <f>LAVORAZIONI!K593</f>
        <v/>
      </c>
      <c r="D87" s="84">
        <f>LAVORAZIONI!M593</f>
        <v/>
      </c>
      <c r="E87" s="86">
        <f>LAVORAZIONI!N593</f>
        <v/>
      </c>
      <c r="F87" s="86">
        <f>LAVORAZIONI!O593</f>
        <v/>
      </c>
      <c r="G87" s="87">
        <f>LAVORAZIONI!P593</f>
        <v/>
      </c>
      <c r="H87" s="88">
        <f>LAVORAZIONI!W593</f>
        <v/>
      </c>
      <c r="I87" s="87">
        <f>LAVORAZIONI!X593</f>
        <v/>
      </c>
    </row>
    <row r="88">
      <c r="A88" s="79">
        <f>LAVORAZIONI!G594</f>
        <v/>
      </c>
      <c r="B88" s="80">
        <f>LAVORAZIONI!A594</f>
        <v/>
      </c>
      <c r="C88" s="80">
        <f>LAVORAZIONI!K594</f>
        <v/>
      </c>
      <c r="D88" s="79">
        <f>LAVORAZIONI!M594</f>
        <v/>
      </c>
      <c r="E88" s="81">
        <f>LAVORAZIONI!N594</f>
        <v/>
      </c>
      <c r="F88" s="81">
        <f>LAVORAZIONI!O594</f>
        <v/>
      </c>
      <c r="G88" s="82">
        <f>LAVORAZIONI!P594</f>
        <v/>
      </c>
      <c r="H88" s="83">
        <f>LAVORAZIONI!W594</f>
        <v/>
      </c>
      <c r="I88" s="82">
        <f>LAVORAZIONI!X594</f>
        <v/>
      </c>
    </row>
    <row r="89">
      <c r="A89" s="84">
        <f>LAVORAZIONI!G595</f>
        <v/>
      </c>
      <c r="B89" s="85">
        <f>LAVORAZIONI!A595</f>
        <v/>
      </c>
      <c r="C89" s="85">
        <f>LAVORAZIONI!K595</f>
        <v/>
      </c>
      <c r="D89" s="84">
        <f>LAVORAZIONI!M595</f>
        <v/>
      </c>
      <c r="E89" s="86">
        <f>LAVORAZIONI!N595</f>
        <v/>
      </c>
      <c r="F89" s="86">
        <f>LAVORAZIONI!O595</f>
        <v/>
      </c>
      <c r="G89" s="87">
        <f>LAVORAZIONI!P595</f>
        <v/>
      </c>
      <c r="H89" s="88">
        <f>LAVORAZIONI!W595</f>
        <v/>
      </c>
      <c r="I89" s="87">
        <f>LAVORAZIONI!X595</f>
        <v/>
      </c>
    </row>
    <row r="90">
      <c r="A90" s="84">
        <f>LAVORAZIONI!G596</f>
        <v/>
      </c>
      <c r="B90" s="85">
        <f>LAVORAZIONI!A596</f>
        <v/>
      </c>
      <c r="C90" s="85">
        <f>LAVORAZIONI!K596</f>
        <v/>
      </c>
      <c r="D90" s="84">
        <f>LAVORAZIONI!M596</f>
        <v/>
      </c>
      <c r="E90" s="86">
        <f>LAVORAZIONI!N596</f>
        <v/>
      </c>
      <c r="F90" s="86">
        <f>LAVORAZIONI!O596</f>
        <v/>
      </c>
      <c r="G90" s="87">
        <f>LAVORAZIONI!P596</f>
        <v/>
      </c>
      <c r="H90" s="88">
        <f>LAVORAZIONI!W596</f>
        <v/>
      </c>
      <c r="I90" s="87">
        <f>LAVORAZIONI!X596</f>
        <v/>
      </c>
    </row>
    <row r="91">
      <c r="A91" s="79">
        <f>LAVORAZIONI!G597</f>
        <v/>
      </c>
      <c r="B91" s="80">
        <f>LAVORAZIONI!A597</f>
        <v/>
      </c>
      <c r="C91" s="80">
        <f>LAVORAZIONI!K597</f>
        <v/>
      </c>
      <c r="D91" s="79">
        <f>LAVORAZIONI!M597</f>
        <v/>
      </c>
      <c r="E91" s="81">
        <f>LAVORAZIONI!N597</f>
        <v/>
      </c>
      <c r="F91" s="81">
        <f>LAVORAZIONI!O597</f>
        <v/>
      </c>
      <c r="G91" s="82">
        <f>LAVORAZIONI!P597</f>
        <v/>
      </c>
      <c r="H91" s="83">
        <f>LAVORAZIONI!W597</f>
        <v/>
      </c>
      <c r="I91" s="82">
        <f>LAVORAZIONI!X597</f>
        <v/>
      </c>
    </row>
    <row r="92">
      <c r="A92" s="79">
        <f>LAVORAZIONI!G598</f>
        <v/>
      </c>
      <c r="B92" s="80">
        <f>LAVORAZIONI!A598</f>
        <v/>
      </c>
      <c r="C92" s="80">
        <f>LAVORAZIONI!K598</f>
        <v/>
      </c>
      <c r="D92" s="79">
        <f>LAVORAZIONI!M598</f>
        <v/>
      </c>
      <c r="E92" s="81">
        <f>LAVORAZIONI!N598</f>
        <v/>
      </c>
      <c r="F92" s="81">
        <f>LAVORAZIONI!O598</f>
        <v/>
      </c>
      <c r="G92" s="82">
        <f>LAVORAZIONI!P598</f>
        <v/>
      </c>
      <c r="H92" s="83">
        <f>LAVORAZIONI!W598</f>
        <v/>
      </c>
      <c r="I92" s="82">
        <f>LAVORAZIONI!X598</f>
        <v/>
      </c>
    </row>
    <row r="93">
      <c r="A93" s="79">
        <f>LAVORAZIONI!G599</f>
        <v/>
      </c>
      <c r="B93" s="80">
        <f>LAVORAZIONI!A599</f>
        <v/>
      </c>
      <c r="C93" s="80">
        <f>LAVORAZIONI!K599</f>
        <v/>
      </c>
      <c r="D93" s="79">
        <f>LAVORAZIONI!M599</f>
        <v/>
      </c>
      <c r="E93" s="81">
        <f>LAVORAZIONI!N599</f>
        <v/>
      </c>
      <c r="F93" s="81">
        <f>LAVORAZIONI!O599</f>
        <v/>
      </c>
      <c r="G93" s="82">
        <f>LAVORAZIONI!P599</f>
        <v/>
      </c>
      <c r="H93" s="83">
        <f>LAVORAZIONI!W599</f>
        <v/>
      </c>
      <c r="I93" s="82">
        <f>LAVORAZIONI!X599</f>
        <v/>
      </c>
    </row>
    <row r="94">
      <c r="A94" s="79">
        <f>LAVORAZIONI!G600</f>
        <v/>
      </c>
      <c r="B94" s="80">
        <f>LAVORAZIONI!A600</f>
        <v/>
      </c>
      <c r="C94" s="80">
        <f>LAVORAZIONI!K600</f>
        <v/>
      </c>
      <c r="D94" s="79">
        <f>LAVORAZIONI!M600</f>
        <v/>
      </c>
      <c r="E94" s="81">
        <f>LAVORAZIONI!N600</f>
        <v/>
      </c>
      <c r="F94" s="81">
        <f>LAVORAZIONI!O600</f>
        <v/>
      </c>
      <c r="G94" s="82">
        <f>LAVORAZIONI!P600</f>
        <v/>
      </c>
      <c r="H94" s="83">
        <f>LAVORAZIONI!W600</f>
        <v/>
      </c>
      <c r="I94" s="82">
        <f>LAVORAZIONI!X600</f>
        <v/>
      </c>
    </row>
    <row r="95">
      <c r="A95" s="79">
        <f>LAVORAZIONI!G601</f>
        <v/>
      </c>
      <c r="B95" s="80">
        <f>LAVORAZIONI!A601</f>
        <v/>
      </c>
      <c r="C95" s="80">
        <f>LAVORAZIONI!K601</f>
        <v/>
      </c>
      <c r="D95" s="79">
        <f>LAVORAZIONI!M601</f>
        <v/>
      </c>
      <c r="E95" s="81">
        <f>LAVORAZIONI!N601</f>
        <v/>
      </c>
      <c r="F95" s="81">
        <f>LAVORAZIONI!O601</f>
        <v/>
      </c>
      <c r="G95" s="82">
        <f>LAVORAZIONI!P601</f>
        <v/>
      </c>
      <c r="H95" s="83">
        <f>LAVORAZIONI!W601</f>
        <v/>
      </c>
      <c r="I95" s="82">
        <f>LAVORAZIONI!X601</f>
        <v/>
      </c>
    </row>
    <row r="96">
      <c r="A96" s="84">
        <f>LAVORAZIONI!G602</f>
        <v/>
      </c>
      <c r="B96" s="85">
        <f>LAVORAZIONI!A602</f>
        <v/>
      </c>
      <c r="C96" s="85">
        <f>LAVORAZIONI!K602</f>
        <v/>
      </c>
      <c r="D96" s="84">
        <f>LAVORAZIONI!M602</f>
        <v/>
      </c>
      <c r="E96" s="86">
        <f>LAVORAZIONI!N602</f>
        <v/>
      </c>
      <c r="F96" s="86">
        <f>LAVORAZIONI!O602</f>
        <v/>
      </c>
      <c r="G96" s="87">
        <f>LAVORAZIONI!P602</f>
        <v/>
      </c>
      <c r="H96" s="88">
        <f>LAVORAZIONI!W602</f>
        <v/>
      </c>
      <c r="I96" s="87">
        <f>LAVORAZIONI!X602</f>
        <v/>
      </c>
    </row>
    <row r="97">
      <c r="A97" s="84">
        <f>LAVORAZIONI!G603</f>
        <v/>
      </c>
      <c r="B97" s="85">
        <f>LAVORAZIONI!A603</f>
        <v/>
      </c>
      <c r="C97" s="85">
        <f>LAVORAZIONI!K603</f>
        <v/>
      </c>
      <c r="D97" s="84">
        <f>LAVORAZIONI!M603</f>
        <v/>
      </c>
      <c r="E97" s="86">
        <f>LAVORAZIONI!N603</f>
        <v/>
      </c>
      <c r="F97" s="86">
        <f>LAVORAZIONI!O603</f>
        <v/>
      </c>
      <c r="G97" s="87">
        <f>LAVORAZIONI!P603</f>
        <v/>
      </c>
      <c r="H97" s="88">
        <f>LAVORAZIONI!W603</f>
        <v/>
      </c>
      <c r="I97" s="87">
        <f>LAVORAZIONI!X603</f>
        <v/>
      </c>
    </row>
    <row r="98">
      <c r="A98" s="84">
        <f>LAVORAZIONI!G604</f>
        <v/>
      </c>
      <c r="B98" s="85">
        <f>LAVORAZIONI!A604</f>
        <v/>
      </c>
      <c r="C98" s="85">
        <f>LAVORAZIONI!K604</f>
        <v/>
      </c>
      <c r="D98" s="84">
        <f>LAVORAZIONI!M604</f>
        <v/>
      </c>
      <c r="E98" s="86">
        <f>LAVORAZIONI!N604</f>
        <v/>
      </c>
      <c r="F98" s="86">
        <f>LAVORAZIONI!O604</f>
        <v/>
      </c>
      <c r="G98" s="87">
        <f>LAVORAZIONI!P604</f>
        <v/>
      </c>
      <c r="H98" s="88">
        <f>LAVORAZIONI!W604</f>
        <v/>
      </c>
      <c r="I98" s="87">
        <f>LAVORAZIONI!X604</f>
        <v/>
      </c>
    </row>
    <row r="99">
      <c r="A99" s="84">
        <f>LAVORAZIONI!G605</f>
        <v/>
      </c>
      <c r="B99" s="85">
        <f>LAVORAZIONI!A605</f>
        <v/>
      </c>
      <c r="C99" s="85">
        <f>LAVORAZIONI!K605</f>
        <v/>
      </c>
      <c r="D99" s="84">
        <f>LAVORAZIONI!M605</f>
        <v/>
      </c>
      <c r="E99" s="86">
        <f>LAVORAZIONI!N605</f>
        <v/>
      </c>
      <c r="F99" s="86">
        <f>LAVORAZIONI!O605</f>
        <v/>
      </c>
      <c r="G99" s="87">
        <f>LAVORAZIONI!P605</f>
        <v/>
      </c>
      <c r="H99" s="88">
        <f>LAVORAZIONI!W605</f>
        <v/>
      </c>
      <c r="I99" s="87">
        <f>LAVORAZIONI!X605</f>
        <v/>
      </c>
    </row>
    <row r="100">
      <c r="A100" s="79">
        <f>LAVORAZIONI!G606</f>
        <v/>
      </c>
      <c r="B100" s="80">
        <f>LAVORAZIONI!A606</f>
        <v/>
      </c>
      <c r="C100" s="80">
        <f>LAVORAZIONI!K606</f>
        <v/>
      </c>
      <c r="D100" s="79">
        <f>LAVORAZIONI!M606</f>
        <v/>
      </c>
      <c r="E100" s="81">
        <f>LAVORAZIONI!N606</f>
        <v/>
      </c>
      <c r="F100" s="81">
        <f>LAVORAZIONI!O606</f>
        <v/>
      </c>
      <c r="G100" s="82">
        <f>LAVORAZIONI!P606</f>
        <v/>
      </c>
      <c r="H100" s="83">
        <f>LAVORAZIONI!W606</f>
        <v/>
      </c>
      <c r="I100" s="82">
        <f>LAVORAZIONI!X606</f>
        <v/>
      </c>
    </row>
    <row r="101">
      <c r="A101" s="79">
        <f>LAVORAZIONI!G607</f>
        <v/>
      </c>
      <c r="B101" s="80">
        <f>LAVORAZIONI!A607</f>
        <v/>
      </c>
      <c r="C101" s="80">
        <f>LAVORAZIONI!K607</f>
        <v/>
      </c>
      <c r="D101" s="79">
        <f>LAVORAZIONI!M607</f>
        <v/>
      </c>
      <c r="E101" s="81">
        <f>LAVORAZIONI!N607</f>
        <v/>
      </c>
      <c r="F101" s="81">
        <f>LAVORAZIONI!O607</f>
        <v/>
      </c>
      <c r="G101" s="82">
        <f>LAVORAZIONI!P607</f>
        <v/>
      </c>
      <c r="H101" s="83">
        <f>LAVORAZIONI!W607</f>
        <v/>
      </c>
      <c r="I101" s="82">
        <f>LAVORAZIONI!X607</f>
        <v/>
      </c>
    </row>
    <row r="102">
      <c r="A102" s="79">
        <f>LAVORAZIONI!G608</f>
        <v/>
      </c>
      <c r="B102" s="80">
        <f>LAVORAZIONI!A608</f>
        <v/>
      </c>
      <c r="C102" s="80">
        <f>LAVORAZIONI!K608</f>
        <v/>
      </c>
      <c r="D102" s="79">
        <f>LAVORAZIONI!M608</f>
        <v/>
      </c>
      <c r="E102" s="81">
        <f>LAVORAZIONI!N608</f>
        <v/>
      </c>
      <c r="F102" s="81">
        <f>LAVORAZIONI!O608</f>
        <v/>
      </c>
      <c r="G102" s="82">
        <f>LAVORAZIONI!P608</f>
        <v/>
      </c>
      <c r="H102" s="83">
        <f>LAVORAZIONI!W608</f>
        <v/>
      </c>
      <c r="I102" s="82">
        <f>LAVORAZIONI!X608</f>
        <v/>
      </c>
    </row>
    <row r="103">
      <c r="A103" s="61" t="n"/>
      <c r="B103" s="62" t="n"/>
      <c r="C103" s="62" t="n"/>
      <c r="D103" s="62" t="n"/>
      <c r="E103" s="62" t="n"/>
      <c r="F103" s="62" t="n"/>
      <c r="G103" s="62" t="n"/>
      <c r="H103" s="62" t="n"/>
      <c r="I103" s="63">
        <f>SUM(I5:I102)</f>
        <v/>
      </c>
    </row>
  </sheetData>
  <mergeCells count="4">
    <mergeCell ref="A1:I1"/>
    <mergeCell ref="A3:I3"/>
    <mergeCell ref="A2:I2"/>
    <mergeCell ref="A103:H103"/>
  </mergeCells>
  <pageMargins left="0.5" right="0.5" top="1" bottom="0.8" header="0.4" footer="0.4"/>
  <pageSetup orientation="landscape" paperSize="9" fitToHeight="0" fitToWidth="1"/>
  <headerFooter>
    <oddHeader>&amp;L&amp;"Calibri,Italic"&amp;9Nuovo stabilimento radiofarmaceutico LENA - Pavia (PV)&amp;C&amp;"Calibri,Bold"&amp;13Maggio - Elettriche Speciali&amp;R&amp;"Calibri"&amp;9&amp;D</oddHeader>
    <oddFooter>&amp;C&amp;"Calibri"&amp;9Pagina &amp;P di &amp;N</oddFooter>
    <evenHeader>&amp;L&amp;"Calibri,Italic"&amp;9Nuovo stabilimento radiofarmaceutico LENA - Pavia (PV)&amp;C&amp;"Calibri,Bold"&amp;13Maggio - Elettriche Speciali</evenHeader>
    <evenFooter>&amp;C&amp;"Calibri"&amp;9Pagina &amp;P di &amp;N</evenFooter>
    <firstHeader/>
    <firstFooter/>
  </headerFooter>
</worksheet>
</file>

<file path=xl/worksheets/sheet22.xml><?xml version="1.0" encoding="utf-8"?>
<worksheet xmlns="http://schemas.openxmlformats.org/spreadsheetml/2006/main">
  <sheetPr>
    <outlinePr summaryBelow="1" summaryRight="1"/>
    <pageSetUpPr fitToPage="1"/>
  </sheetPr>
  <dimension ref="A1:F20"/>
  <sheetViews>
    <sheetView workbookViewId="0">
      <selection activeCell="A1" sqref="A1"/>
    </sheetView>
  </sheetViews>
  <sheetFormatPr baseColWidth="8" defaultRowHeight="15"/>
  <cols>
    <col width="24" customWidth="1" style="46" min="1" max="1"/>
    <col width="26" customWidth="1" style="46" min="2" max="2"/>
    <col width="13" customWidth="1" style="46" min="3" max="3"/>
    <col width="11" customWidth="1" style="46" min="4" max="4"/>
    <col width="11" customWidth="1" style="46" min="5" max="5"/>
    <col width="46" customWidth="1" style="46" min="6" max="6"/>
  </cols>
  <sheetData>
    <row r="1">
      <c r="A1" s="66" t="inlineStr">
        <is>
          <t>FOGLIO DI CONTROLLO — ANOMALIE RILEVATE E CORRETTE</t>
        </is>
      </c>
    </row>
    <row r="2">
      <c r="A2" s="67" t="inlineStr">
        <is>
          <t>Confronto SAL (Aprile/Maggio) con il computo di riferimento Rizzo — sezione OPERE EDILI</t>
        </is>
      </c>
    </row>
    <row r="4">
      <c r="A4" s="74" t="inlineStr">
        <is>
          <t>VOCE / RIFERIMENTO</t>
        </is>
      </c>
      <c r="B4" s="74" t="inlineStr">
        <is>
          <t>DESCRIZIONE</t>
        </is>
      </c>
      <c r="C4" s="74" t="inlineStr">
        <is>
          <t>IMPORTO €</t>
        </is>
      </c>
      <c r="D4" s="74" t="inlineStr">
        <is>
          <t>% MAG. PRIMA</t>
        </is>
      </c>
      <c r="E4" s="74" t="inlineStr">
        <is>
          <t>% MAG. DOPO</t>
        </is>
      </c>
      <c r="F4" s="74" t="inlineStr">
        <is>
          <t>NOTA / CAUSA</t>
        </is>
      </c>
    </row>
    <row r="5" ht="95" customHeight="1" s="46">
      <c r="A5" s="75" t="inlineStr">
        <is>
          <t>LAVORAZIONI riga 88
Cod. C02.025.015.B
(Rizzo EDILE ord.166,
2ª sotto-voce)</t>
        </is>
      </c>
      <c r="B5" s="75" t="inlineStr">
        <is>
          <t>Variante vasca piccola - serbatoio</t>
        </is>
      </c>
      <c r="C5" s="75" t="inlineStr">
        <is>
          <t>9.602,51</t>
        </is>
      </c>
      <c r="D5" s="75" t="inlineStr">
        <is>
          <t>0% (mancante)</t>
        </is>
      </c>
      <c r="E5" s="75" t="inlineStr">
        <is>
          <t>75%</t>
        </is>
      </c>
      <c r="F5" s="75" t="inlineStr">
        <is>
          <t>ERRORE PRINCIPALE. Nel Rizzo la voce ord.166 contiene 3 righe SOMMANO (sotto-voci con tariffe diverse). Il collegamento per numero d'ordine aveva agganciato solo la voce base, lasciando a 0 questa sotto-voce attivata al 75% a maggio. Corretto: cella W88=0,75. Effetto: +7.201,88 € sul SAL maggio opere edili.</t>
        </is>
      </c>
    </row>
    <row r="6" ht="95" customHeight="1" s="46">
      <c r="A6" s="75" t="inlineStr">
        <is>
          <t>Sezione EDILE
(col. P - importi)
168 righe</t>
        </is>
      </c>
      <c r="B6" s="75" t="inlineStr">
        <is>
          <t>Allineamento importi al computo Rizzo</t>
        </is>
      </c>
      <c r="C6" s="75" t="inlineStr">
        <is>
          <t>—</t>
        </is>
      </c>
      <c r="D6" s="75" t="inlineStr">
        <is>
          <t>—</t>
        </is>
      </c>
      <c r="E6" s="75" t="inlineStr">
        <is>
          <t>—</t>
        </is>
      </c>
      <c r="F6" s="75" t="inlineStr">
        <is>
          <t>Gli importi del file erano arrotondati al centesimo (P=arrotonda(N×O)), con uno scarto di +0,02 € rispetto al Rizzo (precisione piena). Importi EDILE allineati ai valori del Rizzo per garantire la quadratura esatta. Allinea al Rizzo anche preventivo (1.728.733,48 €) e SAL aprile (507.191,50 €).</t>
        </is>
      </c>
    </row>
    <row r="8">
      <c r="A8" s="70" t="inlineStr">
        <is>
          <t>VERIFICHE EFFETTUATE</t>
        </is>
      </c>
    </row>
    <row r="9">
      <c r="A9" s="76" t="inlineStr">
        <is>
          <t>• Confronto voce per voce EDILE: file vs Rizzo (tutte le 168 righe SOMMANO).</t>
        </is>
      </c>
    </row>
    <row r="10">
      <c r="A10" s="76" t="inlineStr">
        <is>
          <t>• Unico errore reale di rendicontazione: riga 88 (sotto-voce variante vasca). Corretto.</t>
        </is>
      </c>
    </row>
    <row r="11">
      <c r="A11" s="76" t="inlineStr">
        <is>
          <t>• Voce RM.06.10.40.D0000 (riga 89, variante vasca - griglia): 0% a maggio nel Rizzo -&gt; lasciata a 0.</t>
        </is>
      </c>
    </row>
    <row r="12">
      <c r="A12" s="76" t="inlineStr">
        <is>
          <t>• Meccaniche ed Elettriche: corrispondenza 1:1 ordine/voce, nessuna anomalia (totali invariati).</t>
        </is>
      </c>
    </row>
    <row r="13">
      <c r="A13" s="76" t="inlineStr">
        <is>
          <t>• Formule, intestazioni e logiche di calcolo invariate. Modificati solo: W88 e gli importi EDILE (allineati al Rizzo).</t>
        </is>
      </c>
    </row>
    <row r="14">
      <c r="A14" s="76" t="inlineStr">
        <is>
          <t>• Nessuna cella con errore #RIF!/#REF.</t>
        </is>
      </c>
    </row>
    <row r="16">
      <c r="A16" s="70" t="inlineStr">
        <is>
          <t>QUADRATURA — OPERE EDILI + OPERE EDILI SPECIALI (SAL 02 MAGGIO)</t>
        </is>
      </c>
    </row>
    <row r="17">
      <c r="A17" s="77" t="inlineStr">
        <is>
          <t>PRIMA della correzione</t>
        </is>
      </c>
      <c r="E17" s="73" t="inlineStr">
        <is>
          <t>623.020,29 €</t>
        </is>
      </c>
    </row>
    <row r="18">
      <c r="A18" s="77" t="inlineStr">
        <is>
          <t>DOPO la correzione (EDILI 467.002,91 + EDILI SPECIALI 163.219,25)</t>
        </is>
      </c>
      <c r="E18" s="73" t="inlineStr">
        <is>
          <t>630.222,16 €</t>
        </is>
      </c>
    </row>
    <row r="19">
      <c r="A19" s="77" t="inlineStr">
        <is>
          <t>Valore atteso (file Rizzo)</t>
        </is>
      </c>
      <c r="E19" s="73" t="inlineStr">
        <is>
          <t>630.222,16 €</t>
        </is>
      </c>
    </row>
    <row r="20">
      <c r="A20" s="77" t="inlineStr">
        <is>
          <t>Differenza residua</t>
        </is>
      </c>
      <c r="E20" s="73" t="inlineStr">
        <is>
          <t>0,00 €</t>
        </is>
      </c>
    </row>
  </sheetData>
  <mergeCells count="16">
    <mergeCell ref="A2:F2"/>
    <mergeCell ref="A11:F11"/>
    <mergeCell ref="A18:D18"/>
    <mergeCell ref="A10:F10"/>
    <mergeCell ref="A17:D17"/>
    <mergeCell ref="E20:F20"/>
    <mergeCell ref="A13:F13"/>
    <mergeCell ref="A14:F14"/>
    <mergeCell ref="A1:F1"/>
    <mergeCell ref="E19:F19"/>
    <mergeCell ref="A9:F9"/>
    <mergeCell ref="A20:D20"/>
    <mergeCell ref="A12:F12"/>
    <mergeCell ref="A19:D19"/>
    <mergeCell ref="E17:F17"/>
    <mergeCell ref="E18:F18"/>
  </mergeCells>
  <pageMargins left="0.5" right="0.5" top="0.9" bottom="0.7" header="0.3" footer="0.3"/>
  <pageSetup orientation="landscape" paperSize="9" fitToHeight="0" fitToWidth="1"/>
  <headerFooter>
    <oddHeader>&amp;C&amp;"Calibri,Bold"&amp;12 CONTROLLO</oddHeader>
    <oddFooter>&amp;C&amp;"Calibri"&amp;9 Pagina &amp;P di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2026-05-07T20:48:12Z</dcterms:created>
  <dcterms:modified xsi:type="dcterms:W3CDTF">2026-06-04T07:01:07Z</dcterms:modified>
  <cp:lastModifiedBy>Stefano Rampoldi</cp:lastModifiedBy>
  <cp:revision>0</cp:revision>
  <cp:lastPrinted>2026-06-03T13:36:31Z</cp:lastPrinted>
</cp:coreProperties>
</file>