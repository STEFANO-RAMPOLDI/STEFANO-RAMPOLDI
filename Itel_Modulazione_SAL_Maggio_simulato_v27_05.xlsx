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600" windowWidth="40960" windowHeight="25000" tabRatio="500" firstSheet="0" activeTab="7" autoFilterDateGrouping="1"/>
  </bookViews>
  <sheets>
    <sheet name="LAVORAZIONI" sheetId="1" state="visible" r:id="rId1"/>
    <sheet name="EDILI" sheetId="2" state="visible" r:id="rId2"/>
    <sheet name="EDILI SPECIALI" sheetId="3" state="visible" r:id="rId3"/>
    <sheet name="MECCANICHE" sheetId="4" state="visible" r:id="rId4"/>
    <sheet name="MECCANICHE SPECIALI" sheetId="5" state="visible" r:id="rId5"/>
    <sheet name="ELETTRICHE" sheetId="6" state="visible" r:id="rId6"/>
    <sheet name="ELETTRICHE SPECIALI" sheetId="7" state="visible" r:id="rId7"/>
    <sheet name="SICUREZZA" sheetId="8" state="visible" r:id="rId8"/>
    <sheet name="TOTALE" sheetId="9" state="visible" r:id="rId9"/>
  </sheets>
  <definedNames>
    <definedName name="_xlnm._FilterDatabase" localSheetId="0" hidden="1">'LAVORAZIONI'!$A$2:$AJ$608</definedName>
    <definedName name="_xlnm._FilterDatabase" localSheetId="1" hidden="1">'EDILI'!$B$2:$M$3</definedName>
    <definedName name="_xlnm.Print_Titles" localSheetId="1">'EDILI'!$3:$3</definedName>
    <definedName name="_xlnm.Print_Area" localSheetId="1">'EDILI'!$B$2:$P$126</definedName>
    <definedName name="_xlnm.Print_Titles" localSheetId="3">'MECCANICHE'!$2:$2</definedName>
    <definedName name="_xlnm.Print_Area" localSheetId="3">'MECCANICHE'!$B$1:$P$89</definedName>
    <definedName name="_xlnm.Print_Area" localSheetId="4">'MECCANICHE SPECIALI'!$B$2:$P$146</definedName>
    <definedName name="_xlnm._FilterDatabase" localSheetId="5" hidden="1">'ELETTRICHE'!$B$4:$AD$118</definedName>
    <definedName name="_xlnm.Print_Titles" localSheetId="5">'ELETTRICHE'!$3:$3</definedName>
    <definedName name="_xlnm.Print_Area" localSheetId="5">'ELETTRICHE'!$B$2:$P$118</definedName>
    <definedName name="_xlnm.Print_Titles" localSheetId="6">'ELETTRICHE SPECIALI'!$3:$3</definedName>
    <definedName name="_xlnm.Print_Area" localSheetId="6">'ELETTRICHE SPECIALI'!$B$2:$P$103</definedName>
    <definedName name="_xlnm.Print_Area" localSheetId="7">'SICUREZZA'!$B$2:$J$5</definedName>
  </definedNames>
  <calcPr calcId="191029" fullCalcOnLoad="1"/>
</workbook>
</file>

<file path=xl/styles.xml><?xml version="1.0" encoding="utf-8"?>
<styleSheet xmlns="http://schemas.openxmlformats.org/spreadsheetml/2006/main">
  <numFmts count="2">
    <numFmt numFmtId="164" formatCode="#,##0.00&quot; €&quot;"/>
    <numFmt numFmtId="165" formatCode="0.0%"/>
  </numFmts>
  <fonts count="9">
    <font>
      <name val="Calibri"/>
      <charset val="1"/>
      <family val="2"/>
      <color theme="1"/>
      <sz val="11"/>
    </font>
    <font>
      <name val="Calibri"/>
      <family val="2"/>
      <b val="1"/>
      <color rgb="FF000000"/>
      <sz val="14"/>
    </font>
    <font>
      <name val="Calibri"/>
      <family val="2"/>
      <b val="1"/>
      <color rgb="FF000000"/>
      <sz val="10"/>
    </font>
    <font>
      <name val="Calibri"/>
      <family val="2"/>
      <b val="1"/>
      <color rgb="FF000000"/>
      <sz val="9"/>
    </font>
    <font>
      <name val="Calibri"/>
      <family val="2"/>
      <color rgb="FF000000"/>
      <sz val="9"/>
    </font>
    <font>
      <name val="Calibri"/>
      <family val="2"/>
      <color rgb="FF000000"/>
      <sz val="10"/>
    </font>
    <font>
      <name val="Calibri"/>
      <family val="2"/>
      <b val="1"/>
      <color rgb="FF000000"/>
      <sz val="12"/>
    </font>
    <font>
      <name val="Calibri"/>
      <family val="2"/>
      <b val="1"/>
      <color rgb="FF000000"/>
      <sz val="8"/>
    </font>
    <font>
      <name val="Calibri"/>
      <family val="2"/>
      <b val="1"/>
      <color rgb="FF000000"/>
      <sz val="11"/>
    </font>
  </fonts>
  <fills count="5">
    <fill>
      <patternFill/>
    </fill>
    <fill>
      <patternFill patternType="gray125"/>
    </fill>
    <fill>
      <patternFill patternType="solid">
        <fgColor rgb="FFFFFFFF"/>
        <bgColor rgb="FFFFFFCC"/>
      </patternFill>
    </fill>
    <fill>
      <patternFill patternType="solid">
        <fgColor rgb="FFFFC000"/>
        <bgColor rgb="FFFFFFCC"/>
      </patternFill>
    </fill>
    <fill>
      <patternFill patternType="solid">
        <fgColor theme="9" tint="0.3999755851924192"/>
        <bgColor rgb="FFFFFFCC"/>
      </patternFill>
    </fill>
  </fills>
  <borders count="11">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top/>
      <bottom style="thin">
        <color auto="1"/>
      </bottom>
      <diagonal/>
    </border>
    <border>
      <left/>
      <right/>
      <top style="thin">
        <color auto="1"/>
      </top>
      <bottom/>
      <diagonal/>
    </border>
    <border>
      <left/>
      <right style="thin">
        <color auto="1"/>
      </right>
      <top style="thin">
        <color auto="1"/>
      </top>
      <bottom/>
      <diagonal/>
    </border>
    <border>
      <left style="thin">
        <color auto="1"/>
      </left>
      <right/>
      <top/>
      <bottom/>
      <diagonal/>
    </border>
    <border>
      <left style="thin">
        <color auto="1"/>
      </left>
      <right style="thin">
        <color auto="1"/>
      </right>
      <top/>
      <bottom style="thin">
        <color auto="1"/>
      </bottom>
      <diagonal/>
    </border>
  </borders>
  <cellStyleXfs count="1">
    <xf numFmtId="0" fontId="0" fillId="0" borderId="0"/>
  </cellStyleXfs>
  <cellXfs count="46">
    <xf numFmtId="0" fontId="0" fillId="0" borderId="0" pivotButton="0" quotePrefix="0" xfId="0"/>
    <xf numFmtId="0" fontId="3" fillId="2" borderId="1" applyAlignment="1" pivotButton="0" quotePrefix="0" xfId="0">
      <alignment horizontal="center" vertical="center" wrapText="1"/>
    </xf>
    <xf numFmtId="0" fontId="2" fillId="2" borderId="1" applyAlignment="1" pivotButton="0" quotePrefix="0" xfId="0">
      <alignment horizontal="center" vertical="center" wrapText="1"/>
    </xf>
    <xf numFmtId="0" fontId="4" fillId="2" borderId="1" applyAlignment="1" pivotButton="0" quotePrefix="0" xfId="0">
      <alignment horizontal="left" vertical="top" wrapText="1"/>
    </xf>
    <xf numFmtId="0" fontId="4" fillId="2" borderId="1" applyAlignment="1" pivotButton="0" quotePrefix="0" xfId="0">
      <alignment horizontal="center" vertical="top" wrapText="1"/>
    </xf>
    <xf numFmtId="4" fontId="4" fillId="2" borderId="1" applyAlignment="1" pivotButton="0" quotePrefix="0" xfId="0">
      <alignment horizontal="right" vertical="top" wrapText="1"/>
    </xf>
    <xf numFmtId="164" fontId="4" fillId="2" borderId="1" applyAlignment="1" pivotButton="0" quotePrefix="0" xfId="0">
      <alignment horizontal="right" vertical="top" wrapText="1"/>
    </xf>
    <xf numFmtId="165" fontId="4" fillId="2" borderId="1" applyAlignment="1" pivotButton="0" quotePrefix="0" xfId="0">
      <alignment horizontal="right" vertical="top" wrapText="1"/>
    </xf>
    <xf numFmtId="0" fontId="6" fillId="2" borderId="1" applyAlignment="1" pivotButton="0" quotePrefix="0" xfId="0">
      <alignment horizontal="left" vertical="center" wrapText="1"/>
    </xf>
    <xf numFmtId="164" fontId="5" fillId="2" borderId="1" applyAlignment="1" pivotButton="0" quotePrefix="0" xfId="0">
      <alignment horizontal="right" vertical="top" wrapText="1"/>
    </xf>
    <xf numFmtId="164" fontId="2" fillId="2" borderId="1" applyAlignment="1" pivotButton="0" quotePrefix="0" xfId="0">
      <alignment horizontal="right" vertical="center" wrapText="1"/>
    </xf>
    <xf numFmtId="0" fontId="2" fillId="2" borderId="1" applyAlignment="1" pivotButton="0" quotePrefix="0" xfId="0">
      <alignment horizontal="left" vertical="center" wrapText="1"/>
    </xf>
    <xf numFmtId="0" fontId="7" fillId="2" borderId="1" applyAlignment="1" pivotButton="0" quotePrefix="0" xfId="0">
      <alignment horizontal="center" vertical="center" wrapText="1"/>
    </xf>
    <xf numFmtId="164" fontId="3" fillId="2" borderId="1" applyAlignment="1" pivotButton="0" quotePrefix="0" xfId="0">
      <alignment horizontal="right" vertical="center" wrapText="1"/>
    </xf>
    <xf numFmtId="0" fontId="8" fillId="2" borderId="1" applyAlignment="1" pivotButton="0" quotePrefix="0" xfId="0">
      <alignment horizontal="right" vertical="center" wrapText="1"/>
    </xf>
    <xf numFmtId="0" fontId="8" fillId="2" borderId="1" applyAlignment="1" pivotButton="0" quotePrefix="0" xfId="0">
      <alignment horizontal="left" vertical="center" wrapText="1"/>
    </xf>
    <xf numFmtId="165" fontId="2" fillId="2" borderId="1" applyAlignment="1" pivotButton="0" quotePrefix="0" xfId="0">
      <alignment horizontal="right" vertical="center" wrapText="1"/>
    </xf>
    <xf numFmtId="164" fontId="4" fillId="3" borderId="1" applyAlignment="1" pivotButton="0" quotePrefix="0" xfId="0">
      <alignment horizontal="right" vertical="top" wrapText="1"/>
    </xf>
    <xf numFmtId="4" fontId="4" fillId="3" borderId="1" applyAlignment="1" pivotButton="0" quotePrefix="0" xfId="0">
      <alignment horizontal="right" vertical="top" wrapText="1"/>
    </xf>
    <xf numFmtId="165" fontId="4" fillId="2" borderId="2" applyAlignment="1" pivotButton="0" quotePrefix="0" xfId="0">
      <alignment horizontal="right" vertical="top" wrapText="1"/>
    </xf>
    <xf numFmtId="0" fontId="0" fillId="0" borderId="3" pivotButton="0" quotePrefix="0" xfId="0"/>
    <xf numFmtId="0" fontId="0" fillId="0" borderId="0" applyAlignment="1" pivotButton="0" quotePrefix="0" xfId="0">
      <alignment wrapText="1"/>
    </xf>
    <xf numFmtId="0" fontId="0" fillId="0" borderId="3" applyAlignment="1" pivotButton="0" quotePrefix="0" xfId="0">
      <alignment wrapText="1"/>
    </xf>
    <xf numFmtId="0" fontId="1" fillId="2" borderId="3" applyAlignment="1" pivotButton="0" quotePrefix="0" xfId="0">
      <alignment vertical="center" wrapText="1"/>
    </xf>
    <xf numFmtId="0" fontId="1" fillId="2" borderId="4" applyAlignment="1" pivotButton="0" quotePrefix="0" xfId="0">
      <alignment vertical="center" wrapText="1"/>
    </xf>
    <xf numFmtId="0" fontId="1" fillId="2" borderId="6" applyAlignment="1" pivotButton="0" quotePrefix="0" xfId="0">
      <alignment vertical="center" wrapText="1"/>
    </xf>
    <xf numFmtId="0" fontId="3" fillId="2" borderId="1" applyAlignment="1" pivotButton="0" quotePrefix="0" xfId="0">
      <alignment horizontal="center" vertical="center" wrapText="1"/>
    </xf>
    <xf numFmtId="0" fontId="1" fillId="2" borderId="1" applyAlignment="1" pivotButton="0" quotePrefix="0" xfId="0">
      <alignment horizontal="left" vertical="center" wrapText="1"/>
    </xf>
    <xf numFmtId="0" fontId="3" fillId="4" borderId="1" applyAlignment="1" pivotButton="0" quotePrefix="0" xfId="0">
      <alignment horizontal="center" vertical="center" wrapText="1"/>
    </xf>
    <xf numFmtId="0" fontId="2" fillId="2" borderId="1" applyAlignment="1" pivotButton="0" quotePrefix="0" xfId="0">
      <alignment horizontal="center" vertical="center" wrapText="1"/>
    </xf>
    <xf numFmtId="0" fontId="1" fillId="2" borderId="4" applyAlignment="1" pivotButton="0" quotePrefix="0" xfId="0">
      <alignment horizontal="left" vertical="center" wrapText="1"/>
    </xf>
    <xf numFmtId="0" fontId="1" fillId="2" borderId="5" applyAlignment="1" pivotButton="0" quotePrefix="0" xfId="0">
      <alignment horizontal="left" vertical="center" wrapText="1"/>
    </xf>
    <xf numFmtId="0" fontId="1" fillId="2" borderId="3" applyAlignment="1" pivotButton="0" quotePrefix="0" xfId="0">
      <alignment horizontal="left" vertical="center" wrapText="1"/>
    </xf>
    <xf numFmtId="0" fontId="1" fillId="2" borderId="4" applyAlignment="1" pivotButton="0" quotePrefix="0" xfId="0">
      <alignment horizontal="center" vertical="center" wrapText="1"/>
    </xf>
    <xf numFmtId="0" fontId="1" fillId="2" borderId="5" applyAlignment="1" pivotButton="0" quotePrefix="0" xfId="0">
      <alignment horizontal="center" vertical="center" wrapText="1"/>
    </xf>
    <xf numFmtId="0" fontId="0" fillId="0" borderId="0" pivotButton="0" quotePrefix="0" xfId="0"/>
    <xf numFmtId="0" fontId="7" fillId="0" borderId="1" applyAlignment="1" pivotButton="0" quotePrefix="0" xfId="0">
      <alignment horizontal="center" vertical="center" wrapText="1"/>
    </xf>
    <xf numFmtId="164" fontId="4" fillId="0" borderId="1" applyAlignment="1" pivotButton="0" quotePrefix="0" xfId="0">
      <alignment horizontal="right" vertical="top" wrapText="1"/>
    </xf>
    <xf numFmtId="164" fontId="2" fillId="0" borderId="1" applyAlignment="1" pivotButton="0" quotePrefix="0" xfId="0">
      <alignment horizontal="right" vertical="center" wrapText="1"/>
    </xf>
    <xf numFmtId="0" fontId="0" fillId="0" borderId="0" applyAlignment="1" pivotButton="0" quotePrefix="0" xfId="0">
      <alignment wrapText="1"/>
    </xf>
    <xf numFmtId="4" fontId="0" fillId="0" borderId="0" pivotButton="0" quotePrefix="0" xfId="0"/>
    <xf numFmtId="0" fontId="3" fillId="4" borderId="4" applyAlignment="1" pivotButton="0" quotePrefix="0" xfId="0">
      <alignment horizontal="center" vertical="center" wrapText="1"/>
    </xf>
    <xf numFmtId="0" fontId="3" fillId="4" borderId="3" applyAlignment="1" pivotButton="0" quotePrefix="0" xfId="0">
      <alignment horizontal="center" vertical="center" wrapText="1"/>
    </xf>
    <xf numFmtId="0" fontId="1" fillId="0" borderId="6" applyAlignment="1" pivotButton="0" quotePrefix="0" xfId="0">
      <alignment vertical="center" wrapText="1"/>
    </xf>
    <xf numFmtId="0" fontId="0" fillId="0" borderId="5" pivotButton="0" quotePrefix="0" xfId="0"/>
    <xf numFmtId="0" fontId="0" fillId="0" borderId="10" pivotButton="0" quotePrefix="0" xfId="0"/>
  </cellXfs>
  <cellStyles count="1">
    <cellStyle name="Normale" xfId="0" builtinId="0"/>
  </cellStyles>
  <dxfs count="2">
    <dxf>
      <font>
        <b val="1"/>
        <color rgb="FF00B050"/>
      </font>
    </dxf>
    <dxf>
      <font>
        <b val="1"/>
        <color rgb="FFC00000"/>
      </font>
    </dxf>
  </dxfs>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00B050"/>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sheetPr>
    <tabColor rgb="FFC00000"/>
    <outlinePr summaryBelow="1" summaryRight="1"/>
    <pageSetUpPr/>
  </sheetPr>
  <dimension ref="A1:AJ609"/>
  <sheetViews>
    <sheetView topLeftCell="G1" zoomScaleNormal="100" workbookViewId="0">
      <pane ySplit="3" topLeftCell="A605" activePane="bottomLeft" state="frozen"/>
      <selection pane="bottomLeft" activeCell="K607" sqref="K607"/>
    </sheetView>
  </sheetViews>
  <sheetFormatPr baseColWidth="10" defaultColWidth="8.6640625" defaultRowHeight="15"/>
  <cols>
    <col width="22" customWidth="1" style="35" min="1" max="1"/>
    <col width="11" customWidth="1" style="35" min="2" max="2"/>
    <col width="16" customWidth="1" style="35" min="3" max="3"/>
    <col width="12" customWidth="1" style="35" min="4" max="4"/>
    <col width="18" customWidth="1" style="35" min="5" max="5"/>
    <col width="28" customWidth="1" style="35" min="6" max="6"/>
    <col width="9" customWidth="1" style="35" min="7" max="7"/>
    <col width="18" customWidth="1" style="35" min="8" max="8"/>
    <col width="22" customWidth="1" style="35" min="9" max="9"/>
    <col width="28" customWidth="1" style="35" min="10" max="10"/>
    <col width="42" customWidth="1" style="35" min="11" max="11"/>
    <col width="50" customWidth="1" style="35" min="12" max="12"/>
    <col width="8" customWidth="1" style="35" min="13" max="13"/>
    <col width="12" customWidth="1" style="35" min="14" max="14"/>
    <col width="14" customWidth="1" style="35" min="15" max="16"/>
    <col hidden="1" width="13" customWidth="1" style="35" min="17" max="17"/>
    <col hidden="1" width="14" customWidth="1" style="35" min="18" max="19"/>
    <col width="14" customWidth="1" style="35" min="20" max="20"/>
    <col width="7" customWidth="1" style="35" min="21" max="21"/>
    <col width="14" customWidth="1" style="35" min="22" max="22"/>
    <col width="7" customWidth="1" style="35" min="23" max="23"/>
    <col width="14" customWidth="1" style="35" min="24" max="24"/>
    <col width="7" customWidth="1" style="35" min="25" max="25"/>
    <col width="14" customWidth="1" style="35" min="26" max="26"/>
    <col width="7" customWidth="1" style="35" min="27" max="27"/>
    <col width="14" customWidth="1" style="35" min="28" max="28"/>
    <col width="7" customWidth="1" style="35" min="29" max="29"/>
    <col width="14" customWidth="1" style="35" min="30" max="30"/>
    <col width="7" customWidth="1" style="35" min="31" max="31"/>
    <col width="14" customWidth="1" style="35" min="32" max="32"/>
    <col width="7" customWidth="1" style="35" min="33" max="33"/>
    <col width="14" customWidth="1" style="35" min="34" max="34"/>
    <col width="7" customWidth="1" style="35" min="35" max="35"/>
    <col width="14" customWidth="1" style="35" min="36" max="36"/>
  </cols>
  <sheetData>
    <row r="1" ht="27.75" customHeight="1" s="35">
      <c r="A1" s="27" t="inlineStr">
        <is>
          <t>LAVORAZIONI — RADIOFARMACIA PAVIA — MASTER + RIPARTIZIONE % SAL</t>
        </is>
      </c>
      <c r="B1" s="44" t="n"/>
      <c r="C1" s="44" t="n"/>
      <c r="D1" s="44" t="n"/>
      <c r="E1" s="44" t="n"/>
      <c r="F1" s="44" t="n"/>
      <c r="G1" s="44" t="n"/>
      <c r="H1" s="44" t="n"/>
      <c r="I1" s="44" t="n"/>
      <c r="J1" s="44" t="n"/>
      <c r="K1" s="44" t="n"/>
      <c r="L1" s="44" t="n"/>
      <c r="M1" s="44" t="n"/>
      <c r="N1" s="44" t="n"/>
      <c r="O1" s="44" t="n"/>
      <c r="P1" s="44" t="n"/>
      <c r="Q1" s="44" t="n"/>
      <c r="R1" s="44" t="n"/>
      <c r="S1" s="44" t="n"/>
      <c r="T1" s="20" t="n"/>
    </row>
    <row r="2" ht="37.5" customHeight="1" s="35">
      <c r="A2" s="29" t="inlineStr">
        <is>
          <t>CODICE LAVORAZIONE</t>
        </is>
      </c>
      <c r="B2" s="29" t="inlineStr">
        <is>
          <t>N° OCCORRENZA</t>
        </is>
      </c>
      <c r="C2" s="29" t="inlineStr">
        <is>
          <t>MACRO AREA</t>
        </is>
      </c>
      <c r="D2" s="29" t="inlineStr">
        <is>
          <t>TIPOLOGIA IMPIANTO</t>
        </is>
      </c>
      <c r="E2" s="29" t="inlineStr">
        <is>
          <t>CATEGORIA SAL</t>
        </is>
      </c>
      <c r="F2" s="29" t="inlineStr">
        <is>
          <t>DOCUMENTO DI PROVENIENZA</t>
        </is>
      </c>
      <c r="G2" s="29" t="inlineStr">
        <is>
          <t>N. VOCE</t>
        </is>
      </c>
      <c r="H2" s="29" t="inlineStr">
        <is>
          <t>STEP DI LAVORAZIONE</t>
        </is>
      </c>
      <c r="I2" s="29" t="inlineStr">
        <is>
          <t>AREA DI INTERVENTO</t>
        </is>
      </c>
      <c r="J2" s="29" t="inlineStr">
        <is>
          <t>TIPOLOGIA DI INTERVENTO</t>
        </is>
      </c>
      <c r="K2" s="29" t="inlineStr">
        <is>
          <t>DESCRIZIONE</t>
        </is>
      </c>
      <c r="L2" s="29" t="inlineStr">
        <is>
          <t>DETTAGLI TECNICI</t>
        </is>
      </c>
      <c r="M2" s="29" t="inlineStr">
        <is>
          <t>U.M.</t>
        </is>
      </c>
      <c r="N2" s="29" t="inlineStr">
        <is>
          <t>QUANTITÀ EDITEL</t>
        </is>
      </c>
      <c r="O2" s="29" t="inlineStr">
        <is>
          <t>VALORE UNITARIO EDITEL</t>
        </is>
      </c>
      <c r="P2" s="29" t="inlineStr">
        <is>
          <t>TOTALE EDITEL</t>
        </is>
      </c>
      <c r="Q2" s="29" t="inlineStr">
        <is>
          <t>QUANTITÀ EDITEL CONSUNTIVATA</t>
        </is>
      </c>
      <c r="R2" s="29" t="inlineStr">
        <is>
          <t>VALORE UNITARIO EDITEL CONSUNTIVATO</t>
        </is>
      </c>
      <c r="S2" s="29" t="inlineStr">
        <is>
          <t>TOTALE EDITEL CONSUNTIVATO</t>
        </is>
      </c>
      <c r="T2" s="29" t="inlineStr">
        <is>
          <t>VALORE PER SAL</t>
        </is>
      </c>
      <c r="U2" s="29" t="inlineStr">
        <is>
          <t>SAL 01
APRILE 2026</t>
        </is>
      </c>
      <c r="V2" s="20" t="n"/>
      <c r="W2" s="29" t="inlineStr">
        <is>
          <t>SAL 02
MAGGIO 2026</t>
        </is>
      </c>
      <c r="X2" s="20" t="n"/>
      <c r="Y2" s="29" t="inlineStr">
        <is>
          <t>SAL 03
GIUGNO 2026</t>
        </is>
      </c>
      <c r="Z2" s="20" t="n"/>
      <c r="AA2" s="29" t="inlineStr">
        <is>
          <t>SAL 04
LUGLIO 2026</t>
        </is>
      </c>
      <c r="AB2" s="20" t="n"/>
      <c r="AC2" s="29" t="inlineStr">
        <is>
          <t>SAL 05
AGOSTO 2026</t>
        </is>
      </c>
      <c r="AD2" s="20" t="n"/>
      <c r="AE2" s="29" t="inlineStr">
        <is>
          <t>SAL 06
SETTEMBRE 2026</t>
        </is>
      </c>
      <c r="AF2" s="20" t="n"/>
      <c r="AG2" s="29" t="inlineStr">
        <is>
          <t>SAL 07
OTTOBRE 2026</t>
        </is>
      </c>
      <c r="AH2" s="20" t="n"/>
      <c r="AI2" s="29" t="inlineStr">
        <is>
          <t>TOTALE COMPLESSIVO
AVANZAMENTO</t>
        </is>
      </c>
      <c r="AJ2" s="20" t="n"/>
    </row>
    <row r="3" ht="21.75" customHeight="1" s="35">
      <c r="A3" s="45" t="n"/>
      <c r="B3" s="45" t="n"/>
      <c r="C3" s="45" t="n"/>
      <c r="D3" s="45" t="n"/>
      <c r="E3" s="45" t="n"/>
      <c r="F3" s="45" t="n"/>
      <c r="G3" s="45" t="n"/>
      <c r="H3" s="45" t="n"/>
      <c r="I3" s="45" t="n"/>
      <c r="J3" s="45" t="n"/>
      <c r="K3" s="45" t="n"/>
      <c r="L3" s="45" t="n"/>
      <c r="M3" s="45" t="n"/>
      <c r="N3" s="45" t="n"/>
      <c r="O3" s="45" t="n"/>
      <c r="P3" s="45" t="n"/>
      <c r="Q3" s="45" t="n"/>
      <c r="R3" s="45" t="n"/>
      <c r="S3" s="45" t="n"/>
      <c r="T3" s="45" t="n"/>
      <c r="U3" s="26" t="inlineStr">
        <is>
          <t>%</t>
        </is>
      </c>
      <c r="V3" s="26" t="inlineStr">
        <is>
          <t>TOTALE</t>
        </is>
      </c>
      <c r="W3" s="26" t="inlineStr">
        <is>
          <t>%</t>
        </is>
      </c>
      <c r="X3" s="26" t="inlineStr">
        <is>
          <t>TOTALE</t>
        </is>
      </c>
      <c r="Y3" s="26" t="inlineStr">
        <is>
          <t>%</t>
        </is>
      </c>
      <c r="Z3" s="26" t="inlineStr">
        <is>
          <t>TOTALE</t>
        </is>
      </c>
      <c r="AA3" s="26" t="inlineStr">
        <is>
          <t>%</t>
        </is>
      </c>
      <c r="AB3" s="26" t="inlineStr">
        <is>
          <t>TOTALE</t>
        </is>
      </c>
      <c r="AC3" s="26" t="inlineStr">
        <is>
          <t>%</t>
        </is>
      </c>
      <c r="AD3" s="26" t="inlineStr">
        <is>
          <t>TOTALE</t>
        </is>
      </c>
      <c r="AE3" s="26" t="inlineStr">
        <is>
          <t>%</t>
        </is>
      </c>
      <c r="AF3" s="26" t="inlineStr">
        <is>
          <t>TOTALE</t>
        </is>
      </c>
      <c r="AG3" s="26" t="inlineStr">
        <is>
          <t>%</t>
        </is>
      </c>
      <c r="AH3" s="26" t="inlineStr">
        <is>
          <t>TOTALE</t>
        </is>
      </c>
      <c r="AI3" s="26" t="inlineStr">
        <is>
          <t>%</t>
        </is>
      </c>
      <c r="AJ3" s="26" t="inlineStr">
        <is>
          <t>TOTALE</t>
        </is>
      </c>
    </row>
    <row r="4" ht="60" customHeight="1" s="35">
      <c r="A4" s="3" t="inlineStr">
        <is>
          <t>LOM241.OC.EEA.C09.A6402.NA000.0000</t>
        </is>
      </c>
      <c r="B4" s="4" t="inlineStr">
        <is>
          <t>1/2</t>
        </is>
      </c>
      <c r="C4" s="3" t="inlineStr">
        <is>
          <t>EDILE</t>
        </is>
      </c>
      <c r="D4" s="4" t="inlineStr">
        <is>
          <t>NON SPECIALE</t>
        </is>
      </c>
      <c r="E4" s="4" t="inlineStr">
        <is>
          <t>EDILI</t>
        </is>
      </c>
      <c r="F4" s="3" t="inlineStr">
        <is>
          <t>1_2025.11.20_CME REV07.PDF</t>
        </is>
      </c>
      <c r="G4" s="4" t="inlineStr">
        <is>
          <t>1</t>
        </is>
      </c>
      <c r="H4" s="3" t="inlineStr">
        <is>
          <t>10 - PREPARAZIONE</t>
        </is>
      </c>
      <c r="I4" s="3" t="inlineStr">
        <is>
          <t>NUOVI LABORATORI</t>
        </is>
      </c>
      <c r="J4" s="3" t="inlineStr">
        <is>
          <t>SCAVI E MOVIMENTI TERRA</t>
        </is>
      </c>
      <c r="K4" s="3" t="inlineStr">
        <is>
          <t xml:space="preserve">OPERA: SBANCAMENTO DI TERRENO GENERICO. INCLUSO: TROVANTI ROCCIOSI/RELITTI DI MURATURE FINO A 0.750 M³. ESCLUSO: ROCCIA. </t>
        </is>
      </c>
      <c r="L4" s="3" t="inlineStr">
        <is>
          <t>OPERA: SBANCAMENTO DI TERRENO GENERICO. INCLUSO: TROVANTI ROCCIOSI/RELITTI DI MURATURE FINO A 0.750 M³. ESCLUSO: ROCCIA. 
LAVORO: SCAVO. INCLUSO: SPIANAMENTO E CONFIGURAZIONE FONDO ANCHE A GRADONI; PROFILATURA DI PARETI E SCARPATE; CARICO, TRASPORTO ED ACCATASTAMENTO MATERIALE IN CANTIERE. ESCLUSO: ARMO DI SCAVO; OPERE DI SEGNALAZIONE E PROTEZIONE. 
SPECIFICHE TECNICHE: TERRENO DI MATERIALI DI NATURA E CONSISTENZA GENERICHE TERRENO ASCIUTTO/BAGNATO/MELMOSO, PROFONDITÀ GENERICA. 
COMPONENTI: 
OP1 OPERA: SBANCAMENTO DI TERRENO GENERICO. INCLUSO: TROVANTI ROCCIOSI/RELITTI DI MURATURE FINO A 0.750 M³. ESCLUSO: ROCCIA. 
SPECIFICHE TECNICHE: TERRENO DI MATERIALI DI NATURA E CONSISTENZA GENERICHE TERRENO ASCIUTTO/BAGNATO/MELMOSO. 
RM2 TERRENO DI TERRENO GENERICO 
LV1 LAVORO: SCAVO. INCLUSO: SPIANAMENTO E CONFIGURAZIONE FONDO ANCHE A GRADONI; PROFILATURA DI PARETI E SCARPATE; CARICO, TRASPORTO ED ACCATASTAMENTO MATERIALE IN CANTIERE. ESCLUSO: ARMO DI SCAVO; OPERE DI SEGNALAZIONE E PROTEZIONE. 
SPECIFICHE TECNICHE: PROFONDITÀ GENERICA. 
RP2 ESCAVATORE CINGOLATO; POTENZA [KW] ≤ 90; PESO [T] ≤ 19 
SPECIFICHE TECNICHE: CRITERIO DI MISURAZIONE: ORE DI PRESENZA IN CANTIERE 
RP2 AUTOCARRO A CASSONE RIBALTABILE; PORTATA [T] ≤ 5,0 
SPECIFICHE TECNICHE: CRITERIO DI MISURAZIONE: ORE DI PRESENZA IN CANTIERE</t>
        </is>
      </c>
      <c r="M4" s="4" t="inlineStr">
        <is>
          <t>M³</t>
        </is>
      </c>
      <c r="N4" s="5" t="n">
        <v>440.7</v>
      </c>
      <c r="O4" s="6" t="n">
        <v>5.88</v>
      </c>
      <c r="P4" s="6" t="n">
        <v>2591.32</v>
      </c>
      <c r="Q4" s="5" t="n"/>
      <c r="R4" s="6" t="n"/>
      <c r="S4" s="6">
        <f>IF(AND(Q4&lt;&gt;"",R4&lt;&gt;""),Q4*R4,"")</f>
        <v/>
      </c>
      <c r="T4" s="6">
        <f>IF(S4="",P4,S4)</f>
        <v/>
      </c>
      <c r="U4" s="7" t="n">
        <v>1</v>
      </c>
      <c r="V4" s="6">
        <f>$T4*U4</f>
        <v/>
      </c>
      <c r="W4" s="7" t="n">
        <v>0</v>
      </c>
      <c r="X4" s="6">
        <f>$T4*W4</f>
        <v/>
      </c>
      <c r="Y4" s="7" t="n">
        <v>0</v>
      </c>
      <c r="Z4" s="6">
        <f>$T4*Y4</f>
        <v/>
      </c>
      <c r="AA4" s="7" t="n">
        <v>0</v>
      </c>
      <c r="AB4" s="6">
        <f>$T4*AA4</f>
        <v/>
      </c>
      <c r="AC4" s="7" t="n">
        <v>0</v>
      </c>
      <c r="AD4" s="6">
        <f>$T4*AC4</f>
        <v/>
      </c>
      <c r="AE4" s="7" t="n">
        <v>0</v>
      </c>
      <c r="AF4" s="6">
        <f>$T4*AE4</f>
        <v/>
      </c>
      <c r="AG4" s="7" t="n">
        <v>0</v>
      </c>
      <c r="AH4" s="6">
        <f>$T4*AG4</f>
        <v/>
      </c>
      <c r="AI4" s="7">
        <f>U4+W4+Y4+AA4+AC4+AE4+AG4</f>
        <v/>
      </c>
      <c r="AJ4" s="6">
        <f>V4+X4+Z4+AB4+AD4+AF4+AH4</f>
        <v/>
      </c>
    </row>
    <row r="5" ht="60" customHeight="1" s="35">
      <c r="A5" s="3" t="inlineStr">
        <is>
          <t>LOM241.1U.04.110.0040.B</t>
        </is>
      </c>
      <c r="B5" s="4" t="inlineStr">
        <is>
          <t>1/4</t>
        </is>
      </c>
      <c r="C5" s="3" t="inlineStr">
        <is>
          <t>EDILE</t>
        </is>
      </c>
      <c r="D5" s="4" t="inlineStr">
        <is>
          <t>NON SPECIALE</t>
        </is>
      </c>
      <c r="E5" s="4" t="inlineStr">
        <is>
          <t>EDILI</t>
        </is>
      </c>
      <c r="F5" s="3" t="inlineStr">
        <is>
          <t>1_2025.11.20_CME REV07.PDF</t>
        </is>
      </c>
      <c r="G5" s="4" t="inlineStr">
        <is>
          <t>2</t>
        </is>
      </c>
      <c r="H5" s="3" t="inlineStr">
        <is>
          <t>10 - PREPARAZIONE</t>
        </is>
      </c>
      <c r="I5" s="3" t="inlineStr">
        <is>
          <t>NUOVI LABORATORI</t>
        </is>
      </c>
      <c r="J5" s="3" t="inlineStr">
        <is>
          <t>SCAVI E MOVIMENTI TERRA</t>
        </is>
      </c>
      <c r="K5" s="3" t="inlineStr">
        <is>
          <t>COMPATTAZIONE DEL PIANO DI POSA DELLA FONDAZIONE STRADALE, NEI TRATTI IN TRINCEA, FINO A RAGGIUNGERE IN OGNI PUNTO UN VALORE DELLA DENSITÀ NON MINORE DEL 95% DI QUELLA MASSIMA DELLA PROVA AASHO MODIFI</t>
        </is>
      </c>
      <c r="L5" s="3" t="inlineStr">
        <is>
          <t>COMPATTAZIONE DEL PIANO DI POSA DELLA FONDAZIONE STRADALE, NEI TRATTI IN TRINCEA, FINO A RAGGIUNGERE IN OGNI PUNTO UN VALORE DELLA DENSITÀ NON MINORE DEL 95% DI QUELLA MASSIMA DELLA PROVA AASHO MODIFICATA, ED UN VALORE DEL MODULO DI COMPRESSIBILITÀ ME NON MINORE DI 50 N/MM², COMPRESI GLI EVENTUALI INUMIDIMENTI O ESSICAMENTI NECESSARI NEI TRATTI IN TRINCEA: - SU STRATI DI TERRENO A4, A5, A2-6, A2-7, SENZA ASPORTAZIONE O SOSTITUZIONE, MA CON EVENTUALE CORREZIONE DEI MATERIALI IN SITO PER UNA PROFONDITÀ DI CM 20, CON TERRENI ARIDI DA CONTABILIZZARE A PARTE.</t>
        </is>
      </c>
      <c r="M5" s="4" t="inlineStr">
        <is>
          <t>M²</t>
        </is>
      </c>
      <c r="N5" s="5" t="n">
        <v>992</v>
      </c>
      <c r="O5" s="6" t="n">
        <v>1.76</v>
      </c>
      <c r="P5" s="6" t="n">
        <v>1745.92</v>
      </c>
      <c r="Q5" s="5" t="n"/>
      <c r="R5" s="6" t="n"/>
      <c r="S5" s="6">
        <f>IF(AND(Q5&lt;&gt;"",R5&lt;&gt;""),Q5*R5,"")</f>
        <v/>
      </c>
      <c r="T5" s="6">
        <f>IF(S5="",P5,S5)</f>
        <v/>
      </c>
      <c r="U5" s="7" t="n">
        <v>1</v>
      </c>
      <c r="V5" s="6">
        <f>$T5*U5</f>
        <v/>
      </c>
      <c r="W5" s="7" t="n">
        <v>0</v>
      </c>
      <c r="X5" s="6">
        <f>$T5*W5</f>
        <v/>
      </c>
      <c r="Y5" s="7" t="n">
        <v>0</v>
      </c>
      <c r="Z5" s="6">
        <f>$T5*Y5</f>
        <v/>
      </c>
      <c r="AA5" s="7" t="n">
        <v>0</v>
      </c>
      <c r="AB5" s="6">
        <f>$T5*AA5</f>
        <v/>
      </c>
      <c r="AC5" s="7" t="n">
        <v>0</v>
      </c>
      <c r="AD5" s="6">
        <f>$T5*AC5</f>
        <v/>
      </c>
      <c r="AE5" s="7" t="n">
        <v>0</v>
      </c>
      <c r="AF5" s="6">
        <f>$T5*AE5</f>
        <v/>
      </c>
      <c r="AG5" s="7" t="n">
        <v>0</v>
      </c>
      <c r="AH5" s="6">
        <f>$T5*AG5</f>
        <v/>
      </c>
      <c r="AI5" s="7">
        <f>U5+W5+Y5+AA5+AC5+AE5+AG5</f>
        <v/>
      </c>
      <c r="AJ5" s="6">
        <f>V5+X5+Z5+AB5+AD5+AF5+AH5</f>
        <v/>
      </c>
    </row>
    <row r="6" ht="42" customHeight="1" s="35">
      <c r="A6" s="3" t="inlineStr">
        <is>
          <t>LOM241.NC.90.050.0100.C</t>
        </is>
      </c>
      <c r="B6" s="4" t="inlineStr">
        <is>
          <t>1/2</t>
        </is>
      </c>
      <c r="C6" s="3" t="inlineStr">
        <is>
          <t>EDILE</t>
        </is>
      </c>
      <c r="D6" s="4" t="inlineStr">
        <is>
          <t>NON SPECIALE</t>
        </is>
      </c>
      <c r="E6" s="4" t="inlineStr">
        <is>
          <t>EDILI</t>
        </is>
      </c>
      <c r="F6" s="3" t="inlineStr">
        <is>
          <t>1_2025.11.20_CME REV07.PDF</t>
        </is>
      </c>
      <c r="G6" s="4" t="inlineStr">
        <is>
          <t>3</t>
        </is>
      </c>
      <c r="H6" s="3" t="inlineStr">
        <is>
          <t>10 - PREPARAZIONE</t>
        </is>
      </c>
      <c r="I6" s="3" t="inlineStr">
        <is>
          <t>NUOVI LABORATORI</t>
        </is>
      </c>
      <c r="J6" s="3" t="inlineStr">
        <is>
          <t>SCAVI E MOVIMENTI TERRA</t>
        </is>
      </c>
      <c r="K6" s="3" t="inlineStr">
        <is>
          <t>CARICO CON MEZZO MECCANICO DI MATERIALI SFUSI (TERRE DI SCAVO, MACERIE, INERTI ECC.), TRASPORTO E SCARICO, ALLE SEGUENTI DISTANZE DAL CANTIERE: - DA 1,1 FINO A 5 KM.</t>
        </is>
      </c>
      <c r="L6" s="3" t="inlineStr">
        <is>
          <t>CARICO CON MEZZO MECCANICO DI MATERIALI SFUSI (TERRE DI SCAVO, MACERIE, INERTI ECC.), TRASPORTO E SCARICO, ALLE SEGUENTI DISTANZE DAL CANTIERE: - DA 1,1 FINO A 5 KM.</t>
        </is>
      </c>
      <c r="M6" s="4" t="inlineStr">
        <is>
          <t>M³</t>
        </is>
      </c>
      <c r="N6" s="5" t="n">
        <v>440.7</v>
      </c>
      <c r="O6" s="6" t="n">
        <v>10.58</v>
      </c>
      <c r="P6" s="6" t="n">
        <v>4662.61</v>
      </c>
      <c r="Q6" s="5" t="n"/>
      <c r="R6" s="6" t="n"/>
      <c r="S6" s="6">
        <f>IF(AND(Q6&lt;&gt;"",R6&lt;&gt;""),Q6*R6,"")</f>
        <v/>
      </c>
      <c r="T6" s="6">
        <f>IF(S6="",P6,S6)</f>
        <v/>
      </c>
      <c r="U6" s="7" t="n">
        <v>1</v>
      </c>
      <c r="V6" s="6">
        <f>$T6*U6</f>
        <v/>
      </c>
      <c r="W6" s="7" t="n">
        <v>0</v>
      </c>
      <c r="X6" s="6">
        <f>$T6*W6</f>
        <v/>
      </c>
      <c r="Y6" s="7" t="n">
        <v>0</v>
      </c>
      <c r="Z6" s="6">
        <f>$T6*Y6</f>
        <v/>
      </c>
      <c r="AA6" s="7" t="n">
        <v>0</v>
      </c>
      <c r="AB6" s="6">
        <f>$T6*AA6</f>
        <v/>
      </c>
      <c r="AC6" s="7" t="n">
        <v>0</v>
      </c>
      <c r="AD6" s="6">
        <f>$T6*AC6</f>
        <v/>
      </c>
      <c r="AE6" s="7" t="n">
        <v>0</v>
      </c>
      <c r="AF6" s="6">
        <f>$T6*AE6</f>
        <v/>
      </c>
      <c r="AG6" s="7" t="n">
        <v>0</v>
      </c>
      <c r="AH6" s="6">
        <f>$T6*AG6</f>
        <v/>
      </c>
      <c r="AI6" s="7">
        <f>U6+W6+Y6+AA6+AC6+AE6+AG6</f>
        <v/>
      </c>
      <c r="AJ6" s="6">
        <f>V6+X6+Z6+AB6+AD6+AF6+AH6</f>
        <v/>
      </c>
    </row>
    <row r="7" ht="60" customHeight="1" s="35">
      <c r="A7" s="3" t="inlineStr">
        <is>
          <t>LOM241.1C.27.050.0100.C</t>
        </is>
      </c>
      <c r="B7" s="4" t="inlineStr">
        <is>
          <t>1/3</t>
        </is>
      </c>
      <c r="C7" s="3" t="inlineStr">
        <is>
          <t>EDILE</t>
        </is>
      </c>
      <c r="D7" s="4" t="inlineStr">
        <is>
          <t>NON SPECIALE</t>
        </is>
      </c>
      <c r="E7" s="4" t="inlineStr">
        <is>
          <t>EDILI</t>
        </is>
      </c>
      <c r="F7" s="3" t="inlineStr">
        <is>
          <t>1_2025.11.20_CME REV07.PDF</t>
        </is>
      </c>
      <c r="G7" s="4" t="inlineStr">
        <is>
          <t>4</t>
        </is>
      </c>
      <c r="H7" s="3" t="inlineStr">
        <is>
          <t>10 - PREPARAZIONE</t>
        </is>
      </c>
      <c r="I7" s="3" t="inlineStr">
        <is>
          <t>NUOVI LABORATORI</t>
        </is>
      </c>
      <c r="J7" s="3" t="inlineStr">
        <is>
          <t>SCAVI E MOVIMENTI TERRA</t>
        </is>
      </c>
      <c r="K7" s="3" t="inlineStr">
        <is>
          <t>ONERI PER CONFERIMENTO IN IMPIANTI AUTORIZZATI DEI SEGUENTI RIFIUTI URBANI E SPECIALI NON PERICOLOSI: - TERRE E ROCCE NON CONTENENTI SOSTANZE PERICOLOSE (CER 170504), PRESSO IMPIANTO DI RECUPERO AUTOR</t>
        </is>
      </c>
      <c r="L7" s="3" t="inlineStr">
        <is>
          <t>ONERI PER CONFERIMENTO IN IMPIANTI AUTORIZZATI DEI SEGUENTI RIFIUTI URBANI E SPECIALI NON PERICOLOSI: - TERRE E ROCCE NON CONTENENTI SOSTANZE PERICOLOSE (CER 170504), PRESSO IMPIANTO DI RECUPERO AUTORIZZATO, SECONDO IL GIUDIZIO DI AMMISSIBILITÀ IN DISCARICA RILASCIATO DAL LABORATORIO DI ANALISI AI SENSI DEL D.M. 27/09/2010</t>
        </is>
      </c>
      <c r="M7" s="4" t="inlineStr">
        <is>
          <t>100 KG</t>
        </is>
      </c>
      <c r="N7" s="5" t="n">
        <v>-3439.8</v>
      </c>
      <c r="O7" s="17" t="n">
        <v>0.82</v>
      </c>
      <c r="P7" s="17" t="n">
        <v>-2820.64</v>
      </c>
      <c r="Q7" s="18" t="n"/>
      <c r="R7" s="17" t="n"/>
      <c r="S7" s="17">
        <f>IF(AND(Q7&lt;&gt;"",R7&lt;&gt;""),Q7*R7,"")</f>
        <v/>
      </c>
      <c r="T7" s="17">
        <f>IF(S7="",P7,S7)</f>
        <v/>
      </c>
      <c r="U7" s="7" t="n">
        <v>1</v>
      </c>
      <c r="V7" s="6">
        <f>$T7*U7</f>
        <v/>
      </c>
      <c r="W7" s="7" t="n">
        <v>0</v>
      </c>
      <c r="X7" s="6">
        <f>$T7*W7</f>
        <v/>
      </c>
      <c r="Y7" s="7" t="n">
        <v>0</v>
      </c>
      <c r="Z7" s="6">
        <f>$T7*Y7</f>
        <v/>
      </c>
      <c r="AA7" s="7" t="n">
        <v>0</v>
      </c>
      <c r="AB7" s="6">
        <f>$T7*AA7</f>
        <v/>
      </c>
      <c r="AC7" s="7" t="n">
        <v>0</v>
      </c>
      <c r="AD7" s="6">
        <f>$T7*AC7</f>
        <v/>
      </c>
      <c r="AE7" s="7" t="n">
        <v>0</v>
      </c>
      <c r="AF7" s="6">
        <f>$T7*AE7</f>
        <v/>
      </c>
      <c r="AG7" s="7" t="n">
        <v>0</v>
      </c>
      <c r="AH7" s="6">
        <f>$T7*AG7</f>
        <v/>
      </c>
      <c r="AI7" s="7">
        <f>U7+W7+Y7+AA7+AC7+AE7+AG7</f>
        <v/>
      </c>
      <c r="AJ7" s="6">
        <f>V7+X7+Z7+AB7+AD7+AF7+AH7</f>
        <v/>
      </c>
    </row>
    <row r="8" ht="60" customHeight="1" s="35">
      <c r="A8" s="3" t="inlineStr">
        <is>
          <t>LOM241.OC.EEA.C09.A6402.NA000.0000</t>
        </is>
      </c>
      <c r="B8" s="4" t="inlineStr">
        <is>
          <t>2/2</t>
        </is>
      </c>
      <c r="C8" s="3" t="inlineStr">
        <is>
          <t>EDILE</t>
        </is>
      </c>
      <c r="D8" s="4" t="inlineStr">
        <is>
          <t>NON SPECIALE</t>
        </is>
      </c>
      <c r="E8" s="4" t="inlineStr">
        <is>
          <t>EDILI</t>
        </is>
      </c>
      <c r="F8" s="3" t="inlineStr">
        <is>
          <t>1_2025.11.20_CME REV07.PDF</t>
        </is>
      </c>
      <c r="G8" s="4" t="inlineStr">
        <is>
          <t>5</t>
        </is>
      </c>
      <c r="H8" s="3" t="inlineStr">
        <is>
          <t>10 - PREPARAZIONE</t>
        </is>
      </c>
      <c r="I8" s="3" t="inlineStr">
        <is>
          <t>NUOVI LABORATORI</t>
        </is>
      </c>
      <c r="J8" s="3" t="inlineStr">
        <is>
          <t>SCAVI E MOVIMENTI TERRA</t>
        </is>
      </c>
      <c r="K8" s="3" t="inlineStr">
        <is>
          <t xml:space="preserve">OPERA: SBANCAMENTO DI TERRENO GENERICO. INCLUSO: TROVANTI ROCCIOSI/RELITTI DI MURATURE FINO A 0.750 M³. ESCLUSO: ROCCIA. </t>
        </is>
      </c>
      <c r="L8" s="3" t="inlineStr">
        <is>
          <t>OPERA: SBANCAMENTO DI TERRENO GENERICO. INCLUSO: TROVANTI ROCCIOSI/RELITTI DI MURATURE FINO A 0.750 M³. ESCLUSO: ROCCIA. 
LAVORO: SCAVO. INCLUSO: SPIANAMENTO E CONFIGURAZIONE FONDO ANCHE A GRADONI; PROFILATURA DI PARETI E SCARPATE; CARICO, TRASPORTO ED ACCATASTAMENTO MATERIALE IN CANTIERE. ESCLUSO: ARMO DI SCAVO; OPERE DI SEGNALAZIONE E PROTEZIONE. 
SPECIFICHE TECNICHE: TERRENO DI MATERIALI DI NATURA E CONSISTENZA GENERICHE TERRENO ASCIUTTO/BAGNATO/MELMOSO, PROFONDITÀ GENERICA. 
COMPONENTI: 
OP1 OPERA: SBANCAMENTO DI TERRENO GENERICO. INCLUSO: TROVANTI ROCCIOSI/RELITTI DI MURATURE FINO A 0.750 M³. ESCLUSO: ROCCIA. 
SPECIFICHE TECNICHE: TERRENO DI MATERIALI DI NATURA E CONSISTENZA GENERICHE TERRENO ASCIUTTO/BAGNATO/MELMOSO. 
RM2 TERRENO DI TERRENO GENERICO 
LV1 LAVORO: SCAVO. INCLUSO: SPIANAMENTO E CONFIGURAZIONE FONDO ANCHE A GRADONI; PROFILATURA DI PARETI E SCARPATE; CARICO, TRASPORTO ED ACCATASTAMENTO MATERIALE IN CANTIERE. ESCLUSO: ARMO DI SCAVO; OPERE DI SEGNALAZIONE E PROTEZIONE. 
SPECIFICHE TECNICHE: PROFONDITÀ GENERICA. 
RP2 ESCAVATORE CINGOLATO; POTENZA [KW] ≤ 90; PESO [T] ≤ 19 
SPECIFICHE TECNICHE: CRITERIO DI MISURAZIONE: ORE DI PRESENZA IN CANTIERE 
RP2 AUTOCARRO A CASSONE RIBALTABILE; PORTATA [T] ≤ 5,0 
SPECIFICHE TECNICHE: CRITERIO DI MISURAZIONE: ORE DI PRESENZA IN CANTIERE</t>
        </is>
      </c>
      <c r="M8" s="4" t="inlineStr">
        <is>
          <t>M³</t>
        </is>
      </c>
      <c r="N8" s="5" t="n">
        <v>877.5</v>
      </c>
      <c r="O8" s="6" t="n">
        <v>5.88</v>
      </c>
      <c r="P8" s="6" t="n">
        <v>5159.7</v>
      </c>
      <c r="Q8" s="5" t="n"/>
      <c r="R8" s="6" t="n"/>
      <c r="S8" s="6">
        <f>IF(AND(Q8&lt;&gt;"",R8&lt;&gt;""),Q8*R8,"")</f>
        <v/>
      </c>
      <c r="T8" s="6">
        <f>IF(S8="",P8,S8)</f>
        <v/>
      </c>
      <c r="U8" s="7" t="n">
        <v>0</v>
      </c>
      <c r="V8" s="6">
        <f>$T8*U8</f>
        <v/>
      </c>
      <c r="W8" s="7" t="n">
        <v>0.75</v>
      </c>
      <c r="X8" s="6">
        <f>$T8*W8</f>
        <v/>
      </c>
      <c r="Y8" s="7" t="n">
        <v>0</v>
      </c>
      <c r="Z8" s="6">
        <f>$T8*Y8</f>
        <v/>
      </c>
      <c r="AA8" s="7" t="n">
        <v>0</v>
      </c>
      <c r="AB8" s="6">
        <f>$T8*AA8</f>
        <v/>
      </c>
      <c r="AC8" s="7" t="n">
        <v>0</v>
      </c>
      <c r="AD8" s="6">
        <f>$T8*AC8</f>
        <v/>
      </c>
      <c r="AE8" s="7" t="n">
        <v>0</v>
      </c>
      <c r="AF8" s="6">
        <f>$T8*AE8</f>
        <v/>
      </c>
      <c r="AG8" s="7" t="n">
        <v>0</v>
      </c>
      <c r="AH8" s="6">
        <f>$T8*AG8</f>
        <v/>
      </c>
      <c r="AI8" s="7">
        <f>U8+W8+Y8+AA8+AC8+AE8+AG8</f>
        <v/>
      </c>
      <c r="AJ8" s="6">
        <f>V8+X8+Z8+AB8+AD8+AF8+AH8</f>
        <v/>
      </c>
    </row>
    <row r="9" ht="60" customHeight="1" s="35">
      <c r="A9" s="3" t="inlineStr">
        <is>
          <t>LOM241.1U.04.110.0040.B</t>
        </is>
      </c>
      <c r="B9" s="4" t="inlineStr">
        <is>
          <t>2/4</t>
        </is>
      </c>
      <c r="C9" s="3" t="inlineStr">
        <is>
          <t>EDILE</t>
        </is>
      </c>
      <c r="D9" s="4" t="inlineStr">
        <is>
          <t>NON SPECIALE</t>
        </is>
      </c>
      <c r="E9" s="4" t="inlineStr">
        <is>
          <t>EDILI</t>
        </is>
      </c>
      <c r="F9" s="3" t="inlineStr">
        <is>
          <t>1_2025.11.20_CME REV07.PDF</t>
        </is>
      </c>
      <c r="G9" s="4" t="inlineStr">
        <is>
          <t>6</t>
        </is>
      </c>
      <c r="H9" s="3" t="inlineStr">
        <is>
          <t>10 - PREPARAZIONE</t>
        </is>
      </c>
      <c r="I9" s="3" t="inlineStr">
        <is>
          <t>NUOVI LABORATORI</t>
        </is>
      </c>
      <c r="J9" s="3" t="inlineStr">
        <is>
          <t>SCAVI E MOVIMENTI TERRA</t>
        </is>
      </c>
      <c r="K9" s="3" t="inlineStr">
        <is>
          <t>COMPATTAZIONE DEL PIANO DI POSA DELLA FONDAZIONE STRADALE, NEI TRATTI IN TRINCEA, FINO A RAGGIUNGERE IN OGNI PUNTO UN VALORE DELLA DENSITÀ NON MINORE DEL 95% DI QUELLA MASSIMA DELLA PROVA AASHO MODIFI</t>
        </is>
      </c>
      <c r="L9" s="3" t="inlineStr">
        <is>
          <t>COMPATTAZIONE DEL PIANO DI POSA DELLA FONDAZIONE STRADALE, NEI TRATTI IN TRINCEA, FINO A RAGGIUNGERE IN OGNI PUNTO UN VALORE DELLA DENSITÀ NON MINORE DEL 95% DI QUELLA MASSIMA DELLA PROVA AASHO MODIFICATA, ED UN VALORE DEL MODULO DI COMPRESSIBILITÀ ME NON MINORE DI 50 N/MM², COMPRESI GLI EVENTUALI INUMIDIMENTI O ESSICAMENTI NECESSARI NEI TRATTI IN TRINCEA: - SU STRATI DI TERRENO A4, A5, A2-6, A2-7, SENZA ASPORTAZIONE O SOSTITUZIONE, MA CON EVENTUALE CORREZIONE DEI MATERIALI IN SITO PER UNA PROFONDITÀ DI CM 20, CON TERRENI ARIDI DA CONTABILIZZARE A PARTE.</t>
        </is>
      </c>
      <c r="M9" s="4" t="inlineStr">
        <is>
          <t>M²</t>
        </is>
      </c>
      <c r="N9" s="5" t="n">
        <v>150</v>
      </c>
      <c r="O9" s="6" t="n">
        <v>1.76</v>
      </c>
      <c r="P9" s="6" t="n">
        <v>264</v>
      </c>
      <c r="Q9" s="5" t="n"/>
      <c r="R9" s="6" t="n"/>
      <c r="S9" s="6">
        <f>IF(AND(Q9&lt;&gt;"",R9&lt;&gt;""),Q9*R9,"")</f>
        <v/>
      </c>
      <c r="T9" s="6">
        <f>IF(S9="",P9,S9)</f>
        <v/>
      </c>
      <c r="U9" s="7" t="n">
        <v>0</v>
      </c>
      <c r="V9" s="6">
        <f>$T9*U9</f>
        <v/>
      </c>
      <c r="W9" s="7" t="n">
        <v>0</v>
      </c>
      <c r="X9" s="6">
        <f>$T9*W9</f>
        <v/>
      </c>
      <c r="Y9" s="7" t="n">
        <v>0</v>
      </c>
      <c r="Z9" s="6">
        <f>$T9*Y9</f>
        <v/>
      </c>
      <c r="AA9" s="7" t="n">
        <v>0</v>
      </c>
      <c r="AB9" s="6">
        <f>$T9*AA9</f>
        <v/>
      </c>
      <c r="AC9" s="7" t="n">
        <v>0</v>
      </c>
      <c r="AD9" s="6">
        <f>$T9*AC9</f>
        <v/>
      </c>
      <c r="AE9" s="7" t="n">
        <v>0</v>
      </c>
      <c r="AF9" s="6">
        <f>$T9*AE9</f>
        <v/>
      </c>
      <c r="AG9" s="7" t="n">
        <v>0</v>
      </c>
      <c r="AH9" s="6">
        <f>$T9*AG9</f>
        <v/>
      </c>
      <c r="AI9" s="7">
        <f>U9+W9+Y9+AA9+AC9+AE9+AG9</f>
        <v/>
      </c>
      <c r="AJ9" s="6">
        <f>V9+X9+Z9+AB9+AD9+AF9+AH9</f>
        <v/>
      </c>
    </row>
    <row r="10" ht="42" customHeight="1" s="35">
      <c r="A10" s="3" t="inlineStr">
        <is>
          <t>LOM241.NC.90.050.0100.C</t>
        </is>
      </c>
      <c r="B10" s="4" t="inlineStr">
        <is>
          <t>2/2</t>
        </is>
      </c>
      <c r="C10" s="3" t="inlineStr">
        <is>
          <t>EDILE</t>
        </is>
      </c>
      <c r="D10" s="4" t="inlineStr">
        <is>
          <t>NON SPECIALE</t>
        </is>
      </c>
      <c r="E10" s="4" t="inlineStr">
        <is>
          <t>EDILI</t>
        </is>
      </c>
      <c r="F10" s="3" t="inlineStr">
        <is>
          <t>1_2025.11.20_CME REV07.PDF</t>
        </is>
      </c>
      <c r="G10" s="4" t="inlineStr">
        <is>
          <t>7</t>
        </is>
      </c>
      <c r="H10" s="3" t="inlineStr">
        <is>
          <t>10 - PREPARAZIONE</t>
        </is>
      </c>
      <c r="I10" s="3" t="inlineStr">
        <is>
          <t>NUOVI LABORATORI</t>
        </is>
      </c>
      <c r="J10" s="3" t="inlineStr">
        <is>
          <t>SCAVI E MOVIMENTI TERRA</t>
        </is>
      </c>
      <c r="K10" s="3" t="inlineStr">
        <is>
          <t>CARICO CON MEZZO MECCANICO DI MATERIALI SFUSI (TERRE DI SCAVO, MACERIE, INERTI ECC.), TRASPORTO E SCARICO, ALLE SEGUENTI DISTANZE DAL CANTIERE: - DA 1,1 FINO A 5 KM.</t>
        </is>
      </c>
      <c r="L10" s="3" t="inlineStr">
        <is>
          <t>CARICO CON MEZZO MECCANICO DI MATERIALI SFUSI (TERRE DI SCAVO, MACERIE, INERTI ECC.), TRASPORTO E SCARICO, ALLE SEGUENTI DISTANZE DAL CANTIERE: - DA 1,1 FINO A 5 KM.</t>
        </is>
      </c>
      <c r="M10" s="4" t="inlineStr">
        <is>
          <t>M³</t>
        </is>
      </c>
      <c r="N10" s="5" t="n">
        <v>877.5</v>
      </c>
      <c r="O10" s="6" t="n">
        <v>10.58</v>
      </c>
      <c r="P10" s="6" t="n">
        <v>9283.950000000001</v>
      </c>
      <c r="Q10" s="5" t="n"/>
      <c r="R10" s="6" t="n"/>
      <c r="S10" s="6">
        <f>IF(AND(Q10&lt;&gt;"",R10&lt;&gt;""),Q10*R10,"")</f>
        <v/>
      </c>
      <c r="T10" s="6">
        <f>IF(S10="",P10,S10)</f>
        <v/>
      </c>
      <c r="U10" s="7" t="n">
        <v>0</v>
      </c>
      <c r="V10" s="6">
        <f>$T10*U10</f>
        <v/>
      </c>
      <c r="W10" s="7" t="n">
        <v>0.75</v>
      </c>
      <c r="X10" s="6">
        <f>$T10*W10</f>
        <v/>
      </c>
      <c r="Y10" s="7" t="n">
        <v>0</v>
      </c>
      <c r="Z10" s="6">
        <f>$T10*Y10</f>
        <v/>
      </c>
      <c r="AA10" s="7" t="n">
        <v>0</v>
      </c>
      <c r="AB10" s="6">
        <f>$T10*AA10</f>
        <v/>
      </c>
      <c r="AC10" s="7" t="n">
        <v>0</v>
      </c>
      <c r="AD10" s="6">
        <f>$T10*AC10</f>
        <v/>
      </c>
      <c r="AE10" s="7" t="n">
        <v>0</v>
      </c>
      <c r="AF10" s="6">
        <f>$T10*AE10</f>
        <v/>
      </c>
      <c r="AG10" s="7" t="n">
        <v>0</v>
      </c>
      <c r="AH10" s="6">
        <f>$T10*AG10</f>
        <v/>
      </c>
      <c r="AI10" s="7">
        <f>U10+W10+Y10+AA10+AC10+AE10+AG10</f>
        <v/>
      </c>
      <c r="AJ10" s="6">
        <f>V10+X10+Z10+AB10+AD10+AF10+AH10</f>
        <v/>
      </c>
    </row>
    <row r="11" ht="60" customHeight="1" s="35">
      <c r="A11" s="3" t="inlineStr">
        <is>
          <t>LOM241.1C.27.050.0100.C</t>
        </is>
      </c>
      <c r="B11" s="4" t="inlineStr">
        <is>
          <t>2/3</t>
        </is>
      </c>
      <c r="C11" s="3" t="inlineStr">
        <is>
          <t>EDILE</t>
        </is>
      </c>
      <c r="D11" s="4" t="inlineStr">
        <is>
          <t>NON SPECIALE</t>
        </is>
      </c>
      <c r="E11" s="4" t="inlineStr">
        <is>
          <t>EDILI</t>
        </is>
      </c>
      <c r="F11" s="3" t="inlineStr">
        <is>
          <t>1_2025.11.20_CME REV07.PDF</t>
        </is>
      </c>
      <c r="G11" s="4" t="inlineStr">
        <is>
          <t>8</t>
        </is>
      </c>
      <c r="H11" s="3" t="inlineStr">
        <is>
          <t>10 - PREPARAZIONE</t>
        </is>
      </c>
      <c r="I11" s="3" t="inlineStr">
        <is>
          <t>NUOVI LABORATORI</t>
        </is>
      </c>
      <c r="J11" s="3" t="inlineStr">
        <is>
          <t>SCAVI E MOVIMENTI TERRA</t>
        </is>
      </c>
      <c r="K11" s="3" t="inlineStr">
        <is>
          <t>ONERI PER CONFERIMENTO IN IMPIANTI AUTORIZZATI DEI SEGUENTI RIFIUTI URBANI E SPECIALI NON PERICOLOSI: - TERRE E ROCCE NON CONTENENTI SOSTANZE PERICOLOSE (CER 170504), PRESSO IMPIANTO DI RECUPERO AUTOR</t>
        </is>
      </c>
      <c r="L11" s="3" t="inlineStr">
        <is>
          <t>ONERI PER CONFERIMENTO IN IMPIANTI AUTORIZZATI DEI SEGUENTI RIFIUTI URBANI E SPECIALI NON PERICOLOSI: - TERRE E ROCCE NON CONTENENTI SOSTANZE PERICOLOSE (CER 170504), PRESSO IMPIANTO DI RECUPERO AUTORIZZATO, SECONDO IL GIUDIZIO DI AMMISSIBILITÀ IN DISCARICA RILASCIATO DAL LABORATORIO DI ANALISI AI SENSI DEL D.M. 27/09/2010</t>
        </is>
      </c>
      <c r="M11" s="4" t="inlineStr">
        <is>
          <t>100 KG</t>
        </is>
      </c>
      <c r="N11" s="5" t="n">
        <v>15795</v>
      </c>
      <c r="O11" s="6" t="n">
        <v>0.82</v>
      </c>
      <c r="P11" s="6" t="n">
        <v>12951.9</v>
      </c>
      <c r="Q11" s="5" t="n"/>
      <c r="R11" s="6" t="n"/>
      <c r="S11" s="6">
        <f>IF(AND(Q11&lt;&gt;"",R11&lt;&gt;""),Q11*R11,"")</f>
        <v/>
      </c>
      <c r="T11" s="6">
        <f>IF(S11="",P11,S11)</f>
        <v/>
      </c>
      <c r="U11" s="7" t="n">
        <v>0</v>
      </c>
      <c r="V11" s="6">
        <f>$T11*U11</f>
        <v/>
      </c>
      <c r="W11" s="7" t="n">
        <v>0.75</v>
      </c>
      <c r="X11" s="6">
        <f>$T11*W11</f>
        <v/>
      </c>
      <c r="Y11" s="7" t="n">
        <v>0</v>
      </c>
      <c r="Z11" s="6">
        <f>$T11*Y11</f>
        <v/>
      </c>
      <c r="AA11" s="7" t="n">
        <v>0</v>
      </c>
      <c r="AB11" s="6">
        <f>$T11*AA11</f>
        <v/>
      </c>
      <c r="AC11" s="7" t="n">
        <v>0</v>
      </c>
      <c r="AD11" s="6">
        <f>$T11*AC11</f>
        <v/>
      </c>
      <c r="AE11" s="7" t="n">
        <v>0</v>
      </c>
      <c r="AF11" s="6">
        <f>$T11*AE11</f>
        <v/>
      </c>
      <c r="AG11" s="7" t="n">
        <v>0</v>
      </c>
      <c r="AH11" s="6">
        <f>$T11*AG11</f>
        <v/>
      </c>
      <c r="AI11" s="7">
        <f>U11+W11+Y11+AA11+AC11+AE11+AG11</f>
        <v/>
      </c>
      <c r="AJ11" s="6">
        <f>V11+X11+Z11+AB11+AD11+AF11+AH11</f>
        <v/>
      </c>
    </row>
    <row r="12" ht="60" customHeight="1" s="35">
      <c r="A12" s="3" t="inlineStr">
        <is>
          <t>LOM241.1C.27.050.0100.C</t>
        </is>
      </c>
      <c r="B12" s="4" t="inlineStr">
        <is>
          <t>3/3</t>
        </is>
      </c>
      <c r="C12" s="3" t="inlineStr">
        <is>
          <t>EDILE</t>
        </is>
      </c>
      <c r="D12" s="4" t="inlineStr">
        <is>
          <t>NON SPECIALE</t>
        </is>
      </c>
      <c r="E12" s="4" t="inlineStr">
        <is>
          <t>EDILI</t>
        </is>
      </c>
      <c r="F12" s="3" t="inlineStr">
        <is>
          <t>1_2025.11.20_CME REV07.PDF</t>
        </is>
      </c>
      <c r="G12" s="4" t="inlineStr">
        <is>
          <t>9</t>
        </is>
      </c>
      <c r="H12" s="3" t="inlineStr">
        <is>
          <t>10 - PREPARAZIONE</t>
        </is>
      </c>
      <c r="I12" s="3" t="inlineStr">
        <is>
          <t>NUOVI LABORATORI</t>
        </is>
      </c>
      <c r="J12" s="3" t="inlineStr">
        <is>
          <t>SCAVI E MOVIMENTI TERRA</t>
        </is>
      </c>
      <c r="K12" s="3" t="inlineStr">
        <is>
          <t>ONERI PER CONFERIMENTO IN IMPIANTI AUTORIZZATI DEI SEGUENTI RIFIUTI URBANI E SPECIALI NON PERICOLOSI: - TERRE E ROCCE NON CONTENENTI SOSTANZE PERICOLOSE (CER 170504), PRESSO IMPIANTO DI RECUPERO AUTOR</t>
        </is>
      </c>
      <c r="L12" s="3" t="inlineStr">
        <is>
          <t>ONERI PER CONFERIMENTO IN IMPIANTI AUTORIZZATI DEI SEGUENTI RIFIUTI URBANI E SPECIALI NON PERICOLOSI: - TERRE E ROCCE NON CONTENENTI SOSTANZE PERICOLOSE (CER 170504), PRESSO IMPIANTO DI RECUPERO AUTORIZZATO, SECONDO IL GIUDIZIO DI AMMISSIBILITÀ IN DISCARICA RILASCIATO DAL LABORATORIO DI ANALISI AI SENSI DEL D.M. 27/09/2010</t>
        </is>
      </c>
      <c r="M12" s="4" t="inlineStr">
        <is>
          <t>100 KG</t>
        </is>
      </c>
      <c r="N12" s="5" t="n">
        <v>15795</v>
      </c>
      <c r="O12" s="6" t="n">
        <v>0.82</v>
      </c>
      <c r="P12" s="6" t="n">
        <v>12951.9</v>
      </c>
      <c r="Q12" s="5" t="n"/>
      <c r="R12" s="6" t="n"/>
      <c r="S12" s="6">
        <f>IF(AND(Q12&lt;&gt;"",R12&lt;&gt;""),Q12*R12,"")</f>
        <v/>
      </c>
      <c r="T12" s="6">
        <f>IF(S12="",P12,S12)</f>
        <v/>
      </c>
      <c r="U12" s="7" t="n">
        <v>0</v>
      </c>
      <c r="V12" s="6">
        <f>$T12*U12</f>
        <v/>
      </c>
      <c r="W12" s="7" t="n">
        <v>0.75</v>
      </c>
      <c r="X12" s="6">
        <f>$T12*W12</f>
        <v/>
      </c>
      <c r="Y12" s="7" t="n">
        <v>0</v>
      </c>
      <c r="Z12" s="6">
        <f>$T12*Y12</f>
        <v/>
      </c>
      <c r="AA12" s="7" t="n">
        <v>0</v>
      </c>
      <c r="AB12" s="6">
        <f>$T12*AA12</f>
        <v/>
      </c>
      <c r="AC12" s="7" t="n">
        <v>0</v>
      </c>
      <c r="AD12" s="6">
        <f>$T12*AC12</f>
        <v/>
      </c>
      <c r="AE12" s="7" t="n">
        <v>0</v>
      </c>
      <c r="AF12" s="6">
        <f>$T12*AE12</f>
        <v/>
      </c>
      <c r="AG12" s="7" t="n">
        <v>0</v>
      </c>
      <c r="AH12" s="6">
        <f>$T12*AG12</f>
        <v/>
      </c>
      <c r="AI12" s="7">
        <f>U12+W12+Y12+AA12+AC12+AE12+AG12</f>
        <v/>
      </c>
      <c r="AJ12" s="6">
        <f>V12+X12+Z12+AB12+AD12+AF12+AH12</f>
        <v/>
      </c>
    </row>
    <row r="13" ht="60" customHeight="1" s="35">
      <c r="A13" s="3" t="inlineStr">
        <is>
          <t>LOM241.OC.EEA.C09.A6400.NA000.0000.B</t>
        </is>
      </c>
      <c r="B13" s="4" t="inlineStr">
        <is>
          <t>1/2</t>
        </is>
      </c>
      <c r="C13" s="3" t="inlineStr">
        <is>
          <t>EDILE</t>
        </is>
      </c>
      <c r="D13" s="4" t="inlineStr">
        <is>
          <t>NON SPECIALE</t>
        </is>
      </c>
      <c r="E13" s="4" t="inlineStr">
        <is>
          <t>EDILI</t>
        </is>
      </c>
      <c r="F13" s="3" t="inlineStr">
        <is>
          <t>1_2025.11.20_CME REV07.PDF</t>
        </is>
      </c>
      <c r="G13" s="4" t="inlineStr">
        <is>
          <t>28</t>
        </is>
      </c>
      <c r="H13" s="3" t="inlineStr">
        <is>
          <t>10 - PREPARAZIONE</t>
        </is>
      </c>
      <c r="I13" s="3" t="inlineStr">
        <is>
          <t>NUOVI LABORATORI</t>
        </is>
      </c>
      <c r="J13" s="3" t="inlineStr">
        <is>
          <t>SCAVI E MOVIMENTI TERRA</t>
        </is>
      </c>
      <c r="K13" s="3" t="inlineStr">
        <is>
          <t xml:space="preserve">OPERA: SCOTICO DI TERRENO GENERICO. </t>
        </is>
      </c>
      <c r="L13" s="3" t="inlineStr">
        <is>
          <t>OPERA: SCOTICO DI TERRENO GENERICO. 
LAVORO: SCAVO CON MEZZI MECCANICI. INCLUSO: ESTIRPAZIONE ERBA, ARBUSTI, ALBERI DI PICCOLE DIMENSIONI; DEMOLIZIONE E RIMOZIONE RECINZIONI; CARICO E TRASPORTO TERRE AD IMPIANTO DI STOCCAGGIO, DI RECUPERO. 
SPECIFICHE TECNICHE: TERRENO DI NATURA GENERICA. 
COMPONENTI: 
OP1 OPERA: SCOTICO DI TERRENO GENERICO. 
SPECIFICHE TECNICHE: TERRENO DI NATURA GENERICA. 
RM2 TERRENO DI TERRENO GENERICO 
LV1 LAVORO: SCAVO CON MEZZI MECCANICI. INCLUSO: ESTIRPAZIONE ERBA, ARBUSTI, ALBERI DI PICCOLE DIMENSIONI; DEMOLIZIONE E RIMOZIONE RECINZIONI; CARICO E TRASPORTO TERRE AD IMPIANTO DI STOCCAGGIO, DI RECUPERO. 
RP2 AUTOCARRO A CASSONE RIBALTABILE; PORTATA [T] ≤ 1,5 
SPECIFICHE TECNICHE: CRITERIO DI MISURAZIONE: ORE DI PRESENZA IN CANTIERE</t>
        </is>
      </c>
      <c r="M13" s="4" t="inlineStr">
        <is>
          <t>M³</t>
        </is>
      </c>
      <c r="N13" s="5" t="n">
        <v>117.6</v>
      </c>
      <c r="O13" s="6" t="n">
        <v>11.76</v>
      </c>
      <c r="P13" s="6" t="n">
        <v>1382.98</v>
      </c>
      <c r="Q13" s="5" t="n"/>
      <c r="R13" s="6" t="n"/>
      <c r="S13" s="6">
        <f>IF(AND(Q13&lt;&gt;"",R13&lt;&gt;""),Q13*R13,"")</f>
        <v/>
      </c>
      <c r="T13" s="6">
        <f>IF(S13="",P13,S13)</f>
        <v/>
      </c>
      <c r="U13" s="7" t="n">
        <v>0</v>
      </c>
      <c r="V13" s="6">
        <f>$T13*U13</f>
        <v/>
      </c>
      <c r="W13" s="7" t="n">
        <v>0.75</v>
      </c>
      <c r="X13" s="6">
        <f>$T13*W13</f>
        <v/>
      </c>
      <c r="Y13" s="7" t="n">
        <v>0</v>
      </c>
      <c r="Z13" s="6">
        <f>$T13*Y13</f>
        <v/>
      </c>
      <c r="AA13" s="7" t="n">
        <v>0</v>
      </c>
      <c r="AB13" s="6">
        <f>$T13*AA13</f>
        <v/>
      </c>
      <c r="AC13" s="7" t="n">
        <v>0</v>
      </c>
      <c r="AD13" s="6">
        <f>$T13*AC13</f>
        <v/>
      </c>
      <c r="AE13" s="7" t="n">
        <v>0</v>
      </c>
      <c r="AF13" s="6">
        <f>$T13*AE13</f>
        <v/>
      </c>
      <c r="AG13" s="7" t="n">
        <v>0</v>
      </c>
      <c r="AH13" s="6">
        <f>$T13*AG13</f>
        <v/>
      </c>
      <c r="AI13" s="7">
        <f>U13+W13+Y13+AA13+AC13+AE13+AG13</f>
        <v/>
      </c>
      <c r="AJ13" s="6">
        <f>V13+X13+Z13+AB13+AD13+AF13+AH13</f>
        <v/>
      </c>
    </row>
    <row r="14" ht="60" customHeight="1" s="35">
      <c r="A14" s="3" t="inlineStr">
        <is>
          <t>LOM241.1U.04.110.0040.B</t>
        </is>
      </c>
      <c r="B14" s="4" t="inlineStr">
        <is>
          <t>3/4</t>
        </is>
      </c>
      <c r="C14" s="3" t="inlineStr">
        <is>
          <t>EDILE</t>
        </is>
      </c>
      <c r="D14" s="4" t="inlineStr">
        <is>
          <t>NON SPECIALE</t>
        </is>
      </c>
      <c r="E14" s="4" t="inlineStr">
        <is>
          <t>EDILI</t>
        </is>
      </c>
      <c r="F14" s="3" t="inlineStr">
        <is>
          <t>1_2025.11.20_CME REV07.PDF</t>
        </is>
      </c>
      <c r="G14" s="4" t="inlineStr">
        <is>
          <t>30</t>
        </is>
      </c>
      <c r="H14" s="3" t="inlineStr">
        <is>
          <t>10 - PREPARAZIONE</t>
        </is>
      </c>
      <c r="I14" s="3" t="inlineStr">
        <is>
          <t>NUOVI LABORATORI</t>
        </is>
      </c>
      <c r="J14" s="3" t="inlineStr">
        <is>
          <t>SCAVI E MOVIMENTI TERRA</t>
        </is>
      </c>
      <c r="K14" s="3" t="inlineStr">
        <is>
          <t>COMPATTAZIONE DEL PIANO DI POSA DELLA FONDAZIONE STRADALE, NEI TRATTI IN TRINCEA, FINO A RAGGIUNGERE IN OGNI PUNTO UN VALORE DELLA DENSITÀ NON MINORE DEL 95% DI QUELLA MASSIMA DELLA PROVA AASHO MODIFI</t>
        </is>
      </c>
      <c r="L14" s="3" t="inlineStr">
        <is>
          <t>COMPATTAZIONE DEL PIANO DI POSA DELLA FONDAZIONE STRADALE, NEI TRATTI IN TRINCEA, FINO A RAGGIUNGERE IN OGNI PUNTO UN VALORE DELLA DENSITÀ NON MINORE DEL 95% DI QUELLA MASSIMA DELLA PROVA AASHO MODIFICATA, ED UN VALORE DEL MODULO DI COMPRESSIBILITÀ ME NON MINORE DI 50 N/MM², COMPRESI GLI EVENTUALI INUMIDIMENTI O ESSICAMENTI NECESSARI NEI TRATTI IN TRINCEA: - SU STRATI DI TERRENO A4, A5, A2-6, A2-7, SENZA ASPORTAZIONE O SOSTITUZIONE, MA CON EVENTUALE CORREZIONE DEI MATERIALI IN SITO PER UNA PROFONDITÀ DI CM 20, CON TERRENI ARIDI DA CONTABILIZZARE A PARTE.</t>
        </is>
      </c>
      <c r="M14" s="4" t="inlineStr">
        <is>
          <t>M²</t>
        </is>
      </c>
      <c r="N14" s="5" t="n">
        <v>395</v>
      </c>
      <c r="O14" s="6" t="n">
        <v>1.76</v>
      </c>
      <c r="P14" s="6" t="n">
        <v>695.2</v>
      </c>
      <c r="Q14" s="5" t="n"/>
      <c r="R14" s="6" t="n"/>
      <c r="S14" s="6">
        <f>IF(AND(Q14&lt;&gt;"",R14&lt;&gt;""),Q14*R14,"")</f>
        <v/>
      </c>
      <c r="T14" s="6">
        <f>IF(S14="",P14,S14)</f>
        <v/>
      </c>
      <c r="U14" s="7" t="n">
        <v>0</v>
      </c>
      <c r="V14" s="6">
        <f>$T14*U14</f>
        <v/>
      </c>
      <c r="W14" s="7" t="n">
        <v>0</v>
      </c>
      <c r="X14" s="6">
        <f>$T14*W14</f>
        <v/>
      </c>
      <c r="Y14" s="7" t="n">
        <v>0</v>
      </c>
      <c r="Z14" s="6">
        <f>$T14*Y14</f>
        <v/>
      </c>
      <c r="AA14" s="7" t="n">
        <v>0</v>
      </c>
      <c r="AB14" s="6">
        <f>$T14*AA14</f>
        <v/>
      </c>
      <c r="AC14" s="7" t="n">
        <v>0</v>
      </c>
      <c r="AD14" s="6">
        <f>$T14*AC14</f>
        <v/>
      </c>
      <c r="AE14" s="7" t="n">
        <v>0</v>
      </c>
      <c r="AF14" s="6">
        <f>$T14*AE14</f>
        <v/>
      </c>
      <c r="AG14" s="7" t="n">
        <v>0</v>
      </c>
      <c r="AH14" s="6">
        <f>$T14*AG14</f>
        <v/>
      </c>
      <c r="AI14" s="7">
        <f>U14+W14+Y14+AA14+AC14+AE14+AG14</f>
        <v/>
      </c>
      <c r="AJ14" s="6">
        <f>V14+X14+Z14+AB14+AD14+AF14+AH14</f>
        <v/>
      </c>
    </row>
    <row r="15" ht="60" customHeight="1" s="35">
      <c r="A15" s="3" t="inlineStr">
        <is>
          <t>LOM241.OC.EEA.C09.A6400.NA000.0000.B</t>
        </is>
      </c>
      <c r="B15" s="4" t="inlineStr">
        <is>
          <t>2/2</t>
        </is>
      </c>
      <c r="C15" s="3" t="inlineStr">
        <is>
          <t>EDILE</t>
        </is>
      </c>
      <c r="D15" s="4" t="inlineStr">
        <is>
          <t>NON SPECIALE</t>
        </is>
      </c>
      <c r="E15" s="4" t="inlineStr">
        <is>
          <t>EDILI</t>
        </is>
      </c>
      <c r="F15" s="3" t="inlineStr">
        <is>
          <t>1_2025.11.20_CME REV07.PDF</t>
        </is>
      </c>
      <c r="G15" s="4" t="inlineStr">
        <is>
          <t>33</t>
        </is>
      </c>
      <c r="H15" s="3" t="inlineStr">
        <is>
          <t>10 - PREPARAZIONE</t>
        </is>
      </c>
      <c r="I15" s="3" t="inlineStr">
        <is>
          <t>NUOVI LABORATORI</t>
        </is>
      </c>
      <c r="J15" s="3" t="inlineStr">
        <is>
          <t>SCAVI E MOVIMENTI TERRA</t>
        </is>
      </c>
      <c r="K15" s="3" t="inlineStr">
        <is>
          <t xml:space="preserve">OPERA: SCOTICO DI TERRENO GENERICO. </t>
        </is>
      </c>
      <c r="L15" s="3" t="inlineStr">
        <is>
          <t>OPERA: SCOTICO DI TERRENO GENERICO. 
LAVORO: SCAVO CON MEZZI MECCANICI. INCLUSO: ESTIRPAZIONE ERBA, ARBUSTI, ALBERI DI PICCOLE DIMENSIONI; DEMOLIZIONE E RIMOZIONE RECINZIONI; CARICO E TRASPORTO TERRE AD IMPIANTO DI STOCCAGGIO, DI RECUPERO. 
SPECIFICHE TECNICHE: TERRENO DI NATURA GENERICA. 
COMPONENTI: 
OP1 OPERA: SCOTICO DI TERRENO GENERICO. 
SPECIFICHE TECNICHE: TERRENO DI NATURA GENERICA. 
RM2 TERRENO DI TERRENO GENERICO 
LV1 LAVORO: SCAVO CON MEZZI MECCANICI. INCLUSO: ESTIRPAZIONE ERBA, ARBUSTI, ALBERI DI PICCOLE DIMENSIONI; DEMOLIZIONE E RIMOZIONE RECINZIONI; CARICO E TRASPORTO TERRE AD IMPIANTO DI STOCCAGGIO, DI RECUPERO. 
RP2 AUTOCARRO A CASSONE RIBALTABILE; PORTATA [T] ≤ 1,5 
SPECIFICHE TECNICHE: CRITERIO DI MISURAZIONE: ORE DI PRESENZA IN CANTIERE</t>
        </is>
      </c>
      <c r="M15" s="4" t="inlineStr">
        <is>
          <t>M³</t>
        </is>
      </c>
      <c r="N15" s="5" t="n">
        <v>72</v>
      </c>
      <c r="O15" s="6" t="n">
        <v>11.76</v>
      </c>
      <c r="P15" s="6" t="n">
        <v>846.72</v>
      </c>
      <c r="Q15" s="5" t="n"/>
      <c r="R15" s="6" t="n"/>
      <c r="S15" s="6">
        <f>IF(AND(Q15&lt;&gt;"",R15&lt;&gt;""),Q15*R15,"")</f>
        <v/>
      </c>
      <c r="T15" s="6">
        <f>IF(S15="",P15,S15)</f>
        <v/>
      </c>
      <c r="U15" s="7" t="n">
        <v>0</v>
      </c>
      <c r="V15" s="6">
        <f>$T15*U15</f>
        <v/>
      </c>
      <c r="W15" s="7" t="n">
        <v>0</v>
      </c>
      <c r="X15" s="6">
        <f>$T15*W15</f>
        <v/>
      </c>
      <c r="Y15" s="7" t="n">
        <v>0</v>
      </c>
      <c r="Z15" s="6">
        <f>$T15*Y15</f>
        <v/>
      </c>
      <c r="AA15" s="7" t="n">
        <v>0</v>
      </c>
      <c r="AB15" s="6">
        <f>$T15*AA15</f>
        <v/>
      </c>
      <c r="AC15" s="7" t="n">
        <v>0</v>
      </c>
      <c r="AD15" s="6">
        <f>$T15*AC15</f>
        <v/>
      </c>
      <c r="AE15" s="7" t="n">
        <v>0</v>
      </c>
      <c r="AF15" s="6">
        <f>$T15*AE15</f>
        <v/>
      </c>
      <c r="AG15" s="7" t="n">
        <v>0</v>
      </c>
      <c r="AH15" s="6">
        <f>$T15*AG15</f>
        <v/>
      </c>
      <c r="AI15" s="7">
        <f>U15+W15+Y15+AA15+AC15+AE15+AG15</f>
        <v/>
      </c>
      <c r="AJ15" s="6">
        <f>V15+X15+Z15+AB15+AD15+AF15+AH15</f>
        <v/>
      </c>
    </row>
    <row r="16" ht="60" customHeight="1" s="35">
      <c r="A16" s="3" t="inlineStr">
        <is>
          <t>LOM241.1U.04.110.0040.B</t>
        </is>
      </c>
      <c r="B16" s="4" t="inlineStr">
        <is>
          <t>4/4</t>
        </is>
      </c>
      <c r="C16" s="3" t="inlineStr">
        <is>
          <t>EDILE</t>
        </is>
      </c>
      <c r="D16" s="4" t="inlineStr">
        <is>
          <t>NON SPECIALE</t>
        </is>
      </c>
      <c r="E16" s="4" t="inlineStr">
        <is>
          <t>EDILI</t>
        </is>
      </c>
      <c r="F16" s="3" t="inlineStr">
        <is>
          <t>1_2025.11.20_CME REV07.PDF</t>
        </is>
      </c>
      <c r="G16" s="4" t="inlineStr">
        <is>
          <t>35</t>
        </is>
      </c>
      <c r="H16" s="3" t="inlineStr">
        <is>
          <t>10 - PREPARAZIONE</t>
        </is>
      </c>
      <c r="I16" s="3" t="inlineStr">
        <is>
          <t>NUOVI LABORATORI</t>
        </is>
      </c>
      <c r="J16" s="3" t="inlineStr">
        <is>
          <t>SCAVI E MOVIMENTI TERRA</t>
        </is>
      </c>
      <c r="K16" s="3" t="inlineStr">
        <is>
          <t>COMPATTAZIONE DEL PIANO DI POSA DELLA FONDAZIONE STRADALE, NEI TRATTI IN TRINCEA, FINO A RAGGIUNGERE IN OGNI PUNTO UN VALORE DELLA DENSITÀ NON MINORE DEL 95% DI QUELLA MASSIMA DELLA PROVA AASHO MODIFI</t>
        </is>
      </c>
      <c r="L16" s="3" t="inlineStr">
        <is>
          <t>COMPATTAZIONE DEL PIANO DI POSA DELLA FONDAZIONE STRADALE, NEI TRATTI IN TRINCEA, FINO A RAGGIUNGERE IN OGNI PUNTO UN VALORE DELLA DENSITÀ NON MINORE DEL 95% DI QUELLA MASSIMA DELLA PROVA AASHO MODIFICATA, ED UN VALORE DEL MODULO DI COMPRESSIBILITÀ ME NON MINORE DI 50 N/MM², COMPRESI GLI EVENTUALI INUMIDIMENTI O ESSICAMENTI NECESSARI NEI TRATTI IN TRINCEA: - SU STRATI DI TERRENO A4, A5, A2-6, A2-7, SENZA ASPORTAZIONE O SOSTITUZIONE, MA CON EVENTUALE CORREZIONE DEI MATERIALI IN SITO PER UNA PROFONDITÀ DI CM 20, CON TERRENI ARIDI DA CONTABILIZZARE A PARTE.</t>
        </is>
      </c>
      <c r="M16" s="4" t="inlineStr">
        <is>
          <t>M²</t>
        </is>
      </c>
      <c r="N16" s="5" t="n">
        <v>240</v>
      </c>
      <c r="O16" s="6" t="n">
        <v>1.76</v>
      </c>
      <c r="P16" s="6" t="n">
        <v>422.4</v>
      </c>
      <c r="Q16" s="5" t="n"/>
      <c r="R16" s="6" t="n"/>
      <c r="S16" s="6">
        <f>IF(AND(Q16&lt;&gt;"",R16&lt;&gt;""),Q16*R16,"")</f>
        <v/>
      </c>
      <c r="T16" s="6">
        <f>IF(S16="",P16,S16)</f>
        <v/>
      </c>
      <c r="U16" s="7" t="n">
        <v>0</v>
      </c>
      <c r="V16" s="6">
        <f>$T16*U16</f>
        <v/>
      </c>
      <c r="W16" s="7" t="n">
        <v>0</v>
      </c>
      <c r="X16" s="6">
        <f>$T16*W16</f>
        <v/>
      </c>
      <c r="Y16" s="7" t="n">
        <v>0</v>
      </c>
      <c r="Z16" s="6">
        <f>$T16*Y16</f>
        <v/>
      </c>
      <c r="AA16" s="7" t="n">
        <v>0</v>
      </c>
      <c r="AB16" s="6">
        <f>$T16*AA16</f>
        <v/>
      </c>
      <c r="AC16" s="7" t="n">
        <v>0</v>
      </c>
      <c r="AD16" s="6">
        <f>$T16*AC16</f>
        <v/>
      </c>
      <c r="AE16" s="7" t="n">
        <v>0</v>
      </c>
      <c r="AF16" s="6">
        <f>$T16*AE16</f>
        <v/>
      </c>
      <c r="AG16" s="7" t="n">
        <v>0</v>
      </c>
      <c r="AH16" s="6">
        <f>$T16*AG16</f>
        <v/>
      </c>
      <c r="AI16" s="7">
        <f>U16+W16+Y16+AA16+AC16+AE16+AG16</f>
        <v/>
      </c>
      <c r="AJ16" s="6">
        <f>V16+X16+Z16+AB16+AD16+AF16+AH16</f>
        <v/>
      </c>
    </row>
    <row r="17" ht="60" customHeight="1" s="35">
      <c r="A17" s="3" t="inlineStr">
        <is>
          <t>LOM241.1U.06.040.0040.B</t>
        </is>
      </c>
      <c r="B17" s="4" t="inlineStr">
        <is>
          <t>1/1</t>
        </is>
      </c>
      <c r="C17" s="3" t="inlineStr">
        <is>
          <t>EDILE</t>
        </is>
      </c>
      <c r="D17" s="4" t="inlineStr">
        <is>
          <t>NON SPECIALE</t>
        </is>
      </c>
      <c r="E17" s="4" t="inlineStr">
        <is>
          <t>EDILI</t>
        </is>
      </c>
      <c r="F17" s="3" t="inlineStr">
        <is>
          <t>1_2025.11.20_CME REV07.PDF</t>
        </is>
      </c>
      <c r="G17" s="4" t="inlineStr">
        <is>
          <t>36</t>
        </is>
      </c>
      <c r="H17" s="3" t="inlineStr">
        <is>
          <t>10 - PREPARAZIONE</t>
        </is>
      </c>
      <c r="I17" s="3" t="inlineStr">
        <is>
          <t>NUOVI LABORATORI</t>
        </is>
      </c>
      <c r="J17" s="3" t="inlineStr">
        <is>
          <t>SCAVI E MOVIMENTI TERRA</t>
        </is>
      </c>
      <c r="K17" s="3" t="inlineStr">
        <is>
          <t xml:space="preserve">BIOSTUOIA ANTIEROSIONE BIODEGRADABILE COSTITUITA DA FIBRE VEGETALI CONFINATE DA DUE MICRORETI DI POLIPROPILENE FOTOSSIDABILI TRAPUNTATE, PRESEMINATE CON MISCUGLIO STANDARD, IN OPERA, COMPRESI TAGLI E </t>
        </is>
      </c>
      <c r="L17" s="3" t="inlineStr">
        <is>
          <t>BIOSTUOIA ANTIEROSIONE BIODEGRADABILE COSTITUITA DA FIBRE VEGETALI CONFINATE DA DUE MICRORETI DI POLIPROPILENE FOTOSSIDABILI TRAPUNTATE, PRESEMINATE CON MISCUGLIO STANDARD, IN OPERA, COMPRESI TAGLI E SFRIDI, CON SORMONTO DI 10 CM; NELLA VERSIONE: - 50% PAGLIA E 50% COCCO</t>
        </is>
      </c>
      <c r="M17" s="4" t="inlineStr">
        <is>
          <t>M²</t>
        </is>
      </c>
      <c r="N17" s="5" t="n">
        <v>790</v>
      </c>
      <c r="O17" s="6" t="n">
        <v>4.7</v>
      </c>
      <c r="P17" s="6" t="n">
        <v>3713</v>
      </c>
      <c r="Q17" s="5" t="n"/>
      <c r="R17" s="6" t="n"/>
      <c r="S17" s="6">
        <f>IF(AND(Q17&lt;&gt;"",R17&lt;&gt;""),Q17*R17,"")</f>
        <v/>
      </c>
      <c r="T17" s="6">
        <f>IF(S17="",P17,S17)</f>
        <v/>
      </c>
      <c r="U17" s="7" t="n">
        <v>0</v>
      </c>
      <c r="V17" s="6">
        <f>$T17*U17</f>
        <v/>
      </c>
      <c r="W17" s="7" t="n">
        <v>0.5</v>
      </c>
      <c r="X17" s="6">
        <f>$T17*W17</f>
        <v/>
      </c>
      <c r="Y17" s="7" t="n">
        <v>0</v>
      </c>
      <c r="Z17" s="6">
        <f>$T17*Y17</f>
        <v/>
      </c>
      <c r="AA17" s="7" t="n">
        <v>0</v>
      </c>
      <c r="AB17" s="6">
        <f>$T17*AA17</f>
        <v/>
      </c>
      <c r="AC17" s="7" t="n">
        <v>0</v>
      </c>
      <c r="AD17" s="6">
        <f>$T17*AC17</f>
        <v/>
      </c>
      <c r="AE17" s="7" t="n">
        <v>0</v>
      </c>
      <c r="AF17" s="6">
        <f>$T17*AE17</f>
        <v/>
      </c>
      <c r="AG17" s="7" t="n">
        <v>0</v>
      </c>
      <c r="AH17" s="6">
        <f>$T17*AG17</f>
        <v/>
      </c>
      <c r="AI17" s="7">
        <f>U17+W17+Y17+AA17+AC17+AE17+AG17</f>
        <v/>
      </c>
      <c r="AJ17" s="6">
        <f>V17+X17+Z17+AB17+AD17+AF17+AH17</f>
        <v/>
      </c>
    </row>
    <row r="18" ht="60" customHeight="1" s="35">
      <c r="A18" s="3" t="inlineStr">
        <is>
          <t>LOM241.1U.04.110.0090.A</t>
        </is>
      </c>
      <c r="B18" s="4" t="inlineStr">
        <is>
          <t>1/1</t>
        </is>
      </c>
      <c r="C18" s="3" t="inlineStr">
        <is>
          <t>EDILE</t>
        </is>
      </c>
      <c r="D18" s="4" t="inlineStr">
        <is>
          <t>NON SPECIALE</t>
        </is>
      </c>
      <c r="E18" s="4" t="inlineStr">
        <is>
          <t>EDILI</t>
        </is>
      </c>
      <c r="F18" s="3" t="inlineStr">
        <is>
          <t>1_2025.11.20_CME REV07.PDF</t>
        </is>
      </c>
      <c r="G18" s="4" t="inlineStr">
        <is>
          <t>37</t>
        </is>
      </c>
      <c r="H18" s="3" t="inlineStr">
        <is>
          <t>10 - PREPARAZIONE</t>
        </is>
      </c>
      <c r="I18" s="3" t="inlineStr">
        <is>
          <t>NUOVI LABORATORI</t>
        </is>
      </c>
      <c r="J18" s="3" t="inlineStr">
        <is>
          <t>SCAVI E MOVIMENTI TERRA</t>
        </is>
      </c>
      <c r="K18" s="3" t="inlineStr">
        <is>
          <t>FORNITURA E STESA DI TERRENO VEGETALE PER FORMAZIONE AIUOLE VERDE E PER RIVESTIMENTO SCARPATE IN TRINCEA, PROVENIENTE SIA DA DEPOSITI DI PROPRIETÀ DELL'AMMINISTRAZIONE CHE DIRETTAMENTE FORNITO DALL'IM</t>
        </is>
      </c>
      <c r="L18" s="3" t="inlineStr">
        <is>
          <t>FORNITURA E STESA DI TERRENO VEGETALE PER FORMAZIONE AIUOLE VERDE E PER RIVESTIMENTO SCARPATE IN TRINCEA, PROVENIENTE SIA DA DEPOSITI DI PROPRIETÀ DELL'AMMINISTRAZIONE CHE DIRETTAMENTE FORNITO DALL'IMPRESA DA QUALSIASI DISTANZA, PRONTO PER LA STESA ANCHE IN SCARPATA. IL TERRENO VEGETALE POTRÀ PROVENIRE DAGLI SCAVI DI SCOTICAMENTO, QUALORA NON SIA STATO POSSIBILE IL DIRETTO TRASFERIMENTO DALLO SCAVO AL SITO DI COLLOCAZIONE DEFINITIVA: - TERRENO VEGETALE FORNITO DALL'IMPRESA</t>
        </is>
      </c>
      <c r="M18" s="4" t="inlineStr">
        <is>
          <t>M³</t>
        </is>
      </c>
      <c r="N18" s="5" t="n">
        <v>103</v>
      </c>
      <c r="O18" s="6" t="n">
        <v>25.39</v>
      </c>
      <c r="P18" s="6" t="n">
        <v>2615.17</v>
      </c>
      <c r="Q18" s="5" t="n"/>
      <c r="R18" s="6" t="n"/>
      <c r="S18" s="6">
        <f>IF(AND(Q18&lt;&gt;"",R18&lt;&gt;""),Q18*R18,"")</f>
        <v/>
      </c>
      <c r="T18" s="6">
        <f>IF(S18="",P18,S18)</f>
        <v/>
      </c>
      <c r="U18" s="7" t="n">
        <v>0</v>
      </c>
      <c r="V18" s="6">
        <f>$T18*U18</f>
        <v/>
      </c>
      <c r="W18" s="7" t="n">
        <v>0.5</v>
      </c>
      <c r="X18" s="6">
        <f>$T18*W18</f>
        <v/>
      </c>
      <c r="Y18" s="7" t="n">
        <v>0</v>
      </c>
      <c r="Z18" s="6">
        <f>$T18*Y18</f>
        <v/>
      </c>
      <c r="AA18" s="7" t="n">
        <v>0</v>
      </c>
      <c r="AB18" s="6">
        <f>$T18*AA18</f>
        <v/>
      </c>
      <c r="AC18" s="7" t="n">
        <v>0</v>
      </c>
      <c r="AD18" s="6">
        <f>$T18*AC18</f>
        <v/>
      </c>
      <c r="AE18" s="7" t="n">
        <v>0</v>
      </c>
      <c r="AF18" s="6">
        <f>$T18*AE18</f>
        <v/>
      </c>
      <c r="AG18" s="7" t="n">
        <v>0</v>
      </c>
      <c r="AH18" s="6">
        <f>$T18*AG18</f>
        <v/>
      </c>
      <c r="AI18" s="7">
        <f>U18+W18+Y18+AA18+AC18+AE18+AG18</f>
        <v/>
      </c>
      <c r="AJ18" s="6">
        <f>V18+X18+Z18+AB18+AD18+AF18+AH18</f>
        <v/>
      </c>
    </row>
    <row r="19" ht="60" customHeight="1" s="35">
      <c r="A19" s="3" t="inlineStr">
        <is>
          <t>LOM241.OC.EEA.A10.A6415.J0001.0030</t>
        </is>
      </c>
      <c r="B19" s="4" t="inlineStr">
        <is>
          <t>1/2</t>
        </is>
      </c>
      <c r="C19" s="3" t="inlineStr">
        <is>
          <t>EDILE</t>
        </is>
      </c>
      <c r="D19" s="4" t="inlineStr">
        <is>
          <t>NON SPECIALE</t>
        </is>
      </c>
      <c r="E19" s="4" t="inlineStr">
        <is>
          <t>EDILI</t>
        </is>
      </c>
      <c r="F19" s="3" t="inlineStr">
        <is>
          <t>1_2025.11.20_CME REV07.PDF</t>
        </is>
      </c>
      <c r="G19" s="4" t="inlineStr">
        <is>
          <t>10</t>
        </is>
      </c>
      <c r="H19" s="3" t="inlineStr">
        <is>
          <t>30 - STRUTTURALE</t>
        </is>
      </c>
      <c r="I19" s="3" t="inlineStr">
        <is>
          <t>NUOVI LABORATORI</t>
        </is>
      </c>
      <c r="J19" s="3" t="inlineStr">
        <is>
          <t>OPERE PREFABBRICATE</t>
        </is>
      </c>
      <c r="K19" s="3" t="inlineStr">
        <is>
          <t xml:space="preserve">OPERA: SOTTOFONDAZIONE DI CONGLOMERATO CEMENTIZIO; RESISTENZA A COMPRESSIONE [CLASSE] = C16/20 | ESPOSIZIONE [CLASSE] = X0 | CONSISTENZA [CLASSE] = S3. </t>
        </is>
      </c>
      <c r="L19" s="3" t="inlineStr">
        <is>
          <t>OPERA: SOTTOFONDAZIONE DI CONGLOMERATO CEMENTIZIO; RESISTENZA A COMPRESSIONE [CLASSE] = C16/20 | ESPOSIZIONE [CLASSE] = X0 | CONSISTENZA [CLASSE] = S3. 
LAVORO: GETTO. 
COMPONENTI: 
OP1 OPERA: SOTTOFONDAZIONE DI CONGLOMERATO CEMENTIZIO; RESISTENZA A COMPRESSIONE [CLASSE] = C16/20 | ESPOSIZIONE [CLASSE] = X0 | CONSISTENZA [CLASSE] = S3. 
RM2 IMPASTO PRECONFEZIONATO DI CEMENTO GENERICO; GEOMETRIA/FORMA/ASPETTO: SFUSO; FUNZIONE: STRUTTURALE | NON STRUTTURALE | DRENANTE; IMPIEGO: CONGLOMERATO CEMENTIZIO; CLASSE DI CONSISTENZA [CLASSE] = S3 | CLASSE DI RESISTENZA [CLASSE] = C16/20 | CLASSE DI ESPOSIZIONE [CLASSE] = X0 
SPECIFICHE TECNICHE: UTILIZZATO IN STRUTTURE ORDINARIE E MANUFATTI NON STRUTTURALI 
LV1 LAVORO: GETTO. 
RP2 GRU A TORRE A ROTAZIONE IN ALTO; ALTEZZA SOTTO GANCIO [M] ≤ 34,0 | SBRACCIO [M] ≤ 31,0; PORTATA [T] ≤ 1,0; ESCLUSO: F.E.M., ESCLUSO BASAMENTO 
SPECIFICHE TECNICHE: GIÀ INSTALLATA; CRITERIO DI MISURAZIONE: GIORNO DI PRESENZA IN CANTIERE</t>
        </is>
      </c>
      <c r="M19" s="4" t="inlineStr">
        <is>
          <t>M³</t>
        </is>
      </c>
      <c r="N19" s="5" t="n">
        <v>99.06</v>
      </c>
      <c r="O19" s="6" t="n">
        <v>127.31</v>
      </c>
      <c r="P19" s="6" t="n">
        <v>12611.33</v>
      </c>
      <c r="Q19" s="5" t="n"/>
      <c r="R19" s="6" t="n"/>
      <c r="S19" s="6">
        <f>IF(AND(Q19&lt;&gt;"",R19&lt;&gt;""),Q19*R19,"")</f>
        <v/>
      </c>
      <c r="T19" s="6">
        <f>IF(S19="",P19,S19)</f>
        <v/>
      </c>
      <c r="U19" s="7" t="n">
        <v>0.9</v>
      </c>
      <c r="V19" s="6">
        <f>$T19*U19</f>
        <v/>
      </c>
      <c r="W19" s="7" t="n">
        <v>0</v>
      </c>
      <c r="X19" s="6">
        <f>$T19*W19</f>
        <v/>
      </c>
      <c r="Y19" s="7" t="n">
        <v>0</v>
      </c>
      <c r="Z19" s="6">
        <f>$T19*Y19</f>
        <v/>
      </c>
      <c r="AA19" s="7" t="n">
        <v>0</v>
      </c>
      <c r="AB19" s="6">
        <f>$T19*AA19</f>
        <v/>
      </c>
      <c r="AC19" s="7" t="n">
        <v>0</v>
      </c>
      <c r="AD19" s="6">
        <f>$T19*AC19</f>
        <v/>
      </c>
      <c r="AE19" s="7" t="n">
        <v>0</v>
      </c>
      <c r="AF19" s="6">
        <f>$T19*AE19</f>
        <v/>
      </c>
      <c r="AG19" s="7" t="n">
        <v>0</v>
      </c>
      <c r="AH19" s="6">
        <f>$T19*AG19</f>
        <v/>
      </c>
      <c r="AI19" s="7">
        <f>U19+W19+Y19+AA19+AC19+AE19+AG19</f>
        <v/>
      </c>
      <c r="AJ19" s="6">
        <f>V19+X19+Z19+AB19+AD19+AF19+AH19</f>
        <v/>
      </c>
    </row>
    <row r="20" ht="60" customHeight="1" s="35">
      <c r="A20" s="3" t="inlineStr">
        <is>
          <t>LOM241.LP.EEA.A04.A1020.QA000.0005</t>
        </is>
      </c>
      <c r="B20" s="4" t="inlineStr">
        <is>
          <t>1/2</t>
        </is>
      </c>
      <c r="C20" s="3" t="inlineStr">
        <is>
          <t>EDILE</t>
        </is>
      </c>
      <c r="D20" s="4" t="inlineStr">
        <is>
          <t>NON SPECIALE</t>
        </is>
      </c>
      <c r="E20" s="4" t="inlineStr">
        <is>
          <t>EDILI</t>
        </is>
      </c>
      <c r="F20" s="3" t="inlineStr">
        <is>
          <t>1_2025.11.20_CME REV07.PDF</t>
        </is>
      </c>
      <c r="G20" s="4" t="inlineStr">
        <is>
          <t>11</t>
        </is>
      </c>
      <c r="H20" s="3" t="inlineStr">
        <is>
          <t>30 - STRUTTURALE</t>
        </is>
      </c>
      <c r="I20" s="3" t="inlineStr">
        <is>
          <t>NUOVI LABORATORI</t>
        </is>
      </c>
      <c r="J20" s="3" t="inlineStr">
        <is>
          <t>OPERE IN C.A.</t>
        </is>
      </c>
      <c r="K20" s="3" t="inlineStr">
        <is>
          <t xml:space="preserve">OPERA STRUMENTALE: CASSAFORMA; TRADIZIONALE DI LEGNO NATURALE GENERICO; IMPIEGO: FONDAZIONI PUNTUALI; SPESSORE [M] = 0,025 ÷ 0,027. INCLUSO: DISARMANTE, CHIODI. </t>
        </is>
      </c>
      <c r="L20" s="3" t="inlineStr">
        <is>
          <t>OPERA STRUMENTALE: CASSAFORMA; TRADIZIONALE DI LEGNO NATURALE GENERICO; IMPIEGO: FONDAZIONI PUNTUALI; SPESSORE [M] = 0,025 ÷ 0,027. INCLUSO: DISARMANTE, CHIODI. 
LAVORO: FORMAZIONE. 
COMPONENTI: 
OS1 OPERA STRUMENTALE: CASSAFORMA; TRADIZIONALE DI LEGNO NATURALE GENERICO; IMPIEGO: FONDAZIONI PUNTUALI; SPESSORE [M] = 0,025 ÷ 0,027. INCLUSO: DISARMANTE, CHIODI. 
RT2 CASSAFORMA TRADIZIONALE IN LEGNO; IMPIEGO: FONDAZIONI PUNTUALI; INCLUSO: OGNI ELEMENTO NECESSARIO AL SUO COMPLETAMENTO (ES.: SOTTOMISURE IN LEGNO DI ABETE O PANNELLI COMPENSATI MULTISTRATO, PICCHETTI, FILO DI FERRO, TRAVI SQUADRATE DI LEGNO, ORDITURA METALLICA D'IRRIGIDIMENTO, SBADACCHI, DISARMANTE, CHIODI) 
SPECIFICHE TECNICHE: SPESSORE PARAMENTO [M] = 0,025 ÷ 0,027; CRITERIO DI MISURAZIONE: VALUTATO A SUPERFICIE EFFETTIVA BAGNATA DAL GETTO 
LV1 LAVORO: FORMAZIONE.</t>
        </is>
      </c>
      <c r="M20" s="4" t="inlineStr">
        <is>
          <t>M²</t>
        </is>
      </c>
      <c r="N20" s="5" t="n">
        <v>925.08</v>
      </c>
      <c r="O20" s="6" t="n">
        <v>34.77</v>
      </c>
      <c r="P20" s="6" t="n">
        <v>32165.03</v>
      </c>
      <c r="Q20" s="5" t="n"/>
      <c r="R20" s="6" t="n"/>
      <c r="S20" s="6">
        <f>IF(AND(Q20&lt;&gt;"",R20&lt;&gt;""),Q20*R20,"")</f>
        <v/>
      </c>
      <c r="T20" s="6">
        <f>IF(S20="",P20,S20)</f>
        <v/>
      </c>
      <c r="U20" s="7" t="n">
        <v>0.8</v>
      </c>
      <c r="V20" s="6">
        <f>$T20*U20</f>
        <v/>
      </c>
      <c r="W20" s="7" t="n">
        <v>0.15</v>
      </c>
      <c r="X20" s="6">
        <f>$T20*W20</f>
        <v/>
      </c>
      <c r="Y20" s="7" t="n">
        <v>0</v>
      </c>
      <c r="Z20" s="6">
        <f>$T20*Y20</f>
        <v/>
      </c>
      <c r="AA20" s="7" t="n">
        <v>0</v>
      </c>
      <c r="AB20" s="6">
        <f>$T20*AA20</f>
        <v/>
      </c>
      <c r="AC20" s="7" t="n">
        <v>0</v>
      </c>
      <c r="AD20" s="6">
        <f>$T20*AC20</f>
        <v/>
      </c>
      <c r="AE20" s="7" t="n">
        <v>0</v>
      </c>
      <c r="AF20" s="6">
        <f>$T20*AE20</f>
        <v/>
      </c>
      <c r="AG20" s="7" t="n">
        <v>0</v>
      </c>
      <c r="AH20" s="6">
        <f>$T20*AG20</f>
        <v/>
      </c>
      <c r="AI20" s="7">
        <f>U20+W20+Y20+AA20+AC20+AE20+AG20</f>
        <v/>
      </c>
      <c r="AJ20" s="6">
        <f>V20+X20+Z20+AB20+AD20+AF20+AH20</f>
        <v/>
      </c>
    </row>
    <row r="21" ht="60" customHeight="1" s="35">
      <c r="A21" s="3" t="inlineStr">
        <is>
          <t>LOM241.OC.EEA.A10.E0000.J0001.0080.A</t>
        </is>
      </c>
      <c r="B21" s="4" t="inlineStr">
        <is>
          <t>1/3</t>
        </is>
      </c>
      <c r="C21" s="3" t="inlineStr">
        <is>
          <t>EDILE</t>
        </is>
      </c>
      <c r="D21" s="4" t="inlineStr">
        <is>
          <t>NON SPECIALE</t>
        </is>
      </c>
      <c r="E21" s="4" t="inlineStr">
        <is>
          <t>EDILI</t>
        </is>
      </c>
      <c r="F21" s="3" t="inlineStr">
        <is>
          <t>1_2025.11.20_CME REV07.PDF</t>
        </is>
      </c>
      <c r="G21" s="4" t="inlineStr">
        <is>
          <t>12</t>
        </is>
      </c>
      <c r="H21" s="3" t="inlineStr">
        <is>
          <t>30 - STRUTTURALE</t>
        </is>
      </c>
      <c r="I21" s="3" t="inlineStr">
        <is>
          <t>NUOVI LABORATORI</t>
        </is>
      </c>
      <c r="J21" s="3" t="inlineStr">
        <is>
          <t>OPERE IN C.A.</t>
        </is>
      </c>
      <c r="K21" s="3" t="inlineStr">
        <is>
          <t>OPERA: STRUTTURA DI CONGLOMERATO CEMENTIZIO; IMPIEGO: PILASTRI | TRAVI | CORREE | SOLETTE | MURATURE VANI SCALA-ASCENSORI; SPESSORE [CM] ≥ 17; RESISTENZA A COMPRESSIONE [CLASSE] = C30/37 | ESPOSIZIONE</t>
        </is>
      </c>
      <c r="L21" s="3" t="inlineStr">
        <is>
          <t>OPERA: STRUTTURA DI CONGLOMERATO CEMENTIZIO; IMPIEGO: PILASTRI | TRAVI | CORREE | SOLETTE | MURATURE VANI SCALA-ASCENSORI; SPESSORE [CM] ≥ 17; RESISTENZA A COMPRESSIONE [CLASSE] = C30/37 | ESPOSIZIONE [CLASSE] = XC1/XC2. 
LAVORO: GETTO CON GRU. INCLUSO: VIBRATURA. ESCLUSO: CASSERI; FERRO. 
COMPONENTI: 
OP1 OPERA: STRUTTURA DI CONGLOMERATO CEMENTIZIO; IMPIEGO: PILASTRI | TRAVI | CORREE | SOLETTE | MURATURE VANI SCALA-ASCENSORI; SPESSORE [CM] ≥ 17; RESISTENZA A COMPRESSIONE [CLASSE] = C30/37 | ESPOSIZIONE [CLASSE] = XC1/XC2. 
RM2 IMPASTO PRECONFEZIONATO DI CEMENTO GENERICO; GEOMETRIA/FORMA/ASPETTO: SFUSO; FUNZIONE: STRUTTURALE; IMPIEGO: CONGLOMERATO CEMENTIZIO; FORNITURA: AUTOBETONIERA; CLASSE DI CONSISTENZA [CLASSE] = S4 | CLASSE DI RESISTENZA [CLASSE] = C30/37 | CLASSE DI ESPOSIZIONE [CLASSE] = XC1/XC2 
SPECIFICHE TECNICHE: CONFEZIONATO IN IMPIANTO DI BETONAGGIO, MATERIE PRIME IN POSSESSO DI MARCATURA CE 
LV1 LAVORO: GETTO CON GRU. INCLUSO: VIBRATURA. ESCLUSO: CASSERI; FERRO. 
RP2 VIBRATORE PER CALCESTRUZZO; DIAMETRO TESTA [MM] = 45 ; POTENZA [KW] = 1; PESO [KG] = 14 
SPECIFICHE TECNICHE: CRITERIO DI MISURAZIONE: ORE DI PRESENZA IN CANTIERE 
RP2 GRU A TORRE A ROTAZIONE IN ALTO; ALTEZZA SOTTO GANCIO [M] ≤ 34,0 | SBRACCIO [M] ≤ 31,0; PORTATA [T] ≤ 1,0; ESCLUSO: F.E.M., ESCLUSO BASAMENTO 
SPECIFICHE TECNICHE: GIÀ INSTALLATA; CRITERIO DI MISURAZIONE: GIORNO DI PRESENZA IN CANTIERE</t>
        </is>
      </c>
      <c r="M21" s="4" t="inlineStr">
        <is>
          <t>M³</t>
        </is>
      </c>
      <c r="N21" s="5" t="n">
        <v>320.09</v>
      </c>
      <c r="O21" s="6" t="n">
        <v>152</v>
      </c>
      <c r="P21" s="6" t="n">
        <v>48653.68</v>
      </c>
      <c r="Q21" s="5" t="n"/>
      <c r="R21" s="6" t="n"/>
      <c r="S21" s="6">
        <f>IF(AND(Q21&lt;&gt;"",R21&lt;&gt;""),Q21*R21,"")</f>
        <v/>
      </c>
      <c r="T21" s="6">
        <f>IF(S21="",P21,S21)</f>
        <v/>
      </c>
      <c r="U21" s="7" t="n">
        <v>1</v>
      </c>
      <c r="V21" s="6">
        <f>$T21*U21</f>
        <v/>
      </c>
      <c r="W21" s="7" t="n">
        <v>0</v>
      </c>
      <c r="X21" s="6">
        <f>$T21*W21</f>
        <v/>
      </c>
      <c r="Y21" s="7" t="n">
        <v>0</v>
      </c>
      <c r="Z21" s="6">
        <f>$T21*Y21</f>
        <v/>
      </c>
      <c r="AA21" s="7" t="n">
        <v>0</v>
      </c>
      <c r="AB21" s="6">
        <f>$T21*AA21</f>
        <v/>
      </c>
      <c r="AC21" s="7" t="n">
        <v>0</v>
      </c>
      <c r="AD21" s="6">
        <f>$T21*AC21</f>
        <v/>
      </c>
      <c r="AE21" s="7" t="n">
        <v>0</v>
      </c>
      <c r="AF21" s="6">
        <f>$T21*AE21</f>
        <v/>
      </c>
      <c r="AG21" s="7" t="n">
        <v>0</v>
      </c>
      <c r="AH21" s="6">
        <f>$T21*AG21</f>
        <v/>
      </c>
      <c r="AI21" s="7">
        <f>U21+W21+Y21+AA21+AC21+AE21+AG21</f>
        <v/>
      </c>
      <c r="AJ21" s="6">
        <f>V21+X21+Z21+AB21+AD21+AF21+AH21</f>
        <v/>
      </c>
    </row>
    <row r="22" ht="60" customHeight="1" s="35">
      <c r="A22" s="3" t="inlineStr">
        <is>
          <t>LOM241.OC.EEA.A10.E0000.J0001.0080.A</t>
        </is>
      </c>
      <c r="B22" s="4" t="inlineStr">
        <is>
          <t>2/3</t>
        </is>
      </c>
      <c r="C22" s="3" t="inlineStr">
        <is>
          <t>EDILE</t>
        </is>
      </c>
      <c r="D22" s="4" t="inlineStr">
        <is>
          <t>NON SPECIALE</t>
        </is>
      </c>
      <c r="E22" s="4" t="inlineStr">
        <is>
          <t>EDILI</t>
        </is>
      </c>
      <c r="F22" s="3" t="inlineStr">
        <is>
          <t>1_2025.11.20_CME REV07.PDF</t>
        </is>
      </c>
      <c r="G22" s="4" t="inlineStr">
        <is>
          <t>13</t>
        </is>
      </c>
      <c r="H22" s="3" t="inlineStr">
        <is>
          <t>30 - STRUTTURALE</t>
        </is>
      </c>
      <c r="I22" s="3" t="inlineStr">
        <is>
          <t>NUOVI LABORATORI</t>
        </is>
      </c>
      <c r="J22" s="3" t="inlineStr">
        <is>
          <t>OPERE IN C.A.</t>
        </is>
      </c>
      <c r="K22" s="3" t="inlineStr">
        <is>
          <t>OPERA: STRUTTURA DI CONGLOMERATO CEMENTIZIO; IMPIEGO: PILASTRI | TRAVI | CORREE | SOLETTE | MURATURE VANI SCALA-ASCENSORI; SPESSORE [CM] ≥ 17; RESISTENZA A COMPRESSIONE [CLASSE] = C30/37 | ESPOSIZIONE</t>
        </is>
      </c>
      <c r="L22" s="3" t="inlineStr">
        <is>
          <t>OPERA: STRUTTURA DI CONGLOMERATO CEMENTIZIO; IMPIEGO: PILASTRI | TRAVI | CORREE | SOLETTE | MURATURE VANI SCALA-ASCENSORI; SPESSORE [CM] ≥ 17; RESISTENZA A COMPRESSIONE [CLASSE] = C30/37 | ESPOSIZIONE [CLASSE] = XC1/XC2. 
LAVORO: GETTO CON GRU. INCLUSO: VIBRATURA. ESCLUSO: CASSERI; FERRO. 
COMPONENTI: 
OP1 OPERA: STRUTTURA DI CONGLOMERATO CEMENTIZIO; IMPIEGO: PILASTRI | TRAVI | CORREE | SOLETTE | MURATURE VANI SCALA-ASCENSORI; SPESSORE [CM] ≥ 17; RESISTENZA A COMPRESSIONE [CLASSE] = C30/37 | ESPOSIZIONE [CLASSE] = XC1/XC2. 
RM2 IMPASTO PRECONFEZIONATO DI CEMENTO GENERICO; GEOMETRIA/FORMA/ASPETTO: SFUSO; FUNZIONE: STRUTTURALE; IMPIEGO: CONGLOMERATO CEMENTIZIO; FORNITURA: AUTOBETONIERA; CLASSE DI CONSISTENZA [CLASSE] = S4 | CLASSE DI RESISTENZA [CLASSE] = C30/37 | CLASSE DI ESPOSIZIONE [CLASSE] = XC1/XC2 
SPECIFICHE TECNICHE: CONFEZIONATO IN IMPIANTO DI BETONAGGIO, MATERIE PRIME IN POSSESSO DI MARCATURA CE 
LV1 LAVORO: GETTO CON GRU. INCLUSO: VIBRATURA. ESCLUSO: CASSERI; FERRO. 
RP2 VIBRATORE PER CALCESTRUZZO; DIAMETRO TESTA [MM] = 45 ; POTENZA [KW] = 1; PESO [KG] = 14 
SPECIFICHE TECNICHE: CRITERIO DI MISURAZIONE: ORE DI PRESENZA IN CANTIERE 
RP2 GRU A TORRE A ROTAZIONE IN ALTO; ALTEZZA SOTTO GANCIO [M] ≤ 34,0 | SBRACCIO [M] ≤ 31,0; PORTATA [T] ≤ 1,0; ESCLUSO: F.E.M., ESCLUSO BASAMENTO 
SPECIFICHE TECNICHE: GIÀ INSTALLATA; CRITERIO DI MISURAZIONE: GIORNO DI PRESENZA IN CANTIERE</t>
        </is>
      </c>
      <c r="M22" s="4" t="inlineStr">
        <is>
          <t>M³</t>
        </is>
      </c>
      <c r="N22" s="5" t="n">
        <v>239.9</v>
      </c>
      <c r="O22" s="6" t="n">
        <v>152</v>
      </c>
      <c r="P22" s="6" t="n">
        <v>36464.8</v>
      </c>
      <c r="Q22" s="5" t="n"/>
      <c r="R22" s="6" t="n"/>
      <c r="S22" s="6">
        <f>IF(AND(Q22&lt;&gt;"",R22&lt;&gt;""),Q22*R22,"")</f>
        <v/>
      </c>
      <c r="T22" s="6">
        <f>IF(S22="",P22,S22)</f>
        <v/>
      </c>
      <c r="U22" s="7" t="n">
        <v>0.5</v>
      </c>
      <c r="V22" s="6">
        <f>$T22*U22</f>
        <v/>
      </c>
      <c r="W22" s="7" t="n">
        <v>0.45</v>
      </c>
      <c r="X22" s="6">
        <f>$T22*W22</f>
        <v/>
      </c>
      <c r="Y22" s="7" t="n">
        <v>0</v>
      </c>
      <c r="Z22" s="6">
        <f>$T22*Y22</f>
        <v/>
      </c>
      <c r="AA22" s="7" t="n">
        <v>0</v>
      </c>
      <c r="AB22" s="6">
        <f>$T22*AA22</f>
        <v/>
      </c>
      <c r="AC22" s="7" t="n">
        <v>0</v>
      </c>
      <c r="AD22" s="6">
        <f>$T22*AC22</f>
        <v/>
      </c>
      <c r="AE22" s="7" t="n">
        <v>0</v>
      </c>
      <c r="AF22" s="6">
        <f>$T22*AE22</f>
        <v/>
      </c>
      <c r="AG22" s="7" t="n">
        <v>0</v>
      </c>
      <c r="AH22" s="6">
        <f>$T22*AG22</f>
        <v/>
      </c>
      <c r="AI22" s="7">
        <f>U22+W22+Y22+AA22+AC22+AE22+AG22</f>
        <v/>
      </c>
      <c r="AJ22" s="6">
        <f>V22+X22+Z22+AB22+AD22+AF22+AH22</f>
        <v/>
      </c>
    </row>
    <row r="23" ht="60" customHeight="1" s="35">
      <c r="A23" s="3" t="inlineStr">
        <is>
          <t>LOM241.OC.EEA.A02.E9700.SB017.0255</t>
        </is>
      </c>
      <c r="B23" s="4" t="inlineStr">
        <is>
          <t>1/3</t>
        </is>
      </c>
      <c r="C23" s="3" t="inlineStr">
        <is>
          <t>EDILE</t>
        </is>
      </c>
      <c r="D23" s="4" t="inlineStr">
        <is>
          <t>NON SPECIALE</t>
        </is>
      </c>
      <c r="E23" s="4" t="inlineStr">
        <is>
          <t>EDILI</t>
        </is>
      </c>
      <c r="F23" s="3" t="inlineStr">
        <is>
          <t>1_2025.11.20_CME REV07.PDF</t>
        </is>
      </c>
      <c r="G23" s="4" t="inlineStr">
        <is>
          <t>14</t>
        </is>
      </c>
      <c r="H23" s="3" t="inlineStr">
        <is>
          <t>30 - STRUTTURALE</t>
        </is>
      </c>
      <c r="I23" s="3" t="inlineStr">
        <is>
          <t>NUOVI LABORATORI</t>
        </is>
      </c>
      <c r="J23" s="3" t="inlineStr">
        <is>
          <t>OPERE IN C.A.</t>
        </is>
      </c>
      <c r="K23" s="3" t="inlineStr">
        <is>
          <t xml:space="preserve">OPERA: ARMATURA, BARRE NERVATE DI LEGA FERROSA ACCIAIO B450C; IMPIEGO: STRUTTURE IN CEMENTO ARMATO. INCLUSO: SORMONTI; SFRIDO; LEGATURE. </t>
        </is>
      </c>
      <c r="L23" s="3" t="inlineStr">
        <is>
          <t>OPERA: ARMATURA, BARRE NERVATE DI LEGA FERROSA ACCIAIO B450C; IMPIEGO: STRUTTURE IN CEMENTO ARMATO. INCLUSO: SORMONTI; SFRIDO; LEGATURE. 
LAVORO: POSA. 
COMPONENTI: 
OP1 OPERA: ARMATURA, BARRE NERVATE DI LEGA FERROSA ACCIAIO B450C; IMPIEGO: STRUTTURE IN CEMENTO ARMATO. INCLUSO: SORMONTI; SFRIDO; LEGATURE. 
RM2 BARRA NERVATA DI LEGA FERROSA ACCIAIO B450C; FUNZIONE: STRUTTURALE; IMPIEGO: STRUTTURE C.A. 
SPECIFICHE TECNICHE: PRODOTTO CON SISTEMI DI CONTROLLO DI PRODUZIONE IN STABILIMENTO 
RM2 FERRAMENTA FILO DI METALLO FERRO 
SPECIFICHE TECNICHE: FILO DI METALLO FERRO COTTO 
LV1 LAVORO: POSA.</t>
        </is>
      </c>
      <c r="M23" s="4" t="inlineStr">
        <is>
          <t>KG</t>
        </is>
      </c>
      <c r="N23" s="5" t="n">
        <v>38410.8</v>
      </c>
      <c r="O23" s="6" t="n">
        <v>1.27</v>
      </c>
      <c r="P23" s="6" t="n">
        <v>48781.72</v>
      </c>
      <c r="Q23" s="5" t="n"/>
      <c r="R23" s="6" t="n"/>
      <c r="S23" s="6">
        <f>IF(AND(Q23&lt;&gt;"",R23&lt;&gt;""),Q23*R23,"")</f>
        <v/>
      </c>
      <c r="T23" s="6">
        <f>IF(S23="",P23,S23)</f>
        <v/>
      </c>
      <c r="U23" s="7" t="n">
        <v>1</v>
      </c>
      <c r="V23" s="6">
        <f>$T23*U23</f>
        <v/>
      </c>
      <c r="W23" s="7" t="n">
        <v>0</v>
      </c>
      <c r="X23" s="6">
        <f>$T23*W23</f>
        <v/>
      </c>
      <c r="Y23" s="7" t="n">
        <v>0</v>
      </c>
      <c r="Z23" s="6">
        <f>$T23*Y23</f>
        <v/>
      </c>
      <c r="AA23" s="7" t="n">
        <v>0</v>
      </c>
      <c r="AB23" s="6">
        <f>$T23*AA23</f>
        <v/>
      </c>
      <c r="AC23" s="7" t="n">
        <v>0</v>
      </c>
      <c r="AD23" s="6">
        <f>$T23*AC23</f>
        <v/>
      </c>
      <c r="AE23" s="7" t="n">
        <v>0</v>
      </c>
      <c r="AF23" s="6">
        <f>$T23*AE23</f>
        <v/>
      </c>
      <c r="AG23" s="7" t="n">
        <v>0</v>
      </c>
      <c r="AH23" s="6">
        <f>$T23*AG23</f>
        <v/>
      </c>
      <c r="AI23" s="7">
        <f>U23+W23+Y23+AA23+AC23+AE23+AG23</f>
        <v/>
      </c>
      <c r="AJ23" s="6">
        <f>V23+X23+Z23+AB23+AD23+AF23+AH23</f>
        <v/>
      </c>
    </row>
    <row r="24" ht="60" customHeight="1" s="35">
      <c r="A24" s="3" t="inlineStr">
        <is>
          <t>LOM241.OC.EEA.A02.E9700.SB017.0255</t>
        </is>
      </c>
      <c r="B24" s="4" t="inlineStr">
        <is>
          <t>2/3</t>
        </is>
      </c>
      <c r="C24" s="3" t="inlineStr">
        <is>
          <t>EDILE</t>
        </is>
      </c>
      <c r="D24" s="4" t="inlineStr">
        <is>
          <t>NON SPECIALE</t>
        </is>
      </c>
      <c r="E24" s="4" t="inlineStr">
        <is>
          <t>EDILI</t>
        </is>
      </c>
      <c r="F24" s="3" t="inlineStr">
        <is>
          <t>1_2025.11.20_CME REV07.PDF</t>
        </is>
      </c>
      <c r="G24" s="4" t="inlineStr">
        <is>
          <t>15</t>
        </is>
      </c>
      <c r="H24" s="3" t="inlineStr">
        <is>
          <t>30 - STRUTTURALE</t>
        </is>
      </c>
      <c r="I24" s="3" t="inlineStr">
        <is>
          <t>NUOVI LABORATORI</t>
        </is>
      </c>
      <c r="J24" s="3" t="inlineStr">
        <is>
          <t>OPERE IN C.A.</t>
        </is>
      </c>
      <c r="K24" s="3" t="inlineStr">
        <is>
          <t xml:space="preserve">OPERA: ARMATURA, BARRE NERVATE DI LEGA FERROSA ACCIAIO B450C; IMPIEGO: STRUTTURE IN CEMENTO ARMATO. INCLUSO: SORMONTI; SFRIDO; LEGATURE. </t>
        </is>
      </c>
      <c r="L24" s="3" t="inlineStr">
        <is>
          <t>OPERA: ARMATURA, BARRE NERVATE DI LEGA FERROSA ACCIAIO B450C; IMPIEGO: STRUTTURE IN CEMENTO ARMATO. INCLUSO: SORMONTI; SFRIDO; LEGATURE. 
LAVORO: POSA. 
COMPONENTI: 
OP1 OPERA: ARMATURA, BARRE NERVATE DI LEGA FERROSA ACCIAIO B450C; IMPIEGO: STRUTTURE IN CEMENTO ARMATO. INCLUSO: SORMONTI; SFRIDO; LEGATURE. 
RM2 BARRA NERVATA DI LEGA FERROSA ACCIAIO B450C; FUNZIONE: STRUTTURALE; IMPIEGO: STRUTTURE C.A. 
SPECIFICHE TECNICHE: PRODOTTO CON SISTEMI DI CONTROLLO DI PRODUZIONE IN STABILIMENTO 
RM2 FERRAMENTA FILO DI METALLO FERRO 
SPECIFICHE TECNICHE: FILO DI METALLO FERRO COTTO 
LV1 LAVORO: POSA.</t>
        </is>
      </c>
      <c r="M24" s="4" t="inlineStr">
        <is>
          <t>KG</t>
        </is>
      </c>
      <c r="N24" s="5" t="n">
        <v>28800</v>
      </c>
      <c r="O24" s="6" t="n">
        <v>1.27</v>
      </c>
      <c r="P24" s="6" t="n">
        <v>36576</v>
      </c>
      <c r="Q24" s="5" t="n"/>
      <c r="R24" s="6" t="n"/>
      <c r="S24" s="6">
        <f>IF(AND(Q24&lt;&gt;"",R24&lt;&gt;""),Q24*R24,"")</f>
        <v/>
      </c>
      <c r="T24" s="6">
        <f>IF(S24="",P24,S24)</f>
        <v/>
      </c>
      <c r="U24" s="7" t="n">
        <v>0.75</v>
      </c>
      <c r="V24" s="6">
        <f>$T24*U24</f>
        <v/>
      </c>
      <c r="W24" s="7" t="n">
        <v>0.2</v>
      </c>
      <c r="X24" s="6">
        <f>$T24*W24</f>
        <v/>
      </c>
      <c r="Y24" s="7" t="n">
        <v>0</v>
      </c>
      <c r="Z24" s="6">
        <f>$T24*Y24</f>
        <v/>
      </c>
      <c r="AA24" s="7" t="n">
        <v>0</v>
      </c>
      <c r="AB24" s="6">
        <f>$T24*AA24</f>
        <v/>
      </c>
      <c r="AC24" s="7" t="n">
        <v>0</v>
      </c>
      <c r="AD24" s="6">
        <f>$T24*AC24</f>
        <v/>
      </c>
      <c r="AE24" s="7" t="n">
        <v>0</v>
      </c>
      <c r="AF24" s="6">
        <f>$T24*AE24</f>
        <v/>
      </c>
      <c r="AG24" s="7" t="n">
        <v>0</v>
      </c>
      <c r="AH24" s="6">
        <f>$T24*AG24</f>
        <v/>
      </c>
      <c r="AI24" s="7">
        <f>U24+W24+Y24+AA24+AC24+AE24+AG24</f>
        <v/>
      </c>
      <c r="AJ24" s="6">
        <f>V24+X24+Z24+AB24+AD24+AF24+AH24</f>
        <v/>
      </c>
    </row>
    <row r="25" ht="60" customHeight="1" s="35">
      <c r="A25" s="3" t="inlineStr">
        <is>
          <t>PA.ARC.18</t>
        </is>
      </c>
      <c r="B25" s="4" t="inlineStr">
        <is>
          <t>1/1</t>
        </is>
      </c>
      <c r="C25" s="3" t="inlineStr">
        <is>
          <t>EDILE</t>
        </is>
      </c>
      <c r="D25" s="4" t="inlineStr">
        <is>
          <t>NON SPECIALE</t>
        </is>
      </c>
      <c r="E25" s="4" t="inlineStr">
        <is>
          <t>EDILI</t>
        </is>
      </c>
      <c r="F25" s="3" t="inlineStr">
        <is>
          <t>1_2025.11.20_CME REV07.PDF</t>
        </is>
      </c>
      <c r="G25" s="4" t="inlineStr">
        <is>
          <t>16</t>
        </is>
      </c>
      <c r="H25" s="3" t="inlineStr">
        <is>
          <t>30 - STRUTTURALE</t>
        </is>
      </c>
      <c r="I25" s="3" t="inlineStr">
        <is>
          <t>NUOVI LABORATORI</t>
        </is>
      </c>
      <c r="J25" s="3" t="inlineStr">
        <is>
          <t>OPERE PREFABBRICATE</t>
        </is>
      </c>
      <c r="K25" s="3" t="inlineStr">
        <is>
          <t>FORNITURA E POSA IN OPERA DI STRUTTURA PREFABBRICATA PIANA IN CALCESTRUZZO ARMATO VIBRATO, REALIZZATA SECONDO NORMATIVE TECNICHE VIGENTI, CON RESISTENZA AL FUOCO R 90’, DURABILITÀ DI PROGETTO IN CATEG</t>
        </is>
      </c>
      <c r="L25" s="3" t="inlineStr">
        <is>
          <t>FORNITURA E POSA IN OPERA DI STRUTTURA PREFABBRICATA PIANA IN CALCESTRUZZO ARMATO VIBRATO, REALIZZATA SECONDO NORMATIVE TECNICHE VIGENTI, CON RESISTENZA AL FUOCO R 90’, DURABILITÀ DI PROGETTO IN CATEGORIA S4, CLASSE DI ESPOSIZIONE AMBIENTALE XC2-XC3.  COMPONENTI STRUTTURALI FORNITI E POSATI:  PILASTRI PREFABBRICATI IN C.A.: - N. 11 ELEMENTI, SEZIONE 60X60 CM, ALTEZZA 9,38 M - N. 6 ELEMENTI, SEZIONE 60X70 CM, ALTEZZA 9,38 M - N. 48 MENSOLE PREFABBRICATE INTEGRATE PER ALLOGGIAMENTO TRAVI  TRAVI PREFABBRICATE IN C.A. PER STRUTTURA INTERMEDIA: - SEZIONE “T ROVESCIA”, H 70 CM, ANIMA 50 CM: N. 4 ELEMENTI (LUNGHEZZE DA 5,26 A 6,43 M) - SEZIONE “L”, H 70 CM, ANIMA 50 CM: N. 9 ELEMENTI (LUNGHEZZE DA 5,03 A 6,74 M) - SEZIONE RETTANGOLARE 50X60 CM: N. 7 ELEMENTI (LUNGHEZZE DA 4,68 A 6,62 M)  TRAVI PREFABBRICATE IN C.A. PER STRUTTURA DI COPERTURA: - SEZIONE “T ROVESCIA”, H 70 CM, ANIMA 50 CM: N. 5 ELEMENTI (LUNGHEZZE DA 5,65 A 9,14 M) - SEZIONE “L”, H 70 CM, ANIMA 50 CM: N. 8 ELEMENTI (LUNGHEZZE DA 6,06 A 9,67 M) - SEZIONE RETTANGOLARE 50X60 CM: N. 7 ELEMENTI (LUNGHEZZE DA 1,43 A 5,13 M)  SONO COMPRESI:  LA PRODUZIONE E POSA IN OPERA DEI MANUFATTI PREFABBRICATI COME DESCRITTI, COMPLETI DI ARMATURE SECONDO PROGETTO ESECUTIVO, TRASPORTO IN CANTIERE, SCARICO, MOVIMENTAZIONE, MONTAGGIO, FISSAGGI MEDIANTE STAFFAGGI E GIUNZIONI PREFABBRICATE, VERIFICA DIMENSIONALE FINALE DA DISEGNI APPROVATI E OGNI ONERE NECESSARIO PER LA CORRETTA ESECUZIONE DELL’OPERA A REGOLA D’ARTE.  RIMANGONO  ESCLUSI  GLI ELEMENTI DI SOLAIO, LE OPERE IN OPERA (COLLEGAMENTI, FONDAZIONI, GETTI INTEGRATIVI), OPERE PROVVISIONALI, PONTEGGI, ELEMENTI NON STRUTTURALI, PREDISPOSIZIONI PARTICOLARI (ES. CARROPONTE, AMPLIAMENTI) E QUANTO NON ESPRESSAMENTE ELENCATO.</t>
        </is>
      </c>
      <c r="M25" s="4" t="inlineStr">
        <is>
          <t>A CORPO</t>
        </is>
      </c>
      <c r="N25" s="5" t="n">
        <v>1</v>
      </c>
      <c r="O25" s="6" t="n">
        <v>182327.77</v>
      </c>
      <c r="P25" s="6" t="n">
        <v>182327.77</v>
      </c>
      <c r="Q25" s="5" t="n"/>
      <c r="R25" s="6" t="n"/>
      <c r="S25" s="6">
        <f>IF(AND(Q25&lt;&gt;"",R25&lt;&gt;""),Q25*R25,"")</f>
        <v/>
      </c>
      <c r="T25" s="6">
        <f>IF(S25="",P25,S25)</f>
        <v/>
      </c>
      <c r="U25" s="7" t="n">
        <v>0.8</v>
      </c>
      <c r="V25" s="6">
        <f>$T25*U25</f>
        <v/>
      </c>
      <c r="W25" s="7" t="n">
        <v>0.2</v>
      </c>
      <c r="X25" s="6">
        <f>$T25*W25</f>
        <v/>
      </c>
      <c r="Y25" s="7" t="n">
        <v>0</v>
      </c>
      <c r="Z25" s="6">
        <f>$T25*Y25</f>
        <v/>
      </c>
      <c r="AA25" s="7" t="n">
        <v>0</v>
      </c>
      <c r="AB25" s="6">
        <f>$T25*AA25</f>
        <v/>
      </c>
      <c r="AC25" s="7" t="n">
        <v>0</v>
      </c>
      <c r="AD25" s="6">
        <f>$T25*AC25</f>
        <v/>
      </c>
      <c r="AE25" s="7" t="n">
        <v>0</v>
      </c>
      <c r="AF25" s="6">
        <f>$T25*AE25</f>
        <v/>
      </c>
      <c r="AG25" s="7" t="n">
        <v>0</v>
      </c>
      <c r="AH25" s="6">
        <f>$T25*AG25</f>
        <v/>
      </c>
      <c r="AI25" s="7">
        <f>U25+W25+Y25+AA25+AC25+AE25+AG25</f>
        <v/>
      </c>
      <c r="AJ25" s="6">
        <f>V25+X25+Z25+AB25+AD25+AF25+AH25</f>
        <v/>
      </c>
    </row>
    <row r="26" ht="60" customHeight="1" s="35">
      <c r="A26" s="3" t="inlineStr">
        <is>
          <t>LOM241.OC.EEA.A04.E0200.J0001.0030</t>
        </is>
      </c>
      <c r="B26" s="4" t="inlineStr">
        <is>
          <t>1/1</t>
        </is>
      </c>
      <c r="C26" s="3" t="inlineStr">
        <is>
          <t>EDILE</t>
        </is>
      </c>
      <c r="D26" s="4" t="inlineStr">
        <is>
          <t>NON SPECIALE</t>
        </is>
      </c>
      <c r="E26" s="4" t="inlineStr">
        <is>
          <t>EDILI</t>
        </is>
      </c>
      <c r="F26" s="3" t="inlineStr">
        <is>
          <t>1_2025.11.20_CME REV07.PDF</t>
        </is>
      </c>
      <c r="G26" s="4" t="inlineStr">
        <is>
          <t>17</t>
        </is>
      </c>
      <c r="H26" s="3" t="inlineStr">
        <is>
          <t>30 - STRUTTURALE</t>
        </is>
      </c>
      <c r="I26" s="3" t="inlineStr">
        <is>
          <t>NUOVI LABORATORI</t>
        </is>
      </c>
      <c r="J26" s="3" t="inlineStr">
        <is>
          <t>OPERE IN C.A.</t>
        </is>
      </c>
      <c r="K26" s="3" t="inlineStr">
        <is>
          <t>OPERA: SOLAIO DI CONGLOMERATO CEMENTIZIO; SPESSORE TOT [CM] = 35. INCLUSO: LASTRE PREFABBRICATE, BLOCCHI DI POLISTIROLO, CALCESTRUZZO, TRAVETTI ROMPITRATTA, MASSETTO ALL'INCASTRO, STRATO DI IRRIGIDIME</t>
        </is>
      </c>
      <c r="L26" s="3" t="inlineStr">
        <is>
          <t>OPERA: SOLAIO DI CONGLOMERATO CEMENTIZIO; SPESSORE TOT [CM] = 35. INCLUSO: LASTRE PREFABBRICATE, BLOCCHI DI POLISTIROLO, CALCESTRUZZO, TRAVETTI ROMPITRATTA, MASSETTO ALL'INCASTRO, STRATO DI IRRIGIDIMENTO IN CONGLOMERATO CEMENTIZIO. 
LAVORO: FORMAZIONE. INCLUSO: ARMATURA PROVVISORIA DI SOSTEGNO. ESCLUSO: COSTI DELLE ARMATURE AGGIUNTIVE E DI DISTRIBUZIONE IN ACCIAIO TONDINO O RETE ELETTROSALDATA (CONTABILIZZATI IN BASE AI CALCOLI DEI CEMENTI ARMATI). 
COMPONENTI: 
OP1 OPERA: SOLAIO DI CONGLOMERATO CEMENTIZIO; SPESSORE TOT [CM] = 35. INCLUSO: LASTRE PREFABBRICATE, BLOCCHI DI POLISTIROLO, CALCESTRUZZO, TRAVETTI ROMPITRATTA, MASSETTO ALL'INCASTRO, STRATO DI IRRIGIDIMENTO IN CONGLOMERATO CEMENTIZIO. 
RM2 LASTRA PREDALLES PREFABBRICATI DI PLASTICA POLISTIRENE ESPANSO (EPS); IMPIEGO: SOLAI ALLEGGERITI; SPESSORE TOTALE [CM] = 30 
SPECIFICHE TECNICHE: ARMATE CON RETE METALLICA E CON TRALICCI IN ACCIAIO TONDO 
OC2 OPERA: STRATO DI IRRIGIDIMENTO DI CONGLOMERATO CEMENTIZIO; IMPIEGO: SOLAIO | VESPAIO AERATO; SPESSORE [CM] = 5. ESCLUSO: ARMATURA; BORDI DI CONTENIMENTO. 
LAVORO: GETTO CON POMPA. INCLUSO: VIBRATURA. ESCLUSO: INSTALLAZIONE DELLA POMPA AUTOCARRATA. 
SPECIFICHE TECNICHE: RESISTENZA CALCESTRUZZO [CLASSE] = C20/25, QUANTITÀ DI CALCESTRUZZO GETTATO [M3] ≤ 30; CONSULTARE LE VOCI LP.EEA.A01.A0500.ZA000.0000.B E LP.EEA.A01.A0500.ZA000.0000.A PER L'INSTALLAZIONE DELLA POMPA AUTOCARRATA. 
LV1 LAVORO: FORMAZIONE. INCLUSO: ARMATURA PROVVISORIA DI SOSTEGNO. ESCLUSO: COSTI DELLE ARMATURE AGGIUNTIVE E DI DISTRIBUZIONE IN ACCIAIO TONDINO O RETE ELETTROSALDATA (CONTABILIZZATI IN BASE AI CALCOLI DEI CEMENTI ARMATI). 
LP2 OPERA STRUMENTALE: CASSAFORMA; TRADIZIONALE DI LEGNO NATURALE GENERICO; IMPIEGO: SOLAIO MISTO CON TRAVI IN SPESSORE PER STRUTTURE PIANE; SPESSORE [M] = 0,025 ÷ 0,027 | ALTEZZA [M] ≤ 3,5; PRESSIONE [KN/M²] ≤ 70. INCLUSO: DISARMANTE, CHIODI, PUNTELLI. 
LAVORO: FORMAZIONE.</t>
        </is>
      </c>
      <c r="M26" s="4" t="inlineStr">
        <is>
          <t>M²</t>
        </is>
      </c>
      <c r="N26" s="5" t="n">
        <v>581.53</v>
      </c>
      <c r="O26" s="6" t="n">
        <v>118.14</v>
      </c>
      <c r="P26" s="6" t="n">
        <v>68701.95</v>
      </c>
      <c r="Q26" s="5" t="n"/>
      <c r="R26" s="6" t="n"/>
      <c r="S26" s="6">
        <f>IF(AND(Q26&lt;&gt;"",R26&lt;&gt;""),Q26*R26,"")</f>
        <v/>
      </c>
      <c r="T26" s="6">
        <f>IF(S26="",P26,S26)</f>
        <v/>
      </c>
      <c r="U26" s="7" t="n">
        <v>0.8</v>
      </c>
      <c r="V26" s="6">
        <f>$T26*U26</f>
        <v/>
      </c>
      <c r="W26" s="7" t="n">
        <v>0.2</v>
      </c>
      <c r="X26" s="6">
        <f>$T26*W26</f>
        <v/>
      </c>
      <c r="Y26" s="7" t="n">
        <v>0</v>
      </c>
      <c r="Z26" s="6">
        <f>$T26*Y26</f>
        <v/>
      </c>
      <c r="AA26" s="7" t="n">
        <v>0</v>
      </c>
      <c r="AB26" s="6">
        <f>$T26*AA26</f>
        <v/>
      </c>
      <c r="AC26" s="7" t="n">
        <v>0</v>
      </c>
      <c r="AD26" s="6">
        <f>$T26*AC26</f>
        <v/>
      </c>
      <c r="AE26" s="7" t="n">
        <v>0</v>
      </c>
      <c r="AF26" s="6">
        <f>$T26*AE26</f>
        <v/>
      </c>
      <c r="AG26" s="7" t="n">
        <v>0</v>
      </c>
      <c r="AH26" s="6">
        <f>$T26*AG26</f>
        <v/>
      </c>
      <c r="AI26" s="7">
        <f>U26+W26+Y26+AA26+AC26+AE26+AG26</f>
        <v/>
      </c>
      <c r="AJ26" s="6">
        <f>V26+X26+Z26+AB26+AD26+AF26+AH26</f>
        <v/>
      </c>
    </row>
    <row r="27" ht="60" customHeight="1" s="35">
      <c r="A27" s="3" t="inlineStr">
        <is>
          <t>LOM241.OC.EEA.A10.A6415.J0001.0030</t>
        </is>
      </c>
      <c r="B27" s="4" t="inlineStr">
        <is>
          <t>2/2</t>
        </is>
      </c>
      <c r="C27" s="3" t="inlineStr">
        <is>
          <t>EDILE</t>
        </is>
      </c>
      <c r="D27" s="4" t="inlineStr">
        <is>
          <t>NON SPECIALE</t>
        </is>
      </c>
      <c r="E27" s="4" t="inlineStr">
        <is>
          <t>EDILI</t>
        </is>
      </c>
      <c r="F27" s="3" t="inlineStr">
        <is>
          <t>1_2025.11.20_CME REV07.PDF</t>
        </is>
      </c>
      <c r="G27" s="4" t="inlineStr">
        <is>
          <t>18</t>
        </is>
      </c>
      <c r="H27" s="3" t="inlineStr">
        <is>
          <t>30 - STRUTTURALE</t>
        </is>
      </c>
      <c r="I27" s="3" t="inlineStr">
        <is>
          <t>NUOVI LABORATORI</t>
        </is>
      </c>
      <c r="J27" s="3" t="inlineStr">
        <is>
          <t>OPERE PREFABBRICATE</t>
        </is>
      </c>
      <c r="K27" s="3" t="inlineStr">
        <is>
          <t xml:space="preserve">OPERA: SOTTOFONDAZIONE DI CONGLOMERATO CEMENTIZIO; RESISTENZA A COMPRESSIONE [CLASSE] = C16/20 | ESPOSIZIONE [CLASSE] = X0 | CONSISTENZA [CLASSE] = S3. </t>
        </is>
      </c>
      <c r="L27" s="3" t="inlineStr">
        <is>
          <t>OPERA: SOTTOFONDAZIONE DI CONGLOMERATO CEMENTIZIO; RESISTENZA A COMPRESSIONE [CLASSE] = C16/20 | ESPOSIZIONE [CLASSE] = X0 | CONSISTENZA [CLASSE] = S3. 
LAVORO: GETTO. 
COMPONENTI: 
OP1 OPERA: SOTTOFONDAZIONE DI CONGLOMERATO CEMENTIZIO; RESISTENZA A COMPRESSIONE [CLASSE] = C16/20 | ESPOSIZIONE [CLASSE] = X0 | CONSISTENZA [CLASSE] = S3. 
RM2 IMPASTO PRECONFEZIONATO DI CEMENTO GENERICO; GEOMETRIA/FORMA/ASPETTO: SFUSO; FUNZIONE: STRUTTURALE | NON STRUTTURALE | DRENANTE; IMPIEGO: CONGLOMERATO CEMENTIZIO; CLASSE DI CONSISTENZA [CLASSE] = S3 | CLASSE DI RESISTENZA [CLASSE] = C16/20 | CLASSE DI ESPOSIZIONE [CLASSE] = X0 
SPECIFICHE TECNICHE: UTILIZZATO IN STRUTTURE ORDINARIE E MANUFATTI NON STRUTTURALI 
LV1 LAVORO: GETTO. 
RP2 GRU A TORRE A ROTAZIONE IN ALTO; ALTEZZA SOTTO GANCIO [M] ≤ 34,0 | SBRACCIO [M] ≤ 31,0; PORTATA [T] ≤ 1,0; ESCLUSO: F.E.M., ESCLUSO BASAMENTO 
SPECIFICHE TECNICHE: GIÀ INSTALLATA; CRITERIO DI MISURAZIONE: GIORNO DI PRESENZA IN CANTIERE</t>
        </is>
      </c>
      <c r="M27" s="4" t="inlineStr">
        <is>
          <t>M³</t>
        </is>
      </c>
      <c r="N27" s="5" t="n">
        <v>15</v>
      </c>
      <c r="O27" s="6" t="n">
        <v>127.31</v>
      </c>
      <c r="P27" s="6" t="n">
        <v>1909.65</v>
      </c>
      <c r="Q27" s="5" t="n"/>
      <c r="R27" s="6" t="n"/>
      <c r="S27" s="6">
        <f>IF(AND(Q27&lt;&gt;"",R27&lt;&gt;""),Q27*R27,"")</f>
        <v/>
      </c>
      <c r="T27" s="6">
        <f>IF(S27="",P27,S27)</f>
        <v/>
      </c>
      <c r="U27" s="7" t="n">
        <v>0</v>
      </c>
      <c r="V27" s="6">
        <f>$T27*U27</f>
        <v/>
      </c>
      <c r="W27" s="7" t="n">
        <v>0</v>
      </c>
      <c r="X27" s="6">
        <f>$T27*W27</f>
        <v/>
      </c>
      <c r="Y27" s="7" t="n">
        <v>0</v>
      </c>
      <c r="Z27" s="6">
        <f>$T27*Y27</f>
        <v/>
      </c>
      <c r="AA27" s="7" t="n">
        <v>0</v>
      </c>
      <c r="AB27" s="6">
        <f>$T27*AA27</f>
        <v/>
      </c>
      <c r="AC27" s="7" t="n">
        <v>0</v>
      </c>
      <c r="AD27" s="6">
        <f>$T27*AC27</f>
        <v/>
      </c>
      <c r="AE27" s="7" t="n">
        <v>0</v>
      </c>
      <c r="AF27" s="6">
        <f>$T27*AE27</f>
        <v/>
      </c>
      <c r="AG27" s="7" t="n">
        <v>0</v>
      </c>
      <c r="AH27" s="6">
        <f>$T27*AG27</f>
        <v/>
      </c>
      <c r="AI27" s="7">
        <f>U27+W27+Y27+AA27+AC27+AE27+AG27</f>
        <v/>
      </c>
      <c r="AJ27" s="6">
        <f>V27+X27+Z27+AB27+AD27+AF27+AH27</f>
        <v/>
      </c>
    </row>
    <row r="28" ht="60" customHeight="1" s="35">
      <c r="A28" s="3" t="inlineStr">
        <is>
          <t>LOM241.LP.EEA.A04.A1020.QA000.0005</t>
        </is>
      </c>
      <c r="B28" s="4" t="inlineStr">
        <is>
          <t>2/2</t>
        </is>
      </c>
      <c r="C28" s="3" t="inlineStr">
        <is>
          <t>EDILE</t>
        </is>
      </c>
      <c r="D28" s="4" t="inlineStr">
        <is>
          <t>NON SPECIALE</t>
        </is>
      </c>
      <c r="E28" s="4" t="inlineStr">
        <is>
          <t>EDILI</t>
        </is>
      </c>
      <c r="F28" s="3" t="inlineStr">
        <is>
          <t>1_2025.11.20_CME REV07.PDF</t>
        </is>
      </c>
      <c r="G28" s="4" t="inlineStr">
        <is>
          <t>19</t>
        </is>
      </c>
      <c r="H28" s="3" t="inlineStr">
        <is>
          <t>30 - STRUTTURALE</t>
        </is>
      </c>
      <c r="I28" s="3" t="inlineStr">
        <is>
          <t>NUOVI LABORATORI</t>
        </is>
      </c>
      <c r="J28" s="3" t="inlineStr">
        <is>
          <t>OPERE IN C.A.</t>
        </is>
      </c>
      <c r="K28" s="3" t="inlineStr">
        <is>
          <t xml:space="preserve">OPERA STRUMENTALE: CASSAFORMA; TRADIZIONALE DI LEGNO NATURALE GENERICO; IMPIEGO: FONDAZIONI PUNTUALI; SPESSORE [M] = 0,025 ÷ 0,027. INCLUSO: DISARMANTE, CHIODI. </t>
        </is>
      </c>
      <c r="L28" s="3" t="inlineStr">
        <is>
          <t>OPERA STRUMENTALE: CASSAFORMA; TRADIZIONALE DI LEGNO NATURALE GENERICO; IMPIEGO: FONDAZIONI PUNTUALI; SPESSORE [M] = 0,025 ÷ 0,027. INCLUSO: DISARMANTE, CHIODI. 
LAVORO: FORMAZIONE. 
COMPONENTI: 
OS1 OPERA STRUMENTALE: CASSAFORMA; TRADIZIONALE DI LEGNO NATURALE GENERICO; IMPIEGO: FONDAZIONI PUNTUALI; SPESSORE [M] = 0,025 ÷ 0,027. INCLUSO: DISARMANTE, CHIODI. 
RT2 CASSAFORMA TRADIZIONALE IN LEGNO; IMPIEGO: FONDAZIONI PUNTUALI; INCLUSO: OGNI ELEMENTO NECESSARIO AL SUO COMPLETAMENTO (ES.: SOTTOMISURE IN LEGNO DI ABETE O PANNELLI COMPENSATI MULTISTRATO, PICCHETTI, FILO DI FERRO, TRAVI SQUADRATE DI LEGNO, ORDITURA METALLICA D'IRRIGIDIMENTO, SBADACCHI, DISARMANTE, CHIODI) 
SPECIFICHE TECNICHE: SPESSORE PARAMENTO [M] = 0,025 ÷ 0,027; CRITERIO DI MISURAZIONE: VALUTATO A SUPERFICIE EFFETTIVA BAGNATA DAL GETTO 
LV1 LAVORO: FORMAZIONE.</t>
        </is>
      </c>
      <c r="M28" s="4" t="inlineStr">
        <is>
          <t>M²</t>
        </is>
      </c>
      <c r="N28" s="5" t="n">
        <v>24.8</v>
      </c>
      <c r="O28" s="6" t="n">
        <v>34.77</v>
      </c>
      <c r="P28" s="6" t="n">
        <v>862.3</v>
      </c>
      <c r="Q28" s="5" t="n"/>
      <c r="R28" s="6" t="n"/>
      <c r="S28" s="6">
        <f>IF(AND(Q28&lt;&gt;"",R28&lt;&gt;""),Q28*R28,"")</f>
        <v/>
      </c>
      <c r="T28" s="6">
        <f>IF(S28="",P28,S28)</f>
        <v/>
      </c>
      <c r="U28" s="7" t="n">
        <v>0</v>
      </c>
      <c r="V28" s="6">
        <f>$T28*U28</f>
        <v/>
      </c>
      <c r="W28" s="7" t="n">
        <v>0.75</v>
      </c>
      <c r="X28" s="6">
        <f>$T28*W28</f>
        <v/>
      </c>
      <c r="Y28" s="7" t="n">
        <v>0</v>
      </c>
      <c r="Z28" s="6">
        <f>$T28*Y28</f>
        <v/>
      </c>
      <c r="AA28" s="7" t="n">
        <v>0</v>
      </c>
      <c r="AB28" s="6">
        <f>$T28*AA28</f>
        <v/>
      </c>
      <c r="AC28" s="7" t="n">
        <v>0</v>
      </c>
      <c r="AD28" s="6">
        <f>$T28*AC28</f>
        <v/>
      </c>
      <c r="AE28" s="7" t="n">
        <v>0</v>
      </c>
      <c r="AF28" s="6">
        <f>$T28*AE28</f>
        <v/>
      </c>
      <c r="AG28" s="7" t="n">
        <v>0</v>
      </c>
      <c r="AH28" s="6">
        <f>$T28*AG28</f>
        <v/>
      </c>
      <c r="AI28" s="7">
        <f>U28+W28+Y28+AA28+AC28+AE28+AG28</f>
        <v/>
      </c>
      <c r="AJ28" s="6">
        <f>V28+X28+Z28+AB28+AD28+AF28+AH28</f>
        <v/>
      </c>
    </row>
    <row r="29" ht="60" customHeight="1" s="35">
      <c r="A29" s="3" t="inlineStr">
        <is>
          <t>LOM241.OC.EEA.A10.E0000.J0001.0080.A</t>
        </is>
      </c>
      <c r="B29" s="4" t="inlineStr">
        <is>
          <t>3/3</t>
        </is>
      </c>
      <c r="C29" s="3" t="inlineStr">
        <is>
          <t>EDILE</t>
        </is>
      </c>
      <c r="D29" s="4" t="inlineStr">
        <is>
          <t>NON SPECIALE</t>
        </is>
      </c>
      <c r="E29" s="4" t="inlineStr">
        <is>
          <t>EDILI</t>
        </is>
      </c>
      <c r="F29" s="3" t="inlineStr">
        <is>
          <t>1_2025.11.20_CME REV07.PDF</t>
        </is>
      </c>
      <c r="G29" s="4" t="inlineStr">
        <is>
          <t>20</t>
        </is>
      </c>
      <c r="H29" s="3" t="inlineStr">
        <is>
          <t>30 - STRUTTURALE</t>
        </is>
      </c>
      <c r="I29" s="3" t="inlineStr">
        <is>
          <t>NUOVI LABORATORI</t>
        </is>
      </c>
      <c r="J29" s="3" t="inlineStr">
        <is>
          <t>OPERE IN C.A.</t>
        </is>
      </c>
      <c r="K29" s="3" t="inlineStr">
        <is>
          <t>OPERA: STRUTTURA DI CONGLOMERATO CEMENTIZIO; IMPIEGO: PILASTRI | TRAVI | CORREE | SOLETTE | MURATURE VANI SCALA-ASCENSORI; SPESSORE [CM] ≥ 17; RESISTENZA A COMPRESSIONE [CLASSE] = C30/37 | ESPOSIZIONE</t>
        </is>
      </c>
      <c r="L29" s="3" t="inlineStr">
        <is>
          <t>OPERA: STRUTTURA DI CONGLOMERATO CEMENTIZIO; IMPIEGO: PILASTRI | TRAVI | CORREE | SOLETTE | MURATURE VANI SCALA-ASCENSORI; SPESSORE [CM] ≥ 17; RESISTENZA A COMPRESSIONE [CLASSE] = C30/37 | ESPOSIZIONE [CLASSE] = XC1/XC2. 
LAVORO: GETTO CON GRU. INCLUSO: VIBRATURA. ESCLUSO: CASSERI; FERRO. 
COMPONENTI: 
OP1 OPERA: STRUTTURA DI CONGLOMERATO CEMENTIZIO; IMPIEGO: PILASTRI | TRAVI | CORREE | SOLETTE | MURATURE VANI SCALA-ASCENSORI; SPESSORE [CM] ≥ 17; RESISTENZA A COMPRESSIONE [CLASSE] = C30/37 | ESPOSIZIONE [CLASSE] = XC1/XC2. 
RM2 IMPASTO PRECONFEZIONATO DI CEMENTO GENERICO; GEOMETRIA/FORMA/ASPETTO: SFUSO; FUNZIONE: STRUTTURALE; IMPIEGO: CONGLOMERATO CEMENTIZIO; FORNITURA: AUTOBETONIERA; CLASSE DI CONSISTENZA [CLASSE] = S4 | CLASSE DI RESISTENZA [CLASSE] = C30/37 | CLASSE DI ESPOSIZIONE [CLASSE] = XC1/XC2 
SPECIFICHE TECNICHE: CONFEZIONATO IN IMPIANTO DI BETONAGGIO, MATERIE PRIME IN POSSESSO DI MARCATURA CE 
LV1 LAVORO: GETTO CON GRU. INCLUSO: VIBRATURA. ESCLUSO: CASSERI; FERRO. 
RP2 VIBRATORE PER CALCESTRUZZO; DIAMETRO TESTA [MM] = 45 ; POTENZA [KW] = 1; PESO [KG] = 14 
SPECIFICHE TECNICHE: CRITERIO DI MISURAZIONE: ORE DI PRESENZA IN CANTIERE 
RP2 GRU A TORRE A ROTAZIONE IN ALTO; ALTEZZA SOTTO GANCIO [M] ≤ 34,0 | SBRACCIO [M] ≤ 31,0; PORTATA [T] ≤ 1,0; ESCLUSO: F.E.M., ESCLUSO BASAMENTO 
SPECIFICHE TECNICHE: GIÀ INSTALLATA; CRITERIO DI MISURAZIONE: GIORNO DI PRESENZA IN CANTIERE</t>
        </is>
      </c>
      <c r="M29" s="4" t="inlineStr">
        <is>
          <t>M³</t>
        </is>
      </c>
      <c r="N29" s="5" t="n">
        <v>45</v>
      </c>
      <c r="O29" s="6" t="n">
        <v>152</v>
      </c>
      <c r="P29" s="6" t="n">
        <v>6840</v>
      </c>
      <c r="Q29" s="5" t="n"/>
      <c r="R29" s="6" t="n"/>
      <c r="S29" s="6">
        <f>IF(AND(Q29&lt;&gt;"",R29&lt;&gt;""),Q29*R29,"")</f>
        <v/>
      </c>
      <c r="T29" s="6">
        <f>IF(S29="",P29,S29)</f>
        <v/>
      </c>
      <c r="U29" s="7" t="n">
        <v>0</v>
      </c>
      <c r="V29" s="6">
        <f>$T29*U29</f>
        <v/>
      </c>
      <c r="W29" s="7" t="n">
        <v>0.75</v>
      </c>
      <c r="X29" s="6">
        <f>$T29*W29</f>
        <v/>
      </c>
      <c r="Y29" s="7" t="n">
        <v>0</v>
      </c>
      <c r="Z29" s="6">
        <f>$T29*Y29</f>
        <v/>
      </c>
      <c r="AA29" s="7" t="n">
        <v>0</v>
      </c>
      <c r="AB29" s="6">
        <f>$T29*AA29</f>
        <v/>
      </c>
      <c r="AC29" s="7" t="n">
        <v>0</v>
      </c>
      <c r="AD29" s="6">
        <f>$T29*AC29</f>
        <v/>
      </c>
      <c r="AE29" s="7" t="n">
        <v>0</v>
      </c>
      <c r="AF29" s="6">
        <f>$T29*AE29</f>
        <v/>
      </c>
      <c r="AG29" s="7" t="n">
        <v>0</v>
      </c>
      <c r="AH29" s="6">
        <f>$T29*AG29</f>
        <v/>
      </c>
      <c r="AI29" s="7">
        <f>U29+W29+Y29+AA29+AC29+AE29+AG29</f>
        <v/>
      </c>
      <c r="AJ29" s="6">
        <f>V29+X29+Z29+AB29+AD29+AF29+AH29</f>
        <v/>
      </c>
    </row>
    <row r="30" ht="60" customHeight="1" s="35">
      <c r="A30" s="3" t="inlineStr">
        <is>
          <t>LOM241.OC.EEA.A02.E9700.SB017.0255</t>
        </is>
      </c>
      <c r="B30" s="4" t="inlineStr">
        <is>
          <t>3/3</t>
        </is>
      </c>
      <c r="C30" s="3" t="inlineStr">
        <is>
          <t>EDILE</t>
        </is>
      </c>
      <c r="D30" s="4" t="inlineStr">
        <is>
          <t>NON SPECIALE</t>
        </is>
      </c>
      <c r="E30" s="4" t="inlineStr">
        <is>
          <t>EDILI</t>
        </is>
      </c>
      <c r="F30" s="3" t="inlineStr">
        <is>
          <t>1_2025.11.20_CME REV07.PDF</t>
        </is>
      </c>
      <c r="G30" s="4" t="inlineStr">
        <is>
          <t>21</t>
        </is>
      </c>
      <c r="H30" s="3" t="inlineStr">
        <is>
          <t>30 - STRUTTURALE</t>
        </is>
      </c>
      <c r="I30" s="3" t="inlineStr">
        <is>
          <t>NUOVI LABORATORI</t>
        </is>
      </c>
      <c r="J30" s="3" t="inlineStr">
        <is>
          <t>OPERE IN C.A.</t>
        </is>
      </c>
      <c r="K30" s="3" t="inlineStr">
        <is>
          <t xml:space="preserve">OPERA: ARMATURA, BARRE NERVATE DI LEGA FERROSA ACCIAIO B450C; IMPIEGO: STRUTTURE IN CEMENTO ARMATO. INCLUSO: SORMONTI; SFRIDO; LEGATURE. </t>
        </is>
      </c>
      <c r="L30" s="3" t="inlineStr">
        <is>
          <t>OPERA: ARMATURA, BARRE NERVATE DI LEGA FERROSA ACCIAIO B450C; IMPIEGO: STRUTTURE IN CEMENTO ARMATO. INCLUSO: SORMONTI; SFRIDO; LEGATURE. 
LAVORO: POSA. 
COMPONENTI: 
OP1 OPERA: ARMATURA, BARRE NERVATE DI LEGA FERROSA ACCIAIO B450C; IMPIEGO: STRUTTURE IN CEMENTO ARMATO. INCLUSO: SORMONTI; SFRIDO; LEGATURE. 
RM2 BARRA NERVATA DI LEGA FERROSA ACCIAIO B450C; FUNZIONE: STRUTTURALE; IMPIEGO: STRUTTURE C.A. 
SPECIFICHE TECNICHE: PRODOTTO CON SISTEMI DI CONTROLLO DI PRODUZIONE IN STABILIMENTO 
RM2 FERRAMENTA FILO DI METALLO FERRO 
SPECIFICHE TECNICHE: FILO DI METALLO FERRO COTTO 
LV1 LAVORO: POSA.</t>
        </is>
      </c>
      <c r="M30" s="4" t="inlineStr">
        <is>
          <t>KG</t>
        </is>
      </c>
      <c r="N30" s="5" t="n">
        <v>5400</v>
      </c>
      <c r="O30" s="6" t="n">
        <v>1.27</v>
      </c>
      <c r="P30" s="6" t="n">
        <v>6858</v>
      </c>
      <c r="Q30" s="5" t="n"/>
      <c r="R30" s="6" t="n"/>
      <c r="S30" s="6">
        <f>IF(AND(Q30&lt;&gt;"",R30&lt;&gt;""),Q30*R30,"")</f>
        <v/>
      </c>
      <c r="T30" s="6">
        <f>IF(S30="",P30,S30)</f>
        <v/>
      </c>
      <c r="U30" s="7" t="n">
        <v>0</v>
      </c>
      <c r="V30" s="6">
        <f>$T30*U30</f>
        <v/>
      </c>
      <c r="W30" s="7" t="n">
        <v>0.75</v>
      </c>
      <c r="X30" s="6">
        <f>$T30*W30</f>
        <v/>
      </c>
      <c r="Y30" s="7" t="n">
        <v>0</v>
      </c>
      <c r="Z30" s="6">
        <f>$T30*Y30</f>
        <v/>
      </c>
      <c r="AA30" s="7" t="n">
        <v>0</v>
      </c>
      <c r="AB30" s="6">
        <f>$T30*AA30</f>
        <v/>
      </c>
      <c r="AC30" s="7" t="n">
        <v>0</v>
      </c>
      <c r="AD30" s="6">
        <f>$T30*AC30</f>
        <v/>
      </c>
      <c r="AE30" s="7" t="n">
        <v>0</v>
      </c>
      <c r="AF30" s="6">
        <f>$T30*AE30</f>
        <v/>
      </c>
      <c r="AG30" s="7" t="n">
        <v>0</v>
      </c>
      <c r="AH30" s="6">
        <f>$T30*AG30</f>
        <v/>
      </c>
      <c r="AI30" s="7">
        <f>U30+W30+Y30+AA30+AC30+AE30+AG30</f>
        <v/>
      </c>
      <c r="AJ30" s="6">
        <f>V30+X30+Z30+AB30+AD30+AF30+AH30</f>
        <v/>
      </c>
    </row>
    <row r="31" ht="60" customHeight="1" s="35">
      <c r="A31" s="3" t="inlineStr">
        <is>
          <t>PA.ARC.08</t>
        </is>
      </c>
      <c r="B31" s="4" t="inlineStr">
        <is>
          <t>1/1</t>
        </is>
      </c>
      <c r="C31" s="3" t="inlineStr">
        <is>
          <t>EDILE</t>
        </is>
      </c>
      <c r="D31" s="4" t="inlineStr">
        <is>
          <t>NON SPECIALE</t>
        </is>
      </c>
      <c r="E31" s="4" t="inlineStr">
        <is>
          <t>EDILI</t>
        </is>
      </c>
      <c r="F31" s="3" t="inlineStr">
        <is>
          <t>1_2025.11.20_CME REV07.PDF</t>
        </is>
      </c>
      <c r="G31" s="4" t="inlineStr">
        <is>
          <t>22</t>
        </is>
      </c>
      <c r="H31" s="3" t="inlineStr">
        <is>
          <t>30 - STRUTTURALE</t>
        </is>
      </c>
      <c r="I31" s="3" t="inlineStr">
        <is>
          <t>NUOVI LABORATORI</t>
        </is>
      </c>
      <c r="J31" s="3" t="inlineStr">
        <is>
          <t>OPERE PREFABBRICATE</t>
        </is>
      </c>
      <c r="K31" s="3" t="inlineStr">
        <is>
          <t>FORNITURA E POSA IN OPERA DI ELEMENTI STRUTTURALI PREFABBRICATI IN CEMENTO ARMATO (TRAVI E PILASTRI), REALIZZATI CON CALCESTRUZZO DI CLASSE C40/50, CLASSE DI ESPOSIZIONE XC3, COMPRENSIVA DI NOLO DI ME</t>
        </is>
      </c>
      <c r="L31" s="3" t="inlineStr">
        <is>
          <t>FORNITURA E POSA IN OPERA DI ELEMENTI STRUTTURALI PREFABBRICATI IN CEMENTO ARMATO (TRAVI E PILASTRI), REALIZZATI CON CALCESTRUZZO DI CLASSE C40/50, CLASSE DI ESPOSIZIONE XC3, COMPRENSIVA DI NOLO DI MEZZI MECCANICI PER TIRO IN QUOTA, MOVIMENTAZIONE E POSA IN OPERA. GLI ELEMENTI PREFABBRICATI SONO PRODOTTI PER AMBIENTI UMIDI E SOGGETTI A CONDENSA, CON FINITURE SUPERFICIALI ADEGUATE. LA FORNITURA COMPRENDE LA CONSEGNA IN CANTIERE, IL TRASPORTO, IL NOLEGGIO DI MEZZI MECCANICI COME GRU E PIATTAFORME ELEVATRICI PER IL TIRO IN QUOTA E IL POSIZIONAMENTO, OLTRE AGLI INTERVENTI DI POSA, ANCORAGGI E EVENTUALI FINITURE DI FINITURA O SISTEMAZIONE TEMPORANEA.</t>
        </is>
      </c>
      <c r="M31" s="4" t="inlineStr">
        <is>
          <t>MC</t>
        </is>
      </c>
      <c r="N31" s="5" t="n">
        <v>0</v>
      </c>
      <c r="O31" s="6" t="n">
        <v>96453.86</v>
      </c>
      <c r="P31" s="6" t="n">
        <v>0</v>
      </c>
      <c r="Q31" s="5" t="n"/>
      <c r="R31" s="6" t="n"/>
      <c r="S31" s="6">
        <f>IF(AND(Q31&lt;&gt;"",R31&lt;&gt;""),Q31*R31,"")</f>
        <v/>
      </c>
      <c r="T31" s="6">
        <f>IF(S31="",P31,S31)</f>
        <v/>
      </c>
      <c r="U31" s="7" t="n">
        <v>0</v>
      </c>
      <c r="V31" s="6">
        <f>$T31*U31</f>
        <v/>
      </c>
      <c r="W31" s="7" t="n">
        <v>0</v>
      </c>
      <c r="X31" s="6">
        <f>$T31*W31</f>
        <v/>
      </c>
      <c r="Y31" s="7" t="n">
        <v>0</v>
      </c>
      <c r="Z31" s="6">
        <f>$T31*Y31</f>
        <v/>
      </c>
      <c r="AA31" s="7" t="n">
        <v>0</v>
      </c>
      <c r="AB31" s="6">
        <f>$T31*AA31</f>
        <v/>
      </c>
      <c r="AC31" s="7" t="n">
        <v>0</v>
      </c>
      <c r="AD31" s="6">
        <f>$T31*AC31</f>
        <v/>
      </c>
      <c r="AE31" s="7" t="n">
        <v>0</v>
      </c>
      <c r="AF31" s="6">
        <f>$T31*AE31</f>
        <v/>
      </c>
      <c r="AG31" s="7" t="n">
        <v>0</v>
      </c>
      <c r="AH31" s="6">
        <f>$T31*AG31</f>
        <v/>
      </c>
      <c r="AI31" s="7">
        <f>U31+W31+Y31+AA31+AC31+AE31+AG31</f>
        <v/>
      </c>
      <c r="AJ31" s="6">
        <f>V31+X31+Z31+AB31+AD31+AF31+AH31</f>
        <v/>
      </c>
    </row>
    <row r="32" ht="60" customHeight="1" s="35">
      <c r="A32" s="3" t="inlineStr">
        <is>
          <t>LOM241.OC.EEA.A02.E0005.SB001.0040</t>
        </is>
      </c>
      <c r="B32" s="4" t="inlineStr">
        <is>
          <t>1/1</t>
        </is>
      </c>
      <c r="C32" s="3" t="inlineStr">
        <is>
          <t>EDILE</t>
        </is>
      </c>
      <c r="D32" s="4" t="inlineStr">
        <is>
          <t>NON SPECIALE</t>
        </is>
      </c>
      <c r="E32" s="4" t="inlineStr">
        <is>
          <t>EDILI</t>
        </is>
      </c>
      <c r="F32" s="3" t="inlineStr">
        <is>
          <t>1_2025.11.20_CME REV07.PDF</t>
        </is>
      </c>
      <c r="G32" s="4" t="inlineStr">
        <is>
          <t>23</t>
        </is>
      </c>
      <c r="H32" s="3" t="inlineStr">
        <is>
          <t>30 - STRUTTURALE</t>
        </is>
      </c>
      <c r="I32" s="3" t="inlineStr">
        <is>
          <t>NUOVI LABORATORI</t>
        </is>
      </c>
      <c r="J32" s="3" t="inlineStr">
        <is>
          <t>OPERE IN C.A.</t>
        </is>
      </c>
      <c r="K32" s="3" t="inlineStr">
        <is>
          <t xml:space="preserve">OPERA: PROFILATO DI LEGA FERROSA ACCIAIO GENERICO; FUNZIONE: CARPENTERIA METALLICA | TRAVATURE; IMPIEGO: SOLAI | COPERTURE | OSSATURE | RAMPE | RIPIANI SCALE | PENSILINE | BALCONI. INCLUSO: PROFILATI </t>
        </is>
      </c>
      <c r="L32" s="3" t="inlineStr">
        <is>
          <t>OPERA: PROFILATO DI LEGA FERROSA ACCIAIO GENERICO; FUNZIONE: CARPENTERIA METALLICA | TRAVATURE; IMPIEGO: SOLAI | COPERTURE | OSSATURE | RAMPE | RIPIANI SCALE | PENSILINE | BALCONI. INCLUSO: PROFILATI (DI QUALSIASI TIPO, SEZIONE E DIMENSIONE), PIASTRE, SQUADRE, TIRANTI, BULLONI, FORI, FISSAGGI. 
LAVORO: POSA. INCLUSO: MANO DI ANTIRUGGINE, TRASPORTI E SOLLEVAMENTI. ESCLUSO: ONERI PER DEMOLIZIONI, RIPRISTINI DI OPERE MURARIE, OPERE DI SOSTEGNO E PROTEZIONE. 
SPECIFICHE TECNICHE: ACCIAIO S235/S275/S355, IN OPERA, IMBULLONATA O SALDATA. 
COMPONENTI: 
OP1 OPERA: PROFILATO DI LEGA FERROSA ACCIAIO GENERICO; FUNZIONE: CARPENTERIA METALLICA | TRAVATURE; IMPIEGO: SOLAI | COPERTURE | OSSATURE | RAMPE | RIPIANI SCALE | PENSILINE | BALCONI. INCLUSO: PROFILATI (DI QUALSIASI TIPO, SEZIONE E DIMENSIONE), PIASTRE, SQUADRE, TIRANTI, BULLONI, FORI, FISSAGGI. 
SPECIFICHE TECNICHE: ACCIAIO S235/S275/S355. 
RM2 PROFILATO A CALDO DI LEGA FERROSA ACCIAO S355J2; GEOMETRIA/FORMA/ASPETTO: HE; FUNZIONE: CARPENTERIA; ALTEZZA [MM] = 80 ÷ 220 
LV1 LAVORO: POSA. INCLUSO: MANO DI ANTIRUGGINE, TRASPORTI E SOLLEVAMENTI. ESCLUSO: ONERI PER DEMOLIZIONI, RIPRISTINI DI OPERE MURARIE, OPERE DI SOSTEGNO E PROTEZIONE. 
SPECIFICHE TECNICHE: IN OPERA, IMBULLONATA O SALDATA.</t>
        </is>
      </c>
      <c r="M32" s="4" t="inlineStr">
        <is>
          <t>KG</t>
        </is>
      </c>
      <c r="N32" s="5" t="n">
        <v>2062.05</v>
      </c>
      <c r="O32" s="6" t="n">
        <v>4.47</v>
      </c>
      <c r="P32" s="6" t="n">
        <v>9217.360000000001</v>
      </c>
      <c r="Q32" s="5" t="n"/>
      <c r="R32" s="6" t="n"/>
      <c r="S32" s="6">
        <f>IF(AND(Q32&lt;&gt;"",R32&lt;&gt;""),Q32*R32,"")</f>
        <v/>
      </c>
      <c r="T32" s="6">
        <f>IF(S32="",P32,S32)</f>
        <v/>
      </c>
      <c r="U32" s="7" t="n">
        <v>0</v>
      </c>
      <c r="V32" s="6">
        <f>$T32*U32</f>
        <v/>
      </c>
      <c r="W32" s="7" t="n">
        <v>0.75</v>
      </c>
      <c r="X32" s="6">
        <f>$T32*W32</f>
        <v/>
      </c>
      <c r="Y32" s="7" t="n">
        <v>0</v>
      </c>
      <c r="Z32" s="6">
        <f>$T32*Y32</f>
        <v/>
      </c>
      <c r="AA32" s="7" t="n">
        <v>0</v>
      </c>
      <c r="AB32" s="6">
        <f>$T32*AA32</f>
        <v/>
      </c>
      <c r="AC32" s="7" t="n">
        <v>0</v>
      </c>
      <c r="AD32" s="6">
        <f>$T32*AC32</f>
        <v/>
      </c>
      <c r="AE32" s="7" t="n">
        <v>0</v>
      </c>
      <c r="AF32" s="6">
        <f>$T32*AE32</f>
        <v/>
      </c>
      <c r="AG32" s="7" t="n">
        <v>0</v>
      </c>
      <c r="AH32" s="6">
        <f>$T32*AG32</f>
        <v/>
      </c>
      <c r="AI32" s="7">
        <f>U32+W32+Y32+AA32+AC32+AE32+AG32</f>
        <v/>
      </c>
      <c r="AJ32" s="6">
        <f>V32+X32+Z32+AB32+AD32+AF32+AH32</f>
        <v/>
      </c>
    </row>
    <row r="33" ht="60" customHeight="1" s="35">
      <c r="A33" s="3" t="inlineStr">
        <is>
          <t>LOM241.OC.EEA.A02.E0005.SB001.0025</t>
        </is>
      </c>
      <c r="B33" s="4" t="inlineStr">
        <is>
          <t>1/1</t>
        </is>
      </c>
      <c r="C33" s="3" t="inlineStr">
        <is>
          <t>EDILE</t>
        </is>
      </c>
      <c r="D33" s="4" t="inlineStr">
        <is>
          <t>NON SPECIALE</t>
        </is>
      </c>
      <c r="E33" s="4" t="inlineStr">
        <is>
          <t>EDILI</t>
        </is>
      </c>
      <c r="F33" s="3" t="inlineStr">
        <is>
          <t>1_2025.11.20_CME REV07.PDF</t>
        </is>
      </c>
      <c r="G33" s="4" t="inlineStr">
        <is>
          <t>24</t>
        </is>
      </c>
      <c r="H33" s="3" t="inlineStr">
        <is>
          <t>30 - STRUTTURALE</t>
        </is>
      </c>
      <c r="I33" s="3" t="inlineStr">
        <is>
          <t>NUOVI LABORATORI</t>
        </is>
      </c>
      <c r="J33" s="3" t="inlineStr">
        <is>
          <t>OPERE IN C.A.</t>
        </is>
      </c>
      <c r="K33" s="3" t="inlineStr">
        <is>
          <t xml:space="preserve">OPERA: PROFILATO DI LEGA FERROSA ACCIAIO GENERICO; FUNZIONE: CARPENTERIA METALLICA | TRAVATURE; IMPIEGO: SOLAI | COPERTURE | OSSATURE | RAMPE | RIPIANI SCALE | PENSILINE | BALCONI. INCLUSO: PROFILATI </t>
        </is>
      </c>
      <c r="L33" s="3" t="inlineStr">
        <is>
          <t>OPERA: PROFILATO DI LEGA FERROSA ACCIAIO GENERICO; FUNZIONE: CARPENTERIA METALLICA | TRAVATURE; IMPIEGO: SOLAI | COPERTURE | OSSATURE | RAMPE | RIPIANI SCALE | PENSILINE | BALCONI. INCLUSO: PROFILATI (DI QUALSIASI TIPO, SEZIONE E DIMENSIONE), PIASTRE, SQUADRE, TIRANTI, BULLONI, FORI, FISSAGGI. 
LAVORO: POSA. INCLUSO: MANO DI ANTIRUGGINE, TRASPORTI E SOLLEVAMENTI. ESCLUSO: ONERI PER DEMOLIZIONI, RIPRISTINI DI OPERE MURARIE, OPERE DI SOSTEGNO E PROTEZIONE. 
SPECIFICHE TECNICHE: ACCIAIO S235/S275/S355, IN OPERA, IMBULLONATA O SALDATA. 
COMPONENTI: 
OP1 OPERA: PROFILATO DI LEGA FERROSA ACCIAIO GENERICO; FUNZIONE: CARPENTERIA METALLICA | TRAVATURE; IMPIEGO: SOLAI | COPERTURE | OSSATURE | RAMPE | RIPIANI SCALE | PENSILINE | BALCONI. INCLUSO: PROFILATI (DI QUALSIASI TIPO, SEZIONE E DIMENSIONE), PIASTRE, SQUADRE, TIRANTI, BULLONI, FORI, FISSAGGI. 
SPECIFICHE TECNICHE: ACCIAIO S235/S275/S355. 
RM2 PROFILATO A CALDO DI LEGA FERROSA ACCIAO S355JR; GEOMETRIA/FORMA/ASPETTO: HE; FUNZIONE: CARPENTERIA; ALTEZZA [MM] = 240 ÷ 600 
LV1 LAVORO: POSA. INCLUSO: MANO DI ANTIRUGGINE, TRASPORTI E SOLLEVAMENTI. ESCLUSO: ONERI PER DEMOLIZIONI, RIPRISTINI DI OPERE MURARIE, OPERE DI SOSTEGNO E PROTEZIONE. 
SPECIFICHE TECNICHE: IN OPERA, IMBULLONATA O SALDATA.</t>
        </is>
      </c>
      <c r="M33" s="4" t="inlineStr">
        <is>
          <t>KG</t>
        </is>
      </c>
      <c r="N33" s="5" t="n">
        <v>1704.68</v>
      </c>
      <c r="O33" s="6" t="n">
        <v>4.47</v>
      </c>
      <c r="P33" s="6" t="n">
        <v>7619.92</v>
      </c>
      <c r="Q33" s="5" t="n"/>
      <c r="R33" s="6" t="n"/>
      <c r="S33" s="6">
        <f>IF(AND(Q33&lt;&gt;"",R33&lt;&gt;""),Q33*R33,"")</f>
        <v/>
      </c>
      <c r="T33" s="6">
        <f>IF(S33="",P33,S33)</f>
        <v/>
      </c>
      <c r="U33" s="7" t="n">
        <v>0</v>
      </c>
      <c r="V33" s="6">
        <f>$T33*U33</f>
        <v/>
      </c>
      <c r="W33" s="7" t="n">
        <v>0.75</v>
      </c>
      <c r="X33" s="6">
        <f>$T33*W33</f>
        <v/>
      </c>
      <c r="Y33" s="7" t="n">
        <v>0</v>
      </c>
      <c r="Z33" s="6">
        <f>$T33*Y33</f>
        <v/>
      </c>
      <c r="AA33" s="7" t="n">
        <v>0</v>
      </c>
      <c r="AB33" s="6">
        <f>$T33*AA33</f>
        <v/>
      </c>
      <c r="AC33" s="7" t="n">
        <v>0</v>
      </c>
      <c r="AD33" s="6">
        <f>$T33*AC33</f>
        <v/>
      </c>
      <c r="AE33" s="7" t="n">
        <v>0</v>
      </c>
      <c r="AF33" s="6">
        <f>$T33*AE33</f>
        <v/>
      </c>
      <c r="AG33" s="7" t="n">
        <v>0</v>
      </c>
      <c r="AH33" s="6">
        <f>$T33*AG33</f>
        <v/>
      </c>
      <c r="AI33" s="7">
        <f>U33+W33+Y33+AA33+AC33+AE33+AG33</f>
        <v/>
      </c>
      <c r="AJ33" s="6">
        <f>V33+X33+Z33+AB33+AD33+AF33+AH33</f>
        <v/>
      </c>
    </row>
    <row r="34" ht="30" customHeight="1" s="35">
      <c r="A34" s="3" t="inlineStr">
        <is>
          <t>LOM241.1C.22.100.0010.A</t>
        </is>
      </c>
      <c r="B34" s="4" t="inlineStr">
        <is>
          <t>1/2</t>
        </is>
      </c>
      <c r="C34" s="3" t="inlineStr">
        <is>
          <t>EDILE</t>
        </is>
      </c>
      <c r="D34" s="4" t="inlineStr">
        <is>
          <t>NON SPECIALE</t>
        </is>
      </c>
      <c r="E34" s="4" t="inlineStr">
        <is>
          <t>EDILI</t>
        </is>
      </c>
      <c r="F34" s="3" t="inlineStr">
        <is>
          <t>1_2025.11.20_CME REV07.PDF</t>
        </is>
      </c>
      <c r="G34" s="4" t="inlineStr">
        <is>
          <t>25</t>
        </is>
      </c>
      <c r="H34" s="3" t="inlineStr">
        <is>
          <t>30 - STRUTTURALE</t>
        </is>
      </c>
      <c r="I34" s="3" t="inlineStr">
        <is>
          <t>NUOVI LABORATORI</t>
        </is>
      </c>
      <c r="J34" s="3" t="inlineStr">
        <is>
          <t>OPERE IN CARPENTERIA METALLICA</t>
        </is>
      </c>
      <c r="K34" s="3" t="inlineStr">
        <is>
          <t>SOVRAPPREZZO PER ZINCATURA DI CARPENTERIA METALLICA: - A CALDO</t>
        </is>
      </c>
      <c r="L34" s="3" t="inlineStr">
        <is>
          <t>SOVRAPPREZZO PER ZINCATURA DI CARPENTERIA METALLICA: - A CALDO</t>
        </is>
      </c>
      <c r="M34" s="4" t="inlineStr">
        <is>
          <t>KG</t>
        </is>
      </c>
      <c r="N34" s="5" t="n">
        <v>3766.73</v>
      </c>
      <c r="O34" s="6" t="n">
        <v>0.9399999999999999</v>
      </c>
      <c r="P34" s="6" t="n">
        <v>3540.73</v>
      </c>
      <c r="Q34" s="5" t="n"/>
      <c r="R34" s="6" t="n"/>
      <c r="S34" s="6">
        <f>IF(AND(Q34&lt;&gt;"",R34&lt;&gt;""),Q34*R34,"")</f>
        <v/>
      </c>
      <c r="T34" s="6">
        <f>IF(S34="",P34,S34)</f>
        <v/>
      </c>
      <c r="U34" s="7" t="n">
        <v>0</v>
      </c>
      <c r="V34" s="6">
        <f>$T34*U34</f>
        <v/>
      </c>
      <c r="W34" s="7" t="n">
        <v>0.75</v>
      </c>
      <c r="X34" s="6">
        <f>$T34*W34</f>
        <v/>
      </c>
      <c r="Y34" s="7" t="n">
        <v>0</v>
      </c>
      <c r="Z34" s="6">
        <f>$T34*Y34</f>
        <v/>
      </c>
      <c r="AA34" s="7" t="n">
        <v>0</v>
      </c>
      <c r="AB34" s="6">
        <f>$T34*AA34</f>
        <v/>
      </c>
      <c r="AC34" s="7" t="n">
        <v>0</v>
      </c>
      <c r="AD34" s="6">
        <f>$T34*AC34</f>
        <v/>
      </c>
      <c r="AE34" s="7" t="n">
        <v>0</v>
      </c>
      <c r="AF34" s="6">
        <f>$T34*AE34</f>
        <v/>
      </c>
      <c r="AG34" s="7" t="n">
        <v>0</v>
      </c>
      <c r="AH34" s="6">
        <f>$T34*AG34</f>
        <v/>
      </c>
      <c r="AI34" s="7">
        <f>U34+W34+Y34+AA34+AC34+AE34+AG34</f>
        <v/>
      </c>
      <c r="AJ34" s="6">
        <f>V34+X34+Z34+AB34+AD34+AF34+AH34</f>
        <v/>
      </c>
    </row>
    <row r="35" ht="60" customHeight="1" s="35">
      <c r="A35" s="3" t="inlineStr">
        <is>
          <t>LOM241.OC.EEA.A04.E0200.J0001.0035.C</t>
        </is>
      </c>
      <c r="B35" s="4" t="inlineStr">
        <is>
          <t>1/1</t>
        </is>
      </c>
      <c r="C35" s="3" t="inlineStr">
        <is>
          <t>EDILE</t>
        </is>
      </c>
      <c r="D35" s="4" t="inlineStr">
        <is>
          <t>NON SPECIALE</t>
        </is>
      </c>
      <c r="E35" s="4" t="inlineStr">
        <is>
          <t>EDILI</t>
        </is>
      </c>
      <c r="F35" s="3" t="inlineStr">
        <is>
          <t>1_2025.11.20_CME REV07.PDF</t>
        </is>
      </c>
      <c r="G35" s="4" t="inlineStr">
        <is>
          <t>26</t>
        </is>
      </c>
      <c r="H35" s="3" t="inlineStr">
        <is>
          <t>30 - STRUTTURALE</t>
        </is>
      </c>
      <c r="I35" s="3" t="inlineStr">
        <is>
          <t>NUOVI LABORATORI</t>
        </is>
      </c>
      <c r="J35" s="3" t="inlineStr">
        <is>
          <t>OPERE IN C.A.</t>
        </is>
      </c>
      <c r="K35" s="3" t="inlineStr">
        <is>
          <t xml:space="preserve">OPERA: SOLAIO DI CONGLOMERATO CEMENTIZIO; GEOMETRIA/FORMA/ASPETTO: PIANO/INCLINATO; SPESSORE TOT [CM] = 10. INCLUSO: ARMATURA; LAMIERA GRECATA. </t>
        </is>
      </c>
      <c r="L35" s="3" t="inlineStr">
        <is>
          <t>OPERA: SOLAIO DI CONGLOMERATO CEMENTIZIO; GEOMETRIA/FORMA/ASPETTO: PIANO/INCLINATO; SPESSORE TOT [CM] = 10. INCLUSO: ARMATURA; LAMIERA GRECATA. 
LAVORO: FORMAZIONE. INCLUSO: ARMATURA DI SOSTEGNO PROVVISORIA FINO A 4,50 M DAL PIANO DI APPOGGIO, EVENTUALI CASSERATURE A COMPLETAMENTO, SALDATURA PER PUNTI, RIVETTATURA, OPERE NECESSARIE PER L'ADEGUATO COLLEGAMENTO ALLE STRUTTURE PORTANTI. ESCLUSO: FERRO TONDO D'ARMATURA, RETE ELETTROSALDATA. 
SPECIFICHE TECNICHE: LAMIERA GRECATA COLLABORANTE CON IL GETTO. 
COMPONENTI: 
OP1 OPERA: SOLAIO DI CONGLOMERATO CEMENTIZIO; GEOMETRIA/FORMA/ASPETTO: PIANO/INCLINATO; SPESSORE TOT [CM] = 10. INCLUSO: ARMATURA; LAMIERA GRECATA. 
SPECIFICHE TECNICHE: LAMIERA GRECATA COLLABORANTE CON IL GETTO. 
RM2 LAMIERA DI LEGA FERROSA ACCIAIO ZINCATO; GEOMETRIA/FORMA/ASPETTO: GRECATA; FUNZIONE: COLLABORANTE; IMPIEGO: SOLAIO 
SPECIFICHE TECNICHE: DA COMPLETARE CON GETTO DI CALCESTRUZZO 
RM2 FERRAMENTA VITE DI METALLO FERRO; GEOMETRIA/FORMA/ASPETTO: AUTOPERFORANTI; FUNZIONE: FISSAGGIO; IMPIEGO: LASTRE 
LV1 LAVORO: FORMAZIONE. INCLUSO: ARMATURA DI SOSTEGNO PROVVISORIA FINO A 4,50 M DAL PIANO DI APPOGGIO, EVENTUALI CASSERATURE A COMPLETAMENTO, SALDATURA PER PUNTI, RIVETTATURA, OPERE NECESSARIE PER L'ADEGUATO COLLEGAMENTO ALLE STRUTTURE PORTANTI. ESCLUSO: FERRO TONDO D'ARMATURA, RETE ELETTROSALDATA. 
LP2 OPERA STRUMENTALE: CASSAFORMA; TRADIZIONALE DI LEGNO NATURALE GENERICO; IMPIEGO: SOLAIO MISTO CON TRAVI IN SPESSORE PER STRUTTURE PIANE; SPESSORE [M] = 0,025 ÷ 0,027 | ALTEZZA [M] ≤ 3,5; PRESSIONE [KN/M²] ≤ 70. INCLUSO: DISARMANTE, CHIODI, PUNTELLI. 
LAVORO: FORMAZIONE.</t>
        </is>
      </c>
      <c r="M35" s="4" t="inlineStr">
        <is>
          <t>M²</t>
        </is>
      </c>
      <c r="N35" s="5" t="n">
        <v>38.88</v>
      </c>
      <c r="O35" s="6" t="n">
        <v>115.2</v>
      </c>
      <c r="P35" s="6" t="n">
        <v>4478.98</v>
      </c>
      <c r="Q35" s="5" t="n"/>
      <c r="R35" s="6" t="n"/>
      <c r="S35" s="6">
        <f>IF(AND(Q35&lt;&gt;"",R35&lt;&gt;""),Q35*R35,"")</f>
        <v/>
      </c>
      <c r="T35" s="6">
        <f>IF(S35="",P35,S35)</f>
        <v/>
      </c>
      <c r="U35" s="7" t="n">
        <v>0</v>
      </c>
      <c r="V35" s="6">
        <f>$T35*U35</f>
        <v/>
      </c>
      <c r="W35" s="7" t="n">
        <v>0</v>
      </c>
      <c r="X35" s="6">
        <f>$T35*W35</f>
        <v/>
      </c>
      <c r="Y35" s="7" t="n">
        <v>0</v>
      </c>
      <c r="Z35" s="6">
        <f>$T35*Y35</f>
        <v/>
      </c>
      <c r="AA35" s="7" t="n">
        <v>0</v>
      </c>
      <c r="AB35" s="6">
        <f>$T35*AA35</f>
        <v/>
      </c>
      <c r="AC35" s="7" t="n">
        <v>0</v>
      </c>
      <c r="AD35" s="6">
        <f>$T35*AC35</f>
        <v/>
      </c>
      <c r="AE35" s="7" t="n">
        <v>0</v>
      </c>
      <c r="AF35" s="6">
        <f>$T35*AE35</f>
        <v/>
      </c>
      <c r="AG35" s="7" t="n">
        <v>0</v>
      </c>
      <c r="AH35" s="6">
        <f>$T35*AG35</f>
        <v/>
      </c>
      <c r="AI35" s="7">
        <f>U35+W35+Y35+AA35+AC35+AE35+AG35</f>
        <v/>
      </c>
      <c r="AJ35" s="6">
        <f>V35+X35+Z35+AB35+AD35+AF35+AH35</f>
        <v/>
      </c>
    </row>
    <row r="36" ht="60" customHeight="1" s="35">
      <c r="A36" s="3" t="inlineStr">
        <is>
          <t>LOM241.OC.EEA.A02.E9700.SB016.0000</t>
        </is>
      </c>
      <c r="B36" s="4" t="inlineStr">
        <is>
          <t>1/3</t>
        </is>
      </c>
      <c r="C36" s="3" t="inlineStr">
        <is>
          <t>EDILE</t>
        </is>
      </c>
      <c r="D36" s="4" t="inlineStr">
        <is>
          <t>NON SPECIALE</t>
        </is>
      </c>
      <c r="E36" s="4" t="inlineStr">
        <is>
          <t>EDILI</t>
        </is>
      </c>
      <c r="F36" s="3" t="inlineStr">
        <is>
          <t>1_2025.11.20_CME REV07.PDF</t>
        </is>
      </c>
      <c r="G36" s="4" t="inlineStr">
        <is>
          <t>27</t>
        </is>
      </c>
      <c r="H36" s="3" t="inlineStr">
        <is>
          <t>30 - STRUTTURALE</t>
        </is>
      </c>
      <c r="I36" s="3" t="inlineStr">
        <is>
          <t>NUOVI LABORATORI</t>
        </is>
      </c>
      <c r="J36" s="3" t="inlineStr">
        <is>
          <t>OPERE IN C.A.</t>
        </is>
      </c>
      <c r="K36" s="3" t="inlineStr">
        <is>
          <t xml:space="preserve">OPERA: ARMATURA, RETE ELETTROSALDATA DI LEGA FERROSA ACCIAIO B450A; IMPIEGO: STRUTTURE IN CEMENTO ARMATO. </t>
        </is>
      </c>
      <c r="L36" s="3" t="inlineStr">
        <is>
          <t>OPERA: ARMATURA, RETE ELETTROSALDATA DI LEGA FERROSA ACCIAIO B450A; IMPIEGO: STRUTTURE IN CEMENTO ARMATO. 
LAVORO: POSA. INCLUSO: SORMONTI, TAGLI, SFRIDI, LEGATURE. 
SPECIFICHE TECNICHE: PRODOTTO CON SISTEMI DI CONTROLLO DI PRODUZIONE IN STABILIMENTO DI CUI AL D.M.17/01/2018. 
COMPONENTI: 
OP1 OPERA: ARMATURA, RETE ELETTROSALDATA DI LEGA FERROSA ACCIAIO B450A; IMPIEGO: STRUTTURE IN CEMENTO ARMATO. 
SPECIFICHE TECNICHE: PRODOTTO CON SISTEMI DI CONTROLLO DI PRODUZIONE IN STABILIMENTO DI CUI AL D.M.17/01/2018. 
RM2 RETE ELETTROSALDATA DI LEGA FERROSA ACCIAIO B450A; FINITURA: NERVATA; FUNZIONE: STRUTTURALE; IMPIEGO: ARMATURE 
LV1 LAVORO: POSA. INCLUSO: SORMONTI, TAGLI, SFRIDI, LEGATURE.</t>
        </is>
      </c>
      <c r="M36" s="4" t="inlineStr">
        <is>
          <t>KG</t>
        </is>
      </c>
      <c r="N36" s="5" t="n">
        <v>86.31</v>
      </c>
      <c r="O36" s="6" t="n">
        <v>1.39</v>
      </c>
      <c r="P36" s="6" t="n">
        <v>119.97</v>
      </c>
      <c r="Q36" s="5" t="n"/>
      <c r="R36" s="6" t="n"/>
      <c r="S36" s="6">
        <f>IF(AND(Q36&lt;&gt;"",R36&lt;&gt;""),Q36*R36,"")</f>
        <v/>
      </c>
      <c r="T36" s="6">
        <f>IF(S36="",P36,S36)</f>
        <v/>
      </c>
      <c r="U36" s="7" t="n">
        <v>0</v>
      </c>
      <c r="V36" s="6">
        <f>$T36*U36</f>
        <v/>
      </c>
      <c r="W36" s="7" t="n">
        <v>0.8</v>
      </c>
      <c r="X36" s="6">
        <f>$T36*W36</f>
        <v/>
      </c>
      <c r="Y36" s="7" t="n">
        <v>0</v>
      </c>
      <c r="Z36" s="6">
        <f>$T36*Y36</f>
        <v/>
      </c>
      <c r="AA36" s="7" t="n">
        <v>0</v>
      </c>
      <c r="AB36" s="6">
        <f>$T36*AA36</f>
        <v/>
      </c>
      <c r="AC36" s="7" t="n">
        <v>0</v>
      </c>
      <c r="AD36" s="6">
        <f>$T36*AC36</f>
        <v/>
      </c>
      <c r="AE36" s="7" t="n">
        <v>0</v>
      </c>
      <c r="AF36" s="6">
        <f>$T36*AE36</f>
        <v/>
      </c>
      <c r="AG36" s="7" t="n">
        <v>0</v>
      </c>
      <c r="AH36" s="6">
        <f>$T36*AG36</f>
        <v/>
      </c>
      <c r="AI36" s="7">
        <f>U36+W36+Y36+AA36+AC36+AE36+AG36</f>
        <v/>
      </c>
      <c r="AJ36" s="6">
        <f>V36+X36+Z36+AB36+AD36+AF36+AH36</f>
        <v/>
      </c>
    </row>
    <row r="37" ht="60" customHeight="1" s="35">
      <c r="A37" s="3" t="inlineStr">
        <is>
          <t>LOM241.OC.EEA.A04.C1505.D0000.0025</t>
        </is>
      </c>
      <c r="B37" s="4" t="inlineStr">
        <is>
          <t>1/2</t>
        </is>
      </c>
      <c r="C37" s="3" t="inlineStr">
        <is>
          <t>EDILE</t>
        </is>
      </c>
      <c r="D37" s="4" t="inlineStr">
        <is>
          <t>NON SPECIALE</t>
        </is>
      </c>
      <c r="E37" s="4" t="inlineStr">
        <is>
          <t>EDILI</t>
        </is>
      </c>
      <c r="F37" s="3" t="inlineStr">
        <is>
          <t>1_2025.11.20_CME REV07.PDF</t>
        </is>
      </c>
      <c r="G37" s="4" t="inlineStr">
        <is>
          <t>38</t>
        </is>
      </c>
      <c r="H37" s="3" t="inlineStr">
        <is>
          <t>30 - STRUTTURALE</t>
        </is>
      </c>
      <c r="I37" s="3" t="inlineStr">
        <is>
          <t>NUOVI LABORATORI</t>
        </is>
      </c>
      <c r="J37" s="3" t="inlineStr">
        <is>
          <t>OPERE IN C.A.</t>
        </is>
      </c>
      <c r="K37" s="3" t="inlineStr">
        <is>
          <t xml:space="preserve">OPERA: STRATO DI VESPAIO DI PLASTICA GENERICO; ALTEZZA TOT [CM] = 26 ÷ 31. ESCLUSO: ARMATURA IN FERRO; BORDI DI CONTENIMENTO SE NECESSARI. </t>
        </is>
      </c>
      <c r="L37" s="3" t="inlineStr">
        <is>
          <t>OPERA: STRATO DI VESPAIO DI PLASTICA GENERICO; ALTEZZA TOT [CM] = 26 ÷ 31. ESCLUSO: ARMATURA IN FERRO; BORDI DI CONTENIMENTO SE NECESSARI. 
LAVORO: FORMAZIONE. 
SPECIFICHE TECNICHE: COMPOSTO DA: STRATO DI SOTTOFONDO, ALTEZZA [CM] = 8; CASSERO A PERDERE, ALTEZZA [CM] = 15 ÷ 20; STRATO DI IRRIGIDIMENTO, ALTEZZA [CM] = 5. 
COMPONENTI: 
OP1 OPERA: STRATO DI VESPAIO DI PLASTICA GENERICO; ALTEZZA TOT [CM] = 26 ÷ 31. ESCLUSO: ARMATURA IN FERRO; BORDI DI CONTENIMENTO SE NECESSARI. 
SPECIFICHE TECNICHE: COMPOSTO DA: STRATO DI SOTTOFONDO, ALTEZZA [CM] = 8; CASSERO A PERDERE, ALTEZZA [CM] = 15 ÷ 20; STRATO DI IRRIGIDIMENTO, ALTEZZA [CM] = 5. 
RM2 CASSERO A PERDERE MODULO DI PLASTICA GENERICO; FUNZIONE: AUTOPORTANTE; IMPIEGO: VESPAIO AERATO; ALTEZZA [CM] = 15 ÷ 20 
OC2 OPERA: STRATO DI IRRIGIDIMENTO DI CONGLOMERATO CEMENTIZIO; IMPIEGO: SOLAIO | VESPAIO AERATO; SPESSORE [CM] = 5. ESCLUSO: ARMATURA; BORDI DI CONTENIMENTO. 
LAVORO: GETTO CON POMPA. INCLUSO: VIBRATURA. 
SPECIFICHE TECNICHE: RESISTENZA CALCESTRUZZO [CLASSE] = C20/25, QUANTITÀ DI CALCESTRUZZO GETTATO [MC] ≤ 30. 
OC2 OPERA: STRATO DI SOTTOFONDO, DI RIEMPIMENTO ALLEGGERITO DI CONGLOMERATO CEMENTIZIO; FUNZIONE: FONOASSORBENTE | TERMOISOLANTE; IMPIEGO: A BASE CEMENTIZIA; SPESSORE [CM] = 8. 
LAVORO: GETTO. 
SPECIFICHE TECNICHE: COSTIPATO E LIVELLATO A FRATTAZZO LUNGO; QUANTITÀ DI CALCESTRUZZO GETTATO [MC] ≤ 30. 
LV1 LAVORO: FORMAZIONE.</t>
        </is>
      </c>
      <c r="M37" s="4" t="inlineStr">
        <is>
          <t>M²</t>
        </is>
      </c>
      <c r="N37" s="5" t="n">
        <v>106.08</v>
      </c>
      <c r="O37" s="6" t="n">
        <v>43.73</v>
      </c>
      <c r="P37" s="6" t="n">
        <v>4638.88</v>
      </c>
      <c r="Q37" s="5" t="n"/>
      <c r="R37" s="6" t="n"/>
      <c r="S37" s="6">
        <f>IF(AND(Q37&lt;&gt;"",R37&lt;&gt;""),Q37*R37,"")</f>
        <v/>
      </c>
      <c r="T37" s="6">
        <f>IF(S37="",P37,S37)</f>
        <v/>
      </c>
      <c r="U37" s="7" t="n">
        <v>0</v>
      </c>
      <c r="V37" s="6">
        <f>$T37*U37</f>
        <v/>
      </c>
      <c r="W37" s="7" t="n">
        <v>0.8</v>
      </c>
      <c r="X37" s="6">
        <f>$T37*W37</f>
        <v/>
      </c>
      <c r="Y37" s="7" t="n">
        <v>0</v>
      </c>
      <c r="Z37" s="6">
        <f>$T37*Y37</f>
        <v/>
      </c>
      <c r="AA37" s="7" t="n">
        <v>0</v>
      </c>
      <c r="AB37" s="6">
        <f>$T37*AA37</f>
        <v/>
      </c>
      <c r="AC37" s="7" t="n">
        <v>0</v>
      </c>
      <c r="AD37" s="6">
        <f>$T37*AC37</f>
        <v/>
      </c>
      <c r="AE37" s="7" t="n">
        <v>0</v>
      </c>
      <c r="AF37" s="6">
        <f>$T37*AE37</f>
        <v/>
      </c>
      <c r="AG37" s="7" t="n">
        <v>0</v>
      </c>
      <c r="AH37" s="6">
        <f>$T37*AG37</f>
        <v/>
      </c>
      <c r="AI37" s="7">
        <f>U37+W37+Y37+AA37+AC37+AE37+AG37</f>
        <v/>
      </c>
      <c r="AJ37" s="6">
        <f>V37+X37+Z37+AB37+AD37+AF37+AH37</f>
        <v/>
      </c>
    </row>
    <row r="38" ht="60" customHeight="1" s="35">
      <c r="A38" s="3" t="inlineStr">
        <is>
          <t>LOM241.OC.EEA.A02.E9700.SB016.0000</t>
        </is>
      </c>
      <c r="B38" s="4" t="inlineStr">
        <is>
          <t>2/3</t>
        </is>
      </c>
      <c r="C38" s="3" t="inlineStr">
        <is>
          <t>EDILE</t>
        </is>
      </c>
      <c r="D38" s="4" t="inlineStr">
        <is>
          <t>NON SPECIALE</t>
        </is>
      </c>
      <c r="E38" s="4" t="inlineStr">
        <is>
          <t>EDILI</t>
        </is>
      </c>
      <c r="F38" s="3" t="inlineStr">
        <is>
          <t>1_2025.11.20_CME REV07.PDF</t>
        </is>
      </c>
      <c r="G38" s="4" t="inlineStr">
        <is>
          <t>39</t>
        </is>
      </c>
      <c r="H38" s="3" t="inlineStr">
        <is>
          <t>30 - STRUTTURALE</t>
        </is>
      </c>
      <c r="I38" s="3" t="inlineStr">
        <is>
          <t>NUOVI LABORATORI</t>
        </is>
      </c>
      <c r="J38" s="3" t="inlineStr">
        <is>
          <t>OPERE IN C.A.</t>
        </is>
      </c>
      <c r="K38" s="3" t="inlineStr">
        <is>
          <t xml:space="preserve">OPERA: ARMATURA, RETE ELETTROSALDATA DI LEGA FERROSA ACCIAIO B450A; IMPIEGO: STRUTTURE IN CEMENTO ARMATO. </t>
        </is>
      </c>
      <c r="L38" s="3" t="inlineStr">
        <is>
          <t>OPERA: ARMATURA, RETE ELETTROSALDATA DI LEGA FERROSA ACCIAIO B450A; IMPIEGO: STRUTTURE IN CEMENTO ARMATO. 
LAVORO: POSA. INCLUSO: SORMONTI, TAGLI, SFRIDI, LEGATURE. 
SPECIFICHE TECNICHE: PRODOTTO CON SISTEMI DI CONTROLLO DI PRODUZIONE IN STABILIMENTO DI CUI AL D.M.17/01/2018. 
COMPONENTI: 
OP1 OPERA: ARMATURA, RETE ELETTROSALDATA DI LEGA FERROSA ACCIAIO B450A; IMPIEGO: STRUTTURE IN CEMENTO ARMATO. 
SPECIFICHE TECNICHE: PRODOTTO CON SISTEMI DI CONTROLLO DI PRODUZIONE IN STABILIMENTO DI CUI AL D.M.17/01/2018. 
RM2 RETE ELETTROSALDATA DI LEGA FERROSA ACCIAIO B450A; FINITURA: NERVATA; FUNZIONE: STRUTTURALE; IMPIEGO: ARMATURE 
LV1 LAVORO: POSA. INCLUSO: SORMONTI, TAGLI, SFRIDI, LEGATURE.</t>
        </is>
      </c>
      <c r="M38" s="4" t="inlineStr">
        <is>
          <t>KG</t>
        </is>
      </c>
      <c r="N38" s="5" t="n">
        <v>235.5</v>
      </c>
      <c r="O38" s="6" t="n">
        <v>1.39</v>
      </c>
      <c r="P38" s="6" t="n">
        <v>327.35</v>
      </c>
      <c r="Q38" s="5" t="n"/>
      <c r="R38" s="6" t="n"/>
      <c r="S38" s="6">
        <f>IF(AND(Q38&lt;&gt;"",R38&lt;&gt;""),Q38*R38,"")</f>
        <v/>
      </c>
      <c r="T38" s="6">
        <f>IF(S38="",P38,S38)</f>
        <v/>
      </c>
      <c r="U38" s="7" t="n">
        <v>0</v>
      </c>
      <c r="V38" s="6">
        <f>$T38*U38</f>
        <v/>
      </c>
      <c r="W38" s="7" t="n">
        <v>0.8</v>
      </c>
      <c r="X38" s="6">
        <f>$T38*W38</f>
        <v/>
      </c>
      <c r="Y38" s="7" t="n">
        <v>0</v>
      </c>
      <c r="Z38" s="6">
        <f>$T38*Y38</f>
        <v/>
      </c>
      <c r="AA38" s="7" t="n">
        <v>0</v>
      </c>
      <c r="AB38" s="6">
        <f>$T38*AA38</f>
        <v/>
      </c>
      <c r="AC38" s="7" t="n">
        <v>0</v>
      </c>
      <c r="AD38" s="6">
        <f>$T38*AC38</f>
        <v/>
      </c>
      <c r="AE38" s="7" t="n">
        <v>0</v>
      </c>
      <c r="AF38" s="6">
        <f>$T38*AE38</f>
        <v/>
      </c>
      <c r="AG38" s="7" t="n">
        <v>0</v>
      </c>
      <c r="AH38" s="6">
        <f>$T38*AG38</f>
        <v/>
      </c>
      <c r="AI38" s="7">
        <f>U38+W38+Y38+AA38+AC38+AE38+AG38</f>
        <v/>
      </c>
      <c r="AJ38" s="6">
        <f>V38+X38+Z38+AB38+AD38+AF38+AH38</f>
        <v/>
      </c>
    </row>
    <row r="39" ht="60" customHeight="1" s="35">
      <c r="A39" s="3" t="inlineStr">
        <is>
          <t>LOM241.OC.EEA.A02.C0102.ZB009.0075</t>
        </is>
      </c>
      <c r="B39" s="4" t="inlineStr">
        <is>
          <t>1/2</t>
        </is>
      </c>
      <c r="C39" s="3" t="inlineStr">
        <is>
          <t>EDILE</t>
        </is>
      </c>
      <c r="D39" s="4" t="inlineStr">
        <is>
          <t>NON SPECIALE</t>
        </is>
      </c>
      <c r="E39" s="4" t="inlineStr">
        <is>
          <t>EDILI</t>
        </is>
      </c>
      <c r="F39" s="3" t="inlineStr">
        <is>
          <t>1_2025.11.20_CME REV07.PDF</t>
        </is>
      </c>
      <c r="G39" s="4" t="inlineStr">
        <is>
          <t>40</t>
        </is>
      </c>
      <c r="H39" s="3" t="inlineStr">
        <is>
          <t>30 - STRUTTURALE</t>
        </is>
      </c>
      <c r="I39" s="3" t="inlineStr">
        <is>
          <t>NUOVI LABORATORI</t>
        </is>
      </c>
      <c r="J39" s="3" t="inlineStr">
        <is>
          <t>OPERE IN C.A.</t>
        </is>
      </c>
      <c r="K39" s="3" t="inlineStr">
        <is>
          <t>OPERA: STRATO DI MURATURA, LASTRE DI MATERIALE MIX GESSO-CARTONE; FUNZIONE: CONTROPARETE. LAVORO: POSA. INCLUSO: RASATURA GIUNTI; ASSISTENZA MURARIA FORNITA DA IMPRESA. COMPONENTI: OP1 OPERA: STRATO D</t>
        </is>
      </c>
      <c r="L39" s="3" t="inlineStr">
        <is>
          <t>OPERA: STRATO DI MURATURA, LASTRE DI MATERIALE MIX GESSO-CARTONE; FUNZIONE: CONTROPARETE. LAVORO: POSA. INCLUSO: RASATURA GIUNTI; ASSISTENZA MURARIA FORNITA DA IMPRESA. COMPONENTI: OP1 OPERA: STRATO DI MURATURA, LASTRE DI MATERIALE MIX GESSO-CARTONE; FUNZIONE: CONTROPARETE. RM2 LASTRA DI GESSO GENERICO; FINITURA: CARTONE SPECIALE; GEOMETRIA/FORMA/ASPETTO: BORDI ASSOTTIGLIATI; FUNZIONE: DIVISORIA; IMPIEGO: MURATURE; LARGHEZZA [CM] = 120 | SPESSORE [MM] = 13 SPECIFICHE TECNICHE: LASTRA RIVESTITA SULLE DUE FACCE CON CARTONE RM2 PROFILO MONTANTE DI LEGA FERROSA ACCIAIO ZINCATO Z140; FINITURA: ORGANICA PRIVA DI CROMO; SPESSORE [MM] = 0,6 | LARGHEZZA [MM] = 75 RM2 PROFILO GUIDA DI LEGA FERROSA ACCIAIO ZINCATO Z141; FINITURA: ORGANICA PRIVA DI CROMO; SPESSORE [MM] = 0,6 | LARGHEZZA [MM] = 75 RM2 FERRAMENTA VITE DI METALLO FERRO; GEOMETRIA/FORMA/ASPETTO: AUTOPERFORANTI; FUNZIONE: FISSAGGIO; IMPIEGO: LASTRE RM2 PREMISCELATO DI MATERIALE GENERICO; GEOMETRIA/FORMA/ASPETTO: PASTA; FUNZIONE: STUCCATURA; IMPIEGO: MURATURE INTERNE | LEGNO; PESO SPECIFICO [KG/L] = 1,75 SPECIFICHE TECNICHE: RESINE IN DISPERSIONE ACQUOSA RM2 NASTRO DI FIBRA SINTETICA DI VETRO; FUNZIONE: COPRIGIUNTI; IMPIEGO: MURATURE | PARETI DIVISORIE LV1 LAVORO: POSA. INCLUSO: RASATURA GIUNTI; ASSISTENZA MURARIA FORNITA DA IMPRESA.</t>
        </is>
      </c>
      <c r="M39" s="4" t="inlineStr">
        <is>
          <t>M²</t>
        </is>
      </c>
      <c r="N39" s="5" t="n">
        <v>549.16</v>
      </c>
      <c r="O39" s="6" t="n">
        <v>33.4</v>
      </c>
      <c r="P39" s="6" t="n">
        <v>18341.94</v>
      </c>
      <c r="Q39" s="5" t="n"/>
      <c r="R39" s="6" t="n"/>
      <c r="S39" s="6">
        <f>IF(AND(Q39&lt;&gt;"",R39&lt;&gt;""),Q39*R39,"")</f>
        <v/>
      </c>
      <c r="T39" s="6">
        <f>IF(S39="",P39,S39)</f>
        <v/>
      </c>
      <c r="U39" s="7" t="n">
        <v>0</v>
      </c>
      <c r="V39" s="6">
        <f>$T39*U39</f>
        <v/>
      </c>
      <c r="W39" s="7" t="n">
        <v>0</v>
      </c>
      <c r="X39" s="6">
        <f>$T39*W39</f>
        <v/>
      </c>
      <c r="Y39" s="7" t="n">
        <v>0</v>
      </c>
      <c r="Z39" s="6">
        <f>$T39*Y39</f>
        <v/>
      </c>
      <c r="AA39" s="7" t="n">
        <v>0</v>
      </c>
      <c r="AB39" s="6">
        <f>$T39*AA39</f>
        <v/>
      </c>
      <c r="AC39" s="7" t="n">
        <v>0</v>
      </c>
      <c r="AD39" s="6">
        <f>$T39*AC39</f>
        <v/>
      </c>
      <c r="AE39" s="7" t="n">
        <v>0</v>
      </c>
      <c r="AF39" s="6">
        <f>$T39*AE39</f>
        <v/>
      </c>
      <c r="AG39" s="7" t="n">
        <v>0</v>
      </c>
      <c r="AH39" s="6">
        <f>$T39*AG39</f>
        <v/>
      </c>
      <c r="AI39" s="7">
        <f>U39+W39+Y39+AA39+AC39+AE39+AG39</f>
        <v/>
      </c>
      <c r="AJ39" s="6">
        <f>V39+X39+Z39+AB39+AD39+AF39+AH39</f>
        <v/>
      </c>
    </row>
    <row r="40" ht="60" customHeight="1" s="35">
      <c r="A40" s="3" t="inlineStr">
        <is>
          <t>LOM241.OC.EEA.A02.C0102.L0011.0255</t>
        </is>
      </c>
      <c r="B40" s="4" t="inlineStr">
        <is>
          <t>1/2</t>
        </is>
      </c>
      <c r="C40" s="3" t="inlineStr">
        <is>
          <t>EDILE</t>
        </is>
      </c>
      <c r="D40" s="4" t="inlineStr">
        <is>
          <t>NON SPECIALE</t>
        </is>
      </c>
      <c r="E40" s="4" t="inlineStr">
        <is>
          <t>EDILI</t>
        </is>
      </c>
      <c r="F40" s="3" t="inlineStr">
        <is>
          <t>1_2025.11.20_CME REV07.PDF</t>
        </is>
      </c>
      <c r="G40" s="4" t="inlineStr">
        <is>
          <t>41</t>
        </is>
      </c>
      <c r="H40" s="3" t="inlineStr">
        <is>
          <t>30 - STRUTTURALE</t>
        </is>
      </c>
      <c r="I40" s="3" t="inlineStr">
        <is>
          <t>NUOVI LABORATORI</t>
        </is>
      </c>
      <c r="J40" s="3" t="inlineStr">
        <is>
          <t>OPERE IN C.A.</t>
        </is>
      </c>
      <c r="K40" s="3" t="inlineStr">
        <is>
          <t xml:space="preserve">OPERA: STRATO DI MURATURA, BLOCCHI FORATI DI CERAMICA TERRACOTTA/LATERIZIO. INCLUSO: SPALLE, VOLTINI, SPIGOLI, LESENE. </t>
        </is>
      </c>
      <c r="L40" s="3" t="inlineStr">
        <is>
          <t>OPERA: STRATO DI MURATURA, BLOCCHI FORATI DI CERAMICA TERRACOTTA/LATERIZIO. INCLUSO: SPALLE, VOLTINI, SPIGOLI, LESENE. 
LAVORO: POSA. 
COMPONENTI: 
OP1 OPERA: STRATO DI MURATURA, BLOCCHI FORATI DI CERAMICA TERRACOTTA/LATERIZIO. INCLUSO: SPALLE, VOLTINI, SPIGOLI, LESENE. 
RM2 BLOCCO FORATO DI CERAMICA TERRACOTTA/LATERIZIO; GEOMETRIA/FORMA/ASPETTO: MATTONI; LUNGHEZZA [CM] = 24 | LARGHEZZA [CM] = 8 | ALTEZZA [CM] = 12 
PO2 PRODOTTO SEMILAVORATO: MALTA, IDRAULICA IN MATERIA MIX GENERICO. 
LAVORO: FORMAZIONE, CON MEZZO MECCANICO. 
SPECIFICHE TECNICHE: CONFEZIONATA IN BETONIERA; DOSAGGIO PER M³: CALCE EMINENTEMENTE IDRAULICA [KG] = 350. 
LV1 LAVORO: POSA.</t>
        </is>
      </c>
      <c r="M40" s="4" t="inlineStr">
        <is>
          <t>M³</t>
        </is>
      </c>
      <c r="N40" s="5" t="n">
        <v>208.7</v>
      </c>
      <c r="O40" s="6" t="n">
        <v>360.08</v>
      </c>
      <c r="P40" s="6" t="n">
        <v>75148.7</v>
      </c>
      <c r="Q40" s="5" t="n"/>
      <c r="R40" s="6" t="n"/>
      <c r="S40" s="6">
        <f>IF(AND(Q40&lt;&gt;"",R40&lt;&gt;""),Q40*R40,"")</f>
        <v/>
      </c>
      <c r="T40" s="6">
        <f>IF(S40="",P40,S40)</f>
        <v/>
      </c>
      <c r="U40" s="7" t="n">
        <v>0.5</v>
      </c>
      <c r="V40" s="6">
        <f>$T40*U40</f>
        <v/>
      </c>
      <c r="W40" s="7" t="n">
        <v>0.5</v>
      </c>
      <c r="X40" s="6">
        <f>$T40*W40</f>
        <v/>
      </c>
      <c r="Y40" s="7" t="n">
        <v>0</v>
      </c>
      <c r="Z40" s="6">
        <f>$T40*Y40</f>
        <v/>
      </c>
      <c r="AA40" s="7" t="n">
        <v>0</v>
      </c>
      <c r="AB40" s="6">
        <f>$T40*AA40</f>
        <v/>
      </c>
      <c r="AC40" s="7" t="n">
        <v>0</v>
      </c>
      <c r="AD40" s="6">
        <f>$T40*AC40</f>
        <v/>
      </c>
      <c r="AE40" s="7" t="n">
        <v>0</v>
      </c>
      <c r="AF40" s="6">
        <f>$T40*AE40</f>
        <v/>
      </c>
      <c r="AG40" s="7" t="n">
        <v>0</v>
      </c>
      <c r="AH40" s="6">
        <f>$T40*AG40</f>
        <v/>
      </c>
      <c r="AI40" s="7">
        <f>U40+W40+Y40+AA40+AC40+AE40+AG40</f>
        <v/>
      </c>
      <c r="AJ40" s="6">
        <f>V40+X40+Z40+AB40+AD40+AF40+AH40</f>
        <v/>
      </c>
    </row>
    <row r="41" ht="60" customHeight="1" s="35">
      <c r="A41" s="3" t="inlineStr">
        <is>
          <t>LOM241.OC.EEA.A02.C1515.OD001.0020</t>
        </is>
      </c>
      <c r="B41" s="4" t="inlineStr">
        <is>
          <t>1/4</t>
        </is>
      </c>
      <c r="C41" s="3" t="inlineStr">
        <is>
          <t>EDILE</t>
        </is>
      </c>
      <c r="D41" s="4" t="inlineStr">
        <is>
          <t>NON SPECIALE</t>
        </is>
      </c>
      <c r="E41" s="4" t="inlineStr">
        <is>
          <t>EDILI</t>
        </is>
      </c>
      <c r="F41" s="3" t="inlineStr">
        <is>
          <t>1_2025.11.20_CME REV07.PDF</t>
        </is>
      </c>
      <c r="G41" s="4" t="inlineStr">
        <is>
          <t>44</t>
        </is>
      </c>
      <c r="H41" s="3" t="inlineStr">
        <is>
          <t>30 - STRUTTURALE</t>
        </is>
      </c>
      <c r="I41" s="3" t="inlineStr">
        <is>
          <t>NUOVI LABORATORI</t>
        </is>
      </c>
      <c r="J41" s="3" t="inlineStr">
        <is>
          <t>OPERE IN C.A.</t>
        </is>
      </c>
      <c r="K41" s="3" t="inlineStr">
        <is>
          <t xml:space="preserve">OPERA: STRATO DI ISOLAMENTO, ACUSTICO DI FIBRA MINERALE LANA DI ROCCIA; FINITURA: LANA DI LEGNO; IMPIEGO: STRATO DI MURATURA; SPESSORE [MM] = 75. </t>
        </is>
      </c>
      <c r="L41" s="3" t="inlineStr">
        <is>
          <t>OPERA: STRATO DI ISOLAMENTO, ACUSTICO DI FIBRA MINERALE LANA DI ROCCIA; FINITURA: LANA DI LEGNO; IMPIEGO: STRATO DI MURATURA; SPESSORE [MM] = 75. 
LAVORO: POSA. INCLUSO: TAGLI; SIGILLATURE; ADATTAMENTI; FISSAGGIO GENERICO; ASSISTENZE MURARIE. ESCLUSO: PIANI DI LAVORO. 
SPECIFICHE TECNICHE: PER PARETI DIVISORIE INTERNE IN TAVOLATO E CARTONGESSO; PANNELLI CON LANA DI ROCCIA AD ALTA DENSITÀ A FIBRE ORIENTATE SPESSORE [MM] = 65, RIVESTITO SUI DUE LATI DA PANNELLI IN LANA DI LEGNO MINERALIZZATA SPESSORE [MM] = 5 E LEGATA CON CEMENTO. 
COMPONENTI: 
OP1 OPERA: STRATO DI ISOLAMENTO, ACUSTICO DI FIBRA MINERALE LANA DI ROCCIA; FINITURA: LANA DI LEGNO; IMPIEGO: STRATO DI MURATURA; SPESSORE [MM] = 75. 
SPECIFICHE TECNICHE: PER PARETI DIVISORIE INTERNE IN TAVOLATO E CARTONGESSO; PANNELLI CON LANA DI ROCCIA AD ALTA DENSITÀ A FIBRE ORIENTATE SPESSORE [MM] = 65, RIVESTITO SUI DUE LATI DA PANNELLI IN LANA DI LEGNO MINERALIZZATA SPESSORE [MM] = 5 E LEGATA CON CEMENTO. 
RM2 PANNELLO ACUSTICO DI FIBRA MINERALE LANA DI ROCCIA; FINITURA: LANA DI ABETE; GEOMETRIA/FORMA/ASPETTO: PANNELLI MULTISTRATO; FUNZIONE: ISOLAMENTO ACUSTICO; IMPIEGO: PARETI DIVISORIE INTERNE | COPERTURE PIANE; SPESSORE [MM] = 75 
SPECIFICHE TECNICHE: RIVESTITO SULLE DUE FACCE 
RM2 ADESIVO DI GESSO GENERICO; GEOMETRIA/FORMA/ASPETTO: POLVERE; FUNZIONE: SIGILLANTE; IMPIEGO: LASTRE 
LV1 LAVORO: POSA. INCLUSO: TAGLI; SIGILLATURE; ADATTAMENTI; FISSAGGIO GENERICO; ASSISTENZE MURARIE. ESCLUSO: PIANI DI LAVORO.</t>
        </is>
      </c>
      <c r="M41" s="4" t="inlineStr">
        <is>
          <t>M²</t>
        </is>
      </c>
      <c r="N41" s="5" t="n">
        <v>156.47</v>
      </c>
      <c r="O41" s="6" t="n">
        <v>47.15</v>
      </c>
      <c r="P41" s="6" t="n">
        <v>7377.56</v>
      </c>
      <c r="Q41" s="5" t="n"/>
      <c r="R41" s="6" t="n"/>
      <c r="S41" s="6">
        <f>IF(AND(Q41&lt;&gt;"",R41&lt;&gt;""),Q41*R41,"")</f>
        <v/>
      </c>
      <c r="T41" s="6">
        <f>IF(S41="",P41,S41)</f>
        <v/>
      </c>
      <c r="U41" s="7" t="n">
        <v>0</v>
      </c>
      <c r="V41" s="6">
        <f>$T41*U41</f>
        <v/>
      </c>
      <c r="W41" s="7" t="n">
        <v>0.3</v>
      </c>
      <c r="X41" s="6">
        <f>$T41*W41</f>
        <v/>
      </c>
      <c r="Y41" s="7" t="n">
        <v>0</v>
      </c>
      <c r="Z41" s="6">
        <f>$T41*Y41</f>
        <v/>
      </c>
      <c r="AA41" s="7" t="n">
        <v>0</v>
      </c>
      <c r="AB41" s="6">
        <f>$T41*AA41</f>
        <v/>
      </c>
      <c r="AC41" s="7" t="n">
        <v>0</v>
      </c>
      <c r="AD41" s="6">
        <f>$T41*AC41</f>
        <v/>
      </c>
      <c r="AE41" s="7" t="n">
        <v>0</v>
      </c>
      <c r="AF41" s="6">
        <f>$T41*AE41</f>
        <v/>
      </c>
      <c r="AG41" s="7" t="n">
        <v>0</v>
      </c>
      <c r="AH41" s="6">
        <f>$T41*AG41</f>
        <v/>
      </c>
      <c r="AI41" s="7">
        <f>U41+W41+Y41+AA41+AC41+AE41+AG41</f>
        <v/>
      </c>
      <c r="AJ41" s="6">
        <f>V41+X41+Z41+AB41+AD41+AF41+AH41</f>
        <v/>
      </c>
    </row>
    <row r="42" ht="60" customHeight="1" s="35">
      <c r="A42" s="3" t="inlineStr">
        <is>
          <t>PA.ARC.03</t>
        </is>
      </c>
      <c r="B42" s="4" t="inlineStr">
        <is>
          <t>1/4</t>
        </is>
      </c>
      <c r="C42" s="3" t="inlineStr">
        <is>
          <t>EDILE</t>
        </is>
      </c>
      <c r="D42" s="4" t="inlineStr">
        <is>
          <t>NON SPECIALE</t>
        </is>
      </c>
      <c r="E42" s="4" t="inlineStr">
        <is>
          <t>EDILI</t>
        </is>
      </c>
      <c r="F42" s="3" t="inlineStr">
        <is>
          <t>1_2025.11.20_CME REV07.PDF</t>
        </is>
      </c>
      <c r="G42" s="4" t="inlineStr">
        <is>
          <t>45</t>
        </is>
      </c>
      <c r="H42" s="3" t="inlineStr">
        <is>
          <t>30 - STRUTTURALE</t>
        </is>
      </c>
      <c r="I42" s="3" t="inlineStr">
        <is>
          <t>NUOVI LABORATORI</t>
        </is>
      </c>
      <c r="J42" s="3" t="inlineStr">
        <is>
          <t>OPERE PREFABBRICATE</t>
        </is>
      </c>
      <c r="K42" s="3" t="inlineStr">
        <is>
          <t xml:space="preserve">LASTRA PREFABBRICATA IN GESSO CARTONATO. FORNITURA E POSA IN OPERA DI LASTRA PREFABBRICATA IN GESSO CARTONATO DI SPESSORE VARIABILE, PER LA REALIZZAZIONE DI PARETI, CONTROPARETI E CONTROSOFFITTI ALL' </t>
        </is>
      </c>
      <c r="L42" s="3" t="inlineStr">
        <is>
          <t>LASTRA PREFABBRICATA IN GESSO CARTONATO. FORNITURA E POSA IN OPERA DI LASTRA PREFABBRICATA IN GESSO CARTONATO DI SPESSORE VARIABILE, PER LA REALIZZAZIONE DI PARETI, CONTROPARETI E CONTROSOFFITTI ALL' INTERNO DEGLI EDIFICI. SONO COMPRESI: IL TRASPORTO IN CANTIERE; LO SMISTAMENTO AI PIANI; IL FISSAGGIO ALL'ORDITURA METALLICA MEDIANTE VITI AUTOPERFORANTI IN ACCIAIO; I TAGLI A MISURA; IL MATERIALE NECESSARIO PER GLI ANCORAGGI; LA RIMOZIONE CON DIFFERENZIAZIONE DEI MATERIALI DI SFRIDO, IL CARICO E IL TRASPORTO A RIFIUTO (ESCLUSO IL COSTO DI DISCARICA); IL TRATTAMENTO DEI GIUNTI TRA LASTRA E LASTRA, LE STUCCATURE A TRE MANI E LA PREPARAZIONE PER LA TINTEGGIATURA. E' ESCLUSA LA TINTEGGIATURA DELLE PARETI. E' INOLTRE COMPRESO QUANTO ALTRO OCCORRE PER DARE L'OPERA FINITA .  LASTRA PREFABBRICATA IN GESSO CARTONATO STANDARD SPESSORE 12,5 MM. RIFERIMENTO PREZZARIO UMBRIA 2024. TARIFFA: 07.04.0050.005</t>
        </is>
      </c>
      <c r="M42" s="4" t="inlineStr">
        <is>
          <t>MQ</t>
        </is>
      </c>
      <c r="N42" s="5" t="n">
        <v>312.94</v>
      </c>
      <c r="O42" s="6" t="n">
        <v>7.9</v>
      </c>
      <c r="P42" s="6" t="n">
        <v>2472.23</v>
      </c>
      <c r="Q42" s="5" t="n"/>
      <c r="R42" s="6" t="n"/>
      <c r="S42" s="6">
        <f>IF(AND(Q42&lt;&gt;"",R42&lt;&gt;""),Q42*R42,"")</f>
        <v/>
      </c>
      <c r="T42" s="6">
        <f>IF(S42="",P42,S42)</f>
        <v/>
      </c>
      <c r="U42" s="7" t="n">
        <v>0</v>
      </c>
      <c r="V42" s="6">
        <f>$T42*U42</f>
        <v/>
      </c>
      <c r="W42" s="7" t="n">
        <v>0.3</v>
      </c>
      <c r="X42" s="6">
        <f>$T42*W42</f>
        <v/>
      </c>
      <c r="Y42" s="7" t="n">
        <v>0</v>
      </c>
      <c r="Z42" s="6">
        <f>$T42*Y42</f>
        <v/>
      </c>
      <c r="AA42" s="7" t="n">
        <v>0</v>
      </c>
      <c r="AB42" s="6">
        <f>$T42*AA42</f>
        <v/>
      </c>
      <c r="AC42" s="7" t="n">
        <v>0</v>
      </c>
      <c r="AD42" s="6">
        <f>$T42*AC42</f>
        <v/>
      </c>
      <c r="AE42" s="7" t="n">
        <v>0</v>
      </c>
      <c r="AF42" s="6">
        <f>$T42*AE42</f>
        <v/>
      </c>
      <c r="AG42" s="7" t="n">
        <v>0</v>
      </c>
      <c r="AH42" s="6">
        <f>$T42*AG42</f>
        <v/>
      </c>
      <c r="AI42" s="7">
        <f>U42+W42+Y42+AA42+AC42+AE42+AG42</f>
        <v/>
      </c>
      <c r="AJ42" s="6">
        <f>V42+X42+Z42+AB42+AD42+AF42+AH42</f>
        <v/>
      </c>
    </row>
    <row r="43" ht="60" customHeight="1" s="35">
      <c r="A43" s="3" t="inlineStr">
        <is>
          <t>PA.ARC.04</t>
        </is>
      </c>
      <c r="B43" s="4" t="inlineStr">
        <is>
          <t>1/4</t>
        </is>
      </c>
      <c r="C43" s="3" t="inlineStr">
        <is>
          <t>EDILE</t>
        </is>
      </c>
      <c r="D43" s="4" t="inlineStr">
        <is>
          <t>NON SPECIALE</t>
        </is>
      </c>
      <c r="E43" s="4" t="inlineStr">
        <is>
          <t>EDILI</t>
        </is>
      </c>
      <c r="F43" s="3" t="inlineStr">
        <is>
          <t>1_2025.11.20_CME REV07.PDF</t>
        </is>
      </c>
      <c r="G43" s="4" t="inlineStr">
        <is>
          <t>46</t>
        </is>
      </c>
      <c r="H43" s="3" t="inlineStr">
        <is>
          <t>30 - STRUTTURALE</t>
        </is>
      </c>
      <c r="I43" s="3" t="inlineStr">
        <is>
          <t>NUOVI LABORATORI</t>
        </is>
      </c>
      <c r="J43" s="3" t="inlineStr">
        <is>
          <t>OPERE PREFABBRICATE</t>
        </is>
      </c>
      <c r="K43" s="3" t="inlineStr">
        <is>
          <t xml:space="preserve">LASTRA PREFABBRICATA IN GESSO CARTONATO. FORNITURA E POSA IN OPERA DI LASTRA PREFABBRICATA IN GESSO CARTONATO DI SPESSORE VARIABILE, PER LA REALIZZAZIONE DI PARETI, CONTROPARETI E CONTROSOFFITTI ALL' </t>
        </is>
      </c>
      <c r="L43" s="3" t="inlineStr">
        <is>
          <t>LASTRA PREFABBRICATA IN GESSO CARTONATO. FORNITURA E POSA IN OPERA DI LASTRA PREFABBRICATA IN GESSO CARTONATO DI SPESSORE VARIABILE, PER LA REALIZZAZIONE DI PARETI, CONTROPARETI E CONTROSOFFITTI ALL' INTERNO DEGLI EDIFICI. SONO COMPRESI: IL TRASPORTO IN CANTIERE; LO SMISTAMENTO AI PIANI; IL FISSAGGIO ALL'ORDITURA METALLICA MEDIANTE VITI AUTOPERFORANTI IN ACCIAIO; I TAGLI A MISURA; IL MATERIALE NECESSARIO PER GLI ANCORAGGI; LA RIMOZIONE CON DIFFERENZIAZIONE DEI MATERIALI DI SFRIDO, IL CARICO E IL TRASPORTO A RIFIUTO (ESCLUSO IL COSTO DI DISCARICA); IL TRATTAMENTO DEI GIUNTI TRA LASTRA E LASTRA, LE STUCCATURE A TRE MANI E LA PREPARAZIONE PER LA TINTEGGIATURA. E' ESCLUSA LA TINTEGGIATURA DELLE PARETI. E' INOLTRE COMPRESO QUANTO ALTRO OCCORRE PER DARE L'OPERA FINITA .  COMPENSO PER LASTRA PREFABBRICATA IN GESSO CARTONATO STANDARD SPESSORE 12,5 MM PER L'IMPIEGO DI UNA LASTRA IN PIÙ, DA INTERPORRE TRA L'ORDITURA METALLICA E LA LASTRA A VISTA, PER LA REALIZZAZIONE DI PARETI, CONTROPARETI E CONTROSOFFITTI DA ESEGUIRSI A PIÙ LASTRE PER LATO. E' ESCLUSO IL TRATTAMENTO DEI GIUNTI TRA LASTRA E LASTRA, LE STUCCATURE E LA PREPARAZIONE PER LA TINTEGGIATURA. RIFERIMENTO PREZZARIO UMBRIA 2024. TARIFFA: 07.04.0050.006</t>
        </is>
      </c>
      <c r="M43" s="4" t="inlineStr">
        <is>
          <t>MQ</t>
        </is>
      </c>
      <c r="N43" s="5" t="n">
        <v>312.94</v>
      </c>
      <c r="O43" s="6" t="n">
        <v>7.9</v>
      </c>
      <c r="P43" s="6" t="n">
        <v>2472.23</v>
      </c>
      <c r="Q43" s="5" t="n"/>
      <c r="R43" s="6" t="n"/>
      <c r="S43" s="6">
        <f>IF(AND(Q43&lt;&gt;"",R43&lt;&gt;""),Q43*R43,"")</f>
        <v/>
      </c>
      <c r="T43" s="6">
        <f>IF(S43="",P43,S43)</f>
        <v/>
      </c>
      <c r="U43" s="7" t="n">
        <v>0</v>
      </c>
      <c r="V43" s="6">
        <f>$T43*U43</f>
        <v/>
      </c>
      <c r="W43" s="7" t="n">
        <v>0.3</v>
      </c>
      <c r="X43" s="6">
        <f>$T43*W43</f>
        <v/>
      </c>
      <c r="Y43" s="7" t="n">
        <v>0</v>
      </c>
      <c r="Z43" s="6">
        <f>$T43*Y43</f>
        <v/>
      </c>
      <c r="AA43" s="7" t="n">
        <v>0</v>
      </c>
      <c r="AB43" s="6">
        <f>$T43*AA43</f>
        <v/>
      </c>
      <c r="AC43" s="7" t="n">
        <v>0</v>
      </c>
      <c r="AD43" s="6">
        <f>$T43*AC43</f>
        <v/>
      </c>
      <c r="AE43" s="7" t="n">
        <v>0</v>
      </c>
      <c r="AF43" s="6">
        <f>$T43*AE43</f>
        <v/>
      </c>
      <c r="AG43" s="7" t="n">
        <v>0</v>
      </c>
      <c r="AH43" s="6">
        <f>$T43*AG43</f>
        <v/>
      </c>
      <c r="AI43" s="7">
        <f>U43+W43+Y43+AA43+AC43+AE43+AG43</f>
        <v/>
      </c>
      <c r="AJ43" s="6">
        <f>V43+X43+Z43+AB43+AD43+AF43+AH43</f>
        <v/>
      </c>
    </row>
    <row r="44" ht="60" customHeight="1" s="35">
      <c r="A44" s="3" t="inlineStr">
        <is>
          <t>LOM241.OC.EEA.A02.C1515.OD001.0020</t>
        </is>
      </c>
      <c r="B44" s="4" t="inlineStr">
        <is>
          <t>2/4</t>
        </is>
      </c>
      <c r="C44" s="3" t="inlineStr">
        <is>
          <t>EDILE</t>
        </is>
      </c>
      <c r="D44" s="4" t="inlineStr">
        <is>
          <t>NON SPECIALE</t>
        </is>
      </c>
      <c r="E44" s="4" t="inlineStr">
        <is>
          <t>EDILI</t>
        </is>
      </c>
      <c r="F44" s="3" t="inlineStr">
        <is>
          <t>1_2025.11.20_CME REV07.PDF</t>
        </is>
      </c>
      <c r="G44" s="4" t="inlineStr">
        <is>
          <t>48</t>
        </is>
      </c>
      <c r="H44" s="3" t="inlineStr">
        <is>
          <t>30 - STRUTTURALE</t>
        </is>
      </c>
      <c r="I44" s="3" t="inlineStr">
        <is>
          <t>NUOVI LABORATORI</t>
        </is>
      </c>
      <c r="J44" s="3" t="inlineStr">
        <is>
          <t>OPERE IN C.A.</t>
        </is>
      </c>
      <c r="K44" s="3" t="inlineStr">
        <is>
          <t xml:space="preserve">OPERA: STRATO DI ISOLAMENTO, ACUSTICO DI FIBRA MINERALE LANA DI ROCCIA; FINITURA: LANA DI LEGNO; IMPIEGO: STRATO DI MURATURA; SPESSORE [MM] = 75. </t>
        </is>
      </c>
      <c r="L44" s="3" t="inlineStr">
        <is>
          <t>OPERA: STRATO DI ISOLAMENTO, ACUSTICO DI FIBRA MINERALE LANA DI ROCCIA; FINITURA: LANA DI LEGNO; IMPIEGO: STRATO DI MURATURA; SPESSORE [MM] = 75. 
LAVORO: POSA. INCLUSO: TAGLI; SIGILLATURE; ADATTAMENTI; FISSAGGIO GENERICO; ASSISTENZE MURARIE. ESCLUSO: PIANI DI LAVORO. 
SPECIFICHE TECNICHE: PER PARETI DIVISORIE INTERNE IN TAVOLATO E CARTONGESSO; PANNELLI CON LANA DI ROCCIA AD ALTA DENSITÀ A FIBRE ORIENTATE SPESSORE [MM] = 65, RIVESTITO SUI DUE LATI DA PANNELLI IN LANA DI LEGNO MINERALIZZATA SPESSORE [MM] = 5 E LEGATA CON CEMENTO. 
COMPONENTI: 
OP1 OPERA: STRATO DI ISOLAMENTO, ACUSTICO DI FIBRA MINERALE LANA DI ROCCIA; FINITURA: LANA DI LEGNO; IMPIEGO: STRATO DI MURATURA; SPESSORE [MM] = 75. 
SPECIFICHE TECNICHE: PER PARETI DIVISORIE INTERNE IN TAVOLATO E CARTONGESSO; PANNELLI CON LANA DI ROCCIA AD ALTA DENSITÀ A FIBRE ORIENTATE SPESSORE [MM] = 65, RIVESTITO SUI DUE LATI DA PANNELLI IN LANA DI LEGNO MINERALIZZATA SPESSORE [MM] = 5 E LEGATA CON CEMENTO. 
RM2 PANNELLO ACUSTICO DI FIBRA MINERALE LANA DI ROCCIA; FINITURA: LANA DI ABETE; GEOMETRIA/FORMA/ASPETTO: PANNELLI MULTISTRATO; FUNZIONE: ISOLAMENTO ACUSTICO; IMPIEGO: PARETI DIVISORIE INTERNE | COPERTURE PIANE; SPESSORE [MM] = 75 
SPECIFICHE TECNICHE: RIVESTITO SULLE DUE FACCE 
RM2 ADESIVO DI GESSO GENERICO; GEOMETRIA/FORMA/ASPETTO: POLVERE; FUNZIONE: SIGILLANTE; IMPIEGO: LASTRE 
LV1 LAVORO: POSA. INCLUSO: TAGLI; SIGILLATURE; ADATTAMENTI; FISSAGGIO GENERICO; ASSISTENZE MURARIE. ESCLUSO: PIANI DI LAVORO.</t>
        </is>
      </c>
      <c r="M44" s="4" t="inlineStr">
        <is>
          <t>M²</t>
        </is>
      </c>
      <c r="N44" s="5" t="n">
        <v>86.72</v>
      </c>
      <c r="O44" s="6" t="n">
        <v>47.15</v>
      </c>
      <c r="P44" s="6" t="n">
        <v>4088.85</v>
      </c>
      <c r="Q44" s="5" t="n"/>
      <c r="R44" s="6" t="n"/>
      <c r="S44" s="6">
        <f>IF(AND(Q44&lt;&gt;"",R44&lt;&gt;""),Q44*R44,"")</f>
        <v/>
      </c>
      <c r="T44" s="6">
        <f>IF(S44="",P44,S44)</f>
        <v/>
      </c>
      <c r="U44" s="7" t="n">
        <v>0</v>
      </c>
      <c r="V44" s="6">
        <f>$T44*U44</f>
        <v/>
      </c>
      <c r="W44" s="7" t="n">
        <v>0.3</v>
      </c>
      <c r="X44" s="6">
        <f>$T44*W44</f>
        <v/>
      </c>
      <c r="Y44" s="7" t="n">
        <v>0</v>
      </c>
      <c r="Z44" s="6">
        <f>$T44*Y44</f>
        <v/>
      </c>
      <c r="AA44" s="7" t="n">
        <v>0</v>
      </c>
      <c r="AB44" s="6">
        <f>$T44*AA44</f>
        <v/>
      </c>
      <c r="AC44" s="7" t="n">
        <v>0</v>
      </c>
      <c r="AD44" s="6">
        <f>$T44*AC44</f>
        <v/>
      </c>
      <c r="AE44" s="7" t="n">
        <v>0</v>
      </c>
      <c r="AF44" s="6">
        <f>$T44*AE44</f>
        <v/>
      </c>
      <c r="AG44" s="7" t="n">
        <v>0</v>
      </c>
      <c r="AH44" s="6">
        <f>$T44*AG44</f>
        <v/>
      </c>
      <c r="AI44" s="7">
        <f>U44+W44+Y44+AA44+AC44+AE44+AG44</f>
        <v/>
      </c>
      <c r="AJ44" s="6">
        <f>V44+X44+Z44+AB44+AD44+AF44+AH44</f>
        <v/>
      </c>
    </row>
    <row r="45" ht="60" customHeight="1" s="35">
      <c r="A45" s="3" t="inlineStr">
        <is>
          <t>PA.ARC.03</t>
        </is>
      </c>
      <c r="B45" s="4" t="inlineStr">
        <is>
          <t>2/4</t>
        </is>
      </c>
      <c r="C45" s="3" t="inlineStr">
        <is>
          <t>EDILE</t>
        </is>
      </c>
      <c r="D45" s="4" t="inlineStr">
        <is>
          <t>NON SPECIALE</t>
        </is>
      </c>
      <c r="E45" s="4" t="inlineStr">
        <is>
          <t>EDILI</t>
        </is>
      </c>
      <c r="F45" s="3" t="inlineStr">
        <is>
          <t>1_2025.11.20_CME REV07.PDF</t>
        </is>
      </c>
      <c r="G45" s="4" t="inlineStr">
        <is>
          <t>49</t>
        </is>
      </c>
      <c r="H45" s="3" t="inlineStr">
        <is>
          <t>30 - STRUTTURALE</t>
        </is>
      </c>
      <c r="I45" s="3" t="inlineStr">
        <is>
          <t>NUOVI LABORATORI</t>
        </is>
      </c>
      <c r="J45" s="3" t="inlineStr">
        <is>
          <t>OPERE PREFABBRICATE</t>
        </is>
      </c>
      <c r="K45" s="3" t="inlineStr">
        <is>
          <t xml:space="preserve">LASTRA PREFABBRICATA IN GESSO CARTONATO. FORNITURA E POSA IN OPERA DI LASTRA PREFABBRICATA IN GESSO CARTONATO DI SPESSORE VARIABILE, PER LA REALIZZAZIONE DI PARETI, CONTROPARETI E CONTROSOFFITTI ALL' </t>
        </is>
      </c>
      <c r="L45" s="3" t="inlineStr">
        <is>
          <t>LASTRA PREFABBRICATA IN GESSO CARTONATO. FORNITURA E POSA IN OPERA DI LASTRA PREFABBRICATA IN GESSO CARTONATO DI SPESSORE VARIABILE, PER LA REALIZZAZIONE DI PARETI, CONTROPARETI E CONTROSOFFITTI ALL' INTERNO DEGLI EDIFICI. SONO COMPRESI: IL TRASPORTO IN CANTIERE; LO SMISTAMENTO AI PIANI; IL FISSAGGIO ALL'ORDITURA METALLICA MEDIANTE VITI AUTOPERFORANTI IN ACCIAIO; I TAGLI A MISURA; IL MATERIALE NECESSARIO PER GLI ANCORAGGI; LA RIMOZIONE CON DIFFERENZIAZIONE DEI MATERIALI DI SFRIDO, IL CARICO E IL TRASPORTO A RIFIUTO (ESCLUSO IL COSTO DI DISCARICA); IL TRATTAMENTO DEI GIUNTI TRA LASTRA E LASTRA, LE STUCCATURE A TRE MANI E LA PREPARAZIONE PER LA TINTEGGIATURA. E' ESCLUSA LA TINTEGGIATURA DELLE PARETI. E' INOLTRE COMPRESO QUANTO ALTRO OCCORRE PER DARE L'OPERA FINITA .  LASTRA PREFABBRICATA IN GESSO CARTONATO STANDARD SPESSORE 12,5 MM. RIFERIMENTO PREZZARIO UMBRIA 2024. TARIFFA: 07.04.0050.005</t>
        </is>
      </c>
      <c r="M45" s="4" t="inlineStr">
        <is>
          <t>MQ</t>
        </is>
      </c>
      <c r="N45" s="5" t="n">
        <v>86.72</v>
      </c>
      <c r="O45" s="6" t="n">
        <v>7.9</v>
      </c>
      <c r="P45" s="6" t="n">
        <v>685.09</v>
      </c>
      <c r="Q45" s="5" t="n"/>
      <c r="R45" s="6" t="n"/>
      <c r="S45" s="6">
        <f>IF(AND(Q45&lt;&gt;"",R45&lt;&gt;""),Q45*R45,"")</f>
        <v/>
      </c>
      <c r="T45" s="6">
        <f>IF(S45="",P45,S45)</f>
        <v/>
      </c>
      <c r="U45" s="7" t="n">
        <v>0</v>
      </c>
      <c r="V45" s="6">
        <f>$T45*U45</f>
        <v/>
      </c>
      <c r="W45" s="7" t="n">
        <v>0.3</v>
      </c>
      <c r="X45" s="6">
        <f>$T45*W45</f>
        <v/>
      </c>
      <c r="Y45" s="7" t="n">
        <v>0</v>
      </c>
      <c r="Z45" s="6">
        <f>$T45*Y45</f>
        <v/>
      </c>
      <c r="AA45" s="7" t="n">
        <v>0</v>
      </c>
      <c r="AB45" s="6">
        <f>$T45*AA45</f>
        <v/>
      </c>
      <c r="AC45" s="7" t="n">
        <v>0</v>
      </c>
      <c r="AD45" s="6">
        <f>$T45*AC45</f>
        <v/>
      </c>
      <c r="AE45" s="7" t="n">
        <v>0</v>
      </c>
      <c r="AF45" s="6">
        <f>$T45*AE45</f>
        <v/>
      </c>
      <c r="AG45" s="7" t="n">
        <v>0</v>
      </c>
      <c r="AH45" s="6">
        <f>$T45*AG45</f>
        <v/>
      </c>
      <c r="AI45" s="7">
        <f>U45+W45+Y45+AA45+AC45+AE45+AG45</f>
        <v/>
      </c>
      <c r="AJ45" s="6">
        <f>V45+X45+Z45+AB45+AD45+AF45+AH45</f>
        <v/>
      </c>
    </row>
    <row r="46" ht="60" customHeight="1" s="35">
      <c r="A46" s="3" t="inlineStr">
        <is>
          <t>PA.ARC.04</t>
        </is>
      </c>
      <c r="B46" s="4" t="inlineStr">
        <is>
          <t>2/4</t>
        </is>
      </c>
      <c r="C46" s="3" t="inlineStr">
        <is>
          <t>EDILE</t>
        </is>
      </c>
      <c r="D46" s="4" t="inlineStr">
        <is>
          <t>NON SPECIALE</t>
        </is>
      </c>
      <c r="E46" s="4" t="inlineStr">
        <is>
          <t>EDILI</t>
        </is>
      </c>
      <c r="F46" s="3" t="inlineStr">
        <is>
          <t>1_2025.11.20_CME REV07.PDF</t>
        </is>
      </c>
      <c r="G46" s="4" t="inlineStr">
        <is>
          <t>50</t>
        </is>
      </c>
      <c r="H46" s="3" t="inlineStr">
        <is>
          <t>30 - STRUTTURALE</t>
        </is>
      </c>
      <c r="I46" s="3" t="inlineStr">
        <is>
          <t>NUOVI LABORATORI</t>
        </is>
      </c>
      <c r="J46" s="3" t="inlineStr">
        <is>
          <t>OPERE PREFABBRICATE</t>
        </is>
      </c>
      <c r="K46" s="3" t="inlineStr">
        <is>
          <t xml:space="preserve">LASTRA PREFABBRICATA IN GESSO CARTONATO. FORNITURA E POSA IN OPERA DI LASTRA PREFABBRICATA IN GESSO CARTONATO DI SPESSORE VARIABILE, PER LA REALIZZAZIONE DI PARETI, CONTROPARETI E CONTROSOFFITTI ALL' </t>
        </is>
      </c>
      <c r="L46" s="3" t="inlineStr">
        <is>
          <t>LASTRA PREFABBRICATA IN GESSO CARTONATO. FORNITURA E POSA IN OPERA DI LASTRA PREFABBRICATA IN GESSO CARTONATO DI SPESSORE VARIABILE, PER LA REALIZZAZIONE DI PARETI, CONTROPARETI E CONTROSOFFITTI ALL' INTERNO DEGLI EDIFICI. SONO COMPRESI: IL TRASPORTO IN CANTIERE; LO SMISTAMENTO AI PIANI; IL FISSAGGIO ALL'ORDITURA METALLICA MEDIANTE VITI AUTOPERFORANTI IN ACCIAIO; I TAGLI A MISURA; IL MATERIALE NECESSARIO PER GLI ANCORAGGI; LA RIMOZIONE CON DIFFERENZIAZIONE DEI MATERIALI DI SFRIDO, IL CARICO E IL TRASPORTO A RIFIUTO (ESCLUSO IL COSTO DI DISCARICA); IL TRATTAMENTO DEI GIUNTI TRA LASTRA E LASTRA, LE STUCCATURE A TRE MANI E LA PREPARAZIONE PER LA TINTEGGIATURA. E' ESCLUSA LA TINTEGGIATURA DELLE PARETI. E' INOLTRE COMPRESO QUANTO ALTRO OCCORRE PER DARE L'OPERA FINITA .  COMPENSO PER LASTRA PREFABBRICATA IN GESSO CARTONATO STANDARD SPESSORE 12,5 MM PER L'IMPIEGO DI UNA LASTRA IN PIÙ, DA INTERPORRE TRA L'ORDITURA METALLICA E LA LASTRA A VISTA, PER LA REALIZZAZIONE DI PARETI, CONTROPARETI E CONTROSOFFITTI DA ESEGUIRSI A PIÙ LASTRE PER LATO. E' ESCLUSO IL TRATTAMENTO DEI GIUNTI TRA LASTRA E LASTRA, LE STUCCATURE E LA PREPARAZIONE PER LA TINTEGGIATURA. RIFERIMENTO PREZZARIO UMBRIA 2024. TARIFFA: 07.04.0050.006</t>
        </is>
      </c>
      <c r="M46" s="4" t="inlineStr">
        <is>
          <t>MQ</t>
        </is>
      </c>
      <c r="N46" s="5" t="n">
        <v>86.72</v>
      </c>
      <c r="O46" s="6" t="n">
        <v>7.9</v>
      </c>
      <c r="P46" s="6" t="n">
        <v>685.09</v>
      </c>
      <c r="Q46" s="5" t="n"/>
      <c r="R46" s="6" t="n"/>
      <c r="S46" s="6">
        <f>IF(AND(Q46&lt;&gt;"",R46&lt;&gt;""),Q46*R46,"")</f>
        <v/>
      </c>
      <c r="T46" s="6">
        <f>IF(S46="",P46,S46)</f>
        <v/>
      </c>
      <c r="U46" s="7" t="n">
        <v>0</v>
      </c>
      <c r="V46" s="6">
        <f>$T46*U46</f>
        <v/>
      </c>
      <c r="W46" s="7" t="n">
        <v>0.3</v>
      </c>
      <c r="X46" s="6">
        <f>$T46*W46</f>
        <v/>
      </c>
      <c r="Y46" s="7" t="n">
        <v>0</v>
      </c>
      <c r="Z46" s="6">
        <f>$T46*Y46</f>
        <v/>
      </c>
      <c r="AA46" s="7" t="n">
        <v>0</v>
      </c>
      <c r="AB46" s="6">
        <f>$T46*AA46</f>
        <v/>
      </c>
      <c r="AC46" s="7" t="n">
        <v>0</v>
      </c>
      <c r="AD46" s="6">
        <f>$T46*AC46</f>
        <v/>
      </c>
      <c r="AE46" s="7" t="n">
        <v>0</v>
      </c>
      <c r="AF46" s="6">
        <f>$T46*AE46</f>
        <v/>
      </c>
      <c r="AG46" s="7" t="n">
        <v>0</v>
      </c>
      <c r="AH46" s="6">
        <f>$T46*AG46</f>
        <v/>
      </c>
      <c r="AI46" s="7">
        <f>U46+W46+Y46+AA46+AC46+AE46+AG46</f>
        <v/>
      </c>
      <c r="AJ46" s="6">
        <f>V46+X46+Z46+AB46+AD46+AF46+AH46</f>
        <v/>
      </c>
    </row>
    <row r="47" ht="60" customHeight="1" s="35">
      <c r="A47" s="3" t="inlineStr">
        <is>
          <t>PA.ARC.05</t>
        </is>
      </c>
      <c r="B47" s="4" t="inlineStr">
        <is>
          <t>1/4</t>
        </is>
      </c>
      <c r="C47" s="3" t="inlineStr">
        <is>
          <t>EDILE</t>
        </is>
      </c>
      <c r="D47" s="4" t="inlineStr">
        <is>
          <t>NON SPECIALE</t>
        </is>
      </c>
      <c r="E47" s="4" t="inlineStr">
        <is>
          <t>EDILI</t>
        </is>
      </c>
      <c r="F47" s="3" t="inlineStr">
        <is>
          <t>1_2025.11.20_CME REV07.PDF</t>
        </is>
      </c>
      <c r="G47" s="4" t="inlineStr">
        <is>
          <t>51</t>
        </is>
      </c>
      <c r="H47" s="3" t="inlineStr">
        <is>
          <t>30 - STRUTTURALE</t>
        </is>
      </c>
      <c r="I47" s="3" t="inlineStr">
        <is>
          <t>NUOVI LABORATORI</t>
        </is>
      </c>
      <c r="J47" s="3" t="inlineStr">
        <is>
          <t>OPERE PREFABBRICATE</t>
        </is>
      </c>
      <c r="K47" s="3" t="inlineStr">
        <is>
          <t xml:space="preserve">LASTRA PREFABBRICATA IN GESSO CARTONATO. FORNITURA E POSA IN OPERA DI LASTRA PREFABBRICATA IN GESSO CARTONATO DI SPESSORE VARIABILE, PER LA REALIZZAZIONE DI PARETI, CONTROPARETI E CONTROSOFFITTI ALL' </t>
        </is>
      </c>
      <c r="L47" s="3" t="inlineStr">
        <is>
          <t>LASTRA PREFABBRICATA IN GESSO CARTONATO. FORNITURA E POSA IN OPERA DI LASTRA PREFABBRICATA IN GESSO CARTONATO DI SPESSORE VARIABILE, PER LA REALIZZAZIONE DI PARETI, CONTROPARETI E CONTROSOFFITTI ALL' INTERNO DEGLI EDIFICI. SONO COMPRESI: IL TRASPORTO IN CANTIERE; LO SMISTAMENTO AI PIANI; IL FISSAGGIO ALL'ORDITURA METALLICA MEDIANTE VITI AUTOPERFORANTI IN ACCIAIO; I TAGLI A MISURA; IL MATERIALE NECESSARIO PER GLI ANCORAGGI; LA RIMOZIONE CON DIFFERENZIAZIONE DEI MATERIALI DI SFRIDO, IL CARICO E IL TRASPORTO A RIFIUTO (ESCLUSO IL COSTO DI DISCARICA); IL TRATTAMENTO DEI GIUNTI TRA LASTRA E LASTRA, LE STUCCATURE A TRE MANI E LA PREPARAZIONE PER LA TINTEGGIATURA. E' ESCLUSA LA TINTEGGIATURA DELLE PARETI. E' INOLTRE COMPRESO QUANTO ALTRO OCCORRE PER DARE L'OPERA FINITA .  LASTRA PREFABBRICATA IN GESSO CARTONATO IDROREPELLENTE SPESSORE 12,5 MM. RIFERIMENTO PREZZARIO UMBRIA 2024. TARIFFA: 07.04.0050.011</t>
        </is>
      </c>
      <c r="M47" s="4" t="inlineStr">
        <is>
          <t>MQ</t>
        </is>
      </c>
      <c r="N47" s="5" t="n">
        <v>86.72</v>
      </c>
      <c r="O47" s="6" t="n">
        <v>9.449999999999999</v>
      </c>
      <c r="P47" s="6" t="n">
        <v>819.5</v>
      </c>
      <c r="Q47" s="5" t="n"/>
      <c r="R47" s="6" t="n"/>
      <c r="S47" s="6">
        <f>IF(AND(Q47&lt;&gt;"",R47&lt;&gt;""),Q47*R47,"")</f>
        <v/>
      </c>
      <c r="T47" s="6">
        <f>IF(S47="",P47,S47)</f>
        <v/>
      </c>
      <c r="U47" s="7" t="n">
        <v>0</v>
      </c>
      <c r="V47" s="6">
        <f>$T47*U47</f>
        <v/>
      </c>
      <c r="W47" s="7" t="n">
        <v>0.3</v>
      </c>
      <c r="X47" s="6">
        <f>$T47*W47</f>
        <v/>
      </c>
      <c r="Y47" s="7" t="n">
        <v>0</v>
      </c>
      <c r="Z47" s="6">
        <f>$T47*Y47</f>
        <v/>
      </c>
      <c r="AA47" s="7" t="n">
        <v>0</v>
      </c>
      <c r="AB47" s="6">
        <f>$T47*AA47</f>
        <v/>
      </c>
      <c r="AC47" s="7" t="n">
        <v>0</v>
      </c>
      <c r="AD47" s="6">
        <f>$T47*AC47</f>
        <v/>
      </c>
      <c r="AE47" s="7" t="n">
        <v>0</v>
      </c>
      <c r="AF47" s="6">
        <f>$T47*AE47</f>
        <v/>
      </c>
      <c r="AG47" s="7" t="n">
        <v>0</v>
      </c>
      <c r="AH47" s="6">
        <f>$T47*AG47</f>
        <v/>
      </c>
      <c r="AI47" s="7">
        <f>U47+W47+Y47+AA47+AC47+AE47+AG47</f>
        <v/>
      </c>
      <c r="AJ47" s="6">
        <f>V47+X47+Z47+AB47+AD47+AF47+AH47</f>
        <v/>
      </c>
    </row>
    <row r="48" ht="60" customHeight="1" s="35">
      <c r="A48" s="3" t="inlineStr">
        <is>
          <t>PA.ARC.06</t>
        </is>
      </c>
      <c r="B48" s="4" t="inlineStr">
        <is>
          <t>1/4</t>
        </is>
      </c>
      <c r="C48" s="3" t="inlineStr">
        <is>
          <t>EDILE</t>
        </is>
      </c>
      <c r="D48" s="4" t="inlineStr">
        <is>
          <t>NON SPECIALE</t>
        </is>
      </c>
      <c r="E48" s="4" t="inlineStr">
        <is>
          <t>EDILI</t>
        </is>
      </c>
      <c r="F48" s="3" t="inlineStr">
        <is>
          <t>1_2025.11.20_CME REV07.PDF</t>
        </is>
      </c>
      <c r="G48" s="4" t="inlineStr">
        <is>
          <t>52</t>
        </is>
      </c>
      <c r="H48" s="3" t="inlineStr">
        <is>
          <t>30 - STRUTTURALE</t>
        </is>
      </c>
      <c r="I48" s="3" t="inlineStr">
        <is>
          <t>NUOVI LABORATORI</t>
        </is>
      </c>
      <c r="J48" s="3" t="inlineStr">
        <is>
          <t>OPERE PREFABBRICATE</t>
        </is>
      </c>
      <c r="K48" s="3" t="inlineStr">
        <is>
          <t xml:space="preserve">LASTRA PREFABBRICATA IN GESSO CARTONATO. FORNITURA E POSA IN OPERA DI LASTRA PREFABBRICATA IN GESSO CARTONATO DI SPESSORE VARIABILE, PER LA REALIZZAZIONE DI PARETI, CONTROPARETI E CONTROSOFFITTI ALL' </t>
        </is>
      </c>
      <c r="L48" s="3" t="inlineStr">
        <is>
          <t>LASTRA PREFABBRICATA IN GESSO CARTONATO. FORNITURA E POSA IN OPERA DI LASTRA PREFABBRICATA IN GESSO CARTONATO DI SPESSORE VARIABILE, PER LA REALIZZAZIONE DI PARETI, CONTROPARETI E CONTROSOFFITTI ALL' INTERNO DEGLI EDIFICI. SONO COMPRESI: IL TRASPORTO IN CANTIERE; LO SMISTAMENTO AI PIANI; IL FISSAGGIO ALL'ORDITURA METALLICA MEDIANTE VITI AUTOPERFORANTI IN ACCIAIO; I TAGLI A MISURA; IL MATERIALE NECESSARIO PER GLI ANCORAGGI; LA RIMOZIONE CON DIFFERENZIAZIONE DEI MATERIALI DI SFRIDO, IL CARICO E IL TRASPORTO A RIFIUTO (ESCLUSO IL COSTO DI DISCARICA); IL TRATTAMENTO DEI GIUNTI TRA LASTRA E LASTRA, LE STUCCATURE A TRE MANI E LA PREPARAZIONE PER LA TINTEGGIATURA. E' ESCLUSA LA TINTEGGIATURA DELLE PARETI. E' INOLTRE COMPRESO QUANTO ALTRO OCCORRE PER DARE L'OPERA FINITA .  COMPENSO PER LASTRA PREFABBRICATA IN GESSO CARTONATO IDROREPELLENTE SPESSORE 12,5 MM PER L'IMPIEGO DI UNA LASTRA IN PIÙ, DA INTERPORRE TRA L'ORDITURA METALLICA E LA LASTRA A VISTA, PER LA REALIZZAZIONE DI PARETI, CONTROPARETI E CONTROSOFFITTI DA ESEGUIRSI A PIÙ LASTRE PER LATO. E' ESCLUSO IL TRATTAMENTO DEI GIUNTI TRA LASTRA E LASTRA, LE STUCCATURE E LA PREPARAZIONE PER LA TINTEGGIATURA. RIFERIMENTO PREZZARIO UMBRIA 2024. TARIFFA: 07.04.0050.012</t>
        </is>
      </c>
      <c r="M48" s="4" t="inlineStr">
        <is>
          <t>MQ</t>
        </is>
      </c>
      <c r="N48" s="5" t="n">
        <v>86.72</v>
      </c>
      <c r="O48" s="6" t="n">
        <v>9.449999999999999</v>
      </c>
      <c r="P48" s="6" t="n">
        <v>819.5</v>
      </c>
      <c r="Q48" s="5" t="n"/>
      <c r="R48" s="6" t="n"/>
      <c r="S48" s="6">
        <f>IF(AND(Q48&lt;&gt;"",R48&lt;&gt;""),Q48*R48,"")</f>
        <v/>
      </c>
      <c r="T48" s="6">
        <f>IF(S48="",P48,S48)</f>
        <v/>
      </c>
      <c r="U48" s="7" t="n">
        <v>0</v>
      </c>
      <c r="V48" s="6">
        <f>$T48*U48</f>
        <v/>
      </c>
      <c r="W48" s="7" t="n">
        <v>0.3</v>
      </c>
      <c r="X48" s="6">
        <f>$T48*W48</f>
        <v/>
      </c>
      <c r="Y48" s="7" t="n">
        <v>0</v>
      </c>
      <c r="Z48" s="6">
        <f>$T48*Y48</f>
        <v/>
      </c>
      <c r="AA48" s="7" t="n">
        <v>0</v>
      </c>
      <c r="AB48" s="6">
        <f>$T48*AA48</f>
        <v/>
      </c>
      <c r="AC48" s="7" t="n">
        <v>0</v>
      </c>
      <c r="AD48" s="6">
        <f>$T48*AC48</f>
        <v/>
      </c>
      <c r="AE48" s="7" t="n">
        <v>0</v>
      </c>
      <c r="AF48" s="6">
        <f>$T48*AE48</f>
        <v/>
      </c>
      <c r="AG48" s="7" t="n">
        <v>0</v>
      </c>
      <c r="AH48" s="6">
        <f>$T48*AG48</f>
        <v/>
      </c>
      <c r="AI48" s="7">
        <f>U48+W48+Y48+AA48+AC48+AE48+AG48</f>
        <v/>
      </c>
      <c r="AJ48" s="6">
        <f>V48+X48+Z48+AB48+AD48+AF48+AH48</f>
        <v/>
      </c>
    </row>
    <row r="49" ht="60" customHeight="1" s="35">
      <c r="A49" s="3" t="inlineStr">
        <is>
          <t>PA.ARC.05</t>
        </is>
      </c>
      <c r="B49" s="4" t="inlineStr">
        <is>
          <t>2/4</t>
        </is>
      </c>
      <c r="C49" s="3" t="inlineStr">
        <is>
          <t>EDILE</t>
        </is>
      </c>
      <c r="D49" s="4" t="inlineStr">
        <is>
          <t>NON SPECIALE</t>
        </is>
      </c>
      <c r="E49" s="4" t="inlineStr">
        <is>
          <t>EDILI</t>
        </is>
      </c>
      <c r="F49" s="3" t="inlineStr">
        <is>
          <t>1_2025.11.20_CME REV07.PDF</t>
        </is>
      </c>
      <c r="G49" s="4" t="inlineStr">
        <is>
          <t>54</t>
        </is>
      </c>
      <c r="H49" s="3" t="inlineStr">
        <is>
          <t>30 - STRUTTURALE</t>
        </is>
      </c>
      <c r="I49" s="3" t="inlineStr">
        <is>
          <t>NUOVI LABORATORI</t>
        </is>
      </c>
      <c r="J49" s="3" t="inlineStr">
        <is>
          <t>OPERE PREFABBRICATE</t>
        </is>
      </c>
      <c r="K49" s="3" t="inlineStr">
        <is>
          <t xml:space="preserve">LASTRA PREFABBRICATA IN GESSO CARTONATO. FORNITURA E POSA IN OPERA DI LASTRA PREFABBRICATA IN GESSO CARTONATO DI SPESSORE VARIABILE, PER LA REALIZZAZIONE DI PARETI, CONTROPARETI E CONTROSOFFITTI ALL' </t>
        </is>
      </c>
      <c r="L49" s="3" t="inlineStr">
        <is>
          <t>LASTRA PREFABBRICATA IN GESSO CARTONATO. FORNITURA E POSA IN OPERA DI LASTRA PREFABBRICATA IN GESSO CARTONATO DI SPESSORE VARIABILE, PER LA REALIZZAZIONE DI PARETI, CONTROPARETI E CONTROSOFFITTI ALL' INTERNO DEGLI EDIFICI. SONO COMPRESI: IL TRASPORTO IN CANTIERE; LO SMISTAMENTO AI PIANI; IL FISSAGGIO ALL'ORDITURA METALLICA MEDIANTE VITI AUTOPERFORANTI IN ACCIAIO; I TAGLI A MISURA; IL MATERIALE NECESSARIO PER GLI ANCORAGGI; LA RIMOZIONE CON DIFFERENZIAZIONE DEI MATERIALI DI SFRIDO, IL CARICO E IL TRASPORTO A RIFIUTO (ESCLUSO IL COSTO DI DISCARICA); IL TRATTAMENTO DEI GIUNTI TRA LASTRA E LASTRA, LE STUCCATURE A TRE MANI E LA PREPARAZIONE PER LA TINTEGGIATURA. E' ESCLUSA LA TINTEGGIATURA DELLE PARETI. E' INOLTRE COMPRESO QUANTO ALTRO OCCORRE PER DARE L'OPERA FINITA .  LASTRA PREFABBRICATA IN GESSO CARTONATO IDROREPELLENTE SPESSORE 12,5 MM. RIFERIMENTO PREZZARIO UMBRIA 2024. TARIFFA: 07.04.0050.011</t>
        </is>
      </c>
      <c r="M49" s="4" t="inlineStr">
        <is>
          <t>MQ</t>
        </is>
      </c>
      <c r="N49" s="5" t="n">
        <v>50.24</v>
      </c>
      <c r="O49" s="6" t="n">
        <v>9.449999999999999</v>
      </c>
      <c r="P49" s="6" t="n">
        <v>474.77</v>
      </c>
      <c r="Q49" s="5" t="n"/>
      <c r="R49" s="6" t="n"/>
      <c r="S49" s="6">
        <f>IF(AND(Q49&lt;&gt;"",R49&lt;&gt;""),Q49*R49,"")</f>
        <v/>
      </c>
      <c r="T49" s="6">
        <f>IF(S49="",P49,S49)</f>
        <v/>
      </c>
      <c r="U49" s="7" t="n">
        <v>0</v>
      </c>
      <c r="V49" s="6">
        <f>$T49*U49</f>
        <v/>
      </c>
      <c r="W49" s="7" t="n">
        <v>0.3</v>
      </c>
      <c r="X49" s="6">
        <f>$T49*W49</f>
        <v/>
      </c>
      <c r="Y49" s="7" t="n">
        <v>0</v>
      </c>
      <c r="Z49" s="6">
        <f>$T49*Y49</f>
        <v/>
      </c>
      <c r="AA49" s="7" t="n">
        <v>0</v>
      </c>
      <c r="AB49" s="6">
        <f>$T49*AA49</f>
        <v/>
      </c>
      <c r="AC49" s="7" t="n">
        <v>0</v>
      </c>
      <c r="AD49" s="6">
        <f>$T49*AC49</f>
        <v/>
      </c>
      <c r="AE49" s="7" t="n">
        <v>0</v>
      </c>
      <c r="AF49" s="6">
        <f>$T49*AE49</f>
        <v/>
      </c>
      <c r="AG49" s="7" t="n">
        <v>0</v>
      </c>
      <c r="AH49" s="6">
        <f>$T49*AG49</f>
        <v/>
      </c>
      <c r="AI49" s="7">
        <f>U49+W49+Y49+AA49+AC49+AE49+AG49</f>
        <v/>
      </c>
      <c r="AJ49" s="6">
        <f>V49+X49+Z49+AB49+AD49+AF49+AH49</f>
        <v/>
      </c>
    </row>
    <row r="50" ht="60" customHeight="1" s="35">
      <c r="A50" s="3" t="inlineStr">
        <is>
          <t>PA.ARC.06</t>
        </is>
      </c>
      <c r="B50" s="4" t="inlineStr">
        <is>
          <t>2/4</t>
        </is>
      </c>
      <c r="C50" s="3" t="inlineStr">
        <is>
          <t>EDILE</t>
        </is>
      </c>
      <c r="D50" s="4" t="inlineStr">
        <is>
          <t>NON SPECIALE</t>
        </is>
      </c>
      <c r="E50" s="4" t="inlineStr">
        <is>
          <t>EDILI</t>
        </is>
      </c>
      <c r="F50" s="3" t="inlineStr">
        <is>
          <t>1_2025.11.20_CME REV07.PDF</t>
        </is>
      </c>
      <c r="G50" s="4" t="inlineStr">
        <is>
          <t>55</t>
        </is>
      </c>
      <c r="H50" s="3" t="inlineStr">
        <is>
          <t>30 - STRUTTURALE</t>
        </is>
      </c>
      <c r="I50" s="3" t="inlineStr">
        <is>
          <t>NUOVI LABORATORI</t>
        </is>
      </c>
      <c r="J50" s="3" t="inlineStr">
        <is>
          <t>OPERE PREFABBRICATE</t>
        </is>
      </c>
      <c r="K50" s="3" t="inlineStr">
        <is>
          <t xml:space="preserve">LASTRA PREFABBRICATA IN GESSO CARTONATO. FORNITURA E POSA IN OPERA DI LASTRA PREFABBRICATA IN GESSO CARTONATO DI SPESSORE VARIABILE, PER LA REALIZZAZIONE DI PARETI, CONTROPARETI E CONTROSOFFITTI ALL' </t>
        </is>
      </c>
      <c r="L50" s="3" t="inlineStr">
        <is>
          <t>LASTRA PREFABBRICATA IN GESSO CARTONATO. FORNITURA E POSA IN OPERA DI LASTRA PREFABBRICATA IN GESSO CARTONATO DI SPESSORE VARIABILE, PER LA REALIZZAZIONE DI PARETI, CONTROPARETI E CONTROSOFFITTI ALL' INTERNO DEGLI EDIFICI. SONO COMPRESI: IL TRASPORTO IN CANTIERE; LO SMISTAMENTO AI PIANI; IL FISSAGGIO ALL'ORDITURA METALLICA MEDIANTE VITI AUTOPERFORANTI IN ACCIAIO; I TAGLI A MISURA; IL MATERIALE NECESSARIO PER GLI ANCORAGGI; LA RIMOZIONE CON DIFFERENZIAZIONE DEI MATERIALI DI SFRIDO, IL CARICO E IL TRASPORTO A RIFIUTO (ESCLUSO IL COSTO DI DISCARICA); IL TRATTAMENTO DEI GIUNTI TRA LASTRA E LASTRA, LE STUCCATURE A TRE MANI E LA PREPARAZIONE PER LA TINTEGGIATURA. E' ESCLUSA LA TINTEGGIATURA DELLE PARETI. E' INOLTRE COMPRESO QUANTO ALTRO OCCORRE PER DARE L'OPERA FINITA .  COMPENSO PER LASTRA PREFABBRICATA IN GESSO CARTONATO IDROREPELLENTE SPESSORE 12,5 MM PER L'IMPIEGO DI UNA LASTRA IN PIÙ, DA INTERPORRE TRA L'ORDITURA METALLICA E LA LASTRA A VISTA, PER LA REALIZZAZIONE DI PARETI, CONTROPARETI E CONTROSOFFITTI DA ESEGUIRSI A PIÙ LASTRE PER LATO. E' ESCLUSO IL TRATTAMENTO DEI GIUNTI TRA LASTRA E LASTRA, LE STUCCATURE E LA PREPARAZIONE PER LA TINTEGGIATURA. RIFERIMENTO PREZZARIO UMBRIA 2024. TARIFFA: 07.04.0050.012</t>
        </is>
      </c>
      <c r="M50" s="4" t="inlineStr">
        <is>
          <t>MQ</t>
        </is>
      </c>
      <c r="N50" s="5" t="n">
        <v>50.24</v>
      </c>
      <c r="O50" s="6" t="n">
        <v>9.449999999999999</v>
      </c>
      <c r="P50" s="6" t="n">
        <v>474.77</v>
      </c>
      <c r="Q50" s="5" t="n"/>
      <c r="R50" s="6" t="n"/>
      <c r="S50" s="6">
        <f>IF(AND(Q50&lt;&gt;"",R50&lt;&gt;""),Q50*R50,"")</f>
        <v/>
      </c>
      <c r="T50" s="6">
        <f>IF(S50="",P50,S50)</f>
        <v/>
      </c>
      <c r="U50" s="7" t="n">
        <v>0</v>
      </c>
      <c r="V50" s="6">
        <f>$T50*U50</f>
        <v/>
      </c>
      <c r="W50" s="7" t="n">
        <v>0.3</v>
      </c>
      <c r="X50" s="6">
        <f>$T50*W50</f>
        <v/>
      </c>
      <c r="Y50" s="7" t="n">
        <v>0</v>
      </c>
      <c r="Z50" s="6">
        <f>$T50*Y50</f>
        <v/>
      </c>
      <c r="AA50" s="7" t="n">
        <v>0</v>
      </c>
      <c r="AB50" s="6">
        <f>$T50*AA50</f>
        <v/>
      </c>
      <c r="AC50" s="7" t="n">
        <v>0</v>
      </c>
      <c r="AD50" s="6">
        <f>$T50*AC50</f>
        <v/>
      </c>
      <c r="AE50" s="7" t="n">
        <v>0</v>
      </c>
      <c r="AF50" s="6">
        <f>$T50*AE50</f>
        <v/>
      </c>
      <c r="AG50" s="7" t="n">
        <v>0</v>
      </c>
      <c r="AH50" s="6">
        <f>$T50*AG50</f>
        <v/>
      </c>
      <c r="AI50" s="7">
        <f>U50+W50+Y50+AA50+AC50+AE50+AG50</f>
        <v/>
      </c>
      <c r="AJ50" s="6">
        <f>V50+X50+Z50+AB50+AD50+AF50+AH50</f>
        <v/>
      </c>
    </row>
    <row r="51" ht="60" customHeight="1" s="35">
      <c r="A51" s="3" t="inlineStr">
        <is>
          <t>LOM241.OC.EEA.A02.C1515.OD001.0020</t>
        </is>
      </c>
      <c r="B51" s="4" t="inlineStr">
        <is>
          <t>3/4</t>
        </is>
      </c>
      <c r="C51" s="3" t="inlineStr">
        <is>
          <t>EDILE</t>
        </is>
      </c>
      <c r="D51" s="4" t="inlineStr">
        <is>
          <t>NON SPECIALE</t>
        </is>
      </c>
      <c r="E51" s="4" t="inlineStr">
        <is>
          <t>EDILI</t>
        </is>
      </c>
      <c r="F51" s="3" t="inlineStr">
        <is>
          <t>1_2025.11.20_CME REV07.PDF</t>
        </is>
      </c>
      <c r="G51" s="4" t="inlineStr">
        <is>
          <t>57</t>
        </is>
      </c>
      <c r="H51" s="3" t="inlineStr">
        <is>
          <t>30 - STRUTTURALE</t>
        </is>
      </c>
      <c r="I51" s="3" t="inlineStr">
        <is>
          <t>NUOVI LABORATORI</t>
        </is>
      </c>
      <c r="J51" s="3" t="inlineStr">
        <is>
          <t>OPERE IN C.A.</t>
        </is>
      </c>
      <c r="K51" s="3" t="inlineStr">
        <is>
          <t xml:space="preserve">OPERA: STRATO DI ISOLAMENTO, ACUSTICO DI FIBRA MINERALE LANA DI ROCCIA; FINITURA: LANA DI LEGNO; IMPIEGO: STRATO DI MURATURA; SPESSORE [MM] = 75. </t>
        </is>
      </c>
      <c r="L51" s="3" t="inlineStr">
        <is>
          <t>OPERA: STRATO DI ISOLAMENTO, ACUSTICO DI FIBRA MINERALE LANA DI ROCCIA; FINITURA: LANA DI LEGNO; IMPIEGO: STRATO DI MURATURA; SPESSORE [MM] = 75. 
LAVORO: POSA. INCLUSO: TAGLI; SIGILLATURE; ADATTAMENTI; FISSAGGIO GENERICO; ASSISTENZE MURARIE. ESCLUSO: PIANI DI LAVORO. 
SPECIFICHE TECNICHE: PER PARETI DIVISORIE INTERNE IN TAVOLATO E CARTONGESSO; PANNELLI CON LANA DI ROCCIA AD ALTA DENSITÀ A FIBRE ORIENTATE SPESSORE [MM] = 65, RIVESTITO SUI DUE LATI DA PANNELLI IN LANA DI LEGNO MINERALIZZATA SPESSORE [MM] = 5 E LEGATA CON CEMENTO. 
COMPONENTI: 
OP1 OPERA: STRATO DI ISOLAMENTO, ACUSTICO DI FIBRA MINERALE LANA DI ROCCIA; FINITURA: LANA DI LEGNO; IMPIEGO: STRATO DI MURATURA; SPESSORE [MM] = 75. 
SPECIFICHE TECNICHE: PER PARETI DIVISORIE INTERNE IN TAVOLATO E CARTONGESSO; PANNELLI CON LANA DI ROCCIA AD ALTA DENSITÀ A FIBRE ORIENTATE SPESSORE [MM] = 65, RIVESTITO SUI DUE LATI DA PANNELLI IN LANA DI LEGNO MINERALIZZATA SPESSORE [MM] = 5 E LEGATA CON CEMENTO. 
RM2 PANNELLO ACUSTICO DI FIBRA MINERALE LANA DI ROCCIA; FINITURA: LANA DI ABETE; GEOMETRIA/FORMA/ASPETTO: PANNELLI MULTISTRATO; FUNZIONE: ISOLAMENTO ACUSTICO; IMPIEGO: PARETI DIVISORIE INTERNE | COPERTURE PIANE; SPESSORE [MM] = 75 
SPECIFICHE TECNICHE: RIVESTITO SULLE DUE FACCE 
RM2 ADESIVO DI GESSO GENERICO; GEOMETRIA/FORMA/ASPETTO: POLVERE; FUNZIONE: SIGILLANTE; IMPIEGO: LASTRE 
LV1 LAVORO: POSA. INCLUSO: TAGLI; SIGILLATURE; ADATTAMENTI; FISSAGGIO GENERICO; ASSISTENZE MURARIE. ESCLUSO: PIANI DI LAVORO.</t>
        </is>
      </c>
      <c r="M51" s="4" t="inlineStr">
        <is>
          <t>M²</t>
        </is>
      </c>
      <c r="N51" s="5" t="n">
        <v>25.5</v>
      </c>
      <c r="O51" s="6" t="n">
        <v>47.15</v>
      </c>
      <c r="P51" s="6" t="n">
        <v>1202.33</v>
      </c>
      <c r="Q51" s="5" t="n"/>
      <c r="R51" s="6" t="n"/>
      <c r="S51" s="6">
        <f>IF(AND(Q51&lt;&gt;"",R51&lt;&gt;""),Q51*R51,"")</f>
        <v/>
      </c>
      <c r="T51" s="6">
        <f>IF(S51="",P51,S51)</f>
        <v/>
      </c>
      <c r="U51" s="7" t="n">
        <v>0</v>
      </c>
      <c r="V51" s="6">
        <f>$T51*U51</f>
        <v/>
      </c>
      <c r="W51" s="7" t="n">
        <v>0.3</v>
      </c>
      <c r="X51" s="6">
        <f>$T51*W51</f>
        <v/>
      </c>
      <c r="Y51" s="7" t="n">
        <v>0</v>
      </c>
      <c r="Z51" s="6">
        <f>$T51*Y51</f>
        <v/>
      </c>
      <c r="AA51" s="7" t="n">
        <v>0</v>
      </c>
      <c r="AB51" s="6">
        <f>$T51*AA51</f>
        <v/>
      </c>
      <c r="AC51" s="7" t="n">
        <v>0</v>
      </c>
      <c r="AD51" s="6">
        <f>$T51*AC51</f>
        <v/>
      </c>
      <c r="AE51" s="7" t="n">
        <v>0</v>
      </c>
      <c r="AF51" s="6">
        <f>$T51*AE51</f>
        <v/>
      </c>
      <c r="AG51" s="7" t="n">
        <v>0</v>
      </c>
      <c r="AH51" s="6">
        <f>$T51*AG51</f>
        <v/>
      </c>
      <c r="AI51" s="7">
        <f>U51+W51+Y51+AA51+AC51+AE51+AG51</f>
        <v/>
      </c>
      <c r="AJ51" s="6">
        <f>V51+X51+Z51+AB51+AD51+AF51+AH51</f>
        <v/>
      </c>
    </row>
    <row r="52" ht="60" customHeight="1" s="35">
      <c r="A52" s="3" t="inlineStr">
        <is>
          <t>PA.ARC.03</t>
        </is>
      </c>
      <c r="B52" s="4" t="inlineStr">
        <is>
          <t>3/4</t>
        </is>
      </c>
      <c r="C52" s="3" t="inlineStr">
        <is>
          <t>EDILE</t>
        </is>
      </c>
      <c r="D52" s="4" t="inlineStr">
        <is>
          <t>NON SPECIALE</t>
        </is>
      </c>
      <c r="E52" s="4" t="inlineStr">
        <is>
          <t>EDILI</t>
        </is>
      </c>
      <c r="F52" s="3" t="inlineStr">
        <is>
          <t>1_2025.11.20_CME REV07.PDF</t>
        </is>
      </c>
      <c r="G52" s="4" t="inlineStr">
        <is>
          <t>58</t>
        </is>
      </c>
      <c r="H52" s="3" t="inlineStr">
        <is>
          <t>30 - STRUTTURALE</t>
        </is>
      </c>
      <c r="I52" s="3" t="inlineStr">
        <is>
          <t>NUOVI LABORATORI</t>
        </is>
      </c>
      <c r="J52" s="3" t="inlineStr">
        <is>
          <t>OPERE PREFABBRICATE</t>
        </is>
      </c>
      <c r="K52" s="3" t="inlineStr">
        <is>
          <t xml:space="preserve">LASTRA PREFABBRICATA IN GESSO CARTONATO. FORNITURA E POSA IN OPERA DI LASTRA PREFABBRICATA IN GESSO CARTONATO DI SPESSORE VARIABILE, PER LA REALIZZAZIONE DI PARETI, CONTROPARETI E CONTROSOFFITTI ALL' </t>
        </is>
      </c>
      <c r="L52" s="3" t="inlineStr">
        <is>
          <t>LASTRA PREFABBRICATA IN GESSO CARTONATO. FORNITURA E POSA IN OPERA DI LASTRA PREFABBRICATA IN GESSO CARTONATO DI SPESSORE VARIABILE, PER LA REALIZZAZIONE DI PARETI, CONTROPARETI E CONTROSOFFITTI ALL' INTERNO DEGLI EDIFICI. SONO COMPRESI: IL TRASPORTO IN CANTIERE; LO SMISTAMENTO AI PIANI; IL FISSAGGIO ALL'ORDITURA METALLICA MEDIANTE VITI AUTOPERFORANTI IN ACCIAIO; I TAGLI A MISURA; IL MATERIALE NECESSARIO PER GLI ANCORAGGI; LA RIMOZIONE CON DIFFERENZIAZIONE DEI MATERIALI DI SFRIDO, IL CARICO E IL TRASPORTO A RIFIUTO (ESCLUSO IL COSTO DI DISCARICA); IL TRATTAMENTO DEI GIUNTI TRA LASTRA E LASTRA, LE STUCCATURE A TRE MANI E LA PREPARAZIONE PER LA TINTEGGIATURA. E' ESCLUSA LA TINTEGGIATURA DELLE PARETI. E' INOLTRE COMPRESO QUANTO ALTRO OCCORRE PER DARE L'OPERA FINITA .  LASTRA PREFABBRICATA IN GESSO CARTONATO STANDARD SPESSORE 12,5 MM. RIFERIMENTO PREZZARIO UMBRIA 2024. TARIFFA: 07.04.0050.005</t>
        </is>
      </c>
      <c r="M52" s="4" t="inlineStr">
        <is>
          <t>MQ</t>
        </is>
      </c>
      <c r="N52" s="5" t="n">
        <v>12.75</v>
      </c>
      <c r="O52" s="6" t="n">
        <v>7.9</v>
      </c>
      <c r="P52" s="6" t="n">
        <v>100.73</v>
      </c>
      <c r="Q52" s="5" t="n"/>
      <c r="R52" s="6" t="n"/>
      <c r="S52" s="6">
        <f>IF(AND(Q52&lt;&gt;"",R52&lt;&gt;""),Q52*R52,"")</f>
        <v/>
      </c>
      <c r="T52" s="6">
        <f>IF(S52="",P52,S52)</f>
        <v/>
      </c>
      <c r="U52" s="7" t="n">
        <v>0</v>
      </c>
      <c r="V52" s="6">
        <f>$T52*U52</f>
        <v/>
      </c>
      <c r="W52" s="7" t="n">
        <v>0.3</v>
      </c>
      <c r="X52" s="6">
        <f>$T52*W52</f>
        <v/>
      </c>
      <c r="Y52" s="7" t="n">
        <v>0</v>
      </c>
      <c r="Z52" s="6">
        <f>$T52*Y52</f>
        <v/>
      </c>
      <c r="AA52" s="7" t="n">
        <v>0</v>
      </c>
      <c r="AB52" s="6">
        <f>$T52*AA52</f>
        <v/>
      </c>
      <c r="AC52" s="7" t="n">
        <v>0</v>
      </c>
      <c r="AD52" s="6">
        <f>$T52*AC52</f>
        <v/>
      </c>
      <c r="AE52" s="7" t="n">
        <v>0</v>
      </c>
      <c r="AF52" s="6">
        <f>$T52*AE52</f>
        <v/>
      </c>
      <c r="AG52" s="7" t="n">
        <v>0</v>
      </c>
      <c r="AH52" s="6">
        <f>$T52*AG52</f>
        <v/>
      </c>
      <c r="AI52" s="7">
        <f>U52+W52+Y52+AA52+AC52+AE52+AG52</f>
        <v/>
      </c>
      <c r="AJ52" s="6">
        <f>V52+X52+Z52+AB52+AD52+AF52+AH52</f>
        <v/>
      </c>
    </row>
    <row r="53" ht="60" customHeight="1" s="35">
      <c r="A53" s="3" t="inlineStr">
        <is>
          <t>PA.ARC.04</t>
        </is>
      </c>
      <c r="B53" s="4" t="inlineStr">
        <is>
          <t>3/4</t>
        </is>
      </c>
      <c r="C53" s="3" t="inlineStr">
        <is>
          <t>EDILE</t>
        </is>
      </c>
      <c r="D53" s="4" t="inlineStr">
        <is>
          <t>NON SPECIALE</t>
        </is>
      </c>
      <c r="E53" s="4" t="inlineStr">
        <is>
          <t>EDILI</t>
        </is>
      </c>
      <c r="F53" s="3" t="inlineStr">
        <is>
          <t>1_2025.11.20_CME REV07.PDF</t>
        </is>
      </c>
      <c r="G53" s="4" t="inlineStr">
        <is>
          <t>59</t>
        </is>
      </c>
      <c r="H53" s="3" t="inlineStr">
        <is>
          <t>30 - STRUTTURALE</t>
        </is>
      </c>
      <c r="I53" s="3" t="inlineStr">
        <is>
          <t>NUOVI LABORATORI</t>
        </is>
      </c>
      <c r="J53" s="3" t="inlineStr">
        <is>
          <t>OPERE PREFABBRICATE</t>
        </is>
      </c>
      <c r="K53" s="3" t="inlineStr">
        <is>
          <t xml:space="preserve">LASTRA PREFABBRICATA IN GESSO CARTONATO. FORNITURA E POSA IN OPERA DI LASTRA PREFABBRICATA IN GESSO CARTONATO DI SPESSORE VARIABILE, PER LA REALIZZAZIONE DI PARETI, CONTROPARETI E CONTROSOFFITTI ALL' </t>
        </is>
      </c>
      <c r="L53" s="3" t="inlineStr">
        <is>
          <t>LASTRA PREFABBRICATA IN GESSO CARTONATO. FORNITURA E POSA IN OPERA DI LASTRA PREFABBRICATA IN GESSO CARTONATO DI SPESSORE VARIABILE, PER LA REALIZZAZIONE DI PARETI, CONTROPARETI E CONTROSOFFITTI ALL' INTERNO DEGLI EDIFICI. SONO COMPRESI: IL TRASPORTO IN CANTIERE; LO SMISTAMENTO AI PIANI; IL FISSAGGIO ALL'ORDITURA METALLICA MEDIANTE VITI AUTOPERFORANTI IN ACCIAIO; I TAGLI A MISURA; IL MATERIALE NECESSARIO PER GLI ANCORAGGI; LA RIMOZIONE CON DIFFERENZIAZIONE DEI MATERIALI DI SFRIDO, IL CARICO E IL TRASPORTO A RIFIUTO (ESCLUSO IL COSTO DI DISCARICA); IL TRATTAMENTO DEI GIUNTI TRA LASTRA E LASTRA, LE STUCCATURE A TRE MANI E LA PREPARAZIONE PER LA TINTEGGIATURA. E' ESCLUSA LA TINTEGGIATURA DELLE PARETI. E' INOLTRE COMPRESO QUANTO ALTRO OCCORRE PER DARE L'OPERA FINITA .  COMPENSO PER LASTRA PREFABBRICATA IN GESSO CARTONATO STANDARD SPESSORE 12,5 MM PER L'IMPIEGO DI UNA LASTRA IN PIÙ, DA INTERPORRE TRA L'ORDITURA METALLICA E LA LASTRA A VISTA, PER LA REALIZZAZIONE DI PARETI, CONTROPARETI E CONTROSOFFITTI DA ESEGUIRSI A PIÙ LASTRE PER LATO. E' ESCLUSO IL TRATTAMENTO DEI GIUNTI TRA LASTRA E LASTRA, LE STUCCATURE E LA PREPARAZIONE PER LA TINTEGGIATURA. RIFERIMENTO PREZZARIO UMBRIA 2024. TARIFFA: 07.04.0050.006</t>
        </is>
      </c>
      <c r="M53" s="4" t="inlineStr">
        <is>
          <t>MQ</t>
        </is>
      </c>
      <c r="N53" s="5" t="n">
        <v>12.75</v>
      </c>
      <c r="O53" s="6" t="n">
        <v>7.9</v>
      </c>
      <c r="P53" s="6" t="n">
        <v>100.73</v>
      </c>
      <c r="Q53" s="5" t="n"/>
      <c r="R53" s="6" t="n"/>
      <c r="S53" s="6">
        <f>IF(AND(Q53&lt;&gt;"",R53&lt;&gt;""),Q53*R53,"")</f>
        <v/>
      </c>
      <c r="T53" s="6">
        <f>IF(S53="",P53,S53)</f>
        <v/>
      </c>
      <c r="U53" s="7" t="n">
        <v>0</v>
      </c>
      <c r="V53" s="6">
        <f>$T53*U53</f>
        <v/>
      </c>
      <c r="W53" s="7" t="n">
        <v>0.3</v>
      </c>
      <c r="X53" s="6">
        <f>$T53*W53</f>
        <v/>
      </c>
      <c r="Y53" s="7" t="n">
        <v>0</v>
      </c>
      <c r="Z53" s="6">
        <f>$T53*Y53</f>
        <v/>
      </c>
      <c r="AA53" s="7" t="n">
        <v>0</v>
      </c>
      <c r="AB53" s="6">
        <f>$T53*AA53</f>
        <v/>
      </c>
      <c r="AC53" s="7" t="n">
        <v>0</v>
      </c>
      <c r="AD53" s="6">
        <f>$T53*AC53</f>
        <v/>
      </c>
      <c r="AE53" s="7" t="n">
        <v>0</v>
      </c>
      <c r="AF53" s="6">
        <f>$T53*AE53</f>
        <v/>
      </c>
      <c r="AG53" s="7" t="n">
        <v>0</v>
      </c>
      <c r="AH53" s="6">
        <f>$T53*AG53</f>
        <v/>
      </c>
      <c r="AI53" s="7">
        <f>U53+W53+Y53+AA53+AC53+AE53+AG53</f>
        <v/>
      </c>
      <c r="AJ53" s="6">
        <f>V53+X53+Z53+AB53+AD53+AF53+AH53</f>
        <v/>
      </c>
    </row>
    <row r="54" ht="60" customHeight="1" s="35">
      <c r="A54" s="3" t="inlineStr">
        <is>
          <t>PA.ARC.05</t>
        </is>
      </c>
      <c r="B54" s="4" t="inlineStr">
        <is>
          <t>3/4</t>
        </is>
      </c>
      <c r="C54" s="3" t="inlineStr">
        <is>
          <t>EDILE</t>
        </is>
      </c>
      <c r="D54" s="4" t="inlineStr">
        <is>
          <t>NON SPECIALE</t>
        </is>
      </c>
      <c r="E54" s="4" t="inlineStr">
        <is>
          <t>EDILI</t>
        </is>
      </c>
      <c r="F54" s="3" t="inlineStr">
        <is>
          <t>1_2025.11.20_CME REV07.PDF</t>
        </is>
      </c>
      <c r="G54" s="4" t="inlineStr">
        <is>
          <t>60</t>
        </is>
      </c>
      <c r="H54" s="3" t="inlineStr">
        <is>
          <t>30 - STRUTTURALE</t>
        </is>
      </c>
      <c r="I54" s="3" t="inlineStr">
        <is>
          <t>NUOVI LABORATORI</t>
        </is>
      </c>
      <c r="J54" s="3" t="inlineStr">
        <is>
          <t>OPERE PREFABBRICATE</t>
        </is>
      </c>
      <c r="K54" s="3" t="inlineStr">
        <is>
          <t xml:space="preserve">LASTRA PREFABBRICATA IN GESSO CARTONATO. FORNITURA E POSA IN OPERA DI LASTRA PREFABBRICATA IN GESSO CARTONATO DI SPESSORE VARIABILE, PER LA REALIZZAZIONE DI PARETI, CONTROPARETI E CONTROSOFFITTI ALL' </t>
        </is>
      </c>
      <c r="L54" s="3" t="inlineStr">
        <is>
          <t>LASTRA PREFABBRICATA IN GESSO CARTONATO. FORNITURA E POSA IN OPERA DI LASTRA PREFABBRICATA IN GESSO CARTONATO DI SPESSORE VARIABILE, PER LA REALIZZAZIONE DI PARETI, CONTROPARETI E CONTROSOFFITTI ALL' INTERNO DEGLI EDIFICI. SONO COMPRESI: IL TRASPORTO IN CANTIERE; LO SMISTAMENTO AI PIANI; IL FISSAGGIO ALL'ORDITURA METALLICA MEDIANTE VITI AUTOPERFORANTI IN ACCIAIO; I TAGLI A MISURA; IL MATERIALE NECESSARIO PER GLI ANCORAGGI; LA RIMOZIONE CON DIFFERENZIAZIONE DEI MATERIALI DI SFRIDO, IL CARICO E IL TRASPORTO A RIFIUTO (ESCLUSO IL COSTO DI DISCARICA); IL TRATTAMENTO DEI GIUNTI TRA LASTRA E LASTRA, LE STUCCATURE A TRE MANI E LA PREPARAZIONE PER LA TINTEGGIATURA. E' ESCLUSA LA TINTEGGIATURA DELLE PARETI. E' INOLTRE COMPRESO QUANTO ALTRO OCCORRE PER DARE L'OPERA FINITA .  LASTRA PREFABBRICATA IN GESSO CARTONATO IDROREPELLENTE SPESSORE 12,5 MM. RIFERIMENTO PREZZARIO UMBRIA 2024. TARIFFA: 07.04.0050.011</t>
        </is>
      </c>
      <c r="M54" s="4" t="inlineStr">
        <is>
          <t>MQ</t>
        </is>
      </c>
      <c r="N54" s="5" t="n">
        <v>12.75</v>
      </c>
      <c r="O54" s="6" t="n">
        <v>9.449999999999999</v>
      </c>
      <c r="P54" s="6" t="n">
        <v>120.49</v>
      </c>
      <c r="Q54" s="5" t="n"/>
      <c r="R54" s="6" t="n"/>
      <c r="S54" s="6">
        <f>IF(AND(Q54&lt;&gt;"",R54&lt;&gt;""),Q54*R54,"")</f>
        <v/>
      </c>
      <c r="T54" s="6">
        <f>IF(S54="",P54,S54)</f>
        <v/>
      </c>
      <c r="U54" s="7" t="n">
        <v>0</v>
      </c>
      <c r="V54" s="6">
        <f>$T54*U54</f>
        <v/>
      </c>
      <c r="W54" s="7" t="n">
        <v>0.3</v>
      </c>
      <c r="X54" s="6">
        <f>$T54*W54</f>
        <v/>
      </c>
      <c r="Y54" s="7" t="n">
        <v>0</v>
      </c>
      <c r="Z54" s="6">
        <f>$T54*Y54</f>
        <v/>
      </c>
      <c r="AA54" s="7" t="n">
        <v>0</v>
      </c>
      <c r="AB54" s="6">
        <f>$T54*AA54</f>
        <v/>
      </c>
      <c r="AC54" s="7" t="n">
        <v>0</v>
      </c>
      <c r="AD54" s="6">
        <f>$T54*AC54</f>
        <v/>
      </c>
      <c r="AE54" s="7" t="n">
        <v>0</v>
      </c>
      <c r="AF54" s="6">
        <f>$T54*AE54</f>
        <v/>
      </c>
      <c r="AG54" s="7" t="n">
        <v>0</v>
      </c>
      <c r="AH54" s="6">
        <f>$T54*AG54</f>
        <v/>
      </c>
      <c r="AI54" s="7">
        <f>U54+W54+Y54+AA54+AC54+AE54+AG54</f>
        <v/>
      </c>
      <c r="AJ54" s="6">
        <f>V54+X54+Z54+AB54+AD54+AF54+AH54</f>
        <v/>
      </c>
    </row>
    <row r="55" ht="60" customHeight="1" s="35">
      <c r="A55" s="3" t="inlineStr">
        <is>
          <t>PA.ARC.06</t>
        </is>
      </c>
      <c r="B55" s="4" t="inlineStr">
        <is>
          <t>3/4</t>
        </is>
      </c>
      <c r="C55" s="3" t="inlineStr">
        <is>
          <t>EDILE</t>
        </is>
      </c>
      <c r="D55" s="4" t="inlineStr">
        <is>
          <t>NON SPECIALE</t>
        </is>
      </c>
      <c r="E55" s="4" t="inlineStr">
        <is>
          <t>EDILI</t>
        </is>
      </c>
      <c r="F55" s="3" t="inlineStr">
        <is>
          <t>1_2025.11.20_CME REV07.PDF</t>
        </is>
      </c>
      <c r="G55" s="4" t="inlineStr">
        <is>
          <t>61</t>
        </is>
      </c>
      <c r="H55" s="3" t="inlineStr">
        <is>
          <t>30 - STRUTTURALE</t>
        </is>
      </c>
      <c r="I55" s="3" t="inlineStr">
        <is>
          <t>NUOVI LABORATORI</t>
        </is>
      </c>
      <c r="J55" s="3" t="inlineStr">
        <is>
          <t>OPERE PREFABBRICATE</t>
        </is>
      </c>
      <c r="K55" s="3" t="inlineStr">
        <is>
          <t xml:space="preserve">LASTRA PREFABBRICATA IN GESSO CARTONATO. FORNITURA E POSA IN OPERA DI LASTRA PREFABBRICATA IN GESSO CARTONATO DI SPESSORE VARIABILE, PER LA REALIZZAZIONE DI PARETI, CONTROPARETI E CONTROSOFFITTI ALL' </t>
        </is>
      </c>
      <c r="L55" s="3" t="inlineStr">
        <is>
          <t>LASTRA PREFABBRICATA IN GESSO CARTONATO. FORNITURA E POSA IN OPERA DI LASTRA PREFABBRICATA IN GESSO CARTONATO DI SPESSORE VARIABILE, PER LA REALIZZAZIONE DI PARETI, CONTROPARETI E CONTROSOFFITTI ALL' INTERNO DEGLI EDIFICI. SONO COMPRESI: IL TRASPORTO IN CANTIERE; LO SMISTAMENTO AI PIANI; IL FISSAGGIO ALL'ORDITURA METALLICA MEDIANTE VITI AUTOPERFORANTI IN ACCIAIO; I TAGLI A MISURA; IL MATERIALE NECESSARIO PER GLI ANCORAGGI; LA RIMOZIONE CON DIFFERENZIAZIONE DEI MATERIALI DI SFRIDO, IL CARICO E IL TRASPORTO A RIFIUTO (ESCLUSO IL COSTO DI DISCARICA); IL TRATTAMENTO DEI GIUNTI TRA LASTRA E LASTRA, LE STUCCATURE A TRE MANI E LA PREPARAZIONE PER LA TINTEGGIATURA. E' ESCLUSA LA TINTEGGIATURA DELLE PARETI. E' INOLTRE COMPRESO QUANTO ALTRO OCCORRE PER DARE L'OPERA FINITA .  COMPENSO PER LASTRA PREFABBRICATA IN GESSO CARTONATO IDROREPELLENTE SPESSORE 12,5 MM PER L'IMPIEGO DI UNA LASTRA IN PIÙ, DA INTERPORRE TRA L'ORDITURA METALLICA E LA LASTRA A VISTA, PER LA REALIZZAZIONE DI PARETI, CONTROPARETI E CONTROSOFFITTI DA ESEGUIRSI A PIÙ LASTRE PER LATO. E' ESCLUSO IL TRATTAMENTO DEI GIUNTI TRA LASTRA E LASTRA, LE STUCCATURE E LA PREPARAZIONE PER LA TINTEGGIATURA. RIFERIMENTO PREZZARIO UMBRIA 2024. TARIFFA: 07.04.0050.012</t>
        </is>
      </c>
      <c r="M55" s="4" t="inlineStr">
        <is>
          <t>MQ</t>
        </is>
      </c>
      <c r="N55" s="5" t="n">
        <v>12.75</v>
      </c>
      <c r="O55" s="6" t="n">
        <v>9.449999999999999</v>
      </c>
      <c r="P55" s="6" t="n">
        <v>120.49</v>
      </c>
      <c r="Q55" s="5" t="n"/>
      <c r="R55" s="6" t="n"/>
      <c r="S55" s="6">
        <f>IF(AND(Q55&lt;&gt;"",R55&lt;&gt;""),Q55*R55,"")</f>
        <v/>
      </c>
      <c r="T55" s="6">
        <f>IF(S55="",P55,S55)</f>
        <v/>
      </c>
      <c r="U55" s="7" t="n">
        <v>0</v>
      </c>
      <c r="V55" s="6">
        <f>$T55*U55</f>
        <v/>
      </c>
      <c r="W55" s="7" t="n">
        <v>0.3</v>
      </c>
      <c r="X55" s="6">
        <f>$T55*W55</f>
        <v/>
      </c>
      <c r="Y55" s="7" t="n">
        <v>0</v>
      </c>
      <c r="Z55" s="6">
        <f>$T55*Y55</f>
        <v/>
      </c>
      <c r="AA55" s="7" t="n">
        <v>0</v>
      </c>
      <c r="AB55" s="6">
        <f>$T55*AA55</f>
        <v/>
      </c>
      <c r="AC55" s="7" t="n">
        <v>0</v>
      </c>
      <c r="AD55" s="6">
        <f>$T55*AC55</f>
        <v/>
      </c>
      <c r="AE55" s="7" t="n">
        <v>0</v>
      </c>
      <c r="AF55" s="6">
        <f>$T55*AE55</f>
        <v/>
      </c>
      <c r="AG55" s="7" t="n">
        <v>0</v>
      </c>
      <c r="AH55" s="6">
        <f>$T55*AG55</f>
        <v/>
      </c>
      <c r="AI55" s="7">
        <f>U55+W55+Y55+AA55+AC55+AE55+AG55</f>
        <v/>
      </c>
      <c r="AJ55" s="6">
        <f>V55+X55+Z55+AB55+AD55+AF55+AH55</f>
        <v/>
      </c>
    </row>
    <row r="56" ht="60" customHeight="1" s="35">
      <c r="A56" s="3" t="inlineStr">
        <is>
          <t>PA.ARC.05</t>
        </is>
      </c>
      <c r="B56" s="4" t="inlineStr">
        <is>
          <t>4/4</t>
        </is>
      </c>
      <c r="C56" s="3" t="inlineStr">
        <is>
          <t>EDILE</t>
        </is>
      </c>
      <c r="D56" s="4" t="inlineStr">
        <is>
          <t>NON SPECIALE</t>
        </is>
      </c>
      <c r="E56" s="4" t="inlineStr">
        <is>
          <t>EDILI</t>
        </is>
      </c>
      <c r="F56" s="3" t="inlineStr">
        <is>
          <t>1_2025.11.20_CME REV07.PDF</t>
        </is>
      </c>
      <c r="G56" s="4" t="inlineStr">
        <is>
          <t>63</t>
        </is>
      </c>
      <c r="H56" s="3" t="inlineStr">
        <is>
          <t>30 - STRUTTURALE</t>
        </is>
      </c>
      <c r="I56" s="3" t="inlineStr">
        <is>
          <t>NUOVI LABORATORI</t>
        </is>
      </c>
      <c r="J56" s="3" t="inlineStr">
        <is>
          <t>OPERE PREFABBRICATE</t>
        </is>
      </c>
      <c r="K56" s="3" t="inlineStr">
        <is>
          <t xml:space="preserve">LASTRA PREFABBRICATA IN GESSO CARTONATO. FORNITURA E POSA IN OPERA DI LASTRA PREFABBRICATA IN GESSO CARTONATO DI SPESSORE VARIABILE, PER LA REALIZZAZIONE DI PARETI, CONTROPARETI E CONTROSOFFITTI ALL' </t>
        </is>
      </c>
      <c r="L56" s="3" t="inlineStr">
        <is>
          <t>LASTRA PREFABBRICATA IN GESSO CARTONATO. FORNITURA E POSA IN OPERA DI LASTRA PREFABBRICATA IN GESSO CARTONATO DI SPESSORE VARIABILE, PER LA REALIZZAZIONE DI PARETI, CONTROPARETI E CONTROSOFFITTI ALL' INTERNO DEGLI EDIFICI. SONO COMPRESI: IL TRASPORTO IN CANTIERE; LO SMISTAMENTO AI PIANI; IL FISSAGGIO ALL'ORDITURA METALLICA MEDIANTE VITI AUTOPERFORANTI IN ACCIAIO; I TAGLI A MISURA; IL MATERIALE NECESSARIO PER GLI ANCORAGGI; LA RIMOZIONE CON DIFFERENZIAZIONE DEI MATERIALI DI SFRIDO, IL CARICO E IL TRASPORTO A RIFIUTO (ESCLUSO IL COSTO DI DISCARICA); IL TRATTAMENTO DEI GIUNTI TRA LASTRA E LASTRA, LE STUCCATURE A TRE MANI E LA PREPARAZIONE PER LA TINTEGGIATURA. E' ESCLUSA LA TINTEGGIATURA DELLE PARETI. E' INOLTRE COMPRESO QUANTO ALTRO OCCORRE PER DARE L'OPERA FINITA .  LASTRA PREFABBRICATA IN GESSO CARTONATO IDROREPELLENTE SPESSORE 12,5 MM. RIFERIMENTO PREZZARIO UMBRIA 2024. TARIFFA: 07.04.0050.011</t>
        </is>
      </c>
      <c r="M56" s="4" t="inlineStr">
        <is>
          <t>MQ</t>
        </is>
      </c>
      <c r="N56" s="5" t="n">
        <v>19.76</v>
      </c>
      <c r="O56" s="6" t="n">
        <v>9.449999999999999</v>
      </c>
      <c r="P56" s="6" t="n">
        <v>186.73</v>
      </c>
      <c r="Q56" s="5" t="n"/>
      <c r="R56" s="6" t="n"/>
      <c r="S56" s="6">
        <f>IF(AND(Q56&lt;&gt;"",R56&lt;&gt;""),Q56*R56,"")</f>
        <v/>
      </c>
      <c r="T56" s="6">
        <f>IF(S56="",P56,S56)</f>
        <v/>
      </c>
      <c r="U56" s="7" t="n">
        <v>0</v>
      </c>
      <c r="V56" s="6">
        <f>$T56*U56</f>
        <v/>
      </c>
      <c r="W56" s="7" t="n">
        <v>0.3</v>
      </c>
      <c r="X56" s="6">
        <f>$T56*W56</f>
        <v/>
      </c>
      <c r="Y56" s="7" t="n">
        <v>0</v>
      </c>
      <c r="Z56" s="6">
        <f>$T56*Y56</f>
        <v/>
      </c>
      <c r="AA56" s="7" t="n">
        <v>0</v>
      </c>
      <c r="AB56" s="6">
        <f>$T56*AA56</f>
        <v/>
      </c>
      <c r="AC56" s="7" t="n">
        <v>0</v>
      </c>
      <c r="AD56" s="6">
        <f>$T56*AC56</f>
        <v/>
      </c>
      <c r="AE56" s="7" t="n">
        <v>0</v>
      </c>
      <c r="AF56" s="6">
        <f>$T56*AE56</f>
        <v/>
      </c>
      <c r="AG56" s="7" t="n">
        <v>0</v>
      </c>
      <c r="AH56" s="6">
        <f>$T56*AG56</f>
        <v/>
      </c>
      <c r="AI56" s="7">
        <f>U56+W56+Y56+AA56+AC56+AE56+AG56</f>
        <v/>
      </c>
      <c r="AJ56" s="6">
        <f>V56+X56+Z56+AB56+AD56+AF56+AH56</f>
        <v/>
      </c>
    </row>
    <row r="57" ht="60" customHeight="1" s="35">
      <c r="A57" s="3" t="inlineStr">
        <is>
          <t>PA.ARC.06</t>
        </is>
      </c>
      <c r="B57" s="4" t="inlineStr">
        <is>
          <t>4/4</t>
        </is>
      </c>
      <c r="C57" s="3" t="inlineStr">
        <is>
          <t>EDILE</t>
        </is>
      </c>
      <c r="D57" s="4" t="inlineStr">
        <is>
          <t>NON SPECIALE</t>
        </is>
      </c>
      <c r="E57" s="4" t="inlineStr">
        <is>
          <t>EDILI</t>
        </is>
      </c>
      <c r="F57" s="3" t="inlineStr">
        <is>
          <t>1_2025.11.20_CME REV07.PDF</t>
        </is>
      </c>
      <c r="G57" s="4" t="inlineStr">
        <is>
          <t>64</t>
        </is>
      </c>
      <c r="H57" s="3" t="inlineStr">
        <is>
          <t>30 - STRUTTURALE</t>
        </is>
      </c>
      <c r="I57" s="3" t="inlineStr">
        <is>
          <t>NUOVI LABORATORI</t>
        </is>
      </c>
      <c r="J57" s="3" t="inlineStr">
        <is>
          <t>OPERE PREFABBRICATE</t>
        </is>
      </c>
      <c r="K57" s="3" t="inlineStr">
        <is>
          <t xml:space="preserve">LASTRA PREFABBRICATA IN GESSO CARTONATO. FORNITURA E POSA IN OPERA DI LASTRA PREFABBRICATA IN GESSO CARTONATO DI SPESSORE VARIABILE, PER LA REALIZZAZIONE DI PARETI, CONTROPARETI E CONTROSOFFITTI ALL' </t>
        </is>
      </c>
      <c r="L57" s="3" t="inlineStr">
        <is>
          <t>LASTRA PREFABBRICATA IN GESSO CARTONATO. FORNITURA E POSA IN OPERA DI LASTRA PREFABBRICATA IN GESSO CARTONATO DI SPESSORE VARIABILE, PER LA REALIZZAZIONE DI PARETI, CONTROPARETI E CONTROSOFFITTI ALL' INTERNO DEGLI EDIFICI. SONO COMPRESI: IL TRASPORTO IN CANTIERE; LO SMISTAMENTO AI PIANI; IL FISSAGGIO ALL'ORDITURA METALLICA MEDIANTE VITI AUTOPERFORANTI IN ACCIAIO; I TAGLI A MISURA; IL MATERIALE NECESSARIO PER GLI ANCORAGGI; LA RIMOZIONE CON DIFFERENZIAZIONE DEI MATERIALI DI SFRIDO, IL CARICO E IL TRASPORTO A RIFIUTO (ESCLUSO IL COSTO DI DISCARICA); IL TRATTAMENTO DEI GIUNTI TRA LASTRA E LASTRA, LE STUCCATURE A TRE MANI E LA PREPARAZIONE PER LA TINTEGGIATURA. E' ESCLUSA LA TINTEGGIATURA DELLE PARETI. E' INOLTRE COMPRESO QUANTO ALTRO OCCORRE PER DARE L'OPERA FINITA .  COMPENSO PER LASTRA PREFABBRICATA IN GESSO CARTONATO IDROREPELLENTE SPESSORE 12,5 MM PER L'IMPIEGO DI UNA LASTRA IN PIÙ, DA INTERPORRE TRA L'ORDITURA METALLICA E LA LASTRA A VISTA, PER LA REALIZZAZIONE DI PARETI, CONTROPARETI E CONTROSOFFITTI DA ESEGUIRSI A PIÙ LASTRE PER LATO. E' ESCLUSO IL TRATTAMENTO DEI GIUNTI TRA LASTRA E LASTRA, LE STUCCATURE E LA PREPARAZIONE PER LA TINTEGGIATURA. RIFERIMENTO PREZZARIO UMBRIA 2024. TARIFFA: 07.04.0050.012</t>
        </is>
      </c>
      <c r="M57" s="4" t="inlineStr">
        <is>
          <t>MQ</t>
        </is>
      </c>
      <c r="N57" s="5" t="n">
        <v>19.76</v>
      </c>
      <c r="O57" s="6" t="n">
        <v>9.449999999999999</v>
      </c>
      <c r="P57" s="6" t="n">
        <v>186.73</v>
      </c>
      <c r="Q57" s="5" t="n"/>
      <c r="R57" s="6" t="n"/>
      <c r="S57" s="6">
        <f>IF(AND(Q57&lt;&gt;"",R57&lt;&gt;""),Q57*R57,"")</f>
        <v/>
      </c>
      <c r="T57" s="6">
        <f>IF(S57="",P57,S57)</f>
        <v/>
      </c>
      <c r="U57" s="7" t="n">
        <v>0</v>
      </c>
      <c r="V57" s="6">
        <f>$T57*U57</f>
        <v/>
      </c>
      <c r="W57" s="7" t="n">
        <v>0.3</v>
      </c>
      <c r="X57" s="6">
        <f>$T57*W57</f>
        <v/>
      </c>
      <c r="Y57" s="7" t="n">
        <v>0</v>
      </c>
      <c r="Z57" s="6">
        <f>$T57*Y57</f>
        <v/>
      </c>
      <c r="AA57" s="7" t="n">
        <v>0</v>
      </c>
      <c r="AB57" s="6">
        <f>$T57*AA57</f>
        <v/>
      </c>
      <c r="AC57" s="7" t="n">
        <v>0</v>
      </c>
      <c r="AD57" s="6">
        <f>$T57*AC57</f>
        <v/>
      </c>
      <c r="AE57" s="7" t="n">
        <v>0</v>
      </c>
      <c r="AF57" s="6">
        <f>$T57*AE57</f>
        <v/>
      </c>
      <c r="AG57" s="7" t="n">
        <v>0</v>
      </c>
      <c r="AH57" s="6">
        <f>$T57*AG57</f>
        <v/>
      </c>
      <c r="AI57" s="7">
        <f>U57+W57+Y57+AA57+AC57+AE57+AG57</f>
        <v/>
      </c>
      <c r="AJ57" s="6">
        <f>V57+X57+Z57+AB57+AD57+AF57+AH57</f>
        <v/>
      </c>
    </row>
    <row r="58" ht="60" customHeight="1" s="35">
      <c r="A58" s="3" t="inlineStr">
        <is>
          <t>LOM241.OC.EEA.A02.C0102.ZB009.0090</t>
        </is>
      </c>
      <c r="B58" s="4" t="inlineStr">
        <is>
          <t>1/2</t>
        </is>
      </c>
      <c r="C58" s="3" t="inlineStr">
        <is>
          <t>EDILE</t>
        </is>
      </c>
      <c r="D58" s="4" t="inlineStr">
        <is>
          <t>NON SPECIALE</t>
        </is>
      </c>
      <c r="E58" s="4" t="inlineStr">
        <is>
          <t>EDILI</t>
        </is>
      </c>
      <c r="F58" s="3" t="inlineStr">
        <is>
          <t>1_2025.11.20_CME REV07.PDF</t>
        </is>
      </c>
      <c r="G58" s="4" t="inlineStr">
        <is>
          <t>65</t>
        </is>
      </c>
      <c r="H58" s="3" t="inlineStr">
        <is>
          <t>30 - STRUTTURALE</t>
        </is>
      </c>
      <c r="I58" s="3" t="inlineStr">
        <is>
          <t>NUOVI LABORATORI</t>
        </is>
      </c>
      <c r="J58" s="3" t="inlineStr">
        <is>
          <t>OPERE IN C.A.</t>
        </is>
      </c>
      <c r="K58" s="3" t="inlineStr">
        <is>
          <t xml:space="preserve">OPERA: STRATO DI MURATURA, LASTRE DI MATERIALE MIX GESSO-CARTONE; FINITURA: RIVESTITO; FUNZIONE: CONTROPARETE. </t>
        </is>
      </c>
      <c r="L58" s="3" t="inlineStr">
        <is>
          <t>OPERA: STRATO DI MURATURA, LASTRE DI MATERIALE MIX GESSO-CARTONE; FINITURA: RIVESTITO; FUNZIONE: CONTROPARETE. 
LAVORO: POSA. INCLUSO: RASATURA GIUNTI; ASSISTENZA MURARIA FORNITA DA IMPRESA. 
SPECIFICHE TECNICHE: LASTRA APPLICATA DIRETTAMENTE A PARETE CON INCOLLAGGI IN GESSO. 
COMPONENTI: 
OP1 OPERA: STRATO DI MURATURA, LASTRE DI MATERIALE MIX GESSO-CARTONE; FINITURA: RIVESTITO; FUNZIONE: CONTROPARETE. 
RM2 LASTRA DI GESSO GENERICO; FINITURA: RIVESTITO; FUNZIONE: DIVISORIA; IMPIEGO: MURATURE; SPESSORE [MM] = 13; REAZIONE AL FUOCO [CLASSE] = 1 
RM2 ADESIVO DI GESSO GENERICO; GEOMETRIA/FORMA/ASPETTO: POLVERE; FUNZIONE: SIGILLANTE; IMPIEGO: LASTRE 
RM2 PREMISCELATO DI MATERIALE GENERICO; GEOMETRIA/FORMA/ASPETTO: PASTA; FUNZIONE: STUCCATURA; IMPIEGO: MURATURE INTERNE | LEGNO; PESO SPECIFICO [KG/L] = 1,75 
SPECIFICHE TECNICHE: RESINE IN DISPERSIONE ACQUOSA 
RM2 NASTRO DI FIBRA SINTETICA DI VETRO; FUNZIONE: COPRIGIUNTI; IMPIEGO: MURATURE | PARETI DIVISORIE 
LV1 LAVORO: POSA. INCLUSO: RASATURA GIUNTI; ASSISTENZA MURARIA FORNITA DA IMPRESA. 
SPECIFICHE TECNICHE: LASTRA APPLICATA DIRETTAMENTE A PARETE CON INCOLLAGGI IN GESSO.</t>
        </is>
      </c>
      <c r="M58" s="4" t="inlineStr">
        <is>
          <t>M²</t>
        </is>
      </c>
      <c r="N58" s="5" t="n">
        <v>128.22</v>
      </c>
      <c r="O58" s="6" t="n">
        <v>25.82</v>
      </c>
      <c r="P58" s="6" t="n">
        <v>3310.64</v>
      </c>
      <c r="Q58" s="5" t="n"/>
      <c r="R58" s="6" t="n"/>
      <c r="S58" s="6">
        <f>IF(AND(Q58&lt;&gt;"",R58&lt;&gt;""),Q58*R58,"")</f>
        <v/>
      </c>
      <c r="T58" s="6">
        <f>IF(S58="",P58,S58)</f>
        <v/>
      </c>
      <c r="U58" s="7" t="n">
        <v>0</v>
      </c>
      <c r="V58" s="6">
        <f>$T58*U58</f>
        <v/>
      </c>
      <c r="W58" s="7" t="n">
        <v>0.4</v>
      </c>
      <c r="X58" s="6">
        <f>$T58*W58</f>
        <v/>
      </c>
      <c r="Y58" s="7" t="n">
        <v>0</v>
      </c>
      <c r="Z58" s="6">
        <f>$T58*Y58</f>
        <v/>
      </c>
      <c r="AA58" s="7" t="n">
        <v>0</v>
      </c>
      <c r="AB58" s="6">
        <f>$T58*AA58</f>
        <v/>
      </c>
      <c r="AC58" s="7" t="n">
        <v>0</v>
      </c>
      <c r="AD58" s="6">
        <f>$T58*AC58</f>
        <v/>
      </c>
      <c r="AE58" s="7" t="n">
        <v>0</v>
      </c>
      <c r="AF58" s="6">
        <f>$T58*AE58</f>
        <v/>
      </c>
      <c r="AG58" s="7" t="n">
        <v>0</v>
      </c>
      <c r="AH58" s="6">
        <f>$T58*AG58</f>
        <v/>
      </c>
      <c r="AI58" s="7">
        <f>U58+W58+Y58+AA58+AC58+AE58+AG58</f>
        <v/>
      </c>
      <c r="AJ58" s="6">
        <f>V58+X58+Z58+AB58+AD58+AF58+AH58</f>
        <v/>
      </c>
    </row>
    <row r="59" ht="60" customHeight="1" s="35">
      <c r="A59" s="3" t="inlineStr">
        <is>
          <t>LOM241.OC.EEA.A02.C3305.QA000.0010</t>
        </is>
      </c>
      <c r="B59" s="4" t="inlineStr">
        <is>
          <t>1/1</t>
        </is>
      </c>
      <c r="C59" s="3" t="inlineStr">
        <is>
          <t>EDILE</t>
        </is>
      </c>
      <c r="D59" s="4" t="inlineStr">
        <is>
          <t>NON SPECIALE</t>
        </is>
      </c>
      <c r="E59" s="4" t="inlineStr">
        <is>
          <t>EDILI</t>
        </is>
      </c>
      <c r="F59" s="3" t="inlineStr">
        <is>
          <t>1_2025.11.20_CME REV07.PDF</t>
        </is>
      </c>
      <c r="G59" s="4" t="inlineStr">
        <is>
          <t>71</t>
        </is>
      </c>
      <c r="H59" s="3" t="inlineStr">
        <is>
          <t>30 - STRUTTURALE</t>
        </is>
      </c>
      <c r="I59" s="3" t="inlineStr">
        <is>
          <t>NUOVI LABORATORI</t>
        </is>
      </c>
      <c r="J59" s="3" t="inlineStr">
        <is>
          <t>OPERE IN C.A.</t>
        </is>
      </c>
      <c r="K59" s="3" t="inlineStr">
        <is>
          <t>OPERA: SISTEMA PORTA, A BATTENTE DI LEGNO NATURALE GENERICO; FINITURA: VERNICIATA | MEDIUM DENSITY | LACCATO; GEOMETRIA/FORMA/ASPETTO: UN BATTENTE; FUNZIONE: CHIUSURA INTERNA; LARGHEZZA [CM] = 60/65/7</t>
        </is>
      </c>
      <c r="L59" s="3" t="inlineStr">
        <is>
          <t>OPERA: SISTEMA PORTA, A BATTENTE DI LEGNO NATURALE GENERICO; FINITURA: VERNICIATA | MEDIUM DENSITY | LACCATO; GEOMETRIA/FORMA/ASPETTO: UN BATTENTE; FUNZIONE: CHIUSURA INTERNA; LARGHEZZA [CM] = 60/65/70/75/80/85/90. 
LAVORO: POSA. INCLUSO: PULIZIA; ALLONTANAMENTO MATERIALI DI RISULTA. ESCLUSO: ASSISTENZA MURARIA PER MOVIMENTAZIONI. 
SPECIFICHE TECNICHE: FINITURA CON MANO DI FONDO E VERNICIATURA CON LACCHE POLIURETANICHE. 
COMPONENTI: 
OP1 OPERA: SISTEMA PORTA, A BATTENTE DI LEGNO NATURALE GENERICO; FINITURA: VERNICIATA | MEDIUM DENSITY | LACCATO; GEOMETRIA/FORMA/ASPETTO: UN BATTENTE; FUNZIONE: CHIUSURA INTERNA; LARGHEZZA [CM] = 60/65/70/75/80/85/90. 
SPECIFICHE TECNICHE: FINITURA CON MANO DI FONDO E VERNICIATURA CON LACCHE POLIURETANICHE. 
RM2 PORTA A BATTENTE DI LEGNO NATURALE GENERICO; FINITURA: LACCATA; GEOMETRIA/FORMA/ASPETTO: SINGOLA ANTA; FUNZIONE: DISTRIBUZIONE; IMPIEGO: INTERNO; LARGHEZZA [CM] = 60 ÷ 90 | ALTEZZA [CM] = 210 ÷ 220 
SPECIFICHE TECNICHE: FINITURA CON MANO DI FONDO E VERNICIATURA CON LACCHE POLIURETANICHE 
LV1 LAVORO: POSA. INCLUSO: PULIZIA; ALLONTANAMENTO MATERIALI DI RISULTA. ESCLUSO: ASSISTENZA MURARIA PER MOVIMENTAZIONI.</t>
        </is>
      </c>
      <c r="M59" s="4" t="inlineStr">
        <is>
          <t>CAD</t>
        </is>
      </c>
      <c r="N59" s="5" t="n">
        <v>-1</v>
      </c>
      <c r="O59" s="6" t="n">
        <v>615.96</v>
      </c>
      <c r="P59" s="6" t="n">
        <v>-615.96</v>
      </c>
      <c r="Q59" s="5" t="n"/>
      <c r="R59" s="6" t="n"/>
      <c r="S59" s="6">
        <f>IF(AND(Q59&lt;&gt;"",R59&lt;&gt;""),Q59*R59,"")</f>
        <v/>
      </c>
      <c r="T59" s="6">
        <f>IF(S59="",P59,S59)</f>
        <v/>
      </c>
      <c r="U59" s="7" t="n">
        <v>0</v>
      </c>
      <c r="V59" s="6">
        <f>$T59*U59</f>
        <v/>
      </c>
      <c r="W59" s="7" t="n">
        <v>0</v>
      </c>
      <c r="X59" s="6">
        <f>$T59*W59</f>
        <v/>
      </c>
      <c r="Y59" s="7" t="n">
        <v>0</v>
      </c>
      <c r="Z59" s="6">
        <f>$T59*Y59</f>
        <v/>
      </c>
      <c r="AA59" s="7" t="n">
        <v>0</v>
      </c>
      <c r="AB59" s="6">
        <f>$T59*AA59</f>
        <v/>
      </c>
      <c r="AC59" s="7" t="n">
        <v>0</v>
      </c>
      <c r="AD59" s="6">
        <f>$T59*AC59</f>
        <v/>
      </c>
      <c r="AE59" s="7" t="n">
        <v>0</v>
      </c>
      <c r="AF59" s="6">
        <f>$T59*AE59</f>
        <v/>
      </c>
      <c r="AG59" s="7" t="n">
        <v>0</v>
      </c>
      <c r="AH59" s="6">
        <f>$T59*AG59</f>
        <v/>
      </c>
      <c r="AI59" s="7">
        <f>U59+W59+Y59+AA59+AC59+AE59+AG59</f>
        <v/>
      </c>
      <c r="AJ59" s="6">
        <f>V59+X59+Z59+AB59+AD59+AF59+AH59</f>
        <v/>
      </c>
    </row>
    <row r="60" ht="60" customHeight="1" s="35">
      <c r="A60" s="3" t="inlineStr">
        <is>
          <t>LOM241.OC.EEA.A02.C3320.QB002.0000</t>
        </is>
      </c>
      <c r="B60" s="4" t="inlineStr">
        <is>
          <t>1/1</t>
        </is>
      </c>
      <c r="C60" s="3" t="inlineStr">
        <is>
          <t>EDILE</t>
        </is>
      </c>
      <c r="D60" s="4" t="inlineStr">
        <is>
          <t>NON SPECIALE</t>
        </is>
      </c>
      <c r="E60" s="4" t="inlineStr">
        <is>
          <t>EDILI</t>
        </is>
      </c>
      <c r="F60" s="3" t="inlineStr">
        <is>
          <t>1_2025.11.20_CME REV07.PDF</t>
        </is>
      </c>
      <c r="G60" s="4" t="inlineStr">
        <is>
          <t>72</t>
        </is>
      </c>
      <c r="H60" s="3" t="inlineStr">
        <is>
          <t>30 - STRUTTURALE</t>
        </is>
      </c>
      <c r="I60" s="3" t="inlineStr">
        <is>
          <t>NUOVI LABORATORI</t>
        </is>
      </c>
      <c r="J60" s="3" t="inlineStr">
        <is>
          <t>OPERE IN C.A.</t>
        </is>
      </c>
      <c r="K60" s="3" t="inlineStr">
        <is>
          <t xml:space="preserve">OPERA: IMPENNATA, PLURI ANTA DI LEGNO ARTIFICIALE MEDIUM DENSITY FIBERBOARD (MDF); FINITURA: VERNICIATA | LACCATA. INCLUSO: SOPRALUCE. </t>
        </is>
      </c>
      <c r="L60" s="3" t="inlineStr">
        <is>
          <t>OPERA: IMPENNATA, PLURI ANTA DI LEGNO ARTIFICIALE MEDIUM DENSITY FIBERBOARD (MDF); FINITURA: VERNICIATA | LACCATA. INCLUSO: SOPRALUCE. 
LAVORO: POSA. INCLUSO: ASSISTENZA MURARIA PER MOVIMENTAZIONI, PULIZIA ED ALLONTANAMENTO MATERIALI DI RISULTA. ESCLUSO: FORNITURA E POSA VETRI. 
COMPONENTI: 
OP1 OPERA: IMPENNATA, PLURI ANTA DI LEGNO ARTIFICIALE MEDIUM DENSITY FIBERBOARD (MDF); FINITURA: VERNICIATA | LACCATA. INCLUSO: SOPRALUCE. 
RM2 PORTONCINO A BATTENTE DI LEGNO NATURALE GENERICO; FINITURA: LACCATO COLORI BASE LUCIDO/OPACO; GEOMETRIA/FORMA/ASPETTO: SINGOLA ANTA; FUNZIONE: INGRESSO 
SPECIFICHE TECNICHE: FINITURA CON MANO DI FONDO E VERNICIATURA CON LACCHE POLIURETANICHE 
LV1 LAVORO: POSA. INCLUSO: ASSISTENZA MURARIA PER MOVIMENTAZIONI, PULIZIA ED ALLONTANAMENTO MATERIALI DI RISULTA. ESCLUSO: FORNITURA E POSA VETRI.</t>
        </is>
      </c>
      <c r="M60" s="4" t="inlineStr">
        <is>
          <t>M²</t>
        </is>
      </c>
      <c r="N60" s="5" t="n">
        <v>3.24</v>
      </c>
      <c r="O60" s="6" t="n">
        <v>336.82</v>
      </c>
      <c r="P60" s="6" t="n">
        <v>1091.3</v>
      </c>
      <c r="Q60" s="5" t="n"/>
      <c r="R60" s="6" t="n"/>
      <c r="S60" s="6">
        <f>IF(AND(Q60&lt;&gt;"",R60&lt;&gt;""),Q60*R60,"")</f>
        <v/>
      </c>
      <c r="T60" s="6">
        <f>IF(S60="",P60,S60)</f>
        <v/>
      </c>
      <c r="U60" s="7" t="n">
        <v>0</v>
      </c>
      <c r="V60" s="6">
        <f>$T60*U60</f>
        <v/>
      </c>
      <c r="W60" s="7" t="n">
        <v>0</v>
      </c>
      <c r="X60" s="6">
        <f>$T60*W60</f>
        <v/>
      </c>
      <c r="Y60" s="7" t="n">
        <v>0</v>
      </c>
      <c r="Z60" s="6">
        <f>$T60*Y60</f>
        <v/>
      </c>
      <c r="AA60" s="7" t="n">
        <v>0</v>
      </c>
      <c r="AB60" s="6">
        <f>$T60*AA60</f>
        <v/>
      </c>
      <c r="AC60" s="7" t="n">
        <v>0</v>
      </c>
      <c r="AD60" s="6">
        <f>$T60*AC60</f>
        <v/>
      </c>
      <c r="AE60" s="7" t="n">
        <v>0</v>
      </c>
      <c r="AF60" s="6">
        <f>$T60*AE60</f>
        <v/>
      </c>
      <c r="AG60" s="7" t="n">
        <v>0</v>
      </c>
      <c r="AH60" s="6">
        <f>$T60*AG60</f>
        <v/>
      </c>
      <c r="AI60" s="7">
        <f>U60+W60+Y60+AA60+AC60+AE60+AG60</f>
        <v/>
      </c>
      <c r="AJ60" s="6">
        <f>V60+X60+Z60+AB60+AD60+AF60+AH60</f>
        <v/>
      </c>
    </row>
    <row r="61" ht="60" customHeight="1" s="35">
      <c r="A61" s="3" t="inlineStr">
        <is>
          <t>LOM241.OC.EEA.A02.C3305.SB001.0035</t>
        </is>
      </c>
      <c r="B61" s="4" t="inlineStr">
        <is>
          <t>1/1</t>
        </is>
      </c>
      <c r="C61" s="3" t="inlineStr">
        <is>
          <t>EDILE</t>
        </is>
      </c>
      <c r="D61" s="4" t="inlineStr">
        <is>
          <t>NON SPECIALE</t>
        </is>
      </c>
      <c r="E61" s="4" t="inlineStr">
        <is>
          <t>EDILI</t>
        </is>
      </c>
      <c r="F61" s="3" t="inlineStr">
        <is>
          <t>1_2025.11.20_CME REV07.PDF</t>
        </is>
      </c>
      <c r="G61" s="4" t="inlineStr">
        <is>
          <t>73</t>
        </is>
      </c>
      <c r="H61" s="3" t="inlineStr">
        <is>
          <t>30 - STRUTTURALE</t>
        </is>
      </c>
      <c r="I61" s="3" t="inlineStr">
        <is>
          <t>NUOVI LABORATORI</t>
        </is>
      </c>
      <c r="J61" s="3" t="inlineStr">
        <is>
          <t>OPERE IN C.A.</t>
        </is>
      </c>
      <c r="K61" s="3" t="inlineStr">
        <is>
          <t xml:space="preserve">OPERA: SISTEMA PORTA, A BATTENTE DI LEGA FERROSA ACCIAIO GENERICO; GEOMETRIA/FORMA/ASPETTO: DUE BATTENTI; FUNZIONE: TAGLIAFUOCO; LARGHEZZA PASSAGGIO [CM] = 180; RESISTENZA AL FUOCO [CLASSE] = REI 60. </t>
        </is>
      </c>
      <c r="L61" s="3" t="inlineStr">
        <is>
          <t>OPERA: SISTEMA PORTA, A BATTENTE DI LEGA FERROSA ACCIAIO GENERICO; GEOMETRIA/FORMA/ASPETTO: DUE BATTENTI; FUNZIONE: TAGLIAFUOCO; LARGHEZZA PASSAGGIO [CM] = 180; RESISTENZA AL FUOCO [CLASSE] = REI 60. 
LAVORO: POSA. 
COMPONENTI: 
OP1 OPERA: SISTEMA PORTA, A BATTENTE DI LEGA FERROSA ACCIAIO GENERICO; GEOMETRIA/FORMA/ASPETTO: DUE BATTENTI; FUNZIONE: TAGLIAFUOCO; LARGHEZZA PASSAGGIO [CM] = 180; RESISTENZA AL FUOCO [CLASSE] = REI 60. 
RM2 PORTA A BATTENTE DI LEGA FERROSA ACCIAIO ZINCATO; FINITURA: VERNICIATA; GEOMETRIA/FORMA/ASPETTO: DOPPIA ANTA; FUNZIONE: ANTINCENDIO; LARGHEZZA [CM] = 180 | ALTEZZA [CM] = 200 ÷ 210; RESISTENZA AL FUOCO [CLASSE] = REI 60 
SPECIFICHE TECNICHE: MISURE INDICATIVE SECONDO PRODUZIONE DI SERIE CON POSSIBILITA DI PRODUZIONE DI MISURE SPECIALI A RICHIESTA 
LV1 LAVORO: POSA.</t>
        </is>
      </c>
      <c r="M61" s="4" t="inlineStr">
        <is>
          <t>CAD</t>
        </is>
      </c>
      <c r="N61" s="5" t="n">
        <v>1</v>
      </c>
      <c r="O61" s="6" t="n">
        <v>748.64</v>
      </c>
      <c r="P61" s="6" t="n">
        <v>748.64</v>
      </c>
      <c r="Q61" s="5" t="n"/>
      <c r="R61" s="6" t="n"/>
      <c r="S61" s="6">
        <f>IF(AND(Q61&lt;&gt;"",R61&lt;&gt;""),Q61*R61,"")</f>
        <v/>
      </c>
      <c r="T61" s="6">
        <f>IF(S61="",P61,S61)</f>
        <v/>
      </c>
      <c r="U61" s="7" t="n">
        <v>0</v>
      </c>
      <c r="V61" s="6">
        <f>$T61*U61</f>
        <v/>
      </c>
      <c r="W61" s="7" t="n">
        <v>0</v>
      </c>
      <c r="X61" s="6">
        <f>$T61*W61</f>
        <v/>
      </c>
      <c r="Y61" s="7" t="n">
        <v>0</v>
      </c>
      <c r="Z61" s="6">
        <f>$T61*Y61</f>
        <v/>
      </c>
      <c r="AA61" s="7" t="n">
        <v>0</v>
      </c>
      <c r="AB61" s="6">
        <f>$T61*AA61</f>
        <v/>
      </c>
      <c r="AC61" s="7" t="n">
        <v>0</v>
      </c>
      <c r="AD61" s="6">
        <f>$T61*AC61</f>
        <v/>
      </c>
      <c r="AE61" s="7" t="n">
        <v>0</v>
      </c>
      <c r="AF61" s="6">
        <f>$T61*AE61</f>
        <v/>
      </c>
      <c r="AG61" s="7" t="n">
        <v>0</v>
      </c>
      <c r="AH61" s="6">
        <f>$T61*AG61</f>
        <v/>
      </c>
      <c r="AI61" s="7">
        <f>U61+W61+Y61+AA61+AC61+AE61+AG61</f>
        <v/>
      </c>
      <c r="AJ61" s="6">
        <f>V61+X61+Z61+AB61+AD61+AF61+AH61</f>
        <v/>
      </c>
    </row>
    <row r="62" ht="60" customHeight="1" s="35">
      <c r="A62" s="3" t="inlineStr">
        <is>
          <t>LOM241.OC.EEA.A02.C3335.T0006.0255</t>
        </is>
      </c>
      <c r="B62" s="4" t="inlineStr">
        <is>
          <t>1/2</t>
        </is>
      </c>
      <c r="C62" s="3" t="inlineStr">
        <is>
          <t>EDILE</t>
        </is>
      </c>
      <c r="D62" s="4" t="inlineStr">
        <is>
          <t>NON SPECIALE</t>
        </is>
      </c>
      <c r="E62" s="4" t="inlineStr">
        <is>
          <t>EDILI</t>
        </is>
      </c>
      <c r="F62" s="3" t="inlineStr">
        <is>
          <t>1_2025.11.20_CME REV07.PDF</t>
        </is>
      </c>
      <c r="G62" s="4" t="inlineStr">
        <is>
          <t>76</t>
        </is>
      </c>
      <c r="H62" s="3" t="inlineStr">
        <is>
          <t>30 - STRUTTURALE</t>
        </is>
      </c>
      <c r="I62" s="3" t="inlineStr">
        <is>
          <t>NUOVI LABORATORI</t>
        </is>
      </c>
      <c r="J62" s="3" t="inlineStr">
        <is>
          <t>OPERE IN C.A.</t>
        </is>
      </c>
      <c r="K62" s="3" t="inlineStr">
        <is>
          <t xml:space="preserve">OPERA: VETRATURA, CRISTALLI STRATIFICATI DI VETRO CRISTALLO; FUNZIONE: SICUREZZA. </t>
        </is>
      </c>
      <c r="L62" s="3" t="inlineStr">
        <is>
          <t>OPERA: VETRATURA, CRISTALLI STRATIFICATI DI VETRO CRISTALLO; FUNZIONE: SICUREZZA. 
LAVORO: POSA. 
COMPONENTI: 
OP1 OPERA: VETRATURA, CRISTALLI STRATIFICATI DI VETRO CRISTALLO; FUNZIONE: SICUREZZA. 
RM2 VETRATURA FLOAT STRATIFICATO DI VETRO CRISTALLO; FUNZIONE: SICUREZZA; SPESSORE [MM] = 44,1. INCLUSO: STRATO DI PVB 0,38 
RM2 SIGILLANTE DI RESINA SINTETICA SILICONICA; FUNZIONE: SIGILLATURA; FORNITURA: CARTUCCE 
SPECIFICHE TECNICHE: CARTUCCE DA 310 ML 
LV1 LAVORO: POSA.</t>
        </is>
      </c>
      <c r="M62" s="4" t="inlineStr">
        <is>
          <t>M²</t>
        </is>
      </c>
      <c r="N62" s="5" t="n">
        <v>31.54</v>
      </c>
      <c r="O62" s="6" t="n">
        <v>0</v>
      </c>
      <c r="P62" s="6" t="n">
        <v>0</v>
      </c>
      <c r="Q62" s="5" t="n"/>
      <c r="R62" s="6" t="n"/>
      <c r="S62" s="6">
        <f>IF(AND(Q62&lt;&gt;"",R62&lt;&gt;""),Q62*R62,"")</f>
        <v/>
      </c>
      <c r="T62" s="6">
        <f>IF(S62="",P62,S62)</f>
        <v/>
      </c>
      <c r="U62" s="7" t="n">
        <v>0</v>
      </c>
      <c r="V62" s="6">
        <f>$T62*U62</f>
        <v/>
      </c>
      <c r="W62" s="7" t="n">
        <v>0</v>
      </c>
      <c r="X62" s="6">
        <f>$T62*W62</f>
        <v/>
      </c>
      <c r="Y62" s="7" t="n">
        <v>0</v>
      </c>
      <c r="Z62" s="6">
        <f>$T62*Y62</f>
        <v/>
      </c>
      <c r="AA62" s="7" t="n">
        <v>0</v>
      </c>
      <c r="AB62" s="6">
        <f>$T62*AA62</f>
        <v/>
      </c>
      <c r="AC62" s="7" t="n">
        <v>0</v>
      </c>
      <c r="AD62" s="6">
        <f>$T62*AC62</f>
        <v/>
      </c>
      <c r="AE62" s="7" t="n">
        <v>0</v>
      </c>
      <c r="AF62" s="6">
        <f>$T62*AE62</f>
        <v/>
      </c>
      <c r="AG62" s="7" t="n">
        <v>0</v>
      </c>
      <c r="AH62" s="6">
        <f>$T62*AG62</f>
        <v/>
      </c>
      <c r="AI62" s="7">
        <f>U62+W62+Y62+AA62+AC62+AE62+AG62</f>
        <v/>
      </c>
      <c r="AJ62" s="6">
        <f>V62+X62+Z62+AB62+AD62+AF62+AH62</f>
        <v/>
      </c>
    </row>
    <row r="63" ht="60" customHeight="1" s="35">
      <c r="A63" s="3" t="inlineStr">
        <is>
          <t>LOM241.OC.EEA.A02.C3340.D0000.0165</t>
        </is>
      </c>
      <c r="B63" s="4" t="inlineStr">
        <is>
          <t>1/2</t>
        </is>
      </c>
      <c r="C63" s="3" t="inlineStr">
        <is>
          <t>EDILE</t>
        </is>
      </c>
      <c r="D63" s="4" t="inlineStr">
        <is>
          <t>NON SPECIALE</t>
        </is>
      </c>
      <c r="E63" s="4" t="inlineStr">
        <is>
          <t>EDILI</t>
        </is>
      </c>
      <c r="F63" s="3" t="inlineStr">
        <is>
          <t>1_2025.11.20_CME REV07.PDF</t>
        </is>
      </c>
      <c r="G63" s="4" t="inlineStr">
        <is>
          <t>78</t>
        </is>
      </c>
      <c r="H63" s="3" t="inlineStr">
        <is>
          <t>30 - STRUTTURALE</t>
        </is>
      </c>
      <c r="I63" s="3" t="inlineStr">
        <is>
          <t>NUOVI LABORATORI</t>
        </is>
      </c>
      <c r="J63" s="3" t="inlineStr">
        <is>
          <t>OPERE IN C.A.</t>
        </is>
      </c>
      <c r="K63" s="3" t="inlineStr">
        <is>
          <t xml:space="preserve">OPERA: LUCERNARIO, AUTOPORTANTE DI PLASTICA GENERICO; FINITURA: TRASPARENTE | OPALE; IMPIEGO: STRATO DI COPERTURA; LATO INTERNO X [CM] = 160 | LATO INTERNO Y [CM] = 160 | SPESSORE VETRO [MM] = 7. </t>
        </is>
      </c>
      <c r="L63" s="3" t="inlineStr">
        <is>
          <t>OPERA: LUCERNARIO, AUTOPORTANTE DI PLASTICA GENERICO; FINITURA: TRASPARENTE | OPALE; IMPIEGO: STRATO DI COPERTURA; LATO INTERNO X [CM] = 160 | LATO INTERNO Y [CM] = 160 | SPESSORE VETRO [MM] = 7. 
LAVORO: POSA. ESCLUSO: PREDISPOSIZIONE BASE; ASSISTENZE MURARIE. 
SPECIFICHE TECNICHE: SPESSORE LASTRE [MM] = 4 + 3 CON VETROCAMERA, POSA IN POSTAZIONE NON APRIBILE; FISSAGGIO ALLA BASE IN MURATURA, METALLICA O PREFABBRICATA VTR, CON MORSETTI E GUARNIZIONE DI TENUTA. 
COMPONENTI: 
OP1 OPERA: LUCERNARIO, AUTOPORTANTE DI PLASTICA GENERICO; FINITURA: TRASPARENTE | OPALE; IMPIEGO: STRATO DI COPERTURA; LATO INTERNO X [CM] = 160 | LATO INTERNO Y [CM] = 160 | SPESSORE VETRO [MM] = 7. 
SPECIFICHE TECNICHE: SPESSORE LASTRE [MM] = 4 + 3 CON VETROCAMERA. 
RM2 MONOBLOCCO LUCERNARIO FISSO DI PLASTICA GENERICO; FINITURA: TRASPARENTE | OPALE; GEOMETRIA/FORMA/ASPETTO: CUPOLA QUADRATA | A PARETE DOPPIA; IMPIEGO: COPERTURA; DIMENSIONE (X) [CM] = 160 | DIMENSIONE (Y) [CM] = 160 | SPESSORE [MM] = 4+3. INCLUSO: ACCESSORI DI FISSAGGIO (MORSETTI | GUARNIZIONI) 
SPECIFICHE TECNICHE: MORSETTI E GUARNIZIONI DI TENUTA PER FISSARE L'ELEMENTO SENZA FORARLO 
LV1 LAVORO: POSA. ESCLUSO: PREDISPOSIZIONE BASE; ASSISTENZE MURARIE. 
SPECIFICHE TECNICHE: POSA IN POSTAZIONE NON APRIBILE; FISSAGGIO ALLA BASE IN MURATURA, METALLICA O PREFABBRICATA VTR, CON MORSETTI E GUARNIZIONE DI TENUTA.</t>
        </is>
      </c>
      <c r="M63" s="4" t="inlineStr">
        <is>
          <t>CAD</t>
        </is>
      </c>
      <c r="N63" s="5" t="n">
        <v>1</v>
      </c>
      <c r="O63" s="6" t="n">
        <v>3526.65</v>
      </c>
      <c r="P63" s="6" t="n">
        <v>3526.65</v>
      </c>
      <c r="Q63" s="5" t="n"/>
      <c r="R63" s="6" t="n"/>
      <c r="S63" s="6">
        <f>IF(AND(Q63&lt;&gt;"",R63&lt;&gt;""),Q63*R63,"")</f>
        <v/>
      </c>
      <c r="T63" s="6">
        <f>IF(S63="",P63,S63)</f>
        <v/>
      </c>
      <c r="U63" s="7" t="n">
        <v>0</v>
      </c>
      <c r="V63" s="6">
        <f>$T63*U63</f>
        <v/>
      </c>
      <c r="W63" s="7" t="n">
        <v>0.6</v>
      </c>
      <c r="X63" s="6">
        <f>$T63*W63</f>
        <v/>
      </c>
      <c r="Y63" s="7" t="n">
        <v>0</v>
      </c>
      <c r="Z63" s="6">
        <f>$T63*Y63</f>
        <v/>
      </c>
      <c r="AA63" s="7" t="n">
        <v>0</v>
      </c>
      <c r="AB63" s="6">
        <f>$T63*AA63</f>
        <v/>
      </c>
      <c r="AC63" s="7" t="n">
        <v>0</v>
      </c>
      <c r="AD63" s="6">
        <f>$T63*AC63</f>
        <v/>
      </c>
      <c r="AE63" s="7" t="n">
        <v>0</v>
      </c>
      <c r="AF63" s="6">
        <f>$T63*AE63</f>
        <v/>
      </c>
      <c r="AG63" s="7" t="n">
        <v>0</v>
      </c>
      <c r="AH63" s="6">
        <f>$T63*AG63</f>
        <v/>
      </c>
      <c r="AI63" s="7">
        <f>U63+W63+Y63+AA63+AC63+AE63+AG63</f>
        <v/>
      </c>
      <c r="AJ63" s="6">
        <f>V63+X63+Z63+AB63+AD63+AF63+AH63</f>
        <v/>
      </c>
    </row>
    <row r="64" ht="60" customHeight="1" s="35">
      <c r="A64" s="3" t="inlineStr">
        <is>
          <t>LOM241.OC.EEA.A02.C3325.SB003.0000</t>
        </is>
      </c>
      <c r="B64" s="4" t="inlineStr">
        <is>
          <t>1/3</t>
        </is>
      </c>
      <c r="C64" s="3" t="inlineStr">
        <is>
          <t>EDILE</t>
        </is>
      </c>
      <c r="D64" s="4" t="inlineStr">
        <is>
          <t>NON SPECIALE</t>
        </is>
      </c>
      <c r="E64" s="4" t="inlineStr">
        <is>
          <t>EDILI</t>
        </is>
      </c>
      <c r="F64" s="3" t="inlineStr">
        <is>
          <t>1_2025.11.20_CME REV07.PDF</t>
        </is>
      </c>
      <c r="G64" s="4" t="inlineStr">
        <is>
          <t>79</t>
        </is>
      </c>
      <c r="H64" s="3" t="inlineStr">
        <is>
          <t>30 - STRUTTURALE</t>
        </is>
      </c>
      <c r="I64" s="3" t="inlineStr">
        <is>
          <t>NUOVI LABORATORI</t>
        </is>
      </c>
      <c r="J64" s="3" t="inlineStr">
        <is>
          <t>OPERE IN C.A.</t>
        </is>
      </c>
      <c r="K64" s="3" t="inlineStr">
        <is>
          <t xml:space="preserve">OPERA: FALSO TELAIO DI LEGA FERROSA ACCIAIO ZINCATO; IMPIEGO: SERRAMENTI IN GENERE. </t>
        </is>
      </c>
      <c r="L64" s="3" t="inlineStr">
        <is>
          <t>OPERA: FALSO TELAIO DI LEGA FERROSA ACCIAIO ZINCATO; IMPIEGO: SERRAMENTI IN GENERE. 
LAVORO: POSA. INCLUSO: ASSISTENZA MURARIA. 
COMPONENTI: 
OP1 OPERA: FALSO TELAIO DI LEGA FERROSA ACCIAIO ZINCATO; IMPIEGO: SERRAMENTI IN GENERE. 
RM2 FALSO TELAIO DI LEGA FERROSA ACCIAIO ZINCATO; IMPIEGO: SERRAMENTI GENERICI. INCLUSO: ZANCHE 
PO2 PRODOTTO SEMILAVORATO: MALTA, BASTARDA IN CEMENTO GENERICO. 
LAVORO: FORMAZIONE, CON MEZZO MECCANICO. 
SPECIFICHE TECNICHE: CONFEZIONATA IN BETONIERA; DOSAGGIO PER M³: CEMENTO [KG] = 100 | CALCE EMINENTEMENTE IDRAULICA [KG] = 350. 
LV1 LAVORO: POSA. INCLUSO: ASSISTENZA MURARIA.</t>
        </is>
      </c>
      <c r="M64" s="4" t="inlineStr">
        <is>
          <t>M</t>
        </is>
      </c>
      <c r="N64" s="5" t="n">
        <v>41.9</v>
      </c>
      <c r="O64" s="6" t="n">
        <v>17.63</v>
      </c>
      <c r="P64" s="6" t="n">
        <v>738.7</v>
      </c>
      <c r="Q64" s="5" t="n"/>
      <c r="R64" s="6" t="n"/>
      <c r="S64" s="6">
        <f>IF(AND(Q64&lt;&gt;"",R64&lt;&gt;""),Q64*R64,"")</f>
        <v/>
      </c>
      <c r="T64" s="6">
        <f>IF(S64="",P64,S64)</f>
        <v/>
      </c>
      <c r="U64" s="7" t="n">
        <v>0</v>
      </c>
      <c r="V64" s="6">
        <f>$T64*U64</f>
        <v/>
      </c>
      <c r="W64" s="7" t="n">
        <v>0</v>
      </c>
      <c r="X64" s="6">
        <f>$T64*W64</f>
        <v/>
      </c>
      <c r="Y64" s="7" t="n">
        <v>0</v>
      </c>
      <c r="Z64" s="6">
        <f>$T64*Y64</f>
        <v/>
      </c>
      <c r="AA64" s="7" t="n">
        <v>0</v>
      </c>
      <c r="AB64" s="6">
        <f>$T64*AA64</f>
        <v/>
      </c>
      <c r="AC64" s="7" t="n">
        <v>0</v>
      </c>
      <c r="AD64" s="6">
        <f>$T64*AC64</f>
        <v/>
      </c>
      <c r="AE64" s="7" t="n">
        <v>0</v>
      </c>
      <c r="AF64" s="6">
        <f>$T64*AE64</f>
        <v/>
      </c>
      <c r="AG64" s="7" t="n">
        <v>0</v>
      </c>
      <c r="AH64" s="6">
        <f>$T64*AG64</f>
        <v/>
      </c>
      <c r="AI64" s="7">
        <f>U64+W64+Y64+AA64+AC64+AE64+AG64</f>
        <v/>
      </c>
      <c r="AJ64" s="6">
        <f>V64+X64+Z64+AB64+AD64+AF64+AH64</f>
        <v/>
      </c>
    </row>
    <row r="65" ht="60" customHeight="1" s="35">
      <c r="A65" s="3" t="inlineStr">
        <is>
          <t>LOM241.OC.EEA.A02.I7817.SA000.0005</t>
        </is>
      </c>
      <c r="B65" s="4" t="inlineStr">
        <is>
          <t>1/1</t>
        </is>
      </c>
      <c r="C65" s="3" t="inlineStr">
        <is>
          <t>EDILE</t>
        </is>
      </c>
      <c r="D65" s="4" t="inlineStr">
        <is>
          <t>NON SPECIALE</t>
        </is>
      </c>
      <c r="E65" s="4" t="inlineStr">
        <is>
          <t>EDILI</t>
        </is>
      </c>
      <c r="F65" s="3" t="inlineStr">
        <is>
          <t>1_2025.11.20_CME REV07.PDF</t>
        </is>
      </c>
      <c r="G65" s="4" t="inlineStr">
        <is>
          <t>82</t>
        </is>
      </c>
      <c r="H65" s="3" t="inlineStr">
        <is>
          <t>30 - STRUTTURALE</t>
        </is>
      </c>
      <c r="I65" s="3" t="inlineStr">
        <is>
          <t>NUOVI LABORATORI</t>
        </is>
      </c>
      <c r="J65" s="3" t="inlineStr">
        <is>
          <t>OPERE IN C.A.</t>
        </is>
      </c>
      <c r="K65" s="3" t="inlineStr">
        <is>
          <t xml:space="preserve">OPERA: GRONDAIA DI LEGA ALLUMINIO GENERICO; FINITURA: PREVERNICIATA; SPESSORE [MM] = 1 ÷ 1,5. INCLUSO: ACCESSORI DI FISSAGGIO; CICOGNE E TIRANTI. ESCLUSO: PEZZI SPECIALI, LATTONERIE SPECIALI. </t>
        </is>
      </c>
      <c r="L65" s="3" t="inlineStr">
        <is>
          <t>OPERA: GRONDAIA DI LEGA ALLUMINIO GENERICO; FINITURA: PREVERNICIATA; SPESSORE [MM] = 1 ÷ 1,5. INCLUSO: ACCESSORI DI FISSAGGIO; CICOGNE E TIRANTI. ESCLUSO: PEZZI SPECIALI, LATTONERIE SPECIALI. 
LAVORO: POSA. INCLUSO: SFRIDO; POSA BRACCIOLI, CONVERSE, SCOSSALINE,COPERTINE. ESCLUSO: PONTEGGI PERIMETRALI DI FACCIATA. 
SPECIFICHE TECNICHE: TUTTI LAVORATI CON SAGOME E SVILUPPI NORMALI, IN OPERA. 
COMPONENTI: 
OP1 OPERA: GRONDAIA DI LEGA ALLUMINIO GENERICO; FINITURA: PREVERNICIATA; SPESSORE [MM] = 1 ÷ 1,5. INCLUSO: ACCESSORI DI FISSAGGIO; CICOGNE E TIRANTI. ESCLUSO: PEZZI SPECIALI, LATTONERIE SPECIALI. 
RM2 TUBO DI LEGA ALLUMINIO GENERICO; FINITURA: PREVERNICIATA; GEOMETRIA/FORMA/ASPETTO: LAMIERA SAGOMATA | SEZIONE TONDA | SEZIONE QUADRATA; IMPIEGO: PLUVIALI; SPESSORE [MM] = 1 ÷ 1,5 
SPECIFICHE TECNICHE: LAVORATI CON SAGOME NORMALI, PRONTI PER LA POSA IN OPERA 
LV1 LAVORO: POSA. INCLUSO: SFRIDO; POSA BRACCIOLI, CONVERSE, SCOSSALINE,COPERTINE. ESCLUSO: PONTEGGI PERIMETRALI DI FACCIATA. 
SPECIFICHE TECNICHE: TUTTI LAVORATI CON SAGOME E SVILUPPI NORMALI, IN OPERA.</t>
        </is>
      </c>
      <c r="M65" s="4" t="inlineStr">
        <is>
          <t>KG</t>
        </is>
      </c>
      <c r="N65" s="5" t="n">
        <v>300</v>
      </c>
      <c r="O65" s="6" t="n">
        <v>37.62</v>
      </c>
      <c r="P65" s="6" t="n">
        <v>11286</v>
      </c>
      <c r="Q65" s="5" t="n"/>
      <c r="R65" s="6" t="n"/>
      <c r="S65" s="6">
        <f>IF(AND(Q65&lt;&gt;"",R65&lt;&gt;""),Q65*R65,"")</f>
        <v/>
      </c>
      <c r="T65" s="6">
        <f>IF(S65="",P65,S65)</f>
        <v/>
      </c>
      <c r="U65" s="7" t="n">
        <v>0</v>
      </c>
      <c r="V65" s="6">
        <f>$T65*U65</f>
        <v/>
      </c>
      <c r="W65" s="7" t="n">
        <v>0.5</v>
      </c>
      <c r="X65" s="6">
        <f>$T65*W65</f>
        <v/>
      </c>
      <c r="Y65" s="7" t="n">
        <v>0</v>
      </c>
      <c r="Z65" s="6">
        <f>$T65*Y65</f>
        <v/>
      </c>
      <c r="AA65" s="7" t="n">
        <v>0</v>
      </c>
      <c r="AB65" s="6">
        <f>$T65*AA65</f>
        <v/>
      </c>
      <c r="AC65" s="7" t="n">
        <v>0</v>
      </c>
      <c r="AD65" s="6">
        <f>$T65*AC65</f>
        <v/>
      </c>
      <c r="AE65" s="7" t="n">
        <v>0</v>
      </c>
      <c r="AF65" s="6">
        <f>$T65*AE65</f>
        <v/>
      </c>
      <c r="AG65" s="7" t="n">
        <v>0</v>
      </c>
      <c r="AH65" s="6">
        <f>$T65*AG65</f>
        <v/>
      </c>
      <c r="AI65" s="7">
        <f>U65+W65+Y65+AA65+AC65+AE65+AG65</f>
        <v/>
      </c>
      <c r="AJ65" s="6">
        <f>V65+X65+Z65+AB65+AD65+AF65+AH65</f>
        <v/>
      </c>
    </row>
    <row r="66" ht="60" customHeight="1" s="35">
      <c r="A66" s="3" t="inlineStr">
        <is>
          <t>LOM241.OC.EEA.A02.C3010.R0001.0250</t>
        </is>
      </c>
      <c r="B66" s="4" t="inlineStr">
        <is>
          <t>1/1</t>
        </is>
      </c>
      <c r="C66" s="3" t="inlineStr">
        <is>
          <t>EDILE</t>
        </is>
      </c>
      <c r="D66" s="4" t="inlineStr">
        <is>
          <t>NON SPECIALE</t>
        </is>
      </c>
      <c r="E66" s="4" t="inlineStr">
        <is>
          <t>EDILI</t>
        </is>
      </c>
      <c r="F66" s="3" t="inlineStr">
        <is>
          <t>1_2025.11.20_CME REV07.PDF</t>
        </is>
      </c>
      <c r="G66" s="4" t="inlineStr">
        <is>
          <t>85</t>
        </is>
      </c>
      <c r="H66" s="3" t="inlineStr">
        <is>
          <t>30 - STRUTTURALE</t>
        </is>
      </c>
      <c r="I66" s="3" t="inlineStr">
        <is>
          <t>NUOVI LABORATORI</t>
        </is>
      </c>
      <c r="J66" s="3" t="inlineStr">
        <is>
          <t>OPERE IN C.A.</t>
        </is>
      </c>
      <c r="K66" s="3" t="inlineStr">
        <is>
          <t xml:space="preserve">OPERA: CANCELLO, CORRENTE DI METALLO FERRO; PESO MEDIO [KG/M²] = 30. INCLUSO: FISSAGGI; ED ACCESSORI D'USO. </t>
        </is>
      </c>
      <c r="L66" s="3" t="inlineStr">
        <is>
          <t>OPERA: CANCELLO, CORRENTE DI METALLO FERRO; PESO MEDIO [KG/M²] = 30. INCLUSO: FISSAGGI; ED ACCESSORI D'USO. 
LAVORO: POSA. INCLUSO: MANO DI ANTIRUGGINE; ASSISTENZA PER LO SCARICO; IL DEPOSITO; IL SOLLEVAMENTO A PIÉ D'OPERA; LA POSA DA FABBRO. 
SPECIFICHE TECNICHE: INFERRIATA COSTITUITA DA PROFILATI NORMALI, QUADRI, TONDI, ANGOLARI CON O SENZA FODRINA DI LAMIERA. 
COMPONENTI: 
OP1 OPERA: CANCELLO, CORRENTE DI METALLO FERRO; PESO MEDIO [KG/M²] = 30. INCLUSO: FISSAGGI; ED ACCESSORI D'USO. 
SPECIFICHE TECNICHE: INFERRIATA COSTITUITA DA PROFILATI NORMALI, QUADRI, TONDI, ANGOLARI CON O SENZA FODRINA DI LAMIERA. 
RM2 LAMIERA DI METALLO FERRO NERO 
SPECIFICHE TECNICHE: METALLO FERRO NERO, LAMINATA A CALDO 
OC2 OPERA: STRATO DI VERNICIATURA DI RESINA SINTETICA ALCHIDICA; IMPIEGO: SUPERFICI METALLICHE. 
LAVORO: APPLICAZIONE. INCLUSO: PIANI DI LAVORO, ASSISTENZE MURARIE. 
SPECIFICHE TECNICHE: PER SUPERFICI METALLICHE GIÀ PREPARATE, CON UNA MANO DI ANTIRUGGINE. 
LV1 LAVORO: POSA. INCLUSO: MANO DI ANTIRUGGINE; ASSISTENZA PER LO SCARICO; IL DEPOSITO; IL SOLLEVAMENTO A PIÉ D'OPERA; LA POSA DA FABBRO.</t>
        </is>
      </c>
      <c r="M66" s="4" t="inlineStr">
        <is>
          <t>KG</t>
        </is>
      </c>
      <c r="N66" s="5" t="n">
        <v>667.25</v>
      </c>
      <c r="O66" s="6" t="n">
        <v>11.76</v>
      </c>
      <c r="P66" s="6" t="n">
        <v>7846.86</v>
      </c>
      <c r="Q66" s="5" t="n"/>
      <c r="R66" s="6" t="n"/>
      <c r="S66" s="6">
        <f>IF(AND(Q66&lt;&gt;"",R66&lt;&gt;""),Q66*R66,"")</f>
        <v/>
      </c>
      <c r="T66" s="6">
        <f>IF(S66="",P66,S66)</f>
        <v/>
      </c>
      <c r="U66" s="7" t="n">
        <v>0</v>
      </c>
      <c r="V66" s="6">
        <f>$T66*U66</f>
        <v/>
      </c>
      <c r="W66" s="7" t="n">
        <v>0.4</v>
      </c>
      <c r="X66" s="6">
        <f>$T66*W66</f>
        <v/>
      </c>
      <c r="Y66" s="7" t="n">
        <v>0</v>
      </c>
      <c r="Z66" s="6">
        <f>$T66*Y66</f>
        <v/>
      </c>
      <c r="AA66" s="7" t="n">
        <v>0</v>
      </c>
      <c r="AB66" s="6">
        <f>$T66*AA66</f>
        <v/>
      </c>
      <c r="AC66" s="7" t="n">
        <v>0</v>
      </c>
      <c r="AD66" s="6">
        <f>$T66*AC66</f>
        <v/>
      </c>
      <c r="AE66" s="7" t="n">
        <v>0</v>
      </c>
      <c r="AF66" s="6">
        <f>$T66*AE66</f>
        <v/>
      </c>
      <c r="AG66" s="7" t="n">
        <v>0</v>
      </c>
      <c r="AH66" s="6">
        <f>$T66*AG66</f>
        <v/>
      </c>
      <c r="AI66" s="7">
        <f>U66+W66+Y66+AA66+AC66+AE66+AG66</f>
        <v/>
      </c>
      <c r="AJ66" s="6">
        <f>V66+X66+Z66+AB66+AD66+AF66+AH66</f>
        <v/>
      </c>
    </row>
    <row r="67" ht="30" customHeight="1" s="35">
      <c r="A67" s="3" t="inlineStr">
        <is>
          <t>LOM241.1C.22.100.0010.A</t>
        </is>
      </c>
      <c r="B67" s="4" t="inlineStr">
        <is>
          <t>2/2</t>
        </is>
      </c>
      <c r="C67" s="3" t="inlineStr">
        <is>
          <t>EDILE</t>
        </is>
      </c>
      <c r="D67" s="4" t="inlineStr">
        <is>
          <t>NON SPECIALE</t>
        </is>
      </c>
      <c r="E67" s="4" t="inlineStr">
        <is>
          <t>EDILI</t>
        </is>
      </c>
      <c r="F67" s="3" t="inlineStr">
        <is>
          <t>1_2025.11.20_CME REV07.PDF</t>
        </is>
      </c>
      <c r="G67" s="4" t="inlineStr">
        <is>
          <t>86</t>
        </is>
      </c>
      <c r="H67" s="3" t="inlineStr">
        <is>
          <t>30 - STRUTTURALE</t>
        </is>
      </c>
      <c r="I67" s="3" t="inlineStr">
        <is>
          <t>NUOVI LABORATORI</t>
        </is>
      </c>
      <c r="J67" s="3" t="inlineStr">
        <is>
          <t>OPERE IN CARPENTERIA METALLICA</t>
        </is>
      </c>
      <c r="K67" s="3" t="inlineStr">
        <is>
          <t>SOVRAPPREZZO PER ZINCATURA DI CARPENTERIA METALLICA: - A CALDO</t>
        </is>
      </c>
      <c r="L67" s="3" t="inlineStr">
        <is>
          <t>SOVRAPPREZZO PER ZINCATURA DI CARPENTERIA METALLICA: - A CALDO</t>
        </is>
      </c>
      <c r="M67" s="4" t="inlineStr">
        <is>
          <t>KG</t>
        </is>
      </c>
      <c r="N67" s="5" t="n">
        <v>667.25</v>
      </c>
      <c r="O67" s="6" t="n">
        <v>1.18</v>
      </c>
      <c r="P67" s="6" t="n">
        <v>787.36</v>
      </c>
      <c r="Q67" s="5" t="n"/>
      <c r="R67" s="6" t="n"/>
      <c r="S67" s="6">
        <f>IF(AND(Q67&lt;&gt;"",R67&lt;&gt;""),Q67*R67,"")</f>
        <v/>
      </c>
      <c r="T67" s="6">
        <f>IF(S67="",P67,S67)</f>
        <v/>
      </c>
      <c r="U67" s="7" t="n">
        <v>0</v>
      </c>
      <c r="V67" s="6">
        <f>$T67*U67</f>
        <v/>
      </c>
      <c r="W67" s="7" t="n">
        <v>0</v>
      </c>
      <c r="X67" s="6">
        <f>$T67*W67</f>
        <v/>
      </c>
      <c r="Y67" s="7" t="n">
        <v>0</v>
      </c>
      <c r="Z67" s="6">
        <f>$T67*Y67</f>
        <v/>
      </c>
      <c r="AA67" s="7" t="n">
        <v>0</v>
      </c>
      <c r="AB67" s="6">
        <f>$T67*AA67</f>
        <v/>
      </c>
      <c r="AC67" s="7" t="n">
        <v>0</v>
      </c>
      <c r="AD67" s="6">
        <f>$T67*AC67</f>
        <v/>
      </c>
      <c r="AE67" s="7" t="n">
        <v>0</v>
      </c>
      <c r="AF67" s="6">
        <f>$T67*AE67</f>
        <v/>
      </c>
      <c r="AG67" s="7" t="n">
        <v>0</v>
      </c>
      <c r="AH67" s="6">
        <f>$T67*AG67</f>
        <v/>
      </c>
      <c r="AI67" s="7">
        <f>U67+W67+Y67+AA67+AC67+AE67+AG67</f>
        <v/>
      </c>
      <c r="AJ67" s="6">
        <f>V67+X67+Z67+AB67+AD67+AF67+AH67</f>
        <v/>
      </c>
    </row>
    <row r="68" ht="60" customHeight="1" s="35">
      <c r="A68" s="3" t="inlineStr">
        <is>
          <t>LOM241.OC.EEA.A02.C3020.SA000.0005</t>
        </is>
      </c>
      <c r="B68" s="4" t="inlineStr">
        <is>
          <t>1/1</t>
        </is>
      </c>
      <c r="C68" s="3" t="inlineStr">
        <is>
          <t>EDILE</t>
        </is>
      </c>
      <c r="D68" s="4" t="inlineStr">
        <is>
          <t>NON SPECIALE</t>
        </is>
      </c>
      <c r="E68" s="4" t="inlineStr">
        <is>
          <t>EDILI</t>
        </is>
      </c>
      <c r="F68" s="3" t="inlineStr">
        <is>
          <t>1_2025.11.20_CME REV07.PDF</t>
        </is>
      </c>
      <c r="G68" s="4" t="inlineStr">
        <is>
          <t>88</t>
        </is>
      </c>
      <c r="H68" s="3" t="inlineStr">
        <is>
          <t>30 - STRUTTURALE</t>
        </is>
      </c>
      <c r="I68" s="3" t="inlineStr">
        <is>
          <t>NUOVI LABORATORI</t>
        </is>
      </c>
      <c r="J68" s="3" t="inlineStr">
        <is>
          <t>OPERE IN C.A.</t>
        </is>
      </c>
      <c r="K68" s="3" t="inlineStr">
        <is>
          <t>OPERA: CORRIMANO DI LEGA ALLUMINIO GENERICO; FINITURA: IN ACROVINILICO | FINEMENTE GRANULATO | NON POROSO; GEOMETRIA/FORMA/ASPETTO: CIRCOLARE; DIAMETRO [MM] = 45 | SPESSORE RIVESTIMENTO [MM] ≤ 2,5; IG</t>
        </is>
      </c>
      <c r="L68" s="3" t="inlineStr">
        <is>
          <t>OPERA: CORRIMANO DI LEGA ALLUMINIO GENERICO; FINITURA: IN ACROVINILICO | FINEMENTE GRANULATO | NON POROSO; GEOMETRIA/FORMA/ASPETTO: CIRCOLARE; DIAMETRO [MM] = 45 | SPESSORE RIVESTIMENTO [MM] ≤ 2,5; IGNIFUGO [CLASSE] = 1. 
LAVORO: POSA. 
SPECIFICHE TECNICHE: PROFILO ESTRUSO. 
COMPONENTI: 
OP1 OPERA: CORRIMANO DI LEGA ALLUMINIO GENERICO; FINITURA: IN ACROVINILICO | FINEMENTE GRANULATO | NON POROSO; GEOMETRIA/FORMA/ASPETTO: CIRCOLARE; DIAMETRO [MM] = 45 | SPESSORE RIVESTIMENTO [MM] ≤ 2,5; IGNIFUGO [CLASSE] = 1. 
SPECIFICHE TECNICHE: PROFILO ESTRUSO. 
RM2 CORRIMANO DI LEGA ALLUMINIO GENERICO; FINITURA: RESINA SINTETICA ACROVINILICA; DIAMETRO (Ø) [MM] = 45; IGNIFUGO [CLASSE] = 1 
LV1 LAVORO: POSA.</t>
        </is>
      </c>
      <c r="M68" s="4" t="inlineStr">
        <is>
          <t>M</t>
        </is>
      </c>
      <c r="N68" s="5" t="n">
        <v>50</v>
      </c>
      <c r="O68" s="6" t="n">
        <v>172.49</v>
      </c>
      <c r="P68" s="6" t="n">
        <v>8624.5</v>
      </c>
      <c r="Q68" s="5" t="n"/>
      <c r="R68" s="6" t="n"/>
      <c r="S68" s="6">
        <f>IF(AND(Q68&lt;&gt;"",R68&lt;&gt;""),Q68*R68,"")</f>
        <v/>
      </c>
      <c r="T68" s="6">
        <f>IF(S68="",P68,S68)</f>
        <v/>
      </c>
      <c r="U68" s="7" t="n">
        <v>0</v>
      </c>
      <c r="V68" s="6">
        <f>$T68*U68</f>
        <v/>
      </c>
      <c r="W68" s="7" t="n">
        <v>0.2</v>
      </c>
      <c r="X68" s="6">
        <f>$T68*W68</f>
        <v/>
      </c>
      <c r="Y68" s="7" t="n">
        <v>0</v>
      </c>
      <c r="Z68" s="6">
        <f>$T68*Y68</f>
        <v/>
      </c>
      <c r="AA68" s="7" t="n">
        <v>0</v>
      </c>
      <c r="AB68" s="6">
        <f>$T68*AA68</f>
        <v/>
      </c>
      <c r="AC68" s="7" t="n">
        <v>0</v>
      </c>
      <c r="AD68" s="6">
        <f>$T68*AC68</f>
        <v/>
      </c>
      <c r="AE68" s="7" t="n">
        <v>0</v>
      </c>
      <c r="AF68" s="6">
        <f>$T68*AE68</f>
        <v/>
      </c>
      <c r="AG68" s="7" t="n">
        <v>0</v>
      </c>
      <c r="AH68" s="6">
        <f>$T68*AG68</f>
        <v/>
      </c>
      <c r="AI68" s="7">
        <f>U68+W68+Y68+AA68+AC68+AE68+AG68</f>
        <v/>
      </c>
      <c r="AJ68" s="6">
        <f>V68+X68+Z68+AB68+AD68+AF68+AH68</f>
        <v/>
      </c>
    </row>
    <row r="69" ht="60" customHeight="1" s="35">
      <c r="A69" s="3" t="inlineStr">
        <is>
          <t>LOM241.OC.EEA.A02.D9715.SB003.0000</t>
        </is>
      </c>
      <c r="B69" s="4" t="inlineStr">
        <is>
          <t>1/1</t>
        </is>
      </c>
      <c r="C69" s="3" t="inlineStr">
        <is>
          <t>EDILE</t>
        </is>
      </c>
      <c r="D69" s="4" t="inlineStr">
        <is>
          <t>NON SPECIALE</t>
        </is>
      </c>
      <c r="E69" s="4" t="inlineStr">
        <is>
          <t>EDILI</t>
        </is>
      </c>
      <c r="F69" s="3" t="inlineStr">
        <is>
          <t>1_2025.11.20_CME REV07.PDF</t>
        </is>
      </c>
      <c r="G69" s="4" t="inlineStr">
        <is>
          <t>89</t>
        </is>
      </c>
      <c r="H69" s="3" t="inlineStr">
        <is>
          <t>30 - STRUTTURALE</t>
        </is>
      </c>
      <c r="I69" s="3" t="inlineStr">
        <is>
          <t>NUOVI LABORATORI</t>
        </is>
      </c>
      <c r="J69" s="3" t="inlineStr">
        <is>
          <t>OPERE IN C.A.</t>
        </is>
      </c>
      <c r="K69" s="3" t="inlineStr">
        <is>
          <t xml:space="preserve">OPERA: GRIGLIA CARRABILE, PANNELLI DI LEGA FERROSA ACCIAIO ZINCATO. INCLUSO: GANCI FERMAGRIGLIATO, CONTROTELAI, ACCESSORI. </t>
        </is>
      </c>
      <c r="L69" s="3" t="inlineStr">
        <is>
          <t>OPERA: GRIGLIA CARRABILE, PANNELLI DI LEGA FERROSA ACCIAIO ZINCATO. INCLUSO: GANCI FERMAGRIGLIATO, CONTROTELAI, ACCESSORI. 
LAVORO: POSA. ESCLUSO: ASSISTENZA MURARIA. 
COMPONENTI: 
OP1 OPERA: GRIGLIA CARRABILE, PANNELLI DI LEGA FERROSA ACCIAIO ZINCATO. INCLUSO: GANCI FERMAGRIGLIATO, CONTROTELAI, ACCESSORI. 
RM2 GRIGLIA DI LEGA FERROSA ACCIAIO ZINCATO; GEOMETRIA/FORMA/ASPETTO: BORDATI | PRESSATO; SPESSORE [MM] = 2. INCLUSO: PIATTI PORTANTI 
SPECIFICHE TECNICHE: GRIGLIATO IN ACCIAIO ZINCATO A CALDO 
LV1 LAVORO: POSA. ESCLUSO: ASSISTENZA MURARIA.</t>
        </is>
      </c>
      <c r="M69" s="4" t="inlineStr">
        <is>
          <t>KG</t>
        </is>
      </c>
      <c r="N69" s="5" t="n">
        <v>391.8</v>
      </c>
      <c r="O69" s="6" t="n">
        <v>6</v>
      </c>
      <c r="P69" s="6" t="n">
        <v>2350.8</v>
      </c>
      <c r="Q69" s="5" t="n"/>
      <c r="R69" s="6" t="n"/>
      <c r="S69" s="6">
        <f>IF(AND(Q69&lt;&gt;"",R69&lt;&gt;""),Q69*R69,"")</f>
        <v/>
      </c>
      <c r="T69" s="6">
        <f>IF(S69="",P69,S69)</f>
        <v/>
      </c>
      <c r="U69" s="7" t="n">
        <v>0</v>
      </c>
      <c r="V69" s="6">
        <f>$T69*U69</f>
        <v/>
      </c>
      <c r="W69" s="7" t="n">
        <v>0.2</v>
      </c>
      <c r="X69" s="6">
        <f>$T69*W69</f>
        <v/>
      </c>
      <c r="Y69" s="7" t="n">
        <v>0</v>
      </c>
      <c r="Z69" s="6">
        <f>$T69*Y69</f>
        <v/>
      </c>
      <c r="AA69" s="7" t="n">
        <v>0</v>
      </c>
      <c r="AB69" s="6">
        <f>$T69*AA69</f>
        <v/>
      </c>
      <c r="AC69" s="7" t="n">
        <v>0</v>
      </c>
      <c r="AD69" s="6">
        <f>$T69*AC69</f>
        <v/>
      </c>
      <c r="AE69" s="7" t="n">
        <v>0</v>
      </c>
      <c r="AF69" s="6">
        <f>$T69*AE69</f>
        <v/>
      </c>
      <c r="AG69" s="7" t="n">
        <v>0</v>
      </c>
      <c r="AH69" s="6">
        <f>$T69*AG69</f>
        <v/>
      </c>
      <c r="AI69" s="7">
        <f>U69+W69+Y69+AA69+AC69+AE69+AG69</f>
        <v/>
      </c>
      <c r="AJ69" s="6">
        <f>V69+X69+Z69+AB69+AD69+AF69+AH69</f>
        <v/>
      </c>
    </row>
    <row r="70" ht="60" customHeight="1" s="35">
      <c r="A70" s="3" t="inlineStr">
        <is>
          <t>LOM241.OC.EEA.A02.C1210.H0000.0010</t>
        </is>
      </c>
      <c r="B70" s="4" t="inlineStr">
        <is>
          <t>1/1</t>
        </is>
      </c>
      <c r="C70" s="3" t="inlineStr">
        <is>
          <t>EDILE</t>
        </is>
      </c>
      <c r="D70" s="4" t="inlineStr">
        <is>
          <t>NON SPECIALE</t>
        </is>
      </c>
      <c r="E70" s="4" t="inlineStr">
        <is>
          <t>EDILI</t>
        </is>
      </c>
      <c r="F70" s="3" t="inlineStr">
        <is>
          <t>1_2025.11.20_CME REV07.PDF</t>
        </is>
      </c>
      <c r="G70" s="4" t="inlineStr">
        <is>
          <t>93</t>
        </is>
      </c>
      <c r="H70" s="3" t="inlineStr">
        <is>
          <t>30 - STRUTTURALE</t>
        </is>
      </c>
      <c r="I70" s="3" t="inlineStr">
        <is>
          <t>NUOVI LABORATORI</t>
        </is>
      </c>
      <c r="J70" s="3" t="inlineStr">
        <is>
          <t>OPERE IN C.A.</t>
        </is>
      </c>
      <c r="K70" s="3" t="inlineStr">
        <is>
          <t xml:space="preserve">OPERA: SISTEMA DI CONTROSOFFITTATURA, LASTRA DI GESSO GENERICO; FINITURA: SUPERFICIE RIVESTITA; GEOMETRIA/FORMA/ASPETTO: ORDITURA NASCOSTA. INCLUSO: GIUNTI SIGILLATI/RASATI. </t>
        </is>
      </c>
      <c r="L70" s="3" t="inlineStr">
        <is>
          <t>OPERA: SISTEMA DI CONTROSOFFITTATURA, LASTRA DI GESSO GENERICO; FINITURA: SUPERFICIE RIVESTITA; GEOMETRIA/FORMA/ASPETTO: ORDITURA NASCOSTA. INCLUSO: GIUNTI SIGILLATI/RASATI. 
LAVORO: POSA. INCLUSO: PULIZIA FINALE; ALLONTAMENTO DEI MATERIALI DI RISULTA; ASSISTENZE MURARIE. 
SPECIFICHE TECNICHE: ORDITURA CON TRAVERSINI PORTANTI, PROFILI ED EVENTUALE PENDINATURA. 
COMPONENTI: 
OP1 OPERA: SISTEMA DI CONTROSOFFITTATURA, LASTRA DI GESSO GENERICO; FINITURA: SUPERFICIE RIVESTITA; GEOMETRIA/FORMA/ASPETTO: ORDITURA NASCOSTA. INCLUSO: GIUNTI SIGILLATI/RASATI. 
SPECIFICHE TECNICHE: ORDITURA CON TRAVERSINI PORTANTI, PROFILI ED EVENTUALE PENDINATURA. 
RM2 LASTRA DI GESSO GENERICO; FINITURA: CARTONE SPECIALE; GEOMETRIA/FORMA/ASPETTO: BORDI ASSOTTIGLIATI; FUNZIONE: DIVISORIA; IMPIEGO: MURATURE; LARGHEZZA [CM] = 120 | SPESSORE [MM] = 13 
SPECIFICHE TECNICHE: LASTRA RIVESTITA SULLE DUE FACCE CON CARTONE 
RM2 ORDITURA DI LEGA FERROSA ACCIAIO ZINCATO; IMPIEGO: CONTROSOFFITTI. INCLUSO: PENDINI; ACCESSORI 
SPECIFICHE TECNICHE: PER CONTROSOFFITTO CON MODULO [MM] = 600 X 600 
RM2 TASSELLO DI PLASTICA POLIAMMIDE - NYLON (PA); IMPIEGO: CONTROSOFFITTI; DIAMETRO ESTERNO (Ø) [MM] = 6 | LUNGHEZZA [MM] = 40 
RM2 PROFILO PERIMETRALE DI LEGA FERROSA ACCIAIO GENERICO; GEOMETRIA/FORMA/ASPETTO: A FORMA DI "L"; IMPIEGO: ORDITURE CONTROSOFFITTI; DIMENSIONE (X) [MM] = 19 | DIMENSIONE (Y) [MM] = 24 
LV1 LAVORO: POSA. INCLUSO: PULIZIA FINALE; ALLONTAMENTO DEI MATERIALI DI RISULTA; ASSISTENZE MURARIE.</t>
        </is>
      </c>
      <c r="M70" s="4" t="inlineStr">
        <is>
          <t>M²</t>
        </is>
      </c>
      <c r="N70" s="5" t="n">
        <v>91.69</v>
      </c>
      <c r="O70" s="6" t="n">
        <v>32.87</v>
      </c>
      <c r="P70" s="6" t="n">
        <v>3013.85</v>
      </c>
      <c r="Q70" s="5" t="n"/>
      <c r="R70" s="6" t="n"/>
      <c r="S70" s="6">
        <f>IF(AND(Q70&lt;&gt;"",R70&lt;&gt;""),Q70*R70,"")</f>
        <v/>
      </c>
      <c r="T70" s="6">
        <f>IF(S70="",P70,S70)</f>
        <v/>
      </c>
      <c r="U70" s="7" t="n">
        <v>0</v>
      </c>
      <c r="V70" s="6">
        <f>$T70*U70</f>
        <v/>
      </c>
      <c r="W70" s="7" t="n">
        <v>0</v>
      </c>
      <c r="X70" s="6">
        <f>$T70*W70</f>
        <v/>
      </c>
      <c r="Y70" s="7" t="n">
        <v>0</v>
      </c>
      <c r="Z70" s="6">
        <f>$T70*Y70</f>
        <v/>
      </c>
      <c r="AA70" s="7" t="n">
        <v>0</v>
      </c>
      <c r="AB70" s="6">
        <f>$T70*AA70</f>
        <v/>
      </c>
      <c r="AC70" s="7" t="n">
        <v>0</v>
      </c>
      <c r="AD70" s="6">
        <f>$T70*AC70</f>
        <v/>
      </c>
      <c r="AE70" s="7" t="n">
        <v>0</v>
      </c>
      <c r="AF70" s="6">
        <f>$T70*AE70</f>
        <v/>
      </c>
      <c r="AG70" s="7" t="n">
        <v>0</v>
      </c>
      <c r="AH70" s="6">
        <f>$T70*AG70</f>
        <v/>
      </c>
      <c r="AI70" s="7">
        <f>U70+W70+Y70+AA70+AC70+AE70+AG70</f>
        <v/>
      </c>
      <c r="AJ70" s="6">
        <f>V70+X70+Z70+AB70+AD70+AF70+AH70</f>
        <v/>
      </c>
    </row>
    <row r="71" ht="60" customHeight="1" s="35">
      <c r="A71" s="3" t="inlineStr">
        <is>
          <t>LOM241.OC.EEA.A02.C1210.OD000.0005</t>
        </is>
      </c>
      <c r="B71" s="4" t="inlineStr">
        <is>
          <t>1/2</t>
        </is>
      </c>
      <c r="C71" s="3" t="inlineStr">
        <is>
          <t>EDILE</t>
        </is>
      </c>
      <c r="D71" s="4" t="inlineStr">
        <is>
          <t>NON SPECIALE</t>
        </is>
      </c>
      <c r="E71" s="4" t="inlineStr">
        <is>
          <t>EDILI</t>
        </is>
      </c>
      <c r="F71" s="3" t="inlineStr">
        <is>
          <t>1_2025.11.20_CME REV07.PDF</t>
        </is>
      </c>
      <c r="G71" s="4" t="inlineStr">
        <is>
          <t>94</t>
        </is>
      </c>
      <c r="H71" s="3" t="inlineStr">
        <is>
          <t>30 - STRUTTURALE</t>
        </is>
      </c>
      <c r="I71" s="3" t="inlineStr">
        <is>
          <t>NUOVI LABORATORI</t>
        </is>
      </c>
      <c r="J71" s="3" t="inlineStr">
        <is>
          <t>OPERE IN C.A.</t>
        </is>
      </c>
      <c r="K71" s="3" t="inlineStr">
        <is>
          <t>OPERA: SISTEMA DI CONTROSOFFITTATURA, LASTRA DI FIBRA MINERALE GENERICO; FINITURA: COLORE BIANCO | SUPERFICIE DECORATA FESSURATA; GEOMETRIA/FORMA/ASPETTO: ORDITURA SEMINASCOSTA | BORDI DISEGNATI; DIME</t>
        </is>
      </c>
      <c r="L71" s="3" t="inlineStr">
        <is>
          <t>OPERA: SISTEMA DI CONTROSOFFITTATURA, LASTRA DI FIBRA MINERALE GENERICO; FINITURA: COLORE BIANCO | SUPERFICIE DECORATA FESSURATA; GEOMETRIA/FORMA/ASPETTO: ORDITURA SEMINASCOSTA | BORDI DISEGNATI; DIMENSIONE (X) [MM] = 600 | DIMENSIONE (Y) [MM] = 600. INCLUSO: CORNICE PERIMETRALE DI FINITURA. 
LAVORO: POSA. INCLUSO: PULIZIA FINALE; ALLONTAMENTO DEI MATERIALI DI RISULTA; ASSISTENZE MURARIE. 
SPECIFICHE TECNICHE: ORDITURA CON PROFILI PORTANTI, INTERMEDI E ACCESSORI DI SOSPENSIONE. 
COMPONENTI: 
OP1 OPERA: SISTEMA DI CONTROSOFFITTATURA, LASTRA DI FIBRA MINERALE GENERICO; FINITURA: COLORE BIANCO | SUPERFICIE DECORATA FESSURATA; GEOMETRIA/FORMA/ASPETTO: ORDITURA SEMINASCOSTA | BORDI DISEGNATI; DIMENSIONE (X) [MM] = 600 | DIMENSIONE (Y) [MM] = 600. INCLUSO: CORNICE PERIMETRALE DI FINITURA. 
SPECIFICHE TECNICHE: ORDITURA CON PROFILI PORTANTI, INTERMEDI E ACCESSORI DI SOSPENSIONE. 
RM2 LASTRA ACUSTICO DI FIBRA MINERALE GENERICO; FINITURA: COLORE BIANCO; GEOMETRIA/FORMA/ASPETTO: PANNELLI A BORDI RISEGATI; IMPIEGO: CONTROSOFFITTI; SPESSORE [MM] = 15 ÷ 17 | LUNGHEZZA [MM] = 600 | LARGHEZZA [MM] = 600 
SPECIFICHE TECNICHE: A DECORO FESSURATO 
RM2 ORDITURA DI LEGA FERROSA ACCIAIO ZINCATO; FINITURA: COLORE BIANCO; IMPIEGO: CONTROSOFFITTI. INCLUSO: PENDINI; ACCESSORI 
SPECIFICHE TECNICHE: PER CONTROSOFFITTO CON MODULO [MM] = 600 X 1200 
RM2 TASSELLO DI PLASTICA POLIAMMIDE - NYLON (PA); IMPIEGO: CONTROSOFFITTI; DIAMETRO ESTERNO (Ø) [MM] = 6 | LUNGHEZZA [MM] = 40 
RM2 PROFILO PERIMETRALE DI LEGA FERROSA ACCIAIO GENERICO; GEOMETRIA/FORMA/ASPETTO: A FORMA DI "L"; IMPIEGO: ORDITURE CONTROSOFFITTI; DIMENSIONE (X) [MM] = 19 | DIMENSIONE (Y) [MM] = 24 
LV1 LAVORO: POSA. INCLUSO: PULIZIA FINALE; ALLONTAMENTO DEI MATERIALI DI RISULTA; ASSISTENZE MURARIE.</t>
        </is>
      </c>
      <c r="M71" s="4" t="inlineStr">
        <is>
          <t>M²</t>
        </is>
      </c>
      <c r="N71" s="5" t="n">
        <v>84.90000000000001</v>
      </c>
      <c r="O71" s="6" t="n">
        <v>38.31</v>
      </c>
      <c r="P71" s="6" t="n">
        <v>3252.52</v>
      </c>
      <c r="Q71" s="5" t="n"/>
      <c r="R71" s="6" t="n"/>
      <c r="S71" s="6">
        <f>IF(AND(Q71&lt;&gt;"",R71&lt;&gt;""),Q71*R71,"")</f>
        <v/>
      </c>
      <c r="T71" s="6">
        <f>IF(S71="",P71,S71)</f>
        <v/>
      </c>
      <c r="U71" s="7" t="n">
        <v>0</v>
      </c>
      <c r="V71" s="6">
        <f>$T71*U71</f>
        <v/>
      </c>
      <c r="W71" s="7" t="n">
        <v>0</v>
      </c>
      <c r="X71" s="6">
        <f>$T71*W71</f>
        <v/>
      </c>
      <c r="Y71" s="7" t="n">
        <v>0</v>
      </c>
      <c r="Z71" s="6">
        <f>$T71*Y71</f>
        <v/>
      </c>
      <c r="AA71" s="7" t="n">
        <v>0</v>
      </c>
      <c r="AB71" s="6">
        <f>$T71*AA71</f>
        <v/>
      </c>
      <c r="AC71" s="7" t="n">
        <v>0</v>
      </c>
      <c r="AD71" s="6">
        <f>$T71*AC71</f>
        <v/>
      </c>
      <c r="AE71" s="7" t="n">
        <v>0</v>
      </c>
      <c r="AF71" s="6">
        <f>$T71*AE71</f>
        <v/>
      </c>
      <c r="AG71" s="7" t="n">
        <v>0</v>
      </c>
      <c r="AH71" s="6">
        <f>$T71*AG71</f>
        <v/>
      </c>
      <c r="AI71" s="7">
        <f>U71+W71+Y71+AA71+AC71+AE71+AG71</f>
        <v/>
      </c>
      <c r="AJ71" s="6">
        <f>V71+X71+Z71+AB71+AD71+AF71+AH71</f>
        <v/>
      </c>
    </row>
    <row r="72" ht="60" customHeight="1" s="35">
      <c r="A72" s="3" t="inlineStr">
        <is>
          <t>LOM241.OC.EEA.A02.C1210.OD000.0030</t>
        </is>
      </c>
      <c r="B72" s="4" t="inlineStr">
        <is>
          <t>1/1</t>
        </is>
      </c>
      <c r="C72" s="3" t="inlineStr">
        <is>
          <t>EDILE</t>
        </is>
      </c>
      <c r="D72" s="4" t="inlineStr">
        <is>
          <t>NON SPECIALE</t>
        </is>
      </c>
      <c r="E72" s="4" t="inlineStr">
        <is>
          <t>EDILI</t>
        </is>
      </c>
      <c r="F72" s="3" t="inlineStr">
        <is>
          <t>1_2025.11.20_CME REV07.PDF</t>
        </is>
      </c>
      <c r="G72" s="4" t="inlineStr">
        <is>
          <t>95</t>
        </is>
      </c>
      <c r="H72" s="3" t="inlineStr">
        <is>
          <t>30 - STRUTTURALE</t>
        </is>
      </c>
      <c r="I72" s="3" t="inlineStr">
        <is>
          <t>NUOVI LABORATORI</t>
        </is>
      </c>
      <c r="J72" s="3" t="inlineStr">
        <is>
          <t>OPERE IN C.A.</t>
        </is>
      </c>
      <c r="K72" s="3" t="inlineStr">
        <is>
          <t>OPERA: SISTEMA DI CONTROSOFFITTATURA, LASTRA DI FIBRA MINERALE GENERICO; FINITURA: COLORE BIANCO | SUPERFICIE FINEMENTE GRANULATA; GEOMETRIA/FORMA/ASPETTO: ORDITURA SEMINASCOSTA | BORDI RISEGATI; FUNZ</t>
        </is>
      </c>
      <c r="L72" s="3" t="inlineStr">
        <is>
          <t>OPERA: SISTEMA DI CONTROSOFFITTATURA, LASTRA DI FIBRA MINERALE GENERICO; FINITURA: COLORE BIANCO | SUPERFICIE FINEMENTE GRANULATA; GEOMETRIA/FORMA/ASPETTO: ORDITURA SEMINASCOSTA | BORDI RISEGATI; FUNZIONE: FONOASSORBENTI; DIMENSIONE (X) [MM] = 600 | DIMENSIONE (Y) [MM] = 1200. INCLUSO: CORNICE PERIMETRALE DI FINITURA. 
LAVORO: POSA. INCLUSO: PULIZIA FINALE; ALLONTAMENTO DEI MATERIALI DI RISULTA; ASSISTENZE MURARIE. 
SPECIFICHE TECNICHE: ORDITURA CON PROFILI PORTANTI, INTERMEDI E ACCESSORI DI SOSPENSIONE. 
COMPONENTI: 
OP1 OPERA: SISTEMA DI CONTROSOFFITTATURA, LASTRA DI FIBRA MINERALE GENERICO; FINITURA: COLORE BIANCO | SUPERFICIE FINEMENTE GRANULATA; GEOMETRIA/FORMA/ASPETTO: ORDITURA SEMINASCOSTA | BORDI RISEGATI; FUNZIONE: FONOASSORBENTI; DIMENSIONE (X) [MM] = 600 | DIMENSIONE (Y) [MM] = 1200. INCLUSO: CORNICE PERIMETRALE DI FINITURA. 
SPECIFICHE TECNICHE: ORDITURA CON PROFILI PORTANTI, INTERMEDI E ACCESSORI DI SOSPENSIONE. 
RM2 LASTRA ACUSTICO DI FIBRA MINERALE GENERICO; FINITURA: GRANULATA; GEOMETRIA/FORMA/ASPETTO: PANNELLI A BORDI RISEGATI; FUNZIONE: FONOASSORBENTE; IMPIEGO: CONTROSOFFITTI; SPESSORE [MM] = 15 ÷ 17 | LUNGHEZZA [MM] = 600 | LARGHEZZA [MM] = 1200 
SPECIFICHE TECNICHE: SUPERFICIE FINEMENTE GRANULATA 
RM2 ORDITURA DI LEGA FERROSA ACCIAIO ZINCATO; FINITURA: COLORE BIANCO; IMPIEGO: CONTROSOFFITTI. INCLUSO: PENDINI; ACCESSORI 
SPECIFICHE TECNICHE: PER CONTROSOFFITTO CON MODULO [MM] = 600 X 1200 
RM2 TASSELLO DI PLASTICA POLIAMMIDE - NYLON (PA); IMPIEGO: CONTROSOFFITTI; DIAMETRO ESTERNO (Ø) [MM] = 6 | LUNGHEZZA [MM] = 40 
RM2 PROFILO PERIMETRALE DI LEGA FERROSA ACCIAIO GENERICO; GEOMETRIA/FORMA/ASPETTO: A FORMA DI "L"; IMPIEGO: ORDITURE CONTROSOFFITTI; DIMENSIONE (X) [MM] = 19 | DIMENSIONE (Y) [MM] = 24 
LV1 LAVORO: POSA. INCLUSO: PULIZIA FINALE; ALLONTAMENTO DEI MATERIALI DI RISULTA; ASSISTENZE MURARIE.</t>
        </is>
      </c>
      <c r="M72" s="4" t="inlineStr">
        <is>
          <t>M²</t>
        </is>
      </c>
      <c r="N72" s="5" t="n">
        <v>41.58</v>
      </c>
      <c r="O72" s="6" t="n">
        <v>39.65</v>
      </c>
      <c r="P72" s="6" t="n">
        <v>1648.65</v>
      </c>
      <c r="Q72" s="5" t="n"/>
      <c r="R72" s="6" t="n"/>
      <c r="S72" s="6">
        <f>IF(AND(Q72&lt;&gt;"",R72&lt;&gt;""),Q72*R72,"")</f>
        <v/>
      </c>
      <c r="T72" s="6">
        <f>IF(S72="",P72,S72)</f>
        <v/>
      </c>
      <c r="U72" s="7" t="n">
        <v>0</v>
      </c>
      <c r="V72" s="6">
        <f>$T72*U72</f>
        <v/>
      </c>
      <c r="W72" s="7" t="n">
        <v>0</v>
      </c>
      <c r="X72" s="6">
        <f>$T72*W72</f>
        <v/>
      </c>
      <c r="Y72" s="7" t="n">
        <v>0</v>
      </c>
      <c r="Z72" s="6">
        <f>$T72*Y72</f>
        <v/>
      </c>
      <c r="AA72" s="7" t="n">
        <v>0</v>
      </c>
      <c r="AB72" s="6">
        <f>$T72*AA72</f>
        <v/>
      </c>
      <c r="AC72" s="7" t="n">
        <v>0</v>
      </c>
      <c r="AD72" s="6">
        <f>$T72*AC72</f>
        <v/>
      </c>
      <c r="AE72" s="7" t="n">
        <v>0</v>
      </c>
      <c r="AF72" s="6">
        <f>$T72*AE72</f>
        <v/>
      </c>
      <c r="AG72" s="7" t="n">
        <v>0</v>
      </c>
      <c r="AH72" s="6">
        <f>$T72*AG72</f>
        <v/>
      </c>
      <c r="AI72" s="7">
        <f>U72+W72+Y72+AA72+AC72+AE72+AG72</f>
        <v/>
      </c>
      <c r="AJ72" s="6">
        <f>V72+X72+Z72+AB72+AD72+AF72+AH72</f>
        <v/>
      </c>
    </row>
    <row r="73" ht="60" customHeight="1" s="35">
      <c r="A73" s="3" t="inlineStr">
        <is>
          <t>LOM241.OC.EEA.A02.C1206.L0005.0260</t>
        </is>
      </c>
      <c r="B73" s="4" t="inlineStr">
        <is>
          <t>1/2</t>
        </is>
      </c>
      <c r="C73" s="3" t="inlineStr">
        <is>
          <t>EDILE</t>
        </is>
      </c>
      <c r="D73" s="4" t="inlineStr">
        <is>
          <t>NON SPECIALE</t>
        </is>
      </c>
      <c r="E73" s="4" t="inlineStr">
        <is>
          <t>EDILI</t>
        </is>
      </c>
      <c r="F73" s="3" t="inlineStr">
        <is>
          <t>1_2025.11.20_CME REV07.PDF</t>
        </is>
      </c>
      <c r="G73" s="4" t="inlineStr">
        <is>
          <t>97</t>
        </is>
      </c>
      <c r="H73" s="3" t="inlineStr">
        <is>
          <t>30 - STRUTTURALE</t>
        </is>
      </c>
      <c r="I73" s="3" t="inlineStr">
        <is>
          <t>NUOVI LABORATORI</t>
        </is>
      </c>
      <c r="J73" s="3" t="inlineStr">
        <is>
          <t>OPERE IN C.A.</t>
        </is>
      </c>
      <c r="K73" s="3" t="inlineStr">
        <is>
          <t xml:space="preserve">OPERA: STRATO DI PAVIMENTAZIONE, PIASTRELLE DI CERAMICA GRES PORCELLANATO; FINITURA: SMALTATA | COLORI CHIARI. </t>
        </is>
      </c>
      <c r="L73" s="3" t="inlineStr">
        <is>
          <t>OPERA: STRATO DI PAVIMENTAZIONE, PIASTRELLE DI CERAMICA GRES PORCELLANATO; FINITURA: SMALTATA | COLORI CHIARI. 
LAVORO: POSA. INCLUSO: ASSISTENZE MURARIE. ESCLUSO: SOTTOFONDO, PREPARAZIONE MASSETTO. 
SPECIFICHE TECNICHE: POSATO CON BOIACCA DI PURO CEMENTO SU LETTO DI MALTA DI LEGANTE IDRAULICO, O INCOLLATO SU IDONEO SOTTOFONDO. 
COMPONENTI: 
OP1 OPERA: STRATO DI PAVIMENTAZIONE, PIASTRELLE DI CERAMICA GRES PORCELLANATO; FINITURA: SMALTATA | COLORI CHIARI. 
RM2 PIASTRELLA PER PAVIMENTO DI CERAMICA GRES PORCELLANATO; FINITURA: SMALTATA | CHIARA; IMPIEGO: INTERNO; DIMENSIONE (X) [CM] = 30 | DIMENSIONE (Y) [CM] = 30 | SPESSORE [CM] = 0,8 ÷ 1 
PO2 PRODOTTO SEMILAVORATO: MALTA IN CEMENTO GENERICO. 
LAVORO: FORMAZIONEIN CON MEZZO MECCANICO. 
SPECIFICHE TECNICHE: CONFEZIONATA IN BETONIERA; 300 KG DI CEMENTO PER M³. 
LV1 LAVORO: POSA. INCLUSO: ASSISTENZE MURARIE. ESCLUSO: SOTTOFONDO, PREPARAZIONE MASSETTO. 
SPECIFICHE TECNICHE: POSATO CON BOIACCA DI PURO CEMENTO SU LETTO DI MALTA DI LEGANTE IDRAULICO, O INCOLLATO SU IDONEO SOTTOFONDO.</t>
        </is>
      </c>
      <c r="M73" s="4" t="inlineStr">
        <is>
          <t>M²</t>
        </is>
      </c>
      <c r="N73" s="5" t="n">
        <v>248.66</v>
      </c>
      <c r="O73" s="6" t="n">
        <v>53.49</v>
      </c>
      <c r="P73" s="6" t="n">
        <v>13300.82</v>
      </c>
      <c r="Q73" s="5" t="n"/>
      <c r="R73" s="6" t="n"/>
      <c r="S73" s="6">
        <f>IF(AND(Q73&lt;&gt;"",R73&lt;&gt;""),Q73*R73,"")</f>
        <v/>
      </c>
      <c r="T73" s="6">
        <f>IF(S73="",P73,S73)</f>
        <v/>
      </c>
      <c r="U73" s="7" t="n">
        <v>0</v>
      </c>
      <c r="V73" s="6">
        <f>$T73*U73</f>
        <v/>
      </c>
      <c r="W73" s="7" t="n">
        <v>0</v>
      </c>
      <c r="X73" s="6">
        <f>$T73*W73</f>
        <v/>
      </c>
      <c r="Y73" s="7" t="n">
        <v>0</v>
      </c>
      <c r="Z73" s="6">
        <f>$T73*Y73</f>
        <v/>
      </c>
      <c r="AA73" s="7" t="n">
        <v>0</v>
      </c>
      <c r="AB73" s="6">
        <f>$T73*AA73</f>
        <v/>
      </c>
      <c r="AC73" s="7" t="n">
        <v>0</v>
      </c>
      <c r="AD73" s="6">
        <f>$T73*AC73</f>
        <v/>
      </c>
      <c r="AE73" s="7" t="n">
        <v>0</v>
      </c>
      <c r="AF73" s="6">
        <f>$T73*AE73</f>
        <v/>
      </c>
      <c r="AG73" s="7" t="n">
        <v>0</v>
      </c>
      <c r="AH73" s="6">
        <f>$T73*AG73</f>
        <v/>
      </c>
      <c r="AI73" s="7">
        <f>U73+W73+Y73+AA73+AC73+AE73+AG73</f>
        <v/>
      </c>
      <c r="AJ73" s="6">
        <f>V73+X73+Z73+AB73+AD73+AF73+AH73</f>
        <v/>
      </c>
    </row>
    <row r="74" ht="60" customHeight="1" s="35">
      <c r="A74" s="3" t="inlineStr">
        <is>
          <t>LOM241.OC.EEA.A02.C1240.L0005.0000.B</t>
        </is>
      </c>
      <c r="B74" s="4" t="inlineStr">
        <is>
          <t>1/2</t>
        </is>
      </c>
      <c r="C74" s="3" t="inlineStr">
        <is>
          <t>EDILE</t>
        </is>
      </c>
      <c r="D74" s="4" t="inlineStr">
        <is>
          <t>NON SPECIALE</t>
        </is>
      </c>
      <c r="E74" s="4" t="inlineStr">
        <is>
          <t>EDILI</t>
        </is>
      </c>
      <c r="F74" s="3" t="inlineStr">
        <is>
          <t>1_2025.11.20_CME REV07.PDF</t>
        </is>
      </c>
      <c r="G74" s="4" t="inlineStr">
        <is>
          <t>100</t>
        </is>
      </c>
      <c r="H74" s="3" t="inlineStr">
        <is>
          <t>30 - STRUTTURALE</t>
        </is>
      </c>
      <c r="I74" s="3" t="inlineStr">
        <is>
          <t>NUOVI LABORATORI</t>
        </is>
      </c>
      <c r="J74" s="3" t="inlineStr">
        <is>
          <t>OPERE IN C.A.</t>
        </is>
      </c>
      <c r="K74" s="3" t="inlineStr">
        <is>
          <t xml:space="preserve">OPERA: STRATO DI ZOCCOLATURA DI CERAMICA GRES PORCELLANATO; IMPIEGO: STRATO DI PAVIMENTAZIONE. </t>
        </is>
      </c>
      <c r="L74" s="3" t="inlineStr">
        <is>
          <t>OPERA: STRATO DI ZOCCOLATURA DI CERAMICA GRES PORCELLANATO; IMPIEGO: STRATO DI PAVIMENTAZIONE. 
LAVORO: POSA. INCLUSO: ASSISTENZE MURARIE. 
COMPONENTI: 
OP1 OPERA: STRATO DI ZOCCOLATURA DI CERAMICA GRES PORCELLANATO; IMPIEGO: STRATO DI PAVIMENTAZIONE. 
RM2 ZOCCOLINO DI CERAMICA GRES PORCELLANATO; GEOMETRIA/FORMA/ASPETTO: CON GOLA; IMPIEGO: BATTISCOPA; ALTEZZA [CM] = 10 
PO2 PRODOTTO SEMILAVORATO: MALTA, BASTARDA IN CEMENTO GENERICO. 
LAVORO: FORMAZIONE, CON MEZZO MECCANICO. 
SPECIFICHE TECNICHE: CONFEZIONATA IN BETONIERA; DOSAGGIO PER M³: CEMENTO [KG] = 100 | CALCE EMINENTEMENTE IDRAULICA [KG] = 350. 
LV1 LAVORO: POSA. INCLUSO: ASSISTENZE MURARIE.</t>
        </is>
      </c>
      <c r="M74" s="4" t="inlineStr">
        <is>
          <t>M</t>
        </is>
      </c>
      <c r="N74" s="5" t="n">
        <v>192.73</v>
      </c>
      <c r="O74" s="6" t="n">
        <v>16.46</v>
      </c>
      <c r="P74" s="6" t="n">
        <v>3172.34</v>
      </c>
      <c r="Q74" s="5" t="n"/>
      <c r="R74" s="6" t="n"/>
      <c r="S74" s="6">
        <f>IF(AND(Q74&lt;&gt;"",R74&lt;&gt;""),Q74*R74,"")</f>
        <v/>
      </c>
      <c r="T74" s="6">
        <f>IF(S74="",P74,S74)</f>
        <v/>
      </c>
      <c r="U74" s="7" t="n">
        <v>0</v>
      </c>
      <c r="V74" s="6">
        <f>$T74*U74</f>
        <v/>
      </c>
      <c r="W74" s="7" t="n">
        <v>0</v>
      </c>
      <c r="X74" s="6">
        <f>$T74*W74</f>
        <v/>
      </c>
      <c r="Y74" s="7" t="n">
        <v>0</v>
      </c>
      <c r="Z74" s="6">
        <f>$T74*Y74</f>
        <v/>
      </c>
      <c r="AA74" s="7" t="n">
        <v>0</v>
      </c>
      <c r="AB74" s="6">
        <f>$T74*AA74</f>
        <v/>
      </c>
      <c r="AC74" s="7" t="n">
        <v>0</v>
      </c>
      <c r="AD74" s="6">
        <f>$T74*AC74</f>
        <v/>
      </c>
      <c r="AE74" s="7" t="n">
        <v>0</v>
      </c>
      <c r="AF74" s="6">
        <f>$T74*AE74</f>
        <v/>
      </c>
      <c r="AG74" s="7" t="n">
        <v>0</v>
      </c>
      <c r="AH74" s="6">
        <f>$T74*AG74</f>
        <v/>
      </c>
      <c r="AI74" s="7">
        <f>U74+W74+Y74+AA74+AC74+AE74+AG74</f>
        <v/>
      </c>
      <c r="AJ74" s="6">
        <f>V74+X74+Z74+AB74+AD74+AF74+AH74</f>
        <v/>
      </c>
    </row>
    <row r="75" ht="60" customHeight="1" s="35">
      <c r="A75" s="3" t="inlineStr">
        <is>
          <t>LOM241.OC.EEA.A02.C1220.CA017.0000</t>
        </is>
      </c>
      <c r="B75" s="4" t="inlineStr">
        <is>
          <t>1/2</t>
        </is>
      </c>
      <c r="C75" s="3" t="inlineStr">
        <is>
          <t>EDILE</t>
        </is>
      </c>
      <c r="D75" s="4" t="inlineStr">
        <is>
          <t>NON SPECIALE</t>
        </is>
      </c>
      <c r="E75" s="4" t="inlineStr">
        <is>
          <t>EDILI</t>
        </is>
      </c>
      <c r="F75" s="3" t="inlineStr">
        <is>
          <t>1_2025.11.20_CME REV07.PDF</t>
        </is>
      </c>
      <c r="G75" s="4" t="inlineStr">
        <is>
          <t>102</t>
        </is>
      </c>
      <c r="H75" s="3" t="inlineStr">
        <is>
          <t>30 - STRUTTURALE</t>
        </is>
      </c>
      <c r="I75" s="3" t="inlineStr">
        <is>
          <t>NUOVI LABORATORI</t>
        </is>
      </c>
      <c r="J75" s="3" t="inlineStr">
        <is>
          <t>OPERE IN C.A.</t>
        </is>
      </c>
      <c r="K75" s="3" t="inlineStr">
        <is>
          <t>OPERA: STRATO DI RIVESTIMENTO, PIASTRELLE DI RESINA SINTETICA POLIVINILCLORURO (PVC); FINITURA: NON RIFLETTENTE | GOFFRATA; GEOMETRIA/FORMA: QUADRATA; LATO (X) [CM] = 32 | LATO (Y) [CM] = 32 | SPESSOR</t>
        </is>
      </c>
      <c r="L75" s="3" t="inlineStr">
        <is>
          <t>OPERA: STRATO DI RIVESTIMENTO, PIASTRELLE DI RESINA SINTETICA POLIVINILCLORURO (PVC); FINITURA: NON RIFLETTENTE | GOFFRATA; GEOMETRIA/FORMA: QUADRATA; LATO (X) [CM] = 32 | LATO (Y) [CM] = 32 | SPESSORE [MM] = 3. 
LAVORO: POSA. INCLUSO: LISCIATURA FONDO; ASSISTENZE MURARIE; POSA GIUNTI ACCOSTATI E STUCCATI. 
COMPONENTI: 
OP1 OPERA: STRATO DI RIVESTIMENTO, PIASTRELLE DI RESINA SINTETICA POLIVINILCLORURO (PVC); FINITURA: NON RIFLETTENTE | GOFFRATA; GEOMETRIA/FORMA: QUADRATA; LATO (X) [CM] = 32 | LATO (Y) [CM] = 32 | SPESSORE [MM] = 3. 
RM2 PIASTRELLA PER RIVESTIMENTO DI PLASTICA POLIVINCLORURO PLASTIFICATO (PVC); IMPIEGO: INTERNO; DIMENSIONE (X) [CM] = 32 | DIMENSIONE (Y) [CM] = 32 | SPESSORE [MM] = 3 
SPECIFICHE TECNICHE: PLASTICA POLIVINCLORURO PLASTIFICATO (PVC) RINFORZATO E STABILIZZATO DA DOPPIA FIBRA DI VETRO, MINERALI E PIGMENTI, A BORDI BISELLATI E SMUSSATI 
RM2 ADESIVO DI RESINA SINTETICA ACRILICA; FUNZIONE: INCOLLAGGIO; IMPIEGO: RIVESTIMENTI MURALI IN PVC | RIVESTIMENTI MURALI IN PVC ESPANSO | RIVESTIMENTI DI SUGHERO CON SUPPORTO IN PVC 
SPECIFICHE TECNICHE: IN DISPERSIONE ACQUOSA 
RM2 SIGILLANTE POLIURETANICO AUTOLIVELLANTE DI RESINA SINTETICA GENERICO; GEOMETRIA/FORMA: BICOMPONENTE; IMPIEGO: GIUNTI ORIZZONTALI; ALLUNGAMENTO ESERCIZIO [%] &lt; 5 
SPECIFICHE TECNICHE: APPLICAZIONE A COLATURA 
RM2 FONDO BASE DI RESINA SINTETICA ACRILICA; FUNZIONE: PREPARATORE; IMPIEGO: RIVESTIMENTI PLASTICI | PITTURE; PESO SPECIFICO [KG/L] = 1 
SPECIFICHE TECNICHE: FONDI BASE PER RIVESTIMENTI PLASTICI E PITTURE MURALI; ACRILICO ALL'ACQUA 
LV1 LAVORO: POSA. INCLUSO: LISCIATURA FONDO; ASSISTENZE MURARIE; POSA GIUNTI ACCOSTATI E STUCCATI.</t>
        </is>
      </c>
      <c r="M75" s="4" t="inlineStr">
        <is>
          <t>M²</t>
        </is>
      </c>
      <c r="N75" s="5" t="n">
        <v>54.73</v>
      </c>
      <c r="O75" s="6" t="n">
        <v>35.27</v>
      </c>
      <c r="P75" s="6" t="n">
        <v>1930.33</v>
      </c>
      <c r="Q75" s="5" t="n"/>
      <c r="R75" s="6" t="n"/>
      <c r="S75" s="6">
        <f>IF(AND(Q75&lt;&gt;"",R75&lt;&gt;""),Q75*R75,"")</f>
        <v/>
      </c>
      <c r="T75" s="6">
        <f>IF(S75="",P75,S75)</f>
        <v/>
      </c>
      <c r="U75" s="7" t="n">
        <v>0</v>
      </c>
      <c r="V75" s="6">
        <f>$T75*U75</f>
        <v/>
      </c>
      <c r="W75" s="7" t="n">
        <v>0</v>
      </c>
      <c r="X75" s="6">
        <f>$T75*W75</f>
        <v/>
      </c>
      <c r="Y75" s="7" t="n">
        <v>0</v>
      </c>
      <c r="Z75" s="6">
        <f>$T75*Y75</f>
        <v/>
      </c>
      <c r="AA75" s="7" t="n">
        <v>0</v>
      </c>
      <c r="AB75" s="6">
        <f>$T75*AA75</f>
        <v/>
      </c>
      <c r="AC75" s="7" t="n">
        <v>0</v>
      </c>
      <c r="AD75" s="6">
        <f>$T75*AC75</f>
        <v/>
      </c>
      <c r="AE75" s="7" t="n">
        <v>0</v>
      </c>
      <c r="AF75" s="6">
        <f>$T75*AE75</f>
        <v/>
      </c>
      <c r="AG75" s="7" t="n">
        <v>0</v>
      </c>
      <c r="AH75" s="6">
        <f>$T75*AG75</f>
        <v/>
      </c>
      <c r="AI75" s="7">
        <f>U75+W75+Y75+AA75+AC75+AE75+AG75</f>
        <v/>
      </c>
      <c r="AJ75" s="6">
        <f>V75+X75+Z75+AB75+AD75+AF75+AH75</f>
        <v/>
      </c>
    </row>
    <row r="76" ht="60" customHeight="1" s="35">
      <c r="A76" s="3" t="inlineStr">
        <is>
          <t>LOM241.OC.EEA.A02.C3354.MB012.0000</t>
        </is>
      </c>
      <c r="B76" s="4" t="inlineStr">
        <is>
          <t>1/1</t>
        </is>
      </c>
      <c r="C76" s="3" t="inlineStr">
        <is>
          <t>EDILE</t>
        </is>
      </c>
      <c r="D76" s="4" t="inlineStr">
        <is>
          <t>NON SPECIALE</t>
        </is>
      </c>
      <c r="E76" s="4" t="inlineStr">
        <is>
          <t>EDILI</t>
        </is>
      </c>
      <c r="F76" s="3" t="inlineStr">
        <is>
          <t>1_2025.11.20_CME REV07.PDF</t>
        </is>
      </c>
      <c r="G76" s="4" t="inlineStr">
        <is>
          <t>103</t>
        </is>
      </c>
      <c r="H76" s="3" t="inlineStr">
        <is>
          <t>30 - STRUTTURALE</t>
        </is>
      </c>
      <c r="I76" s="3" t="inlineStr">
        <is>
          <t>NUOVI LABORATORI</t>
        </is>
      </c>
      <c r="J76" s="3" t="inlineStr">
        <is>
          <t>OPERE IN C.A.</t>
        </is>
      </c>
      <c r="K76" s="3" t="inlineStr">
        <is>
          <t xml:space="preserve">OPERA: SOGLIA DAVANZALE DI ROCCIA NATURALE MARMO BIANCO DI CARRARA; IMPIEGO: FINESTRE | PORTE FINESTRE. INCLUSO: MALTA/COLLANTI; GOCCIOLATOIO; LISTELLI IN PVC PER FORMAZIONE VASCHETTA. </t>
        </is>
      </c>
      <c r="L76" s="3" t="inlineStr">
        <is>
          <t>OPERA: SOGLIA DAVANZALE DI ROCCIA NATURALE MARMO BIANCO DI CARRARA; IMPIEGO: FINESTRE | PORTE FINESTRE. INCLUSO: MALTA/COLLANTI; GOCCIOLATOIO; LISTELLI IN PVC PER FORMAZIONE VASCHETTA. 
LAVORO: POSA. INCLUSO: ASSISTENZE MURARIE; PULIZIA FINALE. ESCLUSO: PROTEZIONE IN CORSO LAVORI. 
COMPONENTI: 
OP1 OPERA: SOGLIA DAVANZALE DI ROCCIA NATURALE MARMO BIANCO DI CARRARA; IMPIEGO: FINESTRE | PORTE FINESTRE. INCLUSO: MALTA/COLLANTI; GOCCIOLATOIO; LISTELLI IN PVC PER FORMAZIONE VASCHETTA. 
RM2 LASTRA DI ROCCIA NATURALE MARMO BIANCO DI CARRARA; FINITURA: LEVIGATURA MEDIA; SPESSORE [CM] = 2 
SPECIFICHE TECNICHE: QUALITÀ BUONA C, FACCIA VISTA A LEVIGATURA MEDIA E ALTRA FACCIA GREZZA DI SEGA, COSTE FRESATE A GIUNTO 
RM2 LASTRA DI ROCCIA NATURALE MARMO BIANCO DI CARRARA; FINITURA: LEVIGATURA MEDIA; SPESSORE OGNI [CM] = 1. SOVRAPPREZZO 
SPECIFICHE TECNICHE: QUALITÀ BUONA C, FACCIA VISTA A LEVIGATURA MEDIA E ALTRA FACCIA GREZZA DI SEGA, COSTE FRESATE A GIUNTO 
RM2 LASTRA DI ROCCIA NATURALE MARMO GENERICO; GEOMETRIA/FORMA/ASPETTO: COSTA VISTA LEVIGATA. SOVRAPPREZZO 
SPECIFICHE TECNICHE: SOVRAPPREZZO RISPETTO ALLE COSTE REFILATE A GIUNTO 
RM2 LASTRA DI ROCCIA NATURALE MARMO GENERICO; IMPIEGO: DAVANZALI | SOGLIE. SOVRAPPREZZO 
SPECIFICHE TECNICHE: BATTUTA CON LISTELLI IN PVC INCASTRATI  
RM2 LASTRA DI ROCCIA NATURALE GRANITO GENERICO; FINITURA: LISCIATA DI MOLA; GEOMETRIA/FORMA/ASPETTO: SCURETTO | GOCCIOLATOIO | RIBASSO PASSANTE; DIMENSIONE (X) [CM] = 1 | DIMENSIONE (Y) [CM] = 1. SOVRAPPREZZO 
PO2 PRODOTTO SEMILAVORATO: MALTA, BASTARDA IN CEMENTO GENERICO. 
LAVORO: FORMAZIONE, CON MEZZO MECCANICO. 
SPECIFICHE TECNICHE: CONFEZIONATA IN BETONIERA; DOSAGGIO PER M³: CEMENTO [KG] = 100 | CALCE EMINENTEMENTE IDRAULICA [KG] = 350. 
LV1 LAVORO: POSA. INCLUSO: ASSISTENZE MURARIE; PULIZIA FINALE. ESCLUSO: PROTEZIONE IN CORSO LAVORI.</t>
        </is>
      </c>
      <c r="M76" s="4" t="inlineStr">
        <is>
          <t>M</t>
        </is>
      </c>
      <c r="N76" s="5" t="n">
        <v>13.24</v>
      </c>
      <c r="O76" s="6" t="n">
        <v>58.78</v>
      </c>
      <c r="P76" s="6" t="n">
        <v>778.25</v>
      </c>
      <c r="Q76" s="5" t="n"/>
      <c r="R76" s="6" t="n"/>
      <c r="S76" s="6">
        <f>IF(AND(Q76&lt;&gt;"",R76&lt;&gt;""),Q76*R76,"")</f>
        <v/>
      </c>
      <c r="T76" s="6">
        <f>IF(S76="",P76,S76)</f>
        <v/>
      </c>
      <c r="U76" s="7" t="n">
        <v>0</v>
      </c>
      <c r="V76" s="6">
        <f>$T76*U76</f>
        <v/>
      </c>
      <c r="W76" s="7" t="n">
        <v>0</v>
      </c>
      <c r="X76" s="6">
        <f>$T76*W76</f>
        <v/>
      </c>
      <c r="Y76" s="7" t="n">
        <v>0</v>
      </c>
      <c r="Z76" s="6">
        <f>$T76*Y76</f>
        <v/>
      </c>
      <c r="AA76" s="7" t="n">
        <v>0</v>
      </c>
      <c r="AB76" s="6">
        <f>$T76*AA76</f>
        <v/>
      </c>
      <c r="AC76" s="7" t="n">
        <v>0</v>
      </c>
      <c r="AD76" s="6">
        <f>$T76*AC76</f>
        <v/>
      </c>
      <c r="AE76" s="7" t="n">
        <v>0</v>
      </c>
      <c r="AF76" s="6">
        <f>$T76*AE76</f>
        <v/>
      </c>
      <c r="AG76" s="7" t="n">
        <v>0</v>
      </c>
      <c r="AH76" s="6">
        <f>$T76*AG76</f>
        <v/>
      </c>
      <c r="AI76" s="7">
        <f>U76+W76+Y76+AA76+AC76+AE76+AG76</f>
        <v/>
      </c>
      <c r="AJ76" s="6">
        <f>V76+X76+Z76+AB76+AD76+AF76+AH76</f>
        <v/>
      </c>
    </row>
    <row r="77" ht="60" customHeight="1" s="35">
      <c r="A77" s="3" t="inlineStr">
        <is>
          <t>LOM241.OC.EEA.A02.C0915.G0000.1000.A</t>
        </is>
      </c>
      <c r="B77" s="4" t="inlineStr">
        <is>
          <t>1/4</t>
        </is>
      </c>
      <c r="C77" s="3" t="inlineStr">
        <is>
          <t>EDILE</t>
        </is>
      </c>
      <c r="D77" s="4" t="inlineStr">
        <is>
          <t>NON SPECIALE</t>
        </is>
      </c>
      <c r="E77" s="4" t="inlineStr">
        <is>
          <t>EDILI</t>
        </is>
      </c>
      <c r="F77" s="3" t="inlineStr">
        <is>
          <t>1_2025.11.20_CME REV07.PDF</t>
        </is>
      </c>
      <c r="G77" s="4" t="inlineStr">
        <is>
          <t>106</t>
        </is>
      </c>
      <c r="H77" s="3" t="inlineStr">
        <is>
          <t>30 - STRUTTURALE</t>
        </is>
      </c>
      <c r="I77" s="3" t="inlineStr">
        <is>
          <t>NUOVI LABORATORI</t>
        </is>
      </c>
      <c r="J77" s="3" t="inlineStr">
        <is>
          <t>OPERE IN C.A.</t>
        </is>
      </c>
      <c r="K77" s="3" t="inlineStr">
        <is>
          <t xml:space="preserve">OPERA: STRATO DI MASSETTO DI CEMENTO GENERICO; FUNZIONE: FORMAZIONE PENDENZE; IMPIEGO: LASTRICI; SPESSORE MEDIO [CM] = 6. INCLUSO: IMPASTO. </t>
        </is>
      </c>
      <c r="L77" s="3" t="inlineStr">
        <is>
          <t>OPERA: STRATO DI MASSETTO DI CEMENTO GENERICO; FUNZIONE: FORMAZIONE PENDENZE; IMPIEGO: LASTRICI; SPESSORE MEDIO [CM] = 6. INCLUSO: IMPASTO. 
LAVORO: POSA. 
SPECIFICHE TECNICHE: SUPERFICIE TIRATA A FRATTAZZO FINE. 
COMPONENTI: 
OP1 OPERA: STRATO DI MASSETTO DI CEMENTO GENERICO; FUNZIONE: FORMAZIONE PENDENZE; IMPIEGO: LASTRICI; SPESSORE MEDIO [CM] = 6. INCLUSO: IMPASTO. 
PO2 PRODOTTO SEMILAVORATO: IMPASTO IN OPERA DI CONGLOMERATO CEMENTIZIO; DOSAGGIO [KG/M³] = 250. 
LAVORO: FORMAZIONE CON MEZZO MECCANICO. 
SPECIFICHE TECNICHE: CONFEZIONATO IN CANTIERE. 
LV1 LAVORO: POSA. 
SPECIFICHE TECNICHE: SUPERFICIE TIRATA A FRATTAZZO FINE. 
RP2 POMPA AUTOCARRATA 
SPECIFICHE TECNICHE: PER QUANTITÀ DI CALCESTRUZZO [M³] ≤ 30 ; CRITERIO DI MISURAZIONE: PER METRO CUBO POMPATO DI CALCESTRUZZO</t>
        </is>
      </c>
      <c r="M77" s="4" t="inlineStr">
        <is>
          <t>M²</t>
        </is>
      </c>
      <c r="N77" s="5" t="n">
        <v>872.4299999999999</v>
      </c>
      <c r="O77" s="6" t="n">
        <v>19.75</v>
      </c>
      <c r="P77" s="6" t="n">
        <v>17230.49</v>
      </c>
      <c r="Q77" s="5" t="n"/>
      <c r="R77" s="6" t="n"/>
      <c r="S77" s="6">
        <f>IF(AND(Q77&lt;&gt;"",R77&lt;&gt;""),Q77*R77,"")</f>
        <v/>
      </c>
      <c r="T77" s="6">
        <f>IF(S77="",P77,S77)</f>
        <v/>
      </c>
      <c r="U77" s="7" t="n">
        <v>0</v>
      </c>
      <c r="V77" s="6">
        <f>$T77*U77</f>
        <v/>
      </c>
      <c r="W77" s="7" t="n">
        <v>0.5</v>
      </c>
      <c r="X77" s="6">
        <f>$T77*W77</f>
        <v/>
      </c>
      <c r="Y77" s="7" t="n">
        <v>0</v>
      </c>
      <c r="Z77" s="6">
        <f>$T77*Y77</f>
        <v/>
      </c>
      <c r="AA77" s="7" t="n">
        <v>0</v>
      </c>
      <c r="AB77" s="6">
        <f>$T77*AA77</f>
        <v/>
      </c>
      <c r="AC77" s="7" t="n">
        <v>0</v>
      </c>
      <c r="AD77" s="6">
        <f>$T77*AC77</f>
        <v/>
      </c>
      <c r="AE77" s="7" t="n">
        <v>0</v>
      </c>
      <c r="AF77" s="6">
        <f>$T77*AE77</f>
        <v/>
      </c>
      <c r="AG77" s="7" t="n">
        <v>0</v>
      </c>
      <c r="AH77" s="6">
        <f>$T77*AG77</f>
        <v/>
      </c>
      <c r="AI77" s="7">
        <f>U77+W77+Y77+AA77+AC77+AE77+AG77</f>
        <v/>
      </c>
      <c r="AJ77" s="6">
        <f>V77+X77+Z77+AB77+AD77+AF77+AH77</f>
        <v/>
      </c>
    </row>
    <row r="78" ht="60" customHeight="1" s="35">
      <c r="A78" s="3" t="inlineStr">
        <is>
          <t>LOM241.OC.EEA.A02.C1515.D0005.0210</t>
        </is>
      </c>
      <c r="B78" s="4" t="inlineStr">
        <is>
          <t>1/5</t>
        </is>
      </c>
      <c r="C78" s="3" t="inlineStr">
        <is>
          <t>EDILE</t>
        </is>
      </c>
      <c r="D78" s="4" t="inlineStr">
        <is>
          <t>NON SPECIALE</t>
        </is>
      </c>
      <c r="E78" s="4" t="inlineStr">
        <is>
          <t>EDILI</t>
        </is>
      </c>
      <c r="F78" s="3" t="inlineStr">
        <is>
          <t>1_2025.11.20_CME REV07.PDF</t>
        </is>
      </c>
      <c r="G78" s="4" t="inlineStr">
        <is>
          <t>107</t>
        </is>
      </c>
      <c r="H78" s="3" t="inlineStr">
        <is>
          <t>30 - STRUTTURALE</t>
        </is>
      </c>
      <c r="I78" s="3" t="inlineStr">
        <is>
          <t>NUOVI LABORATORI</t>
        </is>
      </c>
      <c r="J78" s="3" t="inlineStr">
        <is>
          <t>OPERE IN C.A.</t>
        </is>
      </c>
      <c r="K78" s="3" t="inlineStr">
        <is>
          <t xml:space="preserve">OPERA: STRATO DI ISOLAMENTO, TERMICO DI PLASTICA POLISTIRENE ESPANSO (EPS); IMPIEGO: COPERTURA PIANA CARRABILE; SPESSORE [MM] = 30. </t>
        </is>
      </c>
      <c r="L78" s="3" t="inlineStr">
        <is>
          <t>OPERA: STRATO DI ISOLAMENTO, TERMICO DI PLASTICA POLISTIRENE ESPANSO (EPS); IMPIEGO: COPERTURA PIANA CARRABILE; SPESSORE [MM] = 30. 
LAVORO: POSA. INCLUSO: TAGLI; SIGILLATURE; ADATTAMENTI; FISSAGGI GENERICI; RACCORDI; ASSISTENZE MURARIE. 
SPECIFICHE TECNICHE: REALIZZATO A TETTO CALDO. 
COMPONENTI: 
OP1 OPERA: STRATO DI ISOLAMENTO, TERMICO DI PLASTICA POLISTIRENE ESPANSO (EPS); IMPIEGO: COPERTURA PIANA CARRABILE; SPESSORE [MM] = 30. 
RM2 LASTRA TERMICO DI PLASTICA POLISTIRENE ESTRUSO (XPS); FINITURA: PELLE SUPERFICIALE LISCIA; GEOMETRIA/FORMA/ASPETTO: PANNELLI | BORDI BATTENTATI/INCASTRO; IMPIEGO: COPERTURE PIANE; SPESSORE [MM] ≤ 40; CONDUTTIVITÀ TERMICA [W/MK] = 0,034 | RESISTENZA A COMPRESSIONE [KPA] = 350 | REAZIONE AL FUOCO [EUROCLASSE] = E 
SPECIFICHE TECNICHE: PRODOTTE CON GAS SENZA CFC E HCFC 
RM2 PREMISCELATO DI CEMENTO GENERICO; FUNZIONE: RASATURA | INCOLLAGGIO; IMPIEGO: SISTEMI DI ISOLAMENTO A CAPPOTTO 
SPECIFICHE TECNICHE: MONOCOMPONENTE 
LV1 LAVORO: POSA. INCLUSO: TAGLI; SIGILLATURE; ADATTAMENTI; FISSAGGI GENERICI; RACCORDI; ASSISTENZE MURARIE. 
SPECIFICHE TECNICHE: REALIZZATO A TETTO CALDO.</t>
        </is>
      </c>
      <c r="M78" s="4" t="inlineStr">
        <is>
          <t>M²</t>
        </is>
      </c>
      <c r="N78" s="5" t="n">
        <v>705.76</v>
      </c>
      <c r="O78" s="6" t="n">
        <v>5.83</v>
      </c>
      <c r="P78" s="6" t="n">
        <v>4114.58</v>
      </c>
      <c r="Q78" s="5" t="n"/>
      <c r="R78" s="6" t="n"/>
      <c r="S78" s="6">
        <f>IF(AND(Q78&lt;&gt;"",R78&lt;&gt;""),Q78*R78,"")</f>
        <v/>
      </c>
      <c r="T78" s="6">
        <f>IF(S78="",P78,S78)</f>
        <v/>
      </c>
      <c r="U78" s="7" t="n">
        <v>0</v>
      </c>
      <c r="V78" s="6">
        <f>$T78*U78</f>
        <v/>
      </c>
      <c r="W78" s="7" t="n">
        <v>0.7</v>
      </c>
      <c r="X78" s="6">
        <f>$T78*W78</f>
        <v/>
      </c>
      <c r="Y78" s="7" t="n">
        <v>0</v>
      </c>
      <c r="Z78" s="6">
        <f>$T78*Y78</f>
        <v/>
      </c>
      <c r="AA78" s="7" t="n">
        <v>0</v>
      </c>
      <c r="AB78" s="6">
        <f>$T78*AA78</f>
        <v/>
      </c>
      <c r="AC78" s="7" t="n">
        <v>0</v>
      </c>
      <c r="AD78" s="6">
        <f>$T78*AC78</f>
        <v/>
      </c>
      <c r="AE78" s="7" t="n">
        <v>0</v>
      </c>
      <c r="AF78" s="6">
        <f>$T78*AE78</f>
        <v/>
      </c>
      <c r="AG78" s="7" t="n">
        <v>0</v>
      </c>
      <c r="AH78" s="6">
        <f>$T78*AG78</f>
        <v/>
      </c>
      <c r="AI78" s="7">
        <f>U78+W78+Y78+AA78+AC78+AE78+AG78</f>
        <v/>
      </c>
      <c r="AJ78" s="6">
        <f>V78+X78+Z78+AB78+AD78+AF78+AH78</f>
        <v/>
      </c>
    </row>
    <row r="79" ht="60" customHeight="1" s="35">
      <c r="A79" s="3" t="inlineStr">
        <is>
          <t>LOM241.OC.EEA.A02.C1215.R0000.0895</t>
        </is>
      </c>
      <c r="B79" s="4" t="inlineStr">
        <is>
          <t>1/1</t>
        </is>
      </c>
      <c r="C79" s="3" t="inlineStr">
        <is>
          <t>EDILE</t>
        </is>
      </c>
      <c r="D79" s="4" t="inlineStr">
        <is>
          <t>NON SPECIALE</t>
        </is>
      </c>
      <c r="E79" s="4" t="inlineStr">
        <is>
          <t>EDILI</t>
        </is>
      </c>
      <c r="F79" s="3" t="inlineStr">
        <is>
          <t>1_2025.11.20_CME REV07.PDF</t>
        </is>
      </c>
      <c r="G79" s="4" t="inlineStr">
        <is>
          <t>108</t>
        </is>
      </c>
      <c r="H79" s="3" t="inlineStr">
        <is>
          <t>30 - STRUTTURALE</t>
        </is>
      </c>
      <c r="I79" s="3" t="inlineStr">
        <is>
          <t>NUOVI LABORATORI</t>
        </is>
      </c>
      <c r="J79" s="3" t="inlineStr">
        <is>
          <t>OPERE IN C.A.</t>
        </is>
      </c>
      <c r="K79" s="3" t="inlineStr">
        <is>
          <t xml:space="preserve">OPERA: STRATO DI COPERTURA, PANNELLI COIBENTATI DI METALLO GENERICO; FINITURA: PREVERNICIATA. ESCLUSO: LATTONERIA ACCESSORIA; ELEMENTI DI RACCORDO PER COPERTURA IN LASTRE. </t>
        </is>
      </c>
      <c r="L79" s="3" t="inlineStr">
        <is>
          <t>OPERA: STRATO DI COPERTURA, PANNELLI COIBENTATI DI METALLO GENERICO; FINITURA: PREVERNICIATA. ESCLUSO: LATTONERIA ACCESSORIA; ELEMENTI DI RACCORDO PER COPERTURA IN LASTRE. 
LAVORO: POSA. INCLUSO: TAGLI; ADATTAMENTI; SFRIDI; SORMONTI; FISSAGGI ALLA SOTTOSTANTE STRUTTURA; ASSISTENZE EDILI. 
SPECIFICHE TECNICHE: PANNELLI METALLICI AUTOPORTANTI POSATI CON FISSAGGIO NASCOSTO. 
COMPONENTI: 
OP1 OPERA: STRATO DI COPERTURA, PANNELLI COIBENTATI DI METALLO GENERICO; FINITURA: PREVERNICIATA. ESCLUSO: LATTONERIA ACCESSORIA; ELEMENTI DI RACCORDO PER COPERTURA IN LASTRE. 
SPECIFICHE TECNICHE:PANNELLI METALLICI AUTOPORTANTI POSATI CON FISSAGGIO NASCOSTO. 
RM2 PANNELLO COIBENTATO DI METALLO GENERICO; FINITURA: LEGA ALLUMINIO GENERICO PREVERNICIATA; GEOMETRIA/FORMA/ASPETTO: GRECATO; IMPIEGO: COPERTURE 
SPECIFICHE TECNICHE: PANNELLO AUTOPORTANTE COMPOSTO DA: SUPPORTO INFERIORE | STRATO INTERMEDIO DI ISOLAMENTO | SUPPORTO ESTERNO  
RM2 FERRAMENTA VITE DI METALLO FERRO; GEOMETRIA/FORMA/ASPETTO: AUTOPERFORANTI; FUNZIONE: FISSAGGIO; IMPIEGO: LASTRE 
LV1 LAVORO: POSA. INCLUSO: TAGLI; ADATTAMENTI; SFRIDI; SORMONTI; FISSAGGI ALLA SOTTOSTANTE STRUTTURA; ASSISTENZE EDILI.</t>
        </is>
      </c>
      <c r="M79" s="4" t="inlineStr">
        <is>
          <t>M²</t>
        </is>
      </c>
      <c r="N79" s="5" t="n">
        <v>32.28</v>
      </c>
      <c r="O79" s="6" t="n">
        <v>446.71</v>
      </c>
      <c r="P79" s="6" t="n">
        <v>14419.8</v>
      </c>
      <c r="Q79" s="5" t="n"/>
      <c r="R79" s="6" t="n"/>
      <c r="S79" s="6">
        <f>IF(AND(Q79&lt;&gt;"",R79&lt;&gt;""),Q79*R79,"")</f>
        <v/>
      </c>
      <c r="T79" s="6">
        <f>IF(S79="",P79,S79)</f>
        <v/>
      </c>
      <c r="U79" s="7" t="n">
        <v>0</v>
      </c>
      <c r="V79" s="6">
        <f>$T79*U79</f>
        <v/>
      </c>
      <c r="W79" s="7" t="n">
        <v>0.7</v>
      </c>
      <c r="X79" s="6">
        <f>$T79*W79</f>
        <v/>
      </c>
      <c r="Y79" s="7" t="n">
        <v>0</v>
      </c>
      <c r="Z79" s="6">
        <f>$T79*Y79</f>
        <v/>
      </c>
      <c r="AA79" s="7" t="n">
        <v>0</v>
      </c>
      <c r="AB79" s="6">
        <f>$T79*AA79</f>
        <v/>
      </c>
      <c r="AC79" s="7" t="n">
        <v>0</v>
      </c>
      <c r="AD79" s="6">
        <f>$T79*AC79</f>
        <v/>
      </c>
      <c r="AE79" s="7" t="n">
        <v>0</v>
      </c>
      <c r="AF79" s="6">
        <f>$T79*AE79</f>
        <v/>
      </c>
      <c r="AG79" s="7" t="n">
        <v>0</v>
      </c>
      <c r="AH79" s="6">
        <f>$T79*AG79</f>
        <v/>
      </c>
      <c r="AI79" s="7">
        <f>U79+W79+Y79+AA79+AC79+AE79+AG79</f>
        <v/>
      </c>
      <c r="AJ79" s="6">
        <f>V79+X79+Z79+AB79+AD79+AF79+AH79</f>
        <v/>
      </c>
    </row>
    <row r="80" ht="60" customHeight="1" s="35">
      <c r="A80" s="3" t="inlineStr">
        <is>
          <t>LOM241.OC.EEA.A02.C1515.D0005.0210</t>
        </is>
      </c>
      <c r="B80" s="4" t="inlineStr">
        <is>
          <t>2/5</t>
        </is>
      </c>
      <c r="C80" s="3" t="inlineStr">
        <is>
          <t>EDILE</t>
        </is>
      </c>
      <c r="D80" s="4" t="inlineStr">
        <is>
          <t>NON SPECIALE</t>
        </is>
      </c>
      <c r="E80" s="4" t="inlineStr">
        <is>
          <t>EDILI</t>
        </is>
      </c>
      <c r="F80" s="3" t="inlineStr">
        <is>
          <t>1_2025.11.20_CME REV07.PDF</t>
        </is>
      </c>
      <c r="G80" s="4" t="inlineStr">
        <is>
          <t>109</t>
        </is>
      </c>
      <c r="H80" s="3" t="inlineStr">
        <is>
          <t>30 - STRUTTURALE</t>
        </is>
      </c>
      <c r="I80" s="3" t="inlineStr">
        <is>
          <t>NUOVI LABORATORI</t>
        </is>
      </c>
      <c r="J80" s="3" t="inlineStr">
        <is>
          <t>OPERE IN C.A.</t>
        </is>
      </c>
      <c r="K80" s="3" t="inlineStr">
        <is>
          <t xml:space="preserve">OPERA: STRATO DI ISOLAMENTO, TERMICO DI PLASTICA POLISTIRENE ESPANSO (EPS); IMPIEGO: COPERTURA PIANA CARRABILE; SPESSORE [MM] = 30. </t>
        </is>
      </c>
      <c r="L80" s="3" t="inlineStr">
        <is>
          <t>OPERA: STRATO DI ISOLAMENTO, TERMICO DI PLASTICA POLISTIRENE ESPANSO (EPS); IMPIEGO: COPERTURA PIANA CARRABILE; SPESSORE [MM] = 30. 
LAVORO: POSA. INCLUSO: TAGLI; SIGILLATURE; ADATTAMENTI; FISSAGGI GENERICI; RACCORDI; ASSISTENZE MURARIE. 
SPECIFICHE TECNICHE: REALIZZATO A TETTO CALDO. 
COMPONENTI: 
OP1 OPERA: STRATO DI ISOLAMENTO, TERMICO DI PLASTICA POLISTIRENE ESPANSO (EPS); IMPIEGO: COPERTURA PIANA CARRABILE; SPESSORE [MM] = 30. 
RM2 LASTRA TERMICO DI PLASTICA POLISTIRENE ESTRUSO (XPS); FINITURA: PELLE SUPERFICIALE LISCIA; GEOMETRIA/FORMA/ASPETTO: PANNELLI | BORDI BATTENTATI/INCASTRO; IMPIEGO: COPERTURE PIANE; SPESSORE [MM] ≤ 40; CONDUTTIVITÀ TERMICA [W/MK] = 0,034 | RESISTENZA A COMPRESSIONE [KPA] = 350 | REAZIONE AL FUOCO [EUROCLASSE] = E 
SPECIFICHE TECNICHE: PRODOTTE CON GAS SENZA CFC E HCFC 
RM2 PREMISCELATO DI CEMENTO GENERICO; FUNZIONE: RASATURA | INCOLLAGGIO; IMPIEGO: SISTEMI DI ISOLAMENTO A CAPPOTTO 
SPECIFICHE TECNICHE: MONOCOMPONENTE 
LV1 LAVORO: POSA. INCLUSO: TAGLI; SIGILLATURE; ADATTAMENTI; FISSAGGI GENERICI; RACCORDI; ASSISTENZE MURARIE. 
SPECIFICHE TECNICHE: REALIZZATO A TETTO CALDO.</t>
        </is>
      </c>
      <c r="M80" s="4" t="inlineStr">
        <is>
          <t>M²</t>
        </is>
      </c>
      <c r="N80" s="5" t="n">
        <v>674.1</v>
      </c>
      <c r="O80" s="6" t="n">
        <v>5.24</v>
      </c>
      <c r="P80" s="6" t="n">
        <v>3532.28</v>
      </c>
      <c r="Q80" s="5" t="n"/>
      <c r="R80" s="6" t="n"/>
      <c r="S80" s="6">
        <f>IF(AND(Q80&lt;&gt;"",R80&lt;&gt;""),Q80*R80,"")</f>
        <v/>
      </c>
      <c r="T80" s="6">
        <f>IF(S80="",P80,S80)</f>
        <v/>
      </c>
      <c r="U80" s="7" t="n">
        <v>0</v>
      </c>
      <c r="V80" s="6">
        <f>$T80*U80</f>
        <v/>
      </c>
      <c r="W80" s="7" t="n">
        <v>0.5</v>
      </c>
      <c r="X80" s="6">
        <f>$T80*W80</f>
        <v/>
      </c>
      <c r="Y80" s="7" t="n">
        <v>0</v>
      </c>
      <c r="Z80" s="6">
        <f>$T80*Y80</f>
        <v/>
      </c>
      <c r="AA80" s="7" t="n">
        <v>0</v>
      </c>
      <c r="AB80" s="6">
        <f>$T80*AA80</f>
        <v/>
      </c>
      <c r="AC80" s="7" t="n">
        <v>0</v>
      </c>
      <c r="AD80" s="6">
        <f>$T80*AC80</f>
        <v/>
      </c>
      <c r="AE80" s="7" t="n">
        <v>0</v>
      </c>
      <c r="AF80" s="6">
        <f>$T80*AE80</f>
        <v/>
      </c>
      <c r="AG80" s="7" t="n">
        <v>0</v>
      </c>
      <c r="AH80" s="6">
        <f>$T80*AG80</f>
        <v/>
      </c>
      <c r="AI80" s="7">
        <f>U80+W80+Y80+AA80+AC80+AE80+AG80</f>
        <v/>
      </c>
      <c r="AJ80" s="6">
        <f>V80+X80+Z80+AB80+AD80+AF80+AH80</f>
        <v/>
      </c>
    </row>
    <row r="81" ht="60" customHeight="1" s="35">
      <c r="A81" s="3" t="inlineStr">
        <is>
          <t>LOM241.OC.EEA.A02.C0915.G0000.1000.A</t>
        </is>
      </c>
      <c r="B81" s="4" t="inlineStr">
        <is>
          <t>2/4</t>
        </is>
      </c>
      <c r="C81" s="3" t="inlineStr">
        <is>
          <t>EDILE</t>
        </is>
      </c>
      <c r="D81" s="4" t="inlineStr">
        <is>
          <t>NON SPECIALE</t>
        </is>
      </c>
      <c r="E81" s="4" t="inlineStr">
        <is>
          <t>EDILI</t>
        </is>
      </c>
      <c r="F81" s="3" t="inlineStr">
        <is>
          <t>1_2025.11.20_CME REV07.PDF</t>
        </is>
      </c>
      <c r="G81" s="4" t="inlineStr">
        <is>
          <t>111</t>
        </is>
      </c>
      <c r="H81" s="3" t="inlineStr">
        <is>
          <t>30 - STRUTTURALE</t>
        </is>
      </c>
      <c r="I81" s="3" t="inlineStr">
        <is>
          <t>NUOVI LABORATORI</t>
        </is>
      </c>
      <c r="J81" s="3" t="inlineStr">
        <is>
          <t>OPERE IN C.A.</t>
        </is>
      </c>
      <c r="K81" s="3" t="inlineStr">
        <is>
          <t xml:space="preserve">OPERA: STRATO DI MASSETTO DI CEMENTO GENERICO; FUNZIONE: FORMAZIONE PENDENZE; IMPIEGO: LASTRICI; SPESSORE MEDIO [CM] = 6. INCLUSO: IMPASTO. </t>
        </is>
      </c>
      <c r="L81" s="3" t="inlineStr">
        <is>
          <t>OPERA: STRATO DI MASSETTO DI CEMENTO GENERICO; FUNZIONE: FORMAZIONE PENDENZE; IMPIEGO: LASTRICI; SPESSORE MEDIO [CM] = 6. INCLUSO: IMPASTO. 
LAVORO: POSA. 
SPECIFICHE TECNICHE: SUPERFICIE TIRATA A FRATTAZZO FINE. 
COMPONENTI: 
OP1 OPERA: STRATO DI MASSETTO DI CEMENTO GENERICO; FUNZIONE: FORMAZIONE PENDENZE; IMPIEGO: LASTRICI; SPESSORE MEDIO [CM] = 6. INCLUSO: IMPASTO. 
PO2 PRODOTTO SEMILAVORATO: IMPASTO IN OPERA DI CONGLOMERATO CEMENTIZIO; DOSAGGIO [KG/M³] = 250. 
LAVORO: FORMAZIONE CON MEZZO MECCANICO. 
SPECIFICHE TECNICHE: CONFEZIONATO IN CANTIERE. 
LV1 LAVORO: POSA. 
SPECIFICHE TECNICHE: SUPERFICIE TIRATA A FRATTAZZO FINE. 
RP2 POMPA AUTOCARRATA 
SPECIFICHE TECNICHE: PER QUANTITÀ DI CALCESTRUZZO [M³] ≤ 30 ; CRITERIO DI MISURAZIONE: PER METRO CUBO POMPATO DI CALCESTRUZZO</t>
        </is>
      </c>
      <c r="M81" s="4" t="inlineStr">
        <is>
          <t>M²</t>
        </is>
      </c>
      <c r="N81" s="5" t="n">
        <v>356.43</v>
      </c>
      <c r="O81" s="6" t="n">
        <v>19.75</v>
      </c>
      <c r="P81" s="6" t="n">
        <v>7039.49</v>
      </c>
      <c r="Q81" s="5" t="n"/>
      <c r="R81" s="6" t="n"/>
      <c r="S81" s="6">
        <f>IF(AND(Q81&lt;&gt;"",R81&lt;&gt;""),Q81*R81,"")</f>
        <v/>
      </c>
      <c r="T81" s="6">
        <f>IF(S81="",P81,S81)</f>
        <v/>
      </c>
      <c r="U81" s="7" t="n">
        <v>0</v>
      </c>
      <c r="V81" s="6">
        <f>$T81*U81</f>
        <v/>
      </c>
      <c r="W81" s="7" t="n">
        <v>0.5</v>
      </c>
      <c r="X81" s="6">
        <f>$T81*W81</f>
        <v/>
      </c>
      <c r="Y81" s="7" t="n">
        <v>0</v>
      </c>
      <c r="Z81" s="6">
        <f>$T81*Y81</f>
        <v/>
      </c>
      <c r="AA81" s="7" t="n">
        <v>0</v>
      </c>
      <c r="AB81" s="6">
        <f>$T81*AA81</f>
        <v/>
      </c>
      <c r="AC81" s="7" t="n">
        <v>0</v>
      </c>
      <c r="AD81" s="6">
        <f>$T81*AC81</f>
        <v/>
      </c>
      <c r="AE81" s="7" t="n">
        <v>0</v>
      </c>
      <c r="AF81" s="6">
        <f>$T81*AE81</f>
        <v/>
      </c>
      <c r="AG81" s="7" t="n">
        <v>0</v>
      </c>
      <c r="AH81" s="6">
        <f>$T81*AG81</f>
        <v/>
      </c>
      <c r="AI81" s="7">
        <f>U81+W81+Y81+AA81+AC81+AE81+AG81</f>
        <v/>
      </c>
      <c r="AJ81" s="6">
        <f>V81+X81+Z81+AB81+AD81+AF81+AH81</f>
        <v/>
      </c>
    </row>
    <row r="82" ht="60" customHeight="1" s="35">
      <c r="A82" s="3" t="inlineStr">
        <is>
          <t>LOM241.OC.EEA.A02.C1515.D0005.0210</t>
        </is>
      </c>
      <c r="B82" s="4" t="inlineStr">
        <is>
          <t>3/5</t>
        </is>
      </c>
      <c r="C82" s="3" t="inlineStr">
        <is>
          <t>EDILE</t>
        </is>
      </c>
      <c r="D82" s="4" t="inlineStr">
        <is>
          <t>NON SPECIALE</t>
        </is>
      </c>
      <c r="E82" s="4" t="inlineStr">
        <is>
          <t>EDILI</t>
        </is>
      </c>
      <c r="F82" s="3" t="inlineStr">
        <is>
          <t>1_2025.11.20_CME REV07.PDF</t>
        </is>
      </c>
      <c r="G82" s="4" t="inlineStr">
        <is>
          <t>112</t>
        </is>
      </c>
      <c r="H82" s="3" t="inlineStr">
        <is>
          <t>30 - STRUTTURALE</t>
        </is>
      </c>
      <c r="I82" s="3" t="inlineStr">
        <is>
          <t>NUOVI LABORATORI</t>
        </is>
      </c>
      <c r="J82" s="3" t="inlineStr">
        <is>
          <t>OPERE IN C.A.</t>
        </is>
      </c>
      <c r="K82" s="3" t="inlineStr">
        <is>
          <t xml:space="preserve">OPERA: STRATO DI ISOLAMENTO, TERMICO DI PLASTICA POLISTIRENE ESPANSO (EPS); IMPIEGO: COPERTURA PIANA CARRABILE; SPESSORE [MM] = 30. </t>
        </is>
      </c>
      <c r="L82" s="3" t="inlineStr">
        <is>
          <t>OPERA: STRATO DI ISOLAMENTO, TERMICO DI PLASTICA POLISTIRENE ESPANSO (EPS); IMPIEGO: COPERTURA PIANA CARRABILE; SPESSORE [MM] = 30. 
LAVORO: POSA. INCLUSO: TAGLI; SIGILLATURE; ADATTAMENTI; FISSAGGI GENERICI; RACCORDI; ASSISTENZE MURARIE. 
SPECIFICHE TECNICHE: REALIZZATO A TETTO CALDO. 
COMPONENTI: 
OP1 OPERA: STRATO DI ISOLAMENTO, TERMICO DI PLASTICA POLISTIRENE ESPANSO (EPS); IMPIEGO: COPERTURA PIANA CARRABILE; SPESSORE [MM] = 30. 
RM2 LASTRA TERMICO DI PLASTICA POLISTIRENE ESTRUSO (XPS); FINITURA: PELLE SUPERFICIALE LISCIA; GEOMETRIA/FORMA/ASPETTO: PANNELLI | BORDI BATTENTATI/INCASTRO; IMPIEGO: COPERTURE PIANE; SPESSORE [MM] ≤ 40; CONDUTTIVITÀ TERMICA [W/MK] = 0,034 | RESISTENZA A COMPRESSIONE [KPA] = 350 | REAZIONE AL FUOCO [EUROCLASSE] = E 
SPECIFICHE TECNICHE: PRODOTTE CON GAS SENZA CFC E HCFC 
RM2 PREMISCELATO DI CEMENTO GENERICO; FUNZIONE: RASATURA | INCOLLAGGIO; IMPIEGO: SISTEMI DI ISOLAMENTO A CAPPOTTO 
SPECIFICHE TECNICHE: MONOCOMPONENTE 
LV1 LAVORO: POSA. INCLUSO: TAGLI; SIGILLATURE; ADATTAMENTI; FISSAGGI GENERICI; RACCORDI; ASSISTENZE MURARIE. 
SPECIFICHE TECNICHE: REALIZZATO A TETTO CALDO.</t>
        </is>
      </c>
      <c r="M82" s="4" t="inlineStr">
        <is>
          <t>M²</t>
        </is>
      </c>
      <c r="N82" s="5" t="n">
        <v>1303.87</v>
      </c>
      <c r="O82" s="6" t="n">
        <v>5.43</v>
      </c>
      <c r="P82" s="6" t="n">
        <v>7080.01</v>
      </c>
      <c r="Q82" s="5" t="n"/>
      <c r="R82" s="6" t="n"/>
      <c r="S82" s="6">
        <f>IF(AND(Q82&lt;&gt;"",R82&lt;&gt;""),Q82*R82,"")</f>
        <v/>
      </c>
      <c r="T82" s="6">
        <f>IF(S82="",P82,S82)</f>
        <v/>
      </c>
      <c r="U82" s="7" t="n">
        <v>0</v>
      </c>
      <c r="V82" s="6">
        <f>$T82*U82</f>
        <v/>
      </c>
      <c r="W82" s="7" t="n">
        <v>0.5</v>
      </c>
      <c r="X82" s="6">
        <f>$T82*W82</f>
        <v/>
      </c>
      <c r="Y82" s="7" t="n">
        <v>0</v>
      </c>
      <c r="Z82" s="6">
        <f>$T82*Y82</f>
        <v/>
      </c>
      <c r="AA82" s="7" t="n">
        <v>0</v>
      </c>
      <c r="AB82" s="6">
        <f>$T82*AA82</f>
        <v/>
      </c>
      <c r="AC82" s="7" t="n">
        <v>0</v>
      </c>
      <c r="AD82" s="6">
        <f>$T82*AC82</f>
        <v/>
      </c>
      <c r="AE82" s="7" t="n">
        <v>0</v>
      </c>
      <c r="AF82" s="6">
        <f>$T82*AE82</f>
        <v/>
      </c>
      <c r="AG82" s="7" t="n">
        <v>0</v>
      </c>
      <c r="AH82" s="6">
        <f>$T82*AG82</f>
        <v/>
      </c>
      <c r="AI82" s="7">
        <f>U82+W82+Y82+AA82+AC82+AE82+AG82</f>
        <v/>
      </c>
      <c r="AJ82" s="6">
        <f>V82+X82+Z82+AB82+AD82+AF82+AH82</f>
        <v/>
      </c>
    </row>
    <row r="83" ht="60" customHeight="1" s="35">
      <c r="A83" s="3" t="inlineStr">
        <is>
          <t>LOM241.OC.EEA.A02.C1515.E0000.0000</t>
        </is>
      </c>
      <c r="B83" s="4" t="inlineStr">
        <is>
          <t>1/2</t>
        </is>
      </c>
      <c r="C83" s="3" t="inlineStr">
        <is>
          <t>EDILE</t>
        </is>
      </c>
      <c r="D83" s="4" t="inlineStr">
        <is>
          <t>NON SPECIALE</t>
        </is>
      </c>
      <c r="E83" s="4" t="inlineStr">
        <is>
          <t>EDILI</t>
        </is>
      </c>
      <c r="F83" s="3" t="inlineStr">
        <is>
          <t>1_2025.11.20_CME REV07.PDF</t>
        </is>
      </c>
      <c r="G83" s="4" t="inlineStr">
        <is>
          <t>115</t>
        </is>
      </c>
      <c r="H83" s="3" t="inlineStr">
        <is>
          <t>30 - STRUTTURALE</t>
        </is>
      </c>
      <c r="I83" s="3" t="inlineStr">
        <is>
          <t>NUOVI LABORATORI</t>
        </is>
      </c>
      <c r="J83" s="3" t="inlineStr">
        <is>
          <t>OPERE IN C.A.</t>
        </is>
      </c>
      <c r="K83" s="3" t="inlineStr">
        <is>
          <t xml:space="preserve">OPERA: STRATO DI ISOLAMENTO, ACUSTICO DI GOMMA GENERICO; IMPIEGO: SOTTOPAVIMENTI; SPESSORE [MM] = 5. INCLUSO: RACCORDI. </t>
        </is>
      </c>
      <c r="L83" s="3" t="inlineStr">
        <is>
          <t>OPERA: STRATO DI ISOLAMENTO, ACUSTICO DI GOMMA GENERICO; IMPIEGO: SOTTOPAVIMENTI; SPESSORE [MM] = 5. INCLUSO: RACCORDI. 
LAVORO: POSA. INCLUSO: TAGLI; SIGILLATURA; SOVRAPPOSIZIONI; ADATTAMENTI; FISSAGGI; ASSISTENZE MURARIE. 
COMPONENTI: 
OP1 OPERA: STRATO DI ISOLAMENTO, ACUSTICO DI GOMMA GENERICO; IMPIEGO: SOTTOPAVIMENTI; SPESSORE [MM] = 5. INCLUSO: RACCORDI. 
RM2 ROTOLO ACUSTICO DI GOMMA GENERICO; FINITURA: GRANULATA; GEOMETRIA/FORMA/ASPETTO: ROTOLI; FUNZIONE: ISOLAMENTO ACUSTICO; IMPIEGO: SOLAI INTERMEDI; SPESSORE [MM] = 5; DENSITÀ [KG/M³] = 3 
SPECIFICHE TECNICHE: COMPOSTO DA GOMMA GENERICO CON LATTICE PURE E ROCCIA NATURALE PERLITE ESPANSA, APPLICATO SU SUPPORTO IN CARTA POLITENATA 
RM2 ADESIVO DI GESSO GENERICO; GEOMETRIA/FORMA/ASPETTO: POLVERE; FUNZIONE: SIGILLANTE; IMPIEGO: LASTRE 
LV1 LAVORO: POSA. INCLUSO: TAGLI; SIGILLATURA; SOVRAPPOSIZIONI; ADATTAMENTI; FISSAGGI; ASSISTENZE MURARIE.</t>
        </is>
      </c>
      <c r="M83" s="4" t="inlineStr">
        <is>
          <t>M²</t>
        </is>
      </c>
      <c r="N83" s="5" t="n">
        <v>422.37</v>
      </c>
      <c r="O83" s="6" t="n">
        <v>12.85</v>
      </c>
      <c r="P83" s="6" t="n">
        <v>5427.45</v>
      </c>
      <c r="Q83" s="5" t="n"/>
      <c r="R83" s="6" t="n"/>
      <c r="S83" s="6">
        <f>IF(AND(Q83&lt;&gt;"",R83&lt;&gt;""),Q83*R83,"")</f>
        <v/>
      </c>
      <c r="T83" s="6">
        <f>IF(S83="",P83,S83)</f>
        <v/>
      </c>
      <c r="U83" s="7" t="n">
        <v>0</v>
      </c>
      <c r="V83" s="6">
        <f>$T83*U83</f>
        <v/>
      </c>
      <c r="W83" s="7" t="n">
        <v>0.5</v>
      </c>
      <c r="X83" s="6">
        <f>$T83*W83</f>
        <v/>
      </c>
      <c r="Y83" s="7" t="n">
        <v>0</v>
      </c>
      <c r="Z83" s="6">
        <f>$T83*Y83</f>
        <v/>
      </c>
      <c r="AA83" s="7" t="n">
        <v>0</v>
      </c>
      <c r="AB83" s="6">
        <f>$T83*AA83</f>
        <v/>
      </c>
      <c r="AC83" s="7" t="n">
        <v>0</v>
      </c>
      <c r="AD83" s="6">
        <f>$T83*AC83</f>
        <v/>
      </c>
      <c r="AE83" s="7" t="n">
        <v>0</v>
      </c>
      <c r="AF83" s="6">
        <f>$T83*AE83</f>
        <v/>
      </c>
      <c r="AG83" s="7" t="n">
        <v>0</v>
      </c>
      <c r="AH83" s="6">
        <f>$T83*AG83</f>
        <v/>
      </c>
      <c r="AI83" s="7">
        <f>U83+W83+Y83+AA83+AC83+AE83+AG83</f>
        <v/>
      </c>
      <c r="AJ83" s="6">
        <f>V83+X83+Z83+AB83+AD83+AF83+AH83</f>
        <v/>
      </c>
    </row>
    <row r="84" ht="60" customHeight="1" s="35">
      <c r="A84" s="3" t="inlineStr">
        <is>
          <t>LOM241.OC.EEA.A04.C1505.D0000.0025</t>
        </is>
      </c>
      <c r="B84" s="4" t="inlineStr">
        <is>
          <t>2/2</t>
        </is>
      </c>
      <c r="C84" s="3" t="inlineStr">
        <is>
          <t>EDILE</t>
        </is>
      </c>
      <c r="D84" s="4" t="inlineStr">
        <is>
          <t>NON SPECIALE</t>
        </is>
      </c>
      <c r="E84" s="4" t="inlineStr">
        <is>
          <t>EDILI</t>
        </is>
      </c>
      <c r="F84" s="3" t="inlineStr">
        <is>
          <t>1_2025.11.20_CME REV07.PDF</t>
        </is>
      </c>
      <c r="G84" s="4" t="inlineStr">
        <is>
          <t>116</t>
        </is>
      </c>
      <c r="H84" s="3" t="inlineStr">
        <is>
          <t>30 - STRUTTURALE</t>
        </is>
      </c>
      <c r="I84" s="3" t="inlineStr">
        <is>
          <t>NUOVI LABORATORI</t>
        </is>
      </c>
      <c r="J84" s="3" t="inlineStr">
        <is>
          <t>OPERE IN C.A.</t>
        </is>
      </c>
      <c r="K84" s="3" t="inlineStr">
        <is>
          <t xml:space="preserve">OPERA: STRATO DI VESPAIO DI PLASTICA GENERICO; ALTEZZA TOT [CM] = 26 ÷ 31. ESCLUSO: ARMATURA IN FERRO; BORDI DI CONTENIMENTO SE NECESSARI. </t>
        </is>
      </c>
      <c r="L84" s="3" t="inlineStr">
        <is>
          <t>OPERA: STRATO DI VESPAIO DI PLASTICA GENERICO; ALTEZZA TOT [CM] = 26 ÷ 31. ESCLUSO: ARMATURA IN FERRO; BORDI DI CONTENIMENTO SE NECESSARI. 
LAVORO: FORMAZIONE. 
SPECIFICHE TECNICHE: COMPOSTO DA: STRATO DI SOTTOFONDO, ALTEZZA [CM] = 8; CASSERO A PERDERE, ALTEZZA [CM] = 15 ÷ 20; STRATO DI IRRIGIDIMENTO, ALTEZZA [CM] = 5. 
COMPONENTI: 
OP1 OPERA: STRATO DI VESPAIO DI PLASTICA GENERICO; ALTEZZA TOT [CM] = 26 ÷ 31. ESCLUSO: ARMATURA IN FERRO; BORDI DI CONTENIMENTO SE NECESSARI. 
SPECIFICHE TECNICHE: COMPOSTO DA: STRATO DI SOTTOFONDO, ALTEZZA [CM] = 8; CASSERO A PERDERE, ALTEZZA [CM] = 15 ÷ 20; STRATO DI IRRIGIDIMENTO, ALTEZZA [CM] = 5. 
RM2 CASSERO A PERDERE MODULO DI PLASTICA GENERICO; FUNZIONE: AUTOPORTANTE; IMPIEGO: VESPAIO AERATO; ALTEZZA [CM] = 15 ÷ 20 
OC2 OPERA: STRATO DI IRRIGIDIMENTO DI CONGLOMERATO CEMENTIZIO; IMPIEGO: SOLAIO | VESPAIO AERATO; SPESSORE [CM] = 5. ESCLUSO: ARMATURA; BORDI DI CONTENIMENTO. 
LAVORO: GETTO CON POMPA. INCLUSO: VIBRATURA. 
SPECIFICHE TECNICHE: RESISTENZA CALCESTRUZZO [CLASSE] = C20/25, QUANTITÀ DI CALCESTRUZZO GETTATO [MC] ≤ 30. 
OC2 OPERA: STRATO DI SOTTOFONDO, DI RIEMPIMENTO ALLEGGERITO DI CONGLOMERATO CEMENTIZIO; FUNZIONE: FONOASSORBENTE | TERMOISOLANTE; IMPIEGO: A BASE CEMENTIZIA; SPESSORE [CM] = 8. 
LAVORO: GETTO. 
SPECIFICHE TECNICHE: COSTIPATO E LIVELLATO A FRATTAZZO LUNGO; QUANTITÀ DI CALCESTRUZZO GETTATO [MC] ≤ 30. 
LV1 LAVORO: FORMAZIONE.</t>
        </is>
      </c>
      <c r="M84" s="4" t="inlineStr">
        <is>
          <t>M²</t>
        </is>
      </c>
      <c r="N84" s="5" t="n">
        <v>299.18</v>
      </c>
      <c r="O84" s="6" t="n">
        <v>43.73</v>
      </c>
      <c r="P84" s="6" t="n">
        <v>13083.14</v>
      </c>
      <c r="Q84" s="5" t="n"/>
      <c r="R84" s="6" t="n"/>
      <c r="S84" s="6">
        <f>IF(AND(Q84&lt;&gt;"",R84&lt;&gt;""),Q84*R84,"")</f>
        <v/>
      </c>
      <c r="T84" s="6">
        <f>IF(S84="",P84,S84)</f>
        <v/>
      </c>
      <c r="U84" s="7" t="n">
        <v>0</v>
      </c>
      <c r="V84" s="6">
        <f>$T84*U84</f>
        <v/>
      </c>
      <c r="W84" s="7" t="n">
        <v>0.8</v>
      </c>
      <c r="X84" s="6">
        <f>$T84*W84</f>
        <v/>
      </c>
      <c r="Y84" s="7" t="n">
        <v>0</v>
      </c>
      <c r="Z84" s="6">
        <f>$T84*Y84</f>
        <v/>
      </c>
      <c r="AA84" s="7" t="n">
        <v>0</v>
      </c>
      <c r="AB84" s="6">
        <f>$T84*AA84</f>
        <v/>
      </c>
      <c r="AC84" s="7" t="n">
        <v>0</v>
      </c>
      <c r="AD84" s="6">
        <f>$T84*AC84</f>
        <v/>
      </c>
      <c r="AE84" s="7" t="n">
        <v>0</v>
      </c>
      <c r="AF84" s="6">
        <f>$T84*AE84</f>
        <v/>
      </c>
      <c r="AG84" s="7" t="n">
        <v>0</v>
      </c>
      <c r="AH84" s="6">
        <f>$T84*AG84</f>
        <v/>
      </c>
      <c r="AI84" s="7">
        <f>U84+W84+Y84+AA84+AC84+AE84+AG84</f>
        <v/>
      </c>
      <c r="AJ84" s="6">
        <f>V84+X84+Z84+AB84+AD84+AF84+AH84</f>
        <v/>
      </c>
    </row>
    <row r="85" ht="60" customHeight="1" s="35">
      <c r="A85" s="3" t="inlineStr">
        <is>
          <t>LOM241.OC.EEA.A02.E9700.SB016.0000</t>
        </is>
      </c>
      <c r="B85" s="4" t="inlineStr">
        <is>
          <t>3/3</t>
        </is>
      </c>
      <c r="C85" s="3" t="inlineStr">
        <is>
          <t>EDILE</t>
        </is>
      </c>
      <c r="D85" s="4" t="inlineStr">
        <is>
          <t>NON SPECIALE</t>
        </is>
      </c>
      <c r="E85" s="4" t="inlineStr">
        <is>
          <t>EDILI</t>
        </is>
      </c>
      <c r="F85" s="3" t="inlineStr">
        <is>
          <t>1_2025.11.20_CME REV07.PDF</t>
        </is>
      </c>
      <c r="G85" s="4" t="inlineStr">
        <is>
          <t>117</t>
        </is>
      </c>
      <c r="H85" s="3" t="inlineStr">
        <is>
          <t>30 - STRUTTURALE</t>
        </is>
      </c>
      <c r="I85" s="3" t="inlineStr">
        <is>
          <t>NUOVI LABORATORI</t>
        </is>
      </c>
      <c r="J85" s="3" t="inlineStr">
        <is>
          <t>OPERE IN C.A.</t>
        </is>
      </c>
      <c r="K85" s="3" t="inlineStr">
        <is>
          <t xml:space="preserve">OPERA: ARMATURA, RETE ELETTROSALDATA DI LEGA FERROSA ACCIAIO B450A; IMPIEGO: STRUTTURE IN CEMENTO ARMATO. </t>
        </is>
      </c>
      <c r="L85" s="3" t="inlineStr">
        <is>
          <t>OPERA: ARMATURA, RETE ELETTROSALDATA DI LEGA FERROSA ACCIAIO B450A; IMPIEGO: STRUTTURE IN CEMENTO ARMATO. 
LAVORO: POSA. INCLUSO: SORMONTI, TAGLI, SFRIDI, LEGATURE. 
SPECIFICHE TECNICHE: PRODOTTO CON SISTEMI DI CONTROLLO DI PRODUZIONE IN STABILIMENTO DI CUI AL D.M.17/01/2018. 
COMPONENTI: 
OP1 OPERA: ARMATURA, RETE ELETTROSALDATA DI LEGA FERROSA ACCIAIO B450A; IMPIEGO: STRUTTURE IN CEMENTO ARMATO. 
SPECIFICHE TECNICHE: PRODOTTO CON SISTEMI DI CONTROLLO DI PRODUZIONE IN STABILIMENTO DI CUI AL D.M.17/01/2018. 
RM2 RETE ELETTROSALDATA DI LEGA FERROSA ACCIAIO B450A; FINITURA: NERVATA; FUNZIONE: STRUTTURALE; IMPIEGO: ARMATURE 
LV1 LAVORO: POSA. INCLUSO: SORMONTI, TAGLI, SFRIDI, LEGATURE.</t>
        </is>
      </c>
      <c r="M85" s="4" t="inlineStr">
        <is>
          <t>KG</t>
        </is>
      </c>
      <c r="N85" s="5" t="n">
        <v>664.1799999999999</v>
      </c>
      <c r="O85" s="6" t="n">
        <v>1.39</v>
      </c>
      <c r="P85" s="6" t="n">
        <v>923.21</v>
      </c>
      <c r="Q85" s="5" t="n"/>
      <c r="R85" s="6" t="n"/>
      <c r="S85" s="6">
        <f>IF(AND(Q85&lt;&gt;"",R85&lt;&gt;""),Q85*R85,"")</f>
        <v/>
      </c>
      <c r="T85" s="6">
        <f>IF(S85="",P85,S85)</f>
        <v/>
      </c>
      <c r="U85" s="7" t="n">
        <v>0</v>
      </c>
      <c r="V85" s="6">
        <f>$T85*U85</f>
        <v/>
      </c>
      <c r="W85" s="7" t="n">
        <v>0.8</v>
      </c>
      <c r="X85" s="6">
        <f>$T85*W85</f>
        <v/>
      </c>
      <c r="Y85" s="7" t="n">
        <v>0</v>
      </c>
      <c r="Z85" s="6">
        <f>$T85*Y85</f>
        <v/>
      </c>
      <c r="AA85" s="7" t="n">
        <v>0</v>
      </c>
      <c r="AB85" s="6">
        <f>$T85*AA85</f>
        <v/>
      </c>
      <c r="AC85" s="7" t="n">
        <v>0</v>
      </c>
      <c r="AD85" s="6">
        <f>$T85*AC85</f>
        <v/>
      </c>
      <c r="AE85" s="7" t="n">
        <v>0</v>
      </c>
      <c r="AF85" s="6">
        <f>$T85*AE85</f>
        <v/>
      </c>
      <c r="AG85" s="7" t="n">
        <v>0</v>
      </c>
      <c r="AH85" s="6">
        <f>$T85*AG85</f>
        <v/>
      </c>
      <c r="AI85" s="7">
        <f>U85+W85+Y85+AA85+AC85+AE85+AG85</f>
        <v/>
      </c>
      <c r="AJ85" s="6">
        <f>V85+X85+Z85+AB85+AD85+AF85+AH85</f>
        <v/>
      </c>
    </row>
    <row r="86" ht="60" customHeight="1" s="35">
      <c r="A86" s="3" t="inlineStr">
        <is>
          <t>LOM241.OC.EEA.A02.C0102.ZB009.0075</t>
        </is>
      </c>
      <c r="B86" s="4" t="inlineStr">
        <is>
          <t>2/2</t>
        </is>
      </c>
      <c r="C86" s="3" t="inlineStr">
        <is>
          <t>EDILE</t>
        </is>
      </c>
      <c r="D86" s="4" t="inlineStr">
        <is>
          <t>NON SPECIALE</t>
        </is>
      </c>
      <c r="E86" s="4" t="inlineStr">
        <is>
          <t>EDILI</t>
        </is>
      </c>
      <c r="F86" s="3" t="inlineStr">
        <is>
          <t>1_2025.11.20_CME REV07.PDF</t>
        </is>
      </c>
      <c r="G86" s="4" t="inlineStr">
        <is>
          <t>118</t>
        </is>
      </c>
      <c r="H86" s="3" t="inlineStr">
        <is>
          <t>30 - STRUTTURALE</t>
        </is>
      </c>
      <c r="I86" s="3" t="inlineStr">
        <is>
          <t>NUOVI LABORATORI</t>
        </is>
      </c>
      <c r="J86" s="3" t="inlineStr">
        <is>
          <t>OPERE IN C.A.</t>
        </is>
      </c>
      <c r="K86" s="3" t="inlineStr">
        <is>
          <t>OPERA: STRATO DI MURATURA, LASTRE DI MATERIALE MIX GESSO-CARTONE; FUNZIONE: CONTROPARETE. LAVORO: POSA. INCLUSO: RASATURA GIUNTI; ASSISTENZA MURARIA FORNITA DA IMPRESA. COMPONENTI: OP1 OPERA: STRATO D</t>
        </is>
      </c>
      <c r="L86" s="3" t="inlineStr">
        <is>
          <t>OPERA: STRATO DI MURATURA, LASTRE DI MATERIALE MIX GESSO-CARTONE; FUNZIONE: CONTROPARETE. LAVORO: POSA. INCLUSO: RASATURA GIUNTI; ASSISTENZA MURARIA FORNITA DA IMPRESA. COMPONENTI: OP1 OPERA: STRATO DI MURATURA, LASTRE DI MATERIALE MIX GESSO-CARTONE; FUNZIONE: CONTROPARETE. RM2 LASTRA DI GESSO GENERICO; FINITURA: CARTONE SPECIALE; GEOMETRIA/FORMA/ASPETTO: BORDI ASSOTTIGLIATI; FUNZIONE: DIVISORIA; IMPIEGO: MURATURE; LARGHEZZA [CM] = 120 | SPESSORE [MM] = 13 SPECIFICHE TECNICHE: LASTRA RIVESTITA SULLE DUE FACCE CON CARTONE RM2 PROFILO MONTANTE DI LEGA FERROSA ACCIAIO ZINCATO Z140; FINITURA: ORGANICA PRIVA DI CROMO; SPESSORE [MM] = 0,6 | LARGHEZZA [MM] = 75 RM2 PROFILO GUIDA DI LEGA FERROSA ACCIAIO ZINCATO Z141; FINITURA: ORGANICA PRIVA DI CROMO; SPESSORE [MM] = 0,6 | LARGHEZZA [MM] = 75 RM2 FERRAMENTA VITE DI METALLO FERRO; GEOMETRIA/FORMA/ASPETTO: AUTOPERFORANTI; FUNZIONE: FISSAGGIO; IMPIEGO: LASTRE RM2 PREMISCELATO DI MATERIALE GENERICO; GEOMETRIA/FORMA/ASPETTO: PASTA; FUNZIONE: STUCCATURA; IMPIEGO: MURATURE INTERNE | LEGNO; PESO SPECIFICO [KG/L] = 1,75 SPECIFICHE TECNICHE: RESINE IN DISPERSIONE ACQUOSA RM2 NASTRO DI FIBRA SINTETICA DI VETRO; FUNZIONE: COPRIGIUNTI; IMPIEGO: MURATURE | PARETI DIVISORIE LV1 LAVORO: POSA. INCLUSO: RASATURA GIUNTI; ASSISTENZA MURARIA FORNITA DA IMPRESA.</t>
        </is>
      </c>
      <c r="M86" s="4" t="inlineStr">
        <is>
          <t>M²</t>
        </is>
      </c>
      <c r="N86" s="5" t="n">
        <v>28.54</v>
      </c>
      <c r="O86" s="6" t="n">
        <v>33.4</v>
      </c>
      <c r="P86" s="6" t="n">
        <v>953.24</v>
      </c>
      <c r="Q86" s="5" t="n"/>
      <c r="R86" s="6" t="n"/>
      <c r="S86" s="6">
        <f>IF(AND(Q86&lt;&gt;"",R86&lt;&gt;""),Q86*R86,"")</f>
        <v/>
      </c>
      <c r="T86" s="6">
        <f>IF(S86="",P86,S86)</f>
        <v/>
      </c>
      <c r="U86" s="7" t="n">
        <v>0</v>
      </c>
      <c r="V86" s="6">
        <f>$T86*U86</f>
        <v/>
      </c>
      <c r="W86" s="7" t="n">
        <v>0</v>
      </c>
      <c r="X86" s="6">
        <f>$T86*W86</f>
        <v/>
      </c>
      <c r="Y86" s="7" t="n">
        <v>0</v>
      </c>
      <c r="Z86" s="6">
        <f>$T86*Y86</f>
        <v/>
      </c>
      <c r="AA86" s="7" t="n">
        <v>0</v>
      </c>
      <c r="AB86" s="6">
        <f>$T86*AA86</f>
        <v/>
      </c>
      <c r="AC86" s="7" t="n">
        <v>0</v>
      </c>
      <c r="AD86" s="6">
        <f>$T86*AC86</f>
        <v/>
      </c>
      <c r="AE86" s="7" t="n">
        <v>0</v>
      </c>
      <c r="AF86" s="6">
        <f>$T86*AE86</f>
        <v/>
      </c>
      <c r="AG86" s="7" t="n">
        <v>0</v>
      </c>
      <c r="AH86" s="6">
        <f>$T86*AG86</f>
        <v/>
      </c>
      <c r="AI86" s="7">
        <f>U86+W86+Y86+AA86+AC86+AE86+AG86</f>
        <v/>
      </c>
      <c r="AJ86" s="6">
        <f>V86+X86+Z86+AB86+AD86+AF86+AH86</f>
        <v/>
      </c>
    </row>
    <row r="87" ht="60" customHeight="1" s="35">
      <c r="A87" s="3" t="inlineStr">
        <is>
          <t>LOM241.OC.EEA.A02.C0102.L0011.0255</t>
        </is>
      </c>
      <c r="B87" s="4" t="inlineStr">
        <is>
          <t>2/2</t>
        </is>
      </c>
      <c r="C87" s="3" t="inlineStr">
        <is>
          <t>EDILE</t>
        </is>
      </c>
      <c r="D87" s="4" t="inlineStr">
        <is>
          <t>NON SPECIALE</t>
        </is>
      </c>
      <c r="E87" s="4" t="inlineStr">
        <is>
          <t>EDILI</t>
        </is>
      </c>
      <c r="F87" s="3" t="inlineStr">
        <is>
          <t>1_2025.11.20_CME REV07.PDF</t>
        </is>
      </c>
      <c r="G87" s="4" t="inlineStr">
        <is>
          <t>119</t>
        </is>
      </c>
      <c r="H87" s="3" t="inlineStr">
        <is>
          <t>30 - STRUTTURALE</t>
        </is>
      </c>
      <c r="I87" s="3" t="inlineStr">
        <is>
          <t>NUOVI LABORATORI</t>
        </is>
      </c>
      <c r="J87" s="3" t="inlineStr">
        <is>
          <t>OPERE IN C.A.</t>
        </is>
      </c>
      <c r="K87" s="3" t="inlineStr">
        <is>
          <t xml:space="preserve">OPERA: STRATO DI MURATURA, BLOCCHI FORATI DI CERAMICA TERRACOTTA/LATERIZIO. INCLUSO: SPALLE, VOLTINI, SPIGOLI, LESENE. </t>
        </is>
      </c>
      <c r="L87" s="3" t="inlineStr">
        <is>
          <t>OPERA: STRATO DI MURATURA, BLOCCHI FORATI DI CERAMICA TERRACOTTA/LATERIZIO. INCLUSO: SPALLE, VOLTINI, SPIGOLI, LESENE. 
LAVORO: POSA. 
COMPONENTI: 
OP1 OPERA: STRATO DI MURATURA, BLOCCHI FORATI DI CERAMICA TERRACOTTA/LATERIZIO. INCLUSO: SPALLE, VOLTINI, SPIGOLI, LESENE. 
RM2 BLOCCO FORATO DI CERAMICA TERRACOTTA/LATERIZIO; GEOMETRIA/FORMA/ASPETTO: MATTONI; LUNGHEZZA [CM] = 24 | LARGHEZZA [CM] = 8 | ALTEZZA [CM] = 12 
PO2 PRODOTTO SEMILAVORATO: MALTA, IDRAULICA IN MATERIA MIX GENERICO. 
LAVORO: FORMAZIONE, CON MEZZO MECCANICO. 
SPECIFICHE TECNICHE: CONFEZIONATA IN BETONIERA; DOSAGGIO PER M³: CALCE EMINENTEMENTE IDRAULICA [KG] = 350. 
LV1 LAVORO: POSA.</t>
        </is>
      </c>
      <c r="M87" s="4" t="inlineStr">
        <is>
          <t>M³</t>
        </is>
      </c>
      <c r="N87" s="5" t="n">
        <v>10.85</v>
      </c>
      <c r="O87" s="6" t="n">
        <v>360.08</v>
      </c>
      <c r="P87" s="6" t="n">
        <v>3906.87</v>
      </c>
      <c r="Q87" s="5" t="n"/>
      <c r="R87" s="6" t="n"/>
      <c r="S87" s="6">
        <f>IF(AND(Q87&lt;&gt;"",R87&lt;&gt;""),Q87*R87,"")</f>
        <v/>
      </c>
      <c r="T87" s="6">
        <f>IF(S87="",P87,S87)</f>
        <v/>
      </c>
      <c r="U87" s="7" t="n">
        <v>0</v>
      </c>
      <c r="V87" s="6">
        <f>$T87*U87</f>
        <v/>
      </c>
      <c r="W87" s="7" t="n">
        <v>0.75</v>
      </c>
      <c r="X87" s="6">
        <f>$T87*W87</f>
        <v/>
      </c>
      <c r="Y87" s="7" t="n">
        <v>0</v>
      </c>
      <c r="Z87" s="6">
        <f>$T87*Y87</f>
        <v/>
      </c>
      <c r="AA87" s="7" t="n">
        <v>0</v>
      </c>
      <c r="AB87" s="6">
        <f>$T87*AA87</f>
        <v/>
      </c>
      <c r="AC87" s="7" t="n">
        <v>0</v>
      </c>
      <c r="AD87" s="6">
        <f>$T87*AC87</f>
        <v/>
      </c>
      <c r="AE87" s="7" t="n">
        <v>0</v>
      </c>
      <c r="AF87" s="6">
        <f>$T87*AE87</f>
        <v/>
      </c>
      <c r="AG87" s="7" t="n">
        <v>0</v>
      </c>
      <c r="AH87" s="6">
        <f>$T87*AG87</f>
        <v/>
      </c>
      <c r="AI87" s="7">
        <f>U87+W87+Y87+AA87+AC87+AE87+AG87</f>
        <v/>
      </c>
      <c r="AJ87" s="6">
        <f>V87+X87+Z87+AB87+AD87+AF87+AH87</f>
        <v/>
      </c>
    </row>
    <row r="88" ht="30" customHeight="1" s="35">
      <c r="A88" s="3" t="inlineStr">
        <is>
          <t>C02.025.015.B</t>
        </is>
      </c>
      <c r="B88" s="4" t="inlineStr">
        <is>
          <t>1/1</t>
        </is>
      </c>
      <c r="C88" s="3" t="inlineStr">
        <is>
          <t>EDILE</t>
        </is>
      </c>
      <c r="D88" s="4" t="inlineStr">
        <is>
          <t>NON SPECIALE</t>
        </is>
      </c>
      <c r="E88" s="4" t="inlineStr">
        <is>
          <t>EDILI</t>
        </is>
      </c>
      <c r="F88" s="3" t="inlineStr">
        <is>
          <t>1_2025.11.20_CME REV07.PDF</t>
        </is>
      </c>
      <c r="G88" s="4" t="inlineStr">
        <is>
          <t>V167</t>
        </is>
      </c>
      <c r="H88" s="3" t="inlineStr">
        <is>
          <t>30 - STRUTTURALE</t>
        </is>
      </c>
      <c r="I88" s="3" t="inlineStr">
        <is>
          <t>NUOVI LABORATORI</t>
        </is>
      </c>
      <c r="J88" s="3" t="inlineStr">
        <is>
          <t>VOCI NUOVE PER VASCA PICCOLA</t>
        </is>
      </c>
      <c r="K88" s="3" t="inlineStr">
        <is>
          <t>VARIANTE VASCA PICCOLA - SERBATOIO IN MONOBLOCCO CORRUGATO DI POLIETILENE</t>
        </is>
      </c>
      <c r="L88" s="3" t="inlineStr">
        <is>
          <t>VARIANTE VASCA PICCOLA - SERBATOIO IN MONOBLOCCO CORRUGATO DI POLIETILENE</t>
        </is>
      </c>
      <c r="M88" s="4" t="inlineStr">
        <is>
          <t>CAD</t>
        </is>
      </c>
      <c r="N88" s="5" t="n">
        <v>1</v>
      </c>
      <c r="O88" s="6" t="n">
        <v>9602.51</v>
      </c>
      <c r="P88" s="6" t="n">
        <v>9602.51</v>
      </c>
      <c r="Q88" s="5" t="n"/>
      <c r="R88" s="6" t="n"/>
      <c r="S88" s="6">
        <f>IF(AND(Q88&lt;&gt;"",R88&lt;&gt;""),Q88*R88,"")</f>
        <v/>
      </c>
      <c r="T88" s="6">
        <f>IF(S88="",P88,S88)</f>
        <v/>
      </c>
      <c r="U88" s="7" t="n">
        <v>0</v>
      </c>
      <c r="V88" s="6">
        <f>$T88*U88</f>
        <v/>
      </c>
      <c r="W88" s="7" t="n">
        <v>0</v>
      </c>
      <c r="X88" s="6">
        <f>$T88*W88</f>
        <v/>
      </c>
      <c r="Y88" s="7" t="n">
        <v>0</v>
      </c>
      <c r="Z88" s="6">
        <f>$T88*Y88</f>
        <v/>
      </c>
      <c r="AA88" s="7" t="n">
        <v>0</v>
      </c>
      <c r="AB88" s="6">
        <f>$T88*AA88</f>
        <v/>
      </c>
      <c r="AC88" s="7" t="n">
        <v>0</v>
      </c>
      <c r="AD88" s="6">
        <f>$T88*AC88</f>
        <v/>
      </c>
      <c r="AE88" s="7" t="n">
        <v>0</v>
      </c>
      <c r="AF88" s="6">
        <f>$T88*AE88</f>
        <v/>
      </c>
      <c r="AG88" s="7" t="n">
        <v>0</v>
      </c>
      <c r="AH88" s="6">
        <f>$T88*AG88</f>
        <v/>
      </c>
      <c r="AI88" s="7">
        <f>U88+W88+Y88+AA88+AC88+AE88+AG88</f>
        <v/>
      </c>
      <c r="AJ88" s="6">
        <f>V88+X88+Z88+AB88+AD88+AF88+AH88</f>
        <v/>
      </c>
    </row>
    <row r="89" ht="18" customHeight="1" s="35">
      <c r="A89" s="3" t="inlineStr">
        <is>
          <t>RM.06.10.40.D0000.0000</t>
        </is>
      </c>
      <c r="B89" s="4" t="inlineStr">
        <is>
          <t>1/1</t>
        </is>
      </c>
      <c r="C89" s="3" t="inlineStr">
        <is>
          <t>EDILE</t>
        </is>
      </c>
      <c r="D89" s="4" t="inlineStr">
        <is>
          <t>NON SPECIALE</t>
        </is>
      </c>
      <c r="E89" s="4" t="inlineStr">
        <is>
          <t>EDILI</t>
        </is>
      </c>
      <c r="F89" s="3" t="inlineStr">
        <is>
          <t>1_2025.11.20_CME REV07.PDF</t>
        </is>
      </c>
      <c r="G89" s="4" t="inlineStr">
        <is>
          <t>V168</t>
        </is>
      </c>
      <c r="H89" s="3" t="inlineStr">
        <is>
          <t>30 - STRUTTURALE</t>
        </is>
      </c>
      <c r="I89" s="3" t="inlineStr">
        <is>
          <t>NUOVI LABORATORI</t>
        </is>
      </c>
      <c r="J89" s="3" t="inlineStr">
        <is>
          <t>VOCI NUOVE PER VASCA PICCOLA</t>
        </is>
      </c>
      <c r="K89" s="3" t="inlineStr">
        <is>
          <t>VARIANTE VASCA PICCOLA - GRIGLIA AD INCASTRO DI PLASTICA</t>
        </is>
      </c>
      <c r="L89" s="3" t="inlineStr">
        <is>
          <t>VARIANTE VASCA PICCOLA - GRIGLIA AD INCASTRO DI PLASTICA</t>
        </is>
      </c>
      <c r="M89" s="4" t="inlineStr">
        <is>
          <t>MQ</t>
        </is>
      </c>
      <c r="N89" s="5" t="n">
        <v>550</v>
      </c>
      <c r="O89" s="6" t="n">
        <v>31.98</v>
      </c>
      <c r="P89" s="6" t="n">
        <v>17589</v>
      </c>
      <c r="Q89" s="5" t="n"/>
      <c r="R89" s="6" t="n"/>
      <c r="S89" s="6">
        <f>IF(AND(Q89&lt;&gt;"",R89&lt;&gt;""),Q89*R89,"")</f>
        <v/>
      </c>
      <c r="T89" s="6">
        <f>IF(S89="",P89,S89)</f>
        <v/>
      </c>
      <c r="U89" s="7" t="n">
        <v>0</v>
      </c>
      <c r="V89" s="6">
        <f>$T89*U89</f>
        <v/>
      </c>
      <c r="W89" s="7" t="n">
        <v>0</v>
      </c>
      <c r="X89" s="6">
        <f>$T89*W89</f>
        <v/>
      </c>
      <c r="Y89" s="7" t="n">
        <v>0</v>
      </c>
      <c r="Z89" s="6">
        <f>$T89*Y89</f>
        <v/>
      </c>
      <c r="AA89" s="7" t="n">
        <v>0</v>
      </c>
      <c r="AB89" s="6">
        <f>$T89*AA89</f>
        <v/>
      </c>
      <c r="AC89" s="7" t="n">
        <v>0</v>
      </c>
      <c r="AD89" s="6">
        <f>$T89*AC89</f>
        <v/>
      </c>
      <c r="AE89" s="7" t="n">
        <v>0</v>
      </c>
      <c r="AF89" s="6">
        <f>$T89*AE89</f>
        <v/>
      </c>
      <c r="AG89" s="7" t="n">
        <v>0</v>
      </c>
      <c r="AH89" s="6">
        <f>$T89*AG89</f>
        <v/>
      </c>
      <c r="AI89" s="7">
        <f>U89+W89+Y89+AA89+AC89+AE89+AG89</f>
        <v/>
      </c>
      <c r="AJ89" s="6">
        <f>V89+X89+Z89+AB89+AD89+AF89+AH89</f>
        <v/>
      </c>
    </row>
    <row r="90" ht="60" customHeight="1" s="35">
      <c r="A90" s="3" t="inlineStr">
        <is>
          <t>PA.ARC.17</t>
        </is>
      </c>
      <c r="B90" s="4" t="inlineStr">
        <is>
          <t>1/1</t>
        </is>
      </c>
      <c r="C90" s="3" t="inlineStr">
        <is>
          <t>EDILE</t>
        </is>
      </c>
      <c r="D90" s="4" t="inlineStr">
        <is>
          <t>NON SPECIALE</t>
        </is>
      </c>
      <c r="E90" s="4" t="inlineStr">
        <is>
          <t>EDILI</t>
        </is>
      </c>
      <c r="F90" s="3" t="inlineStr">
        <is>
          <t>1_2025.11.20_CME REV07.PDF</t>
        </is>
      </c>
      <c r="G90" s="4" t="inlineStr">
        <is>
          <t>66</t>
        </is>
      </c>
      <c r="H90" s="3" t="inlineStr">
        <is>
          <t>50 - INSTALLAZIONE</t>
        </is>
      </c>
      <c r="I90" s="3" t="inlineStr">
        <is>
          <t>NUOVI LABORATORI</t>
        </is>
      </c>
      <c r="J90" s="3" t="inlineStr">
        <is>
          <t>IMP. ELEVATORE</t>
        </is>
      </c>
      <c r="K90" s="3" t="inlineStr">
        <is>
          <t>FORNITURA E POSA IN OPERA DI ASCENSORE ELETTRICO PER PASSEGGERI TIPO KONE MONOSPACE 500 DX, MODELLO R23.2-1, CONFORME ALLA DIRETTIVA 2014/33/UE E ALLE NORME TECNICHE VIGENTI (EN 81-20, EN 81-50, EN 81</t>
        </is>
      </c>
      <c r="L90" s="3" t="inlineStr">
        <is>
          <t>FORNITURA E POSA IN OPERA DI ASCENSORE ELETTRICO PER PASSEGGERI TIPO KONE MONOSPACE 500 DX, MODELLO R23.2-1, CONFORME ALLA DIRETTIVA 2014/33/UE E ALLE NORME TECNICHE VIGENTI (EN 81-20, EN 81-50, EN 81-28, UNI EN 12015:2014, UNI EN 12016:2013, DM 236/89), COMPLETO IN OGNI SUA PARTE E PRONTO ALL’USO. L’IMPIANTO, AD AZIONAMENTO ELETTRICO SENZA LOCALE MACCHINARIO (MRL), CON MACCHINARIO TIPO KONE ECODISC GEARLESS INSTALLATO NEL VANO CORSA, ÈCARATTERIZZATO DA: ·PORTATA: 630 KG (8 PERSONE) ·VELOCITÀ NOMINALE: 1,0 M/S ·CORSA VERTICALE: 4,5 M ·FERMATE: N. 2 ·ACCESSI: N. 2 LATO A ·ALIMENTAZIONE: 3 X 400V 50HZ (MOTORE) E 230V 50HZ (ILLUMINAZIONE CABINA) ·VANO CORSA: IN CEMENTO ARMATO, DIMENSIONI 1570 X 1740 MM ·CABINA: DIMENSIONI 1100 X 1400 X 2100 MM (LXPXH), PARETI IN ACCIAIO SATINATO TIPO F - ASTURIA, CIELINO TIPO CL80 CON FARETTI LED, PAVIMENTO IN GOMMA TIPO RC33 MARRONE SCREZIATO, CORRIMANO TIPO HR64, SPECCHIO PARZIALE A TUTTA ALTEZZA PORTE AUTOMATICHE TELESCOPICHE TIPO KONE KES202 A DUE ANTE LATERALI, APERTURA DESTRA, DIMENSIONI 800 X 2000 MM, IN ACCIAIO SATINATO TIPO F - ASTURIA. COMANDO E SEGNALAZIONI: BOTTONIERA DI CABINA TIPO KONE INTERACT 10 A TUTTA ALTEZZA, CON DISPLAY TFT DA 7", PULSANTI TATTILI RETROILLUMINATI E IN RILIEVO PER NON VEDENTI; PULSANTIERE DI PIANO TIPO KSL280. DOTAZIONI DI SICUREZZA E ACCESSIBILITÀ: CORTINA LUMINOSA IN CABINA, LUCE DI EMERGENZA, ALLARME SONORO PER DISABILI, CITOFONO TIPO ISE M, RITORNO AUTOMATICO AL PIANO IN CASO DI BLACKOUT, SISTEMA DI PURIFICAZIONE ARIA TIPO KONE AIRPURIFIER. EFFICIENZA ENERGETICA GARANTITA DA: DRIVE RIGENERATIVO, SPEGNIMENTO AUTOMATICO ILLUMINAZIONE IN STAND-BY, MODALITÀ DI RISPARMIO ENERGETICO. COMPRESI NEL PREZZO: TRASPORTO, SCARICO E MOVIMENTAZIONE MATERIALI IN CANTIERE; INTERRUTTORE DIFFERENZIALE TIPO B DA 300MA; DOCUMENTAZIONE TECNICA (LIBRETTO IMPIANTO, DICHIARAZIONE DI CONFORMITÀ, MANUALI); STRUTTURA PORTANTE METALLICA TIPO DISCOVERY CON PROFILI DA 52 MM E TAMPONAMENTI A SCELTA (LAMIERA, SANDWICH O VETRO).</t>
        </is>
      </c>
      <c r="M90" s="4" t="inlineStr">
        <is>
          <t>CAD</t>
        </is>
      </c>
      <c r="N90" s="5" t="n">
        <v>1</v>
      </c>
      <c r="O90" s="6" t="n">
        <v>36794.71</v>
      </c>
      <c r="P90" s="6" t="n">
        <v>36794.71</v>
      </c>
      <c r="Q90" s="5" t="n"/>
      <c r="R90" s="6" t="n"/>
      <c r="S90" s="6">
        <f>IF(AND(Q90&lt;&gt;"",R90&lt;&gt;""),Q90*R90,"")</f>
        <v/>
      </c>
      <c r="T90" s="6">
        <f>IF(S90="",P90,S90)</f>
        <v/>
      </c>
      <c r="U90" s="7" t="n">
        <v>0.4</v>
      </c>
      <c r="V90" s="6">
        <f>$T90*U90</f>
        <v/>
      </c>
      <c r="W90" s="7" t="n">
        <v>0.4</v>
      </c>
      <c r="X90" s="6">
        <f>$T90*W90</f>
        <v/>
      </c>
      <c r="Y90" s="7" t="n">
        <v>0</v>
      </c>
      <c r="Z90" s="6">
        <f>$T90*Y90</f>
        <v/>
      </c>
      <c r="AA90" s="7" t="n">
        <v>0</v>
      </c>
      <c r="AB90" s="6">
        <f>$T90*AA90</f>
        <v/>
      </c>
      <c r="AC90" s="7" t="n">
        <v>0</v>
      </c>
      <c r="AD90" s="6">
        <f>$T90*AC90</f>
        <v/>
      </c>
      <c r="AE90" s="7" t="n">
        <v>0</v>
      </c>
      <c r="AF90" s="6">
        <f>$T90*AE90</f>
        <v/>
      </c>
      <c r="AG90" s="7" t="n">
        <v>0</v>
      </c>
      <c r="AH90" s="6">
        <f>$T90*AG90</f>
        <v/>
      </c>
      <c r="AI90" s="7">
        <f>U90+W90+Y90+AA90+AC90+AE90+AG90</f>
        <v/>
      </c>
      <c r="AJ90" s="6">
        <f>V90+X90+Z90+AB90+AD90+AF90+AH90</f>
        <v/>
      </c>
    </row>
    <row r="91" ht="60" customHeight="1" s="35">
      <c r="A91" s="3" t="inlineStr">
        <is>
          <t>LOM241.OC.ITA.A04.D0201.MB002.0250</t>
        </is>
      </c>
      <c r="B91" s="4" t="inlineStr">
        <is>
          <t>1/2</t>
        </is>
      </c>
      <c r="C91" s="3" t="inlineStr">
        <is>
          <t>EDILE</t>
        </is>
      </c>
      <c r="D91" s="4" t="inlineStr">
        <is>
          <t>NON SPECIALE</t>
        </is>
      </c>
      <c r="E91" s="4" t="inlineStr">
        <is>
          <t>EDILI</t>
        </is>
      </c>
      <c r="F91" s="3" t="inlineStr">
        <is>
          <t>1_2025.11.20_CME REV07.PDF</t>
        </is>
      </c>
      <c r="G91" s="4" t="inlineStr">
        <is>
          <t>29</t>
        </is>
      </c>
      <c r="H91" s="3" t="inlineStr">
        <is>
          <t>60 - FINITURE</t>
        </is>
      </c>
      <c r="I91" s="3" t="inlineStr">
        <is>
          <t>NUOVI LABORATORI</t>
        </is>
      </c>
      <c r="J91" s="3" t="inlineStr">
        <is>
          <t>OPERE GENERICHE</t>
        </is>
      </c>
      <c r="K91" s="3" t="inlineStr">
        <is>
          <t xml:space="preserve">OPERA: STRATO DI FONDAZIONE STRADALE, IN MISTO GRANULARE DI ROCCIA NATURALE CALCAREA/DOLOMITICA; IMPIEGO: STRADA EXTRAURBANA. INCLUSO: MATERIALI DI APPORTO O VAGLIATURA. </t>
        </is>
      </c>
      <c r="L91" s="3" t="inlineStr">
        <is>
          <t>OPERA: STRATO DI FONDAZIONE STRADALE, IN MISTO GRANULARE DI ROCCIA NATURALE CALCAREA/DOLOMITICA; IMPIEGO: STRADA EXTRAURBANA. INCLUSO: MATERIALI DI APPORTO O VAGLIATURA. 
LAVORO: FORMAZIONE. INCLUSO: COSTIPAMENTO GETTO. 
SPECIFICHE TECNICHE: IN MISTO GRANULARE STABILIZZATO CON LEGANTE NATURALE. 
COMPONENTI: 
OP1 OPERA: STRATO DI FONDAZIONE STRADALE, IN MISTO GRANULARE DI ROCCIA NATURALE CALCAREA/DOLOMITICA; IMPIEGO: STRADA EXTRAURBANA. INCLUSO: MATERIALI DI APPORTO O VAGLIATURA. 
SPECIFICHE TECNICHE: IN MISTO GRANULARE STABILIZZATO CON LEGANTE NATURALE. 
RM2 AGGREGATO MISTO GRANULARE DI ROCCIA NATURALE MINERALE; PESO SPECIFICO MEDIO [KG/M³] = 1800 
SPECIFICHE TECNICHE: DI SABBIA E GHIAIA 
RM2 LEGANTE IDRAULICI DI CALCE GENERICO; GEOMETRIA/FORMA/ASPETTO: SFUSO; FORNITURA: SACCHI 
LV1 LAVORO: FORMAZIONE. INCLUSO: COSTIPAMENTO GETTO. 
RP2 MOTOLIVELLATRICE (GRADER); POTENZA [KW] &gt; 50 
SPECIFICHE TECNICHE: CRITERIO DI MISURAZIONE: ORE DI PRESENZA IN CANTIERE 
RP2 RULLO COMPRESSORE; PESO [T] ≤ 9,0 
SPECIFICHE TECNICHE: MONOTAMBURO; CRITERIO DI MISURAZIONE: ORE DI PRESENZA IN CANTIERE 
RP2 AUTOBETONIERA; PORTATA [M³] ≤ 12,0 
SPECIFICHE TECNICHE: CRITERIO DI MISURAZIONE: ORE DI PRESENZA IN CANTIERE</t>
        </is>
      </c>
      <c r="M91" s="4" t="inlineStr">
        <is>
          <t>M³</t>
        </is>
      </c>
      <c r="N91" s="5" t="n">
        <v>192.6</v>
      </c>
      <c r="O91" s="6" t="n">
        <v>35.27</v>
      </c>
      <c r="P91" s="6" t="n">
        <v>6793</v>
      </c>
      <c r="Q91" s="5" t="n"/>
      <c r="R91" s="6" t="n"/>
      <c r="S91" s="6">
        <f>IF(AND(Q91&lt;&gt;"",R91&lt;&gt;""),Q91*R91,"")</f>
        <v/>
      </c>
      <c r="T91" s="6">
        <f>IF(S91="",P91,S91)</f>
        <v/>
      </c>
      <c r="U91" s="7" t="n">
        <v>0</v>
      </c>
      <c r="V91" s="6">
        <f>$T91*U91</f>
        <v/>
      </c>
      <c r="W91" s="7" t="n">
        <v>0</v>
      </c>
      <c r="X91" s="6">
        <f>$T91*W91</f>
        <v/>
      </c>
      <c r="Y91" s="7" t="n">
        <v>0</v>
      </c>
      <c r="Z91" s="6">
        <f>$T91*Y91</f>
        <v/>
      </c>
      <c r="AA91" s="7" t="n">
        <v>0</v>
      </c>
      <c r="AB91" s="6">
        <f>$T91*AA91</f>
        <v/>
      </c>
      <c r="AC91" s="7" t="n">
        <v>0</v>
      </c>
      <c r="AD91" s="6">
        <f>$T91*AC91</f>
        <v/>
      </c>
      <c r="AE91" s="7" t="n">
        <v>0</v>
      </c>
      <c r="AF91" s="6">
        <f>$T91*AE91</f>
        <v/>
      </c>
      <c r="AG91" s="7" t="n">
        <v>0</v>
      </c>
      <c r="AH91" s="6">
        <f>$T91*AG91</f>
        <v/>
      </c>
      <c r="AI91" s="7">
        <f>U91+W91+Y91+AA91+AC91+AE91+AG91</f>
        <v/>
      </c>
      <c r="AJ91" s="6">
        <f>V91+X91+Z91+AB91+AD91+AF91+AH91</f>
        <v/>
      </c>
    </row>
    <row r="92" ht="60" customHeight="1" s="35">
      <c r="A92" s="3" t="inlineStr">
        <is>
          <t>LOM241.OC.ITA.A04.D0901.J0009.0270</t>
        </is>
      </c>
      <c r="B92" s="4" t="inlineStr">
        <is>
          <t>1/1</t>
        </is>
      </c>
      <c r="C92" s="3" t="inlineStr">
        <is>
          <t>EDILE</t>
        </is>
      </c>
      <c r="D92" s="4" t="inlineStr">
        <is>
          <t>NON SPECIALE</t>
        </is>
      </c>
      <c r="E92" s="4" t="inlineStr">
        <is>
          <t>EDILI</t>
        </is>
      </c>
      <c r="F92" s="3" t="inlineStr">
        <is>
          <t>1_2025.11.20_CME REV07.PDF</t>
        </is>
      </c>
      <c r="G92" s="4" t="inlineStr">
        <is>
          <t>31</t>
        </is>
      </c>
      <c r="H92" s="3" t="inlineStr">
        <is>
          <t>60 - FINITURE</t>
        </is>
      </c>
      <c r="I92" s="3" t="inlineStr">
        <is>
          <t>NUOVI LABORATORI</t>
        </is>
      </c>
      <c r="J92" s="3" t="inlineStr">
        <is>
          <t>OPERE GENERICHE</t>
        </is>
      </c>
      <c r="K92" s="3" t="inlineStr">
        <is>
          <t xml:space="preserve">OPERA: STRATO DI BINDER DI CONGLOMERATO BITUMINOSO; IMPIEGO: OPERE STRADALI | SEDE TRAM; SPESSORE [CM] = 5. </t>
        </is>
      </c>
      <c r="L92" s="3" t="inlineStr">
        <is>
          <t>OPERA: STRATO DI BINDER DI CONGLOMERATO BITUMINOSO; IMPIEGO: OPERE STRADALI | SEDE TRAM; SPESSORE [CM] = 5. 
LAVORO: FORMAZIONE. INCLUSO: PULIZIA SEDE; STESA; COSTIPAZIONE. 
SPECIFICHE TECNICHE: DOSAGGIO EMULSIONE BITUMINOSA [KG/M²] = 0,60 ÷ 0,80 . 
COMPONENTI: 
OP1 OPERA: STRATO DI BINDER DI CONGLOMERATO BITUMINOSO; IMPIEGO: OPERE STRADALI | SEDE TRAM; SPESSORE [CM] = 5. 
SPECIFICHE TECNICHE: DOSAGGIO EMULSIONE BITUMINOSA [KG/M²] = 0,60 ÷ 0,80 . 
RM2 IMPASTO PRECONFEZIONATO DI BITUME GENERICO; IMPIEGO: OPERE STRADALI | CONGLOMERATO BITUMINOSO; RESISTENZA ALLA FRAMMENTAZIONE (LA) [%] ≤ 25 
SPECIFICHE TECNICHE: PER STRATO DI COLLEGAMENTO (BINDER); FINO AD UN MASSIMO DI 30% DI FRESATO RIGENERATO CON ATTIVANTI CHIMICI FUNZIONALI (RIGENERANTI), DOSAGGIO MINIMO DI BITUME GENERICO TOTALE DEL 4,2% SU MISCELA CON L'AGGIUNTA DI ADDITIVO ATTIVANTE L'ADESIONE ("DOPES" DI ADESIVITÀ); CON PERCENTUALE DEI VUOTI IN OPERA COMPRESO TRA IL 3% E 6%. 
RM2 EMULSIONE DI BITUME GENERICO; IMPIEGO: STRADE 
SPECIFICHE TECNICHE: 55% DI BITUME 
LV1 LAVORO: FORMAZIONE. INCLUSO: PULIZIA SEDE; STESA; COSTIPAZIONE. 
RP2 VIBROFINITRICE 
SPECIFICHE TECNICHE: CINGOLATA; CRITERIO DI MISURAZIONE: ORE DI PRESENZA IN CANTIERE 
RP2 RULLO COMPRESSORE; PESO [T] ≤ 7,0 
SPECIFICHE TECNICHE: MONOTAMBURO; CRITERIO DI MISURAZIONE: ORE DI PRESENZA IN CANTIERE 
RP2 SPAZZATRICE 
SPECIFICHE TECNICHE: CAPACITÀ CONTENITORE RIFIUTI [M³] = 3, RESA [M³/H] = 87000; CRITERIO DI MISURAZIONE: ORE DI PRESENZA IN CANTIERE</t>
        </is>
      </c>
      <c r="M92" s="4" t="inlineStr">
        <is>
          <t>M²</t>
        </is>
      </c>
      <c r="N92" s="5" t="n">
        <v>362.6</v>
      </c>
      <c r="O92" s="6" t="n">
        <v>22.57</v>
      </c>
      <c r="P92" s="6" t="n">
        <v>8183.88</v>
      </c>
      <c r="Q92" s="5" t="n"/>
      <c r="R92" s="6" t="n"/>
      <c r="S92" s="6">
        <f>IF(AND(Q92&lt;&gt;"",R92&lt;&gt;""),Q92*R92,"")</f>
        <v/>
      </c>
      <c r="T92" s="6">
        <f>IF(S92="",P92,S92)</f>
        <v/>
      </c>
      <c r="U92" s="7" t="n">
        <v>0</v>
      </c>
      <c r="V92" s="6">
        <f>$T92*U92</f>
        <v/>
      </c>
      <c r="W92" s="7" t="n">
        <v>0</v>
      </c>
      <c r="X92" s="6">
        <f>$T92*W92</f>
        <v/>
      </c>
      <c r="Y92" s="7" t="n">
        <v>0</v>
      </c>
      <c r="Z92" s="6">
        <f>$T92*Y92</f>
        <v/>
      </c>
      <c r="AA92" s="7" t="n">
        <v>0</v>
      </c>
      <c r="AB92" s="6">
        <f>$T92*AA92</f>
        <v/>
      </c>
      <c r="AC92" s="7" t="n">
        <v>0</v>
      </c>
      <c r="AD92" s="6">
        <f>$T92*AC92</f>
        <v/>
      </c>
      <c r="AE92" s="7" t="n">
        <v>0</v>
      </c>
      <c r="AF92" s="6">
        <f>$T92*AE92</f>
        <v/>
      </c>
      <c r="AG92" s="7" t="n">
        <v>0</v>
      </c>
      <c r="AH92" s="6">
        <f>$T92*AG92</f>
        <v/>
      </c>
      <c r="AI92" s="7">
        <f>U92+W92+Y92+AA92+AC92+AE92+AG92</f>
        <v/>
      </c>
      <c r="AJ92" s="6">
        <f>V92+X92+Z92+AB92+AD92+AF92+AH92</f>
        <v/>
      </c>
    </row>
    <row r="93" ht="60" customHeight="1" s="35">
      <c r="A93" s="3" t="inlineStr">
        <is>
          <t>LOM241.OC.ITA.A02.D1201.J0009.0885</t>
        </is>
      </c>
      <c r="B93" s="4" t="inlineStr">
        <is>
          <t>1/1</t>
        </is>
      </c>
      <c r="C93" s="3" t="inlineStr">
        <is>
          <t>EDILE</t>
        </is>
      </c>
      <c r="D93" s="4" t="inlineStr">
        <is>
          <t>NON SPECIALE</t>
        </is>
      </c>
      <c r="E93" s="4" t="inlineStr">
        <is>
          <t>EDILI</t>
        </is>
      </c>
      <c r="F93" s="3" t="inlineStr">
        <is>
          <t>1_2025.11.20_CME REV07.PDF</t>
        </is>
      </c>
      <c r="G93" s="4" t="inlineStr">
        <is>
          <t>32</t>
        </is>
      </c>
      <c r="H93" s="3" t="inlineStr">
        <is>
          <t>60 - FINITURE</t>
        </is>
      </c>
      <c r="I93" s="3" t="inlineStr">
        <is>
          <t>NUOVI LABORATORI</t>
        </is>
      </c>
      <c r="J93" s="3" t="inlineStr">
        <is>
          <t>OPERE GENERICHE</t>
        </is>
      </c>
      <c r="K93" s="3" t="inlineStr">
        <is>
          <t xml:space="preserve">OPERA: STRATO DI USURA STRADALE DI CONGLOMERATO BITUMINOSO; IMPIEGO: OPERE STRADALI | SEDE TRAM; SPESSORE MEDIO [MM] = 30; ADERENZA SUPERFICIALE BPN [-] ≥ 62. </t>
        </is>
      </c>
      <c r="L93" s="3" t="inlineStr">
        <is>
          <t>OPERA: STRATO DI USURA STRADALE DI CONGLOMERATO BITUMINOSO; IMPIEGO: OPERE STRADALI | SEDE TRAM; SPESSORE MEDIO [MM] = 30; ADERENZA SUPERFICIALE BPN [-] ≥ 62. 
LAVORO: POSA. INCLUSO: PULIZIA SEDE; STESA MEDIANTE FINITRICE MECCANICA; COSTIPAZIONE A MEZZO DI RULLI. 
SPECIFICHE TECNICHE: DOSAGGIO EMULSIONE BITUMINOSA [KG/M²] = 0,60 ÷ 0,80. 
COMPONENTI: 
OP1 OPERA: STRATO DI USURA STRADALE DI CONGLOMERATO BITUMINOSO; IMPIEGO: OPERE STRADALI | SEDE TRAM; SPESSORE MEDIO [MM] = 30; ADERENZA SUPERFICIALE BPN [-] ≥ 62. 
SPECIFICHE TECNICHE: DOSAGGIO EMULSIONE BITUMINOSA [KG/M²] = 0,60 ÷ 0,80. 
RM2 IMPASTO PRECONFEZIONATO DI BITUME GENERICO; IMPIEGO: OPERE STRADALI | CONGLOMERATO BITUMINOSO; RESISTENZA ALLA FRAMMENTAZIONE (LA) [%] ≤ 20 | RESISTENZA ALLA LEVIGAZIONE (PSV) [-] ≥ 44 | VALORE DI ADERENZA SUPERFICIALE (BPN) [-] ≥ 55 
SPECIFICHE TECNICHE: PER STRATO DI USURA; DOSAGGIO MINIMO DI BITUME GENERICO TOTALE DEL 4,80% SU MISCELA; DOSAGGIO ADDITIVO ATTIVANTE L'ADESIONE (DOPES); CON PERCENTUALE DEI VUOTI IN OPERA COMPRESO TRA IL 3% E 6%.  
RM2 EMULSIONE DI BITUME GENERICO; IMPIEGO: STRADE 
SPECIFICHE TECNICHE: 55% DI BITUME 
LV1 LAVORO: POSA. INCLUSO: PULIZIA SEDE; STESA MEDIANTE FINITRICE MECCANICA; COSTIPAZIONE A MEZZO DI RULLI. 
RP2 VIBROFINITRICE 
SPECIFICHE TECNICHE: CINGOLATA; CRITERIO DI MISURAZIONE: ORE DI PRESENZA IN CANTIERE 
RP2 RULLO COMPRESSORE; PESO [T] ≤ 7,0 
SPECIFICHE TECNICHE: MONOTAMBURO; CRITERIO DI MISURAZIONE: ORE DI PRESENZA IN CANTIERE 
RP2 SPAZZATRICE 
SPECIFICHE TECNICHE: CAPACITÀ CONTENITORE RIFIUTI [M³] = 3, RESA [M³/H] = 87000; CRITERIO DI MISURAZIONE: ORE DI PRESENZA IN CANTIERE</t>
        </is>
      </c>
      <c r="M93" s="4" t="inlineStr">
        <is>
          <t>M²</t>
        </is>
      </c>
      <c r="N93" s="5" t="n">
        <v>362.6</v>
      </c>
      <c r="O93" s="6" t="n">
        <v>16.93</v>
      </c>
      <c r="P93" s="6" t="n">
        <v>6138.82</v>
      </c>
      <c r="Q93" s="5" t="n"/>
      <c r="R93" s="6" t="n"/>
      <c r="S93" s="6">
        <f>IF(AND(Q93&lt;&gt;"",R93&lt;&gt;""),Q93*R93,"")</f>
        <v/>
      </c>
      <c r="T93" s="6">
        <f>IF(S93="",P93,S93)</f>
        <v/>
      </c>
      <c r="U93" s="7" t="n">
        <v>0</v>
      </c>
      <c r="V93" s="6">
        <f>$T93*U93</f>
        <v/>
      </c>
      <c r="W93" s="7" t="n">
        <v>0</v>
      </c>
      <c r="X93" s="6">
        <f>$T93*W93</f>
        <v/>
      </c>
      <c r="Y93" s="7" t="n">
        <v>0</v>
      </c>
      <c r="Z93" s="6">
        <f>$T93*Y93</f>
        <v/>
      </c>
      <c r="AA93" s="7" t="n">
        <v>0</v>
      </c>
      <c r="AB93" s="6">
        <f>$T93*AA93</f>
        <v/>
      </c>
      <c r="AC93" s="7" t="n">
        <v>0</v>
      </c>
      <c r="AD93" s="6">
        <f>$T93*AC93</f>
        <v/>
      </c>
      <c r="AE93" s="7" t="n">
        <v>0</v>
      </c>
      <c r="AF93" s="6">
        <f>$T93*AE93</f>
        <v/>
      </c>
      <c r="AG93" s="7" t="n">
        <v>0</v>
      </c>
      <c r="AH93" s="6">
        <f>$T93*AG93</f>
        <v/>
      </c>
      <c r="AI93" s="7">
        <f>U93+W93+Y93+AA93+AC93+AE93+AG93</f>
        <v/>
      </c>
      <c r="AJ93" s="6">
        <f>V93+X93+Z93+AB93+AD93+AF93+AH93</f>
        <v/>
      </c>
    </row>
    <row r="94" ht="60" customHeight="1" s="35">
      <c r="A94" s="3" t="inlineStr">
        <is>
          <t>LOM241.OC.ITA.A04.D0201.MB002.0250</t>
        </is>
      </c>
      <c r="B94" s="4" t="inlineStr">
        <is>
          <t>2/2</t>
        </is>
      </c>
      <c r="C94" s="3" t="inlineStr">
        <is>
          <t>EDILE</t>
        </is>
      </c>
      <c r="D94" s="4" t="inlineStr">
        <is>
          <t>NON SPECIALE</t>
        </is>
      </c>
      <c r="E94" s="4" t="inlineStr">
        <is>
          <t>EDILI</t>
        </is>
      </c>
      <c r="F94" s="3" t="inlineStr">
        <is>
          <t>1_2025.11.20_CME REV07.PDF</t>
        </is>
      </c>
      <c r="G94" s="4" t="inlineStr">
        <is>
          <t>34</t>
        </is>
      </c>
      <c r="H94" s="3" t="inlineStr">
        <is>
          <t>60 - FINITURE</t>
        </is>
      </c>
      <c r="I94" s="3" t="inlineStr">
        <is>
          <t>NUOVI LABORATORI</t>
        </is>
      </c>
      <c r="J94" s="3" t="inlineStr">
        <is>
          <t>OPERE GENERICHE</t>
        </is>
      </c>
      <c r="K94" s="3" t="inlineStr">
        <is>
          <t xml:space="preserve">OPERA: STRATO DI FONDAZIONE STRADALE, IN MISTO GRANULARE DI ROCCIA NATURALE CALCAREA/DOLOMITICA; IMPIEGO: STRADA EXTRAURBANA. INCLUSO: MATERIALI DI APPORTO O VAGLIATURA. </t>
        </is>
      </c>
      <c r="L94" s="3" t="inlineStr">
        <is>
          <t>OPERA: STRATO DI FONDAZIONE STRADALE, IN MISTO GRANULARE DI ROCCIA NATURALE CALCAREA/DOLOMITICA; IMPIEGO: STRADA EXTRAURBANA. INCLUSO: MATERIALI DI APPORTO O VAGLIATURA. 
LAVORO: FORMAZIONE. INCLUSO: COSTIPAMENTO GETTO. 
SPECIFICHE TECNICHE: IN MISTO GRANULARE STABILIZZATO CON LEGANTE NATURALE. 
COMPONENTI: 
OP1 OPERA: STRATO DI FONDAZIONE STRADALE, IN MISTO GRANULARE DI ROCCIA NATURALE CALCAREA/DOLOMITICA; IMPIEGO: STRADA EXTRAURBANA. INCLUSO: MATERIALI DI APPORTO O VAGLIATURA. 
SPECIFICHE TECNICHE: IN MISTO GRANULARE STABILIZZATO CON LEGANTE NATURALE. 
RM2 AGGREGATO MISTO GRANULARE DI ROCCIA NATURALE MINERALE; PESO SPECIFICO MEDIO [KG/M³] = 1800 
SPECIFICHE TECNICHE: DI SABBIA E GHIAIA 
RM2 LEGANTE IDRAULICI DI CALCE GENERICO; GEOMETRIA/FORMA/ASPETTO: SFUSO; FORNITURA: SACCHI 
LV1 LAVORO: FORMAZIONE. INCLUSO: COSTIPAMENTO GETTO. 
RP2 MOTOLIVELLATRICE (GRADER); POTENZA [KW] &gt; 50 
SPECIFICHE TECNICHE: CRITERIO DI MISURAZIONE: ORE DI PRESENZA IN CANTIERE 
RP2 RULLO COMPRESSORE; PESO [T] ≤ 9,0 
SPECIFICHE TECNICHE: MONOTAMBURO; CRITERIO DI MISURAZIONE: ORE DI PRESENZA IN CANTIERE 
RP2 AUTOBETONIERA; PORTATA [M³] ≤ 12,0 
SPECIFICHE TECNICHE: CRITERIO DI MISURAZIONE: ORE DI PRESENZA IN CANTIERE</t>
        </is>
      </c>
      <c r="M94" s="4" t="inlineStr">
        <is>
          <t>M³</t>
        </is>
      </c>
      <c r="N94" s="5" t="n">
        <v>48</v>
      </c>
      <c r="O94" s="6" t="n">
        <v>35.27</v>
      </c>
      <c r="P94" s="6" t="n">
        <v>1692.96</v>
      </c>
      <c r="Q94" s="5" t="n"/>
      <c r="R94" s="6" t="n"/>
      <c r="S94" s="6">
        <f>IF(AND(Q94&lt;&gt;"",R94&lt;&gt;""),Q94*R94,"")</f>
        <v/>
      </c>
      <c r="T94" s="6">
        <f>IF(S94="",P94,S94)</f>
        <v/>
      </c>
      <c r="U94" s="7" t="n">
        <v>0</v>
      </c>
      <c r="V94" s="6">
        <f>$T94*U94</f>
        <v/>
      </c>
      <c r="W94" s="7" t="n">
        <v>0</v>
      </c>
      <c r="X94" s="6">
        <f>$T94*W94</f>
        <v/>
      </c>
      <c r="Y94" s="7" t="n">
        <v>0</v>
      </c>
      <c r="Z94" s="6">
        <f>$T94*Y94</f>
        <v/>
      </c>
      <c r="AA94" s="7" t="n">
        <v>0</v>
      </c>
      <c r="AB94" s="6">
        <f>$T94*AA94</f>
        <v/>
      </c>
      <c r="AC94" s="7" t="n">
        <v>0</v>
      </c>
      <c r="AD94" s="6">
        <f>$T94*AC94</f>
        <v/>
      </c>
      <c r="AE94" s="7" t="n">
        <v>0</v>
      </c>
      <c r="AF94" s="6">
        <f>$T94*AE94</f>
        <v/>
      </c>
      <c r="AG94" s="7" t="n">
        <v>0</v>
      </c>
      <c r="AH94" s="6">
        <f>$T94*AG94</f>
        <v/>
      </c>
      <c r="AI94" s="7">
        <f>U94+W94+Y94+AA94+AC94+AE94+AG94</f>
        <v/>
      </c>
      <c r="AJ94" s="6">
        <f>V94+X94+Z94+AB94+AD94+AF94+AH94</f>
        <v/>
      </c>
    </row>
    <row r="95" ht="60" customHeight="1" s="35">
      <c r="A95" s="3" t="inlineStr">
        <is>
          <t>LOM241.OC.EEA.A16.C0900.ZB005.0005</t>
        </is>
      </c>
      <c r="B95" s="4" t="inlineStr">
        <is>
          <t>1/2</t>
        </is>
      </c>
      <c r="C95" s="3" t="inlineStr">
        <is>
          <t>EDILE</t>
        </is>
      </c>
      <c r="D95" s="4" t="inlineStr">
        <is>
          <t>NON SPECIALE</t>
        </is>
      </c>
      <c r="E95" s="4" t="inlineStr">
        <is>
          <t>EDILI</t>
        </is>
      </c>
      <c r="F95" s="3" t="inlineStr">
        <is>
          <t>1_2025.11.20_CME REV07.PDF</t>
        </is>
      </c>
      <c r="G95" s="4" t="inlineStr">
        <is>
          <t>42</t>
        </is>
      </c>
      <c r="H95" s="3" t="inlineStr">
        <is>
          <t>60 - FINITURE</t>
        </is>
      </c>
      <c r="I95" s="3" t="inlineStr">
        <is>
          <t>NUOVI LABORATORI</t>
        </is>
      </c>
      <c r="J95" s="3" t="inlineStr">
        <is>
          <t>OPERE GENERICHE</t>
        </is>
      </c>
      <c r="K95" s="3" t="inlineStr">
        <is>
          <t xml:space="preserve">OPERA: STRATO DI INTONACATURA, CIVILE DI MATERIA MIX CALCE-CEMENTO; IMPIEGO: SUPERFICI VERTICALI | SUPERFICI ESTERNE. </t>
        </is>
      </c>
      <c r="L95" s="3" t="inlineStr">
        <is>
          <t>OPERA: STRATO DI INTONACATURA, CIVILE DI MATERIA MIX CALCE-CEMENTO; IMPIEGO: SUPERFICI VERTICALI | SUPERFICI ESTERNE. 
LAVORO: STESURA. INCLUSO: RINZAFFO, ARRICCIATURA . ESCLUSO: PONTEGGI ESTERNI. 
SPECIFICHE TECNICHE: RINZAFFO RUSTICO IN MALTA BASTARDA O A BASE DI LEGANTI AEREI O IDRAULICI, ARRICCIATURA IN STABILITURA DI CALCE IDRATA O DI CEMENTO; SU SUPERFICIE INTERNE VERTICALI. 
COMPONENTI: 
OP1 OPERA: STRATO DI INTONACATURA, CIVILE DI MATERIA MIX CALCE-CEMENTO; IMPIEGO: SUPERFICI VERTICALI | SUPERFICI ESTERNE. 
RM2 IMPASTO PRECONFEZIONATO DI CALCE GRASSELLO; IMPIEGO: CONGLOMERATO CEMENTIZIO; FORNITURA: SACCHI; DENSITÀ [KG/M³] = 1350 
SPECIFICHE TECNICHE: IMPASTO DI CALCESTRUZZO A PRESTAZIONE CONFEZIONATO IN IMPIANTO DI BETONAGGIO 
PO2 PRODOTTO SEMILAVORATO: MALTA, BASTARDA IN CEMENTO GENERICO. 
LAVORO: FORMAZIONE, CON MEZZO MECCANICO. 
SPECIFICHE TECNICHE: CONFEZIONATA IN BETONIERA; DOSAGGIO PER M³: CEMENTO [KG] = 100 | CALCE EMINENTEMENTE IDRAULICA [KG] = 350. 
LV1 LAVORO: STESURA. INCLUSO: RINZAFFO, ARRICCIATURA . ESCLUSO: PONTEGGI ESTERNI. 
SPECIFICHE TECNICHE: RINZAFFO RUSTICO IN MALTA BASTARDA O A BASE DI LEGANTI AEREI O IDRAULICI, ARRICCIATURA IN STABILITURA DI CALCE IDRATA O DI CEMENTO; SU SUPERFICIE INTERNE VERTICALI.</t>
        </is>
      </c>
      <c r="M95" s="4" t="inlineStr">
        <is>
          <t>M²</t>
        </is>
      </c>
      <c r="N95" s="5" t="n">
        <v>549.16</v>
      </c>
      <c r="O95" s="6" t="n">
        <v>16.46</v>
      </c>
      <c r="P95" s="6" t="n">
        <v>9039.17</v>
      </c>
      <c r="Q95" s="5" t="n"/>
      <c r="R95" s="6" t="n"/>
      <c r="S95" s="6">
        <f>IF(AND(Q95&lt;&gt;"",R95&lt;&gt;""),Q95*R95,"")</f>
        <v/>
      </c>
      <c r="T95" s="6">
        <f>IF(S95="",P95,S95)</f>
        <v/>
      </c>
      <c r="U95" s="7" t="n">
        <v>0</v>
      </c>
      <c r="V95" s="6">
        <f>$T95*U95</f>
        <v/>
      </c>
      <c r="W95" s="7" t="n">
        <v>1</v>
      </c>
      <c r="X95" s="6">
        <f>$T95*W95</f>
        <v/>
      </c>
      <c r="Y95" s="7" t="n">
        <v>0</v>
      </c>
      <c r="Z95" s="6">
        <f>$T95*Y95</f>
        <v/>
      </c>
      <c r="AA95" s="7" t="n">
        <v>0</v>
      </c>
      <c r="AB95" s="6">
        <f>$T95*AA95</f>
        <v/>
      </c>
      <c r="AC95" s="7" t="n">
        <v>0</v>
      </c>
      <c r="AD95" s="6">
        <f>$T95*AC95</f>
        <v/>
      </c>
      <c r="AE95" s="7" t="n">
        <v>0</v>
      </c>
      <c r="AF95" s="6">
        <f>$T95*AE95</f>
        <v/>
      </c>
      <c r="AG95" s="7" t="n">
        <v>0</v>
      </c>
      <c r="AH95" s="6">
        <f>$T95*AG95</f>
        <v/>
      </c>
      <c r="AI95" s="7">
        <f>U95+W95+Y95+AA95+AC95+AE95+AG95</f>
        <v/>
      </c>
      <c r="AJ95" s="6">
        <f>V95+X95+Z95+AB95+AD95+AF95+AH95</f>
        <v/>
      </c>
    </row>
    <row r="96" ht="60" customHeight="1" s="35">
      <c r="A96" s="3" t="inlineStr">
        <is>
          <t>PA.ARC.01</t>
        </is>
      </c>
      <c r="B96" s="4" t="inlineStr">
        <is>
          <t>1/4</t>
        </is>
      </c>
      <c r="C96" s="3" t="inlineStr">
        <is>
          <t>EDILE</t>
        </is>
      </c>
      <c r="D96" s="4" t="inlineStr">
        <is>
          <t>NON SPECIALE</t>
        </is>
      </c>
      <c r="E96" s="4" t="inlineStr">
        <is>
          <t>EDILI</t>
        </is>
      </c>
      <c r="F96" s="3" t="inlineStr">
        <is>
          <t>1_2025.11.20_CME REV07.PDF</t>
        </is>
      </c>
      <c r="G96" s="4" t="inlineStr">
        <is>
          <t>43</t>
        </is>
      </c>
      <c r="H96" s="3" t="inlineStr">
        <is>
          <t>60 - FINITURE</t>
        </is>
      </c>
      <c r="I96" s="3" t="inlineStr">
        <is>
          <t>NUOVI LABORATORI</t>
        </is>
      </c>
      <c r="J96" s="3" t="inlineStr">
        <is>
          <t>OPERE GENERICHE</t>
        </is>
      </c>
      <c r="K96" s="3" t="inlineStr">
        <is>
          <t>STRUTTURA METALLICA PER PARETI DIVISORIE INTERNE E TAMPONATURE ESTERNE. STRUTTURA METALLICA PER PARETI DIVISORIE, CONTROPARETI E TAMPONATURE A SECCO, FORNITA E POSTA IN OPERA, DI SPESSORE VARIABILE DI</t>
        </is>
      </c>
      <c r="L96" s="3" t="inlineStr">
        <is>
          <t>STRUTTURA METALLICA PER PARETI DIVISORIE INTERNE E TAMPONATURE ESTERNE. STRUTTURA METALLICA PER PARETI DIVISORIE, CONTROPARETI E TAMPONATURE A SECCO, FORNITA E POSTA IN OPERA, DI SPESSORE VARIABILE DI CM. 5/7,5/10/15 (OLTRE LO SPESSORE DELLE LASTRE) COSTITUITA DA PROFILATI METALLICI A C ZINCATI DELLO SPESSORE DI 0,6 O 0,8 MM. POSTI IN VERTICALE CON UN INTERASSE VARIABILE DI CM. 30/40/60 IN FUNZIONE DELL'ALTEZZA DELLA PARETE E DELLE CARATTERISTICHE DI RESISTENZA RICHIESTE E POSTI IN ORIZZONTALE A PAVIMENTO E SOFFITTO ANCORATI CON FISSAGGI MECCANICI, COMPLETI DELL' APPLICAZIONE SU TUTTO IL PERIMETRO DI NASTRI ADESIVI DI IDONEO MATERIALE ATTO AD ELIMINARE EVENTUALI PONTI ACUSTICI. E' COMPRESO IL TAGLIO E LO SFRIDO, IL MATERIALE DI FISSAGGIO, IL TRASPORTO IN CANTIERE, LO SMISTAMENTO AL PIANO, L'ONERE PER LA SAGOMATURA DELLE APERTURE, LA FORNITURA E POSA IN OPERA DI MORALETTI IN LEGNO POSTI SUI LATI DELL'APERTURA PER GARANTIRE IL FISSAGGIO DEI SERRAMENTI. E' INOLTRE COMPRESO QUANTO ALTRO OCCORRE PER DARE L'OPERA FINITA.  STRUTTURA METALLICA DELLO SPESSORE DI CM. 7,5 COSTITUITA DA PROFILATI A C DELLE DIMENSIONI ASSIMILABILI A MM 50X75X50 SPESSORE 0,6 MM. INTERASSE 60 CM. RIFERIMENTO PREZZARIO UMBRIA 2024. TARIFFA: 07.04.0010.004</t>
        </is>
      </c>
      <c r="M96" s="4" t="inlineStr">
        <is>
          <t>MQ</t>
        </is>
      </c>
      <c r="N96" s="5" t="n">
        <v>156.47</v>
      </c>
      <c r="O96" s="6" t="n">
        <v>11.54</v>
      </c>
      <c r="P96" s="6" t="n">
        <v>1805.66</v>
      </c>
      <c r="Q96" s="5" t="n"/>
      <c r="R96" s="6" t="n"/>
      <c r="S96" s="6">
        <f>IF(AND(Q96&lt;&gt;"",R96&lt;&gt;""),Q96*R96,"")</f>
        <v/>
      </c>
      <c r="T96" s="6">
        <f>IF(S96="",P96,S96)</f>
        <v/>
      </c>
      <c r="U96" s="7" t="n">
        <v>0</v>
      </c>
      <c r="V96" s="6">
        <f>$T96*U96</f>
        <v/>
      </c>
      <c r="W96" s="7" t="n">
        <v>0.3</v>
      </c>
      <c r="X96" s="6">
        <f>$T96*W96</f>
        <v/>
      </c>
      <c r="Y96" s="7" t="n">
        <v>0</v>
      </c>
      <c r="Z96" s="6">
        <f>$T96*Y96</f>
        <v/>
      </c>
      <c r="AA96" s="7" t="n">
        <v>0</v>
      </c>
      <c r="AB96" s="6">
        <f>$T96*AA96</f>
        <v/>
      </c>
      <c r="AC96" s="7" t="n">
        <v>0</v>
      </c>
      <c r="AD96" s="6">
        <f>$T96*AC96</f>
        <v/>
      </c>
      <c r="AE96" s="7" t="n">
        <v>0</v>
      </c>
      <c r="AF96" s="6">
        <f>$T96*AE96</f>
        <v/>
      </c>
      <c r="AG96" s="7" t="n">
        <v>0</v>
      </c>
      <c r="AH96" s="6">
        <f>$T96*AG96</f>
        <v/>
      </c>
      <c r="AI96" s="7">
        <f>U96+W96+Y96+AA96+AC96+AE96+AG96</f>
        <v/>
      </c>
      <c r="AJ96" s="6">
        <f>V96+X96+Z96+AB96+AD96+AF96+AH96</f>
        <v/>
      </c>
    </row>
    <row r="97" ht="60" customHeight="1" s="35">
      <c r="A97" s="3" t="inlineStr">
        <is>
          <t>PA.ARC.01</t>
        </is>
      </c>
      <c r="B97" s="4" t="inlineStr">
        <is>
          <t>2/4</t>
        </is>
      </c>
      <c r="C97" s="3" t="inlineStr">
        <is>
          <t>EDILE</t>
        </is>
      </c>
      <c r="D97" s="4" t="inlineStr">
        <is>
          <t>NON SPECIALE</t>
        </is>
      </c>
      <c r="E97" s="4" t="inlineStr">
        <is>
          <t>EDILI</t>
        </is>
      </c>
      <c r="F97" s="3" t="inlineStr">
        <is>
          <t>1_2025.11.20_CME REV07.PDF</t>
        </is>
      </c>
      <c r="G97" s="4" t="inlineStr">
        <is>
          <t>47</t>
        </is>
      </c>
      <c r="H97" s="3" t="inlineStr">
        <is>
          <t>60 - FINITURE</t>
        </is>
      </c>
      <c r="I97" s="3" t="inlineStr">
        <is>
          <t>NUOVI LABORATORI</t>
        </is>
      </c>
      <c r="J97" s="3" t="inlineStr">
        <is>
          <t>OPERE GENERICHE</t>
        </is>
      </c>
      <c r="K97" s="3" t="inlineStr">
        <is>
          <t>STRUTTURA METALLICA PER PARETI DIVISORIE INTERNE E TAMPONATURE ESTERNE. STRUTTURA METALLICA PER PARETI DIVISORIE, CONTROPARETI E TAMPONATURE A SECCO, FORNITA E POSTA IN OPERA, DI SPESSORE VARIABILE DI</t>
        </is>
      </c>
      <c r="L97" s="3" t="inlineStr">
        <is>
          <t>STRUTTURA METALLICA PER PARETI DIVISORIE INTERNE E TAMPONATURE ESTERNE. STRUTTURA METALLICA PER PARETI DIVISORIE, CONTROPARETI E TAMPONATURE A SECCO, FORNITA E POSTA IN OPERA, DI SPESSORE VARIABILE DI CM. 5/7,5/10/15 (OLTRE LO SPESSORE DELLE LASTRE) COSTITUITA DA PROFILATI METALLICI A C ZINCATI DELLO SPESSORE DI 0,6 O 0,8 MM. POSTI IN VERTICALE CON UN INTERASSE VARIABILE DI CM. 30/40/60 IN FUNZIONE DELL'ALTEZZA DELLA PARETE E DELLE CARATTERISTICHE DI RESISTENZA RICHIESTE E POSTI IN ORIZZONTALE A PAVIMENTO E SOFFITTO ANCORATI CON FISSAGGI MECCANICI, COMPLETI DELL' APPLICAZIONE SU TUTTO IL PERIMETRO DI NASTRI ADESIVI DI IDONEO MATERIALE ATTO AD ELIMINARE EVENTUALI PONTI ACUSTICI. E' COMPRESO IL TAGLIO E LO SFRIDO, IL MATERIALE DI FISSAGGIO, IL TRASPORTO IN CANTIERE, LO SMISTAMENTO AL PIANO, L'ONERE PER LA SAGOMATURA DELLE APERTURE, LA FORNITURA E POSA IN OPERA DI MORALETTI IN LEGNO POSTI SUI LATI DELL'APERTURA PER GARANTIRE IL FISSAGGIO DEI SERRAMENTI. E' INOLTRE COMPRESO QUANTO ALTRO OCCORRE PER DARE L'OPERA FINITA.  STRUTTURA METALLICA DELLO SPESSORE DI CM. 7,5 COSTITUITA DA PROFILATI A C DELLE DIMENSIONI ASSIMILABILI A MM 50X75X50 SPESSORE 0,6 MM. INTERASSE 60 CM. RIFERIMENTO PREZZARIO UMBRIA 2024. TARIFFA: 07.04.0010.004</t>
        </is>
      </c>
      <c r="M97" s="4" t="inlineStr">
        <is>
          <t>MQ</t>
        </is>
      </c>
      <c r="N97" s="5" t="n">
        <v>86.72</v>
      </c>
      <c r="O97" s="6" t="n">
        <v>11.54</v>
      </c>
      <c r="P97" s="6" t="n">
        <v>1000.75</v>
      </c>
      <c r="Q97" s="5" t="n"/>
      <c r="R97" s="6" t="n"/>
      <c r="S97" s="6">
        <f>IF(AND(Q97&lt;&gt;"",R97&lt;&gt;""),Q97*R97,"")</f>
        <v/>
      </c>
      <c r="T97" s="6">
        <f>IF(S97="",P97,S97)</f>
        <v/>
      </c>
      <c r="U97" s="7" t="n">
        <v>0</v>
      </c>
      <c r="V97" s="6">
        <f>$T97*U97</f>
        <v/>
      </c>
      <c r="W97" s="7" t="n">
        <v>0.3</v>
      </c>
      <c r="X97" s="6">
        <f>$T97*W97</f>
        <v/>
      </c>
      <c r="Y97" s="7" t="n">
        <v>0</v>
      </c>
      <c r="Z97" s="6">
        <f>$T97*Y97</f>
        <v/>
      </c>
      <c r="AA97" s="7" t="n">
        <v>0</v>
      </c>
      <c r="AB97" s="6">
        <f>$T97*AA97</f>
        <v/>
      </c>
      <c r="AC97" s="7" t="n">
        <v>0</v>
      </c>
      <c r="AD97" s="6">
        <f>$T97*AC97</f>
        <v/>
      </c>
      <c r="AE97" s="7" t="n">
        <v>0</v>
      </c>
      <c r="AF97" s="6">
        <f>$T97*AE97</f>
        <v/>
      </c>
      <c r="AG97" s="7" t="n">
        <v>0</v>
      </c>
      <c r="AH97" s="6">
        <f>$T97*AG97</f>
        <v/>
      </c>
      <c r="AI97" s="7">
        <f>U97+W97+Y97+AA97+AC97+AE97+AG97</f>
        <v/>
      </c>
      <c r="AJ97" s="6">
        <f>V97+X97+Z97+AB97+AD97+AF97+AH97</f>
        <v/>
      </c>
    </row>
    <row r="98" ht="60" customHeight="1" s="35">
      <c r="A98" s="3" t="inlineStr">
        <is>
          <t>PA.ARC.01</t>
        </is>
      </c>
      <c r="B98" s="4" t="inlineStr">
        <is>
          <t>3/4</t>
        </is>
      </c>
      <c r="C98" s="3" t="inlineStr">
        <is>
          <t>EDILE</t>
        </is>
      </c>
      <c r="D98" s="4" t="inlineStr">
        <is>
          <t>NON SPECIALE</t>
        </is>
      </c>
      <c r="E98" s="4" t="inlineStr">
        <is>
          <t>EDILI</t>
        </is>
      </c>
      <c r="F98" s="3" t="inlineStr">
        <is>
          <t>1_2025.11.20_CME REV07.PDF</t>
        </is>
      </c>
      <c r="G98" s="4" t="inlineStr">
        <is>
          <t>53</t>
        </is>
      </c>
      <c r="H98" s="3" t="inlineStr">
        <is>
          <t>60 - FINITURE</t>
        </is>
      </c>
      <c r="I98" s="3" t="inlineStr">
        <is>
          <t>NUOVI LABORATORI</t>
        </is>
      </c>
      <c r="J98" s="3" t="inlineStr">
        <is>
          <t>OPERE GENERICHE</t>
        </is>
      </c>
      <c r="K98" s="3" t="inlineStr">
        <is>
          <t>STRUTTURA METALLICA PER PARETI DIVISORIE INTERNE E TAMPONATURE ESTERNE. STRUTTURA METALLICA PER PARETI DIVISORIE, CONTROPARETI E TAMPONATURE A SECCO, FORNITA E POSTA IN OPERA, DI SPESSORE VARIABILE DI</t>
        </is>
      </c>
      <c r="L98" s="3" t="inlineStr">
        <is>
          <t>STRUTTURA METALLICA PER PARETI DIVISORIE INTERNE E TAMPONATURE ESTERNE. STRUTTURA METALLICA PER PARETI DIVISORIE, CONTROPARETI E TAMPONATURE A SECCO, FORNITA E POSTA IN OPERA, DI SPESSORE VARIABILE DI CM. 5/7,5/10/15 (OLTRE LO SPESSORE DELLE LASTRE) COSTITUITA DA PROFILATI METALLICI A C ZINCATI DELLO SPESSORE DI 0,6 O 0,8 MM. POSTI IN VERTICALE CON UN INTERASSE VARIABILE DI CM. 30/40/60 IN FUNZIONE DELL'ALTEZZA DELLA PARETE E DELLE CARATTERISTICHE DI RESISTENZA RICHIESTE E POSTI IN ORIZZONTALE A PAVIMENTO E SOFFITTO ANCORATI CON FISSAGGI MECCANICI, COMPLETI DELL' APPLICAZIONE SU TUTTO IL PERIMETRO DI NASTRI ADESIVI DI IDONEO MATERIALE ATTO AD ELIMINARE EVENTUALI PONTI ACUSTICI. E' COMPRESO IL TAGLIO E LO SFRIDO, IL MATERIALE DI FISSAGGIO, IL TRASPORTO IN CANTIERE, LO SMISTAMENTO AL PIANO, L'ONERE PER LA SAGOMATURA DELLE APERTURE, LA FORNITURA E POSA IN OPERA DI MORALETTI IN LEGNO POSTI SUI LATI DELL'APERTURA PER GARANTIRE IL FISSAGGIO DEI SERRAMENTI. E' INOLTRE COMPRESO QUANTO ALTRO OCCORRE PER DARE L'OPERA FINITA.  STRUTTURA METALLICA DELLO SPESSORE DI CM. 7,5 COSTITUITA DA PROFILATI A C DELLE DIMENSIONI ASSIMILABILI A MM 50X75X50 SPESSORE 0,6 MM. INTERASSE 60 CM. RIFERIMENTO PREZZARIO UMBRIA 2024. TARIFFA: 07.04.0010.004</t>
        </is>
      </c>
      <c r="M98" s="4" t="inlineStr">
        <is>
          <t>MQ</t>
        </is>
      </c>
      <c r="N98" s="5" t="n">
        <v>25.12</v>
      </c>
      <c r="O98" s="6" t="n">
        <v>11.54</v>
      </c>
      <c r="P98" s="6" t="n">
        <v>289.88</v>
      </c>
      <c r="Q98" s="5" t="n"/>
      <c r="R98" s="6" t="n"/>
      <c r="S98" s="6">
        <f>IF(AND(Q98&lt;&gt;"",R98&lt;&gt;""),Q98*R98,"")</f>
        <v/>
      </c>
      <c r="T98" s="6">
        <f>IF(S98="",P98,S98)</f>
        <v/>
      </c>
      <c r="U98" s="7" t="n">
        <v>0</v>
      </c>
      <c r="V98" s="6">
        <f>$T98*U98</f>
        <v/>
      </c>
      <c r="W98" s="7" t="n">
        <v>0.3</v>
      </c>
      <c r="X98" s="6">
        <f>$T98*W98</f>
        <v/>
      </c>
      <c r="Y98" s="7" t="n">
        <v>0</v>
      </c>
      <c r="Z98" s="6">
        <f>$T98*Y98</f>
        <v/>
      </c>
      <c r="AA98" s="7" t="n">
        <v>0</v>
      </c>
      <c r="AB98" s="6">
        <f>$T98*AA98</f>
        <v/>
      </c>
      <c r="AC98" s="7" t="n">
        <v>0</v>
      </c>
      <c r="AD98" s="6">
        <f>$T98*AC98</f>
        <v/>
      </c>
      <c r="AE98" s="7" t="n">
        <v>0</v>
      </c>
      <c r="AF98" s="6">
        <f>$T98*AE98</f>
        <v/>
      </c>
      <c r="AG98" s="7" t="n">
        <v>0</v>
      </c>
      <c r="AH98" s="6">
        <f>$T98*AG98</f>
        <v/>
      </c>
      <c r="AI98" s="7">
        <f>U98+W98+Y98+AA98+AC98+AE98+AG98</f>
        <v/>
      </c>
      <c r="AJ98" s="6">
        <f>V98+X98+Z98+AB98+AD98+AF98+AH98</f>
        <v/>
      </c>
    </row>
    <row r="99" ht="60" customHeight="1" s="35">
      <c r="A99" s="3" t="inlineStr">
        <is>
          <t>PA.ARC.02</t>
        </is>
      </c>
      <c r="B99" s="4" t="inlineStr">
        <is>
          <t>1/2</t>
        </is>
      </c>
      <c r="C99" s="3" t="inlineStr">
        <is>
          <t>EDILE</t>
        </is>
      </c>
      <c r="D99" s="4" t="inlineStr">
        <is>
          <t>NON SPECIALE</t>
        </is>
      </c>
      <c r="E99" s="4" t="inlineStr">
        <is>
          <t>EDILI</t>
        </is>
      </c>
      <c r="F99" s="3" t="inlineStr">
        <is>
          <t>1_2025.11.20_CME REV07.PDF</t>
        </is>
      </c>
      <c r="G99" s="4" t="inlineStr">
        <is>
          <t>56</t>
        </is>
      </c>
      <c r="H99" s="3" t="inlineStr">
        <is>
          <t>60 - FINITURE</t>
        </is>
      </c>
      <c r="I99" s="3" t="inlineStr">
        <is>
          <t>NUOVI LABORATORI</t>
        </is>
      </c>
      <c r="J99" s="3" t="inlineStr">
        <is>
          <t>OPERE GENERICHE</t>
        </is>
      </c>
      <c r="K99" s="3" t="inlineStr">
        <is>
          <t>STRUTTURA METALLICA PER PARETI DIVISORIE INTERNE E TAMPONATURE ESTERNE. STRUTTURA METALLICA PER PARETI DIVISORIE, CONTROPARETI E TAMPONATURE A SECCO, FORNITA E POSTA IN OPERA, DI SPESSORE VARIABILE DI</t>
        </is>
      </c>
      <c r="L99" s="3" t="inlineStr">
        <is>
          <t>STRUTTURA METALLICA PER PARETI DIVISORIE INTERNE E TAMPONATURE ESTERNE. STRUTTURA METALLICA PER PARETI DIVISORIE, CONTROPARETI E TAMPONATURE A SECCO, FORNITA E POSTA IN OPERA, DI SPESSORE VARIABILE DI CM. 5/7,5/10/15 (OLTRE LO SPESSORE DELLE LASTRE) COSTITUITA DA PROFILATI METALLICI A C ZINCATI DELLO SPESSORE DI 0,6 O 0,8 MM. POSTI IN VERTICALE CON UN INTERASSE VARIABILE DI CM. 30/40/60 IN FUNZIONE DELL'ALTEZZA DELLA PARETE E DELLE CARATTERISTICHE DI RESISTENZA RICHIESTE E POSTI IN ORIZZONTALE A PAVIMENTO E SOFFITTO ANCORATI CON FISSAGGI MECCANICI, COMPLETI DELL' APPLICAZIONE SU TUTTO IL PERIMETRO DI NASTRI ADESIVI DI IDONEO MATERIALE ATTO AD ELIMINARE EVENTUALI PONTI ACUSTICI. E' COMPRESO IL TAGLIO E LO SFRIDO, IL MATERIALE DI FISSAGGIO, IL TRASPORTO IN CANTIERE, LO SMISTAMENTO AL PIANO, L'ONERE PER LA SAGOMATURA DELLE APERTURE, LA FORNITURA E POSA IN OPERA DI MORALETTI IN LEGNO POSTI SUI LATI DELL'APERTURA PER GARANTIRE IL FISSAGGIO DEI SERRAMENTI. E' INOLTRE COMPRESO QUANTO ALTRO OCCORRE PER DARE L'OPERA FINITA.  STRUTTURA METALLICA DELLO SPESSORE DI CM. 10 COSTITUITA DA PROFILATI A C DELLE DIMENSIONI ASSIMILABILI A MM 50X100X50 SPESSORE 0,6 MM. INTERASSE 60 CM. CON ORDITURA VERTICALE DOPPIA TIPO SCHIENA-SCHIENA O DORSO-DORSO. RIFERIMENTO PREZZARIO UMBRIA 2024. TARIFFA: 07.04.0010.018</t>
        </is>
      </c>
      <c r="M99" s="4" t="inlineStr">
        <is>
          <t>MQ</t>
        </is>
      </c>
      <c r="N99" s="5" t="n">
        <v>12.75</v>
      </c>
      <c r="O99" s="6" t="n">
        <v>14.81</v>
      </c>
      <c r="P99" s="6" t="n">
        <v>188.83</v>
      </c>
      <c r="Q99" s="5" t="n"/>
      <c r="R99" s="6" t="n"/>
      <c r="S99" s="6">
        <f>IF(AND(Q99&lt;&gt;"",R99&lt;&gt;""),Q99*R99,"")</f>
        <v/>
      </c>
      <c r="T99" s="6">
        <f>IF(S99="",P99,S99)</f>
        <v/>
      </c>
      <c r="U99" s="7" t="n">
        <v>0</v>
      </c>
      <c r="V99" s="6">
        <f>$T99*U99</f>
        <v/>
      </c>
      <c r="W99" s="7" t="n">
        <v>0.3</v>
      </c>
      <c r="X99" s="6">
        <f>$T99*W99</f>
        <v/>
      </c>
      <c r="Y99" s="7" t="n">
        <v>0</v>
      </c>
      <c r="Z99" s="6">
        <f>$T99*Y99</f>
        <v/>
      </c>
      <c r="AA99" s="7" t="n">
        <v>0</v>
      </c>
      <c r="AB99" s="6">
        <f>$T99*AA99</f>
        <v/>
      </c>
      <c r="AC99" s="7" t="n">
        <v>0</v>
      </c>
      <c r="AD99" s="6">
        <f>$T99*AC99</f>
        <v/>
      </c>
      <c r="AE99" s="7" t="n">
        <v>0</v>
      </c>
      <c r="AF99" s="6">
        <f>$T99*AE99</f>
        <v/>
      </c>
      <c r="AG99" s="7" t="n">
        <v>0</v>
      </c>
      <c r="AH99" s="6">
        <f>$T99*AG99</f>
        <v/>
      </c>
      <c r="AI99" s="7">
        <f>U99+W99+Y99+AA99+AC99+AE99+AG99</f>
        <v/>
      </c>
      <c r="AJ99" s="6">
        <f>V99+X99+Z99+AB99+AD99+AF99+AH99</f>
        <v/>
      </c>
    </row>
    <row r="100" ht="60" customHeight="1" s="35">
      <c r="A100" s="3" t="inlineStr">
        <is>
          <t>PA.ARC.02</t>
        </is>
      </c>
      <c r="B100" s="4" t="inlineStr">
        <is>
          <t>2/2</t>
        </is>
      </c>
      <c r="C100" s="3" t="inlineStr">
        <is>
          <t>EDILE</t>
        </is>
      </c>
      <c r="D100" s="4" t="inlineStr">
        <is>
          <t>NON SPECIALE</t>
        </is>
      </c>
      <c r="E100" s="4" t="inlineStr">
        <is>
          <t>EDILI</t>
        </is>
      </c>
      <c r="F100" s="3" t="inlineStr">
        <is>
          <t>1_2025.11.20_CME REV07.PDF</t>
        </is>
      </c>
      <c r="G100" s="4" t="inlineStr">
        <is>
          <t>62</t>
        </is>
      </c>
      <c r="H100" s="3" t="inlineStr">
        <is>
          <t>60 - FINITURE</t>
        </is>
      </c>
      <c r="I100" s="3" t="inlineStr">
        <is>
          <t>NUOVI LABORATORI</t>
        </is>
      </c>
      <c r="J100" s="3" t="inlineStr">
        <is>
          <t>OPERE GENERICHE</t>
        </is>
      </c>
      <c r="K100" s="3" t="inlineStr">
        <is>
          <t>STRUTTURA METALLICA PER PARETI DIVISORIE INTERNE E TAMPONATURE ESTERNE. STRUTTURA METALLICA PER PARETI DIVISORIE, CONTROPARETI E TAMPONATURE A SECCO, FORNITA E POSTA IN OPERA, DI SPESSORE VARIABILE DI</t>
        </is>
      </c>
      <c r="L100" s="3" t="inlineStr">
        <is>
          <t>STRUTTURA METALLICA PER PARETI DIVISORIE INTERNE E TAMPONATURE ESTERNE. STRUTTURA METALLICA PER PARETI DIVISORIE, CONTROPARETI E TAMPONATURE A SECCO, FORNITA E POSTA IN OPERA, DI SPESSORE VARIABILE DI CM. 5/7,5/10/15 (OLTRE LO SPESSORE DELLE LASTRE) COSTITUITA DA PROFILATI METALLICI A C ZINCATI DELLO SPESSORE DI 0,6 O 0,8 MM. POSTI IN VERTICALE CON UN INTERASSE VARIABILE DI CM. 30/40/60 IN FUNZIONE DELL'ALTEZZA DELLA PARETE E DELLE CARATTERISTICHE DI RESISTENZA RICHIESTE E POSTI IN ORIZZONTALE A PAVIMENTO E SOFFITTO ANCORATI CON FISSAGGI MECCANICI, COMPLETI DELL' APPLICAZIONE SU TUTTO IL PERIMETRO DI NASTRI ADESIVI DI IDONEO MATERIALE ATTO AD ELIMINARE EVENTUALI PONTI ACUSTICI. E' COMPRESO IL TAGLIO E LO SFRIDO, IL MATERIALE DI FISSAGGIO, IL TRASPORTO IN CANTIERE, LO SMISTAMENTO AL PIANO, L'ONERE PER LA SAGOMATURA DELLE APERTURE, LA FORNITURA E POSA IN OPERA DI MORALETTI IN LEGNO POSTI SUI LATI DELL'APERTURA PER GARANTIRE IL FISSAGGIO DEI SERRAMENTI. E' INOLTRE COMPRESO QUANTO ALTRO OCCORRE PER DARE L'OPERA FINITA.  STRUTTURA METALLICA DELLO SPESSORE DI CM. 10 COSTITUITA DA PROFILATI A C DELLE DIMENSIONI ASSIMILABILI A MM 50X100X50 SPESSORE 0,6 MM. INTERASSE 60 CM. CON ORDITURA VERTICALE DOPPIA TIPO SCHIENA-SCHIENA O DORSO-DORSO. RIFERIMENTO PREZZARIO UMBRIA 2024. TARIFFA: 07.04.0010.018</t>
        </is>
      </c>
      <c r="M100" s="4" t="inlineStr">
        <is>
          <t>MQ</t>
        </is>
      </c>
      <c r="N100" s="5" t="n">
        <v>9.880000000000001</v>
      </c>
      <c r="O100" s="6" t="n">
        <v>14.81</v>
      </c>
      <c r="P100" s="6" t="n">
        <v>146.32</v>
      </c>
      <c r="Q100" s="5" t="n"/>
      <c r="R100" s="6" t="n"/>
      <c r="S100" s="6">
        <f>IF(AND(Q100&lt;&gt;"",R100&lt;&gt;""),Q100*R100,"")</f>
        <v/>
      </c>
      <c r="T100" s="6">
        <f>IF(S100="",P100,S100)</f>
        <v/>
      </c>
      <c r="U100" s="7" t="n">
        <v>0</v>
      </c>
      <c r="V100" s="6">
        <f>$T100*U100</f>
        <v/>
      </c>
      <c r="W100" s="7" t="n">
        <v>0.3</v>
      </c>
      <c r="X100" s="6">
        <f>$T100*W100</f>
        <v/>
      </c>
      <c r="Y100" s="7" t="n">
        <v>0</v>
      </c>
      <c r="Z100" s="6">
        <f>$T100*Y100</f>
        <v/>
      </c>
      <c r="AA100" s="7" t="n">
        <v>0</v>
      </c>
      <c r="AB100" s="6">
        <f>$T100*AA100</f>
        <v/>
      </c>
      <c r="AC100" s="7" t="n">
        <v>0</v>
      </c>
      <c r="AD100" s="6">
        <f>$T100*AC100</f>
        <v/>
      </c>
      <c r="AE100" s="7" t="n">
        <v>0</v>
      </c>
      <c r="AF100" s="6">
        <f>$T100*AE100</f>
        <v/>
      </c>
      <c r="AG100" s="7" t="n">
        <v>0</v>
      </c>
      <c r="AH100" s="6">
        <f>$T100*AG100</f>
        <v/>
      </c>
      <c r="AI100" s="7">
        <f>U100+W100+Y100+AA100+AC100+AE100+AG100</f>
        <v/>
      </c>
      <c r="AJ100" s="6">
        <f>V100+X100+Z100+AB100+AD100+AF100+AH100</f>
        <v/>
      </c>
    </row>
    <row r="101" ht="60" customHeight="1" s="35">
      <c r="A101" s="3" t="inlineStr">
        <is>
          <t>PA.ARC.10</t>
        </is>
      </c>
      <c r="B101" s="4" t="inlineStr">
        <is>
          <t>1/1</t>
        </is>
      </c>
      <c r="C101" s="3" t="inlineStr">
        <is>
          <t>EDILE</t>
        </is>
      </c>
      <c r="D101" s="4" t="inlineStr">
        <is>
          <t>NON SPECIALE</t>
        </is>
      </c>
      <c r="E101" s="4" t="inlineStr">
        <is>
          <t>EDILI</t>
        </is>
      </c>
      <c r="F101" s="3" t="inlineStr">
        <is>
          <t>1_2025.11.20_CME REV07.PDF</t>
        </is>
      </c>
      <c r="G101" s="4" t="inlineStr">
        <is>
          <t>67</t>
        </is>
      </c>
      <c r="H101" s="3" t="inlineStr">
        <is>
          <t>60 - FINITURE</t>
        </is>
      </c>
      <c r="I101" s="3" t="inlineStr">
        <is>
          <t>NUOVI LABORATORI</t>
        </is>
      </c>
      <c r="J101" s="3" t="inlineStr">
        <is>
          <t>OPERE GENERICHE</t>
        </is>
      </c>
      <c r="K101" s="3" t="inlineStr">
        <is>
          <t>PORTA A DUE ANTE SCORREVOLI CONTRAPPOSTE CON LATE-RALI FISSI COSTUITA DA:PROFILI IN ALLUMINIO ISOLATI A TAGLIO TERMICO CON FINI-TURA RAL STANDARD DA SCEGLIERE FRA LA NS. GAMMA;TRAVERSA PORTANTE CON LO</t>
        </is>
      </c>
      <c r="L101" s="3" t="inlineStr">
        <is>
          <t>PORTA A DUE ANTE SCORREVOLI CONTRAPPOSTE CON LATE-RALI FISSI COSTUITA DA:PROFILI IN ALLUMINIO ISOLATI A TAGLIO TERMICO CON FINI-TURA RAL STANDARD DA SCEGLIERE FRA LA NS. GAMMA;TRAVERSA PORTANTE CON LOGICA A MICROPROCESSORE;CARTER DI COPERTURA DELLA TRAVERSA IN ALLUMINIO;BATTERIA 24V;DOPPIO MOTORE PER SISTEMA RIDONDANTE CONFORMEALLA NORMA EN16005;SELETTORE DI PROGRAMMA OMS STANDARD CON CHIAVE;SCHEDA PER FUNZIONALITÀ AGGIUNTIVE;SENSORE DI IMPULSO E PRESENZA;SENSORE DI IMPULSO E PRESENZA;PULSANTE DI APERTURA D'EMERGENZA VERDE CON SCA-TOLA A MURO;ELETTROBLOCCO CHIUSO CON CORRENTE;SBLOCCO MECCANICO ESCLUSO;POSA IN OPERA, ALLACCIAMENTO E COLLAUDO; TAMPONAMENTO CON VETRI ISOLANTI COMPOSTI DA:ESTERNO: STRATIFICATO 44.1;INTERCAPEDINE: "WARM EDGE" CON ARGON;INTERNO: STRATIFICATO 44.1 BASSO EMISSIVO;ISOLAMENTO TERMICO VETRO: UG 1,1 W/MQ.K  PORTA DA INSERIRE IN FACCIATA CONTINUA;L 2700 X H 2650</t>
        </is>
      </c>
      <c r="M101" s="4" t="inlineStr">
        <is>
          <t>CAD</t>
        </is>
      </c>
      <c r="N101" s="5" t="n">
        <v>1</v>
      </c>
      <c r="O101" s="6" t="n">
        <v>11520.39</v>
      </c>
      <c r="P101" s="6" t="n">
        <v>11520.39</v>
      </c>
      <c r="Q101" s="5" t="n"/>
      <c r="R101" s="6" t="n"/>
      <c r="S101" s="6">
        <f>IF(AND(Q101&lt;&gt;"",R101&lt;&gt;""),Q101*R101,"")</f>
        <v/>
      </c>
      <c r="T101" s="6">
        <f>IF(S101="",P101,S101)</f>
        <v/>
      </c>
      <c r="U101" s="7" t="n">
        <v>0</v>
      </c>
      <c r="V101" s="6">
        <f>$T101*U101</f>
        <v/>
      </c>
      <c r="W101" s="7" t="n">
        <v>0.7</v>
      </c>
      <c r="X101" s="6">
        <f>$T101*W101</f>
        <v/>
      </c>
      <c r="Y101" s="7" t="n">
        <v>0</v>
      </c>
      <c r="Z101" s="6">
        <f>$T101*Y101</f>
        <v/>
      </c>
      <c r="AA101" s="7" t="n">
        <v>0</v>
      </c>
      <c r="AB101" s="6">
        <f>$T101*AA101</f>
        <v/>
      </c>
      <c r="AC101" s="7" t="n">
        <v>0</v>
      </c>
      <c r="AD101" s="6">
        <f>$T101*AC101</f>
        <v/>
      </c>
      <c r="AE101" s="7" t="n">
        <v>0</v>
      </c>
      <c r="AF101" s="6">
        <f>$T101*AE101</f>
        <v/>
      </c>
      <c r="AG101" s="7" t="n">
        <v>0</v>
      </c>
      <c r="AH101" s="6">
        <f>$T101*AG101</f>
        <v/>
      </c>
      <c r="AI101" s="7">
        <f>U101+W101+Y101+AA101+AC101+AE101+AG101</f>
        <v/>
      </c>
      <c r="AJ101" s="6">
        <f>V101+X101+Z101+AB101+AD101+AF101+AH101</f>
        <v/>
      </c>
    </row>
    <row r="102" ht="60" customHeight="1" s="35">
      <c r="A102" s="3" t="inlineStr">
        <is>
          <t>PA.ARC.12</t>
        </is>
      </c>
      <c r="B102" s="4" t="inlineStr">
        <is>
          <t>1/1</t>
        </is>
      </c>
      <c r="C102" s="3" t="inlineStr">
        <is>
          <t>EDILE</t>
        </is>
      </c>
      <c r="D102" s="4" t="inlineStr">
        <is>
          <t>NON SPECIALE</t>
        </is>
      </c>
      <c r="E102" s="4" t="inlineStr">
        <is>
          <t>EDILI</t>
        </is>
      </c>
      <c r="F102" s="3" t="inlineStr">
        <is>
          <t>1_2025.11.20_CME REV07.PDF</t>
        </is>
      </c>
      <c r="G102" s="4" t="inlineStr">
        <is>
          <t>68</t>
        </is>
      </c>
      <c r="H102" s="3" t="inlineStr">
        <is>
          <t>60 - FINITURE</t>
        </is>
      </c>
      <c r="I102" s="3" t="inlineStr">
        <is>
          <t>NUOVI LABORATORI</t>
        </is>
      </c>
      <c r="J102" s="3" t="inlineStr">
        <is>
          <t>OPERE GENERICHE</t>
        </is>
      </c>
      <c r="K102" s="3" t="inlineStr">
        <is>
          <t>FORNITURA E POSA IN OPERA DI SERRAMENTI IN ALLUMINIO A TAGLIO TERMICO SERIE SCHÜCO ADS/AWS 75.SI, REALIZZATI CON PROFILATI ESTRUSI IN LEGA PRIMARIA DI ALLUMINIO 6060, CONFORMI ALLE NORMATIVE UNI EN 57</t>
        </is>
      </c>
      <c r="L102" s="3" t="inlineStr">
        <is>
          <t>FORNITURA E POSA IN OPERA DI SERRAMENTI IN ALLUMINIO A TAGLIO TERMICO SERIE SCHÜCO ADS/AWS 75.SI, REALIZZATI CON PROFILATI ESTRUSI IN LEGA PRIMARIA DI ALLUMINIO 6060, CONFORMI ALLE NORMATIVE UNI EN 573 E UNI EN 515, CON TOLLERANZE SECONDO UNI EN 12020-2 E/O UNI EN 755-9. IL SISTEMA PREVEDE TELAIO-ANTA COMPLANARI ESTERNAMENTE E A SORMONTO INTERNAMENTE, CON SPESSORI: TELAIO 75 MM, ANTA FINESTRE/PORTEFINESTRE 85 MM, ANTA PORTE 75 MM. TENUTA ARIA-ACQUA-VENTO A GIUNTO APERTO CON GUARNIZIONI IN GOMMA SINTETICA TIPO EPDM; ACCESSORI ORIGINALI SCHÜCO IN MATERIALE INOSSIDABILE. TRATTAMENTI SUPERFICIALI CONFORMI ALLE DIRETTIVE QUALICOAT (VERNICIATI) O EURAS-EWAA (OSSIDATI). FINITURE: COLORI INTERNO/ESTERNO E ACCESSORI STANDARD DA GAMMA; FERMAVETRO SQUADRATO.  VETRAGGIO BASSO EMISSIVO COMPOSTO DA: LASTRA ESTERNA STRATIFICATA 55.1, INTERCAPEDINE DA 16 MM CON CANALINA “WARM EDGE” E ARGON, LASTRA INTERNA STRATIFICATA 55.2. PRESTAZIONI DEL VETRO: UG = 1,0 W/M²K; RW = 40 DB (±2). INCLUSA POSA SU CONTROTELAI IN FERRO ZINCATO PREDISPOSTI DALL’IMPRESA EDILE. FINESTRA AD UN'ANTA APRIBILE A BATTENTE CON ANTA RIBALTA; SERRAMENTO DA INSERIRE IN FACCIATA CONTINUA: L 1140 X H 1640</t>
        </is>
      </c>
      <c r="M102" s="4" t="inlineStr">
        <is>
          <t>CADAUNO</t>
        </is>
      </c>
      <c r="N102" s="5" t="n">
        <v>8</v>
      </c>
      <c r="O102" s="6" t="n">
        <v>0</v>
      </c>
      <c r="P102" s="6" t="n">
        <v>0</v>
      </c>
      <c r="Q102" s="5" t="n"/>
      <c r="R102" s="6" t="n"/>
      <c r="S102" s="6">
        <f>IF(AND(Q102&lt;&gt;"",R102&lt;&gt;""),Q102*R102,"")</f>
        <v/>
      </c>
      <c r="T102" s="6">
        <f>IF(S102="",P102,S102)</f>
        <v/>
      </c>
      <c r="U102" s="7" t="n">
        <v>0</v>
      </c>
      <c r="V102" s="6">
        <f>$T102*U102</f>
        <v/>
      </c>
      <c r="W102" s="7" t="n">
        <v>0</v>
      </c>
      <c r="X102" s="6">
        <f>$T102*W102</f>
        <v/>
      </c>
      <c r="Y102" s="7" t="n">
        <v>0</v>
      </c>
      <c r="Z102" s="6">
        <f>$T102*Y102</f>
        <v/>
      </c>
      <c r="AA102" s="7" t="n">
        <v>0</v>
      </c>
      <c r="AB102" s="6">
        <f>$T102*AA102</f>
        <v/>
      </c>
      <c r="AC102" s="7" t="n">
        <v>0</v>
      </c>
      <c r="AD102" s="6">
        <f>$T102*AC102</f>
        <v/>
      </c>
      <c r="AE102" s="7" t="n">
        <v>0</v>
      </c>
      <c r="AF102" s="6">
        <f>$T102*AE102</f>
        <v/>
      </c>
      <c r="AG102" s="7" t="n">
        <v>0</v>
      </c>
      <c r="AH102" s="6">
        <f>$T102*AG102</f>
        <v/>
      </c>
      <c r="AI102" s="7">
        <f>U102+W102+Y102+AA102+AC102+AE102+AG102</f>
        <v/>
      </c>
      <c r="AJ102" s="6">
        <f>V102+X102+Z102+AB102+AD102+AF102+AH102</f>
        <v/>
      </c>
    </row>
    <row r="103" ht="60" customHeight="1" s="35">
      <c r="A103" s="3" t="inlineStr">
        <is>
          <t>PA.ARC.13</t>
        </is>
      </c>
      <c r="B103" s="4" t="inlineStr">
        <is>
          <t>1/1</t>
        </is>
      </c>
      <c r="C103" s="3" t="inlineStr">
        <is>
          <t>EDILE</t>
        </is>
      </c>
      <c r="D103" s="4" t="inlineStr">
        <is>
          <t>NON SPECIALE</t>
        </is>
      </c>
      <c r="E103" s="4" t="inlineStr">
        <is>
          <t>EDILI</t>
        </is>
      </c>
      <c r="F103" s="3" t="inlineStr">
        <is>
          <t>1_2025.11.20_CME REV07.PDF</t>
        </is>
      </c>
      <c r="G103" s="4" t="inlineStr">
        <is>
          <t>69</t>
        </is>
      </c>
      <c r="H103" s="3" t="inlineStr">
        <is>
          <t>60 - FINITURE</t>
        </is>
      </c>
      <c r="I103" s="3" t="inlineStr">
        <is>
          <t>NUOVI LABORATORI</t>
        </is>
      </c>
      <c r="J103" s="3" t="inlineStr">
        <is>
          <t>OPERE GENERICHE</t>
        </is>
      </c>
      <c r="K103" s="3" t="inlineStr">
        <is>
          <t>FORNITURA E POSA IN OPERA DI SERRAMENTI IN ALLUMINIO A TAGLIO TERMICO SERIE SCHÜCO ADS/AWS 75.SI, REALIZZATI CON PROFILATI ESTRUSI IN LEGA PRIMARIA DI ALLUMINIO 6060, CONFORMI ALLE NORMATIVE UNI EN 57</t>
        </is>
      </c>
      <c r="L103" s="3" t="inlineStr">
        <is>
          <t>FORNITURA E POSA IN OPERA DI SERRAMENTI IN ALLUMINIO A TAGLIO TERMICO SERIE SCHÜCO ADS/AWS 75.SI, REALIZZATI CON PROFILATI ESTRUSI IN LEGA PRIMARIA DI ALLUMINIO 6060, CONFORMI ALLE NORMATIVE UNI EN 573 E UNI EN 515, CON TOLLERANZE SECONDO UNI EN 12020-2 E/O UNI EN 755-9. IL SISTEMA PREVEDE TELAIO-ANTA COMPLANARI ESTERNAMENTE E A SORMONTO INTERNAMENTE, CON SPESSORI: TELAIO 75 MM, ANTA FINESTRE/PORTEFINESTRE 85 MM, ANTA PORTE 75 MM. TENUTA ARIA-ACQUA-VENTO A GIUNTO APERTO CON GUARNIZIONI IN GOMMA SINTETICA TIPO EPDM; ACCESSORI ORIGINALI SCHÜCO IN MATERIALE INOSSIDABILE. TRATTAMENTI SUPERFICIALI CONFORMI ALLE DIRETTIVE QUALICOAT (VERNICIATI) O EURAS-EWAA (OSSIDATI). FINITURE: COLORI INTERNO/ESTERNO E ACCESSORI STANDARD DA GAMMA; FERMAVETRO SQUADRATO.  VETRAGGIO BASSO EMISSIVO COMPOSTO DA: LASTRA ESTERNA STRATIFICATA 55.1, INTERCAPEDINE DA 16 MM CON CANALINA “WARM EDGE” E ARGON, LASTRA INTERNA STRATIFICATA 55.2. PRESTAZIONI DEL VETRO: UG = 1,0 W/M²K; RW = 40 DB (±2). INCLUSA POSA SU CONTROTELAI IN FERRO ZINCATO PREDISPOSTI DALL’IMPRESA EDILE. PORTA A DUE ANTE APRIBILI A BATTENTE VERSO L'ESTERNO; PORTA ACCESSORIATA CON CERNIERE CILINDRICHE, MANIGLIONE ANTIPANICO STANDARD CON BARRA ROSSA SU ENTRAMBE LE ANTE E MANGLIA ESTERNA CON CHIAVE; PORTA DA INSERIRE IN FACCIATA CONTINUA; L 1200 X H 2100</t>
        </is>
      </c>
      <c r="M103" s="4" t="inlineStr">
        <is>
          <t>CADAUNO</t>
        </is>
      </c>
      <c r="N103" s="5" t="n">
        <v>2</v>
      </c>
      <c r="O103" s="6" t="n">
        <v>0</v>
      </c>
      <c r="P103" s="6" t="n">
        <v>0</v>
      </c>
      <c r="Q103" s="5" t="n"/>
      <c r="R103" s="6" t="n"/>
      <c r="S103" s="6">
        <f>IF(AND(Q103&lt;&gt;"",R103&lt;&gt;""),Q103*R103,"")</f>
        <v/>
      </c>
      <c r="T103" s="6">
        <f>IF(S103="",P103,S103)</f>
        <v/>
      </c>
      <c r="U103" s="7" t="n">
        <v>0</v>
      </c>
      <c r="V103" s="6">
        <f>$T103*U103</f>
        <v/>
      </c>
      <c r="W103" s="7" t="n">
        <v>0</v>
      </c>
      <c r="X103" s="6">
        <f>$T103*W103</f>
        <v/>
      </c>
      <c r="Y103" s="7" t="n">
        <v>0</v>
      </c>
      <c r="Z103" s="6">
        <f>$T103*Y103</f>
        <v/>
      </c>
      <c r="AA103" s="7" t="n">
        <v>0</v>
      </c>
      <c r="AB103" s="6">
        <f>$T103*AA103</f>
        <v/>
      </c>
      <c r="AC103" s="7" t="n">
        <v>0</v>
      </c>
      <c r="AD103" s="6">
        <f>$T103*AC103</f>
        <v/>
      </c>
      <c r="AE103" s="7" t="n">
        <v>0</v>
      </c>
      <c r="AF103" s="6">
        <f>$T103*AE103</f>
        <v/>
      </c>
      <c r="AG103" s="7" t="n">
        <v>0</v>
      </c>
      <c r="AH103" s="6">
        <f>$T103*AG103</f>
        <v/>
      </c>
      <c r="AI103" s="7">
        <f>U103+W103+Y103+AA103+AC103+AE103+AG103</f>
        <v/>
      </c>
      <c r="AJ103" s="6">
        <f>V103+X103+Z103+AB103+AD103+AF103+AH103</f>
        <v/>
      </c>
    </row>
    <row r="104" ht="60" customHeight="1" s="35">
      <c r="A104" s="3" t="inlineStr">
        <is>
          <t>PA.ARC.14</t>
        </is>
      </c>
      <c r="B104" s="4" t="inlineStr">
        <is>
          <t>1/1</t>
        </is>
      </c>
      <c r="C104" s="3" t="inlineStr">
        <is>
          <t>EDILE</t>
        </is>
      </c>
      <c r="D104" s="4" t="inlineStr">
        <is>
          <t>NON SPECIALE</t>
        </is>
      </c>
      <c r="E104" s="4" t="inlineStr">
        <is>
          <t>EDILI</t>
        </is>
      </c>
      <c r="F104" s="3" t="inlineStr">
        <is>
          <t>1_2025.11.20_CME REV07.PDF</t>
        </is>
      </c>
      <c r="G104" s="4" t="inlineStr">
        <is>
          <t>70</t>
        </is>
      </c>
      <c r="H104" s="3" t="inlineStr">
        <is>
          <t>60 - FINITURE</t>
        </is>
      </c>
      <c r="I104" s="3" t="inlineStr">
        <is>
          <t>NUOVI LABORATORI</t>
        </is>
      </c>
      <c r="J104" s="3" t="inlineStr">
        <is>
          <t>OPERE GENERICHE</t>
        </is>
      </c>
      <c r="K104" s="3" t="inlineStr">
        <is>
          <t>FORNITURA E POSA IN OPERA DI SERRAMENTI IN ALLUMINIO A TAGLIO TERMICO SERIE SCHÜCO ADS/AWS 75.SI, REALIZZATI CON PROFILATI ESTRUSI IN LEGA PRIMARIA DI ALLUMINIO 6060, CONFORMI ALLE NORMATIVE UNI EN 57</t>
        </is>
      </c>
      <c r="L104" s="3" t="inlineStr">
        <is>
          <t>FORNITURA E POSA IN OPERA DI SERRAMENTI IN ALLUMINIO A TAGLIO TERMICO SERIE SCHÜCO ADS/AWS 75.SI, REALIZZATI CON PROFILATI ESTRUSI IN LEGA PRIMARIA DI ALLUMINIO 6060, CONFORMI ALLE NORMATIVE UNI EN 573 E UNI EN 515, CON TOLLERANZE SECONDO UNI EN 12020-2 E/O UNI EN 755-9. IL SISTEMA PREVEDE TELAIO-ANTA COMPLANARI ESTERNAMENTE E A SORMONTO INTERNAMENTE, CON SPESSORI: TELAIO 75 MM, ANTA FINESTRE/PORTEFINESTRE 85 MM, ANTA PORTE 75 MM. TENUTA ARIA-ACQUA-VENTO A GIUNTO APERTO CON GUARNIZIONI IN GOMMA SINTETICA TIPO EPDM; ACCESSORI ORIGINALI SCHÜCO IN MATERIALE INOSSIDABILE. TRATTAMENTI SUPERFICIALI CONFORMI ALLE DIRETTIVE QUALICOAT (VERNICIATI) O EURAS-EWAA (OSSIDATI). FINITURE: COLORI INTERNO/ESTERNO E ACCESSORI STANDARD DA GAMMA; FERMAVETRO SQUADRATO. PORTA A DUE ANTE APRIBILI A BATTENTE VERSO L'ESTERNO; PORTA ACCESSORIATA CON CERNIERE CILINDRICHE, MANIGLIONE ANTIPANICO STANDARD CON BARRA ROSSA SU ENTRAMBE LE ANTE E MANGLIA ESTERNA CON CHIAVE; TAMPONAMENTO CON PANNELLO "CIECO"; L 1200 X H 2100</t>
        </is>
      </c>
      <c r="M104" s="4" t="inlineStr">
        <is>
          <t>CADAUNO</t>
        </is>
      </c>
      <c r="N104" s="5" t="n">
        <v>3</v>
      </c>
      <c r="O104" s="6" t="n">
        <v>3395.88</v>
      </c>
      <c r="P104" s="6" t="n">
        <v>10187.64</v>
      </c>
      <c r="Q104" s="5" t="n"/>
      <c r="R104" s="6" t="n"/>
      <c r="S104" s="6">
        <f>IF(AND(Q104&lt;&gt;"",R104&lt;&gt;""),Q104*R104,"")</f>
        <v/>
      </c>
      <c r="T104" s="6">
        <f>IF(S104="",P104,S104)</f>
        <v/>
      </c>
      <c r="U104" s="7" t="n">
        <v>0.2</v>
      </c>
      <c r="V104" s="6">
        <f>$T104*U104</f>
        <v/>
      </c>
      <c r="W104" s="7" t="n">
        <v>0.5</v>
      </c>
      <c r="X104" s="6">
        <f>$T104*W104</f>
        <v/>
      </c>
      <c r="Y104" s="7" t="n">
        <v>0</v>
      </c>
      <c r="Z104" s="6">
        <f>$T104*Y104</f>
        <v/>
      </c>
      <c r="AA104" s="7" t="n">
        <v>0</v>
      </c>
      <c r="AB104" s="6">
        <f>$T104*AA104</f>
        <v/>
      </c>
      <c r="AC104" s="7" t="n">
        <v>0</v>
      </c>
      <c r="AD104" s="6">
        <f>$T104*AC104</f>
        <v/>
      </c>
      <c r="AE104" s="7" t="n">
        <v>0</v>
      </c>
      <c r="AF104" s="6">
        <f>$T104*AE104</f>
        <v/>
      </c>
      <c r="AG104" s="7" t="n">
        <v>0</v>
      </c>
      <c r="AH104" s="6">
        <f>$T104*AG104</f>
        <v/>
      </c>
      <c r="AI104" s="7">
        <f>U104+W104+Y104+AA104+AC104+AE104+AG104</f>
        <v/>
      </c>
      <c r="AJ104" s="6">
        <f>V104+X104+Z104+AB104+AD104+AF104+AH104</f>
        <v/>
      </c>
    </row>
    <row r="105" ht="60" customHeight="1" s="35">
      <c r="A105" s="3" t="inlineStr">
        <is>
          <t>LOM241.OC.EEA.A01.C3330.SA000.1000</t>
        </is>
      </c>
      <c r="B105" s="4" t="inlineStr">
        <is>
          <t>1/2</t>
        </is>
      </c>
      <c r="C105" s="3" t="inlineStr">
        <is>
          <t>EDILE</t>
        </is>
      </c>
      <c r="D105" s="4" t="inlineStr">
        <is>
          <t>NON SPECIALE</t>
        </is>
      </c>
      <c r="E105" s="4" t="inlineStr">
        <is>
          <t>EDILI</t>
        </is>
      </c>
      <c r="F105" s="3" t="inlineStr">
        <is>
          <t>1_2025.11.20_CME REV07.PDF</t>
        </is>
      </c>
      <c r="G105" s="4" t="inlineStr">
        <is>
          <t>74</t>
        </is>
      </c>
      <c r="H105" s="3" t="inlineStr">
        <is>
          <t>60 - FINITURE</t>
        </is>
      </c>
      <c r="I105" s="3" t="inlineStr">
        <is>
          <t>NUOVI LABORATORI</t>
        </is>
      </c>
      <c r="J105" s="3" t="inlineStr">
        <is>
          <t>OPERE GENERICHE</t>
        </is>
      </c>
      <c r="K105" s="3" t="inlineStr">
        <is>
          <t>OPERA: FINESTRA, TELAIO FISSO DI LEGA ALLUMINIO GENERICO; FINITURA: VERNICIATO A POLVERE; GEOMETRIA/FORMA/ASPETTO: GIUNTO APERTO | UN'ANTA; POTERE FONOISOLANTE (RW) [DB] = 36 | TRASMITTANZA TERMICA (U</t>
        </is>
      </c>
      <c r="L105" s="3" t="inlineStr">
        <is>
          <t>OPERA: FINESTRA, TELAIO FISSO DI LEGA ALLUMINIO GENERICO; FINITURA: VERNICIATO A POLVERE; GEOMETRIA/FORMA/ASPETTO: GIUNTO APERTO | UN'ANTA; POTERE FONOISOLANTE (RW) [DB] = 36 | TRASMITTANZA TERMICA (UW) [W/M²K] = 1. ESCLUSO: CONTROTELAIO. 
LAVORO: INSTALLAZIONE. 
SPECIFICHE TECNICHE: VERNICIATA A POLVERE DI POLIESTERE (PPC) COLORE A GAMMA RAL STANDARD, SPESSORE MINIMO VERNICIATURA [Μ] = 60, OPPURE OSSIDATO ARGENTO NATURALE, SPESSORE DELL'OSSIDO MEDIO [Μ] = 15; PER ZONA CLIMATICA E. 
COMPONENTI: 
OP1 OPERA: FINESTRA, TELAIO FISSO DI LEGA ALLUMINIO GENERICO; FINITURA: VERNICIATO A POLVERE; GEOMETRIA/FORMA/ASPETTO: GIUNTO APERTO | UN'ANTA; POTERE FONOISOLANTE (RW) [DB] = 36 | TRASMITTANZA TERMICA (UW) [W/M²K] = 1. ESCLUSO: CONTROTELAIO. 
SPECIFICHE TECNICHE: VERNICIATA A POLVERE DI POLIESTERE (PPC) COLORE A GAMMA RAL STANDARD, SPESSORE MINIMO VERNICIATURA [Μ] = 60, OPPURE OSSIDATO ARGENTO NATURALE, SPESSORE DELL'OSSIDO MEDIO [Μ] = 15; PER ZONA CLIMATICA E. 
RM2 FINESTRA TELAIO FISSO DI LEGA ALLUMINIO GENERICO; FINITURA: VERNICIATO A POLVERE; GEOMETRIA/FORMA/ASPETTO: GIUNTO APERTO | UN'ANTA; PERMEABILITÀ ALL'ARIA [CLASSE] = 4 | TENUTA ALL'ACQUA [CLASSE] = 7A | RESISTENZA AL VENTO [CLASSE] = C3 | TRASMITTANZA TERMICA (UW) [W/M²K] = 1 | POTERE FONOISOLANTE (RW) [DB] = 36; SUPERFICIE [M²] = 1,68. INCLUSO: FERRAMENTA; GUARNIZIONE IN EPDM / NEOPRENE. ESCLUSO: CONTROTELAIO 
SPECIFICHE TECNICHE: VERNICIATA A POLVERE DI POLIESTERE (PPC) COLORE A GAMMA RAL STANDARD; SPESSORE MINIMO VERNICIATURA [Μ] = 60, OPPURE OSSIDATO ARGENTO NATURALE, SPESSORE DELL'OSSIDO MEDIO [Μ] = 15; ZONA CLIMATICA E (UCW [W/M²K] ≤ 1,4) 
LV1 LAVORO: INSTALLAZIONE.</t>
        </is>
      </c>
      <c r="M105" s="4" t="inlineStr">
        <is>
          <t>M²</t>
        </is>
      </c>
      <c r="N105" s="5" t="n">
        <v>15</v>
      </c>
      <c r="O105" s="6" t="n">
        <v>554.47</v>
      </c>
      <c r="P105" s="6" t="n">
        <v>8317.049999999999</v>
      </c>
      <c r="Q105" s="5" t="n"/>
      <c r="R105" s="6" t="n"/>
      <c r="S105" s="6">
        <f>IF(AND(Q105&lt;&gt;"",R105&lt;&gt;""),Q105*R105,"")</f>
        <v/>
      </c>
      <c r="T105" s="6">
        <f>IF(S105="",P105,S105)</f>
        <v/>
      </c>
      <c r="U105" s="7" t="n">
        <v>0</v>
      </c>
      <c r="V105" s="6">
        <f>$T105*U105</f>
        <v/>
      </c>
      <c r="W105" s="7" t="n">
        <v>0.6</v>
      </c>
      <c r="X105" s="6">
        <f>$T105*W105</f>
        <v/>
      </c>
      <c r="Y105" s="7" t="n">
        <v>0</v>
      </c>
      <c r="Z105" s="6">
        <f>$T105*Y105</f>
        <v/>
      </c>
      <c r="AA105" s="7" t="n">
        <v>0</v>
      </c>
      <c r="AB105" s="6">
        <f>$T105*AA105</f>
        <v/>
      </c>
      <c r="AC105" s="7" t="n">
        <v>0</v>
      </c>
      <c r="AD105" s="6">
        <f>$T105*AC105</f>
        <v/>
      </c>
      <c r="AE105" s="7" t="n">
        <v>0</v>
      </c>
      <c r="AF105" s="6">
        <f>$T105*AE105</f>
        <v/>
      </c>
      <c r="AG105" s="7" t="n">
        <v>0</v>
      </c>
      <c r="AH105" s="6">
        <f>$T105*AG105</f>
        <v/>
      </c>
      <c r="AI105" s="7">
        <f>U105+W105+Y105+AA105+AC105+AE105+AG105</f>
        <v/>
      </c>
      <c r="AJ105" s="6">
        <f>V105+X105+Z105+AB105+AD105+AF105+AH105</f>
        <v/>
      </c>
    </row>
    <row r="106" ht="60" customHeight="1" s="35">
      <c r="A106" s="3" t="inlineStr">
        <is>
          <t>LOM241.OC.EEA.A01.C3330.SA000.0005</t>
        </is>
      </c>
      <c r="B106" s="4" t="inlineStr">
        <is>
          <t>1/2</t>
        </is>
      </c>
      <c r="C106" s="3" t="inlineStr">
        <is>
          <t>EDILE</t>
        </is>
      </c>
      <c r="D106" s="4" t="inlineStr">
        <is>
          <t>NON SPECIALE</t>
        </is>
      </c>
      <c r="E106" s="4" t="inlineStr">
        <is>
          <t>EDILI</t>
        </is>
      </c>
      <c r="F106" s="3" t="inlineStr">
        <is>
          <t>1_2025.11.20_CME REV07.PDF</t>
        </is>
      </c>
      <c r="G106" s="4" t="inlineStr">
        <is>
          <t>75</t>
        </is>
      </c>
      <c r="H106" s="3" t="inlineStr">
        <is>
          <t>60 - FINITURE</t>
        </is>
      </c>
      <c r="I106" s="3" t="inlineStr">
        <is>
          <t>NUOVI LABORATORI</t>
        </is>
      </c>
      <c r="J106" s="3" t="inlineStr">
        <is>
          <t>OPERE GENERICHE</t>
        </is>
      </c>
      <c r="K106" s="3" t="inlineStr">
        <is>
          <t>OPERA: FINESTRA, BATTENTE DI LEGA ALLUMINIO GENERICO; FINITURA: VERNICIATO A POLVERE; GEOMETRIA/FORMA/ASPETTO: GIUNTO APERTO | UN'ANTA; POTERE FONOISOLANTE (RW) [DB] = 36 | TRASMITTANZA TERMICA (UW) [</t>
        </is>
      </c>
      <c r="L106" s="3" t="inlineStr">
        <is>
          <t>OPERA: FINESTRA, BATTENTE DI LEGA ALLUMINIO GENERICO; FINITURA: VERNICIATO A POLVERE; GEOMETRIA/FORMA/ASPETTO: GIUNTO APERTO | UN'ANTA; POTERE FONOISOLANTE (RW) [DB] = 36 | TRASMITTANZA TERMICA (UW) [W/M²K] = 1. ESCLUSO: CONTROTELAIO. 
LAVORO: INSTALLAZIONE. 
SPECIFICHE TECNICHE: VERNICIATA A POLVERE DI POLIESTERE (PPC) COLORE A GAMMA RAL STANDARD, SPESSORE MINIMO VERNICIATURA [Μ] = 60, OPPURE OSSIDATO ARGENTO NATURALE, SPESSORE DELL'OSSIDO MEDIO [Μ] = 15; PER ZONA CLIMATICA E. 
COMPONENTI: 
OP1 OPERA: FINESTRA, BATTENTE DI LEGA ALLUMINIO GENERICO; FINITURA: VERNICIATO A POLVERE; GEOMETRIA/FORMA/ASPETTO: GIUNTO APERTO | UN'ANTA; POTERE FONOISOLANTE (RW) [DB] = 36 | TRASMITTANZA TERMICA (UW) [W/M²K] = 1. ESCLUSO: CONTROTELAIO. 
SPECIFICHE TECNICHE: VERNICIATA A POLVERE DI POLIESTERE (PPC) COLORE A GAMMA RAL STANDARD, SPESSORE MINIMO VERNICIATURA [Μ] = 60, OPPURE OSSIDATO ARGENTO NATURALE, SPESSORE DELL'OSSIDO MEDIO [Μ] = 15; PER ZONA CLIMATICA E. 
RM2 FINESTRA BATTENTE DI LEGA ALLUMINIO GENERICO; FINITURA: VERNICIATO A POLVERE; GEOMETRIA/FORMA/ASPETTO: GIUNTO APERTO | UN'ANTA; PERMEABILITÀ ALL'ARIA [CLASSE] = 4 | TENUTA ALL'ACQUA [CLASSE] = 7A | RESISTENZA AL VENTO [CLASSE] = C3 | TRASMITTANZA TERMICA (UW) [W/M²K] = 1 | POTERE FONOISOLANTE (RW) [DB] = 36; SUPERFICIE [M²] = 2,52. INCLUSO: FERRAMENTA; GUARNIZIONE IN EPDM / NEOPRENE. ESCLUSO: CONTROTELAIO 
SPECIFICHE TECNICHE: VERNICIATA A POLVERE DI POLIESTERE (PPC) COLORE A GAMMA RAL STANDARD; SPESSORE MINIMO VERNICIATURA [Μ] = 60, OPPURE OSSIDATO ARGENTO NATURALE, SPESSORE DELL'OSSIDO MEDIO [Μ] = 15; ZONA CLIMATICA E (UCW [W/M²K] ≤ 1,4) 
LV1 LAVORO: INSTALLAZIONE.</t>
        </is>
      </c>
      <c r="M106" s="4" t="inlineStr">
        <is>
          <t>M²</t>
        </is>
      </c>
      <c r="N106" s="5" t="n">
        <v>2.52</v>
      </c>
      <c r="O106" s="6" t="n">
        <v>2220.48</v>
      </c>
      <c r="P106" s="6" t="n">
        <v>5595.61</v>
      </c>
      <c r="Q106" s="5" t="n"/>
      <c r="R106" s="6" t="n"/>
      <c r="S106" s="6">
        <f>IF(AND(Q106&lt;&gt;"",R106&lt;&gt;""),Q106*R106,"")</f>
        <v/>
      </c>
      <c r="T106" s="6">
        <f>IF(S106="",P106,S106)</f>
        <v/>
      </c>
      <c r="U106" s="7" t="n">
        <v>0</v>
      </c>
      <c r="V106" s="6">
        <f>$T106*U106</f>
        <v/>
      </c>
      <c r="W106" s="7" t="n">
        <v>0.6</v>
      </c>
      <c r="X106" s="6">
        <f>$T106*W106</f>
        <v/>
      </c>
      <c r="Y106" s="7" t="n">
        <v>0</v>
      </c>
      <c r="Z106" s="6">
        <f>$T106*Y106</f>
        <v/>
      </c>
      <c r="AA106" s="7" t="n">
        <v>0</v>
      </c>
      <c r="AB106" s="6">
        <f>$T106*AA106</f>
        <v/>
      </c>
      <c r="AC106" s="7" t="n">
        <v>0</v>
      </c>
      <c r="AD106" s="6">
        <f>$T106*AC106</f>
        <v/>
      </c>
      <c r="AE106" s="7" t="n">
        <v>0</v>
      </c>
      <c r="AF106" s="6">
        <f>$T106*AE106</f>
        <v/>
      </c>
      <c r="AG106" s="7" t="n">
        <v>0</v>
      </c>
      <c r="AH106" s="6">
        <f>$T106*AG106</f>
        <v/>
      </c>
      <c r="AI106" s="7">
        <f>U106+W106+Y106+AA106+AC106+AE106+AG106</f>
        <v/>
      </c>
      <c r="AJ106" s="6">
        <f>V106+X106+Z106+AB106+AD106+AF106+AH106</f>
        <v/>
      </c>
    </row>
    <row r="107" ht="60" customHeight="1" s="35">
      <c r="A107" s="3" t="inlineStr">
        <is>
          <t>LOM241.OC.EEA.A03.C3335.T0006.1000</t>
        </is>
      </c>
      <c r="B107" s="4" t="inlineStr">
        <is>
          <t>1/2</t>
        </is>
      </c>
      <c r="C107" s="3" t="inlineStr">
        <is>
          <t>EDILE</t>
        </is>
      </c>
      <c r="D107" s="4" t="inlineStr">
        <is>
          <t>NON SPECIALE</t>
        </is>
      </c>
      <c r="E107" s="4" t="inlineStr">
        <is>
          <t>EDILI</t>
        </is>
      </c>
      <c r="F107" s="3" t="inlineStr">
        <is>
          <t>1_2025.11.20_CME REV07.PDF</t>
        </is>
      </c>
      <c r="G107" s="4" t="inlineStr">
        <is>
          <t>77</t>
        </is>
      </c>
      <c r="H107" s="3" t="inlineStr">
        <is>
          <t>60 - FINITURE</t>
        </is>
      </c>
      <c r="I107" s="3" t="inlineStr">
        <is>
          <t>NUOVI LABORATORI</t>
        </is>
      </c>
      <c r="J107" s="3" t="inlineStr">
        <is>
          <t>INFISSI</t>
        </is>
      </c>
      <c r="K107" s="3" t="inlineStr">
        <is>
          <t xml:space="preserve">OPERA: VETRATURA, ISOLANTE TERMOACUSTICA DI VETRO CRISTALLO; GEOMETRIA/FORMA/ASPETTO: DOPPIA. ESCLUSO: VETRI I CUI PREZZI SARANNO DESUNTI E CONTABILIZZATI DAL VOLUME 2.1. </t>
        </is>
      </c>
      <c r="L107" s="3" t="inlineStr">
        <is>
          <t>OPERA: VETRATURA, ISOLANTE TERMOACUSTICA DI VETRO CRISTALLO; GEOMETRIA/FORMA/ASPETTO: DOPPIA. ESCLUSO: VETRI I CUI PREZZI SARANNO DESUNTI E CONTABILIZZATI DAL VOLUME 2.1. 
LAVORO: ASSEMBLAGGIO. INCLUSO: POSA. 
SPECIFICHE TECNICHE: COSTRUZIONE VETRATA ISOLANTE IN LABORATORIO; POSA SU SERRAMENTO GENERICO. 
COMPONENTI: 
OP1 OPERA: VETRATURA, ISOLANTE TERMOACUSTICA DI VETRO CRISTALLO; GEOMETRIA/FORMA/ASPETTO: DOPPIA. ESCLUSO: VETRI I CUI PREZZI SARANNO DESUNTI E CONTABILIZZATI DAL VOLUME 2.1. 
RM2 VETRATURA ISOLANTE TERMOACUSTICA DI VETRO GENERICO 
RM2 ADESIVO MASTICE PLASTICO DI MATERIALE GENERICO 
SPECIFICHE TECNICHE: TRAFILATO 
RM2 GIUNTO DI RESINA SINTETICA POLIVINILCLORURO (PVC); GEOMETRIA/FORMA/ASPETTO: PROFILATO; FUNZIONE: DILATAZIONE; IMPIEGO: GETTI IN C.A.; TENUTA IDRAULICA [ATM] ≤ 3 
SPECIFICHE TECNICHE: PER GIUNTI DI DILATAZIONE DI 2/4 CM 
LV1 LAVORO: ASSEMBLAGGIO. INCLUSO: POSA. 
SPECIFICHE TECNICHE: COSTRUZIONE VETRATA ISOLANTE IN LABORATORIO; POSA SU SERRAMENTO GENERICO.</t>
        </is>
      </c>
      <c r="M107" s="4" t="inlineStr">
        <is>
          <t>M²</t>
        </is>
      </c>
      <c r="N107" s="5" t="n">
        <v>15.77</v>
      </c>
      <c r="O107" s="6" t="n">
        <v>0</v>
      </c>
      <c r="P107" s="6" t="n">
        <v>0</v>
      </c>
      <c r="Q107" s="5" t="n"/>
      <c r="R107" s="6" t="n"/>
      <c r="S107" s="6">
        <f>IF(AND(Q107&lt;&gt;"",R107&lt;&gt;""),Q107*R107,"")</f>
        <v/>
      </c>
      <c r="T107" s="6">
        <f>IF(S107="",P107,S107)</f>
        <v/>
      </c>
      <c r="U107" s="7" t="n">
        <v>0</v>
      </c>
      <c r="V107" s="6">
        <f>$T107*U107</f>
        <v/>
      </c>
      <c r="W107" s="7" t="n">
        <v>0</v>
      </c>
      <c r="X107" s="6">
        <f>$T107*W107</f>
        <v/>
      </c>
      <c r="Y107" s="7" t="n">
        <v>0</v>
      </c>
      <c r="Z107" s="6">
        <f>$T107*Y107</f>
        <v/>
      </c>
      <c r="AA107" s="7" t="n">
        <v>0</v>
      </c>
      <c r="AB107" s="6">
        <f>$T107*AA107</f>
        <v/>
      </c>
      <c r="AC107" s="7" t="n">
        <v>0</v>
      </c>
      <c r="AD107" s="6">
        <f>$T107*AC107</f>
        <v/>
      </c>
      <c r="AE107" s="7" t="n">
        <v>0</v>
      </c>
      <c r="AF107" s="6">
        <f>$T107*AE107</f>
        <v/>
      </c>
      <c r="AG107" s="7" t="n">
        <v>0</v>
      </c>
      <c r="AH107" s="6">
        <f>$T107*AG107</f>
        <v/>
      </c>
      <c r="AI107" s="7">
        <f>U107+W107+Y107+AA107+AC107+AE107+AG107</f>
        <v/>
      </c>
      <c r="AJ107" s="6">
        <f>V107+X107+Z107+AB107+AD107+AF107+AH107</f>
        <v/>
      </c>
    </row>
    <row r="108" ht="60" customHeight="1" s="35">
      <c r="A108" s="3" t="inlineStr">
        <is>
          <t>PA.ARC.09</t>
        </is>
      </c>
      <c r="B108" s="4" t="inlineStr">
        <is>
          <t>1/1</t>
        </is>
      </c>
      <c r="C108" s="3" t="inlineStr">
        <is>
          <t>EDILE</t>
        </is>
      </c>
      <c r="D108" s="4" t="inlineStr">
        <is>
          <t>NON SPECIALE</t>
        </is>
      </c>
      <c r="E108" s="4" t="inlineStr">
        <is>
          <t>EDILI</t>
        </is>
      </c>
      <c r="F108" s="3" t="inlineStr">
        <is>
          <t>1_2025.11.20_CME REV07.PDF</t>
        </is>
      </c>
      <c r="G108" s="4" t="inlineStr">
        <is>
          <t>80</t>
        </is>
      </c>
      <c r="H108" s="3" t="inlineStr">
        <is>
          <t>60 - FINITURE</t>
        </is>
      </c>
      <c r="I108" s="3" t="inlineStr">
        <is>
          <t>NUOVI LABORATORI</t>
        </is>
      </c>
      <c r="J108" s="3" t="inlineStr">
        <is>
          <t>OPERE IN FACCIATA</t>
        </is>
      </c>
      <c r="K108" s="3" t="inlineStr">
        <is>
          <t>FACCIATA CONTINUA SCHÜCO FWS 50.SI AVENTE LE SEGUENTI CARATTERISTICHE: STRUTTURA PORTANTE A MONTANTI E TRAVERSI, COSTITUITA DA PROFILATI METALLICI ESTRUSI IN LEGA PRIMARIA DI ALLUMINIO (EN AW-6060). T</t>
        </is>
      </c>
      <c r="L108" s="3" t="inlineStr">
        <is>
          <t>FACCIATA CONTINUA SCHÜCO FWS 50.SI AVENTE LE SEGUENTI CARATTERISTICHE: STRUTTURA PORTANTE A MONTANTI E TRAVERSI, COSTITUITA DA PROFILATI METALLICI ESTRUSI IN LEGA PRIMARIA DI ALLUMINIO (EN AW-6060). TRATTAMENTO SUPERFICIALE EFFETTUATO SECONDO LE DIRETTIVE TECNICHE DEL MARCHIO DI QUALITÀ QUALICOAT PER LA VERNICIATURA E QUALANOD PER L'OSSIDAZIONE ANODICA.  LA PROFONDITÀ DEI PROFILATI, DISPONIBILI IN DIVERSE DIMENSIONI, DOVRÀ ESSERE SCELTA IN CONFORMITÀ AL CALCOLO STATICO, A LARGHEZZA SARÀ DI 50 MM.  ISOLAMENTO TERMICO AVVIENE ATTRAVERSO L'INTERRUZIONE DEL PONTE TERMICO FRA LA PARTE STRUTTURALE INTERNA E LE COPERTINE DI CHIUSURA ESTERNE, MEDIANTE L'INTERPOSIZIONE DI UN LISTELLO ESTRUSO DI MATERIALE SINTETICO TERMICAMENTE ISOLANTE.  IL DRENAGGIO E LA VENTILAZIONE AVVENGONO ATTRAVERSO APPOSITE CANALINE AD ALTEZZE DIFFERENZIATE ALLA BASE DELLE SEDI DI ALLOGGIAMENTO DEI VETRI. L'EVENTUALE ACQUA DI INFILTRAZIONE O CONDENSA VIENE DRENATA DAL PIANO DI RACCOLTA DEL TRAVERSO SU QUELLO PIÙ BASSO DEL MONTANTE E DA QUI GUIDATA FINO ALLA BASE DELLA COSTRUZIONE.  IL COLLEGAMENTO DEI TRAVERSI AI MONTANTI È REALIZZATO MEDIANTE VITI E CAVALLOTTI ED È SCELTO IN FUNZIONE DEL PESO DEI TAMPONAMENTI, DELLE NECESSITÀ STATICHE E DEL TIPO DI MONTAGGIO IN CONFORMITÀ A QUANTO PREVISTO DAL FORNITORE DEL SISTEMA. ALL'ESTREMITÀ DEI TRAVERSI SONO PREVISTE MASCHERINE IN MATERIALE SINTETICO LA CUI FUNZIONE È DI ASSORBIRE LE VARIAZIONI DIMENSIONALI E CONTEMPORANEAMENTE DI GARANTIRE UN COLLEGAMENTO PIACEVOLE DAL PUNTO DI VISTA ESTETICO.  GLI ACCESSORI DEL SISTEMA SONO REALIZZATI, IN FUNZIONE DELLE NECESSITÀ, CON MATERIALI PERFETTAMENTE COMPATIBILI CON LE LEGHE DI ALLUMINIO UTILIZZATE PER L'ESTRUSIONE DEI PROFILI QUALI: ACCIAIO INOSSIDABILE, ALLUMINIO (PRESSOFUSO O ESTRUSO), MATERIALI SINTETICI, ZAMA (PARTICOLARI PRESSOFUSI).  LE GUARNIZIONI CINGIVETRO INTERNE IN EPDM, HANNO ALTEZZE DIVERSE PER COMPENSARE IL DIVERSO POSIZIONAMENTO DELLE SEDI DATO DALLA SOVRAPPOSIZIONE DEL TRAVERSO SUL MONTANTE.  LE DILATAZIONI TERMICHE ORIZZONTALI VENGONO ASSORBITE DAL GIUNTO MONTANTE-TRAVERSO.  LE LASTRE DI VETRO SONO POSATE SU SUPPORTI IN MATERIALE PLASTICO DI 10 CM DI LUNGHEZZA. IL PESO DELLE LASTRE DI TAMPONAMENTO È SUPPORTATO DA APPOSITI PUNTI DI FORZA METALLICI (ACCESSORI DEL SISTEMA) CHE LO TRASMETTONO ALLA STRUTTURA.  PERMEABILITA' ALL'ARIA PER LE PARTI FISSE: CLASSE AE SECONDO NORMA EN 12152.  TENUTA ALLA PIOGGIA BATTENTE: CLASSE RE 1200 SECONDO NORMA EN 12154.  RESISTENZA AL CARICO DEL VENTO: CARICO AMMESSO 2,0 KN/MQ SECONDO NORMA EN 12179. RETICOLO IN ALLUMINIO PREDIMENSIONATO CONSIDERANDO INTERASSE MASSIMO DEI FISSAGGI PER I MONTANTI PARI A 4500 MM CIRCA (SU SOLAI O TRAVI DI BORDO DEBITAMENTE DIMENSIONATI);  • ESCLUSI EVENTUALI SETTI TAGLIAFUOCO/TAGLIAFUMO DI INTERPIANO;  • ESCLUSE TUTTE LE FINESTRE E LE PORTE APRIBILI;    ISOLAMENTO TERMICO STIMATO UCW 1,2 W/MQ.K</t>
        </is>
      </c>
      <c r="M108" s="4" t="inlineStr">
        <is>
          <t>MQ</t>
        </is>
      </c>
      <c r="N108" s="5" t="n">
        <v>206.9</v>
      </c>
      <c r="O108" s="6" t="n">
        <v>827.87</v>
      </c>
      <c r="P108" s="6" t="n">
        <v>171286.3</v>
      </c>
      <c r="Q108" s="5" t="n"/>
      <c r="R108" s="6" t="n"/>
      <c r="S108" s="6">
        <f>IF(AND(Q108&lt;&gt;"",R108&lt;&gt;""),Q108*R108,"")</f>
        <v/>
      </c>
      <c r="T108" s="6">
        <f>IF(S108="",P108,S108)</f>
        <v/>
      </c>
      <c r="U108" s="7" t="n">
        <v>0.2</v>
      </c>
      <c r="V108" s="6">
        <f>$T108*U108</f>
        <v/>
      </c>
      <c r="W108" s="7" t="n">
        <v>0.5</v>
      </c>
      <c r="X108" s="6">
        <f>$T108*W108</f>
        <v/>
      </c>
      <c r="Y108" s="7" t="n">
        <v>0</v>
      </c>
      <c r="Z108" s="6">
        <f>$T108*Y108</f>
        <v/>
      </c>
      <c r="AA108" s="7" t="n">
        <v>0</v>
      </c>
      <c r="AB108" s="6">
        <f>$T108*AA108</f>
        <v/>
      </c>
      <c r="AC108" s="7" t="n">
        <v>0</v>
      </c>
      <c r="AD108" s="6">
        <f>$T108*AC108</f>
        <v/>
      </c>
      <c r="AE108" s="7" t="n">
        <v>0</v>
      </c>
      <c r="AF108" s="6">
        <f>$T108*AE108</f>
        <v/>
      </c>
      <c r="AG108" s="7" t="n">
        <v>0</v>
      </c>
      <c r="AH108" s="6">
        <f>$T108*AG108</f>
        <v/>
      </c>
      <c r="AI108" s="7">
        <f>U108+W108+Y108+AA108+AC108+AE108+AG108</f>
        <v/>
      </c>
      <c r="AJ108" s="6">
        <f>V108+X108+Z108+AB108+AD108+AF108+AH108</f>
        <v/>
      </c>
    </row>
    <row r="109" ht="60" customHeight="1" s="35">
      <c r="A109" s="3" t="inlineStr">
        <is>
          <t>PA.ARC.07</t>
        </is>
      </c>
      <c r="B109" s="4" t="inlineStr">
        <is>
          <t>1/2</t>
        </is>
      </c>
      <c r="C109" s="3" t="inlineStr">
        <is>
          <t>EDILE</t>
        </is>
      </c>
      <c r="D109" s="4" t="inlineStr">
        <is>
          <t>NON SPECIALE</t>
        </is>
      </c>
      <c r="E109" s="4" t="inlineStr">
        <is>
          <t>EDILI</t>
        </is>
      </c>
      <c r="F109" s="3" t="inlineStr">
        <is>
          <t>1_2025.11.20_CME REV07.PDF</t>
        </is>
      </c>
      <c r="G109" s="4" t="inlineStr">
        <is>
          <t>81</t>
        </is>
      </c>
      <c r="H109" s="3" t="inlineStr">
        <is>
          <t>60 - FINITURE</t>
        </is>
      </c>
      <c r="I109" s="3" t="inlineStr">
        <is>
          <t>NUOVI LABORATORI</t>
        </is>
      </c>
      <c r="J109" s="3" t="inlineStr">
        <is>
          <t>PAVIMENTI E RIVESTIMENTI</t>
        </is>
      </c>
      <c r="K109" s="3" t="inlineStr">
        <is>
          <t>RIVESTIMENTO ESTERNO "VENTILATO" COMPOSTO DA:- DOGHE DISPOSTE IN ORIZZONTALE CON ALTEZZA 120 MM CIRCA, REALIZZATE IN ALLUMINIO ESTRUSO SAGOMA-TO, FISSAGGIO MEDIANTE RIVETTATURA/AVVITATURA SU SPE-CIFIC</t>
        </is>
      </c>
      <c r="L109" s="3" t="inlineStr">
        <is>
          <t>RIVESTIMENTO ESTERNO "VENTILATO" COMPOSTO DA:- DOGHE DISPOSTE IN ORIZZONTALE CON ALTEZZA 120 MM CIRCA, REALIZZATE IN ALLUMINIO ESTRUSO SAGOMA-TO, FISSAGGIO MEDIANTE RIVETTATURA/AVVITATURA SU SPE-CIFICA SOTTOSTRUTTURA;DOGHE CON FINITURA MEDIANTE VERNICIATURA A POLVE-RE IN TINTA RAL DA NS. GAMMA STANDARD;- SOTTOSTRUTTURA VERTICALE (NON AUTOPORTANTE) PERIL FISSAGGIO DELLE DOGHE COMPOSTA DA APPOSITI PRO-FILI METALLICI FISSATI ALLA RETROSTANTE PARETE/STRUTTURAPORTANTE MEDIANTE STAFFE METALLICHE DOTATE DI ASO-LE DI FISSAGGIO PER PERMETTERE REGOLAZIONI E COM-PENSAZIONE DI EVENTUALI FUORI PIOMBO;IL FISSAGGIO DELLE STAFFE ALLA RETROSTANTE PARETE/STUT-TURA PORTANTE È FETTUATA CON TASSELLI METALLICI AD ESPANSIONE, DIMENSIONATI IN FUNZIONE DEI CARICHI;- DISTANZA MASSIMA TRA PARETE PORTANTE DI SUPPOR-TO E FILO ESTERNO RIVESTIMENTO PARI A 120 MM;ESCLUSO ISOLAMENTO A "CAPPOTTO";ESCLUSO CAPPELLO SUPERIORE DI RACCORDO/CHIUSURA,BARRIERE TAGLIAFUOCO, IMBOTTI DI RACCODO CON SERRA-MENTI E ALTRI MANUFATTI, EVENTUALI SOTTOSTRUTTUREPORTANTI IN CASO LA POSA NON SIA PREVISTA SU PARE-ETE PORTANTE CONTINUA, DEBITAMENTE PREDISPOSTAE DIMENSIONATA; ESCLUSE EVENTUALI PREDISPOSIZIONI E/O RINFORZIPER FISSAGGIO INSEGNE E/O ALTRI ELEMENTI (ILLUMINA-ZIONE, TELECAMERE, ECC..);</t>
        </is>
      </c>
      <c r="M109" s="4" t="inlineStr">
        <is>
          <t>M²</t>
        </is>
      </c>
      <c r="N109" s="5" t="n">
        <v>298.92</v>
      </c>
      <c r="O109" s="6" t="n">
        <v>420.44</v>
      </c>
      <c r="P109" s="6" t="n">
        <v>125677.92</v>
      </c>
      <c r="Q109" s="5" t="n"/>
      <c r="R109" s="6" t="n"/>
      <c r="S109" s="6">
        <f>IF(AND(Q109&lt;&gt;"",R109&lt;&gt;""),Q109*R109,"")</f>
        <v/>
      </c>
      <c r="T109" s="6">
        <f>IF(S109="",P109,S109)</f>
        <v/>
      </c>
      <c r="U109" s="7" t="n">
        <v>0.25</v>
      </c>
      <c r="V109" s="6">
        <f>$T109*U109</f>
        <v/>
      </c>
      <c r="W109" s="7" t="n">
        <v>0.25</v>
      </c>
      <c r="X109" s="6">
        <f>$T109*W109</f>
        <v/>
      </c>
      <c r="Y109" s="7" t="n">
        <v>0</v>
      </c>
      <c r="Z109" s="6">
        <f>$T109*Y109</f>
        <v/>
      </c>
      <c r="AA109" s="7" t="n">
        <v>0</v>
      </c>
      <c r="AB109" s="6">
        <f>$T109*AA109</f>
        <v/>
      </c>
      <c r="AC109" s="7" t="n">
        <v>0</v>
      </c>
      <c r="AD109" s="6">
        <f>$T109*AC109</f>
        <v/>
      </c>
      <c r="AE109" s="7" t="n">
        <v>0</v>
      </c>
      <c r="AF109" s="6">
        <f>$T109*AE109</f>
        <v/>
      </c>
      <c r="AG109" s="7" t="n">
        <v>0</v>
      </c>
      <c r="AH109" s="6">
        <f>$T109*AG109</f>
        <v/>
      </c>
      <c r="AI109" s="7">
        <f>U109+W109+Y109+AA109+AC109+AE109+AG109</f>
        <v/>
      </c>
      <c r="AJ109" s="6">
        <f>V109+X109+Z109+AB109+AD109+AF109+AH109</f>
        <v/>
      </c>
    </row>
    <row r="110" ht="54" customHeight="1" s="35">
      <c r="A110" s="3" t="inlineStr">
        <is>
          <t>PA.ARC.15</t>
        </is>
      </c>
      <c r="B110" s="4" t="inlineStr">
        <is>
          <t>1/1</t>
        </is>
      </c>
      <c r="C110" s="3" t="inlineStr">
        <is>
          <t>EDILE</t>
        </is>
      </c>
      <c r="D110" s="4" t="inlineStr">
        <is>
          <t>NON SPECIALE</t>
        </is>
      </c>
      <c r="E110" s="4" t="inlineStr">
        <is>
          <t>EDILI</t>
        </is>
      </c>
      <c r="F110" s="3" t="inlineStr">
        <is>
          <t>1_2025.11.20_CME REV07.PDF</t>
        </is>
      </c>
      <c r="G110" s="4" t="inlineStr">
        <is>
          <t>83</t>
        </is>
      </c>
      <c r="H110" s="3" t="inlineStr">
        <is>
          <t>60 - FINITURE</t>
        </is>
      </c>
      <c r="I110" s="3" t="inlineStr">
        <is>
          <t>NUOVI LABORATORI</t>
        </is>
      </c>
      <c r="J110" s="3" t="inlineStr">
        <is>
          <t>OPERE GENERICHE</t>
        </is>
      </c>
      <c r="K110" s="3" t="inlineStr">
        <is>
          <t>CAPPELLO SUPERIORE PER CHIUSURA E RACCORDO TRA CORDOLO IN COPERTURA E FILO ESTERNO RIVESTIMENTO, REALIZZAZIONE IN LAMIERA DI ALLUMINIO SPESSORE 12/10 PREVERNICIATA RAL STANDARD, PRESSOPIEGATA E ISOLAT</t>
        </is>
      </c>
      <c r="L110" s="3" t="inlineStr">
        <is>
          <t>CAPPELLO SUPERIORE PER CHIUSURA E RACCORDO TRA CORDOLO IN COPERTURA E FILO ESTERNO RIVESTIMENTO, REALIZZAZIONE IN LAMIERA DI ALLUMINIO SPESSORE 12/10 PREVERNICIATA RAL STANDARD, PRESSOPIEGATA E ISOLATA;  SVILUPPO MASSIMO 700 MM CIRCA;</t>
        </is>
      </c>
      <c r="M110" s="4" t="inlineStr">
        <is>
          <t>MT</t>
        </is>
      </c>
      <c r="N110" s="5" t="n">
        <v>99.5</v>
      </c>
      <c r="O110" s="6" t="n">
        <v>75.23999999999999</v>
      </c>
      <c r="P110" s="6" t="n">
        <v>7486.38</v>
      </c>
      <c r="Q110" s="5" t="n"/>
      <c r="R110" s="6" t="n"/>
      <c r="S110" s="6">
        <f>IF(AND(Q110&lt;&gt;"",R110&lt;&gt;""),Q110*R110,"")</f>
        <v/>
      </c>
      <c r="T110" s="6">
        <f>IF(S110="",P110,S110)</f>
        <v/>
      </c>
      <c r="U110" s="7" t="n">
        <v>0</v>
      </c>
      <c r="V110" s="6">
        <f>$T110*U110</f>
        <v/>
      </c>
      <c r="W110" s="7" t="n">
        <v>0.2</v>
      </c>
      <c r="X110" s="6">
        <f>$T110*W110</f>
        <v/>
      </c>
      <c r="Y110" s="7" t="n">
        <v>0</v>
      </c>
      <c r="Z110" s="6">
        <f>$T110*Y110</f>
        <v/>
      </c>
      <c r="AA110" s="7" t="n">
        <v>0</v>
      </c>
      <c r="AB110" s="6">
        <f>$T110*AA110</f>
        <v/>
      </c>
      <c r="AC110" s="7" t="n">
        <v>0</v>
      </c>
      <c r="AD110" s="6">
        <f>$T110*AC110</f>
        <v/>
      </c>
      <c r="AE110" s="7" t="n">
        <v>0</v>
      </c>
      <c r="AF110" s="6">
        <f>$T110*AE110</f>
        <v/>
      </c>
      <c r="AG110" s="7" t="n">
        <v>0</v>
      </c>
      <c r="AH110" s="6">
        <f>$T110*AG110</f>
        <v/>
      </c>
      <c r="AI110" s="7">
        <f>U110+W110+Y110+AA110+AC110+AE110+AG110</f>
        <v/>
      </c>
      <c r="AJ110" s="6">
        <f>V110+X110+Z110+AB110+AD110+AF110+AH110</f>
        <v/>
      </c>
    </row>
    <row r="111" ht="54" customHeight="1" s="35">
      <c r="A111" s="3" t="inlineStr">
        <is>
          <t>PA.ARC.16</t>
        </is>
      </c>
      <c r="B111" s="4" t="inlineStr">
        <is>
          <t>1/1</t>
        </is>
      </c>
      <c r="C111" s="3" t="inlineStr">
        <is>
          <t>EDILE</t>
        </is>
      </c>
      <c r="D111" s="4" t="inlineStr">
        <is>
          <t>NON SPECIALE</t>
        </is>
      </c>
      <c r="E111" s="4" t="inlineStr">
        <is>
          <t>EDILI</t>
        </is>
      </c>
      <c r="F111" s="3" t="inlineStr">
        <is>
          <t>1_2025.11.20_CME REV07.PDF</t>
        </is>
      </c>
      <c r="G111" s="4" t="inlineStr">
        <is>
          <t>84</t>
        </is>
      </c>
      <c r="H111" s="3" t="inlineStr">
        <is>
          <t>60 - FINITURE</t>
        </is>
      </c>
      <c r="I111" s="3" t="inlineStr">
        <is>
          <t>NUOVI LABORATORI</t>
        </is>
      </c>
      <c r="J111" s="3" t="inlineStr">
        <is>
          <t>SISTEMAZIONI ESTERNE</t>
        </is>
      </c>
      <c r="K111" s="3" t="inlineStr">
        <is>
          <t>IMBOTTE ESTERNO PER RACCORDO TRA TELAIO SERRAMENTO E FILO ESTERNO RIVESTIMENTO, REALIZZAZIONE IN LAMIERA DI ALLUMINIO SPESSORE 12/10 PREVERNICIATA RAL STANDARD, PRESSOPIEGATA E ISOLATA;  SVILUPPO MASS</t>
        </is>
      </c>
      <c r="L111" s="3" t="inlineStr">
        <is>
          <t>IMBOTTE ESTERNO PER RACCORDO TRA TELAIO SERRAMENTO E FILO ESTERNO RIVESTIMENTO, REALIZZAZIONE IN LAMIERA DI ALLUMINIO SPESSORE 12/10 PREVERNICIATA RAL STANDARD, PRESSOPIEGATA E ISOLATA;  SVILUPPO MASSIMO 450 MM CIRCA;</t>
        </is>
      </c>
      <c r="M111" s="4" t="inlineStr">
        <is>
          <t>MT</t>
        </is>
      </c>
      <c r="N111" s="5" t="n">
        <v>45</v>
      </c>
      <c r="O111" s="6" t="n">
        <v>51.72</v>
      </c>
      <c r="P111" s="6" t="n">
        <v>2327.4</v>
      </c>
      <c r="Q111" s="5" t="n"/>
      <c r="R111" s="6" t="n"/>
      <c r="S111" s="6">
        <f>IF(AND(Q111&lt;&gt;"",R111&lt;&gt;""),Q111*R111,"")</f>
        <v/>
      </c>
      <c r="T111" s="6">
        <f>IF(S111="",P111,S111)</f>
        <v/>
      </c>
      <c r="U111" s="7" t="n">
        <v>0</v>
      </c>
      <c r="V111" s="6">
        <f>$T111*U111</f>
        <v/>
      </c>
      <c r="W111" s="7" t="n">
        <v>0.2</v>
      </c>
      <c r="X111" s="6">
        <f>$T111*W111</f>
        <v/>
      </c>
      <c r="Y111" s="7" t="n">
        <v>0</v>
      </c>
      <c r="Z111" s="6">
        <f>$T111*Y111</f>
        <v/>
      </c>
      <c r="AA111" s="7" t="n">
        <v>0</v>
      </c>
      <c r="AB111" s="6">
        <f>$T111*AA111</f>
        <v/>
      </c>
      <c r="AC111" s="7" t="n">
        <v>0</v>
      </c>
      <c r="AD111" s="6">
        <f>$T111*AC111</f>
        <v/>
      </c>
      <c r="AE111" s="7" t="n">
        <v>0</v>
      </c>
      <c r="AF111" s="6">
        <f>$T111*AE111</f>
        <v/>
      </c>
      <c r="AG111" s="7" t="n">
        <v>0</v>
      </c>
      <c r="AH111" s="6">
        <f>$T111*AG111</f>
        <v/>
      </c>
      <c r="AI111" s="7">
        <f>U111+W111+Y111+AA111+AC111+AE111+AG111</f>
        <v/>
      </c>
      <c r="AJ111" s="6">
        <f>V111+X111+Z111+AB111+AD111+AF111+AH111</f>
        <v/>
      </c>
    </row>
    <row r="112" ht="60" customHeight="1" s="35">
      <c r="A112" s="3" t="inlineStr">
        <is>
          <t>LOM241.1C.24.400.0400</t>
        </is>
      </c>
      <c r="B112" s="4" t="inlineStr">
        <is>
          <t>1/1</t>
        </is>
      </c>
      <c r="C112" s="3" t="inlineStr">
        <is>
          <t>EDILE</t>
        </is>
      </c>
      <c r="D112" s="4" t="inlineStr">
        <is>
          <t>NON SPECIALE</t>
        </is>
      </c>
      <c r="E112" s="4" t="inlineStr">
        <is>
          <t>EDILI</t>
        </is>
      </c>
      <c r="F112" s="3" t="inlineStr">
        <is>
          <t>1_2025.11.20_CME REV07.PDF</t>
        </is>
      </c>
      <c r="G112" s="4" t="inlineStr">
        <is>
          <t>87</t>
        </is>
      </c>
      <c r="H112" s="3" t="inlineStr">
        <is>
          <t>60 - FINITURE</t>
        </is>
      </c>
      <c r="I112" s="3" t="inlineStr">
        <is>
          <t>NUOVI LABORATORI</t>
        </is>
      </c>
      <c r="J112" s="3" t="inlineStr">
        <is>
          <t>OPERE DA FABBRO</t>
        </is>
      </c>
      <c r="K112" s="3" t="inlineStr">
        <is>
          <t>VERNICIATURA OPERE IN METALLO NUOVE, COSTITUITA DA: - RIMOZIONE DI RUGGINE SALTUARIA E SPORCO CON SCARTAVETRATURA - PROTEZIONE CON UNA MANO DI ANTIRUGGINE SINTETICA AL FOSFATO DI ZINCO; - CARTEGGIATUR</t>
        </is>
      </c>
      <c r="L112" s="3" t="inlineStr">
        <is>
          <t>VERNICIATURA OPERE IN METALLO NUOVE, COSTITUITA DA: - RIMOZIONE DI RUGGINE SALTUARIA E SPORCO CON SCARTAVETRATURA - PROTEZIONE CON UNA MANO DI ANTIRUGGINE SINTETICA AL FOSFATO DI ZINCO; - CARTEGGIATURA LEGGERA PER UNIFORMARE LA SUPERFICIE - FINITURA CON DUE MANI DI SMALTO A BASE DI RESINE SINTETICHE  COMPRESI PIANI DI LAVORO ED ASSISTENZE MURARIE.</t>
        </is>
      </c>
      <c r="M112" s="4" t="inlineStr">
        <is>
          <t>M²</t>
        </is>
      </c>
      <c r="N112" s="5" t="n">
        <v>48.04</v>
      </c>
      <c r="O112" s="6" t="n">
        <v>35.27</v>
      </c>
      <c r="P112" s="6" t="n">
        <v>1694.37</v>
      </c>
      <c r="Q112" s="5" t="n"/>
      <c r="R112" s="6" t="n"/>
      <c r="S112" s="6">
        <f>IF(AND(Q112&lt;&gt;"",R112&lt;&gt;""),Q112*R112,"")</f>
        <v/>
      </c>
      <c r="T112" s="6">
        <f>IF(S112="",P112,S112)</f>
        <v/>
      </c>
      <c r="U112" s="7" t="n">
        <v>0</v>
      </c>
      <c r="V112" s="6">
        <f>$T112*U112</f>
        <v/>
      </c>
      <c r="W112" s="7" t="n">
        <v>0</v>
      </c>
      <c r="X112" s="6">
        <f>$T112*W112</f>
        <v/>
      </c>
      <c r="Y112" s="7" t="n">
        <v>0</v>
      </c>
      <c r="Z112" s="6">
        <f>$T112*Y112</f>
        <v/>
      </c>
      <c r="AA112" s="7" t="n">
        <v>0</v>
      </c>
      <c r="AB112" s="6">
        <f>$T112*AA112</f>
        <v/>
      </c>
      <c r="AC112" s="7" t="n">
        <v>0</v>
      </c>
      <c r="AD112" s="6">
        <f>$T112*AC112</f>
        <v/>
      </c>
      <c r="AE112" s="7" t="n">
        <v>0</v>
      </c>
      <c r="AF112" s="6">
        <f>$T112*AE112</f>
        <v/>
      </c>
      <c r="AG112" s="7" t="n">
        <v>0</v>
      </c>
      <c r="AH112" s="6">
        <f>$T112*AG112</f>
        <v/>
      </c>
      <c r="AI112" s="7">
        <f>U112+W112+Y112+AA112+AC112+AE112+AG112</f>
        <v/>
      </c>
      <c r="AJ112" s="6">
        <f>V112+X112+Z112+AB112+AD112+AF112+AH112</f>
        <v/>
      </c>
    </row>
    <row r="113" ht="60" customHeight="1" s="35">
      <c r="A113" s="3" t="inlineStr">
        <is>
          <t>LOM241.OC.EEA.A16.C0900.ZB005.0270</t>
        </is>
      </c>
      <c r="B113" s="4" t="inlineStr">
        <is>
          <t>1/1</t>
        </is>
      </c>
      <c r="C113" s="3" t="inlineStr">
        <is>
          <t>EDILE</t>
        </is>
      </c>
      <c r="D113" s="4" t="inlineStr">
        <is>
          <t>NON SPECIALE</t>
        </is>
      </c>
      <c r="E113" s="4" t="inlineStr">
        <is>
          <t>EDILI</t>
        </is>
      </c>
      <c r="F113" s="3" t="inlineStr">
        <is>
          <t>1_2025.11.20_CME REV07.PDF</t>
        </is>
      </c>
      <c r="G113" s="4" t="inlineStr">
        <is>
          <t>90</t>
        </is>
      </c>
      <c r="H113" s="3" t="inlineStr">
        <is>
          <t>60 - FINITURE</t>
        </is>
      </c>
      <c r="I113" s="3" t="inlineStr">
        <is>
          <t>NUOVI LABORATORI</t>
        </is>
      </c>
      <c r="J113" s="3" t="inlineStr">
        <is>
          <t>OPERE GENERICHE</t>
        </is>
      </c>
      <c r="K113" s="3" t="inlineStr">
        <is>
          <t xml:space="preserve">OPERA: STRATO DI INTONACATURA, COMPLETO DI MATERIA MIX CALCE-CEMENTO; FINITURA: A CIVILE FINE; IMPIEGO: SUPERFICI VERTICALI | SUPERFICI INTERNE. </t>
        </is>
      </c>
      <c r="L113" s="3" t="inlineStr">
        <is>
          <t>OPERA: STRATO DI INTONACATURA, COMPLETO DI MATERIA MIX CALCE-CEMENTO; FINITURA: A CIVILE FINE; IMPIEGO: SUPERFICI VERTICALI | SUPERFICI INTERNE. 
LAVORO: STESURA. INCLUSO: RINZAFFO, INTONACO RUSTICO, ARRICCIATURA. ESCLUSO: PIANI DI LAVORO. 
SPECIFICHE TECNICHE: IN AMBIENTI DI QUALSIASI DIMENSIONE, INTONACO RUSTICO CON PREMISCELATO A BASE DI LEGANTI AEREI ED IDRAULICI, ARRICCIATURA CON RASANTE A BASE DI CEMENTO, CALCE, INERTI SELEZIONATI, ADDITIVI SOTTO STAGGIA, AD ESECUZIONE MANUALE; SU SUPERFICIE INTERNE VERTICALI. 
COMPONENTI: 
OP1 OPERA: STRATO DI INTONACATURA, COMPLETO DI MATERIA MIX CALCE-CEMENTO; FINITURA: A CIVILE FINE; IMPIEGO: SUPERFICI VERTICALI | SUPERFICI INTERNE. 
SPECIFICHE TECNICHE: IN AMBIENTI DI QUALSIASI DIMENSIONE, INTONACO RUSTICO CON PREMISCELATO A BASE DI LEGANTI AEREI ED IDRAULICI, ARRICCIATURA CON RASANTE A BASE DI CEMENTO, CALCE, INERTI SELEZIONATI, ADDITIVI SOTTO STAGGIA. 
RM2 PREMISCELATO DI MATERIALE GENERICO; IMPIEGO: MALTA PER INTONACO PER SOTTOFONDO INTERNO; DENSITÀ [KG/M³] = 1100 
SPECIFICHE TECNICHE: A BASE DI CALCE E ANIDRITE, AD APPLICAZIONE MECCANICA, SU MURATURE NUOVE ED ESISTENTI 
RM2 PREMISCELATO DI MATERIALE GENERICO; FUNZIONE: FINITURA A CIVILE; IMPIEGO: MALTA PER INTONACI INTERNI/ESTERNI; DENSITÀ [KG/M³] = 1500 
SPECIFICHE TECNICHE: AD APPLICAZIONE MANUALE O MECCANICA 
LV1 LAVORO: STESURA. INCLUSO: RINZAFFO, INTONACO RUSTICO, ARRICCIATURA. ESCLUSO: PIANI DI LAVORO. 
SPECIFICHE TECNICHE: AD ESECUZIONE MANUALE; SU SUPERFICIE INTERNE VERTICALI.</t>
        </is>
      </c>
      <c r="M113" s="4" t="inlineStr">
        <is>
          <t>M²</t>
        </is>
      </c>
      <c r="N113" s="5" t="n">
        <v>818.5700000000001</v>
      </c>
      <c r="O113" s="6" t="n">
        <v>14.11</v>
      </c>
      <c r="P113" s="6" t="n">
        <v>11550.02</v>
      </c>
      <c r="Q113" s="5" t="n"/>
      <c r="R113" s="6" t="n"/>
      <c r="S113" s="6">
        <f>IF(AND(Q113&lt;&gt;"",R113&lt;&gt;""),Q113*R113,"")</f>
        <v/>
      </c>
      <c r="T113" s="6">
        <f>IF(S113="",P113,S113)</f>
        <v/>
      </c>
      <c r="U113" s="7" t="n">
        <v>0</v>
      </c>
      <c r="V113" s="6">
        <f>$T113*U113</f>
        <v/>
      </c>
      <c r="W113" s="7" t="n">
        <v>0.75</v>
      </c>
      <c r="X113" s="6">
        <f>$T113*W113</f>
        <v/>
      </c>
      <c r="Y113" s="7" t="n">
        <v>0</v>
      </c>
      <c r="Z113" s="6">
        <f>$T113*Y113</f>
        <v/>
      </c>
      <c r="AA113" s="7" t="n">
        <v>0</v>
      </c>
      <c r="AB113" s="6">
        <f>$T113*AA113</f>
        <v/>
      </c>
      <c r="AC113" s="7" t="n">
        <v>0</v>
      </c>
      <c r="AD113" s="6">
        <f>$T113*AC113</f>
        <v/>
      </c>
      <c r="AE113" s="7" t="n">
        <v>0</v>
      </c>
      <c r="AF113" s="6">
        <f>$T113*AE113</f>
        <v/>
      </c>
      <c r="AG113" s="7" t="n">
        <v>0</v>
      </c>
      <c r="AH113" s="6">
        <f>$T113*AG113</f>
        <v/>
      </c>
      <c r="AI113" s="7">
        <f>U113+W113+Y113+AA113+AC113+AE113+AG113</f>
        <v/>
      </c>
      <c r="AJ113" s="6">
        <f>V113+X113+Z113+AB113+AD113+AF113+AH113</f>
        <v/>
      </c>
    </row>
    <row r="114" ht="60" customHeight="1" s="35">
      <c r="A114" s="3" t="inlineStr">
        <is>
          <t>LOM241.OC.EEA.A16.C0900.I0000.0250</t>
        </is>
      </c>
      <c r="B114" s="4" t="inlineStr">
        <is>
          <t>1/1</t>
        </is>
      </c>
      <c r="C114" s="3" t="inlineStr">
        <is>
          <t>EDILE</t>
        </is>
      </c>
      <c r="D114" s="4" t="inlineStr">
        <is>
          <t>NON SPECIALE</t>
        </is>
      </c>
      <c r="E114" s="4" t="inlineStr">
        <is>
          <t>EDILI</t>
        </is>
      </c>
      <c r="F114" s="3" t="inlineStr">
        <is>
          <t>1_2025.11.20_CME REV07.PDF</t>
        </is>
      </c>
      <c r="G114" s="4" t="inlineStr">
        <is>
          <t>91</t>
        </is>
      </c>
      <c r="H114" s="3" t="inlineStr">
        <is>
          <t>60 - FINITURE</t>
        </is>
      </c>
      <c r="I114" s="3" t="inlineStr">
        <is>
          <t>NUOVI LABORATORI</t>
        </is>
      </c>
      <c r="J114" s="3" t="inlineStr">
        <is>
          <t>INTONACI - RASATURE</t>
        </is>
      </c>
      <c r="K114" s="3" t="inlineStr">
        <is>
          <t xml:space="preserve">OPERA: STRATO DI INTONACATURA, RASATURA A CIVILE FINE DI CALCE GENERICO; GEOMETRIA/FORMA/ASPETTO: VERTICALE-ORIZZONTALE; IMPIEGO: SUPERFICI INTERNE. </t>
        </is>
      </c>
      <c r="L114" s="3" t="inlineStr">
        <is>
          <t>OPERA: STRATO DI INTONACATURA, RASATURA A CIVILE FINE DI CALCE GENERICO; GEOMETRIA/FORMA/ASPETTO: VERTICALE-ORIZZONTALE; IMPIEGO: SUPERFICI INTERNE. 
LAVORO: STESURA. ESCLUSO: PIANI DI LAVORO. 
SPECIFICHE TECNICHE: IN AMBIENTI DI DIMENSIONE GENERICA, SU SUPERFICIE INTERNE VERTICALI/ORIZZONTALI. 
COMPONENTI: 
OP1 OPERA: STRATO DI INTONACATURA, RASATURA A CIVILE FINE DI CALCE GENERICO; GEOMETRIA/FORMA/ASPETTO: VERTICALE-ORIZZONTALE; IMPIEGO: SUPERFICI INTERNE. 
SPECIFICHE TECNICHE: IN AMBIENTI DI DIMENSIONE GENERICA. 
RM2 PREMISCELATO DI MATERIALE GENERICO; FUNZIONE: FINITURA A CIVILE; IMPIEGO: MALTA PER INTONACI INTERNI/ESTERNI; DENSITÀ [KG/M³] = 1500 
SPECIFICHE TECNICHE: AD APPLICAZIONE MANUALE O MECCANICA 
LV1 LAVORO: STESURA. ESCLUSO: PIANI DI LAVORO. 
SPECIFICHE TECNICHE: SU SUPERFICIE INTERNE VERTICALI/ORIZZONTALI.</t>
        </is>
      </c>
      <c r="M114" s="4" t="inlineStr">
        <is>
          <t>M²</t>
        </is>
      </c>
      <c r="N114" s="5" t="n">
        <v>2917.97</v>
      </c>
      <c r="O114" s="6" t="n">
        <v>8.23</v>
      </c>
      <c r="P114" s="6" t="n">
        <v>24014.89</v>
      </c>
      <c r="Q114" s="5" t="n"/>
      <c r="R114" s="6" t="n"/>
      <c r="S114" s="6">
        <f>IF(AND(Q114&lt;&gt;"",R114&lt;&gt;""),Q114*R114,"")</f>
        <v/>
      </c>
      <c r="T114" s="6">
        <f>IF(S114="",P114,S114)</f>
        <v/>
      </c>
      <c r="U114" s="7" t="n">
        <v>0</v>
      </c>
      <c r="V114" s="6">
        <f>$T114*U114</f>
        <v/>
      </c>
      <c r="W114" s="7" t="n">
        <v>0.25</v>
      </c>
      <c r="X114" s="6">
        <f>$T114*W114</f>
        <v/>
      </c>
      <c r="Y114" s="7" t="n">
        <v>0</v>
      </c>
      <c r="Z114" s="6">
        <f>$T114*Y114</f>
        <v/>
      </c>
      <c r="AA114" s="7" t="n">
        <v>0</v>
      </c>
      <c r="AB114" s="6">
        <f>$T114*AA114</f>
        <v/>
      </c>
      <c r="AC114" s="7" t="n">
        <v>0</v>
      </c>
      <c r="AD114" s="6">
        <f>$T114*AC114</f>
        <v/>
      </c>
      <c r="AE114" s="7" t="n">
        <v>0</v>
      </c>
      <c r="AF114" s="6">
        <f>$T114*AE114</f>
        <v/>
      </c>
      <c r="AG114" s="7" t="n">
        <v>0</v>
      </c>
      <c r="AH114" s="6">
        <f>$T114*AG114</f>
        <v/>
      </c>
      <c r="AI114" s="7">
        <f>U114+W114+Y114+AA114+AC114+AE114+AG114</f>
        <v/>
      </c>
      <c r="AJ114" s="6">
        <f>V114+X114+Z114+AB114+AD114+AF114+AH114</f>
        <v/>
      </c>
    </row>
    <row r="115" ht="60" customHeight="1" s="35">
      <c r="A115" s="3" t="inlineStr">
        <is>
          <t>LOM241.OC.EEA.A06.C1234.CA012.0005</t>
        </is>
      </c>
      <c r="B115" s="4" t="inlineStr">
        <is>
          <t>1/1</t>
        </is>
      </c>
      <c r="C115" s="3" t="inlineStr">
        <is>
          <t>EDILE</t>
        </is>
      </c>
      <c r="D115" s="4" t="inlineStr">
        <is>
          <t>NON SPECIALE</t>
        </is>
      </c>
      <c r="E115" s="4" t="inlineStr">
        <is>
          <t>EDILI</t>
        </is>
      </c>
      <c r="F115" s="3" t="inlineStr">
        <is>
          <t>1_2025.11.20_CME REV07.PDF</t>
        </is>
      </c>
      <c r="G115" s="4" t="inlineStr">
        <is>
          <t>92</t>
        </is>
      </c>
      <c r="H115" s="3" t="inlineStr">
        <is>
          <t>60 - FINITURE</t>
        </is>
      </c>
      <c r="I115" s="3" t="inlineStr">
        <is>
          <t>NUOVI LABORATORI</t>
        </is>
      </c>
      <c r="J115" s="3" t="inlineStr">
        <is>
          <t>OPERE GENERICHE</t>
        </is>
      </c>
      <c r="K115" s="3" t="inlineStr">
        <is>
          <t xml:space="preserve">OPERA: STRATO DI PITTURAZIONE, IDROPITTURA DI RESINA SINTETICA ACRILICA; IMPIEGO: SUPERFICI INTERNE | INTONACO CIVILE | LISCIATE A GESSO. </t>
        </is>
      </c>
      <c r="L115" s="3" t="inlineStr">
        <is>
          <t>OPERA: STRATO DI PITTURAZIONE, IDROPITTURA DI RESINA SINTETICA ACRILICA; IMPIEGO: SUPERFICI INTERNE | INTONACO CIVILE | LISCIATE A GESSO. 
LAVORO: APPLICAZIONE DUE RIPRESE. INCLUSO: PIANI DI LAVORO INTERNI, ASSISTENZE MURARIE. 
SPECIFICHE TECNICHE: PER SUPERFICI GIÀ PREPARATE ED ISOLATE, IDROPITTURA CON CARICHE MICRONIZZATE, ADDITIVI, BATTERICIDI, FUNGICIDI. 
COMPONENTI: 
OP1 OPERA: STRATO DI PITTURAZIONE, IDROPITTURA DI RESINA SINTETICA ACRILICA; IMPIEGO: SUPERFICI INTERNE | INTONACO CIVILE | LISCIATE A GESSO. 
SPECIFICHE TECNICHE: PER SUPERFICI GIÀ PREPARATE ED ISOLATE, IDROPITTURA CON CARICHE MICRONIZZATE, ADDITIVI, BATTERICIDI, FUNGICIDI. 
RM2 PITTURA IDROPITTURA DI RESINA SINTETICA ACRILICA; IMPIEGO: MURATURE INTERNE; LAVABILITÀ [COLPI DI SPAZZOLA] &gt; 10000; PESO SPECIFICO [KG/L] = 1,31 
SPECIFICHE TECNICHE: TRASPIRANTE, LAVABILE CON SAPONE 
LV1 LAVORO: APPLICAZIONE DUE RIPRESE. INCLUSO: PIANI DI LAVORO INTERNI, ASSISTENZE MURARIE.</t>
        </is>
      </c>
      <c r="M115" s="4" t="inlineStr">
        <is>
          <t>M²</t>
        </is>
      </c>
      <c r="N115" s="5" t="n">
        <v>1641.88</v>
      </c>
      <c r="O115" s="6" t="n">
        <v>6.47</v>
      </c>
      <c r="P115" s="6" t="n">
        <v>10622.96</v>
      </c>
      <c r="Q115" s="5" t="n"/>
      <c r="R115" s="6" t="n"/>
      <c r="S115" s="6">
        <f>IF(AND(Q115&lt;&gt;"",R115&lt;&gt;""),Q115*R115,"")</f>
        <v/>
      </c>
      <c r="T115" s="6">
        <f>IF(S115="",P115,S115)</f>
        <v/>
      </c>
      <c r="U115" s="7" t="n">
        <v>0</v>
      </c>
      <c r="V115" s="6">
        <f>$T115*U115</f>
        <v/>
      </c>
      <c r="W115" s="7" t="n">
        <v>0</v>
      </c>
      <c r="X115" s="6">
        <f>$T115*W115</f>
        <v/>
      </c>
      <c r="Y115" s="7" t="n">
        <v>0</v>
      </c>
      <c r="Z115" s="6">
        <f>$T115*Y115</f>
        <v/>
      </c>
      <c r="AA115" s="7" t="n">
        <v>0</v>
      </c>
      <c r="AB115" s="6">
        <f>$T115*AA115</f>
        <v/>
      </c>
      <c r="AC115" s="7" t="n">
        <v>0</v>
      </c>
      <c r="AD115" s="6">
        <f>$T115*AC115</f>
        <v/>
      </c>
      <c r="AE115" s="7" t="n">
        <v>0</v>
      </c>
      <c r="AF115" s="6">
        <f>$T115*AE115</f>
        <v/>
      </c>
      <c r="AG115" s="7" t="n">
        <v>0</v>
      </c>
      <c r="AH115" s="6">
        <f>$T115*AG115</f>
        <v/>
      </c>
      <c r="AI115" s="7">
        <f>U115+W115+Y115+AA115+AC115+AE115+AG115</f>
        <v/>
      </c>
      <c r="AJ115" s="6">
        <f>V115+X115+Z115+AB115+AD115+AF115+AH115</f>
        <v/>
      </c>
    </row>
    <row r="116" ht="60" customHeight="1" s="35">
      <c r="A116" s="3" t="inlineStr">
        <is>
          <t>LOM241.1C.18.020.0080</t>
        </is>
      </c>
      <c r="B116" s="4" t="inlineStr">
        <is>
          <t>1/1</t>
        </is>
      </c>
      <c r="C116" s="3" t="inlineStr">
        <is>
          <t>EDILE</t>
        </is>
      </c>
      <c r="D116" s="4" t="inlineStr">
        <is>
          <t>NON SPECIALE</t>
        </is>
      </c>
      <c r="E116" s="4" t="inlineStr">
        <is>
          <t>EDILI</t>
        </is>
      </c>
      <c r="F116" s="3" t="inlineStr">
        <is>
          <t>1_2025.11.20_CME REV07.PDF</t>
        </is>
      </c>
      <c r="G116" s="4" t="inlineStr">
        <is>
          <t>96</t>
        </is>
      </c>
      <c r="H116" s="3" t="inlineStr">
        <is>
          <t>60 - FINITURE</t>
        </is>
      </c>
      <c r="I116" s="3" t="inlineStr">
        <is>
          <t>NUOVI LABORATORI</t>
        </is>
      </c>
      <c r="J116" s="3" t="inlineStr">
        <is>
          <t>PAVIMENTI E RIVESTIMENTI</t>
        </is>
      </c>
      <c r="K116" s="3" t="inlineStr">
        <is>
          <t>PAVIMENTO AD ALTA RESISTENZA MECCANICA, ESEGUITO CON MALTA SINTETICA EPOSSIDICA E SPECIALI CARICHE QUARZIFERE SU MASSETTO CEMENTIZIO ESISTENTE E MECCANICAMENTE SOLIDO, SPESSORE MINIMO 7 MM, SPIANATO C</t>
        </is>
      </c>
      <c r="L116" s="3" t="inlineStr">
        <is>
          <t>PAVIMENTO AD ALTA RESISTENZA MECCANICA, ESEGUITO CON MALTA SINTETICA EPOSSIDICA E SPECIALI CARICHE QUARZIFERE SU MASSETTO CEMENTIZIO ESISTENTE E MECCANICAMENTE SOLIDO, SPESSORE MINIMO 7 MM, SPIANATO CON FRATTAZZATRICE MECCANICA; RESISTENZA ALLA COMPRESSIONE DI 800 KG/CM² CON CARATTERISTICHE DI ANTIVIBRAZIONE, ELASTICITÀ, ANTIABRASIONE, RESISTENZA AGLI ACIDI, AI SALI, AGLI OLI, AI CARBURANTI. COMPRESA LA FORMAZIONE DEI GIUNTI E L'ASSISTENZA MURARIA.</t>
        </is>
      </c>
      <c r="M116" s="4" t="inlineStr">
        <is>
          <t>M²</t>
        </is>
      </c>
      <c r="N116" s="5" t="n">
        <v>285.94</v>
      </c>
      <c r="O116" s="6" t="n">
        <v>68.18000000000001</v>
      </c>
      <c r="P116" s="6" t="n">
        <v>19495.39</v>
      </c>
      <c r="Q116" s="5" t="n"/>
      <c r="R116" s="6" t="n"/>
      <c r="S116" s="6">
        <f>IF(AND(Q116&lt;&gt;"",R116&lt;&gt;""),Q116*R116,"")</f>
        <v/>
      </c>
      <c r="T116" s="6">
        <f>IF(S116="",P116,S116)</f>
        <v/>
      </c>
      <c r="U116" s="7" t="n">
        <v>0</v>
      </c>
      <c r="V116" s="6">
        <f>$T116*U116</f>
        <v/>
      </c>
      <c r="W116" s="7" t="n">
        <v>0.3</v>
      </c>
      <c r="X116" s="6">
        <f>$T116*W116</f>
        <v/>
      </c>
      <c r="Y116" s="7" t="n">
        <v>0</v>
      </c>
      <c r="Z116" s="6">
        <f>$T116*Y116</f>
        <v/>
      </c>
      <c r="AA116" s="7" t="n">
        <v>0</v>
      </c>
      <c r="AB116" s="6">
        <f>$T116*AA116</f>
        <v/>
      </c>
      <c r="AC116" s="7" t="n">
        <v>0</v>
      </c>
      <c r="AD116" s="6">
        <f>$T116*AC116</f>
        <v/>
      </c>
      <c r="AE116" s="7" t="n">
        <v>0</v>
      </c>
      <c r="AF116" s="6">
        <f>$T116*AE116</f>
        <v/>
      </c>
      <c r="AG116" s="7" t="n">
        <v>0</v>
      </c>
      <c r="AH116" s="6">
        <f>$T116*AG116</f>
        <v/>
      </c>
      <c r="AI116" s="7">
        <f>U116+W116+Y116+AA116+AC116+AE116+AG116</f>
        <v/>
      </c>
      <c r="AJ116" s="6">
        <f>V116+X116+Z116+AB116+AD116+AF116+AH116</f>
        <v/>
      </c>
    </row>
    <row r="117" ht="60" customHeight="1" s="35">
      <c r="A117" s="3" t="inlineStr">
        <is>
          <t>LOM241.1C.18.450.0010.B</t>
        </is>
      </c>
      <c r="B117" s="4" t="inlineStr">
        <is>
          <t>1/2</t>
        </is>
      </c>
      <c r="C117" s="3" t="inlineStr">
        <is>
          <t>EDILE</t>
        </is>
      </c>
      <c r="D117" s="4" t="inlineStr">
        <is>
          <t>NON SPECIALE</t>
        </is>
      </c>
      <c r="E117" s="4" t="inlineStr">
        <is>
          <t>EDILI</t>
        </is>
      </c>
      <c r="F117" s="3" t="inlineStr">
        <is>
          <t>1_2025.11.20_CME REV07.PDF</t>
        </is>
      </c>
      <c r="G117" s="4" t="inlineStr">
        <is>
          <t>98</t>
        </is>
      </c>
      <c r="H117" s="3" t="inlineStr">
        <is>
          <t>60 - FINITURE</t>
        </is>
      </c>
      <c r="I117" s="3" t="inlineStr">
        <is>
          <t>NUOVI LABORATORI</t>
        </is>
      </c>
      <c r="J117" s="3" t="inlineStr">
        <is>
          <t>PAVIMENTI E RIVESTIMENTI</t>
        </is>
      </c>
      <c r="K117" s="3" t="inlineStr">
        <is>
          <t xml:space="preserve">PAVIMENTO IN PIASTRELLE SEMIFLESSIBILI DI PVC AD ELEVATE CARICHE MINERALI, OMOGENEO PLASTIFICATO E STABILIZZATO, DA CM 30X30, PESO 5,0 ÷ 7,0 KG/M², POSATO CON ADESIVO, COMPRESA LA NORMALE RASATURA DI </t>
        </is>
      </c>
      <c r="L117" s="3" t="inlineStr">
        <is>
          <t>PAVIMENTO IN PIASTRELLE SEMIFLESSIBILI DI PVC AD ELEVATE CARICHE MINERALI, OMOGENEO PLASTIFICATO E STABILIZZATO, DA CM 30X30, PESO 5,0 ÷ 7,0 KG/M², POSATO CON ADESIVO, COMPRESA LA NORMALE RASATURA DI IDONEO MASSETTO E LE ASSISTENZE MURARIE; SPESSORE: - 3,2 MM - CLASSE EN685 34/43 , CLASSE DI REAZIONE AL FUOCO UNO (D.M. 15.03.2005) = BFL S1 (EN13501-1) ;</t>
        </is>
      </c>
      <c r="M117" s="4" t="inlineStr">
        <is>
          <t>M²</t>
        </is>
      </c>
      <c r="N117" s="5" t="n">
        <v>28.74</v>
      </c>
      <c r="O117" s="6" t="n">
        <v>49.37</v>
      </c>
      <c r="P117" s="6" t="n">
        <v>1418.89</v>
      </c>
      <c r="Q117" s="5" t="n"/>
      <c r="R117" s="6" t="n"/>
      <c r="S117" s="6">
        <f>IF(AND(Q117&lt;&gt;"",R117&lt;&gt;""),Q117*R117,"")</f>
        <v/>
      </c>
      <c r="T117" s="6">
        <f>IF(S117="",P117,S117)</f>
        <v/>
      </c>
      <c r="U117" s="7" t="n">
        <v>0</v>
      </c>
      <c r="V117" s="6">
        <f>$T117*U117</f>
        <v/>
      </c>
      <c r="W117" s="7" t="n">
        <v>0</v>
      </c>
      <c r="X117" s="6">
        <f>$T117*W117</f>
        <v/>
      </c>
      <c r="Y117" s="7" t="n">
        <v>0</v>
      </c>
      <c r="Z117" s="6">
        <f>$T117*Y117</f>
        <v/>
      </c>
      <c r="AA117" s="7" t="n">
        <v>0</v>
      </c>
      <c r="AB117" s="6">
        <f>$T117*AA117</f>
        <v/>
      </c>
      <c r="AC117" s="7" t="n">
        <v>0</v>
      </c>
      <c r="AD117" s="6">
        <f>$T117*AC117</f>
        <v/>
      </c>
      <c r="AE117" s="7" t="n">
        <v>0</v>
      </c>
      <c r="AF117" s="6">
        <f>$T117*AE117</f>
        <v/>
      </c>
      <c r="AG117" s="7" t="n">
        <v>0</v>
      </c>
      <c r="AH117" s="6">
        <f>$T117*AG117</f>
        <v/>
      </c>
      <c r="AI117" s="7">
        <f>U117+W117+Y117+AA117+AC117+AE117+AG117</f>
        <v/>
      </c>
      <c r="AJ117" s="6">
        <f>V117+X117+Z117+AB117+AD117+AF117+AH117</f>
        <v/>
      </c>
    </row>
    <row r="118" ht="54" customHeight="1" s="35">
      <c r="A118" s="3" t="inlineStr">
        <is>
          <t>LOM241.1C.18.450.0250.B</t>
        </is>
      </c>
      <c r="B118" s="4" t="inlineStr">
        <is>
          <t>1/2</t>
        </is>
      </c>
      <c r="C118" s="3" t="inlineStr">
        <is>
          <t>EDILE</t>
        </is>
      </c>
      <c r="D118" s="4" t="inlineStr">
        <is>
          <t>NON SPECIALE</t>
        </is>
      </c>
      <c r="E118" s="4" t="inlineStr">
        <is>
          <t>EDILI</t>
        </is>
      </c>
      <c r="F118" s="3" t="inlineStr">
        <is>
          <t>1_2025.11.20_CME REV07.PDF</t>
        </is>
      </c>
      <c r="G118" s="4" t="inlineStr">
        <is>
          <t>99</t>
        </is>
      </c>
      <c r="H118" s="3" t="inlineStr">
        <is>
          <t>60 - FINITURE</t>
        </is>
      </c>
      <c r="I118" s="3" t="inlineStr">
        <is>
          <t>NUOVI LABORATORI</t>
        </is>
      </c>
      <c r="J118" s="3" t="inlineStr">
        <is>
          <t>PAVIMENTI E RIVESTIMENTI</t>
        </is>
      </c>
      <c r="K118" s="3" t="inlineStr">
        <is>
          <t xml:space="preserve">SALDATURA A CALDO, PREVIA PREPARAZIONE, DEI GIUNTI DI PIASTRELLE O TELI VINILICI PER PAVIMENTI, CON INTERPOSIZIONE DI FILETTO IN PVC E REFILATURA FINALE, COMPRESA PULIZIA FINALE E ASSISTENZA MURARIA. </t>
        </is>
      </c>
      <c r="L118" s="3" t="inlineStr">
        <is>
          <t>SALDATURA A CALDO, PREVIA PREPARAZIONE, DEI GIUNTI DI PIASTRELLE O TELI VINILICI PER PAVIMENTI, CON INTERPOSIZIONE DI FILETTO IN PVC E REFILATURA FINALE, COMPRESA PULIZIA FINALE E ASSISTENZA MURARIA. - IN PIASTRELLE</t>
        </is>
      </c>
      <c r="M118" s="4" t="inlineStr">
        <is>
          <t>M²</t>
        </is>
      </c>
      <c r="N118" s="5" t="n">
        <v>28.74</v>
      </c>
      <c r="O118" s="6" t="n">
        <v>0</v>
      </c>
      <c r="P118" s="6" t="n">
        <v>0</v>
      </c>
      <c r="Q118" s="5" t="n"/>
      <c r="R118" s="6" t="n"/>
      <c r="S118" s="6">
        <f>IF(AND(Q118&lt;&gt;"",R118&lt;&gt;""),Q118*R118,"")</f>
        <v/>
      </c>
      <c r="T118" s="6">
        <f>IF(S118="",P118,S118)</f>
        <v/>
      </c>
      <c r="U118" s="7" t="n">
        <v>0</v>
      </c>
      <c r="V118" s="6">
        <f>$T118*U118</f>
        <v/>
      </c>
      <c r="W118" s="7" t="n">
        <v>0</v>
      </c>
      <c r="X118" s="6">
        <f>$T118*W118</f>
        <v/>
      </c>
      <c r="Y118" s="7" t="n">
        <v>0</v>
      </c>
      <c r="Z118" s="6">
        <f>$T118*Y118</f>
        <v/>
      </c>
      <c r="AA118" s="7" t="n">
        <v>0</v>
      </c>
      <c r="AB118" s="6">
        <f>$T118*AA118</f>
        <v/>
      </c>
      <c r="AC118" s="7" t="n">
        <v>0</v>
      </c>
      <c r="AD118" s="6">
        <f>$T118*AC118</f>
        <v/>
      </c>
      <c r="AE118" s="7" t="n">
        <v>0</v>
      </c>
      <c r="AF118" s="6">
        <f>$T118*AE118</f>
        <v/>
      </c>
      <c r="AG118" s="7" t="n">
        <v>0</v>
      </c>
      <c r="AH118" s="6">
        <f>$T118*AG118</f>
        <v/>
      </c>
      <c r="AI118" s="7">
        <f>U118+W118+Y118+AA118+AC118+AE118+AG118</f>
        <v/>
      </c>
      <c r="AJ118" s="6">
        <f>V118+X118+Z118+AB118+AD118+AF118+AH118</f>
        <v/>
      </c>
    </row>
    <row r="119" ht="54" customHeight="1" s="35">
      <c r="A119" s="3" t="inlineStr">
        <is>
          <t>LOM241.1C.18.450.0300</t>
        </is>
      </c>
      <c r="B119" s="4" t="inlineStr">
        <is>
          <t>1/2</t>
        </is>
      </c>
      <c r="C119" s="3" t="inlineStr">
        <is>
          <t>EDILE</t>
        </is>
      </c>
      <c r="D119" s="4" t="inlineStr">
        <is>
          <t>NON SPECIALE</t>
        </is>
      </c>
      <c r="E119" s="4" t="inlineStr">
        <is>
          <t>EDILI</t>
        </is>
      </c>
      <c r="F119" s="3" t="inlineStr">
        <is>
          <t>1_2025.11.20_CME REV07.PDF</t>
        </is>
      </c>
      <c r="G119" s="4" t="inlineStr">
        <is>
          <t>101</t>
        </is>
      </c>
      <c r="H119" s="3" t="inlineStr">
        <is>
          <t>60 - FINITURE</t>
        </is>
      </c>
      <c r="I119" s="3" t="inlineStr">
        <is>
          <t>NUOVI LABORATORI</t>
        </is>
      </c>
      <c r="J119" s="3" t="inlineStr">
        <is>
          <t>PAVIMENTI E RIVESTIMENTI</t>
        </is>
      </c>
      <c r="K119" s="3" t="inlineStr">
        <is>
          <t>FORMAZIONE DI GUSCIA CONTRO PARETE PER I PAVIMENTI VINILICI E SIMILARI, COMPRESA FORNITURA E POSA DELL'ELEMENTO SOTTOGUSCIA ARROTONDATO PREFORMATO D'ANGOLO ED OGNI ASSISTENZA MURARIA</t>
        </is>
      </c>
      <c r="L119" s="3" t="inlineStr">
        <is>
          <t>FORMAZIONE DI GUSCIA CONTRO PARETE PER I PAVIMENTI VINILICI E SIMILARI, COMPRESA FORNITURA E POSA DELL'ELEMENTO SOTTOGUSCIA ARROTONDATO PREFORMATO D'ANGOLO ED OGNI ASSISTENZA MURARIA</t>
        </is>
      </c>
      <c r="M119" s="4" t="inlineStr">
        <is>
          <t>M</t>
        </is>
      </c>
      <c r="N119" s="5" t="n">
        <v>48.79</v>
      </c>
      <c r="O119" s="6" t="n">
        <v>22.34</v>
      </c>
      <c r="P119" s="6" t="n">
        <v>1089.97</v>
      </c>
      <c r="Q119" s="5" t="n"/>
      <c r="R119" s="6" t="n"/>
      <c r="S119" s="6">
        <f>IF(AND(Q119&lt;&gt;"",R119&lt;&gt;""),Q119*R119,"")</f>
        <v/>
      </c>
      <c r="T119" s="6">
        <f>IF(S119="",P119,S119)</f>
        <v/>
      </c>
      <c r="U119" s="7" t="n">
        <v>0</v>
      </c>
      <c r="V119" s="6">
        <f>$T119*U119</f>
        <v/>
      </c>
      <c r="W119" s="7" t="n">
        <v>0</v>
      </c>
      <c r="X119" s="6">
        <f>$T119*W119</f>
        <v/>
      </c>
      <c r="Y119" s="7" t="n">
        <v>0</v>
      </c>
      <c r="Z119" s="6">
        <f>$T119*Y119</f>
        <v/>
      </c>
      <c r="AA119" s="7" t="n">
        <v>0</v>
      </c>
      <c r="AB119" s="6">
        <f>$T119*AA119</f>
        <v/>
      </c>
      <c r="AC119" s="7" t="n">
        <v>0</v>
      </c>
      <c r="AD119" s="6">
        <f>$T119*AC119</f>
        <v/>
      </c>
      <c r="AE119" s="7" t="n">
        <v>0</v>
      </c>
      <c r="AF119" s="6">
        <f>$T119*AE119</f>
        <v/>
      </c>
      <c r="AG119" s="7" t="n">
        <v>0</v>
      </c>
      <c r="AH119" s="6">
        <f>$T119*AG119</f>
        <v/>
      </c>
      <c r="AI119" s="7">
        <f>U119+W119+Y119+AA119+AC119+AE119+AG119</f>
        <v/>
      </c>
      <c r="AJ119" s="6">
        <f>V119+X119+Z119+AB119+AD119+AF119+AH119</f>
        <v/>
      </c>
    </row>
    <row r="120" ht="60" customHeight="1" s="35">
      <c r="A120" s="3" t="inlineStr">
        <is>
          <t>LOM241.RM.02.10.00.F0004.0010</t>
        </is>
      </c>
      <c r="B120" s="4" t="inlineStr">
        <is>
          <t>1/2</t>
        </is>
      </c>
      <c r="C120" s="3" t="inlineStr">
        <is>
          <t>EDILE</t>
        </is>
      </c>
      <c r="D120" s="4" t="inlineStr">
        <is>
          <t>NON SPECIALE</t>
        </is>
      </c>
      <c r="E120" s="4" t="inlineStr">
        <is>
          <t>EDILI</t>
        </is>
      </c>
      <c r="F120" s="3" t="inlineStr">
        <is>
          <t>1_2025.11.20_CME REV07.PDF</t>
        </is>
      </c>
      <c r="G120" s="4" t="inlineStr">
        <is>
          <t>104</t>
        </is>
      </c>
      <c r="H120" s="3" t="inlineStr">
        <is>
          <t>60 - FINITURE</t>
        </is>
      </c>
      <c r="I120" s="3" t="inlineStr">
        <is>
          <t>NUOVI LABORATORI</t>
        </is>
      </c>
      <c r="J120" s="3" t="inlineStr">
        <is>
          <t>OPERE GENERICHE</t>
        </is>
      </c>
      <c r="K120" s="3" t="inlineStr">
        <is>
          <t xml:space="preserve">MEMBRANA ARMATA DI BITUME ELASTOMERICO (BPE); FINITURA: LISCIA; FUNZIONE: IMPERMEABILIZZANTE; IMPIEGO: COPERTURA; SPESSORE [MM] = 4; FLESSIBILITÀ A FREDDO [°C] ≤ -20 | STABILITÀ DI FORMA A CALDO [°C] </t>
        </is>
      </c>
      <c r="L120" s="3" t="inlineStr">
        <is>
          <t>MEMBRANA ARMATA DI BITUME ELASTOMERICO (BPE); FINITURA: LISCIA; FUNZIONE: IMPERMEABILIZZANTE; IMPIEGO: COPERTURA; SPESSORE [MM] = 4; FLESSIBILITÀ A FREDDO [°C] ≤ -20 | STABILITÀ DI FORMA A CALDO [°C] ≥ 100 | RESISTENZA A TRAZIONE A ROTTURA L/T (-20%) [N/50 MM] = 450/300 
SPECIFICHE TECNICHE: DICHIARAZIONE DI PRESTAZIONE DOP 
COMPONENTI: 
RM1 MEMBRANA DI BITUME ELASTOMERICO (BPE) 
RM1 MEMBRANA DI FIBRA SINTETICA POLIESTERE; FUNZIONE: ARMATURA</t>
        </is>
      </c>
      <c r="M120" s="4" t="inlineStr">
        <is>
          <t>M²</t>
        </is>
      </c>
      <c r="N120" s="5" t="n">
        <v>409.28</v>
      </c>
      <c r="O120" s="6" t="n">
        <v>27.39</v>
      </c>
      <c r="P120" s="6" t="n">
        <v>11210.18</v>
      </c>
      <c r="Q120" s="5" t="n"/>
      <c r="R120" s="6" t="n"/>
      <c r="S120" s="6">
        <f>IF(AND(Q120&lt;&gt;"",R120&lt;&gt;""),Q120*R120,"")</f>
        <v/>
      </c>
      <c r="T120" s="6">
        <f>IF(S120="",P120,S120)</f>
        <v/>
      </c>
      <c r="U120" s="7" t="n">
        <v>0</v>
      </c>
      <c r="V120" s="6">
        <f>$T120*U120</f>
        <v/>
      </c>
      <c r="W120" s="7" t="n">
        <v>0.75</v>
      </c>
      <c r="X120" s="6">
        <f>$T120*W120</f>
        <v/>
      </c>
      <c r="Y120" s="7" t="n">
        <v>0</v>
      </c>
      <c r="Z120" s="6">
        <f>$T120*Y120</f>
        <v/>
      </c>
      <c r="AA120" s="7" t="n">
        <v>0</v>
      </c>
      <c r="AB120" s="6">
        <f>$T120*AA120</f>
        <v/>
      </c>
      <c r="AC120" s="7" t="n">
        <v>0</v>
      </c>
      <c r="AD120" s="6">
        <f>$T120*AC120</f>
        <v/>
      </c>
      <c r="AE120" s="7" t="n">
        <v>0</v>
      </c>
      <c r="AF120" s="6">
        <f>$T120*AE120</f>
        <v/>
      </c>
      <c r="AG120" s="7" t="n">
        <v>0</v>
      </c>
      <c r="AH120" s="6">
        <f>$T120*AG120</f>
        <v/>
      </c>
      <c r="AI120" s="7">
        <f>U120+W120+Y120+AA120+AC120+AE120+AG120</f>
        <v/>
      </c>
      <c r="AJ120" s="6">
        <f>V120+X120+Z120+AB120+AD120+AF120+AH120</f>
        <v/>
      </c>
    </row>
    <row r="121" ht="60" customHeight="1" s="35">
      <c r="A121" s="3" t="inlineStr">
        <is>
          <t>LOM241.RM.02.10.00.F0004.0000.B</t>
        </is>
      </c>
      <c r="B121" s="4" t="inlineStr">
        <is>
          <t>1/2</t>
        </is>
      </c>
      <c r="C121" s="3" t="inlineStr">
        <is>
          <t>EDILE</t>
        </is>
      </c>
      <c r="D121" s="4" t="inlineStr">
        <is>
          <t>NON SPECIALE</t>
        </is>
      </c>
      <c r="E121" s="4" t="inlineStr">
        <is>
          <t>EDILI</t>
        </is>
      </c>
      <c r="F121" s="3" t="inlineStr">
        <is>
          <t>1_2025.11.20_CME REV07.PDF</t>
        </is>
      </c>
      <c r="G121" s="4" t="inlineStr">
        <is>
          <t>105</t>
        </is>
      </c>
      <c r="H121" s="3" t="inlineStr">
        <is>
          <t>60 - FINITURE</t>
        </is>
      </c>
      <c r="I121" s="3" t="inlineStr">
        <is>
          <t>NUOVI LABORATORI</t>
        </is>
      </c>
      <c r="J121" s="3" t="inlineStr">
        <is>
          <t>OPERE GENERICHE</t>
        </is>
      </c>
      <c r="K121" s="3" t="inlineStr">
        <is>
          <t>MEMBRANA ARMATA DI BITUME ELASTOMERICO (BPE); FINITURA: ARDESIATA; FUNZIONE: IMPERMEABILIZZANTE; IMPIEGO: COPERTURA; FLESSIBILITÀ A FREDDO [°C] ≤ -20 | STABILITÀ DI FORMA A CALDO [°C] ≥ 100 | RESISTEN</t>
        </is>
      </c>
      <c r="L121" s="3" t="inlineStr">
        <is>
          <t>MEMBRANA ARMATA DI BITUME ELASTOMERICO (BPE); FINITURA: ARDESIATA; FUNZIONE: IMPERMEABILIZZANTE; IMPIEGO: COPERTURA; FLESSIBILITÀ A FREDDO [°C] ≤ -20 | STABILITÀ DI FORMA A CALDO [°C] ≥ 100 | RESISTENZA A TRAZIONE A ROTTURA L/T (-20%) [N/50 MM] = 550/300; PESO [KG/M²] = 4,5 
SPECIFICHE TECNICHE: DICHIARAZIONE DI PRESTAZIONE DOP 
COMPONENTI: 
RM1 MEMBRANA DI BITUME ELASTOMERICO (BPE); FINITURA: SCAGLIE DI ARDESIA 
RM1 MEMBRANA DI FIBRA SINTETICA POLIESTERE; FUNZIONE: ARMATURA</t>
        </is>
      </c>
      <c r="M121" s="4" t="inlineStr">
        <is>
          <t>M²</t>
        </is>
      </c>
      <c r="N121" s="5" t="n">
        <v>409.28</v>
      </c>
      <c r="O121" s="6" t="n">
        <v>24.1</v>
      </c>
      <c r="P121" s="6" t="n">
        <v>9863.65</v>
      </c>
      <c r="Q121" s="5" t="n"/>
      <c r="R121" s="6" t="n"/>
      <c r="S121" s="6">
        <f>IF(AND(Q121&lt;&gt;"",R121&lt;&gt;""),Q121*R121,"")</f>
        <v/>
      </c>
      <c r="T121" s="6">
        <f>IF(S121="",P121,S121)</f>
        <v/>
      </c>
      <c r="U121" s="7" t="n">
        <v>0</v>
      </c>
      <c r="V121" s="6">
        <f>$T121*U121</f>
        <v/>
      </c>
      <c r="W121" s="7" t="n">
        <v>0.75</v>
      </c>
      <c r="X121" s="6">
        <f>$T121*W121</f>
        <v/>
      </c>
      <c r="Y121" s="7" t="n">
        <v>0</v>
      </c>
      <c r="Z121" s="6">
        <f>$T121*Y121</f>
        <v/>
      </c>
      <c r="AA121" s="7" t="n">
        <v>0</v>
      </c>
      <c r="AB121" s="6">
        <f>$T121*AA121</f>
        <v/>
      </c>
      <c r="AC121" s="7" t="n">
        <v>0</v>
      </c>
      <c r="AD121" s="6">
        <f>$T121*AC121</f>
        <v/>
      </c>
      <c r="AE121" s="7" t="n">
        <v>0</v>
      </c>
      <c r="AF121" s="6">
        <f>$T121*AE121</f>
        <v/>
      </c>
      <c r="AG121" s="7" t="n">
        <v>0</v>
      </c>
      <c r="AH121" s="6">
        <f>$T121*AG121</f>
        <v/>
      </c>
      <c r="AI121" s="7">
        <f>U121+W121+Y121+AA121+AC121+AE121+AG121</f>
        <v/>
      </c>
      <c r="AJ121" s="6">
        <f>V121+X121+Z121+AB121+AD121+AF121+AH121</f>
        <v/>
      </c>
    </row>
    <row r="122" ht="60" customHeight="1" s="35">
      <c r="A122" s="3" t="inlineStr">
        <is>
          <t>LOM241.PO.EEA.A04.D0001.K0002.0005.B</t>
        </is>
      </c>
      <c r="B122" s="4" t="inlineStr">
        <is>
          <t>1/4</t>
        </is>
      </c>
      <c r="C122" s="3" t="inlineStr">
        <is>
          <t>EDILE</t>
        </is>
      </c>
      <c r="D122" s="4" t="inlineStr">
        <is>
          <t>NON SPECIALE</t>
        </is>
      </c>
      <c r="E122" s="4" t="inlineStr">
        <is>
          <t>EDILI</t>
        </is>
      </c>
      <c r="F122" s="3" t="inlineStr">
        <is>
          <t>1_2025.11.20_CME REV07.PDF</t>
        </is>
      </c>
      <c r="G122" s="4" t="inlineStr">
        <is>
          <t>110</t>
        </is>
      </c>
      <c r="H122" s="3" t="inlineStr">
        <is>
          <t>60 - FINITURE</t>
        </is>
      </c>
      <c r="I122" s="3" t="inlineStr">
        <is>
          <t>NUOVI LABORATORI</t>
        </is>
      </c>
      <c r="J122" s="3" t="inlineStr">
        <is>
          <t>OPERE GENERICHE</t>
        </is>
      </c>
      <c r="K122" s="3" t="inlineStr">
        <is>
          <t xml:space="preserve">PRODOTTO SEMILAVORATO: IMPASTO IN OPERA DI ARGILLA ESPANSA; IMPIEGO: MASSETTI DI FINITURA/MONOSTRATO. </t>
        </is>
      </c>
      <c r="L122" s="3" t="inlineStr">
        <is>
          <t>PRODOTTO SEMILAVORATO: IMPASTO IN OPERA DI ARGILLA ESPANSA; IMPIEGO: MASSETTI DI FINITURA/MONOSTRATO. 
LAVORO: FORMAZIONE CON MEZZO MECCANICO. 
SPECIFICHE TECNICHE: DOSAGGIO PER M³ DI IMPASTO: CEMENTO [KG] = 300. 
COMPONENTI: 
PS1 PRODOTTO SEMILAVORATO: IMPASTO IN OPERA DI ARGILLA ESPANSA; IMPIEGO: MASSETTI DI FINITURA/MONOSTRATO. 
SPECIFICHE TECNICHE: DOSAGGIO PER M³ DI IMPASTO: CEMENTO [KG] = 300. 
RM2 LEGANTE IDRAULICO DI CEMENTO GENERICO; GEOMETRIA/FORMA/ASPETTO: SFUSO | TIPO ELEVATA RESISTENZA 32.5R; FORNITURA: SILOS 
RM2 AGGREGATO DI ARGILLA ESPANSA; GEOMETRIA/FORMA/ASPETTO: SCIOLTA | TONDO; FUNZIONE: TERMOISOLANTE | ALLEGGERIMENTO | MISCELE ALLEGGERITE; IMPIEGO: RIEMPIMENTI | ISOLAMENTI TERMICI | CALCESTRUZZI LEGGERI | IMPASTI | SOTTOFONDI; FORNITURA: SFUSO; DIAMETRO (Ø) [MM] = 3 ÷ 8; MASSA VOLUMICA IN MUCCHIO [KG/M³] &lt; 380 | RESISTENZA A SCHIACCIAMENTO [MPA] &gt; 1 | CONDUCIBILITÀ TERMICA [W/MK] &gt; 0,095 | REAZIONE AL FUOCO [EUROCLASSE] = A1 
SPECIFICHE TECNICHE: LEGGERA; GRANULARE; CLINKERIZZATA; INERTE; INCOMBUSTIBILE; RESISTENTE; A BASSO ASSORBIMENTO DI UMIDITÀ 
LV1 LAVORO: FORMAZIONE CON MEZZO MECCANICO. 
RP2 BETONIERA A BICCHIERE; CAPACITÀ [M³] ≤ 0,35 
SPECIFICHE TECNICHE: AD AZIONAMENTO ELETTRICO; CRITERIO DI MISURAZIONE: ORE DI PRESENZA IN CANTIERE</t>
        </is>
      </c>
      <c r="M122" s="4" t="inlineStr">
        <is>
          <t>M³</t>
        </is>
      </c>
      <c r="N122" s="5" t="n">
        <v>24.25</v>
      </c>
      <c r="O122" s="6" t="n">
        <v>300.94</v>
      </c>
      <c r="P122" s="6" t="n">
        <v>7297.8</v>
      </c>
      <c r="Q122" s="5" t="n"/>
      <c r="R122" s="6" t="n"/>
      <c r="S122" s="6">
        <f>IF(AND(Q122&lt;&gt;"",R122&lt;&gt;""),Q122*R122,"")</f>
        <v/>
      </c>
      <c r="T122" s="6">
        <f>IF(S122="",P122,S122)</f>
        <v/>
      </c>
      <c r="U122" s="7" t="n">
        <v>0</v>
      </c>
      <c r="V122" s="6">
        <f>$T122*U122</f>
        <v/>
      </c>
      <c r="W122" s="7" t="n">
        <v>0.5</v>
      </c>
      <c r="X122" s="6">
        <f>$T122*W122</f>
        <v/>
      </c>
      <c r="Y122" s="7" t="n">
        <v>0</v>
      </c>
      <c r="Z122" s="6">
        <f>$T122*Y122</f>
        <v/>
      </c>
      <c r="AA122" s="7" t="n">
        <v>0</v>
      </c>
      <c r="AB122" s="6">
        <f>$T122*AA122</f>
        <v/>
      </c>
      <c r="AC122" s="7" t="n">
        <v>0</v>
      </c>
      <c r="AD122" s="6">
        <f>$T122*AC122</f>
        <v/>
      </c>
      <c r="AE122" s="7" t="n">
        <v>0</v>
      </c>
      <c r="AF122" s="6">
        <f>$T122*AE122</f>
        <v/>
      </c>
      <c r="AG122" s="7" t="n">
        <v>0</v>
      </c>
      <c r="AH122" s="6">
        <f>$T122*AG122</f>
        <v/>
      </c>
      <c r="AI122" s="7">
        <f>U122+W122+Y122+AA122+AC122+AE122+AG122</f>
        <v/>
      </c>
      <c r="AJ122" s="6">
        <f>V122+X122+Z122+AB122+AD122+AF122+AH122</f>
        <v/>
      </c>
    </row>
    <row r="123" ht="60" customHeight="1" s="35">
      <c r="A123" s="3" t="inlineStr">
        <is>
          <t>LOM241.PO.EEA.A04.D0001.K0002.0005.B</t>
        </is>
      </c>
      <c r="B123" s="4" t="inlineStr">
        <is>
          <t>2/4</t>
        </is>
      </c>
      <c r="C123" s="3" t="inlineStr">
        <is>
          <t>EDILE</t>
        </is>
      </c>
      <c r="D123" s="4" t="inlineStr">
        <is>
          <t>NON SPECIALE</t>
        </is>
      </c>
      <c r="E123" s="4" t="inlineStr">
        <is>
          <t>EDILI</t>
        </is>
      </c>
      <c r="F123" s="3" t="inlineStr">
        <is>
          <t>1_2025.11.20_CME REV07.PDF</t>
        </is>
      </c>
      <c r="G123" s="4" t="inlineStr">
        <is>
          <t>113</t>
        </is>
      </c>
      <c r="H123" s="3" t="inlineStr">
        <is>
          <t>60 - FINITURE</t>
        </is>
      </c>
      <c r="I123" s="3" t="inlineStr">
        <is>
          <t>NUOVI LABORATORI</t>
        </is>
      </c>
      <c r="J123" s="3" t="inlineStr">
        <is>
          <t>OPERE GENERICHE</t>
        </is>
      </c>
      <c r="K123" s="3" t="inlineStr">
        <is>
          <t xml:space="preserve">PRODOTTO SEMILAVORATO: IMPASTO IN OPERA DI ARGILLA ESPANSA; IMPIEGO: MASSETTI DI FINITURA/MONOSTRATO. </t>
        </is>
      </c>
      <c r="L123" s="3" t="inlineStr">
        <is>
          <t>PRODOTTO SEMILAVORATO: IMPASTO IN OPERA DI ARGILLA ESPANSA; IMPIEGO: MASSETTI DI FINITURA/MONOSTRATO. 
LAVORO: FORMAZIONE CON MEZZO MECCANICO. 
SPECIFICHE TECNICHE: DOSAGGIO PER M³ DI IMPASTO: CEMENTO [KG] = 300. 
COMPONENTI: 
PS1 PRODOTTO SEMILAVORATO: IMPASTO IN OPERA DI ARGILLA ESPANSA; IMPIEGO: MASSETTI DI FINITURA/MONOSTRATO. 
SPECIFICHE TECNICHE: DOSAGGIO PER M³ DI IMPASTO: CEMENTO [KG] = 300. 
RM2 LEGANTE IDRAULICO DI CEMENTO GENERICO; GEOMETRIA/FORMA/ASPETTO: SFUSO | TIPO ELEVATA RESISTENZA 32.5R; FORNITURA: SILOS 
RM2 AGGREGATO DI ARGILLA ESPANSA; GEOMETRIA/FORMA/ASPETTO: SCIOLTA | TONDO; FUNZIONE: TERMOISOLANTE | ALLEGGERIMENTO | MISCELE ALLEGGERITE; IMPIEGO: RIEMPIMENTI | ISOLAMENTI TERMICI | CALCESTRUZZI LEGGERI | IMPASTI | SOTTOFONDI; FORNITURA: SFUSO; DIAMETRO (Ø) [MM] = 3 ÷ 8; MASSA VOLUMICA IN MUCCHIO [KG/M³] &lt; 380 | RESISTENZA A SCHIACCIAMENTO [MPA] &gt; 1 | CONDUCIBILITÀ TERMICA [W/MK] &gt; 0,095 | REAZIONE AL FUOCO [EUROCLASSE] = A1 
SPECIFICHE TECNICHE: LEGGERA; GRANULARE; CLINKERIZZATA; INERTE; INCOMBUSTIBILE; RESISTENTE; A BASSO ASSORBIMENTO DI UMIDITÀ 
LV1 LAVORO: FORMAZIONE CON MEZZO MECCANICO. 
RP2 BETONIERA A BICCHIERE; CAPACITÀ [M³] ≤ 0,35 
SPECIFICHE TECNICHE: AD AZIONAMENTO ELETTRICO; CRITERIO DI MISURAZIONE: ORE DI PRESENZA IN CANTIERE</t>
        </is>
      </c>
      <c r="M123" s="4" t="inlineStr">
        <is>
          <t>M³</t>
        </is>
      </c>
      <c r="N123" s="5" t="n">
        <v>33.58</v>
      </c>
      <c r="O123" s="6" t="n">
        <v>300.94</v>
      </c>
      <c r="P123" s="6" t="n">
        <v>10105.57</v>
      </c>
      <c r="Q123" s="5" t="n"/>
      <c r="R123" s="6" t="n"/>
      <c r="S123" s="6">
        <f>IF(AND(Q123&lt;&gt;"",R123&lt;&gt;""),Q123*R123,"")</f>
        <v/>
      </c>
      <c r="T123" s="6">
        <f>IF(S123="",P123,S123)</f>
        <v/>
      </c>
      <c r="U123" s="7" t="n">
        <v>0</v>
      </c>
      <c r="V123" s="6">
        <f>$T123*U123</f>
        <v/>
      </c>
      <c r="W123" s="7" t="n">
        <v>0.5</v>
      </c>
      <c r="X123" s="6">
        <f>$T123*W123</f>
        <v/>
      </c>
      <c r="Y123" s="7" t="n">
        <v>0</v>
      </c>
      <c r="Z123" s="6">
        <f>$T123*Y123</f>
        <v/>
      </c>
      <c r="AA123" s="7" t="n">
        <v>0</v>
      </c>
      <c r="AB123" s="6">
        <f>$T123*AA123</f>
        <v/>
      </c>
      <c r="AC123" s="7" t="n">
        <v>0</v>
      </c>
      <c r="AD123" s="6">
        <f>$T123*AC123</f>
        <v/>
      </c>
      <c r="AE123" s="7" t="n">
        <v>0</v>
      </c>
      <c r="AF123" s="6">
        <f>$T123*AE123</f>
        <v/>
      </c>
      <c r="AG123" s="7" t="n">
        <v>0</v>
      </c>
      <c r="AH123" s="6">
        <f>$T123*AG123</f>
        <v/>
      </c>
      <c r="AI123" s="7">
        <f>U123+W123+Y123+AA123+AC123+AE123+AG123</f>
        <v/>
      </c>
      <c r="AJ123" s="6">
        <f>V123+X123+Z123+AB123+AD123+AF123+AH123</f>
        <v/>
      </c>
    </row>
    <row r="124" ht="60" customHeight="1" s="35">
      <c r="A124" s="3" t="inlineStr">
        <is>
          <t>LOM241.1C.18.020.0010.A</t>
        </is>
      </c>
      <c r="B124" s="4" t="inlineStr">
        <is>
          <t>1/2</t>
        </is>
      </c>
      <c r="C124" s="3" t="inlineStr">
        <is>
          <t>EDILE</t>
        </is>
      </c>
      <c r="D124" s="4" t="inlineStr">
        <is>
          <t>NON SPECIALE</t>
        </is>
      </c>
      <c r="E124" s="4" t="inlineStr">
        <is>
          <t>EDILI</t>
        </is>
      </c>
      <c r="F124" s="3" t="inlineStr">
        <is>
          <t>1_2025.11.20_CME REV07.PDF</t>
        </is>
      </c>
      <c r="G124" s="4" t="inlineStr">
        <is>
          <t>114</t>
        </is>
      </c>
      <c r="H124" s="3" t="inlineStr">
        <is>
          <t>60 - FINITURE</t>
        </is>
      </c>
      <c r="I124" s="3" t="inlineStr">
        <is>
          <t>NUOVI LABORATORI</t>
        </is>
      </c>
      <c r="J124" s="3" t="inlineStr">
        <is>
          <t>PAVIMENTI E RIVESTIMENTI</t>
        </is>
      </c>
      <c r="K124" s="3" t="inlineStr">
        <is>
          <t>PAVIMENTO IN GRANULATO SFEROIDALE DI QUARZO A RIPORTO COSTITUITO DA STRATO DI USURA DI 1 CM CIRCA CON PASTINA A 12 KG/M² DI GRANULATO DI QUARZO E 6 KG/M² DI CEMENTO; COMPRESA LA FORNITURA DEL CALCESTR</t>
        </is>
      </c>
      <c r="L124" s="3" t="inlineStr">
        <is>
          <t>PAVIMENTO IN GRANULATO SFEROIDALE DI QUARZO A RIPORTO COSTITUITO DA STRATO DI USURA DI 1 CM CIRCA CON PASTINA A 12 KG/M² DI GRANULATO DI QUARZO E 6 KG/M² DI CEMENTO; COMPRESA LA FORNITURA DEL CALCESTRUZZO DEL MASSETTO, LA LISCIATURA, LA FORMAZIONE DEI GIUNTI E L'ASSISTENZA MURARIA. - MASSETTO SPESSORE 15 CM DI CALCESTRUZZO C20/25, CON SUPERFICIE COMPATTA E LISCIATA</t>
        </is>
      </c>
      <c r="M124" s="4" t="inlineStr">
        <is>
          <t>M²</t>
        </is>
      </c>
      <c r="N124" s="5" t="n">
        <v>279.8</v>
      </c>
      <c r="O124" s="6" t="n">
        <v>23.51</v>
      </c>
      <c r="P124" s="6" t="n">
        <v>6578.1</v>
      </c>
      <c r="Q124" s="5" t="n"/>
      <c r="R124" s="6" t="n"/>
      <c r="S124" s="6">
        <f>IF(AND(Q124&lt;&gt;"",R124&lt;&gt;""),Q124*R124,"")</f>
        <v/>
      </c>
      <c r="T124" s="6">
        <f>IF(S124="",P124,S124)</f>
        <v/>
      </c>
      <c r="U124" s="7" t="n">
        <v>0</v>
      </c>
      <c r="V124" s="6">
        <f>$T124*U124</f>
        <v/>
      </c>
      <c r="W124" s="7" t="n">
        <v>0</v>
      </c>
      <c r="X124" s="6">
        <f>$T124*W124</f>
        <v/>
      </c>
      <c r="Y124" s="7" t="n">
        <v>0</v>
      </c>
      <c r="Z124" s="6">
        <f>$T124*Y124</f>
        <v/>
      </c>
      <c r="AA124" s="7" t="n">
        <v>0</v>
      </c>
      <c r="AB124" s="6">
        <f>$T124*AA124</f>
        <v/>
      </c>
      <c r="AC124" s="7" t="n">
        <v>0</v>
      </c>
      <c r="AD124" s="6">
        <f>$T124*AC124</f>
        <v/>
      </c>
      <c r="AE124" s="7" t="n">
        <v>0</v>
      </c>
      <c r="AF124" s="6">
        <f>$T124*AE124</f>
        <v/>
      </c>
      <c r="AG124" s="7" t="n">
        <v>0</v>
      </c>
      <c r="AH124" s="6">
        <f>$T124*AG124</f>
        <v/>
      </c>
      <c r="AI124" s="7">
        <f>U124+W124+Y124+AA124+AC124+AE124+AG124</f>
        <v/>
      </c>
      <c r="AJ124" s="6">
        <f>V124+X124+Z124+AB124+AD124+AF124+AH124</f>
        <v/>
      </c>
    </row>
    <row r="125" ht="60" customHeight="1" s="35">
      <c r="A125" s="3" t="inlineStr">
        <is>
          <t>LOM241.OC.EEA.A02.C1515.OD001.0020</t>
        </is>
      </c>
      <c r="B125" s="4" t="inlineStr">
        <is>
          <t>4/4</t>
        </is>
      </c>
      <c r="C125" s="3" t="inlineStr">
        <is>
          <t>EDILE</t>
        </is>
      </c>
      <c r="D125" s="4" t="inlineStr">
        <is>
          <t>SPECIALE</t>
        </is>
      </c>
      <c r="E125" s="4" t="inlineStr">
        <is>
          <t>EDILI SPECIALI</t>
        </is>
      </c>
      <c r="F125" s="3" t="inlineStr">
        <is>
          <t>1_2025.11.20_CME REV07.PDF</t>
        </is>
      </c>
      <c r="G125" s="4" t="inlineStr">
        <is>
          <t>122</t>
        </is>
      </c>
      <c r="H125" s="3" t="inlineStr">
        <is>
          <t>30 - STRUTTURALE</t>
        </is>
      </c>
      <c r="I125" s="3" t="inlineStr">
        <is>
          <t>NUOVI LABORATORI</t>
        </is>
      </c>
      <c r="J125" s="3" t="inlineStr">
        <is>
          <t>OPERE IN C.A.</t>
        </is>
      </c>
      <c r="K125" s="3" t="inlineStr">
        <is>
          <t xml:space="preserve">OPERA: STRATO DI ISOLAMENTO, ACUSTICO DI FIBRA MINERALE LANA DI ROCCIA; FINITURA: LANA DI LEGNO; IMPIEGO: STRATO DI MURATURA; SPESSORE [MM] = 75. </t>
        </is>
      </c>
      <c r="L125" s="3" t="inlineStr">
        <is>
          <t>OPERA: STRATO DI ISOLAMENTO, ACUSTICO DI FIBRA MINERALE LANA DI ROCCIA; FINITURA: LANA DI LEGNO; IMPIEGO: STRATO DI MURATURA; SPESSORE [MM] = 75. 
LAVORO: POSA. INCLUSO: TAGLI; SIGILLATURE; ADATTAMENTI; FISSAGGIO GENERICO; ASSISTENZE MURARIE. ESCLUSO: PIANI DI LAVORO. 
SPECIFICHE TECNICHE: PER PARETI DIVISORIE INTERNE IN TAVOLATO E CARTONGESSO; PANNELLI CON LANA DI ROCCIA AD ALTA DENSITÀ A FIBRE ORIENTATE SPESSORE [MM] = 65, RIVESTITO SUI DUE LATI DA PANNELLI IN LANA DI LEGNO MINERALIZZATA SPESSORE [MM] = 5 E LEGATA CON CEMENTO. 
COMPONENTI: 
OP1 OPERA: STRATO DI ISOLAMENTO, ACUSTICO DI FIBRA MINERALE LANA DI ROCCIA; FINITURA: LANA DI LEGNO; IMPIEGO: STRATO DI MURATURA; SPESSORE [MM] = 75. 
SPECIFICHE TECNICHE: PER PARETI DIVISORIE INTERNE IN TAVOLATO E CARTONGESSO; PANNELLI CON LANA DI ROCCIA AD ALTA DENSITÀ A FIBRE ORIENTATE SPESSORE [MM] = 65, RIVESTITO SUI DUE LATI DA PANNELLI IN LANA DI LEGNO MINERALIZZATA SPESSORE [MM] = 5 E LEGATA CON CEMENTO. 
RM2 PANNELLO ACUSTICO DI FIBRA MINERALE LANA DI ROCCIA; FINITURA: LANA DI ABETE; GEOMETRIA/FORMA/ASPETTO: PANNELLI MULTISTRATO; FUNZIONE: ISOLAMENTO ACUSTICO; IMPIEGO: PARETI DIVISORIE INTERNE | COPERTURE PIANE; SPESSORE [MM] = 75 
SPECIFICHE TECNICHE: RIVESTITO SULLE DUE FACCE 
RM2 ADESIVO DI GESSO GENERICO; GEOMETRIA/FORMA/ASPETTO: POLVERE; FUNZIONE: SIGILLANTE; IMPIEGO: LASTRE 
LV1 LAVORO: POSA. INCLUSO: TAGLI; SIGILLATURE; ADATTAMENTI; FISSAGGIO GENERICO; ASSISTENZE MURARIE. ESCLUSO: PIANI DI LAVORO.</t>
        </is>
      </c>
      <c r="M125" s="4" t="inlineStr">
        <is>
          <t>M²</t>
        </is>
      </c>
      <c r="N125" s="5" t="n">
        <v>54.67</v>
      </c>
      <c r="O125" s="6" t="n">
        <v>47.15</v>
      </c>
      <c r="P125" s="6" t="n">
        <v>2577.69</v>
      </c>
      <c r="Q125" s="5" t="n"/>
      <c r="R125" s="6" t="n"/>
      <c r="S125" s="6">
        <f>IF(AND(Q125&lt;&gt;"",R125&lt;&gt;""),Q125*R125,"")</f>
        <v/>
      </c>
      <c r="T125" s="6">
        <f>IF(S125="",P125,S125)</f>
        <v/>
      </c>
      <c r="U125" s="7" t="n">
        <v>0</v>
      </c>
      <c r="V125" s="6">
        <f>$T125*U125</f>
        <v/>
      </c>
      <c r="W125" s="7" t="n">
        <v>0.5</v>
      </c>
      <c r="X125" s="6">
        <f>$T125*W125</f>
        <v/>
      </c>
      <c r="Y125" s="7" t="n">
        <v>0</v>
      </c>
      <c r="Z125" s="6">
        <f>$T125*Y125</f>
        <v/>
      </c>
      <c r="AA125" s="7" t="n">
        <v>0</v>
      </c>
      <c r="AB125" s="6">
        <f>$T125*AA125</f>
        <v/>
      </c>
      <c r="AC125" s="7" t="n">
        <v>0</v>
      </c>
      <c r="AD125" s="6">
        <f>$T125*AC125</f>
        <v/>
      </c>
      <c r="AE125" s="7" t="n">
        <v>0</v>
      </c>
      <c r="AF125" s="6">
        <f>$T125*AE125</f>
        <v/>
      </c>
      <c r="AG125" s="7" t="n">
        <v>0</v>
      </c>
      <c r="AH125" s="6">
        <f>$T125*AG125</f>
        <v/>
      </c>
      <c r="AI125" s="7">
        <f>U125+W125+Y125+AA125+AC125+AE125+AG125</f>
        <v/>
      </c>
      <c r="AJ125" s="6">
        <f>V125+X125+Z125+AB125+AD125+AF125+AH125</f>
        <v/>
      </c>
    </row>
    <row r="126" ht="60" customHeight="1" s="35">
      <c r="A126" s="3" t="inlineStr">
        <is>
          <t>PA.ARC.03</t>
        </is>
      </c>
      <c r="B126" s="4" t="inlineStr">
        <is>
          <t>4/4</t>
        </is>
      </c>
      <c r="C126" s="3" t="inlineStr">
        <is>
          <t>EDILE</t>
        </is>
      </c>
      <c r="D126" s="4" t="inlineStr">
        <is>
          <t>SPECIALE</t>
        </is>
      </c>
      <c r="E126" s="4" t="inlineStr">
        <is>
          <t>EDILI SPECIALI</t>
        </is>
      </c>
      <c r="F126" s="3" t="inlineStr">
        <is>
          <t>1_2025.11.20_CME REV07.PDF</t>
        </is>
      </c>
      <c r="G126" s="4" t="inlineStr">
        <is>
          <t>123</t>
        </is>
      </c>
      <c r="H126" s="3" t="inlineStr">
        <is>
          <t>30 - STRUTTURALE</t>
        </is>
      </c>
      <c r="I126" s="3" t="inlineStr">
        <is>
          <t>NUOVI LABORATORI</t>
        </is>
      </c>
      <c r="J126" s="3" t="inlineStr">
        <is>
          <t>OPERE PREFABBRICATE</t>
        </is>
      </c>
      <c r="K126" s="3" t="inlineStr">
        <is>
          <t xml:space="preserve">LASTRA PREFABBRICATA IN GESSO CARTONATO. FORNITURA E POSA IN OPERA DI LASTRA PREFABBRICATA IN GESSO CARTONATO DI SPESSORE VARIABILE, PER LA REALIZZAZIONE DI PARETI, CONTROPARETI E CONTROSOFFITTI ALL' </t>
        </is>
      </c>
      <c r="L126" s="3" t="inlineStr">
        <is>
          <t>LASTRA PREFABBRICATA IN GESSO CARTONATO. FORNITURA E POSA IN OPERA DI LASTRA PREFABBRICATA IN GESSO CARTONATO DI SPESSORE VARIABILE, PER LA REALIZZAZIONE DI PARETI, CONTROPARETI E CONTROSOFFITTI ALL' INTERNO DEGLI EDIFICI. SONO COMPRESI: IL TRASPORTO IN CANTIERE; LO SMISTAMENTO AI PIANI; IL FISSAGGIO ALL'ORDITURA METALLICA MEDIANTE VITI AUTOPERFORANTI IN ACCIAIO; I TAGLI A MISURA; IL MATERIALE NECESSARIO PER GLI ANCORAGGI; LA RIMOZIONE CON DIFFERENZIAZIONE DEI MATERIALI DI SFRIDO, IL CARICO E IL TRASPORTO A RIFIUTO (ESCLUSO IL COSTO DI DISCARICA); IL TRATTAMENTO DEI GIUNTI TRA LASTRA E LASTRA, LE STUCCATURE A TRE MANI E LA PREPARAZIONE PER LA TINTEGGIATURA. E' ESCLUSA LA TINTEGGIATURA DELLE PARETI. E' INOLTRE COMPRESO QUANTO ALTRO OCCORRE PER DARE L'OPERA FINITA .  LASTRA PREFABBRICATA IN GESSO CARTONATO STANDARD SPESSORE 12,5 MM. RIFERIMENTO PREZZARIO UMBRIA 2024. TARIFFA: 07.04.0050.005</t>
        </is>
      </c>
      <c r="M126" s="4" t="inlineStr">
        <is>
          <t>MQ</t>
        </is>
      </c>
      <c r="N126" s="5" t="n">
        <v>109.34</v>
      </c>
      <c r="O126" s="6" t="n">
        <v>7.9</v>
      </c>
      <c r="P126" s="6" t="n">
        <v>863.79</v>
      </c>
      <c r="Q126" s="5" t="n"/>
      <c r="R126" s="6" t="n"/>
      <c r="S126" s="6">
        <f>IF(AND(Q126&lt;&gt;"",R126&lt;&gt;""),Q126*R126,"")</f>
        <v/>
      </c>
      <c r="T126" s="6">
        <f>IF(S126="",P126,S126)</f>
        <v/>
      </c>
      <c r="U126" s="7" t="n">
        <v>0</v>
      </c>
      <c r="V126" s="6">
        <f>$T126*U126</f>
        <v/>
      </c>
      <c r="W126" s="7" t="n">
        <v>0</v>
      </c>
      <c r="X126" s="6">
        <f>$T126*W126</f>
        <v/>
      </c>
      <c r="Y126" s="7" t="n">
        <v>0</v>
      </c>
      <c r="Z126" s="6">
        <f>$T126*Y126</f>
        <v/>
      </c>
      <c r="AA126" s="7" t="n">
        <v>0</v>
      </c>
      <c r="AB126" s="6">
        <f>$T126*AA126</f>
        <v/>
      </c>
      <c r="AC126" s="7" t="n">
        <v>0</v>
      </c>
      <c r="AD126" s="6">
        <f>$T126*AC126</f>
        <v/>
      </c>
      <c r="AE126" s="7" t="n">
        <v>0</v>
      </c>
      <c r="AF126" s="6">
        <f>$T126*AE126</f>
        <v/>
      </c>
      <c r="AG126" s="7" t="n">
        <v>0</v>
      </c>
      <c r="AH126" s="6">
        <f>$T126*AG126</f>
        <v/>
      </c>
      <c r="AI126" s="7">
        <f>U126+W126+Y126+AA126+AC126+AE126+AG126</f>
        <v/>
      </c>
      <c r="AJ126" s="6">
        <f>V126+X126+Z126+AB126+AD126+AF126+AH126</f>
        <v/>
      </c>
    </row>
    <row r="127" ht="60" customHeight="1" s="35">
      <c r="A127" s="3" t="inlineStr">
        <is>
          <t>PA.ARC.04</t>
        </is>
      </c>
      <c r="B127" s="4" t="inlineStr">
        <is>
          <t>4/4</t>
        </is>
      </c>
      <c r="C127" s="3" t="inlineStr">
        <is>
          <t>EDILE</t>
        </is>
      </c>
      <c r="D127" s="4" t="inlineStr">
        <is>
          <t>SPECIALE</t>
        </is>
      </c>
      <c r="E127" s="4" t="inlineStr">
        <is>
          <t>EDILI SPECIALI</t>
        </is>
      </c>
      <c r="F127" s="3" t="inlineStr">
        <is>
          <t>1_2025.11.20_CME REV07.PDF</t>
        </is>
      </c>
      <c r="G127" s="4" t="inlineStr">
        <is>
          <t>124</t>
        </is>
      </c>
      <c r="H127" s="3" t="inlineStr">
        <is>
          <t>30 - STRUTTURALE</t>
        </is>
      </c>
      <c r="I127" s="3" t="inlineStr">
        <is>
          <t>NUOVI LABORATORI</t>
        </is>
      </c>
      <c r="J127" s="3" t="inlineStr">
        <is>
          <t>OPERE PREFABBRICATE</t>
        </is>
      </c>
      <c r="K127" s="3" t="inlineStr">
        <is>
          <t xml:space="preserve">LASTRA PREFABBRICATA IN GESSO CARTONATO. FORNITURA E POSA IN OPERA DI LASTRA PREFABBRICATA IN GESSO CARTONATO DI SPESSORE VARIABILE, PER LA REALIZZAZIONE DI PARETI, CONTROPARETI E CONTROSOFFITTI ALL' </t>
        </is>
      </c>
      <c r="L127" s="3" t="inlineStr">
        <is>
          <t>LASTRA PREFABBRICATA IN GESSO CARTONATO. FORNITURA E POSA IN OPERA DI LASTRA PREFABBRICATA IN GESSO CARTONATO DI SPESSORE VARIABILE, PER LA REALIZZAZIONE DI PARETI, CONTROPARETI E CONTROSOFFITTI ALL' INTERNO DEGLI EDIFICI. SONO COMPRESI: IL TRASPORTO IN CANTIERE; LO SMISTAMENTO AI PIANI; IL FISSAGGIO ALL'ORDITURA METALLICA MEDIANTE VITI AUTOPERFORANTI IN ACCIAIO; I TAGLI A MISURA; IL MATERIALE NECESSARIO PER GLI ANCORAGGI; LA RIMOZIONE CON DIFFERENZIAZIONE DEI MATERIALI DI SFRIDO, IL CARICO E IL TRASPORTO A RIFIUTO (ESCLUSO IL COSTO DI DISCARICA); IL TRATTAMENTO DEI GIUNTI TRA LASTRA E LASTRA, LE STUCCATURE A TRE MANI E LA PREPARAZIONE PER LA TINTEGGIATURA. E' ESCLUSA LA TINTEGGIATURA DELLE PARETI. E' INOLTRE COMPRESO QUANTO ALTRO OCCORRE PER DARE L'OPERA FINITA .  COMPENSO PER LASTRA PREFABBRICATA IN GESSO CARTONATO STANDARD SPESSORE 12,5 MM PER L'IMPIEGO DI UNA LASTRA IN PIÙ, DA INTERPORRE TRA L'ORDITURA METALLICA E LA LASTRA A VISTA, PER LA REALIZZAZIONE DI PARETI, CONTROPARETI E CONTROSOFFITTI DA ESEGUIRSI A PIÙ LASTRE PER LATO. E' ESCLUSO IL TRATTAMENTO DEI GIUNTI TRA LASTRA E LASTRA, LE STUCCATURE E LA PREPARAZIONE PER LA TINTEGGIATURA. RIFERIMENTO PREZZARIO UMBRIA 2024. TARIFFA: 07.04.0050.006</t>
        </is>
      </c>
      <c r="M127" s="4" t="inlineStr">
        <is>
          <t>MQ</t>
        </is>
      </c>
      <c r="N127" s="5" t="n">
        <v>109.34</v>
      </c>
      <c r="O127" s="6" t="n">
        <v>7.9</v>
      </c>
      <c r="P127" s="6" t="n">
        <v>863.79</v>
      </c>
      <c r="Q127" s="5" t="n"/>
      <c r="R127" s="6" t="n"/>
      <c r="S127" s="6">
        <f>IF(AND(Q127&lt;&gt;"",R127&lt;&gt;""),Q127*R127,"")</f>
        <v/>
      </c>
      <c r="T127" s="6">
        <f>IF(S127="",P127,S127)</f>
        <v/>
      </c>
      <c r="U127" s="7" t="n">
        <v>0</v>
      </c>
      <c r="V127" s="6">
        <f>$T127*U127</f>
        <v/>
      </c>
      <c r="W127" s="7" t="n">
        <v>0</v>
      </c>
      <c r="X127" s="6">
        <f>$T127*W127</f>
        <v/>
      </c>
      <c r="Y127" s="7" t="n">
        <v>0</v>
      </c>
      <c r="Z127" s="6">
        <f>$T127*Y127</f>
        <v/>
      </c>
      <c r="AA127" s="7" t="n">
        <v>0</v>
      </c>
      <c r="AB127" s="6">
        <f>$T127*AA127</f>
        <v/>
      </c>
      <c r="AC127" s="7" t="n">
        <v>0</v>
      </c>
      <c r="AD127" s="6">
        <f>$T127*AC127</f>
        <v/>
      </c>
      <c r="AE127" s="7" t="n">
        <v>0</v>
      </c>
      <c r="AF127" s="6">
        <f>$T127*AE127</f>
        <v/>
      </c>
      <c r="AG127" s="7" t="n">
        <v>0</v>
      </c>
      <c r="AH127" s="6">
        <f>$T127*AG127</f>
        <v/>
      </c>
      <c r="AI127" s="7">
        <f>U127+W127+Y127+AA127+AC127+AE127+AG127</f>
        <v/>
      </c>
      <c r="AJ127" s="6">
        <f>V127+X127+Z127+AB127+AD127+AF127+AH127</f>
        <v/>
      </c>
    </row>
    <row r="128" ht="60" customHeight="1" s="35">
      <c r="A128" s="3" t="inlineStr">
        <is>
          <t>LOM241.OC.EEA.A02.C0100.ZB009.0500</t>
        </is>
      </c>
      <c r="B128" s="4" t="inlineStr">
        <is>
          <t>1/1</t>
        </is>
      </c>
      <c r="C128" s="3" t="inlineStr">
        <is>
          <t>EDILE</t>
        </is>
      </c>
      <c r="D128" s="4" t="inlineStr">
        <is>
          <t>SPECIALE</t>
        </is>
      </c>
      <c r="E128" s="4" t="inlineStr">
        <is>
          <t>EDILI SPECIALI</t>
        </is>
      </c>
      <c r="F128" s="3" t="inlineStr">
        <is>
          <t>1_2025.11.20_CME REV07.PDF</t>
        </is>
      </c>
      <c r="G128" s="4" t="inlineStr">
        <is>
          <t>125</t>
        </is>
      </c>
      <c r="H128" s="3" t="inlineStr">
        <is>
          <t>30 - STRUTTURALE</t>
        </is>
      </c>
      <c r="I128" s="3" t="inlineStr">
        <is>
          <t>NUOVI LABORATORI</t>
        </is>
      </c>
      <c r="J128" s="3" t="inlineStr">
        <is>
          <t>OPERE IN C.A.</t>
        </is>
      </c>
      <c r="K128" s="3" t="inlineStr">
        <is>
          <t xml:space="preserve">OPERA: SISTEMA DI MURATURA, LASTRE DI MATERIALE MIX GESSO-CARTONE; GEOMETRIA/FORMA/ASPETTO: DOPPIE LASTRE; FUNZIONE: PARTIZIONE INTERNA; INTERASSE MONTANTE [CM] = 60. </t>
        </is>
      </c>
      <c r="L128" s="3" t="inlineStr">
        <is>
          <t>OPERA: SISTEMA DI MURATURA, LASTRE DI MATERIALE MIX GESSO-CARTONE; GEOMETRIA/FORMA/ASPETTO: DOPPIE LASTRE; FUNZIONE: PARTIZIONE INTERNA; INTERASSE MONTANTE [CM] = 60. 
LAVORO: POSA. INCLUSO: FISSAGGI; RASATURA GIUNTI; ASSISTENZA MURARIA. 
SPECIFICHE TECNICHE: DOPPIA LASTRA PER FACCIA. 
COMPONENTI: 
OP1 OPERA: SISTEMA DI MURATURA, LASTRE DI MATERIALE MIX GESSO-CARTONE; GEOMETRIA/FORMA/ASPETTO: DOPPIE LASTRE; FUNZIONE: PARTIZIONE INTERNA; INTERASSE MONTANTE [CM] = 60. 
SPECIFICHE TECNICHE: DOPPIA LASTRA PER FACCIA. 
RM2 LASTRA DI GESSO GENERICO; FINITURA: CARTONE SPECIALE; GEOMETRIA/FORMA/ASPETTO: BORDI ASSOTTIGLIATI; FUNZIONE: DIVISORIA; IMPIEGO: MURATURE; LARGHEZZA [CM] = 120 | SPESSORE [MM] = 13 
SPECIFICHE TECNICHE: LASTRA RIVESTITA SULLE DUE FACCE CON CARTONE 
RM2 PROFILO MONTANTE DI LEGA FERROSA ACCIAIO ZINCATO Z140; FINITURA: ORGANICA PRIVA DI CROMO; SPESSORE [MM] = 0,6 | LARGHEZZA [MM] = 75 
RM2 PROFILO GUIDA DI LEGA FERROSA ACCIAIO ZINCATO Z141; FINITURA: ORGANICA PRIVA DI CROMO; SPESSORE [MM] = 0,6 | LARGHEZZA [MM] = 75 
RM2 FERRAMENTA VITE DI METALLO FERRO; GEOMETRIA/FORMA/ASPETTO: AUTOPERFORANTI; FUNZIONE: FISSAGGIO; IMPIEGO: LASTRE 
RM2 PREMISCELATO DI MATERIALE GENERICO; GEOMETRIA/FORMA/ASPETTO: PASTA; FUNZIONE: STUCCATURA; IMPIEGO: MURATURE INTERNE | LEGNO; PESO SPECIFICO [KG/L] = 1,75 
SPECIFICHE TECNICHE: RESINE IN DISPERSIONE ACQUOSA 
RM2 NASTRO DI FIBRA SINTETICA DI VETRO; FUNZIONE: COPRIGIUNTI; IMPIEGO: MURATURE | PARETI DIVISORIE 
LV1 LAVORO: POSA. INCLUSO: FISSAGGI; RASATURA GIUNTI; ASSISTENZA MURARIA.</t>
        </is>
      </c>
      <c r="M128" s="4" t="inlineStr">
        <is>
          <t>M²</t>
        </is>
      </c>
      <c r="N128" s="5" t="n">
        <v>333.84</v>
      </c>
      <c r="O128" s="6" t="n">
        <v>43.14</v>
      </c>
      <c r="P128" s="6" t="n">
        <v>14401.86</v>
      </c>
      <c r="Q128" s="5" t="n"/>
      <c r="R128" s="6" t="n"/>
      <c r="S128" s="6">
        <f>IF(AND(Q128&lt;&gt;"",R128&lt;&gt;""),Q128*R128,"")</f>
        <v/>
      </c>
      <c r="T128" s="6">
        <f>IF(S128="",P128,S128)</f>
        <v/>
      </c>
      <c r="U128" s="7" t="n">
        <v>0</v>
      </c>
      <c r="V128" s="6">
        <f>$T128*U128</f>
        <v/>
      </c>
      <c r="W128" s="7" t="n">
        <v>0.5</v>
      </c>
      <c r="X128" s="6">
        <f>$T128*W128</f>
        <v/>
      </c>
      <c r="Y128" s="7" t="n">
        <v>0</v>
      </c>
      <c r="Z128" s="6">
        <f>$T128*Y128</f>
        <v/>
      </c>
      <c r="AA128" s="7" t="n">
        <v>0</v>
      </c>
      <c r="AB128" s="6">
        <f>$T128*AA128</f>
        <v/>
      </c>
      <c r="AC128" s="7" t="n">
        <v>0</v>
      </c>
      <c r="AD128" s="6">
        <f>$T128*AC128</f>
        <v/>
      </c>
      <c r="AE128" s="7" t="n">
        <v>0</v>
      </c>
      <c r="AF128" s="6">
        <f>$T128*AE128</f>
        <v/>
      </c>
      <c r="AG128" s="7" t="n">
        <v>0</v>
      </c>
      <c r="AH128" s="6">
        <f>$T128*AG128</f>
        <v/>
      </c>
      <c r="AI128" s="7">
        <f>U128+W128+Y128+AA128+AC128+AE128+AG128</f>
        <v/>
      </c>
      <c r="AJ128" s="6">
        <f>V128+X128+Z128+AB128+AD128+AF128+AH128</f>
        <v/>
      </c>
    </row>
    <row r="129" ht="60" customHeight="1" s="35">
      <c r="A129" s="3" t="inlineStr">
        <is>
          <t>LOM241.OC.EEA.A02.C1515.OD001.0015</t>
        </is>
      </c>
      <c r="B129" s="4" t="inlineStr">
        <is>
          <t>1/1</t>
        </is>
      </c>
      <c r="C129" s="3" t="inlineStr">
        <is>
          <t>EDILE</t>
        </is>
      </c>
      <c r="D129" s="4" t="inlineStr">
        <is>
          <t>SPECIALE</t>
        </is>
      </c>
      <c r="E129" s="4" t="inlineStr">
        <is>
          <t>EDILI SPECIALI</t>
        </is>
      </c>
      <c r="F129" s="3" t="inlineStr">
        <is>
          <t>1_2025.11.20_CME REV07.PDF</t>
        </is>
      </c>
      <c r="G129" s="4" t="inlineStr">
        <is>
          <t>126</t>
        </is>
      </c>
      <c r="H129" s="3" t="inlineStr">
        <is>
          <t>30 - STRUTTURALE</t>
        </is>
      </c>
      <c r="I129" s="3" t="inlineStr">
        <is>
          <t>NUOVI LABORATORI</t>
        </is>
      </c>
      <c r="J129" s="3" t="inlineStr">
        <is>
          <t>OPERE IN C.A.</t>
        </is>
      </c>
      <c r="K129" s="3" t="inlineStr">
        <is>
          <t xml:space="preserve">OPERA: STRATO DI ISOLAMENTO, ACUSTICO DI FIBRA MINERALE LANA DI ROCCIA; FINITURA: LANA DI LEGNO; IMPIEGO: STRATO DI MURATURA; SPESSORE [MM] = 50. INCLUSO: RACCORDI. </t>
        </is>
      </c>
      <c r="L129" s="3" t="inlineStr">
        <is>
          <t>OPERA: STRATO DI ISOLAMENTO, ACUSTICO DI FIBRA MINERALE LANA DI ROCCIA; FINITURA: LANA DI LEGNO; IMPIEGO: STRATO DI MURATURA; SPESSORE [MM] = 50. INCLUSO: RACCORDI. 
LAVORO: POSA. INCLUSO: TAGLI; SIGILLATURE; ADATTAMENTI; FISSAGGIO GENERICO; ASSISTENZE MURARIE. ESCLUSO: PIANI DI LAVORO. 
SPECIFICHE TECNICHE: PER PARETI DIVISORIE INTERNE IN TAVOLATO E CARTONGESSO; PANNELLI CON LANA DI ROCCIA SPESSORE [MM] = 40, RIVESTITO SUI DUE LATI DA PANNELLI IN LANA DI LEGNO MINERALIZZATA SPESSORE [MM] = 5 AD ALTA TEMPERATURA CON MAGNESITE. 
COMPONENTI: 
OP1 OPERA: STRATO DI ISOLAMENTO, ACUSTICO DI FIBRA MINERALE LANA DI ROCCIA; FINITURA: LANA DI LEGNO; IMPIEGO: STRATO DI MURATURA; SPESSORE [MM] = 50. INCLUSO: RACCORDI. 
SPECIFICHE TECNICHE: PER PARETI DIVISORIE INTERNE IN TAVOLATO E CARTONGESSO; PANNELLI CON LANA DI ROCCIA SPESSORE [MM] = 40, RIVESTITO SUI DUE LATI DA PANNELLI IN LANA DI LEGNO MINERALIZZATA SPESSORE [MM] = 5 AD ALTA TEMPERATURA CON MAGNESITE. 
RM2 PANNELLO ACUSTICO DI FIBRA MINERALE LANA DI ROCCIA; FINITURA: LANA DI ABETE; GEOMETRIA/FORMA/ASPETTO: PANNELLI MULTISTRATO; FUNZIONE: ISOLAMENTO ACUSTICO; IMPIEGO: PARETI DIVISORIE INTERNE | COPERTURE PIANE; SPESSORE [MM] = 50 
SPECIFICHE TECNICHE: RIVESTITO SULLE DUE FACCE 
RM2 ADESIVO DI GESSO GENERICO; GEOMETRIA/FORMA/ASPETTO: POLVERE; FUNZIONE: SIGILLANTE; IMPIEGO: LASTRE 
LV1 LAVORO: POSA. INCLUSO: TAGLI; SIGILLATURE; ADATTAMENTI; FISSAGGIO GENERICO; ASSISTENZE MURARIE. ESCLUSO: PIANI DI LAVORO.</t>
        </is>
      </c>
      <c r="M129" s="4" t="inlineStr">
        <is>
          <t>M²</t>
        </is>
      </c>
      <c r="N129" s="5" t="n">
        <v>333.84</v>
      </c>
      <c r="O129" s="6" t="n">
        <v>21.4</v>
      </c>
      <c r="P129" s="6" t="n">
        <v>7144.18</v>
      </c>
      <c r="Q129" s="5" t="n"/>
      <c r="R129" s="6" t="n"/>
      <c r="S129" s="6">
        <f>IF(AND(Q129&lt;&gt;"",R129&lt;&gt;""),Q129*R129,"")</f>
        <v/>
      </c>
      <c r="T129" s="6">
        <f>IF(S129="",P129,S129)</f>
        <v/>
      </c>
      <c r="U129" s="7" t="n">
        <v>0</v>
      </c>
      <c r="V129" s="6">
        <f>$T129*U129</f>
        <v/>
      </c>
      <c r="W129" s="7" t="n">
        <v>0.5</v>
      </c>
      <c r="X129" s="6">
        <f>$T129*W129</f>
        <v/>
      </c>
      <c r="Y129" s="7" t="n">
        <v>0</v>
      </c>
      <c r="Z129" s="6">
        <f>$T129*Y129</f>
        <v/>
      </c>
      <c r="AA129" s="7" t="n">
        <v>0</v>
      </c>
      <c r="AB129" s="6">
        <f>$T129*AA129</f>
        <v/>
      </c>
      <c r="AC129" s="7" t="n">
        <v>0</v>
      </c>
      <c r="AD129" s="6">
        <f>$T129*AC129</f>
        <v/>
      </c>
      <c r="AE129" s="7" t="n">
        <v>0</v>
      </c>
      <c r="AF129" s="6">
        <f>$T129*AE129</f>
        <v/>
      </c>
      <c r="AG129" s="7" t="n">
        <v>0</v>
      </c>
      <c r="AH129" s="6">
        <f>$T129*AG129</f>
        <v/>
      </c>
      <c r="AI129" s="7">
        <f>U129+W129+Y129+AA129+AC129+AE129+AG129</f>
        <v/>
      </c>
      <c r="AJ129" s="6">
        <f>V129+X129+Z129+AB129+AD129+AF129+AH129</f>
        <v/>
      </c>
    </row>
    <row r="130" ht="60" customHeight="1" s="35">
      <c r="A130" s="3" t="inlineStr">
        <is>
          <t>LOM241.OC.EEA.A02.C0102.ZB009.0090</t>
        </is>
      </c>
      <c r="B130" s="4" t="inlineStr">
        <is>
          <t>2/2</t>
        </is>
      </c>
      <c r="C130" s="3" t="inlineStr">
        <is>
          <t>EDILE</t>
        </is>
      </c>
      <c r="D130" s="4" t="inlineStr">
        <is>
          <t>SPECIALE</t>
        </is>
      </c>
      <c r="E130" s="4" t="inlineStr">
        <is>
          <t>EDILI SPECIALI</t>
        </is>
      </c>
      <c r="F130" s="3" t="inlineStr">
        <is>
          <t>1_2025.11.20_CME REV07.PDF</t>
        </is>
      </c>
      <c r="G130" s="4" t="inlineStr">
        <is>
          <t>127</t>
        </is>
      </c>
      <c r="H130" s="3" t="inlineStr">
        <is>
          <t>30 - STRUTTURALE</t>
        </is>
      </c>
      <c r="I130" s="3" t="inlineStr">
        <is>
          <t>NUOVI LABORATORI</t>
        </is>
      </c>
      <c r="J130" s="3" t="inlineStr">
        <is>
          <t>OPERE IN C.A.</t>
        </is>
      </c>
      <c r="K130" s="3" t="inlineStr">
        <is>
          <t xml:space="preserve">OPERA: STRATO DI MURATURA, LASTRE DI MATERIALE MIX GESSO-CARTONE; FINITURA: RIVESTITO; FUNZIONE: CONTROPARETE. </t>
        </is>
      </c>
      <c r="L130" s="3" t="inlineStr">
        <is>
          <t>OPERA: STRATO DI MURATURA, LASTRE DI MATERIALE MIX GESSO-CARTONE; FINITURA: RIVESTITO; FUNZIONE: CONTROPARETE. 
LAVORO: POSA. INCLUSO: RASATURA GIUNTI; ASSISTENZA MURARIA FORNITA DA IMPRESA. 
SPECIFICHE TECNICHE: LASTRA APPLICATA DIRETTAMENTE A PARETE CON INCOLLAGGI IN GESSO. 
COMPONENTI: 
OP1 OPERA: STRATO DI MURATURA, LASTRE DI MATERIALE MIX GESSO-CARTONE; FINITURA: RIVESTITO; FUNZIONE: CONTROPARETE. 
RM2 LASTRA DI GESSO GENERICO; FINITURA: RIVESTITO; FUNZIONE: DIVISORIA; IMPIEGO: MURATURE; SPESSORE [MM] = 13; REAZIONE AL FUOCO [CLASSE] = 1 
RM2 ADESIVO DI GESSO GENERICO; GEOMETRIA/FORMA/ASPETTO: POLVERE; FUNZIONE: SIGILLANTE; IMPIEGO: LASTRE 
RM2 PREMISCELATO DI MATERIALE GENERICO; GEOMETRIA/FORMA/ASPETTO: PASTA; FUNZIONE: STUCCATURA; IMPIEGO: MURATURE INTERNE | LEGNO; PESO SPECIFICO [KG/L] = 1,75 
SPECIFICHE TECNICHE: RESINE IN DISPERSIONE ACQUOSA 
RM2 NASTRO DI FIBRA SINTETICA DI VETRO; FUNZIONE: COPRIGIUNTI; IMPIEGO: MURATURE | PARETI DIVISORIE 
LV1 LAVORO: POSA. INCLUSO: RASATURA GIUNTI; ASSISTENZA MURARIA FORNITA DA IMPRESA. 
SPECIFICHE TECNICHE: LASTRA APPLICATA DIRETTAMENTE A PARETE CON INCOLLAGGI IN GESSO.</t>
        </is>
      </c>
      <c r="M130" s="4" t="inlineStr">
        <is>
          <t>M²</t>
        </is>
      </c>
      <c r="N130" s="5" t="n">
        <v>68.08</v>
      </c>
      <c r="O130" s="6" t="n">
        <v>25.82</v>
      </c>
      <c r="P130" s="6" t="n">
        <v>1757.83</v>
      </c>
      <c r="Q130" s="5" t="n"/>
      <c r="R130" s="6" t="n"/>
      <c r="S130" s="6">
        <f>IF(AND(Q130&lt;&gt;"",R130&lt;&gt;""),Q130*R130,"")</f>
        <v/>
      </c>
      <c r="T130" s="6">
        <f>IF(S130="",P130,S130)</f>
        <v/>
      </c>
      <c r="U130" s="7" t="n">
        <v>0</v>
      </c>
      <c r="V130" s="6">
        <f>$T130*U130</f>
        <v/>
      </c>
      <c r="W130" s="7" t="n">
        <v>0.5</v>
      </c>
      <c r="X130" s="6">
        <f>$T130*W130</f>
        <v/>
      </c>
      <c r="Y130" s="7" t="n">
        <v>0</v>
      </c>
      <c r="Z130" s="6">
        <f>$T130*Y130</f>
        <v/>
      </c>
      <c r="AA130" s="7" t="n">
        <v>0</v>
      </c>
      <c r="AB130" s="6">
        <f>$T130*AA130</f>
        <v/>
      </c>
      <c r="AC130" s="7" t="n">
        <v>0</v>
      </c>
      <c r="AD130" s="6">
        <f>$T130*AC130</f>
        <v/>
      </c>
      <c r="AE130" s="7" t="n">
        <v>0</v>
      </c>
      <c r="AF130" s="6">
        <f>$T130*AE130</f>
        <v/>
      </c>
      <c r="AG130" s="7" t="n">
        <v>0</v>
      </c>
      <c r="AH130" s="6">
        <f>$T130*AG130</f>
        <v/>
      </c>
      <c r="AI130" s="7">
        <f>U130+W130+Y130+AA130+AC130+AE130+AG130</f>
        <v/>
      </c>
      <c r="AJ130" s="6">
        <f>V130+X130+Z130+AB130+AD130+AF130+AH130</f>
        <v/>
      </c>
    </row>
    <row r="131" ht="60" customHeight="1" s="35">
      <c r="A131" s="3" t="inlineStr">
        <is>
          <t>LOM241.OC.EEA.A02.C0915.G0000.1000.A</t>
        </is>
      </c>
      <c r="B131" s="4" t="inlineStr">
        <is>
          <t>3/4</t>
        </is>
      </c>
      <c r="C131" s="3" t="inlineStr">
        <is>
          <t>EDILE</t>
        </is>
      </c>
      <c r="D131" s="4" t="inlineStr">
        <is>
          <t>SPECIALE</t>
        </is>
      </c>
      <c r="E131" s="4" t="inlineStr">
        <is>
          <t>EDILI SPECIALI</t>
        </is>
      </c>
      <c r="F131" s="3" t="inlineStr">
        <is>
          <t>1_2025.11.20_CME REV07.PDF</t>
        </is>
      </c>
      <c r="G131" s="4" t="inlineStr">
        <is>
          <t>132</t>
        </is>
      </c>
      <c r="H131" s="3" t="inlineStr">
        <is>
          <t>30 - STRUTTURALE</t>
        </is>
      </c>
      <c r="I131" s="3" t="inlineStr">
        <is>
          <t>NUOVI LABORATORI</t>
        </is>
      </c>
      <c r="J131" s="3" t="inlineStr">
        <is>
          <t>OPERE IN C.A.</t>
        </is>
      </c>
      <c r="K131" s="3" t="inlineStr">
        <is>
          <t xml:space="preserve">OPERA: STRATO DI MASSETTO DI CEMENTO GENERICO; FUNZIONE: FORMAZIONE PENDENZE; IMPIEGO: LASTRICI; SPESSORE MEDIO [CM] = 6. INCLUSO: IMPASTO. </t>
        </is>
      </c>
      <c r="L131" s="3" t="inlineStr">
        <is>
          <t>OPERA: STRATO DI MASSETTO DI CEMENTO GENERICO; FUNZIONE: FORMAZIONE PENDENZE; IMPIEGO: LASTRICI; SPESSORE MEDIO [CM] = 6. INCLUSO: IMPASTO. 
LAVORO: POSA. 
SPECIFICHE TECNICHE: SUPERFICIE TIRATA A FRATTAZZO FINE. 
COMPONENTI: 
OP1 OPERA: STRATO DI MASSETTO DI CEMENTO GENERICO; FUNZIONE: FORMAZIONE PENDENZE; IMPIEGO: LASTRICI; SPESSORE MEDIO [CM] = 6. INCLUSO: IMPASTO. 
PO2 PRODOTTO SEMILAVORATO: IMPASTO IN OPERA DI CONGLOMERATO CEMENTIZIO; DOSAGGIO [KG/M³] = 250. 
LAVORO: FORMAZIONE CON MEZZO MECCANICO. 
SPECIFICHE TECNICHE: CONFEZIONATO IN CANTIERE. 
LV1 LAVORO: POSA. 
SPECIFICHE TECNICHE: SUPERFICIE TIRATA A FRATTAZZO FINE. 
RP2 POMPA AUTOCARRATA 
SPECIFICHE TECNICHE: PER QUANTITÀ DI CALCESTRUZZO [M³] ≤ 30 ; CRITERIO DI MISURAZIONE: PER METRO CUBO POMPATO DI CALCESTRUZZO</t>
        </is>
      </c>
      <c r="M131" s="4" t="inlineStr">
        <is>
          <t>M²</t>
        </is>
      </c>
      <c r="N131" s="5" t="n">
        <v>106</v>
      </c>
      <c r="O131" s="6" t="n">
        <v>19.75</v>
      </c>
      <c r="P131" s="6" t="n">
        <v>2093.5</v>
      </c>
      <c r="Q131" s="5" t="n"/>
      <c r="R131" s="6" t="n"/>
      <c r="S131" s="6">
        <f>IF(AND(Q131&lt;&gt;"",R131&lt;&gt;""),Q131*R131,"")</f>
        <v/>
      </c>
      <c r="T131" s="6">
        <f>IF(S131="",P131,S131)</f>
        <v/>
      </c>
      <c r="U131" s="7" t="n">
        <v>0</v>
      </c>
      <c r="V131" s="6">
        <f>$T131*U131</f>
        <v/>
      </c>
      <c r="W131" s="7" t="n">
        <v>0</v>
      </c>
      <c r="X131" s="6">
        <f>$T131*W131</f>
        <v/>
      </c>
      <c r="Y131" s="7" t="n">
        <v>0</v>
      </c>
      <c r="Z131" s="6">
        <f>$T131*Y131</f>
        <v/>
      </c>
      <c r="AA131" s="7" t="n">
        <v>0</v>
      </c>
      <c r="AB131" s="6">
        <f>$T131*AA131</f>
        <v/>
      </c>
      <c r="AC131" s="7" t="n">
        <v>0</v>
      </c>
      <c r="AD131" s="6">
        <f>$T131*AC131</f>
        <v/>
      </c>
      <c r="AE131" s="7" t="n">
        <v>0</v>
      </c>
      <c r="AF131" s="6">
        <f>$T131*AE131</f>
        <v/>
      </c>
      <c r="AG131" s="7" t="n">
        <v>0</v>
      </c>
      <c r="AH131" s="6">
        <f>$T131*AG131</f>
        <v/>
      </c>
      <c r="AI131" s="7">
        <f>U131+W131+Y131+AA131+AC131+AE131+AG131</f>
        <v/>
      </c>
      <c r="AJ131" s="6">
        <f>V131+X131+Z131+AB131+AD131+AF131+AH131</f>
        <v/>
      </c>
    </row>
    <row r="132" ht="60" customHeight="1" s="35">
      <c r="A132" s="3" t="inlineStr">
        <is>
          <t>LOM241.OC.EEA.A02.C1515.D0005.0210</t>
        </is>
      </c>
      <c r="B132" s="4" t="inlineStr">
        <is>
          <t>4/5</t>
        </is>
      </c>
      <c r="C132" s="3" t="inlineStr">
        <is>
          <t>EDILE</t>
        </is>
      </c>
      <c r="D132" s="4" t="inlineStr">
        <is>
          <t>SPECIALE</t>
        </is>
      </c>
      <c r="E132" s="4" t="inlineStr">
        <is>
          <t>EDILI SPECIALI</t>
        </is>
      </c>
      <c r="F132" s="3" t="inlineStr">
        <is>
          <t>1_2025.11.20_CME REV07.PDF</t>
        </is>
      </c>
      <c r="G132" s="4" t="inlineStr">
        <is>
          <t>133</t>
        </is>
      </c>
      <c r="H132" s="3" t="inlineStr">
        <is>
          <t>30 - STRUTTURALE</t>
        </is>
      </c>
      <c r="I132" s="3" t="inlineStr">
        <is>
          <t>NUOVI LABORATORI</t>
        </is>
      </c>
      <c r="J132" s="3" t="inlineStr">
        <is>
          <t>OPERE IN C.A.</t>
        </is>
      </c>
      <c r="K132" s="3" t="inlineStr">
        <is>
          <t xml:space="preserve">OPERA: STRATO DI ISOLAMENTO, TERMICO DI PLASTICA POLISTIRENE ESPANSO (EPS); IMPIEGO: COPERTURA PIANA CARRABILE; SPESSORE [MM] = 30. </t>
        </is>
      </c>
      <c r="L132" s="3" t="inlineStr">
        <is>
          <t>OPERA: STRATO DI ISOLAMENTO, TERMICO DI PLASTICA POLISTIRENE ESPANSO (EPS); IMPIEGO: COPERTURA PIANA CARRABILE; SPESSORE [MM] = 30. 
LAVORO: POSA. INCLUSO: TAGLI; SIGILLATURE; ADATTAMENTI; FISSAGGI GENERICI; RACCORDI; ASSISTENZE MURARIE. 
SPECIFICHE TECNICHE: REALIZZATO A TETTO CALDO. 
COMPONENTI: 
OP1 OPERA: STRATO DI ISOLAMENTO, TERMICO DI PLASTICA POLISTIRENE ESPANSO (EPS); IMPIEGO: COPERTURA PIANA CARRABILE; SPESSORE [MM] = 30. 
RM2 LASTRA TERMICO DI PLASTICA POLISTIRENE ESTRUSO (XPS); FINITURA: PELLE SUPERFICIALE LISCIA; GEOMETRIA/FORMA/ASPETTO: PANNELLI | BORDI BATTENTATI/INCASTRO; IMPIEGO: COPERTURE PIANE; SPESSORE [MM] ≤ 40; CONDUTTIVITÀ TERMICA [W/MK] = 0,034 | RESISTENZA A COMPRESSIONE [KPA] = 350 | REAZIONE AL FUOCO [EUROCLASSE] = E 
SPECIFICHE TECNICHE: PRODOTTE CON GAS SENZA CFC E HCFC 
RM2 PREMISCELATO DI CEMENTO GENERICO; FUNZIONE: RASATURA | INCOLLAGGIO; IMPIEGO: SISTEMI DI ISOLAMENTO A CAPPOTTO 
SPECIFICHE TECNICHE: MONOCOMPONENTE 
LV1 LAVORO: POSA. INCLUSO: TAGLI; SIGILLATURE; ADATTAMENTI; FISSAGGI GENERICI; RACCORDI; ASSISTENZE MURARIE. 
SPECIFICHE TECNICHE: REALIZZATO A TETTO CALDO.</t>
        </is>
      </c>
      <c r="M132" s="4" t="inlineStr">
        <is>
          <t>M²</t>
        </is>
      </c>
      <c r="N132" s="5" t="n">
        <v>212</v>
      </c>
      <c r="O132" s="6" t="n">
        <v>5.83</v>
      </c>
      <c r="P132" s="6" t="n">
        <v>1235.96</v>
      </c>
      <c r="Q132" s="5" t="n"/>
      <c r="R132" s="6" t="n"/>
      <c r="S132" s="6">
        <f>IF(AND(Q132&lt;&gt;"",R132&lt;&gt;""),Q132*R132,"")</f>
        <v/>
      </c>
      <c r="T132" s="6">
        <f>IF(S132="",P132,S132)</f>
        <v/>
      </c>
      <c r="U132" s="7" t="n">
        <v>0</v>
      </c>
      <c r="V132" s="6">
        <f>$T132*U132</f>
        <v/>
      </c>
      <c r="W132" s="7" t="n">
        <v>0.75</v>
      </c>
      <c r="X132" s="6">
        <f>$T132*W132</f>
        <v/>
      </c>
      <c r="Y132" s="7" t="n">
        <v>0</v>
      </c>
      <c r="Z132" s="6">
        <f>$T132*Y132</f>
        <v/>
      </c>
      <c r="AA132" s="7" t="n">
        <v>0</v>
      </c>
      <c r="AB132" s="6">
        <f>$T132*AA132</f>
        <v/>
      </c>
      <c r="AC132" s="7" t="n">
        <v>0</v>
      </c>
      <c r="AD132" s="6">
        <f>$T132*AC132</f>
        <v/>
      </c>
      <c r="AE132" s="7" t="n">
        <v>0</v>
      </c>
      <c r="AF132" s="6">
        <f>$T132*AE132</f>
        <v/>
      </c>
      <c r="AG132" s="7" t="n">
        <v>0</v>
      </c>
      <c r="AH132" s="6">
        <f>$T132*AG132</f>
        <v/>
      </c>
      <c r="AI132" s="7">
        <f>U132+W132+Y132+AA132+AC132+AE132+AG132</f>
        <v/>
      </c>
      <c r="AJ132" s="6">
        <f>V132+X132+Z132+AB132+AD132+AF132+AH132</f>
        <v/>
      </c>
    </row>
    <row r="133" ht="60" customHeight="1" s="35">
      <c r="A133" s="3" t="inlineStr">
        <is>
          <t>LOM241.OC.EEA.A02.C0915.G0000.1000.A</t>
        </is>
      </c>
      <c r="B133" s="4" t="inlineStr">
        <is>
          <t>4/4</t>
        </is>
      </c>
      <c r="C133" s="3" t="inlineStr">
        <is>
          <t>EDILE</t>
        </is>
      </c>
      <c r="D133" s="4" t="inlineStr">
        <is>
          <t>SPECIALE</t>
        </is>
      </c>
      <c r="E133" s="4" t="inlineStr">
        <is>
          <t>EDILI SPECIALI</t>
        </is>
      </c>
      <c r="F133" s="3" t="inlineStr">
        <is>
          <t>1_2025.11.20_CME REV07.PDF</t>
        </is>
      </c>
      <c r="G133" s="4" t="inlineStr">
        <is>
          <t>134</t>
        </is>
      </c>
      <c r="H133" s="3" t="inlineStr">
        <is>
          <t>30 - STRUTTURALE</t>
        </is>
      </c>
      <c r="I133" s="3" t="inlineStr">
        <is>
          <t>NUOVI LABORATORI</t>
        </is>
      </c>
      <c r="J133" s="3" t="inlineStr">
        <is>
          <t>OPERE IN C.A.</t>
        </is>
      </c>
      <c r="K133" s="3" t="inlineStr">
        <is>
          <t xml:space="preserve">OPERA: STRATO DI MASSETTO DI CEMENTO GENERICO; FUNZIONE: FORMAZIONE PENDENZE; IMPIEGO: LASTRICI; SPESSORE MEDIO [CM] = 6. INCLUSO: IMPASTO. </t>
        </is>
      </c>
      <c r="L133" s="3" t="inlineStr">
        <is>
          <t>OPERA: STRATO DI MASSETTO DI CEMENTO GENERICO; FUNZIONE: FORMAZIONE PENDENZE; IMPIEGO: LASTRICI; SPESSORE MEDIO [CM] = 6. INCLUSO: IMPASTO. 
LAVORO: POSA. 
SPECIFICHE TECNICHE: SUPERFICIE TIRATA A FRATTAZZO FINE. 
COMPONENTI: 
OP1 OPERA: STRATO DI MASSETTO DI CEMENTO GENERICO; FUNZIONE: FORMAZIONE PENDENZE; IMPIEGO: LASTRICI; SPESSORE MEDIO [CM] = 6. INCLUSO: IMPASTO. 
PO2 PRODOTTO SEMILAVORATO: IMPASTO IN OPERA DI CONGLOMERATO CEMENTIZIO; DOSAGGIO [KG/M³] = 250. 
LAVORO: FORMAZIONE CON MEZZO MECCANICO. 
SPECIFICHE TECNICHE: CONFEZIONATO IN CANTIERE. 
LV1 LAVORO: POSA. 
SPECIFICHE TECNICHE: SUPERFICIE TIRATA A FRATTAZZO FINE. 
RP2 POMPA AUTOCARRATA 
SPECIFICHE TECNICHE: PER QUANTITÀ DI CALCESTRUZZO [M³] ≤ 30 ; CRITERIO DI MISURAZIONE: PER METRO CUBO POMPATO DI CALCESTRUZZO</t>
        </is>
      </c>
      <c r="M133" s="4" t="inlineStr">
        <is>
          <t>M²</t>
        </is>
      </c>
      <c r="N133" s="5" t="n">
        <v>122.5</v>
      </c>
      <c r="O133" s="6" t="n">
        <v>19.75</v>
      </c>
      <c r="P133" s="6" t="n">
        <v>2419.38</v>
      </c>
      <c r="Q133" s="5" t="n"/>
      <c r="R133" s="6" t="n"/>
      <c r="S133" s="6">
        <f>IF(AND(Q133&lt;&gt;"",R133&lt;&gt;""),Q133*R133,"")</f>
        <v/>
      </c>
      <c r="T133" s="6">
        <f>IF(S133="",P133,S133)</f>
        <v/>
      </c>
      <c r="U133" s="7" t="n">
        <v>0</v>
      </c>
      <c r="V133" s="6">
        <f>$T133*U133</f>
        <v/>
      </c>
      <c r="W133" s="7" t="n">
        <v>0</v>
      </c>
      <c r="X133" s="6">
        <f>$T133*W133</f>
        <v/>
      </c>
      <c r="Y133" s="7" t="n">
        <v>0</v>
      </c>
      <c r="Z133" s="6">
        <f>$T133*Y133</f>
        <v/>
      </c>
      <c r="AA133" s="7" t="n">
        <v>0</v>
      </c>
      <c r="AB133" s="6">
        <f>$T133*AA133</f>
        <v/>
      </c>
      <c r="AC133" s="7" t="n">
        <v>0</v>
      </c>
      <c r="AD133" s="6">
        <f>$T133*AC133</f>
        <v/>
      </c>
      <c r="AE133" s="7" t="n">
        <v>0</v>
      </c>
      <c r="AF133" s="6">
        <f>$T133*AE133</f>
        <v/>
      </c>
      <c r="AG133" s="7" t="n">
        <v>0</v>
      </c>
      <c r="AH133" s="6">
        <f>$T133*AG133</f>
        <v/>
      </c>
      <c r="AI133" s="7">
        <f>U133+W133+Y133+AA133+AC133+AE133+AG133</f>
        <v/>
      </c>
      <c r="AJ133" s="6">
        <f>V133+X133+Z133+AB133+AD133+AF133+AH133</f>
        <v/>
      </c>
    </row>
    <row r="134" ht="60" customHeight="1" s="35">
      <c r="A134" s="3" t="inlineStr">
        <is>
          <t>LOM241.OC.EEA.A02.C1515.E0000.0000</t>
        </is>
      </c>
      <c r="B134" s="4" t="inlineStr">
        <is>
          <t>2/2</t>
        </is>
      </c>
      <c r="C134" s="3" t="inlineStr">
        <is>
          <t>EDILE</t>
        </is>
      </c>
      <c r="D134" s="4" t="inlineStr">
        <is>
          <t>SPECIALE</t>
        </is>
      </c>
      <c r="E134" s="4" t="inlineStr">
        <is>
          <t>EDILI SPECIALI</t>
        </is>
      </c>
      <c r="F134" s="3" t="inlineStr">
        <is>
          <t>1_2025.11.20_CME REV07.PDF</t>
        </is>
      </c>
      <c r="G134" s="4" t="inlineStr">
        <is>
          <t>135</t>
        </is>
      </c>
      <c r="H134" s="3" t="inlineStr">
        <is>
          <t>30 - STRUTTURALE</t>
        </is>
      </c>
      <c r="I134" s="3" t="inlineStr">
        <is>
          <t>NUOVI LABORATORI</t>
        </is>
      </c>
      <c r="J134" s="3" t="inlineStr">
        <is>
          <t>OPERE IN C.A.</t>
        </is>
      </c>
      <c r="K134" s="3" t="inlineStr">
        <is>
          <t xml:space="preserve">OPERA: STRATO DI ISOLAMENTO, ACUSTICO DI GOMMA GENERICO; IMPIEGO: SOTTOPAVIMENTI; SPESSORE [MM] = 5. INCLUSO: RACCORDI. </t>
        </is>
      </c>
      <c r="L134" s="3" t="inlineStr">
        <is>
          <t>OPERA: STRATO DI ISOLAMENTO, ACUSTICO DI GOMMA GENERICO; IMPIEGO: SOTTOPAVIMENTI; SPESSORE [MM] = 5. INCLUSO: RACCORDI. 
LAVORO: POSA. INCLUSO: TAGLI; SIGILLATURA; SOVRAPPOSIZIONI; ADATTAMENTI; FISSAGGI; ASSISTENZE MURARIE. 
COMPONENTI: 
OP1 OPERA: STRATO DI ISOLAMENTO, ACUSTICO DI GOMMA GENERICO; IMPIEGO: SOTTOPAVIMENTI; SPESSORE [MM] = 5. INCLUSO: RACCORDI. 
RM2 ROTOLO ACUSTICO DI GOMMA GENERICO; FINITURA: GRANULATA; GEOMETRIA/FORMA/ASPETTO: ROTOLI; FUNZIONE: ISOLAMENTO ACUSTICO; IMPIEGO: SOLAI INTERMEDI; SPESSORE [MM] = 5; DENSITÀ [KG/M³] = 3 
SPECIFICHE TECNICHE: COMPOSTO DA GOMMA GENERICO CON LATTICE PURE E ROCCIA NATURALE PERLITE ESPANSA, APPLICATO SU SUPPORTO IN CARTA POLITENATA 
RM2 ADESIVO DI GESSO GENERICO; GEOMETRIA/FORMA/ASPETTO: POLVERE; FUNZIONE: SIGILLANTE; IMPIEGO: LASTRE 
LV1 LAVORO: POSA. INCLUSO: TAGLI; SIGILLATURA; SOVRAPPOSIZIONI; ADATTAMENTI; FISSAGGI; ASSISTENZE MURARIE.</t>
        </is>
      </c>
      <c r="M134" s="4" t="inlineStr">
        <is>
          <t>M²</t>
        </is>
      </c>
      <c r="N134" s="5" t="n">
        <v>49</v>
      </c>
      <c r="O134" s="6" t="n">
        <v>12.85</v>
      </c>
      <c r="P134" s="6" t="n">
        <v>629.65</v>
      </c>
      <c r="Q134" s="5" t="n"/>
      <c r="R134" s="6" t="n"/>
      <c r="S134" s="6">
        <f>IF(AND(Q134&lt;&gt;"",R134&lt;&gt;""),Q134*R134,"")</f>
        <v/>
      </c>
      <c r="T134" s="6">
        <f>IF(S134="",P134,S134)</f>
        <v/>
      </c>
      <c r="U134" s="7" t="n">
        <v>0</v>
      </c>
      <c r="V134" s="6">
        <f>$T134*U134</f>
        <v/>
      </c>
      <c r="W134" s="7" t="n">
        <v>0.75</v>
      </c>
      <c r="X134" s="6">
        <f>$T134*W134</f>
        <v/>
      </c>
      <c r="Y134" s="7" t="n">
        <v>0</v>
      </c>
      <c r="Z134" s="6">
        <f>$T134*Y134</f>
        <v/>
      </c>
      <c r="AA134" s="7" t="n">
        <v>0</v>
      </c>
      <c r="AB134" s="6">
        <f>$T134*AA134</f>
        <v/>
      </c>
      <c r="AC134" s="7" t="n">
        <v>0</v>
      </c>
      <c r="AD134" s="6">
        <f>$T134*AC134</f>
        <v/>
      </c>
      <c r="AE134" s="7" t="n">
        <v>0</v>
      </c>
      <c r="AF134" s="6">
        <f>$T134*AE134</f>
        <v/>
      </c>
      <c r="AG134" s="7" t="n">
        <v>0</v>
      </c>
      <c r="AH134" s="6">
        <f>$T134*AG134</f>
        <v/>
      </c>
      <c r="AI134" s="7">
        <f>U134+W134+Y134+AA134+AC134+AE134+AG134</f>
        <v/>
      </c>
      <c r="AJ134" s="6">
        <f>V134+X134+Z134+AB134+AD134+AF134+AH134</f>
        <v/>
      </c>
    </row>
    <row r="135" ht="60" customHeight="1" s="35">
      <c r="A135" s="3" t="inlineStr">
        <is>
          <t>LOM241.OC.EEA.A02.C1515.D0005.0210</t>
        </is>
      </c>
      <c r="B135" s="4" t="inlineStr">
        <is>
          <t>5/5</t>
        </is>
      </c>
      <c r="C135" s="3" t="inlineStr">
        <is>
          <t>EDILE</t>
        </is>
      </c>
      <c r="D135" s="4" t="inlineStr">
        <is>
          <t>SPECIALE</t>
        </is>
      </c>
      <c r="E135" s="4" t="inlineStr">
        <is>
          <t>EDILI SPECIALI</t>
        </is>
      </c>
      <c r="F135" s="3" t="inlineStr">
        <is>
          <t>1_2025.11.20_CME REV07.PDF</t>
        </is>
      </c>
      <c r="G135" s="4" t="inlineStr">
        <is>
          <t>136</t>
        </is>
      </c>
      <c r="H135" s="3" t="inlineStr">
        <is>
          <t>30 - STRUTTURALE</t>
        </is>
      </c>
      <c r="I135" s="3" t="inlineStr">
        <is>
          <t>NUOVI LABORATORI</t>
        </is>
      </c>
      <c r="J135" s="3" t="inlineStr">
        <is>
          <t>OPERE IN C.A.</t>
        </is>
      </c>
      <c r="K135" s="3" t="inlineStr">
        <is>
          <t xml:space="preserve">OPERA: STRATO DI ISOLAMENTO, TERMICO DI PLASTICA POLISTIRENE ESPANSO (EPS); IMPIEGO: COPERTURA PIANA CARRABILE; SPESSORE [MM] = 30. </t>
        </is>
      </c>
      <c r="L135" s="3" t="inlineStr">
        <is>
          <t>OPERA: STRATO DI ISOLAMENTO, TERMICO DI PLASTICA POLISTIRENE ESPANSO (EPS); IMPIEGO: COPERTURA PIANA CARRABILE; SPESSORE [MM] = 30. 
LAVORO: POSA. INCLUSO: TAGLI; SIGILLATURE; ADATTAMENTI; FISSAGGI GENERICI; RACCORDI; ASSISTENZE MURARIE. 
SPECIFICHE TECNICHE: REALIZZATO A TETTO CALDO. 
COMPONENTI: 
OP1 OPERA: STRATO DI ISOLAMENTO, TERMICO DI PLASTICA POLISTIRENE ESPANSO (EPS); IMPIEGO: COPERTURA PIANA CARRABILE; SPESSORE [MM] = 30. 
RM2 LASTRA TERMICO DI PLASTICA POLISTIRENE ESTRUSO (XPS); FINITURA: PELLE SUPERFICIALE LISCIA; GEOMETRIA/FORMA/ASPETTO: PANNELLI | BORDI BATTENTATI/INCASTRO; IMPIEGO: COPERTURE PIANE; SPESSORE [MM] ≤ 40; CONDUTTIVITÀ TERMICA [W/MK] = 0,034 | RESISTENZA A COMPRESSIONE [KPA] = 350 | REAZIONE AL FUOCO [EUROCLASSE] = E 
SPECIFICHE TECNICHE: PRODOTTE CON GAS SENZA CFC E HCFC 
RM2 PREMISCELATO DI CEMENTO GENERICO; FUNZIONE: RASATURA | INCOLLAGGIO; IMPIEGO: SISTEMI DI ISOLAMENTO A CAPPOTTO 
SPECIFICHE TECNICHE: MONOCOMPONENTE 
LV1 LAVORO: POSA. INCLUSO: TAGLI; SIGILLATURE; ADATTAMENTI; FISSAGGI GENERICI; RACCORDI; ASSISTENZE MURARIE. 
SPECIFICHE TECNICHE: REALIZZATO A TETTO CALDO.</t>
        </is>
      </c>
      <c r="M135" s="4" t="inlineStr">
        <is>
          <t>M²</t>
        </is>
      </c>
      <c r="N135" s="5" t="n">
        <v>1352.2</v>
      </c>
      <c r="O135" s="6" t="n">
        <v>5.83</v>
      </c>
      <c r="P135" s="6" t="n">
        <v>7883.33</v>
      </c>
      <c r="Q135" s="5" t="n"/>
      <c r="R135" s="6" t="n"/>
      <c r="S135" s="6">
        <f>IF(AND(Q135&lt;&gt;"",R135&lt;&gt;""),Q135*R135,"")</f>
        <v/>
      </c>
      <c r="T135" s="6">
        <f>IF(S135="",P135,S135)</f>
        <v/>
      </c>
      <c r="U135" s="7" t="n">
        <v>0</v>
      </c>
      <c r="V135" s="6">
        <f>$T135*U135</f>
        <v/>
      </c>
      <c r="W135" s="7" t="n">
        <v>0.75</v>
      </c>
      <c r="X135" s="6">
        <f>$T135*W135</f>
        <v/>
      </c>
      <c r="Y135" s="7" t="n">
        <v>0</v>
      </c>
      <c r="Z135" s="6">
        <f>$T135*Y135</f>
        <v/>
      </c>
      <c r="AA135" s="7" t="n">
        <v>0</v>
      </c>
      <c r="AB135" s="6">
        <f>$T135*AA135</f>
        <v/>
      </c>
      <c r="AC135" s="7" t="n">
        <v>0</v>
      </c>
      <c r="AD135" s="6">
        <f>$T135*AC135</f>
        <v/>
      </c>
      <c r="AE135" s="7" t="n">
        <v>0</v>
      </c>
      <c r="AF135" s="6">
        <f>$T135*AE135</f>
        <v/>
      </c>
      <c r="AG135" s="7" t="n">
        <v>0</v>
      </c>
      <c r="AH135" s="6">
        <f>$T135*AG135</f>
        <v/>
      </c>
      <c r="AI135" s="7">
        <f>U135+W135+Y135+AA135+AC135+AE135+AG135</f>
        <v/>
      </c>
      <c r="AJ135" s="6">
        <f>V135+X135+Z135+AB135+AD135+AF135+AH135</f>
        <v/>
      </c>
    </row>
    <row r="136" ht="60" customHeight="1" s="35">
      <c r="A136" s="3" t="inlineStr">
        <is>
          <t>LOM241.OC.EEA.A02.C1206.L0005.0260</t>
        </is>
      </c>
      <c r="B136" s="4" t="inlineStr">
        <is>
          <t>2/2</t>
        </is>
      </c>
      <c r="C136" s="3" t="inlineStr">
        <is>
          <t>EDILE</t>
        </is>
      </c>
      <c r="D136" s="4" t="inlineStr">
        <is>
          <t>SPECIALE</t>
        </is>
      </c>
      <c r="E136" s="4" t="inlineStr">
        <is>
          <t>EDILI SPECIALI</t>
        </is>
      </c>
      <c r="F136" s="3" t="inlineStr">
        <is>
          <t>1_2025.11.20_CME REV07.PDF</t>
        </is>
      </c>
      <c r="G136" s="4" t="inlineStr">
        <is>
          <t>138</t>
        </is>
      </c>
      <c r="H136" s="3" t="inlineStr">
        <is>
          <t>30 - STRUTTURALE</t>
        </is>
      </c>
      <c r="I136" s="3" t="inlineStr">
        <is>
          <t>NUOVI LABORATORI</t>
        </is>
      </c>
      <c r="J136" s="3" t="inlineStr">
        <is>
          <t>OPERE IN C.A.</t>
        </is>
      </c>
      <c r="K136" s="3" t="inlineStr">
        <is>
          <t xml:space="preserve">OPERA: STRATO DI PAVIMENTAZIONE, PIASTRELLE DI CERAMICA GRES PORCELLANATO; FINITURA: SMALTATA | COLORI CHIARI. </t>
        </is>
      </c>
      <c r="L136" s="3" t="inlineStr">
        <is>
          <t>OPERA: STRATO DI PAVIMENTAZIONE, PIASTRELLE DI CERAMICA GRES PORCELLANATO; FINITURA: SMALTATA | COLORI CHIARI. 
LAVORO: POSA. INCLUSO: ASSISTENZE MURARIE. ESCLUSO: SOTTOFONDO, PREPARAZIONE MASSETTO. 
SPECIFICHE TECNICHE: POSATO CON BOIACCA DI PURO CEMENTO SU LETTO DI MALTA DI LEGANTE IDRAULICO, O INCOLLATO SU IDONEO SOTTOFONDO. 
COMPONENTI: 
OP1 OPERA: STRATO DI PAVIMENTAZIONE, PIASTRELLE DI CERAMICA GRES PORCELLANATO; FINITURA: SMALTATA | COLORI CHIARI. 
RM2 PIASTRELLA PER PAVIMENTO DI CERAMICA GRES PORCELLANATO; FINITURA: SMALTATA | CHIARA; IMPIEGO: INTERNO; DIMENSIONE (X) [CM] = 30 | DIMENSIONE (Y) [CM] = 30 | SPESSORE [CM] = 0,8 ÷ 1 
PO2 PRODOTTO SEMILAVORATO: MALTA IN CEMENTO GENERICO. 
LAVORO: FORMAZIONEIN CON MEZZO MECCANICO. 
SPECIFICHE TECNICHE: CONFEZIONATA IN BETONIERA; 300 KG DI CEMENTO PER M³. 
LV1 LAVORO: POSA. INCLUSO: ASSISTENZE MURARIE. ESCLUSO: SOTTOFONDO, PREPARAZIONE MASSETTO. 
SPECIFICHE TECNICHE: POSATO CON BOIACCA DI PURO CEMENTO SU LETTO DI MALTA DI LEGANTE IDRAULICO, O INCOLLATO SU IDONEO SOTTOFONDO.</t>
        </is>
      </c>
      <c r="M136" s="4" t="inlineStr">
        <is>
          <t>M²</t>
        </is>
      </c>
      <c r="N136" s="5" t="n">
        <v>49</v>
      </c>
      <c r="O136" s="6" t="n">
        <v>53.49</v>
      </c>
      <c r="P136" s="6" t="n">
        <v>2621.01</v>
      </c>
      <c r="Q136" s="5" t="n"/>
      <c r="R136" s="6" t="n"/>
      <c r="S136" s="6">
        <f>IF(AND(Q136&lt;&gt;"",R136&lt;&gt;""),Q136*R136,"")</f>
        <v/>
      </c>
      <c r="T136" s="6">
        <f>IF(S136="",P136,S136)</f>
        <v/>
      </c>
      <c r="U136" s="7" t="n">
        <v>0</v>
      </c>
      <c r="V136" s="6">
        <f>$T136*U136</f>
        <v/>
      </c>
      <c r="W136" s="7" t="n">
        <v>0</v>
      </c>
      <c r="X136" s="6">
        <f>$T136*W136</f>
        <v/>
      </c>
      <c r="Y136" s="7" t="n">
        <v>0</v>
      </c>
      <c r="Z136" s="6">
        <f>$T136*Y136</f>
        <v/>
      </c>
      <c r="AA136" s="7" t="n">
        <v>0</v>
      </c>
      <c r="AB136" s="6">
        <f>$T136*AA136</f>
        <v/>
      </c>
      <c r="AC136" s="7" t="n">
        <v>0</v>
      </c>
      <c r="AD136" s="6">
        <f>$T136*AC136</f>
        <v/>
      </c>
      <c r="AE136" s="7" t="n">
        <v>0</v>
      </c>
      <c r="AF136" s="6">
        <f>$T136*AE136</f>
        <v/>
      </c>
      <c r="AG136" s="7" t="n">
        <v>0</v>
      </c>
      <c r="AH136" s="6">
        <f>$T136*AG136</f>
        <v/>
      </c>
      <c r="AI136" s="7">
        <f>U136+W136+Y136+AA136+AC136+AE136+AG136</f>
        <v/>
      </c>
      <c r="AJ136" s="6">
        <f>V136+X136+Z136+AB136+AD136+AF136+AH136</f>
        <v/>
      </c>
    </row>
    <row r="137" ht="60" customHeight="1" s="35">
      <c r="A137" s="3" t="inlineStr">
        <is>
          <t>LOM241.OC.EEA.A02.C1240.L0005.0000.B</t>
        </is>
      </c>
      <c r="B137" s="4" t="inlineStr">
        <is>
          <t>2/2</t>
        </is>
      </c>
      <c r="C137" s="3" t="inlineStr">
        <is>
          <t>EDILE</t>
        </is>
      </c>
      <c r="D137" s="4" t="inlineStr">
        <is>
          <t>SPECIALE</t>
        </is>
      </c>
      <c r="E137" s="4" t="inlineStr">
        <is>
          <t>EDILI SPECIALI</t>
        </is>
      </c>
      <c r="F137" s="3" t="inlineStr">
        <is>
          <t>1_2025.11.20_CME REV07.PDF</t>
        </is>
      </c>
      <c r="G137" s="4" t="inlineStr">
        <is>
          <t>141</t>
        </is>
      </c>
      <c r="H137" s="3" t="inlineStr">
        <is>
          <t>30 - STRUTTURALE</t>
        </is>
      </c>
      <c r="I137" s="3" t="inlineStr">
        <is>
          <t>NUOVI LABORATORI</t>
        </is>
      </c>
      <c r="J137" s="3" t="inlineStr">
        <is>
          <t>OPERE IN C.A.</t>
        </is>
      </c>
      <c r="K137" s="3" t="inlineStr">
        <is>
          <t xml:space="preserve">OPERA: STRATO DI ZOCCOLATURA DI CERAMICA GRES PORCELLANATO; IMPIEGO: STRATO DI PAVIMENTAZIONE. </t>
        </is>
      </c>
      <c r="L137" s="3" t="inlineStr">
        <is>
          <t>OPERA: STRATO DI ZOCCOLATURA DI CERAMICA GRES PORCELLANATO; IMPIEGO: STRATO DI PAVIMENTAZIONE. 
LAVORO: POSA. INCLUSO: ASSISTENZE MURARIE. 
COMPONENTI: 
OP1 OPERA: STRATO DI ZOCCOLATURA DI CERAMICA GRES PORCELLANATO; IMPIEGO: STRATO DI PAVIMENTAZIONE. 
RM2 ZOCCOLINO DI CERAMICA GRES PORCELLANATO; GEOMETRIA/FORMA/ASPETTO: CON GOLA; IMPIEGO: BATTISCOPA; ALTEZZA [CM] = 10 
PO2 PRODOTTO SEMILAVORATO: MALTA, BASTARDA IN CEMENTO GENERICO. 
LAVORO: FORMAZIONE, CON MEZZO MECCANICO. 
SPECIFICHE TECNICHE: CONFEZIONATA IN BETONIERA; DOSAGGIO PER M³: CEMENTO [KG] = 100 | CALCE EMINENTEMENTE IDRAULICA [KG] = 350. 
LV1 LAVORO: POSA. INCLUSO: ASSISTENZE MURARIE.</t>
        </is>
      </c>
      <c r="M137" s="4" t="inlineStr">
        <is>
          <t>M</t>
        </is>
      </c>
      <c r="N137" s="5" t="n">
        <v>61.25</v>
      </c>
      <c r="O137" s="6" t="n">
        <v>16.46</v>
      </c>
      <c r="P137" s="6" t="n">
        <v>1008.18</v>
      </c>
      <c r="Q137" s="5" t="n"/>
      <c r="R137" s="6" t="n"/>
      <c r="S137" s="6">
        <f>IF(AND(Q137&lt;&gt;"",R137&lt;&gt;""),Q137*R137,"")</f>
        <v/>
      </c>
      <c r="T137" s="6">
        <f>IF(S137="",P137,S137)</f>
        <v/>
      </c>
      <c r="U137" s="7" t="n">
        <v>0</v>
      </c>
      <c r="V137" s="6">
        <f>$T137*U137</f>
        <v/>
      </c>
      <c r="W137" s="7" t="n">
        <v>0</v>
      </c>
      <c r="X137" s="6">
        <f>$T137*W137</f>
        <v/>
      </c>
      <c r="Y137" s="7" t="n">
        <v>0</v>
      </c>
      <c r="Z137" s="6">
        <f>$T137*Y137</f>
        <v/>
      </c>
      <c r="AA137" s="7" t="n">
        <v>0</v>
      </c>
      <c r="AB137" s="6">
        <f>$T137*AA137</f>
        <v/>
      </c>
      <c r="AC137" s="7" t="n">
        <v>0</v>
      </c>
      <c r="AD137" s="6">
        <f>$T137*AC137</f>
        <v/>
      </c>
      <c r="AE137" s="7" t="n">
        <v>0</v>
      </c>
      <c r="AF137" s="6">
        <f>$T137*AE137</f>
        <v/>
      </c>
      <c r="AG137" s="7" t="n">
        <v>0</v>
      </c>
      <c r="AH137" s="6">
        <f>$T137*AG137</f>
        <v/>
      </c>
      <c r="AI137" s="7">
        <f>U137+W137+Y137+AA137+AC137+AE137+AG137</f>
        <v/>
      </c>
      <c r="AJ137" s="6">
        <f>V137+X137+Z137+AB137+AD137+AF137+AH137</f>
        <v/>
      </c>
    </row>
    <row r="138" ht="60" customHeight="1" s="35">
      <c r="A138" s="3" t="inlineStr">
        <is>
          <t>LOM241.OC.EEA.A02.C1220.CA017.0000</t>
        </is>
      </c>
      <c r="B138" s="4" t="inlineStr">
        <is>
          <t>2/2</t>
        </is>
      </c>
      <c r="C138" s="3" t="inlineStr">
        <is>
          <t>EDILE</t>
        </is>
      </c>
      <c r="D138" s="4" t="inlineStr">
        <is>
          <t>SPECIALE</t>
        </is>
      </c>
      <c r="E138" s="4" t="inlineStr">
        <is>
          <t>EDILI SPECIALI</t>
        </is>
      </c>
      <c r="F138" s="3" t="inlineStr">
        <is>
          <t>1_2025.11.20_CME REV07.PDF</t>
        </is>
      </c>
      <c r="G138" s="4" t="inlineStr">
        <is>
          <t>143</t>
        </is>
      </c>
      <c r="H138" s="3" t="inlineStr">
        <is>
          <t>30 - STRUTTURALE</t>
        </is>
      </c>
      <c r="I138" s="3" t="inlineStr">
        <is>
          <t>NUOVI LABORATORI</t>
        </is>
      </c>
      <c r="J138" s="3" t="inlineStr">
        <is>
          <t>OPERE IN C.A.</t>
        </is>
      </c>
      <c r="K138" s="3" t="inlineStr">
        <is>
          <t>OPERA: STRATO DI RIVESTIMENTO, PIASTRELLE DI RESINA SINTETICA POLIVINILCLORURO (PVC); FINITURA: NON RIFLETTENTE | GOFFRATA; GEOMETRIA/FORMA: QUADRATA; LATO (X) [CM] = 32 | LATO (Y) [CM] = 32 | SPESSOR</t>
        </is>
      </c>
      <c r="L138" s="3" t="inlineStr">
        <is>
          <t>OPERA: STRATO DI RIVESTIMENTO, PIASTRELLE DI RESINA SINTETICA POLIVINILCLORURO (PVC); FINITURA: NON RIFLETTENTE | GOFFRATA; GEOMETRIA/FORMA: QUADRATA; LATO (X) [CM] = 32 | LATO (Y) [CM] = 32 | SPESSORE [MM] = 3. 
LAVORO: POSA. INCLUSO: LISCIATURA FONDO; ASSISTENZE MURARIE; POSA GIUNTI ACCOSTATI E STUCCATI. 
COMPONENTI: 
OP1 OPERA: STRATO DI RIVESTIMENTO, PIASTRELLE DI RESINA SINTETICA POLIVINILCLORURO (PVC); FINITURA: NON RIFLETTENTE | GOFFRATA; GEOMETRIA/FORMA: QUADRATA; LATO (X) [CM] = 32 | LATO (Y) [CM] = 32 | SPESSORE [MM] = 3. 
RM2 PIASTRELLA PER RIVESTIMENTO DI PLASTICA POLIVINCLORURO PLASTIFICATO (PVC); IMPIEGO: INTERNO; DIMENSIONE (X) [CM] = 32 | DIMENSIONE (Y) [CM] = 32 | SPESSORE [MM] = 3 
SPECIFICHE TECNICHE: PLASTICA POLIVINCLORURO PLASTIFICATO (PVC) RINFORZATO E STABILIZZATO DA DOPPIA FIBRA DI VETRO, MINERALI E PIGMENTI, A BORDI BISELLATI E SMUSSATI 
RM2 ADESIVO DI RESINA SINTETICA ACRILICA; FUNZIONE: INCOLLAGGIO; IMPIEGO: RIVESTIMENTI MURALI IN PVC | RIVESTIMENTI MURALI IN PVC ESPANSO | RIVESTIMENTI DI SUGHERO CON SUPPORTO IN PVC 
SPECIFICHE TECNICHE: IN DISPERSIONE ACQUOSA 
RM2 SIGILLANTE POLIURETANICO AUTOLIVELLANTE DI RESINA SINTETICA GENERICO; GEOMETRIA/FORMA: BICOMPONENTE; IMPIEGO: GIUNTI ORIZZONTALI; ALLUNGAMENTO ESERCIZIO [%] &lt; 5 
SPECIFICHE TECNICHE: APPLICAZIONE A COLATURA 
RM2 FONDO BASE DI RESINA SINTETICA ACRILICA; FUNZIONE: PREPARATORE; IMPIEGO: RIVESTIMENTI PLASTICI | PITTURE; PESO SPECIFICO [KG/L] = 1 
SPECIFICHE TECNICHE: FONDI BASE PER RIVESTIMENTI PLASTICI E PITTURE MURALI; ACRILICO ALL'ACQUA 
LV1 LAVORO: POSA. INCLUSO: LISCIATURA FONDO; ASSISTENZE MURARIE; POSA GIUNTI ACCOSTATI E STUCCATI.</t>
        </is>
      </c>
      <c r="M138" s="4" t="inlineStr">
        <is>
          <t>M²</t>
        </is>
      </c>
      <c r="N138" s="5" t="n">
        <v>279.81</v>
      </c>
      <c r="O138" s="6" t="n">
        <v>35.27</v>
      </c>
      <c r="P138" s="6" t="n">
        <v>9868.9</v>
      </c>
      <c r="Q138" s="5" t="n"/>
      <c r="R138" s="6" t="n"/>
      <c r="S138" s="6">
        <f>IF(AND(Q138&lt;&gt;"",R138&lt;&gt;""),Q138*R138,"")</f>
        <v/>
      </c>
      <c r="T138" s="6">
        <f>IF(S138="",P138,S138)</f>
        <v/>
      </c>
      <c r="U138" s="7" t="n">
        <v>0</v>
      </c>
      <c r="V138" s="6">
        <f>$T138*U138</f>
        <v/>
      </c>
      <c r="W138" s="7" t="n">
        <v>0.4</v>
      </c>
      <c r="X138" s="6">
        <f>$T138*W138</f>
        <v/>
      </c>
      <c r="Y138" s="7" t="n">
        <v>0</v>
      </c>
      <c r="Z138" s="6">
        <f>$T138*Y138</f>
        <v/>
      </c>
      <c r="AA138" s="7" t="n">
        <v>0</v>
      </c>
      <c r="AB138" s="6">
        <f>$T138*AA138</f>
        <v/>
      </c>
      <c r="AC138" s="7" t="n">
        <v>0</v>
      </c>
      <c r="AD138" s="6">
        <f>$T138*AC138</f>
        <v/>
      </c>
      <c r="AE138" s="7" t="n">
        <v>0</v>
      </c>
      <c r="AF138" s="6">
        <f>$T138*AE138</f>
        <v/>
      </c>
      <c r="AG138" s="7" t="n">
        <v>0</v>
      </c>
      <c r="AH138" s="6">
        <f>$T138*AG138</f>
        <v/>
      </c>
      <c r="AI138" s="7">
        <f>U138+W138+Y138+AA138+AC138+AE138+AG138</f>
        <v/>
      </c>
      <c r="AJ138" s="6">
        <f>V138+X138+Z138+AB138+AD138+AF138+AH138</f>
        <v/>
      </c>
    </row>
    <row r="139" ht="60" customHeight="1" s="35">
      <c r="A139" s="3" t="inlineStr">
        <is>
          <t>LOM241.OC.EEA.A02.C1220.L0005.0010</t>
        </is>
      </c>
      <c r="B139" s="4" t="inlineStr">
        <is>
          <t>1/1</t>
        </is>
      </c>
      <c r="C139" s="3" t="inlineStr">
        <is>
          <t>EDILE</t>
        </is>
      </c>
      <c r="D139" s="4" t="inlineStr">
        <is>
          <t>SPECIALE</t>
        </is>
      </c>
      <c r="E139" s="4" t="inlineStr">
        <is>
          <t>EDILI SPECIALI</t>
        </is>
      </c>
      <c r="F139" s="3" t="inlineStr">
        <is>
          <t>1_2025.11.20_CME REV07.PDF</t>
        </is>
      </c>
      <c r="G139" s="4" t="inlineStr">
        <is>
          <t>144</t>
        </is>
      </c>
      <c r="H139" s="3" t="inlineStr">
        <is>
          <t>30 - STRUTTURALE</t>
        </is>
      </c>
      <c r="I139" s="3" t="inlineStr">
        <is>
          <t>NUOVI LABORATORI</t>
        </is>
      </c>
      <c r="J139" s="3" t="inlineStr">
        <is>
          <t>OPERE IN C.A.</t>
        </is>
      </c>
      <c r="K139" s="3" t="inlineStr">
        <is>
          <t xml:space="preserve">OPERA: STRATO DI RIVESTIMENTO, PIASTRELLE DI CERAMICA GRES PORCELLANATO; FINITURA: LISCIA | COLORE CHIARO; GEOMETRIA/FORMA/ASPETTO: QUADRATA; LATO (X) [CM] = 20 | LATO (Y) [CM] = 20 | SPESSORE [MM] = </t>
        </is>
      </c>
      <c r="L139" s="3" t="inlineStr">
        <is>
          <t>OPERA: STRATO DI RIVESTIMENTO, PIASTRELLE DI CERAMICA GRES PORCELLANATO; FINITURA: LISCIA | COLORE CHIARO; GEOMETRIA/FORMA/ASPETTO: QUADRATA; LATO (X) [CM] = 20 | LATO (Y) [CM] = 20 | SPESSORE [MM] = 8 ÷ 10. INCLUSO: PEZZI SPECIALI. 
LAVORO: POSA. INCLUSO: STUCCATURA GIUNTI CON CEMENTO; PULITURA; ASSISTENZE MURARIE. 
SPECIFICHE TECNICHE: POSA SU IDONEO INTONACO. 
COMPONENTI: 
OP1 OPERA: STRATO DI RIVESTIMENTO, PIASTRELLE DI CERAMICA GRES PORCELLANATO; FINITURA: LISCIA | COLORE CHIARO; GEOMETRIA/FORMA/ASPETTO: QUADRATA; LATO (X) [CM] = 20 | LATO (Y) [CM] = 20 | SPESSORE [MM] = 8 ÷ 10. INCLUSO: PEZZI SPECIALI. 
RM2 PIASTRELLA PER PAVIMENTO DI CERAMICA GRES PORCELLANATO; FINITURA: LISCIA | CHIARA; IMPIEGO: INTERNO; DIMENSIONE (X) [CM] = 20 | DIMENSIONE (Y) [CM] = 20 | SPESSORE [CM] = 0,8 ÷ 1 
RM2 COLLANTE DI CEMENTO GENERICO; FUNZIONE: INSTALLAZIONE; IMPIEGO: RIVESTIMENTI; FORNITURA: IN POLVERE 
SPECIFICHE TECNICHE: AD ELEVATE PRESTAZIONI; COSTITUITO DA CEMENTI AD ALTA RESISTENZA, RESINE RIDISPERDIBILI, INERTI SELEZIONATI E ADDITIVI  
RM2 LEGANTE IDRAULICO DI CEMENTO BIANCO; GEOMETRIA/FORMA/ASPETTO: SFUSO | TIPO ELEVATA RESISTENZA 32.5R; FORNITURA: SACCHI 
SPECIFICHE TECNICHE: SACCHI DA 25KG 
LV1 LAVORO: POSA. INCLUSO: STUCCATURA GIUNTI CON CEMENTO; PULITURA; ASSISTENZE MURARIE. 
SPECIFICHE TECNICHE: POSA SU IDONEO INTONACO.</t>
        </is>
      </c>
      <c r="M139" s="4" t="inlineStr">
        <is>
          <t>M²</t>
        </is>
      </c>
      <c r="N139" s="5" t="n">
        <v>24.15</v>
      </c>
      <c r="O139" s="6" t="n">
        <v>48.79</v>
      </c>
      <c r="P139" s="6" t="n">
        <v>1178.28</v>
      </c>
      <c r="Q139" s="5" t="n"/>
      <c r="R139" s="6" t="n"/>
      <c r="S139" s="6">
        <f>IF(AND(Q139&lt;&gt;"",R139&lt;&gt;""),Q139*R139,"")</f>
        <v/>
      </c>
      <c r="T139" s="6">
        <f>IF(S139="",P139,S139)</f>
        <v/>
      </c>
      <c r="U139" s="7" t="n">
        <v>0</v>
      </c>
      <c r="V139" s="6">
        <f>$T139*U139</f>
        <v/>
      </c>
      <c r="W139" s="7" t="n">
        <v>0</v>
      </c>
      <c r="X139" s="6">
        <f>$T139*W139</f>
        <v/>
      </c>
      <c r="Y139" s="7" t="n">
        <v>0</v>
      </c>
      <c r="Z139" s="6">
        <f>$T139*Y139</f>
        <v/>
      </c>
      <c r="AA139" s="7" t="n">
        <v>0</v>
      </c>
      <c r="AB139" s="6">
        <f>$T139*AA139</f>
        <v/>
      </c>
      <c r="AC139" s="7" t="n">
        <v>0</v>
      </c>
      <c r="AD139" s="6">
        <f>$T139*AC139</f>
        <v/>
      </c>
      <c r="AE139" s="7" t="n">
        <v>0</v>
      </c>
      <c r="AF139" s="6">
        <f>$T139*AE139</f>
        <v/>
      </c>
      <c r="AG139" s="7" t="n">
        <v>0</v>
      </c>
      <c r="AH139" s="6">
        <f>$T139*AG139</f>
        <v/>
      </c>
      <c r="AI139" s="7">
        <f>U139+W139+Y139+AA139+AC139+AE139+AG139</f>
        <v/>
      </c>
      <c r="AJ139" s="6">
        <f>V139+X139+Z139+AB139+AD139+AF139+AH139</f>
        <v/>
      </c>
    </row>
    <row r="140" ht="60" customHeight="1" s="35">
      <c r="A140" s="3" t="inlineStr">
        <is>
          <t>LOM241.OC.EEA.A02.C1210.OD000.0005</t>
        </is>
      </c>
      <c r="B140" s="4" t="inlineStr">
        <is>
          <t>2/2</t>
        </is>
      </c>
      <c r="C140" s="3" t="inlineStr">
        <is>
          <t>EDILE</t>
        </is>
      </c>
      <c r="D140" s="4" t="inlineStr">
        <is>
          <t>SPECIALE</t>
        </is>
      </c>
      <c r="E140" s="4" t="inlineStr">
        <is>
          <t>EDILI SPECIALI</t>
        </is>
      </c>
      <c r="F140" s="3" t="inlineStr">
        <is>
          <t>1_2025.11.20_CME REV07.PDF</t>
        </is>
      </c>
      <c r="G140" s="4" t="inlineStr">
        <is>
          <t>145</t>
        </is>
      </c>
      <c r="H140" s="3" t="inlineStr">
        <is>
          <t>30 - STRUTTURALE</t>
        </is>
      </c>
      <c r="I140" s="3" t="inlineStr">
        <is>
          <t>NUOVI LABORATORI</t>
        </is>
      </c>
      <c r="J140" s="3" t="inlineStr">
        <is>
          <t>OPERE IN C.A.</t>
        </is>
      </c>
      <c r="K140" s="3" t="inlineStr">
        <is>
          <t>OPERA: SISTEMA DI CONTROSOFFITTATURA, LASTRA DI FIBRA MINERALE GENERICO; FINITURA: COLORE BIANCO | SUPERFICIE DECORATA FESSURATA; GEOMETRIA/FORMA/ASPETTO: ORDITURA SEMINASCOSTA | BORDI DISEGNATI; DIME</t>
        </is>
      </c>
      <c r="L140" s="3" t="inlineStr">
        <is>
          <t>OPERA: SISTEMA DI CONTROSOFFITTATURA, LASTRA DI FIBRA MINERALE GENERICO; FINITURA: COLORE BIANCO | SUPERFICIE DECORATA FESSURATA; GEOMETRIA/FORMA/ASPETTO: ORDITURA SEMINASCOSTA | BORDI DISEGNATI; DIMENSIONE (X) [MM] = 600 | DIMENSIONE (Y) [MM] = 600. INCLUSO: CORNICE PERIMETRALE DI FINITURA. 
LAVORO: POSA. INCLUSO: PULIZIA FINALE; ALLONTAMENTO DEI MATERIALI DI RISULTA; ASSISTENZE MURARIE. 
SPECIFICHE TECNICHE: ORDITURA CON PROFILI PORTANTI, INTERMEDI E ACCESSORI DI SOSPENSIONE. 
COMPONENTI: 
OP1 OPERA: SISTEMA DI CONTROSOFFITTATURA, LASTRA DI FIBRA MINERALE GENERICO; FINITURA: COLORE BIANCO | SUPERFICIE DECORATA FESSURATA; GEOMETRIA/FORMA/ASPETTO: ORDITURA SEMINASCOSTA | BORDI DISEGNATI; DIMENSIONE (X) [MM] = 600 | DIMENSIONE (Y) [MM] = 600. INCLUSO: CORNICE PERIMETRALE DI FINITURA. 
SPECIFICHE TECNICHE: ORDITURA CON PROFILI PORTANTI, INTERMEDI E ACCESSORI DI SOSPENSIONE. 
RM2 LASTRA ACUSTICO DI FIBRA MINERALE GENERICO; FINITURA: COLORE BIANCO; GEOMETRIA/FORMA/ASPETTO: PANNELLI A BORDI RISEGATI; IMPIEGO: CONTROSOFFITTI; SPESSORE [MM] = 15 ÷ 17 | LUNGHEZZA [MM] = 600 | LARGHEZZA [MM] = 600 
SPECIFICHE TECNICHE: A DECORO FESSURATO 
RM2 ORDITURA DI LEGA FERROSA ACCIAIO ZINCATO; FINITURA: COLORE BIANCO; IMPIEGO: CONTROSOFFITTI. INCLUSO: PENDINI; ACCESSORI 
SPECIFICHE TECNICHE: PER CONTROSOFFITTO CON MODULO [MM] = 600 X 1200 
RM2 TASSELLO DI PLASTICA POLIAMMIDE - NYLON (PA); IMPIEGO: CONTROSOFFITTI; DIAMETRO ESTERNO (Ø) [MM] = 6 | LUNGHEZZA [MM] = 40 
RM2 PROFILO PERIMETRALE DI LEGA FERROSA ACCIAIO GENERICO; GEOMETRIA/FORMA/ASPETTO: A FORMA DI "L"; IMPIEGO: ORDITURE CONTROSOFFITTI; DIMENSIONE (X) [MM] = 19 | DIMENSIONE (Y) [MM] = 24 
LV1 LAVORO: POSA. INCLUSO: PULIZIA FINALE; ALLONTAMENTO DEI MATERIALI DI RISULTA; ASSISTENZE MURARIE.</t>
        </is>
      </c>
      <c r="M140" s="4" t="inlineStr">
        <is>
          <t>M²</t>
        </is>
      </c>
      <c r="N140" s="5" t="n">
        <v>313</v>
      </c>
      <c r="O140" s="6" t="n">
        <v>38.31</v>
      </c>
      <c r="P140" s="6" t="n">
        <v>11991.03</v>
      </c>
      <c r="Q140" s="5" t="n"/>
      <c r="R140" s="6" t="n"/>
      <c r="S140" s="6">
        <f>IF(AND(Q140&lt;&gt;"",R140&lt;&gt;""),Q140*R140,"")</f>
        <v/>
      </c>
      <c r="T140" s="6">
        <f>IF(S140="",P140,S140)</f>
        <v/>
      </c>
      <c r="U140" s="7" t="n">
        <v>0</v>
      </c>
      <c r="V140" s="6">
        <f>$T140*U140</f>
        <v/>
      </c>
      <c r="W140" s="7" t="n">
        <v>0.2</v>
      </c>
      <c r="X140" s="6">
        <f>$T140*W140</f>
        <v/>
      </c>
      <c r="Y140" s="7" t="n">
        <v>0</v>
      </c>
      <c r="Z140" s="6">
        <f>$T140*Y140</f>
        <v/>
      </c>
      <c r="AA140" s="7" t="n">
        <v>0</v>
      </c>
      <c r="AB140" s="6">
        <f>$T140*AA140</f>
        <v/>
      </c>
      <c r="AC140" s="7" t="n">
        <v>0</v>
      </c>
      <c r="AD140" s="6">
        <f>$T140*AC140</f>
        <v/>
      </c>
      <c r="AE140" s="7" t="n">
        <v>0</v>
      </c>
      <c r="AF140" s="6">
        <f>$T140*AE140</f>
        <v/>
      </c>
      <c r="AG140" s="7" t="n">
        <v>0</v>
      </c>
      <c r="AH140" s="6">
        <f>$T140*AG140</f>
        <v/>
      </c>
      <c r="AI140" s="7">
        <f>U140+W140+Y140+AA140+AC140+AE140+AG140</f>
        <v/>
      </c>
      <c r="AJ140" s="6">
        <f>V140+X140+Z140+AB140+AD140+AF140+AH140</f>
        <v/>
      </c>
    </row>
    <row r="141" ht="60" customHeight="1" s="35">
      <c r="A141" s="3" t="inlineStr">
        <is>
          <t>LOM241.OC.EEA.A02.C3305.QA000.0015</t>
        </is>
      </c>
      <c r="B141" s="4" t="inlineStr">
        <is>
          <t>1/1</t>
        </is>
      </c>
      <c r="C141" s="3" t="inlineStr">
        <is>
          <t>EDILE</t>
        </is>
      </c>
      <c r="D141" s="4" t="inlineStr">
        <is>
          <t>SPECIALE</t>
        </is>
      </c>
      <c r="E141" s="4" t="inlineStr">
        <is>
          <t>EDILI SPECIALI</t>
        </is>
      </c>
      <c r="F141" s="3" t="inlineStr">
        <is>
          <t>1_2025.11.20_CME REV07.PDF</t>
        </is>
      </c>
      <c r="G141" s="4" t="inlineStr">
        <is>
          <t>148</t>
        </is>
      </c>
      <c r="H141" s="3" t="inlineStr">
        <is>
          <t>30 - STRUTTURALE</t>
        </is>
      </c>
      <c r="I141" s="3" t="inlineStr">
        <is>
          <t>NUOVI LABORATORI</t>
        </is>
      </c>
      <c r="J141" s="3" t="inlineStr">
        <is>
          <t>OPERE IN C.A.</t>
        </is>
      </c>
      <c r="K141" s="3" t="inlineStr">
        <is>
          <t xml:space="preserve">OPERA: SISTEMA PORTA, A BATTENTE DI LEGNO NATURALE GENERICO; FINITURA: VERNICIATA | MEDIUM DENSITY | LACCATO; GEOMETRIA/FORMA/ASPETTO: UN BATTENTE; FUNZIONE: CHIUSURA INTERNA. </t>
        </is>
      </c>
      <c r="L141" s="3" t="inlineStr">
        <is>
          <t>OPERA: SISTEMA PORTA, A BATTENTE DI LEGNO NATURALE GENERICO; FINITURA: VERNICIATA | MEDIUM DENSITY | LACCATO; GEOMETRIA/FORMA/ASPETTO: UN BATTENTE; FUNZIONE: CHIUSURA INTERNA. 
LAVORO: POSA. INCLUSO: PULIZIA; ALLONTANAMENTO MATERIALI DI RISULTA. ESCLUSO: ASSISTENZA MURARIA PER MOVIMENTAZIONI. 
SPECIFICHE TECNICHE: FINITURA CON MANO DI FONDO E VERNICIATURA CON LACCHE POLIURETANICHE; RIVESTITO CON MEDIUM DENSITY; LACCATO. 
COMPONENTI: 
OP1 OPERA: SISTEMA PORTA, A BATTENTE DI LEGNO NATURALE GENERICO; FINITURA: VERNICIATA | MEDIUM DENSITY | LACCATO; GEOMETRIA/FORMA/ASPETTO: UN BATTENTE; FUNZIONE: CHIUSURA INTERNA. 
SPECIFICHE TECNICHE: FINITURA CON MANO DI FONDO E VERNICIATURA CON LACCHE POLIURETANICHE; RIVESTITO CON MEDIUM DENSITY; LACCATO. 
RM2 PORTA A BATTENTE DI LEGNO NATURALE GENERICO; FINITURA: LACCATA CON COLORI BASE LUCIDI/OPACHI; GEOMETRIA/FORMA/ASPETTO: SINGOLA ANTA; FUNZIONE: DISTRIBUZIONE; IMPIEGO: INTERNO 
SPECIFICHE TECNICHE: FINITURA CON MANO DI FONDO E VERNICIATURA CON LACCHE POLIURETANICHE 
LV1 LAVORO: POSA. INCLUSO: PULIZIA; ALLONTANAMENTO MATERIALI DI RISULTA. ESCLUSO: ASSISTENZA MURARIA PER MOVIMENTAZIONI.</t>
        </is>
      </c>
      <c r="M141" s="4" t="inlineStr">
        <is>
          <t>M²</t>
        </is>
      </c>
      <c r="N141" s="5" t="n">
        <v>13.02</v>
      </c>
      <c r="O141" s="6" t="n">
        <v>351.4</v>
      </c>
      <c r="P141" s="6" t="n">
        <v>4575.23</v>
      </c>
      <c r="Q141" s="5" t="n"/>
      <c r="R141" s="6" t="n"/>
      <c r="S141" s="6">
        <f>IF(AND(Q141&lt;&gt;"",R141&lt;&gt;""),Q141*R141,"")</f>
        <v/>
      </c>
      <c r="T141" s="6">
        <f>IF(S141="",P141,S141)</f>
        <v/>
      </c>
      <c r="U141" s="7" t="n">
        <v>0</v>
      </c>
      <c r="V141" s="6">
        <f>$T141*U141</f>
        <v/>
      </c>
      <c r="W141" s="7" t="n">
        <v>0</v>
      </c>
      <c r="X141" s="6">
        <f>$T141*W141</f>
        <v/>
      </c>
      <c r="Y141" s="7" t="n">
        <v>0</v>
      </c>
      <c r="Z141" s="6">
        <f>$T141*Y141</f>
        <v/>
      </c>
      <c r="AA141" s="7" t="n">
        <v>0</v>
      </c>
      <c r="AB141" s="6">
        <f>$T141*AA141</f>
        <v/>
      </c>
      <c r="AC141" s="7" t="n">
        <v>0</v>
      </c>
      <c r="AD141" s="6">
        <f>$T141*AC141</f>
        <v/>
      </c>
      <c r="AE141" s="7" t="n">
        <v>0</v>
      </c>
      <c r="AF141" s="6">
        <f>$T141*AE141</f>
        <v/>
      </c>
      <c r="AG141" s="7" t="n">
        <v>0</v>
      </c>
      <c r="AH141" s="6">
        <f>$T141*AG141</f>
        <v/>
      </c>
      <c r="AI141" s="7">
        <f>U141+W141+Y141+AA141+AC141+AE141+AG141</f>
        <v/>
      </c>
      <c r="AJ141" s="6">
        <f>V141+X141+Z141+AB141+AD141+AF141+AH141</f>
        <v/>
      </c>
    </row>
    <row r="142" ht="60" customHeight="1" s="35">
      <c r="A142" s="3" t="inlineStr">
        <is>
          <t>LOM241.OC.EEA.A02.C3305.SB001.0055</t>
        </is>
      </c>
      <c r="B142" s="4" t="inlineStr">
        <is>
          <t>1/1</t>
        </is>
      </c>
      <c r="C142" s="3" t="inlineStr">
        <is>
          <t>EDILE</t>
        </is>
      </c>
      <c r="D142" s="4" t="inlineStr">
        <is>
          <t>SPECIALE</t>
        </is>
      </c>
      <c r="E142" s="4" t="inlineStr">
        <is>
          <t>EDILI SPECIALI</t>
        </is>
      </c>
      <c r="F142" s="3" t="inlineStr">
        <is>
          <t>1_2025.11.20_CME REV07.PDF</t>
        </is>
      </c>
      <c r="G142" s="4" t="inlineStr">
        <is>
          <t>149</t>
        </is>
      </c>
      <c r="H142" s="3" t="inlineStr">
        <is>
          <t>30 - STRUTTURALE</t>
        </is>
      </c>
      <c r="I142" s="3" t="inlineStr">
        <is>
          <t>NUOVI LABORATORI</t>
        </is>
      </c>
      <c r="J142" s="3" t="inlineStr">
        <is>
          <t>OPERE IN C.A.</t>
        </is>
      </c>
      <c r="K142" s="3" t="inlineStr">
        <is>
          <t xml:space="preserve">OPERA: SISTEMA PORTA, A BATTENTE DI LEGA FERROSA ACCIAIO GENERICO; GEOMETRIA/FORMA/ASPETTO: UN BATTENTE; FUNZIONE: TAGLIAFUOCO; LARGHEZZA PASSAGGIO [CM] = 120; RESISTENZA AL FUOCO [CLASSE] = REI 120. </t>
        </is>
      </c>
      <c r="L142" s="3" t="inlineStr">
        <is>
          <t>OPERA: SISTEMA PORTA, A BATTENTE DI LEGA FERROSA ACCIAIO GENERICO; GEOMETRIA/FORMA/ASPETTO: UN BATTENTE; FUNZIONE: TAGLIAFUOCO; LARGHEZZA PASSAGGIO [CM] = 120; RESISTENZA AL FUOCO [CLASSE] = REI 120. 
LAVORO: POSA. 
COMPONENTI: 
OP1 OPERA: SISTEMA PORTA, A BATTENTE DI LEGA FERROSA ACCIAIO GENERICO; GEOMETRIA/FORMA/ASPETTO: UN BATTENTE; FUNZIONE: TAGLIAFUOCO; LARGHEZZA PASSAGGIO [CM] = 120; RESISTENZA AL FUOCO [CLASSE] = REI 120. 
RM2 PORTA A BATTENTE DI LEGA FERROSA ACCIAIO ZINCATO; FINITURA: VERNICIATA; GEOMETRIA/FORMA/ASPETTO: SINGOLA ANTA; FUNZIONE: ANTINCENDIO; LARGHEZZA [CM] = 120 | ALTEZZA [CM] = 200 ÷ 210; RESISTENZA AL FUOCO [CLASSE] = REI 120 
SPECIFICHE TECNICHE: MISURE INDICATIVE SECONDO PRODUZIONE DI SERIE CON POSSIBILITA DI PRODUZIONE DI MISURE SPECIALI A RICHIESTA 
LV1 LAVORO: POSA.</t>
        </is>
      </c>
      <c r="M142" s="4" t="inlineStr">
        <is>
          <t>CAD</t>
        </is>
      </c>
      <c r="N142" s="5" t="n">
        <v>2.31</v>
      </c>
      <c r="O142" s="6" t="n">
        <v>231.56</v>
      </c>
      <c r="P142" s="6" t="n">
        <v>534.9</v>
      </c>
      <c r="Q142" s="5" t="n"/>
      <c r="R142" s="6" t="n"/>
      <c r="S142" s="6">
        <f>IF(AND(Q142&lt;&gt;"",R142&lt;&gt;""),Q142*R142,"")</f>
        <v/>
      </c>
      <c r="T142" s="6">
        <f>IF(S142="",P142,S142)</f>
        <v/>
      </c>
      <c r="U142" s="7" t="n">
        <v>0</v>
      </c>
      <c r="V142" s="6">
        <f>$T142*U142</f>
        <v/>
      </c>
      <c r="W142" s="7" t="n">
        <v>0</v>
      </c>
      <c r="X142" s="6">
        <f>$T142*W142</f>
        <v/>
      </c>
      <c r="Y142" s="7" t="n">
        <v>0</v>
      </c>
      <c r="Z142" s="6">
        <f>$T142*Y142</f>
        <v/>
      </c>
      <c r="AA142" s="7" t="n">
        <v>0</v>
      </c>
      <c r="AB142" s="6">
        <f>$T142*AA142</f>
        <v/>
      </c>
      <c r="AC142" s="7" t="n">
        <v>0</v>
      </c>
      <c r="AD142" s="6">
        <f>$T142*AC142</f>
        <v/>
      </c>
      <c r="AE142" s="7" t="n">
        <v>0</v>
      </c>
      <c r="AF142" s="6">
        <f>$T142*AE142</f>
        <v/>
      </c>
      <c r="AG142" s="7" t="n">
        <v>0</v>
      </c>
      <c r="AH142" s="6">
        <f>$T142*AG142</f>
        <v/>
      </c>
      <c r="AI142" s="7">
        <f>U142+W142+Y142+AA142+AC142+AE142+AG142</f>
        <v/>
      </c>
      <c r="AJ142" s="6">
        <f>V142+X142+Z142+AB142+AD142+AF142+AH142</f>
        <v/>
      </c>
    </row>
    <row r="143" ht="60" customHeight="1" s="35">
      <c r="A143" s="3" t="inlineStr">
        <is>
          <t>LOM241.OC.EEA.A02.C3305.SB001.0080</t>
        </is>
      </c>
      <c r="B143" s="4" t="inlineStr">
        <is>
          <t>1/1</t>
        </is>
      </c>
      <c r="C143" s="3" t="inlineStr">
        <is>
          <t>EDILE</t>
        </is>
      </c>
      <c r="D143" s="4" t="inlineStr">
        <is>
          <t>SPECIALE</t>
        </is>
      </c>
      <c r="E143" s="4" t="inlineStr">
        <is>
          <t>EDILI SPECIALI</t>
        </is>
      </c>
      <c r="F143" s="3" t="inlineStr">
        <is>
          <t>1_2025.11.20_CME REV07.PDF</t>
        </is>
      </c>
      <c r="G143" s="4" t="inlineStr">
        <is>
          <t>150</t>
        </is>
      </c>
      <c r="H143" s="3" t="inlineStr">
        <is>
          <t>30 - STRUTTURALE</t>
        </is>
      </c>
      <c r="I143" s="3" t="inlineStr">
        <is>
          <t>NUOVI LABORATORI</t>
        </is>
      </c>
      <c r="J143" s="3" t="inlineStr">
        <is>
          <t>OPERE IN C.A.</t>
        </is>
      </c>
      <c r="K143" s="3" t="inlineStr">
        <is>
          <t xml:space="preserve">OPERA: SISTEMA PORTA, A BATTENTE DI LEGA FERROSA ACCIAIO GENERICO; GEOMETRIA/FORMA/ASPETTO: UN BATTENTE; FUNZIONE: TAGLIAFUOCO; LARGHEZZA PASSAGGIO [CM] = 80; RESISTENZA AL FUOCO [CLASSE] = REI 60. </t>
        </is>
      </c>
      <c r="L143" s="3" t="inlineStr">
        <is>
          <t>OPERA: SISTEMA PORTA, A BATTENTE DI LEGA FERROSA ACCIAIO GENERICO; GEOMETRIA/FORMA/ASPETTO: UN BATTENTE; FUNZIONE: TAGLIAFUOCO; LARGHEZZA PASSAGGIO [CM] = 80; RESISTENZA AL FUOCO [CLASSE] = REI 60. 
LAVORO: POSA. 
COMPONENTI: 
OP1 OPERA: SISTEMA PORTA, A BATTENTE DI LEGA FERROSA ACCIAIO GENERICO; GEOMETRIA/FORMA/ASPETTO: UN BATTENTE; FUNZIONE: TAGLIAFUOCO; LARGHEZZA PASSAGGIO [CM] = 80; RESISTENZA AL FUOCO [CLASSE] = REI 60. 
RM2 PORTA A BATTENTE DI LEGA FERROSA ACCIAIO ZINCATO; FINITURA: VERNICIATA; GEOMETRIA/FORMA/ASPETTO: SINGOLA ANTA; FUNZIONE: ANTINCENDIO; LARGHEZZA [CM] = 80 | ALTEZZA [CM] = 200 ÷ 210; RESISTENZA AL FUOCO [CLASSE] = REI 60 
SPECIFICHE TECNICHE: MISURE INDICATIVE SECONDO PRODUZIONE DI SERIE CON POSSIBILITA DI PRODUZIONE DI MISURE SPECIALI A RICHIESTA 
LV1 LAVORO: POSA.</t>
        </is>
      </c>
      <c r="M143" s="4" t="inlineStr">
        <is>
          <t>CAD</t>
        </is>
      </c>
      <c r="N143" s="5" t="n">
        <v>8.4</v>
      </c>
      <c r="O143" s="6" t="n">
        <v>226.02</v>
      </c>
      <c r="P143" s="6" t="n">
        <v>1898.57</v>
      </c>
      <c r="Q143" s="5" t="n"/>
      <c r="R143" s="6" t="n"/>
      <c r="S143" s="6">
        <f>IF(AND(Q143&lt;&gt;"",R143&lt;&gt;""),Q143*R143,"")</f>
        <v/>
      </c>
      <c r="T143" s="6">
        <f>IF(S143="",P143,S143)</f>
        <v/>
      </c>
      <c r="U143" s="7" t="n">
        <v>0</v>
      </c>
      <c r="V143" s="6">
        <f>$T143*U143</f>
        <v/>
      </c>
      <c r="W143" s="7" t="n">
        <v>0</v>
      </c>
      <c r="X143" s="6">
        <f>$T143*W143</f>
        <v/>
      </c>
      <c r="Y143" s="7" t="n">
        <v>0</v>
      </c>
      <c r="Z143" s="6">
        <f>$T143*Y143</f>
        <v/>
      </c>
      <c r="AA143" s="7" t="n">
        <v>0</v>
      </c>
      <c r="AB143" s="6">
        <f>$T143*AA143</f>
        <v/>
      </c>
      <c r="AC143" s="7" t="n">
        <v>0</v>
      </c>
      <c r="AD143" s="6">
        <f>$T143*AC143</f>
        <v/>
      </c>
      <c r="AE143" s="7" t="n">
        <v>0</v>
      </c>
      <c r="AF143" s="6">
        <f>$T143*AE143</f>
        <v/>
      </c>
      <c r="AG143" s="7" t="n">
        <v>0</v>
      </c>
      <c r="AH143" s="6">
        <f>$T143*AG143</f>
        <v/>
      </c>
      <c r="AI143" s="7">
        <f>U143+W143+Y143+AA143+AC143+AE143+AG143</f>
        <v/>
      </c>
      <c r="AJ143" s="6">
        <f>V143+X143+Z143+AB143+AD143+AF143+AH143</f>
        <v/>
      </c>
    </row>
    <row r="144" ht="60" customHeight="1" s="35">
      <c r="A144" s="3" t="inlineStr">
        <is>
          <t>LOM241.OC.EEA.A02.C3305.SB001.0085</t>
        </is>
      </c>
      <c r="B144" s="4" t="inlineStr">
        <is>
          <t>1/1</t>
        </is>
      </c>
      <c r="C144" s="3" t="inlineStr">
        <is>
          <t>EDILE</t>
        </is>
      </c>
      <c r="D144" s="4" t="inlineStr">
        <is>
          <t>SPECIALE</t>
        </is>
      </c>
      <c r="E144" s="4" t="inlineStr">
        <is>
          <t>EDILI SPECIALI</t>
        </is>
      </c>
      <c r="F144" s="3" t="inlineStr">
        <is>
          <t>1_2025.11.20_CME REV07.PDF</t>
        </is>
      </c>
      <c r="G144" s="4" t="inlineStr">
        <is>
          <t>151</t>
        </is>
      </c>
      <c r="H144" s="3" t="inlineStr">
        <is>
          <t>30 - STRUTTURALE</t>
        </is>
      </c>
      <c r="I144" s="3" t="inlineStr">
        <is>
          <t>NUOVI LABORATORI</t>
        </is>
      </c>
      <c r="J144" s="3" t="inlineStr">
        <is>
          <t>OPERE IN C.A.</t>
        </is>
      </c>
      <c r="K144" s="3" t="inlineStr">
        <is>
          <t xml:space="preserve">OPERA: SISTEMA PORTA, A BATTENTE DI LEGA FERROSA ACCIAIO GENERICO; GEOMETRIA/FORMA/ASPETTO: UN BATTENTE; FUNZIONE: TAGLIAFUOCO; LARGHEZZA PASSAGGIO [CM] = 90; RESISTENZA AL FUOCO [CLASSE] = REI 120. </t>
        </is>
      </c>
      <c r="L144" s="3" t="inlineStr">
        <is>
          <t>OPERA: SISTEMA PORTA, A BATTENTE DI LEGA FERROSA ACCIAIO GENERICO; GEOMETRIA/FORMA/ASPETTO: UN BATTENTE; FUNZIONE: TAGLIAFUOCO; LARGHEZZA PASSAGGIO [CM] = 90; RESISTENZA AL FUOCO [CLASSE] = REI 120. 
LAVORO: POSA. 
COMPONENTI: 
OP1 OPERA: SISTEMA PORTA, A BATTENTE DI LEGA FERROSA ACCIAIO GENERICO; GEOMETRIA/FORMA/ASPETTO: UN BATTENTE; FUNZIONE: TAGLIAFUOCO; LARGHEZZA PASSAGGIO [CM] = 90; RESISTENZA AL FUOCO [CLASSE] = REI 120. 
RM2 PORTA A BATTENTE DI LEGA FERROSA ACCIAIO ZINCATO; FINITURA: VERNICIATA; GEOMETRIA/FORMA/ASPETTO: SINGOLA ANTA; FUNZIONE: ANTINCENDIO; LARGHEZZA [CM] = 90 | ALTEZZA [CM] = 200 ÷ 210; RESISTENZA AL FUOCO [CLASSE] = REI 120 
SPECIFICHE TECNICHE: MISURE INDICATIVE SECONDO PRODUZIONE DI SERIE CON POSSIBILITA DI PRODUZIONE DI MISURE SPECIALI A RICHIESTA 
LV1 LAVORO: POSA.</t>
        </is>
      </c>
      <c r="M144" s="4" t="inlineStr">
        <is>
          <t>CAD</t>
        </is>
      </c>
      <c r="N144" s="5" t="n">
        <v>15.12</v>
      </c>
      <c r="O144" s="6" t="n">
        <v>228.56</v>
      </c>
      <c r="P144" s="6" t="n">
        <v>3455.83</v>
      </c>
      <c r="Q144" s="5" t="n"/>
      <c r="R144" s="6" t="n"/>
      <c r="S144" s="6">
        <f>IF(AND(Q144&lt;&gt;"",R144&lt;&gt;""),Q144*R144,"")</f>
        <v/>
      </c>
      <c r="T144" s="6">
        <f>IF(S144="",P144,S144)</f>
        <v/>
      </c>
      <c r="U144" s="7" t="n">
        <v>0</v>
      </c>
      <c r="V144" s="6">
        <f>$T144*U144</f>
        <v/>
      </c>
      <c r="W144" s="7" t="n">
        <v>0</v>
      </c>
      <c r="X144" s="6">
        <f>$T144*W144</f>
        <v/>
      </c>
      <c r="Y144" s="7" t="n">
        <v>0</v>
      </c>
      <c r="Z144" s="6">
        <f>$T144*Y144</f>
        <v/>
      </c>
      <c r="AA144" s="7" t="n">
        <v>0</v>
      </c>
      <c r="AB144" s="6">
        <f>$T144*AA144</f>
        <v/>
      </c>
      <c r="AC144" s="7" t="n">
        <v>0</v>
      </c>
      <c r="AD144" s="6">
        <f>$T144*AC144</f>
        <v/>
      </c>
      <c r="AE144" s="7" t="n">
        <v>0</v>
      </c>
      <c r="AF144" s="6">
        <f>$T144*AE144</f>
        <v/>
      </c>
      <c r="AG144" s="7" t="n">
        <v>0</v>
      </c>
      <c r="AH144" s="6">
        <f>$T144*AG144</f>
        <v/>
      </c>
      <c r="AI144" s="7">
        <f>U144+W144+Y144+AA144+AC144+AE144+AG144</f>
        <v/>
      </c>
      <c r="AJ144" s="6">
        <f>V144+X144+Z144+AB144+AD144+AF144+AH144</f>
        <v/>
      </c>
    </row>
    <row r="145" ht="60" customHeight="1" s="35">
      <c r="A145" s="3" t="inlineStr">
        <is>
          <t>LOM241.OC.EEA.A02.C3336.T0000.0025</t>
        </is>
      </c>
      <c r="B145" s="4" t="inlineStr">
        <is>
          <t>1/1</t>
        </is>
      </c>
      <c r="C145" s="3" t="inlineStr">
        <is>
          <t>EDILE</t>
        </is>
      </c>
      <c r="D145" s="4" t="inlineStr">
        <is>
          <t>SPECIALE</t>
        </is>
      </c>
      <c r="E145" s="4" t="inlineStr">
        <is>
          <t>EDILI SPECIALI</t>
        </is>
      </c>
      <c r="F145" s="3" t="inlineStr">
        <is>
          <t>1_2025.11.20_CME REV07.PDF</t>
        </is>
      </c>
      <c r="G145" s="4" t="inlineStr">
        <is>
          <t>152</t>
        </is>
      </c>
      <c r="H145" s="3" t="inlineStr">
        <is>
          <t>30 - STRUTTURALE</t>
        </is>
      </c>
      <c r="I145" s="3" t="inlineStr">
        <is>
          <t>NUOVI LABORATORI</t>
        </is>
      </c>
      <c r="J145" s="3" t="inlineStr">
        <is>
          <t>OPERE IN C.A.</t>
        </is>
      </c>
      <c r="K145" s="3" t="inlineStr">
        <is>
          <t xml:space="preserve">OPERA: LASTRA DI VETRO, MONOCOMPONENTE DI VETRO GENERICO; GEOMETRIA/FORMA/ASPETTO: QUADRATA | RETTANGOLARE; FUNZIONE: TAGLIAFUOCO; IMPIEGO: VISIVE | PORTE TAGLIAFUOCO. </t>
        </is>
      </c>
      <c r="L145" s="3" t="inlineStr">
        <is>
          <t>OPERA: LASTRA DI VETRO, MONOCOMPONENTE DI VETRO GENERICO; GEOMETRIA/FORMA/ASPETTO: QUADRATA | RETTANGOLARE; FUNZIONE: TAGLIAFUOCO; IMPIEGO: VISIVE | PORTE TAGLIAFUOCO. 
LAVORO: POSA. ESCLUSO: ASSISTENZE MURARIE. 
SPECIFICHE TECNICHE: SU PORTE TAGLIAFUOCO REI 120. 
COMPONENTI: 
OP1 OPERA: LASTRA DI VETRO, MONOCOMPONENTE DI VETRO GENERICO; GEOMETRIA/FORMA/ASPETTO: QUADRATA | RETTANGOLARE; FUNZIONE: TAGLIAFUOCO; IMPIEGO: VISIVE | PORTE TAGLIAFUOCO. 
SPECIFICHE TECNICHE: SU PORTE TAGLIAFUOCO REI 120. 
RM2 VETRATURA STRATIFICATO DI VETRO GENERICO; GEOMETRIA/FORMA/ASPETTO: QUADRATA | RETTANGOLARE; IMPIEGO: PORTA TAGLIAFUOCO; SPESSORE [MM] = 52 | DIMENSIONE (X) [CM] = 40 | DIMENSIONE (Y) [CM] = 120; RESISTENZA AL FUOCO [CLASSE] = REI120 
SPECIFICHE TECNICHE: CONTRO FIAMMA, FUMI E CALORE 
LV1 LAVORO: POSA. ESCLUSO: ASSISTENZE MURARIE.</t>
        </is>
      </c>
      <c r="M145" s="4" t="inlineStr">
        <is>
          <t>CAD</t>
        </is>
      </c>
      <c r="N145" s="5" t="n">
        <v>14</v>
      </c>
      <c r="O145" s="6" t="n">
        <v>295.4</v>
      </c>
      <c r="P145" s="6" t="n">
        <v>4135.6</v>
      </c>
      <c r="Q145" s="5" t="n"/>
      <c r="R145" s="6" t="n"/>
      <c r="S145" s="6">
        <f>IF(AND(Q145&lt;&gt;"",R145&lt;&gt;""),Q145*R145,"")</f>
        <v/>
      </c>
      <c r="T145" s="6">
        <f>IF(S145="",P145,S145)</f>
        <v/>
      </c>
      <c r="U145" s="7" t="n">
        <v>0</v>
      </c>
      <c r="V145" s="6">
        <f>$T145*U145</f>
        <v/>
      </c>
      <c r="W145" s="7" t="n">
        <v>0.75</v>
      </c>
      <c r="X145" s="6">
        <f>$T145*W145</f>
        <v/>
      </c>
      <c r="Y145" s="7" t="n">
        <v>0</v>
      </c>
      <c r="Z145" s="6">
        <f>$T145*Y145</f>
        <v/>
      </c>
      <c r="AA145" s="7" t="n">
        <v>0</v>
      </c>
      <c r="AB145" s="6">
        <f>$T145*AA145</f>
        <v/>
      </c>
      <c r="AC145" s="7" t="n">
        <v>0</v>
      </c>
      <c r="AD145" s="6">
        <f>$T145*AC145</f>
        <v/>
      </c>
      <c r="AE145" s="7" t="n">
        <v>0</v>
      </c>
      <c r="AF145" s="6">
        <f>$T145*AE145</f>
        <v/>
      </c>
      <c r="AG145" s="7" t="n">
        <v>0</v>
      </c>
      <c r="AH145" s="6">
        <f>$T145*AG145</f>
        <v/>
      </c>
      <c r="AI145" s="7">
        <f>U145+W145+Y145+AA145+AC145+AE145+AG145</f>
        <v/>
      </c>
      <c r="AJ145" s="6">
        <f>V145+X145+Z145+AB145+AD145+AF145+AH145</f>
        <v/>
      </c>
    </row>
    <row r="146" ht="60" customHeight="1" s="35">
      <c r="A146" s="3" t="inlineStr">
        <is>
          <t>LOM241.OC.EEA.A02.C3325.SB003.0000</t>
        </is>
      </c>
      <c r="B146" s="4" t="inlineStr">
        <is>
          <t>2/3</t>
        </is>
      </c>
      <c r="C146" s="3" t="inlineStr">
        <is>
          <t>EDILE</t>
        </is>
      </c>
      <c r="D146" s="4" t="inlineStr">
        <is>
          <t>SPECIALE</t>
        </is>
      </c>
      <c r="E146" s="4" t="inlineStr">
        <is>
          <t>EDILI SPECIALI</t>
        </is>
      </c>
      <c r="F146" s="3" t="inlineStr">
        <is>
          <t>1_2025.11.20_CME REV07.PDF</t>
        </is>
      </c>
      <c r="G146" s="4" t="inlineStr">
        <is>
          <t>153</t>
        </is>
      </c>
      <c r="H146" s="3" t="inlineStr">
        <is>
          <t>30 - STRUTTURALE</t>
        </is>
      </c>
      <c r="I146" s="3" t="inlineStr">
        <is>
          <t>NUOVI LABORATORI</t>
        </is>
      </c>
      <c r="J146" s="3" t="inlineStr">
        <is>
          <t>OPERE IN C.A.</t>
        </is>
      </c>
      <c r="K146" s="3" t="inlineStr">
        <is>
          <t xml:space="preserve">OPERA: FALSO TELAIO DI LEGA FERROSA ACCIAIO ZINCATO; IMPIEGO: SERRAMENTI IN GENERE. </t>
        </is>
      </c>
      <c r="L146" s="3" t="inlineStr">
        <is>
          <t>OPERA: FALSO TELAIO DI LEGA FERROSA ACCIAIO ZINCATO; IMPIEGO: SERRAMENTI IN GENERE. 
LAVORO: POSA. INCLUSO: ASSISTENZA MURARIA. 
COMPONENTI: 
OP1 OPERA: FALSO TELAIO DI LEGA FERROSA ACCIAIO ZINCATO; IMPIEGO: SERRAMENTI IN GENERE. 
RM2 FALSO TELAIO DI LEGA FERROSA ACCIAIO ZINCATO; IMPIEGO: SERRAMENTI GENERICI. INCLUSO: ZANCHE 
PO2 PRODOTTO SEMILAVORATO: MALTA, BASTARDA IN CEMENTO GENERICO. 
LAVORO: FORMAZIONE, CON MEZZO MECCANICO. 
SPECIFICHE TECNICHE: CONFEZIONATA IN BETONIERA; DOSAGGIO PER M³: CEMENTO [KG] = 100 | CALCE EMINENTEMENTE IDRAULICA [KG] = 350. 
LV1 LAVORO: POSA. INCLUSO: ASSISTENZA MURARIA.</t>
        </is>
      </c>
      <c r="M146" s="4" t="inlineStr">
        <is>
          <t>M</t>
        </is>
      </c>
      <c r="N146" s="5" t="n">
        <v>41.6</v>
      </c>
      <c r="O146" s="6" t="n">
        <v>17.63</v>
      </c>
      <c r="P146" s="6" t="n">
        <v>733.41</v>
      </c>
      <c r="Q146" s="5" t="n"/>
      <c r="R146" s="6" t="n"/>
      <c r="S146" s="6">
        <f>IF(AND(Q146&lt;&gt;"",R146&lt;&gt;""),Q146*R146,"")</f>
        <v/>
      </c>
      <c r="T146" s="6">
        <f>IF(S146="",P146,S146)</f>
        <v/>
      </c>
      <c r="U146" s="7" t="n">
        <v>0</v>
      </c>
      <c r="V146" s="6">
        <f>$T146*U146</f>
        <v/>
      </c>
      <c r="W146" s="7" t="n">
        <v>0.75</v>
      </c>
      <c r="X146" s="6">
        <f>$T146*W146</f>
        <v/>
      </c>
      <c r="Y146" s="7" t="n">
        <v>0</v>
      </c>
      <c r="Z146" s="6">
        <f>$T146*Y146</f>
        <v/>
      </c>
      <c r="AA146" s="7" t="n">
        <v>0</v>
      </c>
      <c r="AB146" s="6">
        <f>$T146*AA146</f>
        <v/>
      </c>
      <c r="AC146" s="7" t="n">
        <v>0</v>
      </c>
      <c r="AD146" s="6">
        <f>$T146*AC146</f>
        <v/>
      </c>
      <c r="AE146" s="7" t="n">
        <v>0</v>
      </c>
      <c r="AF146" s="6">
        <f>$T146*AE146</f>
        <v/>
      </c>
      <c r="AG146" s="7" t="n">
        <v>0</v>
      </c>
      <c r="AH146" s="6">
        <f>$T146*AG146</f>
        <v/>
      </c>
      <c r="AI146" s="7">
        <f>U146+W146+Y146+AA146+AC146+AE146+AG146</f>
        <v/>
      </c>
      <c r="AJ146" s="6">
        <f>V146+X146+Z146+AB146+AD146+AF146+AH146</f>
        <v/>
      </c>
    </row>
    <row r="147" ht="60" customHeight="1" s="35">
      <c r="A147" s="3" t="inlineStr">
        <is>
          <t>LOM241.OC.EEA.A02.C3335.T0006.0255</t>
        </is>
      </c>
      <c r="B147" s="4" t="inlineStr">
        <is>
          <t>2/2</t>
        </is>
      </c>
      <c r="C147" s="3" t="inlineStr">
        <is>
          <t>EDILE</t>
        </is>
      </c>
      <c r="D147" s="4" t="inlineStr">
        <is>
          <t>SPECIALE</t>
        </is>
      </c>
      <c r="E147" s="4" t="inlineStr">
        <is>
          <t>EDILI SPECIALI</t>
        </is>
      </c>
      <c r="F147" s="3" t="inlineStr">
        <is>
          <t>1_2025.11.20_CME REV07.PDF</t>
        </is>
      </c>
      <c r="G147" s="4" t="inlineStr">
        <is>
          <t>156</t>
        </is>
      </c>
      <c r="H147" s="3" t="inlineStr">
        <is>
          <t>30 - STRUTTURALE</t>
        </is>
      </c>
      <c r="I147" s="3" t="inlineStr">
        <is>
          <t>NUOVI LABORATORI</t>
        </is>
      </c>
      <c r="J147" s="3" t="inlineStr">
        <is>
          <t>OPERE IN C.A.</t>
        </is>
      </c>
      <c r="K147" s="3" t="inlineStr">
        <is>
          <t xml:space="preserve">OPERA: VETRATURA, CRISTALLI STRATIFICATI DI VETRO CRISTALLO; FUNZIONE: SICUREZZA. </t>
        </is>
      </c>
      <c r="L147" s="3" t="inlineStr">
        <is>
          <t>OPERA: VETRATURA, CRISTALLI STRATIFICATI DI VETRO CRISTALLO; FUNZIONE: SICUREZZA. 
LAVORO: POSA. 
COMPONENTI: 
OP1 OPERA: VETRATURA, CRISTALLI STRATIFICATI DI VETRO CRISTALLO; FUNZIONE: SICUREZZA. 
RM2 VETRATURA FLOAT STRATIFICATO DI VETRO CRISTALLO; FUNZIONE: SICUREZZA; SPESSORE [MM] = 44,1. INCLUSO: STRATO DI PVB 0,38 
RM2 SIGILLANTE DI RESINA SINTETICA SILICONICA; FUNZIONE: SIGILLATURA; FORNITURA: CARTUCCE 
SPECIFICHE TECNICHE: CARTUCCE DA 310 ML 
LV1 LAVORO: POSA.</t>
        </is>
      </c>
      <c r="M147" s="4" t="inlineStr">
        <is>
          <t>M²</t>
        </is>
      </c>
      <c r="N147" s="5" t="n">
        <v>31.54</v>
      </c>
      <c r="O147" s="6" t="n">
        <v>0</v>
      </c>
      <c r="P147" s="6" t="n">
        <v>0</v>
      </c>
      <c r="Q147" s="5" t="n"/>
      <c r="R147" s="6" t="n"/>
      <c r="S147" s="6">
        <f>IF(AND(Q147&lt;&gt;"",R147&lt;&gt;""),Q147*R147,"")</f>
        <v/>
      </c>
      <c r="T147" s="6">
        <f>IF(S147="",P147,S147)</f>
        <v/>
      </c>
      <c r="U147" s="7" t="n">
        <v>0</v>
      </c>
      <c r="V147" s="6">
        <f>$T147*U147</f>
        <v/>
      </c>
      <c r="W147" s="7" t="n">
        <v>0</v>
      </c>
      <c r="X147" s="6">
        <f>$T147*W147</f>
        <v/>
      </c>
      <c r="Y147" s="7" t="n">
        <v>0</v>
      </c>
      <c r="Z147" s="6">
        <f>$T147*Y147</f>
        <v/>
      </c>
      <c r="AA147" s="7" t="n">
        <v>0</v>
      </c>
      <c r="AB147" s="6">
        <f>$T147*AA147</f>
        <v/>
      </c>
      <c r="AC147" s="7" t="n">
        <v>0</v>
      </c>
      <c r="AD147" s="6">
        <f>$T147*AC147</f>
        <v/>
      </c>
      <c r="AE147" s="7" t="n">
        <v>0</v>
      </c>
      <c r="AF147" s="6">
        <f>$T147*AE147</f>
        <v/>
      </c>
      <c r="AG147" s="7" t="n">
        <v>0</v>
      </c>
      <c r="AH147" s="6">
        <f>$T147*AG147</f>
        <v/>
      </c>
      <c r="AI147" s="7">
        <f>U147+W147+Y147+AA147+AC147+AE147+AG147</f>
        <v/>
      </c>
      <c r="AJ147" s="6">
        <f>V147+X147+Z147+AB147+AD147+AF147+AH147</f>
        <v/>
      </c>
    </row>
    <row r="148" ht="60" customHeight="1" s="35">
      <c r="A148" s="3" t="inlineStr">
        <is>
          <t>LOM241.OC.EEA.A02.C3340.D0000.0165</t>
        </is>
      </c>
      <c r="B148" s="4" t="inlineStr">
        <is>
          <t>2/2</t>
        </is>
      </c>
      <c r="C148" s="3" t="inlineStr">
        <is>
          <t>EDILE</t>
        </is>
      </c>
      <c r="D148" s="4" t="inlineStr">
        <is>
          <t>SPECIALE</t>
        </is>
      </c>
      <c r="E148" s="4" t="inlineStr">
        <is>
          <t>EDILI SPECIALI</t>
        </is>
      </c>
      <c r="F148" s="3" t="inlineStr">
        <is>
          <t>1_2025.11.20_CME REV07.PDF</t>
        </is>
      </c>
      <c r="G148" s="4" t="inlineStr">
        <is>
          <t>158</t>
        </is>
      </c>
      <c r="H148" s="3" t="inlineStr">
        <is>
          <t>30 - STRUTTURALE</t>
        </is>
      </c>
      <c r="I148" s="3" t="inlineStr">
        <is>
          <t>NUOVI LABORATORI</t>
        </is>
      </c>
      <c r="J148" s="3" t="inlineStr">
        <is>
          <t>OPERE IN C.A.</t>
        </is>
      </c>
      <c r="K148" s="3" t="inlineStr">
        <is>
          <t xml:space="preserve">OPERA: LUCERNARIO, AUTOPORTANTE DI PLASTICA GENERICO; FINITURA: TRASPARENTE | OPALE; IMPIEGO: STRATO DI COPERTURA; LATO INTERNO X [CM] = 160 | LATO INTERNO Y [CM] = 160 | SPESSORE VETRO [MM] = 7. </t>
        </is>
      </c>
      <c r="L148" s="3" t="inlineStr">
        <is>
          <t>OPERA: LUCERNARIO, AUTOPORTANTE DI PLASTICA GENERICO; FINITURA: TRASPARENTE | OPALE; IMPIEGO: STRATO DI COPERTURA; LATO INTERNO X [CM] = 160 | LATO INTERNO Y [CM] = 160 | SPESSORE VETRO [MM] = 7. 
LAVORO: POSA. ESCLUSO: PREDISPOSIZIONE BASE; ASSISTENZE MURARIE. 
SPECIFICHE TECNICHE: SPESSORE LASTRE [MM] = 4 + 3 CON VETROCAMERA, POSA IN POSTAZIONE NON APRIBILE; FISSAGGIO ALLA BASE IN MURATURA, METALLICA O PREFABBRICATA VTR, CON MORSETTI E GUARNIZIONE DI TENUTA. 
COMPONENTI: 
OP1 OPERA: LUCERNARIO, AUTOPORTANTE DI PLASTICA GENERICO; FINITURA: TRASPARENTE | OPALE; IMPIEGO: STRATO DI COPERTURA; LATO INTERNO X [CM] = 160 | LATO INTERNO Y [CM] = 160 | SPESSORE VETRO [MM] = 7. 
SPECIFICHE TECNICHE: SPESSORE LASTRE [MM] = 4 + 3 CON VETROCAMERA. 
RM2 MONOBLOCCO LUCERNARIO FISSO DI PLASTICA GENERICO; FINITURA: TRASPARENTE | OPALE; GEOMETRIA/FORMA/ASPETTO: CUPOLA QUADRATA | A PARETE DOPPIA; IMPIEGO: COPERTURA; DIMENSIONE (X) [CM] = 160 | DIMENSIONE (Y) [CM] = 160 | SPESSORE [MM] = 4+3. INCLUSO: ACCESSORI DI FISSAGGIO (MORSETTI | GUARNIZIONI) 
SPECIFICHE TECNICHE: MORSETTI E GUARNIZIONI DI TENUTA PER FISSARE L'ELEMENTO SENZA FORARLO 
LV1 LAVORO: POSA. ESCLUSO: PREDISPOSIZIONE BASE; ASSISTENZE MURARIE. 
SPECIFICHE TECNICHE: POSA IN POSTAZIONE NON APRIBILE; FISSAGGIO ALLA BASE IN MURATURA, METALLICA O PREFABBRICATA VTR, CON MORSETTI E GUARNIZIONE DI TENUTA.</t>
        </is>
      </c>
      <c r="M148" s="4" t="inlineStr">
        <is>
          <t>CAD</t>
        </is>
      </c>
      <c r="N148" s="5" t="n">
        <v>1</v>
      </c>
      <c r="O148" s="6" t="n">
        <v>3526.65</v>
      </c>
      <c r="P148" s="6" t="n">
        <v>3526.65</v>
      </c>
      <c r="Q148" s="5" t="n"/>
      <c r="R148" s="6" t="n"/>
      <c r="S148" s="6">
        <f>IF(AND(Q148&lt;&gt;"",R148&lt;&gt;""),Q148*R148,"")</f>
        <v/>
      </c>
      <c r="T148" s="6">
        <f>IF(S148="",P148,S148)</f>
        <v/>
      </c>
      <c r="U148" s="7" t="n">
        <v>0</v>
      </c>
      <c r="V148" s="6">
        <f>$T148*U148</f>
        <v/>
      </c>
      <c r="W148" s="7" t="n">
        <v>0.75</v>
      </c>
      <c r="X148" s="6">
        <f>$T148*W148</f>
        <v/>
      </c>
      <c r="Y148" s="7" t="n">
        <v>0</v>
      </c>
      <c r="Z148" s="6">
        <f>$T148*Y148</f>
        <v/>
      </c>
      <c r="AA148" s="7" t="n">
        <v>0</v>
      </c>
      <c r="AB148" s="6">
        <f>$T148*AA148</f>
        <v/>
      </c>
      <c r="AC148" s="7" t="n">
        <v>0</v>
      </c>
      <c r="AD148" s="6">
        <f>$T148*AC148</f>
        <v/>
      </c>
      <c r="AE148" s="7" t="n">
        <v>0</v>
      </c>
      <c r="AF148" s="6">
        <f>$T148*AE148</f>
        <v/>
      </c>
      <c r="AG148" s="7" t="n">
        <v>0</v>
      </c>
      <c r="AH148" s="6">
        <f>$T148*AG148</f>
        <v/>
      </c>
      <c r="AI148" s="7">
        <f>U148+W148+Y148+AA148+AC148+AE148+AG148</f>
        <v/>
      </c>
      <c r="AJ148" s="6">
        <f>V148+X148+Z148+AB148+AD148+AF148+AH148</f>
        <v/>
      </c>
    </row>
    <row r="149" ht="60" customHeight="1" s="35">
      <c r="A149" s="3" t="inlineStr">
        <is>
          <t>LOM241.OC.EEA.A02.C3325.SB003.0000</t>
        </is>
      </c>
      <c r="B149" s="4" t="inlineStr">
        <is>
          <t>3/3</t>
        </is>
      </c>
      <c r="C149" s="3" t="inlineStr">
        <is>
          <t>EDILE</t>
        </is>
      </c>
      <c r="D149" s="4" t="inlineStr">
        <is>
          <t>SPECIALE</t>
        </is>
      </c>
      <c r="E149" s="4" t="inlineStr">
        <is>
          <t>EDILI SPECIALI</t>
        </is>
      </c>
      <c r="F149" s="3" t="inlineStr">
        <is>
          <t>1_2025.11.20_CME REV07.PDF</t>
        </is>
      </c>
      <c r="G149" s="4" t="inlineStr">
        <is>
          <t>159</t>
        </is>
      </c>
      <c r="H149" s="3" t="inlineStr">
        <is>
          <t>30 - STRUTTURALE</t>
        </is>
      </c>
      <c r="I149" s="3" t="inlineStr">
        <is>
          <t>NUOVI LABORATORI</t>
        </is>
      </c>
      <c r="J149" s="3" t="inlineStr">
        <is>
          <t>OPERE IN C.A.</t>
        </is>
      </c>
      <c r="K149" s="3" t="inlineStr">
        <is>
          <t xml:space="preserve">OPERA: FALSO TELAIO DI LEGA FERROSA ACCIAIO ZINCATO; IMPIEGO: SERRAMENTI IN GENERE. </t>
        </is>
      </c>
      <c r="L149" s="3" t="inlineStr">
        <is>
          <t>OPERA: FALSO TELAIO DI LEGA FERROSA ACCIAIO ZINCATO; IMPIEGO: SERRAMENTI IN GENERE. 
LAVORO: POSA. INCLUSO: ASSISTENZA MURARIA. 
COMPONENTI: 
OP1 OPERA: FALSO TELAIO DI LEGA FERROSA ACCIAIO ZINCATO; IMPIEGO: SERRAMENTI IN GENERE. 
RM2 FALSO TELAIO DI LEGA FERROSA ACCIAIO ZINCATO; IMPIEGO: SERRAMENTI GENERICI. INCLUSO: ZANCHE 
PO2 PRODOTTO SEMILAVORATO: MALTA, BASTARDA IN CEMENTO GENERICO. 
LAVORO: FORMAZIONE, CON MEZZO MECCANICO. 
SPECIFICHE TECNICHE: CONFEZIONATA IN BETONIERA; DOSAGGIO PER M³: CEMENTO [KG] = 100 | CALCE EMINENTEMENTE IDRAULICA [KG] = 350. 
LV1 LAVORO: POSA. INCLUSO: ASSISTENZA MURARIA.</t>
        </is>
      </c>
      <c r="M149" s="4" t="inlineStr">
        <is>
          <t>M</t>
        </is>
      </c>
      <c r="N149" s="5" t="n">
        <v>7.6</v>
      </c>
      <c r="O149" s="6" t="n">
        <v>17.63</v>
      </c>
      <c r="P149" s="6" t="n">
        <v>133.99</v>
      </c>
      <c r="Q149" s="5" t="n"/>
      <c r="R149" s="6" t="n"/>
      <c r="S149" s="6">
        <f>IF(AND(Q149&lt;&gt;"",R149&lt;&gt;""),Q149*R149,"")</f>
        <v/>
      </c>
      <c r="T149" s="6">
        <f>IF(S149="",P149,S149)</f>
        <v/>
      </c>
      <c r="U149" s="7" t="n">
        <v>0</v>
      </c>
      <c r="V149" s="6">
        <f>$T149*U149</f>
        <v/>
      </c>
      <c r="W149" s="7" t="n">
        <v>0</v>
      </c>
      <c r="X149" s="6">
        <f>$T149*W149</f>
        <v/>
      </c>
      <c r="Y149" s="7" t="n">
        <v>0</v>
      </c>
      <c r="Z149" s="6">
        <f>$T149*Y149</f>
        <v/>
      </c>
      <c r="AA149" s="7" t="n">
        <v>0</v>
      </c>
      <c r="AB149" s="6">
        <f>$T149*AA149</f>
        <v/>
      </c>
      <c r="AC149" s="7" t="n">
        <v>0</v>
      </c>
      <c r="AD149" s="6">
        <f>$T149*AC149</f>
        <v/>
      </c>
      <c r="AE149" s="7" t="n">
        <v>0</v>
      </c>
      <c r="AF149" s="6">
        <f>$T149*AE149</f>
        <v/>
      </c>
      <c r="AG149" s="7" t="n">
        <v>0</v>
      </c>
      <c r="AH149" s="6">
        <f>$T149*AG149</f>
        <v/>
      </c>
      <c r="AI149" s="7">
        <f>U149+W149+Y149+AA149+AC149+AE149+AG149</f>
        <v/>
      </c>
      <c r="AJ149" s="6">
        <f>V149+X149+Z149+AB149+AD149+AF149+AH149</f>
        <v/>
      </c>
    </row>
    <row r="150" ht="60" customHeight="1" s="35">
      <c r="A150" s="3" t="inlineStr">
        <is>
          <t>LOM241.OC.EEA.A16.C0900.ZB005.0005</t>
        </is>
      </c>
      <c r="B150" s="4" t="inlineStr">
        <is>
          <t>2/2</t>
        </is>
      </c>
      <c r="C150" s="3" t="inlineStr">
        <is>
          <t>EDILE</t>
        </is>
      </c>
      <c r="D150" s="4" t="inlineStr">
        <is>
          <t>SPECIALE</t>
        </is>
      </c>
      <c r="E150" s="4" t="inlineStr">
        <is>
          <t>EDILI SPECIALI</t>
        </is>
      </c>
      <c r="F150" s="3" t="inlineStr">
        <is>
          <t>1_2025.11.20_CME REV07.PDF</t>
        </is>
      </c>
      <c r="G150" s="4" t="inlineStr">
        <is>
          <t>120</t>
        </is>
      </c>
      <c r="H150" s="3" t="inlineStr">
        <is>
          <t>60 - FINITURE</t>
        </is>
      </c>
      <c r="I150" s="3" t="inlineStr">
        <is>
          <t>NUOVI LABORATORI</t>
        </is>
      </c>
      <c r="J150" s="3" t="inlineStr">
        <is>
          <t>OPERE EDILI</t>
        </is>
      </c>
      <c r="K150" s="3" t="inlineStr">
        <is>
          <t xml:space="preserve">OPERA: STRATO DI INTONACATURA, CIVILE DI MATERIA MIX CALCE-CEMENTO; IMPIEGO: SUPERFICI VERTICALI | SUPERFICI ESTERNE. </t>
        </is>
      </c>
      <c r="L150" s="3" t="inlineStr">
        <is>
          <t>OPERA: STRATO DI INTONACATURA, CIVILE DI MATERIA MIX CALCE-CEMENTO; IMPIEGO: SUPERFICI VERTICALI | SUPERFICI ESTERNE. 
LAVORO: STESURA. INCLUSO: RINZAFFO, ARRICCIATURA . ESCLUSO: PONTEGGI ESTERNI. 
SPECIFICHE TECNICHE: RINZAFFO RUSTICO IN MALTA BASTARDA O A BASE DI LEGANTI AEREI O IDRAULICI, ARRICCIATURA IN STABILITURA DI CALCE IDRATA O DI CEMENTO; SU SUPERFICIE INTERNE VERTICALI. 
COMPONENTI: 
OP1 OPERA: STRATO DI INTONACATURA, CIVILE DI MATERIA MIX CALCE-CEMENTO; IMPIEGO: SUPERFICI VERTICALI | SUPERFICI ESTERNE. 
RM2 IMPASTO PRECONFEZIONATO DI CALCE GRASSELLO; IMPIEGO: CONGLOMERATO CEMENTIZIO; FORNITURA: SACCHI; DENSITÀ [KG/M³] = 1350 
SPECIFICHE TECNICHE: IMPASTO DI CALCESTRUZZO A PRESTAZIONE CONFEZIONATO IN IMPIANTO DI BETONAGGIO 
PO2 PRODOTTO SEMILAVORATO: MALTA, BASTARDA IN CEMENTO GENERICO. 
LAVORO: FORMAZIONE, CON MEZZO MECCANICO. 
SPECIFICHE TECNICHE: CONFEZIONATA IN BETONIERA; DOSAGGIO PER M³: CEMENTO [KG] = 100 | CALCE EMINENTEMENTE IDRAULICA [KG] = 350. 
LV1 LAVORO: STESURA. INCLUSO: RINZAFFO, ARRICCIATURA . ESCLUSO: PONTEGGI ESTERNI. 
SPECIFICHE TECNICHE: RINZAFFO RUSTICO IN MALTA BASTARDA O A BASE DI LEGANTI AEREI O IDRAULICI, ARRICCIATURA IN STABILITURA DI CALCE IDRATA O DI CEMENTO; SU SUPERFICIE INTERNE VERTICALI.</t>
        </is>
      </c>
      <c r="M150" s="4" t="inlineStr">
        <is>
          <t>M²</t>
        </is>
      </c>
      <c r="N150" s="5" t="n">
        <v>28.54</v>
      </c>
      <c r="O150" s="6" t="n">
        <v>16.46</v>
      </c>
      <c r="P150" s="6" t="n">
        <v>469.77</v>
      </c>
      <c r="Q150" s="5" t="n"/>
      <c r="R150" s="6" t="n"/>
      <c r="S150" s="6">
        <f>IF(AND(Q150&lt;&gt;"",R150&lt;&gt;""),Q150*R150,"")</f>
        <v/>
      </c>
      <c r="T150" s="6">
        <f>IF(S150="",P150,S150)</f>
        <v/>
      </c>
      <c r="U150" s="7" t="n">
        <v>0</v>
      </c>
      <c r="V150" s="6">
        <f>$T150*U150</f>
        <v/>
      </c>
      <c r="W150" s="7" t="n">
        <v>0</v>
      </c>
      <c r="X150" s="6">
        <f>$T150*W150</f>
        <v/>
      </c>
      <c r="Y150" s="7" t="n">
        <v>0</v>
      </c>
      <c r="Z150" s="6">
        <f>$T150*Y150</f>
        <v/>
      </c>
      <c r="AA150" s="7" t="n">
        <v>0</v>
      </c>
      <c r="AB150" s="6">
        <f>$T150*AA150</f>
        <v/>
      </c>
      <c r="AC150" s="7" t="n">
        <v>0</v>
      </c>
      <c r="AD150" s="6">
        <f>$T150*AC150</f>
        <v/>
      </c>
      <c r="AE150" s="7" t="n">
        <v>0</v>
      </c>
      <c r="AF150" s="6">
        <f>$T150*AE150</f>
        <v/>
      </c>
      <c r="AG150" s="7" t="n">
        <v>0</v>
      </c>
      <c r="AH150" s="6">
        <f>$T150*AG150</f>
        <v/>
      </c>
      <c r="AI150" s="7">
        <f>U150+W150+Y150+AA150+AC150+AE150+AG150</f>
        <v/>
      </c>
      <c r="AJ150" s="6">
        <f>V150+X150+Z150+AB150+AD150+AF150+AH150</f>
        <v/>
      </c>
    </row>
    <row r="151" ht="60" customHeight="1" s="35">
      <c r="A151" s="3" t="inlineStr">
        <is>
          <t>PA.ARC.01</t>
        </is>
      </c>
      <c r="B151" s="4" t="inlineStr">
        <is>
          <t>4/4</t>
        </is>
      </c>
      <c r="C151" s="3" t="inlineStr">
        <is>
          <t>EDILE</t>
        </is>
      </c>
      <c r="D151" s="4" t="inlineStr">
        <is>
          <t>SPECIALE</t>
        </is>
      </c>
      <c r="E151" s="4" t="inlineStr">
        <is>
          <t>EDILI SPECIALI</t>
        </is>
      </c>
      <c r="F151" s="3" t="inlineStr">
        <is>
          <t>1_2025.11.20_CME REV07.PDF</t>
        </is>
      </c>
      <c r="G151" s="4" t="inlineStr">
        <is>
          <t>121</t>
        </is>
      </c>
      <c r="H151" s="3" t="inlineStr">
        <is>
          <t>60 - FINITURE</t>
        </is>
      </c>
      <c r="I151" s="3" t="inlineStr">
        <is>
          <t>NUOVI LABORATORI</t>
        </is>
      </c>
      <c r="J151" s="3" t="inlineStr">
        <is>
          <t>OPERE EDILI</t>
        </is>
      </c>
      <c r="K151" s="3" t="inlineStr">
        <is>
          <t>STRUTTURA METALLICA PER PARETI DIVISORIE INTERNE E TAMPONATURE ESTERNE. STRUTTURA METALLICA PER PARETI DIVISORIE, CONTROPARETI E TAMPONATURE A SECCO, FORNITA E POSTA IN OPERA, DI SPESSORE VARIABILE DI</t>
        </is>
      </c>
      <c r="L151" s="3" t="inlineStr">
        <is>
          <t>STRUTTURA METALLICA PER PARETI DIVISORIE INTERNE E TAMPONATURE ESTERNE. STRUTTURA METALLICA PER PARETI DIVISORIE, CONTROPARETI E TAMPONATURE A SECCO, FORNITA E POSTA IN OPERA, DI SPESSORE VARIABILE DI CM. 5/7,5/10/15 (OLTRE LO SPESSORE DELLE LASTRE) COSTITUITA DA PROFILATI METALLICI A C ZINCATI DELLO SPESSORE DI 0,6 O 0,8 MM. POSTI IN VERTICALE CON UN INTERASSE VARIABILE DI CM. 30/40/60 IN FUNZIONE DELL'ALTEZZA DELLA PARETE E DELLE CARATTERISTICHE DI RESISTENZA RICHIESTE E POSTI IN ORIZZONTALE A PAVIMENTO E SOFFITTO ANCORATI CON FISSAGGI MECCANICI, COMPLETI DELL' APPLICAZIONE SU TUTTO IL PERIMETRO DI NASTRI ADESIVI DI IDONEO MATERIALE ATTO AD ELIMINARE EVENTUALI PONTI ACUSTICI. E' COMPRESO IL TAGLIO E LO SFRIDO, IL MATERIALE DI FISSAGGIO, IL TRASPORTO IN CANTIERE, LO SMISTAMENTO AL PIANO, L'ONERE PER LA SAGOMATURA DELLE APERTURE, LA FORNITURA E POSA IN OPERA DI MORALETTI IN LEGNO POSTI SUI LATI DELL'APERTURA PER GARANTIRE IL FISSAGGIO DEI SERRAMENTI. E' INOLTRE COMPRESO QUANTO ALTRO OCCORRE PER DARE L'OPERA FINITA.  STRUTTURA METALLICA DELLO SPESSORE DI CM. 7,5 COSTITUITA DA PROFILATI A C DELLE DIMENSIONI ASSIMILABILI A MM 50X75X50 SPESSORE 0,6 MM. INTERASSE 60 CM. RIFERIMENTO PREZZARIO UMBRIA 2024. TARIFFA: 07.04.0010.004</t>
        </is>
      </c>
      <c r="M151" s="4" t="inlineStr">
        <is>
          <t>MQ</t>
        </is>
      </c>
      <c r="N151" s="5" t="n">
        <v>54.67</v>
      </c>
      <c r="O151" s="6" t="n">
        <v>11.54</v>
      </c>
      <c r="P151" s="6" t="n">
        <v>630.89</v>
      </c>
      <c r="Q151" s="5" t="n"/>
      <c r="R151" s="6" t="n"/>
      <c r="S151" s="6">
        <f>IF(AND(Q151&lt;&gt;"",R151&lt;&gt;""),Q151*R151,"")</f>
        <v/>
      </c>
      <c r="T151" s="6">
        <f>IF(S151="",P151,S151)</f>
        <v/>
      </c>
      <c r="U151" s="7" t="n">
        <v>0</v>
      </c>
      <c r="V151" s="6">
        <f>$T151*U151</f>
        <v/>
      </c>
      <c r="W151" s="7" t="n">
        <v>0</v>
      </c>
      <c r="X151" s="6">
        <f>$T151*W151</f>
        <v/>
      </c>
      <c r="Y151" s="7" t="n">
        <v>0</v>
      </c>
      <c r="Z151" s="6">
        <f>$T151*Y151</f>
        <v/>
      </c>
      <c r="AA151" s="7" t="n">
        <v>0</v>
      </c>
      <c r="AB151" s="6">
        <f>$T151*AA151</f>
        <v/>
      </c>
      <c r="AC151" s="7" t="n">
        <v>0</v>
      </c>
      <c r="AD151" s="6">
        <f>$T151*AC151</f>
        <v/>
      </c>
      <c r="AE151" s="7" t="n">
        <v>0</v>
      </c>
      <c r="AF151" s="6">
        <f>$T151*AE151</f>
        <v/>
      </c>
      <c r="AG151" s="7" t="n">
        <v>0</v>
      </c>
      <c r="AH151" s="6">
        <f>$T151*AG151</f>
        <v/>
      </c>
      <c r="AI151" s="7">
        <f>U151+W151+Y151+AA151+AC151+AE151+AG151</f>
        <v/>
      </c>
      <c r="AJ151" s="6">
        <f>V151+X151+Z151+AB151+AD151+AF151+AH151</f>
        <v/>
      </c>
    </row>
    <row r="152" ht="60" customHeight="1" s="35">
      <c r="A152" s="3" t="inlineStr">
        <is>
          <t>LOM241.PO.EEA.A04.D0001.K0002.0005.B</t>
        </is>
      </c>
      <c r="B152" s="4" t="inlineStr">
        <is>
          <t>3/4</t>
        </is>
      </c>
      <c r="C152" s="3" t="inlineStr">
        <is>
          <t>EDILE</t>
        </is>
      </c>
      <c r="D152" s="4" t="inlineStr">
        <is>
          <t>SPECIALE</t>
        </is>
      </c>
      <c r="E152" s="4" t="inlineStr">
        <is>
          <t>EDILI SPECIALI</t>
        </is>
      </c>
      <c r="F152" s="3" t="inlineStr">
        <is>
          <t>1_2025.11.20_CME REV07.PDF</t>
        </is>
      </c>
      <c r="G152" s="4" t="inlineStr">
        <is>
          <t>128</t>
        </is>
      </c>
      <c r="H152" s="3" t="inlineStr">
        <is>
          <t>60 - FINITURE</t>
        </is>
      </c>
      <c r="I152" s="3" t="inlineStr">
        <is>
          <t>NUOVI LABORATORI</t>
        </is>
      </c>
      <c r="J152" s="3" t="inlineStr">
        <is>
          <t>OPERE EDILI</t>
        </is>
      </c>
      <c r="K152" s="3" t="inlineStr">
        <is>
          <t xml:space="preserve">PRODOTTO SEMILAVORATO: IMPASTO IN OPERA DI ARGILLA ESPANSA; IMPIEGO: MASSETTI DI FINITURA/MONOSTRATO. </t>
        </is>
      </c>
      <c r="L152" s="3" t="inlineStr">
        <is>
          <t>PRODOTTO SEMILAVORATO: IMPASTO IN OPERA DI ARGILLA ESPANSA; IMPIEGO: MASSETTI DI FINITURA/MONOSTRATO. 
LAVORO: FORMAZIONE CON MEZZO MECCANICO. 
SPECIFICHE TECNICHE: DOSAGGIO PER M³ DI IMPASTO: CEMENTO [KG] = 300. 
COMPONENTI: 
PS1 PRODOTTO SEMILAVORATO: IMPASTO IN OPERA DI ARGILLA ESPANSA; IMPIEGO: MASSETTI DI FINITURA/MONOSTRATO. 
SPECIFICHE TECNICHE: DOSAGGIO PER M³ DI IMPASTO: CEMENTO [KG] = 300. 
RM2 LEGANTE IDRAULICO DI CEMENTO GENERICO; GEOMETRIA/FORMA/ASPETTO: SFUSO | TIPO ELEVATA RESISTENZA 32.5R; FORNITURA: SILOS 
RM2 AGGREGATO DI ARGILLA ESPANSA; GEOMETRIA/FORMA/ASPETTO: SCIOLTA | TONDO; FUNZIONE: TERMOISOLANTE | ALLEGGERIMENTO | MISCELE ALLEGGERITE; IMPIEGO: RIEMPIMENTI | ISOLAMENTI TERMICI | CALCESTRUZZI LEGGERI | IMPASTI | SOTTOFONDI; FORNITURA: SFUSO; DIAMETRO (Ø) [MM] = 3 ÷ 8; MASSA VOLUMICA IN MUCCHIO [KG/M³] &lt; 380 | RESISTENZA A SCHIACCIAMENTO [MPA] &gt; 1 | CONDUCIBILITÀ TERMICA [W/MK] &gt; 0,095 | REAZIONE AL FUOCO [EUROCLASSE] = A1 
SPECIFICHE TECNICHE: LEGGERA; GRANULARE; CLINKERIZZATA; INERTE; INCOMBUSTIBILE; RESISTENTE; A BASSO ASSORBIMENTO DI UMIDITÀ 
LV1 LAVORO: FORMAZIONE CON MEZZO MECCANICO. 
RP2 BETONIERA A BICCHIERE; CAPACITÀ [M³] ≤ 0,35 
SPECIFICHE TECNICHE: AD AZIONAMENTO ELETTRICO; CRITERIO DI MISURAZIONE: ORE DI PRESENZA IN CANTIERE</t>
        </is>
      </c>
      <c r="M152" s="4" t="inlineStr">
        <is>
          <t>M³</t>
        </is>
      </c>
      <c r="N152" s="5" t="n">
        <v>44.3</v>
      </c>
      <c r="O152" s="6" t="n">
        <v>434.95</v>
      </c>
      <c r="P152" s="6" t="n">
        <v>19268.29</v>
      </c>
      <c r="Q152" s="5" t="n"/>
      <c r="R152" s="6" t="n"/>
      <c r="S152" s="6">
        <f>IF(AND(Q152&lt;&gt;"",R152&lt;&gt;""),Q152*R152,"")</f>
        <v/>
      </c>
      <c r="T152" s="6">
        <f>IF(S152="",P152,S152)</f>
        <v/>
      </c>
      <c r="U152" s="7" t="n">
        <v>0</v>
      </c>
      <c r="V152" s="6">
        <f>$T152*U152</f>
        <v/>
      </c>
      <c r="W152" s="7" t="n">
        <v>0.4</v>
      </c>
      <c r="X152" s="6">
        <f>$T152*W152</f>
        <v/>
      </c>
      <c r="Y152" s="7" t="n">
        <v>0</v>
      </c>
      <c r="Z152" s="6">
        <f>$T152*Y152</f>
        <v/>
      </c>
      <c r="AA152" s="7" t="n">
        <v>0</v>
      </c>
      <c r="AB152" s="6">
        <f>$T152*AA152</f>
        <v/>
      </c>
      <c r="AC152" s="7" t="n">
        <v>0</v>
      </c>
      <c r="AD152" s="6">
        <f>$T152*AC152</f>
        <v/>
      </c>
      <c r="AE152" s="7" t="n">
        <v>0</v>
      </c>
      <c r="AF152" s="6">
        <f>$T152*AE152</f>
        <v/>
      </c>
      <c r="AG152" s="7" t="n">
        <v>0</v>
      </c>
      <c r="AH152" s="6">
        <f>$T152*AG152</f>
        <v/>
      </c>
      <c r="AI152" s="7">
        <f>U152+W152+Y152+AA152+AC152+AE152+AG152</f>
        <v/>
      </c>
      <c r="AJ152" s="6">
        <f>V152+X152+Z152+AB152+AD152+AF152+AH152</f>
        <v/>
      </c>
    </row>
    <row r="153" ht="60" customHeight="1" s="35">
      <c r="A153" s="3" t="inlineStr">
        <is>
          <t>LOM241.1C.18.020.0010.A</t>
        </is>
      </c>
      <c r="B153" s="4" t="inlineStr">
        <is>
          <t>2/2</t>
        </is>
      </c>
      <c r="C153" s="3" t="inlineStr">
        <is>
          <t>EDILE</t>
        </is>
      </c>
      <c r="D153" s="4" t="inlineStr">
        <is>
          <t>SPECIALE</t>
        </is>
      </c>
      <c r="E153" s="4" t="inlineStr">
        <is>
          <t>EDILI SPECIALI</t>
        </is>
      </c>
      <c r="F153" s="3" t="inlineStr">
        <is>
          <t>1_2025.11.20_CME REV07.PDF</t>
        </is>
      </c>
      <c r="G153" s="4" t="inlineStr">
        <is>
          <t>129</t>
        </is>
      </c>
      <c r="H153" s="3" t="inlineStr">
        <is>
          <t>60 - FINITURE</t>
        </is>
      </c>
      <c r="I153" s="3" t="inlineStr">
        <is>
          <t>NUOVI LABORATORI</t>
        </is>
      </c>
      <c r="J153" s="3" t="inlineStr">
        <is>
          <t>PAVIMENTI E RIVESTIMENTI</t>
        </is>
      </c>
      <c r="K153" s="3" t="inlineStr">
        <is>
          <t>PAVIMENTO IN GRANULATO SFEROIDALE DI QUARZO A RIPORTO COSTITUITO DA STRATO DI USURA DI 1 CM CIRCA CON PASTINA A 12 KG/M² DI GRANULATO DI QUARZO E 6 KG/M² DI CEMENTO; COMPRESA LA FORNITURA DEL CALCESTR</t>
        </is>
      </c>
      <c r="L153" s="3" t="inlineStr">
        <is>
          <t>PAVIMENTO IN GRANULATO SFEROIDALE DI QUARZO A RIPORTO COSTITUITO DA STRATO DI USURA DI 1 CM CIRCA CON PASTINA A 12 KG/M² DI GRANULATO DI QUARZO E 6 KG/M² DI CEMENTO; COMPRESA LA FORNITURA DEL CALCESTRUZZO DEL MASSETTO, LA LISCIATURA, LA FORMAZIONE DEI GIUNTI E L'ASSISTENZA MURARIA. - MASSETTO SPESSORE 15 CM DI CALCESTRUZZO C20/25, CON SUPERFICIE COMPATTA E LISCIATA</t>
        </is>
      </c>
      <c r="M153" s="4" t="inlineStr">
        <is>
          <t>M²</t>
        </is>
      </c>
      <c r="N153" s="5" t="n">
        <v>62.4</v>
      </c>
      <c r="O153" s="6" t="n">
        <v>23.51</v>
      </c>
      <c r="P153" s="6" t="n">
        <v>1467.02</v>
      </c>
      <c r="Q153" s="5" t="n"/>
      <c r="R153" s="6" t="n"/>
      <c r="S153" s="6">
        <f>IF(AND(Q153&lt;&gt;"",R153&lt;&gt;""),Q153*R153,"")</f>
        <v/>
      </c>
      <c r="T153" s="6">
        <f>IF(S153="",P153,S153)</f>
        <v/>
      </c>
      <c r="U153" s="7" t="n">
        <v>0</v>
      </c>
      <c r="V153" s="6">
        <f>$T153*U153</f>
        <v/>
      </c>
      <c r="W153" s="7" t="n">
        <v>0</v>
      </c>
      <c r="X153" s="6">
        <f>$T153*W153</f>
        <v/>
      </c>
      <c r="Y153" s="7" t="n">
        <v>0</v>
      </c>
      <c r="Z153" s="6">
        <f>$T153*Y153</f>
        <v/>
      </c>
      <c r="AA153" s="7" t="n">
        <v>0</v>
      </c>
      <c r="AB153" s="6">
        <f>$T153*AA153</f>
        <v/>
      </c>
      <c r="AC153" s="7" t="n">
        <v>0</v>
      </c>
      <c r="AD153" s="6">
        <f>$T153*AC153</f>
        <v/>
      </c>
      <c r="AE153" s="7" t="n">
        <v>0</v>
      </c>
      <c r="AF153" s="6">
        <f>$T153*AE153</f>
        <v/>
      </c>
      <c r="AG153" s="7" t="n">
        <v>0</v>
      </c>
      <c r="AH153" s="6">
        <f>$T153*AG153</f>
        <v/>
      </c>
      <c r="AI153" s="7">
        <f>U153+W153+Y153+AA153+AC153+AE153+AG153</f>
        <v/>
      </c>
      <c r="AJ153" s="6">
        <f>V153+X153+Z153+AB153+AD153+AF153+AH153</f>
        <v/>
      </c>
    </row>
    <row r="154" ht="60" customHeight="1" s="35">
      <c r="A154" s="3" t="inlineStr">
        <is>
          <t>LOM241.RM.02.10.00.F0004.0010</t>
        </is>
      </c>
      <c r="B154" s="4" t="inlineStr">
        <is>
          <t>2/2</t>
        </is>
      </c>
      <c r="C154" s="3" t="inlineStr">
        <is>
          <t>EDILE</t>
        </is>
      </c>
      <c r="D154" s="4" t="inlineStr">
        <is>
          <t>SPECIALE</t>
        </is>
      </c>
      <c r="E154" s="4" t="inlineStr">
        <is>
          <t>EDILI SPECIALI</t>
        </is>
      </c>
      <c r="F154" s="3" t="inlineStr">
        <is>
          <t>1_2025.11.20_CME REV07.PDF</t>
        </is>
      </c>
      <c r="G154" s="4" t="inlineStr">
        <is>
          <t>130</t>
        </is>
      </c>
      <c r="H154" s="3" t="inlineStr">
        <is>
          <t>60 - FINITURE</t>
        </is>
      </c>
      <c r="I154" s="3" t="inlineStr">
        <is>
          <t>NUOVI LABORATORI</t>
        </is>
      </c>
      <c r="J154" s="3" t="inlineStr">
        <is>
          <t>OPERE EDILI</t>
        </is>
      </c>
      <c r="K154" s="3" t="inlineStr">
        <is>
          <t xml:space="preserve">MEMBRANA ARMATA DI BITUME ELASTOMERICO (BPE); FINITURA: LISCIA; FUNZIONE: IMPERMEABILIZZANTE; IMPIEGO: COPERTURA; SPESSORE [MM] = 4; FLESSIBILITÀ A FREDDO [°C] ≤ -20 | STABILITÀ DI FORMA A CALDO [°C] </t>
        </is>
      </c>
      <c r="L154" s="3" t="inlineStr">
        <is>
          <t>MEMBRANA ARMATA DI BITUME ELASTOMERICO (BPE); FINITURA: LISCIA; FUNZIONE: IMPERMEABILIZZANTE; IMPIEGO: COPERTURA; SPESSORE [MM] = 4; FLESSIBILITÀ A FREDDO [°C] ≤ -20 | STABILITÀ DI FORMA A CALDO [°C] ≥ 100 | RESISTENZA A TRAZIONE A ROTTURA L/T (-20%) [N/50 MM] = 450/300 
SPECIFICHE TECNICHE: DICHIARAZIONE DI PRESTAZIONE DOP 
COMPONENTI: 
RM1 MEMBRANA DI BITUME ELASTOMERICO (BPE) 
RM1 MEMBRANA DI FIBRA SINTETICA POLIESTERE; FUNZIONE: ARMATURA</t>
        </is>
      </c>
      <c r="M154" s="4" t="inlineStr">
        <is>
          <t>M²</t>
        </is>
      </c>
      <c r="N154" s="5" t="n">
        <v>53</v>
      </c>
      <c r="O154" s="6" t="n">
        <v>27.39</v>
      </c>
      <c r="P154" s="6" t="n">
        <v>1451.67</v>
      </c>
      <c r="Q154" s="5" t="n"/>
      <c r="R154" s="6" t="n"/>
      <c r="S154" s="6">
        <f>IF(AND(Q154&lt;&gt;"",R154&lt;&gt;""),Q154*R154,"")</f>
        <v/>
      </c>
      <c r="T154" s="6">
        <f>IF(S154="",P154,S154)</f>
        <v/>
      </c>
      <c r="U154" s="7" t="n">
        <v>0</v>
      </c>
      <c r="V154" s="6">
        <f>$T154*U154</f>
        <v/>
      </c>
      <c r="W154" s="7" t="n">
        <v>0.75</v>
      </c>
      <c r="X154" s="6">
        <f>$T154*W154</f>
        <v/>
      </c>
      <c r="Y154" s="7" t="n">
        <v>0</v>
      </c>
      <c r="Z154" s="6">
        <f>$T154*Y154</f>
        <v/>
      </c>
      <c r="AA154" s="7" t="n">
        <v>0</v>
      </c>
      <c r="AB154" s="6">
        <f>$T154*AA154</f>
        <v/>
      </c>
      <c r="AC154" s="7" t="n">
        <v>0</v>
      </c>
      <c r="AD154" s="6">
        <f>$T154*AC154</f>
        <v/>
      </c>
      <c r="AE154" s="7" t="n">
        <v>0</v>
      </c>
      <c r="AF154" s="6">
        <f>$T154*AE154</f>
        <v/>
      </c>
      <c r="AG154" s="7" t="n">
        <v>0</v>
      </c>
      <c r="AH154" s="6">
        <f>$T154*AG154</f>
        <v/>
      </c>
      <c r="AI154" s="7">
        <f>U154+W154+Y154+AA154+AC154+AE154+AG154</f>
        <v/>
      </c>
      <c r="AJ154" s="6">
        <f>V154+X154+Z154+AB154+AD154+AF154+AH154</f>
        <v/>
      </c>
    </row>
    <row r="155" ht="60" customHeight="1" s="35">
      <c r="A155" s="3" t="inlineStr">
        <is>
          <t>LOM241.RM.02.10.00.F0004.0000.B</t>
        </is>
      </c>
      <c r="B155" s="4" t="inlineStr">
        <is>
          <t>2/2</t>
        </is>
      </c>
      <c r="C155" s="3" t="inlineStr">
        <is>
          <t>EDILE</t>
        </is>
      </c>
      <c r="D155" s="4" t="inlineStr">
        <is>
          <t>SPECIALE</t>
        </is>
      </c>
      <c r="E155" s="4" t="inlineStr">
        <is>
          <t>EDILI SPECIALI</t>
        </is>
      </c>
      <c r="F155" s="3" t="inlineStr">
        <is>
          <t>1_2025.11.20_CME REV07.PDF</t>
        </is>
      </c>
      <c r="G155" s="4" t="inlineStr">
        <is>
          <t>131</t>
        </is>
      </c>
      <c r="H155" s="3" t="inlineStr">
        <is>
          <t>60 - FINITURE</t>
        </is>
      </c>
      <c r="I155" s="3" t="inlineStr">
        <is>
          <t>NUOVI LABORATORI</t>
        </is>
      </c>
      <c r="J155" s="3" t="inlineStr">
        <is>
          <t>OPERE EDILI</t>
        </is>
      </c>
      <c r="K155" s="3" t="inlineStr">
        <is>
          <t>MEMBRANA ARMATA DI BITUME ELASTOMERICO (BPE); FINITURA: ARDESIATA; FUNZIONE: IMPERMEABILIZZANTE; IMPIEGO: COPERTURA; FLESSIBILITÀ A FREDDO [°C] ≤ -20 | STABILITÀ DI FORMA A CALDO [°C] ≥ 100 | RESISTEN</t>
        </is>
      </c>
      <c r="L155" s="3" t="inlineStr">
        <is>
          <t>MEMBRANA ARMATA DI BITUME ELASTOMERICO (BPE); FINITURA: ARDESIATA; FUNZIONE: IMPERMEABILIZZANTE; IMPIEGO: COPERTURA; FLESSIBILITÀ A FREDDO [°C] ≤ -20 | STABILITÀ DI FORMA A CALDO [°C] ≥ 100 | RESISTENZA A TRAZIONE A ROTTURA L/T (-20%) [N/50 MM] = 550/300; PESO [KG/M²] = 4,5 
SPECIFICHE TECNICHE: DICHIARAZIONE DI PRESTAZIONE DOP 
COMPONENTI: 
RM1 MEMBRANA DI BITUME ELASTOMERICO (BPE); FINITURA: SCAGLIE DI ARDESIA 
RM1 MEMBRANA DI FIBRA SINTETICA POLIESTERE; FUNZIONE: ARMATURA</t>
        </is>
      </c>
      <c r="M155" s="4" t="inlineStr">
        <is>
          <t>M²</t>
        </is>
      </c>
      <c r="N155" s="5" t="n">
        <v>53</v>
      </c>
      <c r="O155" s="6" t="n">
        <v>24.1</v>
      </c>
      <c r="P155" s="6" t="n">
        <v>1277.3</v>
      </c>
      <c r="Q155" s="5" t="n"/>
      <c r="R155" s="6" t="n"/>
      <c r="S155" s="6">
        <f>IF(AND(Q155&lt;&gt;"",R155&lt;&gt;""),Q155*R155,"")</f>
        <v/>
      </c>
      <c r="T155" s="6">
        <f>IF(S155="",P155,S155)</f>
        <v/>
      </c>
      <c r="U155" s="7" t="n">
        <v>0</v>
      </c>
      <c r="V155" s="6">
        <f>$T155*U155</f>
        <v/>
      </c>
      <c r="W155" s="7" t="n">
        <v>0.75</v>
      </c>
      <c r="X155" s="6">
        <f>$T155*W155</f>
        <v/>
      </c>
      <c r="Y155" s="7" t="n">
        <v>0</v>
      </c>
      <c r="Z155" s="6">
        <f>$T155*Y155</f>
        <v/>
      </c>
      <c r="AA155" s="7" t="n">
        <v>0</v>
      </c>
      <c r="AB155" s="6">
        <f>$T155*AA155</f>
        <v/>
      </c>
      <c r="AC155" s="7" t="n">
        <v>0</v>
      </c>
      <c r="AD155" s="6">
        <f>$T155*AC155</f>
        <v/>
      </c>
      <c r="AE155" s="7" t="n">
        <v>0</v>
      </c>
      <c r="AF155" s="6">
        <f>$T155*AE155</f>
        <v/>
      </c>
      <c r="AG155" s="7" t="n">
        <v>0</v>
      </c>
      <c r="AH155" s="6">
        <f>$T155*AG155</f>
        <v/>
      </c>
      <c r="AI155" s="7">
        <f>U155+W155+Y155+AA155+AC155+AE155+AG155</f>
        <v/>
      </c>
      <c r="AJ155" s="6">
        <f>V155+X155+Z155+AB155+AD155+AF155+AH155</f>
        <v/>
      </c>
    </row>
    <row r="156" ht="60" customHeight="1" s="35">
      <c r="A156" s="3" t="inlineStr">
        <is>
          <t>LOM241.PO.EEA.A04.D0001.K0002.0005.B</t>
        </is>
      </c>
      <c r="B156" s="4" t="inlineStr">
        <is>
          <t>4/4</t>
        </is>
      </c>
      <c r="C156" s="3" t="inlineStr">
        <is>
          <t>EDILE</t>
        </is>
      </c>
      <c r="D156" s="4" t="inlineStr">
        <is>
          <t>SPECIALE</t>
        </is>
      </c>
      <c r="E156" s="4" t="inlineStr">
        <is>
          <t>EDILI SPECIALI</t>
        </is>
      </c>
      <c r="F156" s="3" t="inlineStr">
        <is>
          <t>1_2025.11.20_CME REV07.PDF</t>
        </is>
      </c>
      <c r="G156" s="4" t="inlineStr">
        <is>
          <t>137</t>
        </is>
      </c>
      <c r="H156" s="3" t="inlineStr">
        <is>
          <t>60 - FINITURE</t>
        </is>
      </c>
      <c r="I156" s="3" t="inlineStr">
        <is>
          <t>NUOVI LABORATORI</t>
        </is>
      </c>
      <c r="J156" s="3" t="inlineStr">
        <is>
          <t>OPERE EDILI</t>
        </is>
      </c>
      <c r="K156" s="3" t="inlineStr">
        <is>
          <t xml:space="preserve">PRODOTTO SEMILAVORATO: IMPASTO IN OPERA DI ARGILLA ESPANSA; IMPIEGO: MASSETTI DI FINITURA/MONOSTRATO. </t>
        </is>
      </c>
      <c r="L156" s="3" t="inlineStr">
        <is>
          <t>PRODOTTO SEMILAVORATO: IMPASTO IN OPERA DI ARGILLA ESPANSA; IMPIEGO: MASSETTI DI FINITURA/MONOSTRATO. 
LAVORO: FORMAZIONE CON MEZZO MECCANICO. 
SPECIFICHE TECNICHE: DOSAGGIO PER M³ DI IMPASTO: CEMENTO [KG] = 300. 
COMPONENTI: 
PS1 PRODOTTO SEMILAVORATO: IMPASTO IN OPERA DI ARGILLA ESPANSA; IMPIEGO: MASSETTI DI FINITURA/MONOSTRATO. 
SPECIFICHE TECNICHE: DOSAGGIO PER M³ DI IMPASTO: CEMENTO [KG] = 300. 
RM2 LEGANTE IDRAULICO DI CEMENTO GENERICO; GEOMETRIA/FORMA/ASPETTO: SFUSO | TIPO ELEVATA RESISTENZA 32.5R; FORNITURA: SILOS 
RM2 AGGREGATO DI ARGILLA ESPANSA; GEOMETRIA/FORMA/ASPETTO: SCIOLTA | TONDO; FUNZIONE: TERMOISOLANTE | ALLEGGERIMENTO | MISCELE ALLEGGERITE; IMPIEGO: RIEMPIMENTI | ISOLAMENTI TERMICI | CALCESTRUZZI LEGGERI | IMPASTI | SOTTOFONDI; FORNITURA: SFUSO; DIAMETRO (Ø) [MM] = 3 ÷ 8; MASSA VOLUMICA IN MUCCHIO [KG/M³] &lt; 380 | RESISTENZA A SCHIACCIAMENTO [MPA] &gt; 1 | CONDUCIBILITÀ TERMICA [W/MK] &gt; 0,095 | REAZIONE AL FUOCO [EUROCLASSE] = A1 
SPECIFICHE TECNICHE: LEGGERA; GRANULARE; CLINKERIZZATA; INERTE; INCOMBUSTIBILE; RESISTENTE; A BASSO ASSORBIMENTO DI UMIDITÀ 
LV1 LAVORO: FORMAZIONE CON MEZZO MECCANICO. 
RP2 BETONIERA A BICCHIERE; CAPACITÀ [M³] ≤ 0,35 
SPECIFICHE TECNICHE: AD AZIONAMENTO ELETTRICO; CRITERIO DI MISURAZIONE: ORE DI PRESENZA IN CANTIERE</t>
        </is>
      </c>
      <c r="M156" s="4" t="inlineStr">
        <is>
          <t>M³</t>
        </is>
      </c>
      <c r="N156" s="5" t="n">
        <v>48.68</v>
      </c>
      <c r="O156" s="6" t="n">
        <v>434.95</v>
      </c>
      <c r="P156" s="6" t="n">
        <v>21173.37</v>
      </c>
      <c r="Q156" s="5" t="n"/>
      <c r="R156" s="6" t="n"/>
      <c r="S156" s="6">
        <f>IF(AND(Q156&lt;&gt;"",R156&lt;&gt;""),Q156*R156,"")</f>
        <v/>
      </c>
      <c r="T156" s="6">
        <f>IF(S156="",P156,S156)</f>
        <v/>
      </c>
      <c r="U156" s="7" t="n">
        <v>0</v>
      </c>
      <c r="V156" s="6">
        <f>$T156*U156</f>
        <v/>
      </c>
      <c r="W156" s="7" t="n">
        <v>0</v>
      </c>
      <c r="X156" s="6">
        <f>$T156*W156</f>
        <v/>
      </c>
      <c r="Y156" s="7" t="n">
        <v>0</v>
      </c>
      <c r="Z156" s="6">
        <f>$T156*Y156</f>
        <v/>
      </c>
      <c r="AA156" s="7" t="n">
        <v>0</v>
      </c>
      <c r="AB156" s="6">
        <f>$T156*AA156</f>
        <v/>
      </c>
      <c r="AC156" s="7" t="n">
        <v>0</v>
      </c>
      <c r="AD156" s="6">
        <f>$T156*AC156</f>
        <v/>
      </c>
      <c r="AE156" s="7" t="n">
        <v>0</v>
      </c>
      <c r="AF156" s="6">
        <f>$T156*AE156</f>
        <v/>
      </c>
      <c r="AG156" s="7" t="n">
        <v>0</v>
      </c>
      <c r="AH156" s="6">
        <f>$T156*AG156</f>
        <v/>
      </c>
      <c r="AI156" s="7">
        <f>U156+W156+Y156+AA156+AC156+AE156+AG156</f>
        <v/>
      </c>
      <c r="AJ156" s="6">
        <f>V156+X156+Z156+AB156+AD156+AF156+AH156</f>
        <v/>
      </c>
    </row>
    <row r="157" ht="60" customHeight="1" s="35">
      <c r="A157" s="3" t="inlineStr">
        <is>
          <t>LOM241.1C.18.450.0010.B</t>
        </is>
      </c>
      <c r="B157" s="4" t="inlineStr">
        <is>
          <t>2/2</t>
        </is>
      </c>
      <c r="C157" s="3" t="inlineStr">
        <is>
          <t>EDILE</t>
        </is>
      </c>
      <c r="D157" s="4" t="inlineStr">
        <is>
          <t>SPECIALE</t>
        </is>
      </c>
      <c r="E157" s="4" t="inlineStr">
        <is>
          <t>EDILI SPECIALI</t>
        </is>
      </c>
      <c r="F157" s="3" t="inlineStr">
        <is>
          <t>1_2025.11.20_CME REV07.PDF</t>
        </is>
      </c>
      <c r="G157" s="4" t="inlineStr">
        <is>
          <t>139</t>
        </is>
      </c>
      <c r="H157" s="3" t="inlineStr">
        <is>
          <t>60 - FINITURE</t>
        </is>
      </c>
      <c r="I157" s="3" t="inlineStr">
        <is>
          <t>NUOVI LABORATORI</t>
        </is>
      </c>
      <c r="J157" s="3" t="inlineStr">
        <is>
          <t>PAVIMENTI E RIVESTIMENTI</t>
        </is>
      </c>
      <c r="K157" s="3" t="inlineStr">
        <is>
          <t xml:space="preserve">PAVIMENTO IN PIASTRELLE SEMIFLESSIBILI DI PVC AD ELEVATE CARICHE MINERALI, OMOGENEO PLASTIFICATO E STABILIZZATO, DA CM 30X30, PESO 5,0 ÷ 7,0 KG/M², POSATO CON ADESIVO, COMPRESA LA NORMALE RASATURA DI </t>
        </is>
      </c>
      <c r="L157" s="3" t="inlineStr">
        <is>
          <t>PAVIMENTO IN PIASTRELLE SEMIFLESSIBILI DI PVC AD ELEVATE CARICHE MINERALI, OMOGENEO PLASTIFICATO E STABILIZZATO, DA CM 30X30, PESO 5,0 ÷ 7,0 KG/M², POSATO CON ADESIVO, COMPRESA LA NORMALE RASATURA DI IDONEO MASSETTO E LE ASSISTENZE MURARIE; SPESSORE: - 3,2 MM - CLASSE EN685 34/43 , CLASSE DI REAZIONE AL FUOCO UNO (D.M. 15.03.2005) = BFL S1 (EN13501-1) ;</t>
        </is>
      </c>
      <c r="M157" s="4" t="inlineStr">
        <is>
          <t>M²</t>
        </is>
      </c>
      <c r="N157" s="5" t="n">
        <v>270.44</v>
      </c>
      <c r="O157" s="6" t="n">
        <v>49.37</v>
      </c>
      <c r="P157" s="6" t="n">
        <v>13351.62</v>
      </c>
      <c r="Q157" s="5" t="n"/>
      <c r="R157" s="6" t="n"/>
      <c r="S157" s="6">
        <f>IF(AND(Q157&lt;&gt;"",R157&lt;&gt;""),Q157*R157,"")</f>
        <v/>
      </c>
      <c r="T157" s="6">
        <f>IF(S157="",P157,S157)</f>
        <v/>
      </c>
      <c r="U157" s="7" t="n">
        <v>0</v>
      </c>
      <c r="V157" s="6">
        <f>$T157*U157</f>
        <v/>
      </c>
      <c r="W157" s="7" t="n">
        <v>0.5</v>
      </c>
      <c r="X157" s="6">
        <f>$T157*W157</f>
        <v/>
      </c>
      <c r="Y157" s="7" t="n">
        <v>0</v>
      </c>
      <c r="Z157" s="6">
        <f>$T157*Y157</f>
        <v/>
      </c>
      <c r="AA157" s="7" t="n">
        <v>0</v>
      </c>
      <c r="AB157" s="6">
        <f>$T157*AA157</f>
        <v/>
      </c>
      <c r="AC157" s="7" t="n">
        <v>0</v>
      </c>
      <c r="AD157" s="6">
        <f>$T157*AC157</f>
        <v/>
      </c>
      <c r="AE157" s="7" t="n">
        <v>0</v>
      </c>
      <c r="AF157" s="6">
        <f>$T157*AE157</f>
        <v/>
      </c>
      <c r="AG157" s="7" t="n">
        <v>0</v>
      </c>
      <c r="AH157" s="6">
        <f>$T157*AG157</f>
        <v/>
      </c>
      <c r="AI157" s="7">
        <f>U157+W157+Y157+AA157+AC157+AE157+AG157</f>
        <v/>
      </c>
      <c r="AJ157" s="6">
        <f>V157+X157+Z157+AB157+AD157+AF157+AH157</f>
        <v/>
      </c>
    </row>
    <row r="158" ht="54" customHeight="1" s="35">
      <c r="A158" s="3" t="inlineStr">
        <is>
          <t>LOM241.1C.18.450.0250.B</t>
        </is>
      </c>
      <c r="B158" s="4" t="inlineStr">
        <is>
          <t>2/2</t>
        </is>
      </c>
      <c r="C158" s="3" t="inlineStr">
        <is>
          <t>EDILE</t>
        </is>
      </c>
      <c r="D158" s="4" t="inlineStr">
        <is>
          <t>SPECIALE</t>
        </is>
      </c>
      <c r="E158" s="4" t="inlineStr">
        <is>
          <t>EDILI SPECIALI</t>
        </is>
      </c>
      <c r="F158" s="3" t="inlineStr">
        <is>
          <t>1_2025.11.20_CME REV07.PDF</t>
        </is>
      </c>
      <c r="G158" s="4" t="inlineStr">
        <is>
          <t>140</t>
        </is>
      </c>
      <c r="H158" s="3" t="inlineStr">
        <is>
          <t>60 - FINITURE</t>
        </is>
      </c>
      <c r="I158" s="3" t="inlineStr">
        <is>
          <t>NUOVI LABORATORI</t>
        </is>
      </c>
      <c r="J158" s="3" t="inlineStr">
        <is>
          <t>PAVIMENTI E RIVESTIMENTI</t>
        </is>
      </c>
      <c r="K158" s="3" t="inlineStr">
        <is>
          <t xml:space="preserve">SALDATURA A CALDO, PREVIA PREPARAZIONE, DEI GIUNTI DI PIASTRELLE O TELI VINILICI PER PAVIMENTI, CON INTERPOSIZIONE DI FILETTO IN PVC E REFILATURA FINALE, COMPRESA PULIZIA FINALE E ASSISTENZA MURARIA. </t>
        </is>
      </c>
      <c r="L158" s="3" t="inlineStr">
        <is>
          <t>SALDATURA A CALDO, PREVIA PREPARAZIONE, DEI GIUNTI DI PIASTRELLE O TELI VINILICI PER PAVIMENTI, CON INTERPOSIZIONE DI FILETTO IN PVC E REFILATURA FINALE, COMPRESA PULIZIA FINALE E ASSISTENZA MURARIA. - IN PIASTRELLE</t>
        </is>
      </c>
      <c r="M158" s="4" t="inlineStr">
        <is>
          <t>M²</t>
        </is>
      </c>
      <c r="N158" s="5" t="n">
        <v>270.44</v>
      </c>
      <c r="O158" s="6" t="n">
        <v>0</v>
      </c>
      <c r="P158" s="6" t="n">
        <v>0</v>
      </c>
      <c r="Q158" s="5" t="n"/>
      <c r="R158" s="6" t="n"/>
      <c r="S158" s="6">
        <f>IF(AND(Q158&lt;&gt;"",R158&lt;&gt;""),Q158*R158,"")</f>
        <v/>
      </c>
      <c r="T158" s="6">
        <f>IF(S158="",P158,S158)</f>
        <v/>
      </c>
      <c r="U158" s="7" t="n">
        <v>0</v>
      </c>
      <c r="V158" s="6">
        <f>$T158*U158</f>
        <v/>
      </c>
      <c r="W158" s="7" t="n">
        <v>0</v>
      </c>
      <c r="X158" s="6">
        <f>$T158*W158</f>
        <v/>
      </c>
      <c r="Y158" s="7" t="n">
        <v>0</v>
      </c>
      <c r="Z158" s="6">
        <f>$T158*Y158</f>
        <v/>
      </c>
      <c r="AA158" s="7" t="n">
        <v>0</v>
      </c>
      <c r="AB158" s="6">
        <f>$T158*AA158</f>
        <v/>
      </c>
      <c r="AC158" s="7" t="n">
        <v>0</v>
      </c>
      <c r="AD158" s="6">
        <f>$T158*AC158</f>
        <v/>
      </c>
      <c r="AE158" s="7" t="n">
        <v>0</v>
      </c>
      <c r="AF158" s="6">
        <f>$T158*AE158</f>
        <v/>
      </c>
      <c r="AG158" s="7" t="n">
        <v>0</v>
      </c>
      <c r="AH158" s="6">
        <f>$T158*AG158</f>
        <v/>
      </c>
      <c r="AI158" s="7">
        <f>U158+W158+Y158+AA158+AC158+AE158+AG158</f>
        <v/>
      </c>
      <c r="AJ158" s="6">
        <f>V158+X158+Z158+AB158+AD158+AF158+AH158</f>
        <v/>
      </c>
    </row>
    <row r="159" ht="54" customHeight="1" s="35">
      <c r="A159" s="3" t="inlineStr">
        <is>
          <t>LOM241.1C.18.450.0300</t>
        </is>
      </c>
      <c r="B159" s="4" t="inlineStr">
        <is>
          <t>2/2</t>
        </is>
      </c>
      <c r="C159" s="3" t="inlineStr">
        <is>
          <t>EDILE</t>
        </is>
      </c>
      <c r="D159" s="4" t="inlineStr">
        <is>
          <t>SPECIALE</t>
        </is>
      </c>
      <c r="E159" s="4" t="inlineStr">
        <is>
          <t>EDILI SPECIALI</t>
        </is>
      </c>
      <c r="F159" s="3" t="inlineStr">
        <is>
          <t>1_2025.11.20_CME REV07.PDF</t>
        </is>
      </c>
      <c r="G159" s="4" t="inlineStr">
        <is>
          <t>142</t>
        </is>
      </c>
      <c r="H159" s="3" t="inlineStr">
        <is>
          <t>60 - FINITURE</t>
        </is>
      </c>
      <c r="I159" s="3" t="inlineStr">
        <is>
          <t>NUOVI LABORATORI</t>
        </is>
      </c>
      <c r="J159" s="3" t="inlineStr">
        <is>
          <t>PAVIMENTI E RIVESTIMENTI</t>
        </is>
      </c>
      <c r="K159" s="3" t="inlineStr">
        <is>
          <t>FORMAZIONE DI GUSCIA CONTRO PARETE PER I PAVIMENTI VINILICI E SIMILARI, COMPRESA FORNITURA E POSA DELL'ELEMENTO SOTTOGUSCIA ARROTONDATO PREFORMATO D'ANGOLO ED OGNI ASSISTENZA MURARIA</t>
        </is>
      </c>
      <c r="L159" s="3" t="inlineStr">
        <is>
          <t>FORMAZIONE DI GUSCIA CONTRO PARETE PER I PAVIMENTI VINILICI E SIMILARI, COMPRESA FORNITURA E POSA DELL'ELEMENTO SOTTOGUSCIA ARROTONDATO PREFORMATO D'ANGOLO ED OGNI ASSISTENZA MURARIA</t>
        </is>
      </c>
      <c r="M159" s="4" t="inlineStr">
        <is>
          <t>M</t>
        </is>
      </c>
      <c r="N159" s="5" t="n">
        <v>416.56</v>
      </c>
      <c r="O159" s="6" t="n">
        <v>22.34</v>
      </c>
      <c r="P159" s="6" t="n">
        <v>9305.950000000001</v>
      </c>
      <c r="Q159" s="5" t="n"/>
      <c r="R159" s="6" t="n"/>
      <c r="S159" s="6">
        <f>IF(AND(Q159&lt;&gt;"",R159&lt;&gt;""),Q159*R159,"")</f>
        <v/>
      </c>
      <c r="T159" s="6">
        <f>IF(S159="",P159,S159)</f>
        <v/>
      </c>
      <c r="U159" s="7" t="n">
        <v>0</v>
      </c>
      <c r="V159" s="6">
        <f>$T159*U159</f>
        <v/>
      </c>
      <c r="W159" s="7" t="n">
        <v>0.4</v>
      </c>
      <c r="X159" s="6">
        <f>$T159*W159</f>
        <v/>
      </c>
      <c r="Y159" s="7" t="n">
        <v>0</v>
      </c>
      <c r="Z159" s="6">
        <f>$T159*Y159</f>
        <v/>
      </c>
      <c r="AA159" s="7" t="n">
        <v>0</v>
      </c>
      <c r="AB159" s="6">
        <f>$T159*AA159</f>
        <v/>
      </c>
      <c r="AC159" s="7" t="n">
        <v>0</v>
      </c>
      <c r="AD159" s="6">
        <f>$T159*AC159</f>
        <v/>
      </c>
      <c r="AE159" s="7" t="n">
        <v>0</v>
      </c>
      <c r="AF159" s="6">
        <f>$T159*AE159</f>
        <v/>
      </c>
      <c r="AG159" s="7" t="n">
        <v>0</v>
      </c>
      <c r="AH159" s="6">
        <f>$T159*AG159</f>
        <v/>
      </c>
      <c r="AI159" s="7">
        <f>U159+W159+Y159+AA159+AC159+AE159+AG159</f>
        <v/>
      </c>
      <c r="AJ159" s="6">
        <f>V159+X159+Z159+AB159+AD159+AF159+AH159</f>
        <v/>
      </c>
    </row>
    <row r="160" ht="60" customHeight="1" s="35">
      <c r="A160" s="3" t="inlineStr">
        <is>
          <t>PA.ARC.07</t>
        </is>
      </c>
      <c r="B160" s="4" t="inlineStr">
        <is>
          <t>2/2</t>
        </is>
      </c>
      <c r="C160" s="3" t="inlineStr">
        <is>
          <t>EDILE</t>
        </is>
      </c>
      <c r="D160" s="4" t="inlineStr">
        <is>
          <t>SPECIALE</t>
        </is>
      </c>
      <c r="E160" s="4" t="inlineStr">
        <is>
          <t>EDILI SPECIALI</t>
        </is>
      </c>
      <c r="F160" s="3" t="inlineStr">
        <is>
          <t>1_2025.11.20_CME REV07.PDF</t>
        </is>
      </c>
      <c r="G160" s="4" t="inlineStr">
        <is>
          <t>146</t>
        </is>
      </c>
      <c r="H160" s="3" t="inlineStr">
        <is>
          <t>60 - FINITURE</t>
        </is>
      </c>
      <c r="I160" s="3" t="inlineStr">
        <is>
          <t>NUOVI LABORATORI</t>
        </is>
      </c>
      <c r="J160" s="3" t="inlineStr">
        <is>
          <t>PAVIMENTI E RIVESTIMENTI</t>
        </is>
      </c>
      <c r="K160" s="3" t="inlineStr">
        <is>
          <t>RIVESTIMENTO ESTERNO "VENTILATO" COMPOSTO DA:- DOGHE DISPOSTE IN ORIZZONTALE CON ALTEZZA 120 MM CIRCA, REALIZZATE IN ALLUMINIO ESTRUSO SAGOMA-TO, FISSAGGIO MEDIANTE RIVETTATURA/AVVITATURA SU SPE-CIFIC</t>
        </is>
      </c>
      <c r="L160" s="3" t="inlineStr">
        <is>
          <t>RIVESTIMENTO ESTERNO "VENTILATO" COMPOSTO DA:- DOGHE DISPOSTE IN ORIZZONTALE CON ALTEZZA 120 MM CIRCA, REALIZZATE IN ALLUMINIO ESTRUSO SAGOMA-TO, FISSAGGIO MEDIANTE RIVETTATURA/AVVITATURA SU SPE-CIFICA SOTTOSTRUTTURA;DOGHE CON FINITURA MEDIANTE VERNICIATURA A POLVE-RE IN TINTA RAL DA NS. GAMMA STANDARD;- SOTTOSTRUTTURA VERTICALE (NON AUTOPORTANTE) PERIL FISSAGGIO DELLE DOGHE COMPOSTA DA APPOSITI PRO-FILI METALLICI FISSATI ALLA RETROSTANTE PARETE/STRUTTURAPORTANTE MEDIANTE STAFFE METALLICHE DOTATE DI ASO-LE DI FISSAGGIO PER PERMETTERE REGOLAZIONI E COM-PENSAZIONE DI EVENTUALI FUORI PIOMBO;IL FISSAGGIO DELLE STAFFE ALLA RETROSTANTE PARETE/STUT-TURA PORTANTE È FETTUATA CON TASSELLI METALLICI AD ESPANSIONE, DIMENSIONATI IN FUNZIONE DEI CARICHI;- DISTANZA MASSIMA TRA PARETE PORTANTE DI SUPPOR-TO E FILO ESTERNO RIVESTIMENTO PARI A 120 MM;ESCLUSO ISOLAMENTO A "CAPPOTTO";ESCLUSO CAPPELLO SUPERIORE DI RACCORDO/CHIUSURA,BARRIERE TAGLIAFUOCO, IMBOTTI DI RACCODO CON SERRA-MENTI E ALTRI MANUFATTI, EVENTUALI SOTTOSTRUTTUREPORTANTI IN CASO LA POSA NON SIA PREVISTA SU PARE-ETE PORTANTE CONTINUA, DEBITAMENTE PREDISPOSTAE DIMENSIONATA; ESCLUSE EVENTUALI PREDISPOSIZIONI E/O RINFORZIPER FISSAGGIO INSEGNE E/O ALTRI ELEMENTI (ILLUMINA-ZIONE, TELECAMERE, ECC..);</t>
        </is>
      </c>
      <c r="M160" s="4" t="inlineStr">
        <is>
          <t>M²</t>
        </is>
      </c>
      <c r="N160" s="5" t="n">
        <v>387</v>
      </c>
      <c r="O160" s="6" t="n">
        <v>420.44</v>
      </c>
      <c r="P160" s="6" t="n">
        <v>162710.28</v>
      </c>
      <c r="Q160" s="5" t="n"/>
      <c r="R160" s="6" t="n"/>
      <c r="S160" s="6">
        <f>IF(AND(Q160&lt;&gt;"",R160&lt;&gt;""),Q160*R160,"")</f>
        <v/>
      </c>
      <c r="T160" s="6">
        <f>IF(S160="",P160,S160)</f>
        <v/>
      </c>
      <c r="U160" s="7" t="n">
        <v>0</v>
      </c>
      <c r="V160" s="6">
        <f>$T160*U160</f>
        <v/>
      </c>
      <c r="W160" s="7" t="n">
        <v>0.6</v>
      </c>
      <c r="X160" s="6">
        <f>$T160*W160</f>
        <v/>
      </c>
      <c r="Y160" s="7" t="n">
        <v>0</v>
      </c>
      <c r="Z160" s="6">
        <f>$T160*Y160</f>
        <v/>
      </c>
      <c r="AA160" s="7" t="n">
        <v>0</v>
      </c>
      <c r="AB160" s="6">
        <f>$T160*AA160</f>
        <v/>
      </c>
      <c r="AC160" s="7" t="n">
        <v>0</v>
      </c>
      <c r="AD160" s="6">
        <f>$T160*AC160</f>
        <v/>
      </c>
      <c r="AE160" s="7" t="n">
        <v>0</v>
      </c>
      <c r="AF160" s="6">
        <f>$T160*AE160</f>
        <v/>
      </c>
      <c r="AG160" s="7" t="n">
        <v>0</v>
      </c>
      <c r="AH160" s="6">
        <f>$T160*AG160</f>
        <v/>
      </c>
      <c r="AI160" s="7">
        <f>U160+W160+Y160+AA160+AC160+AE160+AG160</f>
        <v/>
      </c>
      <c r="AJ160" s="6">
        <f>V160+X160+Z160+AB160+AD160+AF160+AH160</f>
        <v/>
      </c>
    </row>
    <row r="161" ht="60" customHeight="1" s="35">
      <c r="A161" s="3" t="inlineStr">
        <is>
          <t>PA.ARC.11</t>
        </is>
      </c>
      <c r="B161" s="4" t="inlineStr">
        <is>
          <t>1/1</t>
        </is>
      </c>
      <c r="C161" s="3" t="inlineStr">
        <is>
          <t>EDILE</t>
        </is>
      </c>
      <c r="D161" s="4" t="inlineStr">
        <is>
          <t>SPECIALE</t>
        </is>
      </c>
      <c r="E161" s="4" t="inlineStr">
        <is>
          <t>EDILI SPECIALI</t>
        </is>
      </c>
      <c r="F161" s="3" t="inlineStr">
        <is>
          <t>1_2025.11.20_CME REV07.PDF</t>
        </is>
      </c>
      <c r="G161" s="4" t="inlineStr">
        <is>
          <t>147</t>
        </is>
      </c>
      <c r="H161" s="3" t="inlineStr">
        <is>
          <t>60 - FINITURE</t>
        </is>
      </c>
      <c r="I161" s="3" t="inlineStr">
        <is>
          <t>NUOVI LABORATORI</t>
        </is>
      </c>
      <c r="J161" s="3" t="inlineStr">
        <is>
          <t>OPERE EDILI</t>
        </is>
      </c>
      <c r="K161" s="3" t="inlineStr">
        <is>
          <t>FORNITURA E POSA IN OPERA DI SERRAMENTI IN ALLUMINIO A TAGLIO TERMICO SERIE SCHÜCO ADS/AWS 75.SI, REALIZZATI CON PROFILATI ESTRUSI IN LEGA PRIMARIA DI ALLUMINIO 6060, CONFORMI ALLE NORMATIVE UNI EN 57</t>
        </is>
      </c>
      <c r="L161" s="3" t="inlineStr">
        <is>
          <t>FORNITURA E POSA IN OPERA DI SERRAMENTI IN ALLUMINIO A TAGLIO TERMICO SERIE SCHÜCO ADS/AWS 75.SI, REALIZZATI CON PROFILATI ESTRUSI IN LEGA PRIMARIA DI ALLUMINIO 6060, CONFORMI ALLE NORMATIVE UNI EN 573 E UNI EN 515, CON TOLLERANZE SECONDO UNI EN 12020-2 E/O UNI EN 755-9. IL SISTEMA PREVEDE TELAIO-ANTA COMPLANARI ESTERNAMENTE E A SORMONTO INTERNAMENTE, CON SPESSORI: TELAIO 75 MM, ANTA FINESTRE/PORTEFINESTRE 85 MM, ANTA PORTE 75 MM. TENUTA ARIA-ACQUA-VENTO A GIUNTO APERTO CON GUARNIZIONI IN GOMMA SINTETICA TIPO EPDM; ACCESSORI ORIGINALI SCHÜCO IN MATERIALE INOSSIDABILE. TRATTAMENTI SUPERFICIALI CONFORMI ALLE DIRETTIVE QUALICOAT (VERNICIATI) O EURAS-EWAA (OSSIDATI). FINITURE: COLORI INTERNO/ESTERNO E ACCESSORI STANDARD DA GAMMA; FERMAVETRO SQUADRATO.  VETRAGGIO BASSO EMISSIVO COMPOSTO DA: LASTRA ESTERNA STRATIFICATA 55.1, INTERCAPEDINE DA 16 MM CON CANALINA “WARM EDGE” E ARGON, LASTRA INTERNA STRATIFICATA 55.2. PRESTAZIONI DEL VETRO: UG = 1,0 W/M²K; RW = 40 DB (±2). INCLUSA POSA SU CONTROTELAI IN FERRO ZINCATO PREDISPOSTI DALL’IMPRESA EDILE. SERRAMENTO AD UNA SPECCHIATURA FISSA : L 1800 X H 1000</t>
        </is>
      </c>
      <c r="M161" s="4" t="inlineStr">
        <is>
          <t>CADAUNO</t>
        </is>
      </c>
      <c r="N161" s="5" t="n">
        <v>2</v>
      </c>
      <c r="O161" s="6" t="n">
        <v>1181.43</v>
      </c>
      <c r="P161" s="6" t="n">
        <v>2362.86</v>
      </c>
      <c r="Q161" s="5" t="n"/>
      <c r="R161" s="6" t="n"/>
      <c r="S161" s="6">
        <f>IF(AND(Q161&lt;&gt;"",R161&lt;&gt;""),Q161*R161,"")</f>
        <v/>
      </c>
      <c r="T161" s="6">
        <f>IF(S161="",P161,S161)</f>
        <v/>
      </c>
      <c r="U161" s="7" t="n">
        <v>0</v>
      </c>
      <c r="V161" s="6">
        <f>$T161*U161</f>
        <v/>
      </c>
      <c r="W161" s="7" t="n">
        <v>0.6</v>
      </c>
      <c r="X161" s="6">
        <f>$T161*W161</f>
        <v/>
      </c>
      <c r="Y161" s="7" t="n">
        <v>0</v>
      </c>
      <c r="Z161" s="6">
        <f>$T161*Y161</f>
        <v/>
      </c>
      <c r="AA161" s="7" t="n">
        <v>0</v>
      </c>
      <c r="AB161" s="6">
        <f>$T161*AA161</f>
        <v/>
      </c>
      <c r="AC161" s="7" t="n">
        <v>0</v>
      </c>
      <c r="AD161" s="6">
        <f>$T161*AC161</f>
        <v/>
      </c>
      <c r="AE161" s="7" t="n">
        <v>0</v>
      </c>
      <c r="AF161" s="6">
        <f>$T161*AE161</f>
        <v/>
      </c>
      <c r="AG161" s="7" t="n">
        <v>0</v>
      </c>
      <c r="AH161" s="6">
        <f>$T161*AG161</f>
        <v/>
      </c>
      <c r="AI161" s="7">
        <f>U161+W161+Y161+AA161+AC161+AE161+AG161</f>
        <v/>
      </c>
      <c r="AJ161" s="6">
        <f>V161+X161+Z161+AB161+AD161+AF161+AH161</f>
        <v/>
      </c>
    </row>
    <row r="162" ht="60" customHeight="1" s="35">
      <c r="A162" s="3" t="inlineStr">
        <is>
          <t>LOM241.OC.EEA.A01.C3330.SA000.1000</t>
        </is>
      </c>
      <c r="B162" s="4" t="inlineStr">
        <is>
          <t>2/2</t>
        </is>
      </c>
      <c r="C162" s="3" t="inlineStr">
        <is>
          <t>EDILE</t>
        </is>
      </c>
      <c r="D162" s="4" t="inlineStr">
        <is>
          <t>SPECIALE</t>
        </is>
      </c>
      <c r="E162" s="4" t="inlineStr">
        <is>
          <t>EDILI SPECIALI</t>
        </is>
      </c>
      <c r="F162" s="3" t="inlineStr">
        <is>
          <t>1_2025.11.20_CME REV07.PDF</t>
        </is>
      </c>
      <c r="G162" s="4" t="inlineStr">
        <is>
          <t>154</t>
        </is>
      </c>
      <c r="H162" s="3" t="inlineStr">
        <is>
          <t>60 - FINITURE</t>
        </is>
      </c>
      <c r="I162" s="3" t="inlineStr">
        <is>
          <t>NUOVI LABORATORI</t>
        </is>
      </c>
      <c r="J162" s="3" t="inlineStr">
        <is>
          <t>OPERE EDILI</t>
        </is>
      </c>
      <c r="K162" s="3" t="inlineStr">
        <is>
          <t>OPERA: FINESTRA, TELAIO FISSO DI LEGA ALLUMINIO GENERICO; FINITURA: VERNICIATO A POLVERE; GEOMETRIA/FORMA/ASPETTO: GIUNTO APERTO | UN'ANTA; POTERE FONOISOLANTE (RW) [DB] = 36 | TRASMITTANZA TERMICA (U</t>
        </is>
      </c>
      <c r="L162" s="3" t="inlineStr">
        <is>
          <t>OPERA: FINESTRA, TELAIO FISSO DI LEGA ALLUMINIO GENERICO; FINITURA: VERNICIATO A POLVERE; GEOMETRIA/FORMA/ASPETTO: GIUNTO APERTO | UN'ANTA; POTERE FONOISOLANTE (RW) [DB] = 36 | TRASMITTANZA TERMICA (UW) [W/M²K] = 1. ESCLUSO: CONTROTELAIO. 
LAVORO: INSTALLAZIONE. 
SPECIFICHE TECNICHE: VERNICIATA A POLVERE DI POLIESTERE (PPC) COLORE A GAMMA RAL STANDARD, SPESSORE MINIMO VERNICIATURA [Μ] = 60, OPPURE OSSIDATO ARGENTO NATURALE, SPESSORE DELL'OSSIDO MEDIO [Μ] = 15; PER ZONA CLIMATICA E. 
COMPONENTI: 
OP1 OPERA: FINESTRA, TELAIO FISSO DI LEGA ALLUMINIO GENERICO; FINITURA: VERNICIATO A POLVERE; GEOMETRIA/FORMA/ASPETTO: GIUNTO APERTO | UN'ANTA; POTERE FONOISOLANTE (RW) [DB] = 36 | TRASMITTANZA TERMICA (UW) [W/M²K] = 1. ESCLUSO: CONTROTELAIO. 
SPECIFICHE TECNICHE: VERNICIATA A POLVERE DI POLIESTERE (PPC) COLORE A GAMMA RAL STANDARD, SPESSORE MINIMO VERNICIATURA [Μ] = 60, OPPURE OSSIDATO ARGENTO NATURALE, SPESSORE DELL'OSSIDO MEDIO [Μ] = 15; PER ZONA CLIMATICA E. 
RM2 FINESTRA TELAIO FISSO DI LEGA ALLUMINIO GENERICO; FINITURA: VERNICIATO A POLVERE; GEOMETRIA/FORMA/ASPETTO: GIUNTO APERTO | UN'ANTA; PERMEABILITÀ ALL'ARIA [CLASSE] = 4 | TENUTA ALL'ACQUA [CLASSE] = 7A | RESISTENZA AL VENTO [CLASSE] = C3 | TRASMITTANZA TERMICA (UW) [W/M²K] = 1 | POTERE FONOISOLANTE (RW) [DB] = 36; SUPERFICIE [M²] = 1,68. INCLUSO: FERRAMENTA; GUARNIZIONE IN EPDM / NEOPRENE. ESCLUSO: CONTROTELAIO 
SPECIFICHE TECNICHE: VERNICIATA A POLVERE DI POLIESTERE (PPC) COLORE A GAMMA RAL STANDARD; SPESSORE MINIMO VERNICIATURA [Μ] = 60, OPPURE OSSIDATO ARGENTO NATURALE, SPESSORE DELL'OSSIDO MEDIO [Μ] = 15; ZONA CLIMATICA E (UCW [W/M²K] ≤ 1,4) 
LV1 LAVORO: INSTALLAZIONE.</t>
        </is>
      </c>
      <c r="M162" s="4" t="inlineStr">
        <is>
          <t>M²</t>
        </is>
      </c>
      <c r="N162" s="5" t="n">
        <v>15</v>
      </c>
      <c r="O162" s="6" t="n">
        <v>554.47</v>
      </c>
      <c r="P162" s="6" t="n">
        <v>8317.049999999999</v>
      </c>
      <c r="Q162" s="5" t="n"/>
      <c r="R162" s="6" t="n"/>
      <c r="S162" s="6">
        <f>IF(AND(Q162&lt;&gt;"",R162&lt;&gt;""),Q162*R162,"")</f>
        <v/>
      </c>
      <c r="T162" s="6">
        <f>IF(S162="",P162,S162)</f>
        <v/>
      </c>
      <c r="U162" s="7" t="n">
        <v>0</v>
      </c>
      <c r="V162" s="6">
        <f>$T162*U162</f>
        <v/>
      </c>
      <c r="W162" s="7" t="n">
        <v>0.75</v>
      </c>
      <c r="X162" s="6">
        <f>$T162*W162</f>
        <v/>
      </c>
      <c r="Y162" s="7" t="n">
        <v>0</v>
      </c>
      <c r="Z162" s="6">
        <f>$T162*Y162</f>
        <v/>
      </c>
      <c r="AA162" s="7" t="n">
        <v>0</v>
      </c>
      <c r="AB162" s="6">
        <f>$T162*AA162</f>
        <v/>
      </c>
      <c r="AC162" s="7" t="n">
        <v>0</v>
      </c>
      <c r="AD162" s="6">
        <f>$T162*AC162</f>
        <v/>
      </c>
      <c r="AE162" s="7" t="n">
        <v>0</v>
      </c>
      <c r="AF162" s="6">
        <f>$T162*AE162</f>
        <v/>
      </c>
      <c r="AG162" s="7" t="n">
        <v>0</v>
      </c>
      <c r="AH162" s="6">
        <f>$T162*AG162</f>
        <v/>
      </c>
      <c r="AI162" s="7">
        <f>U162+W162+Y162+AA162+AC162+AE162+AG162</f>
        <v/>
      </c>
      <c r="AJ162" s="6">
        <f>V162+X162+Z162+AB162+AD162+AF162+AH162</f>
        <v/>
      </c>
    </row>
    <row r="163" ht="60" customHeight="1" s="35">
      <c r="A163" s="3" t="inlineStr">
        <is>
          <t>LOM241.OC.EEA.A01.C3330.SA000.0005</t>
        </is>
      </c>
      <c r="B163" s="4" t="inlineStr">
        <is>
          <t>2/2</t>
        </is>
      </c>
      <c r="C163" s="3" t="inlineStr">
        <is>
          <t>EDILE</t>
        </is>
      </c>
      <c r="D163" s="4" t="inlineStr">
        <is>
          <t>SPECIALE</t>
        </is>
      </c>
      <c r="E163" s="4" t="inlineStr">
        <is>
          <t>EDILI SPECIALI</t>
        </is>
      </c>
      <c r="F163" s="3" t="inlineStr">
        <is>
          <t>1_2025.11.20_CME REV07.PDF</t>
        </is>
      </c>
      <c r="G163" s="4" t="inlineStr">
        <is>
          <t>155</t>
        </is>
      </c>
      <c r="H163" s="3" t="inlineStr">
        <is>
          <t>60 - FINITURE</t>
        </is>
      </c>
      <c r="I163" s="3" t="inlineStr">
        <is>
          <t>NUOVI LABORATORI</t>
        </is>
      </c>
      <c r="J163" s="3" t="inlineStr">
        <is>
          <t>OPERE EDILI</t>
        </is>
      </c>
      <c r="K163" s="3" t="inlineStr">
        <is>
          <t>OPERA: FINESTRA, BATTENTE DI LEGA ALLUMINIO GENERICO; FINITURA: VERNICIATO A POLVERE; GEOMETRIA/FORMA/ASPETTO: GIUNTO APERTO | UN'ANTA; POTERE FONOISOLANTE (RW) [DB] = 36 | TRASMITTANZA TERMICA (UW) [</t>
        </is>
      </c>
      <c r="L163" s="3" t="inlineStr">
        <is>
          <t>OPERA: FINESTRA, BATTENTE DI LEGA ALLUMINIO GENERICO; FINITURA: VERNICIATO A POLVERE; GEOMETRIA/FORMA/ASPETTO: GIUNTO APERTO | UN'ANTA; POTERE FONOISOLANTE (RW) [DB] = 36 | TRASMITTANZA TERMICA (UW) [W/M²K] = 1. ESCLUSO: CONTROTELAIO. 
LAVORO: INSTALLAZIONE. 
SPECIFICHE TECNICHE: VERNICIATA A POLVERE DI POLIESTERE (PPC) COLORE A GAMMA RAL STANDARD, SPESSORE MINIMO VERNICIATURA [Μ] = 60, OPPURE OSSIDATO ARGENTO NATURALE, SPESSORE DELL'OSSIDO MEDIO [Μ] = 15; PER ZONA CLIMATICA E. 
COMPONENTI: 
OP1 OPERA: FINESTRA, BATTENTE DI LEGA ALLUMINIO GENERICO; FINITURA: VERNICIATO A POLVERE; GEOMETRIA/FORMA/ASPETTO: GIUNTO APERTO | UN'ANTA; POTERE FONOISOLANTE (RW) [DB] = 36 | TRASMITTANZA TERMICA (UW) [W/M²K] = 1. ESCLUSO: CONTROTELAIO. 
SPECIFICHE TECNICHE: VERNICIATA A POLVERE DI POLIESTERE (PPC) COLORE A GAMMA RAL STANDARD, SPESSORE MINIMO VERNICIATURA [Μ] = 60, OPPURE OSSIDATO ARGENTO NATURALE, SPESSORE DELL'OSSIDO MEDIO [Μ] = 15; PER ZONA CLIMATICA E. 
RM2 FINESTRA BATTENTE DI LEGA ALLUMINIO GENERICO; FINITURA: VERNICIATO A POLVERE; GEOMETRIA/FORMA/ASPETTO: GIUNTO APERTO | UN'ANTA; PERMEABILITÀ ALL'ARIA [CLASSE] = 4 | TENUTA ALL'ACQUA [CLASSE] = 7A | RESISTENZA AL VENTO [CLASSE] = C3 | TRASMITTANZA TERMICA (UW) [W/M²K] = 1 | POTERE FONOISOLANTE (RW) [DB] = 36; SUPERFICIE [M²] = 2,52. INCLUSO: FERRAMENTA; GUARNIZIONE IN EPDM / NEOPRENE. ESCLUSO: CONTROTELAIO 
SPECIFICHE TECNICHE: VERNICIATA A POLVERE DI POLIESTERE (PPC) COLORE A GAMMA RAL STANDARD; SPESSORE MINIMO VERNICIATURA [Μ] = 60, OPPURE OSSIDATO ARGENTO NATURALE, SPESSORE DELL'OSSIDO MEDIO [Μ] = 15; ZONA CLIMATICA E (UCW [W/M²K] ≤ 1,4) 
LV1 LAVORO: INSTALLAZIONE.</t>
        </is>
      </c>
      <c r="M163" s="4" t="inlineStr">
        <is>
          <t>M²</t>
        </is>
      </c>
      <c r="N163" s="5" t="n">
        <v>2.52</v>
      </c>
      <c r="O163" s="6" t="n">
        <v>2220.48</v>
      </c>
      <c r="P163" s="6" t="n">
        <v>5595.61</v>
      </c>
      <c r="Q163" s="5" t="n"/>
      <c r="R163" s="6" t="n"/>
      <c r="S163" s="6">
        <f>IF(AND(Q163&lt;&gt;"",R163&lt;&gt;""),Q163*R163,"")</f>
        <v/>
      </c>
      <c r="T163" s="6">
        <f>IF(S163="",P163,S163)</f>
        <v/>
      </c>
      <c r="U163" s="7" t="n">
        <v>0</v>
      </c>
      <c r="V163" s="6">
        <f>$T163*U163</f>
        <v/>
      </c>
      <c r="W163" s="7" t="n">
        <v>0.75</v>
      </c>
      <c r="X163" s="6">
        <f>$T163*W163</f>
        <v/>
      </c>
      <c r="Y163" s="7" t="n">
        <v>0</v>
      </c>
      <c r="Z163" s="6">
        <f>$T163*Y163</f>
        <v/>
      </c>
      <c r="AA163" s="7" t="n">
        <v>0</v>
      </c>
      <c r="AB163" s="6">
        <f>$T163*AA163</f>
        <v/>
      </c>
      <c r="AC163" s="7" t="n">
        <v>0</v>
      </c>
      <c r="AD163" s="6">
        <f>$T163*AC163</f>
        <v/>
      </c>
      <c r="AE163" s="7" t="n">
        <v>0</v>
      </c>
      <c r="AF163" s="6">
        <f>$T163*AE163</f>
        <v/>
      </c>
      <c r="AG163" s="7" t="n">
        <v>0</v>
      </c>
      <c r="AH163" s="6">
        <f>$T163*AG163</f>
        <v/>
      </c>
      <c r="AI163" s="7">
        <f>U163+W163+Y163+AA163+AC163+AE163+AG163</f>
        <v/>
      </c>
      <c r="AJ163" s="6">
        <f>V163+X163+Z163+AB163+AD163+AF163+AH163</f>
        <v/>
      </c>
    </row>
    <row r="164" ht="60" customHeight="1" s="35">
      <c r="A164" s="3" t="inlineStr">
        <is>
          <t>LOM241.OC.EEA.A03.C3335.T0006.1000</t>
        </is>
      </c>
      <c r="B164" s="4" t="inlineStr">
        <is>
          <t>2/2</t>
        </is>
      </c>
      <c r="C164" s="3" t="inlineStr">
        <is>
          <t>EDILE</t>
        </is>
      </c>
      <c r="D164" s="4" t="inlineStr">
        <is>
          <t>SPECIALE</t>
        </is>
      </c>
      <c r="E164" s="4" t="inlineStr">
        <is>
          <t>EDILI SPECIALI</t>
        </is>
      </c>
      <c r="F164" s="3" t="inlineStr">
        <is>
          <t>1_2025.11.20_CME REV07.PDF</t>
        </is>
      </c>
      <c r="G164" s="4" t="inlineStr">
        <is>
          <t>157</t>
        </is>
      </c>
      <c r="H164" s="3" t="inlineStr">
        <is>
          <t>60 - FINITURE</t>
        </is>
      </c>
      <c r="I164" s="3" t="inlineStr">
        <is>
          <t>NUOVI LABORATORI</t>
        </is>
      </c>
      <c r="J164" s="3" t="inlineStr">
        <is>
          <t>INFISSI</t>
        </is>
      </c>
      <c r="K164" s="3" t="inlineStr">
        <is>
          <t xml:space="preserve">OPERA: VETRATURA, ISOLANTE TERMOACUSTICA DI VETRO CRISTALLO; GEOMETRIA/FORMA/ASPETTO: DOPPIA. ESCLUSO: VETRI I CUI PREZZI SARANNO DESUNTI E CONTABILIZZATI DAL VOLUME 2.1. </t>
        </is>
      </c>
      <c r="L164" s="3" t="inlineStr">
        <is>
          <t>OPERA: VETRATURA, ISOLANTE TERMOACUSTICA DI VETRO CRISTALLO; GEOMETRIA/FORMA/ASPETTO: DOPPIA. ESCLUSO: VETRI I CUI PREZZI SARANNO DESUNTI E CONTABILIZZATI DAL VOLUME 2.1. 
LAVORO: ASSEMBLAGGIO. INCLUSO: POSA. 
SPECIFICHE TECNICHE: COSTRUZIONE VETRATA ISOLANTE IN LABORATORIO; POSA SU SERRAMENTO GENERICO. 
COMPONENTI: 
OP1 OPERA: VETRATURA, ISOLANTE TERMOACUSTICA DI VETRO CRISTALLO; GEOMETRIA/FORMA/ASPETTO: DOPPIA. ESCLUSO: VETRI I CUI PREZZI SARANNO DESUNTI E CONTABILIZZATI DAL VOLUME 2.1. 
RM2 VETRATURA ISOLANTE TERMOACUSTICA DI VETRO GENERICO 
RM2 ADESIVO MASTICE PLASTICO DI MATERIALE GENERICO 
SPECIFICHE TECNICHE: TRAFILATO 
RM2 GIUNTO DI RESINA SINTETICA POLIVINILCLORURO (PVC); GEOMETRIA/FORMA/ASPETTO: PROFILATO; FUNZIONE: DILATAZIONE; IMPIEGO: GETTI IN C.A.; TENUTA IDRAULICA [ATM] ≤ 3 
SPECIFICHE TECNICHE: PER GIUNTI DI DILATAZIONE DI 2/4 CM 
LV1 LAVORO: ASSEMBLAGGIO. INCLUSO: POSA. 
SPECIFICHE TECNICHE: COSTRUZIONE VETRATA ISOLANTE IN LABORATORIO; POSA SU SERRAMENTO GENERICO.</t>
        </is>
      </c>
      <c r="M164" s="4" t="inlineStr">
        <is>
          <t>M²</t>
        </is>
      </c>
      <c r="N164" s="5" t="n">
        <v>15.77</v>
      </c>
      <c r="O164" s="6" t="n">
        <v>0</v>
      </c>
      <c r="P164" s="6" t="n">
        <v>0</v>
      </c>
      <c r="Q164" s="5" t="n"/>
      <c r="R164" s="6" t="n"/>
      <c r="S164" s="6">
        <f>IF(AND(Q164&lt;&gt;"",R164&lt;&gt;""),Q164*R164,"")</f>
        <v/>
      </c>
      <c r="T164" s="6">
        <f>IF(S164="",P164,S164)</f>
        <v/>
      </c>
      <c r="U164" s="7" t="n">
        <v>0</v>
      </c>
      <c r="V164" s="6">
        <f>$T164*U164</f>
        <v/>
      </c>
      <c r="W164" s="7" t="n">
        <v>0</v>
      </c>
      <c r="X164" s="6">
        <f>$T164*W164</f>
        <v/>
      </c>
      <c r="Y164" s="7" t="n">
        <v>0</v>
      </c>
      <c r="Z164" s="6">
        <f>$T164*Y164</f>
        <v/>
      </c>
      <c r="AA164" s="7" t="n">
        <v>0</v>
      </c>
      <c r="AB164" s="6">
        <f>$T164*AA164</f>
        <v/>
      </c>
      <c r="AC164" s="7" t="n">
        <v>0</v>
      </c>
      <c r="AD164" s="6">
        <f>$T164*AC164</f>
        <v/>
      </c>
      <c r="AE164" s="7" t="n">
        <v>0</v>
      </c>
      <c r="AF164" s="6">
        <f>$T164*AE164</f>
        <v/>
      </c>
      <c r="AG164" s="7" t="n">
        <v>0</v>
      </c>
      <c r="AH164" s="6">
        <f>$T164*AG164</f>
        <v/>
      </c>
      <c r="AI164" s="7">
        <f>U164+W164+Y164+AA164+AC164+AE164+AG164</f>
        <v/>
      </c>
      <c r="AJ164" s="6">
        <f>V164+X164+Z164+AB164+AD164+AF164+AH164</f>
        <v/>
      </c>
    </row>
    <row r="165" ht="18" customHeight="1" s="35">
      <c r="A165" s="3" t="inlineStr">
        <is>
          <t>LOM241.1M.11.050.0010.C</t>
        </is>
      </c>
      <c r="B165" s="4" t="inlineStr">
        <is>
          <t>1/1</t>
        </is>
      </c>
      <c r="C165" s="3" t="inlineStr">
        <is>
          <t>EDILE</t>
        </is>
      </c>
      <c r="D165" s="4" t="inlineStr">
        <is>
          <t>SPECIALE</t>
        </is>
      </c>
      <c r="E165" s="4" t="inlineStr">
        <is>
          <t>EDILI SPECIALI</t>
        </is>
      </c>
      <c r="F165" s="3" t="inlineStr">
        <is>
          <t>1_2025.11.20_CME REV07.PDF</t>
        </is>
      </c>
      <c r="G165" s="4" t="inlineStr">
        <is>
          <t>160</t>
        </is>
      </c>
      <c r="H165" s="3" t="inlineStr">
        <is>
          <t>60 - FINITURE</t>
        </is>
      </c>
      <c r="I165" s="3" t="inlineStr">
        <is>
          <t>NUOVI LABORATORI</t>
        </is>
      </c>
      <c r="J165" s="3" t="inlineStr">
        <is>
          <t>SANITARI</t>
        </is>
      </c>
      <c r="K165" s="3" t="inlineStr">
        <is>
          <t>PIATTI DOCCIA COLORE BIANCO: - IN ACRILICO, DA 80 X 80 CM</t>
        </is>
      </c>
      <c r="L165" s="3" t="inlineStr">
        <is>
          <t>PIATTI DOCCIA COLORE BIANCO: - IN ACRILICO, DA 80 X 80 CM</t>
        </is>
      </c>
      <c r="M165" s="4" t="inlineStr">
        <is>
          <t>CAD</t>
        </is>
      </c>
      <c r="N165" s="5" t="n">
        <v>1</v>
      </c>
      <c r="O165" s="6" t="n">
        <v>764.3099999999999</v>
      </c>
      <c r="P165" s="6" t="n">
        <v>764.3099999999999</v>
      </c>
      <c r="Q165" s="5" t="n"/>
      <c r="R165" s="6" t="n"/>
      <c r="S165" s="6">
        <f>IF(AND(Q165&lt;&gt;"",R165&lt;&gt;""),Q165*R165,"")</f>
        <v/>
      </c>
      <c r="T165" s="6">
        <f>IF(S165="",P165,S165)</f>
        <v/>
      </c>
      <c r="U165" s="7" t="n">
        <v>0</v>
      </c>
      <c r="V165" s="6">
        <f>$T165*U165</f>
        <v/>
      </c>
      <c r="W165" s="7" t="n">
        <v>0</v>
      </c>
      <c r="X165" s="6">
        <f>$T165*W165</f>
        <v/>
      </c>
      <c r="Y165" s="7" t="n">
        <v>0</v>
      </c>
      <c r="Z165" s="6">
        <f>$T165*Y165</f>
        <v/>
      </c>
      <c r="AA165" s="7" t="n">
        <v>0</v>
      </c>
      <c r="AB165" s="6">
        <f>$T165*AA165</f>
        <v/>
      </c>
      <c r="AC165" s="7" t="n">
        <v>0</v>
      </c>
      <c r="AD165" s="6">
        <f>$T165*AC165</f>
        <v/>
      </c>
      <c r="AE165" s="7" t="n">
        <v>0</v>
      </c>
      <c r="AF165" s="6">
        <f>$T165*AE165</f>
        <v/>
      </c>
      <c r="AG165" s="7" t="n">
        <v>0</v>
      </c>
      <c r="AH165" s="6">
        <f>$T165*AG165</f>
        <v/>
      </c>
      <c r="AI165" s="7">
        <f>U165+W165+Y165+AA165+AC165+AE165+AG165</f>
        <v/>
      </c>
      <c r="AJ165" s="6">
        <f>V165+X165+Z165+AB165+AD165+AF165+AH165</f>
        <v/>
      </c>
    </row>
    <row r="166" ht="42" customHeight="1" s="35">
      <c r="A166" s="3" t="inlineStr">
        <is>
          <t>LOM241.1M.11.030.0010.B</t>
        </is>
      </c>
      <c r="B166" s="4" t="inlineStr">
        <is>
          <t>1/1</t>
        </is>
      </c>
      <c r="C166" s="3" t="inlineStr">
        <is>
          <t>EDILE</t>
        </is>
      </c>
      <c r="D166" s="4" t="inlineStr">
        <is>
          <t>SPECIALE</t>
        </is>
      </c>
      <c r="E166" s="4" t="inlineStr">
        <is>
          <t>EDILI SPECIALI</t>
        </is>
      </c>
      <c r="F166" s="3" t="inlineStr">
        <is>
          <t>1_2025.11.20_CME REV07.PDF</t>
        </is>
      </c>
      <c r="G166" s="4" t="inlineStr">
        <is>
          <t>161</t>
        </is>
      </c>
      <c r="H166" s="3" t="inlineStr">
        <is>
          <t>60 - FINITURE</t>
        </is>
      </c>
      <c r="I166" s="3" t="inlineStr">
        <is>
          <t>NUOVI LABORATORI</t>
        </is>
      </c>
      <c r="J166" s="3" t="inlineStr">
        <is>
          <t>SANITARI</t>
        </is>
      </c>
      <c r="K166" s="3" t="inlineStr">
        <is>
          <t>BIDET IN VETROCHINA COLORE BIANCO: - SOSPESO IN VETROCHINA COLORE BIANCO, COMPLETO DI TELAIO METALLICO DA INCASSO E MENSOLE</t>
        </is>
      </c>
      <c r="L166" s="3" t="inlineStr">
        <is>
          <t>BIDET IN VETROCHINA COLORE BIANCO: - SOSPESO IN VETROCHINA COLORE BIANCO, COMPLETO DI TELAIO METALLICO DA INCASSO E MENSOLE</t>
        </is>
      </c>
      <c r="M166" s="4" t="inlineStr">
        <is>
          <t>CAD</t>
        </is>
      </c>
      <c r="N166" s="5" t="n">
        <v>2</v>
      </c>
      <c r="O166" s="6" t="n">
        <v>342.51</v>
      </c>
      <c r="P166" s="6" t="n">
        <v>685.02</v>
      </c>
      <c r="Q166" s="5" t="n"/>
      <c r="R166" s="6" t="n"/>
      <c r="S166" s="6">
        <f>IF(AND(Q166&lt;&gt;"",R166&lt;&gt;""),Q166*R166,"")</f>
        <v/>
      </c>
      <c r="T166" s="6">
        <f>IF(S166="",P166,S166)</f>
        <v/>
      </c>
      <c r="U166" s="7" t="n">
        <v>0</v>
      </c>
      <c r="V166" s="6">
        <f>$T166*U166</f>
        <v/>
      </c>
      <c r="W166" s="7" t="n">
        <v>0</v>
      </c>
      <c r="X166" s="6">
        <f>$T166*W166</f>
        <v/>
      </c>
      <c r="Y166" s="7" t="n">
        <v>0</v>
      </c>
      <c r="Z166" s="6">
        <f>$T166*Y166</f>
        <v/>
      </c>
      <c r="AA166" s="7" t="n">
        <v>0</v>
      </c>
      <c r="AB166" s="6">
        <f>$T166*AA166</f>
        <v/>
      </c>
      <c r="AC166" s="7" t="n">
        <v>0</v>
      </c>
      <c r="AD166" s="6">
        <f>$T166*AC166</f>
        <v/>
      </c>
      <c r="AE166" s="7" t="n">
        <v>0</v>
      </c>
      <c r="AF166" s="6">
        <f>$T166*AE166</f>
        <v/>
      </c>
      <c r="AG166" s="7" t="n">
        <v>0</v>
      </c>
      <c r="AH166" s="6">
        <f>$T166*AG166</f>
        <v/>
      </c>
      <c r="AI166" s="7">
        <f>U166+W166+Y166+AA166+AC166+AE166+AG166</f>
        <v/>
      </c>
      <c r="AJ166" s="6">
        <f>V166+X166+Z166+AB166+AD166+AF166+AH166</f>
        <v/>
      </c>
    </row>
    <row r="167" ht="30" customHeight="1" s="35">
      <c r="A167" s="3" t="inlineStr">
        <is>
          <t>LOM241.1M.11.020.0020.A</t>
        </is>
      </c>
      <c r="B167" s="4" t="inlineStr">
        <is>
          <t>1/1</t>
        </is>
      </c>
      <c r="C167" s="3" t="inlineStr">
        <is>
          <t>EDILE</t>
        </is>
      </c>
      <c r="D167" s="4" t="inlineStr">
        <is>
          <t>SPECIALE</t>
        </is>
      </c>
      <c r="E167" s="4" t="inlineStr">
        <is>
          <t>EDILI SPECIALI</t>
        </is>
      </c>
      <c r="F167" s="3" t="inlineStr">
        <is>
          <t>1_2025.11.20_CME REV07.PDF</t>
        </is>
      </c>
      <c r="G167" s="4" t="inlineStr">
        <is>
          <t>162</t>
        </is>
      </c>
      <c r="H167" s="3" t="inlineStr">
        <is>
          <t>60 - FINITURE</t>
        </is>
      </c>
      <c r="I167" s="3" t="inlineStr">
        <is>
          <t>NUOVI LABORATORI</t>
        </is>
      </c>
      <c r="J167" s="3" t="inlineStr">
        <is>
          <t>SANITARI</t>
        </is>
      </c>
      <c r="K167" s="3" t="inlineStr">
        <is>
          <t>LAVABI A CANALE IN FIRE-CLAY COLORE BIANCO: - DA 90 X 45 CM CIRCA, COMPLETO DI MENSOLE</t>
        </is>
      </c>
      <c r="L167" s="3" t="inlineStr">
        <is>
          <t>LAVABI A CANALE IN FIRE-CLAY COLORE BIANCO: - DA 90 X 45 CM CIRCA, COMPLETO DI MENSOLE</t>
        </is>
      </c>
      <c r="M167" s="4" t="inlineStr">
        <is>
          <t>CAD</t>
        </is>
      </c>
      <c r="N167" s="5" t="n">
        <v>4</v>
      </c>
      <c r="O167" s="6" t="n">
        <v>483.1</v>
      </c>
      <c r="P167" s="6" t="n">
        <v>1932.4</v>
      </c>
      <c r="Q167" s="5" t="n"/>
      <c r="R167" s="6" t="n"/>
      <c r="S167" s="6">
        <f>IF(AND(Q167&lt;&gt;"",R167&lt;&gt;""),Q167*R167,"")</f>
        <v/>
      </c>
      <c r="T167" s="6">
        <f>IF(S167="",P167,S167)</f>
        <v/>
      </c>
      <c r="U167" s="7" t="n">
        <v>0</v>
      </c>
      <c r="V167" s="6">
        <f>$T167*U167</f>
        <v/>
      </c>
      <c r="W167" s="7" t="n">
        <v>0</v>
      </c>
      <c r="X167" s="6">
        <f>$T167*W167</f>
        <v/>
      </c>
      <c r="Y167" s="7" t="n">
        <v>0</v>
      </c>
      <c r="Z167" s="6">
        <f>$T167*Y167</f>
        <v/>
      </c>
      <c r="AA167" s="7" t="n">
        <v>0</v>
      </c>
      <c r="AB167" s="6">
        <f>$T167*AA167</f>
        <v/>
      </c>
      <c r="AC167" s="7" t="n">
        <v>0</v>
      </c>
      <c r="AD167" s="6">
        <f>$T167*AC167</f>
        <v/>
      </c>
      <c r="AE167" s="7" t="n">
        <v>0</v>
      </c>
      <c r="AF167" s="6">
        <f>$T167*AE167</f>
        <v/>
      </c>
      <c r="AG167" s="7" t="n">
        <v>0</v>
      </c>
      <c r="AH167" s="6">
        <f>$T167*AG167</f>
        <v/>
      </c>
      <c r="AI167" s="7">
        <f>U167+W167+Y167+AA167+AC167+AE167+AG167</f>
        <v/>
      </c>
      <c r="AJ167" s="6">
        <f>V167+X167+Z167+AB167+AD167+AF167+AH167</f>
        <v/>
      </c>
    </row>
    <row r="168" ht="42" customHeight="1" s="35">
      <c r="A168" s="3" t="inlineStr">
        <is>
          <t>LOM241.1M.11.010.0010.D</t>
        </is>
      </c>
      <c r="B168" s="4" t="inlineStr">
        <is>
          <t>1/1</t>
        </is>
      </c>
      <c r="C168" s="3" t="inlineStr">
        <is>
          <t>EDILE</t>
        </is>
      </c>
      <c r="D168" s="4" t="inlineStr">
        <is>
          <t>SPECIALE</t>
        </is>
      </c>
      <c r="E168" s="4" t="inlineStr">
        <is>
          <t>EDILI SPECIALI</t>
        </is>
      </c>
      <c r="F168" s="3" t="inlineStr">
        <is>
          <t>1_2025.11.20_CME REV07.PDF</t>
        </is>
      </c>
      <c r="G168" s="4" t="inlineStr">
        <is>
          <t>163</t>
        </is>
      </c>
      <c r="H168" s="3" t="inlineStr">
        <is>
          <t>60 - FINITURE</t>
        </is>
      </c>
      <c r="I168" s="3" t="inlineStr">
        <is>
          <t>NUOVI LABORATORI</t>
        </is>
      </c>
      <c r="J168" s="3" t="inlineStr">
        <is>
          <t>SANITARI</t>
        </is>
      </c>
      <c r="K168" s="3" t="inlineStr">
        <is>
          <t>VASI IGIENICI A SEDERE IN VETROCHINA COLORE BIANCO: - SOSPESO, COMPLETO DI TELAIO METALLICO DA INCASSO, MENSOLE, RACCORDO DI SCARICO E GUARNIZIONI</t>
        </is>
      </c>
      <c r="L168" s="3" t="inlineStr">
        <is>
          <t>VASI IGIENICI A SEDERE IN VETROCHINA COLORE BIANCO: - SOSPESO, COMPLETO DI TELAIO METALLICO DA INCASSO, MENSOLE, RACCORDO DI SCARICO E GUARNIZIONI</t>
        </is>
      </c>
      <c r="M168" s="4" t="inlineStr">
        <is>
          <t>CAD</t>
        </is>
      </c>
      <c r="N168" s="5" t="n">
        <v>4</v>
      </c>
      <c r="O168" s="6" t="n">
        <v>693.65</v>
      </c>
      <c r="P168" s="6" t="n">
        <v>2774.6</v>
      </c>
      <c r="Q168" s="5" t="n"/>
      <c r="R168" s="6" t="n"/>
      <c r="S168" s="6">
        <f>IF(AND(Q168&lt;&gt;"",R168&lt;&gt;""),Q168*R168,"")</f>
        <v/>
      </c>
      <c r="T168" s="6">
        <f>IF(S168="",P168,S168)</f>
        <v/>
      </c>
      <c r="U168" s="7" t="n">
        <v>0</v>
      </c>
      <c r="V168" s="6">
        <f>$T168*U168</f>
        <v/>
      </c>
      <c r="W168" s="7" t="n">
        <v>0.25</v>
      </c>
      <c r="X168" s="6">
        <f>$T168*W168</f>
        <v/>
      </c>
      <c r="Y168" s="7" t="n">
        <v>0</v>
      </c>
      <c r="Z168" s="6">
        <f>$T168*Y168</f>
        <v/>
      </c>
      <c r="AA168" s="7" t="n">
        <v>0</v>
      </c>
      <c r="AB168" s="6">
        <f>$T168*AA168</f>
        <v/>
      </c>
      <c r="AC168" s="7" t="n">
        <v>0</v>
      </c>
      <c r="AD168" s="6">
        <f>$T168*AC168</f>
        <v/>
      </c>
      <c r="AE168" s="7" t="n">
        <v>0</v>
      </c>
      <c r="AF168" s="6">
        <f>$T168*AE168</f>
        <v/>
      </c>
      <c r="AG168" s="7" t="n">
        <v>0</v>
      </c>
      <c r="AH168" s="6">
        <f>$T168*AG168</f>
        <v/>
      </c>
      <c r="AI168" s="7">
        <f>U168+W168+Y168+AA168+AC168+AE168+AG168</f>
        <v/>
      </c>
      <c r="AJ168" s="6">
        <f>V168+X168+Z168+AB168+AD168+AF168+AH168</f>
        <v/>
      </c>
    </row>
    <row r="169" ht="60" customHeight="1" s="35">
      <c r="A169" s="3" t="inlineStr">
        <is>
          <t>LOM241.1M.11.080.0020.B</t>
        </is>
      </c>
      <c r="B169" s="4" t="inlineStr">
        <is>
          <t>1/1</t>
        </is>
      </c>
      <c r="C169" s="3" t="inlineStr">
        <is>
          <t>EDILE</t>
        </is>
      </c>
      <c r="D169" s="4" t="inlineStr">
        <is>
          <t>SPECIALE</t>
        </is>
      </c>
      <c r="E169" s="4" t="inlineStr">
        <is>
          <t>EDILI SPECIALI</t>
        </is>
      </c>
      <c r="F169" s="3" t="inlineStr">
        <is>
          <t>1_2025.11.20_CME REV07.PDF</t>
        </is>
      </c>
      <c r="G169" s="4" t="inlineStr">
        <is>
          <t>164</t>
        </is>
      </c>
      <c r="H169" s="3" t="inlineStr">
        <is>
          <t>60 - FINITURE</t>
        </is>
      </c>
      <c r="I169" s="3" t="inlineStr">
        <is>
          <t>NUOVI LABORATORI</t>
        </is>
      </c>
      <c r="J169" s="3" t="inlineStr">
        <is>
          <t>SANITARI</t>
        </is>
      </c>
      <c r="K169" s="3" t="inlineStr">
        <is>
          <t>LAVABI PER DISABILI CON BORDI ARROTONDATI, POGGIAGOMITI E PARASPRUZZI, IN CERAMICA COLORE BIANCO, FRONTE CONCAVO PER AGEVOLARE L'AVVICINAMENTO ALLE PERSONE CHE UTILIZZANO LA CARROZZINA, COMPLETO DI RU</t>
        </is>
      </c>
      <c r="L169" s="3" t="inlineStr">
        <is>
          <t>LAVABI PER DISABILI CON BORDI ARROTONDATI, POGGIAGOMITI E PARASPRUZZI, IN CERAMICA COLORE BIANCO, FRONTE CONCAVO PER AGEVOLARE L'AVVICINAMENTO ALLE PERSONE CHE UTILIZZANO LA CARROZZINA, COMPLETO DI RUBINETTO MISCELATORE MONOCOMANDO A LEVA LUNGA A BOCCHELLO ESTRAIBILE, 2 RACCORDI FLESSIBILI CON ROSETTA, PILETTA CON GRIGLIA, SIFONE A SCARICO FLESSIBILE, GUARNIZIONI E MENSOLE: - RECLINABILE CON DISPOSITIVO MECCANICO</t>
        </is>
      </c>
      <c r="M169" s="4" t="inlineStr">
        <is>
          <t>CAD</t>
        </is>
      </c>
      <c r="N169" s="5" t="n">
        <v>1</v>
      </c>
      <c r="O169" s="6" t="n">
        <v>385.77</v>
      </c>
      <c r="P169" s="6" t="n">
        <v>385.77</v>
      </c>
      <c r="Q169" s="5" t="n"/>
      <c r="R169" s="6" t="n"/>
      <c r="S169" s="6">
        <f>IF(AND(Q169&lt;&gt;"",R169&lt;&gt;""),Q169*R169,"")</f>
        <v/>
      </c>
      <c r="T169" s="6">
        <f>IF(S169="",P169,S169)</f>
        <v/>
      </c>
      <c r="U169" s="7" t="n">
        <v>0</v>
      </c>
      <c r="V169" s="6">
        <f>$T169*U169</f>
        <v/>
      </c>
      <c r="W169" s="7" t="n">
        <v>0</v>
      </c>
      <c r="X169" s="6">
        <f>$T169*W169</f>
        <v/>
      </c>
      <c r="Y169" s="7" t="n">
        <v>0</v>
      </c>
      <c r="Z169" s="6">
        <f>$T169*Y169</f>
        <v/>
      </c>
      <c r="AA169" s="7" t="n">
        <v>0</v>
      </c>
      <c r="AB169" s="6">
        <f>$T169*AA169</f>
        <v/>
      </c>
      <c r="AC169" s="7" t="n">
        <v>0</v>
      </c>
      <c r="AD169" s="6">
        <f>$T169*AC169</f>
        <v/>
      </c>
      <c r="AE169" s="7" t="n">
        <v>0</v>
      </c>
      <c r="AF169" s="6">
        <f>$T169*AE169</f>
        <v/>
      </c>
      <c r="AG169" s="7" t="n">
        <v>0</v>
      </c>
      <c r="AH169" s="6">
        <f>$T169*AG169</f>
        <v/>
      </c>
      <c r="AI169" s="7">
        <f>U169+W169+Y169+AA169+AC169+AE169+AG169</f>
        <v/>
      </c>
      <c r="AJ169" s="6">
        <f>V169+X169+Z169+AB169+AD169+AF169+AH169</f>
        <v/>
      </c>
    </row>
    <row r="170" ht="54" customHeight="1" s="35">
      <c r="A170" s="3" t="inlineStr">
        <is>
          <t>LOM241.1M.11.080.0040.A</t>
        </is>
      </c>
      <c r="B170" s="4" t="inlineStr">
        <is>
          <t>1/1</t>
        </is>
      </c>
      <c r="C170" s="3" t="inlineStr">
        <is>
          <t>EDILE</t>
        </is>
      </c>
      <c r="D170" s="4" t="inlineStr">
        <is>
          <t>SPECIALE</t>
        </is>
      </c>
      <c r="E170" s="4" t="inlineStr">
        <is>
          <t>EDILI SPECIALI</t>
        </is>
      </c>
      <c r="F170" s="3" t="inlineStr">
        <is>
          <t>1_2025.11.20_CME REV07.PDF</t>
        </is>
      </c>
      <c r="G170" s="4" t="inlineStr">
        <is>
          <t>165</t>
        </is>
      </c>
      <c r="H170" s="3" t="inlineStr">
        <is>
          <t>60 - FINITURE</t>
        </is>
      </c>
      <c r="I170" s="3" t="inlineStr">
        <is>
          <t>NUOVI LABORATORI</t>
        </is>
      </c>
      <c r="J170" s="3" t="inlineStr">
        <is>
          <t>SANITARI</t>
        </is>
      </c>
      <c r="K170" s="3" t="inlineStr">
        <is>
          <t>COMPLETAMENTI VARI PER LOCALI IGIENICI DISABILI: - SERIE COMPLETA DI MANIGLIONI ORIZZONTALI E VERTICALI PER LOCALE IGIENICO TIPO IN MATERIALE ANTI-SCIVOLO E ANTI-SCOSSA, COMPLETI DI TASSELLI DI FISSAG</t>
        </is>
      </c>
      <c r="L170" s="3" t="inlineStr">
        <is>
          <t>COMPLETAMENTI VARI PER LOCALI IGIENICI DISABILI: - SERIE COMPLETA DI MANIGLIONI ORIZZONTALI E VERTICALI PER LOCALE IGIENICO TIPO IN MATERIALE ANTI-SCIVOLO E ANTI-SCOSSA, COMPLETI DI TASSELLI DI FISSAGGIO.</t>
        </is>
      </c>
      <c r="M170" s="4" t="inlineStr">
        <is>
          <t>CAD</t>
        </is>
      </c>
      <c r="N170" s="5" t="n">
        <v>1</v>
      </c>
      <c r="O170" s="6" t="n">
        <v>331.68</v>
      </c>
      <c r="P170" s="6" t="n">
        <v>331.68</v>
      </c>
      <c r="Q170" s="5" t="n"/>
      <c r="R170" s="6" t="n"/>
      <c r="S170" s="6">
        <f>IF(AND(Q170&lt;&gt;"",R170&lt;&gt;""),Q170*R170,"")</f>
        <v/>
      </c>
      <c r="T170" s="6">
        <f>IF(S170="",P170,S170)</f>
        <v/>
      </c>
      <c r="U170" s="7" t="n">
        <v>0</v>
      </c>
      <c r="V170" s="6">
        <f>$T170*U170</f>
        <v/>
      </c>
      <c r="W170" s="7" t="n">
        <v>0</v>
      </c>
      <c r="X170" s="6">
        <f>$T170*W170</f>
        <v/>
      </c>
      <c r="Y170" s="7" t="n">
        <v>0</v>
      </c>
      <c r="Z170" s="6">
        <f>$T170*Y170</f>
        <v/>
      </c>
      <c r="AA170" s="7" t="n">
        <v>0</v>
      </c>
      <c r="AB170" s="6">
        <f>$T170*AA170</f>
        <v/>
      </c>
      <c r="AC170" s="7" t="n">
        <v>0</v>
      </c>
      <c r="AD170" s="6">
        <f>$T170*AC170</f>
        <v/>
      </c>
      <c r="AE170" s="7" t="n">
        <v>0</v>
      </c>
      <c r="AF170" s="6">
        <f>$T170*AE170</f>
        <v/>
      </c>
      <c r="AG170" s="7" t="n">
        <v>0</v>
      </c>
      <c r="AH170" s="6">
        <f>$T170*AG170</f>
        <v/>
      </c>
      <c r="AI170" s="7">
        <f>U170+W170+Y170+AA170+AC170+AE170+AG170</f>
        <v/>
      </c>
      <c r="AJ170" s="6">
        <f>V170+X170+Z170+AB170+AD170+AF170+AH170</f>
        <v/>
      </c>
    </row>
    <row r="171" ht="60" customHeight="1" s="35">
      <c r="A171" s="3" t="inlineStr">
        <is>
          <t>LOM241.1M.11.080.0005.D</t>
        </is>
      </c>
      <c r="B171" s="4" t="inlineStr">
        <is>
          <t>1/1</t>
        </is>
      </c>
      <c r="C171" s="3" t="inlineStr">
        <is>
          <t>EDILE</t>
        </is>
      </c>
      <c r="D171" s="4" t="inlineStr">
        <is>
          <t>SPECIALE</t>
        </is>
      </c>
      <c r="E171" s="4" t="inlineStr">
        <is>
          <t>EDILI SPECIALI</t>
        </is>
      </c>
      <c r="F171" s="3" t="inlineStr">
        <is>
          <t>1_2025.11.20_CME REV07.PDF</t>
        </is>
      </c>
      <c r="G171" s="4" t="inlineStr">
        <is>
          <t>166</t>
        </is>
      </c>
      <c r="H171" s="3" t="inlineStr">
        <is>
          <t>60 - FINITURE</t>
        </is>
      </c>
      <c r="I171" s="3" t="inlineStr">
        <is>
          <t>NUOVI LABORATORI</t>
        </is>
      </c>
      <c r="J171" s="3" t="inlineStr">
        <is>
          <t>SANITARI</t>
        </is>
      </c>
      <c r="K171" s="3" t="inlineStr">
        <is>
          <t>VASO-BIDET PER DISABILI, PRODOTTI A NORMA D.P.R. 503/96.: - SOSPESO IN CERAMICA BIANCA, CON CATINO ALLUNGATO, APERTURA ANTERIORE PER CONSENTIRE UN AGEVOLE PASSAGGIO DELLA MANO E DELLA DOCCETTA ESTERNA</t>
        </is>
      </c>
      <c r="L171" s="3" t="inlineStr">
        <is>
          <t>VASO-BIDET PER DISABILI, PRODOTTI A NORMA D.P.R. 503/96.: - SOSPESO IN CERAMICA BIANCA, CON CATINO ALLUNGATO, APERTURA ANTERIORE PER CONSENTIRE UN AGEVOLE PASSAGGIO DELLA MANO E DELLA DOCCETTA ESTERNA PER USO BIDET, COMPLETO DI: TELAIO METALLICO DA INCASSO, MENSOLE, VITI DI FISSAGGIO, RACCORDO DI SCARICO/CARICO, GUARNIZIONI.</t>
        </is>
      </c>
      <c r="M171" s="4" t="inlineStr">
        <is>
          <t>CAD</t>
        </is>
      </c>
      <c r="N171" s="5" t="n">
        <v>1</v>
      </c>
      <c r="O171" s="6" t="n">
        <v>796.77</v>
      </c>
      <c r="P171" s="6" t="n">
        <v>796.77</v>
      </c>
      <c r="Q171" s="5" t="n"/>
      <c r="R171" s="6" t="n"/>
      <c r="S171" s="6">
        <f>IF(AND(Q171&lt;&gt;"",R171&lt;&gt;""),Q171*R171,"")</f>
        <v/>
      </c>
      <c r="T171" s="6">
        <f>IF(S171="",P171,S171)</f>
        <v/>
      </c>
      <c r="U171" s="7" t="n">
        <v>0</v>
      </c>
      <c r="V171" s="6">
        <f>$T171*U171</f>
        <v/>
      </c>
      <c r="W171" s="7" t="n">
        <v>0</v>
      </c>
      <c r="X171" s="6">
        <f>$T171*W171</f>
        <v/>
      </c>
      <c r="Y171" s="7" t="n">
        <v>0</v>
      </c>
      <c r="Z171" s="6">
        <f>$T171*Y171</f>
        <v/>
      </c>
      <c r="AA171" s="7" t="n">
        <v>0</v>
      </c>
      <c r="AB171" s="6">
        <f>$T171*AA171</f>
        <v/>
      </c>
      <c r="AC171" s="7" t="n">
        <v>0</v>
      </c>
      <c r="AD171" s="6">
        <f>$T171*AC171</f>
        <v/>
      </c>
      <c r="AE171" s="7" t="n">
        <v>0</v>
      </c>
      <c r="AF171" s="6">
        <f>$T171*AE171</f>
        <v/>
      </c>
      <c r="AG171" s="7" t="n">
        <v>0</v>
      </c>
      <c r="AH171" s="6">
        <f>$T171*AG171</f>
        <v/>
      </c>
      <c r="AI171" s="7">
        <f>U171+W171+Y171+AA171+AC171+AE171+AG171</f>
        <v/>
      </c>
      <c r="AJ171" s="6">
        <f>V171+X171+Z171+AB171+AD171+AF171+AH171</f>
        <v/>
      </c>
    </row>
    <row r="172" ht="60" customHeight="1" s="35">
      <c r="A172" s="3" t="inlineStr">
        <is>
          <t>DEI_IT_035187B</t>
        </is>
      </c>
      <c r="B172" s="4" t="inlineStr">
        <is>
          <t>1/2</t>
        </is>
      </c>
      <c r="C172" s="3" t="inlineStr">
        <is>
          <t>IMPIANTO MECCANICO</t>
        </is>
      </c>
      <c r="D172" s="4" t="inlineStr">
        <is>
          <t>NON SPECIALE</t>
        </is>
      </c>
      <c r="E172" s="4" t="inlineStr">
        <is>
          <t>MECCANICHE</t>
        </is>
      </c>
      <c r="F172" s="3" t="inlineStr">
        <is>
          <t>2_CME_TOTALE MECCANICI RADIOFARMACIA PAVIA.PDF</t>
        </is>
      </c>
      <c r="G172" s="4" t="inlineStr">
        <is>
          <t>122/122</t>
        </is>
      </c>
      <c r="H172" s="3" t="inlineStr">
        <is>
          <t>40 - IMPIANTISTICO</t>
        </is>
      </c>
      <c r="I172" s="3" t="inlineStr">
        <is>
          <t>P. TERRA - UFFICI</t>
        </is>
      </c>
      <c r="J172" s="3" t="inlineStr">
        <is>
          <t>IMPIANTO HVAC</t>
        </is>
      </c>
      <c r="K172" s="3" t="inlineStr">
        <is>
          <t>CONDOTTA PER LA TERMOVENTILAZIONE E IL CONDIZIONAMENTO DELL'ARIA, REALIZZATA CON PANNELLI SANDWICH DI SPESSORE 20,5 MM, CON TRATTAMENTO AUTOPULENTE E ANTIMICROBICO, AD EFFETTO LOTO, CHE AGEVOLA LA RIM</t>
        </is>
      </c>
      <c r="L172" s="3" t="inlineStr">
        <is>
          <t>CONDOTTA PER LA TERMOVENTILAZIONE E IL CONDIZIONAMENTO DELL'ARIA, REALIZZATA CON PANNELLI SANDWICH DI SPESSORE 20,5 MM, CON TRATTAMENTO AUTOPULENTE E ANTIMICROBICO, AD EFFETTO LOTO, CHE AGEVOLA LA RIMOZIONE DEL PARTICOLATO SOLIDO DEPOSITATO SULLA SUPERFICIE INTERNA DEL CANALE MIGLIORANDO NEL CONTEMPO L'EFFICACIA ANTIMICROBICA, COSTITUITI DA UN'ANIMA DI SCHIUMA POLIURETANICA ESPANSA AD ACQUA, SENZA USO DI CFC, HCFC, HFC E HC, ESPANDENTE DELL'ISOLANTE CON ODP (OZONE DEPLETION POTENTIAL) = 0 E GWP (GLOBAL WARMING POTENTIAL) = 0, RIVESTITA SUL LATO INTERNO CON UNA LAMINA DI ALLUMINIO LISCIO CON TRATTAMENTO AUTOPULENTE E ANTIMICROBICO E ALL'ESTERNO CON UNA LAMINA DI ALLUMINIO GOFFRATO, CONDUTTIVITÀ TERMICA INIZIALE 0,022 W/MK, CLASSE DI REAZIONE AL FUOCO 0-1, CLASSIFICAZIONE DEI FUMI DI COMBUSTIONE F1 SECONDO NF F 16 101, COMPLETA DI ACCESSORI PER IL CORRETTO MONTAGGIO E SFRIDO DI LAVORAZIONE, POSTA IN OPERA AD UN'ALTEZZA MASSIMA DI 4,00 M DAL PIANO DI CALPESTIO: PER AMBIENTI INTERNI, DENSITÀ 50 ÷ 54 KG/MC, SPESSORE PANNELLO 20,5 MM: SPESSORE ALLUMINIO INTERNO 80 MICRON ED ESTERNO 80 MICRON</t>
        </is>
      </c>
      <c r="M172" s="4" t="inlineStr">
        <is>
          <t>MQ</t>
        </is>
      </c>
      <c r="N172" s="5" t="n">
        <v>75</v>
      </c>
      <c r="O172" s="6" t="n">
        <v>70.56</v>
      </c>
      <c r="P172" s="6" t="n">
        <v>5292</v>
      </c>
      <c r="Q172" s="5" t="n"/>
      <c r="R172" s="6" t="n"/>
      <c r="S172" s="6">
        <f>IF(AND(Q172&lt;&gt;"",R172&lt;&gt;""),Q172*R172,"")</f>
        <v/>
      </c>
      <c r="T172" s="6">
        <f>IF(S172="",P172,S172)</f>
        <v/>
      </c>
      <c r="U172" s="7" t="n">
        <v>0</v>
      </c>
      <c r="V172" s="6">
        <f>$T172*U172</f>
        <v/>
      </c>
      <c r="W172" s="7" t="n">
        <v>0.4</v>
      </c>
      <c r="X172" s="6">
        <f>$T172*W172</f>
        <v/>
      </c>
      <c r="Y172" s="7" t="n">
        <v>0</v>
      </c>
      <c r="Z172" s="6">
        <f>$T172*Y172</f>
        <v/>
      </c>
      <c r="AA172" s="7" t="n">
        <v>0</v>
      </c>
      <c r="AB172" s="6">
        <f>$T172*AA172</f>
        <v/>
      </c>
      <c r="AC172" s="7" t="n">
        <v>0</v>
      </c>
      <c r="AD172" s="6">
        <f>$T172*AC172</f>
        <v/>
      </c>
      <c r="AE172" s="7" t="n">
        <v>0</v>
      </c>
      <c r="AF172" s="6">
        <f>$T172*AE172</f>
        <v/>
      </c>
      <c r="AG172" s="7" t="n">
        <v>0</v>
      </c>
      <c r="AH172" s="6">
        <f>$T172*AG172</f>
        <v/>
      </c>
      <c r="AI172" s="7">
        <f>U172+W172+Y172+AA172+AC172+AE172+AG172</f>
        <v/>
      </c>
      <c r="AJ172" s="6">
        <f>V172+X172+Z172+AB172+AD172+AF172+AH172</f>
        <v/>
      </c>
    </row>
    <row r="173" ht="60" customHeight="1" s="35">
      <c r="A173" s="3" t="inlineStr">
        <is>
          <t>LOM251.OC.EEA.PA29.F8210.SA000.0005</t>
        </is>
      </c>
      <c r="B173" s="4" t="inlineStr">
        <is>
          <t>1/1</t>
        </is>
      </c>
      <c r="C173" s="3" t="inlineStr">
        <is>
          <t>IMPIANTO MECCANICO</t>
        </is>
      </c>
      <c r="D173" s="4" t="inlineStr">
        <is>
          <t>NON SPECIALE</t>
        </is>
      </c>
      <c r="E173" s="4" t="inlineStr">
        <is>
          <t>MECCANICHE</t>
        </is>
      </c>
      <c r="F173" s="3" t="inlineStr">
        <is>
          <t>2_CME_TOTALE MECCANICI RADIOFARMACIA PAVIA.PDF</t>
        </is>
      </c>
      <c r="G173" s="4" t="inlineStr">
        <is>
          <t>123/123</t>
        </is>
      </c>
      <c r="H173" s="3" t="inlineStr">
        <is>
          <t>40 - IMPIANTISTICO</t>
        </is>
      </c>
      <c r="I173" s="3" t="inlineStr">
        <is>
          <t>P. TERRA - UFFICI</t>
        </is>
      </c>
      <c r="J173" s="3" t="inlineStr">
        <is>
          <t>IMPIANTO HVAC</t>
        </is>
      </c>
      <c r="K173" s="3" t="inlineStr">
        <is>
          <t>OPERA: DIFFUSORE, A CONI REGOLABILI DI LEGA ALLUMINIO GENERICO; GEOMETRIA: CIRCOLARE; FUNZIONE: DIFFUSIONE ARIA; IMPIEGO: IMPIANTO DI CONDIZIONAMENTO; DIAMETRO (Ø) [MM] = 200. INCLUSO: SERRANDA DI REG</t>
        </is>
      </c>
      <c r="L173" s="3" t="inlineStr">
        <is>
          <t>OPERA: DIFFUSORE, A CONI REGOLABILI DI LEGA ALLUMINIO GENERICO; GEOMETRIA: CIRCOLARE; FUNZIONE: DIFFUSIONE ARIA; IMPIEGO: IMPIANTO DI CONDIZIONAMENTO; DIAMETRO (Ø) [MM] = 200. INCLUSO: SERRANDA DI REGOLAZIONE. 
LAVORO: MONTAGGIO. 
SPECIFICHE TECNICHE: MONTAGGIO A SOFFITTO O SU CANALI A VISTA; REGOLAZIONE DELLA PORTATA D'ARIA: ORIZZONTALE IN RAFFREDDAMENTO, VERTICALE IN RISCALDAMENTO. OP DIFFUSORE, A CONI REGOLABILI DI LEGA ALLUMINIO GENERICO; GEOMETRIA: CIRCOLARE; FUNZIONE: DIFFUSIONE ARIA; IMPIEGO: IMPIANTO DI CONDIZIONAMENTO; DIAMETRO (Ø) [MM] = 200. INCLUSO: SERRANDA DI REGOLAZIONE. 
SPECIFICHE TECNICHE: MONTAGGIO A SOFFITTO O SU CANALI A VISTA; REGOLAZIONE DELLA PORTATA D'ARIA: ORIZZONTALE IN RAFFREDDAMENTO, VERTICALE IN RISCALDAMENTO. 
RM DIFFUSORE A CONI REGOLABILI DI LEGA ALLUMINIO GENERICO; GEOMETRIA: CIRCOLARE; FUNZIONE: DIFFUSIONE ARIA; IMPIEGO: IMPIANTO DI CONDIZIONAMENTO; DIAMETRO (Ø) [MM] = 200. INCLUSO: SERRANDA DI REGOLAZIONE 
SPECIFICHE TECNICHE: MONTAGGIO A SOFFITTO O SU CANALI A VISTA; REGOLAZIONE DELLA PORTATA D'ARIA: ORIZZONTALE IN RAFFREDDAMENTO, VERTICALE IN RISCALDAMENTO 
LV MONTAGGIO.</t>
        </is>
      </c>
      <c r="M173" s="4" t="inlineStr">
        <is>
          <t>CAD</t>
        </is>
      </c>
      <c r="N173" s="5" t="n">
        <v>3</v>
      </c>
      <c r="O173" s="6" t="n">
        <v>213.46</v>
      </c>
      <c r="P173" s="6" t="n">
        <v>640.38</v>
      </c>
      <c r="Q173" s="5" t="n"/>
      <c r="R173" s="6" t="n"/>
      <c r="S173" s="6">
        <f>IF(AND(Q173&lt;&gt;"",R173&lt;&gt;""),Q173*R173,"")</f>
        <v/>
      </c>
      <c r="T173" s="6">
        <f>IF(S173="",P173,S173)</f>
        <v/>
      </c>
      <c r="U173" s="7" t="n">
        <v>0</v>
      </c>
      <c r="V173" s="6">
        <f>$T173*U173</f>
        <v/>
      </c>
      <c r="W173" s="7" t="n">
        <v>0</v>
      </c>
      <c r="X173" s="6">
        <f>$T173*W173</f>
        <v/>
      </c>
      <c r="Y173" s="7" t="n">
        <v>0</v>
      </c>
      <c r="Z173" s="6">
        <f>$T173*Y173</f>
        <v/>
      </c>
      <c r="AA173" s="7" t="n">
        <v>0</v>
      </c>
      <c r="AB173" s="6">
        <f>$T173*AA173</f>
        <v/>
      </c>
      <c r="AC173" s="7" t="n">
        <v>0</v>
      </c>
      <c r="AD173" s="6">
        <f>$T173*AC173</f>
        <v/>
      </c>
      <c r="AE173" s="7" t="n">
        <v>0</v>
      </c>
      <c r="AF173" s="6">
        <f>$T173*AE173</f>
        <v/>
      </c>
      <c r="AG173" s="7" t="n">
        <v>0</v>
      </c>
      <c r="AH173" s="6">
        <f>$T173*AG173</f>
        <v/>
      </c>
      <c r="AI173" s="7">
        <f>U173+W173+Y173+AA173+AC173+AE173+AG173</f>
        <v/>
      </c>
      <c r="AJ173" s="6">
        <f>V173+X173+Z173+AB173+AD173+AF173+AH173</f>
        <v/>
      </c>
    </row>
    <row r="174" ht="60" customHeight="1" s="35">
      <c r="A174" s="3" t="inlineStr">
        <is>
          <t>LOM251.OC.EEA.PA29.F8210.SA000.0010</t>
        </is>
      </c>
      <c r="B174" s="4" t="inlineStr">
        <is>
          <t>1/2</t>
        </is>
      </c>
      <c r="C174" s="3" t="inlineStr">
        <is>
          <t>IMPIANTO MECCANICO</t>
        </is>
      </c>
      <c r="D174" s="4" t="inlineStr">
        <is>
          <t>NON SPECIALE</t>
        </is>
      </c>
      <c r="E174" s="4" t="inlineStr">
        <is>
          <t>MECCANICHE</t>
        </is>
      </c>
      <c r="F174" s="3" t="inlineStr">
        <is>
          <t>2_CME_TOTALE MECCANICI RADIOFARMACIA PAVIA.PDF</t>
        </is>
      </c>
      <c r="G174" s="4" t="inlineStr">
        <is>
          <t>124/124</t>
        </is>
      </c>
      <c r="H174" s="3" t="inlineStr">
        <is>
          <t>40 - IMPIANTISTICO</t>
        </is>
      </c>
      <c r="I174" s="3" t="inlineStr">
        <is>
          <t>P. TERRA - UFFICI</t>
        </is>
      </c>
      <c r="J174" s="3" t="inlineStr">
        <is>
          <t>IMPIANTO HVAC</t>
        </is>
      </c>
      <c r="K174" s="3" t="inlineStr">
        <is>
          <t>OPERA: DIFFUSORE, A CONI REGOLABILI DI LEGA ALLUMINIO GENERICO; GEOMETRIA: CIRCOLARE; FUNZIONE: DIFFUSIONE ARIA; IMPIEGO: IMPIANTO DI CONDIZIONAMENTO; DIAMETRO (Ø) [MM] = 250. INCLUSO: SERRANDA DI REG</t>
        </is>
      </c>
      <c r="L174" s="3" t="inlineStr">
        <is>
          <t>OPERA: DIFFUSORE, A CONI REGOLABILI DI LEGA ALLUMINIO GENERICO; GEOMETRIA: CIRCOLARE; FUNZIONE: DIFFUSIONE ARIA; IMPIEGO: IMPIANTO DI CONDIZIONAMENTO; DIAMETRO (Ø) [MM] = 250. INCLUSO: SERRANDA DI REGOLAZIONE. 
LAVORO: MONTAGGIO. 
SPECIFICHE TECNICHE: MONTAGGIO A SOFFITTO O SU CANALI A VISTA; REGOLAZIONE DELLA PORTATA D'ARIA: ORIZZONTALE IN RAFFREDDAMENTO, VERTICALE IN RISCALDAMENTO. OP DIFFUSORE, A CONI REGOLABILI DI LEGA ALLUMINIO GENERICO; GEOMETRIA: CIRCOLARE; FUNZIONE: DIFFUSIONE ARIA; IMPIEGO: IMPIANTO DI CONDIZIONAMENTO; DIAMETRO (Ø) [MM] = 250. INCLUSO: SERRANDA DI REGOLAZIONE. 
SPECIFICHE TECNICHE: MONTAGGIO A SOFFITTO O SU CANALI A VISTA; REGOLAZIONE DELLA PORTATA D'ARIA: ORIZZONTALE IN RAFFREDDAMENTO, VERTICALE IN RISCALDAMENTO. 
RM DIFFUSORE A CONI REGOLABILI DI LEGA ALLUMINIO GENERICO; GEOMETRIA: CIRCOLARE; FUNZIONE: DIFFUSIONE ARIA; IMPIEGO: IMPIANTO DI CONDIZIONAMENTO; DIAMETRO (Ø) [MM] = 250. INCLUSO: SERRANDA DI REGOLAZIONE 
SPECIFICHE TECNICHE: MONTAGGIO A SOFFITTO O SU CANALI A VISTA; REGOLAZIONE DELLA PORTATA D'ARIA: ORIZZONTALE IN RAFFREDDAMENTO, VERTICALE IN RISCALDAMENTO 
LV MONTAGGIO.</t>
        </is>
      </c>
      <c r="M174" s="4" t="inlineStr">
        <is>
          <t>CAD</t>
        </is>
      </c>
      <c r="N174" s="5" t="n">
        <v>1</v>
      </c>
      <c r="O174" s="6" t="n">
        <v>225.31</v>
      </c>
      <c r="P174" s="6" t="n">
        <v>225.31</v>
      </c>
      <c r="Q174" s="5" t="n"/>
      <c r="R174" s="6" t="n"/>
      <c r="S174" s="6">
        <f>IF(AND(Q174&lt;&gt;"",R174&lt;&gt;""),Q174*R174,"")</f>
        <v/>
      </c>
      <c r="T174" s="6">
        <f>IF(S174="",P174,S174)</f>
        <v/>
      </c>
      <c r="U174" s="7" t="n">
        <v>0</v>
      </c>
      <c r="V174" s="6">
        <f>$T174*U174</f>
        <v/>
      </c>
      <c r="W174" s="7" t="n">
        <v>0</v>
      </c>
      <c r="X174" s="6">
        <f>$T174*W174</f>
        <v/>
      </c>
      <c r="Y174" s="7" t="n">
        <v>0</v>
      </c>
      <c r="Z174" s="6">
        <f>$T174*Y174</f>
        <v/>
      </c>
      <c r="AA174" s="7" t="n">
        <v>0</v>
      </c>
      <c r="AB174" s="6">
        <f>$T174*AA174</f>
        <v/>
      </c>
      <c r="AC174" s="7" t="n">
        <v>0</v>
      </c>
      <c r="AD174" s="6">
        <f>$T174*AC174</f>
        <v/>
      </c>
      <c r="AE174" s="7" t="n">
        <v>0</v>
      </c>
      <c r="AF174" s="6">
        <f>$T174*AE174</f>
        <v/>
      </c>
      <c r="AG174" s="7" t="n">
        <v>0</v>
      </c>
      <c r="AH174" s="6">
        <f>$T174*AG174</f>
        <v/>
      </c>
      <c r="AI174" s="7">
        <f>U174+W174+Y174+AA174+AC174+AE174+AG174</f>
        <v/>
      </c>
      <c r="AJ174" s="6">
        <f>V174+X174+Z174+AB174+AD174+AF174+AH174</f>
        <v/>
      </c>
    </row>
    <row r="175" ht="42" customHeight="1" s="35">
      <c r="A175" s="3" t="inlineStr">
        <is>
          <t>DEI_IT_035257C</t>
        </is>
      </c>
      <c r="B175" s="4" t="inlineStr">
        <is>
          <t>1/2</t>
        </is>
      </c>
      <c r="C175" s="3" t="inlineStr">
        <is>
          <t>IMPIANTO MECCANICO</t>
        </is>
      </c>
      <c r="D175" s="4" t="inlineStr">
        <is>
          <t>NON SPECIALE</t>
        </is>
      </c>
      <c r="E175" s="4" t="inlineStr">
        <is>
          <t>MECCANICHE</t>
        </is>
      </c>
      <c r="F175" s="3" t="inlineStr">
        <is>
          <t>2_CME_TOTALE MECCANICI RADIOFARMACIA PAVIA.PDF</t>
        </is>
      </c>
      <c r="G175" s="4" t="inlineStr">
        <is>
          <t>125/125</t>
        </is>
      </c>
      <c r="H175" s="3" t="inlineStr">
        <is>
          <t>40 - IMPIANTISTICO</t>
        </is>
      </c>
      <c r="I175" s="3" t="inlineStr">
        <is>
          <t>P. TERRA - UFFICI</t>
        </is>
      </c>
      <c r="J175" s="3" t="inlineStr">
        <is>
          <t>IMPIANTO HVAC</t>
        </is>
      </c>
      <c r="K175" s="3" t="inlineStr">
        <is>
          <t>VALVOLA DI VENTILAZIONE IN ACCIAIO PER MANDATA E RIPRESA ARIA AMBIENTE PER DIFFUSORE CIRCOLARE, DATA IN OPERA A PERFETTA REGOLA D'ARTE, DEL Ø DI: 200 MM</t>
        </is>
      </c>
      <c r="L175" s="3" t="inlineStr">
        <is>
          <t>VALVOLA DI VENTILAZIONE IN ACCIAIO PER MANDATA E RIPRESA ARIA AMBIENTE PER DIFFUSORE CIRCOLARE, DATA IN OPERA A PERFETTA REGOLA D'ARTE, DEL Ø DI: 200 MM</t>
        </is>
      </c>
      <c r="M175" s="4" t="inlineStr">
        <is>
          <t>CAD</t>
        </is>
      </c>
      <c r="N175" s="5" t="n">
        <v>3</v>
      </c>
      <c r="O175" s="6" t="n">
        <v>30.24</v>
      </c>
      <c r="P175" s="6" t="n">
        <v>90.72</v>
      </c>
      <c r="Q175" s="5" t="n"/>
      <c r="R175" s="6" t="n"/>
      <c r="S175" s="6">
        <f>IF(AND(Q175&lt;&gt;"",R175&lt;&gt;""),Q175*R175,"")</f>
        <v/>
      </c>
      <c r="T175" s="6">
        <f>IF(S175="",P175,S175)</f>
        <v/>
      </c>
      <c r="U175" s="7" t="n">
        <v>0</v>
      </c>
      <c r="V175" s="6">
        <f>$T175*U175</f>
        <v/>
      </c>
      <c r="W175" s="7" t="n">
        <v>0</v>
      </c>
      <c r="X175" s="6">
        <f>$T175*W175</f>
        <v/>
      </c>
      <c r="Y175" s="7" t="n">
        <v>0</v>
      </c>
      <c r="Z175" s="6">
        <f>$T175*Y175</f>
        <v/>
      </c>
      <c r="AA175" s="7" t="n">
        <v>0</v>
      </c>
      <c r="AB175" s="6">
        <f>$T175*AA175</f>
        <v/>
      </c>
      <c r="AC175" s="7" t="n">
        <v>0</v>
      </c>
      <c r="AD175" s="6">
        <f>$T175*AC175</f>
        <v/>
      </c>
      <c r="AE175" s="7" t="n">
        <v>0</v>
      </c>
      <c r="AF175" s="6">
        <f>$T175*AE175</f>
        <v/>
      </c>
      <c r="AG175" s="7" t="n">
        <v>0</v>
      </c>
      <c r="AH175" s="6">
        <f>$T175*AG175</f>
        <v/>
      </c>
      <c r="AI175" s="7">
        <f>U175+W175+Y175+AA175+AC175+AE175+AG175</f>
        <v/>
      </c>
      <c r="AJ175" s="6">
        <f>V175+X175+Z175+AB175+AD175+AF175+AH175</f>
        <v/>
      </c>
    </row>
    <row r="176" ht="60" customHeight="1" s="35">
      <c r="A176" s="3" t="inlineStr">
        <is>
          <t>LOM251.OC.EEA.PA02.F7410.OA015.0285</t>
        </is>
      </c>
      <c r="B176" s="4" t="inlineStr">
        <is>
          <t>1/4</t>
        </is>
      </c>
      <c r="C176" s="3" t="inlineStr">
        <is>
          <t>IMPIANTO MECCANICO</t>
        </is>
      </c>
      <c r="D176" s="4" t="inlineStr">
        <is>
          <t>NON SPECIALE</t>
        </is>
      </c>
      <c r="E176" s="4" t="inlineStr">
        <is>
          <t>MECCANICHE</t>
        </is>
      </c>
      <c r="F176" s="3" t="inlineStr">
        <is>
          <t>2_CME_TOTALE MECCANICI RADIOFARMACIA PAVIA.PDF</t>
        </is>
      </c>
      <c r="G176" s="4" t="inlineStr">
        <is>
          <t>126/126</t>
        </is>
      </c>
      <c r="H176" s="3" t="inlineStr">
        <is>
          <t>40 - IMPIANTISTICO</t>
        </is>
      </c>
      <c r="I176" s="3" t="inlineStr">
        <is>
          <t>P. TERRA - UFFICI</t>
        </is>
      </c>
      <c r="J176" s="3" t="inlineStr">
        <is>
          <t>IMPIANTO HVAC</t>
        </is>
      </c>
      <c r="K176" s="3" t="inlineStr">
        <is>
          <t xml:space="preserve">OPERA: CONDOTTO DI FIBRA SINTETICA TESSILE; GEOMETRIA: FLESSIBILE; FUNZIONE: DISTRIBUZIONE ARIA; IMPIEGO: IMPIANTO DI CLIMATIZZAZIONE; DIAMETRO (Ø) [MM] = 200. </t>
        </is>
      </c>
      <c r="L176" s="3" t="inlineStr">
        <is>
          <t>OPERA: CONDOTTO DI FIBRA SINTETICA TESSILE; GEOMETRIA: FLESSIBILE; FUNZIONE: DISTRIBUZIONE ARIA; IMPIEGO: IMPIANTO DI CLIMATIZZAZIONE; DIAMETRO (Ø) [MM] = 200. 
LAVORO: POSA. 
SPECIFICHE TECNICHE: NON ISOLATO; IMPREGNATO IN RESINA SINTETICA POLIVINILCLORURO (PVC). OP CONDOTTO DI FIBRA SINTETICA TESSILE; GEOMETRIA: FLESSIBILE; FUNZIONE: DISTRIBUZIONE ARIA; IMPIEGO: IMPIANTO DI CLIMATIZZAZIONE; DIAMETRO (Ø) [MM] = 200. 
SPECIFICHE TECNICHE: NON ISOLATO; IMPREGNATO IN RESINA SINTETICA POLIVINILCLORURO (PVC). 
RM CONDOTTO DI FIBRA SINTETICA TESSILE; GEOMETRIA: FLESSIBILE; FUNZIONE: DISTRIBUZIONE ARIA; IMPIEGO: IMPIANTO DI CLIMATIZZAZIONE; DIAMETRO (Ø) [MM] = 200 
SPECIFICHE TECNICHE: NON ISOLATO; IMPREGNATO IN RESINA SINTETICA POLIVINILCLORURO (PVC) 
LV POSA.</t>
        </is>
      </c>
      <c r="M176" s="4" t="inlineStr">
        <is>
          <t>M</t>
        </is>
      </c>
      <c r="N176" s="5" t="n">
        <v>15</v>
      </c>
      <c r="O176" s="6" t="n">
        <v>14.12</v>
      </c>
      <c r="P176" s="6" t="n">
        <v>211.8</v>
      </c>
      <c r="Q176" s="5" t="n"/>
      <c r="R176" s="6" t="n"/>
      <c r="S176" s="6">
        <f>IF(AND(Q176&lt;&gt;"",R176&lt;&gt;""),Q176*R176,"")</f>
        <v/>
      </c>
      <c r="T176" s="6">
        <f>IF(S176="",P176,S176)</f>
        <v/>
      </c>
      <c r="U176" s="7" t="n">
        <v>0</v>
      </c>
      <c r="V176" s="6">
        <f>$T176*U176</f>
        <v/>
      </c>
      <c r="W176" s="7" t="n">
        <v>0</v>
      </c>
      <c r="X176" s="6">
        <f>$T176*W176</f>
        <v/>
      </c>
      <c r="Y176" s="7" t="n">
        <v>0</v>
      </c>
      <c r="Z176" s="6">
        <f>$T176*Y176</f>
        <v/>
      </c>
      <c r="AA176" s="7" t="n">
        <v>0</v>
      </c>
      <c r="AB176" s="6">
        <f>$T176*AA176</f>
        <v/>
      </c>
      <c r="AC176" s="7" t="n">
        <v>0</v>
      </c>
      <c r="AD176" s="6">
        <f>$T176*AC176</f>
        <v/>
      </c>
      <c r="AE176" s="7" t="n">
        <v>0</v>
      </c>
      <c r="AF176" s="6">
        <f>$T176*AE176</f>
        <v/>
      </c>
      <c r="AG176" s="7" t="n">
        <v>0</v>
      </c>
      <c r="AH176" s="6">
        <f>$T176*AG176</f>
        <v/>
      </c>
      <c r="AI176" s="7">
        <f>U176+W176+Y176+AA176+AC176+AE176+AG176</f>
        <v/>
      </c>
      <c r="AJ176" s="6">
        <f>V176+X176+Z176+AB176+AD176+AF176+AH176</f>
        <v/>
      </c>
    </row>
    <row r="177" ht="60" customHeight="1" s="35">
      <c r="A177" s="3" t="inlineStr">
        <is>
          <t>DEI_IT_035249A</t>
        </is>
      </c>
      <c r="B177" s="4" t="inlineStr">
        <is>
          <t>1/2</t>
        </is>
      </c>
      <c r="C177" s="3" t="inlineStr">
        <is>
          <t>IMPIANTO MECCANICO</t>
        </is>
      </c>
      <c r="D177" s="4" t="inlineStr">
        <is>
          <t>NON SPECIALE</t>
        </is>
      </c>
      <c r="E177" s="4" t="inlineStr">
        <is>
          <t>MECCANICHE</t>
        </is>
      </c>
      <c r="F177" s="3" t="inlineStr">
        <is>
          <t>2_CME_TOTALE MECCANICI RADIOFARMACIA PAVIA.PDF</t>
        </is>
      </c>
      <c r="G177" s="4" t="inlineStr">
        <is>
          <t>127/127</t>
        </is>
      </c>
      <c r="H177" s="3" t="inlineStr">
        <is>
          <t>40 - IMPIANTISTICO</t>
        </is>
      </c>
      <c r="I177" s="3" t="inlineStr">
        <is>
          <t>P. TERRA - UFFICI</t>
        </is>
      </c>
      <c r="J177" s="3" t="inlineStr">
        <is>
          <t>IMPIANTO HVAC</t>
        </is>
      </c>
      <c r="K177" s="3" t="inlineStr">
        <is>
          <t>GRIGLIA DI ASPIRAZIONE/ESPULSIONE IN ALLUMINIO CON RETE DI PROTEZIONE, ALETTE ORIZZONTALI IN ALLUMINIO, COMPLETA DI CONTROTELAIO, DATA IN OPERA A PERFETTA REGOLA D'ARTE CON ESCLUSIONE DELLE OPERE MURA</t>
        </is>
      </c>
      <c r="L177" s="3" t="inlineStr">
        <is>
          <t>GRIGLIA DI ASPIRAZIONE/ESPULSIONE IN ALLUMINIO CON RETE DI PROTEZIONE, ALETTE ORIZZONTALI IN ALLUMINIO, COMPLETA DI CONTROTELAIO, DATA IN OPERA A PERFETTA REGOLA D'ARTE CON ESCLUSIONE DELLE OPERE MURARIE, DELLE DIMENSIONI DI: ALTEZZA 650 MM: BASE 600 MM</t>
        </is>
      </c>
      <c r="M177" s="4" t="inlineStr">
        <is>
          <t>CAD</t>
        </is>
      </c>
      <c r="N177" s="5" t="n">
        <v>2</v>
      </c>
      <c r="O177" s="6" t="n">
        <v>166.02</v>
      </c>
      <c r="P177" s="6" t="n">
        <v>332.04</v>
      </c>
      <c r="Q177" s="5" t="n"/>
      <c r="R177" s="6" t="n"/>
      <c r="S177" s="6">
        <f>IF(AND(Q177&lt;&gt;"",R177&lt;&gt;""),Q177*R177,"")</f>
        <v/>
      </c>
      <c r="T177" s="6">
        <f>IF(S177="",P177,S177)</f>
        <v/>
      </c>
      <c r="U177" s="7" t="n">
        <v>0</v>
      </c>
      <c r="V177" s="6">
        <f>$T177*U177</f>
        <v/>
      </c>
      <c r="W177" s="7" t="n">
        <v>0</v>
      </c>
      <c r="X177" s="6">
        <f>$T177*W177</f>
        <v/>
      </c>
      <c r="Y177" s="7" t="n">
        <v>0</v>
      </c>
      <c r="Z177" s="6">
        <f>$T177*Y177</f>
        <v/>
      </c>
      <c r="AA177" s="7" t="n">
        <v>0</v>
      </c>
      <c r="AB177" s="6">
        <f>$T177*AA177</f>
        <v/>
      </c>
      <c r="AC177" s="7" t="n">
        <v>0</v>
      </c>
      <c r="AD177" s="6">
        <f>$T177*AC177</f>
        <v/>
      </c>
      <c r="AE177" s="7" t="n">
        <v>0</v>
      </c>
      <c r="AF177" s="6">
        <f>$T177*AE177</f>
        <v/>
      </c>
      <c r="AG177" s="7" t="n">
        <v>0</v>
      </c>
      <c r="AH177" s="6">
        <f>$T177*AG177</f>
        <v/>
      </c>
      <c r="AI177" s="7">
        <f>U177+W177+Y177+AA177+AC177+AE177+AG177</f>
        <v/>
      </c>
      <c r="AJ177" s="6">
        <f>V177+X177+Z177+AB177+AD177+AF177+AH177</f>
        <v/>
      </c>
    </row>
    <row r="178" ht="60" customHeight="1" s="35">
      <c r="A178" s="3" t="inlineStr">
        <is>
          <t>LOM251.OC.EEA.PA02.I7407.SB038.0255</t>
        </is>
      </c>
      <c r="B178" s="4" t="inlineStr">
        <is>
          <t>1/3</t>
        </is>
      </c>
      <c r="C178" s="3" t="inlineStr">
        <is>
          <t>IMPIANTO MECCANICO</t>
        </is>
      </c>
      <c r="D178" s="4" t="inlineStr">
        <is>
          <t>NON SPECIALE</t>
        </is>
      </c>
      <c r="E178" s="4" t="inlineStr">
        <is>
          <t>MECCANICHE</t>
        </is>
      </c>
      <c r="F178" s="3" t="inlineStr">
        <is>
          <t>2_CME_TOTALE MECCANICI RADIOFARMACIA PAVIA.PDF</t>
        </is>
      </c>
      <c r="G178" s="4" t="inlineStr">
        <is>
          <t>128/128</t>
        </is>
      </c>
      <c r="H178" s="3" t="inlineStr">
        <is>
          <t>40 - IMPIANTISTICO</t>
        </is>
      </c>
      <c r="I178" s="3" t="inlineStr">
        <is>
          <t>P. TERRA - UFFICI</t>
        </is>
      </c>
      <c r="J178" s="3" t="inlineStr">
        <is>
          <t>IMPIANTO HVAC</t>
        </is>
      </c>
      <c r="K178" s="3" t="inlineStr">
        <is>
          <t xml:space="preserve">OPERA: TUBAZIONE DI LEGA FERROSA ACCIAIO NERO; GEOMETRIA: FILETTATO | SERIE LEGGERA; FUNZIONE: DISTRIBUZIONE ACQUA; IMPIEGO: RETE IDRICA; DIAMETRO NOMINALE (Ø) [MM] = 20 | SPESSORE [MM] = 2,3. </t>
        </is>
      </c>
      <c r="L178" s="3" t="inlineStr">
        <is>
          <t>OPERA: TUBAZIONE DI LEGA FERROSA ACCIAIO NERO; GEOMETRIA: FILETTATO | SERIE LEGGERA; FUNZIONE: DISTRIBUZIONE ACQUA; IMPIEGO: RETE IDRICA; DIAMETRO NOMINALE (Ø) [MM] = 20 | SPESSORE [MM] = 2,3. 
LAVORO: POSA. 
SPECIFICHE TECNICHE: TUBO SENZA SALDATURA. OP TUBAZIONE DI LEGA FERROSA ACCIAIO NERO; GEOMETRIA: FILETTATO | SERIE LEGGERA; FUNZIONE: DISTRIBUZIONE ACQUA; IMPIEGO: RETE IDRICA; DIAMETRO NOMINALE (Ø) [MM] = 20 | SPESSORE [MM] = 2,3. 
SPECIFICHE TECNICHE: TUBO SENZA SALDATURA. 
RM TUBO DI LEGA FERROSA ACCIAIO NERO; GEOMETRIA: FILETTATO | SERIE LEGGERA; FUNZIONE: DISTRIBUZIONE ACQUA; IMPIEGO: RETE IDRICA; DIAMETRO NOMINALE (Ø) [MM] = 20 | SPESSORE [MM] = 2,3 
SPECIFICHE TECNICHE: TUBO SENZA SALDATURA 
LV POSA.</t>
        </is>
      </c>
      <c r="M178" s="4" t="inlineStr">
        <is>
          <t>M</t>
        </is>
      </c>
      <c r="N178" s="5" t="n">
        <v>45</v>
      </c>
      <c r="O178" s="6" t="n">
        <v>24.52</v>
      </c>
      <c r="P178" s="6" t="n">
        <v>1103.4</v>
      </c>
      <c r="Q178" s="5" t="n"/>
      <c r="R178" s="6" t="n"/>
      <c r="S178" s="6">
        <f>IF(AND(Q178&lt;&gt;"",R178&lt;&gt;""),Q178*R178,"")</f>
        <v/>
      </c>
      <c r="T178" s="6">
        <f>IF(S178="",P178,S178)</f>
        <v/>
      </c>
      <c r="U178" s="7" t="n">
        <v>0</v>
      </c>
      <c r="V178" s="6">
        <f>$T178*U178</f>
        <v/>
      </c>
      <c r="W178" s="7" t="n">
        <v>0.1</v>
      </c>
      <c r="X178" s="6">
        <f>$T178*W178</f>
        <v/>
      </c>
      <c r="Y178" s="7" t="n">
        <v>0</v>
      </c>
      <c r="Z178" s="6">
        <f>$T178*Y178</f>
        <v/>
      </c>
      <c r="AA178" s="7" t="n">
        <v>0</v>
      </c>
      <c r="AB178" s="6">
        <f>$T178*AA178</f>
        <v/>
      </c>
      <c r="AC178" s="7" t="n">
        <v>0</v>
      </c>
      <c r="AD178" s="6">
        <f>$T178*AC178</f>
        <v/>
      </c>
      <c r="AE178" s="7" t="n">
        <v>0</v>
      </c>
      <c r="AF178" s="6">
        <f>$T178*AE178</f>
        <v/>
      </c>
      <c r="AG178" s="7" t="n">
        <v>0</v>
      </c>
      <c r="AH178" s="6">
        <f>$T178*AG178</f>
        <v/>
      </c>
      <c r="AI178" s="7">
        <f>U178+W178+Y178+AA178+AC178+AE178+AG178</f>
        <v/>
      </c>
      <c r="AJ178" s="6">
        <f>V178+X178+Z178+AB178+AD178+AF178+AH178</f>
        <v/>
      </c>
    </row>
    <row r="179" ht="60" customHeight="1" s="35">
      <c r="A179" s="3" t="inlineStr">
        <is>
          <t>LOM251.OC.EEA.PA02.I7407.SB038.0295</t>
        </is>
      </c>
      <c r="B179" s="4" t="inlineStr">
        <is>
          <t>1/2</t>
        </is>
      </c>
      <c r="C179" s="3" t="inlineStr">
        <is>
          <t>IMPIANTO MECCANICO</t>
        </is>
      </c>
      <c r="D179" s="4" t="inlineStr">
        <is>
          <t>NON SPECIALE</t>
        </is>
      </c>
      <c r="E179" s="4" t="inlineStr">
        <is>
          <t>MECCANICHE</t>
        </is>
      </c>
      <c r="F179" s="3" t="inlineStr">
        <is>
          <t>2_CME_TOTALE MECCANICI RADIOFARMACIA PAVIA.PDF</t>
        </is>
      </c>
      <c r="G179" s="4" t="inlineStr">
        <is>
          <t>129/129</t>
        </is>
      </c>
      <c r="H179" s="3" t="inlineStr">
        <is>
          <t>40 - IMPIANTISTICO</t>
        </is>
      </c>
      <c r="I179" s="3" t="inlineStr">
        <is>
          <t>P. TERRA - UFFICI</t>
        </is>
      </c>
      <c r="J179" s="3" t="inlineStr">
        <is>
          <t>IMPIANTO HVAC</t>
        </is>
      </c>
      <c r="K179" s="3" t="inlineStr">
        <is>
          <t xml:space="preserve">OPERA: TUBAZIONE DI LEGA FERROSA ACCIAIO NERO; FUNZIONE: DISTRIBUZIONE ACQUA; IMPIEGO: RETE IDRICA; DIAMETRO NOMINALE (Ø) [MM] = 25 | SPESSORE [MM] = 2,3. </t>
        </is>
      </c>
      <c r="L179" s="3" t="inlineStr">
        <is>
          <t>OPERA: TUBAZIONE DI LEGA FERROSA ACCIAIO NERO; FUNZIONE: DISTRIBUZIONE ACQUA; IMPIEGO: RETE IDRICA; DIAMETRO NOMINALE (Ø) [MM] = 25 | SPESSORE [MM] = 2,3. 
LAVORO: POSA. 
SPECIFICHE TECNICHE: TUBO SENZA SALDATURA. OP TUBAZIONE DI LEGA FERROSA ACCIAIO NERO; FUNZIONE: DISTRIBUZIONE ACQUA; IMPIEGO: RETE IDRICA; DIAMETRO NOMINALE (Ø) [MM] = 25 | SPESSORE [MM] = 2,3. 
SPECIFICHE TECNICHE: TUBO SENZA SALDATURA. 
RM TUBO DI LEGA FERROSA ACCIAIO NERO; FUNZIONE: DISTRIBUZIONE ACQUA; IMPIEGO: RETE IDRICA; DIAMETRO NOMINALE (Ø) [MM] = 25 | SPESSORE [MM] = 2,3 
SPECIFICHE TECNICHE: TUBO SENZA SALDATURA 
LV POSA.</t>
        </is>
      </c>
      <c r="M179" s="4" t="inlineStr">
        <is>
          <t>M</t>
        </is>
      </c>
      <c r="N179" s="5" t="n">
        <v>20</v>
      </c>
      <c r="O179" s="6" t="n">
        <v>27.97</v>
      </c>
      <c r="P179" s="6" t="n">
        <v>559.4</v>
      </c>
      <c r="Q179" s="5" t="n"/>
      <c r="R179" s="6" t="n"/>
      <c r="S179" s="6">
        <f>IF(AND(Q179&lt;&gt;"",R179&lt;&gt;""),Q179*R179,"")</f>
        <v/>
      </c>
      <c r="T179" s="6">
        <f>IF(S179="",P179,S179)</f>
        <v/>
      </c>
      <c r="U179" s="7" t="n">
        <v>0</v>
      </c>
      <c r="V179" s="6">
        <f>$T179*U179</f>
        <v/>
      </c>
      <c r="W179" s="7" t="n">
        <v>0.1</v>
      </c>
      <c r="X179" s="6">
        <f>$T179*W179</f>
        <v/>
      </c>
      <c r="Y179" s="7" t="n">
        <v>0</v>
      </c>
      <c r="Z179" s="6">
        <f>$T179*Y179</f>
        <v/>
      </c>
      <c r="AA179" s="7" t="n">
        <v>0</v>
      </c>
      <c r="AB179" s="6">
        <f>$T179*AA179</f>
        <v/>
      </c>
      <c r="AC179" s="7" t="n">
        <v>0</v>
      </c>
      <c r="AD179" s="6">
        <f>$T179*AC179</f>
        <v/>
      </c>
      <c r="AE179" s="7" t="n">
        <v>0</v>
      </c>
      <c r="AF179" s="6">
        <f>$T179*AE179</f>
        <v/>
      </c>
      <c r="AG179" s="7" t="n">
        <v>0</v>
      </c>
      <c r="AH179" s="6">
        <f>$T179*AG179</f>
        <v/>
      </c>
      <c r="AI179" s="7">
        <f>U179+W179+Y179+AA179+AC179+AE179+AG179</f>
        <v/>
      </c>
      <c r="AJ179" s="6">
        <f>V179+X179+Z179+AB179+AD179+AF179+AH179</f>
        <v/>
      </c>
    </row>
    <row r="180" ht="60" customHeight="1" s="35">
      <c r="A180" s="3" t="inlineStr">
        <is>
          <t>LOM251.OC.EEA.PA02.I1500.E0011.0135</t>
        </is>
      </c>
      <c r="B180" s="4" t="inlineStr">
        <is>
          <t>1/3</t>
        </is>
      </c>
      <c r="C180" s="3" t="inlineStr">
        <is>
          <t>IMPIANTO MECCANICO</t>
        </is>
      </c>
      <c r="D180" s="4" t="inlineStr">
        <is>
          <t>NON SPECIALE</t>
        </is>
      </c>
      <c r="E180" s="4" t="inlineStr">
        <is>
          <t>MECCANICHE</t>
        </is>
      </c>
      <c r="F180" s="3" t="inlineStr">
        <is>
          <t>2_CME_TOTALE MECCANICI RADIOFARMACIA PAVIA.PDF</t>
        </is>
      </c>
      <c r="G180" s="4" t="inlineStr">
        <is>
          <t>130/130</t>
        </is>
      </c>
      <c r="H180" s="3" t="inlineStr">
        <is>
          <t>40 - IMPIANTISTICO</t>
        </is>
      </c>
      <c r="I180" s="3" t="inlineStr">
        <is>
          <t>P. TERRA - UFFICI</t>
        </is>
      </c>
      <c r="J180" s="3" t="inlineStr">
        <is>
          <t>IMPIANTO HVAC</t>
        </is>
      </c>
      <c r="K180" s="3" t="inlineStr">
        <is>
          <t>OPERA: LASTRA DI GOMMA ELASTOMERICA ESPANSA A CELLULE CHIUSE; FUNZIONE: COIBENTAZIONE; IMPIEGO: TUBAZIONE; SPESSORE MINIMO LASTRA [MM] = 19 | SPESSORE MINIMO ELASTOMERO PER IL DIAMETRO ESTERNO TUBO [M</t>
        </is>
      </c>
      <c r="L180" s="3" t="inlineStr">
        <is>
          <t>OPERA: LASTRA DI GOMMA ELASTOMERICA ESPANSA A CELLULE CHIUSE; FUNZIONE: COIBENTAZIONE; IMPIEGO: TUBAZIONE; SPESSORE MINIMO LASTRA [MM] = 19 | SPESSORE MINIMO ELASTOMERO PER IL DIAMETRO ESTERNO TUBO [MM] = 28 | DIAMETRO NOMINALE TUBAZIONE [MM] = 20; RESISTENZA ALLA FIAMMA [CLASSE] = 1; FATTORE DI PERMEABILITÀ (Μ) MINIMO [-] = 4000. 
LAVORO: POSA. 
SPECIFICHE TECNICHE: GOMMA ELASTOMERICA ESPANSA A CELLULE CHIUSE SENZA ALOGENI NÉ PVC. OP LASTRA DI GOMMA ELASTOMERICA ESPANSA A CELLULE CHIUSE; FUNZIONE: COIBENTAZIONE; IMPIEGO: TUBAZIONE; SPESSORE MINIMO LASTRA [MM] = 19 | SPESSORE MINIMO ELASTOMERO PER IL DIAMETRO ESTERNO TUBO [MM] = 28 | DIAMETRO NOMINALE TUBAZIONE [MM] = 20; RESISTENZA ALLA FIAMMA [CLASSE] = 1; FATTORE DI PERMEABILITÀ (Μ) MINIMO [-] = 4000. 
SPECIFICHE TECNICHE: GOMMA ELASTOMERICA ESPANSA A CELLULE CHIUSE SENZA ALOGENI NÉ PVC. 
RM LASTRA DI GOMMA ESPANSA A CELLULE CHIUSE; FUNZIONE: COIBENTAZIONE; IMPIEGO: TUBAZIONE; SPESSORE MINIMO LASTRA [MM] = 19 | SPESSORE MINIMO ELASTOMERO PER IL DIAMETRO ESTERNO TUBO [MM] = 28 | DIAMETRO NOMINALE TUBAZIONE [MM] = 20; RESISTENZA ALLA FIAMMA [CLASSE] = 1; FATTORE DI PERMEABILITÀ (Μ) MINIMO [-] = 4000 
SPECIFICHE TECNICHE: GOMMA ELASTOMERICA ESPANSA A CELLULE CHIUSE SENZA ALOGENI NÉ PVC 
LV POSA.</t>
        </is>
      </c>
      <c r="M180" s="4" t="inlineStr">
        <is>
          <t>M</t>
        </is>
      </c>
      <c r="N180" s="5" t="n">
        <v>45</v>
      </c>
      <c r="O180" s="6" t="n">
        <v>24.79</v>
      </c>
      <c r="P180" s="6" t="n">
        <v>1115.55</v>
      </c>
      <c r="Q180" s="5" t="n"/>
      <c r="R180" s="6" t="n"/>
      <c r="S180" s="6">
        <f>IF(AND(Q180&lt;&gt;"",R180&lt;&gt;""),Q180*R180,"")</f>
        <v/>
      </c>
      <c r="T180" s="6">
        <f>IF(S180="",P180,S180)</f>
        <v/>
      </c>
      <c r="U180" s="7" t="n">
        <v>0</v>
      </c>
      <c r="V180" s="6">
        <f>$T180*U180</f>
        <v/>
      </c>
      <c r="W180" s="7" t="n">
        <v>0</v>
      </c>
      <c r="X180" s="6">
        <f>$T180*W180</f>
        <v/>
      </c>
      <c r="Y180" s="7" t="n">
        <v>0</v>
      </c>
      <c r="Z180" s="6">
        <f>$T180*Y180</f>
        <v/>
      </c>
      <c r="AA180" s="7" t="n">
        <v>0</v>
      </c>
      <c r="AB180" s="6">
        <f>$T180*AA180</f>
        <v/>
      </c>
      <c r="AC180" s="7" t="n">
        <v>0</v>
      </c>
      <c r="AD180" s="6">
        <f>$T180*AC180</f>
        <v/>
      </c>
      <c r="AE180" s="7" t="n">
        <v>0</v>
      </c>
      <c r="AF180" s="6">
        <f>$T180*AE180</f>
        <v/>
      </c>
      <c r="AG180" s="7" t="n">
        <v>0</v>
      </c>
      <c r="AH180" s="6">
        <f>$T180*AG180</f>
        <v/>
      </c>
      <c r="AI180" s="7">
        <f>U180+W180+Y180+AA180+AC180+AE180+AG180</f>
        <v/>
      </c>
      <c r="AJ180" s="6">
        <f>V180+X180+Z180+AB180+AD180+AF180+AH180</f>
        <v/>
      </c>
    </row>
    <row r="181" ht="60" customHeight="1" s="35">
      <c r="A181" s="3" t="inlineStr">
        <is>
          <t>LOM251.OC.EEA.PA02.I1500.E0011.0140</t>
        </is>
      </c>
      <c r="B181" s="4" t="inlineStr">
        <is>
          <t>1/3</t>
        </is>
      </c>
      <c r="C181" s="3" t="inlineStr">
        <is>
          <t>IMPIANTO MECCANICO</t>
        </is>
      </c>
      <c r="D181" s="4" t="inlineStr">
        <is>
          <t>NON SPECIALE</t>
        </is>
      </c>
      <c r="E181" s="4" t="inlineStr">
        <is>
          <t>MECCANICHE</t>
        </is>
      </c>
      <c r="F181" s="3" t="inlineStr">
        <is>
          <t>2_CME_TOTALE MECCANICI RADIOFARMACIA PAVIA.PDF</t>
        </is>
      </c>
      <c r="G181" s="4" t="inlineStr">
        <is>
          <t>131/131</t>
        </is>
      </c>
      <c r="H181" s="3" t="inlineStr">
        <is>
          <t>40 - IMPIANTISTICO</t>
        </is>
      </c>
      <c r="I181" s="3" t="inlineStr">
        <is>
          <t>P. TERRA - UFFICI</t>
        </is>
      </c>
      <c r="J181" s="3" t="inlineStr">
        <is>
          <t>IMPIANTO HVAC</t>
        </is>
      </c>
      <c r="K181" s="3" t="inlineStr">
        <is>
          <t>OPERA: LASTRA DI GOMMA ELASTOMERICA ESPANSA A CELLULE CHIUSE; FUNZIONE: COIBENTAZIONE; IMPIEGO: TUBAZIONE; SPESSORE MINIMO LASTRA [MM] = 19 | SPESSORE MINIMO ELASTOMERO PER IL DIAMETRO ESTERNO TUBO [M</t>
        </is>
      </c>
      <c r="L181" s="3" t="inlineStr">
        <is>
          <t>OPERA: LASTRA DI GOMMA ELASTOMERICA ESPANSA A CELLULE CHIUSE; FUNZIONE: COIBENTAZIONE; IMPIEGO: TUBAZIONE; SPESSORE MINIMO LASTRA [MM] = 19 | SPESSORE MINIMO ELASTOMERO PER IL DIAMETRO ESTERNO TUBO [MM] = 35 | DIAMETRO NOMINALE TUBAZIONE [MM] = 25; RESISTENZA ALLA FIAMMA [CLASSE] = 1; FATTORE DI PERMEABILITÀ (Μ) MINIMO [-] = 4000. 
LAVORO: POSA. 
SPECIFICHE TECNICHE: GOMMA ELASTOMERICA ESPANSA A CELLULE CHIUSE SENZA ALOGENI NÉ PVC. OP LASTRA DI GOMMA ELASTOMERICA ESPANSA A CELLULE CHIUSE; FUNZIONE: COIBENTAZIONE; IMPIEGO: TUBAZIONE; SPESSORE MINIMO LASTRA [MM] = 19 | SPESSORE MINIMO ELASTOMERO PER IL DIAMETRO ESTERNO TUBO [MM] = 35 | DIAMETRO NOMINALE TUBAZIONE [MM] = 25; RESISTENZA ALLA FIAMMA [CLASSE] = 1; FATTORE DI PERMEABILITÀ (Μ) MINIMO [-] = 4000. 
SPECIFICHE TECNICHE: GOMMA ELASTOMERICA ESPANSA A CELLULE CHIUSE SENZA ALOGENI NÉ PVC. 
RM LASTRA DI GOMMA ESPANSA A CELLULE CHIUSE; FUNZIONE: COIBENTAZIONE; IMPIEGO: TUBAZIONE; SPESSORE MINIMO LASTRA [MM] = 19 | SPESSORE MINIMO ELASTOMERO PER IL DIAMETRO ESTERNO TUBO [MM] = 35 | DIAMETRO NOMINALE TUBAZIONE [MM] = 25; RESISTENZA ALLA FIAMMA [CLASSE] = 1; FATTORE DI PERMEABILITÀ (Μ) MINIMO [-] = 4000 
SPECIFICHE TECNICHE: GOMMA ELASTOMERICA ESPANSA A CELLULE CHIUSE SENZA ALOGENI NÉ PVC 
LV POSA.</t>
        </is>
      </c>
      <c r="M181" s="4" t="inlineStr">
        <is>
          <t>M</t>
        </is>
      </c>
      <c r="N181" s="5" t="n">
        <v>20</v>
      </c>
      <c r="O181" s="6" t="n">
        <v>24.79</v>
      </c>
      <c r="P181" s="6" t="n">
        <v>495.8</v>
      </c>
      <c r="Q181" s="5" t="n"/>
      <c r="R181" s="6" t="n"/>
      <c r="S181" s="6">
        <f>IF(AND(Q181&lt;&gt;"",R181&lt;&gt;""),Q181*R181,"")</f>
        <v/>
      </c>
      <c r="T181" s="6">
        <f>IF(S181="",P181,S181)</f>
        <v/>
      </c>
      <c r="U181" s="7" t="n">
        <v>0</v>
      </c>
      <c r="V181" s="6">
        <f>$T181*U181</f>
        <v/>
      </c>
      <c r="W181" s="7" t="n">
        <v>0</v>
      </c>
      <c r="X181" s="6">
        <f>$T181*W181</f>
        <v/>
      </c>
      <c r="Y181" s="7" t="n">
        <v>0</v>
      </c>
      <c r="Z181" s="6">
        <f>$T181*Y181</f>
        <v/>
      </c>
      <c r="AA181" s="7" t="n">
        <v>0</v>
      </c>
      <c r="AB181" s="6">
        <f>$T181*AA181</f>
        <v/>
      </c>
      <c r="AC181" s="7" t="n">
        <v>0</v>
      </c>
      <c r="AD181" s="6">
        <f>$T181*AC181</f>
        <v/>
      </c>
      <c r="AE181" s="7" t="n">
        <v>0</v>
      </c>
      <c r="AF181" s="6">
        <f>$T181*AE181</f>
        <v/>
      </c>
      <c r="AG181" s="7" t="n">
        <v>0</v>
      </c>
      <c r="AH181" s="6">
        <f>$T181*AG181</f>
        <v/>
      </c>
      <c r="AI181" s="7">
        <f>U181+W181+Y181+AA181+AC181+AE181+AG181</f>
        <v/>
      </c>
      <c r="AJ181" s="6">
        <f>V181+X181+Z181+AB181+AD181+AF181+AH181</f>
        <v/>
      </c>
    </row>
    <row r="182" ht="60" customHeight="1" s="35">
      <c r="A182" s="3" t="inlineStr">
        <is>
          <t>LOM251.OC.EEA.PA01.F8220.ZA001.0140</t>
        </is>
      </c>
      <c r="B182" s="4" t="inlineStr">
        <is>
          <t>1/2</t>
        </is>
      </c>
      <c r="C182" s="3" t="inlineStr">
        <is>
          <t>IMPIANTO MECCANICO</t>
        </is>
      </c>
      <c r="D182" s="4" t="inlineStr">
        <is>
          <t>NON SPECIALE</t>
        </is>
      </c>
      <c r="E182" s="4" t="inlineStr">
        <is>
          <t>MECCANICHE</t>
        </is>
      </c>
      <c r="F182" s="3" t="inlineStr">
        <is>
          <t>2_CME_TOTALE MECCANICI RADIOFARMACIA PAVIA.PDF</t>
        </is>
      </c>
      <c r="G182" s="4" t="inlineStr">
        <is>
          <t>132/132</t>
        </is>
      </c>
      <c r="H182" s="3" t="inlineStr">
        <is>
          <t>40 - IMPIANTISTICO</t>
        </is>
      </c>
      <c r="I182" s="3" t="inlineStr">
        <is>
          <t>P. TERRA - UFFICI</t>
        </is>
      </c>
      <c r="J182" s="3" t="inlineStr">
        <is>
          <t>IMPIANTO HVAC</t>
        </is>
      </c>
      <c r="K182" s="3" t="inlineStr">
        <is>
          <t xml:space="preserve">OPERA: VENTILCONVETTORE, A 1 BATTERIA; GEOMETRIA: INCASSO TIPO CASSETTE; FUNZIONE: RAFFRESCAMENTO ARIA; IMPIEGO: IMPIANTO DI CLIMATIZZAZIONE; POTENZA DI RAFFRESCAMENTO [W] ≤ 2800. </t>
        </is>
      </c>
      <c r="L182" s="3" t="inlineStr">
        <is>
          <t>OPERA: VENTILCONVETTORE, A 1 BATTERIA; GEOMETRIA: INCASSO TIPO CASSETTE; FUNZIONE: RAFFRESCAMENTO ARIA; IMPIEGO: IMPIANTO DI CLIMATIZZAZIONE; POTENZA DI RAFFRESCAMENTO [W] ≤ 2800. 
LAVORO: INSTALLAZIONE. 
SPECIFICHE TECNICHE: POTENZA DI RAFFRESCAMENTO SENSIBILE MISURATA CON TEMPERATURA ARIA [°C] = 26, UMIDITÀ RELATIVA (UR) [%] = 50 E TEMPERATURA ACQUA [°C] = 7 ÷ 12. OP VENTILCONVETTORE, A 1 BATTERIA; GEOMETRIA: INCASSO TIPO CASSETTE; FUNZIONE: RAFFRESCAMENTO ARIA; IMPIEGO: IMPIANTO DI CLIMATIZZAZIONE; POTENZA DI RAFFRESCAMENTO [W] ≤ 2800. 
SPECIFICHE TECNICHE: POTENZA DI RAFFRESCAMENTO SENSIBILE MISURATA CON TEMPERATURA ARIA [°C] = 26, UMIDITÀ RELATIVA (UR) [%] = 50 E TEMPERATURA ACQUA [°C] = 7 ÷ 12. 
RM VENTILCONVETTORE A 1 BATTERIA; GEOMETRIA: INCASSO TIPO CASSETTE; FUNZIONE: RAFFRESCAMENTO ARIA; IMPIEGO: IMPIANTO DI CLIMATIZZAZIONE; POTENZA DI RAFFRESCAMENTO [W] ≤ 2800. COMPONENTI: VENTILATORE CENTRIFUGO, DISPOSITIVO ELETTRONICO BATTERIA, COMANDO A 3 VELOCITÀ, STRUTTURA, FILTRO RIGENERABILE, BACINELLA, PIEDINO, MENSOLA 
SPECIFICHE TECNICHE: POTENZA DI RAFFRESCAMENTO SENSIBILE MISURATA CON TEMPERATURA ARIA [°C] = 26, UMIDITÀ RELATIVA (UR) [%] = 50 E TEMPERATURA ACQUA [°C] = 7 ÷ 12 
LV INSTALLAZIONE.</t>
        </is>
      </c>
      <c r="M182" s="4" t="inlineStr">
        <is>
          <t>CAD</t>
        </is>
      </c>
      <c r="N182" s="5" t="n">
        <v>5</v>
      </c>
      <c r="O182" s="6" t="n">
        <v>1108.78</v>
      </c>
      <c r="P182" s="6" t="n">
        <v>5543.9</v>
      </c>
      <c r="Q182" s="5" t="n"/>
      <c r="R182" s="6" t="n"/>
      <c r="S182" s="6">
        <f>IF(AND(Q182&lt;&gt;"",R182&lt;&gt;""),Q182*R182,"")</f>
        <v/>
      </c>
      <c r="T182" s="6">
        <f>IF(S182="",P182,S182)</f>
        <v/>
      </c>
      <c r="U182" s="7" t="n">
        <v>0.5</v>
      </c>
      <c r="V182" s="6">
        <f>$T182*U182</f>
        <v/>
      </c>
      <c r="W182" s="7" t="n">
        <v>0.2</v>
      </c>
      <c r="X182" s="6">
        <f>$T182*W182</f>
        <v/>
      </c>
      <c r="Y182" s="7" t="n">
        <v>0</v>
      </c>
      <c r="Z182" s="6">
        <f>$T182*Y182</f>
        <v/>
      </c>
      <c r="AA182" s="7" t="n">
        <v>0</v>
      </c>
      <c r="AB182" s="6">
        <f>$T182*AA182</f>
        <v/>
      </c>
      <c r="AC182" s="7" t="n">
        <v>0</v>
      </c>
      <c r="AD182" s="6">
        <f>$T182*AC182</f>
        <v/>
      </c>
      <c r="AE182" s="7" t="n">
        <v>0</v>
      </c>
      <c r="AF182" s="6">
        <f>$T182*AE182</f>
        <v/>
      </c>
      <c r="AG182" s="7" t="n">
        <v>0</v>
      </c>
      <c r="AH182" s="6">
        <f>$T182*AG182</f>
        <v/>
      </c>
      <c r="AI182" s="7">
        <f>U182+W182+Y182+AA182+AC182+AE182+AG182</f>
        <v/>
      </c>
      <c r="AJ182" s="6">
        <f>V182+X182+Z182+AB182+AD182+AF182+AH182</f>
        <v/>
      </c>
    </row>
    <row r="183" ht="60" customHeight="1" s="35">
      <c r="A183" s="3" t="inlineStr">
        <is>
          <t>DEI_IT_015011A</t>
        </is>
      </c>
      <c r="B183" s="4" t="inlineStr">
        <is>
          <t>1/2</t>
        </is>
      </c>
      <c r="C183" s="3" t="inlineStr">
        <is>
          <t>IMPIANTO MECCANICO</t>
        </is>
      </c>
      <c r="D183" s="4" t="inlineStr">
        <is>
          <t>NON SPECIALE</t>
        </is>
      </c>
      <c r="E183" s="4" t="inlineStr">
        <is>
          <t>MECCANICHE</t>
        </is>
      </c>
      <c r="F183" s="3" t="inlineStr">
        <is>
          <t>2_CME_TOTALE MECCANICI RADIOFARMACIA PAVIA.PDF</t>
        </is>
      </c>
      <c r="G183" s="4" t="inlineStr">
        <is>
          <t>133/133</t>
        </is>
      </c>
      <c r="H183" s="3" t="inlineStr">
        <is>
          <t>40 - IMPIANTISTICO</t>
        </is>
      </c>
      <c r="I183" s="3" t="inlineStr">
        <is>
          <t>P. TERRA - UFFICI</t>
        </is>
      </c>
      <c r="J183" s="3" t="inlineStr">
        <is>
          <t>IMPIANTO HVAC</t>
        </is>
      </c>
      <c r="K183" s="3" t="inlineStr">
        <is>
          <t>TUBO IN POLIETILENE ALTA DENSITÀ, CONFORME ALLA NORMA UNI EN 1519, PER IMPIANTI DI SCARICO DI ACQUE CALDE E FREDDE E PER COLONNE DI VENTILAZIONE SIA ALL'INTERNO CHE ALL'ESTERNO DI FABBRICATI, IN OPERA</t>
        </is>
      </c>
      <c r="L183" s="3" t="inlineStr">
        <is>
          <t>TUBO IN POLIETILENE ALTA DENSITÀ, CONFORME ALLA NORMA UNI EN 1519, PER IMPIANTI DI SCARICO DI ACQUE CALDE E FREDDE E PER COLONNE DI VENTILAZIONE SIA ALL'INTERNO CHE ALL'ESTERNO DI FABBRICATI, IN OPERA COMPRESA QUOTA PARTE DI RACCORDERIA E MATERIALI ACCESSORI PER IL MONTAGGIO, ESCLUSI EVENTUALI PEZZI SPECIALI, OPERE MURARIE, SCAVI E RINTERRI: Ø 32 MM</t>
        </is>
      </c>
      <c r="M183" s="4" t="inlineStr">
        <is>
          <t>M</t>
        </is>
      </c>
      <c r="N183" s="5" t="n">
        <v>15</v>
      </c>
      <c r="O183" s="6" t="n">
        <v>13.34</v>
      </c>
      <c r="P183" s="6" t="n">
        <v>200.1</v>
      </c>
      <c r="Q183" s="5" t="n"/>
      <c r="R183" s="6" t="n"/>
      <c r="S183" s="6">
        <f>IF(AND(Q183&lt;&gt;"",R183&lt;&gt;""),Q183*R183,"")</f>
        <v/>
      </c>
      <c r="T183" s="6">
        <f>IF(S183="",P183,S183)</f>
        <v/>
      </c>
      <c r="U183" s="7" t="n">
        <v>0</v>
      </c>
      <c r="V183" s="6">
        <f>$T183*U183</f>
        <v/>
      </c>
      <c r="W183" s="7" t="n">
        <v>0</v>
      </c>
      <c r="X183" s="6">
        <f>$T183*W183</f>
        <v/>
      </c>
      <c r="Y183" s="7" t="n">
        <v>0</v>
      </c>
      <c r="Z183" s="6">
        <f>$T183*Y183</f>
        <v/>
      </c>
      <c r="AA183" s="7" t="n">
        <v>0</v>
      </c>
      <c r="AB183" s="6">
        <f>$T183*AA183</f>
        <v/>
      </c>
      <c r="AC183" s="7" t="n">
        <v>0</v>
      </c>
      <c r="AD183" s="6">
        <f>$T183*AC183</f>
        <v/>
      </c>
      <c r="AE183" s="7" t="n">
        <v>0</v>
      </c>
      <c r="AF183" s="6">
        <f>$T183*AE183</f>
        <v/>
      </c>
      <c r="AG183" s="7" t="n">
        <v>0</v>
      </c>
      <c r="AH183" s="6">
        <f>$T183*AG183</f>
        <v/>
      </c>
      <c r="AI183" s="7">
        <f>U183+W183+Y183+AA183+AC183+AE183+AG183</f>
        <v/>
      </c>
      <c r="AJ183" s="6">
        <f>V183+X183+Z183+AB183+AD183+AF183+AH183</f>
        <v/>
      </c>
    </row>
    <row r="184" ht="60" customHeight="1" s="35">
      <c r="A184" s="3" t="inlineStr">
        <is>
          <t>DEI_IT_015011B</t>
        </is>
      </c>
      <c r="B184" s="4" t="inlineStr">
        <is>
          <t>1/2</t>
        </is>
      </c>
      <c r="C184" s="3" t="inlineStr">
        <is>
          <t>IMPIANTO MECCANICO</t>
        </is>
      </c>
      <c r="D184" s="4" t="inlineStr">
        <is>
          <t>NON SPECIALE</t>
        </is>
      </c>
      <c r="E184" s="4" t="inlineStr">
        <is>
          <t>MECCANICHE</t>
        </is>
      </c>
      <c r="F184" s="3" t="inlineStr">
        <is>
          <t>2_CME_TOTALE MECCANICI RADIOFARMACIA PAVIA.PDF</t>
        </is>
      </c>
      <c r="G184" s="4" t="inlineStr">
        <is>
          <t>134/134</t>
        </is>
      </c>
      <c r="H184" s="3" t="inlineStr">
        <is>
          <t>40 - IMPIANTISTICO</t>
        </is>
      </c>
      <c r="I184" s="3" t="inlineStr">
        <is>
          <t>P. TERRA - UFFICI</t>
        </is>
      </c>
      <c r="J184" s="3" t="inlineStr">
        <is>
          <t>IMPIANTO HVAC</t>
        </is>
      </c>
      <c r="K184" s="3" t="inlineStr">
        <is>
          <t>TUBO IN POLIETILENE ALTA DENSITÀ, CONFORME ALLA NORMA UNI EN 1519, PER IMPIANTI DI SCARICO DI ACQUE CALDE E FREDDE E PER COLONNE DI VENTILAZIONE SIA ALL'INTERNO CHE ALL'ESTERNO DI FABBRICATI, IN OPERA</t>
        </is>
      </c>
      <c r="L184" s="3" t="inlineStr">
        <is>
          <t>TUBO IN POLIETILENE ALTA DENSITÀ, CONFORME ALLA NORMA UNI EN 1519, PER IMPIANTI DI SCARICO DI ACQUE CALDE E FREDDE E PER COLONNE DI VENTILAZIONE SIA ALL'INTERNO CHE ALL'ESTERNO DI FABBRICATI, IN OPERA COMPRESA QUOTA PARTE DI RACCORDERIA E MATERIALI ACCESSORI PER IL MONTAGGIO, ESCLUSI EVENTUALI PEZZI SPECIALI, OPERE MURARIE, SCAVI E RINTERRI: Ø 40 MM</t>
        </is>
      </c>
      <c r="M184" s="4" t="inlineStr">
        <is>
          <t>M</t>
        </is>
      </c>
      <c r="N184" s="5" t="n">
        <v>5</v>
      </c>
      <c r="O184" s="6" t="n">
        <v>13.94</v>
      </c>
      <c r="P184" s="6" t="n">
        <v>69.7</v>
      </c>
      <c r="Q184" s="5" t="n"/>
      <c r="R184" s="6" t="n"/>
      <c r="S184" s="6">
        <f>IF(AND(Q184&lt;&gt;"",R184&lt;&gt;""),Q184*R184,"")</f>
        <v/>
      </c>
      <c r="T184" s="6">
        <f>IF(S184="",P184,S184)</f>
        <v/>
      </c>
      <c r="U184" s="7" t="n">
        <v>0</v>
      </c>
      <c r="V184" s="6">
        <f>$T184*U184</f>
        <v/>
      </c>
      <c r="W184" s="7" t="n">
        <v>0</v>
      </c>
      <c r="X184" s="6">
        <f>$T184*W184</f>
        <v/>
      </c>
      <c r="Y184" s="7" t="n">
        <v>0</v>
      </c>
      <c r="Z184" s="6">
        <f>$T184*Y184</f>
        <v/>
      </c>
      <c r="AA184" s="7" t="n">
        <v>0</v>
      </c>
      <c r="AB184" s="6">
        <f>$T184*AA184</f>
        <v/>
      </c>
      <c r="AC184" s="7" t="n">
        <v>0</v>
      </c>
      <c r="AD184" s="6">
        <f>$T184*AC184</f>
        <v/>
      </c>
      <c r="AE184" s="7" t="n">
        <v>0</v>
      </c>
      <c r="AF184" s="6">
        <f>$T184*AE184</f>
        <v/>
      </c>
      <c r="AG184" s="7" t="n">
        <v>0</v>
      </c>
      <c r="AH184" s="6">
        <f>$T184*AG184</f>
        <v/>
      </c>
      <c r="AI184" s="7">
        <f>U184+W184+Y184+AA184+AC184+AE184+AG184</f>
        <v/>
      </c>
      <c r="AJ184" s="6">
        <f>V184+X184+Z184+AB184+AD184+AF184+AH184</f>
        <v/>
      </c>
    </row>
    <row r="185" ht="60" customHeight="1" s="35">
      <c r="A185" s="3" t="inlineStr">
        <is>
          <t>DEI_IT_035187B</t>
        </is>
      </c>
      <c r="B185" s="4" t="inlineStr">
        <is>
          <t>2/2</t>
        </is>
      </c>
      <c r="C185" s="3" t="inlineStr">
        <is>
          <t>IMPIANTO MECCANICO</t>
        </is>
      </c>
      <c r="D185" s="4" t="inlineStr">
        <is>
          <t>NON SPECIALE</t>
        </is>
      </c>
      <c r="E185" s="4" t="inlineStr">
        <is>
          <t>MECCANICHE</t>
        </is>
      </c>
      <c r="F185" s="3" t="inlineStr">
        <is>
          <t>2_CME_TOTALE MECCANICI RADIOFARMACIA PAVIA.PDF</t>
        </is>
      </c>
      <c r="G185" s="4" t="inlineStr">
        <is>
          <t>136/136</t>
        </is>
      </c>
      <c r="H185" s="3" t="inlineStr">
        <is>
          <t>40 - IMPIANTISTICO</t>
        </is>
      </c>
      <c r="I185" s="3" t="inlineStr">
        <is>
          <t>P. PRIMO - UFFICI</t>
        </is>
      </c>
      <c r="J185" s="3" t="inlineStr">
        <is>
          <t>IMPIANTO HVAC</t>
        </is>
      </c>
      <c r="K185" s="3" t="inlineStr">
        <is>
          <t>CONDOTTA PER LA TERMOVENTILAZIONE E IL CONDIZIONAMENTO DELL'ARIA, REALIZZATA CON PANNELLI SANDWICH DI SPESSORE 20,5 MM, CON TRATTAMENTO AUTOPULENTE E ANTIMICROBICO, AD EFFETTO LOTO, CHE AGEVOLA LA RIM</t>
        </is>
      </c>
      <c r="L185" s="3" t="inlineStr">
        <is>
          <t>CONDOTTA PER LA TERMOVENTILAZIONE E IL CONDIZIONAMENTO DELL'ARIA, REALIZZATA CON PANNELLI SANDWICH DI SPESSORE 20,5 MM, CON TRATTAMENTO AUTOPULENTE E ANTIMICROBICO, AD EFFETTO LOTO, CHE AGEVOLA LA RIMOZIONE DEL PARTICOLATO SOLIDO DEPOSITATO SULLA SUPERFICIE INTERNA DEL CANALE MIGLIORANDO NEL CONTEMPO L'EFFICACIA ANTIMICROBICA, COSTITUITI DA UN'ANIMA DI SCHIUMA POLIURETANICA ESPANSA AD ACQUA, SENZA USO DI CFC, HCFC, HFC E HC, ESPANDENTE DELL'ISOLANTE CON ODP (OZONE DEPLETION POTENTIAL) = 0 E GWP (GLOBAL WARMING POTENTIAL) = 0, RIVESTITA SUL LATO INTERNO CON UNA LAMINA DI ALLUMINIO LISCIO CON TRATTAMENTO AUTOPULENTE E ANTIMICROBICO E ALL'ESTERNO CON UNA LAMINA DI ALLUMINIO GOFFRATO, CONDUTTIVITÀ TERMICA INIZIALE 0,022 W/MK, CLASSE DI REAZIONE AL FUOCO 0-1, CLASSIFICAZIONE DEI FUMI DI COMBUSTIONE F1 SECONDO NF F 16 101, COMPLETA DI ACCESSORI PER IL CORRETTO MONTAGGIO E SFRIDO DI LAVORAZIONE, POSTA IN OPERA AD UN'ALTEZZA MASSIMA DI 4,00 M DAL PIANO DI CALPESTIO: PER AMBIENTI INTERNI, DENSITÀ 50 ÷ 54 KG/MC, SPESSORE PANNELLO 20,5 MM: SPESSORE ALLUMINIO INTERNO 80 MICRON ED ESTERNO 80 MICRON</t>
        </is>
      </c>
      <c r="M185" s="4" t="inlineStr">
        <is>
          <t>MQ</t>
        </is>
      </c>
      <c r="N185" s="5" t="n">
        <v>70</v>
      </c>
      <c r="O185" s="6" t="n">
        <v>70.56</v>
      </c>
      <c r="P185" s="6" t="n">
        <v>4939.2</v>
      </c>
      <c r="Q185" s="5" t="n"/>
      <c r="R185" s="6" t="n"/>
      <c r="S185" s="6">
        <f>IF(AND(Q185&lt;&gt;"",R185&lt;&gt;""),Q185*R185,"")</f>
        <v/>
      </c>
      <c r="T185" s="6">
        <f>IF(S185="",P185,S185)</f>
        <v/>
      </c>
      <c r="U185" s="7" t="n">
        <v>0</v>
      </c>
      <c r="V185" s="6">
        <f>$T185*U185</f>
        <v/>
      </c>
      <c r="W185" s="7" t="n">
        <v>0</v>
      </c>
      <c r="X185" s="6">
        <f>$T185*W185</f>
        <v/>
      </c>
      <c r="Y185" s="7" t="n">
        <v>0</v>
      </c>
      <c r="Z185" s="6">
        <f>$T185*Y185</f>
        <v/>
      </c>
      <c r="AA185" s="7" t="n">
        <v>0</v>
      </c>
      <c r="AB185" s="6">
        <f>$T185*AA185</f>
        <v/>
      </c>
      <c r="AC185" s="7" t="n">
        <v>0</v>
      </c>
      <c r="AD185" s="6">
        <f>$T185*AC185</f>
        <v/>
      </c>
      <c r="AE185" s="7" t="n">
        <v>0</v>
      </c>
      <c r="AF185" s="6">
        <f>$T185*AE185</f>
        <v/>
      </c>
      <c r="AG185" s="7" t="n">
        <v>0</v>
      </c>
      <c r="AH185" s="6">
        <f>$T185*AG185</f>
        <v/>
      </c>
      <c r="AI185" s="7">
        <f>U185+W185+Y185+AA185+AC185+AE185+AG185</f>
        <v/>
      </c>
      <c r="AJ185" s="6">
        <f>V185+X185+Z185+AB185+AD185+AF185+AH185</f>
        <v/>
      </c>
    </row>
    <row r="186" ht="60" customHeight="1" s="35">
      <c r="A186" s="3" t="inlineStr">
        <is>
          <t>LOM251.OC.EEA.PA29.F8210.SA000.0010</t>
        </is>
      </c>
      <c r="B186" s="4" t="inlineStr">
        <is>
          <t>2/2</t>
        </is>
      </c>
      <c r="C186" s="3" t="inlineStr">
        <is>
          <t>IMPIANTO MECCANICO</t>
        </is>
      </c>
      <c r="D186" s="4" t="inlineStr">
        <is>
          <t>NON SPECIALE</t>
        </is>
      </c>
      <c r="E186" s="4" t="inlineStr">
        <is>
          <t>MECCANICHE</t>
        </is>
      </c>
      <c r="F186" s="3" t="inlineStr">
        <is>
          <t>2_CME_TOTALE MECCANICI RADIOFARMACIA PAVIA.PDF</t>
        </is>
      </c>
      <c r="G186" s="4" t="inlineStr">
        <is>
          <t>137/137</t>
        </is>
      </c>
      <c r="H186" s="3" t="inlineStr">
        <is>
          <t>40 - IMPIANTISTICO</t>
        </is>
      </c>
      <c r="I186" s="3" t="inlineStr">
        <is>
          <t>P. PRIMO - UFFICI</t>
        </is>
      </c>
      <c r="J186" s="3" t="inlineStr">
        <is>
          <t>IMPIANTO HVAC</t>
        </is>
      </c>
      <c r="K186" s="3" t="inlineStr">
        <is>
          <t>OPERA: DIFFUSORE, A CONI REGOLABILI DI LEGA ALLUMINIO GENERICO; GEOMETRIA: CIRCOLARE; FUNZIONE: DIFFUSIONE ARIA; IMPIEGO: IMPIANTO DI CONDIZIONAMENTO; DIAMETRO (Ø) [MM] = 250. INCLUSO: SERRANDA DI REG</t>
        </is>
      </c>
      <c r="L186" s="3" t="inlineStr">
        <is>
          <t>OPERA: DIFFUSORE, A CONI REGOLABILI DI LEGA ALLUMINIO GENERICO; GEOMETRIA: CIRCOLARE; FUNZIONE: DIFFUSIONE ARIA; IMPIEGO: IMPIANTO DI CONDIZIONAMENTO; DIAMETRO (Ø) [MM] = 250. INCLUSO: SERRANDA DI REGOLAZIONE. 
LAVORO: MONTAGGIO. 
SPECIFICHE TECNICHE: MONTAGGIO A SOFFITTO O SU CANALI A VISTA; REGOLAZIONE DELLA PORTATA D'ARIA: ORIZZONTALE IN RAFFREDDAMENTO, VERTICALE IN RISCALDAMENTO. OP DIFFUSORE, A CONI REGOLABILI DI LEGA ALLUMINIO GENERICO; GEOMETRIA: CIRCOLARE; FUNZIONE: DIFFUSIONE ARIA; IMPIEGO: IMPIANTO DI CONDIZIONAMENTO; DIAMETRO (Ø) [MM] = 250. INCLUSO: SERRANDA DI REGOLAZIONE. 
SPECIFICHE TECNICHE: MONTAGGIO A SOFFITTO O SU CANALI A VISTA; REGOLAZIONE DELLA PORTATA D'ARIA: ORIZZONTALE IN RAFFREDDAMENTO, VERTICALE IN RISCALDAMENTO. 
RM DIFFUSORE A CONI REGOLABILI DI LEGA ALLUMINIO GENERICO; GEOMETRIA: CIRCOLARE; FUNZIONE: DIFFUSIONE ARIA; IMPIEGO: IMPIANTO DI CONDIZIONAMENTO; DIAMETRO (Ø) [MM] = 250. INCLUSO: SERRANDA DI REGOLAZIONE 
SPECIFICHE TECNICHE: MONTAGGIO A SOFFITTO O SU CANALI A VISTA; REGOLAZIONE DELLA PORTATA D'ARIA: ORIZZONTALE IN RAFFREDDAMENTO, VERTICALE IN RISCALDAMENTO 
LV MONTAGGIO.</t>
        </is>
      </c>
      <c r="M186" s="4" t="inlineStr">
        <is>
          <t>CAD</t>
        </is>
      </c>
      <c r="N186" s="5" t="n">
        <v>5</v>
      </c>
      <c r="O186" s="6" t="n">
        <v>213.46</v>
      </c>
      <c r="P186" s="6" t="n">
        <v>1067.3</v>
      </c>
      <c r="Q186" s="5" t="n"/>
      <c r="R186" s="6" t="n"/>
      <c r="S186" s="6">
        <f>IF(AND(Q186&lt;&gt;"",R186&lt;&gt;""),Q186*R186,"")</f>
        <v/>
      </c>
      <c r="T186" s="6">
        <f>IF(S186="",P186,S186)</f>
        <v/>
      </c>
      <c r="U186" s="7" t="n">
        <v>0</v>
      </c>
      <c r="V186" s="6">
        <f>$T186*U186</f>
        <v/>
      </c>
      <c r="W186" s="7" t="n">
        <v>0</v>
      </c>
      <c r="X186" s="6">
        <f>$T186*W186</f>
        <v/>
      </c>
      <c r="Y186" s="7" t="n">
        <v>0</v>
      </c>
      <c r="Z186" s="6">
        <f>$T186*Y186</f>
        <v/>
      </c>
      <c r="AA186" s="7" t="n">
        <v>0</v>
      </c>
      <c r="AB186" s="6">
        <f>$T186*AA186</f>
        <v/>
      </c>
      <c r="AC186" s="7" t="n">
        <v>0</v>
      </c>
      <c r="AD186" s="6">
        <f>$T186*AC186</f>
        <v/>
      </c>
      <c r="AE186" s="7" t="n">
        <v>0</v>
      </c>
      <c r="AF186" s="6">
        <f>$T186*AE186</f>
        <v/>
      </c>
      <c r="AG186" s="7" t="n">
        <v>0</v>
      </c>
      <c r="AH186" s="6">
        <f>$T186*AG186</f>
        <v/>
      </c>
      <c r="AI186" s="7">
        <f>U186+W186+Y186+AA186+AC186+AE186+AG186</f>
        <v/>
      </c>
      <c r="AJ186" s="6">
        <f>V186+X186+Z186+AB186+AD186+AF186+AH186</f>
        <v/>
      </c>
    </row>
    <row r="187" ht="42" customHeight="1" s="35">
      <c r="A187" s="3" t="inlineStr">
        <is>
          <t>DEI_IT_035257C</t>
        </is>
      </c>
      <c r="B187" s="4" t="inlineStr">
        <is>
          <t>2/2</t>
        </is>
      </c>
      <c r="C187" s="3" t="inlineStr">
        <is>
          <t>IMPIANTO MECCANICO</t>
        </is>
      </c>
      <c r="D187" s="4" t="inlineStr">
        <is>
          <t>NON SPECIALE</t>
        </is>
      </c>
      <c r="E187" s="4" t="inlineStr">
        <is>
          <t>MECCANICHE</t>
        </is>
      </c>
      <c r="F187" s="3" t="inlineStr">
        <is>
          <t>2_CME_TOTALE MECCANICI RADIOFARMACIA PAVIA.PDF</t>
        </is>
      </c>
      <c r="G187" s="4" t="inlineStr">
        <is>
          <t>138/138</t>
        </is>
      </c>
      <c r="H187" s="3" t="inlineStr">
        <is>
          <t>40 - IMPIANTISTICO</t>
        </is>
      </c>
      <c r="I187" s="3" t="inlineStr">
        <is>
          <t>P. PRIMO - UFFICI</t>
        </is>
      </c>
      <c r="J187" s="3" t="inlineStr">
        <is>
          <t>IMPIANTO HVAC</t>
        </is>
      </c>
      <c r="K187" s="3" t="inlineStr">
        <is>
          <t>VALVOLA DI VENTILAZIONE IN ACCIAIO PER MANDATA E RIPRESA ARIA AMBIENTE PER DIFFUSORE CIRCOLARE, DATA IN OPERA A PERFETTA REGOLA D'ARTE, DEL Ø DI: 200 MM</t>
        </is>
      </c>
      <c r="L187" s="3" t="inlineStr">
        <is>
          <t>VALVOLA DI VENTILAZIONE IN ACCIAIO PER MANDATA E RIPRESA ARIA AMBIENTE PER DIFFUSORE CIRCOLARE, DATA IN OPERA A PERFETTA REGOLA D'ARTE, DEL Ø DI: 200 MM</t>
        </is>
      </c>
      <c r="M187" s="4" t="inlineStr">
        <is>
          <t>CAD</t>
        </is>
      </c>
      <c r="N187" s="5" t="n">
        <v>2</v>
      </c>
      <c r="O187" s="6" t="n">
        <v>30.24</v>
      </c>
      <c r="P187" s="6" t="n">
        <v>60.48</v>
      </c>
      <c r="Q187" s="5" t="n"/>
      <c r="R187" s="6" t="n"/>
      <c r="S187" s="6">
        <f>IF(AND(Q187&lt;&gt;"",R187&lt;&gt;""),Q187*R187,"")</f>
        <v/>
      </c>
      <c r="T187" s="6">
        <f>IF(S187="",P187,S187)</f>
        <v/>
      </c>
      <c r="U187" s="7" t="n">
        <v>0</v>
      </c>
      <c r="V187" s="6">
        <f>$T187*U187</f>
        <v/>
      </c>
      <c r="W187" s="7" t="n">
        <v>0</v>
      </c>
      <c r="X187" s="6">
        <f>$T187*W187</f>
        <v/>
      </c>
      <c r="Y187" s="7" t="n">
        <v>0</v>
      </c>
      <c r="Z187" s="6">
        <f>$T187*Y187</f>
        <v/>
      </c>
      <c r="AA187" s="7" t="n">
        <v>0</v>
      </c>
      <c r="AB187" s="6">
        <f>$T187*AA187</f>
        <v/>
      </c>
      <c r="AC187" s="7" t="n">
        <v>0</v>
      </c>
      <c r="AD187" s="6">
        <f>$T187*AC187</f>
        <v/>
      </c>
      <c r="AE187" s="7" t="n">
        <v>0</v>
      </c>
      <c r="AF187" s="6">
        <f>$T187*AE187</f>
        <v/>
      </c>
      <c r="AG187" s="7" t="n">
        <v>0</v>
      </c>
      <c r="AH187" s="6">
        <f>$T187*AG187</f>
        <v/>
      </c>
      <c r="AI187" s="7">
        <f>U187+W187+Y187+AA187+AC187+AE187+AG187</f>
        <v/>
      </c>
      <c r="AJ187" s="6">
        <f>V187+X187+Z187+AB187+AD187+AF187+AH187</f>
        <v/>
      </c>
    </row>
    <row r="188" ht="60" customHeight="1" s="35">
      <c r="A188" s="3" t="inlineStr">
        <is>
          <t>LOM251.OC.EEA.PA29.F8215.SA000.0260</t>
        </is>
      </c>
      <c r="B188" s="4" t="inlineStr">
        <is>
          <t>1/2</t>
        </is>
      </c>
      <c r="C188" s="3" t="inlineStr">
        <is>
          <t>IMPIANTO MECCANICO</t>
        </is>
      </c>
      <c r="D188" s="4" t="inlineStr">
        <is>
          <t>NON SPECIALE</t>
        </is>
      </c>
      <c r="E188" s="4" t="inlineStr">
        <is>
          <t>MECCANICHE</t>
        </is>
      </c>
      <c r="F188" s="3" t="inlineStr">
        <is>
          <t>2_CME_TOTALE MECCANICI RADIOFARMACIA PAVIA.PDF</t>
        </is>
      </c>
      <c r="G188" s="4" t="inlineStr">
        <is>
          <t>139/139</t>
        </is>
      </c>
      <c r="H188" s="3" t="inlineStr">
        <is>
          <t>40 - IMPIANTISTICO</t>
        </is>
      </c>
      <c r="I188" s="3" t="inlineStr">
        <is>
          <t>P. PRIMO - UFFICI</t>
        </is>
      </c>
      <c r="J188" s="3" t="inlineStr">
        <is>
          <t>IMPIANTO HVAC</t>
        </is>
      </c>
      <c r="K188" s="3" t="inlineStr">
        <is>
          <t>OPERA: GRIGLIA, DI RIPRESA DI LEGA ALLUMINIO GENERICO; GEOMETRIA: 1 FILARE DI ALETTE FISSE; FUNZIONE: DIFFUSIONE ARIA; IMPIEGO: IMPIANTO DI CLIMATIZZAZIONE; SUPERFICIE FRONTALE [M²] = 0,06 ÷ 0,08. INC</t>
        </is>
      </c>
      <c r="L188" s="3" t="inlineStr">
        <is>
          <t>OPERA: GRIGLIA, DI RIPRESA DI LEGA ALLUMINIO GENERICO; GEOMETRIA: 1 FILARE DI ALETTE FISSE; FUNZIONE: DIFFUSIONE ARIA; IMPIEGO: IMPIANTO DI CLIMATIZZAZIONE; SUPERFICIE FRONTALE [M²] = 0,06 ÷ 0,08. INCLUSO: SERRANDA DI REGOLAZIONE. 
LAVORO: MONTAGGIO. OP GRIGLIA, DI RIPRESA DI LEGA ALLUMINIO GENERICO; GEOMETRIA: 1 FILARE DI ALETTE FISSE; FUNZIONE: DIFFUSIONE ARIA; IMPIEGO: IMPIANTO DI CLIMATIZZAZIONE; SUPERFICIE FRONTALE [M²] = 0,06 ÷ 0,08. INCLUSO: SERRANDA DI REGOLAZIONE. 
RM GRIGLIA DI RIPRESA DI LEGA ALLUMINIO GENERICO; GEOMETRIA: 1 FILARE DI ALETTE FISSE; FUNZIONE: DIFFUSIONE ARIA; IMPIEGO: IMPIANTO DI CLIMATIZZAZIONE; SUPERFICIE FRONTALE [M²] = 0,06 ÷ 0,08. INCLUSO: SERRANDA DI REGOLAZIONE 
LV MONTAGGIO.</t>
        </is>
      </c>
      <c r="M188" s="4" t="inlineStr">
        <is>
          <t>M²</t>
        </is>
      </c>
      <c r="N188" s="5" t="n">
        <v>0.08</v>
      </c>
      <c r="O188" s="6" t="n">
        <v>1085.06</v>
      </c>
      <c r="P188" s="6" t="n">
        <v>86.8</v>
      </c>
      <c r="Q188" s="5" t="n"/>
      <c r="R188" s="6" t="n"/>
      <c r="S188" s="6">
        <f>IF(AND(Q188&lt;&gt;"",R188&lt;&gt;""),Q188*R188,"")</f>
        <v/>
      </c>
      <c r="T188" s="6">
        <f>IF(S188="",P188,S188)</f>
        <v/>
      </c>
      <c r="U188" s="7" t="n">
        <v>0</v>
      </c>
      <c r="V188" s="6">
        <f>$T188*U188</f>
        <v/>
      </c>
      <c r="W188" s="7" t="n">
        <v>0</v>
      </c>
      <c r="X188" s="6">
        <f>$T188*W188</f>
        <v/>
      </c>
      <c r="Y188" s="7" t="n">
        <v>0</v>
      </c>
      <c r="Z188" s="6">
        <f>$T188*Y188</f>
        <v/>
      </c>
      <c r="AA188" s="7" t="n">
        <v>0</v>
      </c>
      <c r="AB188" s="6">
        <f>$T188*AA188</f>
        <v/>
      </c>
      <c r="AC188" s="7" t="n">
        <v>0</v>
      </c>
      <c r="AD188" s="6">
        <f>$T188*AC188</f>
        <v/>
      </c>
      <c r="AE188" s="7" t="n">
        <v>0</v>
      </c>
      <c r="AF188" s="6">
        <f>$T188*AE188</f>
        <v/>
      </c>
      <c r="AG188" s="7" t="n">
        <v>0</v>
      </c>
      <c r="AH188" s="6">
        <f>$T188*AG188</f>
        <v/>
      </c>
      <c r="AI188" s="7">
        <f>U188+W188+Y188+AA188+AC188+AE188+AG188</f>
        <v/>
      </c>
      <c r="AJ188" s="6">
        <f>V188+X188+Z188+AB188+AD188+AF188+AH188</f>
        <v/>
      </c>
    </row>
    <row r="189" ht="60" customHeight="1" s="35">
      <c r="A189" s="3" t="inlineStr">
        <is>
          <t>LOM251.OC.EEA.PA02.F7410.OA015.0285</t>
        </is>
      </c>
      <c r="B189" s="4" t="inlineStr">
        <is>
          <t>2/4</t>
        </is>
      </c>
      <c r="C189" s="3" t="inlineStr">
        <is>
          <t>IMPIANTO MECCANICO</t>
        </is>
      </c>
      <c r="D189" s="4" t="inlineStr">
        <is>
          <t>NON SPECIALE</t>
        </is>
      </c>
      <c r="E189" s="4" t="inlineStr">
        <is>
          <t>MECCANICHE</t>
        </is>
      </c>
      <c r="F189" s="3" t="inlineStr">
        <is>
          <t>2_CME_TOTALE MECCANICI RADIOFARMACIA PAVIA.PDF</t>
        </is>
      </c>
      <c r="G189" s="4" t="inlineStr">
        <is>
          <t>140/140</t>
        </is>
      </c>
      <c r="H189" s="3" t="inlineStr">
        <is>
          <t>40 - IMPIANTISTICO</t>
        </is>
      </c>
      <c r="I189" s="3" t="inlineStr">
        <is>
          <t>P. PRIMO - UFFICI</t>
        </is>
      </c>
      <c r="J189" s="3" t="inlineStr">
        <is>
          <t>IMPIANTO HVAC</t>
        </is>
      </c>
      <c r="K189" s="3" t="inlineStr">
        <is>
          <t xml:space="preserve">OPERA: CONDOTTO DI FIBRA SINTETICA TESSILE; GEOMETRIA: FLESSIBILE; FUNZIONE: DISTRIBUZIONE ARIA; IMPIEGO: IMPIANTO DI CLIMATIZZAZIONE; DIAMETRO (Ø) [MM] = 200. </t>
        </is>
      </c>
      <c r="L189" s="3" t="inlineStr">
        <is>
          <t>OPERA: CONDOTTO DI FIBRA SINTETICA TESSILE; GEOMETRIA: FLESSIBILE; FUNZIONE: DISTRIBUZIONE ARIA; IMPIEGO: IMPIANTO DI CLIMATIZZAZIONE; DIAMETRO (Ø) [MM] = 200. 
LAVORO: POSA. 
SPECIFICHE TECNICHE: NON ISOLATO; IMPREGNATO IN RESINA SINTETICA POLIVINILCLORURO (PVC). OP CONDOTTO DI FIBRA SINTETICA TESSILE; GEOMETRIA: FLESSIBILE; FUNZIONE: DISTRIBUZIONE ARIA; IMPIEGO: IMPIANTO DI CLIMATIZZAZIONE; DIAMETRO (Ø) [MM] = 200. 
SPECIFICHE TECNICHE: NON ISOLATO; IMPREGNATO IN RESINA SINTETICA POLIVINILCLORURO (PVC). 
RM CONDOTTO DI FIBRA SINTETICA TESSILE; GEOMETRIA: FLESSIBILE; FUNZIONE: DISTRIBUZIONE ARIA; IMPIEGO: IMPIANTO DI CLIMATIZZAZIONE; DIAMETRO (Ø) [MM] = 200 
SPECIFICHE TECNICHE: NON ISOLATO; IMPREGNATO IN RESINA SINTETICA POLIVINILCLORURO (PVC) 
LV POSA.</t>
        </is>
      </c>
      <c r="M189" s="4" t="inlineStr">
        <is>
          <t>M</t>
        </is>
      </c>
      <c r="N189" s="5" t="n">
        <v>10</v>
      </c>
      <c r="O189" s="6" t="n">
        <v>14.12</v>
      </c>
      <c r="P189" s="6" t="n">
        <v>141.2</v>
      </c>
      <c r="Q189" s="5" t="n"/>
      <c r="R189" s="6" t="n"/>
      <c r="S189" s="6">
        <f>IF(AND(Q189&lt;&gt;"",R189&lt;&gt;""),Q189*R189,"")</f>
        <v/>
      </c>
      <c r="T189" s="6">
        <f>IF(S189="",P189,S189)</f>
        <v/>
      </c>
      <c r="U189" s="7" t="n">
        <v>0</v>
      </c>
      <c r="V189" s="6">
        <f>$T189*U189</f>
        <v/>
      </c>
      <c r="W189" s="7" t="n">
        <v>0</v>
      </c>
      <c r="X189" s="6">
        <f>$T189*W189</f>
        <v/>
      </c>
      <c r="Y189" s="7" t="n">
        <v>0</v>
      </c>
      <c r="Z189" s="6">
        <f>$T189*Y189</f>
        <v/>
      </c>
      <c r="AA189" s="7" t="n">
        <v>0</v>
      </c>
      <c r="AB189" s="6">
        <f>$T189*AA189</f>
        <v/>
      </c>
      <c r="AC189" s="7" t="n">
        <v>0</v>
      </c>
      <c r="AD189" s="6">
        <f>$T189*AC189</f>
        <v/>
      </c>
      <c r="AE189" s="7" t="n">
        <v>0</v>
      </c>
      <c r="AF189" s="6">
        <f>$T189*AE189</f>
        <v/>
      </c>
      <c r="AG189" s="7" t="n">
        <v>0</v>
      </c>
      <c r="AH189" s="6">
        <f>$T189*AG189</f>
        <v/>
      </c>
      <c r="AI189" s="7">
        <f>U189+W189+Y189+AA189+AC189+AE189+AG189</f>
        <v/>
      </c>
      <c r="AJ189" s="6">
        <f>V189+X189+Z189+AB189+AD189+AF189+AH189</f>
        <v/>
      </c>
    </row>
    <row r="190" ht="60" customHeight="1" s="35">
      <c r="A190" s="3" t="inlineStr">
        <is>
          <t>DEI_IT_035249A</t>
        </is>
      </c>
      <c r="B190" s="4" t="inlineStr">
        <is>
          <t>2/2</t>
        </is>
      </c>
      <c r="C190" s="3" t="inlineStr">
        <is>
          <t>IMPIANTO MECCANICO</t>
        </is>
      </c>
      <c r="D190" s="4" t="inlineStr">
        <is>
          <t>NON SPECIALE</t>
        </is>
      </c>
      <c r="E190" s="4" t="inlineStr">
        <is>
          <t>MECCANICHE</t>
        </is>
      </c>
      <c r="F190" s="3" t="inlineStr">
        <is>
          <t>2_CME_TOTALE MECCANICI RADIOFARMACIA PAVIA.PDF</t>
        </is>
      </c>
      <c r="G190" s="4" t="inlineStr">
        <is>
          <t>141/141</t>
        </is>
      </c>
      <c r="H190" s="3" t="inlineStr">
        <is>
          <t>40 - IMPIANTISTICO</t>
        </is>
      </c>
      <c r="I190" s="3" t="inlineStr">
        <is>
          <t>P. PRIMO - UFFICI</t>
        </is>
      </c>
      <c r="J190" s="3" t="inlineStr">
        <is>
          <t>IMPIANTO HVAC</t>
        </is>
      </c>
      <c r="K190" s="3" t="inlineStr">
        <is>
          <t>GRIGLIA DI ASPIRAZIONE/ESPULSIONE IN ALLUMINIO CON RETE DI PROTEZIONE, ALETTE ORIZZONTALI IN ALLUMINIO, COMPLETA DI CONTROTELAIO, DATA IN OPERA A PERFETTA REGOLA D'ARTE CON ESCLUSIONE DELLE OPERE MURA</t>
        </is>
      </c>
      <c r="L190" s="3" t="inlineStr">
        <is>
          <t>GRIGLIA DI ASPIRAZIONE/ESPULSIONE IN ALLUMINIO CON RETE DI PROTEZIONE, ALETTE ORIZZONTALI IN ALLUMINIO, COMPLETA DI CONTROTELAIO, DATA IN OPERA A PERFETTA REGOLA D'ARTE CON ESCLUSIONE DELLE OPERE MURARIE, DELLE DIMENSIONI DI: ALTEZZA 650 MM: BASE 600 MM</t>
        </is>
      </c>
      <c r="M190" s="4" t="inlineStr">
        <is>
          <t>CAD</t>
        </is>
      </c>
      <c r="N190" s="5" t="n">
        <v>2</v>
      </c>
      <c r="O190" s="6" t="n">
        <v>166.02</v>
      </c>
      <c r="P190" s="6" t="n">
        <v>332.04</v>
      </c>
      <c r="Q190" s="5" t="n"/>
      <c r="R190" s="6" t="n"/>
      <c r="S190" s="6">
        <f>IF(AND(Q190&lt;&gt;"",R190&lt;&gt;""),Q190*R190,"")</f>
        <v/>
      </c>
      <c r="T190" s="6">
        <f>IF(S190="",P190,S190)</f>
        <v/>
      </c>
      <c r="U190" s="7" t="n">
        <v>0</v>
      </c>
      <c r="V190" s="6">
        <f>$T190*U190</f>
        <v/>
      </c>
      <c r="W190" s="7" t="n">
        <v>0</v>
      </c>
      <c r="X190" s="6">
        <f>$T190*W190</f>
        <v/>
      </c>
      <c r="Y190" s="7" t="n">
        <v>0</v>
      </c>
      <c r="Z190" s="6">
        <f>$T190*Y190</f>
        <v/>
      </c>
      <c r="AA190" s="7" t="n">
        <v>0</v>
      </c>
      <c r="AB190" s="6">
        <f>$T190*AA190</f>
        <v/>
      </c>
      <c r="AC190" s="7" t="n">
        <v>0</v>
      </c>
      <c r="AD190" s="6">
        <f>$T190*AC190</f>
        <v/>
      </c>
      <c r="AE190" s="7" t="n">
        <v>0</v>
      </c>
      <c r="AF190" s="6">
        <f>$T190*AE190</f>
        <v/>
      </c>
      <c r="AG190" s="7" t="n">
        <v>0</v>
      </c>
      <c r="AH190" s="6">
        <f>$T190*AG190</f>
        <v/>
      </c>
      <c r="AI190" s="7">
        <f>U190+W190+Y190+AA190+AC190+AE190+AG190</f>
        <v/>
      </c>
      <c r="AJ190" s="6">
        <f>V190+X190+Z190+AB190+AD190+AF190+AH190</f>
        <v/>
      </c>
    </row>
    <row r="191" ht="60" customHeight="1" s="35">
      <c r="A191" s="3" t="inlineStr">
        <is>
          <t>LOM251.OC.EEA.PA02.I7407.SB038.0255</t>
        </is>
      </c>
      <c r="B191" s="4" t="inlineStr">
        <is>
          <t>2/3</t>
        </is>
      </c>
      <c r="C191" s="3" t="inlineStr">
        <is>
          <t>IMPIANTO MECCANICO</t>
        </is>
      </c>
      <c r="D191" s="4" t="inlineStr">
        <is>
          <t>NON SPECIALE</t>
        </is>
      </c>
      <c r="E191" s="4" t="inlineStr">
        <is>
          <t>MECCANICHE</t>
        </is>
      </c>
      <c r="F191" s="3" t="inlineStr">
        <is>
          <t>2_CME_TOTALE MECCANICI RADIOFARMACIA PAVIA.PDF</t>
        </is>
      </c>
      <c r="G191" s="4" t="inlineStr">
        <is>
          <t>142/142</t>
        </is>
      </c>
      <c r="H191" s="3" t="inlineStr">
        <is>
          <t>40 - IMPIANTISTICO</t>
        </is>
      </c>
      <c r="I191" s="3" t="inlineStr">
        <is>
          <t>P. PRIMO - UFFICI</t>
        </is>
      </c>
      <c r="J191" s="3" t="inlineStr">
        <is>
          <t>IMPIANTO HVAC</t>
        </is>
      </c>
      <c r="K191" s="3" t="inlineStr">
        <is>
          <t xml:space="preserve">OPERA: TUBAZIONE DI LEGA FERROSA ACCIAIO NERO; GEOMETRIA: FILETTATO | SERIE LEGGERA; FUNZIONE: DISTRIBUZIONE ACQUA; IMPIEGO: RETE IDRICA; DIAMETRO NOMINALE (Ø) [MM] = 20 | SPESSORE [MM] = 2,3. </t>
        </is>
      </c>
      <c r="L191" s="3" t="inlineStr">
        <is>
          <t>OPERA: TUBAZIONE DI LEGA FERROSA ACCIAIO NERO; GEOMETRIA: FILETTATO | SERIE LEGGERA; FUNZIONE: DISTRIBUZIONE ACQUA; IMPIEGO: RETE IDRICA; DIAMETRO NOMINALE (Ø) [MM] = 20 | SPESSORE [MM] = 2,3. 
LAVORO: POSA. 
SPECIFICHE TECNICHE: TUBO SENZA SALDATURA. OP TUBAZIONE DI LEGA FERROSA ACCIAIO NERO; GEOMETRIA: FILETTATO | SERIE LEGGERA; FUNZIONE: DISTRIBUZIONE ACQUA; IMPIEGO: RETE IDRICA; DIAMETRO NOMINALE (Ø) [MM] = 20 | SPESSORE [MM] = 2,3. 
SPECIFICHE TECNICHE: TUBO SENZA SALDATURA. 
RM TUBO DI LEGA FERROSA ACCIAIO NERO; GEOMETRIA: FILETTATO | SERIE LEGGERA; FUNZIONE: DISTRIBUZIONE ACQUA; IMPIEGO: RETE IDRICA; DIAMETRO NOMINALE (Ø) [MM] = 20 | SPESSORE [MM] = 2,3 
SPECIFICHE TECNICHE: TUBO SENZA SALDATURA 
LV POSA.</t>
        </is>
      </c>
      <c r="M191" s="4" t="inlineStr">
        <is>
          <t>M</t>
        </is>
      </c>
      <c r="N191" s="5" t="n">
        <v>15</v>
      </c>
      <c r="O191" s="6" t="n">
        <v>24.52</v>
      </c>
      <c r="P191" s="6" t="n">
        <v>367.8</v>
      </c>
      <c r="Q191" s="5" t="n"/>
      <c r="R191" s="6" t="n"/>
      <c r="S191" s="6">
        <f>IF(AND(Q191&lt;&gt;"",R191&lt;&gt;""),Q191*R191,"")</f>
        <v/>
      </c>
      <c r="T191" s="6">
        <f>IF(S191="",P191,S191)</f>
        <v/>
      </c>
      <c r="U191" s="7" t="n">
        <v>0</v>
      </c>
      <c r="V191" s="6">
        <f>$T191*U191</f>
        <v/>
      </c>
      <c r="W191" s="7" t="n">
        <v>0</v>
      </c>
      <c r="X191" s="6">
        <f>$T191*W191</f>
        <v/>
      </c>
      <c r="Y191" s="7" t="n">
        <v>0</v>
      </c>
      <c r="Z191" s="6">
        <f>$T191*Y191</f>
        <v/>
      </c>
      <c r="AA191" s="7" t="n">
        <v>0</v>
      </c>
      <c r="AB191" s="6">
        <f>$T191*AA191</f>
        <v/>
      </c>
      <c r="AC191" s="7" t="n">
        <v>0</v>
      </c>
      <c r="AD191" s="6">
        <f>$T191*AC191</f>
        <v/>
      </c>
      <c r="AE191" s="7" t="n">
        <v>0</v>
      </c>
      <c r="AF191" s="6">
        <f>$T191*AE191</f>
        <v/>
      </c>
      <c r="AG191" s="7" t="n">
        <v>0</v>
      </c>
      <c r="AH191" s="6">
        <f>$T191*AG191</f>
        <v/>
      </c>
      <c r="AI191" s="7">
        <f>U191+W191+Y191+AA191+AC191+AE191+AG191</f>
        <v/>
      </c>
      <c r="AJ191" s="6">
        <f>V191+X191+Z191+AB191+AD191+AF191+AH191</f>
        <v/>
      </c>
    </row>
    <row r="192" ht="60" customHeight="1" s="35">
      <c r="A192" s="3" t="inlineStr">
        <is>
          <t>LOM251.OC.EEA.PA02.I7407.SB038.0260</t>
        </is>
      </c>
      <c r="B192" s="4" t="inlineStr">
        <is>
          <t>1/1</t>
        </is>
      </c>
      <c r="C192" s="3" t="inlineStr">
        <is>
          <t>IMPIANTO MECCANICO</t>
        </is>
      </c>
      <c r="D192" s="4" t="inlineStr">
        <is>
          <t>NON SPECIALE</t>
        </is>
      </c>
      <c r="E192" s="4" t="inlineStr">
        <is>
          <t>MECCANICHE</t>
        </is>
      </c>
      <c r="F192" s="3" t="inlineStr">
        <is>
          <t>2_CME_TOTALE MECCANICI RADIOFARMACIA PAVIA.PDF</t>
        </is>
      </c>
      <c r="G192" s="4" t="inlineStr">
        <is>
          <t>143/143</t>
        </is>
      </c>
      <c r="H192" s="3" t="inlineStr">
        <is>
          <t>40 - IMPIANTISTICO</t>
        </is>
      </c>
      <c r="I192" s="3" t="inlineStr">
        <is>
          <t>P. PRIMO - UFFICI</t>
        </is>
      </c>
      <c r="J192" s="3" t="inlineStr">
        <is>
          <t>IMPIANTO HVAC</t>
        </is>
      </c>
      <c r="K192" s="3" t="inlineStr">
        <is>
          <t xml:space="preserve">OPERA: TUBAZIONE DI LEGA FERROSA ACCIAIO NERO; GEOMETRIA: FILETTATO | SERIE LEGGERA; FUNZIONE: DISTRIBUZIONE ACQUA; IMPIEGO: RETE IDRICA; DIAMETRO NOMINALE (Ø) [MM] = 25 | SPESSORE [MM] = 2,9. </t>
        </is>
      </c>
      <c r="L192" s="3" t="inlineStr">
        <is>
          <t>OPERA: TUBAZIONE DI LEGA FERROSA ACCIAIO NERO; GEOMETRIA: FILETTATO | SERIE LEGGERA; FUNZIONE: DISTRIBUZIONE ACQUA; IMPIEGO: RETE IDRICA; DIAMETRO NOMINALE (Ø) [MM] = 25 | SPESSORE [MM] = 2,9. 
LAVORO: POSA. 
SPECIFICHE TECNICHE: TUBO SENZA SALDATURA. OP TUBAZIONE DI LEGA FERROSA ACCIAIO NERO; GEOMETRIA: FILETTATO | SERIE LEGGERA; FUNZIONE: DISTRIBUZIONE ACQUA; IMPIEGO: RETE IDRICA; DIAMETRO NOMINALE (Ø) [MM] = 25 | SPESSORE [MM] = 2,9. 
SPECIFICHE TECNICHE: TUBO SENZA SALDATURA. 
RM TUBO DI LEGA FERROSA ACCIAIO NERO; GEOMETRIA: FILETTATO | SERIE LEGGERA; FUNZIONE: DISTRIBUZIONE ACQUA; IMPIEGO: RETE IDRICA; DIAMETRO NOMINALE (Ø) [MM] = 25 | SPESSORE [MM] = 2,9 
SPECIFICHE TECNICHE: TUBO SENZA SALDATURA 
LV POSA.</t>
        </is>
      </c>
      <c r="M192" s="4" t="inlineStr">
        <is>
          <t>M</t>
        </is>
      </c>
      <c r="N192" s="5" t="n">
        <v>10</v>
      </c>
      <c r="O192" s="6" t="n">
        <v>27.97</v>
      </c>
      <c r="P192" s="6" t="n">
        <v>279.7</v>
      </c>
      <c r="Q192" s="5" t="n"/>
      <c r="R192" s="6" t="n"/>
      <c r="S192" s="6">
        <f>IF(AND(Q192&lt;&gt;"",R192&lt;&gt;""),Q192*R192,"")</f>
        <v/>
      </c>
      <c r="T192" s="6">
        <f>IF(S192="",P192,S192)</f>
        <v/>
      </c>
      <c r="U192" s="7" t="n">
        <v>0</v>
      </c>
      <c r="V192" s="6">
        <f>$T192*U192</f>
        <v/>
      </c>
      <c r="W192" s="7" t="n">
        <v>0</v>
      </c>
      <c r="X192" s="6">
        <f>$T192*W192</f>
        <v/>
      </c>
      <c r="Y192" s="7" t="n">
        <v>0</v>
      </c>
      <c r="Z192" s="6">
        <f>$T192*Y192</f>
        <v/>
      </c>
      <c r="AA192" s="7" t="n">
        <v>0</v>
      </c>
      <c r="AB192" s="6">
        <f>$T192*AA192</f>
        <v/>
      </c>
      <c r="AC192" s="7" t="n">
        <v>0</v>
      </c>
      <c r="AD192" s="6">
        <f>$T192*AC192</f>
        <v/>
      </c>
      <c r="AE192" s="7" t="n">
        <v>0</v>
      </c>
      <c r="AF192" s="6">
        <f>$T192*AE192</f>
        <v/>
      </c>
      <c r="AG192" s="7" t="n">
        <v>0</v>
      </c>
      <c r="AH192" s="6">
        <f>$T192*AG192</f>
        <v/>
      </c>
      <c r="AI192" s="7">
        <f>U192+W192+Y192+AA192+AC192+AE192+AG192</f>
        <v/>
      </c>
      <c r="AJ192" s="6">
        <f>V192+X192+Z192+AB192+AD192+AF192+AH192</f>
        <v/>
      </c>
    </row>
    <row r="193" ht="60" customHeight="1" s="35">
      <c r="A193" s="3" t="inlineStr">
        <is>
          <t>LOM251.OC.EEA.PA02.I7407.SB038.0265</t>
        </is>
      </c>
      <c r="B193" s="4" t="inlineStr">
        <is>
          <t>1/1</t>
        </is>
      </c>
      <c r="C193" s="3" t="inlineStr">
        <is>
          <t>IMPIANTO MECCANICO</t>
        </is>
      </c>
      <c r="D193" s="4" t="inlineStr">
        <is>
          <t>NON SPECIALE</t>
        </is>
      </c>
      <c r="E193" s="4" t="inlineStr">
        <is>
          <t>MECCANICHE</t>
        </is>
      </c>
      <c r="F193" s="3" t="inlineStr">
        <is>
          <t>2_CME_TOTALE MECCANICI RADIOFARMACIA PAVIA.PDF</t>
        </is>
      </c>
      <c r="G193" s="4" t="inlineStr">
        <is>
          <t>144/144</t>
        </is>
      </c>
      <c r="H193" s="3" t="inlineStr">
        <is>
          <t>40 - IMPIANTISTICO</t>
        </is>
      </c>
      <c r="I193" s="3" t="inlineStr">
        <is>
          <t>P. PRIMO - UFFICI</t>
        </is>
      </c>
      <c r="J193" s="3" t="inlineStr">
        <is>
          <t>IMPIANTO HVAC</t>
        </is>
      </c>
      <c r="K193" s="3" t="inlineStr">
        <is>
          <t xml:space="preserve">OPERA: TUBAZIONE DI LEGA FERROSA ACCIAIO NERO; GEOMETRIA: FILETTATO | SERIE LEGGERA; FUNZIONE: DISTRIBUZIONE ACQUA; IMPIEGO: RETE IDRICA; DIAMETRO NOMINALE (Ø) [MM] = 32 | SPESSORE [MM] = 2,9. </t>
        </is>
      </c>
      <c r="L193" s="3" t="inlineStr">
        <is>
          <t>OPERA: TUBAZIONE DI LEGA FERROSA ACCIAIO NERO; GEOMETRIA: FILETTATO | SERIE LEGGERA; FUNZIONE: DISTRIBUZIONE ACQUA; IMPIEGO: RETE IDRICA; DIAMETRO NOMINALE (Ø) [MM] = 32 | SPESSORE [MM] = 2,9. 
LAVORO: POSA. 
SPECIFICHE TECNICHE: TUBO SENZA SALDATURA. OP TUBAZIONE DI LEGA FERROSA ACCIAIO NERO; GEOMETRIA: FILETTATO | SERIE LEGGERA; FUNZIONE: DISTRIBUZIONE ACQUA; IMPIEGO: RETE IDRICA; DIAMETRO NOMINALE (Ø) [MM] = 32 | SPESSORE [MM] = 2,9. 
SPECIFICHE TECNICHE: TUBO SENZA SALDATURA. 
RM TUBO DI LEGA FERROSA ACCIAIO NERO; GEOMETRIA: FILETTATO | SERIE LEGGERA; FUNZIONE: DISTRIBUZIONE ACQUA; IMPIEGO: RETE IDRICA; DIAMETRO NOMINALE (Ø) [MM] = 32 | SPESSORE [MM] = 2,9 
SPECIFICHE TECNICHE: TUBO SENZA SALDATURA 
LV POSA.</t>
        </is>
      </c>
      <c r="M193" s="4" t="inlineStr">
        <is>
          <t>M</t>
        </is>
      </c>
      <c r="N193" s="5" t="n">
        <v>10</v>
      </c>
      <c r="O193" s="6" t="n">
        <v>31.42</v>
      </c>
      <c r="P193" s="6" t="n">
        <v>314.2</v>
      </c>
      <c r="Q193" s="5" t="n"/>
      <c r="R193" s="6" t="n"/>
      <c r="S193" s="6">
        <f>IF(AND(Q193&lt;&gt;"",R193&lt;&gt;""),Q193*R193,"")</f>
        <v/>
      </c>
      <c r="T193" s="6">
        <f>IF(S193="",P193,S193)</f>
        <v/>
      </c>
      <c r="U193" s="7" t="n">
        <v>0</v>
      </c>
      <c r="V193" s="6">
        <f>$T193*U193</f>
        <v/>
      </c>
      <c r="W193" s="7" t="n">
        <v>0</v>
      </c>
      <c r="X193" s="6">
        <f>$T193*W193</f>
        <v/>
      </c>
      <c r="Y193" s="7" t="n">
        <v>0</v>
      </c>
      <c r="Z193" s="6">
        <f>$T193*Y193</f>
        <v/>
      </c>
      <c r="AA193" s="7" t="n">
        <v>0</v>
      </c>
      <c r="AB193" s="6">
        <f>$T193*AA193</f>
        <v/>
      </c>
      <c r="AC193" s="7" t="n">
        <v>0</v>
      </c>
      <c r="AD193" s="6">
        <f>$T193*AC193</f>
        <v/>
      </c>
      <c r="AE193" s="7" t="n">
        <v>0</v>
      </c>
      <c r="AF193" s="6">
        <f>$T193*AE193</f>
        <v/>
      </c>
      <c r="AG193" s="7" t="n">
        <v>0</v>
      </c>
      <c r="AH193" s="6">
        <f>$T193*AG193</f>
        <v/>
      </c>
      <c r="AI193" s="7">
        <f>U193+W193+Y193+AA193+AC193+AE193+AG193</f>
        <v/>
      </c>
      <c r="AJ193" s="6">
        <f>V193+X193+Z193+AB193+AD193+AF193+AH193</f>
        <v/>
      </c>
    </row>
    <row r="194" ht="60" customHeight="1" s="35">
      <c r="A194" s="3" t="inlineStr">
        <is>
          <t>LOM251.OC.EEA.PA01.F8220.ZA001.0140</t>
        </is>
      </c>
      <c r="B194" s="4" t="inlineStr">
        <is>
          <t>2/2</t>
        </is>
      </c>
      <c r="C194" s="3" t="inlineStr">
        <is>
          <t>IMPIANTO MECCANICO</t>
        </is>
      </c>
      <c r="D194" s="4" t="inlineStr">
        <is>
          <t>NON SPECIALE</t>
        </is>
      </c>
      <c r="E194" s="4" t="inlineStr">
        <is>
          <t>MECCANICHE</t>
        </is>
      </c>
      <c r="F194" s="3" t="inlineStr">
        <is>
          <t>2_CME_TOTALE MECCANICI RADIOFARMACIA PAVIA.PDF</t>
        </is>
      </c>
      <c r="G194" s="4" t="inlineStr">
        <is>
          <t>145/145</t>
        </is>
      </c>
      <c r="H194" s="3" t="inlineStr">
        <is>
          <t>40 - IMPIANTISTICO</t>
        </is>
      </c>
      <c r="I194" s="3" t="inlineStr">
        <is>
          <t>P. PRIMO - UFFICI</t>
        </is>
      </c>
      <c r="J194" s="3" t="inlineStr">
        <is>
          <t>IMPIANTO HVAC</t>
        </is>
      </c>
      <c r="K194" s="3" t="inlineStr">
        <is>
          <t xml:space="preserve">OPERA: VENTILCONVETTORE, A 1 BATTERIA; GEOMETRIA: INCASSO TIPO CASSETTE; FUNZIONE: RAFFRESCAMENTO ARIA; IMPIEGO: IMPIANTO DI CLIMATIZZAZIONE; POTENZA DI RAFFRESCAMENTO [W] ≤ 2800. </t>
        </is>
      </c>
      <c r="L194" s="3" t="inlineStr">
        <is>
          <t>OPERA: VENTILCONVETTORE, A 1 BATTERIA; GEOMETRIA: INCASSO TIPO CASSETTE; FUNZIONE: RAFFRESCAMENTO ARIA; IMPIEGO: IMPIANTO DI CLIMATIZZAZIONE; POTENZA DI RAFFRESCAMENTO [W] ≤ 2800. 
LAVORO: INSTALLAZIONE. 
SPECIFICHE TECNICHE: POTENZA DI RAFFRESCAMENTO SENSIBILE MISURATA CON TEMPERATURA ARIA [°C] = 26, UMIDITÀ RELATIVA (UR) [%] = 50 E TEMPERATURA ACQUA [°C] = 7 ÷ 12. OP VENTILCONVETTORE, A 1 BATTERIA; GEOMETRIA: INCASSO TIPO CASSETTE; FUNZIONE: RAFFRESCAMENTO ARIA; IMPIEGO: IMPIANTO DI CLIMATIZZAZIONE; POTENZA DI RAFFRESCAMENTO [W] ≤ 2800. 
SPECIFICHE TECNICHE: POTENZA DI RAFFRESCAMENTO SENSIBILE MISURATA CON TEMPERATURA ARIA [°C] = 26, UMIDITÀ RELATIVA (UR) [%] = 50 E TEMPERATURA ACQUA [°C] = 7 ÷ 12. 
RM VENTILCONVETTORE A 1 BATTERIA; GEOMETRIA: INCASSO TIPO CASSETTE; FUNZIONE: RAFFRESCAMENTO ARIA; IMPIEGO: IMPIANTO DI CLIMATIZZAZIONE; POTENZA DI RAFFRESCAMENTO [W] ≤ 2800. COMPONENTI: VENTILATORE CENTRIFUGO, DISPOSITIVO ELETTRONICO BATTERIA, COMANDO A 3 VELOCITÀ, STRUTTURA, FILTRO RIGENERABILE, BACINELLA, PIEDINO, MENSOLA 
SPECIFICHE TECNICHE: POTENZA DI RAFFRESCAMENTO SENSIBILE MISURATA CON TEMPERATURA ARIA [°C] = 26, UMIDITÀ RELATIVA (UR) [%] = 50 E TEMPERATURA ACQUA [°C] = 7 ÷ 12 
LV INSTALLAZIONE.</t>
        </is>
      </c>
      <c r="M194" s="4" t="inlineStr">
        <is>
          <t>CAD</t>
        </is>
      </c>
      <c r="N194" s="5" t="n">
        <v>4</v>
      </c>
      <c r="O194" s="6" t="n">
        <v>1108.78</v>
      </c>
      <c r="P194" s="6" t="n">
        <v>4435.12</v>
      </c>
      <c r="Q194" s="5" t="n"/>
      <c r="R194" s="6" t="n"/>
      <c r="S194" s="6">
        <f>IF(AND(Q194&lt;&gt;"",R194&lt;&gt;""),Q194*R194,"")</f>
        <v/>
      </c>
      <c r="T194" s="6">
        <f>IF(S194="",P194,S194)</f>
        <v/>
      </c>
      <c r="U194" s="7" t="n">
        <v>0.5</v>
      </c>
      <c r="V194" s="6">
        <f>$T194*U194</f>
        <v/>
      </c>
      <c r="W194" s="7" t="n">
        <v>0.1</v>
      </c>
      <c r="X194" s="6">
        <f>$T194*W194</f>
        <v/>
      </c>
      <c r="Y194" s="7" t="n">
        <v>0</v>
      </c>
      <c r="Z194" s="6">
        <f>$T194*Y194</f>
        <v/>
      </c>
      <c r="AA194" s="7" t="n">
        <v>0</v>
      </c>
      <c r="AB194" s="6">
        <f>$T194*AA194</f>
        <v/>
      </c>
      <c r="AC194" s="7" t="n">
        <v>0</v>
      </c>
      <c r="AD194" s="6">
        <f>$T194*AC194</f>
        <v/>
      </c>
      <c r="AE194" s="7" t="n">
        <v>0</v>
      </c>
      <c r="AF194" s="6">
        <f>$T194*AE194</f>
        <v/>
      </c>
      <c r="AG194" s="7" t="n">
        <v>0</v>
      </c>
      <c r="AH194" s="6">
        <f>$T194*AG194</f>
        <v/>
      </c>
      <c r="AI194" s="7">
        <f>U194+W194+Y194+AA194+AC194+AE194+AG194</f>
        <v/>
      </c>
      <c r="AJ194" s="6">
        <f>V194+X194+Z194+AB194+AD194+AF194+AH194</f>
        <v/>
      </c>
    </row>
    <row r="195" ht="60" customHeight="1" s="35">
      <c r="A195" s="3" t="inlineStr">
        <is>
          <t>DEI_IT_015011A</t>
        </is>
      </c>
      <c r="B195" s="4" t="inlineStr">
        <is>
          <t>2/2</t>
        </is>
      </c>
      <c r="C195" s="3" t="inlineStr">
        <is>
          <t>IMPIANTO MECCANICO</t>
        </is>
      </c>
      <c r="D195" s="4" t="inlineStr">
        <is>
          <t>NON SPECIALE</t>
        </is>
      </c>
      <c r="E195" s="4" t="inlineStr">
        <is>
          <t>MECCANICHE</t>
        </is>
      </c>
      <c r="F195" s="3" t="inlineStr">
        <is>
          <t>2_CME_TOTALE MECCANICI RADIOFARMACIA PAVIA.PDF</t>
        </is>
      </c>
      <c r="G195" s="4" t="inlineStr">
        <is>
          <t>146/146</t>
        </is>
      </c>
      <c r="H195" s="3" t="inlineStr">
        <is>
          <t>40 - IMPIANTISTICO</t>
        </is>
      </c>
      <c r="I195" s="3" t="inlineStr">
        <is>
          <t>P. PRIMO - UFFICI</t>
        </is>
      </c>
      <c r="J195" s="3" t="inlineStr">
        <is>
          <t>IMPIANTO HVAC</t>
        </is>
      </c>
      <c r="K195" s="3" t="inlineStr">
        <is>
          <t>TUBO IN POLIETILENE ALTA DENSITÀ, CONFORME ALLA NORMA UNI EN 1519, PER IMPIANTI DI SCARICO DI ACQUE CALDE E FREDDE E PER COLONNE DI VENTILAZIONE SIA ALL'INTERNO CHE ALL'ESTERNO DI FABBRICATI, IN OPERA</t>
        </is>
      </c>
      <c r="L195" s="3" t="inlineStr">
        <is>
          <t>TUBO IN POLIETILENE ALTA DENSITÀ, CONFORME ALLA NORMA UNI EN 1519, PER IMPIANTI DI SCARICO DI ACQUE CALDE E FREDDE E PER COLONNE DI VENTILAZIONE SIA ALL'INTERNO CHE ALL'ESTERNO DI FABBRICATI, IN OPERA COMPRESA QUOTA PARTE DI RACCORDERIA E MATERIALI ACCESSORI PER IL MONTAGGIO, ESCLUSI EVENTUALI PEZZI SPECIALI, OPERE MURARIE, SCAVI E RINTERRI: Ø 32 MM</t>
        </is>
      </c>
      <c r="M195" s="4" t="inlineStr">
        <is>
          <t>M</t>
        </is>
      </c>
      <c r="N195" s="5" t="n">
        <v>10</v>
      </c>
      <c r="O195" s="6" t="n">
        <v>13.34</v>
      </c>
      <c r="P195" s="6" t="n">
        <v>133.4</v>
      </c>
      <c r="Q195" s="5" t="n"/>
      <c r="R195" s="6" t="n"/>
      <c r="S195" s="6">
        <f>IF(AND(Q195&lt;&gt;"",R195&lt;&gt;""),Q195*R195,"")</f>
        <v/>
      </c>
      <c r="T195" s="6">
        <f>IF(S195="",P195,S195)</f>
        <v/>
      </c>
      <c r="U195" s="7" t="n">
        <v>0</v>
      </c>
      <c r="V195" s="6">
        <f>$T195*U195</f>
        <v/>
      </c>
      <c r="W195" s="7" t="n">
        <v>0</v>
      </c>
      <c r="X195" s="6">
        <f>$T195*W195</f>
        <v/>
      </c>
      <c r="Y195" s="7" t="n">
        <v>0</v>
      </c>
      <c r="Z195" s="6">
        <f>$T195*Y195</f>
        <v/>
      </c>
      <c r="AA195" s="7" t="n">
        <v>0</v>
      </c>
      <c r="AB195" s="6">
        <f>$T195*AA195</f>
        <v/>
      </c>
      <c r="AC195" s="7" t="n">
        <v>0</v>
      </c>
      <c r="AD195" s="6">
        <f>$T195*AC195</f>
        <v/>
      </c>
      <c r="AE195" s="7" t="n">
        <v>0</v>
      </c>
      <c r="AF195" s="6">
        <f>$T195*AE195</f>
        <v/>
      </c>
      <c r="AG195" s="7" t="n">
        <v>0</v>
      </c>
      <c r="AH195" s="6">
        <f>$T195*AG195</f>
        <v/>
      </c>
      <c r="AI195" s="7">
        <f>U195+W195+Y195+AA195+AC195+AE195+AG195</f>
        <v/>
      </c>
      <c r="AJ195" s="6">
        <f>V195+X195+Z195+AB195+AD195+AF195+AH195</f>
        <v/>
      </c>
    </row>
    <row r="196" ht="60" customHeight="1" s="35">
      <c r="A196" s="3" t="inlineStr">
        <is>
          <t>DEI_IT_015011B</t>
        </is>
      </c>
      <c r="B196" s="4" t="inlineStr">
        <is>
          <t>2/2</t>
        </is>
      </c>
      <c r="C196" s="3" t="inlineStr">
        <is>
          <t>IMPIANTO MECCANICO</t>
        </is>
      </c>
      <c r="D196" s="4" t="inlineStr">
        <is>
          <t>NON SPECIALE</t>
        </is>
      </c>
      <c r="E196" s="4" t="inlineStr">
        <is>
          <t>MECCANICHE</t>
        </is>
      </c>
      <c r="F196" s="3" t="inlineStr">
        <is>
          <t>2_CME_TOTALE MECCANICI RADIOFARMACIA PAVIA.PDF</t>
        </is>
      </c>
      <c r="G196" s="4" t="inlineStr">
        <is>
          <t>147/147</t>
        </is>
      </c>
      <c r="H196" s="3" t="inlineStr">
        <is>
          <t>40 - IMPIANTISTICO</t>
        </is>
      </c>
      <c r="I196" s="3" t="inlineStr">
        <is>
          <t>P. PRIMO - UFFICI</t>
        </is>
      </c>
      <c r="J196" s="3" t="inlineStr">
        <is>
          <t>IMPIANTO HVAC</t>
        </is>
      </c>
      <c r="K196" s="3" t="inlineStr">
        <is>
          <t>TUBO IN POLIETILENE ALTA DENSITÀ, CONFORME ALLA NORMA UNI EN 1519, PER IMPIANTI DI SCARICO DI ACQUE CALDE E FREDDE E PER COLONNE DI VENTILAZIONE SIA ALL'INTERNO CHE ALL'ESTERNO DI FABBRICATI, IN OPERA</t>
        </is>
      </c>
      <c r="L196" s="3" t="inlineStr">
        <is>
          <t>TUBO IN POLIETILENE ALTA DENSITÀ, CONFORME ALLA NORMA UNI EN 1519, PER IMPIANTI DI SCARICO DI ACQUE CALDE E FREDDE E PER COLONNE DI VENTILAZIONE SIA ALL'INTERNO CHE ALL'ESTERNO DI FABBRICATI, IN OPERA COMPRESA QUOTA PARTE DI RACCORDERIA E MATERIALI ACCESSORI PER IL MONTAGGIO, ESCLUSI EVENTUALI PEZZI SPECIALI, OPERE MURARIE, SCAVI E RINTERRI: Ø 40 MM</t>
        </is>
      </c>
      <c r="M196" s="4" t="inlineStr">
        <is>
          <t>M</t>
        </is>
      </c>
      <c r="N196" s="5" t="n">
        <v>5</v>
      </c>
      <c r="O196" s="6" t="n">
        <v>13.94</v>
      </c>
      <c r="P196" s="6" t="n">
        <v>69.7</v>
      </c>
      <c r="Q196" s="5" t="n"/>
      <c r="R196" s="6" t="n"/>
      <c r="S196" s="6">
        <f>IF(AND(Q196&lt;&gt;"",R196&lt;&gt;""),Q196*R196,"")</f>
        <v/>
      </c>
      <c r="T196" s="6">
        <f>IF(S196="",P196,S196)</f>
        <v/>
      </c>
      <c r="U196" s="7" t="n">
        <v>0</v>
      </c>
      <c r="V196" s="6">
        <f>$T196*U196</f>
        <v/>
      </c>
      <c r="W196" s="7" t="n">
        <v>0</v>
      </c>
      <c r="X196" s="6">
        <f>$T196*W196</f>
        <v/>
      </c>
      <c r="Y196" s="7" t="n">
        <v>0</v>
      </c>
      <c r="Z196" s="6">
        <f>$T196*Y196</f>
        <v/>
      </c>
      <c r="AA196" s="7" t="n">
        <v>0</v>
      </c>
      <c r="AB196" s="6">
        <f>$T196*AA196</f>
        <v/>
      </c>
      <c r="AC196" s="7" t="n">
        <v>0</v>
      </c>
      <c r="AD196" s="6">
        <f>$T196*AC196</f>
        <v/>
      </c>
      <c r="AE196" s="7" t="n">
        <v>0</v>
      </c>
      <c r="AF196" s="6">
        <f>$T196*AE196</f>
        <v/>
      </c>
      <c r="AG196" s="7" t="n">
        <v>0</v>
      </c>
      <c r="AH196" s="6">
        <f>$T196*AG196</f>
        <v/>
      </c>
      <c r="AI196" s="7">
        <f>U196+W196+Y196+AA196+AC196+AE196+AG196</f>
        <v/>
      </c>
      <c r="AJ196" s="6">
        <f>V196+X196+Z196+AB196+AD196+AF196+AH196</f>
        <v/>
      </c>
    </row>
    <row r="197" ht="60" customHeight="1" s="35">
      <c r="A197" s="3" t="inlineStr">
        <is>
          <t>DEI_IT_015002B</t>
        </is>
      </c>
      <c r="B197" s="4" t="inlineStr">
        <is>
          <t>1/5</t>
        </is>
      </c>
      <c r="C197" s="3" t="inlineStr">
        <is>
          <t>IMPIANTO MECCANICO</t>
        </is>
      </c>
      <c r="D197" s="4" t="inlineStr">
        <is>
          <t>NON SPECIALE</t>
        </is>
      </c>
      <c r="E197" s="4" t="inlineStr">
        <is>
          <t>MECCANICHE</t>
        </is>
      </c>
      <c r="F197" s="3" t="inlineStr">
        <is>
          <t>2_CME_TOTALE MECCANICI RADIOFARMACIA PAVIA.PDF</t>
        </is>
      </c>
      <c r="G197" s="4" t="inlineStr">
        <is>
          <t>159/159</t>
        </is>
      </c>
      <c r="H197" s="3" t="inlineStr">
        <is>
          <t>40 - IMPIANTISTICO</t>
        </is>
      </c>
      <c r="I197" s="3" t="inlineStr">
        <is>
          <t>P. PRIMO</t>
        </is>
      </c>
      <c r="J197" s="3" t="inlineStr">
        <is>
          <t>IMPIANTO IDRICO E FOGNA</t>
        </is>
      </c>
      <c r="K197" s="3" t="inlineStr">
        <is>
          <t>TUBO IN ACCIAIO SENZA SALDATURA A NORMA UNI EN 10255, ZINCATO A CALDO A NORMA EN 10240-A1 ED AL DM MINISTERO DELLA SALUTE 6/4/2004 N. 174, FILETTATO E CON MANICOTTO, LAVORATO E POSTO IN OPERA (SINO AD</t>
        </is>
      </c>
      <c r="L197" s="3" t="inlineStr">
        <is>
          <t>TUBO IN ACCIAIO SENZA SALDATURA A NORMA UNI EN 10255, ZINCATO A CALDO A NORMA EN 10240-A1 ED AL DM MINISTERO DELLA SALUTE 6/4/2004 N. 174, FILETTATO E CON MANICOTTO, LAVORATO E POSTO IN OPERA (SINO AD UN'ALTEZZA DI 3,00 M DAL PIANO DI LAVORO) TAGLIATO A MISURA, COMPRESE EVENTUALI CRAVATTE A MURO, VERNICIATURA, SALDATURA E QUANTO ALTRO NECESSARIO PER DARE IL LAVORO FINITO A REGOLA D'ARTE, ESCLUSI GLI SCAVI, RINTERRI, TRACCE E RACCORDERIA: SERIE MEDIA: Ø INTERNO 1/2", SPESSORE 2,6 MM</t>
        </is>
      </c>
      <c r="M197" s="4" t="inlineStr">
        <is>
          <t>M</t>
        </is>
      </c>
      <c r="N197" s="5" t="n">
        <v>35</v>
      </c>
      <c r="O197" s="6" t="n">
        <v>24.52</v>
      </c>
      <c r="P197" s="6" t="n">
        <v>858.2</v>
      </c>
      <c r="Q197" s="5" t="n"/>
      <c r="R197" s="6" t="n"/>
      <c r="S197" s="6">
        <f>IF(AND(Q197&lt;&gt;"",R197&lt;&gt;""),Q197*R197,"")</f>
        <v/>
      </c>
      <c r="T197" s="6">
        <f>IF(S197="",P197,S197)</f>
        <v/>
      </c>
      <c r="U197" s="7" t="n">
        <v>0</v>
      </c>
      <c r="V197" s="6">
        <f>$T197*U197</f>
        <v/>
      </c>
      <c r="W197" s="7" t="n">
        <v>0</v>
      </c>
      <c r="X197" s="6">
        <f>$T197*W197</f>
        <v/>
      </c>
      <c r="Y197" s="7" t="n">
        <v>0</v>
      </c>
      <c r="Z197" s="6">
        <f>$T197*Y197</f>
        <v/>
      </c>
      <c r="AA197" s="7" t="n">
        <v>0</v>
      </c>
      <c r="AB197" s="6">
        <f>$T197*AA197</f>
        <v/>
      </c>
      <c r="AC197" s="7" t="n">
        <v>0</v>
      </c>
      <c r="AD197" s="6">
        <f>$T197*AC197</f>
        <v/>
      </c>
      <c r="AE197" s="7" t="n">
        <v>0</v>
      </c>
      <c r="AF197" s="6">
        <f>$T197*AE197</f>
        <v/>
      </c>
      <c r="AG197" s="7" t="n">
        <v>0</v>
      </c>
      <c r="AH197" s="6">
        <f>$T197*AG197</f>
        <v/>
      </c>
      <c r="AI197" s="7">
        <f>U197+W197+Y197+AA197+AC197+AE197+AG197</f>
        <v/>
      </c>
      <c r="AJ197" s="6">
        <f>V197+X197+Z197+AB197+AD197+AF197+AH197</f>
        <v/>
      </c>
    </row>
    <row r="198" ht="60" customHeight="1" s="35">
      <c r="A198" s="3" t="inlineStr">
        <is>
          <t>LOM251.OC.EEA.PA02.I1500.E0011.0010</t>
        </is>
      </c>
      <c r="B198" s="4" t="inlineStr">
        <is>
          <t>1/1</t>
        </is>
      </c>
      <c r="C198" s="3" t="inlineStr">
        <is>
          <t>IMPIANTO MECCANICO</t>
        </is>
      </c>
      <c r="D198" s="4" t="inlineStr">
        <is>
          <t>NON SPECIALE</t>
        </is>
      </c>
      <c r="E198" s="4" t="inlineStr">
        <is>
          <t>MECCANICHE</t>
        </is>
      </c>
      <c r="F198" s="3" t="inlineStr">
        <is>
          <t>2_CME_TOTALE MECCANICI RADIOFARMACIA PAVIA.PDF</t>
        </is>
      </c>
      <c r="G198" s="4" t="inlineStr">
        <is>
          <t>160/160</t>
        </is>
      </c>
      <c r="H198" s="3" t="inlineStr">
        <is>
          <t>40 - IMPIANTISTICO</t>
        </is>
      </c>
      <c r="I198" s="3" t="inlineStr">
        <is>
          <t>P. PRIMO</t>
        </is>
      </c>
      <c r="J198" s="3" t="inlineStr">
        <is>
          <t>IMPIANTO IDRICO E FOGNA</t>
        </is>
      </c>
      <c r="K198" s="3" t="inlineStr">
        <is>
          <t>OPERA: LASTRA DI GOMMA ELASTOMERICA ESPANSA A CELLULE CHIUSE; FUNZIONE: COIBENTAZIONE; IMPIEGO: CONDOTTO; SPESSORE [MM] = 25; RESISTENZA ALLA FIAMMA [CLASSE] = 1; FATTORE DI PERMEABILITÀ (Μ) MINIMO [-</t>
        </is>
      </c>
      <c r="L198" s="3" t="inlineStr">
        <is>
          <t>OPERA: LASTRA DI GOMMA ELASTOMERICA ESPANSA A CELLULE CHIUSE; FUNZIONE: COIBENTAZIONE; IMPIEGO: CONDOTTO; SPESSORE [MM] = 25; RESISTENZA ALLA FIAMMA [CLASSE] = 1; FATTORE DI PERMEABILITÀ (Μ) MINIMO [-] = 4000. 
LAVORO: POSA. 
SPECIFICHE TECNICHE: LASTRA INCOLLATA; GOMMA ELASTOMERICA ESPANSA A CELLULE CHIUSE SENZA ALOGENI NÉ PVC. OP LASTRA DI GOMMA ELASTOMERICA ESPANSA A CELLULE CHIUSE; FUNZIONE: COIBENTAZIONE; IMPIEGO: CONDOTTO; SPESSORE [MM] = 25; RESISTENZA ALLA FIAMMA [CLASSE] = 1; FATTORE DI PERMEABILITÀ (Μ) MINIMO [-] = 4000. 
SPECIFICHE TECNICHE: LASTRA INCOLLATA; GOMMA ELASTOMERICA ESPANSA A CELLULE CHIUSE SENZA ALOGENI NÉ PVC. 
RM LASTRA DI GOMMA ESPANSA A CELLULE CHIUSE; FUNZIONE: COIBENTAZIONE; IMPIEGO: CONDOTTO; SPESSORE [MM] = 25; RESISTENZA ALLA FIAMMA [CLASSE] = 1; FATTORE DI PERMEABILITÀ (Μ) MINIMO [-] = 4000 
SPECIFICHE TECNICHE: LASTRA INCOLLATA; GOMMA ELASTOMERICA ESPANSA A CELLULE CHIUSE SENZA ALOGENI NÉ PVC 
LV POSA.</t>
        </is>
      </c>
      <c r="M198" s="4" t="inlineStr">
        <is>
          <t>M²</t>
        </is>
      </c>
      <c r="N198" s="5" t="n">
        <v>7</v>
      </c>
      <c r="O198" s="6" t="n">
        <v>12.98</v>
      </c>
      <c r="P198" s="6" t="n">
        <v>90.86</v>
      </c>
      <c r="Q198" s="5" t="n"/>
      <c r="R198" s="6" t="n"/>
      <c r="S198" s="6">
        <f>IF(AND(Q198&lt;&gt;"",R198&lt;&gt;""),Q198*R198,"")</f>
        <v/>
      </c>
      <c r="T198" s="6">
        <f>IF(S198="",P198,S198)</f>
        <v/>
      </c>
      <c r="U198" s="7" t="n">
        <v>0</v>
      </c>
      <c r="V198" s="6">
        <f>$T198*U198</f>
        <v/>
      </c>
      <c r="W198" s="7" t="n">
        <v>0</v>
      </c>
      <c r="X198" s="6">
        <f>$T198*W198</f>
        <v/>
      </c>
      <c r="Y198" s="7" t="n">
        <v>0</v>
      </c>
      <c r="Z198" s="6">
        <f>$T198*Y198</f>
        <v/>
      </c>
      <c r="AA198" s="7" t="n">
        <v>0</v>
      </c>
      <c r="AB198" s="6">
        <f>$T198*AA198</f>
        <v/>
      </c>
      <c r="AC198" s="7" t="n">
        <v>0</v>
      </c>
      <c r="AD198" s="6">
        <f>$T198*AC198</f>
        <v/>
      </c>
      <c r="AE198" s="7" t="n">
        <v>0</v>
      </c>
      <c r="AF198" s="6">
        <f>$T198*AE198</f>
        <v/>
      </c>
      <c r="AG198" s="7" t="n">
        <v>0</v>
      </c>
      <c r="AH198" s="6">
        <f>$T198*AG198</f>
        <v/>
      </c>
      <c r="AI198" s="7">
        <f>U198+W198+Y198+AA198+AC198+AE198+AG198</f>
        <v/>
      </c>
      <c r="AJ198" s="6">
        <f>V198+X198+Z198+AB198+AD198+AF198+AH198</f>
        <v/>
      </c>
    </row>
    <row r="199" ht="60" customHeight="1" s="35">
      <c r="A199" s="3" t="inlineStr">
        <is>
          <t>DEI_IT_025110C</t>
        </is>
      </c>
      <c r="B199" s="4" t="inlineStr">
        <is>
          <t>1/2</t>
        </is>
      </c>
      <c r="C199" s="3" t="inlineStr">
        <is>
          <t>IMPIANTO MECCANICO</t>
        </is>
      </c>
      <c r="D199" s="4" t="inlineStr">
        <is>
          <t>NON SPECIALE</t>
        </is>
      </c>
      <c r="E199" s="4" t="inlineStr">
        <is>
          <t>MECCANICHE</t>
        </is>
      </c>
      <c r="F199" s="3" t="inlineStr">
        <is>
          <t>2_CME_TOTALE MECCANICI RADIOFARMACIA PAVIA.PDF</t>
        </is>
      </c>
      <c r="G199" s="4" t="inlineStr">
        <is>
          <t>161/161</t>
        </is>
      </c>
      <c r="H199" s="3" t="inlineStr">
        <is>
          <t>40 - IMPIANTISTICO</t>
        </is>
      </c>
      <c r="I199" s="3" t="inlineStr">
        <is>
          <t>P. PRIMO</t>
        </is>
      </c>
      <c r="J199" s="3" t="inlineStr">
        <is>
          <t>IMPIANTO IDRICO E FOGNA</t>
        </is>
      </c>
      <c r="K199" s="3" t="inlineStr">
        <is>
          <t>COLLETTORE COMPLANARE COSTITUITO DA MODULI IN OTTONE STAMPATO CON ATTACCHI PER ADATTATORE TUBI DI RAME, PLASTICA O MULTISTRATO, POSTO IN OPERA CON DUE SARACINESCHE, DUE VALVOLE DI SFOGO ARIA, CASSETTA</t>
        </is>
      </c>
      <c r="L199" s="3" t="inlineStr">
        <is>
          <t>COLLETTORE COMPLANARE COSTITUITO DA MODULI IN OTTONE STAMPATO CON ATTACCHI PER ADATTATORE TUBI DI RAME, PLASTICA O MULTISTRATO, POSTO IN OPERA CON DUE SARACINESCHE, DUE VALVOLE DI SFOGO ARIA, CASSETTA DI CONTENIMENTO IN LAMIERA VERNICIATA RAL 9010, CON ESCLUSIONE DELLE OPERE MURARIE: 3/4"X 16 MM: LUNGHEZZA 210 MM, ATTACCHI N. 6 + 6</t>
        </is>
      </c>
      <c r="M199" s="4" t="inlineStr">
        <is>
          <t>CAD</t>
        </is>
      </c>
      <c r="N199" s="5" t="n">
        <v>1</v>
      </c>
      <c r="O199" s="6" t="n">
        <v>355.76</v>
      </c>
      <c r="P199" s="6" t="n">
        <v>355.76</v>
      </c>
      <c r="Q199" s="5" t="n"/>
      <c r="R199" s="6" t="n"/>
      <c r="S199" s="6">
        <f>IF(AND(Q199&lt;&gt;"",R199&lt;&gt;""),Q199*R199,"")</f>
        <v/>
      </c>
      <c r="T199" s="6">
        <f>IF(S199="",P199,S199)</f>
        <v/>
      </c>
      <c r="U199" s="7" t="n">
        <v>0</v>
      </c>
      <c r="V199" s="6">
        <f>$T199*U199</f>
        <v/>
      </c>
      <c r="W199" s="7" t="n">
        <v>0</v>
      </c>
      <c r="X199" s="6">
        <f>$T199*W199</f>
        <v/>
      </c>
      <c r="Y199" s="7" t="n">
        <v>0</v>
      </c>
      <c r="Z199" s="6">
        <f>$T199*Y199</f>
        <v/>
      </c>
      <c r="AA199" s="7" t="n">
        <v>0</v>
      </c>
      <c r="AB199" s="6">
        <f>$T199*AA199</f>
        <v/>
      </c>
      <c r="AC199" s="7" t="n">
        <v>0</v>
      </c>
      <c r="AD199" s="6">
        <f>$T199*AC199</f>
        <v/>
      </c>
      <c r="AE199" s="7" t="n">
        <v>0</v>
      </c>
      <c r="AF199" s="6">
        <f>$T199*AE199</f>
        <v/>
      </c>
      <c r="AG199" s="7" t="n">
        <v>0</v>
      </c>
      <c r="AH199" s="6">
        <f>$T199*AG199</f>
        <v/>
      </c>
      <c r="AI199" s="7">
        <f>U199+W199+Y199+AA199+AC199+AE199+AG199</f>
        <v/>
      </c>
      <c r="AJ199" s="6">
        <f>V199+X199+Z199+AB199+AD199+AF199+AH199</f>
        <v/>
      </c>
    </row>
    <row r="200" ht="60" customHeight="1" s="35">
      <c r="A200" s="3" t="inlineStr">
        <is>
          <t>DEI_IT_015023A</t>
        </is>
      </c>
      <c r="B200" s="4" t="inlineStr">
        <is>
          <t>1/2</t>
        </is>
      </c>
      <c r="C200" s="3" t="inlineStr">
        <is>
          <t>IMPIANTO MECCANICO</t>
        </is>
      </c>
      <c r="D200" s="4" t="inlineStr">
        <is>
          <t>NON SPECIALE</t>
        </is>
      </c>
      <c r="E200" s="4" t="inlineStr">
        <is>
          <t>MECCANICHE</t>
        </is>
      </c>
      <c r="F200" s="3" t="inlineStr">
        <is>
          <t>2_CME_TOTALE MECCANICI RADIOFARMACIA PAVIA.PDF</t>
        </is>
      </c>
      <c r="G200" s="4" t="inlineStr">
        <is>
          <t>162/162</t>
        </is>
      </c>
      <c r="H200" s="3" t="inlineStr">
        <is>
          <t>40 - IMPIANTISTICO</t>
        </is>
      </c>
      <c r="I200" s="3" t="inlineStr">
        <is>
          <t>P. PRIMO</t>
        </is>
      </c>
      <c r="J200" s="3" t="inlineStr">
        <is>
          <t>IMPIANTO IDRICO E FOGNA</t>
        </is>
      </c>
      <c r="K200" s="3" t="inlineStr">
        <is>
          <t>TUBO MULTISTRATO IN POLIETILENE RETICOLATO TIPO C, CON STRATO INTERMEDIO IN ALLUMINIO, FORNITO NUDO IN ROTOLI O IN BARRE DA 5 M, STABILE NELLA FORMA, CON BARRIERA ALL'OSSIGENO, CLASSE 1, 2, 4, 5 SECON</t>
        </is>
      </c>
      <c r="L200" s="3" t="inlineStr">
        <is>
          <t>TUBO MULTISTRATO IN POLIETILENE RETICOLATO TIPO C, CON STRATO INTERMEDIO IN ALLUMINIO, FORNITO NUDO IN ROTOLI O IN BARRE DA 5 M, STABILE NELLA FORMA, CON BARRIERA ALL'OSSIGENO, CLASSE 1, 2, 4, 5 SECONDO UNI EN ISO 21003, PER IMPIANTI DI ACQUA SANITARIA SECONDO DIRETTIVA UE 2020/2184 E RISCALDAMENTO, CON RACCORDI A PRESSARE IN BRONZO O ACCIAIO INOX, A PASSAGGIO TOTALE O A FLUSSO OTTIMIZZATO, A TENUTA SENZA O-RING, CON DICHIARAZIONE DA PARTE DEL FABBRICANTE DEL COEFFICIENTE K DI ACCIDENTALITÀ COME PREVISTO DALLA UNI TS 11589, TAGLIATO A MISURA E POSTO IN OPERA SU STAFFAGGI, ALL'INTERNO DI CAVEDI O IN TRACCIA, COMPRESA QUOTA PARTE DI RACCORDERIA, LA PRESSATURA DEI RACCORDI CON IDONEI ELETTROUTENSILI, ESCLUSI VALVOLAME, PEZZI SPECIALI, STAFFAGGI E OPERE MURARIE: 16 X 2,0 MM</t>
        </is>
      </c>
      <c r="M200" s="4" t="inlineStr">
        <is>
          <t>M</t>
        </is>
      </c>
      <c r="N200" s="5" t="n">
        <v>60</v>
      </c>
      <c r="O200" s="6" t="n">
        <v>12.1</v>
      </c>
      <c r="P200" s="6" t="n">
        <v>726</v>
      </c>
      <c r="Q200" s="5" t="n"/>
      <c r="R200" s="6" t="n"/>
      <c r="S200" s="6">
        <f>IF(AND(Q200&lt;&gt;"",R200&lt;&gt;""),Q200*R200,"")</f>
        <v/>
      </c>
      <c r="T200" s="6">
        <f>IF(S200="",P200,S200)</f>
        <v/>
      </c>
      <c r="U200" s="7" t="n">
        <v>0</v>
      </c>
      <c r="V200" s="6">
        <f>$T200*U200</f>
        <v/>
      </c>
      <c r="W200" s="7" t="n">
        <v>0</v>
      </c>
      <c r="X200" s="6">
        <f>$T200*W200</f>
        <v/>
      </c>
      <c r="Y200" s="7" t="n">
        <v>0</v>
      </c>
      <c r="Z200" s="6">
        <f>$T200*Y200</f>
        <v/>
      </c>
      <c r="AA200" s="7" t="n">
        <v>0</v>
      </c>
      <c r="AB200" s="6">
        <f>$T200*AA200</f>
        <v/>
      </c>
      <c r="AC200" s="7" t="n">
        <v>0</v>
      </c>
      <c r="AD200" s="6">
        <f>$T200*AC200</f>
        <v/>
      </c>
      <c r="AE200" s="7" t="n">
        <v>0</v>
      </c>
      <c r="AF200" s="6">
        <f>$T200*AE200</f>
        <v/>
      </c>
      <c r="AG200" s="7" t="n">
        <v>0</v>
      </c>
      <c r="AH200" s="6">
        <f>$T200*AG200</f>
        <v/>
      </c>
      <c r="AI200" s="7">
        <f>U200+W200+Y200+AA200+AC200+AE200+AG200</f>
        <v/>
      </c>
      <c r="AJ200" s="6">
        <f>V200+X200+Z200+AB200+AD200+AF200+AH200</f>
        <v/>
      </c>
    </row>
    <row r="201" ht="60" customHeight="1" s="35">
      <c r="A201" s="3" t="inlineStr">
        <is>
          <t>LOM251.OC.EEA.PA15.I7822.D0010.0750.E</t>
        </is>
      </c>
      <c r="B201" s="4" t="inlineStr">
        <is>
          <t>1/3</t>
        </is>
      </c>
      <c r="C201" s="3" t="inlineStr">
        <is>
          <t>IMPIANTO MECCANICO</t>
        </is>
      </c>
      <c r="D201" s="4" t="inlineStr">
        <is>
          <t>NON SPECIALE</t>
        </is>
      </c>
      <c r="E201" s="4" t="inlineStr">
        <is>
          <t>MECCANICHE</t>
        </is>
      </c>
      <c r="F201" s="3" t="inlineStr">
        <is>
          <t>2_CME_TOTALE MECCANICI RADIOFARMACIA PAVIA.PDF</t>
        </is>
      </c>
      <c r="G201" s="4" t="inlineStr">
        <is>
          <t>163/163</t>
        </is>
      </c>
      <c r="H201" s="3" t="inlineStr">
        <is>
          <t>40 - IMPIANTISTICO</t>
        </is>
      </c>
      <c r="I201" s="3" t="inlineStr">
        <is>
          <t>P. PRIMO</t>
        </is>
      </c>
      <c r="J201" s="3" t="inlineStr">
        <is>
          <t>IMPIANTO IDRICO E FOGNA</t>
        </is>
      </c>
      <c r="K201" s="3" t="inlineStr">
        <is>
          <t xml:space="preserve">OPERA: TUBAZIONE DI SCARICO DI PLASTICA POLIETILENE AD ALTA DENSITÀ (HDPE/PEAD); FUNZIONE: SCARICO; DIAMETRO ESTERNO (Ø) [MM] = 63. </t>
        </is>
      </c>
      <c r="L201" s="3" t="inlineStr">
        <is>
          <t>OPERA: TUBAZIONE DI SCARICO DI PLASTICA POLIETILENE AD ALTA DENSITÀ (HDPE/PEAD); FUNZIONE: SCARICO; DIAMETRO ESTERNO (Ø) [MM] = 63. 
LAVORO: SALDATURA DI TESTA. INCLUSO: OPERAZIONI DI PREPARAZIONE DI ELEMENTI DA SALDARE; NOLO SALDATRICE; CONSUMI. 
SPECIFICHE TECNICHE: PEAD MALLEABILIZZATO. OP TUBAZIONE DI SCARICO DI PLASTICA POLIETILENE AD ALTA DENSITÀ (HDPE/PEAD); FUNZIONE: SCARICO; DIAMETRO ESTERNO (Ø) [MM] = 63. 
SPECIFICHE TECNICHE: PEAD MALLEABILIZZATO. 
RM TUBO DI PLASTICA POLIETILENE (PE); FINITURA: COLORE NERO; GEOMETRIA: MALLEABILIZZATO; FUNZIONE: SCARICO ACQUE; IMPIEGO: IMPIANTO CIVILE | INDUSTRIALE; DIAMETRO ESTERNO (Ø) [MM] = 63 | SPESSORE [MM] = 3. ESCLUSO: RACCORDI 
SPECIFICHE TECNICHE: DA GIUNTARE CON: SALDATURA DI TESTA, MANICOTTO ELETTRICO O MANICOTTO DI DILATAZIONE 
LV SALDATURA DI TESTA. INCLUSO: OPERAZIONI DI PREPARAZIONE DI ELEMENTI DA SALDARE; NOLO SALDATRICE; CONSUMI. 
RP SALDATRICE TESTA-TESTA; DIAMETRO OPERATIVO [MM] = 40 ÷ 160. INCLUSO: ACCESSORI (ES. FRESA SPIANATRICE, TERMOELEMENTO, CENTRALINA, TERMOSTATO, ANELLI DI RIDUZIONE). DA CONTEGGIARE A PARTE: SPESE DI ESERCIZIO (RP.01.20.00.1020.A)</t>
        </is>
      </c>
      <c r="M201" s="4" t="inlineStr">
        <is>
          <t>M</t>
        </is>
      </c>
      <c r="N201" s="5" t="n">
        <v>5</v>
      </c>
      <c r="O201" s="6" t="n">
        <v>22.23</v>
      </c>
      <c r="P201" s="6" t="n">
        <v>111.15</v>
      </c>
      <c r="Q201" s="5" t="n"/>
      <c r="R201" s="6" t="n"/>
      <c r="S201" s="6">
        <f>IF(AND(Q201&lt;&gt;"",R201&lt;&gt;""),Q201*R201,"")</f>
        <v/>
      </c>
      <c r="T201" s="6">
        <f>IF(S201="",P201,S201)</f>
        <v/>
      </c>
      <c r="U201" s="7" t="n">
        <v>0</v>
      </c>
      <c r="V201" s="6">
        <f>$T201*U201</f>
        <v/>
      </c>
      <c r="W201" s="7" t="n">
        <v>0</v>
      </c>
      <c r="X201" s="6">
        <f>$T201*W201</f>
        <v/>
      </c>
      <c r="Y201" s="7" t="n">
        <v>0</v>
      </c>
      <c r="Z201" s="6">
        <f>$T201*Y201</f>
        <v/>
      </c>
      <c r="AA201" s="7" t="n">
        <v>0</v>
      </c>
      <c r="AB201" s="6">
        <f>$T201*AA201</f>
        <v/>
      </c>
      <c r="AC201" s="7" t="n">
        <v>0</v>
      </c>
      <c r="AD201" s="6">
        <f>$T201*AC201</f>
        <v/>
      </c>
      <c r="AE201" s="7" t="n">
        <v>0</v>
      </c>
      <c r="AF201" s="6">
        <f>$T201*AE201</f>
        <v/>
      </c>
      <c r="AG201" s="7" t="n">
        <v>0</v>
      </c>
      <c r="AH201" s="6">
        <f>$T201*AG201</f>
        <v/>
      </c>
      <c r="AI201" s="7">
        <f>U201+W201+Y201+AA201+AC201+AE201+AG201</f>
        <v/>
      </c>
      <c r="AJ201" s="6">
        <f>V201+X201+Z201+AB201+AD201+AF201+AH201</f>
        <v/>
      </c>
    </row>
    <row r="202" ht="60" customHeight="1" s="35">
      <c r="A202" s="3" t="inlineStr">
        <is>
          <t>LOM251.OC.EEA.PA15.I7822.D0010.0750.H</t>
        </is>
      </c>
      <c r="B202" s="4" t="inlineStr">
        <is>
          <t>1/3</t>
        </is>
      </c>
      <c r="C202" s="3" t="inlineStr">
        <is>
          <t>IMPIANTO MECCANICO</t>
        </is>
      </c>
      <c r="D202" s="4" t="inlineStr">
        <is>
          <t>NON SPECIALE</t>
        </is>
      </c>
      <c r="E202" s="4" t="inlineStr">
        <is>
          <t>MECCANICHE</t>
        </is>
      </c>
      <c r="F202" s="3" t="inlineStr">
        <is>
          <t>2_CME_TOTALE MECCANICI RADIOFARMACIA PAVIA.PDF</t>
        </is>
      </c>
      <c r="G202" s="4" t="inlineStr">
        <is>
          <t>164/164</t>
        </is>
      </c>
      <c r="H202" s="3" t="inlineStr">
        <is>
          <t>40 - IMPIANTISTICO</t>
        </is>
      </c>
      <c r="I202" s="3" t="inlineStr">
        <is>
          <t>P. PRIMO</t>
        </is>
      </c>
      <c r="J202" s="3" t="inlineStr">
        <is>
          <t>IMPIANTO IDRICO E FOGNA</t>
        </is>
      </c>
      <c r="K202" s="3" t="inlineStr">
        <is>
          <t xml:space="preserve">OPERA: TUBAZIONE DI SCARICO DI PLASTICA POLIETILENE AD ALTA DENSITÀ (HDPE/PEAD); FUNZIONE: SCARICO; DIAMETRO ESTERNO (Ø) [MM] = 110. </t>
        </is>
      </c>
      <c r="L202" s="3" t="inlineStr">
        <is>
          <t>OPERA: TUBAZIONE DI SCARICO DI PLASTICA POLIETILENE AD ALTA DENSITÀ (HDPE/PEAD); FUNZIONE: SCARICO; DIAMETRO ESTERNO (Ø) [MM] = 110. 
LAVORO: SALDATURA DI TESTA. INCLUSO: OPERAZIONI DI PREPARAZIONE DI ELEMENTI DA SALDARE; NOLO SALDATRICE; CONSUMI. 
SPECIFICHE TECNICHE: PEAD MALLEABILIZZATO. OP TUBAZIONE DI SCARICO DI PLASTICA POLIETILENE AD ALTA DENSITÀ (HDPE/PEAD); FUNZIONE: SCARICO; DIAMETRO ESTERNO (Ø) [MM] = 110. 
SPECIFICHE TECNICHE: PEAD MALLEABILIZZATO. 
RM TUBO DI PLASTICA POLIETILENE (PE); FINITURA: COLORE NERO; GEOMETRIA: MALLEABILIZZATO; FUNZIONE: SCARICO ACQUE; IMPIEGO: IMPIANTO CIVILE | INDUSTRIALE; DIAMETRO ESTERNO (Ø) [MM] = 110 | SPESSORE [MM] = 4,3. ESCLUSO: RACCORDI 
SPECIFICHE TECNICHE: DA GIUNTARE CON: SALDATURA DI TESTA, MANICOTTO ELETTRICO O MANICOTTO DI DILATAZIONE 
LV SALDATURA DI TESTA. INCLUSO: OPERAZIONI DI PREPARAZIONE DI ELEMENTI DA SALDARE; NOLO SALDATRICE; CONSUMI. 
RP SALDATRICE TESTA-TESTA; DIAMETRO OPERATIVO [MM] = 40 ÷ 160. INCLUSO: ACCESSORI (ES. FRESA SPIANATRICE, TERMOELEMENTO, CENTRALINA, TERMOSTATO, ANELLI DI RIDUZIONE). DA CONTEGGIARE A PARTE: SPESE DI ESERCIZIO (RP.01.20.00.1020.A)</t>
        </is>
      </c>
      <c r="M202" s="4" t="inlineStr">
        <is>
          <t>M</t>
        </is>
      </c>
      <c r="N202" s="5" t="n">
        <v>5</v>
      </c>
      <c r="O202" s="6" t="n">
        <v>39.73</v>
      </c>
      <c r="P202" s="6" t="n">
        <v>198.65</v>
      </c>
      <c r="Q202" s="5" t="n"/>
      <c r="R202" s="6" t="n"/>
      <c r="S202" s="6">
        <f>IF(AND(Q202&lt;&gt;"",R202&lt;&gt;""),Q202*R202,"")</f>
        <v/>
      </c>
      <c r="T202" s="6">
        <f>IF(S202="",P202,S202)</f>
        <v/>
      </c>
      <c r="U202" s="7" t="n">
        <v>0</v>
      </c>
      <c r="V202" s="6">
        <f>$T202*U202</f>
        <v/>
      </c>
      <c r="W202" s="7" t="n">
        <v>0</v>
      </c>
      <c r="X202" s="6">
        <f>$T202*W202</f>
        <v/>
      </c>
      <c r="Y202" s="7" t="n">
        <v>0</v>
      </c>
      <c r="Z202" s="6">
        <f>$T202*Y202</f>
        <v/>
      </c>
      <c r="AA202" s="7" t="n">
        <v>0</v>
      </c>
      <c r="AB202" s="6">
        <f>$T202*AA202</f>
        <v/>
      </c>
      <c r="AC202" s="7" t="n">
        <v>0</v>
      </c>
      <c r="AD202" s="6">
        <f>$T202*AC202</f>
        <v/>
      </c>
      <c r="AE202" s="7" t="n">
        <v>0</v>
      </c>
      <c r="AF202" s="6">
        <f>$T202*AE202</f>
        <v/>
      </c>
      <c r="AG202" s="7" t="n">
        <v>0</v>
      </c>
      <c r="AH202" s="6">
        <f>$T202*AG202</f>
        <v/>
      </c>
      <c r="AI202" s="7">
        <f>U202+W202+Y202+AA202+AC202+AE202+AG202</f>
        <v/>
      </c>
      <c r="AJ202" s="6">
        <f>V202+X202+Z202+AB202+AD202+AF202+AH202</f>
        <v/>
      </c>
    </row>
    <row r="203" ht="60" customHeight="1" s="35">
      <c r="A203" s="3" t="inlineStr">
        <is>
          <t>LOM251.OC.EEA.PA15.I7822.D0010.0750.I</t>
        </is>
      </c>
      <c r="B203" s="4" t="inlineStr">
        <is>
          <t>1/3</t>
        </is>
      </c>
      <c r="C203" s="3" t="inlineStr">
        <is>
          <t>IMPIANTO MECCANICO</t>
        </is>
      </c>
      <c r="D203" s="4" t="inlineStr">
        <is>
          <t>NON SPECIALE</t>
        </is>
      </c>
      <c r="E203" s="4" t="inlineStr">
        <is>
          <t>MECCANICHE</t>
        </is>
      </c>
      <c r="F203" s="3" t="inlineStr">
        <is>
          <t>2_CME_TOTALE MECCANICI RADIOFARMACIA PAVIA.PDF</t>
        </is>
      </c>
      <c r="G203" s="4" t="inlineStr">
        <is>
          <t>165/165</t>
        </is>
      </c>
      <c r="H203" s="3" t="inlineStr">
        <is>
          <t>40 - IMPIANTISTICO</t>
        </is>
      </c>
      <c r="I203" s="3" t="inlineStr">
        <is>
          <t>P. PRIMO</t>
        </is>
      </c>
      <c r="J203" s="3" t="inlineStr">
        <is>
          <t>IMPIANTO IDRICO E FOGNA</t>
        </is>
      </c>
      <c r="K203" s="3" t="inlineStr">
        <is>
          <t xml:space="preserve">OPERA: TUBAZIONE DI SCARICO DI PLASTICA POLIETILENE AD ALTA DENSITÀ (HDPE/PEAD); FUNZIONE: SCARICO; DIAMETRO ESTERNO (Ø) [MM] = 125. </t>
        </is>
      </c>
      <c r="L203" s="3" t="inlineStr">
        <is>
          <t>OPERA: TUBAZIONE DI SCARICO DI PLASTICA POLIETILENE AD ALTA DENSITÀ (HDPE/PEAD); FUNZIONE: SCARICO; DIAMETRO ESTERNO (Ø) [MM] = 125. 
LAVORO: SALDATURA DI TESTA. INCLUSO: OPERAZIONI DI PREPARAZIONE DI ELEMENTI DA SALDARE; NOLO SALDATRICE; CONSUMI. 
SPECIFICHE TECNICHE: PEAD MALLEABILIZZATO. OP TUBAZIONE DI SCARICO DI PLASTICA POLIETILENE AD ALTA DENSITÀ (HDPE/PEAD); FUNZIONE: SCARICO; DIAMETRO ESTERNO (Ø) [MM] = 125. 
SPECIFICHE TECNICHE: PEAD MALLEABILIZZATO. 
RM TUBO DI PLASTICA POLIETILENE (PE); FINITURA: COLORE NERO; GEOMETRIA: MALLEABILIZZATO; FUNZIONE: SCARICO ACQUE; IMPIEGO: IMPIANTO CIVILE | INDUSTRIALE; DIAMETRO ESTERNO (Ø) [MM] = 125 | SPESSORE [MM] = 4,9. ESCLUSO: RACCORDI 
SPECIFICHE TECNICHE: DA GIUNTARE CON: SALDATURA DI TESTA, MANICOTTO ELETTRICO O MANICOTTO DI DILATAZIONE 
LV SALDATURA DI TESTA. INCLUSO: OPERAZIONI DI PREPARAZIONE DI ELEMENTI DA SALDARE; NOLO SALDATRICE; CONSUMI. 
RP SALDATRICE TESTA-TESTA; DIAMETRO OPERATIVO [MM] = 75 ÷ 250. INCLUSO: ACCESSORI (ES. FRESA SPIANATRICE, TERMOELEMENTO, CENTRALINA, TERMOSTATO, ANELLI DI RIDUZIONE). DA CONTEGGIARE A PARTE: SPESE DI ESERCIZIO (RP.01.20.00.1020.B)</t>
        </is>
      </c>
      <c r="M203" s="4" t="inlineStr">
        <is>
          <t>M</t>
        </is>
      </c>
      <c r="N203" s="5" t="n">
        <v>6</v>
      </c>
      <c r="O203" s="6" t="n">
        <v>53.36</v>
      </c>
      <c r="P203" s="6" t="n">
        <v>320.16</v>
      </c>
      <c r="Q203" s="5" t="n"/>
      <c r="R203" s="6" t="n"/>
      <c r="S203" s="6">
        <f>IF(AND(Q203&lt;&gt;"",R203&lt;&gt;""),Q203*R203,"")</f>
        <v/>
      </c>
      <c r="T203" s="6">
        <f>IF(S203="",P203,S203)</f>
        <v/>
      </c>
      <c r="U203" s="7" t="n">
        <v>0</v>
      </c>
      <c r="V203" s="6">
        <f>$T203*U203</f>
        <v/>
      </c>
      <c r="W203" s="7" t="n">
        <v>0</v>
      </c>
      <c r="X203" s="6">
        <f>$T203*W203</f>
        <v/>
      </c>
      <c r="Y203" s="7" t="n">
        <v>0</v>
      </c>
      <c r="Z203" s="6">
        <f>$T203*Y203</f>
        <v/>
      </c>
      <c r="AA203" s="7" t="n">
        <v>0</v>
      </c>
      <c r="AB203" s="6">
        <f>$T203*AA203</f>
        <v/>
      </c>
      <c r="AC203" s="7" t="n">
        <v>0</v>
      </c>
      <c r="AD203" s="6">
        <f>$T203*AC203</f>
        <v/>
      </c>
      <c r="AE203" s="7" t="n">
        <v>0</v>
      </c>
      <c r="AF203" s="6">
        <f>$T203*AE203</f>
        <v/>
      </c>
      <c r="AG203" s="7" t="n">
        <v>0</v>
      </c>
      <c r="AH203" s="6">
        <f>$T203*AG203</f>
        <v/>
      </c>
      <c r="AI203" s="7">
        <f>U203+W203+Y203+AA203+AC203+AE203+AG203</f>
        <v/>
      </c>
      <c r="AJ203" s="6">
        <f>V203+X203+Z203+AB203+AD203+AF203+AH203</f>
        <v/>
      </c>
    </row>
    <row r="204" ht="60" customHeight="1" s="35">
      <c r="A204" s="3" t="inlineStr">
        <is>
          <t>LOM251.OC.EEA.PA02.I7407.SB038.0320</t>
        </is>
      </c>
      <c r="B204" s="4" t="inlineStr">
        <is>
          <t>1/2</t>
        </is>
      </c>
      <c r="C204" s="3" t="inlineStr">
        <is>
          <t>IMPIANTO MECCANICO</t>
        </is>
      </c>
      <c r="D204" s="4" t="inlineStr">
        <is>
          <t>NON SPECIALE</t>
        </is>
      </c>
      <c r="E204" s="4" t="inlineStr">
        <is>
          <t>MECCANICHE</t>
        </is>
      </c>
      <c r="F204" s="3" t="inlineStr">
        <is>
          <t>2_CME_TOTALE MECCANICI RADIOFARMACIA PAVIA.PDF</t>
        </is>
      </c>
      <c r="G204" s="4" t="inlineStr">
        <is>
          <t>180/180</t>
        </is>
      </c>
      <c r="H204" s="3" t="inlineStr">
        <is>
          <t>40 - IMPIANTISTICO</t>
        </is>
      </c>
      <c r="I204" s="3" t="inlineStr">
        <is>
          <t>CENTRALE</t>
        </is>
      </c>
      <c r="J204" s="3" t="inlineStr">
        <is>
          <t>IMPIANTO HVAC</t>
        </is>
      </c>
      <c r="K204" s="3" t="inlineStr">
        <is>
          <t xml:space="preserve">OPERA: TUBAZIONE DI LEGA FERROSA ACCIAIO NERO; FUNZIONE: DISTRIBUZIONE ACQUA; IMPIEGO: RETE IDRICA; DIAMETRO NOMINALE (Ø) [MM] = 80 | SPESSORE [MM] = 3,2. </t>
        </is>
      </c>
      <c r="L204" s="3" t="inlineStr">
        <is>
          <t>OPERA: TUBAZIONE DI LEGA FERROSA ACCIAIO NERO; FUNZIONE: DISTRIBUZIONE ACQUA; IMPIEGO: RETE IDRICA; DIAMETRO NOMINALE (Ø) [MM] = 80 | SPESSORE [MM] = 3,2. 
LAVORO: POSA. 
SPECIFICHE TECNICHE: TUBO SENZA SALDATURA. OP TUBAZIONE DI LEGA FERROSA ACCIAIO NERO; FUNZIONE: DISTRIBUZIONE ACQUA; IMPIEGO: RETE IDRICA; DIAMETRO NOMINALE (Ø) [MM] = 80 | SPESSORE [MM] = 3,2. 
SPECIFICHE TECNICHE: TUBO SENZA SALDATURA. 
RM TUBO DI LEGA FERROSA ACCIAIO NERO; FUNZIONE: DISTRIBUZIONE ACQUA; IMPIEGO: RETE IDRICA; DIAMETRO NOMINALE (Ø) [MM] = 80 | SPESSORE [MM] = 3,2 
SPECIFICHE TECNICHE: TUBO SENZA SALDATURA 
LV POSA.</t>
        </is>
      </c>
      <c r="M204" s="4" t="inlineStr">
        <is>
          <t>M</t>
        </is>
      </c>
      <c r="N204" s="5" t="n">
        <v>37.5</v>
      </c>
      <c r="O204" s="6" t="n">
        <v>57.96</v>
      </c>
      <c r="P204" s="6" t="n">
        <v>2173.5</v>
      </c>
      <c r="Q204" s="5" t="n"/>
      <c r="R204" s="6" t="n"/>
      <c r="S204" s="6">
        <f>IF(AND(Q204&lt;&gt;"",R204&lt;&gt;""),Q204*R204,"")</f>
        <v/>
      </c>
      <c r="T204" s="6">
        <f>IF(S204="",P204,S204)</f>
        <v/>
      </c>
      <c r="U204" s="7" t="n">
        <v>0</v>
      </c>
      <c r="V204" s="6">
        <f>$T204*U204</f>
        <v/>
      </c>
      <c r="W204" s="7" t="n">
        <v>0.5</v>
      </c>
      <c r="X204" s="6">
        <f>$T204*W204</f>
        <v/>
      </c>
      <c r="Y204" s="7" t="n">
        <v>0</v>
      </c>
      <c r="Z204" s="6">
        <f>$T204*Y204</f>
        <v/>
      </c>
      <c r="AA204" s="7" t="n">
        <v>0</v>
      </c>
      <c r="AB204" s="6">
        <f>$T204*AA204</f>
        <v/>
      </c>
      <c r="AC204" s="7" t="n">
        <v>0</v>
      </c>
      <c r="AD204" s="6">
        <f>$T204*AC204</f>
        <v/>
      </c>
      <c r="AE204" s="7" t="n">
        <v>0</v>
      </c>
      <c r="AF204" s="6">
        <f>$T204*AE204</f>
        <v/>
      </c>
      <c r="AG204" s="7" t="n">
        <v>0</v>
      </c>
      <c r="AH204" s="6">
        <f>$T204*AG204</f>
        <v/>
      </c>
      <c r="AI204" s="7">
        <f>U204+W204+Y204+AA204+AC204+AE204+AG204</f>
        <v/>
      </c>
      <c r="AJ204" s="6">
        <f>V204+X204+Z204+AB204+AD204+AF204+AH204</f>
        <v/>
      </c>
    </row>
    <row r="205" ht="60" customHeight="1" s="35">
      <c r="A205" s="3" t="inlineStr">
        <is>
          <t>LOM251.OC.EEA.PA02.I1500.E0011.0160</t>
        </is>
      </c>
      <c r="B205" s="4" t="inlineStr">
        <is>
          <t>1/3</t>
        </is>
      </c>
      <c r="C205" s="3" t="inlineStr">
        <is>
          <t>IMPIANTO MECCANICO</t>
        </is>
      </c>
      <c r="D205" s="4" t="inlineStr">
        <is>
          <t>NON SPECIALE</t>
        </is>
      </c>
      <c r="E205" s="4" t="inlineStr">
        <is>
          <t>MECCANICHE</t>
        </is>
      </c>
      <c r="F205" s="3" t="inlineStr">
        <is>
          <t>2_CME_TOTALE MECCANICI RADIOFARMACIA PAVIA.PDF</t>
        </is>
      </c>
      <c r="G205" s="4" t="inlineStr">
        <is>
          <t>181/181</t>
        </is>
      </c>
      <c r="H205" s="3" t="inlineStr">
        <is>
          <t>40 - IMPIANTISTICO</t>
        </is>
      </c>
      <c r="I205" s="3" t="inlineStr">
        <is>
          <t>CENTRALE</t>
        </is>
      </c>
      <c r="J205" s="3" t="inlineStr">
        <is>
          <t>IMPIANTO HVAC</t>
        </is>
      </c>
      <c r="K205" s="3" t="inlineStr">
        <is>
          <t>OPERA: LASTRA DI GOMMA ELASTOMERICA ESPANSA A CELLULE CHIUSE; FUNZIONE: COIBENTAZIONE; IMPIEGO: TUBAZIONE; SPESSORE MINIMO LASTRA [MM] = 19 | SPESSORE MINIMO ELASTOMERO PER IL DIAMETRO ESTERNO TUBO [M</t>
        </is>
      </c>
      <c r="L205" s="3" t="inlineStr">
        <is>
          <t>OPERA: LASTRA DI GOMMA ELASTOMERICA ESPANSA A CELLULE CHIUSE; FUNZIONE: COIBENTAZIONE; IMPIEGO: TUBAZIONE; SPESSORE MINIMO LASTRA [MM] = 19 | SPESSORE MINIMO ELASTOMERO PER IL DIAMETRO ESTERNO TUBO [MM] = 76 | DIAMETRO NOMINALE TUBAZIONE [MM] = 65; RESISTENZA ALLA FIAMMA [CLASSE] = 1; FATTORE DI PERMEABILITÀ (Μ) MINIMO [-] = 4000. 
LAVORO: POSA. 
SPECIFICHE TECNICHE: GOMMA ELASTOMERICA ESPANSA A CELLULE CHIUSE SENZA ALOGENI NÉ PVC. OP LASTRA DI GOMMA ELASTOMERICA ESPANSA A CELLULE CHIUSE; FUNZIONE: COIBENTAZIONE; IMPIEGO: TUBAZIONE; SPESSORE MINIMO LASTRA [MM] = 19 | SPESSORE MINIMO ELASTOMERO PER IL DIAMETRO ESTERNO TUBO [MM] = 76 | DIAMETRO NOMINALE TUBAZIONE [MM] = 65; RESISTENZA ALLA FIAMMA [CLASSE] = 1; FATTORE DI PERMEABILITÀ (Μ) MINIMO [-] = 4000. 
SPECIFICHE TECNICHE: GOMMA ELASTOMERICA ESPANSA A CELLULE CHIUSE SENZA ALOGENI NÉ PVC. 
RM LASTRA DI GOMMA ESPANSA A CELLULE CHIUSE; FUNZIONE: COIBENTAZIONE; IMPIEGO: TUBAZIONE; SPESSORE MINIMO LASTRA [MM] = 19 | SPESSORE MINIMO ELASTOMERO PER IL DIAMETRO ESTERNO TUBO [MM] = 76 | DIAMETRO NOMINALE TUBAZIONE [MM] = 65; RESISTENZA ALLA FIAMMA [CLASSE] = 1; FATTORE DI PERMEABILITÀ (Μ) MINIMO [-] = 4000 
SPECIFICHE TECNICHE: GOMMA ELASTOMERICA ESPANSA A CELLULE CHIUSE SENZA ALOGENI NÉ PVC 
LV POSA.</t>
        </is>
      </c>
      <c r="M205" s="4" t="inlineStr">
        <is>
          <t>M</t>
        </is>
      </c>
      <c r="N205" s="5" t="n">
        <v>15</v>
      </c>
      <c r="O205" s="6" t="n">
        <v>12.56</v>
      </c>
      <c r="P205" s="6" t="n">
        <v>188.4</v>
      </c>
      <c r="Q205" s="5" t="n"/>
      <c r="R205" s="6" t="n"/>
      <c r="S205" s="6">
        <f>IF(AND(Q205&lt;&gt;"",R205&lt;&gt;""),Q205*R205,"")</f>
        <v/>
      </c>
      <c r="T205" s="6">
        <f>IF(S205="",P205,S205)</f>
        <v/>
      </c>
      <c r="U205" s="7" t="n">
        <v>0</v>
      </c>
      <c r="V205" s="6">
        <f>$T205*U205</f>
        <v/>
      </c>
      <c r="W205" s="7" t="n">
        <v>0</v>
      </c>
      <c r="X205" s="6">
        <f>$T205*W205</f>
        <v/>
      </c>
      <c r="Y205" s="7" t="n">
        <v>0</v>
      </c>
      <c r="Z205" s="6">
        <f>$T205*Y205</f>
        <v/>
      </c>
      <c r="AA205" s="7" t="n">
        <v>0</v>
      </c>
      <c r="AB205" s="6">
        <f>$T205*AA205</f>
        <v/>
      </c>
      <c r="AC205" s="7" t="n">
        <v>0</v>
      </c>
      <c r="AD205" s="6">
        <f>$T205*AC205</f>
        <v/>
      </c>
      <c r="AE205" s="7" t="n">
        <v>0</v>
      </c>
      <c r="AF205" s="6">
        <f>$T205*AE205</f>
        <v/>
      </c>
      <c r="AG205" s="7" t="n">
        <v>0</v>
      </c>
      <c r="AH205" s="6">
        <f>$T205*AG205</f>
        <v/>
      </c>
      <c r="AI205" s="7">
        <f>U205+W205+Y205+AA205+AC205+AE205+AG205</f>
        <v/>
      </c>
      <c r="AJ205" s="6">
        <f>V205+X205+Z205+AB205+AD205+AF205+AH205</f>
        <v/>
      </c>
    </row>
    <row r="206" ht="60" customHeight="1" s="35">
      <c r="A206" s="3" t="inlineStr">
        <is>
          <t>LOM251.OC.EEA.PA02.I1500.SA000.0010</t>
        </is>
      </c>
      <c r="B206" s="4" t="inlineStr">
        <is>
          <t>1/2</t>
        </is>
      </c>
      <c r="C206" s="3" t="inlineStr">
        <is>
          <t>IMPIANTO MECCANICO</t>
        </is>
      </c>
      <c r="D206" s="4" t="inlineStr">
        <is>
          <t>NON SPECIALE</t>
        </is>
      </c>
      <c r="E206" s="4" t="inlineStr">
        <is>
          <t>MECCANICHE</t>
        </is>
      </c>
      <c r="F206" s="3" t="inlineStr">
        <is>
          <t>2_CME_TOTALE MECCANICI RADIOFARMACIA PAVIA.PDF</t>
        </is>
      </c>
      <c r="G206" s="4" t="inlineStr">
        <is>
          <t>182/182</t>
        </is>
      </c>
      <c r="H206" s="3" t="inlineStr">
        <is>
          <t>40 - IMPIANTISTICO</t>
        </is>
      </c>
      <c r="I206" s="3" t="inlineStr">
        <is>
          <t>CENTRALE</t>
        </is>
      </c>
      <c r="J206" s="3" t="inlineStr">
        <is>
          <t>IMPIANTO HVAC</t>
        </is>
      </c>
      <c r="K206" s="3" t="inlineStr">
        <is>
          <t xml:space="preserve">OPERA: LASTRA, DI FINITURA DI LEGA ALLUMINIO GENERICO; GEOMETRIA: LAMIERINO; FUNZIONE: COIBENTAZIONE; IMPIEGO: CONDOTTO; SPESSORE [MM] = 0,8. </t>
        </is>
      </c>
      <c r="L206" s="3" t="inlineStr">
        <is>
          <t>OPERA: LASTRA, DI FINITURA DI LEGA ALLUMINIO GENERICO; GEOMETRIA: LAMIERINO; FUNZIONE: COIBENTAZIONE; IMPIEGO: CONDOTTO; SPESSORE [MM] = 0,8. 
LAVORO: POSA. OP LASTRA, DI FINITURA DI LEGA ALLUMINIO GENERICO; GEOMETRIA: LAMIERINO; FUNZIONE: COIBENTAZIONE; IMPIEGO: CONDOTTO; SPESSORE [MM] = 0,8. 
RM LASTRA DI FINITURA DI LEGA ALLUMINIO GENERICO; GEOMETRIA: LAMIERINO; FUNZIONE: COIBENTAZIONE; IMPIEGO: CONDOTTO; SPESSORE [MM] = 0,8 
LV POSA.</t>
        </is>
      </c>
      <c r="M206" s="4" t="inlineStr">
        <is>
          <t>M²</t>
        </is>
      </c>
      <c r="N206" s="5" t="n">
        <v>42</v>
      </c>
      <c r="O206" s="6" t="n">
        <v>37.95</v>
      </c>
      <c r="P206" s="6" t="n">
        <v>1593.9</v>
      </c>
      <c r="Q206" s="5" t="n"/>
      <c r="R206" s="6" t="n"/>
      <c r="S206" s="6">
        <f>IF(AND(Q206&lt;&gt;"",R206&lt;&gt;""),Q206*R206,"")</f>
        <v/>
      </c>
      <c r="T206" s="6">
        <f>IF(S206="",P206,S206)</f>
        <v/>
      </c>
      <c r="U206" s="7" t="n">
        <v>0</v>
      </c>
      <c r="V206" s="6">
        <f>$T206*U206</f>
        <v/>
      </c>
      <c r="W206" s="7" t="n">
        <v>0</v>
      </c>
      <c r="X206" s="6">
        <f>$T206*W206</f>
        <v/>
      </c>
      <c r="Y206" s="7" t="n">
        <v>0</v>
      </c>
      <c r="Z206" s="6">
        <f>$T206*Y206</f>
        <v/>
      </c>
      <c r="AA206" s="7" t="n">
        <v>0</v>
      </c>
      <c r="AB206" s="6">
        <f>$T206*AA206</f>
        <v/>
      </c>
      <c r="AC206" s="7" t="n">
        <v>0</v>
      </c>
      <c r="AD206" s="6">
        <f>$T206*AC206</f>
        <v/>
      </c>
      <c r="AE206" s="7" t="n">
        <v>0</v>
      </c>
      <c r="AF206" s="6">
        <f>$T206*AE206</f>
        <v/>
      </c>
      <c r="AG206" s="7" t="n">
        <v>0</v>
      </c>
      <c r="AH206" s="6">
        <f>$T206*AG206</f>
        <v/>
      </c>
      <c r="AI206" s="7">
        <f>U206+W206+Y206+AA206+AC206+AE206+AG206</f>
        <v/>
      </c>
      <c r="AJ206" s="6">
        <f>V206+X206+Z206+AB206+AD206+AF206+AH206</f>
        <v/>
      </c>
    </row>
    <row r="207" ht="60" customHeight="1" s="35">
      <c r="A207" s="3" t="inlineStr">
        <is>
          <t>LOM251.OC.EEA.PA02.I9762.ZB015.0110</t>
        </is>
      </c>
      <c r="B207" s="4" t="inlineStr">
        <is>
          <t>1/2</t>
        </is>
      </c>
      <c r="C207" s="3" t="inlineStr">
        <is>
          <t>IMPIANTO MECCANICO</t>
        </is>
      </c>
      <c r="D207" s="4" t="inlineStr">
        <is>
          <t>NON SPECIALE</t>
        </is>
      </c>
      <c r="E207" s="4" t="inlineStr">
        <is>
          <t>MECCANICHE</t>
        </is>
      </c>
      <c r="F207" s="3" t="inlineStr">
        <is>
          <t>2_CME_TOTALE MECCANICI RADIOFARMACIA PAVIA.PDF</t>
        </is>
      </c>
      <c r="G207" s="4" t="inlineStr">
        <is>
          <t>183/183</t>
        </is>
      </c>
      <c r="H207" s="3" t="inlineStr">
        <is>
          <t>40 - IMPIANTISTICO</t>
        </is>
      </c>
      <c r="I207" s="3" t="inlineStr">
        <is>
          <t>CENTRALE</t>
        </is>
      </c>
      <c r="J207" s="3" t="inlineStr">
        <is>
          <t>IMPIANTO HVAC</t>
        </is>
      </c>
      <c r="K207" s="3" t="inlineStr">
        <is>
          <t>OPERA: VALVOLA, A COMANDO MANUALE A LEVA DI MATERIALE MIX ACCIAIO AL CARBONIO-ACCIAIO INOX; GEOMETRIA: A CORPO PIATTO | TIPO WAFER | A PASSAGGIO TOTALE | A SFERA; DIAMETRO NOMINALE (Ø) [MM] = 40; PRES</t>
        </is>
      </c>
      <c r="L207" s="3" t="inlineStr">
        <is>
          <t>OPERA: VALVOLA, A COMANDO MANUALE A LEVA DI MATERIALE MIX ACCIAIO AL CARBONIO-ACCIAIO INOX; GEOMETRIA: A CORPO PIATTO | TIPO WAFER | A PASSAGGIO TOTALE | A SFERA; DIAMETRO NOMINALE (Ø) [MM] = 40; PRESSIONE NOMINALE [BAR] = 16. INCLUSO: GHIERA DI LEGA FERROSA ACCIAIO AL CARBONIO. 
LAVORO: POSA. 
SPECIFICHE TECNICHE: VALVOLA CON: CORPO DI LEGA FERROSA ACCIAIO AL CARBONIO, STELO DI LEGA FERROSA ACCIAIO INOX, SFERA DI LEGA FERROSA ACCIAIO INOX; IMPIEGO: VALVOLA A SFERA, ANELLO SEDE VALVOLA DI PLASTICA POLITETRAFLUOROETILENE (PTFE), LEVA DI MANOVRA DI LEGA FERROSA ACCIAIO AL CARBONIO CON FINITURA DI GOMMA GENERICA. OP VALVOLA, A COMANDO MANUALE A LEVA DI MATERIALE MIX ACCIAIO AL CARBONIO-ACCIAIO INOX; GEOMETRIA: A CORPO PIATTO | TIPO WAFER | A PASSAGGIO TOTALE | A SFERA; DIAMETRO NOMINALE (Ø) [MM] = 40; PRESSIONE NOMINALE [BAR] = 16. INCLUSO: GHIERA DI LEGA FERROSA ACCIAIO AL CARBONIO. 
SPECIFICHE TECNICHE: VALVOLA CON: CORPO DI LEGA FERROSA ACCIAIO AL CARBONIO, STELO DI LEGA FERROSA ACCIAIO INOX, SFERA DI LEGA FERROSA ACCIAIO INOX; IMPIEGO: VALVOLA A SFERA, ANELLO SEDE VALVOLA DI PLASTICA POLITETRAFLUOROETILENE (PTFE), LEVA DI MANOVRA DI LEGA FERROSA ACCIAIO AL CARBONIO CON FINITURA DI GOMMA GENERICA. 
RM VALVOLA A COMANDO MANUALE A LEVA DI MATERIALE MIX ACCIAIO AL CARBONIO-ACCIAIO INOX; GEOMETRIA: A CORPO PIATTO | TIPO WAFER | A PASSAGGIO TOTALE | A SFERA; DIAMETRO NOMINALE (Ø) [MM] = 40; PRESSIONE NOMINALE [BAR] = 16. INCLUSO: GHIERA DI LEGA FERROSA ACCIAIO AL CARBONIO 
SPECIFICHE TECNICHE: VALVOLA CON: CORPO DI LEGA FERROSA ACCIAIO AL CARBONIO, STELO DI LEGA FERROSA ACCIAIO INOX, SFERA DI LEGA FERROSA ACCIAIO INOX; IMPIEGO: VALVOLA A SFERA, ANELLO SEDE VALVOLA DI PLASTICA POLITETRAFLUOROETILENE (PTFE), LEVA DI MANOVRA DI LEGA FERROSA ACCIAIO AL CARBONIO CON FINITURA DI GOMMA GENERICA 
LV POSA.</t>
        </is>
      </c>
      <c r="M207" s="4" t="inlineStr">
        <is>
          <t>CAD</t>
        </is>
      </c>
      <c r="N207" s="5" t="n">
        <v>2</v>
      </c>
      <c r="O207" s="6" t="n">
        <v>80.95999999999999</v>
      </c>
      <c r="P207" s="6" t="n">
        <v>161.92</v>
      </c>
      <c r="Q207" s="5" t="n"/>
      <c r="R207" s="6" t="n"/>
      <c r="S207" s="6">
        <f>IF(AND(Q207&lt;&gt;"",R207&lt;&gt;""),Q207*R207,"")</f>
        <v/>
      </c>
      <c r="T207" s="6">
        <f>IF(S207="",P207,S207)</f>
        <v/>
      </c>
      <c r="U207" s="7" t="n">
        <v>0</v>
      </c>
      <c r="V207" s="6">
        <f>$T207*U207</f>
        <v/>
      </c>
      <c r="W207" s="7" t="n">
        <v>0</v>
      </c>
      <c r="X207" s="6">
        <f>$T207*W207</f>
        <v/>
      </c>
      <c r="Y207" s="7" t="n">
        <v>0</v>
      </c>
      <c r="Z207" s="6">
        <f>$T207*Y207</f>
        <v/>
      </c>
      <c r="AA207" s="7" t="n">
        <v>0</v>
      </c>
      <c r="AB207" s="6">
        <f>$T207*AA207</f>
        <v/>
      </c>
      <c r="AC207" s="7" t="n">
        <v>0</v>
      </c>
      <c r="AD207" s="6">
        <f>$T207*AC207</f>
        <v/>
      </c>
      <c r="AE207" s="7" t="n">
        <v>0</v>
      </c>
      <c r="AF207" s="6">
        <f>$T207*AE207</f>
        <v/>
      </c>
      <c r="AG207" s="7" t="n">
        <v>0</v>
      </c>
      <c r="AH207" s="6">
        <f>$T207*AG207</f>
        <v/>
      </c>
      <c r="AI207" s="7">
        <f>U207+W207+Y207+AA207+AC207+AE207+AG207</f>
        <v/>
      </c>
      <c r="AJ207" s="6">
        <f>V207+X207+Z207+AB207+AD207+AF207+AH207</f>
        <v/>
      </c>
    </row>
    <row r="208" ht="60" customHeight="1" s="35">
      <c r="A208" s="3" t="inlineStr">
        <is>
          <t>LOM251.OC.EEA.PA02.I7425.E0004.0015</t>
        </is>
      </c>
      <c r="B208" s="4" t="inlineStr">
        <is>
          <t>1/2</t>
        </is>
      </c>
      <c r="C208" s="3" t="inlineStr">
        <is>
          <t>IMPIANTO MECCANICO</t>
        </is>
      </c>
      <c r="D208" s="4" t="inlineStr">
        <is>
          <t>NON SPECIALE</t>
        </is>
      </c>
      <c r="E208" s="4" t="inlineStr">
        <is>
          <t>MECCANICHE</t>
        </is>
      </c>
      <c r="F208" s="3" t="inlineStr">
        <is>
          <t>2_CME_TOTALE MECCANICI RADIOFARMACIA PAVIA.PDF</t>
        </is>
      </c>
      <c r="G208" s="4" t="inlineStr">
        <is>
          <t>184/184</t>
        </is>
      </c>
      <c r="H208" s="3" t="inlineStr">
        <is>
          <t>40 - IMPIANTISTICO</t>
        </is>
      </c>
      <c r="I208" s="3" t="inlineStr">
        <is>
          <t>CENTRALE</t>
        </is>
      </c>
      <c r="J208" s="3" t="inlineStr">
        <is>
          <t>IMPIANTO HVAC</t>
        </is>
      </c>
      <c r="K208" s="3" t="inlineStr">
        <is>
          <t xml:space="preserve">OPERA: GIUNTO ANTIVIBRANTE DI GOMMA EPDM; GEOMETRIA: ATTACCHI FLANGIATI; FUNZIONE: SMORZAMENTO VIBRAZIONI; IMPIEGO: TUBAZIONE; DIAMETRO NOMINALE (Ø) [MM] = 40; PRESSIONE NOMINALE [BAR] ≤ 10. </t>
        </is>
      </c>
      <c r="L208" s="3" t="inlineStr">
        <is>
          <t>OPERA: GIUNTO ANTIVIBRANTE DI GOMMA EPDM; GEOMETRIA: ATTACCHI FLANGIATI; FUNZIONE: SMORZAMENTO VIBRAZIONI; IMPIEGO: TUBAZIONE; DIAMETRO NOMINALE (Ø) [MM] = 40; PRESSIONE NOMINALE [BAR] ≤ 10. 
LAVORO: POSA. 
SPECIFICHE TECNICHE: CORPO DI GOMMA EPDM; ANIMA DI LEGA FERROSA ACCIAIO GENERICO; BULLONI DI LEGA FERROSA ACCIAIO GENERICO. OP GIUNTO ANTIVIBRANTE DI GOMMA EPDM; GEOMETRIA: ATTACCHI FLANGIATI; FUNZIONE: SMORZAMENTO VIBRAZIONI; IMPIEGO: TUBAZIONE; DIAMETRO NOMINALE (Ø) [MM] = 40; PRESSIONE NOMINALE [BAR] ≤ 10. 
SPECIFICHE TECNICHE: CORPO DI GOMMA EPDM; ANIMA DI LEGA FERROSA ACCIAIO GENERICO; BULLONI DI LEGA FERROSA ACCIAIO GENERICO. 
RM GIUNTO ANTIVIBRANTE DI GOMMA EPDM; GEOMETRIA: ATTACCHI FLANGIATI; FUNZIONE: SMORZAMENTO VIBRAZIONI; IMPIEGO: TUBAZIONE; DIAMETRO NOMINALE (Ø) [MM] = 40; PRESSIONE NOMINALE [BAR] ≤ 10 
SPECIFICHE TECNICHE: CORPO DI GOMMA EPDM; ANIMA DI LEGA FERROSA ACCIAIO GENERICO; BULLONI DI LEGA FERROSA ACCIAIO GENERICO 
LV POSA.</t>
        </is>
      </c>
      <c r="M208" s="4" t="inlineStr">
        <is>
          <t>CAD</t>
        </is>
      </c>
      <c r="N208" s="5" t="n">
        <v>2</v>
      </c>
      <c r="O208" s="6" t="n">
        <v>73.37</v>
      </c>
      <c r="P208" s="6" t="n">
        <v>146.74</v>
      </c>
      <c r="Q208" s="5" t="n"/>
      <c r="R208" s="6" t="n"/>
      <c r="S208" s="6">
        <f>IF(AND(Q208&lt;&gt;"",R208&lt;&gt;""),Q208*R208,"")</f>
        <v/>
      </c>
      <c r="T208" s="6">
        <f>IF(S208="",P208,S208)</f>
        <v/>
      </c>
      <c r="U208" s="7" t="n">
        <v>0</v>
      </c>
      <c r="V208" s="6">
        <f>$T208*U208</f>
        <v/>
      </c>
      <c r="W208" s="7" t="n">
        <v>0</v>
      </c>
      <c r="X208" s="6">
        <f>$T208*W208</f>
        <v/>
      </c>
      <c r="Y208" s="7" t="n">
        <v>0</v>
      </c>
      <c r="Z208" s="6">
        <f>$T208*Y208</f>
        <v/>
      </c>
      <c r="AA208" s="7" t="n">
        <v>0</v>
      </c>
      <c r="AB208" s="6">
        <f>$T208*AA208</f>
        <v/>
      </c>
      <c r="AC208" s="7" t="n">
        <v>0</v>
      </c>
      <c r="AD208" s="6">
        <f>$T208*AC208</f>
        <v/>
      </c>
      <c r="AE208" s="7" t="n">
        <v>0</v>
      </c>
      <c r="AF208" s="6">
        <f>$T208*AE208</f>
        <v/>
      </c>
      <c r="AG208" s="7" t="n">
        <v>0</v>
      </c>
      <c r="AH208" s="6">
        <f>$T208*AG208</f>
        <v/>
      </c>
      <c r="AI208" s="7">
        <f>U208+W208+Y208+AA208+AC208+AE208+AG208</f>
        <v/>
      </c>
      <c r="AJ208" s="6">
        <f>V208+X208+Z208+AB208+AD208+AF208+AH208</f>
        <v/>
      </c>
    </row>
    <row r="209" ht="60" customHeight="1" s="35">
      <c r="A209" s="3" t="inlineStr">
        <is>
          <t>LOM251.OC.EEA.PA01.I9766.SB030.0020</t>
        </is>
      </c>
      <c r="B209" s="4" t="inlineStr">
        <is>
          <t>1/2</t>
        </is>
      </c>
      <c r="C209" s="3" t="inlineStr">
        <is>
          <t>IMPIANTO MECCANICO</t>
        </is>
      </c>
      <c r="D209" s="4" t="inlineStr">
        <is>
          <t>NON SPECIALE</t>
        </is>
      </c>
      <c r="E209" s="4" t="inlineStr">
        <is>
          <t>MECCANICHE</t>
        </is>
      </c>
      <c r="F209" s="3" t="inlineStr">
        <is>
          <t>2_CME_TOTALE MECCANICI RADIOFARMACIA PAVIA.PDF</t>
        </is>
      </c>
      <c r="G209" s="4" t="inlineStr">
        <is>
          <t>186/186</t>
        </is>
      </c>
      <c r="H209" s="3" t="inlineStr">
        <is>
          <t>40 - IMPIANTISTICO</t>
        </is>
      </c>
      <c r="I209" s="3" t="inlineStr">
        <is>
          <t>CENTRALE</t>
        </is>
      </c>
      <c r="J209" s="3" t="inlineStr">
        <is>
          <t>IMPIANTO HVAC</t>
        </is>
      </c>
      <c r="K209" s="3" t="inlineStr">
        <is>
          <t>OPERA: FILTRO, RACCOGLITORE DI IMPURITÀ DI LEGA FERROSA GHISA GENERICO; FUNZIONE: RACCOLTA IMPURITÀ; IMPIEGO: RETE IDRICA; DIAMETRO NOMINALE (Ø) [MM] = 40; PRESSIONE NOMINALE [BAR] ≤ 16. INCLUSO: CORP</t>
        </is>
      </c>
      <c r="L209" s="3" t="inlineStr">
        <is>
          <t>OPERA: FILTRO, RACCOGLITORE DI IMPURITÀ DI LEGA FERROSA GHISA GENERICO; FUNZIONE: RACCOLTA IMPURITÀ; IMPIEGO: RETE IDRICA; DIAMETRO NOMINALE (Ø) [MM] = 40; PRESSIONE NOMINALE [BAR] ≤ 16. INCLUSO: CORPO DI LEGA FERROSA GHISA GENERICO; COPERCHIO DI LEGA FERROSA GHISA GENERICO; CESTELLO DI LEGA FERROSA ACCIAIO INOX; GUARNIZIONI DEL TIPO SENZA AMIANTO. 
LAVORO: INSTALLAZIONE. 
SPECIFICHE TECNICHE: CESTELLO INTERCAMBIABILE; TAPPO DI SCARICO SUL COPERCHIO. OP FILTRO, RACCOGLITORE DI IMPURITÀ DI LEGA FERROSA GHISA GENERICO; FUNZIONE: RACCOLTA IMPURITÀ; IMPIEGO: RETE IDRICA; DIAMETRO NOMINALE (Ø) [MM] = 40; PRESSIONE NOMINALE [BAR] ≤ 16. INCLUSO: CORPO DI LEGA FERROSA GHISA GENERICO; COPERCHIO DI LEGA FERROSA GHISA GENERICO; CESTELLO DI LEGA FERROSA ACCIAIO INOX; GUARNIZIONI DEL TIPO SENZA AMIANTO. 
SPECIFICHE TECNICHE: CESTELLO INTERCAMBIABILE; TAPPO DI SCARICO SUL COPERCHIO. 
RM FILTRO RACCOGLITORE DI IMPURITÀ DI LEGA FERROSA GHISA GENERICO; FUNZIONE: RACCOLTA IMPURITÀ; IMPIEGO: RETE IDRICA; DIAMETRO NOMINALE (Ø) [MM] = 40; PRESSIONE NOMINALE [BAR] ≤ 16. INCLUSO: CORPO DI LEGA FERROSA GHISA GENERICO; COPERCHIO DI LEGA FERROSA GHISA GENERICO; CESTELLO DI LEGA FERROSA ACCIAIO INOX; GUARNIZIONI DEL TIPO SENZA AMIANTO 
SPECIFICHE TECNICHE: CESTELLO INTERCAMBIABILE; TAPPO DI SCARICO SUL COPERCHIO 
LV INSTALLAZIONE.</t>
        </is>
      </c>
      <c r="M209" s="4" t="inlineStr">
        <is>
          <t>CAD</t>
        </is>
      </c>
      <c r="N209" s="5" t="n">
        <v>1</v>
      </c>
      <c r="O209" s="6" t="n">
        <v>84.13</v>
      </c>
      <c r="P209" s="6" t="n">
        <v>84.13</v>
      </c>
      <c r="Q209" s="5" t="n"/>
      <c r="R209" s="6" t="n"/>
      <c r="S209" s="6">
        <f>IF(AND(Q209&lt;&gt;"",R209&lt;&gt;""),Q209*R209,"")</f>
        <v/>
      </c>
      <c r="T209" s="6">
        <f>IF(S209="",P209,S209)</f>
        <v/>
      </c>
      <c r="U209" s="7" t="n">
        <v>0</v>
      </c>
      <c r="V209" s="6">
        <f>$T209*U209</f>
        <v/>
      </c>
      <c r="W209" s="7" t="n">
        <v>0</v>
      </c>
      <c r="X209" s="6">
        <f>$T209*W209</f>
        <v/>
      </c>
      <c r="Y209" s="7" t="n">
        <v>0</v>
      </c>
      <c r="Z209" s="6">
        <f>$T209*Y209</f>
        <v/>
      </c>
      <c r="AA209" s="7" t="n">
        <v>0</v>
      </c>
      <c r="AB209" s="6">
        <f>$T209*AA209</f>
        <v/>
      </c>
      <c r="AC209" s="7" t="n">
        <v>0</v>
      </c>
      <c r="AD209" s="6">
        <f>$T209*AC209</f>
        <v/>
      </c>
      <c r="AE209" s="7" t="n">
        <v>0</v>
      </c>
      <c r="AF209" s="6">
        <f>$T209*AE209</f>
        <v/>
      </c>
      <c r="AG209" s="7" t="n">
        <v>0</v>
      </c>
      <c r="AH209" s="6">
        <f>$T209*AG209</f>
        <v/>
      </c>
      <c r="AI209" s="7">
        <f>U209+W209+Y209+AA209+AC209+AE209+AG209</f>
        <v/>
      </c>
      <c r="AJ209" s="6">
        <f>V209+X209+Z209+AB209+AD209+AF209+AH209</f>
        <v/>
      </c>
    </row>
    <row r="210" ht="60" customHeight="1" s="35">
      <c r="A210" s="3" t="inlineStr">
        <is>
          <t>LOM251.OC.EEA.PA01.I9766.SB030.0015</t>
        </is>
      </c>
      <c r="B210" s="4" t="inlineStr">
        <is>
          <t>1/1</t>
        </is>
      </c>
      <c r="C210" s="3" t="inlineStr">
        <is>
          <t>IMPIANTO MECCANICO</t>
        </is>
      </c>
      <c r="D210" s="4" t="inlineStr">
        <is>
          <t>NON SPECIALE</t>
        </is>
      </c>
      <c r="E210" s="4" t="inlineStr">
        <is>
          <t>MECCANICHE</t>
        </is>
      </c>
      <c r="F210" s="3" t="inlineStr">
        <is>
          <t>2_CME_TOTALE MECCANICI RADIOFARMACIA PAVIA.PDF</t>
        </is>
      </c>
      <c r="G210" s="4" t="inlineStr">
        <is>
          <t>187/187</t>
        </is>
      </c>
      <c r="H210" s="3" t="inlineStr">
        <is>
          <t>40 - IMPIANTISTICO</t>
        </is>
      </c>
      <c r="I210" s="3" t="inlineStr">
        <is>
          <t>CENTRALE</t>
        </is>
      </c>
      <c r="J210" s="3" t="inlineStr">
        <is>
          <t>IMPIANTO HVAC</t>
        </is>
      </c>
      <c r="K210" s="3" t="inlineStr">
        <is>
          <t>OPERA: FILTRO, RACCOGLITORE DI IMPURITÀ DI LEGA FERROSA GHISA GENERICO; FUNZIONE: RACCOLTA IMPURITÀ; IMPIEGO: RETE IDRICA; DIAMETRO NOMINALE (Ø) [MM] = 32; PRESSIONE NOMINALE [BAR] ≤ 16. INCLUSO: CORP</t>
        </is>
      </c>
      <c r="L210" s="3" t="inlineStr">
        <is>
          <t>OPERA: FILTRO, RACCOGLITORE DI IMPURITÀ DI LEGA FERROSA GHISA GENERICO; FUNZIONE: RACCOLTA IMPURITÀ; IMPIEGO: RETE IDRICA; DIAMETRO NOMINALE (Ø) [MM] = 32; PRESSIONE NOMINALE [BAR] ≤ 16. INCLUSO: CORPO DI LEGA FERROSA GHISA GENERICO; COPERCHIO DI LEGA FERROSA GHISA GENERICO; CESTELLO DI LEGA FERROSA ACCIAIO INOX; GUARNIZIONI DEL TIPO SENZA AMIANTO. 
LAVORO: INSTALLAZIONE. 
SPECIFICHE TECNICHE: CESTELLO INTERCAMBIABILE; TAPPO DI SCARICO SUL COPERCHIO. OP FILTRO, RACCOGLITORE DI IMPURITÀ DI LEGA FERROSA GHISA GENERICO; FUNZIONE: RACCOLTA IMPURITÀ; IMPIEGO: RETE IDRICA; DIAMETRO NOMINALE (Ø) [MM] = 32; PRESSIONE NOMINALE [BAR] ≤ 16. INCLUSO: CORPO DI LEGA FERROSA GHISA GENERICO; COPERCHIO DI LEGA FERROSA GHISA GENERICO; CESTELLO DI LEGA FERROSA ACCIAIO INOX; GUARNIZIONI DEL TIPO SENZA AMIANTO. 
SPECIFICHE TECNICHE: CESTELLO INTERCAMBIABILE; TAPPO DI SCARICO SUL COPERCHIO. 
RM FILTRO RACCOGLITORE DI IMPURITÀ DI LEGA FERROSA GHISA GENERICO; FUNZIONE: RACCOLTA IMPURITÀ; IMPIEGO: RETE IDRICA; DIAMETRO NOMINALE (Ø) [MM] = 32; PRESSIONE NOMINALE [BAR] ≤ 16. INCLUSO: CORPO DI LEGA FERROSA GHISA GENERICO; COPERCHIO DI LEGA FERROSA GHISA GENERICO; CESTELLO DI LEGA FERROSA ACCIAIO INOX; GUARNIZIONI DEL TIPO SENZA AMIANTO 
SPECIFICHE TECNICHE: CESTELLO INTERCAMBIABILE; TAPPO DI SCARICO SUL COPERCHIO 
LV INSTALLAZIONE.</t>
        </is>
      </c>
      <c r="M210" s="4" t="inlineStr">
        <is>
          <t>CAD</t>
        </is>
      </c>
      <c r="N210" s="5" t="n">
        <v>1</v>
      </c>
      <c r="O210" s="6" t="n">
        <v>68.31</v>
      </c>
      <c r="P210" s="6" t="n">
        <v>68.31</v>
      </c>
      <c r="Q210" s="5" t="n"/>
      <c r="R210" s="6" t="n"/>
      <c r="S210" s="6">
        <f>IF(AND(Q210&lt;&gt;"",R210&lt;&gt;""),Q210*R210,"")</f>
        <v/>
      </c>
      <c r="T210" s="6">
        <f>IF(S210="",P210,S210)</f>
        <v/>
      </c>
      <c r="U210" s="7" t="n">
        <v>0</v>
      </c>
      <c r="V210" s="6">
        <f>$T210*U210</f>
        <v/>
      </c>
      <c r="W210" s="7" t="n">
        <v>0</v>
      </c>
      <c r="X210" s="6">
        <f>$T210*W210</f>
        <v/>
      </c>
      <c r="Y210" s="7" t="n">
        <v>0</v>
      </c>
      <c r="Z210" s="6">
        <f>$T210*Y210</f>
        <v/>
      </c>
      <c r="AA210" s="7" t="n">
        <v>0</v>
      </c>
      <c r="AB210" s="6">
        <f>$T210*AA210</f>
        <v/>
      </c>
      <c r="AC210" s="7" t="n">
        <v>0</v>
      </c>
      <c r="AD210" s="6">
        <f>$T210*AC210</f>
        <v/>
      </c>
      <c r="AE210" s="7" t="n">
        <v>0</v>
      </c>
      <c r="AF210" s="6">
        <f>$T210*AE210</f>
        <v/>
      </c>
      <c r="AG210" s="7" t="n">
        <v>0</v>
      </c>
      <c r="AH210" s="6">
        <f>$T210*AG210</f>
        <v/>
      </c>
      <c r="AI210" s="7">
        <f>U210+W210+Y210+AA210+AC210+AE210+AG210</f>
        <v/>
      </c>
      <c r="AJ210" s="6">
        <f>V210+X210+Z210+AB210+AD210+AF210+AH210</f>
        <v/>
      </c>
    </row>
    <row r="211" ht="60" customHeight="1" s="35">
      <c r="A211" s="3" t="inlineStr">
        <is>
          <t>LOM251.OC.EEA.PA01.F9740.ZA001.0250</t>
        </is>
      </c>
      <c r="B211" s="4" t="inlineStr">
        <is>
          <t>1/2</t>
        </is>
      </c>
      <c r="C211" s="3" t="inlineStr">
        <is>
          <t>IMPIANTO MECCANICO</t>
        </is>
      </c>
      <c r="D211" s="4" t="inlineStr">
        <is>
          <t>NON SPECIALE</t>
        </is>
      </c>
      <c r="E211" s="4" t="inlineStr">
        <is>
          <t>MECCANICHE</t>
        </is>
      </c>
      <c r="F211" s="3" t="inlineStr">
        <is>
          <t>2_CME_TOTALE MECCANICI RADIOFARMACIA PAVIA.PDF</t>
        </is>
      </c>
      <c r="G211" s="4" t="inlineStr">
        <is>
          <t>188/188</t>
        </is>
      </c>
      <c r="H211" s="3" t="inlineStr">
        <is>
          <t>40 - IMPIANTISTICO</t>
        </is>
      </c>
      <c r="I211" s="3" t="inlineStr">
        <is>
          <t>CENTRALE</t>
        </is>
      </c>
      <c r="J211" s="3" t="inlineStr">
        <is>
          <t>IMPIANTO HVAC</t>
        </is>
      </c>
      <c r="K211" s="3" t="inlineStr">
        <is>
          <t xml:space="preserve">OPERA: TERMOMETRO, A COLONNA; GEOMETRIA: DRITTO; FUNZIONE: MISURAZIONE TEMPERATURA; IMPIEGO: TUBAZIONE. INCLUSO: CUSTODIA; POZZETTO. </t>
        </is>
      </c>
      <c r="L211" s="3" t="inlineStr">
        <is>
          <t>OPERA: TERMOMETRO, A COLONNA; GEOMETRIA: DRITTO; FUNZIONE: MISURAZIONE TEMPERATURA; IMPIEGO: TUBAZIONE. INCLUSO: CUSTODIA; POZZETTO. 
LAVORO: INSTALLAZIONE. OP TERMOMETRO, A COLONNA; GEOMETRIA: DRITTO; FUNZIONE: MISURAZIONE TEMPERATURA; IMPIEGO: TUBAZIONE. INCLUSO: CUSTODIA; POZZETTO. 
RM TERMOMETRO A COLONNA; GEOMETRIA: DRITTO; FUNZIONE: MISURAZIONE TEMPERATURA; IMPIEGO: TUBAZIONE. INCLUSO: CUSTODIA; POZZETTO 
LV INSTALLAZIONE.</t>
        </is>
      </c>
      <c r="M211" s="4" t="inlineStr">
        <is>
          <t>CAD</t>
        </is>
      </c>
      <c r="N211" s="5" t="n">
        <v>2</v>
      </c>
      <c r="O211" s="6" t="n">
        <v>18.35</v>
      </c>
      <c r="P211" s="6" t="n">
        <v>36.7</v>
      </c>
      <c r="Q211" s="5" t="n"/>
      <c r="R211" s="6" t="n"/>
      <c r="S211" s="6">
        <f>IF(AND(Q211&lt;&gt;"",R211&lt;&gt;""),Q211*R211,"")</f>
        <v/>
      </c>
      <c r="T211" s="6">
        <f>IF(S211="",P211,S211)</f>
        <v/>
      </c>
      <c r="U211" s="7" t="n">
        <v>0</v>
      </c>
      <c r="V211" s="6">
        <f>$T211*U211</f>
        <v/>
      </c>
      <c r="W211" s="7" t="n">
        <v>0</v>
      </c>
      <c r="X211" s="6">
        <f>$T211*W211</f>
        <v/>
      </c>
      <c r="Y211" s="7" t="n">
        <v>0</v>
      </c>
      <c r="Z211" s="6">
        <f>$T211*Y211</f>
        <v/>
      </c>
      <c r="AA211" s="7" t="n">
        <v>0</v>
      </c>
      <c r="AB211" s="6">
        <f>$T211*AA211</f>
        <v/>
      </c>
      <c r="AC211" s="7" t="n">
        <v>0</v>
      </c>
      <c r="AD211" s="6">
        <f>$T211*AC211</f>
        <v/>
      </c>
      <c r="AE211" s="7" t="n">
        <v>0</v>
      </c>
      <c r="AF211" s="6">
        <f>$T211*AE211</f>
        <v/>
      </c>
      <c r="AG211" s="7" t="n">
        <v>0</v>
      </c>
      <c r="AH211" s="6">
        <f>$T211*AG211</f>
        <v/>
      </c>
      <c r="AI211" s="7">
        <f>U211+W211+Y211+AA211+AC211+AE211+AG211</f>
        <v/>
      </c>
      <c r="AJ211" s="6">
        <f>V211+X211+Z211+AB211+AD211+AF211+AH211</f>
        <v/>
      </c>
    </row>
    <row r="212" ht="60" customHeight="1" s="35">
      <c r="A212" s="3" t="inlineStr">
        <is>
          <t>LOM251.OC.EEA.PA01.F9742.ZA001.0005</t>
        </is>
      </c>
      <c r="B212" s="4" t="inlineStr">
        <is>
          <t>1/2</t>
        </is>
      </c>
      <c r="C212" s="3" t="inlineStr">
        <is>
          <t>IMPIANTO MECCANICO</t>
        </is>
      </c>
      <c r="D212" s="4" t="inlineStr">
        <is>
          <t>NON SPECIALE</t>
        </is>
      </c>
      <c r="E212" s="4" t="inlineStr">
        <is>
          <t>MECCANICHE</t>
        </is>
      </c>
      <c r="F212" s="3" t="inlineStr">
        <is>
          <t>2_CME_TOTALE MECCANICI RADIOFARMACIA PAVIA.PDF</t>
        </is>
      </c>
      <c r="G212" s="4" t="inlineStr">
        <is>
          <t>189/189</t>
        </is>
      </c>
      <c r="H212" s="3" t="inlineStr">
        <is>
          <t>40 - IMPIANTISTICO</t>
        </is>
      </c>
      <c r="I212" s="3" t="inlineStr">
        <is>
          <t>CENTRALE</t>
        </is>
      </c>
      <c r="J212" s="3" t="inlineStr">
        <is>
          <t>IMPIANTO HVAC</t>
        </is>
      </c>
      <c r="K212" s="3" t="inlineStr">
        <is>
          <t xml:space="preserve">OPERA: MANOMETRO, PER ACQUA; GEOMETRIA: QUADRANTE AD ATTACCO CENTRALE; FUNZIONE: MISURAZIONE PRESSIONE; IMPIEGO: CENTRALE IDRICA; DIAMETRO QUADRANTE (Ø) [MM] = 80. INCLUSO: INDICE DI RIFERIMENTO. </t>
        </is>
      </c>
      <c r="L212" s="3" t="inlineStr">
        <is>
          <t>OPERA: MANOMETRO, PER ACQUA; GEOMETRIA: QUADRANTE AD ATTACCO CENTRALE; FUNZIONE: MISURAZIONE PRESSIONE; IMPIEGO: CENTRALE IDRICA; DIAMETRO QUADRANTE (Ø) [MM] = 80. INCLUSO: INDICE DI RIFERIMENTO. 
LAVORO: INSTALLAZIONE. OP MANOMETRO, PER ACQUA; GEOMETRIA: QUADRANTE AD ATTACCO CENTRALE; FUNZIONE: MISURAZIONE PRESSIONE; IMPIEGO: CENTRALE IDRICA; DIAMETRO QUADRANTE (Ø) [MM] = 80. INCLUSO: INDICE DI RIFERIMENTO. 
RM MANOMETRO PER ACQUA; GEOMETRIA: QUADRANTE AD ATTACCO CENTRALE; FUNZIONE: MISURAZIONE PRESSIONE; IMPIEGO: CENTRALE IDRICA; DIAMETRO QUADRANTE (Ø) [MM] = 80. INCLUSO: INDICE DI RIFERIMENTO 
LV INSTALLAZIONE.</t>
        </is>
      </c>
      <c r="M212" s="4" t="inlineStr">
        <is>
          <t>CAD</t>
        </is>
      </c>
      <c r="N212" s="5" t="n">
        <v>2</v>
      </c>
      <c r="O212" s="6" t="n">
        <v>49.02</v>
      </c>
      <c r="P212" s="6" t="n">
        <v>98.04000000000001</v>
      </c>
      <c r="Q212" s="5" t="n"/>
      <c r="R212" s="6" t="n"/>
      <c r="S212" s="6">
        <f>IF(AND(Q212&lt;&gt;"",R212&lt;&gt;""),Q212*R212,"")</f>
        <v/>
      </c>
      <c r="T212" s="6">
        <f>IF(S212="",P212,S212)</f>
        <v/>
      </c>
      <c r="U212" s="7" t="n">
        <v>0</v>
      </c>
      <c r="V212" s="6">
        <f>$T212*U212</f>
        <v/>
      </c>
      <c r="W212" s="7" t="n">
        <v>0</v>
      </c>
      <c r="X212" s="6">
        <f>$T212*W212</f>
        <v/>
      </c>
      <c r="Y212" s="7" t="n">
        <v>0</v>
      </c>
      <c r="Z212" s="6">
        <f>$T212*Y212</f>
        <v/>
      </c>
      <c r="AA212" s="7" t="n">
        <v>0</v>
      </c>
      <c r="AB212" s="6">
        <f>$T212*AA212</f>
        <v/>
      </c>
      <c r="AC212" s="7" t="n">
        <v>0</v>
      </c>
      <c r="AD212" s="6">
        <f>$T212*AC212</f>
        <v/>
      </c>
      <c r="AE212" s="7" t="n">
        <v>0</v>
      </c>
      <c r="AF212" s="6">
        <f>$T212*AE212</f>
        <v/>
      </c>
      <c r="AG212" s="7" t="n">
        <v>0</v>
      </c>
      <c r="AH212" s="6">
        <f>$T212*AG212</f>
        <v/>
      </c>
      <c r="AI212" s="7">
        <f>U212+W212+Y212+AA212+AC212+AE212+AG212</f>
        <v/>
      </c>
      <c r="AJ212" s="6">
        <f>V212+X212+Z212+AB212+AD212+AF212+AH212</f>
        <v/>
      </c>
    </row>
    <row r="213" ht="60" customHeight="1" s="35">
      <c r="A213" s="3" t="inlineStr">
        <is>
          <t>LOM251.OC.EEA.PA02.F9730.ZA000.0755</t>
        </is>
      </c>
      <c r="B213" s="4" t="inlineStr">
        <is>
          <t>1/2</t>
        </is>
      </c>
      <c r="C213" s="3" t="inlineStr">
        <is>
          <t>IMPIANTO MECCANICO</t>
        </is>
      </c>
      <c r="D213" s="4" t="inlineStr">
        <is>
          <t>NON SPECIALE</t>
        </is>
      </c>
      <c r="E213" s="4" t="inlineStr">
        <is>
          <t>MECCANICHE</t>
        </is>
      </c>
      <c r="F213" s="3" t="inlineStr">
        <is>
          <t>2_CME_TOTALE MECCANICI RADIOFARMACIA PAVIA.PDF</t>
        </is>
      </c>
      <c r="G213" s="4" t="inlineStr">
        <is>
          <t>190/190</t>
        </is>
      </c>
      <c r="H213" s="3" t="inlineStr">
        <is>
          <t>40 - IMPIANTISTICO</t>
        </is>
      </c>
      <c r="I213" s="3" t="inlineStr">
        <is>
          <t>CENTRALE</t>
        </is>
      </c>
      <c r="J213" s="3" t="inlineStr">
        <is>
          <t>IMPIANTO HVAC</t>
        </is>
      </c>
      <c r="K213" s="3" t="inlineStr">
        <is>
          <t>OPERA: VALVOLA, AUTOMATICA DI MATERIALE GENERICO; GEOMETRIA: ATTACCHI A SQUADRA | ATTACCHI A SQUADRA | SFOGO ARIA; DIAMETRO NOMINALE (Ø) [MM] = 20; PRESSIONE MASSIMA DI ESERCIZIO [BAR] = 10 | TEMPERAT</t>
        </is>
      </c>
      <c r="L213" s="3" t="inlineStr">
        <is>
          <t>OPERA: VALVOLA, AUTOMATICA DI MATERIALE GENERICO; GEOMETRIA: ATTACCHI A SQUADRA | ATTACCHI A SQUADRA | SFOGO ARIA; DIAMETRO NOMINALE (Ø) [MM] = 20; PRESSIONE MASSIMA DI ESERCIZIO [BAR] = 10 | TEMPERATURA DI ESERCIZIO [°C] = 110. 
LAVORO: POSA. OP VALVOLA, AUTOMATICA DI MATERIALE GENERICO; GEOMETRIA: ATTACCHI A SQUADRA | ATTACCHI A SQUADRA | SFOGO ARIA; DIAMETRO NOMINALE (Ø) [MM] = 20; PRESSIONE MASSIMA DI ESERCIZIO [BAR] = 10 | TEMPERATURA DI ESERCIZIO [°C] = 110. 
RM VALVOLA AUTOMATICA DI MATERIALE GENERICO; GEOMETRIA: ATTACCHI A SQUADRA | ATTACCHI A SQUADRA | SFOGO ARIA; DIAMETRO NOMINALE (Ø) [MM] = 20; PRESSIONE MASSIMA DI ESERCIZIO [BAR] = 10 | TEMPERATURA DI ESERCIZIO [°C] = 110 
LV POSA.</t>
        </is>
      </c>
      <c r="M213" s="4" t="inlineStr">
        <is>
          <t>CAD</t>
        </is>
      </c>
      <c r="N213" s="5" t="n">
        <v>2</v>
      </c>
      <c r="O213" s="6" t="n">
        <v>36.31</v>
      </c>
      <c r="P213" s="6" t="n">
        <v>72.62</v>
      </c>
      <c r="Q213" s="5" t="n"/>
      <c r="R213" s="6" t="n"/>
      <c r="S213" s="6">
        <f>IF(AND(Q213&lt;&gt;"",R213&lt;&gt;""),Q213*R213,"")</f>
        <v/>
      </c>
      <c r="T213" s="6">
        <f>IF(S213="",P213,S213)</f>
        <v/>
      </c>
      <c r="U213" s="7" t="n">
        <v>0</v>
      </c>
      <c r="V213" s="6">
        <f>$T213*U213</f>
        <v/>
      </c>
      <c r="W213" s="7" t="n">
        <v>0</v>
      </c>
      <c r="X213" s="6">
        <f>$T213*W213</f>
        <v/>
      </c>
      <c r="Y213" s="7" t="n">
        <v>0</v>
      </c>
      <c r="Z213" s="6">
        <f>$T213*Y213</f>
        <v/>
      </c>
      <c r="AA213" s="7" t="n">
        <v>0</v>
      </c>
      <c r="AB213" s="6">
        <f>$T213*AA213</f>
        <v/>
      </c>
      <c r="AC213" s="7" t="n">
        <v>0</v>
      </c>
      <c r="AD213" s="6">
        <f>$T213*AC213</f>
        <v/>
      </c>
      <c r="AE213" s="7" t="n">
        <v>0</v>
      </c>
      <c r="AF213" s="6">
        <f>$T213*AE213</f>
        <v/>
      </c>
      <c r="AG213" s="7" t="n">
        <v>0</v>
      </c>
      <c r="AH213" s="6">
        <f>$T213*AG213</f>
        <v/>
      </c>
      <c r="AI213" s="7">
        <f>U213+W213+Y213+AA213+AC213+AE213+AG213</f>
        <v/>
      </c>
      <c r="AJ213" s="6">
        <f>V213+X213+Z213+AB213+AD213+AF213+AH213</f>
        <v/>
      </c>
    </row>
    <row r="214" ht="60" customHeight="1" s="35">
      <c r="A214" s="3" t="inlineStr">
        <is>
          <t>LOM251.OC.EEA.PA01.I0005.ZA001.0000</t>
        </is>
      </c>
      <c r="B214" s="4" t="inlineStr">
        <is>
          <t>1/2</t>
        </is>
      </c>
      <c r="C214" s="3" t="inlineStr">
        <is>
          <t>IMPIANTO MECCANICO</t>
        </is>
      </c>
      <c r="D214" s="4" t="inlineStr">
        <is>
          <t>NON SPECIALE</t>
        </is>
      </c>
      <c r="E214" s="4" t="inlineStr">
        <is>
          <t>MECCANICHE</t>
        </is>
      </c>
      <c r="F214" s="3" t="inlineStr">
        <is>
          <t>2_CME_TOTALE MECCANICI RADIOFARMACIA PAVIA.PDF</t>
        </is>
      </c>
      <c r="G214" s="4" t="inlineStr">
        <is>
          <t>191/191</t>
        </is>
      </c>
      <c r="H214" s="3" t="inlineStr">
        <is>
          <t>40 - IMPIANTISTICO</t>
        </is>
      </c>
      <c r="I214" s="3" t="inlineStr">
        <is>
          <t>CENTRALE</t>
        </is>
      </c>
      <c r="J214" s="3" t="inlineStr">
        <is>
          <t>IMPIANTO HVAC</t>
        </is>
      </c>
      <c r="K214" s="3" t="inlineStr">
        <is>
          <t xml:space="preserve">OPERA: GRUPPO DI RIEMPIMENTO; FUNZIONE: STABILIZZAZIONE DELLA PRESSIONE; IMPIEGO: IMPIANTO DI RISCALDAMENTO A CIRCUITO CHIUSO; DIAMETRO NOMINALE (Ø) [MM] = 15; PRESSIONE MASSIMA IN ENTRATA [BAR] = 16 </t>
        </is>
      </c>
      <c r="L214" s="3" t="inlineStr">
        <is>
          <t>OPERA: GRUPPO DI RIEMPIMENTO; FUNZIONE: STABILIZZAZIONE DELLA PRESSIONE; IMPIEGO: IMPIANTO DI RISCALDAMENTO A CIRCUITO CHIUSO; DIAMETRO NOMINALE (Ø) [MM] = 15; PRESSIONE MASSIMA IN ENTRATA [BAR] = 16 | CAMPO DI REGOLAZIONE [BAR] = 0,3 ÷ 0,4 | ERRORE VALORE MAX. INCLUSO: RUBINETTO; FILTRO; VALVOLA DI NON RITORNO; MANOMETRO. 
LAVORO: INSTALLAZIONE. OP GRUPPO DI RIEMPIMENTO; FUNZIONE: STABILIZZAZIONE DELLA PRESSIONE; IMPIEGO: IMPIANTO DI RISCALDAMENTO A CIRCUITO CHIUSO; DIAMETRO NOMINALE (Ø) [MM] = 15; PRESSIONE MASSIMA IN ENTRATA [BAR] = 16 | CAMPO DI REGOLAZIONE [BAR] = 0,3 ÷ 0,4 | ERRORE VALORE MAX. INCLUSO: RUBINETTO; FILTRO; VALVOLA DI NON RITORNO; MANOMETRO. 
RM GRUPPO DI RIEMPIMENTO; FUNZIONE: STABILIZZAZIONE DELLA PRESSIONE; IMPIEGO: IMPIANTO DI RISCALDAMENTO A CIRCUITO CHIUSO; DIAMETRO NOMINALE (Ø) [MM] = 15; PRESSIONE MASSIMA IN ENTRATA [BAR] = 16 | CAMPO DI REGOLAZIONE [BAR] = 0,3 ÷ 0,4 | TEMPERATURA MASSIMA DI ESERCIZIO [°C] = 70. INCLUSO: RUBINETTO; FILTRO; VALVOLA DI NON RITORNO; MANOMETRO 
LV INSTALLAZIONE.</t>
        </is>
      </c>
      <c r="M214" s="4" t="inlineStr">
        <is>
          <t>CAD</t>
        </is>
      </c>
      <c r="N214" s="5" t="n">
        <v>0.2</v>
      </c>
      <c r="O214" s="6" t="n">
        <v>121.44</v>
      </c>
      <c r="P214" s="6" t="n">
        <v>24.29</v>
      </c>
      <c r="Q214" s="5" t="n"/>
      <c r="R214" s="6" t="n"/>
      <c r="S214" s="6">
        <f>IF(AND(Q214&lt;&gt;"",R214&lt;&gt;""),Q214*R214,"")</f>
        <v/>
      </c>
      <c r="T214" s="6">
        <f>IF(S214="",P214,S214)</f>
        <v/>
      </c>
      <c r="U214" s="7" t="n">
        <v>0</v>
      </c>
      <c r="V214" s="6">
        <f>$T214*U214</f>
        <v/>
      </c>
      <c r="W214" s="7" t="n">
        <v>0</v>
      </c>
      <c r="X214" s="6">
        <f>$T214*W214</f>
        <v/>
      </c>
      <c r="Y214" s="7" t="n">
        <v>0</v>
      </c>
      <c r="Z214" s="6">
        <f>$T214*Y214</f>
        <v/>
      </c>
      <c r="AA214" s="7" t="n">
        <v>0</v>
      </c>
      <c r="AB214" s="6">
        <f>$T214*AA214</f>
        <v/>
      </c>
      <c r="AC214" s="7" t="n">
        <v>0</v>
      </c>
      <c r="AD214" s="6">
        <f>$T214*AC214</f>
        <v/>
      </c>
      <c r="AE214" s="7" t="n">
        <v>0</v>
      </c>
      <c r="AF214" s="6">
        <f>$T214*AE214</f>
        <v/>
      </c>
      <c r="AG214" s="7" t="n">
        <v>0</v>
      </c>
      <c r="AH214" s="6">
        <f>$T214*AG214</f>
        <v/>
      </c>
      <c r="AI214" s="7">
        <f>U214+W214+Y214+AA214+AC214+AE214+AG214</f>
        <v/>
      </c>
      <c r="AJ214" s="6">
        <f>V214+X214+Z214+AB214+AD214+AF214+AH214</f>
        <v/>
      </c>
    </row>
    <row r="215" ht="60" customHeight="1" s="35">
      <c r="A215" s="3" t="inlineStr">
        <is>
          <t>LOM251.OC.EEA.PA01.F9736.ZA001.0005</t>
        </is>
      </c>
      <c r="B215" s="4" t="inlineStr">
        <is>
          <t>1/2</t>
        </is>
      </c>
      <c r="C215" s="3" t="inlineStr">
        <is>
          <t>IMPIANTO MECCANICO</t>
        </is>
      </c>
      <c r="D215" s="4" t="inlineStr">
        <is>
          <t>NON SPECIALE</t>
        </is>
      </c>
      <c r="E215" s="4" t="inlineStr">
        <is>
          <t>MECCANICHE</t>
        </is>
      </c>
      <c r="F215" s="3" t="inlineStr">
        <is>
          <t>2_CME_TOTALE MECCANICI RADIOFARMACIA PAVIA.PDF</t>
        </is>
      </c>
      <c r="G215" s="4" t="inlineStr">
        <is>
          <t>192/192</t>
        </is>
      </c>
      <c r="H215" s="3" t="inlineStr">
        <is>
          <t>40 - IMPIANTISTICO</t>
        </is>
      </c>
      <c r="I215" s="3" t="inlineStr">
        <is>
          <t>CENTRALE</t>
        </is>
      </c>
      <c r="J215" s="3" t="inlineStr">
        <is>
          <t>IMPIANTO HVAC</t>
        </is>
      </c>
      <c r="K215" s="3" t="inlineStr">
        <is>
          <t xml:space="preserve">OPERA: ADDOLCITORE D'ACQUA, RIGENERAZIONE A TEMPO; GEOMETRIA: 1 COLONNA; FUNZIONE: TRATTAMENTO ACQUA; PORTATA MASSIMA [M³/H] = 3,5 | CAPACITÀ DI SCAMBIO MINIMA [M³*°F] = 350. INCLUSO: DISPOSITIVO PER </t>
        </is>
      </c>
      <c r="L215" s="3" t="inlineStr">
        <is>
          <t>OPERA: ADDOLCITORE D'ACQUA, RIGENERAZIONE A TEMPO; GEOMETRIA: 1 COLONNA; FUNZIONE: TRATTAMENTO ACQUA; PORTATA MASSIMA [M³/H] = 3,5 | CAPACITÀ DI SCAMBIO MINIMA [M³*°F] = 350. INCLUSO: DISPOSITIVO PER RIGENERAZIONE AUTOMATICA A TEMPO; SERBATOIO SALAMOIA CON ACCESSORI, RESINE E SALE PER PRIMA RIGENERAZIONE. 
LAVORO: INSTALLAZIONE. 
SPECIFICHE TECNICHE: A SCAMBIO DI IONI; COSTRUITO IN MATERIALI RESISTENTI ALLA CORROSIONE E ADATTI PER USO ALIMENTARE. OP ADDOLCITORE D'ACQUA, RIGENERAZIONE A TEMPO; GEOMETRIA: 1 COLONNA; FUNZIONE: TRATTAMENTO ACQUA; PORTATA MASSIMA [M³/H] = 3,5 | CAPACITÀ DI SCAMBIO MINIMA [M³*°F] = 350. INCLUSO: DISPOSITIVO PER RIGENERAZIONE AUTOMATICA A TEMPO; SERBATOIO SALAMOIA CON ACCESSORI, RESINE E SALE PER PRIMA RIGENERAZIONE. 
SPECIFICHE TECNICHE: A SCAMBIO DI IONI; COSTRUITO IN MATERIALI RESISTENTI ALLA CORROSIONE E ADATTI PER USO ALIMENTARE. 
RM ADDOLCITORE D'ACQUA RIGENERAZIONE A TEMPO; GEOMETRIA: 1 COLONNA; FUNZIONE: TRATTAMENTO ACQUA; IMPIEGO: CENTRALE IDRICA; PORTATA MASSIMA [M³/H] = 3,5 | CAPACITÀ DI SCAMBIO MINIMA [M³*°F] = 350. INCLUSO: DISPOSITIVO PER RIGENERAZIONE AUTOMATICA A TEMPO; SERBATOIO SALAMOIA CON ACCESSORI, RESINE E SALE PER PRIMA RIGENERAZIONE 
SPECIFICHE TECNICHE: A SCAMBIO DI IONI; COSTRUITO IN MATERIALI RESISTENTI ALLA CORROSIONE E ADATTI PER USO ALIMENTARE 
LV INSTALLAZIONE.</t>
        </is>
      </c>
      <c r="M215" s="4" t="inlineStr">
        <is>
          <t>CAD</t>
        </is>
      </c>
      <c r="N215" s="5" t="n">
        <v>0.2</v>
      </c>
      <c r="O215" s="6" t="n">
        <v>6856.3</v>
      </c>
      <c r="P215" s="6" t="n">
        <v>1371.26</v>
      </c>
      <c r="Q215" s="5" t="n"/>
      <c r="R215" s="6" t="n"/>
      <c r="S215" s="6">
        <f>IF(AND(Q215&lt;&gt;"",R215&lt;&gt;""),Q215*R215,"")</f>
        <v/>
      </c>
      <c r="T215" s="6">
        <f>IF(S215="",P215,S215)</f>
        <v/>
      </c>
      <c r="U215" s="7" t="n">
        <v>0</v>
      </c>
      <c r="V215" s="6">
        <f>$T215*U215</f>
        <v/>
      </c>
      <c r="W215" s="7" t="n">
        <v>0</v>
      </c>
      <c r="X215" s="6">
        <f>$T215*W215</f>
        <v/>
      </c>
      <c r="Y215" s="7" t="n">
        <v>0</v>
      </c>
      <c r="Z215" s="6">
        <f>$T215*Y215</f>
        <v/>
      </c>
      <c r="AA215" s="7" t="n">
        <v>0</v>
      </c>
      <c r="AB215" s="6">
        <f>$T215*AA215</f>
        <v/>
      </c>
      <c r="AC215" s="7" t="n">
        <v>0</v>
      </c>
      <c r="AD215" s="6">
        <f>$T215*AC215</f>
        <v/>
      </c>
      <c r="AE215" s="7" t="n">
        <v>0</v>
      </c>
      <c r="AF215" s="6">
        <f>$T215*AE215</f>
        <v/>
      </c>
      <c r="AG215" s="7" t="n">
        <v>0</v>
      </c>
      <c r="AH215" s="6">
        <f>$T215*AG215</f>
        <v/>
      </c>
      <c r="AI215" s="7">
        <f>U215+W215+Y215+AA215+AC215+AE215+AG215</f>
        <v/>
      </c>
      <c r="AJ215" s="6">
        <f>V215+X215+Z215+AB215+AD215+AF215+AH215</f>
        <v/>
      </c>
    </row>
    <row r="216" ht="60" customHeight="1" s="35">
      <c r="A216" s="3" t="inlineStr">
        <is>
          <t>DEI_IT_025255B</t>
        </is>
      </c>
      <c r="B216" s="4" t="inlineStr">
        <is>
          <t>1/1</t>
        </is>
      </c>
      <c r="C216" s="3" t="inlineStr">
        <is>
          <t>IMPIANTO MECCANICO</t>
        </is>
      </c>
      <c r="D216" s="4" t="inlineStr">
        <is>
          <t>NON SPECIALE</t>
        </is>
      </c>
      <c r="E216" s="4" t="inlineStr">
        <is>
          <t>MECCANICHE</t>
        </is>
      </c>
      <c r="F216" s="3" t="inlineStr">
        <is>
          <t>2_CME_TOTALE MECCANICI RADIOFARMACIA PAVIA.PDF</t>
        </is>
      </c>
      <c r="G216" s="4" t="inlineStr">
        <is>
          <t>194/194</t>
        </is>
      </c>
      <c r="H216" s="3" t="inlineStr">
        <is>
          <t>40 - IMPIANTISTICO</t>
        </is>
      </c>
      <c r="I216" s="3" t="inlineStr">
        <is>
          <t>CENTRALE</t>
        </is>
      </c>
      <c r="J216" s="3" t="inlineStr">
        <is>
          <t>IMPIANTO IIS E FOGNA</t>
        </is>
      </c>
      <c r="K216" s="3" t="inlineStr">
        <is>
          <t>CIRCOLATORE AD ALTA EFFICIENZA (EEI &lt;0,2) REGOLATA ELETTRONICAMENTE A ROTORE BAGNATO CON ATTACCO A BOCCHETTONI, CORPO IN GHISA GRIGIA, ALIMENTAZIONE ELETTRICA MONOFASE, IDONEO PER IMPIANTI DI RISCALDA</t>
        </is>
      </c>
      <c r="L216" s="3" t="inlineStr">
        <is>
          <t>CIRCOLATORE AD ALTA EFFICIENZA (EEI &lt;0,2) REGOLATA ELETTRONICAMENTE A ROTORE BAGNATO CON ATTACCO A BOCCHETTONI, CORPO IN GHISA GRIGIA, ALIMENTAZIONE ELETTRICA MONOFASE, IDONEO PER IMPIANTI DI RISCALDAMENTO E CONDIZIONAMENTO (TEMPERATURA LIQUIDO -10 °C ÷ +110 °C) PRESSIONE DI ESERCIZIO 6 BAR, GRADO DI PROTEZIONE IP 44, CLASSE DI ISOLAMENTO F, COMPRESI ACCESSORI DI MONTAGGIO, ESCLUSO IL COLLEGAMENTO ELETTRICO: INTERASSE 130 MM, Ø ATTACCHI 1/2", PORTATA 0 ÷ 3,5 MC/H, PREVALENZA 1 ÷ 6 M</t>
        </is>
      </c>
      <c r="M216" s="4" t="inlineStr">
        <is>
          <t>CAD</t>
        </is>
      </c>
      <c r="N216" s="5" t="n">
        <v>1</v>
      </c>
      <c r="O216" s="6" t="n">
        <v>598.86</v>
      </c>
      <c r="P216" s="6" t="n">
        <v>598.86</v>
      </c>
      <c r="Q216" s="5" t="n"/>
      <c r="R216" s="6" t="n"/>
      <c r="S216" s="6">
        <f>IF(AND(Q216&lt;&gt;"",R216&lt;&gt;""),Q216*R216,"")</f>
        <v/>
      </c>
      <c r="T216" s="6">
        <f>IF(S216="",P216,S216)</f>
        <v/>
      </c>
      <c r="U216" s="7" t="n">
        <v>0</v>
      </c>
      <c r="V216" s="6">
        <f>$T216*U216</f>
        <v/>
      </c>
      <c r="W216" s="7" t="n">
        <v>0</v>
      </c>
      <c r="X216" s="6">
        <f>$T216*W216</f>
        <v/>
      </c>
      <c r="Y216" s="7" t="n">
        <v>0</v>
      </c>
      <c r="Z216" s="6">
        <f>$T216*Y216</f>
        <v/>
      </c>
      <c r="AA216" s="7" t="n">
        <v>0</v>
      </c>
      <c r="AB216" s="6">
        <f>$T216*AA216</f>
        <v/>
      </c>
      <c r="AC216" s="7" t="n">
        <v>0</v>
      </c>
      <c r="AD216" s="6">
        <f>$T216*AC216</f>
        <v/>
      </c>
      <c r="AE216" s="7" t="n">
        <v>0</v>
      </c>
      <c r="AF216" s="6">
        <f>$T216*AE216</f>
        <v/>
      </c>
      <c r="AG216" s="7" t="n">
        <v>0</v>
      </c>
      <c r="AH216" s="6">
        <f>$T216*AG216</f>
        <v/>
      </c>
      <c r="AI216" s="7">
        <f>U216+W216+Y216+AA216+AC216+AE216+AG216</f>
        <v/>
      </c>
      <c r="AJ216" s="6">
        <f>V216+X216+Z216+AB216+AD216+AF216+AH216</f>
        <v/>
      </c>
    </row>
    <row r="217" ht="60" customHeight="1" s="35">
      <c r="A217" s="3" t="inlineStr">
        <is>
          <t>DEI_IT_015002B</t>
        </is>
      </c>
      <c r="B217" s="4" t="inlineStr">
        <is>
          <t>2/5</t>
        </is>
      </c>
      <c r="C217" s="3" t="inlineStr">
        <is>
          <t>IMPIANTO MECCANICO</t>
        </is>
      </c>
      <c r="D217" s="4" t="inlineStr">
        <is>
          <t>NON SPECIALE</t>
        </is>
      </c>
      <c r="E217" s="4" t="inlineStr">
        <is>
          <t>MECCANICHE</t>
        </is>
      </c>
      <c r="F217" s="3" t="inlineStr">
        <is>
          <t>2_CME_TOTALE MECCANICI RADIOFARMACIA PAVIA.PDF</t>
        </is>
      </c>
      <c r="G217" s="4" t="inlineStr">
        <is>
          <t>195/195</t>
        </is>
      </c>
      <c r="H217" s="3" t="inlineStr">
        <is>
          <t>40 - IMPIANTISTICO</t>
        </is>
      </c>
      <c r="I217" s="3" t="inlineStr">
        <is>
          <t>CENTRALE</t>
        </is>
      </c>
      <c r="J217" s="3" t="inlineStr">
        <is>
          <t>IMPIANTO IIS E FOGNA</t>
        </is>
      </c>
      <c r="K217" s="3" t="inlineStr">
        <is>
          <t>TUBO IN ACCIAIO SENZA SALDATURA A NORMA UNI EN 10255, ZINCATO A CALDO A NORMA EN 10240-A1 ED AL DM MINISTERO DELLA SALUTE 6/4/2004 N. 174, FILETTATO E CON MANICOTTO, LAVORATO E POSTO IN OPERA (SINO AD</t>
        </is>
      </c>
      <c r="L217" s="3" t="inlineStr">
        <is>
          <t>TUBO IN ACCIAIO SENZA SALDATURA A NORMA UNI EN 10255, ZINCATO A CALDO A NORMA EN 10240-A1 ED AL DM MINISTERO DELLA SALUTE 6/4/2004 N. 174, FILETTATO E CON MANICOTTO, LAVORATO E POSTO IN OPERA (SINO AD UN'ALTEZZA DI 3,00 M DAL PIANO DI LAVORO) TAGLIATO A MISURA, COMPRESE EVENTUALI CRAVATTE A MURO, VERNICIATURA, SALDATURA E QUANTO ALTRO NECESSARIO PER DARE IL LAVORO FINITO A REGOLA D'ARTE, ESCLUSI GLI SCAVI, RINTERRI, TRACCE E RACCORDERIA: SERIE MEDIA: Ø INTERNO 1/2", SPESSORE 2,6 MM</t>
        </is>
      </c>
      <c r="M217" s="4" t="inlineStr">
        <is>
          <t>M</t>
        </is>
      </c>
      <c r="N217" s="5" t="n">
        <v>36</v>
      </c>
      <c r="O217" s="6" t="n">
        <v>26.16</v>
      </c>
      <c r="P217" s="6" t="n">
        <v>941.76</v>
      </c>
      <c r="Q217" s="5" t="n"/>
      <c r="R217" s="6" t="n"/>
      <c r="S217" s="6">
        <f>IF(AND(Q217&lt;&gt;"",R217&lt;&gt;""),Q217*R217,"")</f>
        <v/>
      </c>
      <c r="T217" s="6">
        <f>IF(S217="",P217,S217)</f>
        <v/>
      </c>
      <c r="U217" s="7" t="n">
        <v>0</v>
      </c>
      <c r="V217" s="6">
        <f>$T217*U217</f>
        <v/>
      </c>
      <c r="W217" s="7" t="n">
        <v>0</v>
      </c>
      <c r="X217" s="6">
        <f>$T217*W217</f>
        <v/>
      </c>
      <c r="Y217" s="7" t="n">
        <v>0</v>
      </c>
      <c r="Z217" s="6">
        <f>$T217*Y217</f>
        <v/>
      </c>
      <c r="AA217" s="7" t="n">
        <v>0</v>
      </c>
      <c r="AB217" s="6">
        <f>$T217*AA217</f>
        <v/>
      </c>
      <c r="AC217" s="7" t="n">
        <v>0</v>
      </c>
      <c r="AD217" s="6">
        <f>$T217*AC217</f>
        <v/>
      </c>
      <c r="AE217" s="7" t="n">
        <v>0</v>
      </c>
      <c r="AF217" s="6">
        <f>$T217*AE217</f>
        <v/>
      </c>
      <c r="AG217" s="7" t="n">
        <v>0</v>
      </c>
      <c r="AH217" s="6">
        <f>$T217*AG217</f>
        <v/>
      </c>
      <c r="AI217" s="7">
        <f>U217+W217+Y217+AA217+AC217+AE217+AG217</f>
        <v/>
      </c>
      <c r="AJ217" s="6">
        <f>V217+X217+Z217+AB217+AD217+AF217+AH217</f>
        <v/>
      </c>
    </row>
    <row r="218" ht="60" customHeight="1" s="35">
      <c r="A218" s="3" t="inlineStr">
        <is>
          <t>DEI_IT_015002C</t>
        </is>
      </c>
      <c r="B218" s="4" t="inlineStr">
        <is>
          <t>1/4</t>
        </is>
      </c>
      <c r="C218" s="3" t="inlineStr">
        <is>
          <t>IMPIANTO MECCANICO</t>
        </is>
      </c>
      <c r="D218" s="4" t="inlineStr">
        <is>
          <t>NON SPECIALE</t>
        </is>
      </c>
      <c r="E218" s="4" t="inlineStr">
        <is>
          <t>MECCANICHE</t>
        </is>
      </c>
      <c r="F218" s="3" t="inlineStr">
        <is>
          <t>2_CME_TOTALE MECCANICI RADIOFARMACIA PAVIA.PDF</t>
        </is>
      </c>
      <c r="G218" s="4" t="inlineStr">
        <is>
          <t>196/196</t>
        </is>
      </c>
      <c r="H218" s="3" t="inlineStr">
        <is>
          <t>40 - IMPIANTISTICO</t>
        </is>
      </c>
      <c r="I218" s="3" t="inlineStr">
        <is>
          <t>CENTRALE</t>
        </is>
      </c>
      <c r="J218" s="3" t="inlineStr">
        <is>
          <t>IMPIANTO IIS E FOGNA</t>
        </is>
      </c>
      <c r="K218" s="3" t="inlineStr">
        <is>
          <t>TUBO IN ACCIAIO SENZA SALDATURA A NORMA UNI EN 10255, ZINCATO A CALDO A NORMA EN 10240-A1 ED AL DM MINISTERO DELLA SALUTE 6/4/2004 N. 174, FILETTATO E CON MANICOTTO, LAVORATO E POSTO IN OPERA (SINO AD</t>
        </is>
      </c>
      <c r="L218" s="3" t="inlineStr">
        <is>
          <t>TUBO IN ACCIAIO SENZA SALDATURA A NORMA UNI EN 10255, ZINCATO A CALDO A NORMA EN 10240-A1 ED AL DM MINISTERO DELLA SALUTE 6/4/2004 N. 174, FILETTATO E CON MANICOTTO, LAVORATO E POSTO IN OPERA (SINO AD UN'ALTEZZA DI 3,00 M DAL PIANO DI LAVORO) TAGLIATO A MISURA, COMPRESE EVENTUALI CRAVATTE A MURO, VERNICIATURA, SALDATURA E QUANTO ALTRO NECESSARIO PER DARE IL LAVORO FINITO A REGOLA D'ARTE, ESCLUSI GLI SCAVI, RINTERRI, TRACCE E RACCORDERIA: SERIE MEDIA: Ø INTERNO 3/4", SPESSORE 2,6 MM</t>
        </is>
      </c>
      <c r="M218" s="4" t="inlineStr">
        <is>
          <t>M</t>
        </is>
      </c>
      <c r="N218" s="5" t="n">
        <v>8</v>
      </c>
      <c r="O218" s="6" t="n">
        <v>29.83</v>
      </c>
      <c r="P218" s="6" t="n">
        <v>238.64</v>
      </c>
      <c r="Q218" s="5" t="n"/>
      <c r="R218" s="6" t="n"/>
      <c r="S218" s="6">
        <f>IF(AND(Q218&lt;&gt;"",R218&lt;&gt;""),Q218*R218,"")</f>
        <v/>
      </c>
      <c r="T218" s="6">
        <f>IF(S218="",P218,S218)</f>
        <v/>
      </c>
      <c r="U218" s="7" t="n">
        <v>0</v>
      </c>
      <c r="V218" s="6">
        <f>$T218*U218</f>
        <v/>
      </c>
      <c r="W218" s="7" t="n">
        <v>0</v>
      </c>
      <c r="X218" s="6">
        <f>$T218*W218</f>
        <v/>
      </c>
      <c r="Y218" s="7" t="n">
        <v>0</v>
      </c>
      <c r="Z218" s="6">
        <f>$T218*Y218</f>
        <v/>
      </c>
      <c r="AA218" s="7" t="n">
        <v>0</v>
      </c>
      <c r="AB218" s="6">
        <f>$T218*AA218</f>
        <v/>
      </c>
      <c r="AC218" s="7" t="n">
        <v>0</v>
      </c>
      <c r="AD218" s="6">
        <f>$T218*AC218</f>
        <v/>
      </c>
      <c r="AE218" s="7" t="n">
        <v>0</v>
      </c>
      <c r="AF218" s="6">
        <f>$T218*AE218</f>
        <v/>
      </c>
      <c r="AG218" s="7" t="n">
        <v>0</v>
      </c>
      <c r="AH218" s="6">
        <f>$T218*AG218</f>
        <v/>
      </c>
      <c r="AI218" s="7">
        <f>U218+W218+Y218+AA218+AC218+AE218+AG218</f>
        <v/>
      </c>
      <c r="AJ218" s="6">
        <f>V218+X218+Z218+AB218+AD218+AF218+AH218</f>
        <v/>
      </c>
    </row>
    <row r="219" ht="60" customHeight="1" s="35">
      <c r="A219" s="3" t="inlineStr">
        <is>
          <t>DEI_IT_015002D</t>
        </is>
      </c>
      <c r="B219" s="4" t="inlineStr">
        <is>
          <t>1/4</t>
        </is>
      </c>
      <c r="C219" s="3" t="inlineStr">
        <is>
          <t>IMPIANTO MECCANICO</t>
        </is>
      </c>
      <c r="D219" s="4" t="inlineStr">
        <is>
          <t>NON SPECIALE</t>
        </is>
      </c>
      <c r="E219" s="4" t="inlineStr">
        <is>
          <t>MECCANICHE</t>
        </is>
      </c>
      <c r="F219" s="3" t="inlineStr">
        <is>
          <t>2_CME_TOTALE MECCANICI RADIOFARMACIA PAVIA.PDF</t>
        </is>
      </c>
      <c r="G219" s="4" t="inlineStr">
        <is>
          <t>197/197</t>
        </is>
      </c>
      <c r="H219" s="3" t="inlineStr">
        <is>
          <t>40 - IMPIANTISTICO</t>
        </is>
      </c>
      <c r="I219" s="3" t="inlineStr">
        <is>
          <t>CENTRALE</t>
        </is>
      </c>
      <c r="J219" s="3" t="inlineStr">
        <is>
          <t>IMPIANTO IIS E FOGNA</t>
        </is>
      </c>
      <c r="K219" s="3" t="inlineStr">
        <is>
          <t>TUBO IN ACCIAIO SENZA SALDATURA A NORMA UNI EN 10255, ZINCATO A CALDO A NORMA EN 10240-A1 ED AL DM MINISTERO DELLA SALUTE 6/4/2004 N. 174, FILETTATO E CON MANICOTTO, LAVORATO E POSTO IN OPERA (SINO AD</t>
        </is>
      </c>
      <c r="L219" s="3" t="inlineStr">
        <is>
          <t>TUBO IN ACCIAIO SENZA SALDATURA A NORMA UNI EN 10255, ZINCATO A CALDO A NORMA EN 10240-A1 ED AL DM MINISTERO DELLA SALUTE 6/4/2004 N. 174, FILETTATO E CON MANICOTTO, LAVORATO E POSTO IN OPERA (SINO AD UN'ALTEZZA DI 3,00 M DAL PIANO DI LAVORO) TAGLIATO A MISURA, COMPRESE EVENTUALI CRAVATTE A MURO, VERNICIATURA, SALDATURA E QUANTO ALTRO NECESSARIO PER DARE IL LAVORO FINITO A REGOLA D'ARTE, ESCLUSI GLI SCAVI, RINTERRI, TRACCE E RACCORDERIA: SERIE MEDIA: Ø INTERNO 1", SPESSORE 3,2 MM</t>
        </is>
      </c>
      <c r="M219" s="4" t="inlineStr">
        <is>
          <t>M</t>
        </is>
      </c>
      <c r="N219" s="5" t="n">
        <v>4</v>
      </c>
      <c r="O219" s="6" t="n">
        <v>33.52</v>
      </c>
      <c r="P219" s="6" t="n">
        <v>134.08</v>
      </c>
      <c r="Q219" s="5" t="n"/>
      <c r="R219" s="6" t="n"/>
      <c r="S219" s="6">
        <f>IF(AND(Q219&lt;&gt;"",R219&lt;&gt;""),Q219*R219,"")</f>
        <v/>
      </c>
      <c r="T219" s="6">
        <f>IF(S219="",P219,S219)</f>
        <v/>
      </c>
      <c r="U219" s="7" t="n">
        <v>0</v>
      </c>
      <c r="V219" s="6">
        <f>$T219*U219</f>
        <v/>
      </c>
      <c r="W219" s="7" t="n">
        <v>0</v>
      </c>
      <c r="X219" s="6">
        <f>$T219*W219</f>
        <v/>
      </c>
      <c r="Y219" s="7" t="n">
        <v>0</v>
      </c>
      <c r="Z219" s="6">
        <f>$T219*Y219</f>
        <v/>
      </c>
      <c r="AA219" s="7" t="n">
        <v>0</v>
      </c>
      <c r="AB219" s="6">
        <f>$T219*AA219</f>
        <v/>
      </c>
      <c r="AC219" s="7" t="n">
        <v>0</v>
      </c>
      <c r="AD219" s="6">
        <f>$T219*AC219</f>
        <v/>
      </c>
      <c r="AE219" s="7" t="n">
        <v>0</v>
      </c>
      <c r="AF219" s="6">
        <f>$T219*AE219</f>
        <v/>
      </c>
      <c r="AG219" s="7" t="n">
        <v>0</v>
      </c>
      <c r="AH219" s="6">
        <f>$T219*AG219</f>
        <v/>
      </c>
      <c r="AI219" s="7">
        <f>U219+W219+Y219+AA219+AC219+AE219+AG219</f>
        <v/>
      </c>
      <c r="AJ219" s="6">
        <f>V219+X219+Z219+AB219+AD219+AF219+AH219</f>
        <v/>
      </c>
    </row>
    <row r="220" ht="60" customHeight="1" s="35">
      <c r="A220" s="3" t="inlineStr">
        <is>
          <t>LOM251.OC.EEA.PA02.I1500.E0011.0135</t>
        </is>
      </c>
      <c r="B220" s="4" t="inlineStr">
        <is>
          <t>2/3</t>
        </is>
      </c>
      <c r="C220" s="3" t="inlineStr">
        <is>
          <t>IMPIANTO MECCANICO</t>
        </is>
      </c>
      <c r="D220" s="4" t="inlineStr">
        <is>
          <t>NON SPECIALE</t>
        </is>
      </c>
      <c r="E220" s="4" t="inlineStr">
        <is>
          <t>MECCANICHE</t>
        </is>
      </c>
      <c r="F220" s="3" t="inlineStr">
        <is>
          <t>2_CME_TOTALE MECCANICI RADIOFARMACIA PAVIA.PDF</t>
        </is>
      </c>
      <c r="G220" s="4" t="inlineStr">
        <is>
          <t>198/198</t>
        </is>
      </c>
      <c r="H220" s="3" t="inlineStr">
        <is>
          <t>40 - IMPIANTISTICO</t>
        </is>
      </c>
      <c r="I220" s="3" t="inlineStr">
        <is>
          <t>CENTRALE</t>
        </is>
      </c>
      <c r="J220" s="3" t="inlineStr">
        <is>
          <t>IMPIANTO IIS E FOGNA</t>
        </is>
      </c>
      <c r="K220" s="3" t="inlineStr">
        <is>
          <t>OPERA: LASTRA DI GOMMA ELASTOMERICA ESPANSA A CELLULE CHIUSE; FUNZIONE: COIBENTAZIONE; IMPIEGO: TUBAZIONE; SPESSORE MINIMO LASTRA [MM] = 19 | SPESSORE MINIMO ELASTOMERO PER IL DIAMETRO ESTERNO TUBO [M</t>
        </is>
      </c>
      <c r="L220" s="3" t="inlineStr">
        <is>
          <t>OPERA: LASTRA DI GOMMA ELASTOMERICA ESPANSA A CELLULE CHIUSE; FUNZIONE: COIBENTAZIONE; IMPIEGO: TUBAZIONE; SPESSORE MINIMO LASTRA [MM] = 19 | SPESSORE MINIMO ELASTOMERO PER IL DIAMETRO ESTERNO TUBO [MM] = 28 | DIAMETRO NOMINALE TUBAZIONE [MM] = 20; RESISTENZA ALLA FIAMMA [CLASSE] = 1; FATTORE DI PERMEABILITÀ (Μ) MINIMO [-] = 4000. 
LAVORO: POSA. 
SPECIFICHE TECNICHE: GOMMA ELASTOMERICA ESPANSA A CELLULE CHIUSE SENZA ALOGENI NÉ PVC. OP LASTRA DI GOMMA ELASTOMERICA ESPANSA A CELLULE CHIUSE; FUNZIONE: COIBENTAZIONE; IMPIEGO: TUBAZIONE; SPESSORE MINIMO LASTRA [MM] = 19 | SPESSORE MINIMO ELASTOMERO PER IL DIAMETRO ESTERNO TUBO [MM] = 28 | DIAMETRO NOMINALE TUBAZIONE [MM] = 20; RESISTENZA ALLA FIAMMA [CLASSE] = 1; FATTORE DI PERMEABILITÀ (Μ) MINIMO [-] = 4000. 
SPECIFICHE TECNICHE: GOMMA ELASTOMERICA ESPANSA A CELLULE CHIUSE SENZA ALOGENI NÉ PVC. 
RM LASTRA DI GOMMA ESPANSA A CELLULE CHIUSE; FUNZIONE: COIBENTAZIONE; IMPIEGO: TUBAZIONE; SPESSORE MINIMO LASTRA [MM] = 19 | SPESSORE MINIMO ELASTOMERO PER IL DIAMETRO ESTERNO TUBO [MM] = 28 | DIAMETRO NOMINALE TUBAZIONE [MM] = 20; RESISTENZA ALLA FIAMMA [CLASSE] = 1; FATTORE DI PERMEABILITÀ (Μ) MINIMO [-] = 4000 
SPECIFICHE TECNICHE: GOMMA ELASTOMERICA ESPANSA A CELLULE CHIUSE SENZA ALOGENI NÉ PVC 
LV POSA.</t>
        </is>
      </c>
      <c r="M220" s="4" t="inlineStr">
        <is>
          <t>M</t>
        </is>
      </c>
      <c r="N220" s="5" t="n">
        <v>36</v>
      </c>
      <c r="O220" s="6" t="n">
        <v>9.58</v>
      </c>
      <c r="P220" s="6" t="n">
        <v>344.88</v>
      </c>
      <c r="Q220" s="5" t="n"/>
      <c r="R220" s="6" t="n"/>
      <c r="S220" s="6">
        <f>IF(AND(Q220&lt;&gt;"",R220&lt;&gt;""),Q220*R220,"")</f>
        <v/>
      </c>
      <c r="T220" s="6">
        <f>IF(S220="",P220,S220)</f>
        <v/>
      </c>
      <c r="U220" s="7" t="n">
        <v>0</v>
      </c>
      <c r="V220" s="6">
        <f>$T220*U220</f>
        <v/>
      </c>
      <c r="W220" s="7" t="n">
        <v>0</v>
      </c>
      <c r="X220" s="6">
        <f>$T220*W220</f>
        <v/>
      </c>
      <c r="Y220" s="7" t="n">
        <v>0</v>
      </c>
      <c r="Z220" s="6">
        <f>$T220*Y220</f>
        <v/>
      </c>
      <c r="AA220" s="7" t="n">
        <v>0</v>
      </c>
      <c r="AB220" s="6">
        <f>$T220*AA220</f>
        <v/>
      </c>
      <c r="AC220" s="7" t="n">
        <v>0</v>
      </c>
      <c r="AD220" s="6">
        <f>$T220*AC220</f>
        <v/>
      </c>
      <c r="AE220" s="7" t="n">
        <v>0</v>
      </c>
      <c r="AF220" s="6">
        <f>$T220*AE220</f>
        <v/>
      </c>
      <c r="AG220" s="7" t="n">
        <v>0</v>
      </c>
      <c r="AH220" s="6">
        <f>$T220*AG220</f>
        <v/>
      </c>
      <c r="AI220" s="7">
        <f>U220+W220+Y220+AA220+AC220+AE220+AG220</f>
        <v/>
      </c>
      <c r="AJ220" s="6">
        <f>V220+X220+Z220+AB220+AD220+AF220+AH220</f>
        <v/>
      </c>
    </row>
    <row r="221" ht="60" customHeight="1" s="35">
      <c r="A221" s="3" t="inlineStr">
        <is>
          <t>LOM251.OC.EEA.PA02.I1500.E0011.0140</t>
        </is>
      </c>
      <c r="B221" s="4" t="inlineStr">
        <is>
          <t>2/3</t>
        </is>
      </c>
      <c r="C221" s="3" t="inlineStr">
        <is>
          <t>IMPIANTO MECCANICO</t>
        </is>
      </c>
      <c r="D221" s="4" t="inlineStr">
        <is>
          <t>NON SPECIALE</t>
        </is>
      </c>
      <c r="E221" s="4" t="inlineStr">
        <is>
          <t>MECCANICHE</t>
        </is>
      </c>
      <c r="F221" s="3" t="inlineStr">
        <is>
          <t>2_CME_TOTALE MECCANICI RADIOFARMACIA PAVIA.PDF</t>
        </is>
      </c>
      <c r="G221" s="4" t="inlineStr">
        <is>
          <t>199/199</t>
        </is>
      </c>
      <c r="H221" s="3" t="inlineStr">
        <is>
          <t>40 - IMPIANTISTICO</t>
        </is>
      </c>
      <c r="I221" s="3" t="inlineStr">
        <is>
          <t>CENTRALE</t>
        </is>
      </c>
      <c r="J221" s="3" t="inlineStr">
        <is>
          <t>IMPIANTO IIS E FOGNA</t>
        </is>
      </c>
      <c r="K221" s="3" t="inlineStr">
        <is>
          <t>OPERA: LASTRA DI GOMMA ELASTOMERICA ESPANSA A CELLULE CHIUSE; FUNZIONE: COIBENTAZIONE; IMPIEGO: TUBAZIONE; SPESSORE MINIMO LASTRA [MM] = 19 | SPESSORE MINIMO ELASTOMERO PER IL DIAMETRO ESTERNO TUBO [M</t>
        </is>
      </c>
      <c r="L221" s="3" t="inlineStr">
        <is>
          <t>OPERA: LASTRA DI GOMMA ELASTOMERICA ESPANSA A CELLULE CHIUSE; FUNZIONE: COIBENTAZIONE; IMPIEGO: TUBAZIONE; SPESSORE MINIMO LASTRA [MM] = 19 | SPESSORE MINIMO ELASTOMERO PER IL DIAMETRO ESTERNO TUBO [MM] = 35 | DIAMETRO NOMINALE TUBAZIONE [MM] = 25; RESISTENZA ALLA FIAMMA [CLASSE] = 1; FATTORE DI PERMEABILITÀ (Μ) MINIMO [-] = 4000. 
LAVORO: POSA. 
SPECIFICHE TECNICHE: GOMMA ELASTOMERICA ESPANSA A CELLULE CHIUSE SENZA ALOGENI NÉ PVC. OP LASTRA DI GOMMA ELASTOMERICA ESPANSA A CELLULE CHIUSE; FUNZIONE: COIBENTAZIONE; IMPIEGO: TUBAZIONE; SPESSORE MINIMO LASTRA [MM] = 19 | SPESSORE MINIMO ELASTOMERO PER IL DIAMETRO ESTERNO TUBO [MM] = 35 | DIAMETRO NOMINALE TUBAZIONE [MM] = 25; RESISTENZA ALLA FIAMMA [CLASSE] = 1; FATTORE DI PERMEABILITÀ (Μ) MINIMO [-] = 4000. 
SPECIFICHE TECNICHE: GOMMA ELASTOMERICA ESPANSA A CELLULE CHIUSE SENZA ALOGENI NÉ PVC. 
RM LASTRA DI GOMMA ESPANSA A CELLULE CHIUSE; FUNZIONE: COIBENTAZIONE; IMPIEGO: TUBAZIONE; SPESSORE MINIMO LASTRA [MM] = 19 | SPESSORE MINIMO ELASTOMERO PER IL DIAMETRO ESTERNO TUBO [MM] = 35 | DIAMETRO NOMINALE TUBAZIONE [MM] = 25; RESISTENZA ALLA FIAMMA [CLASSE] = 1; FATTORE DI PERMEABILITÀ (Μ) MINIMO [-] = 4000 
SPECIFICHE TECNICHE: GOMMA ELASTOMERICA ESPANSA A CELLULE CHIUSE SENZA ALOGENI NÉ PVC 
LV POSA.</t>
        </is>
      </c>
      <c r="M221" s="4" t="inlineStr">
        <is>
          <t>M</t>
        </is>
      </c>
      <c r="N221" s="5" t="n">
        <v>8</v>
      </c>
      <c r="O221" s="6" t="n">
        <v>9.58</v>
      </c>
      <c r="P221" s="6" t="n">
        <v>76.64</v>
      </c>
      <c r="Q221" s="5" t="n"/>
      <c r="R221" s="6" t="n"/>
      <c r="S221" s="6">
        <f>IF(AND(Q221&lt;&gt;"",R221&lt;&gt;""),Q221*R221,"")</f>
        <v/>
      </c>
      <c r="T221" s="6">
        <f>IF(S221="",P221,S221)</f>
        <v/>
      </c>
      <c r="U221" s="7" t="n">
        <v>0</v>
      </c>
      <c r="V221" s="6">
        <f>$T221*U221</f>
        <v/>
      </c>
      <c r="W221" s="7" t="n">
        <v>0</v>
      </c>
      <c r="X221" s="6">
        <f>$T221*W221</f>
        <v/>
      </c>
      <c r="Y221" s="7" t="n">
        <v>0</v>
      </c>
      <c r="Z221" s="6">
        <f>$T221*Y221</f>
        <v/>
      </c>
      <c r="AA221" s="7" t="n">
        <v>0</v>
      </c>
      <c r="AB221" s="6">
        <f>$T221*AA221</f>
        <v/>
      </c>
      <c r="AC221" s="7" t="n">
        <v>0</v>
      </c>
      <c r="AD221" s="6">
        <f>$T221*AC221</f>
        <v/>
      </c>
      <c r="AE221" s="7" t="n">
        <v>0</v>
      </c>
      <c r="AF221" s="6">
        <f>$T221*AE221</f>
        <v/>
      </c>
      <c r="AG221" s="7" t="n">
        <v>0</v>
      </c>
      <c r="AH221" s="6">
        <f>$T221*AG221</f>
        <v/>
      </c>
      <c r="AI221" s="7">
        <f>U221+W221+Y221+AA221+AC221+AE221+AG221</f>
        <v/>
      </c>
      <c r="AJ221" s="6">
        <f>V221+X221+Z221+AB221+AD221+AF221+AH221</f>
        <v/>
      </c>
    </row>
    <row r="222" ht="60" customHeight="1" s="35">
      <c r="A222" s="3" t="inlineStr">
        <is>
          <t>LOM251.OC.EEA.PA02.I1500.E0011.0145</t>
        </is>
      </c>
      <c r="B222" s="4" t="inlineStr">
        <is>
          <t>1/3</t>
        </is>
      </c>
      <c r="C222" s="3" t="inlineStr">
        <is>
          <t>IMPIANTO MECCANICO</t>
        </is>
      </c>
      <c r="D222" s="4" t="inlineStr">
        <is>
          <t>NON SPECIALE</t>
        </is>
      </c>
      <c r="E222" s="4" t="inlineStr">
        <is>
          <t>MECCANICHE</t>
        </is>
      </c>
      <c r="F222" s="3" t="inlineStr">
        <is>
          <t>2_CME_TOTALE MECCANICI RADIOFARMACIA PAVIA.PDF</t>
        </is>
      </c>
      <c r="G222" s="4" t="inlineStr">
        <is>
          <t>200/200</t>
        </is>
      </c>
      <c r="H222" s="3" t="inlineStr">
        <is>
          <t>40 - IMPIANTISTICO</t>
        </is>
      </c>
      <c r="I222" s="3" t="inlineStr">
        <is>
          <t>CENTRALE</t>
        </is>
      </c>
      <c r="J222" s="3" t="inlineStr">
        <is>
          <t>IMPIANTO IIS E FOGNA</t>
        </is>
      </c>
      <c r="K222" s="3" t="inlineStr">
        <is>
          <t>OPERA: LASTRA DI GOMMA ELASTOMERICA ESPANSA A CELLULE CHIUSE; FUNZIONE: COIBENTAZIONE; IMPIEGO: TUBAZIONE; SPESSORE MINIMO LASTRA [MM] = 19 | SPESSORE MINIMO ELASTOMERO PER IL DIAMETRO ESTERNO TUBO [M</t>
        </is>
      </c>
      <c r="L222" s="3" t="inlineStr">
        <is>
          <t>OPERA: LASTRA DI GOMMA ELASTOMERICA ESPANSA A CELLULE CHIUSE; FUNZIONE: COIBENTAZIONE; IMPIEGO: TUBAZIONE; SPESSORE MINIMO LASTRA [MM] = 19 | SPESSORE MINIMO ELASTOMERO PER IL DIAMETRO ESTERNO TUBO [MM] = 42 | DIAMETRO NOMINALE TUBAZIONE [MM] = 32; RESISTENZA ALLA FIAMMA [CLASSE] = 1; FATTORE DI PERMEABILITÀ (Μ) MINIMO [-] = 4000. 
LAVORO: POSA. 
SPECIFICHE TECNICHE: GOMMA ELASTOMERICA ESPANSA A CELLULE CHIUSE SENZA ALOGENI NÉ PVC. OP LASTRA DI GOMMA ELASTOMERICA ESPANSA A CELLULE CHIUSE; FUNZIONE: COIBENTAZIONE; IMPIEGO: TUBAZIONE; SPESSORE MINIMO LASTRA [MM] = 19 | SPESSORE MINIMO ELASTOMERO PER IL DIAMETRO ESTERNO TUBO [MM] = 42 | DIAMETRO NOMINALE TUBAZIONE [MM] = 32; RESISTENZA ALLA FIAMMA [CLASSE] = 1; FATTORE DI PERMEABILITÀ (Μ) MINIMO [-] = 4000. 
SPECIFICHE TECNICHE: GOMMA ELASTOMERICA ESPANSA A CELLULE CHIUSE SENZA ALOGENI NÉ PVC. 
RM LASTRA DI GOMMA ESPANSA A CELLULE CHIUSE; FUNZIONE: COIBENTAZIONE; IMPIEGO: TUBAZIONE; SPESSORE MINIMO LASTRA [MM] = 19 | SPESSORE MINIMO ELASTOMERO PER IL DIAMETRO ESTERNO TUBO [MM] = 42 | DIAMETRO NOMINALE TUBAZIONE [MM] = 32; RESISTENZA ALLA FIAMMA [CLASSE] = 1; FATTORE DI PERMEABILITÀ (Μ) MINIMO [-] = 4000 
SPECIFICHE TECNICHE: GOMMA ELASTOMERICA ESPANSA A CELLULE CHIUSE SENZA ALOGENI NÉ PVC 
LV POSA.</t>
        </is>
      </c>
      <c r="M222" s="4" t="inlineStr">
        <is>
          <t>M</t>
        </is>
      </c>
      <c r="N222" s="5" t="n">
        <v>4</v>
      </c>
      <c r="O222" s="6" t="n">
        <v>9.58</v>
      </c>
      <c r="P222" s="6" t="n">
        <v>38.32</v>
      </c>
      <c r="Q222" s="5" t="n"/>
      <c r="R222" s="6" t="n"/>
      <c r="S222" s="6">
        <f>IF(AND(Q222&lt;&gt;"",R222&lt;&gt;""),Q222*R222,"")</f>
        <v/>
      </c>
      <c r="T222" s="6">
        <f>IF(S222="",P222,S222)</f>
        <v/>
      </c>
      <c r="U222" s="7" t="n">
        <v>0</v>
      </c>
      <c r="V222" s="6">
        <f>$T222*U222</f>
        <v/>
      </c>
      <c r="W222" s="7" t="n">
        <v>0</v>
      </c>
      <c r="X222" s="6">
        <f>$T222*W222</f>
        <v/>
      </c>
      <c r="Y222" s="7" t="n">
        <v>0</v>
      </c>
      <c r="Z222" s="6">
        <f>$T222*Y222</f>
        <v/>
      </c>
      <c r="AA222" s="7" t="n">
        <v>0</v>
      </c>
      <c r="AB222" s="6">
        <f>$T222*AA222</f>
        <v/>
      </c>
      <c r="AC222" s="7" t="n">
        <v>0</v>
      </c>
      <c r="AD222" s="6">
        <f>$T222*AC222</f>
        <v/>
      </c>
      <c r="AE222" s="7" t="n">
        <v>0</v>
      </c>
      <c r="AF222" s="6">
        <f>$T222*AE222</f>
        <v/>
      </c>
      <c r="AG222" s="7" t="n">
        <v>0</v>
      </c>
      <c r="AH222" s="6">
        <f>$T222*AG222</f>
        <v/>
      </c>
      <c r="AI222" s="7">
        <f>U222+W222+Y222+AA222+AC222+AE222+AG222</f>
        <v/>
      </c>
      <c r="AJ222" s="6">
        <f>V222+X222+Z222+AB222+AD222+AF222+AH222</f>
        <v/>
      </c>
    </row>
    <row r="223" ht="60" customHeight="1" s="35">
      <c r="A223" s="3" t="inlineStr">
        <is>
          <t>LOM251.OC.EEA.PA02.I9762.ZB015.0000</t>
        </is>
      </c>
      <c r="B223" s="4" t="inlineStr">
        <is>
          <t>1/2</t>
        </is>
      </c>
      <c r="C223" s="3" t="inlineStr">
        <is>
          <t>IMPIANTO MECCANICO</t>
        </is>
      </c>
      <c r="D223" s="4" t="inlineStr">
        <is>
          <t>NON SPECIALE</t>
        </is>
      </c>
      <c r="E223" s="4" t="inlineStr">
        <is>
          <t>MECCANICHE</t>
        </is>
      </c>
      <c r="F223" s="3" t="inlineStr">
        <is>
          <t>2_CME_TOTALE MECCANICI RADIOFARMACIA PAVIA.PDF</t>
        </is>
      </c>
      <c r="G223" s="4" t="inlineStr">
        <is>
          <t>201/201</t>
        </is>
      </c>
      <c r="H223" s="3" t="inlineStr">
        <is>
          <t>40 - IMPIANTISTICO</t>
        </is>
      </c>
      <c r="I223" s="3" t="inlineStr">
        <is>
          <t>CENTRALE</t>
        </is>
      </c>
      <c r="J223" s="3" t="inlineStr">
        <is>
          <t>IMPIANTO IIS E FOGNA</t>
        </is>
      </c>
      <c r="K223" s="3" t="inlineStr">
        <is>
          <t xml:space="preserve">OPERA: VALVOLA, A COMANDO MANUALE A LEVA DI MATERIALE MIX ACCIAIO AL CARBONIO-ACCIAIO INOX; GEOMETRIA: ATTACCHI FILETTATI TIPO GAS | A SFERA; DIAMETRO NOMINALE (Ø) [MM] = 15; PRESSIONE NOMINALE [BAR] </t>
        </is>
      </c>
      <c r="L223" s="3" t="inlineStr">
        <is>
          <t>OPERA: VALVOLA, A COMANDO MANUALE A LEVA DI MATERIALE MIX ACCIAIO AL CARBONIO-ACCIAIO INOX; GEOMETRIA: ATTACCHI FILETTATI TIPO GAS | A SFERA; DIAMETRO NOMINALE (Ø) [MM] = 15; PRESSIONE NOMINALE [BAR] = 40. INCLUSO: MANICOTTO DI LEGA FERROSA ACCIAIO AL CARBONIO. 
LAVORO: POSA. 
SPECIFICHE TECNICHE: VALVOLA CON: CORPO DI LEGA FERROSA ACCIAIO AL CARBONIO, STELO DI LEGA FERROSA ACCIAIO INOX, SFERA DI LEGA FERROSA ACCIAIO INOX, LEVA DI MANOVRA DI LEGA FERROSA ACCIAIO AL CARBONIO CON FINITURA DI GOMMA GENERICA. OP VALVOLA, A COMANDO MANUALE A LEVA DI MATERIALE MIX ACCIAIO AL CARBONIO-ACCIAIO INOX; GEOMETRIA: ATTACCHI FILETTATI TIPO GAS | A SFERA; DIAMETRO NOMINALE (Ø) [MM] = 15; PRESSIONE NOMINALE [BAR] = 40. INCLUSO: MANICOTTO DI LEGA FERROSA ACCIAIO AL CARBONIO. 
SPECIFICHE TECNICHE: VALVOLA CON: CORPO DI LEGA FERROSA ACCIAIO AL CARBONIO, STELO DI LEGA FERROSA ACCIAIO INOX, SFERA DI LEGA FERROSA ACCIAIO INOX, LEVA DI MANOVRA DI LEGA FERROSA ACCIAIO AL CARBONIO CON FINITURA DI GOMMA GENERICA. 
RM VALVOLA A COMANDO MANUALE A LEVA DI MATERIALE MIX ACCIAIO AL CARBONIO-ACCIAIO INOX; GEOMETRIA: ATTACCHI FILETTATI TIPO GAS | A SFERA; DIAMETRO NOMINALE (Ø) [MM] = 15; PRESSIONE NOMINALE [BAR] = 40. INCLUSO: MANICOTTO DI LEGA FERROSA ACCIAIO AL CARBONIO 
SPECIFICHE TECNICHE: VALVOLA CON: CORPO DI LEGA FERROSA ACCIAIO AL CARBONIO, STELO DI LEGA FERROSA ACCIAIO INOX, SFERA DI LEGA FERROSA ACCIAIO INOX, LEVA DI MANOVRA DI LEGA FERROSA ACCIAIO AL CARBONIO CON FINITURA DI GOMMA GENERICA 
LV POSA.</t>
        </is>
      </c>
      <c r="M223" s="4" t="inlineStr">
        <is>
          <t>CAD</t>
        </is>
      </c>
      <c r="N223" s="5" t="n">
        <v>4</v>
      </c>
      <c r="O223" s="6" t="n">
        <v>27.75</v>
      </c>
      <c r="P223" s="6" t="n">
        <v>111</v>
      </c>
      <c r="Q223" s="5" t="n"/>
      <c r="R223" s="6" t="n"/>
      <c r="S223" s="6">
        <f>IF(AND(Q223&lt;&gt;"",R223&lt;&gt;""),Q223*R223,"")</f>
        <v/>
      </c>
      <c r="T223" s="6">
        <f>IF(S223="",P223,S223)</f>
        <v/>
      </c>
      <c r="U223" s="7" t="n">
        <v>0</v>
      </c>
      <c r="V223" s="6">
        <f>$T223*U223</f>
        <v/>
      </c>
      <c r="W223" s="7" t="n">
        <v>0</v>
      </c>
      <c r="X223" s="6">
        <f>$T223*W223</f>
        <v/>
      </c>
      <c r="Y223" s="7" t="n">
        <v>0</v>
      </c>
      <c r="Z223" s="6">
        <f>$T223*Y223</f>
        <v/>
      </c>
      <c r="AA223" s="7" t="n">
        <v>0</v>
      </c>
      <c r="AB223" s="6">
        <f>$T223*AA223</f>
        <v/>
      </c>
      <c r="AC223" s="7" t="n">
        <v>0</v>
      </c>
      <c r="AD223" s="6">
        <f>$T223*AC223</f>
        <v/>
      </c>
      <c r="AE223" s="7" t="n">
        <v>0</v>
      </c>
      <c r="AF223" s="6">
        <f>$T223*AE223</f>
        <v/>
      </c>
      <c r="AG223" s="7" t="n">
        <v>0</v>
      </c>
      <c r="AH223" s="6">
        <f>$T223*AG223</f>
        <v/>
      </c>
      <c r="AI223" s="7">
        <f>U223+W223+Y223+AA223+AC223+AE223+AG223</f>
        <v/>
      </c>
      <c r="AJ223" s="6">
        <f>V223+X223+Z223+AB223+AD223+AF223+AH223</f>
        <v/>
      </c>
    </row>
    <row r="224" ht="60" customHeight="1" s="35">
      <c r="A224" s="3" t="inlineStr">
        <is>
          <t>LOM251.OC.EEA.PA02.I9762.ZB015.0005</t>
        </is>
      </c>
      <c r="B224" s="4" t="inlineStr">
        <is>
          <t>1/2</t>
        </is>
      </c>
      <c r="C224" s="3" t="inlineStr">
        <is>
          <t>IMPIANTO MECCANICO</t>
        </is>
      </c>
      <c r="D224" s="4" t="inlineStr">
        <is>
          <t>NON SPECIALE</t>
        </is>
      </c>
      <c r="E224" s="4" t="inlineStr">
        <is>
          <t>MECCANICHE</t>
        </is>
      </c>
      <c r="F224" s="3" t="inlineStr">
        <is>
          <t>2_CME_TOTALE MECCANICI RADIOFARMACIA PAVIA.PDF</t>
        </is>
      </c>
      <c r="G224" s="4" t="inlineStr">
        <is>
          <t>202/202</t>
        </is>
      </c>
      <c r="H224" s="3" t="inlineStr">
        <is>
          <t>40 - IMPIANTISTICO</t>
        </is>
      </c>
      <c r="I224" s="3" t="inlineStr">
        <is>
          <t>CENTRALE</t>
        </is>
      </c>
      <c r="J224" s="3" t="inlineStr">
        <is>
          <t>IMPIANTO IIS E FOGNA</t>
        </is>
      </c>
      <c r="K224" s="3" t="inlineStr">
        <is>
          <t xml:space="preserve">OPERA: VALVOLA, A COMANDO MANUALE A LEVA DI MATERIALE MIX ACCIAIO AL CARBONIO-ACCIAIO INOX; GEOMETRIA: ATTACCHI FILETTATI TIPO GAS | A SFERA; DIAMETRO NOMINALE (Ø) [MM] = 20; PRESSIONE NOMINALE [BAR] </t>
        </is>
      </c>
      <c r="L224" s="3" t="inlineStr">
        <is>
          <t>OPERA: VALVOLA, A COMANDO MANUALE A LEVA DI MATERIALE MIX ACCIAIO AL CARBONIO-ACCIAIO INOX; GEOMETRIA: ATTACCHI FILETTATI TIPO GAS | A SFERA; DIAMETRO NOMINALE (Ø) [MM] = 20; PRESSIONE NOMINALE [BAR] = 40. INCLUSO: MANICOTTO DI LEGA FERROSA ACCIAIO AL CARBONIO. 
LAVORO: POSA. 
SPECIFICHE TECNICHE: VALVOLA CON: CORPO DI LEGA FERROSA ACCIAIO AL CARBONIO, STELO DI LEGA FERROSA ACCIAIO INOX, SFERA DI LEGA FERROSA ACCIAIO INOX, LEVA DI MANOVRA DI LEGA FERROSA ACCIAIO AL CARBONIO CON FINITURA DI GOMMA GENERICA. OP VALVOLA, A COMANDO MANUALE A LEVA DI MATERIALE MIX ACCIAIO AL CARBONIO-ACCIAIO INOX; GEOMETRIA: ATTACCHI FILETTATI TIPO GAS | A SFERA; DIAMETRO NOMINALE (Ø) [MM] = 20; PRESSIONE NOMINALE [BAR] = 40. INCLUSO: MANICOTTO DI LEGA FERROSA ACCIAIO AL CARBONIO. 
SPECIFICHE TECNICHE: VALVOLA CON: CORPO DI LEGA FERROSA ACCIAIO AL CARBONIO, STELO DI LEGA FERROSA ACCIAIO INOX, SFERA DI LEGA FERROSA ACCIAIO INOX, LEVA DI MANOVRA DI LEGA FERROSA ACCIAIO AL CARBONIO CON FINITURA DI GOMMA GENERICA. 
RM VALVOLA A COMANDO MANUALE A LEVA DI MATERIALE MIX ACCIAIO AL CARBONIO-ACCIAIO INOX; GEOMETRIA: ATTACCHI FILETTATI TIPO GAS | A SFERA; DIAMETRO NOMINALE (Ø) [MM] = 20; PRESSIONE NOMINALE [BAR] = 40. INCLUSO: MANICOTTO DI LEGA FERROSA ACCIAIO AL CARBONIO 
SPECIFICHE TECNICHE: VALVOLA CON: CORPO DI LEGA FERROSA ACCIAIO AL CARBONIO, STELO DI LEGA FERROSA ACCIAIO INOX, SFERA DI LEGA FERROSA ACCIAIO INOX, LEVA DI MANOVRA DI LEGA FERROSA ACCIAIO AL CARBONIO CON FINITURA DI GOMMA GENERICA 
LV POSA.</t>
        </is>
      </c>
      <c r="M224" s="4" t="inlineStr">
        <is>
          <t>CAD</t>
        </is>
      </c>
      <c r="N224" s="5" t="n">
        <v>2</v>
      </c>
      <c r="O224" s="6" t="n">
        <v>29.48</v>
      </c>
      <c r="P224" s="6" t="n">
        <v>58.96</v>
      </c>
      <c r="Q224" s="5" t="n"/>
      <c r="R224" s="6" t="n"/>
      <c r="S224" s="6">
        <f>IF(AND(Q224&lt;&gt;"",R224&lt;&gt;""),Q224*R224,"")</f>
        <v/>
      </c>
      <c r="T224" s="6">
        <f>IF(S224="",P224,S224)</f>
        <v/>
      </c>
      <c r="U224" s="7" t="n">
        <v>0</v>
      </c>
      <c r="V224" s="6">
        <f>$T224*U224</f>
        <v/>
      </c>
      <c r="W224" s="7" t="n">
        <v>0</v>
      </c>
      <c r="X224" s="6">
        <f>$T224*W224</f>
        <v/>
      </c>
      <c r="Y224" s="7" t="n">
        <v>0</v>
      </c>
      <c r="Z224" s="6">
        <f>$T224*Y224</f>
        <v/>
      </c>
      <c r="AA224" s="7" t="n">
        <v>0</v>
      </c>
      <c r="AB224" s="6">
        <f>$T224*AA224</f>
        <v/>
      </c>
      <c r="AC224" s="7" t="n">
        <v>0</v>
      </c>
      <c r="AD224" s="6">
        <f>$T224*AC224</f>
        <v/>
      </c>
      <c r="AE224" s="7" t="n">
        <v>0</v>
      </c>
      <c r="AF224" s="6">
        <f>$T224*AE224</f>
        <v/>
      </c>
      <c r="AG224" s="7" t="n">
        <v>0</v>
      </c>
      <c r="AH224" s="6">
        <f>$T224*AG224</f>
        <v/>
      </c>
      <c r="AI224" s="7">
        <f>U224+W224+Y224+AA224+AC224+AE224+AG224</f>
        <v/>
      </c>
      <c r="AJ224" s="6">
        <f>V224+X224+Z224+AB224+AD224+AF224+AH224</f>
        <v/>
      </c>
    </row>
    <row r="225" ht="60" customHeight="1" s="35">
      <c r="A225" s="3" t="inlineStr">
        <is>
          <t>LOM251.OC.EEA.PA02.I9762.ZB015.0010</t>
        </is>
      </c>
      <c r="B225" s="4" t="inlineStr">
        <is>
          <t>1/2</t>
        </is>
      </c>
      <c r="C225" s="3" t="inlineStr">
        <is>
          <t>IMPIANTO MECCANICO</t>
        </is>
      </c>
      <c r="D225" s="4" t="inlineStr">
        <is>
          <t>NON SPECIALE</t>
        </is>
      </c>
      <c r="E225" s="4" t="inlineStr">
        <is>
          <t>MECCANICHE</t>
        </is>
      </c>
      <c r="F225" s="3" t="inlineStr">
        <is>
          <t>2_CME_TOTALE MECCANICI RADIOFARMACIA PAVIA.PDF</t>
        </is>
      </c>
      <c r="G225" s="4" t="inlineStr">
        <is>
          <t>203/203</t>
        </is>
      </c>
      <c r="H225" s="3" t="inlineStr">
        <is>
          <t>40 - IMPIANTISTICO</t>
        </is>
      </c>
      <c r="I225" s="3" t="inlineStr">
        <is>
          <t>CENTRALE</t>
        </is>
      </c>
      <c r="J225" s="3" t="inlineStr">
        <is>
          <t>IMPIANTO IIS E FOGNA</t>
        </is>
      </c>
      <c r="K225" s="3" t="inlineStr">
        <is>
          <t xml:space="preserve">OPERA: VALVOLA, A COMANDO MANUALE A LEVA DI MATERIALE MIX ACCIAIO AL CARBONIO-ACCIAIO INOX; GEOMETRIA: ATTACCHI FILETTATI TIPO GAS | A SFERA; DIAMETRO NOMINALE (Ø) [MM] = 25; PRESSIONE NOMINALE [BAR] </t>
        </is>
      </c>
      <c r="L225" s="3" t="inlineStr">
        <is>
          <t>OPERA: VALVOLA, A COMANDO MANUALE A LEVA DI MATERIALE MIX ACCIAIO AL CARBONIO-ACCIAIO INOX; GEOMETRIA: ATTACCHI FILETTATI TIPO GAS | A SFERA; DIAMETRO NOMINALE (Ø) [MM] = 25; PRESSIONE NOMINALE [BAR] = 40. INCLUSO: MANICOTTO DI LEGA FERROSA ACCIAIO AL CARBONIO. 
LAVORO: POSA. 
SPECIFICHE TECNICHE: VALVOLA CON: CORPO DI LEGA FERROSA ACCIAIO AL CARBONIO, STELO DI LEGA FERROSA ACCIAIO INOX, SFERA DI LEGA FERROSA ACCIAIO INOX, LEVA DI MANOVRA DI LEGA FERROSA ACCIAIO AL CARBONIO CON FINITURA DI GOMMA GENERICA. OP VALVOLA, A COMANDO MANUALE A LEVA DI MATERIALE MIX ACCIAIO AL CARBONIO-ACCIAIO INOX; GEOMETRIA: ATTACCHI FILETTATI TIPO GAS | A SFERA; DIAMETRO NOMINALE (Ø) [MM] = 25; PRESSIONE NOMINALE [BAR] = 40. INCLUSO: MANICOTTO DI LEGA FERROSA ACCIAIO AL CARBONIO. 
SPECIFICHE TECNICHE: VALVOLA CON: CORPO DI LEGA FERROSA ACCIAIO AL CARBONIO, STELO DI LEGA FERROSA ACCIAIO INOX, SFERA DI LEGA FERROSA ACCIAIO INOX, LEVA DI MANOVRA DI LEGA FERROSA ACCIAIO AL CARBONIO CON FINITURA DI GOMMA GENERICA. 
RM VALVOLA A COMANDO MANUALE A LEVA DI MATERIALE MIX ACCIAIO AL CARBONIO-ACCIAIO INOX; GEOMETRIA: ATTACCHI FILETTATI TIPO GAS | A SFERA; DIAMETRO NOMINALE (Ø) [MM] = 25; PRESSIONE NOMINALE [BAR] = 40. INCLUSO: MANICOTTO DI LEGA FERROSA ACCIAIO AL CARBONIO 
SPECIFICHE TECNICHE: VALVOLA CON: CORPO DI LEGA FERROSA ACCIAIO AL CARBONIO, STELO DI LEGA FERROSA ACCIAIO INOX, SFERA DI LEGA FERROSA ACCIAIO INOX, LEVA DI MANOVRA DI LEGA FERROSA ACCIAIO AL CARBONIO CON FINITURA DI GOMMA GENERICA 
LV POSA.</t>
        </is>
      </c>
      <c r="M225" s="4" t="inlineStr">
        <is>
          <t>CAD</t>
        </is>
      </c>
      <c r="N225" s="5" t="n">
        <v>2</v>
      </c>
      <c r="O225" s="6" t="n">
        <v>44.91</v>
      </c>
      <c r="P225" s="6" t="n">
        <v>89.81999999999999</v>
      </c>
      <c r="Q225" s="5" t="n"/>
      <c r="R225" s="6" t="n"/>
      <c r="S225" s="6">
        <f>IF(AND(Q225&lt;&gt;"",R225&lt;&gt;""),Q225*R225,"")</f>
        <v/>
      </c>
      <c r="T225" s="6">
        <f>IF(S225="",P225,S225)</f>
        <v/>
      </c>
      <c r="U225" s="7" t="n">
        <v>0</v>
      </c>
      <c r="V225" s="6">
        <f>$T225*U225</f>
        <v/>
      </c>
      <c r="W225" s="7" t="n">
        <v>0</v>
      </c>
      <c r="X225" s="6">
        <f>$T225*W225</f>
        <v/>
      </c>
      <c r="Y225" s="7" t="n">
        <v>0</v>
      </c>
      <c r="Z225" s="6">
        <f>$T225*Y225</f>
        <v/>
      </c>
      <c r="AA225" s="7" t="n">
        <v>0</v>
      </c>
      <c r="AB225" s="6">
        <f>$T225*AA225</f>
        <v/>
      </c>
      <c r="AC225" s="7" t="n">
        <v>0</v>
      </c>
      <c r="AD225" s="6">
        <f>$T225*AC225</f>
        <v/>
      </c>
      <c r="AE225" s="7" t="n">
        <v>0</v>
      </c>
      <c r="AF225" s="6">
        <f>$T225*AE225</f>
        <v/>
      </c>
      <c r="AG225" s="7" t="n">
        <v>0</v>
      </c>
      <c r="AH225" s="6">
        <f>$T225*AG225</f>
        <v/>
      </c>
      <c r="AI225" s="7">
        <f>U225+W225+Y225+AA225+AC225+AE225+AG225</f>
        <v/>
      </c>
      <c r="AJ225" s="6">
        <f>V225+X225+Z225+AB225+AD225+AF225+AH225</f>
        <v/>
      </c>
    </row>
    <row r="226" ht="60" customHeight="1" s="35">
      <c r="A226" s="3" t="inlineStr">
        <is>
          <t>LOM251.OC.EEA.PA02.F9730.SC007.0260</t>
        </is>
      </c>
      <c r="B226" s="4" t="inlineStr">
        <is>
          <t>1/2</t>
        </is>
      </c>
      <c r="C226" s="3" t="inlineStr">
        <is>
          <t>IMPIANTO MECCANICO</t>
        </is>
      </c>
      <c r="D226" s="4" t="inlineStr">
        <is>
          <t>NON SPECIALE</t>
        </is>
      </c>
      <c r="E226" s="4" t="inlineStr">
        <is>
          <t>MECCANICHE</t>
        </is>
      </c>
      <c r="F226" s="3" t="inlineStr">
        <is>
          <t>2_CME_TOTALE MECCANICI RADIOFARMACIA PAVIA.PDF</t>
        </is>
      </c>
      <c r="G226" s="4" t="inlineStr">
        <is>
          <t>204/204</t>
        </is>
      </c>
      <c r="H226" s="3" t="inlineStr">
        <is>
          <t>40 - IMPIANTISTICO</t>
        </is>
      </c>
      <c r="I226" s="3" t="inlineStr">
        <is>
          <t>CENTRALE</t>
        </is>
      </c>
      <c r="J226" s="3" t="inlineStr">
        <is>
          <t>IMPIANTO IIS E FOGNA</t>
        </is>
      </c>
      <c r="K226" s="3" t="inlineStr">
        <is>
          <t>OPERA: VALVOLA DI LEGA RAME BRONZO; GEOMETRIA: A GLOBO | ATTACCHI FILETTATI TIPO GAS; FUNZIONE: DI RITEGNO; DIAMETRO NOMINALE (Ø) [MM] = 25; PRESSIONE NOMINALE [BAR] = 16. INCLUSO: GUARNIZIONI DEL TIP</t>
        </is>
      </c>
      <c r="L226" s="3" t="inlineStr">
        <is>
          <t>OPERA: VALVOLA DI LEGA RAME BRONZO; GEOMETRIA: A GLOBO | ATTACCHI FILETTATI TIPO GAS; FUNZIONE: DI RITEGNO; DIAMETRO NOMINALE (Ø) [MM] = 25; PRESSIONE NOMINALE [BAR] = 16. INCLUSO: GUARNIZIONI DEL TIPO SENZA AMIANTO; CAPPELLO DI LEGA RAME OTTONE. 
LAVORO: POSA. 
SPECIFICHE TECNICHE: VALVOLA CON: CORPO DI LEGA RAME OTTONE, OTTURATORE DI LEGA RAME OTTONE. OP VALVOLA DI LEGA RAME BRONZO; GEOMETRIA: A GLOBO | ATTACCHI FILETTATI TIPO GAS; FUNZIONE: DI RITEGNO; DIAMETRO NOMINALE (Ø) [MM] = 25; PRESSIONE NOMINALE [BAR] = 16. INCLUSO: GUARNIZIONI DEL TIPO SENZA AMIANTO; CAPPELLO DI LEGA RAME OTTONE. 
SPECIFICHE TECNICHE: VALVOLA CON: CORPO DI LEGA RAME OTTONE, OTTURATORE DI LEGA RAME OTTONE. 
RM VALVOLA DI LEGA RAME BRONZO; GEOMETRIA: A GLOBO | ATTACCHI FILETTATI TIPO GAS; FUNZIONE: DI RITEGNO; DIAMETRO NOMINALE (Ø) [MM] = 25; PRESSIONE NOMINALE [BAR] = 16. INCLUSO: GUARNIZIONI DEL TIPO SENZA AMIANTO; CAPPELLO DI LEGA RAME OTTONE 
SPECIFICHE TECNICHE: VALVOLA CON: CORPO DI LEGA RAME OTTONE, OTTURATORE DI LEGA RAME OTTONE 
LV POSA.</t>
        </is>
      </c>
      <c r="M226" s="4" t="inlineStr">
        <is>
          <t>CAD</t>
        </is>
      </c>
      <c r="N226" s="5" t="n">
        <v>2</v>
      </c>
      <c r="O226" s="6" t="n">
        <v>25.94</v>
      </c>
      <c r="P226" s="6" t="n">
        <v>51.88</v>
      </c>
      <c r="Q226" s="5" t="n"/>
      <c r="R226" s="6" t="n"/>
      <c r="S226" s="6">
        <f>IF(AND(Q226&lt;&gt;"",R226&lt;&gt;""),Q226*R226,"")</f>
        <v/>
      </c>
      <c r="T226" s="6">
        <f>IF(S226="",P226,S226)</f>
        <v/>
      </c>
      <c r="U226" s="7" t="n">
        <v>0</v>
      </c>
      <c r="V226" s="6">
        <f>$T226*U226</f>
        <v/>
      </c>
      <c r="W226" s="7" t="n">
        <v>0</v>
      </c>
      <c r="X226" s="6">
        <f>$T226*W226</f>
        <v/>
      </c>
      <c r="Y226" s="7" t="n">
        <v>0</v>
      </c>
      <c r="Z226" s="6">
        <f>$T226*Y226</f>
        <v/>
      </c>
      <c r="AA226" s="7" t="n">
        <v>0</v>
      </c>
      <c r="AB226" s="6">
        <f>$T226*AA226</f>
        <v/>
      </c>
      <c r="AC226" s="7" t="n">
        <v>0</v>
      </c>
      <c r="AD226" s="6">
        <f>$T226*AC226</f>
        <v/>
      </c>
      <c r="AE226" s="7" t="n">
        <v>0</v>
      </c>
      <c r="AF226" s="6">
        <f>$T226*AE226</f>
        <v/>
      </c>
      <c r="AG226" s="7" t="n">
        <v>0</v>
      </c>
      <c r="AH226" s="6">
        <f>$T226*AG226</f>
        <v/>
      </c>
      <c r="AI226" s="7">
        <f>U226+W226+Y226+AA226+AC226+AE226+AG226</f>
        <v/>
      </c>
      <c r="AJ226" s="6">
        <f>V226+X226+Z226+AB226+AD226+AF226+AH226</f>
        <v/>
      </c>
    </row>
    <row r="227" ht="60" customHeight="1" s="35">
      <c r="A227" s="3" t="inlineStr">
        <is>
          <t>DEI_IT_015002B</t>
        </is>
      </c>
      <c r="B227" s="4" t="inlineStr">
        <is>
          <t>3/5</t>
        </is>
      </c>
      <c r="C227" s="3" t="inlineStr">
        <is>
          <t>IMPIANTO MECCANICO</t>
        </is>
      </c>
      <c r="D227" s="4" t="inlineStr">
        <is>
          <t>NON SPECIALE</t>
        </is>
      </c>
      <c r="E227" s="4" t="inlineStr">
        <is>
          <t>MECCANICHE</t>
        </is>
      </c>
      <c r="F227" s="3" t="inlineStr">
        <is>
          <t>2_CME_TOTALE MECCANICI RADIOFARMACIA PAVIA.PDF</t>
        </is>
      </c>
      <c r="G227" s="4" t="inlineStr">
        <is>
          <t>205/205</t>
        </is>
      </c>
      <c r="H227" s="3" t="inlineStr">
        <is>
          <t>40 - IMPIANTISTICO</t>
        </is>
      </c>
      <c r="I227" s="3" t="inlineStr">
        <is>
          <t>PIANO TERRA</t>
        </is>
      </c>
      <c r="J227" s="3" t="inlineStr">
        <is>
          <t>IMPIANTO IIS E FOGNA</t>
        </is>
      </c>
      <c r="K227" s="3" t="inlineStr">
        <is>
          <t>TUBO IN ACCIAIO SENZA SALDATURA A NORMA UNI EN 10255, ZINCATO A CALDO A NORMA EN 10240-A1 ED AL DM MINISTERO DELLA SALUTE 6/4/2004 N. 174, FILETTATO E CON MANICOTTO, LAVORATO E POSTO IN OPERA (SINO AD</t>
        </is>
      </c>
      <c r="L227" s="3" t="inlineStr">
        <is>
          <t>TUBO IN ACCIAIO SENZA SALDATURA A NORMA UNI EN 10255, ZINCATO A CALDO A NORMA EN 10240-A1 ED AL DM MINISTERO DELLA SALUTE 6/4/2004 N. 174, FILETTATO E CON MANICOTTO, LAVORATO E POSTO IN OPERA (SINO AD UN'ALTEZZA DI 3,00 M DAL PIANO DI LAVORO) TAGLIATO A MISURA, COMPRESE EVENTUALI CRAVATTE A MURO, VERNICIATURA, SALDATURA E QUANTO ALTRO NECESSARIO PER DARE IL LAVORO FINITO A REGOLA D'ARTE, ESCLUSI GLI SCAVI, RINTERRI, TRACCE E RACCORDERIA: SERIE MEDIA: Ø INTERNO 1/2", SPESSORE 2,6 MM</t>
        </is>
      </c>
      <c r="M227" s="4" t="inlineStr">
        <is>
          <t>M</t>
        </is>
      </c>
      <c r="N227" s="5" t="n">
        <v>68</v>
      </c>
      <c r="O227" s="6" t="n">
        <v>26.16</v>
      </c>
      <c r="P227" s="6" t="n">
        <v>1778.88</v>
      </c>
      <c r="Q227" s="5" t="n"/>
      <c r="R227" s="6" t="n"/>
      <c r="S227" s="6">
        <f>IF(AND(Q227&lt;&gt;"",R227&lt;&gt;""),Q227*R227,"")</f>
        <v/>
      </c>
      <c r="T227" s="6">
        <f>IF(S227="",P227,S227)</f>
        <v/>
      </c>
      <c r="U227" s="7" t="n">
        <v>0</v>
      </c>
      <c r="V227" s="6">
        <f>$T227*U227</f>
        <v/>
      </c>
      <c r="W227" s="7" t="n">
        <v>0.25</v>
      </c>
      <c r="X227" s="6">
        <f>$T227*W227</f>
        <v/>
      </c>
      <c r="Y227" s="7" t="n">
        <v>0</v>
      </c>
      <c r="Z227" s="6">
        <f>$T227*Y227</f>
        <v/>
      </c>
      <c r="AA227" s="7" t="n">
        <v>0</v>
      </c>
      <c r="AB227" s="6">
        <f>$T227*AA227</f>
        <v/>
      </c>
      <c r="AC227" s="7" t="n">
        <v>0</v>
      </c>
      <c r="AD227" s="6">
        <f>$T227*AC227</f>
        <v/>
      </c>
      <c r="AE227" s="7" t="n">
        <v>0</v>
      </c>
      <c r="AF227" s="6">
        <f>$T227*AE227</f>
        <v/>
      </c>
      <c r="AG227" s="7" t="n">
        <v>0</v>
      </c>
      <c r="AH227" s="6">
        <f>$T227*AG227</f>
        <v/>
      </c>
      <c r="AI227" s="7">
        <f>U227+W227+Y227+AA227+AC227+AE227+AG227</f>
        <v/>
      </c>
      <c r="AJ227" s="6">
        <f>V227+X227+Z227+AB227+AD227+AF227+AH227</f>
        <v/>
      </c>
    </row>
    <row r="228" ht="60" customHeight="1" s="35">
      <c r="A228" s="3" t="inlineStr">
        <is>
          <t>DEI_IT_015002C</t>
        </is>
      </c>
      <c r="B228" s="4" t="inlineStr">
        <is>
          <t>2/4</t>
        </is>
      </c>
      <c r="C228" s="3" t="inlineStr">
        <is>
          <t>IMPIANTO MECCANICO</t>
        </is>
      </c>
      <c r="D228" s="4" t="inlineStr">
        <is>
          <t>NON SPECIALE</t>
        </is>
      </c>
      <c r="E228" s="4" t="inlineStr">
        <is>
          <t>MECCANICHE</t>
        </is>
      </c>
      <c r="F228" s="3" t="inlineStr">
        <is>
          <t>2_CME_TOTALE MECCANICI RADIOFARMACIA PAVIA.PDF</t>
        </is>
      </c>
      <c r="G228" s="4" t="inlineStr">
        <is>
          <t>206/206</t>
        </is>
      </c>
      <c r="H228" s="3" t="inlineStr">
        <is>
          <t>40 - IMPIANTISTICO</t>
        </is>
      </c>
      <c r="I228" s="3" t="inlineStr">
        <is>
          <t>PIANO TERRA</t>
        </is>
      </c>
      <c r="J228" s="3" t="inlineStr">
        <is>
          <t>IMPIANTO IIS E FOGNA</t>
        </is>
      </c>
      <c r="K228" s="3" t="inlineStr">
        <is>
          <t>TUBO IN ACCIAIO SENZA SALDATURA A NORMA UNI EN 10255, ZINCATO A CALDO A NORMA EN 10240-A1 ED AL DM MINISTERO DELLA SALUTE 6/4/2004 N. 174, FILETTATO E CON MANICOTTO, LAVORATO E POSTO IN OPERA (SINO AD</t>
        </is>
      </c>
      <c r="L228" s="3" t="inlineStr">
        <is>
          <t>TUBO IN ACCIAIO SENZA SALDATURA A NORMA UNI EN 10255, ZINCATO A CALDO A NORMA EN 10240-A1 ED AL DM MINISTERO DELLA SALUTE 6/4/2004 N. 174, FILETTATO E CON MANICOTTO, LAVORATO E POSTO IN OPERA (SINO AD UN'ALTEZZA DI 3,00 M DAL PIANO DI LAVORO) TAGLIATO A MISURA, COMPRESE EVENTUALI CRAVATTE A MURO, VERNICIATURA, SALDATURA E QUANTO ALTRO NECESSARIO PER DARE IL LAVORO FINITO A REGOLA D'ARTE, ESCLUSI GLI SCAVI, RINTERRI, TRACCE E RACCORDERIA: SERIE MEDIA: Ø INTERNO 3/4", SPESSORE 2,6 MM</t>
        </is>
      </c>
      <c r="M228" s="4" t="inlineStr">
        <is>
          <t>M</t>
        </is>
      </c>
      <c r="N228" s="5" t="n">
        <v>16</v>
      </c>
      <c r="O228" s="6" t="n">
        <v>29.83</v>
      </c>
      <c r="P228" s="6" t="n">
        <v>477.28</v>
      </c>
      <c r="Q228" s="5" t="n"/>
      <c r="R228" s="6" t="n"/>
      <c r="S228" s="6">
        <f>IF(AND(Q228&lt;&gt;"",R228&lt;&gt;""),Q228*R228,"")</f>
        <v/>
      </c>
      <c r="T228" s="6">
        <f>IF(S228="",P228,S228)</f>
        <v/>
      </c>
      <c r="U228" s="7" t="n">
        <v>0</v>
      </c>
      <c r="V228" s="6">
        <f>$T228*U228</f>
        <v/>
      </c>
      <c r="W228" s="7" t="n">
        <v>0.25</v>
      </c>
      <c r="X228" s="6">
        <f>$T228*W228</f>
        <v/>
      </c>
      <c r="Y228" s="7" t="n">
        <v>0</v>
      </c>
      <c r="Z228" s="6">
        <f>$T228*Y228</f>
        <v/>
      </c>
      <c r="AA228" s="7" t="n">
        <v>0</v>
      </c>
      <c r="AB228" s="6">
        <f>$T228*AA228</f>
        <v/>
      </c>
      <c r="AC228" s="7" t="n">
        <v>0</v>
      </c>
      <c r="AD228" s="6">
        <f>$T228*AC228</f>
        <v/>
      </c>
      <c r="AE228" s="7" t="n">
        <v>0</v>
      </c>
      <c r="AF228" s="6">
        <f>$T228*AE228</f>
        <v/>
      </c>
      <c r="AG228" s="7" t="n">
        <v>0</v>
      </c>
      <c r="AH228" s="6">
        <f>$T228*AG228</f>
        <v/>
      </c>
      <c r="AI228" s="7">
        <f>U228+W228+Y228+AA228+AC228+AE228+AG228</f>
        <v/>
      </c>
      <c r="AJ228" s="6">
        <f>V228+X228+Z228+AB228+AD228+AF228+AH228</f>
        <v/>
      </c>
    </row>
    <row r="229" ht="60" customHeight="1" s="35">
      <c r="A229" s="3" t="inlineStr">
        <is>
          <t>DEI_IT_015002D</t>
        </is>
      </c>
      <c r="B229" s="4" t="inlineStr">
        <is>
          <t>2/4</t>
        </is>
      </c>
      <c r="C229" s="3" t="inlineStr">
        <is>
          <t>IMPIANTO MECCANICO</t>
        </is>
      </c>
      <c r="D229" s="4" t="inlineStr">
        <is>
          <t>NON SPECIALE</t>
        </is>
      </c>
      <c r="E229" s="4" t="inlineStr">
        <is>
          <t>MECCANICHE</t>
        </is>
      </c>
      <c r="F229" s="3" t="inlineStr">
        <is>
          <t>2_CME_TOTALE MECCANICI RADIOFARMACIA PAVIA.PDF</t>
        </is>
      </c>
      <c r="G229" s="4" t="inlineStr">
        <is>
          <t>207/207</t>
        </is>
      </c>
      <c r="H229" s="3" t="inlineStr">
        <is>
          <t>40 - IMPIANTISTICO</t>
        </is>
      </c>
      <c r="I229" s="3" t="inlineStr">
        <is>
          <t>PIANO TERRA</t>
        </is>
      </c>
      <c r="J229" s="3" t="inlineStr">
        <is>
          <t>IMPIANTO IIS E FOGNA</t>
        </is>
      </c>
      <c r="K229" s="3" t="inlineStr">
        <is>
          <t>TUBO IN ACCIAIO SENZA SALDATURA A NORMA UNI EN 10255, ZINCATO A CALDO A NORMA EN 10240-A1 ED AL DM MINISTERO DELLA SALUTE 6/4/2004 N. 174, FILETTATO E CON MANICOTTO, LAVORATO E POSTO IN OPERA (SINO AD</t>
        </is>
      </c>
      <c r="L229" s="3" t="inlineStr">
        <is>
          <t>TUBO IN ACCIAIO SENZA SALDATURA A NORMA UNI EN 10255, ZINCATO A CALDO A NORMA EN 10240-A1 ED AL DM MINISTERO DELLA SALUTE 6/4/2004 N. 174, FILETTATO E CON MANICOTTO, LAVORATO E POSTO IN OPERA (SINO AD UN'ALTEZZA DI 3,00 M DAL PIANO DI LAVORO) TAGLIATO A MISURA, COMPRESE EVENTUALI CRAVATTE A MURO, VERNICIATURA, SALDATURA E QUANTO ALTRO NECESSARIO PER DARE IL LAVORO FINITO A REGOLA D'ARTE, ESCLUSI GLI SCAVI, RINTERRI, TRACCE E RACCORDERIA: SERIE MEDIA: Ø INTERNO 1", SPESSORE 3,2 MM</t>
        </is>
      </c>
      <c r="M229" s="4" t="inlineStr">
        <is>
          <t>M</t>
        </is>
      </c>
      <c r="N229" s="5" t="n">
        <v>20</v>
      </c>
      <c r="O229" s="6" t="n">
        <v>33.52</v>
      </c>
      <c r="P229" s="6" t="n">
        <v>670.4</v>
      </c>
      <c r="Q229" s="5" t="n"/>
      <c r="R229" s="6" t="n"/>
      <c r="S229" s="6">
        <f>IF(AND(Q229&lt;&gt;"",R229&lt;&gt;""),Q229*R229,"")</f>
        <v/>
      </c>
      <c r="T229" s="6">
        <f>IF(S229="",P229,S229)</f>
        <v/>
      </c>
      <c r="U229" s="7" t="n">
        <v>0</v>
      </c>
      <c r="V229" s="6">
        <f>$T229*U229</f>
        <v/>
      </c>
      <c r="W229" s="7" t="n">
        <v>0.25</v>
      </c>
      <c r="X229" s="6">
        <f>$T229*W229</f>
        <v/>
      </c>
      <c r="Y229" s="7" t="n">
        <v>0</v>
      </c>
      <c r="Z229" s="6">
        <f>$T229*Y229</f>
        <v/>
      </c>
      <c r="AA229" s="7" t="n">
        <v>0</v>
      </c>
      <c r="AB229" s="6">
        <f>$T229*AA229</f>
        <v/>
      </c>
      <c r="AC229" s="7" t="n">
        <v>0</v>
      </c>
      <c r="AD229" s="6">
        <f>$T229*AC229</f>
        <v/>
      </c>
      <c r="AE229" s="7" t="n">
        <v>0</v>
      </c>
      <c r="AF229" s="6">
        <f>$T229*AE229</f>
        <v/>
      </c>
      <c r="AG229" s="7" t="n">
        <v>0</v>
      </c>
      <c r="AH229" s="6">
        <f>$T229*AG229</f>
        <v/>
      </c>
      <c r="AI229" s="7">
        <f>U229+W229+Y229+AA229+AC229+AE229+AG229</f>
        <v/>
      </c>
      <c r="AJ229" s="6">
        <f>V229+X229+Z229+AB229+AD229+AF229+AH229</f>
        <v/>
      </c>
    </row>
    <row r="230" ht="60" customHeight="1" s="35">
      <c r="A230" s="3" t="inlineStr">
        <is>
          <t>LOM251.OC.EEA.PA02.I1500.E0011.0005</t>
        </is>
      </c>
      <c r="B230" s="4" t="inlineStr">
        <is>
          <t>1/2</t>
        </is>
      </c>
      <c r="C230" s="3" t="inlineStr">
        <is>
          <t>IMPIANTO MECCANICO</t>
        </is>
      </c>
      <c r="D230" s="4" t="inlineStr">
        <is>
          <t>NON SPECIALE</t>
        </is>
      </c>
      <c r="E230" s="4" t="inlineStr">
        <is>
          <t>MECCANICHE</t>
        </is>
      </c>
      <c r="F230" s="3" t="inlineStr">
        <is>
          <t>2_CME_TOTALE MECCANICI RADIOFARMACIA PAVIA.PDF</t>
        </is>
      </c>
      <c r="G230" s="4" t="inlineStr">
        <is>
          <t>208/208</t>
        </is>
      </c>
      <c r="H230" s="3" t="inlineStr">
        <is>
          <t>40 - IMPIANTISTICO</t>
        </is>
      </c>
      <c r="I230" s="3" t="inlineStr">
        <is>
          <t>PIANO TERRA</t>
        </is>
      </c>
      <c r="J230" s="3" t="inlineStr">
        <is>
          <t>IMPIANTO IIS E FOGNA</t>
        </is>
      </c>
      <c r="K230" s="3" t="inlineStr">
        <is>
          <t>OPERA: LASTRA DI GOMMA ELASTOMERICA ESPANSA A CELLULE CHIUSE; FUNZIONE: COIBENTAZIONE; IMPIEGO: CONDOTTO; SPESSORE [MM] = 19; RESISTENZA ALLA FIAMMA [CLASSE] = 1; FATTORE DI PERMEABILITÀ (Μ) MINIMO [-</t>
        </is>
      </c>
      <c r="L230" s="3" t="inlineStr">
        <is>
          <t>OPERA: LASTRA DI GOMMA ELASTOMERICA ESPANSA A CELLULE CHIUSE; FUNZIONE: COIBENTAZIONE; IMPIEGO: CONDOTTO; SPESSORE [MM] = 19; RESISTENZA ALLA FIAMMA [CLASSE] = 1; FATTORE DI PERMEABILITÀ (Μ) MINIMO [-] = 4000. 
LAVORO: POSA. 
SPECIFICHE TECNICHE: LASTRA INCOLLATA; GOMMA ELASTOMERICA ESPANSA A CELLULE CHIUSE SENZA ALOGENI NÉ PVC. OP LASTRA DI GOMMA ELASTOMERICA ESPANSA A CELLULE CHIUSE; FUNZIONE: COIBENTAZIONE; IMPIEGO: CONDOTTO; SPESSORE [MM] = 19; RESISTENZA ALLA FIAMMA [CLASSE] = 1; FATTORE DI PERMEABILITÀ (Μ) MINIMO [-] = 4000. 
SPECIFICHE TECNICHE: LASTRA INCOLLATA; GOMMA ELASTOMERICA ESPANSA A CELLULE CHIUSE SENZA ALOGENI NÉ PVC. 
RM LASTRA DI GOMMA ESPANSA A CELLULE CHIUSE; FUNZIONE: COIBENTAZIONE; IMPIEGO: CONDOTTO; SPESSORE [MM] = 19; RESISTENZA ALLA FIAMMA [CLASSE] = 1; FATTORE DI PERMEABILITÀ (Μ) MINIMO [-] = 4000 
SPECIFICHE TECNICHE: LASTRA INCOLLATA; GOMMA ELASTOMERICA ESPANSA A CELLULE CHIUSE SENZA ALOGENI NÉ PVC 
LV POSA.</t>
        </is>
      </c>
      <c r="M230" s="4" t="inlineStr">
        <is>
          <t>M²</t>
        </is>
      </c>
      <c r="N230" s="5" t="n">
        <v>21</v>
      </c>
      <c r="O230" s="6" t="n">
        <v>9.58</v>
      </c>
      <c r="P230" s="6" t="n">
        <v>201.18</v>
      </c>
      <c r="Q230" s="5" t="n"/>
      <c r="R230" s="6" t="n"/>
      <c r="S230" s="6">
        <f>IF(AND(Q230&lt;&gt;"",R230&lt;&gt;""),Q230*R230,"")</f>
        <v/>
      </c>
      <c r="T230" s="6">
        <f>IF(S230="",P230,S230)</f>
        <v/>
      </c>
      <c r="U230" s="7" t="n">
        <v>0</v>
      </c>
      <c r="V230" s="6">
        <f>$T230*U230</f>
        <v/>
      </c>
      <c r="W230" s="7" t="n">
        <v>0</v>
      </c>
      <c r="X230" s="6">
        <f>$T230*W230</f>
        <v/>
      </c>
      <c r="Y230" s="7" t="n">
        <v>0</v>
      </c>
      <c r="Z230" s="6">
        <f>$T230*Y230</f>
        <v/>
      </c>
      <c r="AA230" s="7" t="n">
        <v>0</v>
      </c>
      <c r="AB230" s="6">
        <f>$T230*AA230</f>
        <v/>
      </c>
      <c r="AC230" s="7" t="n">
        <v>0</v>
      </c>
      <c r="AD230" s="6">
        <f>$T230*AC230</f>
        <v/>
      </c>
      <c r="AE230" s="7" t="n">
        <v>0</v>
      </c>
      <c r="AF230" s="6">
        <f>$T230*AE230</f>
        <v/>
      </c>
      <c r="AG230" s="7" t="n">
        <v>0</v>
      </c>
      <c r="AH230" s="6">
        <f>$T230*AG230</f>
        <v/>
      </c>
      <c r="AI230" s="7">
        <f>U230+W230+Y230+AA230+AC230+AE230+AG230</f>
        <v/>
      </c>
      <c r="AJ230" s="6">
        <f>V230+X230+Z230+AB230+AD230+AF230+AH230</f>
        <v/>
      </c>
    </row>
    <row r="231" ht="60" customHeight="1" s="35">
      <c r="A231" s="3" t="inlineStr">
        <is>
          <t>DEI_IT_025110A</t>
        </is>
      </c>
      <c r="B231" s="4" t="inlineStr">
        <is>
          <t>1/1</t>
        </is>
      </c>
      <c r="C231" s="3" t="inlineStr">
        <is>
          <t>IMPIANTO MECCANICO</t>
        </is>
      </c>
      <c r="D231" s="4" t="inlineStr">
        <is>
          <t>NON SPECIALE</t>
        </is>
      </c>
      <c r="E231" s="4" t="inlineStr">
        <is>
          <t>MECCANICHE</t>
        </is>
      </c>
      <c r="F231" s="3" t="inlineStr">
        <is>
          <t>2_CME_TOTALE MECCANICI RADIOFARMACIA PAVIA.PDF</t>
        </is>
      </c>
      <c r="G231" s="4" t="inlineStr">
        <is>
          <t>209/209</t>
        </is>
      </c>
      <c r="H231" s="3" t="inlineStr">
        <is>
          <t>40 - IMPIANTISTICO</t>
        </is>
      </c>
      <c r="I231" s="3" t="inlineStr">
        <is>
          <t>PIANO TERRA</t>
        </is>
      </c>
      <c r="J231" s="3" t="inlineStr">
        <is>
          <t>IMPIANTO IIS E FOGNA</t>
        </is>
      </c>
      <c r="K231" s="3" t="inlineStr">
        <is>
          <t>COLLETTORE COMPLANARE COSTITUITO DA MODULI IN OTTONE STAMPATO CON ATTACCHI PER ADATTATORE TUBI DI RAME, PLASTICA O MULTISTRATO, POSTO IN OPERA CON DUE SARACINESCHE, DUE VALVOLE DI SFOGO ARIA, CASSETTA</t>
        </is>
      </c>
      <c r="L231" s="3" t="inlineStr">
        <is>
          <t>COLLETTORE COMPLANARE COSTITUITO DA MODULI IN OTTONE STAMPATO CON ATTACCHI PER ADATTATORE TUBI DI RAME, PLASTICA O MULTISTRATO, POSTO IN OPERA CON DUE SARACINESCHE, DUE VALVOLE DI SFOGO ARIA, CASSETTA DI CONTENIMENTO IN LAMIERA VERNICIATA RAL 9010, CON ESCLUSIONE DELLE OPERE MURARIE: 3/4"X 16 MM: LUNGHEZZA 70 MM, ATTACCHI N. 2 + 2</t>
        </is>
      </c>
      <c r="M231" s="4" t="inlineStr">
        <is>
          <t>CAD</t>
        </is>
      </c>
      <c r="N231" s="5" t="n">
        <v>1</v>
      </c>
      <c r="O231" s="6" t="n">
        <v>260.89</v>
      </c>
      <c r="P231" s="6" t="n">
        <v>260.89</v>
      </c>
      <c r="Q231" s="5" t="n"/>
      <c r="R231" s="6" t="n"/>
      <c r="S231" s="6">
        <f>IF(AND(Q231&lt;&gt;"",R231&lt;&gt;""),Q231*R231,"")</f>
        <v/>
      </c>
      <c r="T231" s="6">
        <f>IF(S231="",P231,S231)</f>
        <v/>
      </c>
      <c r="U231" s="7" t="n">
        <v>0</v>
      </c>
      <c r="V231" s="6">
        <f>$T231*U231</f>
        <v/>
      </c>
      <c r="W231" s="7" t="n">
        <v>0</v>
      </c>
      <c r="X231" s="6">
        <f>$T231*W231</f>
        <v/>
      </c>
      <c r="Y231" s="7" t="n">
        <v>0</v>
      </c>
      <c r="Z231" s="6">
        <f>$T231*Y231</f>
        <v/>
      </c>
      <c r="AA231" s="7" t="n">
        <v>0</v>
      </c>
      <c r="AB231" s="6">
        <f>$T231*AA231</f>
        <v/>
      </c>
      <c r="AC231" s="7" t="n">
        <v>0</v>
      </c>
      <c r="AD231" s="6">
        <f>$T231*AC231</f>
        <v/>
      </c>
      <c r="AE231" s="7" t="n">
        <v>0</v>
      </c>
      <c r="AF231" s="6">
        <f>$T231*AE231</f>
        <v/>
      </c>
      <c r="AG231" s="7" t="n">
        <v>0</v>
      </c>
      <c r="AH231" s="6">
        <f>$T231*AG231</f>
        <v/>
      </c>
      <c r="AI231" s="7">
        <f>U231+W231+Y231+AA231+AC231+AE231+AG231</f>
        <v/>
      </c>
      <c r="AJ231" s="6">
        <f>V231+X231+Z231+AB231+AD231+AF231+AH231</f>
        <v/>
      </c>
    </row>
    <row r="232" ht="60" customHeight="1" s="35">
      <c r="A232" s="3" t="inlineStr">
        <is>
          <t>DEI_IT_025110C</t>
        </is>
      </c>
      <c r="B232" s="4" t="inlineStr">
        <is>
          <t>2/2</t>
        </is>
      </c>
      <c r="C232" s="3" t="inlineStr">
        <is>
          <t>IMPIANTO MECCANICO</t>
        </is>
      </c>
      <c r="D232" s="4" t="inlineStr">
        <is>
          <t>NON SPECIALE</t>
        </is>
      </c>
      <c r="E232" s="4" t="inlineStr">
        <is>
          <t>MECCANICHE</t>
        </is>
      </c>
      <c r="F232" s="3" t="inlineStr">
        <is>
          <t>2_CME_TOTALE MECCANICI RADIOFARMACIA PAVIA.PDF</t>
        </is>
      </c>
      <c r="G232" s="4" t="inlineStr">
        <is>
          <t>210/210</t>
        </is>
      </c>
      <c r="H232" s="3" t="inlineStr">
        <is>
          <t>40 - IMPIANTISTICO</t>
        </is>
      </c>
      <c r="I232" s="3" t="inlineStr">
        <is>
          <t>PIANO TERRA</t>
        </is>
      </c>
      <c r="J232" s="3" t="inlineStr">
        <is>
          <t>IMPIANTO IIS E FOGNA</t>
        </is>
      </c>
      <c r="K232" s="3" t="inlineStr">
        <is>
          <t>COLLETTORE COMPLANARE COSTITUITO DA MODULI IN OTTONE STAMPATO CON ATTACCHI PER ADATTATORE TUBI DI RAME, PLASTICA O MULTISTRATO, POSTO IN OPERA CON DUE SARACINESCHE, DUE VALVOLE DI SFOGO ARIA, CASSETTA</t>
        </is>
      </c>
      <c r="L232" s="3" t="inlineStr">
        <is>
          <t>COLLETTORE COMPLANARE COSTITUITO DA MODULI IN OTTONE STAMPATO CON ATTACCHI PER ADATTATORE TUBI DI RAME, PLASTICA O MULTISTRATO, POSTO IN OPERA CON DUE SARACINESCHE, DUE VALVOLE DI SFOGO ARIA, CASSETTA DI CONTENIMENTO IN LAMIERA VERNICIATA RAL 9010, CON ESCLUSIONE DELLE OPERE MURARIE: 3/4"X 16 MM: LUNGHEZZA 210 MM, ATTACCHI N. 6 + 6</t>
        </is>
      </c>
      <c r="M232" s="4" t="inlineStr">
        <is>
          <t>CAD</t>
        </is>
      </c>
      <c r="N232" s="5" t="n">
        <v>1</v>
      </c>
      <c r="O232" s="6" t="n">
        <v>355.76</v>
      </c>
      <c r="P232" s="6" t="n">
        <v>355.76</v>
      </c>
      <c r="Q232" s="5" t="n"/>
      <c r="R232" s="6" t="n"/>
      <c r="S232" s="6">
        <f>IF(AND(Q232&lt;&gt;"",R232&lt;&gt;""),Q232*R232,"")</f>
        <v/>
      </c>
      <c r="T232" s="6">
        <f>IF(S232="",P232,S232)</f>
        <v/>
      </c>
      <c r="U232" s="7" t="n">
        <v>0</v>
      </c>
      <c r="V232" s="6">
        <f>$T232*U232</f>
        <v/>
      </c>
      <c r="W232" s="7" t="n">
        <v>0</v>
      </c>
      <c r="X232" s="6">
        <f>$T232*W232</f>
        <v/>
      </c>
      <c r="Y232" s="7" t="n">
        <v>0</v>
      </c>
      <c r="Z232" s="6">
        <f>$T232*Y232</f>
        <v/>
      </c>
      <c r="AA232" s="7" t="n">
        <v>0</v>
      </c>
      <c r="AB232" s="6">
        <f>$T232*AA232</f>
        <v/>
      </c>
      <c r="AC232" s="7" t="n">
        <v>0</v>
      </c>
      <c r="AD232" s="6">
        <f>$T232*AC232</f>
        <v/>
      </c>
      <c r="AE232" s="7" t="n">
        <v>0</v>
      </c>
      <c r="AF232" s="6">
        <f>$T232*AE232</f>
        <v/>
      </c>
      <c r="AG232" s="7" t="n">
        <v>0</v>
      </c>
      <c r="AH232" s="6">
        <f>$T232*AG232</f>
        <v/>
      </c>
      <c r="AI232" s="7">
        <f>U232+W232+Y232+AA232+AC232+AE232+AG232</f>
        <v/>
      </c>
      <c r="AJ232" s="6">
        <f>V232+X232+Z232+AB232+AD232+AF232+AH232</f>
        <v/>
      </c>
    </row>
    <row r="233" ht="60" customHeight="1" s="35">
      <c r="A233" s="3" t="inlineStr">
        <is>
          <t>DEI_IT_015023A</t>
        </is>
      </c>
      <c r="B233" s="4" t="inlineStr">
        <is>
          <t>2/2</t>
        </is>
      </c>
      <c r="C233" s="3" t="inlineStr">
        <is>
          <t>IMPIANTO MECCANICO</t>
        </is>
      </c>
      <c r="D233" s="4" t="inlineStr">
        <is>
          <t>NON SPECIALE</t>
        </is>
      </c>
      <c r="E233" s="4" t="inlineStr">
        <is>
          <t>MECCANICHE</t>
        </is>
      </c>
      <c r="F233" s="3" t="inlineStr">
        <is>
          <t>2_CME_TOTALE MECCANICI RADIOFARMACIA PAVIA.PDF</t>
        </is>
      </c>
      <c r="G233" s="4" t="inlineStr">
        <is>
          <t>211/211</t>
        </is>
      </c>
      <c r="H233" s="3" t="inlineStr">
        <is>
          <t>40 - IMPIANTISTICO</t>
        </is>
      </c>
      <c r="I233" s="3" t="inlineStr">
        <is>
          <t>PIANO TERRA</t>
        </is>
      </c>
      <c r="J233" s="3" t="inlineStr">
        <is>
          <t>IMPIANTO IIS E FOGNA</t>
        </is>
      </c>
      <c r="K233" s="3" t="inlineStr">
        <is>
          <t>TUBO MULTISTRATO IN POLIETILENE RETICOLATO TIPO C, CON STRATO INTERMEDIO IN ALLUMINIO, FORNITO NUDO IN ROTOLI O IN BARRE DA 5 M, STABILE NELLA FORMA, CON BARRIERA ALL'OSSIGENO, CLASSE 1, 2, 4, 5 SECON</t>
        </is>
      </c>
      <c r="L233" s="3" t="inlineStr">
        <is>
          <t>TUBO MULTISTRATO IN POLIETILENE RETICOLATO TIPO C, CON STRATO INTERMEDIO IN ALLUMINIO, FORNITO NUDO IN ROTOLI O IN BARRE DA 5 M, STABILE NELLA FORMA, CON BARRIERA ALL'OSSIGENO, CLASSE 1, 2, 4, 5 SECONDO UNI EN ISO 21003, PER IMPIANTI DI ACQUA SANITARIA SECONDO DIRETTIVA UE 2020/2184 E RISCALDAMENTO, CON RACCORDI A PRESSARE IN BRONZO O ACCIAIO INOX, A PASSAGGIO TOTALE O A FLUSSO OTTIMIZZATO, A TENUTA SENZA O-RING, CON DICHIARAZIONE DA PARTE DEL FABBRICANTE DEL COEFFICIENTE K DI ACCIDENTALITÀ COME PREVISTO DALLA UNI TS 11589, TAGLIATO A MISURA E POSTO IN OPERA SU STAFFAGGI, ALL'INTERNO DI CAVEDI O IN TRACCIA, COMPRESA QUOTA PARTE DI RACCORDERIA, LA PRESSATURA DEI RACCORDI CON IDONEI ELETTROUTENSILI, ESCLUSI VALVOLAME, PEZZI SPECIALI, STAFFAGGI E OPERE MURARIE: 16 X 2,0 MM</t>
        </is>
      </c>
      <c r="M233" s="4" t="inlineStr">
        <is>
          <t>M</t>
        </is>
      </c>
      <c r="N233" s="5" t="n">
        <v>100</v>
      </c>
      <c r="O233" s="6" t="n">
        <v>12.1</v>
      </c>
      <c r="P233" s="6" t="n">
        <v>1210</v>
      </c>
      <c r="Q233" s="5" t="n"/>
      <c r="R233" s="6" t="n"/>
      <c r="S233" s="6">
        <f>IF(AND(Q233&lt;&gt;"",R233&lt;&gt;""),Q233*R233,"")</f>
        <v/>
      </c>
      <c r="T233" s="6">
        <f>IF(S233="",P233,S233)</f>
        <v/>
      </c>
      <c r="U233" s="7" t="n">
        <v>0</v>
      </c>
      <c r="V233" s="6">
        <f>$T233*U233</f>
        <v/>
      </c>
      <c r="W233" s="7" t="n">
        <v>0</v>
      </c>
      <c r="X233" s="6">
        <f>$T233*W233</f>
        <v/>
      </c>
      <c r="Y233" s="7" t="n">
        <v>0</v>
      </c>
      <c r="Z233" s="6">
        <f>$T233*Y233</f>
        <v/>
      </c>
      <c r="AA233" s="7" t="n">
        <v>0</v>
      </c>
      <c r="AB233" s="6">
        <f>$T233*AA233</f>
        <v/>
      </c>
      <c r="AC233" s="7" t="n">
        <v>0</v>
      </c>
      <c r="AD233" s="6">
        <f>$T233*AC233</f>
        <v/>
      </c>
      <c r="AE233" s="7" t="n">
        <v>0</v>
      </c>
      <c r="AF233" s="6">
        <f>$T233*AE233</f>
        <v/>
      </c>
      <c r="AG233" s="7" t="n">
        <v>0</v>
      </c>
      <c r="AH233" s="6">
        <f>$T233*AG233</f>
        <v/>
      </c>
      <c r="AI233" s="7">
        <f>U233+W233+Y233+AA233+AC233+AE233+AG233</f>
        <v/>
      </c>
      <c r="AJ233" s="6">
        <f>V233+X233+Z233+AB233+AD233+AF233+AH233</f>
        <v/>
      </c>
    </row>
    <row r="234" ht="60" customHeight="1" s="35">
      <c r="A234" s="3" t="inlineStr">
        <is>
          <t>LOM251.OC.EEA.PA15.I7822.D0010.0750.C</t>
        </is>
      </c>
      <c r="B234" s="4" t="inlineStr">
        <is>
          <t>1/2</t>
        </is>
      </c>
      <c r="C234" s="3" t="inlineStr">
        <is>
          <t>IMPIANTO MECCANICO</t>
        </is>
      </c>
      <c r="D234" s="4" t="inlineStr">
        <is>
          <t>NON SPECIALE</t>
        </is>
      </c>
      <c r="E234" s="4" t="inlineStr">
        <is>
          <t>MECCANICHE</t>
        </is>
      </c>
      <c r="F234" s="3" t="inlineStr">
        <is>
          <t>2_CME_TOTALE MECCANICI RADIOFARMACIA PAVIA.PDF</t>
        </is>
      </c>
      <c r="G234" s="4" t="inlineStr">
        <is>
          <t>212/212</t>
        </is>
      </c>
      <c r="H234" s="3" t="inlineStr">
        <is>
          <t>40 - IMPIANTISTICO</t>
        </is>
      </c>
      <c r="I234" s="3" t="inlineStr">
        <is>
          <t>PIANO TERRA</t>
        </is>
      </c>
      <c r="J234" s="3" t="inlineStr">
        <is>
          <t>IMPIANTO IIS E FOGNA</t>
        </is>
      </c>
      <c r="K234" s="3" t="inlineStr">
        <is>
          <t xml:space="preserve">OPERA: TUBAZIONE DI SCARICO DI PLASTICA POLIETILENE AD ALTA DENSITÀ (HDPE/PEAD); FUNZIONE: SCARICO; DIAMETRO ESTERNO (Ø) [MM] = 50. </t>
        </is>
      </c>
      <c r="L234" s="3" t="inlineStr">
        <is>
          <t>OPERA: TUBAZIONE DI SCARICO DI PLASTICA POLIETILENE AD ALTA DENSITÀ (HDPE/PEAD); FUNZIONE: SCARICO; DIAMETRO ESTERNO (Ø) [MM] = 50. 
LAVORO: SALDATURA DI TESTA. INCLUSO: OPERAZIONI DI PREPARAZIONE DI ELEMENTI DA SALDARE; NOLO SALDATRICE; CONSUMI. 
SPECIFICHE TECNICHE: PEAD MALLEABILIZZATO. OP TUBAZIONE DI SCARICO DI PLASTICA POLIETILENE AD ALTA DENSITÀ (HDPE/PEAD); FUNZIONE: SCARICO; DIAMETRO ESTERNO (Ø) [MM] = 50. 
SPECIFICHE TECNICHE: PEAD MALLEABILIZZATO. 
RM TUBO DI PLASTICA POLIETILENE (PE); FINITURA: COLORE NERO; GEOMETRIA: MALLEABILIZZATO; FUNZIONE: SCARICO ACQUE; IMPIEGO: IMPIANTO CIVILE | INDUSTRIALE; DIAMETRO ESTERNO (Ø) [MM] = 50 | SPESSORE [MM] = 3. ESCLUSO: RACCORDI 
SPECIFICHE TECNICHE: DA GIUNTARE CON: SALDATURA DI TESTA, MANICOTTO ELETTRICO O MANICOTTO DI DILATAZIONE 
LV SALDATURA DI TESTA. INCLUSO: OPERAZIONI DI PREPARAZIONE DI ELEMENTI DA SALDARE; NOLO SALDATRICE; CONSUMI. 
RP SALDATRICE TESTA-TESTA; DIAMETRO OPERATIVO [MM] = 40 ÷ 160. INCLUSO: ACCESSORI (ES. FRESA SPIANATRICE, TERMOELEMENTO, CENTRALINA, TERMOSTATO, ANELLI DI RIDUZIONE). DA CONTEGGIARE A PARTE: SPESE DI ESERCIZIO (RP.01.20.00.1020.A)</t>
        </is>
      </c>
      <c r="M234" s="4" t="inlineStr">
        <is>
          <t>M</t>
        </is>
      </c>
      <c r="N234" s="5" t="n">
        <v>24</v>
      </c>
      <c r="O234" s="6" t="n">
        <v>16.45</v>
      </c>
      <c r="P234" s="6" t="n">
        <v>394.8</v>
      </c>
      <c r="Q234" s="5" t="n"/>
      <c r="R234" s="6" t="n"/>
      <c r="S234" s="6">
        <f>IF(AND(Q234&lt;&gt;"",R234&lt;&gt;""),Q234*R234,"")</f>
        <v/>
      </c>
      <c r="T234" s="6">
        <f>IF(S234="",P234,S234)</f>
        <v/>
      </c>
      <c r="U234" s="7" t="n">
        <v>0</v>
      </c>
      <c r="V234" s="6">
        <f>$T234*U234</f>
        <v/>
      </c>
      <c r="W234" s="7" t="n">
        <v>0</v>
      </c>
      <c r="X234" s="6">
        <f>$T234*W234</f>
        <v/>
      </c>
      <c r="Y234" s="7" t="n">
        <v>0</v>
      </c>
      <c r="Z234" s="6">
        <f>$T234*Y234</f>
        <v/>
      </c>
      <c r="AA234" s="7" t="n">
        <v>0</v>
      </c>
      <c r="AB234" s="6">
        <f>$T234*AA234</f>
        <v/>
      </c>
      <c r="AC234" s="7" t="n">
        <v>0</v>
      </c>
      <c r="AD234" s="6">
        <f>$T234*AC234</f>
        <v/>
      </c>
      <c r="AE234" s="7" t="n">
        <v>0</v>
      </c>
      <c r="AF234" s="6">
        <f>$T234*AE234</f>
        <v/>
      </c>
      <c r="AG234" s="7" t="n">
        <v>0</v>
      </c>
      <c r="AH234" s="6">
        <f>$T234*AG234</f>
        <v/>
      </c>
      <c r="AI234" s="7">
        <f>U234+W234+Y234+AA234+AC234+AE234+AG234</f>
        <v/>
      </c>
      <c r="AJ234" s="6">
        <f>V234+X234+Z234+AB234+AD234+AF234+AH234</f>
        <v/>
      </c>
    </row>
    <row r="235" ht="60" customHeight="1" s="35">
      <c r="A235" s="3" t="inlineStr">
        <is>
          <t>LOM251.OC.EEA.PA15.I7822.D0010.0750.E</t>
        </is>
      </c>
      <c r="B235" s="4" t="inlineStr">
        <is>
          <t>2/3</t>
        </is>
      </c>
      <c r="C235" s="3" t="inlineStr">
        <is>
          <t>IMPIANTO MECCANICO</t>
        </is>
      </c>
      <c r="D235" s="4" t="inlineStr">
        <is>
          <t>NON SPECIALE</t>
        </is>
      </c>
      <c r="E235" s="4" t="inlineStr">
        <is>
          <t>MECCANICHE</t>
        </is>
      </c>
      <c r="F235" s="3" t="inlineStr">
        <is>
          <t>2_CME_TOTALE MECCANICI RADIOFARMACIA PAVIA.PDF</t>
        </is>
      </c>
      <c r="G235" s="4" t="inlineStr">
        <is>
          <t>213/213</t>
        </is>
      </c>
      <c r="H235" s="3" t="inlineStr">
        <is>
          <t>40 - IMPIANTISTICO</t>
        </is>
      </c>
      <c r="I235" s="3" t="inlineStr">
        <is>
          <t>PIANO TERRA</t>
        </is>
      </c>
      <c r="J235" s="3" t="inlineStr">
        <is>
          <t>IMPIANTO IIS E FOGNA</t>
        </is>
      </c>
      <c r="K235" s="3" t="inlineStr">
        <is>
          <t xml:space="preserve">OPERA: TUBAZIONE DI SCARICO DI PLASTICA POLIETILENE AD ALTA DENSITÀ (HDPE/PEAD); FUNZIONE: SCARICO; DIAMETRO ESTERNO (Ø) [MM] = 63. </t>
        </is>
      </c>
      <c r="L235" s="3" t="inlineStr">
        <is>
          <t>OPERA: TUBAZIONE DI SCARICO DI PLASTICA POLIETILENE AD ALTA DENSITÀ (HDPE/PEAD); FUNZIONE: SCARICO; DIAMETRO ESTERNO (Ø) [MM] = 63. 
LAVORO: SALDATURA DI TESTA. INCLUSO: OPERAZIONI DI PREPARAZIONE DI ELEMENTI DA SALDARE; NOLO SALDATRICE; CONSUMI. 
SPECIFICHE TECNICHE: PEAD MALLEABILIZZATO. OP TUBAZIONE DI SCARICO DI PLASTICA POLIETILENE AD ALTA DENSITÀ (HDPE/PEAD); FUNZIONE: SCARICO; DIAMETRO ESTERNO (Ø) [MM] = 63. 
SPECIFICHE TECNICHE: PEAD MALLEABILIZZATO. 
RM TUBO DI PLASTICA POLIETILENE (PE); FINITURA: COLORE NERO; GEOMETRIA: MALLEABILIZZATO; FUNZIONE: SCARICO ACQUE; IMPIEGO: IMPIANTO CIVILE | INDUSTRIALE; DIAMETRO ESTERNO (Ø) [MM] = 63 | SPESSORE [MM] = 3. ESCLUSO: RACCORDI 
SPECIFICHE TECNICHE: DA GIUNTARE CON: SALDATURA DI TESTA, MANICOTTO ELETTRICO O MANICOTTO DI DILATAZIONE 
LV SALDATURA DI TESTA. INCLUSO: OPERAZIONI DI PREPARAZIONE DI ELEMENTI DA SALDARE; NOLO SALDATRICE; CONSUMI. 
RP SALDATRICE TESTA-TESTA; DIAMETRO OPERATIVO [MM] = 40 ÷ 160. INCLUSO: ACCESSORI (ES. FRESA SPIANATRICE, TERMOELEMENTO, CENTRALINA, TERMOSTATO, ANELLI DI RIDUZIONE). DA CONTEGGIARE A PARTE: SPESE DI ESERCIZIO (RP.01.20.00.1020.A)</t>
        </is>
      </c>
      <c r="M235" s="4" t="inlineStr">
        <is>
          <t>M</t>
        </is>
      </c>
      <c r="N235" s="5" t="n">
        <v>24</v>
      </c>
      <c r="O235" s="6" t="n">
        <v>23.72</v>
      </c>
      <c r="P235" s="6" t="n">
        <v>569.28</v>
      </c>
      <c r="Q235" s="5" t="n"/>
      <c r="R235" s="6" t="n"/>
      <c r="S235" s="6">
        <f>IF(AND(Q235&lt;&gt;"",R235&lt;&gt;""),Q235*R235,"")</f>
        <v/>
      </c>
      <c r="T235" s="6">
        <f>IF(S235="",P235,S235)</f>
        <v/>
      </c>
      <c r="U235" s="7" t="n">
        <v>0</v>
      </c>
      <c r="V235" s="6">
        <f>$T235*U235</f>
        <v/>
      </c>
      <c r="W235" s="7" t="n">
        <v>0</v>
      </c>
      <c r="X235" s="6">
        <f>$T235*W235</f>
        <v/>
      </c>
      <c r="Y235" s="7" t="n">
        <v>0</v>
      </c>
      <c r="Z235" s="6">
        <f>$T235*Y235</f>
        <v/>
      </c>
      <c r="AA235" s="7" t="n">
        <v>0</v>
      </c>
      <c r="AB235" s="6">
        <f>$T235*AA235</f>
        <v/>
      </c>
      <c r="AC235" s="7" t="n">
        <v>0</v>
      </c>
      <c r="AD235" s="6">
        <f>$T235*AC235</f>
        <v/>
      </c>
      <c r="AE235" s="7" t="n">
        <v>0</v>
      </c>
      <c r="AF235" s="6">
        <f>$T235*AE235</f>
        <v/>
      </c>
      <c r="AG235" s="7" t="n">
        <v>0</v>
      </c>
      <c r="AH235" s="6">
        <f>$T235*AG235</f>
        <v/>
      </c>
      <c r="AI235" s="7">
        <f>U235+W235+Y235+AA235+AC235+AE235+AG235</f>
        <v/>
      </c>
      <c r="AJ235" s="6">
        <f>V235+X235+Z235+AB235+AD235+AF235+AH235</f>
        <v/>
      </c>
    </row>
    <row r="236" ht="60" customHeight="1" s="35">
      <c r="A236" s="3" t="inlineStr">
        <is>
          <t>LOM251.OC.EEA.PA15.I7822.D0010.0750.H</t>
        </is>
      </c>
      <c r="B236" s="4" t="inlineStr">
        <is>
          <t>2/3</t>
        </is>
      </c>
      <c r="C236" s="3" t="inlineStr">
        <is>
          <t>IMPIANTO MECCANICO</t>
        </is>
      </c>
      <c r="D236" s="4" t="inlineStr">
        <is>
          <t>NON SPECIALE</t>
        </is>
      </c>
      <c r="E236" s="4" t="inlineStr">
        <is>
          <t>MECCANICHE</t>
        </is>
      </c>
      <c r="F236" s="3" t="inlineStr">
        <is>
          <t>2_CME_TOTALE MECCANICI RADIOFARMACIA PAVIA.PDF</t>
        </is>
      </c>
      <c r="G236" s="4" t="inlineStr">
        <is>
          <t>214/214</t>
        </is>
      </c>
      <c r="H236" s="3" t="inlineStr">
        <is>
          <t>40 - IMPIANTISTICO</t>
        </is>
      </c>
      <c r="I236" s="3" t="inlineStr">
        <is>
          <t>PIANO TERRA</t>
        </is>
      </c>
      <c r="J236" s="3" t="inlineStr">
        <is>
          <t>IMPIANTO IIS E FOGNA</t>
        </is>
      </c>
      <c r="K236" s="3" t="inlineStr">
        <is>
          <t xml:space="preserve">OPERA: TUBAZIONE DI SCARICO DI PLASTICA POLIETILENE AD ALTA DENSITÀ (HDPE/PEAD); FUNZIONE: SCARICO; DIAMETRO ESTERNO (Ø) [MM] = 110. </t>
        </is>
      </c>
      <c r="L236" s="3" t="inlineStr">
        <is>
          <t>OPERA: TUBAZIONE DI SCARICO DI PLASTICA POLIETILENE AD ALTA DENSITÀ (HDPE/PEAD); FUNZIONE: SCARICO; DIAMETRO ESTERNO (Ø) [MM] = 110. 
LAVORO: SALDATURA DI TESTA. INCLUSO: OPERAZIONI DI PREPARAZIONE DI ELEMENTI DA SALDARE; NOLO SALDATRICE; CONSUMI. 
SPECIFICHE TECNICHE: PEAD MALLEABILIZZATO. OP TUBAZIONE DI SCARICO DI PLASTICA POLIETILENE AD ALTA DENSITÀ (HDPE/PEAD); FUNZIONE: SCARICO; DIAMETRO ESTERNO (Ø) [MM] = 110. 
SPECIFICHE TECNICHE: PEAD MALLEABILIZZATO. 
RM TUBO DI PLASTICA POLIETILENE (PE); FINITURA: COLORE NERO; GEOMETRIA: MALLEABILIZZATO; FUNZIONE: SCARICO ACQUE; IMPIEGO: IMPIANTO CIVILE | INDUSTRIALE; DIAMETRO ESTERNO (Ø) [MM] = 110 | SPESSORE [MM] = 4,3. ESCLUSO: RACCORDI 
SPECIFICHE TECNICHE: DA GIUNTARE CON: SALDATURA DI TESTA, MANICOTTO ELETTRICO O MANICOTTO DI DILATAZIONE 
LV SALDATURA DI TESTA. INCLUSO: OPERAZIONI DI PREPARAZIONE DI ELEMENTI DA SALDARE; NOLO SALDATRICE; CONSUMI. 
RP SALDATRICE TESTA-TESTA; DIAMETRO OPERATIVO [MM] = 40 ÷ 160. INCLUSO: ACCESSORI (ES. FRESA SPIANATRICE, TERMOELEMENTO, CENTRALINA, TERMOSTATO, ANELLI DI RIDUZIONE). DA CONTEGGIARE A PARTE: SPESE DI ESERCIZIO (RP.01.20.00.1020.A)</t>
        </is>
      </c>
      <c r="M236" s="4" t="inlineStr">
        <is>
          <t>M</t>
        </is>
      </c>
      <c r="N236" s="5" t="n">
        <v>24</v>
      </c>
      <c r="O236" s="6" t="n">
        <v>42.38</v>
      </c>
      <c r="P236" s="6" t="n">
        <v>1017.12</v>
      </c>
      <c r="Q236" s="5" t="n"/>
      <c r="R236" s="6" t="n"/>
      <c r="S236" s="6">
        <f>IF(AND(Q236&lt;&gt;"",R236&lt;&gt;""),Q236*R236,"")</f>
        <v/>
      </c>
      <c r="T236" s="6">
        <f>IF(S236="",P236,S236)</f>
        <v/>
      </c>
      <c r="U236" s="7" t="n">
        <v>0</v>
      </c>
      <c r="V236" s="6">
        <f>$T236*U236</f>
        <v/>
      </c>
      <c r="W236" s="7" t="n">
        <v>0.75</v>
      </c>
      <c r="X236" s="6">
        <f>$T236*W236</f>
        <v/>
      </c>
      <c r="Y236" s="7" t="n">
        <v>0</v>
      </c>
      <c r="Z236" s="6">
        <f>$T236*Y236</f>
        <v/>
      </c>
      <c r="AA236" s="7" t="n">
        <v>0</v>
      </c>
      <c r="AB236" s="6">
        <f>$T236*AA236</f>
        <v/>
      </c>
      <c r="AC236" s="7" t="n">
        <v>0</v>
      </c>
      <c r="AD236" s="6">
        <f>$T236*AC236</f>
        <v/>
      </c>
      <c r="AE236" s="7" t="n">
        <v>0</v>
      </c>
      <c r="AF236" s="6">
        <f>$T236*AE236</f>
        <v/>
      </c>
      <c r="AG236" s="7" t="n">
        <v>0</v>
      </c>
      <c r="AH236" s="6">
        <f>$T236*AG236</f>
        <v/>
      </c>
      <c r="AI236" s="7">
        <f>U236+W236+Y236+AA236+AC236+AE236+AG236</f>
        <v/>
      </c>
      <c r="AJ236" s="6">
        <f>V236+X236+Z236+AB236+AD236+AF236+AH236</f>
        <v/>
      </c>
    </row>
    <row r="237" ht="60" customHeight="1" s="35">
      <c r="A237" s="3" t="inlineStr">
        <is>
          <t>LOM251.OC.EEA.PA15.I7822.D0010.0750.I</t>
        </is>
      </c>
      <c r="B237" s="4" t="inlineStr">
        <is>
          <t>2/3</t>
        </is>
      </c>
      <c r="C237" s="3" t="inlineStr">
        <is>
          <t>IMPIANTO MECCANICO</t>
        </is>
      </c>
      <c r="D237" s="4" t="inlineStr">
        <is>
          <t>NON SPECIALE</t>
        </is>
      </c>
      <c r="E237" s="4" t="inlineStr">
        <is>
          <t>MECCANICHE</t>
        </is>
      </c>
      <c r="F237" s="3" t="inlineStr">
        <is>
          <t>2_CME_TOTALE MECCANICI RADIOFARMACIA PAVIA.PDF</t>
        </is>
      </c>
      <c r="G237" s="4" t="inlineStr">
        <is>
          <t>215/215</t>
        </is>
      </c>
      <c r="H237" s="3" t="inlineStr">
        <is>
          <t>40 - IMPIANTISTICO</t>
        </is>
      </c>
      <c r="I237" s="3" t="inlineStr">
        <is>
          <t>PIANO TERRA</t>
        </is>
      </c>
      <c r="J237" s="3" t="inlineStr">
        <is>
          <t>IMPIANTO IIS E FOGNA</t>
        </is>
      </c>
      <c r="K237" s="3" t="inlineStr">
        <is>
          <t xml:space="preserve">OPERA: TUBAZIONE DI SCARICO DI PLASTICA POLIETILENE AD ALTA DENSITÀ (HDPE/PEAD); FUNZIONE: SCARICO; DIAMETRO ESTERNO (Ø) [MM] = 125. </t>
        </is>
      </c>
      <c r="L237" s="3" t="inlineStr">
        <is>
          <t>OPERA: TUBAZIONE DI SCARICO DI PLASTICA POLIETILENE AD ALTA DENSITÀ (HDPE/PEAD); FUNZIONE: SCARICO; DIAMETRO ESTERNO (Ø) [MM] = 125. 
LAVORO: SALDATURA DI TESTA. INCLUSO: OPERAZIONI DI PREPARAZIONE DI ELEMENTI DA SALDARE; NOLO SALDATRICE; CONSUMI. 
SPECIFICHE TECNICHE: PEAD MALLEABILIZZATO. OP TUBAZIONE DI SCARICO DI PLASTICA POLIETILENE AD ALTA DENSITÀ (HDPE/PEAD); FUNZIONE: SCARICO; DIAMETRO ESTERNO (Ø) [MM] = 125. 
SPECIFICHE TECNICHE: PEAD MALLEABILIZZATO. 
RM TUBO DI PLASTICA POLIETILENE (PE); FINITURA: COLORE NERO; GEOMETRIA: MALLEABILIZZATO; FUNZIONE: SCARICO ACQUE; IMPIEGO: IMPIANTO CIVILE | INDUSTRIALE; DIAMETRO ESTERNO (Ø) [MM] = 125 | SPESSORE [MM] = 4,9. ESCLUSO: RACCORDI 
SPECIFICHE TECNICHE: DA GIUNTARE CON: SALDATURA DI TESTA, MANICOTTO ELETTRICO O MANICOTTO DI DILATAZIONE 
LV SALDATURA DI TESTA. INCLUSO: OPERAZIONI DI PREPARAZIONE DI ELEMENTI DA SALDARE; NOLO SALDATRICE; CONSUMI. 
RP SALDATRICE TESTA-TESTA; DIAMETRO OPERATIVO [MM] = 75 ÷ 250. INCLUSO: ACCESSORI (ES. FRESA SPIANATRICE, TERMOELEMENTO, CENTRALINA, TERMOSTATO, ANELLI DI RIDUZIONE). DA CONTEGGIARE A PARTE: SPESE DI ESERCIZIO (RP.01.20.00.1020.B)</t>
        </is>
      </c>
      <c r="M237" s="4" t="inlineStr">
        <is>
          <t>M</t>
        </is>
      </c>
      <c r="N237" s="5" t="n">
        <v>16</v>
      </c>
      <c r="O237" s="6" t="n">
        <v>56.93</v>
      </c>
      <c r="P237" s="6" t="n">
        <v>910.88</v>
      </c>
      <c r="Q237" s="5" t="n"/>
      <c r="R237" s="6" t="n"/>
      <c r="S237" s="6">
        <f>IF(AND(Q237&lt;&gt;"",R237&lt;&gt;""),Q237*R237,"")</f>
        <v/>
      </c>
      <c r="T237" s="6">
        <f>IF(S237="",P237,S237)</f>
        <v/>
      </c>
      <c r="U237" s="7" t="n">
        <v>0</v>
      </c>
      <c r="V237" s="6">
        <f>$T237*U237</f>
        <v/>
      </c>
      <c r="W237" s="7" t="n">
        <v>0.75</v>
      </c>
      <c r="X237" s="6">
        <f>$T237*W237</f>
        <v/>
      </c>
      <c r="Y237" s="7" t="n">
        <v>0</v>
      </c>
      <c r="Z237" s="6">
        <f>$T237*Y237</f>
        <v/>
      </c>
      <c r="AA237" s="7" t="n">
        <v>0</v>
      </c>
      <c r="AB237" s="6">
        <f>$T237*AA237</f>
        <v/>
      </c>
      <c r="AC237" s="7" t="n">
        <v>0</v>
      </c>
      <c r="AD237" s="6">
        <f>$T237*AC237</f>
        <v/>
      </c>
      <c r="AE237" s="7" t="n">
        <v>0</v>
      </c>
      <c r="AF237" s="6">
        <f>$T237*AE237</f>
        <v/>
      </c>
      <c r="AG237" s="7" t="n">
        <v>0</v>
      </c>
      <c r="AH237" s="6">
        <f>$T237*AG237</f>
        <v/>
      </c>
      <c r="AI237" s="7">
        <f>U237+W237+Y237+AA237+AC237+AE237+AG237</f>
        <v/>
      </c>
      <c r="AJ237" s="6">
        <f>V237+X237+Z237+AB237+AD237+AF237+AH237</f>
        <v/>
      </c>
    </row>
    <row r="238" ht="60" customHeight="1" s="35">
      <c r="A238" s="3" t="inlineStr">
        <is>
          <t>LOM251.OC.EEA.PA15.I7822.D0010.0750.J</t>
        </is>
      </c>
      <c r="B238" s="4" t="inlineStr">
        <is>
          <t>1/2</t>
        </is>
      </c>
      <c r="C238" s="3" t="inlineStr">
        <is>
          <t>IMPIANTO MECCANICO</t>
        </is>
      </c>
      <c r="D238" s="4" t="inlineStr">
        <is>
          <t>NON SPECIALE</t>
        </is>
      </c>
      <c r="E238" s="4" t="inlineStr">
        <is>
          <t>MECCANICHE</t>
        </is>
      </c>
      <c r="F238" s="3" t="inlineStr">
        <is>
          <t>2_CME_TOTALE MECCANICI RADIOFARMACIA PAVIA.PDF</t>
        </is>
      </c>
      <c r="G238" s="4" t="inlineStr">
        <is>
          <t>216/216</t>
        </is>
      </c>
      <c r="H238" s="3" t="inlineStr">
        <is>
          <t>40 - IMPIANTISTICO</t>
        </is>
      </c>
      <c r="I238" s="3" t="inlineStr">
        <is>
          <t>PIANO TERRA</t>
        </is>
      </c>
      <c r="J238" s="3" t="inlineStr">
        <is>
          <t>IMPIANTO IIS E FOGNA</t>
        </is>
      </c>
      <c r="K238" s="3" t="inlineStr">
        <is>
          <t xml:space="preserve">OPERA: TUBAZIONE DI SCARICO DI PLASTICA POLIETILENE AD ALTA DENSITÀ (HDPE/PEAD); FUNZIONE: SCARICO; DIAMETRO ESTERNO (Ø) [MM] = 160. </t>
        </is>
      </c>
      <c r="L238" s="3" t="inlineStr">
        <is>
          <t>OPERA: TUBAZIONE DI SCARICO DI PLASTICA POLIETILENE AD ALTA DENSITÀ (HDPE/PEAD); FUNZIONE: SCARICO; DIAMETRO ESTERNO (Ø) [MM] = 160. 
LAVORO: SALDATURA DI TESTA. INCLUSO: OPERAZIONI DI PREPARAZIONE DI ELEMENTI DA SALDARE; NOLO SALDATRICE; CONSUMI. 
SPECIFICHE TECNICHE: PEAD MALLEABILIZZATO. OP TUBAZIONE DI SCARICO DI PLASTICA POLIETILENE AD ALTA DENSITÀ (HDPE/PEAD); FUNZIONE: SCARICO; DIAMETRO ESTERNO (Ø) [MM] = 160. 
SPECIFICHE TECNICHE: PEAD MALLEABILIZZATO. 
RM TUBO DI PLASTICA POLIETILENE (PE); FINITURA: COLORE NERO; GEOMETRIA: MALLEABILIZZATO; FUNZIONE: SCARICO ACQUE; IMPIEGO: IMPIANTO CIVILE | INDUSTRIALE; DIAMETRO ESTERNO (Ø) [MM] = 160 | SPESSORE [MM] = 6,2. ESCLUSO: RACCORDI 
SPECIFICHE TECNICHE: DA GIUNTARE CON: SALDATURA DI TESTA, MANICOTTO ELETTRICO O MANICOTTO DI DILATAZIONE 
LV SALDATURA DI TESTA. INCLUSO: OPERAZIONI DI PREPARAZIONE DI ELEMENTI DA SALDARE; NOLO SALDATRICE; CONSUMI. 
RP SALDATRICE TESTA-TESTA; DIAMETRO OPERATIVO [MM] = 75 ÷ 250. INCLUSO: ACCESSORI (ES. FRESA SPIANATRICE, TERMOELEMENTO, CENTRALINA, TERMOSTATO, ANELLI DI RIDUZIONE). DA CONTEGGIARE A PARTE: SPESE DI ESERCIZIO (RP.01.20.00.1020.B)</t>
        </is>
      </c>
      <c r="M238" s="4" t="inlineStr">
        <is>
          <t>M</t>
        </is>
      </c>
      <c r="N238" s="5" t="n">
        <v>8</v>
      </c>
      <c r="O238" s="6" t="n">
        <v>67.68000000000001</v>
      </c>
      <c r="P238" s="6" t="n">
        <v>541.4400000000001</v>
      </c>
      <c r="Q238" s="5" t="n"/>
      <c r="R238" s="6" t="n"/>
      <c r="S238" s="6">
        <f>IF(AND(Q238&lt;&gt;"",R238&lt;&gt;""),Q238*R238,"")</f>
        <v/>
      </c>
      <c r="T238" s="6">
        <f>IF(S238="",P238,S238)</f>
        <v/>
      </c>
      <c r="U238" s="7" t="n">
        <v>0</v>
      </c>
      <c r="V238" s="6">
        <f>$T238*U238</f>
        <v/>
      </c>
      <c r="W238" s="7" t="n">
        <v>0.75</v>
      </c>
      <c r="X238" s="6">
        <f>$T238*W238</f>
        <v/>
      </c>
      <c r="Y238" s="7" t="n">
        <v>0</v>
      </c>
      <c r="Z238" s="6">
        <f>$T238*Y238</f>
        <v/>
      </c>
      <c r="AA238" s="7" t="n">
        <v>0</v>
      </c>
      <c r="AB238" s="6">
        <f>$T238*AA238</f>
        <v/>
      </c>
      <c r="AC238" s="7" t="n">
        <v>0</v>
      </c>
      <c r="AD238" s="6">
        <f>$T238*AC238</f>
        <v/>
      </c>
      <c r="AE238" s="7" t="n">
        <v>0</v>
      </c>
      <c r="AF238" s="6">
        <f>$T238*AE238</f>
        <v/>
      </c>
      <c r="AG238" s="7" t="n">
        <v>0</v>
      </c>
      <c r="AH238" s="6">
        <f>$T238*AG238</f>
        <v/>
      </c>
      <c r="AI238" s="7">
        <f>U238+W238+Y238+AA238+AC238+AE238+AG238</f>
        <v/>
      </c>
      <c r="AJ238" s="6">
        <f>V238+X238+Z238+AB238+AD238+AF238+AH238</f>
        <v/>
      </c>
    </row>
    <row r="239" ht="60" customHeight="1" s="35">
      <c r="A239" s="3" t="inlineStr">
        <is>
          <t>LOM251.OC.EEA.PA02.I7816.SB030.0000</t>
        </is>
      </c>
      <c r="B239" s="4" t="inlineStr">
        <is>
          <t>1/1</t>
        </is>
      </c>
      <c r="C239" s="3" t="inlineStr">
        <is>
          <t>IMPIANTO MECCANICO</t>
        </is>
      </c>
      <c r="D239" s="4" t="inlineStr">
        <is>
          <t>NON SPECIALE</t>
        </is>
      </c>
      <c r="E239" s="4" t="inlineStr">
        <is>
          <t>MECCANICHE</t>
        </is>
      </c>
      <c r="F239" s="3" t="inlineStr">
        <is>
          <t>2_CME_TOTALE MECCANICI RADIOFARMACIA PAVIA.PDF</t>
        </is>
      </c>
      <c r="G239" s="4" t="inlineStr">
        <is>
          <t>217/217</t>
        </is>
      </c>
      <c r="H239" s="3" t="inlineStr">
        <is>
          <t>40 - IMPIANTISTICO</t>
        </is>
      </c>
      <c r="I239" s="3" t="n"/>
      <c r="J239" s="3" t="inlineStr">
        <is>
          <t>IMPIANTO ACQUE METEORICHE</t>
        </is>
      </c>
      <c r="K239" s="3" t="inlineStr">
        <is>
          <t xml:space="preserve">OPERA: PLUVIALE, TERMINALE DI LEGA FERROSA GHISA GENERICO. INCLUSO: ACCESSORI DI FISSAGGIO. </t>
        </is>
      </c>
      <c r="L239" s="3" t="inlineStr">
        <is>
          <t>OPERA: PLUVIALE, TERMINALE DI LEGA FERROSA GHISA GENERICO. INCLUSO: ACCESSORI DI FISSAGGIO. 
LAVORO: POSA. INCLUSO: ASSISTENZE MURARIE. OP PLUVIALE, TERMINALE DI LEGA FERROSA GHISA GENERICO. INCLUSO: ACCESSORI DI FISSAGGIO. 
RM TUBO TERMINALE PLUVIALE DI LEGA FERROSA GHISA GENERICO; GEOMETRIA: DRITTO; IMPIEGO: PLUVIALI; DIAMETRO (Ø) [MM] = 80 | LUNGHEZZA [M] = 1,5 
LV POSA. INCLUSO: ASSISTENZE MURARIE.</t>
        </is>
      </c>
      <c r="M239" s="4" t="inlineStr">
        <is>
          <t>CAD</t>
        </is>
      </c>
      <c r="N239" s="5" t="n">
        <v>9</v>
      </c>
      <c r="O239" s="6" t="n">
        <v>147.84</v>
      </c>
      <c r="P239" s="6" t="n">
        <v>1330.56</v>
      </c>
      <c r="Q239" s="5" t="n"/>
      <c r="R239" s="6" t="n"/>
      <c r="S239" s="6">
        <f>IF(AND(Q239&lt;&gt;"",R239&lt;&gt;""),Q239*R239,"")</f>
        <v/>
      </c>
      <c r="T239" s="6">
        <f>IF(S239="",P239,S239)</f>
        <v/>
      </c>
      <c r="U239" s="7" t="n">
        <v>0</v>
      </c>
      <c r="V239" s="6">
        <f>$T239*U239</f>
        <v/>
      </c>
      <c r="W239" s="7" t="n">
        <v>0.5</v>
      </c>
      <c r="X239" s="6">
        <f>$T239*W239</f>
        <v/>
      </c>
      <c r="Y239" s="7" t="n">
        <v>0</v>
      </c>
      <c r="Z239" s="6">
        <f>$T239*Y239</f>
        <v/>
      </c>
      <c r="AA239" s="7" t="n">
        <v>0</v>
      </c>
      <c r="AB239" s="6">
        <f>$T239*AA239</f>
        <v/>
      </c>
      <c r="AC239" s="7" t="n">
        <v>0</v>
      </c>
      <c r="AD239" s="6">
        <f>$T239*AC239</f>
        <v/>
      </c>
      <c r="AE239" s="7" t="n">
        <v>0</v>
      </c>
      <c r="AF239" s="6">
        <f>$T239*AE239</f>
        <v/>
      </c>
      <c r="AG239" s="7" t="n">
        <v>0</v>
      </c>
      <c r="AH239" s="6">
        <f>$T239*AG239</f>
        <v/>
      </c>
      <c r="AI239" s="7">
        <f>U239+W239+Y239+AA239+AC239+AE239+AG239</f>
        <v/>
      </c>
      <c r="AJ239" s="6">
        <f>V239+X239+Z239+AB239+AD239+AF239+AH239</f>
        <v/>
      </c>
    </row>
    <row r="240" ht="60" customHeight="1" s="35">
      <c r="A240" s="3" t="inlineStr">
        <is>
          <t>LOM251.OC.EEA.PA02.I7836.D0019.0020</t>
        </is>
      </c>
      <c r="B240" s="4" t="inlineStr">
        <is>
          <t>1/1</t>
        </is>
      </c>
      <c r="C240" s="3" t="inlineStr">
        <is>
          <t>IMPIANTO MECCANICO</t>
        </is>
      </c>
      <c r="D240" s="4" t="inlineStr">
        <is>
          <t>NON SPECIALE</t>
        </is>
      </c>
      <c r="E240" s="4" t="inlineStr">
        <is>
          <t>MECCANICHE</t>
        </is>
      </c>
      <c r="F240" s="3" t="inlineStr">
        <is>
          <t>2_CME_TOTALE MECCANICI RADIOFARMACIA PAVIA.PDF</t>
        </is>
      </c>
      <c r="G240" s="4" t="inlineStr">
        <is>
          <t>218/218</t>
        </is>
      </c>
      <c r="H240" s="3" t="inlineStr">
        <is>
          <t>40 - IMPIANTISTICO</t>
        </is>
      </c>
      <c r="I240" s="3" t="n"/>
      <c r="J240" s="3" t="inlineStr">
        <is>
          <t>IMPIANTO ACQUE METEORICHE</t>
        </is>
      </c>
      <c r="K240" s="3" t="inlineStr">
        <is>
          <t>OPERA: TUBAZIONE DI VENTILAZIONE, A BICCHIERE AD INCOLLAGGIO DI PLASTICA POLIVINCLORURO NON PLASTIFICATO (PVC-U); FINITURA: COLORE AVORIO | COLORE GRIGIO | COLORE MARRONE; IMPIEGO: VENTILAZIONE E PLUV</t>
        </is>
      </c>
      <c r="L240" s="3" t="inlineStr">
        <is>
          <t>OPERA: TUBAZIONE DI VENTILAZIONE, A BICCHIERE AD INCOLLAGGIO DI PLASTICA POLIVINCLORURO NON PLASTIFICATO (PVC-U); FINITURA: COLORE AVORIO | COLORE GRIGIO | COLORE MARRONE; IMPIEGO: VENTILAZIONE E PLUVIALI; DIAMETRO ESTERNO (Ø) [MM] = 80 | SPESSORE [MM] = 1,5. 
LAVORO: POSA. INCLUSO: ONERI DI FISSAGGIO A PARETE; ONERI DI FISSAGGIO A SOFFITTI; ONERI ATTRAVERSAMENTI DELLE STRUTTURE. 
SPECIFICHE TECNICHE: COLORE GRIGIO (RAL 7037); COLORE MARRONE (RAL 8017). OP TUBAZIONE DI VENTILAZIONE, A BICCHIERE AD INCOLLAGGIO DI PLASTICA POLIVINCLORURO NON PLASTIFICATO (PVC-U); FINITURA: COLORE AVORIO | COLORE GRIGIO | COLORE MARRONE; IMPIEGO: VENTILAZIONE E PLUVIALI; DIAMETRO ESTERNO (Ø) [MM] = 80 | SPESSORE [MM] = 1,5. 
SPECIFICHE TECNICHE: COLORE GRIGIO (RAL 7037); COLORE MARRONE (RAL 8017). 
RM TUBO A BICCHIERE AD INCOLLAGGIO DI PLASTICA POLIVINCLORURO NON PLASTIFICATO (PVC-U); FINITURA: COLORE AVORIO | COLORE GRIGIO | COLORE MARRONE; IMPIEGO: CONDOTTE DI VENTILAZIONE | PLUVIALI; DIAMETRO ESTERNO (Ø) [MM] = 80 | SPESSORE [MM] = 1,5 
SPECIFICHE TECNICHE: COLORI RAL 7037 E RAL 8017 
RM SISTEMA DI FISSAGGIO DI PLASTICA POLIVINILCLORURO (PVC); FUNZIONE: VENTILAZIONE | PLUVIALI; IMPIEGO: TUBO DI DIAMETRO ESTERNO [MM] = 80; SPESSORE [MM] = 1,5 
LV POSA. INCLUSO: ONERI DI FISSAGGIO A PARETE; ONERI DI FISSAGGIO A SOFFITTI; ONERI ATTRAVERSAMENTI DELLE STRUTTURE.</t>
        </is>
      </c>
      <c r="M240" s="4" t="inlineStr">
        <is>
          <t>M</t>
        </is>
      </c>
      <c r="N240" s="5" t="n">
        <v>55</v>
      </c>
      <c r="O240" s="6" t="n">
        <v>30.36</v>
      </c>
      <c r="P240" s="6" t="n">
        <v>1669.8</v>
      </c>
      <c r="Q240" s="5" t="n"/>
      <c r="R240" s="6" t="n"/>
      <c r="S240" s="6">
        <f>IF(AND(Q240&lt;&gt;"",R240&lt;&gt;""),Q240*R240,"")</f>
        <v/>
      </c>
      <c r="T240" s="6">
        <f>IF(S240="",P240,S240)</f>
        <v/>
      </c>
      <c r="U240" s="7" t="n">
        <v>0</v>
      </c>
      <c r="V240" s="6">
        <f>$T240*U240</f>
        <v/>
      </c>
      <c r="W240" s="7" t="n">
        <v>0.5</v>
      </c>
      <c r="X240" s="6">
        <f>$T240*W240</f>
        <v/>
      </c>
      <c r="Y240" s="7" t="n">
        <v>0</v>
      </c>
      <c r="Z240" s="6">
        <f>$T240*Y240</f>
        <v/>
      </c>
      <c r="AA240" s="7" t="n">
        <v>0</v>
      </c>
      <c r="AB240" s="6">
        <f>$T240*AA240</f>
        <v/>
      </c>
      <c r="AC240" s="7" t="n">
        <v>0</v>
      </c>
      <c r="AD240" s="6">
        <f>$T240*AC240</f>
        <v/>
      </c>
      <c r="AE240" s="7" t="n">
        <v>0</v>
      </c>
      <c r="AF240" s="6">
        <f>$T240*AE240</f>
        <v/>
      </c>
      <c r="AG240" s="7" t="n">
        <v>0</v>
      </c>
      <c r="AH240" s="6">
        <f>$T240*AG240</f>
        <v/>
      </c>
      <c r="AI240" s="7">
        <f>U240+W240+Y240+AA240+AC240+AE240+AG240</f>
        <v/>
      </c>
      <c r="AJ240" s="6">
        <f>V240+X240+Z240+AB240+AD240+AF240+AH240</f>
        <v/>
      </c>
    </row>
    <row r="241" ht="60" customHeight="1" s="35">
      <c r="A241" s="3" t="inlineStr">
        <is>
          <t>LOM251.OC.EEA.PA02.I7836.D0019.0025</t>
        </is>
      </c>
      <c r="B241" s="4" t="inlineStr">
        <is>
          <t>1/1</t>
        </is>
      </c>
      <c r="C241" s="3" t="inlineStr">
        <is>
          <t>IMPIANTO MECCANICO</t>
        </is>
      </c>
      <c r="D241" s="4" t="inlineStr">
        <is>
          <t>NON SPECIALE</t>
        </is>
      </c>
      <c r="E241" s="4" t="inlineStr">
        <is>
          <t>MECCANICHE</t>
        </is>
      </c>
      <c r="F241" s="3" t="inlineStr">
        <is>
          <t>2_CME_TOTALE MECCANICI RADIOFARMACIA PAVIA.PDF</t>
        </is>
      </c>
      <c r="G241" s="4" t="inlineStr">
        <is>
          <t>219/219</t>
        </is>
      </c>
      <c r="H241" s="3" t="inlineStr">
        <is>
          <t>40 - IMPIANTISTICO</t>
        </is>
      </c>
      <c r="I241" s="3" t="n"/>
      <c r="J241" s="3" t="inlineStr">
        <is>
          <t>IMPIANTO ACQUE METEORICHE</t>
        </is>
      </c>
      <c r="K241" s="3" t="inlineStr">
        <is>
          <t>OPERA: TUBAZIONE DI VENTILAZIONE, A BICCHIERE AD INCOLLAGGIO DI PLASTICA POLIVINCLORURO NON PLASTIFICATO (PVC-U); FINITURA: COLORE AVORIO | COLORE GRIGIO | COLORE MARRONE; IMPIEGO: VENTILAZIONE E PLUV</t>
        </is>
      </c>
      <c r="L241" s="3" t="inlineStr">
        <is>
          <t>OPERA: TUBAZIONE DI VENTILAZIONE, A BICCHIERE AD INCOLLAGGIO DI PLASTICA POLIVINCLORURO NON PLASTIFICATO (PVC-U); FINITURA: COLORE AVORIO | COLORE GRIGIO | COLORE MARRONE; IMPIEGO: VENTILAZIONE E PLUVIALI; DIAMETRO ESTERNO (Ø) [MM] = 100 | SPESSORE [MM] = 1,7. 
LAVORO: POSA. INCLUSO: ONERI DI FISSAGGIO A PARETE; ONERI DI FISSAGGIO A SOFFITTI; ONERI ATTRAVERSAMENTI DELLE STRUTTURE. 
SPECIFICHE TECNICHE: COLORE GRIGIO (RAL 7037); COLORE MARRONE (RAL 8017). OP TUBAZIONE DI VENTILAZIONE, A BICCHIERE AD INCOLLAGGIO DI PLASTICA POLIVINCLORURO NON PLASTIFICATO (PVC-U); FINITURA: COLORE AVORIO | COLORE GRIGIO | COLORE MARRONE; IMPIEGO: VENTILAZIONE E PLUVIALI; DIAMETRO ESTERNO (Ø) [MM] = 100 | SPESSORE [MM] = 1,7. 
SPECIFICHE TECNICHE: COLORE GRIGIO (RAL 7037); COLORE MARRONE (RAL 8017). 
RM TUBO A BICCHIERE AD INCOLLAGGIO DI PLASTICA POLIVINCLORURO NON PLASTIFICATO (PVC-U); FINITURA: COLORE AVORIO | COLORE GRIGIO | COLORE MARRONE; IMPIEGO: CONDOTTE DI VENTILAZIONE | PLUVIALI; DIAMETRO ESTERNO (Ø) [MM] = 100 | SPESSORE [MM] = 1,7 
SPECIFICHE TECNICHE: COLORI RAL 7037 E RAL 8017 
RM SISTEMA DI FISSAGGIO DI PLASTICA POLIVINILCLORURO (PVC); FUNZIONE: VENTILAZIONE | PLUVIALI; IMPIEGO: TUBO DI DIAMETRO ESTERNO [MM] = 100; SPESSORE [MM] = 1,7 
LV POSA. INCLUSO: ONERI DI FISSAGGIO A PARETE; ONERI DI FISSAGGIO A SOFFITTI; ONERI ATTRAVERSAMENTI DELLE STRUTTURE.</t>
        </is>
      </c>
      <c r="M241" s="4" t="inlineStr">
        <is>
          <t>M</t>
        </is>
      </c>
      <c r="N241" s="5" t="n">
        <v>15</v>
      </c>
      <c r="O241" s="6" t="n">
        <v>36.37</v>
      </c>
      <c r="P241" s="6" t="n">
        <v>545.55</v>
      </c>
      <c r="Q241" s="5" t="n"/>
      <c r="R241" s="6" t="n"/>
      <c r="S241" s="6">
        <f>IF(AND(Q241&lt;&gt;"",R241&lt;&gt;""),Q241*R241,"")</f>
        <v/>
      </c>
      <c r="T241" s="6">
        <f>IF(S241="",P241,S241)</f>
        <v/>
      </c>
      <c r="U241" s="7" t="n">
        <v>0</v>
      </c>
      <c r="V241" s="6">
        <f>$T241*U241</f>
        <v/>
      </c>
      <c r="W241" s="7" t="n">
        <v>0.5</v>
      </c>
      <c r="X241" s="6">
        <f>$T241*W241</f>
        <v/>
      </c>
      <c r="Y241" s="7" t="n">
        <v>0</v>
      </c>
      <c r="Z241" s="6">
        <f>$T241*Y241</f>
        <v/>
      </c>
      <c r="AA241" s="7" t="n">
        <v>0</v>
      </c>
      <c r="AB241" s="6">
        <f>$T241*AA241</f>
        <v/>
      </c>
      <c r="AC241" s="7" t="n">
        <v>0</v>
      </c>
      <c r="AD241" s="6">
        <f>$T241*AC241</f>
        <v/>
      </c>
      <c r="AE241" s="7" t="n">
        <v>0</v>
      </c>
      <c r="AF241" s="6">
        <f>$T241*AE241</f>
        <v/>
      </c>
      <c r="AG241" s="7" t="n">
        <v>0</v>
      </c>
      <c r="AH241" s="6">
        <f>$T241*AG241</f>
        <v/>
      </c>
      <c r="AI241" s="7">
        <f>U241+W241+Y241+AA241+AC241+AE241+AG241</f>
        <v/>
      </c>
      <c r="AJ241" s="6">
        <f>V241+X241+Z241+AB241+AD241+AF241+AH241</f>
        <v/>
      </c>
    </row>
    <row r="242" ht="60" customHeight="1" s="35">
      <c r="A242" s="3" t="inlineStr">
        <is>
          <t>LOM251.OC.EEA.PA02.I7836.D0019.0030</t>
        </is>
      </c>
      <c r="B242" s="4" t="inlineStr">
        <is>
          <t>1/1</t>
        </is>
      </c>
      <c r="C242" s="3" t="inlineStr">
        <is>
          <t>IMPIANTO MECCANICO</t>
        </is>
      </c>
      <c r="D242" s="4" t="inlineStr">
        <is>
          <t>NON SPECIALE</t>
        </is>
      </c>
      <c r="E242" s="4" t="inlineStr">
        <is>
          <t>MECCANICHE</t>
        </is>
      </c>
      <c r="F242" s="3" t="inlineStr">
        <is>
          <t>2_CME_TOTALE MECCANICI RADIOFARMACIA PAVIA.PDF</t>
        </is>
      </c>
      <c r="G242" s="4" t="inlineStr">
        <is>
          <t>220/220</t>
        </is>
      </c>
      <c r="H242" s="3" t="inlineStr">
        <is>
          <t>40 - IMPIANTISTICO</t>
        </is>
      </c>
      <c r="I242" s="3" t="n"/>
      <c r="J242" s="3" t="inlineStr">
        <is>
          <t>IMPIANTO ACQUE METEORICHE</t>
        </is>
      </c>
      <c r="K242" s="3" t="inlineStr">
        <is>
          <t>OPERA: TUBAZIONE DI VENTILAZIONE, A BICCHIERE AD INCOLLAGGIO DI PLASTICA POLIVINCLORURO NON PLASTIFICATO (PVC-U); FINITURA: COLORE AVORIO | COLORE GRIGIO | COLORE MARRONE; IMPIEGO: VENTILAZIONE E PLUV</t>
        </is>
      </c>
      <c r="L242" s="3" t="inlineStr">
        <is>
          <t>OPERA: TUBAZIONE DI VENTILAZIONE, A BICCHIERE AD INCOLLAGGIO DI PLASTICA POLIVINCLORURO NON PLASTIFICATO (PVC-U); FINITURA: COLORE AVORIO | COLORE GRIGIO | COLORE MARRONE; IMPIEGO: VENTILAZIONE E PLUVIALI; DIAMETRO ESTERNO (Ø) [MM] = 125 | SPESSORE [MM] = 2. 
LAVORO: POSA. INCLUSO: ONERI DI FISSAGGIO A PARETE; ONERI DI FISSAGGIO A SOFFITTI; ONERI ATTRAVERSAMENTI DELLE STRUTTURE. 
SPECIFICHE TECNICHE: COLORE GRIGIO (RAL 7037); COLORE MARRONE (RAL 8017). OP TUBAZIONE DI VENTILAZIONE, A BICCHIERE AD INCOLLAGGIO DI PLASTICA POLIVINCLORURO NON PLASTIFICATO (PVC-U); FINITURA: COLORE AVORIO | COLORE GRIGIO | COLORE MARRONE; IMPIEGO: VENTILAZIONE E PLUVIALI; DIAMETRO ESTERNO (Ø) [MM] = 125 | SPESSORE [MM] = 2. 
SPECIFICHE TECNICHE: COLORE GRIGIO (RAL 7037); COLORE MARRONE (RAL 8017). 
RM TUBO A BICCHIERE AD INCOLLAGGIO DI PLASTICA POLIVINCLORURO NON PLASTIFICATO (PVC-U); FINITURA: COLORE AVORIO | COLORE GRIGIO | COLORE MARRONE; IMPIEGO: CONDOTTE DI VENTILAZIONE | PLUVIALI; DIAMETRO ESTERNO (Ø) [MM] = 110 | SPESSORE [MM] = 2 
SPECIFICHE TECNICHE: COLORI RAL 7037 E RAL 8017 
RM SISTEMA DI FISSAGGIO DI PLASTICA POLIVINILCLORURO (PVC); FUNZIONE: VENTILAZIONE | PLUVIALI; IMPIEGO: TUBO DI DIAMETRO ESTERNO [MM] = 125; SPESSORE [MM] = 2 
LV POSA. INCLUSO: ONERI DI FISSAGGIO A PARETE; ONERI DI FISSAGGIO A SOFFITTI; ONERI ATTRAVERSAMENTI DELLE STRUTTURE.</t>
        </is>
      </c>
      <c r="M242" s="4" t="inlineStr">
        <is>
          <t>M</t>
        </is>
      </c>
      <c r="N242" s="5" t="n">
        <v>25</v>
      </c>
      <c r="O242" s="6" t="n">
        <v>44.41</v>
      </c>
      <c r="P242" s="6" t="n">
        <v>1110.25</v>
      </c>
      <c r="Q242" s="5" t="n"/>
      <c r="R242" s="6" t="n"/>
      <c r="S242" s="6">
        <f>IF(AND(Q242&lt;&gt;"",R242&lt;&gt;""),Q242*R242,"")</f>
        <v/>
      </c>
      <c r="T242" s="6">
        <f>IF(S242="",P242,S242)</f>
        <v/>
      </c>
      <c r="U242" s="7" t="n">
        <v>0</v>
      </c>
      <c r="V242" s="6">
        <f>$T242*U242</f>
        <v/>
      </c>
      <c r="W242" s="7" t="n">
        <v>0.5</v>
      </c>
      <c r="X242" s="6">
        <f>$T242*W242</f>
        <v/>
      </c>
      <c r="Y242" s="7" t="n">
        <v>0</v>
      </c>
      <c r="Z242" s="6">
        <f>$T242*Y242</f>
        <v/>
      </c>
      <c r="AA242" s="7" t="n">
        <v>0</v>
      </c>
      <c r="AB242" s="6">
        <f>$T242*AA242</f>
        <v/>
      </c>
      <c r="AC242" s="7" t="n">
        <v>0</v>
      </c>
      <c r="AD242" s="6">
        <f>$T242*AC242</f>
        <v/>
      </c>
      <c r="AE242" s="7" t="n">
        <v>0</v>
      </c>
      <c r="AF242" s="6">
        <f>$T242*AE242</f>
        <v/>
      </c>
      <c r="AG242" s="7" t="n">
        <v>0</v>
      </c>
      <c r="AH242" s="6">
        <f>$T242*AG242</f>
        <v/>
      </c>
      <c r="AI242" s="7">
        <f>U242+W242+Y242+AA242+AC242+AE242+AG242</f>
        <v/>
      </c>
      <c r="AJ242" s="6">
        <f>V242+X242+Z242+AB242+AD242+AF242+AH242</f>
        <v/>
      </c>
    </row>
    <row r="243" ht="60" customHeight="1" s="35">
      <c r="A243" s="3" t="inlineStr">
        <is>
          <t>LOM251.OC.EEA.PA02.I7836.D0019.0035</t>
        </is>
      </c>
      <c r="B243" s="4" t="inlineStr">
        <is>
          <t>1/1</t>
        </is>
      </c>
      <c r="C243" s="3" t="inlineStr">
        <is>
          <t>IMPIANTO MECCANICO</t>
        </is>
      </c>
      <c r="D243" s="4" t="inlineStr">
        <is>
          <t>NON SPECIALE</t>
        </is>
      </c>
      <c r="E243" s="4" t="inlineStr">
        <is>
          <t>MECCANICHE</t>
        </is>
      </c>
      <c r="F243" s="3" t="inlineStr">
        <is>
          <t>2_CME_TOTALE MECCANICI RADIOFARMACIA PAVIA.PDF</t>
        </is>
      </c>
      <c r="G243" s="4" t="inlineStr">
        <is>
          <t>221/221</t>
        </is>
      </c>
      <c r="H243" s="3" t="inlineStr">
        <is>
          <t>40 - IMPIANTISTICO</t>
        </is>
      </c>
      <c r="I243" s="3" t="n"/>
      <c r="J243" s="3" t="inlineStr">
        <is>
          <t>IMPIANTO ACQUE METEORICHE</t>
        </is>
      </c>
      <c r="K243" s="3" t="inlineStr">
        <is>
          <t>OPERA: TUBAZIONE DI VENTILAZIONE, A BICCHIERE AD INCOLLAGGIO DI PLASTICA POLIVINCLORURO NON PLASTIFICATO (PVC-U); FINITURA: COLORE AVORIO | COLORE GRIGIO | COLORE MARRONE; IMPIEGO: VENTILAZIONE E PLUV</t>
        </is>
      </c>
      <c r="L243" s="3" t="inlineStr">
        <is>
          <t>OPERA: TUBAZIONE DI VENTILAZIONE, A BICCHIERE AD INCOLLAGGIO DI PLASTICA POLIVINCLORURO NON PLASTIFICATO (PVC-U); FINITURA: COLORE AVORIO | COLORE GRIGIO | COLORE MARRONE; IMPIEGO: VENTILAZIONE E PLUVIALI; DIAMETRO ESTERNO (Ø) [MM] = 140 | SPESSORE [MM] = 2,3. 
LAVORO: POSA. INCLUSO: ONERI DI FISSAGGIO A PARETE; ONERI DI FISSAGGIO A SOFFITTI; ONERI ATTRAVERSAMENTI DELLE STRUTTURE. 
SPECIFICHE TECNICHE: COLORE GRIGIO (RAL 7037); COLORE MARRONE (RAL 8017). OP TUBAZIONE DI VENTILAZIONE, A BICCHIERE AD INCOLLAGGIO DI PLASTICA POLIVINCLORURO NON PLASTIFICATO (PVC-U); FINITURA: COLORE AVORIO | COLORE GRIGIO | COLORE MARRONE; IMPIEGO: VENTILAZIONE E PLUVIALI; DIAMETRO ESTERNO (Ø) [MM] = 140 | SPESSORE [MM] = 2,3. 
SPECIFICHE TECNICHE: COLORE GRIGIO (RAL 7037); COLORE MARRONE (RAL 8017). 
RM TUBO A BICCHIERE AD INCOLLAGGIO DI PLASTICA POLIVINCLORURO NON PLASTIFICATO (PVC-U); FINITURA: COLORE AVORIO | COLORE GRIGIO | COLORE MARRONE; IMPIEGO: CONDOTTE DI VENTILAZIONE | PLUVIALI; DIAMETRO ESTERNO (Ø) [MM] = 140 | SPESSORE [MM] = 2,3 
SPECIFICHE TECNICHE: COLORI RAL 7037 E RAL 8017 
RM SISTEMA DI FISSAGGIO DI PLASTICA POLIVINILCLORURO (PVC); FUNZIONE: VENTILAZIONE | PLUVIALI; IMPIEGO: TUBO DI DIAMETRO ESTERNO [MM] = 140; SPESSORE [MM] = 2,3 
LV POSA. INCLUSO: ONERI DI FISSAGGIO A PARETE; ONERI DI FISSAGGIO A SOFFITTI; ONERI ATTRAVERSAMENTI DELLE STRUTTURE.</t>
        </is>
      </c>
      <c r="M243" s="4" t="inlineStr">
        <is>
          <t>M</t>
        </is>
      </c>
      <c r="N243" s="5" t="n">
        <v>40</v>
      </c>
      <c r="O243" s="6" t="n">
        <v>58.76</v>
      </c>
      <c r="P243" s="6" t="n">
        <v>2350.4</v>
      </c>
      <c r="Q243" s="5" t="n"/>
      <c r="R243" s="6" t="n"/>
      <c r="S243" s="6">
        <f>IF(AND(Q243&lt;&gt;"",R243&lt;&gt;""),Q243*R243,"")</f>
        <v/>
      </c>
      <c r="T243" s="6">
        <f>IF(S243="",P243,S243)</f>
        <v/>
      </c>
      <c r="U243" s="7" t="n">
        <v>0</v>
      </c>
      <c r="V243" s="6">
        <f>$T243*U243</f>
        <v/>
      </c>
      <c r="W243" s="7" t="n">
        <v>0.5</v>
      </c>
      <c r="X243" s="6">
        <f>$T243*W243</f>
        <v/>
      </c>
      <c r="Y243" s="7" t="n">
        <v>0</v>
      </c>
      <c r="Z243" s="6">
        <f>$T243*Y243</f>
        <v/>
      </c>
      <c r="AA243" s="7" t="n">
        <v>0</v>
      </c>
      <c r="AB243" s="6">
        <f>$T243*AA243</f>
        <v/>
      </c>
      <c r="AC243" s="7" t="n">
        <v>0</v>
      </c>
      <c r="AD243" s="6">
        <f>$T243*AC243</f>
        <v/>
      </c>
      <c r="AE243" s="7" t="n">
        <v>0</v>
      </c>
      <c r="AF243" s="6">
        <f>$T243*AE243</f>
        <v/>
      </c>
      <c r="AG243" s="7" t="n">
        <v>0</v>
      </c>
      <c r="AH243" s="6">
        <f>$T243*AG243</f>
        <v/>
      </c>
      <c r="AI243" s="7">
        <f>U243+W243+Y243+AA243+AC243+AE243+AG243</f>
        <v/>
      </c>
      <c r="AJ243" s="6">
        <f>V243+X243+Z243+AB243+AD243+AF243+AH243</f>
        <v/>
      </c>
    </row>
    <row r="244" ht="60" customHeight="1" s="35">
      <c r="A244" s="3" t="inlineStr">
        <is>
          <t>LOM251.OC.EEA.PA02.I7836.D0019.0045</t>
        </is>
      </c>
      <c r="B244" s="4" t="inlineStr">
        <is>
          <t>1/1</t>
        </is>
      </c>
      <c r="C244" s="3" t="inlineStr">
        <is>
          <t>IMPIANTO MECCANICO</t>
        </is>
      </c>
      <c r="D244" s="4" t="inlineStr">
        <is>
          <t>NON SPECIALE</t>
        </is>
      </c>
      <c r="E244" s="4" t="inlineStr">
        <is>
          <t>MECCANICHE</t>
        </is>
      </c>
      <c r="F244" s="3" t="inlineStr">
        <is>
          <t>2_CME_TOTALE MECCANICI RADIOFARMACIA PAVIA.PDF</t>
        </is>
      </c>
      <c r="G244" s="4" t="inlineStr">
        <is>
          <t>222/222</t>
        </is>
      </c>
      <c r="H244" s="3" t="inlineStr">
        <is>
          <t>40 - IMPIANTISTICO</t>
        </is>
      </c>
      <c r="I244" s="3" t="n"/>
      <c r="J244" s="3" t="inlineStr">
        <is>
          <t>IMPIANTO ACQUE METEORICHE</t>
        </is>
      </c>
      <c r="K244" s="3" t="inlineStr">
        <is>
          <t>OPERA: TUBAZIONE DI VENTILAZIONE, A BICCHIERE AD INCOLLAGGIO DI PLASTICA POLIVINCLORURO NON PLASTIFICATO (PVC-U); FINITURA: COLORE AVORIO | COLORE GRIGIO | COLORE MARRONE; IMPIEGO: VENTILAZIONE E PLUV</t>
        </is>
      </c>
      <c r="L244" s="3" t="inlineStr">
        <is>
          <t>OPERA: TUBAZIONE DI VENTILAZIONE, A BICCHIERE AD INCOLLAGGIO DI PLASTICA POLIVINCLORURO NON PLASTIFICATO (PVC-U); FINITURA: COLORE AVORIO | COLORE GRIGIO | COLORE MARRONE; IMPIEGO: VENTILAZIONE E PLUVIALI; DIAMETRO ESTERNO (Ø) [MM] = 200 | SPESSORE [MM] = 3,2. 
LAVORO: POSA. INCLUSO: ONERI DI FISSAGGIO A PARETE; ONERI DI FISSAGGIO A SOFFITTI; ONERI ATTRAVERSAMENTI DELLE STRUTTURE. 
SPECIFICHE TECNICHE: COLORE GRIGIO (RAL 7037); COLORE MARRONE (RAL 8017). OP TUBAZIONE DI VENTILAZIONE, A BICCHIERE AD INCOLLAGGIO DI PLASTICA POLIVINCLORURO NON PLASTIFICATO (PVC-U); FINITURA: COLORE AVORIO | COLORE GRIGIO | COLORE MARRONE; IMPIEGO: VENTILAZIONE E PLUVIALI; DIAMETRO ESTERNO (Ø) [MM] = 200 | SPESSORE [MM] = 3,2. 
SPECIFICHE TECNICHE: COLORE GRIGIO (RAL 7037); COLORE MARRONE (RAL 8017). 
RM TUBO A BICCHIERE AD INCOLLAGGIO DI PLASTICA POLIVINCLORURO NON PLASTIFICATO (PVC-U); FINITURA: COLORE AVORIO | COLORE GRIGIO | COLORE MARRONE; IMPIEGO: CONDOTTE DI VENTILAZIONE | PLUVIALI; DIAMETRO ESTERNO (Ø) [MM] = 200 | SPESSORE [MM] = 3,2 
SPECIFICHE TECNICHE: COLORI RAL 7037 E RAL 8017 
RM SISTEMA DI FISSAGGIO DI PLASTICA POLIVINILCLORURO (PVC); FUNZIONE: VENTILAZIONE | PLUVIALI; IMPIEGO: TUBO DI DIAMETRO ESTERNO [MM] = 200; SPESSORE [MM] = 3,2 
LV POSA. INCLUSO: ONERI DI FISSAGGIO A PARETE; ONERI DI FISSAGGIO A SOFFITTI; ONERI ATTRAVERSAMENTI DELLE STRUTTURE.</t>
        </is>
      </c>
      <c r="M244" s="4" t="inlineStr">
        <is>
          <t>M</t>
        </is>
      </c>
      <c r="N244" s="5" t="n">
        <v>150</v>
      </c>
      <c r="O244" s="6" t="n">
        <v>73.5</v>
      </c>
      <c r="P244" s="6" t="n">
        <v>11025</v>
      </c>
      <c r="Q244" s="5" t="n"/>
      <c r="R244" s="6" t="n"/>
      <c r="S244" s="6">
        <f>IF(AND(Q244&lt;&gt;"",R244&lt;&gt;""),Q244*R244,"")</f>
        <v/>
      </c>
      <c r="T244" s="6">
        <f>IF(S244="",P244,S244)</f>
        <v/>
      </c>
      <c r="U244" s="7" t="n">
        <v>0</v>
      </c>
      <c r="V244" s="6">
        <f>$T244*U244</f>
        <v/>
      </c>
      <c r="W244" s="7" t="n">
        <v>0.5</v>
      </c>
      <c r="X244" s="6">
        <f>$T244*W244</f>
        <v/>
      </c>
      <c r="Y244" s="7" t="n">
        <v>0</v>
      </c>
      <c r="Z244" s="6">
        <f>$T244*Y244</f>
        <v/>
      </c>
      <c r="AA244" s="7" t="n">
        <v>0</v>
      </c>
      <c r="AB244" s="6">
        <f>$T244*AA244</f>
        <v/>
      </c>
      <c r="AC244" s="7" t="n">
        <v>0</v>
      </c>
      <c r="AD244" s="6">
        <f>$T244*AC244</f>
        <v/>
      </c>
      <c r="AE244" s="7" t="n">
        <v>0</v>
      </c>
      <c r="AF244" s="6">
        <f>$T244*AE244</f>
        <v/>
      </c>
      <c r="AG244" s="7" t="n">
        <v>0</v>
      </c>
      <c r="AH244" s="6">
        <f>$T244*AG244</f>
        <v/>
      </c>
      <c r="AI244" s="7">
        <f>U244+W244+Y244+AA244+AC244+AE244+AG244</f>
        <v/>
      </c>
      <c r="AJ244" s="6">
        <f>V244+X244+Z244+AB244+AD244+AF244+AH244</f>
        <v/>
      </c>
    </row>
    <row r="245" ht="60" customHeight="1" s="35">
      <c r="A245" s="3" t="inlineStr">
        <is>
          <t>LOM251.OC.EEA.PA02.I9730.J0001.0010</t>
        </is>
      </c>
      <c r="B245" s="4" t="inlineStr">
        <is>
          <t>1/1</t>
        </is>
      </c>
      <c r="C245" s="3" t="inlineStr">
        <is>
          <t>IMPIANTO MECCANICO</t>
        </is>
      </c>
      <c r="D245" s="4" t="inlineStr">
        <is>
          <t>NON SPECIALE</t>
        </is>
      </c>
      <c r="E245" s="4" t="inlineStr">
        <is>
          <t>MECCANICHE</t>
        </is>
      </c>
      <c r="F245" s="3" t="inlineStr">
        <is>
          <t>2_CME_TOTALE MECCANICI RADIOFARMACIA PAVIA.PDF</t>
        </is>
      </c>
      <c r="G245" s="4" t="inlineStr">
        <is>
          <t>223/223</t>
        </is>
      </c>
      <c r="H245" s="3" t="inlineStr">
        <is>
          <t>40 - IMPIANTISTICO</t>
        </is>
      </c>
      <c r="I245" s="3" t="n"/>
      <c r="J245" s="3" t="inlineStr">
        <is>
          <t>IMPIANTO ACQUE METEORICHE</t>
        </is>
      </c>
      <c r="K245" s="3" t="inlineStr">
        <is>
          <t xml:space="preserve">OPERA: POZZETTO DI CONGLOMERATO CEMENTIZIO; FUNZIONE: PER IMMISSIONE PLUVIALI; IMPIEGO: POZZETTO. INCLUSO: CALCESTRUZZO DI SOTTOFONDO, RACCORDO DELLE TUBAZIONI. </t>
        </is>
      </c>
      <c r="L245" s="3" t="inlineStr">
        <is>
          <t>OPERA: POZZETTO DI CONGLOMERATO CEMENTIZIO; FUNZIONE: PER IMMISSIONE PLUVIALI; IMPIEGO: POZZETTO. INCLUSO: CALCESTRUZZO DI SOTTOFONDO, RACCORDO DELLE TUBAZIONI. 
LAVORO: POSA. ESCLUSO: SCAVO; REINTERRO. OP POZZETTO DI CONGLOMERATO CEMENTIZIO; FUNZIONE: PER IMMISSIONE PLUVIALI; IMPIEGO: POZZETTO. INCLUSO: CALCESTRUZZO DI SOTTOFONDO, RACCORDO DELLE TUBAZIONI. 
RM POZZETTO DI CONGLOMERATO CEMENTIZIO; FUNZIONE: IMMISSIONE PLUVIALI; DIMENSIONE INTERNA X [CM] = 30 | DIMENSIONE INTERNA Y [CM] = 30 | DIMENSIONE ESTERNA X [CM] = 38 | DIMENSIONE ESTERNA Y [CM] = 54 | ALTEZZA [CM] = 40; PESO [KG] = 63 
SPECIFICHE TECNICHE: POZZETTO CON CHIUSURA 
RM IMPASTO PRECONFEZIONATO DI CONGLOMERATO CEMENTIZIO; GEOMETRIA: SFUSO; FUNZIONE: STRUTTURALE | NON STRUTTURALE | DRENANTE; CLASSE DI CONSISTENZA [CLASSE] = S3 | CLASSE DI RESISTENZA [CLASSE] = C12/15 | CLASSE DI ESPOSIZIONE [CLASSE] = X0. COMPONENTI: LEGANTE IDRAULICO, AGGREGATO, LEGANTE IDRAULICO RICICLATO 
SPECIFICHE TECNICHE: UTILIZZATO IN STRUTTURE ORDINARIE E MANUFATTI NON STRUTTURALI 
LV POSA. ESCLUSO: SCAVO; REINTERRO.</t>
        </is>
      </c>
      <c r="M245" s="4" t="inlineStr">
        <is>
          <t>CAD</t>
        </is>
      </c>
      <c r="N245" s="5" t="n">
        <v>9</v>
      </c>
      <c r="O245" s="6" t="n">
        <v>308</v>
      </c>
      <c r="P245" s="6" t="n">
        <v>2772</v>
      </c>
      <c r="Q245" s="5" t="n"/>
      <c r="R245" s="6" t="n"/>
      <c r="S245" s="6">
        <f>IF(AND(Q245&lt;&gt;"",R245&lt;&gt;""),Q245*R245,"")</f>
        <v/>
      </c>
      <c r="T245" s="6">
        <f>IF(S245="",P245,S245)</f>
        <v/>
      </c>
      <c r="U245" s="7" t="n">
        <v>0</v>
      </c>
      <c r="V245" s="6">
        <f>$T245*U245</f>
        <v/>
      </c>
      <c r="W245" s="7" t="n">
        <v>0.5</v>
      </c>
      <c r="X245" s="6">
        <f>$T245*W245</f>
        <v/>
      </c>
      <c r="Y245" s="7" t="n">
        <v>0</v>
      </c>
      <c r="Z245" s="6">
        <f>$T245*Y245</f>
        <v/>
      </c>
      <c r="AA245" s="7" t="n">
        <v>0</v>
      </c>
      <c r="AB245" s="6">
        <f>$T245*AA245</f>
        <v/>
      </c>
      <c r="AC245" s="7" t="n">
        <v>0</v>
      </c>
      <c r="AD245" s="6">
        <f>$T245*AC245</f>
        <v/>
      </c>
      <c r="AE245" s="7" t="n">
        <v>0</v>
      </c>
      <c r="AF245" s="6">
        <f>$T245*AE245</f>
        <v/>
      </c>
      <c r="AG245" s="7" t="n">
        <v>0</v>
      </c>
      <c r="AH245" s="6">
        <f>$T245*AG245</f>
        <v/>
      </c>
      <c r="AI245" s="7">
        <f>U245+W245+Y245+AA245+AC245+AE245+AG245</f>
        <v/>
      </c>
      <c r="AJ245" s="6">
        <f>V245+X245+Z245+AB245+AD245+AF245+AH245</f>
        <v/>
      </c>
    </row>
    <row r="246" ht="60" customHeight="1" s="35">
      <c r="A246" s="3" t="inlineStr">
        <is>
          <t>LOM251.OC.EEA.PA02.I9740.J0001.0010</t>
        </is>
      </c>
      <c r="B246" s="4" t="inlineStr">
        <is>
          <t>1/1</t>
        </is>
      </c>
      <c r="C246" s="3" t="inlineStr">
        <is>
          <t>IMPIANTO MECCANICO</t>
        </is>
      </c>
      <c r="D246" s="4" t="inlineStr">
        <is>
          <t>NON SPECIALE</t>
        </is>
      </c>
      <c r="E246" s="4" t="inlineStr">
        <is>
          <t>MECCANICHE</t>
        </is>
      </c>
      <c r="F246" s="3" t="inlineStr">
        <is>
          <t>2_CME_TOTALE MECCANICI RADIOFARMACIA PAVIA.PDF</t>
        </is>
      </c>
      <c r="G246" s="4" t="inlineStr">
        <is>
          <t>224/224</t>
        </is>
      </c>
      <c r="H246" s="3" t="inlineStr">
        <is>
          <t>40 - IMPIANTISTICO</t>
        </is>
      </c>
      <c r="I246" s="3" t="n"/>
      <c r="J246" s="3" t="inlineStr">
        <is>
          <t>IMPIANTO ACQUE METEORICHE</t>
        </is>
      </c>
      <c r="K246" s="3" t="inlineStr">
        <is>
          <t xml:space="preserve">OPERA: CHIUSINO DI CONGLOMERATO CEMENTIZIO; IMPIEGO: POZZETTI; LUCE INTERNA X [CM] = 45 | LUCE INTERNA Y [CM] = 45 | SPESSORE [CM] = 12; PESO [KG] = 50. </t>
        </is>
      </c>
      <c r="L246" s="3" t="inlineStr">
        <is>
          <t>OPERA: CHIUSINO DI CONGLOMERATO CEMENTIZIO; IMPIEGO: POZZETTI; LUCE INTERNA X [CM] = 45 | LUCE INTERNA Y [CM] = 45 | SPESSORE [CM] = 12; PESO [KG] = 50. 
LAVORO: POSA. OP CHIUSINO DI CONGLOMERATO CEMENTIZIO; IMPIEGO: POZZETTI; LUCE INTERNA X [CM] = 45 | LUCE INTERNA Y [CM] = 45 | SPESSORE [CM] = 12; PESO [KG] = 50. 
RM CHIUSINO DI CONGLOMERATO CEMENTIZIO; FUNZIONE: CHIUSURA; IMPIEGO: POZZETTI; LUCE INTERNA X [CM] = 45 | LUCE INTERNA Y [CM] = 45 | SPESSORE [CM] = 12; PESO [KG] = 90 
SPECIFICHE TECNICHE: COMPLETO DI TELAIO 
RM PREMISCELATO MALTA DA INGHISAGGIO; FUNZIONE: ANTIRITIRO | PRESA RAPIDA | FISSAGGIO; IMPIEGO: ZANCHE | CHIUSINI | INFISSI | INFERRIATE; DENSITÀ [KG/M³] = 2000 
SPECIFICHE TECNICHE: A BASE DI CEMENTO, INERTI SELEZIONATI, ADDITIVI; UTILIZZABILE SU TUTTI I SUPPORTI RESISTENTI 
LV POSA. 
RP AUTOCARRO CON GRU; PORTATA [T] ≤ 3. INCLUSO: ACCESSORI DI SOLLEVAMENTO. DA CONTEGGIARE A PARTE: SPESE DI ESERCIZIO (RP.00.40.15.1020.A)</t>
        </is>
      </c>
      <c r="M246" s="4" t="inlineStr">
        <is>
          <t>CAD</t>
        </is>
      </c>
      <c r="N246" s="5" t="n">
        <v>9</v>
      </c>
      <c r="O246" s="6" t="n">
        <v>61.6</v>
      </c>
      <c r="P246" s="6" t="n">
        <v>554.4</v>
      </c>
      <c r="Q246" s="5" t="n"/>
      <c r="R246" s="6" t="n"/>
      <c r="S246" s="6">
        <f>IF(AND(Q246&lt;&gt;"",R246&lt;&gt;""),Q246*R246,"")</f>
        <v/>
      </c>
      <c r="T246" s="6">
        <f>IF(S246="",P246,S246)</f>
        <v/>
      </c>
      <c r="U246" s="7" t="n">
        <v>0</v>
      </c>
      <c r="V246" s="6">
        <f>$T246*U246</f>
        <v/>
      </c>
      <c r="W246" s="7" t="n">
        <v>0</v>
      </c>
      <c r="X246" s="6">
        <f>$T246*W246</f>
        <v/>
      </c>
      <c r="Y246" s="7" t="n">
        <v>0</v>
      </c>
      <c r="Z246" s="6">
        <f>$T246*Y246</f>
        <v/>
      </c>
      <c r="AA246" s="7" t="n">
        <v>0</v>
      </c>
      <c r="AB246" s="6">
        <f>$T246*AA246</f>
        <v/>
      </c>
      <c r="AC246" s="7" t="n">
        <v>0</v>
      </c>
      <c r="AD246" s="6">
        <f>$T246*AC246</f>
        <v/>
      </c>
      <c r="AE246" s="7" t="n">
        <v>0</v>
      </c>
      <c r="AF246" s="6">
        <f>$T246*AE246</f>
        <v/>
      </c>
      <c r="AG246" s="7" t="n">
        <v>0</v>
      </c>
      <c r="AH246" s="6">
        <f>$T246*AG246</f>
        <v/>
      </c>
      <c r="AI246" s="7">
        <f>U246+W246+Y246+AA246+AC246+AE246+AG246</f>
        <v/>
      </c>
      <c r="AJ246" s="6">
        <f>V246+X246+Z246+AB246+AD246+AF246+AH246</f>
        <v/>
      </c>
    </row>
    <row r="247" ht="60" customHeight="1" s="35">
      <c r="A247" s="3" t="inlineStr">
        <is>
          <t>LOM251.OC.EEA.MC09.A6401.NA000.0000.A</t>
        </is>
      </c>
      <c r="B247" s="4" t="inlineStr">
        <is>
          <t>1/1</t>
        </is>
      </c>
      <c r="C247" s="3" t="inlineStr">
        <is>
          <t>IMPIANTO MECCANICO</t>
        </is>
      </c>
      <c r="D247" s="4" t="inlineStr">
        <is>
          <t>NON SPECIALE</t>
        </is>
      </c>
      <c r="E247" s="4" t="inlineStr">
        <is>
          <t>MECCANICHE</t>
        </is>
      </c>
      <c r="F247" s="3" t="inlineStr">
        <is>
          <t>2_CME_TOTALE MECCANICI RADIOFARMACIA PAVIA.PDF</t>
        </is>
      </c>
      <c r="G247" s="4" t="inlineStr">
        <is>
          <t>225/225</t>
        </is>
      </c>
      <c r="H247" s="3" t="inlineStr">
        <is>
          <t>40 - IMPIANTISTICO</t>
        </is>
      </c>
      <c r="I247" s="3" t="n"/>
      <c r="J247" s="3" t="inlineStr">
        <is>
          <t>IMPIANTO ACQUE METEORICHE</t>
        </is>
      </c>
      <c r="K247" s="3" t="inlineStr">
        <is>
          <t xml:space="preserve">OPERA: TRINCEA DI TERRA GENERICO; IMPIEGO: TUBAZIONI | COLLETTORI; PROFONDITÀ [M] ≤ 1,5. </t>
        </is>
      </c>
      <c r="L247" s="3" t="inlineStr">
        <is>
          <t>OPERA: TRINCEA DI TERRA GENERICO; IMPIEGO: TUBAZIONI | COLLETTORI; PROFONDITÀ [M] ≤ 1,5. 
LAVORO: SCAVO CON MEZZO MECCANICO. INCLUSO: DEPOSITO MATERIALE A BORDO SCAVO. ESCLUSO: ARMO DI SCAVO; OPERE PROVVISIONALI DI SEGNALETICA E PROTEZIONE; CARICO E TRASPORTO; ONERI DI SMALTIMENTO. 
SPECIFICHE TECNICHE: NON ARMATO. OP TRINCEA DI TERRA GENERICO; IMPIEGO: TUBAZIONI | COLLETTORI; PROFONDITÀ [M] ≤ 1,5. 
SPECIFICHE TECNICHE: NON ARMATO. 
RM TERRENO DI TERRA GENERICO 
LV SCAVO CON MEZZO MECCANICO. INCLUSO: DEPOSITO MATERIALE A BORDO SCAVO. ESCLUSO: ARMO DI SCAVO; OPERE PROVVISIONALI DI SEGNALETICA E PROTEZIONE; CARICO E TRASPORTO; ONERI DI SMALTIMENTO. 
RP ESCAVATORE CINGOLATO; POTENZA [KW] ≤ 90; PESO [T] = 19. DA CONTEGGIARE A PARTE: SPESE DI ESERCIZIO (RP.00.00.00.1020.D)</t>
        </is>
      </c>
      <c r="M247" s="4" t="inlineStr">
        <is>
          <t>M³</t>
        </is>
      </c>
      <c r="N247" s="5" t="n">
        <v>60</v>
      </c>
      <c r="O247" s="6" t="n">
        <v>18.48</v>
      </c>
      <c r="P247" s="6" t="n">
        <v>1108.8</v>
      </c>
      <c r="Q247" s="5" t="n"/>
      <c r="R247" s="6" t="n"/>
      <c r="S247" s="6">
        <f>IF(AND(Q247&lt;&gt;"",R247&lt;&gt;""),Q247*R247,"")</f>
        <v/>
      </c>
      <c r="T247" s="6">
        <f>IF(S247="",P247,S247)</f>
        <v/>
      </c>
      <c r="U247" s="7" t="n">
        <v>0</v>
      </c>
      <c r="V247" s="6">
        <f>$T247*U247</f>
        <v/>
      </c>
      <c r="W247" s="7" t="n">
        <v>0</v>
      </c>
      <c r="X247" s="6">
        <f>$T247*W247</f>
        <v/>
      </c>
      <c r="Y247" s="7" t="n">
        <v>0</v>
      </c>
      <c r="Z247" s="6">
        <f>$T247*Y247</f>
        <v/>
      </c>
      <c r="AA247" s="7" t="n">
        <v>0</v>
      </c>
      <c r="AB247" s="6">
        <f>$T247*AA247</f>
        <v/>
      </c>
      <c r="AC247" s="7" t="n">
        <v>0</v>
      </c>
      <c r="AD247" s="6">
        <f>$T247*AC247</f>
        <v/>
      </c>
      <c r="AE247" s="7" t="n">
        <v>0</v>
      </c>
      <c r="AF247" s="6">
        <f>$T247*AE247</f>
        <v/>
      </c>
      <c r="AG247" s="7" t="n">
        <v>0</v>
      </c>
      <c r="AH247" s="6">
        <f>$T247*AG247</f>
        <v/>
      </c>
      <c r="AI247" s="7">
        <f>U247+W247+Y247+AA247+AC247+AE247+AG247</f>
        <v/>
      </c>
      <c r="AJ247" s="6">
        <f>V247+X247+Z247+AB247+AD247+AF247+AH247</f>
        <v/>
      </c>
    </row>
    <row r="248" ht="60" customHeight="1" s="35">
      <c r="A248" s="3" t="inlineStr">
        <is>
          <t>LOM251.OC.EEA.PA04.A6600.NA000.0015</t>
        </is>
      </c>
      <c r="B248" s="4" t="inlineStr">
        <is>
          <t>1/1</t>
        </is>
      </c>
      <c r="C248" s="3" t="inlineStr">
        <is>
          <t>IMPIANTO MECCANICO</t>
        </is>
      </c>
      <c r="D248" s="4" t="inlineStr">
        <is>
          <t>NON SPECIALE</t>
        </is>
      </c>
      <c r="E248" s="4" t="inlineStr">
        <is>
          <t>MECCANICHE</t>
        </is>
      </c>
      <c r="F248" s="3" t="inlineStr">
        <is>
          <t>2_CME_TOTALE MECCANICI RADIOFARMACIA PAVIA.PDF</t>
        </is>
      </c>
      <c r="G248" s="4" t="inlineStr">
        <is>
          <t>226/226</t>
        </is>
      </c>
      <c r="H248" s="3" t="inlineStr">
        <is>
          <t>40 - IMPIANTISTICO</t>
        </is>
      </c>
      <c r="I248" s="3" t="n"/>
      <c r="J248" s="3" t="inlineStr">
        <is>
          <t>IMPIANTO ACQUE METEORICHE</t>
        </is>
      </c>
      <c r="K248" s="3" t="inlineStr">
        <is>
          <t xml:space="preserve">OPERA: REINTERRO DI TERRA GENERICO. </t>
        </is>
      </c>
      <c r="L248" s="3" t="inlineStr">
        <is>
          <t>OPERA: REINTERRO DI TERRA GENERICO. 
LAVORO: FORMAZIONE. INCLUSO: CARICO, TRASPORTO E SCARICO A LUOGO D'IMPIEGO; SPIANAMENTI E COSTIPAZIONE A STRATI NON SUPERIORI A 50 CM; BAGNATURA; RICARICHI. OP REINTERRO DI TERRA GENERICO. 
RM AGGREGATO MISTO GRANULARE DI ROCCIA NATURALE MINERALE; PESO SPECIFICO MEDIO [KG/M³] = 1800 
SPECIFICHE TECNICHE: DI SABBIA E GHIAIA 
LV FORMAZIONE. INCLUSO: CARICO, TRASPORTO E SCARICO A LUOGO D'IMPIEGO; SPIANAMENTI E COSTIPAZIONE A STRATI NON SUPERIORI A 50 CM; BAGNATURA; RICARICHI. 
RP MINI ESCAVATORE CINGOLATO; POTENZA [KW] ≤ 50; PESO [T] = 9. DA CONTEGGIARE A PARTE: SPESE DI ESERCIZIO (RP.00.00.00.1010.G) 
RP PALA CINGOLATA; POTENZA [KW] ≤ 55. DA CONTEGGIARE A PARTE: SPESE DI ESERCIZIO (RP.00.00.05.1030.A) 
RP RULLO COMPRESSORE; PESO [T] = 6. ESCLUSO: TRATTORE. DA CONTEGGIARE A PARTE: SPESE DI ESERCIZIO (RP.00.10.05.1010.D) 
SPECIFICHE TECNICHE: TRAINATO. 
RP AUTOCARRO A CASSONE RIBALTABILE; PORTATA [T] = 5,01 ÷ 13,5. DA CONTEGGIARE A PARTE: SPESE DI ESERCIZIO (RP.00.50.00.1030.D)</t>
        </is>
      </c>
      <c r="M248" s="4" t="inlineStr">
        <is>
          <t>M³</t>
        </is>
      </c>
      <c r="N248" s="5" t="n">
        <v>60</v>
      </c>
      <c r="O248" s="6" t="n">
        <v>9.859999999999999</v>
      </c>
      <c r="P248" s="6" t="n">
        <v>591.6</v>
      </c>
      <c r="Q248" s="5" t="n"/>
      <c r="R248" s="6" t="n"/>
      <c r="S248" s="6">
        <f>IF(AND(Q248&lt;&gt;"",R248&lt;&gt;""),Q248*R248,"")</f>
        <v/>
      </c>
      <c r="T248" s="6">
        <f>IF(S248="",P248,S248)</f>
        <v/>
      </c>
      <c r="U248" s="7" t="n">
        <v>0</v>
      </c>
      <c r="V248" s="6">
        <f>$T248*U248</f>
        <v/>
      </c>
      <c r="W248" s="7" t="n">
        <v>0</v>
      </c>
      <c r="X248" s="6">
        <f>$T248*W248</f>
        <v/>
      </c>
      <c r="Y248" s="7" t="n">
        <v>0</v>
      </c>
      <c r="Z248" s="6">
        <f>$T248*Y248</f>
        <v/>
      </c>
      <c r="AA248" s="7" t="n">
        <v>0</v>
      </c>
      <c r="AB248" s="6">
        <f>$T248*AA248</f>
        <v/>
      </c>
      <c r="AC248" s="7" t="n">
        <v>0</v>
      </c>
      <c r="AD248" s="6">
        <f>$T248*AC248</f>
        <v/>
      </c>
      <c r="AE248" s="7" t="n">
        <v>0</v>
      </c>
      <c r="AF248" s="6">
        <f>$T248*AE248</f>
        <v/>
      </c>
      <c r="AG248" s="7" t="n">
        <v>0</v>
      </c>
      <c r="AH248" s="6">
        <f>$T248*AG248</f>
        <v/>
      </c>
      <c r="AI248" s="7">
        <f>U248+W248+Y248+AA248+AC248+AE248+AG248</f>
        <v/>
      </c>
      <c r="AJ248" s="6">
        <f>V248+X248+Z248+AB248+AD248+AF248+AH248</f>
        <v/>
      </c>
    </row>
    <row r="249" ht="60" customHeight="1" s="35">
      <c r="A249" s="3" t="inlineStr">
        <is>
          <t>DEI_IT_035316F</t>
        </is>
      </c>
      <c r="B249" s="4" t="inlineStr">
        <is>
          <t>1/2</t>
        </is>
      </c>
      <c r="C249" s="3" t="inlineStr">
        <is>
          <t>IMPIANTO MECCANICO</t>
        </is>
      </c>
      <c r="D249" s="4" t="inlineStr">
        <is>
          <t>NON SPECIALE</t>
        </is>
      </c>
      <c r="E249" s="4" t="inlineStr">
        <is>
          <t>MECCANICHE</t>
        </is>
      </c>
      <c r="F249" s="3" t="inlineStr">
        <is>
          <t>2_CME_TOTALE MECCANICI RADIOFARMACIA PAVIA.PDF</t>
        </is>
      </c>
      <c r="G249" s="4" t="inlineStr">
        <is>
          <t>121/121</t>
        </is>
      </c>
      <c r="H249" s="3" t="inlineStr">
        <is>
          <t>50 - INSTALLAZIONE</t>
        </is>
      </c>
      <c r="I249" s="3" t="inlineStr">
        <is>
          <t>P. TERRA - UFFICI</t>
        </is>
      </c>
      <c r="J249" s="3" t="inlineStr">
        <is>
          <t>IMPIANTO HVAC</t>
        </is>
      </c>
      <c r="K249" s="3" t="inlineStr">
        <is>
          <t xml:space="preserve">RECUPERATORE DI CALORE CENTRALIZZATO INSTALLATO A PARETE INTERNA O SOFFITTO, CON SCAMBIATORE A FLUSSI INCROCIATI IN CONTROCORRENTE, COMPLETO DI FILTRI SINTETICI POSIZIONATI SULL'ASPIRAZIONE DELL'ARIA </t>
        </is>
      </c>
      <c r="L249" s="3" t="inlineStr">
        <is>
          <t>RECUPERATORE DI CALORE CENTRALIZZATO INSTALLATO A PARETE INTERNA O SOFFITTO, CON SCAMBIATORE A FLUSSI INCROCIATI IN CONTROCORRENTE, COMPLETO DI FILTRI SINTETICI POSIZIONATI SULL'ASPIRAZIONE DELL'ARIA ESPULSA E SULLA PRESA D'ARIA ESTERNA, MOTORE CON ALIMENTAZIONE ELETTRICA 230 V-1-50 HZ, IN OPERA COMPRESI ACCESSORI ED ESCLUSI COLLEGAMENTI ELETTRICI: SCAMBIATORE DI CALORE SENSIBILE, DELLE SEGUENTI PORTATE NOMINALI: 600 MC/H</t>
        </is>
      </c>
      <c r="M249" s="4" t="inlineStr">
        <is>
          <t>CAD</t>
        </is>
      </c>
      <c r="N249" s="5" t="n">
        <v>1</v>
      </c>
      <c r="O249" s="6" t="n">
        <v>2703.76</v>
      </c>
      <c r="P249" s="6" t="n">
        <v>2703.76</v>
      </c>
      <c r="Q249" s="5" t="n"/>
      <c r="R249" s="6" t="n"/>
      <c r="S249" s="6">
        <f>IF(AND(Q249&lt;&gt;"",R249&lt;&gt;""),Q249*R249,"")</f>
        <v/>
      </c>
      <c r="T249" s="6">
        <f>IF(S249="",P249,S249)</f>
        <v/>
      </c>
      <c r="U249" s="7" t="n">
        <v>0.5</v>
      </c>
      <c r="V249" s="6">
        <f>$T249*U249</f>
        <v/>
      </c>
      <c r="W249" s="7" t="n">
        <v>0.2</v>
      </c>
      <c r="X249" s="6">
        <f>$T249*W249</f>
        <v/>
      </c>
      <c r="Y249" s="7" t="n">
        <v>0</v>
      </c>
      <c r="Z249" s="6">
        <f>$T249*Y249</f>
        <v/>
      </c>
      <c r="AA249" s="7" t="n">
        <v>0</v>
      </c>
      <c r="AB249" s="6">
        <f>$T249*AA249</f>
        <v/>
      </c>
      <c r="AC249" s="7" t="n">
        <v>0</v>
      </c>
      <c r="AD249" s="6">
        <f>$T249*AC249</f>
        <v/>
      </c>
      <c r="AE249" s="7" t="n">
        <v>0</v>
      </c>
      <c r="AF249" s="6">
        <f>$T249*AE249</f>
        <v/>
      </c>
      <c r="AG249" s="7" t="n">
        <v>0</v>
      </c>
      <c r="AH249" s="6">
        <f>$T249*AG249</f>
        <v/>
      </c>
      <c r="AI249" s="7">
        <f>U249+W249+Y249+AA249+AC249+AE249+AG249</f>
        <v/>
      </c>
      <c r="AJ249" s="6">
        <f>V249+X249+Z249+AB249+AD249+AF249+AH249</f>
        <v/>
      </c>
    </row>
    <row r="250" ht="60" customHeight="1" s="35">
      <c r="A250" s="3" t="inlineStr">
        <is>
          <t>DEI_IT_035316F</t>
        </is>
      </c>
      <c r="B250" s="4" t="inlineStr">
        <is>
          <t>2/2</t>
        </is>
      </c>
      <c r="C250" s="3" t="inlineStr">
        <is>
          <t>IMPIANTO MECCANICO</t>
        </is>
      </c>
      <c r="D250" s="4" t="inlineStr">
        <is>
          <t>NON SPECIALE</t>
        </is>
      </c>
      <c r="E250" s="4" t="inlineStr">
        <is>
          <t>MECCANICHE</t>
        </is>
      </c>
      <c r="F250" s="3" t="inlineStr">
        <is>
          <t>2_CME_TOTALE MECCANICI RADIOFARMACIA PAVIA.PDF</t>
        </is>
      </c>
      <c r="G250" s="4" t="inlineStr">
        <is>
          <t>135/135</t>
        </is>
      </c>
      <c r="H250" s="3" t="inlineStr">
        <is>
          <t>50 - INSTALLAZIONE</t>
        </is>
      </c>
      <c r="I250" s="3" t="inlineStr">
        <is>
          <t>P. PRIMO - UFFICI</t>
        </is>
      </c>
      <c r="J250" s="3" t="inlineStr">
        <is>
          <t>IMPIANTO HVAC</t>
        </is>
      </c>
      <c r="K250" s="3" t="inlineStr">
        <is>
          <t xml:space="preserve">RECUPERATORE DI CALORE CENTRALIZZATO INSTALLATO A PARETE INTERNA O SOFFITTO, CON SCAMBIATORE A FLUSSI INCROCIATI IN CONTROCORRENTE, COMPLETO DI FILTRI SINTETICI POSIZIONATI SULL'ASPIRAZIONE DELL'ARIA </t>
        </is>
      </c>
      <c r="L250" s="3" t="inlineStr">
        <is>
          <t>RECUPERATORE DI CALORE CENTRALIZZATO INSTALLATO A PARETE INTERNA O SOFFITTO, CON SCAMBIATORE A FLUSSI INCROCIATI IN CONTROCORRENTE, COMPLETO DI FILTRI SINTETICI POSIZIONATI SULL'ASPIRAZIONE DELL'ARIA ESPULSA E SULLA PRESA D'ARIA ESTERNA, MOTORE CON ALIMENTAZIONE ELETTRICA 230 V-1-50 HZ, IN OPERA COMPRESI ACCESSORI ED ESCLUSI COLLEGAMENTI ELETTRICI: SCAMBIATORE DI CALORE SENSIBILE, DELLE SEGUENTI PORTATE NOMINALI: 600 MC/H</t>
        </is>
      </c>
      <c r="M250" s="4" t="inlineStr">
        <is>
          <t>CAD</t>
        </is>
      </c>
      <c r="N250" s="5" t="n">
        <v>1</v>
      </c>
      <c r="O250" s="6" t="n">
        <v>2745.01</v>
      </c>
      <c r="P250" s="6" t="n">
        <v>2745.01</v>
      </c>
      <c r="Q250" s="5" t="n"/>
      <c r="R250" s="6" t="n"/>
      <c r="S250" s="6">
        <f>IF(AND(Q250&lt;&gt;"",R250&lt;&gt;""),Q250*R250,"")</f>
        <v/>
      </c>
      <c r="T250" s="6">
        <f>IF(S250="",P250,S250)</f>
        <v/>
      </c>
      <c r="U250" s="7" t="n">
        <v>0</v>
      </c>
      <c r="V250" s="6">
        <f>$T250*U250</f>
        <v/>
      </c>
      <c r="W250" s="7" t="n">
        <v>0.7</v>
      </c>
      <c r="X250" s="6">
        <f>$T250*W250</f>
        <v/>
      </c>
      <c r="Y250" s="7" t="n">
        <v>0</v>
      </c>
      <c r="Z250" s="6">
        <f>$T250*Y250</f>
        <v/>
      </c>
      <c r="AA250" s="7" t="n">
        <v>0</v>
      </c>
      <c r="AB250" s="6">
        <f>$T250*AA250</f>
        <v/>
      </c>
      <c r="AC250" s="7" t="n">
        <v>0</v>
      </c>
      <c r="AD250" s="6">
        <f>$T250*AC250</f>
        <v/>
      </c>
      <c r="AE250" s="7" t="n">
        <v>0</v>
      </c>
      <c r="AF250" s="6">
        <f>$T250*AE250</f>
        <v/>
      </c>
      <c r="AG250" s="7" t="n">
        <v>0</v>
      </c>
      <c r="AH250" s="6">
        <f>$T250*AG250</f>
        <v/>
      </c>
      <c r="AI250" s="7">
        <f>U250+W250+Y250+AA250+AC250+AE250+AG250</f>
        <v/>
      </c>
      <c r="AJ250" s="6">
        <f>V250+X250+Z250+AB250+AD250+AF250+AH250</f>
        <v/>
      </c>
    </row>
    <row r="251" ht="60" customHeight="1" s="35">
      <c r="A251" s="3" t="inlineStr">
        <is>
          <t>NP.IM.01</t>
        </is>
      </c>
      <c r="B251" s="4" t="inlineStr">
        <is>
          <t>1/2</t>
        </is>
      </c>
      <c r="C251" s="3" t="inlineStr">
        <is>
          <t>IMPIANTO MECCANICO</t>
        </is>
      </c>
      <c r="D251" s="4" t="inlineStr">
        <is>
          <t>NON SPECIALE</t>
        </is>
      </c>
      <c r="E251" s="4" t="inlineStr">
        <is>
          <t>MECCANICHE</t>
        </is>
      </c>
      <c r="F251" s="3" t="inlineStr">
        <is>
          <t>2_CME_TOTALE MECCANICI RADIOFARMACIA PAVIA.PDF</t>
        </is>
      </c>
      <c r="G251" s="4" t="inlineStr">
        <is>
          <t>176/176</t>
        </is>
      </c>
      <c r="H251" s="3" t="inlineStr">
        <is>
          <t>50 - INSTALLAZIONE</t>
        </is>
      </c>
      <c r="I251" s="3" t="inlineStr">
        <is>
          <t>CENTRALE</t>
        </is>
      </c>
      <c r="J251" s="3" t="inlineStr">
        <is>
          <t>IMPIANTO HVAC</t>
        </is>
      </c>
      <c r="K251" s="3" t="inlineStr">
        <is>
          <t xml:space="preserve">FORNITURA E POSA IN OPERA DI POMPS DI CALORE POLIVALENTE CON CONDENSAZIONE AD ARIA, CERTIFICATO EUROVENT, COSTRUITO SECONDO STANDARD DI QUALITÀ ISO 9001, PER INSTALLAZIONE ESTERNA </t>
        </is>
      </c>
      <c r="L251" s="3" t="inlineStr">
        <is>
          <t>FORNITURA E POSA IN OPERA DI POMPS DI CALORE POLIVALENTE CON CONDENSAZIONE AD ARIA, CERTIFICATO EUROVENT, COSTRUITO SECONDO STANDARD DI QUALITÀ ISO 9001, PER INSTALLAZIONE ESTERNA 
CONDIZIONI DI LAVORO: 
ARIA INGRESSO SCAMBIATORE ESTERNO: +35°C -  
ACQUA: +7°/+12°C 
POTENZIALITÀ FRIGORIFERA: 250 KW 
ARIA INGRESSO SCAMBIATORE ESTERNO: +7°C -  
ACQUA: +45°/+40°C 
POTENZIALITÀ TERMICA: 250 KW</t>
        </is>
      </c>
      <c r="M251" s="4" t="inlineStr">
        <is>
          <t>CADAUNO</t>
        </is>
      </c>
      <c r="N251" s="5" t="n">
        <v>0.1</v>
      </c>
      <c r="O251" s="6" t="n">
        <v>95343.27</v>
      </c>
      <c r="P251" s="6" t="n">
        <v>9534.33</v>
      </c>
      <c r="Q251" s="5" t="n"/>
      <c r="R251" s="6" t="n"/>
      <c r="S251" s="6">
        <f>IF(AND(Q251&lt;&gt;"",R251&lt;&gt;""),Q251*R251,"")</f>
        <v/>
      </c>
      <c r="T251" s="6">
        <f>IF(S251="",P251,S251)</f>
        <v/>
      </c>
      <c r="U251" s="7" t="n">
        <v>0</v>
      </c>
      <c r="V251" s="6">
        <f>$T251*U251</f>
        <v/>
      </c>
      <c r="W251" s="7" t="n">
        <v>0.5</v>
      </c>
      <c r="X251" s="6">
        <f>$T251*W251</f>
        <v/>
      </c>
      <c r="Y251" s="7" t="n">
        <v>0</v>
      </c>
      <c r="Z251" s="6">
        <f>$T251*Y251</f>
        <v/>
      </c>
      <c r="AA251" s="7" t="n">
        <v>0</v>
      </c>
      <c r="AB251" s="6">
        <f>$T251*AA251</f>
        <v/>
      </c>
      <c r="AC251" s="7" t="n">
        <v>0</v>
      </c>
      <c r="AD251" s="6">
        <f>$T251*AC251</f>
        <v/>
      </c>
      <c r="AE251" s="7" t="n">
        <v>0</v>
      </c>
      <c r="AF251" s="6">
        <f>$T251*AE251</f>
        <v/>
      </c>
      <c r="AG251" s="7" t="n">
        <v>0</v>
      </c>
      <c r="AH251" s="6">
        <f>$T251*AG251</f>
        <v/>
      </c>
      <c r="AI251" s="7">
        <f>U251+W251+Y251+AA251+AC251+AE251+AG251</f>
        <v/>
      </c>
      <c r="AJ251" s="6">
        <f>V251+X251+Z251+AB251+AD251+AF251+AH251</f>
        <v/>
      </c>
    </row>
    <row r="252" ht="60" customHeight="1" s="35">
      <c r="A252" s="3" t="inlineStr">
        <is>
          <t>DEI_IT_025264B</t>
        </is>
      </c>
      <c r="B252" s="4" t="inlineStr">
        <is>
          <t>1/2</t>
        </is>
      </c>
      <c r="C252" s="3" t="inlineStr">
        <is>
          <t>IMPIANTO MECCANICO</t>
        </is>
      </c>
      <c r="D252" s="4" t="inlineStr">
        <is>
          <t>NON SPECIALE</t>
        </is>
      </c>
      <c r="E252" s="4" t="inlineStr">
        <is>
          <t>MECCANICHE</t>
        </is>
      </c>
      <c r="F252" s="3" t="inlineStr">
        <is>
          <t>2_CME_TOTALE MECCANICI RADIOFARMACIA PAVIA.PDF</t>
        </is>
      </c>
      <c r="G252" s="4" t="inlineStr">
        <is>
          <t>177/177</t>
        </is>
      </c>
      <c r="H252" s="3" t="inlineStr">
        <is>
          <t>50 - INSTALLAZIONE</t>
        </is>
      </c>
      <c r="I252" s="3" t="inlineStr">
        <is>
          <t>CENTRALE</t>
        </is>
      </c>
      <c r="J252" s="3" t="inlineStr">
        <is>
          <t>IMPIANTO HVAC</t>
        </is>
      </c>
      <c r="K252" s="3" t="inlineStr">
        <is>
          <t>POMPA DI CIRCOLAZIONE IN-LINE A MOTORE VENTILATO A 4 POLI AD ALTO RENDIMENTO (IE3), ATTACCHI FLANGIATI, CORPO IN GHISA, PER IL CONVOGLIAMENTO DI ACQUA FREDDA E CALDA (TEMPERATURA LIQUIDO -20 °C ÷ +120</t>
        </is>
      </c>
      <c r="L252" s="3" t="inlineStr">
        <is>
          <t>POMPA DI CIRCOLAZIONE IN-LINE A MOTORE VENTILATO A 4 POLI AD ALTO RENDIMENTO (IE3), ATTACCHI FLANGIATI, CORPO IN GHISA, PER IL CONVOGLIAMENTO DI ACQUA FREDDA E CALDA (TEMPERATURA LIQUIDO -20 °C ÷ +120 °C), PN 10, GRADO DI PROTEZIONE IP 55, CLASSE DI ISOLAMENTO F, ALIMENTAZIONE ELETTRICA 230/400 V, COMPRESI ACCESSORI DI MONTAGGIO, ESCLUSO IL COLLEGAMENTO ELETTRICO: POTENZA ELETTRICA 1,1 KW, Ø ATTACCO 80 MM</t>
        </is>
      </c>
      <c r="M252" s="4" t="inlineStr">
        <is>
          <t>CAD</t>
        </is>
      </c>
      <c r="N252" s="5" t="n">
        <v>4</v>
      </c>
      <c r="O252" s="6" t="n">
        <v>2669.15</v>
      </c>
      <c r="P252" s="6" t="n">
        <v>10676.6</v>
      </c>
      <c r="Q252" s="5" t="n"/>
      <c r="R252" s="6" t="n"/>
      <c r="S252" s="6">
        <f>IF(AND(Q252&lt;&gt;"",R252&lt;&gt;""),Q252*R252,"")</f>
        <v/>
      </c>
      <c r="T252" s="6">
        <f>IF(S252="",P252,S252)</f>
        <v/>
      </c>
      <c r="U252" s="7" t="n">
        <v>0.5</v>
      </c>
      <c r="V252" s="6">
        <f>$T252*U252</f>
        <v/>
      </c>
      <c r="W252" s="7" t="n">
        <v>0.1</v>
      </c>
      <c r="X252" s="6">
        <f>$T252*W252</f>
        <v/>
      </c>
      <c r="Y252" s="7" t="n">
        <v>0</v>
      </c>
      <c r="Z252" s="6">
        <f>$T252*Y252</f>
        <v/>
      </c>
      <c r="AA252" s="7" t="n">
        <v>0</v>
      </c>
      <c r="AB252" s="6">
        <f>$T252*AA252</f>
        <v/>
      </c>
      <c r="AC252" s="7" t="n">
        <v>0</v>
      </c>
      <c r="AD252" s="6">
        <f>$T252*AC252</f>
        <v/>
      </c>
      <c r="AE252" s="7" t="n">
        <v>0</v>
      </c>
      <c r="AF252" s="6">
        <f>$T252*AE252</f>
        <v/>
      </c>
      <c r="AG252" s="7" t="n">
        <v>0</v>
      </c>
      <c r="AH252" s="6">
        <f>$T252*AG252</f>
        <v/>
      </c>
      <c r="AI252" s="7">
        <f>U252+W252+Y252+AA252+AC252+AE252+AG252</f>
        <v/>
      </c>
      <c r="AJ252" s="6">
        <f>V252+X252+Z252+AB252+AD252+AF252+AH252</f>
        <v/>
      </c>
    </row>
    <row r="253" ht="60" customHeight="1" s="35">
      <c r="A253" s="3" t="inlineStr">
        <is>
          <t>LOM251.OC.EEA.PA01.I8000.SB038.0055</t>
        </is>
      </c>
      <c r="B253" s="4" t="inlineStr">
        <is>
          <t>1/2</t>
        </is>
      </c>
      <c r="C253" s="3" t="inlineStr">
        <is>
          <t>IMPIANTO MECCANICO</t>
        </is>
      </c>
      <c r="D253" s="4" t="inlineStr">
        <is>
          <t>NON SPECIALE</t>
        </is>
      </c>
      <c r="E253" s="4" t="inlineStr">
        <is>
          <t>MECCANICHE</t>
        </is>
      </c>
      <c r="F253" s="3" t="inlineStr">
        <is>
          <t>2_CME_TOTALE MECCANICI RADIOFARMACIA PAVIA.PDF</t>
        </is>
      </c>
      <c r="G253" s="4" t="inlineStr">
        <is>
          <t>178/178</t>
        </is>
      </c>
      <c r="H253" s="3" t="inlineStr">
        <is>
          <t>50 - INSTALLAZIONE</t>
        </is>
      </c>
      <c r="I253" s="3" t="inlineStr">
        <is>
          <t>CENTRALE</t>
        </is>
      </c>
      <c r="J253" s="3" t="inlineStr">
        <is>
          <t>IMPIANTO HVAC</t>
        </is>
      </c>
      <c r="K253" s="3" t="inlineStr">
        <is>
          <t>OPERA: SERBATOIO, INERZIALE DI LEGA FERROSA ACCIAIO NERO; FINITURA: VERNICIATO | ANTIRUGGINE; GEOMETRIA: VERTICALE; FUNZIONE: ACCUMULO ACQUA REFRIGERATA; IMPIEGO: CENTRALE IDRICA; PRESSIONE MASSIMA DI</t>
        </is>
      </c>
      <c r="L253" s="3" t="inlineStr">
        <is>
          <t>OPERA: SERBATOIO, INERZIALE DI LEGA FERROSA ACCIAIO NERO; FINITURA: VERNICIATO | ANTIRUGGINE; GEOMETRIA: VERTICALE; FUNZIONE: ACCUMULO ACQUA REFRIGERATA; IMPIEGO: CENTRALE IDRICA; PRESSIONE MASSIMA DI ESERCIZIO [BAR] = 6; CAPACITÀ [L] = 1500. 
LAVORO: INSTALLAZIONE. 
SPECIFICHE TECNICHE: SERBATOIO CON VERNICIATURA ESTERNA ANTIRUGGINE. OP SERBATOIO, INERZIALE DI LEGA FERROSA ACCIAIO NERO; FINITURA: VERNICIATO | ANTIRUGGINE; GEOMETRIA: VERTICALE; FUNZIONE: ACCUMULO ACQUA REFRIGERATA; IMPIEGO: CENTRALE IDRICA; PRESSIONE MASSIMA DI ESERCIZIO [BAR] = 6; CAPACITÀ [L] = 1500. 
SPECIFICHE TECNICHE: SERBATOIO CON VERNICIATURA ESTERNA ANTIRUGGINE. 
RM SERBATOIO INERZIALE DI LEGA FERROSA ACCIAIO NERO; FINITURA: VERNICIATO | ANTIRUGGINE; GEOMETRIA: VERTICALE; FUNZIONE: ACCUMULO ACQUA REFRIGERATA; IMPIEGO: CENTRALE IDRICA; PRESSIONE MASSIMA DI ESERCIZIO [BAR] = 6; CAPACITÀ [L] = 1500. COMPONENTE: LASTRA,  
SPECIFICHE TECNICHE: SERBATOIO CON VERNICIATURA ESTERNA ANTIRUGGINE 
LV INSTALLAZIONE.</t>
        </is>
      </c>
      <c r="M253" s="4" t="inlineStr">
        <is>
          <t>CAD</t>
        </is>
      </c>
      <c r="N253" s="5" t="n">
        <v>0.2</v>
      </c>
      <c r="O253" s="6" t="n">
        <v>1897.38</v>
      </c>
      <c r="P253" s="6" t="n">
        <v>379.48</v>
      </c>
      <c r="Q253" s="5" t="n"/>
      <c r="R253" s="6" t="n"/>
      <c r="S253" s="6">
        <f>IF(AND(Q253&lt;&gt;"",R253&lt;&gt;""),Q253*R253,"")</f>
        <v/>
      </c>
      <c r="T253" s="6">
        <f>IF(S253="",P253,S253)</f>
        <v/>
      </c>
      <c r="U253" s="7" t="n">
        <v>0</v>
      </c>
      <c r="V253" s="6">
        <f>$T253*U253</f>
        <v/>
      </c>
      <c r="W253" s="7" t="n">
        <v>0.5</v>
      </c>
      <c r="X253" s="6">
        <f>$T253*W253</f>
        <v/>
      </c>
      <c r="Y253" s="7" t="n">
        <v>0</v>
      </c>
      <c r="Z253" s="6">
        <f>$T253*Y253</f>
        <v/>
      </c>
      <c r="AA253" s="7" t="n">
        <v>0</v>
      </c>
      <c r="AB253" s="6">
        <f>$T253*AA253</f>
        <v/>
      </c>
      <c r="AC253" s="7" t="n">
        <v>0</v>
      </c>
      <c r="AD253" s="6">
        <f>$T253*AC253</f>
        <v/>
      </c>
      <c r="AE253" s="7" t="n">
        <v>0</v>
      </c>
      <c r="AF253" s="6">
        <f>$T253*AE253</f>
        <v/>
      </c>
      <c r="AG253" s="7" t="n">
        <v>0</v>
      </c>
      <c r="AH253" s="6">
        <f>$T253*AG253</f>
        <v/>
      </c>
      <c r="AI253" s="7">
        <f>U253+W253+Y253+AA253+AC253+AE253+AG253</f>
        <v/>
      </c>
      <c r="AJ253" s="6">
        <f>V253+X253+Z253+AB253+AD253+AF253+AH253</f>
        <v/>
      </c>
    </row>
    <row r="254" ht="60" customHeight="1" s="35">
      <c r="A254" s="3" t="inlineStr">
        <is>
          <t>LOM251.OC.EEA.PA01.I8000.SB038.0015</t>
        </is>
      </c>
      <c r="B254" s="4" t="inlineStr">
        <is>
          <t>1/2</t>
        </is>
      </c>
      <c r="C254" s="3" t="inlineStr">
        <is>
          <t>IMPIANTO MECCANICO</t>
        </is>
      </c>
      <c r="D254" s="4" t="inlineStr">
        <is>
          <t>NON SPECIALE</t>
        </is>
      </c>
      <c r="E254" s="4" t="inlineStr">
        <is>
          <t>MECCANICHE</t>
        </is>
      </c>
      <c r="F254" s="3" t="inlineStr">
        <is>
          <t>2_CME_TOTALE MECCANICI RADIOFARMACIA PAVIA.PDF</t>
        </is>
      </c>
      <c r="G254" s="4" t="inlineStr">
        <is>
          <t>179/179</t>
        </is>
      </c>
      <c r="H254" s="3" t="inlineStr">
        <is>
          <t>50 - INSTALLAZIONE</t>
        </is>
      </c>
      <c r="I254" s="3" t="inlineStr">
        <is>
          <t>CENTRALE</t>
        </is>
      </c>
      <c r="J254" s="3" t="inlineStr">
        <is>
          <t>IMPIANTO HVAC</t>
        </is>
      </c>
      <c r="K254" s="3" t="inlineStr">
        <is>
          <t>OPERA: SERBATOIO, INERZIALE DI LEGA FERROSA ACCIAIO NERO; FINITURA: VERNICIATO | ANTIRUGGINE; GEOMETRIA: VERTICALE; FUNZIONE: ACCUMULO ACQUA CALDA; IMPIEGO: CENTRALE IDRICA; PRESSIONE DI BOLLO [BAR] =</t>
        </is>
      </c>
      <c r="L254" s="3" t="inlineStr">
        <is>
          <t>OPERA: SERBATOIO, INERZIALE DI LEGA FERROSA ACCIAIO NERO; FINITURA: VERNICIATO | ANTIRUGGINE; GEOMETRIA: VERTICALE; FUNZIONE: ACCUMULO ACQUA CALDA; IMPIEGO: CENTRALE IDRICA; PRESSIONE DI BOLLO [BAR] = 12; CAPACITÀ [L] = 1500. 
LAVORO: INSTALLAZIONE. 
SPECIFICHE TECNICHE: SERBATOIO CON VERNICIATURA ESTERNA ANTIRUGGINE; TEMPERATURA MASSIMA DI ESERCIZIO [°C] = 99. OP SERBATOIO, INERZIALE DI LEGA FERROSA ACCIAIO NERO; FINITURA: VERNICIATO | ANTIRUGGINE; GEOMETRIA: VERTICALE; FUNZIONE: ACCUMULO ACQUA CALDA; IMPIEGO: CENTRALE IDRICA; PRESSIONE DI BOLLO [BAR] = 12; CAPACITÀ [L] = 1500. 
SPECIFICHE TECNICHE: SERBATOIO CON VERNICIATURA ESTERNA ANTIRUGGINE; TEMPERATURA MASSIMA DI ESERCIZIO [°C] = 99. 
RM SERBATOIO INERZIALE DI LEGA FERROSA ACCIAIO NERO; FINITURA: VERNICIATO | ANTIRUGGINE; GEOMETRIA: VERTICALE; FUNZIONE: ACCUMULO ACQUA CALDA; IMPIEGO: CENTRALE IDRICA; PRESSIONE MASSIMA DI ESERCIZIO [BAR] = 6; CAPACITÀ [L] = 1500. COMPONENTE: LASTRA,  
SPECIFICHE TECNICHE: SERBATOIO CON VERNICIATURA ESTERNA ANTIRUGGINE; TEMPERATURA MASSIMA DI ESERCIZIO [°C] = 99 
LV INSTALLAZIONE.</t>
        </is>
      </c>
      <c r="M254" s="4" t="inlineStr">
        <is>
          <t>CAD</t>
        </is>
      </c>
      <c r="N254" s="5" t="n">
        <v>0.2</v>
      </c>
      <c r="O254" s="6" t="n">
        <v>1897.38</v>
      </c>
      <c r="P254" s="6" t="n">
        <v>379.48</v>
      </c>
      <c r="Q254" s="5" t="n"/>
      <c r="R254" s="6" t="n"/>
      <c r="S254" s="6">
        <f>IF(AND(Q254&lt;&gt;"",R254&lt;&gt;""),Q254*R254,"")</f>
        <v/>
      </c>
      <c r="T254" s="6">
        <f>IF(S254="",P254,S254)</f>
        <v/>
      </c>
      <c r="U254" s="7" t="n">
        <v>0</v>
      </c>
      <c r="V254" s="6">
        <f>$T254*U254</f>
        <v/>
      </c>
      <c r="W254" s="7" t="n">
        <v>0.5</v>
      </c>
      <c r="X254" s="6">
        <f>$T254*W254</f>
        <v/>
      </c>
      <c r="Y254" s="7" t="n">
        <v>0</v>
      </c>
      <c r="Z254" s="6">
        <f>$T254*Y254</f>
        <v/>
      </c>
      <c r="AA254" s="7" t="n">
        <v>0</v>
      </c>
      <c r="AB254" s="6">
        <f>$T254*AA254</f>
        <v/>
      </c>
      <c r="AC254" s="7" t="n">
        <v>0</v>
      </c>
      <c r="AD254" s="6">
        <f>$T254*AC254</f>
        <v/>
      </c>
      <c r="AE254" s="7" t="n">
        <v>0</v>
      </c>
      <c r="AF254" s="6">
        <f>$T254*AE254</f>
        <v/>
      </c>
      <c r="AG254" s="7" t="n">
        <v>0</v>
      </c>
      <c r="AH254" s="6">
        <f>$T254*AG254</f>
        <v/>
      </c>
      <c r="AI254" s="7">
        <f>U254+W254+Y254+AA254+AC254+AE254+AG254</f>
        <v/>
      </c>
      <c r="AJ254" s="6">
        <f>V254+X254+Z254+AB254+AD254+AF254+AH254</f>
        <v/>
      </c>
    </row>
    <row r="255" ht="60" customHeight="1" s="35">
      <c r="A255" s="3" t="inlineStr">
        <is>
          <t>LOM251.OC.EEA.PA02.I9762.SB001.0965</t>
        </is>
      </c>
      <c r="B255" s="4" t="inlineStr">
        <is>
          <t>1/2</t>
        </is>
      </c>
      <c r="C255" s="3" t="inlineStr">
        <is>
          <t>IMPIANTO MECCANICO</t>
        </is>
      </c>
      <c r="D255" s="4" t="inlineStr">
        <is>
          <t>NON SPECIALE</t>
        </is>
      </c>
      <c r="E255" s="4" t="inlineStr">
        <is>
          <t>MECCANICHE</t>
        </is>
      </c>
      <c r="F255" s="3" t="inlineStr">
        <is>
          <t>2_CME_TOTALE MECCANICI RADIOFARMACIA PAVIA.PDF</t>
        </is>
      </c>
      <c r="G255" s="4" t="inlineStr">
        <is>
          <t>185/185</t>
        </is>
      </c>
      <c r="H255" s="3" t="inlineStr">
        <is>
          <t>50 - INSTALLAZIONE</t>
        </is>
      </c>
      <c r="I255" s="3" t="inlineStr">
        <is>
          <t>CENTRALE</t>
        </is>
      </c>
      <c r="J255" s="3" t="inlineStr">
        <is>
          <t>IMPIANTO HVAC</t>
        </is>
      </c>
      <c r="K255" s="3" t="inlineStr">
        <is>
          <t>OPERA: VALVOLA DI LEGA FERROSA ACCIAIO GENERICO; GEOMETRIA: A DISCO | TIPO WAFER; FUNZIONE: DI RITEGNO; DIAMETRO NOMINALE (Ø) [MM] = 40; PRESSIONE NOMINALE [BAR] = 10 ÷ 40. INCLUSO: MOLLA DI LEGA FERR</t>
        </is>
      </c>
      <c r="L255" s="3" t="inlineStr">
        <is>
          <t>OPERA: VALVOLA DI LEGA FERROSA ACCIAIO GENERICO; GEOMETRIA: A DISCO | TIPO WAFER; FUNZIONE: DI RITEGNO; DIAMETRO NOMINALE (Ø) [MM] = 40; PRESSIONE NOMINALE [BAR] = 10 ÷ 40. INCLUSO: MOLLA DI LEGA FERROSA ACCIAIO INOX;. 
LAVORO: POSA. 
SPECIFICHE TECNICHE: VALVOLA CON: CORPO DI LEGA FERROSA ACCIAIO GALVANIZZATO, DISCO DI LEGA FERROSA ACCIAIO INOX, ANELLO SEDE DI TENUTA VALVOLA DI LEGA FERROSA ACCIAIO INOX. OP VALVOLA DI LEGA FERROSA ACCIAIO GENERICO; GEOMETRIA: A DISCO | TIPO WAFER; FUNZIONE: DI RITEGNO; DIAMETRO NOMINALE (Ø) [MM] = 40; PRESSIONE NOMINALE [BAR] = 10 ÷ 40. INCLUSO: MOLLA DI LEGA FERROSA ACCIAIO INOX;. 
SPECIFICHE TECNICHE: VALVOLA CON: CORPO DI LEGA FERROSA ACCIAIO GALVANIZZATO, DISCO DI LEGA FERROSA ACCIAIO INOX, ANELLO SEDE DI TENUTA VALVOLA DI LEGA FERROSA ACCIAIO INOX. 
RM VALVOLA DI LEGA FERROSA ACCIAIO GENERICO; GEOMETRIA: A DISCO | TIPO WAFER; FUNZIONE: DI RITEGNO; DIAMETRO NOMINALE (Ø) [MM] = 40; PRESSIONE NOMINALE [BAR] = 10 ÷ 40. INCLUSO: MOLLA DI LEGA FERROSA ACCIAIO INOX; 
SPECIFICHE TECNICHE: VALVOLA CON: CORPO DI LEGA FERROSA ACCIAIO GALVANIZZATO, DISCO DI LEGA FERROSA ACCIAIO INOX, ANELLO SEDE DI TENUTA VALVOLA DI LEGA FERROSA ACCIAIO INOX 
LV POSA.</t>
        </is>
      </c>
      <c r="M255" s="4" t="inlineStr">
        <is>
          <t>CAD</t>
        </is>
      </c>
      <c r="N255" s="5" t="n">
        <v>1</v>
      </c>
      <c r="O255" s="6" t="n">
        <v>82.86</v>
      </c>
      <c r="P255" s="6" t="n">
        <v>82.86</v>
      </c>
      <c r="Q255" s="5" t="n"/>
      <c r="R255" s="6" t="n"/>
      <c r="S255" s="6">
        <f>IF(AND(Q255&lt;&gt;"",R255&lt;&gt;""),Q255*R255,"")</f>
        <v/>
      </c>
      <c r="T255" s="6">
        <f>IF(S255="",P255,S255)</f>
        <v/>
      </c>
      <c r="U255" s="7" t="n">
        <v>0</v>
      </c>
      <c r="V255" s="6">
        <f>$T255*U255</f>
        <v/>
      </c>
      <c r="W255" s="7" t="n">
        <v>0</v>
      </c>
      <c r="X255" s="6">
        <f>$T255*W255</f>
        <v/>
      </c>
      <c r="Y255" s="7" t="n">
        <v>0</v>
      </c>
      <c r="Z255" s="6">
        <f>$T255*Y255</f>
        <v/>
      </c>
      <c r="AA255" s="7" t="n">
        <v>0</v>
      </c>
      <c r="AB255" s="6">
        <f>$T255*AA255</f>
        <v/>
      </c>
      <c r="AC255" s="7" t="n">
        <v>0</v>
      </c>
      <c r="AD255" s="6">
        <f>$T255*AC255</f>
        <v/>
      </c>
      <c r="AE255" s="7" t="n">
        <v>0</v>
      </c>
      <c r="AF255" s="6">
        <f>$T255*AE255</f>
        <v/>
      </c>
      <c r="AG255" s="7" t="n">
        <v>0</v>
      </c>
      <c r="AH255" s="6">
        <f>$T255*AG255</f>
        <v/>
      </c>
      <c r="AI255" s="7">
        <f>U255+W255+Y255+AA255+AC255+AE255+AG255</f>
        <v/>
      </c>
      <c r="AJ255" s="6">
        <f>V255+X255+Z255+AB255+AD255+AF255+AH255</f>
        <v/>
      </c>
    </row>
    <row r="256" ht="60" customHeight="1" s="35">
      <c r="A256" s="3" t="inlineStr">
        <is>
          <t>DEI_IT_015091A</t>
        </is>
      </c>
      <c r="B256" s="4" t="inlineStr">
        <is>
          <t>1/1</t>
        </is>
      </c>
      <c r="C256" s="3" t="inlineStr">
        <is>
          <t>IMPIANTO MECCANICO</t>
        </is>
      </c>
      <c r="D256" s="4" t="inlineStr">
        <is>
          <t>NON SPECIALE</t>
        </is>
      </c>
      <c r="E256" s="4" t="inlineStr">
        <is>
          <t>MECCANICHE</t>
        </is>
      </c>
      <c r="F256" s="3" t="inlineStr">
        <is>
          <t>2_CME_TOTALE MECCANICI RADIOFARMACIA PAVIA.PDF</t>
        </is>
      </c>
      <c r="G256" s="4" t="inlineStr">
        <is>
          <t>193/193</t>
        </is>
      </c>
      <c r="H256" s="3" t="inlineStr">
        <is>
          <t>50 - INSTALLAZIONE</t>
        </is>
      </c>
      <c r="I256" s="3" t="inlineStr">
        <is>
          <t>CENTRALE</t>
        </is>
      </c>
      <c r="J256" s="3" t="inlineStr">
        <is>
          <t>IMPIANTO IIS E FOGNA</t>
        </is>
      </c>
      <c r="K256" s="3" t="inlineStr">
        <is>
          <t>SCALDA ACQUA A POMPA DI CALORE ARIA-ACQUA PER LA PRODUZIONE DI ACQUA CALDA SANITARIA, IN ACCIAIO INOX, PER INSTALLAZIONE A BASAMENTO (CLASSE A+ DI EFFICIENZA ENERGETICA SECONDO ERP), CON COIBENTAZIONE</t>
        </is>
      </c>
      <c r="L256" s="3" t="inlineStr">
        <is>
          <t>SCALDA ACQUA A POMPA DI CALORE ARIA-ACQUA PER LA PRODUZIONE DI ACQUA CALDA SANITARIA, IN ACCIAIO INOX, PER INSTALLAZIONE A BASAMENTO (CLASSE A+ DI EFFICIENZA ENERGETICA SECONDO ERP), CON COIBENTAZIONE IN POLIURETANO ESPANSO, ALIMENTAZIONE ELETTRICA 230 V - 50 HZ, POSTO IN OPERA ALLACCIATO ALLA RETE IDRICA CON ESCLUSIONE DEI COLLEGAMENTI ELETTRICI: SENZA SERPENTINO DI INTEGRAZIONE, DELLA CAPACITÀ DI: 200 L</t>
        </is>
      </c>
      <c r="M256" s="4" t="inlineStr">
        <is>
          <t>CAD</t>
        </is>
      </c>
      <c r="N256" s="5" t="n">
        <v>1</v>
      </c>
      <c r="O256" s="6" t="n">
        <v>2229.42</v>
      </c>
      <c r="P256" s="6" t="n">
        <v>2229.42</v>
      </c>
      <c r="Q256" s="5" t="n"/>
      <c r="R256" s="6" t="n"/>
      <c r="S256" s="6">
        <f>IF(AND(Q256&lt;&gt;"",R256&lt;&gt;""),Q256*R256,"")</f>
        <v/>
      </c>
      <c r="T256" s="6">
        <f>IF(S256="",P256,S256)</f>
        <v/>
      </c>
      <c r="U256" s="7" t="n">
        <v>0.5</v>
      </c>
      <c r="V256" s="6">
        <f>$T256*U256</f>
        <v/>
      </c>
      <c r="W256" s="7" t="n">
        <v>0.1</v>
      </c>
      <c r="X256" s="6">
        <f>$T256*W256</f>
        <v/>
      </c>
      <c r="Y256" s="7" t="n">
        <v>0</v>
      </c>
      <c r="Z256" s="6">
        <f>$T256*Y256</f>
        <v/>
      </c>
      <c r="AA256" s="7" t="n">
        <v>0</v>
      </c>
      <c r="AB256" s="6">
        <f>$T256*AA256</f>
        <v/>
      </c>
      <c r="AC256" s="7" t="n">
        <v>0</v>
      </c>
      <c r="AD256" s="6">
        <f>$T256*AC256</f>
        <v/>
      </c>
      <c r="AE256" s="7" t="n">
        <v>0</v>
      </c>
      <c r="AF256" s="6">
        <f>$T256*AE256</f>
        <v/>
      </c>
      <c r="AG256" s="7" t="n">
        <v>0</v>
      </c>
      <c r="AH256" s="6">
        <f>$T256*AG256</f>
        <v/>
      </c>
      <c r="AI256" s="7">
        <f>U256+W256+Y256+AA256+AC256+AE256+AG256</f>
        <v/>
      </c>
      <c r="AJ256" s="6">
        <f>V256+X256+Z256+AB256+AD256+AF256+AH256</f>
        <v/>
      </c>
    </row>
    <row r="257" ht="60" customHeight="1" s="35">
      <c r="A257" s="3" t="inlineStr">
        <is>
          <t>LOM251.OC.EEA.PA01.I7450.ZA001.0010</t>
        </is>
      </c>
      <c r="B257" s="4" t="inlineStr">
        <is>
          <t>1/1</t>
        </is>
      </c>
      <c r="C257" s="3" t="inlineStr">
        <is>
          <t>IMPIANTO MECCANICO</t>
        </is>
      </c>
      <c r="D257" s="4" t="inlineStr">
        <is>
          <t>SPECIALE</t>
        </is>
      </c>
      <c r="E257" s="4" t="inlineStr">
        <is>
          <t>MECCANICHE SPECIALI</t>
        </is>
      </c>
      <c r="F257" s="3" t="inlineStr">
        <is>
          <t>2_CME_TOTALE MECCANICI RADIOFARMACIA PAVIA.PDF</t>
        </is>
      </c>
      <c r="G257" s="4" t="inlineStr">
        <is>
          <t>6/6</t>
        </is>
      </c>
      <c r="H257" s="3" t="inlineStr">
        <is>
          <t>40 - IMPIANTISTICO</t>
        </is>
      </c>
      <c r="I257" s="3" t="inlineStr">
        <is>
          <t>CENTRALE</t>
        </is>
      </c>
      <c r="J257" s="3" t="inlineStr">
        <is>
          <t>IMPIANTO HVAC</t>
        </is>
      </c>
      <c r="K257" s="3" t="inlineStr">
        <is>
          <t xml:space="preserve">OPERA: CIRCOLATORE, GEMELLARE; FUNZIONE: DISTRIBUZIONE ACQUA; IMPIEGO: CENTRALE IDRICA; PRESSIONE NOMINALE [BAR] = 6 | PREVALENZA [KPA] = 40,1 ÷ 80 | PORTATA [M³/H] ≤ 4. </t>
        </is>
      </c>
      <c r="L257" s="3" t="inlineStr">
        <is>
          <t>OPERA: CIRCOLATORE, GEMELLARE; FUNZIONE: DISTRIBUZIONE ACQUA; IMPIEGO: CENTRALE IDRICA; PRESSIONE NOMINALE [BAR] = 6 | PREVALENZA [KPA] = 40,1 ÷ 80 | PORTATA [M³/H] ≤ 4. 
LAVORO: INSTALLAZIONE. 
SPECIFICHE TECNICHE: PRESTAZIONI MISURATE A VELOCITÀ MASSIMA. OP CIRCOLATORE, GEMELLARE; FUNZIONE: DISTRIBUZIONE ACQUA; IMPIEGO: CENTRALE IDRICA; PRESSIONE NOMINALE [BAR] = 6 | PREVALENZA [KPA] = 40,1 ÷ 80 | PORTATA [M³/H] ≤ 4. 
SPECIFICHE TECNICHE: PRESTAZIONI MISURATE A VELOCITÀ MASSIMA. 
RM CIRCOLATORE GEMELLARE; FUNZIONE: DISTRIBUZIONE ACQUA; IMPIEGO: CENTRALE IDRICA; PRESSIONE NOMINALE [BAR] = 6 | PREVALENZA [KPA] = 40,1 ÷ 80 | PORTATA [M³/H] ≤ 4. COMPONENTE: MOTORE TRIFASE (3F),  
SPECIFICHE TECNICHE: PRESTAZIONI MISURATE A VELOCITÀ MASSIMA 
LV INSTALLAZIONE.</t>
        </is>
      </c>
      <c r="M257" s="4" t="inlineStr">
        <is>
          <t>CAD</t>
        </is>
      </c>
      <c r="N257" s="5" t="n">
        <v>1</v>
      </c>
      <c r="O257" s="6" t="n">
        <v>2146.41</v>
      </c>
      <c r="P257" s="6" t="n">
        <v>2146.41</v>
      </c>
      <c r="Q257" s="5" t="n"/>
      <c r="R257" s="6" t="n"/>
      <c r="S257" s="6">
        <f>IF(AND(Q257&lt;&gt;"",R257&lt;&gt;""),Q257*R257,"")</f>
        <v/>
      </c>
      <c r="T257" s="6">
        <f>IF(S257="",P257,S257)</f>
        <v/>
      </c>
      <c r="U257" s="7" t="n">
        <v>0</v>
      </c>
      <c r="V257" s="6">
        <f>$T257*U257</f>
        <v/>
      </c>
      <c r="W257" s="7" t="n">
        <v>0.7</v>
      </c>
      <c r="X257" s="6">
        <f>$T257*W257</f>
        <v/>
      </c>
      <c r="Y257" s="7" t="n">
        <v>0</v>
      </c>
      <c r="Z257" s="6">
        <f>$T257*Y257</f>
        <v/>
      </c>
      <c r="AA257" s="7" t="n">
        <v>0</v>
      </c>
      <c r="AB257" s="6">
        <f>$T257*AA257</f>
        <v/>
      </c>
      <c r="AC257" s="7" t="n">
        <v>0</v>
      </c>
      <c r="AD257" s="6">
        <f>$T257*AC257</f>
        <v/>
      </c>
      <c r="AE257" s="7" t="n">
        <v>0</v>
      </c>
      <c r="AF257" s="6">
        <f>$T257*AE257</f>
        <v/>
      </c>
      <c r="AG257" s="7" t="n">
        <v>0</v>
      </c>
      <c r="AH257" s="6">
        <f>$T257*AG257</f>
        <v/>
      </c>
      <c r="AI257" s="7">
        <f>U257+W257+Y257+AA257+AC257+AE257+AG257</f>
        <v/>
      </c>
      <c r="AJ257" s="6">
        <f>V257+X257+Z257+AB257+AD257+AF257+AH257</f>
        <v/>
      </c>
    </row>
    <row r="258" ht="60" customHeight="1" s="35">
      <c r="A258" s="3" t="inlineStr">
        <is>
          <t>LOM251.OC.EEA.PA02.I7407.SB038.0255</t>
        </is>
      </c>
      <c r="B258" s="4" t="inlineStr">
        <is>
          <t>3/3</t>
        </is>
      </c>
      <c r="C258" s="3" t="inlineStr">
        <is>
          <t>IMPIANTO MECCANICO</t>
        </is>
      </c>
      <c r="D258" s="4" t="inlineStr">
        <is>
          <t>SPECIALE</t>
        </is>
      </c>
      <c r="E258" s="4" t="inlineStr">
        <is>
          <t>MECCANICHE SPECIALI</t>
        </is>
      </c>
      <c r="F258" s="3" t="inlineStr">
        <is>
          <t>2_CME_TOTALE MECCANICI RADIOFARMACIA PAVIA.PDF</t>
        </is>
      </c>
      <c r="G258" s="4" t="inlineStr">
        <is>
          <t>10/10</t>
        </is>
      </c>
      <c r="H258" s="3" t="inlineStr">
        <is>
          <t>40 - IMPIANTISTICO</t>
        </is>
      </c>
      <c r="I258" s="3" t="inlineStr">
        <is>
          <t>CENTRALE</t>
        </is>
      </c>
      <c r="J258" s="3" t="inlineStr">
        <is>
          <t>IMPIANTO HVAC</t>
        </is>
      </c>
      <c r="K258" s="3" t="inlineStr">
        <is>
          <t xml:space="preserve">OPERA: TUBAZIONE DI LEGA FERROSA ACCIAIO NERO; GEOMETRIA: FILETTATO | SERIE LEGGERA; FUNZIONE: DISTRIBUZIONE ACQUA; IMPIEGO: RETE IDRICA; DIAMETRO NOMINALE (Ø) [MM] = 20 | SPESSORE [MM] = 2,3. </t>
        </is>
      </c>
      <c r="L258" s="3" t="inlineStr">
        <is>
          <t>OPERA: TUBAZIONE DI LEGA FERROSA ACCIAIO NERO; GEOMETRIA: FILETTATO | SERIE LEGGERA; FUNZIONE: DISTRIBUZIONE ACQUA; IMPIEGO: RETE IDRICA; DIAMETRO NOMINALE (Ø) [MM] = 20 | SPESSORE [MM] = 2,3. 
LAVORO: POSA. 
SPECIFICHE TECNICHE: TUBO SENZA SALDATURA. OP TUBAZIONE DI LEGA FERROSA ACCIAIO NERO; GEOMETRIA: FILETTATO | SERIE LEGGERA; FUNZIONE: DISTRIBUZIONE ACQUA; IMPIEGO: RETE IDRICA; DIAMETRO NOMINALE (Ø) [MM] = 20 | SPESSORE [MM] = 2,3. 
SPECIFICHE TECNICHE: TUBO SENZA SALDATURA. 
RM TUBO DI LEGA FERROSA ACCIAIO NERO; GEOMETRIA: FILETTATO | SERIE LEGGERA; FUNZIONE: DISTRIBUZIONE ACQUA; IMPIEGO: RETE IDRICA; DIAMETRO NOMINALE (Ø) [MM] = 20 | SPESSORE [MM] = 2,3 
SPECIFICHE TECNICHE: TUBO SENZA SALDATURA 
LV POSA.</t>
        </is>
      </c>
      <c r="M258" s="4" t="inlineStr">
        <is>
          <t>M</t>
        </is>
      </c>
      <c r="N258" s="5" t="n">
        <v>45</v>
      </c>
      <c r="O258" s="6" t="n">
        <v>24.52</v>
      </c>
      <c r="P258" s="6" t="n">
        <v>1103.4</v>
      </c>
      <c r="Q258" s="5" t="n"/>
      <c r="R258" s="6" t="n"/>
      <c r="S258" s="6">
        <f>IF(AND(Q258&lt;&gt;"",R258&lt;&gt;""),Q258*R258,"")</f>
        <v/>
      </c>
      <c r="T258" s="6">
        <f>IF(S258="",P258,S258)</f>
        <v/>
      </c>
      <c r="U258" s="7" t="n">
        <v>0</v>
      </c>
      <c r="V258" s="6">
        <f>$T258*U258</f>
        <v/>
      </c>
      <c r="W258" s="7" t="n">
        <v>0.25</v>
      </c>
      <c r="X258" s="6">
        <f>$T258*W258</f>
        <v/>
      </c>
      <c r="Y258" s="7" t="n">
        <v>0</v>
      </c>
      <c r="Z258" s="6">
        <f>$T258*Y258</f>
        <v/>
      </c>
      <c r="AA258" s="7" t="n">
        <v>0</v>
      </c>
      <c r="AB258" s="6">
        <f>$T258*AA258</f>
        <v/>
      </c>
      <c r="AC258" s="7" t="n">
        <v>0</v>
      </c>
      <c r="AD258" s="6">
        <f>$T258*AC258</f>
        <v/>
      </c>
      <c r="AE258" s="7" t="n">
        <v>0</v>
      </c>
      <c r="AF258" s="6">
        <f>$T258*AE258</f>
        <v/>
      </c>
      <c r="AG258" s="7" t="n">
        <v>0</v>
      </c>
      <c r="AH258" s="6">
        <f>$T258*AG258</f>
        <v/>
      </c>
      <c r="AI258" s="7">
        <f>U258+W258+Y258+AA258+AC258+AE258+AG258</f>
        <v/>
      </c>
      <c r="AJ258" s="6">
        <f>V258+X258+Z258+AB258+AD258+AF258+AH258</f>
        <v/>
      </c>
    </row>
    <row r="259" ht="60" customHeight="1" s="35">
      <c r="A259" s="3" t="inlineStr">
        <is>
          <t>LOM251.OC.EEA.PA02.I7407.SB038.0295</t>
        </is>
      </c>
      <c r="B259" s="4" t="inlineStr">
        <is>
          <t>2/2</t>
        </is>
      </c>
      <c r="C259" s="3" t="inlineStr">
        <is>
          <t>IMPIANTO MECCANICO</t>
        </is>
      </c>
      <c r="D259" s="4" t="inlineStr">
        <is>
          <t>SPECIALE</t>
        </is>
      </c>
      <c r="E259" s="4" t="inlineStr">
        <is>
          <t>MECCANICHE SPECIALI</t>
        </is>
      </c>
      <c r="F259" s="3" t="inlineStr">
        <is>
          <t>2_CME_TOTALE MECCANICI RADIOFARMACIA PAVIA.PDF</t>
        </is>
      </c>
      <c r="G259" s="4" t="inlineStr">
        <is>
          <t>11/11</t>
        </is>
      </c>
      <c r="H259" s="3" t="inlineStr">
        <is>
          <t>40 - IMPIANTISTICO</t>
        </is>
      </c>
      <c r="I259" s="3" t="inlineStr">
        <is>
          <t>CENTRALE</t>
        </is>
      </c>
      <c r="J259" s="3" t="inlineStr">
        <is>
          <t>IMPIANTO HVAC</t>
        </is>
      </c>
      <c r="K259" s="3" t="inlineStr">
        <is>
          <t xml:space="preserve">OPERA: TUBAZIONE DI LEGA FERROSA ACCIAIO NERO; FUNZIONE: DISTRIBUZIONE ACQUA; IMPIEGO: RETE IDRICA; DIAMETRO NOMINALE (Ø) [MM] = 25 | SPESSORE [MM] = 2,3. </t>
        </is>
      </c>
      <c r="L259" s="3" t="inlineStr">
        <is>
          <t>OPERA: TUBAZIONE DI LEGA FERROSA ACCIAIO NERO; FUNZIONE: DISTRIBUZIONE ACQUA; IMPIEGO: RETE IDRICA; DIAMETRO NOMINALE (Ø) [MM] = 25 | SPESSORE [MM] = 2,3. 
LAVORO: POSA. 
SPECIFICHE TECNICHE: TUBO SENZA SALDATURA. OP TUBAZIONE DI LEGA FERROSA ACCIAIO NERO; FUNZIONE: DISTRIBUZIONE ACQUA; IMPIEGO: RETE IDRICA; DIAMETRO NOMINALE (Ø) [MM] = 25 | SPESSORE [MM] = 2,3. 
SPECIFICHE TECNICHE: TUBO SENZA SALDATURA. 
RM TUBO DI LEGA FERROSA ACCIAIO NERO; FUNZIONE: DISTRIBUZIONE ACQUA; IMPIEGO: RETE IDRICA; DIAMETRO NOMINALE (Ø) [MM] = 25 | SPESSORE [MM] = 2,3 
SPECIFICHE TECNICHE: TUBO SENZA SALDATURA 
LV POSA.</t>
        </is>
      </c>
      <c r="M259" s="4" t="inlineStr">
        <is>
          <t>M</t>
        </is>
      </c>
      <c r="N259" s="5" t="n">
        <v>15</v>
      </c>
      <c r="O259" s="6" t="n">
        <v>27.97</v>
      </c>
      <c r="P259" s="6" t="n">
        <v>419.55</v>
      </c>
      <c r="Q259" s="5" t="n"/>
      <c r="R259" s="6" t="n"/>
      <c r="S259" s="6">
        <f>IF(AND(Q259&lt;&gt;"",R259&lt;&gt;""),Q259*R259,"")</f>
        <v/>
      </c>
      <c r="T259" s="6">
        <f>IF(S259="",P259,S259)</f>
        <v/>
      </c>
      <c r="U259" s="7" t="n">
        <v>0</v>
      </c>
      <c r="V259" s="6">
        <f>$T259*U259</f>
        <v/>
      </c>
      <c r="W259" s="7" t="n">
        <v>0.25</v>
      </c>
      <c r="X259" s="6">
        <f>$T259*W259</f>
        <v/>
      </c>
      <c r="Y259" s="7" t="n">
        <v>0</v>
      </c>
      <c r="Z259" s="6">
        <f>$T259*Y259</f>
        <v/>
      </c>
      <c r="AA259" s="7" t="n">
        <v>0</v>
      </c>
      <c r="AB259" s="6">
        <f>$T259*AA259</f>
        <v/>
      </c>
      <c r="AC259" s="7" t="n">
        <v>0</v>
      </c>
      <c r="AD259" s="6">
        <f>$T259*AC259</f>
        <v/>
      </c>
      <c r="AE259" s="7" t="n">
        <v>0</v>
      </c>
      <c r="AF259" s="6">
        <f>$T259*AE259</f>
        <v/>
      </c>
      <c r="AG259" s="7" t="n">
        <v>0</v>
      </c>
      <c r="AH259" s="6">
        <f>$T259*AG259</f>
        <v/>
      </c>
      <c r="AI259" s="7">
        <f>U259+W259+Y259+AA259+AC259+AE259+AG259</f>
        <v/>
      </c>
      <c r="AJ259" s="6">
        <f>V259+X259+Z259+AB259+AD259+AF259+AH259</f>
        <v/>
      </c>
    </row>
    <row r="260" ht="60" customHeight="1" s="35">
      <c r="A260" s="3" t="inlineStr">
        <is>
          <t>LOM251.OC.EEA.PA02.I7407.SB038.0300</t>
        </is>
      </c>
      <c r="B260" s="4" t="inlineStr">
        <is>
          <t>1/1</t>
        </is>
      </c>
      <c r="C260" s="3" t="inlineStr">
        <is>
          <t>IMPIANTO MECCANICO</t>
        </is>
      </c>
      <c r="D260" s="4" t="inlineStr">
        <is>
          <t>SPECIALE</t>
        </is>
      </c>
      <c r="E260" s="4" t="inlineStr">
        <is>
          <t>MECCANICHE SPECIALI</t>
        </is>
      </c>
      <c r="F260" s="3" t="inlineStr">
        <is>
          <t>2_CME_TOTALE MECCANICI RADIOFARMACIA PAVIA.PDF</t>
        </is>
      </c>
      <c r="G260" s="4" t="inlineStr">
        <is>
          <t>12/12</t>
        </is>
      </c>
      <c r="H260" s="3" t="inlineStr">
        <is>
          <t>40 - IMPIANTISTICO</t>
        </is>
      </c>
      <c r="I260" s="3" t="inlineStr">
        <is>
          <t>CENTRALE</t>
        </is>
      </c>
      <c r="J260" s="3" t="inlineStr">
        <is>
          <t>IMPIANTO HVAC</t>
        </is>
      </c>
      <c r="K260" s="3" t="inlineStr">
        <is>
          <t xml:space="preserve">OPERA: TUBAZIONE DI LEGA FERROSA ACCIAIO NERO; FUNZIONE: DISTRIBUZIONE ACQUA; IMPIEGO: RETE IDRICA; DIAMETRO NOMINALE (Ø) [MM] = 32 | SPESSORE [MM] = 2,6. </t>
        </is>
      </c>
      <c r="L260" s="3" t="inlineStr">
        <is>
          <t>OPERA: TUBAZIONE DI LEGA FERROSA ACCIAIO NERO; FUNZIONE: DISTRIBUZIONE ACQUA; IMPIEGO: RETE IDRICA; DIAMETRO NOMINALE (Ø) [MM] = 32 | SPESSORE [MM] = 2,6. 
LAVORO: POSA. 
SPECIFICHE TECNICHE: TUBO SENZA SALDATURA. OP TUBAZIONE DI LEGA FERROSA ACCIAIO NERO; FUNZIONE: DISTRIBUZIONE ACQUA; IMPIEGO: RETE IDRICA; DIAMETRO NOMINALE (Ø) [MM] = 32 | SPESSORE [MM] = 2,6. 
SPECIFICHE TECNICHE: TUBO SENZA SALDATURA. 
RM TUBO DI LEGA FERROSA ACCIAIO NERO; FUNZIONE: DISTRIBUZIONE ACQUA; IMPIEGO: RETE IDRICA; DIAMETRO NOMINALE (Ø) [MM] = 32 | SPESSORE [MM] = 2,6 
SPECIFICHE TECNICHE: TUBO SENZA SALDATURA 
LV POSA.</t>
        </is>
      </c>
      <c r="M260" s="4" t="inlineStr">
        <is>
          <t>M</t>
        </is>
      </c>
      <c r="N260" s="5" t="n">
        <v>50</v>
      </c>
      <c r="O260" s="6" t="n">
        <v>31.42</v>
      </c>
      <c r="P260" s="6" t="n">
        <v>1571</v>
      </c>
      <c r="Q260" s="5" t="n"/>
      <c r="R260" s="6" t="n"/>
      <c r="S260" s="6">
        <f>IF(AND(Q260&lt;&gt;"",R260&lt;&gt;""),Q260*R260,"")</f>
        <v/>
      </c>
      <c r="T260" s="6">
        <f>IF(S260="",P260,S260)</f>
        <v/>
      </c>
      <c r="U260" s="7" t="n">
        <v>0</v>
      </c>
      <c r="V260" s="6">
        <f>$T260*U260</f>
        <v/>
      </c>
      <c r="W260" s="7" t="n">
        <v>0.25</v>
      </c>
      <c r="X260" s="6">
        <f>$T260*W260</f>
        <v/>
      </c>
      <c r="Y260" s="7" t="n">
        <v>0</v>
      </c>
      <c r="Z260" s="6">
        <f>$T260*Y260</f>
        <v/>
      </c>
      <c r="AA260" s="7" t="n">
        <v>0</v>
      </c>
      <c r="AB260" s="6">
        <f>$T260*AA260</f>
        <v/>
      </c>
      <c r="AC260" s="7" t="n">
        <v>0</v>
      </c>
      <c r="AD260" s="6">
        <f>$T260*AC260</f>
        <v/>
      </c>
      <c r="AE260" s="7" t="n">
        <v>0</v>
      </c>
      <c r="AF260" s="6">
        <f>$T260*AE260</f>
        <v/>
      </c>
      <c r="AG260" s="7" t="n">
        <v>0</v>
      </c>
      <c r="AH260" s="6">
        <f>$T260*AG260</f>
        <v/>
      </c>
      <c r="AI260" s="7">
        <f>U260+W260+Y260+AA260+AC260+AE260+AG260</f>
        <v/>
      </c>
      <c r="AJ260" s="6">
        <f>V260+X260+Z260+AB260+AD260+AF260+AH260</f>
        <v/>
      </c>
    </row>
    <row r="261" ht="60" customHeight="1" s="35">
      <c r="A261" s="3" t="inlineStr">
        <is>
          <t>LOM251.OC.EEA.PA02.I7407.SB038.0305</t>
        </is>
      </c>
      <c r="B261" s="4" t="inlineStr">
        <is>
          <t>1/2</t>
        </is>
      </c>
      <c r="C261" s="3" t="inlineStr">
        <is>
          <t>IMPIANTO MECCANICO</t>
        </is>
      </c>
      <c r="D261" s="4" t="inlineStr">
        <is>
          <t>SPECIALE</t>
        </is>
      </c>
      <c r="E261" s="4" t="inlineStr">
        <is>
          <t>MECCANICHE SPECIALI</t>
        </is>
      </c>
      <c r="F261" s="3" t="inlineStr">
        <is>
          <t>2_CME_TOTALE MECCANICI RADIOFARMACIA PAVIA.PDF</t>
        </is>
      </c>
      <c r="G261" s="4" t="inlineStr">
        <is>
          <t>13/13</t>
        </is>
      </c>
      <c r="H261" s="3" t="inlineStr">
        <is>
          <t>40 - IMPIANTISTICO</t>
        </is>
      </c>
      <c r="I261" s="3" t="inlineStr">
        <is>
          <t>CENTRALE</t>
        </is>
      </c>
      <c r="J261" s="3" t="inlineStr">
        <is>
          <t>IMPIANTO HVAC</t>
        </is>
      </c>
      <c r="K261" s="3" t="inlineStr">
        <is>
          <t xml:space="preserve">OPERA: TUBAZIONE DI LEGA FERROSA ACCIAIO NERO; FUNZIONE: DISTRIBUZIONE ACQUA; IMPIEGO: RETE IDRICA; DIAMETRO NOMINALE (Ø) [MM] = 40 | SPESSORE [MM] = 2,6. </t>
        </is>
      </c>
      <c r="L261" s="3" t="inlineStr">
        <is>
          <t>OPERA: TUBAZIONE DI LEGA FERROSA ACCIAIO NERO; FUNZIONE: DISTRIBUZIONE ACQUA; IMPIEGO: RETE IDRICA; DIAMETRO NOMINALE (Ø) [MM] = 40 | SPESSORE [MM] = 2,6. 
LAVORO: POSA. 
SPECIFICHE TECNICHE: TUBO SENZA SALDATURA. OP TUBAZIONE DI LEGA FERROSA ACCIAIO NERO; FUNZIONE: DISTRIBUZIONE ACQUA; IMPIEGO: RETE IDRICA; DIAMETRO NOMINALE (Ø) [MM] = 40 | SPESSORE [MM] = 2,6. 
SPECIFICHE TECNICHE: TUBO SENZA SALDATURA. 
RM TUBO DI LEGA FERROSA ACCIAIO NERO; FUNZIONE: DISTRIBUZIONE ACQUA; IMPIEGO: RETE IDRICA; DIAMETRO NOMINALE (Ø) [MM] = 40 | SPESSORE [MM] = 2,6 
SPECIFICHE TECNICHE: TUBO SENZA SALDATURA 
LV POSA.</t>
        </is>
      </c>
      <c r="M261" s="4" t="inlineStr">
        <is>
          <t>M</t>
        </is>
      </c>
      <c r="N261" s="5" t="n">
        <v>55</v>
      </c>
      <c r="O261" s="6" t="n">
        <v>36.2</v>
      </c>
      <c r="P261" s="6" t="n">
        <v>1991</v>
      </c>
      <c r="Q261" s="5" t="n"/>
      <c r="R261" s="6" t="n"/>
      <c r="S261" s="6">
        <f>IF(AND(Q261&lt;&gt;"",R261&lt;&gt;""),Q261*R261,"")</f>
        <v/>
      </c>
      <c r="T261" s="6">
        <f>IF(S261="",P261,S261)</f>
        <v/>
      </c>
      <c r="U261" s="7" t="n">
        <v>0</v>
      </c>
      <c r="V261" s="6">
        <f>$T261*U261</f>
        <v/>
      </c>
      <c r="W261" s="7" t="n">
        <v>0.25</v>
      </c>
      <c r="X261" s="6">
        <f>$T261*W261</f>
        <v/>
      </c>
      <c r="Y261" s="7" t="n">
        <v>0</v>
      </c>
      <c r="Z261" s="6">
        <f>$T261*Y261</f>
        <v/>
      </c>
      <c r="AA261" s="7" t="n">
        <v>0</v>
      </c>
      <c r="AB261" s="6">
        <f>$T261*AA261</f>
        <v/>
      </c>
      <c r="AC261" s="7" t="n">
        <v>0</v>
      </c>
      <c r="AD261" s="6">
        <f>$T261*AC261</f>
        <v/>
      </c>
      <c r="AE261" s="7" t="n">
        <v>0</v>
      </c>
      <c r="AF261" s="6">
        <f>$T261*AE261</f>
        <v/>
      </c>
      <c r="AG261" s="7" t="n">
        <v>0</v>
      </c>
      <c r="AH261" s="6">
        <f>$T261*AG261</f>
        <v/>
      </c>
      <c r="AI261" s="7">
        <f>U261+W261+Y261+AA261+AC261+AE261+AG261</f>
        <v/>
      </c>
      <c r="AJ261" s="6">
        <f>V261+X261+Z261+AB261+AD261+AF261+AH261</f>
        <v/>
      </c>
    </row>
    <row r="262" ht="60" customHeight="1" s="35">
      <c r="A262" s="3" t="inlineStr">
        <is>
          <t>LOM251.OC.EEA.PA02.I7407.SB038.0310</t>
        </is>
      </c>
      <c r="B262" s="4" t="inlineStr">
        <is>
          <t>1/1</t>
        </is>
      </c>
      <c r="C262" s="3" t="inlineStr">
        <is>
          <t>IMPIANTO MECCANICO</t>
        </is>
      </c>
      <c r="D262" s="4" t="inlineStr">
        <is>
          <t>SPECIALE</t>
        </is>
      </c>
      <c r="E262" s="4" t="inlineStr">
        <is>
          <t>MECCANICHE SPECIALI</t>
        </is>
      </c>
      <c r="F262" s="3" t="inlineStr">
        <is>
          <t>2_CME_TOTALE MECCANICI RADIOFARMACIA PAVIA.PDF</t>
        </is>
      </c>
      <c r="G262" s="4" t="inlineStr">
        <is>
          <t>14/14</t>
        </is>
      </c>
      <c r="H262" s="3" t="inlineStr">
        <is>
          <t>40 - IMPIANTISTICO</t>
        </is>
      </c>
      <c r="I262" s="3" t="inlineStr">
        <is>
          <t>CENTRALE</t>
        </is>
      </c>
      <c r="J262" s="3" t="inlineStr">
        <is>
          <t>IMPIANTO HVAC</t>
        </is>
      </c>
      <c r="K262" s="3" t="inlineStr">
        <is>
          <t xml:space="preserve">OPERA: TUBAZIONE DI LEGA FERROSA ACCIAIO NERO; FUNZIONE: DISTRIBUZIONE ACQUA; IMPIEGO: RETE IDRICA; DIAMETRO NOMINALE (Ø) [MM] = 50 | SPESSORE [MM] = 2,9. </t>
        </is>
      </c>
      <c r="L262" s="3" t="inlineStr">
        <is>
          <t>OPERA: TUBAZIONE DI LEGA FERROSA ACCIAIO NERO; FUNZIONE: DISTRIBUZIONE ACQUA; IMPIEGO: RETE IDRICA; DIAMETRO NOMINALE (Ø) [MM] = 50 | SPESSORE [MM] = 2,9. 
LAVORO: POSA. 
SPECIFICHE TECNICHE: TUBO SENZA SALDATURA. OP TUBAZIONE DI LEGA FERROSA ACCIAIO NERO; FUNZIONE: DISTRIBUZIONE ACQUA; IMPIEGO: RETE IDRICA; DIAMETRO NOMINALE (Ø) [MM] = 50 | SPESSORE [MM] = 2,9. 
SPECIFICHE TECNICHE: TUBO SENZA SALDATURA. 
RM TUBO DI LEGA FERROSA ACCIAIO NERO; FUNZIONE: DISTRIBUZIONE ACQUA; IMPIEGO: RETE IDRICA; DIAMETRO NOMINALE (Ø) [MM] = 50 | SPESSORE [MM] = 2,9 
SPECIFICHE TECNICHE: TUBO SENZA SALDATURA 
LV POSA.</t>
        </is>
      </c>
      <c r="M262" s="4" t="inlineStr">
        <is>
          <t>M</t>
        </is>
      </c>
      <c r="N262" s="5" t="n">
        <v>40</v>
      </c>
      <c r="O262" s="6" t="n">
        <v>38.07</v>
      </c>
      <c r="P262" s="6" t="n">
        <v>1522.8</v>
      </c>
      <c r="Q262" s="5" t="n"/>
      <c r="R262" s="6" t="n"/>
      <c r="S262" s="6">
        <f>IF(AND(Q262&lt;&gt;"",R262&lt;&gt;""),Q262*R262,"")</f>
        <v/>
      </c>
      <c r="T262" s="6">
        <f>IF(S262="",P262,S262)</f>
        <v/>
      </c>
      <c r="U262" s="7" t="n">
        <v>0</v>
      </c>
      <c r="V262" s="6">
        <f>$T262*U262</f>
        <v/>
      </c>
      <c r="W262" s="7" t="n">
        <v>0.25</v>
      </c>
      <c r="X262" s="6">
        <f>$T262*W262</f>
        <v/>
      </c>
      <c r="Y262" s="7" t="n">
        <v>0</v>
      </c>
      <c r="Z262" s="6">
        <f>$T262*Y262</f>
        <v/>
      </c>
      <c r="AA262" s="7" t="n">
        <v>0</v>
      </c>
      <c r="AB262" s="6">
        <f>$T262*AA262</f>
        <v/>
      </c>
      <c r="AC262" s="7" t="n">
        <v>0</v>
      </c>
      <c r="AD262" s="6">
        <f>$T262*AC262</f>
        <v/>
      </c>
      <c r="AE262" s="7" t="n">
        <v>0</v>
      </c>
      <c r="AF262" s="6">
        <f>$T262*AE262</f>
        <v/>
      </c>
      <c r="AG262" s="7" t="n">
        <v>0</v>
      </c>
      <c r="AH262" s="6">
        <f>$T262*AG262</f>
        <v/>
      </c>
      <c r="AI262" s="7">
        <f>U262+W262+Y262+AA262+AC262+AE262+AG262</f>
        <v/>
      </c>
      <c r="AJ262" s="6">
        <f>V262+X262+Z262+AB262+AD262+AF262+AH262</f>
        <v/>
      </c>
    </row>
    <row r="263" ht="60" customHeight="1" s="35">
      <c r="A263" s="3" t="inlineStr">
        <is>
          <t>LOM251.OC.EEA.PA02.I7407.SB038.0315</t>
        </is>
      </c>
      <c r="B263" s="4" t="inlineStr">
        <is>
          <t>1/2</t>
        </is>
      </c>
      <c r="C263" s="3" t="inlineStr">
        <is>
          <t>IMPIANTO MECCANICO</t>
        </is>
      </c>
      <c r="D263" s="4" t="inlineStr">
        <is>
          <t>SPECIALE</t>
        </is>
      </c>
      <c r="E263" s="4" t="inlineStr">
        <is>
          <t>MECCANICHE SPECIALI</t>
        </is>
      </c>
      <c r="F263" s="3" t="inlineStr">
        <is>
          <t>2_CME_TOTALE MECCANICI RADIOFARMACIA PAVIA.PDF</t>
        </is>
      </c>
      <c r="G263" s="4" t="inlineStr">
        <is>
          <t>15/15</t>
        </is>
      </c>
      <c r="H263" s="3" t="inlineStr">
        <is>
          <t>40 - IMPIANTISTICO</t>
        </is>
      </c>
      <c r="I263" s="3" t="inlineStr">
        <is>
          <t>CENTRALE</t>
        </is>
      </c>
      <c r="J263" s="3" t="inlineStr">
        <is>
          <t>IMPIANTO HVAC</t>
        </is>
      </c>
      <c r="K263" s="3" t="inlineStr">
        <is>
          <t xml:space="preserve">OPERA: TUBAZIONE DI LEGA FERROSA ACCIAIO NERO; FUNZIONE: DISTRIBUZIONE ACQUA; IMPIEGO: RETE IDRICA; DIAMETRO NOMINALE (Ø) [MM] = 65 | SPESSORE [MM] = 2,9. </t>
        </is>
      </c>
      <c r="L263" s="3" t="inlineStr">
        <is>
          <t>OPERA: TUBAZIONE DI LEGA FERROSA ACCIAIO NERO; FUNZIONE: DISTRIBUZIONE ACQUA; IMPIEGO: RETE IDRICA; DIAMETRO NOMINALE (Ø) [MM] = 65 | SPESSORE [MM] = 2,9. 
LAVORO: POSA. 
SPECIFICHE TECNICHE: TUBO SENZA SALDATURA. OP TUBAZIONE DI LEGA FERROSA ACCIAIO NERO; FUNZIONE: DISTRIBUZIONE ACQUA; IMPIEGO: RETE IDRICA; DIAMETRO NOMINALE (Ø) [MM] = 65 | SPESSORE [MM] = 2,9. 
SPECIFICHE TECNICHE: TUBO SENZA SALDATURA. 
RM TUBO DI LEGA FERROSA ACCIAIO NERO; FUNZIONE: DISTRIBUZIONE ACQUA; IMPIEGO: RETE IDRICA; DIAMETRO NOMINALE (Ø) [MM] = 65 | SPESSORE [MM] = 2,9 
SPECIFICHE TECNICHE: TUBO SENZA SALDATURA 
LV POSA.</t>
        </is>
      </c>
      <c r="M263" s="4" t="inlineStr">
        <is>
          <t>M</t>
        </is>
      </c>
      <c r="N263" s="5" t="n">
        <v>20</v>
      </c>
      <c r="O263" s="6" t="n">
        <v>46.47</v>
      </c>
      <c r="P263" s="6" t="n">
        <v>929.4</v>
      </c>
      <c r="Q263" s="5" t="n"/>
      <c r="R263" s="6" t="n"/>
      <c r="S263" s="6">
        <f>IF(AND(Q263&lt;&gt;"",R263&lt;&gt;""),Q263*R263,"")</f>
        <v/>
      </c>
      <c r="T263" s="6">
        <f>IF(S263="",P263,S263)</f>
        <v/>
      </c>
      <c r="U263" s="7" t="n">
        <v>0</v>
      </c>
      <c r="V263" s="6">
        <f>$T263*U263</f>
        <v/>
      </c>
      <c r="W263" s="7" t="n">
        <v>0.25</v>
      </c>
      <c r="X263" s="6">
        <f>$T263*W263</f>
        <v/>
      </c>
      <c r="Y263" s="7" t="n">
        <v>0</v>
      </c>
      <c r="Z263" s="6">
        <f>$T263*Y263</f>
        <v/>
      </c>
      <c r="AA263" s="7" t="n">
        <v>0</v>
      </c>
      <c r="AB263" s="6">
        <f>$T263*AA263</f>
        <v/>
      </c>
      <c r="AC263" s="7" t="n">
        <v>0</v>
      </c>
      <c r="AD263" s="6">
        <f>$T263*AC263</f>
        <v/>
      </c>
      <c r="AE263" s="7" t="n">
        <v>0</v>
      </c>
      <c r="AF263" s="6">
        <f>$T263*AE263</f>
        <v/>
      </c>
      <c r="AG263" s="7" t="n">
        <v>0</v>
      </c>
      <c r="AH263" s="6">
        <f>$T263*AG263</f>
        <v/>
      </c>
      <c r="AI263" s="7">
        <f>U263+W263+Y263+AA263+AC263+AE263+AG263</f>
        <v/>
      </c>
      <c r="AJ263" s="6">
        <f>V263+X263+Z263+AB263+AD263+AF263+AH263</f>
        <v/>
      </c>
    </row>
    <row r="264" ht="60" customHeight="1" s="35">
      <c r="A264" s="3" t="inlineStr">
        <is>
          <t>LOM251.OC.EEA.PA02.I7407.SB038.0320</t>
        </is>
      </c>
      <c r="B264" s="4" t="inlineStr">
        <is>
          <t>2/2</t>
        </is>
      </c>
      <c r="C264" s="3" t="inlineStr">
        <is>
          <t>IMPIANTO MECCANICO</t>
        </is>
      </c>
      <c r="D264" s="4" t="inlineStr">
        <is>
          <t>SPECIALE</t>
        </is>
      </c>
      <c r="E264" s="4" t="inlineStr">
        <is>
          <t>MECCANICHE SPECIALI</t>
        </is>
      </c>
      <c r="F264" s="3" t="inlineStr">
        <is>
          <t>2_CME_TOTALE MECCANICI RADIOFARMACIA PAVIA.PDF</t>
        </is>
      </c>
      <c r="G264" s="4" t="inlineStr">
        <is>
          <t>16/16</t>
        </is>
      </c>
      <c r="H264" s="3" t="inlineStr">
        <is>
          <t>40 - IMPIANTISTICO</t>
        </is>
      </c>
      <c r="I264" s="3" t="inlineStr">
        <is>
          <t>CENTRALE</t>
        </is>
      </c>
      <c r="J264" s="3" t="inlineStr">
        <is>
          <t>IMPIANTO HVAC</t>
        </is>
      </c>
      <c r="K264" s="3" t="inlineStr">
        <is>
          <t xml:space="preserve">OPERA: TUBAZIONE DI LEGA FERROSA ACCIAIO NERO; FUNZIONE: DISTRIBUZIONE ACQUA; IMPIEGO: RETE IDRICA; DIAMETRO NOMINALE (Ø) [MM] = 80 | SPESSORE [MM] = 3,2. </t>
        </is>
      </c>
      <c r="L264" s="3" t="inlineStr">
        <is>
          <t>OPERA: TUBAZIONE DI LEGA FERROSA ACCIAIO NERO; FUNZIONE: DISTRIBUZIONE ACQUA; IMPIEGO: RETE IDRICA; DIAMETRO NOMINALE (Ø) [MM] = 80 | SPESSORE [MM] = 3,2. 
LAVORO: POSA. 
SPECIFICHE TECNICHE: TUBO SENZA SALDATURA. OP TUBAZIONE DI LEGA FERROSA ACCIAIO NERO; FUNZIONE: DISTRIBUZIONE ACQUA; IMPIEGO: RETE IDRICA; DIAMETRO NOMINALE (Ø) [MM] = 80 | SPESSORE [MM] = 3,2. 
SPECIFICHE TECNICHE: TUBO SENZA SALDATURA. 
RM TUBO DI LEGA FERROSA ACCIAIO NERO; FUNZIONE: DISTRIBUZIONE ACQUA; IMPIEGO: RETE IDRICA; DIAMETRO NOMINALE (Ø) [MM] = 80 | SPESSORE [MM] = 3,2 
SPECIFICHE TECNICHE: TUBO SENZA SALDATURA 
LV POSA.</t>
        </is>
      </c>
      <c r="M264" s="4" t="inlineStr">
        <is>
          <t>M</t>
        </is>
      </c>
      <c r="N264" s="5" t="n">
        <v>37.5</v>
      </c>
      <c r="O264" s="6" t="n">
        <v>54.33</v>
      </c>
      <c r="P264" s="6" t="n">
        <v>2037.38</v>
      </c>
      <c r="Q264" s="5" t="n"/>
      <c r="R264" s="6" t="n"/>
      <c r="S264" s="6">
        <f>IF(AND(Q264&lt;&gt;"",R264&lt;&gt;""),Q264*R264,"")</f>
        <v/>
      </c>
      <c r="T264" s="6">
        <f>IF(S264="",P264,S264)</f>
        <v/>
      </c>
      <c r="U264" s="7" t="n">
        <v>0</v>
      </c>
      <c r="V264" s="6">
        <f>$T264*U264</f>
        <v/>
      </c>
      <c r="W264" s="7" t="n">
        <v>0.25</v>
      </c>
      <c r="X264" s="6">
        <f>$T264*W264</f>
        <v/>
      </c>
      <c r="Y264" s="7" t="n">
        <v>0</v>
      </c>
      <c r="Z264" s="6">
        <f>$T264*Y264</f>
        <v/>
      </c>
      <c r="AA264" s="7" t="n">
        <v>0</v>
      </c>
      <c r="AB264" s="6">
        <f>$T264*AA264</f>
        <v/>
      </c>
      <c r="AC264" s="7" t="n">
        <v>0</v>
      </c>
      <c r="AD264" s="6">
        <f>$T264*AC264</f>
        <v/>
      </c>
      <c r="AE264" s="7" t="n">
        <v>0</v>
      </c>
      <c r="AF264" s="6">
        <f>$T264*AE264</f>
        <v/>
      </c>
      <c r="AG264" s="7" t="n">
        <v>0</v>
      </c>
      <c r="AH264" s="6">
        <f>$T264*AG264</f>
        <v/>
      </c>
      <c r="AI264" s="7">
        <f>U264+W264+Y264+AA264+AC264+AE264+AG264</f>
        <v/>
      </c>
      <c r="AJ264" s="6">
        <f>V264+X264+Z264+AB264+AD264+AF264+AH264</f>
        <v/>
      </c>
    </row>
    <row r="265" ht="60" customHeight="1" s="35">
      <c r="A265" s="3" t="inlineStr">
        <is>
          <t>LOM251.OC.EEA.PA02.I7407.SB038.0325</t>
        </is>
      </c>
      <c r="B265" s="4" t="inlineStr">
        <is>
          <t>1/1</t>
        </is>
      </c>
      <c r="C265" s="3" t="inlineStr">
        <is>
          <t>IMPIANTO MECCANICO</t>
        </is>
      </c>
      <c r="D265" s="4" t="inlineStr">
        <is>
          <t>SPECIALE</t>
        </is>
      </c>
      <c r="E265" s="4" t="inlineStr">
        <is>
          <t>MECCANICHE SPECIALI</t>
        </is>
      </c>
      <c r="F265" s="3" t="inlineStr">
        <is>
          <t>2_CME_TOTALE MECCANICI RADIOFARMACIA PAVIA.PDF</t>
        </is>
      </c>
      <c r="G265" s="4" t="inlineStr">
        <is>
          <t>17/17</t>
        </is>
      </c>
      <c r="H265" s="3" t="inlineStr">
        <is>
          <t>40 - IMPIANTISTICO</t>
        </is>
      </c>
      <c r="I265" s="3" t="inlineStr">
        <is>
          <t>CENTRALE</t>
        </is>
      </c>
      <c r="J265" s="3" t="inlineStr">
        <is>
          <t>IMPIANTO HVAC</t>
        </is>
      </c>
      <c r="K265" s="3" t="inlineStr">
        <is>
          <t xml:space="preserve">OPERA: TUBAZIONE DI LEGA FERROSA ACCIAIO NERO; FUNZIONE: DISTRIBUZIONE ACQUA; IMPIEGO: RETE IDRICA; DIAMETRO NOMINALE (Ø) [MM] = 100 | SPESSORE [MM] = 3,6. </t>
        </is>
      </c>
      <c r="L265" s="3" t="inlineStr">
        <is>
          <t>OPERA: TUBAZIONE DI LEGA FERROSA ACCIAIO NERO; FUNZIONE: DISTRIBUZIONE ACQUA; IMPIEGO: RETE IDRICA; DIAMETRO NOMINALE (Ø) [MM] = 100 | SPESSORE [MM] = 3,6. 
LAVORO: POSA. 
SPECIFICHE TECNICHE: TUBO SENZA SALDATURA. OP TUBAZIONE DI LEGA FERROSA ACCIAIO NERO; FUNZIONE: DISTRIBUZIONE ACQUA; IMPIEGO: RETE IDRICA; DIAMETRO NOMINALE (Ø) [MM] = 100 | SPESSORE [MM] = 3,6. 
SPECIFICHE TECNICHE: TUBO SENZA SALDATURA. 
RM TUBO DI LEGA FERROSA ACCIAIO NERO; FUNZIONE: DISTRIBUZIONE ACQUA; IMPIEGO: RETE IDRICA; DIAMETRO NOMINALE (Ø) [MM] = 100 | SPESSORE [MM] = 3,6 
SPECIFICHE TECNICHE: TUBO SENZA SALDATURA 
LV POSA.</t>
        </is>
      </c>
      <c r="M265" s="4" t="inlineStr">
        <is>
          <t>M</t>
        </is>
      </c>
      <c r="N265" s="5" t="n">
        <v>75</v>
      </c>
      <c r="O265" s="6" t="n">
        <v>64.84999999999999</v>
      </c>
      <c r="P265" s="6" t="n">
        <v>4863.75</v>
      </c>
      <c r="Q265" s="5" t="n"/>
      <c r="R265" s="6" t="n"/>
      <c r="S265" s="6">
        <f>IF(AND(Q265&lt;&gt;"",R265&lt;&gt;""),Q265*R265,"")</f>
        <v/>
      </c>
      <c r="T265" s="6">
        <f>IF(S265="",P265,S265)</f>
        <v/>
      </c>
      <c r="U265" s="7" t="n">
        <v>0</v>
      </c>
      <c r="V265" s="6">
        <f>$T265*U265</f>
        <v/>
      </c>
      <c r="W265" s="7" t="n">
        <v>0.25</v>
      </c>
      <c r="X265" s="6">
        <f>$T265*W265</f>
        <v/>
      </c>
      <c r="Y265" s="7" t="n">
        <v>0</v>
      </c>
      <c r="Z265" s="6">
        <f>$T265*Y265</f>
        <v/>
      </c>
      <c r="AA265" s="7" t="n">
        <v>0</v>
      </c>
      <c r="AB265" s="6">
        <f>$T265*AA265</f>
        <v/>
      </c>
      <c r="AC265" s="7" t="n">
        <v>0</v>
      </c>
      <c r="AD265" s="6">
        <f>$T265*AC265</f>
        <v/>
      </c>
      <c r="AE265" s="7" t="n">
        <v>0</v>
      </c>
      <c r="AF265" s="6">
        <f>$T265*AE265</f>
        <v/>
      </c>
      <c r="AG265" s="7" t="n">
        <v>0</v>
      </c>
      <c r="AH265" s="6">
        <f>$T265*AG265</f>
        <v/>
      </c>
      <c r="AI265" s="7">
        <f>U265+W265+Y265+AA265+AC265+AE265+AG265</f>
        <v/>
      </c>
      <c r="AJ265" s="6">
        <f>V265+X265+Z265+AB265+AD265+AF265+AH265</f>
        <v/>
      </c>
    </row>
    <row r="266" ht="60" customHeight="1" s="35">
      <c r="A266" s="3" t="inlineStr">
        <is>
          <t>LOM251.OC.EEA.PA02.I7407.SB038.0330</t>
        </is>
      </c>
      <c r="B266" s="4" t="inlineStr">
        <is>
          <t>1/2</t>
        </is>
      </c>
      <c r="C266" s="3" t="inlineStr">
        <is>
          <t>IMPIANTO MECCANICO</t>
        </is>
      </c>
      <c r="D266" s="4" t="inlineStr">
        <is>
          <t>SPECIALE</t>
        </is>
      </c>
      <c r="E266" s="4" t="inlineStr">
        <is>
          <t>MECCANICHE SPECIALI</t>
        </is>
      </c>
      <c r="F266" s="3" t="inlineStr">
        <is>
          <t>2_CME_TOTALE MECCANICI RADIOFARMACIA PAVIA.PDF</t>
        </is>
      </c>
      <c r="G266" s="4" t="inlineStr">
        <is>
          <t>18/18</t>
        </is>
      </c>
      <c r="H266" s="3" t="inlineStr">
        <is>
          <t>40 - IMPIANTISTICO</t>
        </is>
      </c>
      <c r="I266" s="3" t="inlineStr">
        <is>
          <t>CENTRALE</t>
        </is>
      </c>
      <c r="J266" s="3" t="inlineStr">
        <is>
          <t>IMPIANTO HVAC</t>
        </is>
      </c>
      <c r="K266" s="3" t="inlineStr">
        <is>
          <t xml:space="preserve">OPERA: TUBAZIONE DI LEGA FERROSA ACCIAIO NERO; FUNZIONE: DISTRIBUZIONE ACQUA; IMPIEGO: RETE IDRICA; DIAMETRO NOMINALE (Ø) [MM] = 125 | SPESSORE [MM] = 4. </t>
        </is>
      </c>
      <c r="L266" s="3" t="inlineStr">
        <is>
          <t>OPERA: TUBAZIONE DI LEGA FERROSA ACCIAIO NERO; FUNZIONE: DISTRIBUZIONE ACQUA; IMPIEGO: RETE IDRICA; DIAMETRO NOMINALE (Ø) [MM] = 125 | SPESSORE [MM] = 4. 
LAVORO: POSA. 
SPECIFICHE TECNICHE: TUBO SENZA SALDATURA. OP TUBAZIONE DI LEGA FERROSA ACCIAIO NERO; FUNZIONE: DISTRIBUZIONE ACQUA; IMPIEGO: RETE IDRICA; DIAMETRO NOMINALE (Ø) [MM] = 125 | SPESSORE [MM] = 4. 
SPECIFICHE TECNICHE: TUBO SENZA SALDATURA. 
RM TUBO DI LEGA FERROSA ACCIAIO NERO; FUNZIONE: DISTRIBUZIONE ACQUA; IMPIEGO: RETE IDRICA; DIAMETRO NOMINALE (Ø) [MM] = 125 | SPESSORE [MM] = 4 
SPECIFICHE TECNICHE: TUBO SENZA SALDATURA 
LV POSA.</t>
        </is>
      </c>
      <c r="M266" s="4" t="inlineStr">
        <is>
          <t>M</t>
        </is>
      </c>
      <c r="N266" s="5" t="n">
        <v>155</v>
      </c>
      <c r="O266" s="6" t="n">
        <v>85.23</v>
      </c>
      <c r="P266" s="6" t="n">
        <v>13210.65</v>
      </c>
      <c r="Q266" s="5" t="n"/>
      <c r="R266" s="6" t="n"/>
      <c r="S266" s="6">
        <f>IF(AND(Q266&lt;&gt;"",R266&lt;&gt;""),Q266*R266,"")</f>
        <v/>
      </c>
      <c r="T266" s="6">
        <f>IF(S266="",P266,S266)</f>
        <v/>
      </c>
      <c r="U266" s="7" t="n">
        <v>0</v>
      </c>
      <c r="V266" s="6">
        <f>$T266*U266</f>
        <v/>
      </c>
      <c r="W266" s="7" t="n">
        <v>0.25</v>
      </c>
      <c r="X266" s="6">
        <f>$T266*W266</f>
        <v/>
      </c>
      <c r="Y266" s="7" t="n">
        <v>0</v>
      </c>
      <c r="Z266" s="6">
        <f>$T266*Y266</f>
        <v/>
      </c>
      <c r="AA266" s="7" t="n">
        <v>0</v>
      </c>
      <c r="AB266" s="6">
        <f>$T266*AA266</f>
        <v/>
      </c>
      <c r="AC266" s="7" t="n">
        <v>0</v>
      </c>
      <c r="AD266" s="6">
        <f>$T266*AC266</f>
        <v/>
      </c>
      <c r="AE266" s="7" t="n">
        <v>0</v>
      </c>
      <c r="AF266" s="6">
        <f>$T266*AE266</f>
        <v/>
      </c>
      <c r="AG266" s="7" t="n">
        <v>0</v>
      </c>
      <c r="AH266" s="6">
        <f>$T266*AG266</f>
        <v/>
      </c>
      <c r="AI266" s="7">
        <f>U266+W266+Y266+AA266+AC266+AE266+AG266</f>
        <v/>
      </c>
      <c r="AJ266" s="6">
        <f>V266+X266+Z266+AB266+AD266+AF266+AH266</f>
        <v/>
      </c>
    </row>
    <row r="267" ht="60" customHeight="1" s="35">
      <c r="A267" s="3" t="inlineStr">
        <is>
          <t>LOM251.OC.EEA.PA02.I7407.SB038.0330</t>
        </is>
      </c>
      <c r="B267" s="4" t="inlineStr">
        <is>
          <t>2/2</t>
        </is>
      </c>
      <c r="C267" s="3" t="inlineStr">
        <is>
          <t>IMPIANTO MECCANICO</t>
        </is>
      </c>
      <c r="D267" s="4" t="inlineStr">
        <is>
          <t>SPECIALE</t>
        </is>
      </c>
      <c r="E267" s="4" t="inlineStr">
        <is>
          <t>MECCANICHE SPECIALI</t>
        </is>
      </c>
      <c r="F267" s="3" t="inlineStr">
        <is>
          <t>2_CME_TOTALE MECCANICI RADIOFARMACIA PAVIA.PDF</t>
        </is>
      </c>
      <c r="G267" s="4" t="inlineStr">
        <is>
          <t>19/19</t>
        </is>
      </c>
      <c r="H267" s="3" t="inlineStr">
        <is>
          <t>40 - IMPIANTISTICO</t>
        </is>
      </c>
      <c r="I267" s="3" t="inlineStr">
        <is>
          <t>CENTRALE</t>
        </is>
      </c>
      <c r="J267" s="3" t="inlineStr">
        <is>
          <t>IMPIANTO HVAC</t>
        </is>
      </c>
      <c r="K267" s="3" t="inlineStr">
        <is>
          <t xml:space="preserve">OPERA: TUBAZIONE DI LEGA FERROSA ACCIAIO NERO; FUNZIONE: DISTRIBUZIONE ACQUA; IMPIEGO: RETE IDRICA; DIAMETRO NOMINALE (Ø) [MM] = 125 | SPESSORE [MM] = 4. </t>
        </is>
      </c>
      <c r="L267" s="3" t="inlineStr">
        <is>
          <t>OPERA: TUBAZIONE DI LEGA FERROSA ACCIAIO NERO; FUNZIONE: DISTRIBUZIONE ACQUA; IMPIEGO: RETE IDRICA; DIAMETRO NOMINALE (Ø) [MM] = 125 | SPESSORE [MM] = 4. 
LAVORO: POSA. 
SPECIFICHE TECNICHE: TUBO SENZA SALDATURA. OP TUBAZIONE DI LEGA FERROSA ACCIAIO NERO; FUNZIONE: DISTRIBUZIONE ACQUA; IMPIEGO: RETE IDRICA; DIAMETRO NOMINALE (Ø) [MM] = 125 | SPESSORE [MM] = 4. 
SPECIFICHE TECNICHE: TUBO SENZA SALDATURA. 
RM TUBO DI LEGA FERROSA ACCIAIO NERO; FUNZIONE: DISTRIBUZIONE ACQUA; IMPIEGO: RETE IDRICA; DIAMETRO NOMINALE (Ø) [MM] = 125 | SPESSORE [MM] = 4 
SPECIFICHE TECNICHE: TUBO SENZA SALDATURA 
LV POSA.</t>
        </is>
      </c>
      <c r="M267" s="4" t="inlineStr">
        <is>
          <t>M</t>
        </is>
      </c>
      <c r="N267" s="5" t="n">
        <v>10</v>
      </c>
      <c r="O267" s="6" t="n">
        <v>85.23</v>
      </c>
      <c r="P267" s="6" t="n">
        <v>852.3</v>
      </c>
      <c r="Q267" s="5" t="n"/>
      <c r="R267" s="6" t="n"/>
      <c r="S267" s="6">
        <f>IF(AND(Q267&lt;&gt;"",R267&lt;&gt;""),Q267*R267,"")</f>
        <v/>
      </c>
      <c r="T267" s="6">
        <f>IF(S267="",P267,S267)</f>
        <v/>
      </c>
      <c r="U267" s="7" t="n">
        <v>0</v>
      </c>
      <c r="V267" s="6">
        <f>$T267*U267</f>
        <v/>
      </c>
      <c r="W267" s="7" t="n">
        <v>0.25</v>
      </c>
      <c r="X267" s="6">
        <f>$T267*W267</f>
        <v/>
      </c>
      <c r="Y267" s="7" t="n">
        <v>0</v>
      </c>
      <c r="Z267" s="6">
        <f>$T267*Y267</f>
        <v/>
      </c>
      <c r="AA267" s="7" t="n">
        <v>0</v>
      </c>
      <c r="AB267" s="6">
        <f>$T267*AA267</f>
        <v/>
      </c>
      <c r="AC267" s="7" t="n">
        <v>0</v>
      </c>
      <c r="AD267" s="6">
        <f>$T267*AC267</f>
        <v/>
      </c>
      <c r="AE267" s="7" t="n">
        <v>0</v>
      </c>
      <c r="AF267" s="6">
        <f>$T267*AE267</f>
        <v/>
      </c>
      <c r="AG267" s="7" t="n">
        <v>0</v>
      </c>
      <c r="AH267" s="6">
        <f>$T267*AG267</f>
        <v/>
      </c>
      <c r="AI267" s="7">
        <f>U267+W267+Y267+AA267+AC267+AE267+AG267</f>
        <v/>
      </c>
      <c r="AJ267" s="6">
        <f>V267+X267+Z267+AB267+AD267+AF267+AH267</f>
        <v/>
      </c>
    </row>
    <row r="268" ht="60" customHeight="1" s="35">
      <c r="A268" s="3" t="inlineStr">
        <is>
          <t>LOM251.OC.EEA.PA02.I7407.SB038.0335</t>
        </is>
      </c>
      <c r="B268" s="4" t="inlineStr">
        <is>
          <t>1/1</t>
        </is>
      </c>
      <c r="C268" s="3" t="inlineStr">
        <is>
          <t>IMPIANTO MECCANICO</t>
        </is>
      </c>
      <c r="D268" s="4" t="inlineStr">
        <is>
          <t>SPECIALE</t>
        </is>
      </c>
      <c r="E268" s="4" t="inlineStr">
        <is>
          <t>MECCANICHE SPECIALI</t>
        </is>
      </c>
      <c r="F268" s="3" t="inlineStr">
        <is>
          <t>2_CME_TOTALE MECCANICI RADIOFARMACIA PAVIA.PDF</t>
        </is>
      </c>
      <c r="G268" s="4" t="inlineStr">
        <is>
          <t>20/20</t>
        </is>
      </c>
      <c r="H268" s="3" t="inlineStr">
        <is>
          <t>40 - IMPIANTISTICO</t>
        </is>
      </c>
      <c r="I268" s="3" t="inlineStr">
        <is>
          <t>CENTRALE</t>
        </is>
      </c>
      <c r="J268" s="3" t="inlineStr">
        <is>
          <t>IMPIANTO HVAC</t>
        </is>
      </c>
      <c r="K268" s="3" t="inlineStr">
        <is>
          <t xml:space="preserve">OPERA: TUBAZIONE DI LEGA FERROSA ACCIAIO NERO; FUNZIONE: DISTRIBUZIONE ACQUA; IMPIEGO: RETE IDRICA; DIAMETRO NOMINALE (Ø) [MM] = 150 | SPESSORE [MM] = 4,5. </t>
        </is>
      </c>
      <c r="L268" s="3" t="inlineStr">
        <is>
          <t>OPERA: TUBAZIONE DI LEGA FERROSA ACCIAIO NERO; FUNZIONE: DISTRIBUZIONE ACQUA; IMPIEGO: RETE IDRICA; DIAMETRO NOMINALE (Ø) [MM] = 150 | SPESSORE [MM] = 4,5. 
LAVORO: POSA. 
SPECIFICHE TECNICHE: TUBO SENZA SALDATURA. OP TUBAZIONE DI LEGA FERROSA ACCIAIO NERO; FUNZIONE: DISTRIBUZIONE ACQUA; IMPIEGO: RETE IDRICA; DIAMETRO NOMINALE (Ø) [MM] = 150 | SPESSORE [MM] = 4,5. 
SPECIFICHE TECNICHE: TUBO SENZA SALDATURA. 
RM TUBO DI LEGA FERROSA ACCIAIO NERO; FUNZIONE: DISTRIBUZIONE ACQUA; IMPIEGO: RETE IDRICA; DIAMETRO NOMINALE (Ø) [MM] = 150 | SPESSORE [MM] = 4,5 
SPECIFICHE TECNICHE: TUBO SENZA SALDATURA 
LV POSA.</t>
        </is>
      </c>
      <c r="M268" s="4" t="inlineStr">
        <is>
          <t>M</t>
        </is>
      </c>
      <c r="N268" s="5" t="n">
        <v>6</v>
      </c>
      <c r="O268" s="6" t="n">
        <v>101.74</v>
      </c>
      <c r="P268" s="6" t="n">
        <v>610.4400000000001</v>
      </c>
      <c r="Q268" s="5" t="n"/>
      <c r="R268" s="6" t="n"/>
      <c r="S268" s="6">
        <f>IF(AND(Q268&lt;&gt;"",R268&lt;&gt;""),Q268*R268,"")</f>
        <v/>
      </c>
      <c r="T268" s="6">
        <f>IF(S268="",P268,S268)</f>
        <v/>
      </c>
      <c r="U268" s="7" t="n">
        <v>0</v>
      </c>
      <c r="V268" s="6">
        <f>$T268*U268</f>
        <v/>
      </c>
      <c r="W268" s="7" t="n">
        <v>0.25</v>
      </c>
      <c r="X268" s="6">
        <f>$T268*W268</f>
        <v/>
      </c>
      <c r="Y268" s="7" t="n">
        <v>0</v>
      </c>
      <c r="Z268" s="6">
        <f>$T268*Y268</f>
        <v/>
      </c>
      <c r="AA268" s="7" t="n">
        <v>0</v>
      </c>
      <c r="AB268" s="6">
        <f>$T268*AA268</f>
        <v/>
      </c>
      <c r="AC268" s="7" t="n">
        <v>0</v>
      </c>
      <c r="AD268" s="6">
        <f>$T268*AC268</f>
        <v/>
      </c>
      <c r="AE268" s="7" t="n">
        <v>0</v>
      </c>
      <c r="AF268" s="6">
        <f>$T268*AE268</f>
        <v/>
      </c>
      <c r="AG268" s="7" t="n">
        <v>0</v>
      </c>
      <c r="AH268" s="6">
        <f>$T268*AG268</f>
        <v/>
      </c>
      <c r="AI268" s="7">
        <f>U268+W268+Y268+AA268+AC268+AE268+AG268</f>
        <v/>
      </c>
      <c r="AJ268" s="6">
        <f>V268+X268+Z268+AB268+AD268+AF268+AH268</f>
        <v/>
      </c>
    </row>
    <row r="269" ht="60" customHeight="1" s="35">
      <c r="A269" s="3" t="inlineStr">
        <is>
          <t>LOM251.OC.EEA.PA02.I1500.E0011.0150</t>
        </is>
      </c>
      <c r="B269" s="4" t="inlineStr">
        <is>
          <t>1/1</t>
        </is>
      </c>
      <c r="C269" s="3" t="inlineStr">
        <is>
          <t>IMPIANTO MECCANICO</t>
        </is>
      </c>
      <c r="D269" s="4" t="inlineStr">
        <is>
          <t>SPECIALE</t>
        </is>
      </c>
      <c r="E269" s="4" t="inlineStr">
        <is>
          <t>MECCANICHE SPECIALI</t>
        </is>
      </c>
      <c r="F269" s="3" t="inlineStr">
        <is>
          <t>2_CME_TOTALE MECCANICI RADIOFARMACIA PAVIA.PDF</t>
        </is>
      </c>
      <c r="G269" s="4" t="inlineStr">
        <is>
          <t>21/21</t>
        </is>
      </c>
      <c r="H269" s="3" t="inlineStr">
        <is>
          <t>40 - IMPIANTISTICO</t>
        </is>
      </c>
      <c r="I269" s="3" t="inlineStr">
        <is>
          <t>CENTRALE</t>
        </is>
      </c>
      <c r="J269" s="3" t="inlineStr">
        <is>
          <t>IMPIANTO HVAC</t>
        </is>
      </c>
      <c r="K269" s="3" t="inlineStr">
        <is>
          <t>OPERA: LASTRA DI GOMMA ELASTOMERICA ESPANSA A CELLULE CHIUSE; FUNZIONE: COIBENTAZIONE; IMPIEGO: TUBAZIONE; SPESSORE MINIMO LASTRA [MM] = 19 | SPESSORE MINIMO ELASTOMERO PER IL DIAMETRO ESTERNO TUBO [M</t>
        </is>
      </c>
      <c r="L269" s="3" t="inlineStr">
        <is>
          <t>OPERA: LASTRA DI GOMMA ELASTOMERICA ESPANSA A CELLULE CHIUSE; FUNZIONE: COIBENTAZIONE; IMPIEGO: TUBAZIONE; SPESSORE MINIMO LASTRA [MM] = 19 | SPESSORE MINIMO ELASTOMERO PER IL DIAMETRO ESTERNO TUBO [MM] = 48 | DIAMETRO NOMINALE TUBAZIONE [MM] = 40; RESISTENZA ALLA FIAMMA [CLASSE] = 1; FATTORE DI PERMEABILITÀ (Μ) MINIMO [-] = 4000. 
LAVORO: POSA. 
SPECIFICHE TECNICHE: GOMMA ELASTOMERICA ESPANSA A CELLULE CHIUSE SENZA ALOGENI NÉ PVC. OP LASTRA DI GOMMA ELASTOMERICA ESPANSA A CELLULE CHIUSE; FUNZIONE: COIBENTAZIONE; IMPIEGO: TUBAZIONE; SPESSORE MINIMO LASTRA [MM] = 19 | SPESSORE MINIMO ELASTOMERO PER IL DIAMETRO ESTERNO TUBO [MM] = 48 | DIAMETRO NOMINALE TUBAZIONE [MM] = 40; RESISTENZA ALLA FIAMMA [CLASSE] = 1; FATTORE DI PERMEABILITÀ (Μ) MINIMO [-] = 4000. 
SPECIFICHE TECNICHE: GOMMA ELASTOMERICA ESPANSA A CELLULE CHIUSE SENZA ALOGENI NÉ PVC. 
RM LASTRA DI GOMMA ESPANSA A CELLULE CHIUSE; FUNZIONE: COIBENTAZIONE; IMPIEGO: TUBAZIONE; SPESSORE MINIMO LASTRA [MM] = 19 | SPESSORE MINIMO ELASTOMERO PER IL DIAMETRO ESTERNO TUBO [MM] = 48 | DIAMETRO NOMINALE TUBAZIONE [MM] = 40; RESISTENZA ALLA FIAMMA [CLASSE] = 1; FATTORE DI PERMEABILITÀ (Μ) MINIMO [-] = 4000 
SPECIFICHE TECNICHE: GOMMA ELASTOMERICA ESPANSA A CELLULE CHIUSE SENZA ALOGENI NÉ PVC 
LV POSA.</t>
        </is>
      </c>
      <c r="M269" s="4" t="inlineStr">
        <is>
          <t>M</t>
        </is>
      </c>
      <c r="N269" s="5" t="n">
        <v>25</v>
      </c>
      <c r="O269" s="6" t="n">
        <v>8.960000000000001</v>
      </c>
      <c r="P269" s="6" t="n">
        <v>224</v>
      </c>
      <c r="Q269" s="5" t="n"/>
      <c r="R269" s="6" t="n"/>
      <c r="S269" s="6">
        <f>IF(AND(Q269&lt;&gt;"",R269&lt;&gt;""),Q269*R269,"")</f>
        <v/>
      </c>
      <c r="T269" s="6">
        <f>IF(S269="",P269,S269)</f>
        <v/>
      </c>
      <c r="U269" s="7" t="n">
        <v>0</v>
      </c>
      <c r="V269" s="6">
        <f>$T269*U269</f>
        <v/>
      </c>
      <c r="W269" s="7" t="n">
        <v>0</v>
      </c>
      <c r="X269" s="6">
        <f>$T269*W269</f>
        <v/>
      </c>
      <c r="Y269" s="7" t="n">
        <v>0</v>
      </c>
      <c r="Z269" s="6">
        <f>$T269*Y269</f>
        <v/>
      </c>
      <c r="AA269" s="7" t="n">
        <v>0</v>
      </c>
      <c r="AB269" s="6">
        <f>$T269*AA269</f>
        <v/>
      </c>
      <c r="AC269" s="7" t="n">
        <v>0</v>
      </c>
      <c r="AD269" s="6">
        <f>$T269*AC269</f>
        <v/>
      </c>
      <c r="AE269" s="7" t="n">
        <v>0</v>
      </c>
      <c r="AF269" s="6">
        <f>$T269*AE269</f>
        <v/>
      </c>
      <c r="AG269" s="7" t="n">
        <v>0</v>
      </c>
      <c r="AH269" s="6">
        <f>$T269*AG269</f>
        <v/>
      </c>
      <c r="AI269" s="7">
        <f>U269+W269+Y269+AA269+AC269+AE269+AG269</f>
        <v/>
      </c>
      <c r="AJ269" s="6">
        <f>V269+X269+Z269+AB269+AD269+AF269+AH269</f>
        <v/>
      </c>
    </row>
    <row r="270" ht="60" customHeight="1" s="35">
      <c r="A270" s="3" t="inlineStr">
        <is>
          <t>LOM251.OC.EEA.PA02.I1500.E0011.0160</t>
        </is>
      </c>
      <c r="B270" s="4" t="inlineStr">
        <is>
          <t>2/3</t>
        </is>
      </c>
      <c r="C270" s="3" t="inlineStr">
        <is>
          <t>IMPIANTO MECCANICO</t>
        </is>
      </c>
      <c r="D270" s="4" t="inlineStr">
        <is>
          <t>SPECIALE</t>
        </is>
      </c>
      <c r="E270" s="4" t="inlineStr">
        <is>
          <t>MECCANICHE SPECIALI</t>
        </is>
      </c>
      <c r="F270" s="3" t="inlineStr">
        <is>
          <t>2_CME_TOTALE MECCANICI RADIOFARMACIA PAVIA.PDF</t>
        </is>
      </c>
      <c r="G270" s="4" t="inlineStr">
        <is>
          <t>22/22</t>
        </is>
      </c>
      <c r="H270" s="3" t="inlineStr">
        <is>
          <t>40 - IMPIANTISTICO</t>
        </is>
      </c>
      <c r="I270" s="3" t="inlineStr">
        <is>
          <t>CENTRALE</t>
        </is>
      </c>
      <c r="J270" s="3" t="inlineStr">
        <is>
          <t>IMPIANTO HVAC</t>
        </is>
      </c>
      <c r="K270" s="3" t="inlineStr">
        <is>
          <t>OPERA: LASTRA DI GOMMA ELASTOMERICA ESPANSA A CELLULE CHIUSE; FUNZIONE: COIBENTAZIONE; IMPIEGO: TUBAZIONE; SPESSORE MINIMO LASTRA [MM] = 19 | SPESSORE MINIMO ELASTOMERO PER IL DIAMETRO ESTERNO TUBO [M</t>
        </is>
      </c>
      <c r="L270" s="3" t="inlineStr">
        <is>
          <t>OPERA: LASTRA DI GOMMA ELASTOMERICA ESPANSA A CELLULE CHIUSE; FUNZIONE: COIBENTAZIONE; IMPIEGO: TUBAZIONE; SPESSORE MINIMO LASTRA [MM] = 19 | SPESSORE MINIMO ELASTOMERO PER IL DIAMETRO ESTERNO TUBO [MM] = 76 | DIAMETRO NOMINALE TUBAZIONE [MM] = 65; RESISTENZA ALLA FIAMMA [CLASSE] = 1; FATTORE DI PERMEABILITÀ (Μ) MINIMO [-] = 4000. 
LAVORO: POSA. 
SPECIFICHE TECNICHE: GOMMA ELASTOMERICA ESPANSA A CELLULE CHIUSE SENZA ALOGENI NÉ PVC. OP LASTRA DI GOMMA ELASTOMERICA ESPANSA A CELLULE CHIUSE; FUNZIONE: COIBENTAZIONE; IMPIEGO: TUBAZIONE; SPESSORE MINIMO LASTRA [MM] = 19 | SPESSORE MINIMO ELASTOMERO PER IL DIAMETRO ESTERNO TUBO [MM] = 76 | DIAMETRO NOMINALE TUBAZIONE [MM] = 65; RESISTENZA ALLA FIAMMA [CLASSE] = 1; FATTORE DI PERMEABILITÀ (Μ) MINIMO [-] = 4000. 
SPECIFICHE TECNICHE: GOMMA ELASTOMERICA ESPANSA A CELLULE CHIUSE SENZA ALOGENI NÉ PVC. 
RM LASTRA DI GOMMA ESPANSA A CELLULE CHIUSE; FUNZIONE: COIBENTAZIONE; IMPIEGO: TUBAZIONE; SPESSORE MINIMO LASTRA [MM] = 19 | SPESSORE MINIMO ELASTOMERO PER IL DIAMETRO ESTERNO TUBO [MM] = 76 | DIAMETRO NOMINALE TUBAZIONE [MM] = 65; RESISTENZA ALLA FIAMMA [CLASSE] = 1; FATTORE DI PERMEABILITÀ (Μ) MINIMO [-] = 4000 
SPECIFICHE TECNICHE: GOMMA ELASTOMERICA ESPANSA A CELLULE CHIUSE SENZA ALOGENI NÉ PVC 
LV POSA.</t>
        </is>
      </c>
      <c r="M270" s="4" t="inlineStr">
        <is>
          <t>M</t>
        </is>
      </c>
      <c r="N270" s="5" t="n">
        <v>15</v>
      </c>
      <c r="O270" s="6" t="n">
        <v>11.78</v>
      </c>
      <c r="P270" s="6" t="n">
        <v>176.7</v>
      </c>
      <c r="Q270" s="5" t="n"/>
      <c r="R270" s="6" t="n"/>
      <c r="S270" s="6">
        <f>IF(AND(Q270&lt;&gt;"",R270&lt;&gt;""),Q270*R270,"")</f>
        <v/>
      </c>
      <c r="T270" s="6">
        <f>IF(S270="",P270,S270)</f>
        <v/>
      </c>
      <c r="U270" s="7" t="n">
        <v>0</v>
      </c>
      <c r="V270" s="6">
        <f>$T270*U270</f>
        <v/>
      </c>
      <c r="W270" s="7" t="n">
        <v>0</v>
      </c>
      <c r="X270" s="6">
        <f>$T270*W270</f>
        <v/>
      </c>
      <c r="Y270" s="7" t="n">
        <v>0</v>
      </c>
      <c r="Z270" s="6">
        <f>$T270*Y270</f>
        <v/>
      </c>
      <c r="AA270" s="7" t="n">
        <v>0</v>
      </c>
      <c r="AB270" s="6">
        <f>$T270*AA270</f>
        <v/>
      </c>
      <c r="AC270" s="7" t="n">
        <v>0</v>
      </c>
      <c r="AD270" s="6">
        <f>$T270*AC270</f>
        <v/>
      </c>
      <c r="AE270" s="7" t="n">
        <v>0</v>
      </c>
      <c r="AF270" s="6">
        <f>$T270*AE270</f>
        <v/>
      </c>
      <c r="AG270" s="7" t="n">
        <v>0</v>
      </c>
      <c r="AH270" s="6">
        <f>$T270*AG270</f>
        <v/>
      </c>
      <c r="AI270" s="7">
        <f>U270+W270+Y270+AA270+AC270+AE270+AG270</f>
        <v/>
      </c>
      <c r="AJ270" s="6">
        <f>V270+X270+Z270+AB270+AD270+AF270+AH270</f>
        <v/>
      </c>
    </row>
    <row r="271" ht="60" customHeight="1" s="35">
      <c r="A271" s="3" t="inlineStr">
        <is>
          <t>LOM251.OC.EEA.PA02.I1500.E0011.0165</t>
        </is>
      </c>
      <c r="B271" s="4" t="inlineStr">
        <is>
          <t>1/1</t>
        </is>
      </c>
      <c r="C271" s="3" t="inlineStr">
        <is>
          <t>IMPIANTO MECCANICO</t>
        </is>
      </c>
      <c r="D271" s="4" t="inlineStr">
        <is>
          <t>SPECIALE</t>
        </is>
      </c>
      <c r="E271" s="4" t="inlineStr">
        <is>
          <t>MECCANICHE SPECIALI</t>
        </is>
      </c>
      <c r="F271" s="3" t="inlineStr">
        <is>
          <t>2_CME_TOTALE MECCANICI RADIOFARMACIA PAVIA.PDF</t>
        </is>
      </c>
      <c r="G271" s="4" t="inlineStr">
        <is>
          <t>23/23</t>
        </is>
      </c>
      <c r="H271" s="3" t="inlineStr">
        <is>
          <t>40 - IMPIANTISTICO</t>
        </is>
      </c>
      <c r="I271" s="3" t="inlineStr">
        <is>
          <t>CENTRALE</t>
        </is>
      </c>
      <c r="J271" s="3" t="inlineStr">
        <is>
          <t>IMPIANTO HVAC</t>
        </is>
      </c>
      <c r="K271" s="3" t="inlineStr">
        <is>
          <t>OPERA: LASTRA DI GOMMA ELASTOMERICA ESPANSA A CELLULE CHIUSE; FUNZIONE: COIBENTAZIONE; IMPIEGO: TUBAZIONE; SPESSORE MINIMO LASTRA [MM] = 19 | SPESSORE MINIMO ELASTOMERO PER IL DIAMETRO ESTERNO TUBO [M</t>
        </is>
      </c>
      <c r="L271" s="3" t="inlineStr">
        <is>
          <t>OPERA: LASTRA DI GOMMA ELASTOMERICA ESPANSA A CELLULE CHIUSE; FUNZIONE: COIBENTAZIONE; IMPIEGO: TUBAZIONE; SPESSORE MINIMO LASTRA [MM] = 19 | SPESSORE MINIMO ELASTOMERO PER IL DIAMETRO ESTERNO TUBO [MM] = 89 | DIAMETRO NOMINALE TUBAZIONE [MM] = 80; RESISTENZA ALLA FIAMMA [CLASSE] = 1; FATTORE DI PERMEABILITÀ (Μ) MINIMO [-] = 4000. 
LAVORO: POSA. 
SPECIFICHE TECNICHE: GOMMA ELASTOMERICA ESPANSA A CELLULE CHIUSE SENZA ALOGENI NÉ PVC. OP LASTRA DI GOMMA ELASTOMERICA ESPANSA A CELLULE CHIUSE; FUNZIONE: COIBENTAZIONE; IMPIEGO: TUBAZIONE; SPESSORE MINIMO LASTRA [MM] = 19 | SPESSORE MINIMO ELASTOMERO PER IL DIAMETRO ESTERNO TUBO [MM] = 89 | DIAMETRO NOMINALE TUBAZIONE [MM] = 80; RESISTENZA ALLA FIAMMA [CLASSE] = 1; FATTORE DI PERMEABILITÀ (Μ) MINIMO [-] = 4000. 
SPECIFICHE TECNICHE: GOMMA ELASTOMERICA ESPANSA A CELLULE CHIUSE SENZA ALOGENI NÉ PVC. 
RM LASTRA DI GOMMA ESPANSA A CELLULE CHIUSE; FUNZIONE: COIBENTAZIONE; IMPIEGO: TUBAZIONE; SPESSORE MINIMO LASTRA [MM] = 19 | SPESSORE MINIMO ELASTOMERO PER IL DIAMETRO ESTERNO TUBO [MM] = 89 | DIAMETRO NOMINALE TUBAZIONE [MM] = 80; RESISTENZA ALLA FIAMMA [CLASSE] = 1; FATTORE DI PERMEABILITÀ (Μ) MINIMO [-] = 4000 
SPECIFICHE TECNICHE: GOMMA ELASTOMERICA ESPANSA A CELLULE CHIUSE SENZA ALOGENI NÉ PVC 
LV POSA.</t>
        </is>
      </c>
      <c r="M271" s="4" t="inlineStr">
        <is>
          <t>M</t>
        </is>
      </c>
      <c r="N271" s="5" t="n">
        <v>45</v>
      </c>
      <c r="O271" s="6" t="n">
        <v>13.13</v>
      </c>
      <c r="P271" s="6" t="n">
        <v>590.85</v>
      </c>
      <c r="Q271" s="5" t="n"/>
      <c r="R271" s="6" t="n"/>
      <c r="S271" s="6">
        <f>IF(AND(Q271&lt;&gt;"",R271&lt;&gt;""),Q271*R271,"")</f>
        <v/>
      </c>
      <c r="T271" s="6">
        <f>IF(S271="",P271,S271)</f>
        <v/>
      </c>
      <c r="U271" s="7" t="n">
        <v>0</v>
      </c>
      <c r="V271" s="6">
        <f>$T271*U271</f>
        <v/>
      </c>
      <c r="W271" s="7" t="n">
        <v>0</v>
      </c>
      <c r="X271" s="6">
        <f>$T271*W271</f>
        <v/>
      </c>
      <c r="Y271" s="7" t="n">
        <v>0</v>
      </c>
      <c r="Z271" s="6">
        <f>$T271*Y271</f>
        <v/>
      </c>
      <c r="AA271" s="7" t="n">
        <v>0</v>
      </c>
      <c r="AB271" s="6">
        <f>$T271*AA271</f>
        <v/>
      </c>
      <c r="AC271" s="7" t="n">
        <v>0</v>
      </c>
      <c r="AD271" s="6">
        <f>$T271*AC271</f>
        <v/>
      </c>
      <c r="AE271" s="7" t="n">
        <v>0</v>
      </c>
      <c r="AF271" s="6">
        <f>$T271*AE271</f>
        <v/>
      </c>
      <c r="AG271" s="7" t="n">
        <v>0</v>
      </c>
      <c r="AH271" s="6">
        <f>$T271*AG271</f>
        <v/>
      </c>
      <c r="AI271" s="7">
        <f>U271+W271+Y271+AA271+AC271+AE271+AG271</f>
        <v/>
      </c>
      <c r="AJ271" s="6">
        <f>V271+X271+Z271+AB271+AD271+AF271+AH271</f>
        <v/>
      </c>
    </row>
    <row r="272" ht="60" customHeight="1" s="35">
      <c r="A272" s="3" t="inlineStr">
        <is>
          <t>LOM251.OC.EEA.PA02.I1500.E0011.0425</t>
        </is>
      </c>
      <c r="B272" s="4" t="inlineStr">
        <is>
          <t>1/1</t>
        </is>
      </c>
      <c r="C272" s="3" t="inlineStr">
        <is>
          <t>IMPIANTO MECCANICO</t>
        </is>
      </c>
      <c r="D272" s="4" t="inlineStr">
        <is>
          <t>SPECIALE</t>
        </is>
      </c>
      <c r="E272" s="4" t="inlineStr">
        <is>
          <t>MECCANICHE SPECIALI</t>
        </is>
      </c>
      <c r="F272" s="3" t="inlineStr">
        <is>
          <t>2_CME_TOTALE MECCANICI RADIOFARMACIA PAVIA.PDF</t>
        </is>
      </c>
      <c r="G272" s="4" t="inlineStr">
        <is>
          <t>24/24</t>
        </is>
      </c>
      <c r="H272" s="3" t="inlineStr">
        <is>
          <t>40 - IMPIANTISTICO</t>
        </is>
      </c>
      <c r="I272" s="3" t="inlineStr">
        <is>
          <t>CENTRALE</t>
        </is>
      </c>
      <c r="J272" s="3" t="inlineStr">
        <is>
          <t>IMPIANTO HVAC</t>
        </is>
      </c>
      <c r="K272" s="3" t="inlineStr">
        <is>
          <t>OPERA: LASTRA DI GOMMA ELASTOMERICA ESPANSA A CELLULE CHIUSE; FUNZIONE: COIBENTAZIONE; IMPIEGO: TUBAZIONE; SPESSORE MINIMO LASTRA [MM] = 19 | SPESSORE MINIMO ELASTOMERO PER IL DIAMETRO ESTERNO TUBO [M</t>
        </is>
      </c>
      <c r="L272" s="3" t="inlineStr">
        <is>
          <t>OPERA: LASTRA DI GOMMA ELASTOMERICA ESPANSA A CELLULE CHIUSE; FUNZIONE: COIBENTAZIONE; IMPIEGO: TUBAZIONE; SPESSORE MINIMO LASTRA [MM] = 19 | SPESSORE MINIMO ELASTOMERO PER IL DIAMETRO ESTERNO TUBO [MM] = 114 | DIAMETRO NOMINALE TUBAZIONE [MM] = 100; RESISTENZA ALLA FIAMMA [CLASSE] = 1; FATTORE DI PERMEABILITÀ (Μ) MINIMO [-] = 3000. 
LAVORO: POSA. OP LASTRA DI GOMMA ELASTOMERICA ESPANSA A CELLULE CHIUSE; FUNZIONE: COIBENTAZIONE; IMPIEGO: TUBAZIONE; SPESSORE MINIMO LASTRA [MM] = 19 | SPESSORE MINIMO ELASTOMERO PER IL DIAMETRO ESTERNO TUBO [MM] = 114 | DIAMETRO NOMINALE TUBAZIONE [MM] = 100; RESISTENZA ALLA FIAMMA [CLASSE] = 1; FATTORE DI PERMEABILITÀ (Μ) MINIMO [-] = 3000. 
RM LASTRA DI GOMMA ESPANSA A CELLULE CHIUSE; FUNZIONE: COIBENTAZIONE; IMPIEGO: TUBAZIONE; SPESSORE MINIMO LASTRA [MM] = 19 | SPESSORE MINIMO ELASTOMERO PER IL DIAMETRO ESTERNO TUBO [MM] = 114 | DIAMETRO NOMINALE TUBAZIONE [MM] = 100; RESISTENZA ALLA FIAMMA [CLASSE] = 1; FATTORE DI PERMEABILITÀ (Μ) MINIMO [-] = 3000 
LV POSA.</t>
        </is>
      </c>
      <c r="M272" s="4" t="inlineStr">
        <is>
          <t>M</t>
        </is>
      </c>
      <c r="N272" s="5" t="n">
        <v>90</v>
      </c>
      <c r="O272" s="6" t="n">
        <v>15.72</v>
      </c>
      <c r="P272" s="6" t="n">
        <v>1414.8</v>
      </c>
      <c r="Q272" s="5" t="n"/>
      <c r="R272" s="6" t="n"/>
      <c r="S272" s="6">
        <f>IF(AND(Q272&lt;&gt;"",R272&lt;&gt;""),Q272*R272,"")</f>
        <v/>
      </c>
      <c r="T272" s="6">
        <f>IF(S272="",P272,S272)</f>
        <v/>
      </c>
      <c r="U272" s="7" t="n">
        <v>0</v>
      </c>
      <c r="V272" s="6">
        <f>$T272*U272</f>
        <v/>
      </c>
      <c r="W272" s="7" t="n">
        <v>0</v>
      </c>
      <c r="X272" s="6">
        <f>$T272*W272</f>
        <v/>
      </c>
      <c r="Y272" s="7" t="n">
        <v>0</v>
      </c>
      <c r="Z272" s="6">
        <f>$T272*Y272</f>
        <v/>
      </c>
      <c r="AA272" s="7" t="n">
        <v>0</v>
      </c>
      <c r="AB272" s="6">
        <f>$T272*AA272</f>
        <v/>
      </c>
      <c r="AC272" s="7" t="n">
        <v>0</v>
      </c>
      <c r="AD272" s="6">
        <f>$T272*AC272</f>
        <v/>
      </c>
      <c r="AE272" s="7" t="n">
        <v>0</v>
      </c>
      <c r="AF272" s="6">
        <f>$T272*AE272</f>
        <v/>
      </c>
      <c r="AG272" s="7" t="n">
        <v>0</v>
      </c>
      <c r="AH272" s="6">
        <f>$T272*AG272</f>
        <v/>
      </c>
      <c r="AI272" s="7">
        <f>U272+W272+Y272+AA272+AC272+AE272+AG272</f>
        <v/>
      </c>
      <c r="AJ272" s="6">
        <f>V272+X272+Z272+AB272+AD272+AF272+AH272</f>
        <v/>
      </c>
    </row>
    <row r="273" ht="60" customHeight="1" s="35">
      <c r="A273" s="3" t="inlineStr">
        <is>
          <t>LOM251.OC.EEA.PA02.I1500.E0011.0220</t>
        </is>
      </c>
      <c r="B273" s="4" t="inlineStr">
        <is>
          <t>1/1</t>
        </is>
      </c>
      <c r="C273" s="3" t="inlineStr">
        <is>
          <t>IMPIANTO MECCANICO</t>
        </is>
      </c>
      <c r="D273" s="4" t="inlineStr">
        <is>
          <t>SPECIALE</t>
        </is>
      </c>
      <c r="E273" s="4" t="inlineStr">
        <is>
          <t>MECCANICHE SPECIALI</t>
        </is>
      </c>
      <c r="F273" s="3" t="inlineStr">
        <is>
          <t>2_CME_TOTALE MECCANICI RADIOFARMACIA PAVIA.PDF</t>
        </is>
      </c>
      <c r="G273" s="4" t="inlineStr">
        <is>
          <t>25/25</t>
        </is>
      </c>
      <c r="H273" s="3" t="inlineStr">
        <is>
          <t>40 - IMPIANTISTICO</t>
        </is>
      </c>
      <c r="I273" s="3" t="inlineStr">
        <is>
          <t>CENTRALE</t>
        </is>
      </c>
      <c r="J273" s="3" t="inlineStr">
        <is>
          <t>IMPIANTO HVAC</t>
        </is>
      </c>
      <c r="K273" s="3" t="inlineStr">
        <is>
          <t>OPERA: LASTRA DI GOMMA ELASTOMERICA ESPANSA A CELLULE CHIUSE; FUNZIONE: COIBENTAZIONE; IMPIEGO: TUBAZIONE; SPESSORE MINIMO LASTRA [MM] = 32 | SPESSORE MINIMO ELASTOMERO PER IL DIAMETRO ESTERNO TUBO [M</t>
        </is>
      </c>
      <c r="L273" s="3" t="inlineStr">
        <is>
          <t>OPERA: LASTRA DI GOMMA ELASTOMERICA ESPANSA A CELLULE CHIUSE; FUNZIONE: COIBENTAZIONE; IMPIEGO: TUBAZIONE; SPESSORE MINIMO LASTRA [MM] = 32 | SPESSORE MINIMO ELASTOMERO PER IL DIAMETRO ESTERNO TUBO [MM] = 22 | DIAMETRO NOMINALE TUBAZIONE [MM] = 15; RESISTENZA ALLA FIAMMA [CLASSE] = 1; FATTORE DI PERMEABILITÀ (Μ) MINIMO [-] = 4000. 
LAVORO: POSA. 
SPECIFICHE TECNICHE: GOMMA ELASTOMERICA ESPANSA A CELLULE CHIUSE SENZA ALOGENI NÉ PVC. OP LASTRA DI GOMMA ELASTOMERICA ESPANSA A CELLULE CHIUSE; FUNZIONE: COIBENTAZIONE; IMPIEGO: TUBAZIONE; SPESSORE MINIMO LASTRA [MM] = 32 | SPESSORE MINIMO ELASTOMERO PER IL DIAMETRO ESTERNO TUBO [MM] = 22 | DIAMETRO NOMINALE TUBAZIONE [MM] = 15; RESISTENZA ALLA FIAMMA [CLASSE] = 1; FATTORE DI PERMEABILITÀ (Μ) MINIMO [-] = 4000. 
SPECIFICHE TECNICHE: GOMMA ELASTOMERICA ESPANSA A CELLULE CHIUSE SENZA ALOGENI NÉ PVC. 
RM LASTRA DI GOMMA ESPANSA A CELLULE CHIUSE; FUNZIONE: COIBENTAZIONE; IMPIEGO: TUBAZIONE; SPESSORE MINIMO LASTRA [MM] = 32 | SPESSORE MINIMO ELASTOMERO PER IL DIAMETRO ESTERNO TUBO [MM] = 22 | DIAMETRO NOMINALE TUBAZIONE [MM] = 15; RESISTENZA ALLA FIAMMA [CLASSE] = 1; FATTORE DI PERMEABILITÀ (Μ) MINIMO [-] = 4000 
SPECIFICHE TECNICHE: GOMMA ELASTOMERICA ESPANSA A CELLULE CHIUSE SENZA ALOGENI NÉ PVC 
LV POSA.</t>
        </is>
      </c>
      <c r="M273" s="4" t="inlineStr">
        <is>
          <t>M</t>
        </is>
      </c>
      <c r="N273" s="5" t="n">
        <v>45</v>
      </c>
      <c r="O273" s="6" t="n">
        <v>16.11</v>
      </c>
      <c r="P273" s="6" t="n">
        <v>724.95</v>
      </c>
      <c r="Q273" s="5" t="n"/>
      <c r="R273" s="6" t="n"/>
      <c r="S273" s="6">
        <f>IF(AND(Q273&lt;&gt;"",R273&lt;&gt;""),Q273*R273,"")</f>
        <v/>
      </c>
      <c r="T273" s="6">
        <f>IF(S273="",P273,S273)</f>
        <v/>
      </c>
      <c r="U273" s="7" t="n">
        <v>0</v>
      </c>
      <c r="V273" s="6">
        <f>$T273*U273</f>
        <v/>
      </c>
      <c r="W273" s="7" t="n">
        <v>0</v>
      </c>
      <c r="X273" s="6">
        <f>$T273*W273</f>
        <v/>
      </c>
      <c r="Y273" s="7" t="n">
        <v>0</v>
      </c>
      <c r="Z273" s="6">
        <f>$T273*Y273</f>
        <v/>
      </c>
      <c r="AA273" s="7" t="n">
        <v>0</v>
      </c>
      <c r="AB273" s="6">
        <f>$T273*AA273</f>
        <v/>
      </c>
      <c r="AC273" s="7" t="n">
        <v>0</v>
      </c>
      <c r="AD273" s="6">
        <f>$T273*AC273</f>
        <v/>
      </c>
      <c r="AE273" s="7" t="n">
        <v>0</v>
      </c>
      <c r="AF273" s="6">
        <f>$T273*AE273</f>
        <v/>
      </c>
      <c r="AG273" s="7" t="n">
        <v>0</v>
      </c>
      <c r="AH273" s="6">
        <f>$T273*AG273</f>
        <v/>
      </c>
      <c r="AI273" s="7">
        <f>U273+W273+Y273+AA273+AC273+AE273+AG273</f>
        <v/>
      </c>
      <c r="AJ273" s="6">
        <f>V273+X273+Z273+AB273+AD273+AF273+AH273</f>
        <v/>
      </c>
    </row>
    <row r="274" ht="60" customHeight="1" s="35">
      <c r="A274" s="3" t="inlineStr">
        <is>
          <t>LOM251.OC.EEA.PA02.I1500.E0011.0225</t>
        </is>
      </c>
      <c r="B274" s="4" t="inlineStr">
        <is>
          <t>1/1</t>
        </is>
      </c>
      <c r="C274" s="3" t="inlineStr">
        <is>
          <t>IMPIANTO MECCANICO</t>
        </is>
      </c>
      <c r="D274" s="4" t="inlineStr">
        <is>
          <t>SPECIALE</t>
        </is>
      </c>
      <c r="E274" s="4" t="inlineStr">
        <is>
          <t>MECCANICHE SPECIALI</t>
        </is>
      </c>
      <c r="F274" s="3" t="inlineStr">
        <is>
          <t>2_CME_TOTALE MECCANICI RADIOFARMACIA PAVIA.PDF</t>
        </is>
      </c>
      <c r="G274" s="4" t="inlineStr">
        <is>
          <t>26/26</t>
        </is>
      </c>
      <c r="H274" s="3" t="inlineStr">
        <is>
          <t>40 - IMPIANTISTICO</t>
        </is>
      </c>
      <c r="I274" s="3" t="inlineStr">
        <is>
          <t>CENTRALE</t>
        </is>
      </c>
      <c r="J274" s="3" t="inlineStr">
        <is>
          <t>IMPIANTO HVAC</t>
        </is>
      </c>
      <c r="K274" s="3" t="inlineStr">
        <is>
          <t>OPERA: LASTRA DI GOMMA ELASTOMERICA ESPANSA A CELLULE CHIUSE; FUNZIONE: COIBENTAZIONE; IMPIEGO: TUBAZIONE; SPESSORE MINIMO LASTRA [MM] = 32 | SPESSORE MINIMO ELASTOMERO PER IL DIAMETRO ESTERNO TUBO [M</t>
        </is>
      </c>
      <c r="L274" s="3" t="inlineStr">
        <is>
          <t>OPERA: LASTRA DI GOMMA ELASTOMERICA ESPANSA A CELLULE CHIUSE; FUNZIONE: COIBENTAZIONE; IMPIEGO: TUBAZIONE; SPESSORE MINIMO LASTRA [MM] = 32 | SPESSORE MINIMO ELASTOMERO PER IL DIAMETRO ESTERNO TUBO [MM] = 28 | DIAMETRO NOMINALE TUBAZIONE [MM] = 20; RESISTENZA ALLA FIAMMA [CLASSE] = 1; FATTORE DI PERMEABILITÀ (Μ) MINIMO [-] = 4000. 
LAVORO: POSA. 
SPECIFICHE TECNICHE: GOMMA ELASTOMERICA ESPANSA A CELLULE CHIUSE SENZA ALOGENI NÉ PVC. OP LASTRA DI GOMMA ELASTOMERICA ESPANSA A CELLULE CHIUSE; FUNZIONE: COIBENTAZIONE; IMPIEGO: TUBAZIONE; SPESSORE MINIMO LASTRA [MM] = 32 | SPESSORE MINIMO ELASTOMERO PER IL DIAMETRO ESTERNO TUBO [MM] = 28 | DIAMETRO NOMINALE TUBAZIONE [MM] = 20; RESISTENZA ALLA FIAMMA [CLASSE] = 1; FATTORE DI PERMEABILITÀ (Μ) MINIMO [-] = 4000. 
SPECIFICHE TECNICHE: GOMMA ELASTOMERICA ESPANSA A CELLULE CHIUSE SENZA ALOGENI NÉ PVC. 
RM LASTRA DI GOMMA ESPANSA A CELLULE CHIUSE; FUNZIONE: COIBENTAZIONE; IMPIEGO: TUBAZIONE; SPESSORE MINIMO LASTRA [MM] = 32 | SPESSORE MINIMO ELASTOMERO PER IL DIAMETRO ESTERNO TUBO [MM] = 28 | DIAMETRO NOMINALE TUBAZIONE [MM] = 20; RESISTENZA ALLA FIAMMA [CLASSE] = 1; FATTORE DI PERMEABILITÀ (Μ) MINIMO [-] = 4000 
SPECIFICHE TECNICHE: GOMMA ELASTOMERICA ESPANSA A CELLULE CHIUSE SENZA ALOGENI NÉ PVC 
LV POSA.</t>
        </is>
      </c>
      <c r="M274" s="4" t="inlineStr">
        <is>
          <t>M</t>
        </is>
      </c>
      <c r="N274" s="5" t="n">
        <v>15</v>
      </c>
      <c r="O274" s="6" t="n">
        <v>16.11</v>
      </c>
      <c r="P274" s="6" t="n">
        <v>241.65</v>
      </c>
      <c r="Q274" s="5" t="n"/>
      <c r="R274" s="6" t="n"/>
      <c r="S274" s="6">
        <f>IF(AND(Q274&lt;&gt;"",R274&lt;&gt;""),Q274*R274,"")</f>
        <v/>
      </c>
      <c r="T274" s="6">
        <f>IF(S274="",P274,S274)</f>
        <v/>
      </c>
      <c r="U274" s="7" t="n">
        <v>0</v>
      </c>
      <c r="V274" s="6">
        <f>$T274*U274</f>
        <v/>
      </c>
      <c r="W274" s="7" t="n">
        <v>0</v>
      </c>
      <c r="X274" s="6">
        <f>$T274*W274</f>
        <v/>
      </c>
      <c r="Y274" s="7" t="n">
        <v>0</v>
      </c>
      <c r="Z274" s="6">
        <f>$T274*Y274</f>
        <v/>
      </c>
      <c r="AA274" s="7" t="n">
        <v>0</v>
      </c>
      <c r="AB274" s="6">
        <f>$T274*AA274</f>
        <v/>
      </c>
      <c r="AC274" s="7" t="n">
        <v>0</v>
      </c>
      <c r="AD274" s="6">
        <f>$T274*AC274</f>
        <v/>
      </c>
      <c r="AE274" s="7" t="n">
        <v>0</v>
      </c>
      <c r="AF274" s="6">
        <f>$T274*AE274</f>
        <v/>
      </c>
      <c r="AG274" s="7" t="n">
        <v>0</v>
      </c>
      <c r="AH274" s="6">
        <f>$T274*AG274</f>
        <v/>
      </c>
      <c r="AI274" s="7">
        <f>U274+W274+Y274+AA274+AC274+AE274+AG274</f>
        <v/>
      </c>
      <c r="AJ274" s="6">
        <f>V274+X274+Z274+AB274+AD274+AF274+AH274</f>
        <v/>
      </c>
    </row>
    <row r="275" ht="60" customHeight="1" s="35">
      <c r="A275" s="3" t="inlineStr">
        <is>
          <t>LOM251.OC.EEA.PA02.I1500.E0011.0230</t>
        </is>
      </c>
      <c r="B275" s="4" t="inlineStr">
        <is>
          <t>1/1</t>
        </is>
      </c>
      <c r="C275" s="3" t="inlineStr">
        <is>
          <t>IMPIANTO MECCANICO</t>
        </is>
      </c>
      <c r="D275" s="4" t="inlineStr">
        <is>
          <t>SPECIALE</t>
        </is>
      </c>
      <c r="E275" s="4" t="inlineStr">
        <is>
          <t>MECCANICHE SPECIALI</t>
        </is>
      </c>
      <c r="F275" s="3" t="inlineStr">
        <is>
          <t>2_CME_TOTALE MECCANICI RADIOFARMACIA PAVIA.PDF</t>
        </is>
      </c>
      <c r="G275" s="4" t="inlineStr">
        <is>
          <t>27/27</t>
        </is>
      </c>
      <c r="H275" s="3" t="inlineStr">
        <is>
          <t>40 - IMPIANTISTICO</t>
        </is>
      </c>
      <c r="I275" s="3" t="inlineStr">
        <is>
          <t>CENTRALE</t>
        </is>
      </c>
      <c r="J275" s="3" t="inlineStr">
        <is>
          <t>IMPIANTO HVAC</t>
        </is>
      </c>
      <c r="K275" s="3" t="inlineStr">
        <is>
          <t>OPERA: LASTRA DI GOMMA ELASTOMERICA ESPANSA A CELLULE CHIUSE; FUNZIONE: COIBENTAZIONE; IMPIEGO: TUBAZIONE; SPESSORE MINIMO LASTRA [MM] = 32 | SPESSORE MINIMO ELASTOMERO PER IL DIAMETRO ESTERNO TUBO [M</t>
        </is>
      </c>
      <c r="L275" s="3" t="inlineStr">
        <is>
          <t>OPERA: LASTRA DI GOMMA ELASTOMERICA ESPANSA A CELLULE CHIUSE; FUNZIONE: COIBENTAZIONE; IMPIEGO: TUBAZIONE; SPESSORE MINIMO LASTRA [MM] = 32 | SPESSORE MINIMO ELASTOMERO PER IL DIAMETRO ESTERNO TUBO [MM] = 35 | DIAMETRO NOMINALE TUBAZIONE [MM] = 25; RESISTENZA ALLA FIAMMA [CLASSE] = 1; FATTORE DI PERMEABILITÀ (Μ) MINIMO [-] = 4000. 
LAVORO: POSA. 
SPECIFICHE TECNICHE: GOMMA ELASTOMERICA ESPANSA A CELLULE CHIUSE SENZA ALOGENI NÉ PVC. OP LASTRA DI GOMMA ELASTOMERICA ESPANSA A CELLULE CHIUSE; FUNZIONE: COIBENTAZIONE; IMPIEGO: TUBAZIONE; SPESSORE MINIMO LASTRA [MM] = 32 | SPESSORE MINIMO ELASTOMERO PER IL DIAMETRO ESTERNO TUBO [MM] = 35 | DIAMETRO NOMINALE TUBAZIONE [MM] = 25; RESISTENZA ALLA FIAMMA [CLASSE] = 1; FATTORE DI PERMEABILITÀ (Μ) MINIMO [-] = 4000. 
SPECIFICHE TECNICHE: GOMMA ELASTOMERICA ESPANSA A CELLULE CHIUSE SENZA ALOGENI NÉ PVC. 
RM LASTRA DI GOMMA ESPANSA A CELLULE CHIUSE; FUNZIONE: COIBENTAZIONE; IMPIEGO: TUBAZIONE; SPESSORE MINIMO LASTRA [MM] = 32 | SPESSORE MINIMO ELASTOMERO PER IL DIAMETRO ESTERNO TUBO [MM] = 35 | DIAMETRO NOMINALE TUBAZIONE [MM] = 25; RESISTENZA ALLA FIAMMA [CLASSE] = 1; FATTORE DI PERMEABILITÀ (Μ) MINIMO [-] = 4000 
SPECIFICHE TECNICHE: GOMMA ELASTOMERICA ESPANSA A CELLULE CHIUSE SENZA ALOGENI NÉ PVC 
LV POSA.</t>
        </is>
      </c>
      <c r="M275" s="4" t="inlineStr">
        <is>
          <t>M</t>
        </is>
      </c>
      <c r="N275" s="5" t="n">
        <v>50</v>
      </c>
      <c r="O275" s="6" t="n">
        <v>16.11</v>
      </c>
      <c r="P275" s="6" t="n">
        <v>805.5</v>
      </c>
      <c r="Q275" s="5" t="n"/>
      <c r="R275" s="6" t="n"/>
      <c r="S275" s="6">
        <f>IF(AND(Q275&lt;&gt;"",R275&lt;&gt;""),Q275*R275,"")</f>
        <v/>
      </c>
      <c r="T275" s="6">
        <f>IF(S275="",P275,S275)</f>
        <v/>
      </c>
      <c r="U275" s="7" t="n">
        <v>0</v>
      </c>
      <c r="V275" s="6">
        <f>$T275*U275</f>
        <v/>
      </c>
      <c r="W275" s="7" t="n">
        <v>0</v>
      </c>
      <c r="X275" s="6">
        <f>$T275*W275</f>
        <v/>
      </c>
      <c r="Y275" s="7" t="n">
        <v>0</v>
      </c>
      <c r="Z275" s="6">
        <f>$T275*Y275</f>
        <v/>
      </c>
      <c r="AA275" s="7" t="n">
        <v>0</v>
      </c>
      <c r="AB275" s="6">
        <f>$T275*AA275</f>
        <v/>
      </c>
      <c r="AC275" s="7" t="n">
        <v>0</v>
      </c>
      <c r="AD275" s="6">
        <f>$T275*AC275</f>
        <v/>
      </c>
      <c r="AE275" s="7" t="n">
        <v>0</v>
      </c>
      <c r="AF275" s="6">
        <f>$T275*AE275</f>
        <v/>
      </c>
      <c r="AG275" s="7" t="n">
        <v>0</v>
      </c>
      <c r="AH275" s="6">
        <f>$T275*AG275</f>
        <v/>
      </c>
      <c r="AI275" s="7">
        <f>U275+W275+Y275+AA275+AC275+AE275+AG275</f>
        <v/>
      </c>
      <c r="AJ275" s="6">
        <f>V275+X275+Z275+AB275+AD275+AF275+AH275</f>
        <v/>
      </c>
    </row>
    <row r="276" ht="60" customHeight="1" s="35">
      <c r="A276" s="3" t="inlineStr">
        <is>
          <t>LOM251.OC.EEA.PA02.I1500.E0011.0235</t>
        </is>
      </c>
      <c r="B276" s="4" t="inlineStr">
        <is>
          <t>1/1</t>
        </is>
      </c>
      <c r="C276" s="3" t="inlineStr">
        <is>
          <t>IMPIANTO MECCANICO</t>
        </is>
      </c>
      <c r="D276" s="4" t="inlineStr">
        <is>
          <t>SPECIALE</t>
        </is>
      </c>
      <c r="E276" s="4" t="inlineStr">
        <is>
          <t>MECCANICHE SPECIALI</t>
        </is>
      </c>
      <c r="F276" s="3" t="inlineStr">
        <is>
          <t>2_CME_TOTALE MECCANICI RADIOFARMACIA PAVIA.PDF</t>
        </is>
      </c>
      <c r="G276" s="4" t="inlineStr">
        <is>
          <t>28/28</t>
        </is>
      </c>
      <c r="H276" s="3" t="inlineStr">
        <is>
          <t>40 - IMPIANTISTICO</t>
        </is>
      </c>
      <c r="I276" s="3" t="inlineStr">
        <is>
          <t>CENTRALE</t>
        </is>
      </c>
      <c r="J276" s="3" t="inlineStr">
        <is>
          <t>IMPIANTO HVAC</t>
        </is>
      </c>
      <c r="K276" s="3" t="inlineStr">
        <is>
          <t>OPERA: LASTRA DI GOMMA ELASTOMERICA ESPANSA A CELLULE CHIUSE; FUNZIONE: COIBENTAZIONE; IMPIEGO: TUBAZIONE; SPESSORE MINIMO LASTRA [MM] = 32 | SPESSORE MINIMO ELASTOMERO PER IL DIAMETRO ESTERNO TUBO [M</t>
        </is>
      </c>
      <c r="L276" s="3" t="inlineStr">
        <is>
          <t>OPERA: LASTRA DI GOMMA ELASTOMERICA ESPANSA A CELLULE CHIUSE; FUNZIONE: COIBENTAZIONE; IMPIEGO: TUBAZIONE; SPESSORE MINIMO LASTRA [MM] = 32 | SPESSORE MINIMO ELASTOMERO PER IL DIAMETRO ESTERNO TUBO [MM] = 42 | DIAMETRO NOMINALE TUBAZIONE [MM] = 32; RESISTENZA ALLA FIAMMA [CLASSE] = 1; FATTORE DI PERMEABILITÀ (Μ) MINIMO [-] = 4000. 
LAVORO: POSA. 
SPECIFICHE TECNICHE: GOMMA ELASTOMERICA ESPANSA A CELLULE CHIUSE SENZA ALOGENI NÉ PVC. OP LASTRA DI GOMMA ELASTOMERICA ESPANSA A CELLULE CHIUSE; FUNZIONE: COIBENTAZIONE; IMPIEGO: TUBAZIONE; SPESSORE MINIMO LASTRA [MM] = 32 | SPESSORE MINIMO ELASTOMERO PER IL DIAMETRO ESTERNO TUBO [MM] = 42 | DIAMETRO NOMINALE TUBAZIONE [MM] = 32; RESISTENZA ALLA FIAMMA [CLASSE] = 1; FATTORE DI PERMEABILITÀ (Μ) MINIMO [-] = 4000. 
SPECIFICHE TECNICHE: GOMMA ELASTOMERICA ESPANSA A CELLULE CHIUSE SENZA ALOGENI NÉ PVC. 
RM LASTRA DI GOMMA ESPANSA A CELLULE CHIUSE; FUNZIONE: COIBENTAZIONE; IMPIEGO: TUBAZIONE; SPESSORE MINIMO LASTRA [MM] = 32 | SPESSORE MINIMO ELASTOMERO PER IL DIAMETRO ESTERNO TUBO [MM] = 42 | DIAMETRO NOMINALE TUBAZIONE [MM] = 32; RESISTENZA ALLA FIAMMA [CLASSE] = 1; FATTORE DI PERMEABILITÀ (Μ) MINIMO [-] = 4000 
SPECIFICHE TECNICHE: GOMMA ELASTOMERICA ESPANSA A CELLULE CHIUSE SENZA ALOGENI NÉ PVC 
LV POSA.</t>
        </is>
      </c>
      <c r="M276" s="4" t="inlineStr">
        <is>
          <t>M</t>
        </is>
      </c>
      <c r="N276" s="5" t="n">
        <v>40</v>
      </c>
      <c r="O276" s="6" t="n">
        <v>16.11</v>
      </c>
      <c r="P276" s="6" t="n">
        <v>644.4</v>
      </c>
      <c r="Q276" s="5" t="n"/>
      <c r="R276" s="6" t="n"/>
      <c r="S276" s="6">
        <f>IF(AND(Q276&lt;&gt;"",R276&lt;&gt;""),Q276*R276,"")</f>
        <v/>
      </c>
      <c r="T276" s="6">
        <f>IF(S276="",P276,S276)</f>
        <v/>
      </c>
      <c r="U276" s="7" t="n">
        <v>0</v>
      </c>
      <c r="V276" s="6">
        <f>$T276*U276</f>
        <v/>
      </c>
      <c r="W276" s="7" t="n">
        <v>0</v>
      </c>
      <c r="X276" s="6">
        <f>$T276*W276</f>
        <v/>
      </c>
      <c r="Y276" s="7" t="n">
        <v>0</v>
      </c>
      <c r="Z276" s="6">
        <f>$T276*Y276</f>
        <v/>
      </c>
      <c r="AA276" s="7" t="n">
        <v>0</v>
      </c>
      <c r="AB276" s="6">
        <f>$T276*AA276</f>
        <v/>
      </c>
      <c r="AC276" s="7" t="n">
        <v>0</v>
      </c>
      <c r="AD276" s="6">
        <f>$T276*AC276</f>
        <v/>
      </c>
      <c r="AE276" s="7" t="n">
        <v>0</v>
      </c>
      <c r="AF276" s="6">
        <f>$T276*AE276</f>
        <v/>
      </c>
      <c r="AG276" s="7" t="n">
        <v>0</v>
      </c>
      <c r="AH276" s="6">
        <f>$T276*AG276</f>
        <v/>
      </c>
      <c r="AI276" s="7">
        <f>U276+W276+Y276+AA276+AC276+AE276+AG276</f>
        <v/>
      </c>
      <c r="AJ276" s="6">
        <f>V276+X276+Z276+AB276+AD276+AF276+AH276</f>
        <v/>
      </c>
    </row>
    <row r="277" ht="60" customHeight="1" s="35">
      <c r="A277" s="3" t="inlineStr">
        <is>
          <t>LOM251.OC.EEA.PA02.I1500.E0011.0240</t>
        </is>
      </c>
      <c r="B277" s="4" t="inlineStr">
        <is>
          <t>1/1</t>
        </is>
      </c>
      <c r="C277" s="3" t="inlineStr">
        <is>
          <t>IMPIANTO MECCANICO</t>
        </is>
      </c>
      <c r="D277" s="4" t="inlineStr">
        <is>
          <t>SPECIALE</t>
        </is>
      </c>
      <c r="E277" s="4" t="inlineStr">
        <is>
          <t>MECCANICHE SPECIALI</t>
        </is>
      </c>
      <c r="F277" s="3" t="inlineStr">
        <is>
          <t>2_CME_TOTALE MECCANICI RADIOFARMACIA PAVIA.PDF</t>
        </is>
      </c>
      <c r="G277" s="4" t="inlineStr">
        <is>
          <t>29/29</t>
        </is>
      </c>
      <c r="H277" s="3" t="inlineStr">
        <is>
          <t>40 - IMPIANTISTICO</t>
        </is>
      </c>
      <c r="I277" s="3" t="inlineStr">
        <is>
          <t>CENTRALE</t>
        </is>
      </c>
      <c r="J277" s="3" t="inlineStr">
        <is>
          <t>IMPIANTO HVAC</t>
        </is>
      </c>
      <c r="K277" s="3" t="inlineStr">
        <is>
          <t>OPERA: LASTRA DI GOMMA ELASTOMERICA ESPANSA A CELLULE CHIUSE; FUNZIONE: COIBENTAZIONE; IMPIEGO: TUBAZIONE; SPESSORE MINIMO LASTRA [MM] = 32 | SPESSORE MINIMO ELASTOMERO PER IL DIAMETRO ESTERNO TUBO [M</t>
        </is>
      </c>
      <c r="L277" s="3" t="inlineStr">
        <is>
          <t>OPERA: LASTRA DI GOMMA ELASTOMERICA ESPANSA A CELLULE CHIUSE; FUNZIONE: COIBENTAZIONE; IMPIEGO: TUBAZIONE; SPESSORE MINIMO LASTRA [MM] = 32 | SPESSORE MINIMO ELASTOMERO PER IL DIAMETRO ESTERNO TUBO [MM] = 48 | DIAMETRO NOMINALE TUBAZIONE [MM] = 40; RESISTENZA ALLA FIAMMA [CLASSE] = 1; FATTORE DI PERMEABILITÀ (Μ) MINIMO [-] = 4000. 
LAVORO: POSA. 
SPECIFICHE TECNICHE: GOMMA ELASTOMERICA ESPANSA A CELLULE CHIUSE SENZA ALOGENI NÉ PVC. OP LASTRA DI GOMMA ELASTOMERICA ESPANSA A CELLULE CHIUSE; FUNZIONE: COIBENTAZIONE; IMPIEGO: TUBAZIONE; SPESSORE MINIMO LASTRA [MM] = 32 | SPESSORE MINIMO ELASTOMERO PER IL DIAMETRO ESTERNO TUBO [MM] = 48 | DIAMETRO NOMINALE TUBAZIONE [MM] = 40; RESISTENZA ALLA FIAMMA [CLASSE] = 1; FATTORE DI PERMEABILITÀ (Μ) MINIMO [-] = 4000. 
SPECIFICHE TECNICHE: GOMMA ELASTOMERICA ESPANSA A CELLULE CHIUSE SENZA ALOGENI NÉ PVC. 
RM LASTRA DI GOMMA ESPANSA A CELLULE CHIUSE; FUNZIONE: COIBENTAZIONE; IMPIEGO: TUBAZIONE; SPESSORE MINIMO LASTRA [MM] = 32 | SPESSORE MINIMO ELASTOMERO PER IL DIAMETRO ESTERNO TUBO [MM] = 48 | DIAMETRO NOMINALE TUBAZIONE [MM] = 40; RESISTENZA ALLA FIAMMA [CLASSE] = 1; FATTORE DI PERMEABILITÀ (Μ) MINIMO [-] = 4000 
SPECIFICHE TECNICHE: GOMMA ELASTOMERICA ESPANSA A CELLULE CHIUSE SENZA ALOGENI NÉ PVC 
LV POSA.</t>
        </is>
      </c>
      <c r="M277" s="4" t="inlineStr">
        <is>
          <t>M</t>
        </is>
      </c>
      <c r="N277" s="5" t="n">
        <v>15</v>
      </c>
      <c r="O277" s="6" t="n">
        <v>16.11</v>
      </c>
      <c r="P277" s="6" t="n">
        <v>241.65</v>
      </c>
      <c r="Q277" s="5" t="n"/>
      <c r="R277" s="6" t="n"/>
      <c r="S277" s="6">
        <f>IF(AND(Q277&lt;&gt;"",R277&lt;&gt;""),Q277*R277,"")</f>
        <v/>
      </c>
      <c r="T277" s="6">
        <f>IF(S277="",P277,S277)</f>
        <v/>
      </c>
      <c r="U277" s="7" t="n">
        <v>0</v>
      </c>
      <c r="V277" s="6">
        <f>$T277*U277</f>
        <v/>
      </c>
      <c r="W277" s="7" t="n">
        <v>0</v>
      </c>
      <c r="X277" s="6">
        <f>$T277*W277</f>
        <v/>
      </c>
      <c r="Y277" s="7" t="n">
        <v>0</v>
      </c>
      <c r="Z277" s="6">
        <f>$T277*Y277</f>
        <v/>
      </c>
      <c r="AA277" s="7" t="n">
        <v>0</v>
      </c>
      <c r="AB277" s="6">
        <f>$T277*AA277</f>
        <v/>
      </c>
      <c r="AC277" s="7" t="n">
        <v>0</v>
      </c>
      <c r="AD277" s="6">
        <f>$T277*AC277</f>
        <v/>
      </c>
      <c r="AE277" s="7" t="n">
        <v>0</v>
      </c>
      <c r="AF277" s="6">
        <f>$T277*AE277</f>
        <v/>
      </c>
      <c r="AG277" s="7" t="n">
        <v>0</v>
      </c>
      <c r="AH277" s="6">
        <f>$T277*AG277</f>
        <v/>
      </c>
      <c r="AI277" s="7">
        <f>U277+W277+Y277+AA277+AC277+AE277+AG277</f>
        <v/>
      </c>
      <c r="AJ277" s="6">
        <f>V277+X277+Z277+AB277+AD277+AF277+AH277</f>
        <v/>
      </c>
    </row>
    <row r="278" ht="60" customHeight="1" s="35">
      <c r="A278" s="3" t="inlineStr">
        <is>
          <t>LOM251.OC.EEA.PA02.I1500.E0011.0245</t>
        </is>
      </c>
      <c r="B278" s="4" t="inlineStr">
        <is>
          <t>1/1</t>
        </is>
      </c>
      <c r="C278" s="3" t="inlineStr">
        <is>
          <t>IMPIANTO MECCANICO</t>
        </is>
      </c>
      <c r="D278" s="4" t="inlineStr">
        <is>
          <t>SPECIALE</t>
        </is>
      </c>
      <c r="E278" s="4" t="inlineStr">
        <is>
          <t>MECCANICHE SPECIALI</t>
        </is>
      </c>
      <c r="F278" s="3" t="inlineStr">
        <is>
          <t>2_CME_TOTALE MECCANICI RADIOFARMACIA PAVIA.PDF</t>
        </is>
      </c>
      <c r="G278" s="4" t="inlineStr">
        <is>
          <t>30/30</t>
        </is>
      </c>
      <c r="H278" s="3" t="inlineStr">
        <is>
          <t>40 - IMPIANTISTICO</t>
        </is>
      </c>
      <c r="I278" s="3" t="inlineStr">
        <is>
          <t>CENTRALE</t>
        </is>
      </c>
      <c r="J278" s="3" t="inlineStr">
        <is>
          <t>IMPIANTO HVAC</t>
        </is>
      </c>
      <c r="K278" s="3" t="inlineStr">
        <is>
          <t>OPERA: LASTRA DI GOMMA ELASTOMERICA ESPANSA A CELLULE CHIUSE; FUNZIONE: COIBENTAZIONE; IMPIEGO: TUBAZIONE; SPESSORE MINIMO LASTRA [MM] = 32 | SPESSORE MINIMO ELASTOMERO PER IL DIAMETRO ESTERNO TUBO [M</t>
        </is>
      </c>
      <c r="L278" s="3" t="inlineStr">
        <is>
          <t>OPERA: LASTRA DI GOMMA ELASTOMERICA ESPANSA A CELLULE CHIUSE; FUNZIONE: COIBENTAZIONE; IMPIEGO: TUBAZIONE; SPESSORE MINIMO LASTRA [MM] = 32 | SPESSORE MINIMO ELASTOMERO PER IL DIAMETRO ESTERNO TUBO [MM] = 60 | DIAMETRO NOMINALE TUBAZIONE [MM] = 50; RESISTENZA ALLA FIAMMA [CLASSE] = 1; FATTORE DI PERMEABILITÀ (Μ) MINIMO [-] = 4000. 
LAVORO: POSA. 
SPECIFICHE TECNICHE: GOMMA ELASTOMERICA ESPANSA A CELLULE CHIUSE SENZA ALOGENI NÉ PVC. OP LASTRA DI GOMMA ELASTOMERICA ESPANSA A CELLULE CHIUSE; FUNZIONE: COIBENTAZIONE; IMPIEGO: TUBAZIONE; SPESSORE MINIMO LASTRA [MM] = 32 | SPESSORE MINIMO ELASTOMERO PER IL DIAMETRO ESTERNO TUBO [MM] = 60 | DIAMETRO NOMINALE TUBAZIONE [MM] = 50; RESISTENZA ALLA FIAMMA [CLASSE] = 1; FATTORE DI PERMEABILITÀ (Μ) MINIMO [-] = 4000. 
SPECIFICHE TECNICHE: GOMMA ELASTOMERICA ESPANSA A CELLULE CHIUSE SENZA ALOGENI NÉ PVC. 
RM LASTRA DI GOMMA ESPANSA A CELLULE CHIUSE; FUNZIONE: COIBENTAZIONE; IMPIEGO: TUBAZIONE; SPESSORE MINIMO LASTRA [MM] = 32 | SPESSORE MINIMO ELASTOMERO PER IL DIAMETRO ESTERNO TUBO [MM] = 60 | DIAMETRO NOMINALE TUBAZIONE [MM] = 50; RESISTENZA ALLA FIAMMA [CLASSE] = 1; FATTORE DI PERMEABILITÀ (Μ) MINIMO [-] = 4000 
SPECIFICHE TECNICHE: GOMMA ELASTOMERICA ESPANSA A CELLULE CHIUSE SENZA ALOGENI NÉ PVC 
LV POSA.</t>
        </is>
      </c>
      <c r="M278" s="4" t="inlineStr">
        <is>
          <t>M</t>
        </is>
      </c>
      <c r="N278" s="5" t="n">
        <v>20</v>
      </c>
      <c r="O278" s="6" t="n">
        <v>17.81</v>
      </c>
      <c r="P278" s="6" t="n">
        <v>356.2</v>
      </c>
      <c r="Q278" s="5" t="n"/>
      <c r="R278" s="6" t="n"/>
      <c r="S278" s="6">
        <f>IF(AND(Q278&lt;&gt;"",R278&lt;&gt;""),Q278*R278,"")</f>
        <v/>
      </c>
      <c r="T278" s="6">
        <f>IF(S278="",P278,S278)</f>
        <v/>
      </c>
      <c r="U278" s="7" t="n">
        <v>0</v>
      </c>
      <c r="V278" s="6">
        <f>$T278*U278</f>
        <v/>
      </c>
      <c r="W278" s="7" t="n">
        <v>0</v>
      </c>
      <c r="X278" s="6">
        <f>$T278*W278</f>
        <v/>
      </c>
      <c r="Y278" s="7" t="n">
        <v>0</v>
      </c>
      <c r="Z278" s="6">
        <f>$T278*Y278</f>
        <v/>
      </c>
      <c r="AA278" s="7" t="n">
        <v>0</v>
      </c>
      <c r="AB278" s="6">
        <f>$T278*AA278</f>
        <v/>
      </c>
      <c r="AC278" s="7" t="n">
        <v>0</v>
      </c>
      <c r="AD278" s="6">
        <f>$T278*AC278</f>
        <v/>
      </c>
      <c r="AE278" s="7" t="n">
        <v>0</v>
      </c>
      <c r="AF278" s="6">
        <f>$T278*AE278</f>
        <v/>
      </c>
      <c r="AG278" s="7" t="n">
        <v>0</v>
      </c>
      <c r="AH278" s="6">
        <f>$T278*AG278</f>
        <v/>
      </c>
      <c r="AI278" s="7">
        <f>U278+W278+Y278+AA278+AC278+AE278+AG278</f>
        <v/>
      </c>
      <c r="AJ278" s="6">
        <f>V278+X278+Z278+AB278+AD278+AF278+AH278</f>
        <v/>
      </c>
    </row>
    <row r="279" ht="60" customHeight="1" s="35">
      <c r="A279" s="3" t="inlineStr">
        <is>
          <t>LOM251.OC.EEA.PA02.I1500.E0011.0250</t>
        </is>
      </c>
      <c r="B279" s="4" t="inlineStr">
        <is>
          <t>1/1</t>
        </is>
      </c>
      <c r="C279" s="3" t="inlineStr">
        <is>
          <t>IMPIANTO MECCANICO</t>
        </is>
      </c>
      <c r="D279" s="4" t="inlineStr">
        <is>
          <t>SPECIALE</t>
        </is>
      </c>
      <c r="E279" s="4" t="inlineStr">
        <is>
          <t>MECCANICHE SPECIALI</t>
        </is>
      </c>
      <c r="F279" s="3" t="inlineStr">
        <is>
          <t>2_CME_TOTALE MECCANICI RADIOFARMACIA PAVIA.PDF</t>
        </is>
      </c>
      <c r="G279" s="4" t="inlineStr">
        <is>
          <t>31/31</t>
        </is>
      </c>
      <c r="H279" s="3" t="inlineStr">
        <is>
          <t>40 - IMPIANTISTICO</t>
        </is>
      </c>
      <c r="I279" s="3" t="inlineStr">
        <is>
          <t>CENTRALE</t>
        </is>
      </c>
      <c r="J279" s="3" t="inlineStr">
        <is>
          <t>IMPIANTO HVAC</t>
        </is>
      </c>
      <c r="K279" s="3" t="inlineStr">
        <is>
          <t>OPERA: LASTRA DI GOMMA ELASTOMERICA ESPANSA A CELLULE CHIUSE; FUNZIONE: COIBENTAZIONE; IMPIEGO: TUBAZIONE; SPESSORE MINIMO LASTRA [MM] = 32 | SPESSORE MINIMO ELASTOMERO PER IL DIAMETRO ESTERNO TUBO [M</t>
        </is>
      </c>
      <c r="L279" s="3" t="inlineStr">
        <is>
          <t>OPERA: LASTRA DI GOMMA ELASTOMERICA ESPANSA A CELLULE CHIUSE; FUNZIONE: COIBENTAZIONE; IMPIEGO: TUBAZIONE; SPESSORE MINIMO LASTRA [MM] = 32 | SPESSORE MINIMO ELASTOMERO PER IL DIAMETRO ESTERNO TUBO [MM] = 76 | DIAMETRO NOMINALE TUBAZIONE [MM] = 65; RESISTENZA ALLA FIAMMA [CLASSE] = 1; FATTORE DI PERMEABILITÀ (Μ) MINIMO [-] = 4000. 
LAVORO: POSA. 
SPECIFICHE TECNICHE: GOMMA ELASTOMERICA ESPANSA A CELLULE CHIUSE SENZA ALOGENI NÉ PVC. OP LASTRA DI GOMMA ELASTOMERICA ESPANSA A CELLULE CHIUSE; FUNZIONE: COIBENTAZIONE; IMPIEGO: TUBAZIONE; SPESSORE MINIMO LASTRA [MM] = 32 | SPESSORE MINIMO ELASTOMERO PER IL DIAMETRO ESTERNO TUBO [MM] = 76 | DIAMETRO NOMINALE TUBAZIONE [MM] = 65; RESISTENZA ALLA FIAMMA [CLASSE] = 1; FATTORE DI PERMEABILITÀ (Μ) MINIMO [-] = 4000. 
SPECIFICHE TECNICHE: GOMMA ELASTOMERICA ESPANSA A CELLULE CHIUSE SENZA ALOGENI NÉ PVC. 
RM LASTRA DI GOMMA ESPANSA A CELLULE CHIUSE; FUNZIONE: COIBENTAZIONE; IMPIEGO: TUBAZIONE; SPESSORE MINIMO LASTRA [MM] = 32 | SPESSORE MINIMO ELASTOMERO PER IL DIAMETRO ESTERNO TUBO [MM] = 76 | DIAMETRO NOMINALE TUBAZIONE [MM] = 65; RESISTENZA ALLA FIAMMA [CLASSE] = 1; FATTORE DI PERMEABILITÀ (Μ) MINIMO [-] = 4000 
SPECIFICHE TECNICHE: GOMMA ELASTOMERICA ESPANSA A CELLULE CHIUSE SENZA ALOGENI NÉ PVC 
LV POSA.</t>
        </is>
      </c>
      <c r="M279" s="4" t="inlineStr">
        <is>
          <t>M</t>
        </is>
      </c>
      <c r="N279" s="5" t="n">
        <v>45</v>
      </c>
      <c r="O279" s="6" t="n">
        <v>19.94</v>
      </c>
      <c r="P279" s="6" t="n">
        <v>897.3</v>
      </c>
      <c r="Q279" s="5" t="n"/>
      <c r="R279" s="6" t="n"/>
      <c r="S279" s="6">
        <f>IF(AND(Q279&lt;&gt;"",R279&lt;&gt;""),Q279*R279,"")</f>
        <v/>
      </c>
      <c r="T279" s="6">
        <f>IF(S279="",P279,S279)</f>
        <v/>
      </c>
      <c r="U279" s="7" t="n">
        <v>0</v>
      </c>
      <c r="V279" s="6">
        <f>$T279*U279</f>
        <v/>
      </c>
      <c r="W279" s="7" t="n">
        <v>0</v>
      </c>
      <c r="X279" s="6">
        <f>$T279*W279</f>
        <v/>
      </c>
      <c r="Y279" s="7" t="n">
        <v>0</v>
      </c>
      <c r="Z279" s="6">
        <f>$T279*Y279</f>
        <v/>
      </c>
      <c r="AA279" s="7" t="n">
        <v>0</v>
      </c>
      <c r="AB279" s="6">
        <f>$T279*AA279</f>
        <v/>
      </c>
      <c r="AC279" s="7" t="n">
        <v>0</v>
      </c>
      <c r="AD279" s="6">
        <f>$T279*AC279</f>
        <v/>
      </c>
      <c r="AE279" s="7" t="n">
        <v>0</v>
      </c>
      <c r="AF279" s="6">
        <f>$T279*AE279</f>
        <v/>
      </c>
      <c r="AG279" s="7" t="n">
        <v>0</v>
      </c>
      <c r="AH279" s="6">
        <f>$T279*AG279</f>
        <v/>
      </c>
      <c r="AI279" s="7">
        <f>U279+W279+Y279+AA279+AC279+AE279+AG279</f>
        <v/>
      </c>
      <c r="AJ279" s="6">
        <f>V279+X279+Z279+AB279+AD279+AF279+AH279</f>
        <v/>
      </c>
    </row>
    <row r="280" ht="60" customHeight="1" s="35">
      <c r="A280" s="3" t="inlineStr">
        <is>
          <t>LOM251.OC.EEA.PA02.I1500.E0011.0255</t>
        </is>
      </c>
      <c r="B280" s="4" t="inlineStr">
        <is>
          <t>1/1</t>
        </is>
      </c>
      <c r="C280" s="3" t="inlineStr">
        <is>
          <t>IMPIANTO MECCANICO</t>
        </is>
      </c>
      <c r="D280" s="4" t="inlineStr">
        <is>
          <t>SPECIALE</t>
        </is>
      </c>
      <c r="E280" s="4" t="inlineStr">
        <is>
          <t>MECCANICHE SPECIALI</t>
        </is>
      </c>
      <c r="F280" s="3" t="inlineStr">
        <is>
          <t>2_CME_TOTALE MECCANICI RADIOFARMACIA PAVIA.PDF</t>
        </is>
      </c>
      <c r="G280" s="4" t="inlineStr">
        <is>
          <t>32/32</t>
        </is>
      </c>
      <c r="H280" s="3" t="inlineStr">
        <is>
          <t>40 - IMPIANTISTICO</t>
        </is>
      </c>
      <c r="I280" s="3" t="inlineStr">
        <is>
          <t>CENTRALE</t>
        </is>
      </c>
      <c r="J280" s="3" t="inlineStr">
        <is>
          <t>IMPIANTO HVAC</t>
        </is>
      </c>
      <c r="K280" s="3" t="inlineStr">
        <is>
          <t>OPERA: LASTRA DI GOMMA ELASTOMERICA ESPANSA A CELLULE CHIUSE; FUNZIONE: COIBENTAZIONE; IMPIEGO: TUBAZIONE; SPESSORE MINIMO LASTRA [MM] = 32 | SPESSORE MINIMO ELASTOMERO PER IL DIAMETRO ESTERNO TUBO [M</t>
        </is>
      </c>
      <c r="L280" s="3" t="inlineStr">
        <is>
          <t>OPERA: LASTRA DI GOMMA ELASTOMERICA ESPANSA A CELLULE CHIUSE; FUNZIONE: COIBENTAZIONE; IMPIEGO: TUBAZIONE; SPESSORE MINIMO LASTRA [MM] = 32 | SPESSORE MINIMO ELASTOMERO PER IL DIAMETRO ESTERNO TUBO [MM] = 89 | DIAMETRO NOMINALE TUBAZIONE [MM] = 80; RESISTENZA ALLA FIAMMA [CLASSE] = 1; FATTORE DI PERMEABILITÀ (Μ) MINIMO [-] = 4000. 
LAVORO: POSA. 
SPECIFICHE TECNICHE: GOMMA ELASTOMERICA ESPANSA A CELLULE CHIUSE SENZA ALOGENI NÉ PVC. OP LASTRA DI GOMMA ELASTOMERICA ESPANSA A CELLULE CHIUSE; FUNZIONE: COIBENTAZIONE; IMPIEGO: TUBAZIONE; SPESSORE MINIMO LASTRA [MM] = 32 | SPESSORE MINIMO ELASTOMERO PER IL DIAMETRO ESTERNO TUBO [MM] = 89 | DIAMETRO NOMINALE TUBAZIONE [MM] = 80; RESISTENZA ALLA FIAMMA [CLASSE] = 1; FATTORE DI PERMEABILITÀ (Μ) MINIMO [-] = 4000. 
SPECIFICHE TECNICHE: GOMMA ELASTOMERICA ESPANSA A CELLULE CHIUSE SENZA ALOGENI NÉ PVC. 
RM LASTRA DI GOMMA ESPANSA A CELLULE CHIUSE; FUNZIONE: COIBENTAZIONE; IMPIEGO: TUBAZIONE; SPESSORE MINIMO LASTRA [MM] = 32 | SPESSORE MINIMO ELASTOMERO PER IL DIAMETRO ESTERNO TUBO [MM] = 89 | DIAMETRO NOMINALE TUBAZIONE [MM] = 80; RESISTENZA ALLA FIAMMA [CLASSE] = 1; FATTORE DI PERMEABILITÀ (Μ) MINIMO [-] = 4000 
SPECIFICHE TECNICHE: GOMMA ELASTOMERICA ESPANSA A CELLULE CHIUSE SENZA ALOGENI NÉ PVC 
LV POSA.</t>
        </is>
      </c>
      <c r="M280" s="4" t="inlineStr">
        <is>
          <t>M</t>
        </is>
      </c>
      <c r="N280" s="5" t="n">
        <v>30</v>
      </c>
      <c r="O280" s="6" t="n">
        <v>21.8</v>
      </c>
      <c r="P280" s="6" t="n">
        <v>654</v>
      </c>
      <c r="Q280" s="5" t="n"/>
      <c r="R280" s="6" t="n"/>
      <c r="S280" s="6">
        <f>IF(AND(Q280&lt;&gt;"",R280&lt;&gt;""),Q280*R280,"")</f>
        <v/>
      </c>
      <c r="T280" s="6">
        <f>IF(S280="",P280,S280)</f>
        <v/>
      </c>
      <c r="U280" s="7" t="n">
        <v>0</v>
      </c>
      <c r="V280" s="6">
        <f>$T280*U280</f>
        <v/>
      </c>
      <c r="W280" s="7" t="n">
        <v>0</v>
      </c>
      <c r="X280" s="6">
        <f>$T280*W280</f>
        <v/>
      </c>
      <c r="Y280" s="7" t="n">
        <v>0</v>
      </c>
      <c r="Z280" s="6">
        <f>$T280*Y280</f>
        <v/>
      </c>
      <c r="AA280" s="7" t="n">
        <v>0</v>
      </c>
      <c r="AB280" s="6">
        <f>$T280*AA280</f>
        <v/>
      </c>
      <c r="AC280" s="7" t="n">
        <v>0</v>
      </c>
      <c r="AD280" s="6">
        <f>$T280*AC280</f>
        <v/>
      </c>
      <c r="AE280" s="7" t="n">
        <v>0</v>
      </c>
      <c r="AF280" s="6">
        <f>$T280*AE280</f>
        <v/>
      </c>
      <c r="AG280" s="7" t="n">
        <v>0</v>
      </c>
      <c r="AH280" s="6">
        <f>$T280*AG280</f>
        <v/>
      </c>
      <c r="AI280" s="7">
        <f>U280+W280+Y280+AA280+AC280+AE280+AG280</f>
        <v/>
      </c>
      <c r="AJ280" s="6">
        <f>V280+X280+Z280+AB280+AD280+AF280+AH280</f>
        <v/>
      </c>
    </row>
    <row r="281" ht="60" customHeight="1" s="35">
      <c r="A281" s="3" t="inlineStr">
        <is>
          <t>LOM251.OC.EEA.PA02.I1500.E0011.0325</t>
        </is>
      </c>
      <c r="B281" s="4" t="inlineStr">
        <is>
          <t>1/1</t>
        </is>
      </c>
      <c r="C281" s="3" t="inlineStr">
        <is>
          <t>IMPIANTO MECCANICO</t>
        </is>
      </c>
      <c r="D281" s="4" t="inlineStr">
        <is>
          <t>SPECIALE</t>
        </is>
      </c>
      <c r="E281" s="4" t="inlineStr">
        <is>
          <t>MECCANICHE SPECIALI</t>
        </is>
      </c>
      <c r="F281" s="3" t="inlineStr">
        <is>
          <t>2_CME_TOTALE MECCANICI RADIOFARMACIA PAVIA.PDF</t>
        </is>
      </c>
      <c r="G281" s="4" t="inlineStr">
        <is>
          <t>33/33</t>
        </is>
      </c>
      <c r="H281" s="3" t="inlineStr">
        <is>
          <t>40 - IMPIANTISTICO</t>
        </is>
      </c>
      <c r="I281" s="3" t="inlineStr">
        <is>
          <t>CENTRALE</t>
        </is>
      </c>
      <c r="J281" s="3" t="inlineStr">
        <is>
          <t>IMPIANTO HVAC</t>
        </is>
      </c>
      <c r="K281" s="3" t="inlineStr">
        <is>
          <t>OPERA: LASTRA DI GOMMA ELASTOMERICA ESPANSA A CELLULE CHIUSE; FUNZIONE: COIBENTAZIONE; IMPIEGO: TUBAZIONE; SPESSORE MINIMO LASTRA [MM] = 9 | SPESSORE MINIMO ELASTOMERO PER IL DIAMETRO ESTERNO TUBO [MM</t>
        </is>
      </c>
      <c r="L281" s="3" t="inlineStr">
        <is>
          <t>OPERA: LASTRA DI GOMMA ELASTOMERICA ESPANSA A CELLULE CHIUSE; FUNZIONE: COIBENTAZIONE; IMPIEGO: TUBAZIONE; SPESSORE MINIMO LASTRA [MM] = 9 | SPESSORE MINIMO ELASTOMERO PER IL DIAMETRO ESTERNO TUBO [MM] = 114 | DIAMETRO NOMINALE TUBAZIONE [MM] = 100; RESISTENZA ALLA FIAMMA [CLASSE] = 1; FATTORE DI PERMEABILITÀ (Μ) MINIMO [-] = 3000. 
LAVORO: POSA. OP LASTRA DI GOMMA ELASTOMERICA ESPANSA A CELLULE CHIUSE; FUNZIONE: COIBENTAZIONE; IMPIEGO: TUBAZIONE; SPESSORE MINIMO LASTRA [MM] = 9 | SPESSORE MINIMO ELASTOMERO PER IL DIAMETRO ESTERNO TUBO [MM] = 114 | DIAMETRO NOMINALE TUBAZIONE [MM] = 100; RESISTENZA ALLA FIAMMA [CLASSE] = 1; FATTORE DI PERMEABILITÀ (Μ) MINIMO [-] = 3000. 
RM LASTRA DI GOMMA ESPANSA A CELLULE CHIUSE; FUNZIONE: COIBENTAZIONE; IMPIEGO: TUBAZIONE; SPESSORE MINIMO LASTRA [MM] = 9 | SPESSORE MINIMO ELASTOMERO PER IL DIAMETRO ESTERNO TUBO [MM] = 114 | DIAMETRO NOMINALE TUBAZIONE [MM] = 100; RESISTENZA ALLA FIAMMA [CLASSE] = 1; FATTORE DI PERMEABILITÀ (Μ) MINIMO [-] = 3000 
LV POSA.</t>
        </is>
      </c>
      <c r="M281" s="4" t="inlineStr">
        <is>
          <t>M</t>
        </is>
      </c>
      <c r="N281" s="5" t="n">
        <v>65</v>
      </c>
      <c r="O281" s="6" t="n">
        <v>10.69</v>
      </c>
      <c r="P281" s="6" t="n">
        <v>694.85</v>
      </c>
      <c r="Q281" s="5" t="n"/>
      <c r="R281" s="6" t="n"/>
      <c r="S281" s="6">
        <f>IF(AND(Q281&lt;&gt;"",R281&lt;&gt;""),Q281*R281,"")</f>
        <v/>
      </c>
      <c r="T281" s="6">
        <f>IF(S281="",P281,S281)</f>
        <v/>
      </c>
      <c r="U281" s="7" t="n">
        <v>0</v>
      </c>
      <c r="V281" s="6">
        <f>$T281*U281</f>
        <v/>
      </c>
      <c r="W281" s="7" t="n">
        <v>0</v>
      </c>
      <c r="X281" s="6">
        <f>$T281*W281</f>
        <v/>
      </c>
      <c r="Y281" s="7" t="n">
        <v>0</v>
      </c>
      <c r="Z281" s="6">
        <f>$T281*Y281</f>
        <v/>
      </c>
      <c r="AA281" s="7" t="n">
        <v>0</v>
      </c>
      <c r="AB281" s="6">
        <f>$T281*AA281</f>
        <v/>
      </c>
      <c r="AC281" s="7" t="n">
        <v>0</v>
      </c>
      <c r="AD281" s="6">
        <f>$T281*AC281</f>
        <v/>
      </c>
      <c r="AE281" s="7" t="n">
        <v>0</v>
      </c>
      <c r="AF281" s="6">
        <f>$T281*AE281</f>
        <v/>
      </c>
      <c r="AG281" s="7" t="n">
        <v>0</v>
      </c>
      <c r="AH281" s="6">
        <f>$T281*AG281</f>
        <v/>
      </c>
      <c r="AI281" s="7">
        <f>U281+W281+Y281+AA281+AC281+AE281+AG281</f>
        <v/>
      </c>
      <c r="AJ281" s="6">
        <f>V281+X281+Z281+AB281+AD281+AF281+AH281</f>
        <v/>
      </c>
    </row>
    <row r="282" ht="60" customHeight="1" s="35">
      <c r="A282" s="3" t="inlineStr">
        <is>
          <t>LOM251.OC.EEA.PA02.I1500.SA000.0010</t>
        </is>
      </c>
      <c r="B282" s="4" t="inlineStr">
        <is>
          <t>2/2</t>
        </is>
      </c>
      <c r="C282" s="3" t="inlineStr">
        <is>
          <t>IMPIANTO MECCANICO</t>
        </is>
      </c>
      <c r="D282" s="4" t="inlineStr">
        <is>
          <t>SPECIALE</t>
        </is>
      </c>
      <c r="E282" s="4" t="inlineStr">
        <is>
          <t>MECCANICHE SPECIALI</t>
        </is>
      </c>
      <c r="F282" s="3" t="inlineStr">
        <is>
          <t>2_CME_TOTALE MECCANICI RADIOFARMACIA PAVIA.PDF</t>
        </is>
      </c>
      <c r="G282" s="4" t="inlineStr">
        <is>
          <t>34/34</t>
        </is>
      </c>
      <c r="H282" s="3" t="inlineStr">
        <is>
          <t>40 - IMPIANTISTICO</t>
        </is>
      </c>
      <c r="I282" s="3" t="inlineStr">
        <is>
          <t>CENTRALE</t>
        </is>
      </c>
      <c r="J282" s="3" t="inlineStr">
        <is>
          <t>IMPIANTO HVAC</t>
        </is>
      </c>
      <c r="K282" s="3" t="inlineStr">
        <is>
          <t xml:space="preserve">OPERA: LASTRA, DI FINITURA DI LEGA ALLUMINIO GENERICO; GEOMETRIA: LAMIERINO; FUNZIONE: COIBENTAZIONE; IMPIEGO: CONDOTTO; SPESSORE [MM] = 0,8. </t>
        </is>
      </c>
      <c r="L282" s="3" t="inlineStr">
        <is>
          <t>OPERA: LASTRA, DI FINITURA DI LEGA ALLUMINIO GENERICO; GEOMETRIA: LAMIERINO; FUNZIONE: COIBENTAZIONE; IMPIEGO: CONDOTTO; SPESSORE [MM] = 0,8. 
LAVORO: POSA. OP LASTRA, DI FINITURA DI LEGA ALLUMINIO GENERICO; GEOMETRIA: LAMIERINO; FUNZIONE: COIBENTAZIONE; IMPIEGO: CONDOTTO; SPESSORE [MM] = 0,8. 
RM LASTRA DI FINITURA DI LEGA ALLUMINIO GENERICO; GEOMETRIA: LAMIERINO; FUNZIONE: COIBENTAZIONE; IMPIEGO: CONDOTTO; SPESSORE [MM] = 0,8 
LV POSA.</t>
        </is>
      </c>
      <c r="M282" s="4" t="inlineStr">
        <is>
          <t>M²</t>
        </is>
      </c>
      <c r="N282" s="5" t="n">
        <v>168</v>
      </c>
      <c r="O282" s="6" t="n">
        <v>37.95</v>
      </c>
      <c r="P282" s="6" t="n">
        <v>6375.6</v>
      </c>
      <c r="Q282" s="5" t="n"/>
      <c r="R282" s="6" t="n"/>
      <c r="S282" s="6">
        <f>IF(AND(Q282&lt;&gt;"",R282&lt;&gt;""),Q282*R282,"")</f>
        <v/>
      </c>
      <c r="T282" s="6">
        <f>IF(S282="",P282,S282)</f>
        <v/>
      </c>
      <c r="U282" s="7" t="n">
        <v>0</v>
      </c>
      <c r="V282" s="6">
        <f>$T282*U282</f>
        <v/>
      </c>
      <c r="W282" s="7" t="n">
        <v>0</v>
      </c>
      <c r="X282" s="6">
        <f>$T282*W282</f>
        <v/>
      </c>
      <c r="Y282" s="7" t="n">
        <v>0</v>
      </c>
      <c r="Z282" s="6">
        <f>$T282*Y282</f>
        <v/>
      </c>
      <c r="AA282" s="7" t="n">
        <v>0</v>
      </c>
      <c r="AB282" s="6">
        <f>$T282*AA282</f>
        <v/>
      </c>
      <c r="AC282" s="7" t="n">
        <v>0</v>
      </c>
      <c r="AD282" s="6">
        <f>$T282*AC282</f>
        <v/>
      </c>
      <c r="AE282" s="7" t="n">
        <v>0</v>
      </c>
      <c r="AF282" s="6">
        <f>$T282*AE282</f>
        <v/>
      </c>
      <c r="AG282" s="7" t="n">
        <v>0</v>
      </c>
      <c r="AH282" s="6">
        <f>$T282*AG282</f>
        <v/>
      </c>
      <c r="AI282" s="7">
        <f>U282+W282+Y282+AA282+AC282+AE282+AG282</f>
        <v/>
      </c>
      <c r="AJ282" s="6">
        <f>V282+X282+Z282+AB282+AD282+AF282+AH282</f>
        <v/>
      </c>
    </row>
    <row r="283" ht="60" customHeight="1" s="35">
      <c r="A283" s="3" t="inlineStr">
        <is>
          <t>LOM251.OC.EEA.PA02.I9762.SB030.0530</t>
        </is>
      </c>
      <c r="B283" s="4" t="inlineStr">
        <is>
          <t>1/1</t>
        </is>
      </c>
      <c r="C283" s="3" t="inlineStr">
        <is>
          <t>IMPIANTO MECCANICO</t>
        </is>
      </c>
      <c r="D283" s="4" t="inlineStr">
        <is>
          <t>SPECIALE</t>
        </is>
      </c>
      <c r="E283" s="4" t="inlineStr">
        <is>
          <t>MECCANICHE SPECIALI</t>
        </is>
      </c>
      <c r="F283" s="3" t="inlineStr">
        <is>
          <t>2_CME_TOTALE MECCANICI RADIOFARMACIA PAVIA.PDF</t>
        </is>
      </c>
      <c r="G283" s="4" t="inlineStr">
        <is>
          <t>35/35</t>
        </is>
      </c>
      <c r="H283" s="3" t="inlineStr">
        <is>
          <t>40 - IMPIANTISTICO</t>
        </is>
      </c>
      <c r="I283" s="3" t="inlineStr">
        <is>
          <t>CENTRALE</t>
        </is>
      </c>
      <c r="J283" s="3" t="inlineStr">
        <is>
          <t>IMPIANTO HVAC</t>
        </is>
      </c>
      <c r="K283" s="3" t="inlineStr">
        <is>
          <t>OPERA: VALVOLA, A COMANDO MANUALE A LEVA DI LEGA FERROSA GHISA GENERICO; GEOMETRIA: TIPO WAFER | TIPO SEMILUG | A FARFALLA; DIAMETRO NOMINALE (Ø) [MM] = 100; PRESSIONE NOMINALE [BAR] = 16. INCLUSO: GU</t>
        </is>
      </c>
      <c r="L283" s="3" t="inlineStr">
        <is>
          <t>OPERA: VALVOLA, A COMANDO MANUALE A LEVA DI LEGA FERROSA GHISA GENERICO; GEOMETRIA: TIPO WAFER | TIPO SEMILUG | A FARFALLA; DIAMETRO NOMINALE (Ø) [MM] = 100; PRESSIONE NOMINALE [BAR] = 16. INCLUSO: GUARNIZIONE DI GOMMA EPDM; FARFALLA DI LEGA FERROSA GHISA SFEROIDALE CON FINITURA DI PLASTICA POLIAMMIDE - NYLON (PA) (RILSAN). 
LAVORO: POSA. 
SPECIFICHE TECNICHE: VALVOLA CON: CORPO DI LEGA FERROSA GHISA SFEROIDALE, STELO DI LEGA FERROSA ACCIAIO INOX, LEVA DI LEGA ALLUMINIO GENERICO. OP VALVOLA, A COMANDO MANUALE A LEVA DI LEGA FERROSA GHISA GENERICO; GEOMETRIA: TIPO WAFER | TIPO SEMILUG | A FARFALLA; DIAMETRO NOMINALE (Ø) [MM] = 100; PRESSIONE NOMINALE [BAR] = 16. INCLUSO: GUARNIZIONE DI GOMMA EPDM; FARFALLA DI LEGA FERROSA GHISA SFEROIDALE CON FINITURA DI PLASTICA POLIAMMIDE - NYLON (PA) (RILSAN). 
SPECIFICHE TECNICHE: VALVOLA CON: CORPO DI LEGA FERROSA GHISA SFEROIDALE, STELO DI LEGA FERROSA ACCIAIO INOX, LEVA DI LEGA ALLUMINIO GENERICO. 
RM VALVOLA A COMANDO MANUALE A LEVA DI LEGA FERROSA GHISA GENERICO; GEOMETRIA: TIPO WAFER | TIPO SEMILUG | A FARFALLA; DIAMETRO NOMINALE (Ø) [MM] = 100; PRESSIONE NOMINALE [BAR] = 16. INCLUSO: GUARNIZIONE DI GOMMA EPDM; FARFALLA DI LEGA FERROSA GHISA SFEROIDALE CON FINITURA DI PLASTICA POLIAMMIDE - NYLON (PA) (RILSAN) 
SPECIFICHE TECNICHE: VALVOLA CON: CORPO DI LEGA FERROSA GHISA SFEROIDALE, STELO DI LEGA FERROSA ACCIAIO INOX, LEVA DI LEGA ALLUMINIO GENERICO 
LV POSA.</t>
        </is>
      </c>
      <c r="M283" s="4" t="inlineStr">
        <is>
          <t>CAD</t>
        </is>
      </c>
      <c r="N283" s="5" t="n">
        <v>25</v>
      </c>
      <c r="O283" s="6" t="n">
        <v>139.93</v>
      </c>
      <c r="P283" s="6" t="n">
        <v>3498.25</v>
      </c>
      <c r="Q283" s="5" t="n"/>
      <c r="R283" s="6" t="n"/>
      <c r="S283" s="6">
        <f>IF(AND(Q283&lt;&gt;"",R283&lt;&gt;""),Q283*R283,"")</f>
        <v/>
      </c>
      <c r="T283" s="6">
        <f>IF(S283="",P283,S283)</f>
        <v/>
      </c>
      <c r="U283" s="7" t="n">
        <v>0</v>
      </c>
      <c r="V283" s="6">
        <f>$T283*U283</f>
        <v/>
      </c>
      <c r="W283" s="7" t="n">
        <v>0.4</v>
      </c>
      <c r="X283" s="6">
        <f>$T283*W283</f>
        <v/>
      </c>
      <c r="Y283" s="7" t="n">
        <v>0</v>
      </c>
      <c r="Z283" s="6">
        <f>$T283*Y283</f>
        <v/>
      </c>
      <c r="AA283" s="7" t="n">
        <v>0</v>
      </c>
      <c r="AB283" s="6">
        <f>$T283*AA283</f>
        <v/>
      </c>
      <c r="AC283" s="7" t="n">
        <v>0</v>
      </c>
      <c r="AD283" s="6">
        <f>$T283*AC283</f>
        <v/>
      </c>
      <c r="AE283" s="7" t="n">
        <v>0</v>
      </c>
      <c r="AF283" s="6">
        <f>$T283*AE283</f>
        <v/>
      </c>
      <c r="AG283" s="7" t="n">
        <v>0</v>
      </c>
      <c r="AH283" s="6">
        <f>$T283*AG283</f>
        <v/>
      </c>
      <c r="AI283" s="7">
        <f>U283+W283+Y283+AA283+AC283+AE283+AG283</f>
        <v/>
      </c>
      <c r="AJ283" s="6">
        <f>V283+X283+Z283+AB283+AD283+AF283+AH283</f>
        <v/>
      </c>
    </row>
    <row r="284" ht="60" customHeight="1" s="35">
      <c r="A284" s="3" t="inlineStr">
        <is>
          <t>LOM251.OC.EEA.PA02.I9762.SB030.0525</t>
        </is>
      </c>
      <c r="B284" s="4" t="inlineStr">
        <is>
          <t>1/1</t>
        </is>
      </c>
      <c r="C284" s="3" t="inlineStr">
        <is>
          <t>IMPIANTO MECCANICO</t>
        </is>
      </c>
      <c r="D284" s="4" t="inlineStr">
        <is>
          <t>SPECIALE</t>
        </is>
      </c>
      <c r="E284" s="4" t="inlineStr">
        <is>
          <t>MECCANICHE SPECIALI</t>
        </is>
      </c>
      <c r="F284" s="3" t="inlineStr">
        <is>
          <t>2_CME_TOTALE MECCANICI RADIOFARMACIA PAVIA.PDF</t>
        </is>
      </c>
      <c r="G284" s="4" t="inlineStr">
        <is>
          <t>36/36</t>
        </is>
      </c>
      <c r="H284" s="3" t="inlineStr">
        <is>
          <t>40 - IMPIANTISTICO</t>
        </is>
      </c>
      <c r="I284" s="3" t="inlineStr">
        <is>
          <t>CENTRALE</t>
        </is>
      </c>
      <c r="J284" s="3" t="inlineStr">
        <is>
          <t>IMPIANTO HVAC</t>
        </is>
      </c>
      <c r="K284" s="3" t="inlineStr">
        <is>
          <t>OPERA: VALVOLA, A COMANDO MANUALE A LEVA DI LEGA FERROSA GHISA GENERICO; GEOMETRIA: TIPO WAFER | TIPO SEMILUG | A FARFALLA; DIAMETRO NOMINALE (Ø) [MM] = 80; PRESSIONE NOMINALE [BAR] = 16. INCLUSO: GUA</t>
        </is>
      </c>
      <c r="L284" s="3" t="inlineStr">
        <is>
          <t>OPERA: VALVOLA, A COMANDO MANUALE A LEVA DI LEGA FERROSA GHISA GENERICO; GEOMETRIA: TIPO WAFER | TIPO SEMILUG | A FARFALLA; DIAMETRO NOMINALE (Ø) [MM] = 80; PRESSIONE NOMINALE [BAR] = 16. INCLUSO: GUARNIZIONE DI GOMMA EPDM; FARFALLA DI LEGA FERROSA GHISA SFEROIDALE CON FINITURA DI PLASTICA POLIAMMIDE - NYLON (PA) (RILSAN). 
LAVORO: POSA. 
SPECIFICHE TECNICHE: VALVOLA CON: CORPO DI LEGA FERROSA GHISA SFEROIDALE, STELO DI LEGA FERROSA ACCIAIO INOX, LEVA DI LEGA ALLUMINIO GENERICO. OP VALVOLA, A COMANDO MANUALE A LEVA DI LEGA FERROSA GHISA GENERICO; GEOMETRIA: TIPO WAFER | TIPO SEMILUG | A FARFALLA; DIAMETRO NOMINALE (Ø) [MM] = 80; PRESSIONE NOMINALE [BAR] = 16. INCLUSO: GUARNIZIONE DI GOMMA EPDM; FARFALLA DI LEGA FERROSA GHISA SFEROIDALE CON FINITURA DI PLASTICA POLIAMMIDE - NYLON (PA) (RILSAN). 
SPECIFICHE TECNICHE: VALVOLA CON: CORPO DI LEGA FERROSA GHISA SFEROIDALE, STELO DI LEGA FERROSA ACCIAIO INOX, LEVA DI LEGA ALLUMINIO GENERICO. 
RM VALVOLA A COMANDO MANUALE A LEVA DI LEGA FERROSA GHISA GENERICO; GEOMETRIA: TIPO WAFER | TIPO SEMILUG | A FARFALLA; DIAMETRO NOMINALE (Ø) [MM] = 80; PRESSIONE NOMINALE [BAR] = 16. INCLUSO: GUARNIZIONE DI GOMMA EPDM; FARFALLA DI LEGA FERROSA GHISA SFEROIDALE CON FINITURA DI PLASTICA POLIAMMIDE - NYLON (PA) (RILSAN) 
SPECIFICHE TECNICHE: VALVOLA CON: CORPO DI LEGA FERROSA GHISA SFEROIDALE, STELO DI LEGA FERROSA ACCIAIO INOX, LEVA DI LEGA ALLUMINIO GENERICO 
LV POSA.</t>
        </is>
      </c>
      <c r="M284" s="4" t="inlineStr">
        <is>
          <t>CAD</t>
        </is>
      </c>
      <c r="N284" s="5" t="n">
        <v>14</v>
      </c>
      <c r="O284" s="6" t="n">
        <v>124.52</v>
      </c>
      <c r="P284" s="6" t="n">
        <v>1743.28</v>
      </c>
      <c r="Q284" s="5" t="n"/>
      <c r="R284" s="6" t="n"/>
      <c r="S284" s="6">
        <f>IF(AND(Q284&lt;&gt;"",R284&lt;&gt;""),Q284*R284,"")</f>
        <v/>
      </c>
      <c r="T284" s="6">
        <f>IF(S284="",P284,S284)</f>
        <v/>
      </c>
      <c r="U284" s="7" t="n">
        <v>0</v>
      </c>
      <c r="V284" s="6">
        <f>$T284*U284</f>
        <v/>
      </c>
      <c r="W284" s="7" t="n">
        <v>0.4</v>
      </c>
      <c r="X284" s="6">
        <f>$T284*W284</f>
        <v/>
      </c>
      <c r="Y284" s="7" t="n">
        <v>0</v>
      </c>
      <c r="Z284" s="6">
        <f>$T284*Y284</f>
        <v/>
      </c>
      <c r="AA284" s="7" t="n">
        <v>0</v>
      </c>
      <c r="AB284" s="6">
        <f>$T284*AA284</f>
        <v/>
      </c>
      <c r="AC284" s="7" t="n">
        <v>0</v>
      </c>
      <c r="AD284" s="6">
        <f>$T284*AC284</f>
        <v/>
      </c>
      <c r="AE284" s="7" t="n">
        <v>0</v>
      </c>
      <c r="AF284" s="6">
        <f>$T284*AE284</f>
        <v/>
      </c>
      <c r="AG284" s="7" t="n">
        <v>0</v>
      </c>
      <c r="AH284" s="6">
        <f>$T284*AG284</f>
        <v/>
      </c>
      <c r="AI284" s="7">
        <f>U284+W284+Y284+AA284+AC284+AE284+AG284</f>
        <v/>
      </c>
      <c r="AJ284" s="6">
        <f>V284+X284+Z284+AB284+AD284+AF284+AH284</f>
        <v/>
      </c>
    </row>
    <row r="285" ht="60" customHeight="1" s="35">
      <c r="A285" s="3" t="inlineStr">
        <is>
          <t>LOM251.OC.EEA.PA02.I9762.SB030.0520</t>
        </is>
      </c>
      <c r="B285" s="4" t="inlineStr">
        <is>
          <t>1/1</t>
        </is>
      </c>
      <c r="C285" s="3" t="inlineStr">
        <is>
          <t>IMPIANTO MECCANICO</t>
        </is>
      </c>
      <c r="D285" s="4" t="inlineStr">
        <is>
          <t>SPECIALE</t>
        </is>
      </c>
      <c r="E285" s="4" t="inlineStr">
        <is>
          <t>MECCANICHE SPECIALI</t>
        </is>
      </c>
      <c r="F285" s="3" t="inlineStr">
        <is>
          <t>2_CME_TOTALE MECCANICI RADIOFARMACIA PAVIA.PDF</t>
        </is>
      </c>
      <c r="G285" s="4" t="inlineStr">
        <is>
          <t>37/37</t>
        </is>
      </c>
      <c r="H285" s="3" t="inlineStr">
        <is>
          <t>40 - IMPIANTISTICO</t>
        </is>
      </c>
      <c r="I285" s="3" t="inlineStr">
        <is>
          <t>CENTRALE</t>
        </is>
      </c>
      <c r="J285" s="3" t="inlineStr">
        <is>
          <t>IMPIANTO HVAC</t>
        </is>
      </c>
      <c r="K285" s="3" t="inlineStr">
        <is>
          <t>OPERA: VALVOLA, A COMANDO MANUALE A LEVA DI LEGA FERROSA GHISA GENERICO; GEOMETRIA: TIPO WAFER | TIPO SEMILUG | A FARFALLA; DIAMETRO NOMINALE (Ø) [MM] = 65; PRESSIONE NOMINALE [BAR] = 16. INCLUSO: GUA</t>
        </is>
      </c>
      <c r="L285" s="3" t="inlineStr">
        <is>
          <t>OPERA: VALVOLA, A COMANDO MANUALE A LEVA DI LEGA FERROSA GHISA GENERICO; GEOMETRIA: TIPO WAFER | TIPO SEMILUG | A FARFALLA; DIAMETRO NOMINALE (Ø) [MM] = 65; PRESSIONE NOMINALE [BAR] = 16. INCLUSO: GUARNIZIONE DI GOMMA EPDM; FARFALLA DI LEGA FERROSA GHISA SFEROIDALE CON FINITURA DI PLASTICA POLIAMMIDE - NYLON (PA) (RILSAN). 
LAVORO: POSA. 
SPECIFICHE TECNICHE: VALVOLA CON: CORPO DI LEGA FERROSA GHISA SFEROIDALE, STELO DI LEGA FERROSA ACCIAIO INOX, LEVA DI LEGA ALLUMINIO GENERICO. OP VALVOLA, A COMANDO MANUALE A LEVA DI LEGA FERROSA GHISA GENERICO; GEOMETRIA: TIPO WAFER | TIPO SEMILUG | A FARFALLA; DIAMETRO NOMINALE (Ø) [MM] = 65; PRESSIONE NOMINALE [BAR] = 16. INCLUSO: GUARNIZIONE DI GOMMA EPDM; FARFALLA DI LEGA FERROSA GHISA SFEROIDALE CON FINITURA DI PLASTICA POLIAMMIDE - NYLON (PA) (RILSAN). 
SPECIFICHE TECNICHE: VALVOLA CON: CORPO DI LEGA FERROSA GHISA SFEROIDALE, STELO DI LEGA FERROSA ACCIAIO INOX, LEVA DI LEGA ALLUMINIO GENERICO. 
RM VALVOLA A COMANDO MANUALE A LEVA DI LEGA FERROSA GHISA GENERICO; GEOMETRIA: TIPO WAFER | TIPO SEMILUG | A FARFALLA; DIAMETRO NOMINALE (Ø) [MM] = 65; PRESSIONE NOMINALE [BAR] = 16. INCLUSO: GUARNIZIONE DI GOMMA EPDM; FARFALLA DI LEGA FERROSA GHISA SFEROIDALE CON FINITURA DI PLASTICA POLIAMMIDE - NYLON (PA) (RILSAN) 
SPECIFICHE TECNICHE: VALVOLA CON: CORPO DI LEGA FERROSA GHISA SFEROIDALE, STELO DI LEGA FERROSA ACCIAIO INOX, LEVA DI LEGA ALLUMINIO GENERICO 
LV POSA.</t>
        </is>
      </c>
      <c r="M285" s="4" t="inlineStr">
        <is>
          <t>CAD</t>
        </is>
      </c>
      <c r="N285" s="5" t="n">
        <v>19</v>
      </c>
      <c r="O285" s="6" t="n">
        <v>110.29</v>
      </c>
      <c r="P285" s="6" t="n">
        <v>2095.51</v>
      </c>
      <c r="Q285" s="5" t="n"/>
      <c r="R285" s="6" t="n"/>
      <c r="S285" s="6">
        <f>IF(AND(Q285&lt;&gt;"",R285&lt;&gt;""),Q285*R285,"")</f>
        <v/>
      </c>
      <c r="T285" s="6">
        <f>IF(S285="",P285,S285)</f>
        <v/>
      </c>
      <c r="U285" s="7" t="n">
        <v>0</v>
      </c>
      <c r="V285" s="6">
        <f>$T285*U285</f>
        <v/>
      </c>
      <c r="W285" s="7" t="n">
        <v>0.4</v>
      </c>
      <c r="X285" s="6">
        <f>$T285*W285</f>
        <v/>
      </c>
      <c r="Y285" s="7" t="n">
        <v>0</v>
      </c>
      <c r="Z285" s="6">
        <f>$T285*Y285</f>
        <v/>
      </c>
      <c r="AA285" s="7" t="n">
        <v>0</v>
      </c>
      <c r="AB285" s="6">
        <f>$T285*AA285</f>
        <v/>
      </c>
      <c r="AC285" s="7" t="n">
        <v>0</v>
      </c>
      <c r="AD285" s="6">
        <f>$T285*AC285</f>
        <v/>
      </c>
      <c r="AE285" s="7" t="n">
        <v>0</v>
      </c>
      <c r="AF285" s="6">
        <f>$T285*AE285</f>
        <v/>
      </c>
      <c r="AG285" s="7" t="n">
        <v>0</v>
      </c>
      <c r="AH285" s="6">
        <f>$T285*AG285</f>
        <v/>
      </c>
      <c r="AI285" s="7">
        <f>U285+W285+Y285+AA285+AC285+AE285+AG285</f>
        <v/>
      </c>
      <c r="AJ285" s="6">
        <f>V285+X285+Z285+AB285+AD285+AF285+AH285</f>
        <v/>
      </c>
    </row>
    <row r="286" ht="60" customHeight="1" s="35">
      <c r="A286" s="3" t="inlineStr">
        <is>
          <t>LOM251.OC.EEA.PA02.I9762.ZB015.0090</t>
        </is>
      </c>
      <c r="B286" s="4" t="inlineStr">
        <is>
          <t>1/1</t>
        </is>
      </c>
      <c r="C286" s="3" t="inlineStr">
        <is>
          <t>IMPIANTO MECCANICO</t>
        </is>
      </c>
      <c r="D286" s="4" t="inlineStr">
        <is>
          <t>SPECIALE</t>
        </is>
      </c>
      <c r="E286" s="4" t="inlineStr">
        <is>
          <t>MECCANICHE SPECIALI</t>
        </is>
      </c>
      <c r="F286" s="3" t="inlineStr">
        <is>
          <t>2_CME_TOTALE MECCANICI RADIOFARMACIA PAVIA.PDF</t>
        </is>
      </c>
      <c r="G286" s="4" t="inlineStr">
        <is>
          <t>38/38</t>
        </is>
      </c>
      <c r="H286" s="3" t="inlineStr">
        <is>
          <t>40 - IMPIANTISTICO</t>
        </is>
      </c>
      <c r="I286" s="3" t="inlineStr">
        <is>
          <t>CENTRALE</t>
        </is>
      </c>
      <c r="J286" s="3" t="inlineStr">
        <is>
          <t>IMPIANTO HVAC</t>
        </is>
      </c>
      <c r="K286" s="3" t="inlineStr">
        <is>
          <t>OPERA: VALVOLA, A COMANDO MANUALE A LEVA DI MATERIALE MIX ACCIAIO AL CARBONIO-ACCIAIO INOX; GEOMETRIA: A CORPO PIATTO | TIPO WAFER | A PASSAGGIO TOTALE | A SFERA; DIAMETRO NOMINALE (Ø) [MM] = 15; PRES</t>
        </is>
      </c>
      <c r="L286" s="3" t="inlineStr">
        <is>
          <t>OPERA: VALVOLA, A COMANDO MANUALE A LEVA DI MATERIALE MIX ACCIAIO AL CARBONIO-ACCIAIO INOX; GEOMETRIA: A CORPO PIATTO | TIPO WAFER | A PASSAGGIO TOTALE | A SFERA; DIAMETRO NOMINALE (Ø) [MM] = 15; PRESSIONE NOMINALE [BAR] = 16. INCLUSO: GHIERA DI LEGA FERROSA ACCIAIO AL CARBONIO. 
LAVORO: POSA. 
SPECIFICHE TECNICHE: VALVOLA CON: CORPO DI LEGA FERROSA ACCIAIO AL CARBONIO, STELO DI LEGA FERROSA ACCIAIO INOX, SFERA DI LEGA FERROSA ACCIAIO INOX; IMPIEGO: VALVOLA A SFERA, ANELLO SEDE VALVOLA DI PLASTICA POLITETRAFLUOROETILENE (PTFE), LEVA DI MANOVRA DI LEGA FERROSA ACCIAIO AL CARBONIO CON FINITURA DI GOMMA GENERICA. OP VALVOLA, A COMANDO MANUALE A LEVA DI MATERIALE MIX ACCIAIO AL CARBONIO-ACCIAIO INOX; GEOMETRIA: A CORPO PIATTO | TIPO WAFER | A PASSAGGIO TOTALE | A SFERA; DIAMETRO NOMINALE (Ø) [MM] = 15; PRESSIONE NOMINALE [BAR] = 16. INCLUSO: GHIERA DI LEGA FERROSA ACCIAIO AL CARBONIO. 
SPECIFICHE TECNICHE: VALVOLA CON: CORPO DI LEGA FERROSA ACCIAIO AL CARBONIO, STELO DI LEGA FERROSA ACCIAIO INOX, SFERA DI LEGA FERROSA ACCIAIO INOX; IMPIEGO: VALVOLA A SFERA, ANELLO SEDE VALVOLA DI PLASTICA POLITETRAFLUOROETILENE (PTFE), LEVA DI MANOVRA DI LEGA FERROSA ACCIAIO AL CARBONIO CON FINITURA DI GOMMA GENERICA. 
RM VALVOLA A COMANDO MANUALE A LEVA DI MATERIALE MIX ACCIAIO AL CARBONIO-ACCIAIO INOX; GEOMETRIA: A CORPO PIATTO | TIPO WAFER | A PASSAGGIO TOTALE | A SFERA; DIAMETRO NOMINALE (Ø) [MM] = 15; PRESSIONE NOMINALE [BAR] = 16. INCLUSO: GHIERA DI LEGA FERROSA ACCIAIO AL CARBONIO 
SPECIFICHE TECNICHE: VALVOLA CON: CORPO DI LEGA FERROSA ACCIAIO AL CARBONIO, STELO DI LEGA FERROSA ACCIAIO INOX, SFERA DI LEGA FERROSA ACCIAIO INOX; IMPIEGO: VALVOLA A SFERA, ANELLO SEDE VALVOLA DI PLASTICA POLITETRAFLUOROETILENE (PTFE), LEVA DI MANOVRA DI LEGA FERROSA ACCIAIO AL CARBONIO CON FINITURA DI GOMMA GENERICA 
LV POSA.</t>
        </is>
      </c>
      <c r="M286" s="4" t="inlineStr">
        <is>
          <t>CAD</t>
        </is>
      </c>
      <c r="N286" s="5" t="n">
        <v>60</v>
      </c>
      <c r="O286" s="6" t="n">
        <v>26.09</v>
      </c>
      <c r="P286" s="6" t="n">
        <v>1565.4</v>
      </c>
      <c r="Q286" s="5" t="n"/>
      <c r="R286" s="6" t="n"/>
      <c r="S286" s="6">
        <f>IF(AND(Q286&lt;&gt;"",R286&lt;&gt;""),Q286*R286,"")</f>
        <v/>
      </c>
      <c r="T286" s="6">
        <f>IF(S286="",P286,S286)</f>
        <v/>
      </c>
      <c r="U286" s="7" t="n">
        <v>0</v>
      </c>
      <c r="V286" s="6">
        <f>$T286*U286</f>
        <v/>
      </c>
      <c r="W286" s="7" t="n">
        <v>0.4</v>
      </c>
      <c r="X286" s="6">
        <f>$T286*W286</f>
        <v/>
      </c>
      <c r="Y286" s="7" t="n">
        <v>0</v>
      </c>
      <c r="Z286" s="6">
        <f>$T286*Y286</f>
        <v/>
      </c>
      <c r="AA286" s="7" t="n">
        <v>0</v>
      </c>
      <c r="AB286" s="6">
        <f>$T286*AA286</f>
        <v/>
      </c>
      <c r="AC286" s="7" t="n">
        <v>0</v>
      </c>
      <c r="AD286" s="6">
        <f>$T286*AC286</f>
        <v/>
      </c>
      <c r="AE286" s="7" t="n">
        <v>0</v>
      </c>
      <c r="AF286" s="6">
        <f>$T286*AE286</f>
        <v/>
      </c>
      <c r="AG286" s="7" t="n">
        <v>0</v>
      </c>
      <c r="AH286" s="6">
        <f>$T286*AG286</f>
        <v/>
      </c>
      <c r="AI286" s="7">
        <f>U286+W286+Y286+AA286+AC286+AE286+AG286</f>
        <v/>
      </c>
      <c r="AJ286" s="6">
        <f>V286+X286+Z286+AB286+AD286+AF286+AH286</f>
        <v/>
      </c>
    </row>
    <row r="287" ht="60" customHeight="1" s="35">
      <c r="A287" s="3" t="inlineStr">
        <is>
          <t>LOM251.OC.EEA.PA02.I9762.ZB015.0095</t>
        </is>
      </c>
      <c r="B287" s="4" t="inlineStr">
        <is>
          <t>1/1</t>
        </is>
      </c>
      <c r="C287" s="3" t="inlineStr">
        <is>
          <t>IMPIANTO MECCANICO</t>
        </is>
      </c>
      <c r="D287" s="4" t="inlineStr">
        <is>
          <t>SPECIALE</t>
        </is>
      </c>
      <c r="E287" s="4" t="inlineStr">
        <is>
          <t>MECCANICHE SPECIALI</t>
        </is>
      </c>
      <c r="F287" s="3" t="inlineStr">
        <is>
          <t>2_CME_TOTALE MECCANICI RADIOFARMACIA PAVIA.PDF</t>
        </is>
      </c>
      <c r="G287" s="4" t="inlineStr">
        <is>
          <t>39/39</t>
        </is>
      </c>
      <c r="H287" s="3" t="inlineStr">
        <is>
          <t>40 - IMPIANTISTICO</t>
        </is>
      </c>
      <c r="I287" s="3" t="inlineStr">
        <is>
          <t>CENTRALE</t>
        </is>
      </c>
      <c r="J287" s="3" t="inlineStr">
        <is>
          <t>IMPIANTO HVAC</t>
        </is>
      </c>
      <c r="K287" s="3" t="inlineStr">
        <is>
          <t>OPERA: VALVOLA, A COMANDO MANUALE A LEVA DI MATERIALE MIX ACCIAIO AL CARBONIO-ACCIAIO INOX; GEOMETRIA: A CORPO PIATTO | TIPO WAFER | A PASSAGGIO TOTALE | A SFERA; DIAMETRO NOMINALE (Ø) [MM] = 20; PRES</t>
        </is>
      </c>
      <c r="L287" s="3" t="inlineStr">
        <is>
          <t>OPERA: VALVOLA, A COMANDO MANUALE A LEVA DI MATERIALE MIX ACCIAIO AL CARBONIO-ACCIAIO INOX; GEOMETRIA: A CORPO PIATTO | TIPO WAFER | A PASSAGGIO TOTALE | A SFERA; DIAMETRO NOMINALE (Ø) [MM] = 20; PRESSIONE NOMINALE [BAR] = 16. INCLUSO: GHIERA DI LEGA FERROSA ACCIAIO AL CARBONIO. 
LAVORO: POSA. 
SPECIFICHE TECNICHE: VALVOLA CON: CORPO DI LEGA FERROSA ACCIAIO AL CARBONIO, STELO DI LEGA FERROSA ACCIAIO INOX, SFERA DI LEGA FERROSA ACCIAIO INOX; IMPIEGO: VALVOLA A SFERA, ANELLO SEDE VALVOLA DI PLASTICA POLITETRAFLUOROETILENE (PTFE), LEVA DI MANOVRA DI LEGA FERROSA ACCIAIO AL CARBONIO CON FINITURA DI GOMMA GENERICA. OP VALVOLA, A COMANDO MANUALE A LEVA DI MATERIALE MIX ACCIAIO AL CARBONIO-ACCIAIO INOX; GEOMETRIA: A CORPO PIATTO | TIPO WAFER | A PASSAGGIO TOTALE | A SFERA; DIAMETRO NOMINALE (Ø) [MM] = 20; PRESSIONE NOMINALE [BAR] = 16. INCLUSO: GHIERA DI LEGA FERROSA ACCIAIO AL CARBONIO. 
SPECIFICHE TECNICHE: VALVOLA CON: CORPO DI LEGA FERROSA ACCIAIO AL CARBONIO, STELO DI LEGA FERROSA ACCIAIO INOX, SFERA DI LEGA FERROSA ACCIAIO INOX; IMPIEGO: VALVOLA A SFERA, ANELLO SEDE VALVOLA DI PLASTICA POLITETRAFLUOROETILENE (PTFE), LEVA DI MANOVRA DI LEGA FERROSA ACCIAIO AL CARBONIO CON FINITURA DI GOMMA GENERICA. 
RM VALVOLA A COMANDO MANUALE A LEVA DI MATERIALE MIX ACCIAIO AL CARBONIO-ACCIAIO INOX; GEOMETRIA: A CORPO PIATTO | TIPO WAFER | A PASSAGGIO TOTALE | A SFERA; DIAMETRO NOMINALE (Ø) [MM] = 20; PRESSIONE NOMINALE [BAR] = 16. INCLUSO: GHIERA DI LEGA FERROSA ACCIAIO AL CARBONIO 
SPECIFICHE TECNICHE: VALVOLA CON: CORPO DI LEGA FERROSA ACCIAIO AL CARBONIO, STELO DI LEGA FERROSA ACCIAIO INOX, SFERA DI LEGA FERROSA ACCIAIO INOX; IMPIEGO: VALVOLA A SFERA, ANELLO SEDE VALVOLA DI PLASTICA POLITETRAFLUOROETILENE (PTFE), LEVA DI MANOVRA DI LEGA FERROSA ACCIAIO AL CARBONIO CON FINITURA DI GOMMA GENERICA 
LV POSA.</t>
        </is>
      </c>
      <c r="M287" s="4" t="inlineStr">
        <is>
          <t>CAD</t>
        </is>
      </c>
      <c r="N287" s="5" t="n">
        <v>10</v>
      </c>
      <c r="O287" s="6" t="n">
        <v>27.64</v>
      </c>
      <c r="P287" s="6" t="n">
        <v>276.4</v>
      </c>
      <c r="Q287" s="5" t="n"/>
      <c r="R287" s="6" t="n"/>
      <c r="S287" s="6">
        <f>IF(AND(Q287&lt;&gt;"",R287&lt;&gt;""),Q287*R287,"")</f>
        <v/>
      </c>
      <c r="T287" s="6">
        <f>IF(S287="",P287,S287)</f>
        <v/>
      </c>
      <c r="U287" s="7" t="n">
        <v>0</v>
      </c>
      <c r="V287" s="6">
        <f>$T287*U287</f>
        <v/>
      </c>
      <c r="W287" s="7" t="n">
        <v>0.4</v>
      </c>
      <c r="X287" s="6">
        <f>$T287*W287</f>
        <v/>
      </c>
      <c r="Y287" s="7" t="n">
        <v>0</v>
      </c>
      <c r="Z287" s="6">
        <f>$T287*Y287</f>
        <v/>
      </c>
      <c r="AA287" s="7" t="n">
        <v>0</v>
      </c>
      <c r="AB287" s="6">
        <f>$T287*AA287</f>
        <v/>
      </c>
      <c r="AC287" s="7" t="n">
        <v>0</v>
      </c>
      <c r="AD287" s="6">
        <f>$T287*AC287</f>
        <v/>
      </c>
      <c r="AE287" s="7" t="n">
        <v>0</v>
      </c>
      <c r="AF287" s="6">
        <f>$T287*AE287</f>
        <v/>
      </c>
      <c r="AG287" s="7" t="n">
        <v>0</v>
      </c>
      <c r="AH287" s="6">
        <f>$T287*AG287</f>
        <v/>
      </c>
      <c r="AI287" s="7">
        <f>U287+W287+Y287+AA287+AC287+AE287+AG287</f>
        <v/>
      </c>
      <c r="AJ287" s="6">
        <f>V287+X287+Z287+AB287+AD287+AF287+AH287</f>
        <v/>
      </c>
    </row>
    <row r="288" ht="60" customHeight="1" s="35">
      <c r="A288" s="3" t="inlineStr">
        <is>
          <t>LOM251.OC.EEA.PA02.I9762.ZB015.0100</t>
        </is>
      </c>
      <c r="B288" s="4" t="inlineStr">
        <is>
          <t>1/1</t>
        </is>
      </c>
      <c r="C288" s="3" t="inlineStr">
        <is>
          <t>IMPIANTO MECCANICO</t>
        </is>
      </c>
      <c r="D288" s="4" t="inlineStr">
        <is>
          <t>SPECIALE</t>
        </is>
      </c>
      <c r="E288" s="4" t="inlineStr">
        <is>
          <t>MECCANICHE SPECIALI</t>
        </is>
      </c>
      <c r="F288" s="3" t="inlineStr">
        <is>
          <t>2_CME_TOTALE MECCANICI RADIOFARMACIA PAVIA.PDF</t>
        </is>
      </c>
      <c r="G288" s="4" t="inlineStr">
        <is>
          <t>40/40</t>
        </is>
      </c>
      <c r="H288" s="3" t="inlineStr">
        <is>
          <t>40 - IMPIANTISTICO</t>
        </is>
      </c>
      <c r="I288" s="3" t="inlineStr">
        <is>
          <t>CENTRALE</t>
        </is>
      </c>
      <c r="J288" s="3" t="inlineStr">
        <is>
          <t>IMPIANTO HVAC</t>
        </is>
      </c>
      <c r="K288" s="3" t="inlineStr">
        <is>
          <t>OPERA: VALVOLA, A COMANDO MANUALE A LEVA DI MATERIALE MIX ACCIAIO AL CARBONIO-ACCIAIO INOX; GEOMETRIA: A CORPO PIATTO | TIPO WAFER | A PASSAGGIO TOTALE | A SFERA; DIAMETRO NOMINALE (Ø) [MM] = 25; PRES</t>
        </is>
      </c>
      <c r="L288" s="3" t="inlineStr">
        <is>
          <t>OPERA: VALVOLA, A COMANDO MANUALE A LEVA DI MATERIALE MIX ACCIAIO AL CARBONIO-ACCIAIO INOX; GEOMETRIA: A CORPO PIATTO | TIPO WAFER | A PASSAGGIO TOTALE | A SFERA; DIAMETRO NOMINALE (Ø) [MM] = 25; PRESSIONE NOMINALE [BAR] = 16. INCLUSO: GHIERA DI LEGA FERROSA ACCIAIO AL CARBONIO. 
LAVORO: POSA. 
SPECIFICHE TECNICHE: VALVOLA CON: CORPO DI LEGA FERROSA ACCIAIO AL CARBONIO, STELO DI LEGA FERROSA ACCIAIO INOX, SFERA DI LEGA FERROSA ACCIAIO INOX; IMPIEGO: VALVOLA A SFERA, ANELLO SEDE VALVOLA DI PLASTICA POLITETRAFLUOROETILENE (PTFE), LEVA DI MANOVRA DI LEGA FERROSA ACCIAIO AL CARBONIO CON FINITURA DI GOMMA GENERICA. OP VALVOLA, A COMANDO MANUALE A LEVA DI MATERIALE MIX ACCIAIO AL CARBONIO-ACCIAIO INOX; GEOMETRIA: A CORPO PIATTO | TIPO WAFER | A PASSAGGIO TOTALE | A SFERA; DIAMETRO NOMINALE (Ø) [MM] = 25; PRESSIONE NOMINALE [BAR] = 16. INCLUSO: GHIERA DI LEGA FERROSA ACCIAIO AL CARBONIO. 
SPECIFICHE TECNICHE: VALVOLA CON: CORPO DI LEGA FERROSA ACCIAIO AL CARBONIO, STELO DI LEGA FERROSA ACCIAIO INOX, SFERA DI LEGA FERROSA ACCIAIO INOX; IMPIEGO: VALVOLA A SFERA, ANELLO SEDE VALVOLA DI PLASTICA POLITETRAFLUOROETILENE (PTFE), LEVA DI MANOVRA DI LEGA FERROSA ACCIAIO AL CARBONIO CON FINITURA DI GOMMA GENERICA. 
RM VALVOLA A COMANDO MANUALE A LEVA DI MATERIALE MIX ACCIAIO AL CARBONIO-ACCIAIO INOX; GEOMETRIA: A CORPO PIATTO | TIPO WAFER | A PASSAGGIO TOTALE | A SFERA; DIAMETRO NOMINALE (Ø) [MM] = 25; PRESSIONE NOMINALE [BAR] = 16. INCLUSO: GHIERA DI LEGA FERROSA ACCIAIO AL CARBONIO 
SPECIFICHE TECNICHE: VALVOLA CON: CORPO DI LEGA FERROSA ACCIAIO AL CARBONIO, STELO DI LEGA FERROSA ACCIAIO INOX, SFERA DI LEGA FERROSA ACCIAIO INOX; IMPIEGO: VALVOLA A SFERA, ANELLO SEDE VALVOLA DI PLASTICA POLITETRAFLUOROETILENE (PTFE), LEVA DI MANOVRA DI LEGA FERROSA ACCIAIO AL CARBONIO CON FINITURA DI GOMMA GENERICA 
LV POSA.</t>
        </is>
      </c>
      <c r="M288" s="4" t="inlineStr">
        <is>
          <t>CAD</t>
        </is>
      </c>
      <c r="N288" s="5" t="n">
        <v>20</v>
      </c>
      <c r="O288" s="6" t="n">
        <v>42.1</v>
      </c>
      <c r="P288" s="6" t="n">
        <v>842</v>
      </c>
      <c r="Q288" s="5" t="n"/>
      <c r="R288" s="6" t="n"/>
      <c r="S288" s="6">
        <f>IF(AND(Q288&lt;&gt;"",R288&lt;&gt;""),Q288*R288,"")</f>
        <v/>
      </c>
      <c r="T288" s="6">
        <f>IF(S288="",P288,S288)</f>
        <v/>
      </c>
      <c r="U288" s="7" t="n">
        <v>0</v>
      </c>
      <c r="V288" s="6">
        <f>$T288*U288</f>
        <v/>
      </c>
      <c r="W288" s="7" t="n">
        <v>0.4</v>
      </c>
      <c r="X288" s="6">
        <f>$T288*W288</f>
        <v/>
      </c>
      <c r="Y288" s="7" t="n">
        <v>0</v>
      </c>
      <c r="Z288" s="6">
        <f>$T288*Y288</f>
        <v/>
      </c>
      <c r="AA288" s="7" t="n">
        <v>0</v>
      </c>
      <c r="AB288" s="6">
        <f>$T288*AA288</f>
        <v/>
      </c>
      <c r="AC288" s="7" t="n">
        <v>0</v>
      </c>
      <c r="AD288" s="6">
        <f>$T288*AC288</f>
        <v/>
      </c>
      <c r="AE288" s="7" t="n">
        <v>0</v>
      </c>
      <c r="AF288" s="6">
        <f>$T288*AE288</f>
        <v/>
      </c>
      <c r="AG288" s="7" t="n">
        <v>0</v>
      </c>
      <c r="AH288" s="6">
        <f>$T288*AG288</f>
        <v/>
      </c>
      <c r="AI288" s="7">
        <f>U288+W288+Y288+AA288+AC288+AE288+AG288</f>
        <v/>
      </c>
      <c r="AJ288" s="6">
        <f>V288+X288+Z288+AB288+AD288+AF288+AH288</f>
        <v/>
      </c>
    </row>
    <row r="289" ht="60" customHeight="1" s="35">
      <c r="A289" s="3" t="inlineStr">
        <is>
          <t>LOM251.OC.EEA.PA02.I9762.ZB015.0105</t>
        </is>
      </c>
      <c r="B289" s="4" t="inlineStr">
        <is>
          <t>1/1</t>
        </is>
      </c>
      <c r="C289" s="3" t="inlineStr">
        <is>
          <t>IMPIANTO MECCANICO</t>
        </is>
      </c>
      <c r="D289" s="4" t="inlineStr">
        <is>
          <t>SPECIALE</t>
        </is>
      </c>
      <c r="E289" s="4" t="inlineStr">
        <is>
          <t>MECCANICHE SPECIALI</t>
        </is>
      </c>
      <c r="F289" s="3" t="inlineStr">
        <is>
          <t>2_CME_TOTALE MECCANICI RADIOFARMACIA PAVIA.PDF</t>
        </is>
      </c>
      <c r="G289" s="4" t="inlineStr">
        <is>
          <t>41/41</t>
        </is>
      </c>
      <c r="H289" s="3" t="inlineStr">
        <is>
          <t>40 - IMPIANTISTICO</t>
        </is>
      </c>
      <c r="I289" s="3" t="inlineStr">
        <is>
          <t>CENTRALE</t>
        </is>
      </c>
      <c r="J289" s="3" t="inlineStr">
        <is>
          <t>IMPIANTO HVAC</t>
        </is>
      </c>
      <c r="K289" s="3" t="inlineStr">
        <is>
          <t>OPERA: VALVOLA, A COMANDO MANUALE A LEVA DI MATERIALE MIX ACCIAIO AL CARBONIO-ACCIAIO INOX; GEOMETRIA: A CORPO PIATTO | TIPO WAFER | A PASSAGGIO TOTALE | A SFERA; DIAMETRO NOMINALE (Ø) [MM] = 32; PRES</t>
        </is>
      </c>
      <c r="L289" s="3" t="inlineStr">
        <is>
          <t>OPERA: VALVOLA, A COMANDO MANUALE A LEVA DI MATERIALE MIX ACCIAIO AL CARBONIO-ACCIAIO INOX; GEOMETRIA: A CORPO PIATTO | TIPO WAFER | A PASSAGGIO TOTALE | A SFERA; DIAMETRO NOMINALE (Ø) [MM] = 32; PRESSIONE NOMINALE [BAR] = 16. INCLUSO: GHIERA DI LEGA FERROSA ACCIAIO AL CARBONIO. 
LAVORO: POSA. 
SPECIFICHE TECNICHE: VALVOLA CON: CORPO DI LEGA FERROSA ACCIAIO AL CARBONIO, STELO DI LEGA FERROSA ACCIAIO INOX, SFERA DI LEGA FERROSA ACCIAIO INOX; IMPIEGO: VALVOLA A SFERA, ANELLO SEDE VALVOLA DI PLASTICA POLITETRAFLUOROETILENE (PTFE), LEVA DI MANOVRA DI LEGA FERROSA ACCIAIO AL CARBONIO CON FINITURA DI GOMMA GENERICA. OP VALVOLA, A COMANDO MANUALE A LEVA DI MATERIALE MIX ACCIAIO AL CARBONIO-ACCIAIO INOX; GEOMETRIA: A CORPO PIATTO | TIPO WAFER | A PASSAGGIO TOTALE | A SFERA; DIAMETRO NOMINALE (Ø) [MM] = 32; PRESSIONE NOMINALE [BAR] = 16. INCLUSO: GHIERA DI LEGA FERROSA ACCIAIO AL CARBONIO. 
SPECIFICHE TECNICHE: VALVOLA CON: CORPO DI LEGA FERROSA ACCIAIO AL CARBONIO, STELO DI LEGA FERROSA ACCIAIO INOX, SFERA DI LEGA FERROSA ACCIAIO INOX; IMPIEGO: VALVOLA A SFERA, ANELLO SEDE VALVOLA DI PLASTICA POLITETRAFLUOROETILENE (PTFE), LEVA DI MANOVRA DI LEGA FERROSA ACCIAIO AL CARBONIO CON FINITURA DI GOMMA GENERICA. 
RM VALVOLA A COMANDO MANUALE A LEVA DI MATERIALE MIX ACCIAIO AL CARBONIO-ACCIAIO INOX; GEOMETRIA: A CORPO PIATTO | TIPO WAFER | A PASSAGGIO TOTALE | A SFERA; DIAMETRO NOMINALE (Ø) [MM] = 32; PRESSIONE NOMINALE [BAR] = 16. INCLUSO: GHIERA DI LEGA FERROSA ACCIAIO AL CARBONIO 
SPECIFICHE TECNICHE: VALVOLA CON: CORPO DI LEGA FERROSA ACCIAIO AL CARBONIO, STELO DI LEGA FERROSA ACCIAIO INOX, SFERA DI LEGA FERROSA ACCIAIO INOX; IMPIEGO: VALVOLA A SFERA, ANELLO SEDE VALVOLA DI PLASTICA POLITETRAFLUOROETILENE (PTFE), LEVA DI MANOVRA DI LEGA FERROSA ACCIAIO AL CARBONIO CON FINITURA DI GOMMA GENERICA 
LV POSA.</t>
        </is>
      </c>
      <c r="M289" s="4" t="inlineStr">
        <is>
          <t>CAD</t>
        </is>
      </c>
      <c r="N289" s="5" t="n">
        <v>5</v>
      </c>
      <c r="O289" s="6" t="n">
        <v>53.96</v>
      </c>
      <c r="P289" s="6" t="n">
        <v>269.8</v>
      </c>
      <c r="Q289" s="5" t="n"/>
      <c r="R289" s="6" t="n"/>
      <c r="S289" s="6">
        <f>IF(AND(Q289&lt;&gt;"",R289&lt;&gt;""),Q289*R289,"")</f>
        <v/>
      </c>
      <c r="T289" s="6">
        <f>IF(S289="",P289,S289)</f>
        <v/>
      </c>
      <c r="U289" s="7" t="n">
        <v>0</v>
      </c>
      <c r="V289" s="6">
        <f>$T289*U289</f>
        <v/>
      </c>
      <c r="W289" s="7" t="n">
        <v>0.4</v>
      </c>
      <c r="X289" s="6">
        <f>$T289*W289</f>
        <v/>
      </c>
      <c r="Y289" s="7" t="n">
        <v>0</v>
      </c>
      <c r="Z289" s="6">
        <f>$T289*Y289</f>
        <v/>
      </c>
      <c r="AA289" s="7" t="n">
        <v>0</v>
      </c>
      <c r="AB289" s="6">
        <f>$T289*AA289</f>
        <v/>
      </c>
      <c r="AC289" s="7" t="n">
        <v>0</v>
      </c>
      <c r="AD289" s="6">
        <f>$T289*AC289</f>
        <v/>
      </c>
      <c r="AE289" s="7" t="n">
        <v>0</v>
      </c>
      <c r="AF289" s="6">
        <f>$T289*AE289</f>
        <v/>
      </c>
      <c r="AG289" s="7" t="n">
        <v>0</v>
      </c>
      <c r="AH289" s="6">
        <f>$T289*AG289</f>
        <v/>
      </c>
      <c r="AI289" s="7">
        <f>U289+W289+Y289+AA289+AC289+AE289+AG289</f>
        <v/>
      </c>
      <c r="AJ289" s="6">
        <f>V289+X289+Z289+AB289+AD289+AF289+AH289</f>
        <v/>
      </c>
    </row>
    <row r="290" ht="60" customHeight="1" s="35">
      <c r="A290" s="3" t="inlineStr">
        <is>
          <t>LOM251.OC.EEA.PA02.I9762.ZB015.0110</t>
        </is>
      </c>
      <c r="B290" s="4" t="inlineStr">
        <is>
          <t>2/2</t>
        </is>
      </c>
      <c r="C290" s="3" t="inlineStr">
        <is>
          <t>IMPIANTO MECCANICO</t>
        </is>
      </c>
      <c r="D290" s="4" t="inlineStr">
        <is>
          <t>SPECIALE</t>
        </is>
      </c>
      <c r="E290" s="4" t="inlineStr">
        <is>
          <t>MECCANICHE SPECIALI</t>
        </is>
      </c>
      <c r="F290" s="3" t="inlineStr">
        <is>
          <t>2_CME_TOTALE MECCANICI RADIOFARMACIA PAVIA.PDF</t>
        </is>
      </c>
      <c r="G290" s="4" t="inlineStr">
        <is>
          <t>42/42</t>
        </is>
      </c>
      <c r="H290" s="3" t="inlineStr">
        <is>
          <t>40 - IMPIANTISTICO</t>
        </is>
      </c>
      <c r="I290" s="3" t="inlineStr">
        <is>
          <t>CENTRALE</t>
        </is>
      </c>
      <c r="J290" s="3" t="inlineStr">
        <is>
          <t>IMPIANTO HVAC</t>
        </is>
      </c>
      <c r="K290" s="3" t="inlineStr">
        <is>
          <t>OPERA: VALVOLA, A COMANDO MANUALE A LEVA DI MATERIALE MIX ACCIAIO AL CARBONIO-ACCIAIO INOX; GEOMETRIA: A CORPO PIATTO | TIPO WAFER | A PASSAGGIO TOTALE | A SFERA; DIAMETRO NOMINALE (Ø) [MM] = 40; PRES</t>
        </is>
      </c>
      <c r="L290" s="3" t="inlineStr">
        <is>
          <t>OPERA: VALVOLA, A COMANDO MANUALE A LEVA DI MATERIALE MIX ACCIAIO AL CARBONIO-ACCIAIO INOX; GEOMETRIA: A CORPO PIATTO | TIPO WAFER | A PASSAGGIO TOTALE | A SFERA; DIAMETRO NOMINALE (Ø) [MM] = 40; PRESSIONE NOMINALE [BAR] = 16. INCLUSO: GHIERA DI LEGA FERROSA ACCIAIO AL CARBONIO. 
LAVORO: POSA. 
SPECIFICHE TECNICHE: VALVOLA CON: CORPO DI LEGA FERROSA ACCIAIO AL CARBONIO, STELO DI LEGA FERROSA ACCIAIO INOX, SFERA DI LEGA FERROSA ACCIAIO INOX; IMPIEGO: VALVOLA A SFERA, ANELLO SEDE VALVOLA DI PLASTICA POLITETRAFLUOROETILENE (PTFE), LEVA DI MANOVRA DI LEGA FERROSA ACCIAIO AL CARBONIO CON FINITURA DI GOMMA GENERICA. OP VALVOLA, A COMANDO MANUALE A LEVA DI MATERIALE MIX ACCIAIO AL CARBONIO-ACCIAIO INOX; GEOMETRIA: A CORPO PIATTO | TIPO WAFER | A PASSAGGIO TOTALE | A SFERA; DIAMETRO NOMINALE (Ø) [MM] = 40; PRESSIONE NOMINALE [BAR] = 16. INCLUSO: GHIERA DI LEGA FERROSA ACCIAIO AL CARBONIO. 
SPECIFICHE TECNICHE: VALVOLA CON: CORPO DI LEGA FERROSA ACCIAIO AL CARBONIO, STELO DI LEGA FERROSA ACCIAIO INOX, SFERA DI LEGA FERROSA ACCIAIO INOX; IMPIEGO: VALVOLA A SFERA, ANELLO SEDE VALVOLA DI PLASTICA POLITETRAFLUOROETILENE (PTFE), LEVA DI MANOVRA DI LEGA FERROSA ACCIAIO AL CARBONIO CON FINITURA DI GOMMA GENERICA. 
RM VALVOLA A COMANDO MANUALE A LEVA DI MATERIALE MIX ACCIAIO AL CARBONIO-ACCIAIO INOX; GEOMETRIA: A CORPO PIATTO | TIPO WAFER | A PASSAGGIO TOTALE | A SFERA; DIAMETRO NOMINALE (Ø) [MM] = 40; PRESSIONE NOMINALE [BAR] = 16. INCLUSO: GHIERA DI LEGA FERROSA ACCIAIO AL CARBONIO 
SPECIFICHE TECNICHE: VALVOLA CON: CORPO DI LEGA FERROSA ACCIAIO AL CARBONIO, STELO DI LEGA FERROSA ACCIAIO INOX, SFERA DI LEGA FERROSA ACCIAIO INOX; IMPIEGO: VALVOLA A SFERA, ANELLO SEDE VALVOLA DI PLASTICA POLITETRAFLUOROETILENE (PTFE), LEVA DI MANOVRA DI LEGA FERROSA ACCIAIO AL CARBONIO CON FINITURA DI GOMMA GENERICA 
LV POSA.</t>
        </is>
      </c>
      <c r="M290" s="4" t="inlineStr">
        <is>
          <t>CAD</t>
        </is>
      </c>
      <c r="N290" s="5" t="n">
        <v>13</v>
      </c>
      <c r="O290" s="6" t="n">
        <v>75.90000000000001</v>
      </c>
      <c r="P290" s="6" t="n">
        <v>986.7</v>
      </c>
      <c r="Q290" s="5" t="n"/>
      <c r="R290" s="6" t="n"/>
      <c r="S290" s="6">
        <f>IF(AND(Q290&lt;&gt;"",R290&lt;&gt;""),Q290*R290,"")</f>
        <v/>
      </c>
      <c r="T290" s="6">
        <f>IF(S290="",P290,S290)</f>
        <v/>
      </c>
      <c r="U290" s="7" t="n">
        <v>0</v>
      </c>
      <c r="V290" s="6">
        <f>$T290*U290</f>
        <v/>
      </c>
      <c r="W290" s="7" t="n">
        <v>0.4</v>
      </c>
      <c r="X290" s="6">
        <f>$T290*W290</f>
        <v/>
      </c>
      <c r="Y290" s="7" t="n">
        <v>0</v>
      </c>
      <c r="Z290" s="6">
        <f>$T290*Y290</f>
        <v/>
      </c>
      <c r="AA290" s="7" t="n">
        <v>0</v>
      </c>
      <c r="AB290" s="6">
        <f>$T290*AA290</f>
        <v/>
      </c>
      <c r="AC290" s="7" t="n">
        <v>0</v>
      </c>
      <c r="AD290" s="6">
        <f>$T290*AC290</f>
        <v/>
      </c>
      <c r="AE290" s="7" t="n">
        <v>0</v>
      </c>
      <c r="AF290" s="6">
        <f>$T290*AE290</f>
        <v/>
      </c>
      <c r="AG290" s="7" t="n">
        <v>0</v>
      </c>
      <c r="AH290" s="6">
        <f>$T290*AG290</f>
        <v/>
      </c>
      <c r="AI290" s="7">
        <f>U290+W290+Y290+AA290+AC290+AE290+AG290</f>
        <v/>
      </c>
      <c r="AJ290" s="6">
        <f>V290+X290+Z290+AB290+AD290+AF290+AH290</f>
        <v/>
      </c>
    </row>
    <row r="291" ht="60" customHeight="1" s="35">
      <c r="A291" s="3" t="inlineStr">
        <is>
          <t>LOM251.OC.EEA.PA02.I9762.ZB015.0115</t>
        </is>
      </c>
      <c r="B291" s="4" t="inlineStr">
        <is>
          <t>1/1</t>
        </is>
      </c>
      <c r="C291" s="3" t="inlineStr">
        <is>
          <t>IMPIANTO MECCANICO</t>
        </is>
      </c>
      <c r="D291" s="4" t="inlineStr">
        <is>
          <t>SPECIALE</t>
        </is>
      </c>
      <c r="E291" s="4" t="inlineStr">
        <is>
          <t>MECCANICHE SPECIALI</t>
        </is>
      </c>
      <c r="F291" s="3" t="inlineStr">
        <is>
          <t>2_CME_TOTALE MECCANICI RADIOFARMACIA PAVIA.PDF</t>
        </is>
      </c>
      <c r="G291" s="4" t="inlineStr">
        <is>
          <t>43/43</t>
        </is>
      </c>
      <c r="H291" s="3" t="inlineStr">
        <is>
          <t>40 - IMPIANTISTICO</t>
        </is>
      </c>
      <c r="I291" s="3" t="inlineStr">
        <is>
          <t>CENTRALE</t>
        </is>
      </c>
      <c r="J291" s="3" t="inlineStr">
        <is>
          <t>IMPIANTO HVAC</t>
        </is>
      </c>
      <c r="K291" s="3" t="inlineStr">
        <is>
          <t>OPERA: VALVOLA, A COMANDO MANUALE A LEVA DI MATERIALE MIX ACCIAIO AL CARBONIO-ACCIAIO INOX; GEOMETRIA: A CORPO PIATTO | TIPO WAFER | A PASSAGGIO TOTALE | A SFERA; DIAMETRO NOMINALE (Ø) [MM] = 50; PRES</t>
        </is>
      </c>
      <c r="L291" s="3" t="inlineStr">
        <is>
          <t>OPERA: VALVOLA, A COMANDO MANUALE A LEVA DI MATERIALE MIX ACCIAIO AL CARBONIO-ACCIAIO INOX; GEOMETRIA: A CORPO PIATTO | TIPO WAFER | A PASSAGGIO TOTALE | A SFERA; DIAMETRO NOMINALE (Ø) [MM] = 50; PRESSIONE NOMINALE [BAR] = 16. INCLUSO: GHIERA DI LEGA FERROSA ACCIAIO AL CARBONIO. 
LAVORO: POSA. 
SPECIFICHE TECNICHE: VALVOLA CON: CORPO DI LEGA FERROSA ACCIAIO AL CARBONIO, STELO DI LEGA FERROSA ACCIAIO INOX, SFERA DI LEGA FERROSA ACCIAIO INOX; IMPIEGO: VALVOLA A SFERA, ANELLO SEDE VALVOLA DI PLASTICA POLITETRAFLUOROETILENE (PTFE), LEVA DI MANOVRA DI LEGA FERROSA ACCIAIO AL CARBONIO CON FINITURA DI GOMMA GENERICA. OP VALVOLA, A COMANDO MANUALE A LEVA DI MATERIALE MIX ACCIAIO AL CARBONIO-ACCIAIO INOX; GEOMETRIA: A CORPO PIATTO | TIPO WAFER | A PASSAGGIO TOTALE | A SFERA; DIAMETRO NOMINALE (Ø) [MM] = 50; PRESSIONE NOMINALE [BAR] = 16. INCLUSO: GHIERA DI LEGA FERROSA ACCIAIO AL CARBONIO. 
SPECIFICHE TECNICHE: VALVOLA CON: CORPO DI LEGA FERROSA ACCIAIO AL CARBONIO, STELO DI LEGA FERROSA ACCIAIO INOX, SFERA DI LEGA FERROSA ACCIAIO INOX; IMPIEGO: VALVOLA A SFERA, ANELLO SEDE VALVOLA DI PLASTICA POLITETRAFLUOROETILENE (PTFE), LEVA DI MANOVRA DI LEGA FERROSA ACCIAIO AL CARBONIO CON FINITURA DI GOMMA GENERICA. 
RM VALVOLA A COMANDO MANUALE A LEVA DI MATERIALE MIX ACCIAIO AL CARBONIO-ACCIAIO INOX; GEOMETRIA: A CORPO PIATTO | TIPO WAFER | A PASSAGGIO TOTALE | A SFERA; DIAMETRO NOMINALE (Ø) [MM] = 50; PRESSIONE NOMINALE [BAR] = 16. INCLUSO: GHIERA DI LEGA FERROSA ACCIAIO AL CARBONIO 
SPECIFICHE TECNICHE: VALVOLA CON: CORPO DI LEGA FERROSA ACCIAIO AL CARBONIO, STELO DI LEGA FERROSA ACCIAIO INOX, SFERA DI LEGA FERROSA ACCIAIO INOX; IMPIEGO: VALVOLA A SFERA, ANELLO SEDE VALVOLA DI PLASTICA POLITETRAFLUOROETILENE (PTFE), LEVA DI MANOVRA DI LEGA FERROSA ACCIAIO AL CARBONIO CON FINITURA DI GOMMA GENERICA 
LV POSA.</t>
        </is>
      </c>
      <c r="M291" s="4" t="inlineStr">
        <is>
          <t>CAD</t>
        </is>
      </c>
      <c r="N291" s="5" t="n">
        <v>16</v>
      </c>
      <c r="O291" s="6" t="n">
        <v>103.77</v>
      </c>
      <c r="P291" s="6" t="n">
        <v>1660.32</v>
      </c>
      <c r="Q291" s="5" t="n"/>
      <c r="R291" s="6" t="n"/>
      <c r="S291" s="6">
        <f>IF(AND(Q291&lt;&gt;"",R291&lt;&gt;""),Q291*R291,"")</f>
        <v/>
      </c>
      <c r="T291" s="6">
        <f>IF(S291="",P291,S291)</f>
        <v/>
      </c>
      <c r="U291" s="7" t="n">
        <v>0</v>
      </c>
      <c r="V291" s="6">
        <f>$T291*U291</f>
        <v/>
      </c>
      <c r="W291" s="7" t="n">
        <v>0.4</v>
      </c>
      <c r="X291" s="6">
        <f>$T291*W291</f>
        <v/>
      </c>
      <c r="Y291" s="7" t="n">
        <v>0</v>
      </c>
      <c r="Z291" s="6">
        <f>$T291*Y291</f>
        <v/>
      </c>
      <c r="AA291" s="7" t="n">
        <v>0</v>
      </c>
      <c r="AB291" s="6">
        <f>$T291*AA291</f>
        <v/>
      </c>
      <c r="AC291" s="7" t="n">
        <v>0</v>
      </c>
      <c r="AD291" s="6">
        <f>$T291*AC291</f>
        <v/>
      </c>
      <c r="AE291" s="7" t="n">
        <v>0</v>
      </c>
      <c r="AF291" s="6">
        <f>$T291*AE291</f>
        <v/>
      </c>
      <c r="AG291" s="7" t="n">
        <v>0</v>
      </c>
      <c r="AH291" s="6">
        <f>$T291*AG291</f>
        <v/>
      </c>
      <c r="AI291" s="7">
        <f>U291+W291+Y291+AA291+AC291+AE291+AG291</f>
        <v/>
      </c>
      <c r="AJ291" s="6">
        <f>V291+X291+Z291+AB291+AD291+AF291+AH291</f>
        <v/>
      </c>
    </row>
    <row r="292" ht="60" customHeight="1" s="35">
      <c r="A292" s="3" t="inlineStr">
        <is>
          <t>LOM251.OC.EEA.PA02.I7425.E0004.0035</t>
        </is>
      </c>
      <c r="B292" s="4" t="inlineStr">
        <is>
          <t>1/1</t>
        </is>
      </c>
      <c r="C292" s="3" t="inlineStr">
        <is>
          <t>IMPIANTO MECCANICO</t>
        </is>
      </c>
      <c r="D292" s="4" t="inlineStr">
        <is>
          <t>SPECIALE</t>
        </is>
      </c>
      <c r="E292" s="4" t="inlineStr">
        <is>
          <t>MECCANICHE SPECIALI</t>
        </is>
      </c>
      <c r="F292" s="3" t="inlineStr">
        <is>
          <t>2_CME_TOTALE MECCANICI RADIOFARMACIA PAVIA.PDF</t>
        </is>
      </c>
      <c r="G292" s="4" t="inlineStr">
        <is>
          <t>44/44</t>
        </is>
      </c>
      <c r="H292" s="3" t="inlineStr">
        <is>
          <t>40 - IMPIANTISTICO</t>
        </is>
      </c>
      <c r="I292" s="3" t="inlineStr">
        <is>
          <t>CENTRALE</t>
        </is>
      </c>
      <c r="J292" s="3" t="inlineStr">
        <is>
          <t>IMPIANTO HVAC</t>
        </is>
      </c>
      <c r="K292" s="3" t="inlineStr">
        <is>
          <t xml:space="preserve">OPERA: GIUNTO ANTIVIBRANTE DI GOMMA EPDM; GEOMETRIA: ATTACCHI FLANGIATI; FUNZIONE: SMORZAMENTO VIBRAZIONI; IMPIEGO: TUBAZIONE; DIAMETRO NOMINALE (Ø) [MM] = 100; PRESSIONE NOMINALE [BAR] ≤ 10. </t>
        </is>
      </c>
      <c r="L292" s="3" t="inlineStr">
        <is>
          <t>OPERA: GIUNTO ANTIVIBRANTE DI GOMMA EPDM; GEOMETRIA: ATTACCHI FLANGIATI; FUNZIONE: SMORZAMENTO VIBRAZIONI; IMPIEGO: TUBAZIONE; DIAMETRO NOMINALE (Ø) [MM] = 100; PRESSIONE NOMINALE [BAR] ≤ 10. 
LAVORO: POSA. 
SPECIFICHE TECNICHE: CORPO DI GOMMA EPDM; ANIMA DI LEGA FERROSA ACCIAIO GENERICO; BULLONI DI LEGA FERROSA ACCIAIO GENERICO. OP GIUNTO ANTIVIBRANTE DI GOMMA EPDM; GEOMETRIA: ATTACCHI FLANGIATI; FUNZIONE: SMORZAMENTO VIBRAZIONI; IMPIEGO: TUBAZIONE; DIAMETRO NOMINALE (Ø) [MM] = 100; PRESSIONE NOMINALE [BAR] ≤ 10. 
SPECIFICHE TECNICHE: CORPO DI GOMMA EPDM; ANIMA DI LEGA FERROSA ACCIAIO GENERICO; BULLONI DI LEGA FERROSA ACCIAIO GENERICO. 
RM GIUNTO ANTIVIBRANTE DI GOMMA EPDM; GEOMETRIA: ATTACCHI FLANGIATI; FUNZIONE: SMORZAMENTO VIBRAZIONI; IMPIEGO: TUBAZIONE; DIAMETRO NOMINALE (Ø) [MM] = 100; PRESSIONE NOMINALE [BAR] ≤ 10 
SPECIFICHE TECNICHE: CORPO DI GOMMA EPDM; ANIMA DI LEGA FERROSA ACCIAIO GENERICO; BULLONI DI LEGA FERROSA ACCIAIO GENERICO 
LV POSA.</t>
        </is>
      </c>
      <c r="M292" s="4" t="inlineStr">
        <is>
          <t>CAD</t>
        </is>
      </c>
      <c r="N292" s="5" t="n">
        <v>6</v>
      </c>
      <c r="O292" s="6" t="n">
        <v>154.16</v>
      </c>
      <c r="P292" s="6" t="n">
        <v>924.96</v>
      </c>
      <c r="Q292" s="5" t="n"/>
      <c r="R292" s="6" t="n"/>
      <c r="S292" s="6">
        <f>IF(AND(Q292&lt;&gt;"",R292&lt;&gt;""),Q292*R292,"")</f>
        <v/>
      </c>
      <c r="T292" s="6">
        <f>IF(S292="",P292,S292)</f>
        <v/>
      </c>
      <c r="U292" s="7" t="n">
        <v>0</v>
      </c>
      <c r="V292" s="6">
        <f>$T292*U292</f>
        <v/>
      </c>
      <c r="W292" s="7" t="n">
        <v>0.4</v>
      </c>
      <c r="X292" s="6">
        <f>$T292*W292</f>
        <v/>
      </c>
      <c r="Y292" s="7" t="n">
        <v>0</v>
      </c>
      <c r="Z292" s="6">
        <f>$T292*Y292</f>
        <v/>
      </c>
      <c r="AA292" s="7" t="n">
        <v>0</v>
      </c>
      <c r="AB292" s="6">
        <f>$T292*AA292</f>
        <v/>
      </c>
      <c r="AC292" s="7" t="n">
        <v>0</v>
      </c>
      <c r="AD292" s="6">
        <f>$T292*AC292</f>
        <v/>
      </c>
      <c r="AE292" s="7" t="n">
        <v>0</v>
      </c>
      <c r="AF292" s="6">
        <f>$T292*AE292</f>
        <v/>
      </c>
      <c r="AG292" s="7" t="n">
        <v>0</v>
      </c>
      <c r="AH292" s="6">
        <f>$T292*AG292</f>
        <v/>
      </c>
      <c r="AI292" s="7">
        <f>U292+W292+Y292+AA292+AC292+AE292+AG292</f>
        <v/>
      </c>
      <c r="AJ292" s="6">
        <f>V292+X292+Z292+AB292+AD292+AF292+AH292</f>
        <v/>
      </c>
    </row>
    <row r="293" ht="60" customHeight="1" s="35">
      <c r="A293" s="3" t="inlineStr">
        <is>
          <t>LOM251.OC.EEA.PA02.I7425.E0004.0030</t>
        </is>
      </c>
      <c r="B293" s="4" t="inlineStr">
        <is>
          <t>1/1</t>
        </is>
      </c>
      <c r="C293" s="3" t="inlineStr">
        <is>
          <t>IMPIANTO MECCANICO</t>
        </is>
      </c>
      <c r="D293" s="4" t="inlineStr">
        <is>
          <t>SPECIALE</t>
        </is>
      </c>
      <c r="E293" s="4" t="inlineStr">
        <is>
          <t>MECCANICHE SPECIALI</t>
        </is>
      </c>
      <c r="F293" s="3" t="inlineStr">
        <is>
          <t>2_CME_TOTALE MECCANICI RADIOFARMACIA PAVIA.PDF</t>
        </is>
      </c>
      <c r="G293" s="4" t="inlineStr">
        <is>
          <t>45/45</t>
        </is>
      </c>
      <c r="H293" s="3" t="inlineStr">
        <is>
          <t>40 - IMPIANTISTICO</t>
        </is>
      </c>
      <c r="I293" s="3" t="inlineStr">
        <is>
          <t>CENTRALE</t>
        </is>
      </c>
      <c r="J293" s="3" t="inlineStr">
        <is>
          <t>IMPIANTO HVAC</t>
        </is>
      </c>
      <c r="K293" s="3" t="inlineStr">
        <is>
          <t xml:space="preserve">OPERA: GIUNTO ANTIVIBRANTE DI GOMMA EPDM; GEOMETRIA: ATTACCHI FLANGIATI; FUNZIONE: SMORZAMENTO VIBRAZIONI; IMPIEGO: TUBAZIONE; DIAMETRO NOMINALE (Ø) [MM] = 80; PRESSIONE NOMINALE [BAR] ≤ 10. </t>
        </is>
      </c>
      <c r="L293" s="3" t="inlineStr">
        <is>
          <t>OPERA: GIUNTO ANTIVIBRANTE DI GOMMA EPDM; GEOMETRIA: ATTACCHI FLANGIATI; FUNZIONE: SMORZAMENTO VIBRAZIONI; IMPIEGO: TUBAZIONE; DIAMETRO NOMINALE (Ø) [MM] = 80; PRESSIONE NOMINALE [BAR] ≤ 10. 
LAVORO: POSA. 
SPECIFICHE TECNICHE: CORPO DI GOMMA EPDM; ANIMA DI LEGA FERROSA ACCIAIO GENERICO; BULLONI DI LEGA FERROSA ACCIAIO GENERICO. OP GIUNTO ANTIVIBRANTE DI GOMMA EPDM; GEOMETRIA: ATTACCHI FLANGIATI; FUNZIONE: SMORZAMENTO VIBRAZIONI; IMPIEGO: TUBAZIONE; DIAMETRO NOMINALE (Ø) [MM] = 80; PRESSIONE NOMINALE [BAR] ≤ 10. 
SPECIFICHE TECNICHE: CORPO DI GOMMA EPDM; ANIMA DI LEGA FERROSA ACCIAIO GENERICO; BULLONI DI LEGA FERROSA ACCIAIO GENERICO. 
RM GIUNTO ANTIVIBRANTE DI GOMMA EPDM; GEOMETRIA: ATTACCHI FLANGIATI; FUNZIONE: SMORZAMENTO VIBRAZIONI; IMPIEGO: TUBAZIONE; DIAMETRO NOMINALE (Ø) [MM] = 80; PRESSIONE NOMINALE [BAR] ≤ 10 
SPECIFICHE TECNICHE: CORPO DI GOMMA EPDM; ANIMA DI LEGA FERROSA ACCIAIO GENERICO; BULLONI DI LEGA FERROSA ACCIAIO GENERICO 
LV POSA.</t>
        </is>
      </c>
      <c r="M293" s="4" t="inlineStr">
        <is>
          <t>CAD</t>
        </is>
      </c>
      <c r="N293" s="5" t="n">
        <v>4</v>
      </c>
      <c r="O293" s="6" t="n">
        <v>144.09</v>
      </c>
      <c r="P293" s="6" t="n">
        <v>576.36</v>
      </c>
      <c r="Q293" s="5" t="n"/>
      <c r="R293" s="6" t="n"/>
      <c r="S293" s="6">
        <f>IF(AND(Q293&lt;&gt;"",R293&lt;&gt;""),Q293*R293,"")</f>
        <v/>
      </c>
      <c r="T293" s="6">
        <f>IF(S293="",P293,S293)</f>
        <v/>
      </c>
      <c r="U293" s="7" t="n">
        <v>0</v>
      </c>
      <c r="V293" s="6">
        <f>$T293*U293</f>
        <v/>
      </c>
      <c r="W293" s="7" t="n">
        <v>0.4</v>
      </c>
      <c r="X293" s="6">
        <f>$T293*W293</f>
        <v/>
      </c>
      <c r="Y293" s="7" t="n">
        <v>0</v>
      </c>
      <c r="Z293" s="6">
        <f>$T293*Y293</f>
        <v/>
      </c>
      <c r="AA293" s="7" t="n">
        <v>0</v>
      </c>
      <c r="AB293" s="6">
        <f>$T293*AA293</f>
        <v/>
      </c>
      <c r="AC293" s="7" t="n">
        <v>0</v>
      </c>
      <c r="AD293" s="6">
        <f>$T293*AC293</f>
        <v/>
      </c>
      <c r="AE293" s="7" t="n">
        <v>0</v>
      </c>
      <c r="AF293" s="6">
        <f>$T293*AE293</f>
        <v/>
      </c>
      <c r="AG293" s="7" t="n">
        <v>0</v>
      </c>
      <c r="AH293" s="6">
        <f>$T293*AG293</f>
        <v/>
      </c>
      <c r="AI293" s="7">
        <f>U293+W293+Y293+AA293+AC293+AE293+AG293</f>
        <v/>
      </c>
      <c r="AJ293" s="6">
        <f>V293+X293+Z293+AB293+AD293+AF293+AH293</f>
        <v/>
      </c>
    </row>
    <row r="294" ht="60" customHeight="1" s="35">
      <c r="A294" s="3" t="inlineStr">
        <is>
          <t>LOM251.OC.EEA.PA02.I7425.E0004.0025</t>
        </is>
      </c>
      <c r="B294" s="4" t="inlineStr">
        <is>
          <t>1/1</t>
        </is>
      </c>
      <c r="C294" s="3" t="inlineStr">
        <is>
          <t>IMPIANTO MECCANICO</t>
        </is>
      </c>
      <c r="D294" s="4" t="inlineStr">
        <is>
          <t>SPECIALE</t>
        </is>
      </c>
      <c r="E294" s="4" t="inlineStr">
        <is>
          <t>MECCANICHE SPECIALI</t>
        </is>
      </c>
      <c r="F294" s="3" t="inlineStr">
        <is>
          <t>2_CME_TOTALE MECCANICI RADIOFARMACIA PAVIA.PDF</t>
        </is>
      </c>
      <c r="G294" s="4" t="inlineStr">
        <is>
          <t>46/46</t>
        </is>
      </c>
      <c r="H294" s="3" t="inlineStr">
        <is>
          <t>40 - IMPIANTISTICO</t>
        </is>
      </c>
      <c r="I294" s="3" t="inlineStr">
        <is>
          <t>CENTRALE</t>
        </is>
      </c>
      <c r="J294" s="3" t="inlineStr">
        <is>
          <t>IMPIANTO HVAC</t>
        </is>
      </c>
      <c r="K294" s="3" t="inlineStr">
        <is>
          <t xml:space="preserve">OPERA: GIUNTO ANTIVIBRANTE DI GOMMA EPDM; GEOMETRIA: ATTACCHI FLANGIATI; FUNZIONE: SMORZAMENTO VIBRAZIONI; IMPIEGO: TUBAZIONE; DIAMETRO NOMINALE (Ø) [MM] = 65; PRESSIONE NOMINALE [BAR] ≤ 10. </t>
        </is>
      </c>
      <c r="L294" s="3" t="inlineStr">
        <is>
          <t>OPERA: GIUNTO ANTIVIBRANTE DI GOMMA EPDM; GEOMETRIA: ATTACCHI FLANGIATI; FUNZIONE: SMORZAMENTO VIBRAZIONI; IMPIEGO: TUBAZIONE; DIAMETRO NOMINALE (Ø) [MM] = 65; PRESSIONE NOMINALE [BAR] ≤ 10. 
LAVORO: POSA. 
SPECIFICHE TECNICHE: CORPO DI GOMMA EPDM; ANIMA DI LEGA FERROSA ACCIAIO GENERICO; BULLONI DI LEGA FERROSA ACCIAIO GENERICO. OP GIUNTO ANTIVIBRANTE DI GOMMA EPDM; GEOMETRIA: ATTACCHI FLANGIATI; FUNZIONE: SMORZAMENTO VIBRAZIONI; IMPIEGO: TUBAZIONE; DIAMETRO NOMINALE (Ø) [MM] = 65; PRESSIONE NOMINALE [BAR] ≤ 10. 
SPECIFICHE TECNICHE: CORPO DI GOMMA EPDM; ANIMA DI LEGA FERROSA ACCIAIO GENERICO; BULLONI DI LEGA FERROSA ACCIAIO GENERICO. 
RM GIUNTO ANTIVIBRANTE DI GOMMA EPDM; GEOMETRIA: ATTACCHI FLANGIATI; FUNZIONE: SMORZAMENTO VIBRAZIONI; IMPIEGO: TUBAZIONE; DIAMETRO NOMINALE (Ø) [MM] = 65; PRESSIONE NOMINALE [BAR] ≤ 10 
SPECIFICHE TECNICHE: CORPO DI GOMMA EPDM; ANIMA DI LEGA FERROSA ACCIAIO GENERICO; BULLONI DI LEGA FERROSA ACCIAIO GENERICO 
LV POSA.</t>
        </is>
      </c>
      <c r="M294" s="4" t="inlineStr">
        <is>
          <t>CAD</t>
        </is>
      </c>
      <c r="N294" s="5" t="n">
        <v>6</v>
      </c>
      <c r="O294" s="6" t="n">
        <v>116.21</v>
      </c>
      <c r="P294" s="6" t="n">
        <v>697.26</v>
      </c>
      <c r="Q294" s="5" t="n"/>
      <c r="R294" s="6" t="n"/>
      <c r="S294" s="6">
        <f>IF(AND(Q294&lt;&gt;"",R294&lt;&gt;""),Q294*R294,"")</f>
        <v/>
      </c>
      <c r="T294" s="6">
        <f>IF(S294="",P294,S294)</f>
        <v/>
      </c>
      <c r="U294" s="7" t="n">
        <v>0</v>
      </c>
      <c r="V294" s="6">
        <f>$T294*U294</f>
        <v/>
      </c>
      <c r="W294" s="7" t="n">
        <v>0.4</v>
      </c>
      <c r="X294" s="6">
        <f>$T294*W294</f>
        <v/>
      </c>
      <c r="Y294" s="7" t="n">
        <v>0</v>
      </c>
      <c r="Z294" s="6">
        <f>$T294*Y294</f>
        <v/>
      </c>
      <c r="AA294" s="7" t="n">
        <v>0</v>
      </c>
      <c r="AB294" s="6">
        <f>$T294*AA294</f>
        <v/>
      </c>
      <c r="AC294" s="7" t="n">
        <v>0</v>
      </c>
      <c r="AD294" s="6">
        <f>$T294*AC294</f>
        <v/>
      </c>
      <c r="AE294" s="7" t="n">
        <v>0</v>
      </c>
      <c r="AF294" s="6">
        <f>$T294*AE294</f>
        <v/>
      </c>
      <c r="AG294" s="7" t="n">
        <v>0</v>
      </c>
      <c r="AH294" s="6">
        <f>$T294*AG294</f>
        <v/>
      </c>
      <c r="AI294" s="7">
        <f>U294+W294+Y294+AA294+AC294+AE294+AG294</f>
        <v/>
      </c>
      <c r="AJ294" s="6">
        <f>V294+X294+Z294+AB294+AD294+AF294+AH294</f>
        <v/>
      </c>
    </row>
    <row r="295" ht="60" customHeight="1" s="35">
      <c r="A295" s="3" t="inlineStr">
        <is>
          <t>LOM251.OC.EEA.PA02.I7425.E0004.0020</t>
        </is>
      </c>
      <c r="B295" s="4" t="inlineStr">
        <is>
          <t>1/1</t>
        </is>
      </c>
      <c r="C295" s="3" t="inlineStr">
        <is>
          <t>IMPIANTO MECCANICO</t>
        </is>
      </c>
      <c r="D295" s="4" t="inlineStr">
        <is>
          <t>SPECIALE</t>
        </is>
      </c>
      <c r="E295" s="4" t="inlineStr">
        <is>
          <t>MECCANICHE SPECIALI</t>
        </is>
      </c>
      <c r="F295" s="3" t="inlineStr">
        <is>
          <t>2_CME_TOTALE MECCANICI RADIOFARMACIA PAVIA.PDF</t>
        </is>
      </c>
      <c r="G295" s="4" t="inlineStr">
        <is>
          <t>47/47</t>
        </is>
      </c>
      <c r="H295" s="3" t="inlineStr">
        <is>
          <t>40 - IMPIANTISTICO</t>
        </is>
      </c>
      <c r="I295" s="3" t="inlineStr">
        <is>
          <t>CENTRALE</t>
        </is>
      </c>
      <c r="J295" s="3" t="inlineStr">
        <is>
          <t>IMPIANTO HVAC</t>
        </is>
      </c>
      <c r="K295" s="3" t="inlineStr">
        <is>
          <t xml:space="preserve">OPERA: GIUNTO ANTIVIBRANTE DI GOMMA EPDM; GEOMETRIA: ATTACCHI FLANGIATI; FUNZIONE: SMORZAMENTO VIBRAZIONI; IMPIEGO: TUBAZIONE; DIAMETRO NOMINALE (Ø) [MM] = 50; PRESSIONE NOMINALE [BAR] ≤ 10. </t>
        </is>
      </c>
      <c r="L295" s="3" t="inlineStr">
        <is>
          <t>OPERA: GIUNTO ANTIVIBRANTE DI GOMMA EPDM; GEOMETRIA: ATTACCHI FLANGIATI; FUNZIONE: SMORZAMENTO VIBRAZIONI; IMPIEGO: TUBAZIONE; DIAMETRO NOMINALE (Ø) [MM] = 50; PRESSIONE NOMINALE [BAR] ≤ 10. 
LAVORO: POSA. 
SPECIFICHE TECNICHE: CORPO DI GOMMA EPDM; ANIMA DI LEGA FERROSA ACCIAIO GENERICO; BULLONI DI LEGA FERROSA ACCIAIO GENERICO. OP GIUNTO ANTIVIBRANTE DI GOMMA EPDM; GEOMETRIA: ATTACCHI FLANGIATI; FUNZIONE: SMORZAMENTO VIBRAZIONI; IMPIEGO: TUBAZIONE; DIAMETRO NOMINALE (Ø) [MM] = 50; PRESSIONE NOMINALE [BAR] ≤ 10. 
SPECIFICHE TECNICHE: CORPO DI GOMMA EPDM; ANIMA DI LEGA FERROSA ACCIAIO GENERICO; BULLONI DI LEGA FERROSA ACCIAIO GENERICO. 
RM GIUNTO ANTIVIBRANTE DI GOMMA EPDM; GEOMETRIA: ATTACCHI FLANGIATI; FUNZIONE: SMORZAMENTO VIBRAZIONI; IMPIEGO: TUBAZIONE; DIAMETRO NOMINALE (Ø) [MM] = 50; PRESSIONE NOMINALE [BAR] ≤ 10 
SPECIFICHE TECNICHE: CORPO DI GOMMA EPDM; ANIMA DI LEGA FERROSA ACCIAIO GENERICO; BULLONI DI LEGA FERROSA ACCIAIO GENERICO 
LV POSA.</t>
        </is>
      </c>
      <c r="M295" s="4" t="inlineStr">
        <is>
          <t>CAD</t>
        </is>
      </c>
      <c r="N295" s="5" t="n">
        <v>4</v>
      </c>
      <c r="O295" s="6" t="n">
        <v>83.61</v>
      </c>
      <c r="P295" s="6" t="n">
        <v>334.44</v>
      </c>
      <c r="Q295" s="5" t="n"/>
      <c r="R295" s="6" t="n"/>
      <c r="S295" s="6">
        <f>IF(AND(Q295&lt;&gt;"",R295&lt;&gt;""),Q295*R295,"")</f>
        <v/>
      </c>
      <c r="T295" s="6">
        <f>IF(S295="",P295,S295)</f>
        <v/>
      </c>
      <c r="U295" s="7" t="n">
        <v>0</v>
      </c>
      <c r="V295" s="6">
        <f>$T295*U295</f>
        <v/>
      </c>
      <c r="W295" s="7" t="n">
        <v>0.4</v>
      </c>
      <c r="X295" s="6">
        <f>$T295*W295</f>
        <v/>
      </c>
      <c r="Y295" s="7" t="n">
        <v>0</v>
      </c>
      <c r="Z295" s="6">
        <f>$T295*Y295</f>
        <v/>
      </c>
      <c r="AA295" s="7" t="n">
        <v>0</v>
      </c>
      <c r="AB295" s="6">
        <f>$T295*AA295</f>
        <v/>
      </c>
      <c r="AC295" s="7" t="n">
        <v>0</v>
      </c>
      <c r="AD295" s="6">
        <f>$T295*AC295</f>
        <v/>
      </c>
      <c r="AE295" s="7" t="n">
        <v>0</v>
      </c>
      <c r="AF295" s="6">
        <f>$T295*AE295</f>
        <v/>
      </c>
      <c r="AG295" s="7" t="n">
        <v>0</v>
      </c>
      <c r="AH295" s="6">
        <f>$T295*AG295</f>
        <v/>
      </c>
      <c r="AI295" s="7">
        <f>U295+W295+Y295+AA295+AC295+AE295+AG295</f>
        <v/>
      </c>
      <c r="AJ295" s="6">
        <f>V295+X295+Z295+AB295+AD295+AF295+AH295</f>
        <v/>
      </c>
    </row>
    <row r="296" ht="60" customHeight="1" s="35">
      <c r="A296" s="3" t="inlineStr">
        <is>
          <t>LOM251.OC.EEA.PA02.I7425.E0004.0015</t>
        </is>
      </c>
      <c r="B296" s="4" t="inlineStr">
        <is>
          <t>2/2</t>
        </is>
      </c>
      <c r="C296" s="3" t="inlineStr">
        <is>
          <t>IMPIANTO MECCANICO</t>
        </is>
      </c>
      <c r="D296" s="4" t="inlineStr">
        <is>
          <t>SPECIALE</t>
        </is>
      </c>
      <c r="E296" s="4" t="inlineStr">
        <is>
          <t>MECCANICHE SPECIALI</t>
        </is>
      </c>
      <c r="F296" s="3" t="inlineStr">
        <is>
          <t>2_CME_TOTALE MECCANICI RADIOFARMACIA PAVIA.PDF</t>
        </is>
      </c>
      <c r="G296" s="4" t="inlineStr">
        <is>
          <t>48/48</t>
        </is>
      </c>
      <c r="H296" s="3" t="inlineStr">
        <is>
          <t>40 - IMPIANTISTICO</t>
        </is>
      </c>
      <c r="I296" s="3" t="inlineStr">
        <is>
          <t>CENTRALE</t>
        </is>
      </c>
      <c r="J296" s="3" t="inlineStr">
        <is>
          <t>IMPIANTO HVAC</t>
        </is>
      </c>
      <c r="K296" s="3" t="inlineStr">
        <is>
          <t xml:space="preserve">OPERA: GIUNTO ANTIVIBRANTE DI GOMMA EPDM; GEOMETRIA: ATTACCHI FLANGIATI; FUNZIONE: SMORZAMENTO VIBRAZIONI; IMPIEGO: TUBAZIONE; DIAMETRO NOMINALE (Ø) [MM] = 40; PRESSIONE NOMINALE [BAR] ≤ 10. </t>
        </is>
      </c>
      <c r="L296" s="3" t="inlineStr">
        <is>
          <t>OPERA: GIUNTO ANTIVIBRANTE DI GOMMA EPDM; GEOMETRIA: ATTACCHI FLANGIATI; FUNZIONE: SMORZAMENTO VIBRAZIONI; IMPIEGO: TUBAZIONE; DIAMETRO NOMINALE (Ø) [MM] = 40; PRESSIONE NOMINALE [BAR] ≤ 10. 
LAVORO: POSA. 
SPECIFICHE TECNICHE: CORPO DI GOMMA EPDM; ANIMA DI LEGA FERROSA ACCIAIO GENERICO; BULLONI DI LEGA FERROSA ACCIAIO GENERICO. OP GIUNTO ANTIVIBRANTE DI GOMMA EPDM; GEOMETRIA: ATTACCHI FLANGIATI; FUNZIONE: SMORZAMENTO VIBRAZIONI; IMPIEGO: TUBAZIONE; DIAMETRO NOMINALE (Ø) [MM] = 40; PRESSIONE NOMINALE [BAR] ≤ 10. 
SPECIFICHE TECNICHE: CORPO DI GOMMA EPDM; ANIMA DI LEGA FERROSA ACCIAIO GENERICO; BULLONI DI LEGA FERROSA ACCIAIO GENERICO. 
RM GIUNTO ANTIVIBRANTE DI GOMMA EPDM; GEOMETRIA: ATTACCHI FLANGIATI; FUNZIONE: SMORZAMENTO VIBRAZIONI; IMPIEGO: TUBAZIONE; DIAMETRO NOMINALE (Ø) [MM] = 40; PRESSIONE NOMINALE [BAR] ≤ 10 
SPECIFICHE TECNICHE: CORPO DI GOMMA EPDM; ANIMA DI LEGA FERROSA ACCIAIO GENERICO; BULLONI DI LEGA FERROSA ACCIAIO GENERICO 
LV POSA.</t>
        </is>
      </c>
      <c r="M296" s="4" t="inlineStr">
        <is>
          <t>CAD</t>
        </is>
      </c>
      <c r="N296" s="5" t="n">
        <v>4</v>
      </c>
      <c r="O296" s="6" t="n">
        <v>68.78</v>
      </c>
      <c r="P296" s="6" t="n">
        <v>275.12</v>
      </c>
      <c r="Q296" s="5" t="n"/>
      <c r="R296" s="6" t="n"/>
      <c r="S296" s="6">
        <f>IF(AND(Q296&lt;&gt;"",R296&lt;&gt;""),Q296*R296,"")</f>
        <v/>
      </c>
      <c r="T296" s="6">
        <f>IF(S296="",P296,S296)</f>
        <v/>
      </c>
      <c r="U296" s="7" t="n">
        <v>0</v>
      </c>
      <c r="V296" s="6">
        <f>$T296*U296</f>
        <v/>
      </c>
      <c r="W296" s="7" t="n">
        <v>0.4</v>
      </c>
      <c r="X296" s="6">
        <f>$T296*W296</f>
        <v/>
      </c>
      <c r="Y296" s="7" t="n">
        <v>0</v>
      </c>
      <c r="Z296" s="6">
        <f>$T296*Y296</f>
        <v/>
      </c>
      <c r="AA296" s="7" t="n">
        <v>0</v>
      </c>
      <c r="AB296" s="6">
        <f>$T296*AA296</f>
        <v/>
      </c>
      <c r="AC296" s="7" t="n">
        <v>0</v>
      </c>
      <c r="AD296" s="6">
        <f>$T296*AC296</f>
        <v/>
      </c>
      <c r="AE296" s="7" t="n">
        <v>0</v>
      </c>
      <c r="AF296" s="6">
        <f>$T296*AE296</f>
        <v/>
      </c>
      <c r="AG296" s="7" t="n">
        <v>0</v>
      </c>
      <c r="AH296" s="6">
        <f>$T296*AG296</f>
        <v/>
      </c>
      <c r="AI296" s="7">
        <f>U296+W296+Y296+AA296+AC296+AE296+AG296</f>
        <v/>
      </c>
      <c r="AJ296" s="6">
        <f>V296+X296+Z296+AB296+AD296+AF296+AH296</f>
        <v/>
      </c>
    </row>
    <row r="297" ht="60" customHeight="1" s="35">
      <c r="A297" s="3" t="inlineStr">
        <is>
          <t>LOM251.OC.EEA.PA02.I7425.E0004.0010</t>
        </is>
      </c>
      <c r="B297" s="4" t="inlineStr">
        <is>
          <t>1/1</t>
        </is>
      </c>
      <c r="C297" s="3" t="inlineStr">
        <is>
          <t>IMPIANTO MECCANICO</t>
        </is>
      </c>
      <c r="D297" s="4" t="inlineStr">
        <is>
          <t>SPECIALE</t>
        </is>
      </c>
      <c r="E297" s="4" t="inlineStr">
        <is>
          <t>MECCANICHE SPECIALI</t>
        </is>
      </c>
      <c r="F297" s="3" t="inlineStr">
        <is>
          <t>2_CME_TOTALE MECCANICI RADIOFARMACIA PAVIA.PDF</t>
        </is>
      </c>
      <c r="G297" s="4" t="inlineStr">
        <is>
          <t>49/49</t>
        </is>
      </c>
      <c r="H297" s="3" t="inlineStr">
        <is>
          <t>40 - IMPIANTISTICO</t>
        </is>
      </c>
      <c r="I297" s="3" t="inlineStr">
        <is>
          <t>CENTRALE</t>
        </is>
      </c>
      <c r="J297" s="3" t="inlineStr">
        <is>
          <t>IMPIANTO HVAC</t>
        </is>
      </c>
      <c r="K297" s="3" t="inlineStr">
        <is>
          <t xml:space="preserve">OPERA: GIUNTO ANTIVIBRANTE DI GOMMA EPDM; GEOMETRIA: ATTACCHI FLANGIATI; FUNZIONE: SMORZAMENTO VIBRAZIONI; IMPIEGO: TUBAZIONE; DIAMETRO NOMINALE (Ø) [MM] = 32; PRESSIONE NOMINALE [BAR] ≤ 10. </t>
        </is>
      </c>
      <c r="L297" s="3" t="inlineStr">
        <is>
          <t>OPERA: GIUNTO ANTIVIBRANTE DI GOMMA EPDM; GEOMETRIA: ATTACCHI FLANGIATI; FUNZIONE: SMORZAMENTO VIBRAZIONI; IMPIEGO: TUBAZIONE; DIAMETRO NOMINALE (Ø) [MM] = 32; PRESSIONE NOMINALE [BAR] ≤ 10. 
LAVORO: POSA. 
SPECIFICHE TECNICHE: CORPO DI GOMMA EPDM; ANIMA DI LEGA FERROSA ACCIAIO GENERICO; BULLONI DI LEGA FERROSA ACCIAIO GENERICO. OP GIUNTO ANTIVIBRANTE DI GOMMA EPDM; GEOMETRIA: ATTACCHI FLANGIATI; FUNZIONE: SMORZAMENTO VIBRAZIONI; IMPIEGO: TUBAZIONE; DIAMETRO NOMINALE (Ø) [MM] = 32; PRESSIONE NOMINALE [BAR] ≤ 10. 
SPECIFICHE TECNICHE: CORPO DI GOMMA EPDM; ANIMA DI LEGA FERROSA ACCIAIO GENERICO; BULLONI DI LEGA FERROSA ACCIAIO GENERICO. 
RM GIUNTO ANTIVIBRANTE DI GOMMA EPDM; GEOMETRIA: ATTACCHI FLANGIATI; FUNZIONE: SMORZAMENTO VIBRAZIONI; IMPIEGO: TUBAZIONE; DIAMETRO NOMINALE (Ø) [MM] = 32; PRESSIONE NOMINALE [BAR] ≤ 10 
SPECIFICHE TECNICHE: CORPO DI GOMMA EPDM; ANIMA DI LEGA FERROSA ACCIAIO GENERICO; BULLONI DI LEGA FERROSA ACCIAIO GENERICO 
LV POSA.</t>
        </is>
      </c>
      <c r="M297" s="4" t="inlineStr">
        <is>
          <t>CAD</t>
        </is>
      </c>
      <c r="N297" s="5" t="n">
        <v>2</v>
      </c>
      <c r="O297" s="6" t="n">
        <v>61.08</v>
      </c>
      <c r="P297" s="6" t="n">
        <v>122.16</v>
      </c>
      <c r="Q297" s="5" t="n"/>
      <c r="R297" s="6" t="n"/>
      <c r="S297" s="6">
        <f>IF(AND(Q297&lt;&gt;"",R297&lt;&gt;""),Q297*R297,"")</f>
        <v/>
      </c>
      <c r="T297" s="6">
        <f>IF(S297="",P297,S297)</f>
        <v/>
      </c>
      <c r="U297" s="7" t="n">
        <v>0</v>
      </c>
      <c r="V297" s="6">
        <f>$T297*U297</f>
        <v/>
      </c>
      <c r="W297" s="7" t="n">
        <v>0.4</v>
      </c>
      <c r="X297" s="6">
        <f>$T297*W297</f>
        <v/>
      </c>
      <c r="Y297" s="7" t="n">
        <v>0</v>
      </c>
      <c r="Z297" s="6">
        <f>$T297*Y297</f>
        <v/>
      </c>
      <c r="AA297" s="7" t="n">
        <v>0</v>
      </c>
      <c r="AB297" s="6">
        <f>$T297*AA297</f>
        <v/>
      </c>
      <c r="AC297" s="7" t="n">
        <v>0</v>
      </c>
      <c r="AD297" s="6">
        <f>$T297*AC297</f>
        <v/>
      </c>
      <c r="AE297" s="7" t="n">
        <v>0</v>
      </c>
      <c r="AF297" s="6">
        <f>$T297*AE297</f>
        <v/>
      </c>
      <c r="AG297" s="7" t="n">
        <v>0</v>
      </c>
      <c r="AH297" s="6">
        <f>$T297*AG297</f>
        <v/>
      </c>
      <c r="AI297" s="7">
        <f>U297+W297+Y297+AA297+AC297+AE297+AG297</f>
        <v/>
      </c>
      <c r="AJ297" s="6">
        <f>V297+X297+Z297+AB297+AD297+AF297+AH297</f>
        <v/>
      </c>
    </row>
    <row r="298" ht="60" customHeight="1" s="35">
      <c r="A298" s="3" t="inlineStr">
        <is>
          <t>LOM251.OC.EEA.PA01.I9766.SB030.0040</t>
        </is>
      </c>
      <c r="B298" s="4" t="inlineStr">
        <is>
          <t>1/1</t>
        </is>
      </c>
      <c r="C298" s="3" t="inlineStr">
        <is>
          <t>IMPIANTO MECCANICO</t>
        </is>
      </c>
      <c r="D298" s="4" t="inlineStr">
        <is>
          <t>SPECIALE</t>
        </is>
      </c>
      <c r="E298" s="4" t="inlineStr">
        <is>
          <t>MECCANICHE SPECIALI</t>
        </is>
      </c>
      <c r="F298" s="3" t="inlineStr">
        <is>
          <t>2_CME_TOTALE MECCANICI RADIOFARMACIA PAVIA.PDF</t>
        </is>
      </c>
      <c r="G298" s="4" t="inlineStr">
        <is>
          <t>55/55</t>
        </is>
      </c>
      <c r="H298" s="3" t="inlineStr">
        <is>
          <t>40 - IMPIANTISTICO</t>
        </is>
      </c>
      <c r="I298" s="3" t="inlineStr">
        <is>
          <t>CENTRALE</t>
        </is>
      </c>
      <c r="J298" s="3" t="inlineStr">
        <is>
          <t>IMPIANTO HVAC</t>
        </is>
      </c>
      <c r="K298" s="3" t="inlineStr">
        <is>
          <t>OPERA: FILTRO, RACCOGLITORE DI IMPURITÀ DI LEGA FERROSA GHISA GENERICO; FUNZIONE: RACCOLTA IMPURITÀ; IMPIEGO: RETE IDRICA; DIAMETRO NOMINALE (Ø) [MM] = 100; PRESSIONE NOMINALE [BAR] ≤ 16. INCLUSO: COR</t>
        </is>
      </c>
      <c r="L298" s="3" t="inlineStr">
        <is>
          <t>OPERA: FILTRO, RACCOGLITORE DI IMPURITÀ DI LEGA FERROSA GHISA GENERICO; FUNZIONE: RACCOLTA IMPURITÀ; IMPIEGO: RETE IDRICA; DIAMETRO NOMINALE (Ø) [MM] = 100; PRESSIONE NOMINALE [BAR] ≤ 16. INCLUSO: CORPO DI LEGA FERROSA GHISA GENERICO; COPERCHIO DI LEGA FERROSA GHISA GENERICO; CESTELLO DI LEGA FERROSA ACCIAIO INOX; GUARNIZIONI DEL TIPO SENZA AMIANTO. 
LAVORO: INSTALLAZIONE. 
SPECIFICHE TECNICHE: CESTELLO INTERCAMBIABILE; TAPPO DI SCARICO SUL COPERCHIO. OP FILTRO, RACCOGLITORE DI IMPURITÀ DI LEGA FERROSA GHISA GENERICO; FUNZIONE: RACCOLTA IMPURITÀ; IMPIEGO: RETE IDRICA; DIAMETRO NOMINALE (Ø) [MM] = 100; PRESSIONE NOMINALE [BAR] ≤ 16. INCLUSO: CORPO DI LEGA FERROSA GHISA GENERICO; COPERCHIO DI LEGA FERROSA GHISA GENERICO; CESTELLO DI LEGA FERROSA ACCIAIO INOX; GUARNIZIONI DEL TIPO SENZA AMIANTO. 
SPECIFICHE TECNICHE: CESTELLO INTERCAMBIABILE; TAPPO DI SCARICO SUL COPERCHIO. 
RM FILTRO RACCOGLITORE DI IMPURITÀ DI LEGA FERROSA GHISA GENERICO; FUNZIONE: RACCOLTA IMPURITÀ; IMPIEGO: RETE IDRICA; DIAMETRO NOMINALE (Ø) [MM] = 100; PRESSIONE NOMINALE [BAR] ≤ 16. INCLUSO: CORPO DI LEGA FERROSA GHISA GENERICO; COPERCHIO DI LEGA FERROSA GHISA GENERICO; CESTELLO DI LEGA FERROSA ACCIAIO INOX; GUARNIZIONI DEL TIPO SENZA AMIANTO 
SPECIFICHE TECNICHE: CESTELLO INTERCAMBIABILE; TAPPO DI SCARICO SUL COPERCHIO 
LV INSTALLAZIONE.</t>
        </is>
      </c>
      <c r="M298" s="4" t="inlineStr">
        <is>
          <t>CAD</t>
        </is>
      </c>
      <c r="N298" s="5" t="n">
        <v>3</v>
      </c>
      <c r="O298" s="6" t="n">
        <v>361.69</v>
      </c>
      <c r="P298" s="6" t="n">
        <v>1085.07</v>
      </c>
      <c r="Q298" s="5" t="n"/>
      <c r="R298" s="6" t="n"/>
      <c r="S298" s="6">
        <f>IF(AND(Q298&lt;&gt;"",R298&lt;&gt;""),Q298*R298,"")</f>
        <v/>
      </c>
      <c r="T298" s="6">
        <f>IF(S298="",P298,S298)</f>
        <v/>
      </c>
      <c r="U298" s="7" t="n">
        <v>0</v>
      </c>
      <c r="V298" s="6">
        <f>$T298*U298</f>
        <v/>
      </c>
      <c r="W298" s="7" t="n">
        <v>0.4</v>
      </c>
      <c r="X298" s="6">
        <f>$T298*W298</f>
        <v/>
      </c>
      <c r="Y298" s="7" t="n">
        <v>0</v>
      </c>
      <c r="Z298" s="6">
        <f>$T298*Y298</f>
        <v/>
      </c>
      <c r="AA298" s="7" t="n">
        <v>0</v>
      </c>
      <c r="AB298" s="6">
        <f>$T298*AA298</f>
        <v/>
      </c>
      <c r="AC298" s="7" t="n">
        <v>0</v>
      </c>
      <c r="AD298" s="6">
        <f>$T298*AC298</f>
        <v/>
      </c>
      <c r="AE298" s="7" t="n">
        <v>0</v>
      </c>
      <c r="AF298" s="6">
        <f>$T298*AE298</f>
        <v/>
      </c>
      <c r="AG298" s="7" t="n">
        <v>0</v>
      </c>
      <c r="AH298" s="6">
        <f>$T298*AG298</f>
        <v/>
      </c>
      <c r="AI298" s="7">
        <f>U298+W298+Y298+AA298+AC298+AE298+AG298</f>
        <v/>
      </c>
      <c r="AJ298" s="6">
        <f>V298+X298+Z298+AB298+AD298+AF298+AH298</f>
        <v/>
      </c>
    </row>
    <row r="299" ht="60" customHeight="1" s="35">
      <c r="A299" s="3" t="inlineStr">
        <is>
          <t>LOM251.OC.EEA.PA01.I9766.SB030.0035</t>
        </is>
      </c>
      <c r="B299" s="4" t="inlineStr">
        <is>
          <t>1/1</t>
        </is>
      </c>
      <c r="C299" s="3" t="inlineStr">
        <is>
          <t>IMPIANTO MECCANICO</t>
        </is>
      </c>
      <c r="D299" s="4" t="inlineStr">
        <is>
          <t>SPECIALE</t>
        </is>
      </c>
      <c r="E299" s="4" t="inlineStr">
        <is>
          <t>MECCANICHE SPECIALI</t>
        </is>
      </c>
      <c r="F299" s="3" t="inlineStr">
        <is>
          <t>2_CME_TOTALE MECCANICI RADIOFARMACIA PAVIA.PDF</t>
        </is>
      </c>
      <c r="G299" s="4" t="inlineStr">
        <is>
          <t>56/56</t>
        </is>
      </c>
      <c r="H299" s="3" t="inlineStr">
        <is>
          <t>40 - IMPIANTISTICO</t>
        </is>
      </c>
      <c r="I299" s="3" t="inlineStr">
        <is>
          <t>CENTRALE</t>
        </is>
      </c>
      <c r="J299" s="3" t="inlineStr">
        <is>
          <t>IMPIANTO HVAC</t>
        </is>
      </c>
      <c r="K299" s="3" t="inlineStr">
        <is>
          <t>OPERA: FILTRO, RACCOGLITORE DI IMPURITÀ DI LEGA FERROSA GHISA GENERICO; FUNZIONE: RACCOLTA IMPURITÀ; IMPIEGO: RETE IDRICA; DIAMETRO NOMINALE (Ø) [MM] = 80; PRESSIONE NOMINALE [BAR] ≤ 16. INCLUSO: CORP</t>
        </is>
      </c>
      <c r="L299" s="3" t="inlineStr">
        <is>
          <t>OPERA: FILTRO, RACCOGLITORE DI IMPURITÀ DI LEGA FERROSA GHISA GENERICO; FUNZIONE: RACCOLTA IMPURITÀ; IMPIEGO: RETE IDRICA; DIAMETRO NOMINALE (Ø) [MM] = 80; PRESSIONE NOMINALE [BAR] ≤ 16. INCLUSO: CORPO DI LEGA FERROSA GHISA GENERICO; COPERCHIO DI LEGA FERROSA GHISA GENERICO; CESTELLO DI LEGA FERROSA ACCIAIO INOX; GUARNIZIONI DEL TIPO SENZA AMIANTO. 
LAVORO: INSTALLAZIONE. 
SPECIFICHE TECNICHE: CESTELLO INTERCAMBIABILE; TAPPO DI SCARICO SUL COPERCHIO. OP FILTRO, RACCOGLITORE DI IMPURITÀ DI LEGA FERROSA GHISA GENERICO; FUNZIONE: RACCOLTA IMPURITÀ; IMPIEGO: RETE IDRICA; DIAMETRO NOMINALE (Ø) [MM] = 80; PRESSIONE NOMINALE [BAR] ≤ 16. INCLUSO: CORPO DI LEGA FERROSA GHISA GENERICO; COPERCHIO DI LEGA FERROSA GHISA GENERICO; CESTELLO DI LEGA FERROSA ACCIAIO INOX; GUARNIZIONI DEL TIPO SENZA AMIANTO. 
SPECIFICHE TECNICHE: CESTELLO INTERCAMBIABILE; TAPPO DI SCARICO SUL COPERCHIO. 
RM FILTRO RACCOGLITORE DI IMPURITÀ DI LEGA FERROSA GHISA GENERICO; FUNZIONE: RACCOLTA IMPURITÀ; IMPIEGO: RETE IDRICA; DIAMETRO NOMINALE (Ø) [MM] = 80; PRESSIONE NOMINALE [BAR] ≤ 16. INCLUSO: CORPO DI LEGA FERROSA GHISA GENERICO; COPERCHIO DI LEGA FERROSA GHISA GENERICO; CESTELLO DI LEGA FERROSA ACCIAIO INOX; GUARNIZIONI DEL TIPO SENZA AMIANTO 
SPECIFICHE TECNICHE: CESTELLO INTERCAMBIABILE; TAPPO DI SCARICO SUL COPERCHIO 
LV INSTALLAZIONE.</t>
        </is>
      </c>
      <c r="M299" s="4" t="inlineStr">
        <is>
          <t>CAD</t>
        </is>
      </c>
      <c r="N299" s="5" t="n">
        <v>2</v>
      </c>
      <c r="O299" s="6" t="n">
        <v>263.26</v>
      </c>
      <c r="P299" s="6" t="n">
        <v>526.52</v>
      </c>
      <c r="Q299" s="5" t="n"/>
      <c r="R299" s="6" t="n"/>
      <c r="S299" s="6">
        <f>IF(AND(Q299&lt;&gt;"",R299&lt;&gt;""),Q299*R299,"")</f>
        <v/>
      </c>
      <c r="T299" s="6">
        <f>IF(S299="",P299,S299)</f>
        <v/>
      </c>
      <c r="U299" s="7" t="n">
        <v>0</v>
      </c>
      <c r="V299" s="6">
        <f>$T299*U299</f>
        <v/>
      </c>
      <c r="W299" s="7" t="n">
        <v>0.4</v>
      </c>
      <c r="X299" s="6">
        <f>$T299*W299</f>
        <v/>
      </c>
      <c r="Y299" s="7" t="n">
        <v>0</v>
      </c>
      <c r="Z299" s="6">
        <f>$T299*Y299</f>
        <v/>
      </c>
      <c r="AA299" s="7" t="n">
        <v>0</v>
      </c>
      <c r="AB299" s="6">
        <f>$T299*AA299</f>
        <v/>
      </c>
      <c r="AC299" s="7" t="n">
        <v>0</v>
      </c>
      <c r="AD299" s="6">
        <f>$T299*AC299</f>
        <v/>
      </c>
      <c r="AE299" s="7" t="n">
        <v>0</v>
      </c>
      <c r="AF299" s="6">
        <f>$T299*AE299</f>
        <v/>
      </c>
      <c r="AG299" s="7" t="n">
        <v>0</v>
      </c>
      <c r="AH299" s="6">
        <f>$T299*AG299</f>
        <v/>
      </c>
      <c r="AI299" s="7">
        <f>U299+W299+Y299+AA299+AC299+AE299+AG299</f>
        <v/>
      </c>
      <c r="AJ299" s="6">
        <f>V299+X299+Z299+AB299+AD299+AF299+AH299</f>
        <v/>
      </c>
    </row>
    <row r="300" ht="60" customHeight="1" s="35">
      <c r="A300" s="3" t="inlineStr">
        <is>
          <t>LOM251.OC.EEA.PA01.I9766.SB030.0030</t>
        </is>
      </c>
      <c r="B300" s="4" t="inlineStr">
        <is>
          <t>1/1</t>
        </is>
      </c>
      <c r="C300" s="3" t="inlineStr">
        <is>
          <t>IMPIANTO MECCANICO</t>
        </is>
      </c>
      <c r="D300" s="4" t="inlineStr">
        <is>
          <t>SPECIALE</t>
        </is>
      </c>
      <c r="E300" s="4" t="inlineStr">
        <is>
          <t>MECCANICHE SPECIALI</t>
        </is>
      </c>
      <c r="F300" s="3" t="inlineStr">
        <is>
          <t>2_CME_TOTALE MECCANICI RADIOFARMACIA PAVIA.PDF</t>
        </is>
      </c>
      <c r="G300" s="4" t="inlineStr">
        <is>
          <t>57/57</t>
        </is>
      </c>
      <c r="H300" s="3" t="inlineStr">
        <is>
          <t>40 - IMPIANTISTICO</t>
        </is>
      </c>
      <c r="I300" s="3" t="inlineStr">
        <is>
          <t>CENTRALE</t>
        </is>
      </c>
      <c r="J300" s="3" t="inlineStr">
        <is>
          <t>IMPIANTO HVAC</t>
        </is>
      </c>
      <c r="K300" s="3" t="inlineStr">
        <is>
          <t>OPERA: FILTRO, RACCOGLITORE DI IMPURITÀ DI LEGA FERROSA GHISA GENERICO; FUNZIONE: RACCOLTA IMPURITÀ; IMPIEGO: RETE IDRICA; DIAMETRO NOMINALE (Ø) [MM] = 65; PRESSIONE NOMINALE [BAR] ≤ 16. INCLUSO: CORP</t>
        </is>
      </c>
      <c r="L300" s="3" t="inlineStr">
        <is>
          <t>OPERA: FILTRO, RACCOGLITORE DI IMPURITÀ DI LEGA FERROSA GHISA GENERICO; FUNZIONE: RACCOLTA IMPURITÀ; IMPIEGO: RETE IDRICA; DIAMETRO NOMINALE (Ø) [MM] = 65; PRESSIONE NOMINALE [BAR] ≤ 16. INCLUSO: CORPO DI LEGA FERROSA GHISA GENERICO; COPERCHIO DI LEGA FERROSA GHISA GENERICO; CESTELLO DI LEGA FERROSA ACCIAIO INOX; GUARNIZIONI DEL TIPO SENZA AMIANTO. 
LAVORO: INSTALLAZIONE. 
SPECIFICHE TECNICHE: CESTELLO INTERCAMBIABILE; TAPPO DI SCARICO SUL COPERCHIO. OP FILTRO, RACCOGLITORE DI IMPURITÀ DI LEGA FERROSA GHISA GENERICO; FUNZIONE: RACCOLTA IMPURITÀ; IMPIEGO: RETE IDRICA; DIAMETRO NOMINALE (Ø) [MM] = 65; PRESSIONE NOMINALE [BAR] ≤ 16. INCLUSO: CORPO DI LEGA FERROSA GHISA GENERICO; COPERCHIO DI LEGA FERROSA GHISA GENERICO; CESTELLO DI LEGA FERROSA ACCIAIO INOX; GUARNIZIONI DEL TIPO SENZA AMIANTO. 
SPECIFICHE TECNICHE: CESTELLO INTERCAMBIABILE; TAPPO DI SCARICO SUL COPERCHIO. 
RM FILTRO RACCOGLITORE DI IMPURITÀ DI LEGA FERROSA GHISA GENERICO; FUNZIONE: RACCOLTA IMPURITÀ; IMPIEGO: RETE IDRICA; DIAMETRO NOMINALE (Ø) [MM] = 65; PRESSIONE NOMINALE [BAR] ≤ 16. INCLUSO: CORPO DI LEGA FERROSA GHISA GENERICO; COPERCHIO DI LEGA FERROSA GHISA GENERICO; CESTELLO DI LEGA FERROSA ACCIAIO INOX; GUARNIZIONI DEL TIPO SENZA AMIANTO 
SPECIFICHE TECNICHE: CESTELLO INTERCAMBIABILE; TAPPO DI SCARICO SUL COPERCHIO 
LV INSTALLAZIONE.</t>
        </is>
      </c>
      <c r="M300" s="4" t="inlineStr">
        <is>
          <t>CAD</t>
        </is>
      </c>
      <c r="N300" s="5" t="n">
        <v>3</v>
      </c>
      <c r="O300" s="6" t="n">
        <v>196.85</v>
      </c>
      <c r="P300" s="6" t="n">
        <v>590.55</v>
      </c>
      <c r="Q300" s="5" t="n"/>
      <c r="R300" s="6" t="n"/>
      <c r="S300" s="6">
        <f>IF(AND(Q300&lt;&gt;"",R300&lt;&gt;""),Q300*R300,"")</f>
        <v/>
      </c>
      <c r="T300" s="6">
        <f>IF(S300="",P300,S300)</f>
        <v/>
      </c>
      <c r="U300" s="7" t="n">
        <v>0</v>
      </c>
      <c r="V300" s="6">
        <f>$T300*U300</f>
        <v/>
      </c>
      <c r="W300" s="7" t="n">
        <v>0.4</v>
      </c>
      <c r="X300" s="6">
        <f>$T300*W300</f>
        <v/>
      </c>
      <c r="Y300" s="7" t="n">
        <v>0</v>
      </c>
      <c r="Z300" s="6">
        <f>$T300*Y300</f>
        <v/>
      </c>
      <c r="AA300" s="7" t="n">
        <v>0</v>
      </c>
      <c r="AB300" s="6">
        <f>$T300*AA300</f>
        <v/>
      </c>
      <c r="AC300" s="7" t="n">
        <v>0</v>
      </c>
      <c r="AD300" s="6">
        <f>$T300*AC300</f>
        <v/>
      </c>
      <c r="AE300" s="7" t="n">
        <v>0</v>
      </c>
      <c r="AF300" s="6">
        <f>$T300*AE300</f>
        <v/>
      </c>
      <c r="AG300" s="7" t="n">
        <v>0</v>
      </c>
      <c r="AH300" s="6">
        <f>$T300*AG300</f>
        <v/>
      </c>
      <c r="AI300" s="7">
        <f>U300+W300+Y300+AA300+AC300+AE300+AG300</f>
        <v/>
      </c>
      <c r="AJ300" s="6">
        <f>V300+X300+Z300+AB300+AD300+AF300+AH300</f>
        <v/>
      </c>
    </row>
    <row r="301" ht="60" customHeight="1" s="35">
      <c r="A301" s="3" t="inlineStr">
        <is>
          <t>LOM251.OC.EEA.PA01.I9766.SB030.0025</t>
        </is>
      </c>
      <c r="B301" s="4" t="inlineStr">
        <is>
          <t>1/1</t>
        </is>
      </c>
      <c r="C301" s="3" t="inlineStr">
        <is>
          <t>IMPIANTO MECCANICO</t>
        </is>
      </c>
      <c r="D301" s="4" t="inlineStr">
        <is>
          <t>SPECIALE</t>
        </is>
      </c>
      <c r="E301" s="4" t="inlineStr">
        <is>
          <t>MECCANICHE SPECIALI</t>
        </is>
      </c>
      <c r="F301" s="3" t="inlineStr">
        <is>
          <t>2_CME_TOTALE MECCANICI RADIOFARMACIA PAVIA.PDF</t>
        </is>
      </c>
      <c r="G301" s="4" t="inlineStr">
        <is>
          <t>58/58</t>
        </is>
      </c>
      <c r="H301" s="3" t="inlineStr">
        <is>
          <t>40 - IMPIANTISTICO</t>
        </is>
      </c>
      <c r="I301" s="3" t="inlineStr">
        <is>
          <t>CENTRALE</t>
        </is>
      </c>
      <c r="J301" s="3" t="inlineStr">
        <is>
          <t>IMPIANTO HVAC</t>
        </is>
      </c>
      <c r="K301" s="3" t="inlineStr">
        <is>
          <t>OPERA: FILTRO, RACCOGLITORE DI IMPURITÀ DI LEGA FERROSA GHISA GENERICO; FUNZIONE: RACCOLTA IMPURITÀ; IMPIEGO: RETE IDRICA; DIAMETRO NOMINALE (Ø) [MM] = 50; PRESSIONE NOMINALE [BAR] ≤ 16. INCLUSO: CORP</t>
        </is>
      </c>
      <c r="L301" s="3" t="inlineStr">
        <is>
          <t>OPERA: FILTRO, RACCOGLITORE DI IMPURITÀ DI LEGA FERROSA GHISA GENERICO; FUNZIONE: RACCOLTA IMPURITÀ; IMPIEGO: RETE IDRICA; DIAMETRO NOMINALE (Ø) [MM] = 50; PRESSIONE NOMINALE [BAR] ≤ 16. INCLUSO: CORPO DI LEGA FERROSA GHISA GENERICO; COPERCHIO DI LEGA FERROSA GHISA GENERICO; CESTELLO DI LEGA FERROSA ACCIAIO INOX; GUARNIZIONI DEL TIPO SENZA AMIANTO. 
LAVORO: INSTALLAZIONE. 
SPECIFICHE TECNICHE: CESTELLO INTERCAMBIABILE; TAPPO DI SCARICO SUL COPERCHIO. OP FILTRO, RACCOGLITORE DI IMPURITÀ DI LEGA FERROSA GHISA GENERICO; FUNZIONE: RACCOLTA IMPURITÀ; IMPIEGO: RETE IDRICA; DIAMETRO NOMINALE (Ø) [MM] = 50; PRESSIONE NOMINALE [BAR] ≤ 16. INCLUSO: CORPO DI LEGA FERROSA GHISA GENERICO; COPERCHIO DI LEGA FERROSA GHISA GENERICO; CESTELLO DI LEGA FERROSA ACCIAIO INOX; GUARNIZIONI DEL TIPO SENZA AMIANTO. 
SPECIFICHE TECNICHE: CESTELLO INTERCAMBIABILE; TAPPO DI SCARICO SUL COPERCHIO. 
RM FILTRO RACCOGLITORE DI IMPURITÀ DI LEGA FERROSA GHISA GENERICO; FUNZIONE: RACCOLTA IMPURITÀ; IMPIEGO: RETE IDRICA; DIAMETRO NOMINALE (Ø) [MM] = 50; PRESSIONE NOMINALE [BAR] ≤ 16. INCLUSO: CORPO DI LEGA FERROSA GHISA GENERICO; COPERCHIO DI LEGA FERROSA GHISA GENERICO; CESTELLO DI LEGA FERROSA ACCIAIO INOX; GUARNIZIONI DEL TIPO SENZA AMIANTO 
SPECIFICHE TECNICHE: CESTELLO INTERCAMBIABILE; TAPPO DI SCARICO SUL COPERCHIO 
LV INSTALLAZIONE.</t>
        </is>
      </c>
      <c r="M301" s="4" t="inlineStr">
        <is>
          <t>CAD</t>
        </is>
      </c>
      <c r="N301" s="5" t="n">
        <v>2</v>
      </c>
      <c r="O301" s="6" t="n">
        <v>136.37</v>
      </c>
      <c r="P301" s="6" t="n">
        <v>272.74</v>
      </c>
      <c r="Q301" s="5" t="n"/>
      <c r="R301" s="6" t="n"/>
      <c r="S301" s="6">
        <f>IF(AND(Q301&lt;&gt;"",R301&lt;&gt;""),Q301*R301,"")</f>
        <v/>
      </c>
      <c r="T301" s="6">
        <f>IF(S301="",P301,S301)</f>
        <v/>
      </c>
      <c r="U301" s="7" t="n">
        <v>0</v>
      </c>
      <c r="V301" s="6">
        <f>$T301*U301</f>
        <v/>
      </c>
      <c r="W301" s="7" t="n">
        <v>0.4</v>
      </c>
      <c r="X301" s="6">
        <f>$T301*W301</f>
        <v/>
      </c>
      <c r="Y301" s="7" t="n">
        <v>0</v>
      </c>
      <c r="Z301" s="6">
        <f>$T301*Y301</f>
        <v/>
      </c>
      <c r="AA301" s="7" t="n">
        <v>0</v>
      </c>
      <c r="AB301" s="6">
        <f>$T301*AA301</f>
        <v/>
      </c>
      <c r="AC301" s="7" t="n">
        <v>0</v>
      </c>
      <c r="AD301" s="6">
        <f>$T301*AC301</f>
        <v/>
      </c>
      <c r="AE301" s="7" t="n">
        <v>0</v>
      </c>
      <c r="AF301" s="6">
        <f>$T301*AE301</f>
        <v/>
      </c>
      <c r="AG301" s="7" t="n">
        <v>0</v>
      </c>
      <c r="AH301" s="6">
        <f>$T301*AG301</f>
        <v/>
      </c>
      <c r="AI301" s="7">
        <f>U301+W301+Y301+AA301+AC301+AE301+AG301</f>
        <v/>
      </c>
      <c r="AJ301" s="6">
        <f>V301+X301+Z301+AB301+AD301+AF301+AH301</f>
        <v/>
      </c>
    </row>
    <row r="302" ht="60" customHeight="1" s="35">
      <c r="A302" s="3" t="inlineStr">
        <is>
          <t>LOM251.OC.EEA.PA01.I9766.SB030.0020</t>
        </is>
      </c>
      <c r="B302" s="4" t="inlineStr">
        <is>
          <t>2/2</t>
        </is>
      </c>
      <c r="C302" s="3" t="inlineStr">
        <is>
          <t>IMPIANTO MECCANICO</t>
        </is>
      </c>
      <c r="D302" s="4" t="inlineStr">
        <is>
          <t>SPECIALE</t>
        </is>
      </c>
      <c r="E302" s="4" t="inlineStr">
        <is>
          <t>MECCANICHE SPECIALI</t>
        </is>
      </c>
      <c r="F302" s="3" t="inlineStr">
        <is>
          <t>2_CME_TOTALE MECCANICI RADIOFARMACIA PAVIA.PDF</t>
        </is>
      </c>
      <c r="G302" s="4" t="inlineStr">
        <is>
          <t>59/59</t>
        </is>
      </c>
      <c r="H302" s="3" t="inlineStr">
        <is>
          <t>40 - IMPIANTISTICO</t>
        </is>
      </c>
      <c r="I302" s="3" t="inlineStr">
        <is>
          <t>CENTRALE</t>
        </is>
      </c>
      <c r="J302" s="3" t="inlineStr">
        <is>
          <t>IMPIANTO HVAC</t>
        </is>
      </c>
      <c r="K302" s="3" t="inlineStr">
        <is>
          <t>OPERA: FILTRO, RACCOGLITORE DI IMPURITÀ DI LEGA FERROSA GHISA GENERICO; FUNZIONE: RACCOLTA IMPURITÀ; IMPIEGO: RETE IDRICA; DIAMETRO NOMINALE (Ø) [MM] = 40; PRESSIONE NOMINALE [BAR] ≤ 16. INCLUSO: CORP</t>
        </is>
      </c>
      <c r="L302" s="3" t="inlineStr">
        <is>
          <t>OPERA: FILTRO, RACCOGLITORE DI IMPURITÀ DI LEGA FERROSA GHISA GENERICO; FUNZIONE: RACCOLTA IMPURITÀ; IMPIEGO: RETE IDRICA; DIAMETRO NOMINALE (Ø) [MM] = 40; PRESSIONE NOMINALE [BAR] ≤ 16. INCLUSO: CORPO DI LEGA FERROSA GHISA GENERICO; COPERCHIO DI LEGA FERROSA GHISA GENERICO; CESTELLO DI LEGA FERROSA ACCIAIO INOX; GUARNIZIONI DEL TIPO SENZA AMIANTO. 
LAVORO: INSTALLAZIONE. 
SPECIFICHE TECNICHE: CESTELLO INTERCAMBIABILE; TAPPO DI SCARICO SUL COPERCHIO. OP FILTRO, RACCOGLITORE DI IMPURITÀ DI LEGA FERROSA GHISA GENERICO; FUNZIONE: RACCOLTA IMPURITÀ; IMPIEGO: RETE IDRICA; DIAMETRO NOMINALE (Ø) [MM] = 40; PRESSIONE NOMINALE [BAR] ≤ 16. INCLUSO: CORPO DI LEGA FERROSA GHISA GENERICO; COPERCHIO DI LEGA FERROSA GHISA GENERICO; CESTELLO DI LEGA FERROSA ACCIAIO INOX; GUARNIZIONI DEL TIPO SENZA AMIANTO. 
SPECIFICHE TECNICHE: CESTELLO INTERCAMBIABILE; TAPPO DI SCARICO SUL COPERCHIO. 
RM FILTRO RACCOGLITORE DI IMPURITÀ DI LEGA FERROSA GHISA GENERICO; FUNZIONE: RACCOLTA IMPURITÀ; IMPIEGO: RETE IDRICA; DIAMETRO NOMINALE (Ø) [MM] = 40; PRESSIONE NOMINALE [BAR] ≤ 16. INCLUSO: CORPO DI LEGA FERROSA GHISA GENERICO; COPERCHIO DI LEGA FERROSA GHISA GENERICO; CESTELLO DI LEGA FERROSA ACCIAIO INOX; GUARNIZIONI DEL TIPO SENZA AMIANTO 
SPECIFICHE TECNICHE: CESTELLO INTERCAMBIABILE; TAPPO DI SCARICO SUL COPERCHIO 
LV INSTALLAZIONE.</t>
        </is>
      </c>
      <c r="M302" s="4" t="inlineStr">
        <is>
          <t>CAD</t>
        </is>
      </c>
      <c r="N302" s="5" t="n">
        <v>2</v>
      </c>
      <c r="O302" s="6" t="n">
        <v>78.86</v>
      </c>
      <c r="P302" s="6" t="n">
        <v>157.72</v>
      </c>
      <c r="Q302" s="5" t="n"/>
      <c r="R302" s="6" t="n"/>
      <c r="S302" s="6">
        <f>IF(AND(Q302&lt;&gt;"",R302&lt;&gt;""),Q302*R302,"")</f>
        <v/>
      </c>
      <c r="T302" s="6">
        <f>IF(S302="",P302,S302)</f>
        <v/>
      </c>
      <c r="U302" s="7" t="n">
        <v>0</v>
      </c>
      <c r="V302" s="6">
        <f>$T302*U302</f>
        <v/>
      </c>
      <c r="W302" s="7" t="n">
        <v>0.4</v>
      </c>
      <c r="X302" s="6">
        <f>$T302*W302</f>
        <v/>
      </c>
      <c r="Y302" s="7" t="n">
        <v>0</v>
      </c>
      <c r="Z302" s="6">
        <f>$T302*Y302</f>
        <v/>
      </c>
      <c r="AA302" s="7" t="n">
        <v>0</v>
      </c>
      <c r="AB302" s="6">
        <f>$T302*AA302</f>
        <v/>
      </c>
      <c r="AC302" s="7" t="n">
        <v>0</v>
      </c>
      <c r="AD302" s="6">
        <f>$T302*AC302</f>
        <v/>
      </c>
      <c r="AE302" s="7" t="n">
        <v>0</v>
      </c>
      <c r="AF302" s="6">
        <f>$T302*AE302</f>
        <v/>
      </c>
      <c r="AG302" s="7" t="n">
        <v>0</v>
      </c>
      <c r="AH302" s="6">
        <f>$T302*AG302</f>
        <v/>
      </c>
      <c r="AI302" s="7">
        <f>U302+W302+Y302+AA302+AC302+AE302+AG302</f>
        <v/>
      </c>
      <c r="AJ302" s="6">
        <f>V302+X302+Z302+AB302+AD302+AF302+AH302</f>
        <v/>
      </c>
    </row>
    <row r="303" ht="60" customHeight="1" s="35">
      <c r="A303" s="3" t="inlineStr">
        <is>
          <t>LOM251.OC.EEA.PA01.F9740.ZA001.0250</t>
        </is>
      </c>
      <c r="B303" s="4" t="inlineStr">
        <is>
          <t>2/2</t>
        </is>
      </c>
      <c r="C303" s="3" t="inlineStr">
        <is>
          <t>IMPIANTO MECCANICO</t>
        </is>
      </c>
      <c r="D303" s="4" t="inlineStr">
        <is>
          <t>SPECIALE</t>
        </is>
      </c>
      <c r="E303" s="4" t="inlineStr">
        <is>
          <t>MECCANICHE SPECIALI</t>
        </is>
      </c>
      <c r="F303" s="3" t="inlineStr">
        <is>
          <t>2_CME_TOTALE MECCANICI RADIOFARMACIA PAVIA.PDF</t>
        </is>
      </c>
      <c r="G303" s="4" t="inlineStr">
        <is>
          <t>60/60</t>
        </is>
      </c>
      <c r="H303" s="3" t="inlineStr">
        <is>
          <t>40 - IMPIANTISTICO</t>
        </is>
      </c>
      <c r="I303" s="3" t="inlineStr">
        <is>
          <t>CENTRALE</t>
        </is>
      </c>
      <c r="J303" s="3" t="inlineStr">
        <is>
          <t>IMPIANTO HVAC</t>
        </is>
      </c>
      <c r="K303" s="3" t="inlineStr">
        <is>
          <t xml:space="preserve">OPERA: TERMOMETRO, A COLONNA; GEOMETRIA: DRITTO; FUNZIONE: MISURAZIONE TEMPERATURA; IMPIEGO: TUBAZIONE. INCLUSO: CUSTODIA; POZZETTO. </t>
        </is>
      </c>
      <c r="L303" s="3" t="inlineStr">
        <is>
          <t>OPERA: TERMOMETRO, A COLONNA; GEOMETRIA: DRITTO; FUNZIONE: MISURAZIONE TEMPERATURA; IMPIEGO: TUBAZIONE. INCLUSO: CUSTODIA; POZZETTO. 
LAVORO: INSTALLAZIONE. OP TERMOMETRO, A COLONNA; GEOMETRIA: DRITTO; FUNZIONE: MISURAZIONE TEMPERATURA; IMPIEGO: TUBAZIONE. INCLUSO: CUSTODIA; POZZETTO. 
RM TERMOMETRO A COLONNA; GEOMETRIA: DRITTO; FUNZIONE: MISURAZIONE TEMPERATURA; IMPIEGO: TUBAZIONE. INCLUSO: CUSTODIA; POZZETTO 
LV INSTALLAZIONE.</t>
        </is>
      </c>
      <c r="M303" s="4" t="inlineStr">
        <is>
          <t>CAD</t>
        </is>
      </c>
      <c r="N303" s="5" t="n">
        <v>48</v>
      </c>
      <c r="O303" s="6" t="n">
        <v>17.2</v>
      </c>
      <c r="P303" s="6" t="n">
        <v>825.6</v>
      </c>
      <c r="Q303" s="5" t="n"/>
      <c r="R303" s="6" t="n"/>
      <c r="S303" s="6">
        <f>IF(AND(Q303&lt;&gt;"",R303&lt;&gt;""),Q303*R303,"")</f>
        <v/>
      </c>
      <c r="T303" s="6">
        <f>IF(S303="",P303,S303)</f>
        <v/>
      </c>
      <c r="U303" s="7" t="n">
        <v>0</v>
      </c>
      <c r="V303" s="6">
        <f>$T303*U303</f>
        <v/>
      </c>
      <c r="W303" s="7" t="n">
        <v>0</v>
      </c>
      <c r="X303" s="6">
        <f>$T303*W303</f>
        <v/>
      </c>
      <c r="Y303" s="7" t="n">
        <v>0</v>
      </c>
      <c r="Z303" s="6">
        <f>$T303*Y303</f>
        <v/>
      </c>
      <c r="AA303" s="7" t="n">
        <v>0</v>
      </c>
      <c r="AB303" s="6">
        <f>$T303*AA303</f>
        <v/>
      </c>
      <c r="AC303" s="7" t="n">
        <v>0</v>
      </c>
      <c r="AD303" s="6">
        <f>$T303*AC303</f>
        <v/>
      </c>
      <c r="AE303" s="7" t="n">
        <v>0</v>
      </c>
      <c r="AF303" s="6">
        <f>$T303*AE303</f>
        <v/>
      </c>
      <c r="AG303" s="7" t="n">
        <v>0</v>
      </c>
      <c r="AH303" s="6">
        <f>$T303*AG303</f>
        <v/>
      </c>
      <c r="AI303" s="7">
        <f>U303+W303+Y303+AA303+AC303+AE303+AG303</f>
        <v/>
      </c>
      <c r="AJ303" s="6">
        <f>V303+X303+Z303+AB303+AD303+AF303+AH303</f>
        <v/>
      </c>
    </row>
    <row r="304" ht="60" customHeight="1" s="35">
      <c r="A304" s="3" t="inlineStr">
        <is>
          <t>LOM251.OC.EEA.PA01.F9742.ZA001.0005</t>
        </is>
      </c>
      <c r="B304" s="4" t="inlineStr">
        <is>
          <t>2/2</t>
        </is>
      </c>
      <c r="C304" s="3" t="inlineStr">
        <is>
          <t>IMPIANTO MECCANICO</t>
        </is>
      </c>
      <c r="D304" s="4" t="inlineStr">
        <is>
          <t>SPECIALE</t>
        </is>
      </c>
      <c r="E304" s="4" t="inlineStr">
        <is>
          <t>MECCANICHE SPECIALI</t>
        </is>
      </c>
      <c r="F304" s="3" t="inlineStr">
        <is>
          <t>2_CME_TOTALE MECCANICI RADIOFARMACIA PAVIA.PDF</t>
        </is>
      </c>
      <c r="G304" s="4" t="inlineStr">
        <is>
          <t>61/61</t>
        </is>
      </c>
      <c r="H304" s="3" t="inlineStr">
        <is>
          <t>40 - IMPIANTISTICO</t>
        </is>
      </c>
      <c r="I304" s="3" t="inlineStr">
        <is>
          <t>CENTRALE</t>
        </is>
      </c>
      <c r="J304" s="3" t="inlineStr">
        <is>
          <t>IMPIANTO HVAC</t>
        </is>
      </c>
      <c r="K304" s="3" t="inlineStr">
        <is>
          <t xml:space="preserve">OPERA: MANOMETRO, PER ACQUA; GEOMETRIA: QUADRANTE AD ATTACCO CENTRALE; FUNZIONE: MISURAZIONE PRESSIONE; IMPIEGO: CENTRALE IDRICA; DIAMETRO QUADRANTE (Ø) [MM] = 80. INCLUSO: INDICE DI RIFERIMENTO. </t>
        </is>
      </c>
      <c r="L304" s="3" t="inlineStr">
        <is>
          <t>OPERA: MANOMETRO, PER ACQUA; GEOMETRIA: QUADRANTE AD ATTACCO CENTRALE; FUNZIONE: MISURAZIONE PRESSIONE; IMPIEGO: CENTRALE IDRICA; DIAMETRO QUADRANTE (Ø) [MM] = 80. INCLUSO: INDICE DI RIFERIMENTO. 
LAVORO: INSTALLAZIONE. OP MANOMETRO, PER ACQUA; GEOMETRIA: QUADRANTE AD ATTACCO CENTRALE; FUNZIONE: MISURAZIONE PRESSIONE; IMPIEGO: CENTRALE IDRICA; DIAMETRO QUADRANTE (Ø) [MM] = 80. INCLUSO: INDICE DI RIFERIMENTO. 
RM MANOMETRO PER ACQUA; GEOMETRIA: QUADRANTE AD ATTACCO CENTRALE; FUNZIONE: MISURAZIONE PRESSIONE; IMPIEGO: CENTRALE IDRICA; DIAMETRO QUADRANTE (Ø) [MM] = 80. INCLUSO: INDICE DI RIFERIMENTO 
LV INSTALLAZIONE.</t>
        </is>
      </c>
      <c r="M304" s="4" t="inlineStr">
        <is>
          <t>CAD</t>
        </is>
      </c>
      <c r="N304" s="5" t="n">
        <v>18</v>
      </c>
      <c r="O304" s="6" t="n">
        <v>45.95</v>
      </c>
      <c r="P304" s="6" t="n">
        <v>827.1</v>
      </c>
      <c r="Q304" s="5" t="n"/>
      <c r="R304" s="6" t="n"/>
      <c r="S304" s="6">
        <f>IF(AND(Q304&lt;&gt;"",R304&lt;&gt;""),Q304*R304,"")</f>
        <v/>
      </c>
      <c r="T304" s="6">
        <f>IF(S304="",P304,S304)</f>
        <v/>
      </c>
      <c r="U304" s="7" t="n">
        <v>0</v>
      </c>
      <c r="V304" s="6">
        <f>$T304*U304</f>
        <v/>
      </c>
      <c r="W304" s="7" t="n">
        <v>0</v>
      </c>
      <c r="X304" s="6">
        <f>$T304*W304</f>
        <v/>
      </c>
      <c r="Y304" s="7" t="n">
        <v>0</v>
      </c>
      <c r="Z304" s="6">
        <f>$T304*Y304</f>
        <v/>
      </c>
      <c r="AA304" s="7" t="n">
        <v>0</v>
      </c>
      <c r="AB304" s="6">
        <f>$T304*AA304</f>
        <v/>
      </c>
      <c r="AC304" s="7" t="n">
        <v>0</v>
      </c>
      <c r="AD304" s="6">
        <f>$T304*AC304</f>
        <v/>
      </c>
      <c r="AE304" s="7" t="n">
        <v>0</v>
      </c>
      <c r="AF304" s="6">
        <f>$T304*AE304</f>
        <v/>
      </c>
      <c r="AG304" s="7" t="n">
        <v>0</v>
      </c>
      <c r="AH304" s="6">
        <f>$T304*AG304</f>
        <v/>
      </c>
      <c r="AI304" s="7">
        <f>U304+W304+Y304+AA304+AC304+AE304+AG304</f>
        <v/>
      </c>
      <c r="AJ304" s="6">
        <f>V304+X304+Z304+AB304+AD304+AF304+AH304</f>
        <v/>
      </c>
    </row>
    <row r="305" ht="60" customHeight="1" s="35">
      <c r="A305" s="3" t="inlineStr">
        <is>
          <t>LOM251.OC.EEA.PA02.F9730.ZA000.0755</t>
        </is>
      </c>
      <c r="B305" s="4" t="inlineStr">
        <is>
          <t>2/2</t>
        </is>
      </c>
      <c r="C305" s="3" t="inlineStr">
        <is>
          <t>IMPIANTO MECCANICO</t>
        </is>
      </c>
      <c r="D305" s="4" t="inlineStr">
        <is>
          <t>SPECIALE</t>
        </is>
      </c>
      <c r="E305" s="4" t="inlineStr">
        <is>
          <t>MECCANICHE SPECIALI</t>
        </is>
      </c>
      <c r="F305" s="3" t="inlineStr">
        <is>
          <t>2_CME_TOTALE MECCANICI RADIOFARMACIA PAVIA.PDF</t>
        </is>
      </c>
      <c r="G305" s="4" t="inlineStr">
        <is>
          <t>62/62</t>
        </is>
      </c>
      <c r="H305" s="3" t="inlineStr">
        <is>
          <t>40 - IMPIANTISTICO</t>
        </is>
      </c>
      <c r="I305" s="3" t="inlineStr">
        <is>
          <t>CENTRALE</t>
        </is>
      </c>
      <c r="J305" s="3" t="inlineStr">
        <is>
          <t>IMPIANTO HVAC</t>
        </is>
      </c>
      <c r="K305" s="3" t="inlineStr">
        <is>
          <t>OPERA: VALVOLA, AUTOMATICA DI MATERIALE GENERICO; GEOMETRIA: ATTACCHI A SQUADRA | ATTACCHI A SQUADRA | SFOGO ARIA; DIAMETRO NOMINALE (Ø) [MM] = 20; PRESSIONE MASSIMA DI ESERCIZIO [BAR] = 10 | TEMPERAT</t>
        </is>
      </c>
      <c r="L305" s="3" t="inlineStr">
        <is>
          <t>OPERA: VALVOLA, AUTOMATICA DI MATERIALE GENERICO; GEOMETRIA: ATTACCHI A SQUADRA | ATTACCHI A SQUADRA | SFOGO ARIA; DIAMETRO NOMINALE (Ø) [MM] = 20; PRESSIONE MASSIMA DI ESERCIZIO [BAR] = 10 | TEMPERATURA DI ESERCIZIO [°C] = 110. 
LAVORO: POSA. OP VALVOLA, AUTOMATICA DI MATERIALE GENERICO; GEOMETRIA: ATTACCHI A SQUADRA | ATTACCHI A SQUADRA | SFOGO ARIA; DIAMETRO NOMINALE (Ø) [MM] = 20; PRESSIONE MASSIMA DI ESERCIZIO [BAR] = 10 | TEMPERATURA DI ESERCIZIO [°C] = 110. 
RM VALVOLA AUTOMATICA DI MATERIALE GENERICO; GEOMETRIA: ATTACCHI A SQUADRA | ATTACCHI A SQUADRA | SFOGO ARIA; DIAMETRO NOMINALE (Ø) [MM] = 20; PRESSIONE MASSIMA DI ESERCIZIO [BAR] = 10 | TEMPERATURA DI ESERCIZIO [°C] = 110 
LV POSA.</t>
        </is>
      </c>
      <c r="M305" s="4" t="inlineStr">
        <is>
          <t>CAD</t>
        </is>
      </c>
      <c r="N305" s="5" t="n">
        <v>18</v>
      </c>
      <c r="O305" s="6" t="n">
        <v>34.04</v>
      </c>
      <c r="P305" s="6" t="n">
        <v>612.72</v>
      </c>
      <c r="Q305" s="5" t="n"/>
      <c r="R305" s="6" t="n"/>
      <c r="S305" s="6">
        <f>IF(AND(Q305&lt;&gt;"",R305&lt;&gt;""),Q305*R305,"")</f>
        <v/>
      </c>
      <c r="T305" s="6">
        <f>IF(S305="",P305,S305)</f>
        <v/>
      </c>
      <c r="U305" s="7" t="n">
        <v>0</v>
      </c>
      <c r="V305" s="6">
        <f>$T305*U305</f>
        <v/>
      </c>
      <c r="W305" s="7" t="n">
        <v>0</v>
      </c>
      <c r="X305" s="6">
        <f>$T305*W305</f>
        <v/>
      </c>
      <c r="Y305" s="7" t="n">
        <v>0</v>
      </c>
      <c r="Z305" s="6">
        <f>$T305*Y305</f>
        <v/>
      </c>
      <c r="AA305" s="7" t="n">
        <v>0</v>
      </c>
      <c r="AB305" s="6">
        <f>$T305*AA305</f>
        <v/>
      </c>
      <c r="AC305" s="7" t="n">
        <v>0</v>
      </c>
      <c r="AD305" s="6">
        <f>$T305*AC305</f>
        <v/>
      </c>
      <c r="AE305" s="7" t="n">
        <v>0</v>
      </c>
      <c r="AF305" s="6">
        <f>$T305*AE305</f>
        <v/>
      </c>
      <c r="AG305" s="7" t="n">
        <v>0</v>
      </c>
      <c r="AH305" s="6">
        <f>$T305*AG305</f>
        <v/>
      </c>
      <c r="AI305" s="7">
        <f>U305+W305+Y305+AA305+AC305+AE305+AG305</f>
        <v/>
      </c>
      <c r="AJ305" s="6">
        <f>V305+X305+Z305+AB305+AD305+AF305+AH305</f>
        <v/>
      </c>
    </row>
    <row r="306" ht="60" customHeight="1" s="35">
      <c r="A306" s="3" t="inlineStr">
        <is>
          <t>LOM251.OC.EEA.PA01.I0005.ZA001.0000</t>
        </is>
      </c>
      <c r="B306" s="4" t="inlineStr">
        <is>
          <t>2/2</t>
        </is>
      </c>
      <c r="C306" s="3" t="inlineStr">
        <is>
          <t>IMPIANTO MECCANICO</t>
        </is>
      </c>
      <c r="D306" s="4" t="inlineStr">
        <is>
          <t>SPECIALE</t>
        </is>
      </c>
      <c r="E306" s="4" t="inlineStr">
        <is>
          <t>MECCANICHE SPECIALI</t>
        </is>
      </c>
      <c r="F306" s="3" t="inlineStr">
        <is>
          <t>2_CME_TOTALE MECCANICI RADIOFARMACIA PAVIA.PDF</t>
        </is>
      </c>
      <c r="G306" s="4" t="inlineStr">
        <is>
          <t>65/65</t>
        </is>
      </c>
      <c r="H306" s="3" t="inlineStr">
        <is>
          <t>40 - IMPIANTISTICO</t>
        </is>
      </c>
      <c r="I306" s="3" t="inlineStr">
        <is>
          <t>CENTRALE</t>
        </is>
      </c>
      <c r="J306" s="3" t="inlineStr">
        <is>
          <t>IMPIANTO HVAC</t>
        </is>
      </c>
      <c r="K306" s="3" t="inlineStr">
        <is>
          <t xml:space="preserve">OPERA: GRUPPO DI RIEMPIMENTO; FUNZIONE: STABILIZZAZIONE DELLA PRESSIONE; IMPIEGO: IMPIANTO DI RISCALDAMENTO A CIRCUITO CHIUSO; DIAMETRO NOMINALE (Ø) [MM] = 15; PRESSIONE MASSIMA IN ENTRATA [BAR] = 16 </t>
        </is>
      </c>
      <c r="L306" s="3" t="inlineStr">
        <is>
          <t>OPERA: GRUPPO DI RIEMPIMENTO; FUNZIONE: STABILIZZAZIONE DELLA PRESSIONE; IMPIEGO: IMPIANTO DI RISCALDAMENTO A CIRCUITO CHIUSO; DIAMETRO NOMINALE (Ø) [MM] = 15; PRESSIONE MASSIMA IN ENTRATA [BAR] = 16 | CAMPO DI REGOLAZIONE [BAR] = 0,3 ÷ 0,4 | ERRORE VALORE MAX. INCLUSO: RUBINETTO; FILTRO; VALVOLA DI NON RITORNO; MANOMETRO. 
LAVORO: INSTALLAZIONE. OP GRUPPO DI RIEMPIMENTO; FUNZIONE: STABILIZZAZIONE DELLA PRESSIONE; IMPIEGO: IMPIANTO DI RISCALDAMENTO A CIRCUITO CHIUSO; DIAMETRO NOMINALE (Ø) [MM] = 15; PRESSIONE MASSIMA IN ENTRATA [BAR] = 16 | CAMPO DI REGOLAZIONE [BAR] = 0,3 ÷ 0,4 | ERRORE VALORE MAX. INCLUSO: RUBINETTO; FILTRO; VALVOLA DI NON RITORNO; MANOMETRO. 
RM GRUPPO DI RIEMPIMENTO; FUNZIONE: STABILIZZAZIONE DELLA PRESSIONE; IMPIEGO: IMPIANTO DI RISCALDAMENTO A CIRCUITO CHIUSO; DIAMETRO NOMINALE (Ø) [MM] = 15; PRESSIONE MASSIMA IN ENTRATA [BAR] = 16 | CAMPO DI REGOLAZIONE [BAR] = 0,3 ÷ 0,4 | TEMPERATURA MASSIMA DI ESERCIZIO [°C] = 70. INCLUSO: RUBINETTO; FILTRO; VALVOLA DI NON RITORNO; MANOMETRO 
LV INSTALLAZIONE.</t>
        </is>
      </c>
      <c r="M306" s="4" t="inlineStr">
        <is>
          <t>CAD</t>
        </is>
      </c>
      <c r="N306" s="5" t="n">
        <v>0.8</v>
      </c>
      <c r="O306" s="6" t="n">
        <v>113.84</v>
      </c>
      <c r="P306" s="6" t="n">
        <v>91.06999999999999</v>
      </c>
      <c r="Q306" s="5" t="n"/>
      <c r="R306" s="6" t="n"/>
      <c r="S306" s="6">
        <f>IF(AND(Q306&lt;&gt;"",R306&lt;&gt;""),Q306*R306,"")</f>
        <v/>
      </c>
      <c r="T306" s="6">
        <f>IF(S306="",P306,S306)</f>
        <v/>
      </c>
      <c r="U306" s="7" t="n">
        <v>0</v>
      </c>
      <c r="V306" s="6">
        <f>$T306*U306</f>
        <v/>
      </c>
      <c r="W306" s="7" t="n">
        <v>0</v>
      </c>
      <c r="X306" s="6">
        <f>$T306*W306</f>
        <v/>
      </c>
      <c r="Y306" s="7" t="n">
        <v>0</v>
      </c>
      <c r="Z306" s="6">
        <f>$T306*Y306</f>
        <v/>
      </c>
      <c r="AA306" s="7" t="n">
        <v>0</v>
      </c>
      <c r="AB306" s="6">
        <f>$T306*AA306</f>
        <v/>
      </c>
      <c r="AC306" s="7" t="n">
        <v>0</v>
      </c>
      <c r="AD306" s="6">
        <f>$T306*AC306</f>
        <v/>
      </c>
      <c r="AE306" s="7" t="n">
        <v>0</v>
      </c>
      <c r="AF306" s="6">
        <f>$T306*AE306</f>
        <v/>
      </c>
      <c r="AG306" s="7" t="n">
        <v>0</v>
      </c>
      <c r="AH306" s="6">
        <f>$T306*AG306</f>
        <v/>
      </c>
      <c r="AI306" s="7">
        <f>U306+W306+Y306+AA306+AC306+AE306+AG306</f>
        <v/>
      </c>
      <c r="AJ306" s="6">
        <f>V306+X306+Z306+AB306+AD306+AF306+AH306</f>
        <v/>
      </c>
    </row>
    <row r="307" ht="60" customHeight="1" s="35">
      <c r="A307" s="3" t="inlineStr">
        <is>
          <t>LOM251.OC.EEA.PA01.F9736.ZA001.0005</t>
        </is>
      </c>
      <c r="B307" s="4" t="inlineStr">
        <is>
          <t>2/2</t>
        </is>
      </c>
      <c r="C307" s="3" t="inlineStr">
        <is>
          <t>IMPIANTO MECCANICO</t>
        </is>
      </c>
      <c r="D307" s="4" t="inlineStr">
        <is>
          <t>SPECIALE</t>
        </is>
      </c>
      <c r="E307" s="4" t="inlineStr">
        <is>
          <t>MECCANICHE SPECIALI</t>
        </is>
      </c>
      <c r="F307" s="3" t="inlineStr">
        <is>
          <t>2_CME_TOTALE MECCANICI RADIOFARMACIA PAVIA.PDF</t>
        </is>
      </c>
      <c r="G307" s="4" t="inlineStr">
        <is>
          <t>66/66</t>
        </is>
      </c>
      <c r="H307" s="3" t="inlineStr">
        <is>
          <t>40 - IMPIANTISTICO</t>
        </is>
      </c>
      <c r="I307" s="3" t="inlineStr">
        <is>
          <t>CENTRALE</t>
        </is>
      </c>
      <c r="J307" s="3" t="inlineStr">
        <is>
          <t>IMPIANTO HVAC</t>
        </is>
      </c>
      <c r="K307" s="3" t="inlineStr">
        <is>
          <t xml:space="preserve">OPERA: ADDOLCITORE D'ACQUA, RIGENERAZIONE A TEMPO; GEOMETRIA: 1 COLONNA; FUNZIONE: TRATTAMENTO ACQUA; PORTATA MASSIMA [M³/H] = 3,5 | CAPACITÀ DI SCAMBIO MINIMA [M³*°F] = 350. INCLUSO: DISPOSITIVO PER </t>
        </is>
      </c>
      <c r="L307" s="3" t="inlineStr">
        <is>
          <t>OPERA: ADDOLCITORE D'ACQUA, RIGENERAZIONE A TEMPO; GEOMETRIA: 1 COLONNA; FUNZIONE: TRATTAMENTO ACQUA; PORTATA MASSIMA [M³/H] = 3,5 | CAPACITÀ DI SCAMBIO MINIMA [M³*°F] = 350. INCLUSO: DISPOSITIVO PER RIGENERAZIONE AUTOMATICA A TEMPO; SERBATOIO SALAMOIA CON ACCESSORI, RESINE E SALE PER PRIMA RIGENERAZIONE. 
LAVORO: INSTALLAZIONE. 
SPECIFICHE TECNICHE: A SCAMBIO DI IONI; COSTRUITO IN MATERIALI RESISTENTI ALLA CORROSIONE E ADATTI PER USO ALIMENTARE. OP ADDOLCITORE D'ACQUA, RIGENERAZIONE A TEMPO; GEOMETRIA: 1 COLONNA; FUNZIONE: TRATTAMENTO ACQUA; PORTATA MASSIMA [M³/H] = 3,5 | CAPACITÀ DI SCAMBIO MINIMA [M³*°F] = 350. INCLUSO: DISPOSITIVO PER RIGENERAZIONE AUTOMATICA A TEMPO; SERBATOIO SALAMOIA CON ACCESSORI, RESINE E SALE PER PRIMA RIGENERAZIONE. 
SPECIFICHE TECNICHE: A SCAMBIO DI IONI; COSTRUITO IN MATERIALI RESISTENTI ALLA CORROSIONE E ADATTI PER USO ALIMENTARE. 
RM ADDOLCITORE D'ACQUA RIGENERAZIONE A TEMPO; GEOMETRIA: 1 COLONNA; FUNZIONE: TRATTAMENTO ACQUA; IMPIEGO: CENTRALE IDRICA; PORTATA MASSIMA [M³/H] = 3,5 | CAPACITÀ DI SCAMBIO MINIMA [M³*°F] = 350. INCLUSO: DISPOSITIVO PER RIGENERAZIONE AUTOMATICA A TEMPO; SERBATOIO SALAMOIA CON ACCESSORI, RESINE E SALE PER PRIMA RIGENERAZIONE 
SPECIFICHE TECNICHE: A SCAMBIO DI IONI; COSTRUITO IN MATERIALI RESISTENTI ALLA CORROSIONE E ADATTI PER USO ALIMENTARE 
LV INSTALLAZIONE.</t>
        </is>
      </c>
      <c r="M307" s="4" t="inlineStr">
        <is>
          <t>CAD</t>
        </is>
      </c>
      <c r="N307" s="5" t="n">
        <v>0.8</v>
      </c>
      <c r="O307" s="6" t="n">
        <v>6427.37</v>
      </c>
      <c r="P307" s="6" t="n">
        <v>5141.9</v>
      </c>
      <c r="Q307" s="5" t="n"/>
      <c r="R307" s="6" t="n"/>
      <c r="S307" s="6">
        <f>IF(AND(Q307&lt;&gt;"",R307&lt;&gt;""),Q307*R307,"")</f>
        <v/>
      </c>
      <c r="T307" s="6">
        <f>IF(S307="",P307,S307)</f>
        <v/>
      </c>
      <c r="U307" s="7" t="n">
        <v>0.5</v>
      </c>
      <c r="V307" s="6">
        <f>$T307*U307</f>
        <v/>
      </c>
      <c r="W307" s="7" t="n">
        <v>0.2</v>
      </c>
      <c r="X307" s="6">
        <f>$T307*W307</f>
        <v/>
      </c>
      <c r="Y307" s="7" t="n">
        <v>0</v>
      </c>
      <c r="Z307" s="6">
        <f>$T307*Y307</f>
        <v/>
      </c>
      <c r="AA307" s="7" t="n">
        <v>0</v>
      </c>
      <c r="AB307" s="6">
        <f>$T307*AA307</f>
        <v/>
      </c>
      <c r="AC307" s="7" t="n">
        <v>0</v>
      </c>
      <c r="AD307" s="6">
        <f>$T307*AC307</f>
        <v/>
      </c>
      <c r="AE307" s="7" t="n">
        <v>0</v>
      </c>
      <c r="AF307" s="6">
        <f>$T307*AE307</f>
        <v/>
      </c>
      <c r="AG307" s="7" t="n">
        <v>0</v>
      </c>
      <c r="AH307" s="6">
        <f>$T307*AG307</f>
        <v/>
      </c>
      <c r="AI307" s="7">
        <f>U307+W307+Y307+AA307+AC307+AE307+AG307</f>
        <v/>
      </c>
      <c r="AJ307" s="6">
        <f>V307+X307+Z307+AB307+AD307+AF307+AH307</f>
        <v/>
      </c>
    </row>
    <row r="308" ht="60" customHeight="1" s="35">
      <c r="A308" s="3" t="inlineStr">
        <is>
          <t>LOM251.OC.EEA.PA01.F6080.ZB010.0000</t>
        </is>
      </c>
      <c r="B308" s="4" t="inlineStr">
        <is>
          <t>1/1</t>
        </is>
      </c>
      <c r="C308" s="3" t="inlineStr">
        <is>
          <t>IMPIANTO MECCANICO</t>
        </is>
      </c>
      <c r="D308" s="4" t="inlineStr">
        <is>
          <t>SPECIALE</t>
        </is>
      </c>
      <c r="E308" s="4" t="inlineStr">
        <is>
          <t>MECCANICHE SPECIALI</t>
        </is>
      </c>
      <c r="F308" s="3" t="inlineStr">
        <is>
          <t>2_CME_TOTALE MECCANICI RADIOFARMACIA PAVIA.PDF</t>
        </is>
      </c>
      <c r="G308" s="4" t="inlineStr">
        <is>
          <t>68/68</t>
        </is>
      </c>
      <c r="H308" s="3" t="inlineStr">
        <is>
          <t>40 - IMPIANTISTICO</t>
        </is>
      </c>
      <c r="I308" s="3" t="inlineStr">
        <is>
          <t>CENTRALE</t>
        </is>
      </c>
      <c r="J308" s="3" t="inlineStr">
        <is>
          <t>IMPIANTO HVAC</t>
        </is>
      </c>
      <c r="K308" s="3" t="inlineStr">
        <is>
          <t xml:space="preserve">OPERA: BATTERIA DI POST-RISCALDAMENTO, AD ACQUA CALDA DI MATERIALE MIX RAME-ALLUMINIO; FUNZIONE: TRATTAMENTO ARIA; IMPIEGO: CONDOTTO; PORTATA ARIA [L/S] ≤ 139 | PORTATA ARIA [M³/H] ≤ 500; TEMPERATURA </t>
        </is>
      </c>
      <c r="L308" s="3" t="inlineStr">
        <is>
          <t>OPERA: BATTERIA DI POST-RISCALDAMENTO, AD ACQUA CALDA DI MATERIALE MIX RAME-ALLUMINIO; FUNZIONE: TRATTAMENTO ARIA; IMPIEGO: CONDOTTO; PORTATA ARIA [L/S] ≤ 139 | PORTATA ARIA [M³/H] ≤ 500; TEMPERATURA INGRESSO ACQUA [°C] ≤ 50. 
LAVORO: INSTALLAZIONE. 
SPECIFICHE TECNICHE: TRATTAMENTO ARIA CON TEMPERATURA [°C] = 15 ÷ 30 . OP BATTERIA DI POST-RISCALDAMENTO, AD ACQUA CALDA DI MATERIALE MIX RAME-ALLUMINIO; FUNZIONE: TRATTAMENTO ARIA; IMPIEGO: CONDOTTO; PORTATA ARIA [L/S] ≤ 139 | PORTATA ARIA [M³/H] ≤ 500; TEMPERATURA INGRESSO ACQUA [°C] ≤ 50. 
SPECIFICHE TECNICHE: TRATTAMENTO ARIA CON TEMPERATURA [°C] = 15 ÷ 30 . 
RM BATTERIA DI POST-RISCALDAMENTO AD ACQUA CALDA DI MATERIALE MIX RAME-ALLUMINIO; FUNZIONE: TRATTAMENTO ARIA; IMPIEGO: CONDOTTO; PORTATA ARIA [L/S] ≤ 139 | PORTATA ARIA [M³/H] ≤ 500; TEMPERATURA INGRESSO ACQUA [°C] ≤ 50 
SPECIFICHE TECNICHE: TRATTAMENTO ARIA CON TEMPERATURA [°C] = 15 ÷ 30  
LV INSTALLAZIONE.</t>
        </is>
      </c>
      <c r="M308" s="4" t="inlineStr">
        <is>
          <t>CAD</t>
        </is>
      </c>
      <c r="N308" s="5" t="n">
        <v>16</v>
      </c>
      <c r="O308" s="6" t="n">
        <v>420.98</v>
      </c>
      <c r="P308" s="6" t="n">
        <v>6735.68</v>
      </c>
      <c r="Q308" s="5" t="n"/>
      <c r="R308" s="6" t="n"/>
      <c r="S308" s="6">
        <f>IF(AND(Q308&lt;&gt;"",R308&lt;&gt;""),Q308*R308,"")</f>
        <v/>
      </c>
      <c r="T308" s="6">
        <f>IF(S308="",P308,S308)</f>
        <v/>
      </c>
      <c r="U308" s="7" t="n">
        <v>0.5</v>
      </c>
      <c r="V308" s="6">
        <f>$T308*U308</f>
        <v/>
      </c>
      <c r="W308" s="7" t="n">
        <v>0.2</v>
      </c>
      <c r="X308" s="6">
        <f>$T308*W308</f>
        <v/>
      </c>
      <c r="Y308" s="7" t="n">
        <v>0</v>
      </c>
      <c r="Z308" s="6">
        <f>$T308*Y308</f>
        <v/>
      </c>
      <c r="AA308" s="7" t="n">
        <v>0</v>
      </c>
      <c r="AB308" s="6">
        <f>$T308*AA308</f>
        <v/>
      </c>
      <c r="AC308" s="7" t="n">
        <v>0</v>
      </c>
      <c r="AD308" s="6">
        <f>$T308*AC308</f>
        <v/>
      </c>
      <c r="AE308" s="7" t="n">
        <v>0</v>
      </c>
      <c r="AF308" s="6">
        <f>$T308*AE308</f>
        <v/>
      </c>
      <c r="AG308" s="7" t="n">
        <v>0</v>
      </c>
      <c r="AH308" s="6">
        <f>$T308*AG308</f>
        <v/>
      </c>
      <c r="AI308" s="7">
        <f>U308+W308+Y308+AA308+AC308+AE308+AG308</f>
        <v/>
      </c>
      <c r="AJ308" s="6">
        <f>V308+X308+Z308+AB308+AD308+AF308+AH308</f>
        <v/>
      </c>
    </row>
    <row r="309" ht="60" customHeight="1" s="35">
      <c r="A309" s="3" t="inlineStr">
        <is>
          <t>LOM251.OC.EEA.PA01.F6080.ZB010.0005</t>
        </is>
      </c>
      <c r="B309" s="4" t="inlineStr">
        <is>
          <t>1/1</t>
        </is>
      </c>
      <c r="C309" s="3" t="inlineStr">
        <is>
          <t>IMPIANTO MECCANICO</t>
        </is>
      </c>
      <c r="D309" s="4" t="inlineStr">
        <is>
          <t>SPECIALE</t>
        </is>
      </c>
      <c r="E309" s="4" t="inlineStr">
        <is>
          <t>MECCANICHE SPECIALI</t>
        </is>
      </c>
      <c r="F309" s="3" t="inlineStr">
        <is>
          <t>2_CME_TOTALE MECCANICI RADIOFARMACIA PAVIA.PDF</t>
        </is>
      </c>
      <c r="G309" s="4" t="inlineStr">
        <is>
          <t>69/69</t>
        </is>
      </c>
      <c r="H309" s="3" t="inlineStr">
        <is>
          <t>40 - IMPIANTISTICO</t>
        </is>
      </c>
      <c r="I309" s="3" t="inlineStr">
        <is>
          <t>CENTRALE</t>
        </is>
      </c>
      <c r="J309" s="3" t="inlineStr">
        <is>
          <t>IMPIANTO HVAC</t>
        </is>
      </c>
      <c r="K309" s="3" t="inlineStr">
        <is>
          <t>OPERA: BATTERIA DI POST-RISCALDAMENTO, AD ACQUA CALDA DI MATERIALE MIX RAME-ALLUMINIO; FUNZIONE: TRATTAMENTO ARIA; IMPIEGO: CONDOTTO; PORTATA ARIA [L/S] = 140 ÷ 278 | PORTATA ARIA [M³/H] = 501 ÷ 1000;</t>
        </is>
      </c>
      <c r="L309" s="3" t="inlineStr">
        <is>
          <t>OPERA: BATTERIA DI POST-RISCALDAMENTO, AD ACQUA CALDA DI MATERIALE MIX RAME-ALLUMINIO; FUNZIONE: TRATTAMENTO ARIA; IMPIEGO: CONDOTTO; PORTATA ARIA [L/S] = 140 ÷ 278 | PORTATA ARIA [M³/H] = 501 ÷ 1000; TEMPERATURA INGRESSO ACQUA [°C] ≤ 50. 
LAVORO: INSTALLAZIONE. 
SPECIFICHE TECNICHE: TRATTAMENTO ARIA CON TEMPERATURA [°C] = 15 ÷ 30 . OP BATTERIA DI POST-RISCALDAMENTO, AD ACQUA CALDA DI MATERIALE MIX RAME-ALLUMINIO; FUNZIONE: TRATTAMENTO ARIA; IMPIEGO: CONDOTTO; PORTATA ARIA [L/S] = 140 ÷ 278 | PORTATA ARIA [M³/H] = 501 ÷ 1000; TEMPERATURA INGRESSO ACQUA [°C] ≤ 50. 
SPECIFICHE TECNICHE: TRATTAMENTO ARIA CON TEMPERATURA [°C] = 15 ÷ 30 . 
RM BATTERIA DI POST-RISCALDAMENTO AD ACQUA CALDA DI MATERIALE MIX RAME-ALLUMINIO; FUNZIONE: TRATTAMENTO ARIA; IMPIEGO: CONDOTTO; PORTATA ARIA [L/S] = 140 ÷ 278 | PORTATA ARIA [M³/H] = 501 ÷ 1000; TEMPERATURA INGRESSO ACQUA [°C] ≤ 50 
SPECIFICHE TECNICHE: TRATTAMENTO ARIA CON TEMPERATURA [°C] = 15 ÷ 30  
LV INSTALLAZIONE.</t>
        </is>
      </c>
      <c r="M309" s="4" t="inlineStr">
        <is>
          <t>CAD</t>
        </is>
      </c>
      <c r="N309" s="5" t="n">
        <v>2</v>
      </c>
      <c r="O309" s="6" t="n">
        <v>717.45</v>
      </c>
      <c r="P309" s="6" t="n">
        <v>1434.9</v>
      </c>
      <c r="Q309" s="5" t="n"/>
      <c r="R309" s="6" t="n"/>
      <c r="S309" s="6">
        <f>IF(AND(Q309&lt;&gt;"",R309&lt;&gt;""),Q309*R309,"")</f>
        <v/>
      </c>
      <c r="T309" s="6">
        <f>IF(S309="",P309,S309)</f>
        <v/>
      </c>
      <c r="U309" s="7" t="n">
        <v>0.5</v>
      </c>
      <c r="V309" s="6">
        <f>$T309*U309</f>
        <v/>
      </c>
      <c r="W309" s="7" t="n">
        <v>0.2</v>
      </c>
      <c r="X309" s="6">
        <f>$T309*W309</f>
        <v/>
      </c>
      <c r="Y309" s="7" t="n">
        <v>0</v>
      </c>
      <c r="Z309" s="6">
        <f>$T309*Y309</f>
        <v/>
      </c>
      <c r="AA309" s="7" t="n">
        <v>0</v>
      </c>
      <c r="AB309" s="6">
        <f>$T309*AA309</f>
        <v/>
      </c>
      <c r="AC309" s="7" t="n">
        <v>0</v>
      </c>
      <c r="AD309" s="6">
        <f>$T309*AC309</f>
        <v/>
      </c>
      <c r="AE309" s="7" t="n">
        <v>0</v>
      </c>
      <c r="AF309" s="6">
        <f>$T309*AE309</f>
        <v/>
      </c>
      <c r="AG309" s="7" t="n">
        <v>0</v>
      </c>
      <c r="AH309" s="6">
        <f>$T309*AG309</f>
        <v/>
      </c>
      <c r="AI309" s="7">
        <f>U309+W309+Y309+AA309+AC309+AE309+AG309</f>
        <v/>
      </c>
      <c r="AJ309" s="6">
        <f>V309+X309+Z309+AB309+AD309+AF309+AH309</f>
        <v/>
      </c>
    </row>
    <row r="310" ht="60" customHeight="1" s="35">
      <c r="A310" s="3" t="inlineStr">
        <is>
          <t>LOM251.OC.EEA.PA01.F6080.ZB010.0010</t>
        </is>
      </c>
      <c r="B310" s="4" t="inlineStr">
        <is>
          <t>1/1</t>
        </is>
      </c>
      <c r="C310" s="3" t="inlineStr">
        <is>
          <t>IMPIANTO MECCANICO</t>
        </is>
      </c>
      <c r="D310" s="4" t="inlineStr">
        <is>
          <t>SPECIALE</t>
        </is>
      </c>
      <c r="E310" s="4" t="inlineStr">
        <is>
          <t>MECCANICHE SPECIALI</t>
        </is>
      </c>
      <c r="F310" s="3" t="inlineStr">
        <is>
          <t>2_CME_TOTALE MECCANICI RADIOFARMACIA PAVIA.PDF</t>
        </is>
      </c>
      <c r="G310" s="4" t="inlineStr">
        <is>
          <t>70/70</t>
        </is>
      </c>
      <c r="H310" s="3" t="inlineStr">
        <is>
          <t>40 - IMPIANTISTICO</t>
        </is>
      </c>
      <c r="I310" s="3" t="inlineStr">
        <is>
          <t>CENTRALE</t>
        </is>
      </c>
      <c r="J310" s="3" t="inlineStr">
        <is>
          <t>IMPIANTO HVAC</t>
        </is>
      </c>
      <c r="K310" s="3" t="inlineStr">
        <is>
          <t>OPERA: BATTERIA DI POST-RISCALDAMENTO, AD ACQUA CALDA DI MATERIALE MIX RAME-ALLUMINIO; FUNZIONE: TRATTAMENTO ARIA; IMPIEGO: CONDOTTO; PORTATA ARIA [L/S] = 279 ÷ 556 | PORTATA ARIA [M³/H] = 1001 ÷ 2000</t>
        </is>
      </c>
      <c r="L310" s="3" t="inlineStr">
        <is>
          <t>OPERA: BATTERIA DI POST-RISCALDAMENTO, AD ACQUA CALDA DI MATERIALE MIX RAME-ALLUMINIO; FUNZIONE: TRATTAMENTO ARIA; IMPIEGO: CONDOTTO; PORTATA ARIA [L/S] = 279 ÷ 556 | PORTATA ARIA [M³/H] = 1001 ÷ 2000; TEMPERATURA INGRESSO ACQUA [°C] ≤ 50. 
LAVORO: INSTALLAZIONE. 
SPECIFICHE TECNICHE: TRATTAMENTO ARIA CON TEMPERATURA [°C] = 15 ÷ 30 . OP BATTERIA DI POST-RISCALDAMENTO, AD ACQUA CALDA DI MATERIALE MIX RAME-ALLUMINIO; FUNZIONE: TRATTAMENTO ARIA; IMPIEGO: CONDOTTO; PORTATA ARIA [L/S] = 279 ÷ 556 | PORTATA ARIA [M³/H] = 1001 ÷ 2000; TEMPERATURA INGRESSO ACQUA [°C] ≤ 50. 
SPECIFICHE TECNICHE: TRATTAMENTO ARIA CON TEMPERATURA [°C] = 15 ÷ 30 . 
RM BATTERIA DI POST-RISCALDAMENTO AD ACQUA CALDA DI MATERIALE MIX RAME-ALLUMINIO; FUNZIONE: TRATTAMENTO ARIA; IMPIEGO: CONDOTTO; PORTATA ARIA [L/S] = 279 ÷ 556 | PORTATA ARIA [M³/H] = 1001 ÷ 2000; TEMPERATURA INGRESSO ACQUA [°C] ≤ 50 
SPECIFICHE TECNICHE: TRATTAMENTO ARIA CON TEMPERATURA [°C] = 15 ÷ 30  
LV INSTALLAZIONE.</t>
        </is>
      </c>
      <c r="M310" s="4" t="inlineStr">
        <is>
          <t>CAD</t>
        </is>
      </c>
      <c r="N310" s="5" t="n">
        <v>5</v>
      </c>
      <c r="O310" s="6" t="n">
        <v>954.62</v>
      </c>
      <c r="P310" s="6" t="n">
        <v>4773.1</v>
      </c>
      <c r="Q310" s="5" t="n"/>
      <c r="R310" s="6" t="n"/>
      <c r="S310" s="6">
        <f>IF(AND(Q310&lt;&gt;"",R310&lt;&gt;""),Q310*R310,"")</f>
        <v/>
      </c>
      <c r="T310" s="6">
        <f>IF(S310="",P310,S310)</f>
        <v/>
      </c>
      <c r="U310" s="7" t="n">
        <v>0.5</v>
      </c>
      <c r="V310" s="6">
        <f>$T310*U310</f>
        <v/>
      </c>
      <c r="W310" s="7" t="n">
        <v>0.2</v>
      </c>
      <c r="X310" s="6">
        <f>$T310*W310</f>
        <v/>
      </c>
      <c r="Y310" s="7" t="n">
        <v>0</v>
      </c>
      <c r="Z310" s="6">
        <f>$T310*Y310</f>
        <v/>
      </c>
      <c r="AA310" s="7" t="n">
        <v>0</v>
      </c>
      <c r="AB310" s="6">
        <f>$T310*AA310</f>
        <v/>
      </c>
      <c r="AC310" s="7" t="n">
        <v>0</v>
      </c>
      <c r="AD310" s="6">
        <f>$T310*AC310</f>
        <v/>
      </c>
      <c r="AE310" s="7" t="n">
        <v>0</v>
      </c>
      <c r="AF310" s="6">
        <f>$T310*AE310</f>
        <v/>
      </c>
      <c r="AG310" s="7" t="n">
        <v>0</v>
      </c>
      <c r="AH310" s="6">
        <f>$T310*AG310</f>
        <v/>
      </c>
      <c r="AI310" s="7">
        <f>U310+W310+Y310+AA310+AC310+AE310+AG310</f>
        <v/>
      </c>
      <c r="AJ310" s="6">
        <f>V310+X310+Z310+AB310+AD310+AF310+AH310</f>
        <v/>
      </c>
    </row>
    <row r="311" ht="60" customHeight="1" s="35">
      <c r="A311" s="3" t="inlineStr">
        <is>
          <t>LOM251.OC.EEA.PA02.I9762.SB001.0005</t>
        </is>
      </c>
      <c r="B311" s="4" t="inlineStr">
        <is>
          <t>1/1</t>
        </is>
      </c>
      <c r="C311" s="3" t="inlineStr">
        <is>
          <t>IMPIANTO MECCANICO</t>
        </is>
      </c>
      <c r="D311" s="4" t="inlineStr">
        <is>
          <t>SPECIALE</t>
        </is>
      </c>
      <c r="E311" s="4" t="inlineStr">
        <is>
          <t>MECCANICHE SPECIALI</t>
        </is>
      </c>
      <c r="F311" s="3" t="inlineStr">
        <is>
          <t>2_CME_TOTALE MECCANICI RADIOFARMACIA PAVIA.PDF</t>
        </is>
      </c>
      <c r="G311" s="4" t="inlineStr">
        <is>
          <t>71/71</t>
        </is>
      </c>
      <c r="H311" s="3" t="inlineStr">
        <is>
          <t>40 - IMPIANTISTICO</t>
        </is>
      </c>
      <c r="I311" s="3" t="inlineStr">
        <is>
          <t>CENTRALE</t>
        </is>
      </c>
      <c r="J311" s="3" t="inlineStr">
        <is>
          <t>IMPIANTO HVAC</t>
        </is>
      </c>
      <c r="K311" s="3" t="inlineStr">
        <is>
          <t>OPERA: VALVOLA, A COMANDO MAGNETICO/ELETTRICO DI LEGA FERROSA ACCIAIO GENERICO; GEOMETRIA: A 2 VIE | A OTTURATORE | ATTACCHI FILETTATI; FUNZIONE: DI REGOLAZIONE; DIAMETRO NOMINALE (Ø) [MM] = 20; PRESS</t>
        </is>
      </c>
      <c r="L311" s="3" t="inlineStr">
        <is>
          <t>OPERA: VALVOLA, A COMANDO MAGNETICO/ELETTRICO DI LEGA FERROSA ACCIAIO GENERICO; GEOMETRIA: A 2 VIE | A OTTURATORE | ATTACCHI FILETTATI; FUNZIONE: DI REGOLAZIONE; DIAMETRO NOMINALE (Ø) [MM] = 20; PRESSIONE NOMINALE [BAR] = 16. INCLUSO: COMANDO MANUALE. 
LAVORO: POSA. 
SPECIFICHE TECNICHE: VALVOLA CON CORPO DI LEGA FERROSA ACCIAIO GENERICO; SERVOCOMANDO MODULANTE MAGNETICO / ELETTRICO. OP VALVOLA, A COMANDO MAGNETICO/ELETTRICO DI LEGA FERROSA ACCIAIO GENERICO; GEOMETRIA: A 2 VIE | A OTTURATORE | ATTACCHI FILETTATI; FUNZIONE: DI REGOLAZIONE; DIAMETRO NOMINALE (Ø) [MM] = 20; PRESSIONE NOMINALE [BAR] = 16. INCLUSO: COMANDO MANUALE. 
SPECIFICHE TECNICHE: VALVOLA CON CORPO DI LEGA FERROSA ACCIAIO GENERICO; SERVOCOMANDO MODULANTE MAGNETICO / ELETTRICO. 
RM VALVOLA A COMANDO MAGNETICO/ELETTRICO DI LEGA FERROSA ACCIAIO GENERICO; GEOMETRIA: A 2 VIE | A OTTURATORE | ATTACCHI FILETTATI; FUNZIONE: DI REGOLAZIONE; DIAMETRO NOMINALE (Ø) [MM] = 20; PRESSIONE NOMINALE [BAR] = 16. INCLUSO: COMANDO MANUALE 
SPECIFICHE TECNICHE: VALVOLA CON CORPO DI LEGA FERROSA ACCIAIO GENERICO; SERVOCOMANDO MODULANTE MAGNETICO / ELETTRICO 
LV POSA.</t>
        </is>
      </c>
      <c r="M311" s="4" t="inlineStr">
        <is>
          <t>CAD</t>
        </is>
      </c>
      <c r="N311" s="5" t="n">
        <v>18</v>
      </c>
      <c r="O311" s="6" t="n">
        <v>0</v>
      </c>
      <c r="P311" s="6" t="n">
        <v>0</v>
      </c>
      <c r="Q311" s="5" t="n"/>
      <c r="R311" s="6" t="n"/>
      <c r="S311" s="6">
        <f>IF(AND(Q311&lt;&gt;"",R311&lt;&gt;""),Q311*R311,"")</f>
        <v/>
      </c>
      <c r="T311" s="6">
        <f>IF(S311="",P311,S311)</f>
        <v/>
      </c>
      <c r="U311" s="7" t="n">
        <v>0</v>
      </c>
      <c r="V311" s="6">
        <f>$T311*U311</f>
        <v/>
      </c>
      <c r="W311" s="7" t="n">
        <v>0</v>
      </c>
      <c r="X311" s="6">
        <f>$T311*W311</f>
        <v/>
      </c>
      <c r="Y311" s="7" t="n">
        <v>0</v>
      </c>
      <c r="Z311" s="6">
        <f>$T311*Y311</f>
        <v/>
      </c>
      <c r="AA311" s="7" t="n">
        <v>0</v>
      </c>
      <c r="AB311" s="6">
        <f>$T311*AA311</f>
        <v/>
      </c>
      <c r="AC311" s="7" t="n">
        <v>0</v>
      </c>
      <c r="AD311" s="6">
        <f>$T311*AC311</f>
        <v/>
      </c>
      <c r="AE311" s="7" t="n">
        <v>0</v>
      </c>
      <c r="AF311" s="6">
        <f>$T311*AE311</f>
        <v/>
      </c>
      <c r="AG311" s="7" t="n">
        <v>0</v>
      </c>
      <c r="AH311" s="6">
        <f>$T311*AG311</f>
        <v/>
      </c>
      <c r="AI311" s="7">
        <f>U311+W311+Y311+AA311+AC311+AE311+AG311</f>
        <v/>
      </c>
      <c r="AJ311" s="6">
        <f>V311+X311+Z311+AB311+AD311+AF311+AH311</f>
        <v/>
      </c>
    </row>
    <row r="312" ht="60" customHeight="1" s="35">
      <c r="A312" s="3" t="inlineStr">
        <is>
          <t>LOM251.OC.EEA.PA02.I9762.SB001.0010</t>
        </is>
      </c>
      <c r="B312" s="4" t="inlineStr">
        <is>
          <t>1/1</t>
        </is>
      </c>
      <c r="C312" s="3" t="inlineStr">
        <is>
          <t>IMPIANTO MECCANICO</t>
        </is>
      </c>
      <c r="D312" s="4" t="inlineStr">
        <is>
          <t>SPECIALE</t>
        </is>
      </c>
      <c r="E312" s="4" t="inlineStr">
        <is>
          <t>MECCANICHE SPECIALI</t>
        </is>
      </c>
      <c r="F312" s="3" t="inlineStr">
        <is>
          <t>2_CME_TOTALE MECCANICI RADIOFARMACIA PAVIA.PDF</t>
        </is>
      </c>
      <c r="G312" s="4" t="inlineStr">
        <is>
          <t>72/72</t>
        </is>
      </c>
      <c r="H312" s="3" t="inlineStr">
        <is>
          <t>40 - IMPIANTISTICO</t>
        </is>
      </c>
      <c r="I312" s="3" t="inlineStr">
        <is>
          <t>CENTRALE</t>
        </is>
      </c>
      <c r="J312" s="3" t="inlineStr">
        <is>
          <t>IMPIANTO HVAC</t>
        </is>
      </c>
      <c r="K312" s="3" t="inlineStr">
        <is>
          <t>OPERA: VALVOLA, A COMANDO MAGNETICO/ELETTRICO DI LEGA FERROSA ACCIAIO GENERICO; GEOMETRIA: A 2 VIE | A OTTURATORE | ATTACCHI FILETTATI; FUNZIONE: DI REGOLAZIONE; DIAMETRO NOMINALE (Ø) [MM] = 25; PRESS</t>
        </is>
      </c>
      <c r="L312" s="3" t="inlineStr">
        <is>
          <t>OPERA: VALVOLA, A COMANDO MAGNETICO/ELETTRICO DI LEGA FERROSA ACCIAIO GENERICO; GEOMETRIA: A 2 VIE | A OTTURATORE | ATTACCHI FILETTATI; FUNZIONE: DI REGOLAZIONE; DIAMETRO NOMINALE (Ø) [MM] = 25; PRESSIONE NOMINALE [BAR] = 16. INCLUSO: COMANDO MANUALE. 
LAVORO: POSA. 
SPECIFICHE TECNICHE: VALVOLA CON CORPO DI LEGA FERROSA ACCIAIO GENERICO; SERVOCOMANDO MODULANTE MAGNETICO / ELETTRICO. OP VALVOLA, A COMANDO MAGNETICO/ELETTRICO DI LEGA FERROSA ACCIAIO GENERICO; GEOMETRIA: A 2 VIE | A OTTURATORE | ATTACCHI FILETTATI; FUNZIONE: DI REGOLAZIONE; DIAMETRO NOMINALE (Ø) [MM] = 25; PRESSIONE NOMINALE [BAR] = 16. INCLUSO: COMANDO MANUALE. 
SPECIFICHE TECNICHE: VALVOLA CON CORPO DI LEGA FERROSA ACCIAIO GENERICO; SERVOCOMANDO MODULANTE MAGNETICO / ELETTRICO. 
RM VALVOLA A COMANDO MAGNETICO/ELETTRICO DI LEGA FERROSA ACCIAIO GENERICO; GEOMETRIA: A 2 VIE | A OTTURATORE | ATTACCHI FILETTATI; FUNZIONE: DI REGOLAZIONE; DIAMETRO NOMINALE (Ø) [MM] = 25; PRESSIONE NOMINALE [BAR] = 16. INCLUSO: COMANDO MANUALE 
SPECIFICHE TECNICHE: VALVOLA CON CORPO DI LEGA FERROSA ACCIAIO GENERICO; SERVOCOMANDO MODULANTE MAGNETICO / ELETTRICO 
LV POSA.</t>
        </is>
      </c>
      <c r="M312" s="4" t="inlineStr">
        <is>
          <t>CAD</t>
        </is>
      </c>
      <c r="N312" s="5" t="n">
        <v>5</v>
      </c>
      <c r="O312" s="6" t="n">
        <v>0</v>
      </c>
      <c r="P312" s="6" t="n">
        <v>0</v>
      </c>
      <c r="Q312" s="5" t="n"/>
      <c r="R312" s="6" t="n"/>
      <c r="S312" s="6">
        <f>IF(AND(Q312&lt;&gt;"",R312&lt;&gt;""),Q312*R312,"")</f>
        <v/>
      </c>
      <c r="T312" s="6">
        <f>IF(S312="",P312,S312)</f>
        <v/>
      </c>
      <c r="U312" s="7" t="n">
        <v>0</v>
      </c>
      <c r="V312" s="6">
        <f>$T312*U312</f>
        <v/>
      </c>
      <c r="W312" s="7" t="n">
        <v>0</v>
      </c>
      <c r="X312" s="6">
        <f>$T312*W312</f>
        <v/>
      </c>
      <c r="Y312" s="7" t="n">
        <v>0</v>
      </c>
      <c r="Z312" s="6">
        <f>$T312*Y312</f>
        <v/>
      </c>
      <c r="AA312" s="7" t="n">
        <v>0</v>
      </c>
      <c r="AB312" s="6">
        <f>$T312*AA312</f>
        <v/>
      </c>
      <c r="AC312" s="7" t="n">
        <v>0</v>
      </c>
      <c r="AD312" s="6">
        <f>$T312*AC312</f>
        <v/>
      </c>
      <c r="AE312" s="7" t="n">
        <v>0</v>
      </c>
      <c r="AF312" s="6">
        <f>$T312*AE312</f>
        <v/>
      </c>
      <c r="AG312" s="7" t="n">
        <v>0</v>
      </c>
      <c r="AH312" s="6">
        <f>$T312*AG312</f>
        <v/>
      </c>
      <c r="AI312" s="7">
        <f>U312+W312+Y312+AA312+AC312+AE312+AG312</f>
        <v/>
      </c>
      <c r="AJ312" s="6">
        <f>V312+X312+Z312+AB312+AD312+AF312+AH312</f>
        <v/>
      </c>
    </row>
    <row r="313" ht="60" customHeight="1" s="35">
      <c r="A313" s="3" t="inlineStr">
        <is>
          <t>LOM251.OC.EEA.PA02.I9762.SB001.0075</t>
        </is>
      </c>
      <c r="B313" s="4" t="inlineStr">
        <is>
          <t>1/1</t>
        </is>
      </c>
      <c r="C313" s="3" t="inlineStr">
        <is>
          <t>IMPIANTO MECCANICO</t>
        </is>
      </c>
      <c r="D313" s="4" t="inlineStr">
        <is>
          <t>SPECIALE</t>
        </is>
      </c>
      <c r="E313" s="4" t="inlineStr">
        <is>
          <t>MECCANICHE SPECIALI</t>
        </is>
      </c>
      <c r="F313" s="3" t="inlineStr">
        <is>
          <t>2_CME_TOTALE MECCANICI RADIOFARMACIA PAVIA.PDF</t>
        </is>
      </c>
      <c r="G313" s="4" t="inlineStr">
        <is>
          <t>73/73</t>
        </is>
      </c>
      <c r="H313" s="3" t="inlineStr">
        <is>
          <t>40 - IMPIANTISTICO</t>
        </is>
      </c>
      <c r="I313" s="3" t="inlineStr">
        <is>
          <t>CENTRALE</t>
        </is>
      </c>
      <c r="J313" s="3" t="inlineStr">
        <is>
          <t>IMPIANTO HVAC</t>
        </is>
      </c>
      <c r="K313" s="3" t="inlineStr">
        <is>
          <t>OPERA: VALVOLA, A COMANDO MAGNETICO/ELETTRICO DI LEGA FERROSA ACCIAIO GENERICO; GEOMETRIA: A 3 VIE | A OTTURATORE | ATTACCHI FILETTATI; FUNZIONE: DI REGOLAZIONE; DIAMETRO NOMINALE (Ø) [MM] = 40; PRESS</t>
        </is>
      </c>
      <c r="L313" s="3" t="inlineStr">
        <is>
          <t>OPERA: VALVOLA, A COMANDO MAGNETICO/ELETTRICO DI LEGA FERROSA ACCIAIO GENERICO; GEOMETRIA: A 3 VIE | A OTTURATORE | ATTACCHI FILETTATI; FUNZIONE: DI REGOLAZIONE; DIAMETRO NOMINALE (Ø) [MM] = 40; PRESSIONE NOMINALE [BAR] = 16. INCLUSO: COMANDO MANUALE. 
LAVORO: POSA. 
SPECIFICHE TECNICHE: VALVOLA CON CORPO DI LEGA FERROSA ACCIAIO GENERICO; SERVOCOMANDO MODULANTE MAGNETICO / ELETTRICO. OP VALVOLA, A COMANDO MAGNETICO/ELETTRICO DI LEGA FERROSA ACCIAIO GENERICO; GEOMETRIA: A 3 VIE | A OTTURATORE | ATTACCHI FILETTATI; FUNZIONE: DI REGOLAZIONE; DIAMETRO NOMINALE (Ø) [MM] = 40; PRESSIONE NOMINALE [BAR] = 16. INCLUSO: COMANDO MANUALE. 
SPECIFICHE TECNICHE: VALVOLA CON CORPO DI LEGA FERROSA ACCIAIO GENERICO; SERVOCOMANDO MODULANTE MAGNETICO / ELETTRICO. 
RM VALVOLA A COMANDO MAGNETICO/ELETTRICO DI LEGA FERROSA ACCIAIO GENERICO; GEOMETRIA: A 3 VIE | A OTTURATORE | ATTACCHI FILETTATI; FUNZIONE: DI REGOLAZIONE; DIAMETRO NOMINALE (Ø) [MM] = 40; PRESSIONE NOMINALE [BAR] = 16. INCLUSO: COMANDO MANUALE 
SPECIFICHE TECNICHE: VALVOLA CON CORPO DI LEGA FERROSA ACCIAIO GENERICO; SERVOCOMANDO MODULANTE MAGNETICO / ELETTRICO 
LV POSA.</t>
        </is>
      </c>
      <c r="M313" s="4" t="inlineStr">
        <is>
          <t>CAD</t>
        </is>
      </c>
      <c r="N313" s="5" t="n">
        <v>2</v>
      </c>
      <c r="O313" s="6" t="n">
        <v>0</v>
      </c>
      <c r="P313" s="6" t="n">
        <v>0</v>
      </c>
      <c r="Q313" s="5" t="n"/>
      <c r="R313" s="6" t="n"/>
      <c r="S313" s="6">
        <f>IF(AND(Q313&lt;&gt;"",R313&lt;&gt;""),Q313*R313,"")</f>
        <v/>
      </c>
      <c r="T313" s="6">
        <f>IF(S313="",P313,S313)</f>
        <v/>
      </c>
      <c r="U313" s="7" t="n">
        <v>0</v>
      </c>
      <c r="V313" s="6">
        <f>$T313*U313</f>
        <v/>
      </c>
      <c r="W313" s="7" t="n">
        <v>0</v>
      </c>
      <c r="X313" s="6">
        <f>$T313*W313</f>
        <v/>
      </c>
      <c r="Y313" s="7" t="n">
        <v>0</v>
      </c>
      <c r="Z313" s="6">
        <f>$T313*Y313</f>
        <v/>
      </c>
      <c r="AA313" s="7" t="n">
        <v>0</v>
      </c>
      <c r="AB313" s="6">
        <f>$T313*AA313</f>
        <v/>
      </c>
      <c r="AC313" s="7" t="n">
        <v>0</v>
      </c>
      <c r="AD313" s="6">
        <f>$T313*AC313</f>
        <v/>
      </c>
      <c r="AE313" s="7" t="n">
        <v>0</v>
      </c>
      <c r="AF313" s="6">
        <f>$T313*AE313</f>
        <v/>
      </c>
      <c r="AG313" s="7" t="n">
        <v>0</v>
      </c>
      <c r="AH313" s="6">
        <f>$T313*AG313</f>
        <v/>
      </c>
      <c r="AI313" s="7">
        <f>U313+W313+Y313+AA313+AC313+AE313+AG313</f>
        <v/>
      </c>
      <c r="AJ313" s="6">
        <f>V313+X313+Z313+AB313+AD313+AF313+AH313</f>
        <v/>
      </c>
    </row>
    <row r="314" ht="60" customHeight="1" s="35">
      <c r="A314" s="3" t="inlineStr">
        <is>
          <t>LOM251.OC.EEA.PA02.I9762.SB001.0095</t>
        </is>
      </c>
      <c r="B314" s="4" t="inlineStr">
        <is>
          <t>1/1</t>
        </is>
      </c>
      <c r="C314" s="3" t="inlineStr">
        <is>
          <t>IMPIANTO MECCANICO</t>
        </is>
      </c>
      <c r="D314" s="4" t="inlineStr">
        <is>
          <t>SPECIALE</t>
        </is>
      </c>
      <c r="E314" s="4" t="inlineStr">
        <is>
          <t>MECCANICHE SPECIALI</t>
        </is>
      </c>
      <c r="F314" s="3" t="inlineStr">
        <is>
          <t>2_CME_TOTALE MECCANICI RADIOFARMACIA PAVIA.PDF</t>
        </is>
      </c>
      <c r="G314" s="4" t="inlineStr">
        <is>
          <t>74/74</t>
        </is>
      </c>
      <c r="H314" s="3" t="inlineStr">
        <is>
          <t>40 - IMPIANTISTICO</t>
        </is>
      </c>
      <c r="I314" s="3" t="inlineStr">
        <is>
          <t>CENTRALE</t>
        </is>
      </c>
      <c r="J314" s="3" t="inlineStr">
        <is>
          <t>IMPIANTO HVAC</t>
        </is>
      </c>
      <c r="K314" s="3" t="inlineStr">
        <is>
          <t>OPERA: VALVOLA, A COMANDO MAGNETICO/ELETTRICO DI LEGA FERROSA ACCIAIO GENERICO; GEOMETRIA: A 3 VIE | A OTTURATORE | ATTACCHI FILETTATI; FUNZIONE: DI REGOLAZIONE; DIAMETRO NOMINALE (Ø) [MM] = 100; PRES</t>
        </is>
      </c>
      <c r="L314" s="3" t="inlineStr">
        <is>
          <t>OPERA: VALVOLA, A COMANDO MAGNETICO/ELETTRICO DI LEGA FERROSA ACCIAIO GENERICO; GEOMETRIA: A 3 VIE | A OTTURATORE | ATTACCHI FILETTATI; FUNZIONE: DI REGOLAZIONE; DIAMETRO NOMINALE (Ø) [MM] = 100; PRESSIONE NOMINALE [BAR] = 16. INCLUSO: COMANDO MANUALE. 
LAVORO: POSA. 
SPECIFICHE TECNICHE: VALVOLA CON CORPO DI LEGA FERROSA ACCIAIO GENERICO; SERVOCOMANDO MODULANTE MAGNETICO / ELETTRICO. OP VALVOLA, A COMANDO MAGNETICO/ELETTRICO DI LEGA FERROSA ACCIAIO GENERICO; GEOMETRIA: A 3 VIE | A OTTURATORE | ATTACCHI FILETTATI; FUNZIONE: DI REGOLAZIONE; DIAMETRO NOMINALE (Ø) [MM] = 100; PRESSIONE NOMINALE [BAR] = 16. INCLUSO: COMANDO MANUALE. 
SPECIFICHE TECNICHE: VALVOLA CON CORPO DI LEGA FERROSA ACCIAIO GENERICO; SERVOCOMANDO MODULANTE MAGNETICO / ELETTRICO. 
RM VALVOLA A COMANDO MAGNETICO/ELETTRICO DI LEGA FERROSA ACCIAIO GENERICO; GEOMETRIA: A 3 VIE | A OTTURATORE | ATTACCHI FILETTATI; FUNZIONE: DI REGOLAZIONE; DIAMETRO NOMINALE (Ø) [MM] = 100; PRESSIONE NOMINALE [BAR] = 16. INCLUSO: COMANDO MANUALE 
SPECIFICHE TECNICHE: VALVOLA CON CORPO DI LEGA FERROSA ACCIAIO GENERICO; SERVOCOMANDO MODULANTE MAGNETICO / ELETTRICO 
LV POSA.</t>
        </is>
      </c>
      <c r="M314" s="4" t="inlineStr">
        <is>
          <t>CAD</t>
        </is>
      </c>
      <c r="N314" s="5" t="n">
        <v>1</v>
      </c>
      <c r="O314" s="6" t="n">
        <v>0</v>
      </c>
      <c r="P314" s="6" t="n">
        <v>0</v>
      </c>
      <c r="Q314" s="5" t="n"/>
      <c r="R314" s="6" t="n"/>
      <c r="S314" s="6">
        <f>IF(AND(Q314&lt;&gt;"",R314&lt;&gt;""),Q314*R314,"")</f>
        <v/>
      </c>
      <c r="T314" s="6">
        <f>IF(S314="",P314,S314)</f>
        <v/>
      </c>
      <c r="U314" s="7" t="n">
        <v>0</v>
      </c>
      <c r="V314" s="6">
        <f>$T314*U314</f>
        <v/>
      </c>
      <c r="W314" s="7" t="n">
        <v>0</v>
      </c>
      <c r="X314" s="6">
        <f>$T314*W314</f>
        <v/>
      </c>
      <c r="Y314" s="7" t="n">
        <v>0</v>
      </c>
      <c r="Z314" s="6">
        <f>$T314*Y314</f>
        <v/>
      </c>
      <c r="AA314" s="7" t="n">
        <v>0</v>
      </c>
      <c r="AB314" s="6">
        <f>$T314*AA314</f>
        <v/>
      </c>
      <c r="AC314" s="7" t="n">
        <v>0</v>
      </c>
      <c r="AD314" s="6">
        <f>$T314*AC314</f>
        <v/>
      </c>
      <c r="AE314" s="7" t="n">
        <v>0</v>
      </c>
      <c r="AF314" s="6">
        <f>$T314*AE314</f>
        <v/>
      </c>
      <c r="AG314" s="7" t="n">
        <v>0</v>
      </c>
      <c r="AH314" s="6">
        <f>$T314*AG314</f>
        <v/>
      </c>
      <c r="AI314" s="7">
        <f>U314+W314+Y314+AA314+AC314+AE314+AG314</f>
        <v/>
      </c>
      <c r="AJ314" s="6">
        <f>V314+X314+Z314+AB314+AD314+AF314+AH314</f>
        <v/>
      </c>
    </row>
    <row r="315" ht="60" customHeight="1" s="35">
      <c r="A315" s="3" t="inlineStr">
        <is>
          <t>LOM251.OC.EEA.PA02.I9762.SB001.0090</t>
        </is>
      </c>
      <c r="B315" s="4" t="inlineStr">
        <is>
          <t>1/1</t>
        </is>
      </c>
      <c r="C315" s="3" t="inlineStr">
        <is>
          <t>IMPIANTO MECCANICO</t>
        </is>
      </c>
      <c r="D315" s="4" t="inlineStr">
        <is>
          <t>SPECIALE</t>
        </is>
      </c>
      <c r="E315" s="4" t="inlineStr">
        <is>
          <t>MECCANICHE SPECIALI</t>
        </is>
      </c>
      <c r="F315" s="3" t="inlineStr">
        <is>
          <t>2_CME_TOTALE MECCANICI RADIOFARMACIA PAVIA.PDF</t>
        </is>
      </c>
      <c r="G315" s="4" t="inlineStr">
        <is>
          <t>75/75</t>
        </is>
      </c>
      <c r="H315" s="3" t="inlineStr">
        <is>
          <t>40 - IMPIANTISTICO</t>
        </is>
      </c>
      <c r="I315" s="3" t="inlineStr">
        <is>
          <t>CENTRALE</t>
        </is>
      </c>
      <c r="J315" s="3" t="inlineStr">
        <is>
          <t>IMPIANTO HVAC</t>
        </is>
      </c>
      <c r="K315" s="3" t="inlineStr">
        <is>
          <t>OPERA: VALVOLA, A COMANDO MAGNETICO/ELETTRICO DI LEGA FERROSA ACCIAIO GENERICO; GEOMETRIA: A 3 VIE | A OTTURATORE | ATTACCHI FILETTATI; FUNZIONE: DI REGOLAZIONE; DIAMETRO NOMINALE (Ø) [MM] = 80; PRESS</t>
        </is>
      </c>
      <c r="L315" s="3" t="inlineStr">
        <is>
          <t>OPERA: VALVOLA, A COMANDO MAGNETICO/ELETTRICO DI LEGA FERROSA ACCIAIO GENERICO; GEOMETRIA: A 3 VIE | A OTTURATORE | ATTACCHI FILETTATI; FUNZIONE: DI REGOLAZIONE; DIAMETRO NOMINALE (Ø) [MM] = 80; PRESSIONE NOMINALE [BAR] = 16. INCLUSO: COMANDO MANUALE. 
LAVORO: POSA. 
SPECIFICHE TECNICHE: VALVOLA CON CORPO DI LEGA FERROSA ACCIAIO GENERICO; SERVOCOMANDO MODULANTE MAGNETICO / ELETTRICO. OP VALVOLA, A COMANDO MAGNETICO/ELETTRICO DI LEGA FERROSA ACCIAIO GENERICO; GEOMETRIA: A 3 VIE | A OTTURATORE | ATTACCHI FILETTATI; FUNZIONE: DI REGOLAZIONE; DIAMETRO NOMINALE (Ø) [MM] = 80; PRESSIONE NOMINALE [BAR] = 16. INCLUSO: COMANDO MANUALE. 
SPECIFICHE TECNICHE: VALVOLA CON CORPO DI LEGA FERROSA ACCIAIO GENERICO; SERVOCOMANDO MODULANTE MAGNETICO / ELETTRICO. 
RM VALVOLA A COMANDO MAGNETICO/ELETTRICO DI LEGA FERROSA ACCIAIO GENERICO; GEOMETRIA: A 3 VIE | A OTTURATORE | ATTACCHI FILETTATI; FUNZIONE: DI REGOLAZIONE; DIAMETRO NOMINALE (Ø) [MM] = 80; PRESSIONE NOMINALE [BAR] = 16. INCLUSO: COMANDO MANUALE 
SPECIFICHE TECNICHE: VALVOLA CON CORPO DI LEGA FERROSA ACCIAIO GENERICO; SERVOCOMANDO MODULANTE MAGNETICO / ELETTRICO 
LV POSA.</t>
        </is>
      </c>
      <c r="M315" s="4" t="inlineStr">
        <is>
          <t>CAD</t>
        </is>
      </c>
      <c r="N315" s="5" t="n">
        <v>1</v>
      </c>
      <c r="O315" s="6" t="n">
        <v>0</v>
      </c>
      <c r="P315" s="6" t="n">
        <v>0</v>
      </c>
      <c r="Q315" s="5" t="n"/>
      <c r="R315" s="6" t="n"/>
      <c r="S315" s="6">
        <f>IF(AND(Q315&lt;&gt;"",R315&lt;&gt;""),Q315*R315,"")</f>
        <v/>
      </c>
      <c r="T315" s="6">
        <f>IF(S315="",P315,S315)</f>
        <v/>
      </c>
      <c r="U315" s="7" t="n">
        <v>0</v>
      </c>
      <c r="V315" s="6">
        <f>$T315*U315</f>
        <v/>
      </c>
      <c r="W315" s="7" t="n">
        <v>0</v>
      </c>
      <c r="X315" s="6">
        <f>$T315*W315</f>
        <v/>
      </c>
      <c r="Y315" s="7" t="n">
        <v>0</v>
      </c>
      <c r="Z315" s="6">
        <f>$T315*Y315</f>
        <v/>
      </c>
      <c r="AA315" s="7" t="n">
        <v>0</v>
      </c>
      <c r="AB315" s="6">
        <f>$T315*AA315</f>
        <v/>
      </c>
      <c r="AC315" s="7" t="n">
        <v>0</v>
      </c>
      <c r="AD315" s="6">
        <f>$T315*AC315</f>
        <v/>
      </c>
      <c r="AE315" s="7" t="n">
        <v>0</v>
      </c>
      <c r="AF315" s="6">
        <f>$T315*AE315</f>
        <v/>
      </c>
      <c r="AG315" s="7" t="n">
        <v>0</v>
      </c>
      <c r="AH315" s="6">
        <f>$T315*AG315</f>
        <v/>
      </c>
      <c r="AI315" s="7">
        <f>U315+W315+Y315+AA315+AC315+AE315+AG315</f>
        <v/>
      </c>
      <c r="AJ315" s="6">
        <f>V315+X315+Z315+AB315+AD315+AF315+AH315</f>
        <v/>
      </c>
    </row>
    <row r="316" ht="60" customHeight="1" s="35">
      <c r="A316" s="3" t="inlineStr">
        <is>
          <t>LOM251.OC.EEA.PA02.I9762.SB001.0085</t>
        </is>
      </c>
      <c r="B316" s="4" t="inlineStr">
        <is>
          <t>1/1</t>
        </is>
      </c>
      <c r="C316" s="3" t="inlineStr">
        <is>
          <t>IMPIANTO MECCANICO</t>
        </is>
      </c>
      <c r="D316" s="4" t="inlineStr">
        <is>
          <t>SPECIALE</t>
        </is>
      </c>
      <c r="E316" s="4" t="inlineStr">
        <is>
          <t>MECCANICHE SPECIALI</t>
        </is>
      </c>
      <c r="F316" s="3" t="inlineStr">
        <is>
          <t>2_CME_TOTALE MECCANICI RADIOFARMACIA PAVIA.PDF</t>
        </is>
      </c>
      <c r="G316" s="4" t="inlineStr">
        <is>
          <t>76/76</t>
        </is>
      </c>
      <c r="H316" s="3" t="inlineStr">
        <is>
          <t>40 - IMPIANTISTICO</t>
        </is>
      </c>
      <c r="I316" s="3" t="inlineStr">
        <is>
          <t>CENTRALE</t>
        </is>
      </c>
      <c r="J316" s="3" t="inlineStr">
        <is>
          <t>IMPIANTO HVAC</t>
        </is>
      </c>
      <c r="K316" s="3" t="inlineStr">
        <is>
          <t>OPERA: VALVOLA, A COMANDO MAGNETICO/ELETTRICO DI LEGA FERROSA ACCIAIO GENERICO; GEOMETRIA: A 3 VIE | A OTTURATORE | ATTACCHI FILETTATI; FUNZIONE: DI REGOLAZIONE; DIAMETRO NOMINALE (Ø) [MM] = 65; PRESS</t>
        </is>
      </c>
      <c r="L316" s="3" t="inlineStr">
        <is>
          <t>OPERA: VALVOLA, A COMANDO MAGNETICO/ELETTRICO DI LEGA FERROSA ACCIAIO GENERICO; GEOMETRIA: A 3 VIE | A OTTURATORE | ATTACCHI FILETTATI; FUNZIONE: DI REGOLAZIONE; DIAMETRO NOMINALE (Ø) [MM] = 65; PRESSIONE NOMINALE [BAR] = 16. INCLUSO: COMANDO MANUALE. 
LAVORO: POSA. 
SPECIFICHE TECNICHE: VALVOLA CON CORPO DI LEGA FERROSA ACCIAIO GENERICO; SERVOCOMANDO MODULANTE MAGNETICO / ELETTRICO. OP VALVOLA, A COMANDO MAGNETICO/ELETTRICO DI LEGA FERROSA ACCIAIO GENERICO; GEOMETRIA: A 3 VIE | A OTTURATORE | ATTACCHI FILETTATI; FUNZIONE: DI REGOLAZIONE; DIAMETRO NOMINALE (Ø) [MM] = 65; PRESSIONE NOMINALE [BAR] = 16. INCLUSO: COMANDO MANUALE. 
SPECIFICHE TECNICHE: VALVOLA CON CORPO DI LEGA FERROSA ACCIAIO GENERICO; SERVOCOMANDO MODULANTE MAGNETICO / ELETTRICO. 
RM VALVOLA A COMANDO MAGNETICO/ELETTRICO DI LEGA FERROSA ACCIAIO GENERICO; GEOMETRIA: A 3 VIE | A OTTURATORE | ATTACCHI FILETTATI; FUNZIONE: DI REGOLAZIONE; DIAMETRO NOMINALE (Ø) [MM] = 65; PRESSIONE NOMINALE [BAR] = 16. INCLUSO: COMANDO MANUALE 
SPECIFICHE TECNICHE: VALVOLA CON CORPO DI LEGA FERROSA ACCIAIO GENERICO; SERVOCOMANDO MODULANTE MAGNETICO / ELETTRICO 
LV POSA.</t>
        </is>
      </c>
      <c r="M316" s="4" t="inlineStr">
        <is>
          <t>CAD</t>
        </is>
      </c>
      <c r="N316" s="5" t="n">
        <v>2</v>
      </c>
      <c r="O316" s="6" t="n">
        <v>0</v>
      </c>
      <c r="P316" s="6" t="n">
        <v>0</v>
      </c>
      <c r="Q316" s="5" t="n"/>
      <c r="R316" s="6" t="n"/>
      <c r="S316" s="6">
        <f>IF(AND(Q316&lt;&gt;"",R316&lt;&gt;""),Q316*R316,"")</f>
        <v/>
      </c>
      <c r="T316" s="6">
        <f>IF(S316="",P316,S316)</f>
        <v/>
      </c>
      <c r="U316" s="7" t="n">
        <v>0</v>
      </c>
      <c r="V316" s="6">
        <f>$T316*U316</f>
        <v/>
      </c>
      <c r="W316" s="7" t="n">
        <v>0</v>
      </c>
      <c r="X316" s="6">
        <f>$T316*W316</f>
        <v/>
      </c>
      <c r="Y316" s="7" t="n">
        <v>0</v>
      </c>
      <c r="Z316" s="6">
        <f>$T316*Y316</f>
        <v/>
      </c>
      <c r="AA316" s="7" t="n">
        <v>0</v>
      </c>
      <c r="AB316" s="6">
        <f>$T316*AA316</f>
        <v/>
      </c>
      <c r="AC316" s="7" t="n">
        <v>0</v>
      </c>
      <c r="AD316" s="6">
        <f>$T316*AC316</f>
        <v/>
      </c>
      <c r="AE316" s="7" t="n">
        <v>0</v>
      </c>
      <c r="AF316" s="6">
        <f>$T316*AE316</f>
        <v/>
      </c>
      <c r="AG316" s="7" t="n">
        <v>0</v>
      </c>
      <c r="AH316" s="6">
        <f>$T316*AG316</f>
        <v/>
      </c>
      <c r="AI316" s="7">
        <f>U316+W316+Y316+AA316+AC316+AE316+AG316</f>
        <v/>
      </c>
      <c r="AJ316" s="6">
        <f>V316+X316+Z316+AB316+AD316+AF316+AH316</f>
        <v/>
      </c>
    </row>
    <row r="317" ht="60" customHeight="1" s="35">
      <c r="A317" s="3" t="inlineStr">
        <is>
          <t>LOM251.OC.EEA.PA01.F0939.SB001.0000</t>
        </is>
      </c>
      <c r="B317" s="4" t="inlineStr">
        <is>
          <t>1/1</t>
        </is>
      </c>
      <c r="C317" s="3" t="inlineStr">
        <is>
          <t>IMPIANTO MECCANICO</t>
        </is>
      </c>
      <c r="D317" s="4" t="inlineStr">
        <is>
          <t>SPECIALE</t>
        </is>
      </c>
      <c r="E317" s="4" t="inlineStr">
        <is>
          <t>MECCANICHE SPECIALI</t>
        </is>
      </c>
      <c r="F317" s="3" t="inlineStr">
        <is>
          <t>2_CME_TOTALE MECCANICI RADIOFARMACIA PAVIA.PDF</t>
        </is>
      </c>
      <c r="G317" s="4" t="inlineStr">
        <is>
          <t>77/77</t>
        </is>
      </c>
      <c r="H317" s="3" t="inlineStr">
        <is>
          <t>40 - IMPIANTISTICO</t>
        </is>
      </c>
      <c r="I317" s="3" t="inlineStr">
        <is>
          <t>CENTRALE</t>
        </is>
      </c>
      <c r="J317" s="3" t="inlineStr">
        <is>
          <t>IMPIANTO HVAC</t>
        </is>
      </c>
      <c r="K317" s="3" t="inlineStr">
        <is>
          <t xml:space="preserve">OPERA: CASSETTA MISCELATRICE DI LEGA FERROSA ACCIAIO GENERICO; FUNZIONE: REGOLAZIONE DI PORTATA; IMPIEGO: CONDOTTO DI MANDATA E RIPRESA; DIAMETRO (Ø) [MM] = 125. INCLUSO: REGOLATORE INTERNO. </t>
        </is>
      </c>
      <c r="L317" s="3" t="inlineStr">
        <is>
          <t>OPERA: CASSETTA MISCELATRICE DI LEGA FERROSA ACCIAIO GENERICO; FUNZIONE: REGOLAZIONE DI PORTATA; IMPIEGO: CONDOTTO DI MANDATA E RIPRESA; DIAMETRO (Ø) [MM] = 125. INCLUSO: REGOLATORE INTERNO. 
LAVORO: INSTALLAZIONE. 
SPECIFICHE TECNICHE: A SECONDA DELL'IMPIEGO PUÒ ESSERE CAV, REGOLAZIONE A PORTATA COSTANTE, O VAV, REGOLAZIONE A PORTATA VARIABILE: LA REGOLAZIONE AVVIENE TRAMITE UN REGOLATORE INTERNO; MASSIMO DIFFERENZIALE DI PRESSIONE DI PERDITA DI CARICO: [PA] = 1000; MINIMO DIFFERENZIALE DI PRESSIONE PER ATTIVARE IL REGOLATORE: [PA] = 40 ÷ 100. OP CASSETTA MISCELATRICE DI LEGA FERROSA ACCIAIO GENERICO; FUNZIONE: REGOLAZIONE DI PORTATA; IMPIEGO: CONDOTTO DI MANDATA E RIPRESA; DIAMETRO (Ø) [MM] = 125. INCLUSO: REGOLATORE INTERNO. 
SPECIFICHE TECNICHE: A SECONDA DELL'IMPIEGO PUÒ ESSERE CAV, REGOLAZIONE A PORTATA COSTANTE, O VAV, REGOLAZIONE A PORTATA VARIABILE: LA REGOLAZIONE AVVIENE TRAMITE UN REGOLATORE INTERNO; MASSIMO DIFFERENZIALE DI PRESSIONE DI PERDITA DI CARICO: [PA] = 1000; MINIMO DIFFERENZIALE DI PRESSIONE PER ATTIVARE IL REGOLATORE: [PA] = 40 ÷ 100. 
RM CASSETTA MISCELATRICE DI LEGA FERROSA ACCIAIO GENERICO; FUNZIONE: REGOLAZIONE DI PORTATA; IMPIEGO: CONDOTTO DI MANDATA E RIPRESA; DIAMETRO (Ø) [MM] = 125. INCLUSO: REGOLATORE INTERNO 
SPECIFICHE TECNICHE: A SECONDA DELL'IMPIEGO PUÒ ESSERE CAV, REGOLAZIONE A PORTATA COSTANTE, O VAV, REGOLAZIONE A PORTATA VARIABILE: LA REGOLAZIONE AVVIENE TRAMITE UN REGOLATORE INTERNO; MASSIMO DIFFERENZIALE DI PRESSIONE DI PERDITA DI CARICO: [PA] = 1000; MINIMO DIFFERENZIALE DI PRESSIONE PER ATTIVARE IL REGOLATORE: [PA] = 40 ÷ 100 
LV INSTALLAZIONE.</t>
        </is>
      </c>
      <c r="M317" s="4" t="inlineStr">
        <is>
          <t>CAD</t>
        </is>
      </c>
      <c r="N317" s="5" t="n">
        <v>23</v>
      </c>
      <c r="O317" s="6" t="n">
        <v>634.4400000000001</v>
      </c>
      <c r="P317" s="6" t="n">
        <v>14592.12</v>
      </c>
      <c r="Q317" s="5" t="n"/>
      <c r="R317" s="6" t="n"/>
      <c r="S317" s="6">
        <f>IF(AND(Q317&lt;&gt;"",R317&lt;&gt;""),Q317*R317,"")</f>
        <v/>
      </c>
      <c r="T317" s="6">
        <f>IF(S317="",P317,S317)</f>
        <v/>
      </c>
      <c r="U317" s="7" t="n">
        <v>0.5</v>
      </c>
      <c r="V317" s="6">
        <f>$T317*U317</f>
        <v/>
      </c>
      <c r="W317" s="7" t="n">
        <v>0.2</v>
      </c>
      <c r="X317" s="6">
        <f>$T317*W317</f>
        <v/>
      </c>
      <c r="Y317" s="7" t="n">
        <v>0</v>
      </c>
      <c r="Z317" s="6">
        <f>$T317*Y317</f>
        <v/>
      </c>
      <c r="AA317" s="7" t="n">
        <v>0</v>
      </c>
      <c r="AB317" s="6">
        <f>$T317*AA317</f>
        <v/>
      </c>
      <c r="AC317" s="7" t="n">
        <v>0</v>
      </c>
      <c r="AD317" s="6">
        <f>$T317*AC317</f>
        <v/>
      </c>
      <c r="AE317" s="7" t="n">
        <v>0</v>
      </c>
      <c r="AF317" s="6">
        <f>$T317*AE317</f>
        <v/>
      </c>
      <c r="AG317" s="7" t="n">
        <v>0</v>
      </c>
      <c r="AH317" s="6">
        <f>$T317*AG317</f>
        <v/>
      </c>
      <c r="AI317" s="7">
        <f>U317+W317+Y317+AA317+AC317+AE317+AG317</f>
        <v/>
      </c>
      <c r="AJ317" s="6">
        <f>V317+X317+Z317+AB317+AD317+AF317+AH317</f>
        <v/>
      </c>
    </row>
    <row r="318" ht="60" customHeight="1" s="35">
      <c r="A318" s="3" t="inlineStr">
        <is>
          <t>LOM251.OC.EEA.PA01.F0939.SB001.0005</t>
        </is>
      </c>
      <c r="B318" s="4" t="inlineStr">
        <is>
          <t>1/1</t>
        </is>
      </c>
      <c r="C318" s="3" t="inlineStr">
        <is>
          <t>IMPIANTO MECCANICO</t>
        </is>
      </c>
      <c r="D318" s="4" t="inlineStr">
        <is>
          <t>SPECIALE</t>
        </is>
      </c>
      <c r="E318" s="4" t="inlineStr">
        <is>
          <t>MECCANICHE SPECIALI</t>
        </is>
      </c>
      <c r="F318" s="3" t="inlineStr">
        <is>
          <t>2_CME_TOTALE MECCANICI RADIOFARMACIA PAVIA.PDF</t>
        </is>
      </c>
      <c r="G318" s="4" t="inlineStr">
        <is>
          <t>78/78</t>
        </is>
      </c>
      <c r="H318" s="3" t="inlineStr">
        <is>
          <t>40 - IMPIANTISTICO</t>
        </is>
      </c>
      <c r="I318" s="3" t="inlineStr">
        <is>
          <t>CENTRALE</t>
        </is>
      </c>
      <c r="J318" s="3" t="inlineStr">
        <is>
          <t>IMPIANTO HVAC</t>
        </is>
      </c>
      <c r="K318" s="3" t="inlineStr">
        <is>
          <t xml:space="preserve">OPERA: CASSETTA MISCELATRICE DI LEGA FERROSA ACCIAIO GENERICO; FUNZIONE: REGOLAZIONE DI PORTATA; IMPIEGO: CONDOTTO DI MANDATA E RIPRESA; DIAMETRO (Ø) [MM] = 160. INCLUSO: REGOLATORE INTERNO. </t>
        </is>
      </c>
      <c r="L318" s="3" t="inlineStr">
        <is>
          <t>OPERA: CASSETTA MISCELATRICE DI LEGA FERROSA ACCIAIO GENERICO; FUNZIONE: REGOLAZIONE DI PORTATA; IMPIEGO: CONDOTTO DI MANDATA E RIPRESA; DIAMETRO (Ø) [MM] = 160. INCLUSO: REGOLATORE INTERNO. 
LAVORO: INSTALLAZIONE. 
SPECIFICHE TECNICHE: A SECONDA DELL'IMPIEGO PUÒ ESSERE CAV, REGOLAZIONE A PORTATA COSTANTE, O VAV, REGOLAZIONE A PORTATA VARIABILE: LA REGOLAZIONE AVVIENE TRAMITE UN REGOLATORE INTERNO; MASSIMO DIFFERENZIALE DI PRESSIONE DI PERDITA DI CARICO: [PA] = 1000; MINIMO DIFFERENZIALE DI PRESSIONE PER ATTIVARE IL REGOLATORE: [PA] = 40 ÷ 100. OP CASSETTA MISCELATRICE DI LEGA FERROSA ACCIAIO GENERICO; FUNZIONE: REGOLAZIONE DI PORTATA; IMPIEGO: CONDOTTO DI MANDATA E RIPRESA; DIAMETRO (Ø) [MM] = 160. INCLUSO: REGOLATORE INTERNO. 
SPECIFICHE TECNICHE: A SECONDA DELL'IMPIEGO PUÒ ESSERE CAV, REGOLAZIONE A PORTATA COSTANTE, O VAV, REGOLAZIONE A PORTATA VARIABILE: LA REGOLAZIONE AVVIENE TRAMITE UN REGOLATORE INTERNO; MASSIMO DIFFERENZIALE DI PRESSIONE DI PERDITA DI CARICO: [PA] = 1000; MINIMO DIFFERENZIALE DI PRESSIONE PER ATTIVARE IL REGOLATORE: [PA] = 40 ÷ 100. 
RM CASSETTA MISCELATRICE DI LEGA FERROSA ACCIAIO GENERICO; FUNZIONE: REGOLAZIONE DI PORTATA; IMPIEGO: CONDOTTO DI MANDATA E RIPRESA; DIAMETRO (Ø) [MM] = 160. INCLUSO: REGOLATORE INTERNO 
SPECIFICHE TECNICHE: A SECONDA DELL'IMPIEGO PUÒ ESSERE CAV, REGOLAZIONE A PORTATA COSTANTE, O VAV, REGOLAZIONE A PORTATA VARIABILE: LA REGOLAZIONE AVVIENE TRAMITE UN REGOLATORE INTERNO; MASSIMO DIFFERENZIALE DI PRESSIONE DI PERDITA DI CARICO: [PA] = 1000; MINIMO DIFFERENZIALE DI PRESSIONE PER ATTIVARE IL REGOLATORE: [PA] = 40 ÷ 100 
LV INSTALLAZIONE.</t>
        </is>
      </c>
      <c r="M318" s="4" t="inlineStr">
        <is>
          <t>CAD</t>
        </is>
      </c>
      <c r="N318" s="5" t="n">
        <v>14</v>
      </c>
      <c r="O318" s="6" t="n">
        <v>646.29</v>
      </c>
      <c r="P318" s="6" t="n">
        <v>9048.059999999999</v>
      </c>
      <c r="Q318" s="5" t="n"/>
      <c r="R318" s="6" t="n"/>
      <c r="S318" s="6">
        <f>IF(AND(Q318&lt;&gt;"",R318&lt;&gt;""),Q318*R318,"")</f>
        <v/>
      </c>
      <c r="T318" s="6">
        <f>IF(S318="",P318,S318)</f>
        <v/>
      </c>
      <c r="U318" s="7" t="n">
        <v>0.5</v>
      </c>
      <c r="V318" s="6">
        <f>$T318*U318</f>
        <v/>
      </c>
      <c r="W318" s="7" t="n">
        <v>0.2</v>
      </c>
      <c r="X318" s="6">
        <f>$T318*W318</f>
        <v/>
      </c>
      <c r="Y318" s="7" t="n">
        <v>0</v>
      </c>
      <c r="Z318" s="6">
        <f>$T318*Y318</f>
        <v/>
      </c>
      <c r="AA318" s="7" t="n">
        <v>0</v>
      </c>
      <c r="AB318" s="6">
        <f>$T318*AA318</f>
        <v/>
      </c>
      <c r="AC318" s="7" t="n">
        <v>0</v>
      </c>
      <c r="AD318" s="6">
        <f>$T318*AC318</f>
        <v/>
      </c>
      <c r="AE318" s="7" t="n">
        <v>0</v>
      </c>
      <c r="AF318" s="6">
        <f>$T318*AE318</f>
        <v/>
      </c>
      <c r="AG318" s="7" t="n">
        <v>0</v>
      </c>
      <c r="AH318" s="6">
        <f>$T318*AG318</f>
        <v/>
      </c>
      <c r="AI318" s="7">
        <f>U318+W318+Y318+AA318+AC318+AE318+AG318</f>
        <v/>
      </c>
      <c r="AJ318" s="6">
        <f>V318+X318+Z318+AB318+AD318+AF318+AH318</f>
        <v/>
      </c>
    </row>
    <row r="319" ht="60" customHeight="1" s="35">
      <c r="A319" s="3" t="inlineStr">
        <is>
          <t>LOM251.OC.EEA.PA01.F0939.SB001.0010</t>
        </is>
      </c>
      <c r="B319" s="4" t="inlineStr">
        <is>
          <t>1/1</t>
        </is>
      </c>
      <c r="C319" s="3" t="inlineStr">
        <is>
          <t>IMPIANTO MECCANICO</t>
        </is>
      </c>
      <c r="D319" s="4" t="inlineStr">
        <is>
          <t>SPECIALE</t>
        </is>
      </c>
      <c r="E319" s="4" t="inlineStr">
        <is>
          <t>MECCANICHE SPECIALI</t>
        </is>
      </c>
      <c r="F319" s="3" t="inlineStr">
        <is>
          <t>2_CME_TOTALE MECCANICI RADIOFARMACIA PAVIA.PDF</t>
        </is>
      </c>
      <c r="G319" s="4" t="inlineStr">
        <is>
          <t>79/79</t>
        </is>
      </c>
      <c r="H319" s="3" t="inlineStr">
        <is>
          <t>40 - IMPIANTISTICO</t>
        </is>
      </c>
      <c r="I319" s="3" t="inlineStr">
        <is>
          <t>CENTRALE</t>
        </is>
      </c>
      <c r="J319" s="3" t="inlineStr">
        <is>
          <t>IMPIANTO HVAC</t>
        </is>
      </c>
      <c r="K319" s="3" t="inlineStr">
        <is>
          <t xml:space="preserve">OPERA: CASSETTA MISCELATRICE DI LEGA FERROSA ACCIAIO GENERICO; FUNZIONE: REGOLAZIONE DI PORTATA; IMPIEGO: CONDOTTO DI MANDATA E RIPRESA; DIAMETRO (Ø) [MM] = 200. INCLUSO: REGOLATORE INTERNO. </t>
        </is>
      </c>
      <c r="L319" s="3" t="inlineStr">
        <is>
          <t>OPERA: CASSETTA MISCELATRICE DI LEGA FERROSA ACCIAIO GENERICO; FUNZIONE: REGOLAZIONE DI PORTATA; IMPIEGO: CONDOTTO DI MANDATA E RIPRESA; DIAMETRO (Ø) [MM] = 200. INCLUSO: REGOLATORE INTERNO. 
LAVORO: INSTALLAZIONE. 
SPECIFICHE TECNICHE: A SECONDA DELL'IMPIEGO PUÒ ESSERE CAV, REGOLAZIONE A PORTATA COSTANTE, O VAV, REGOLAZIONE A PORTATA VARIABILE: LA REGOLAZIONE AVVIENE TRAMITE UN REGOLATORE INTERNO; MASSIMO DIFFERENZIALE DI PRESSIONE DI PERDITA DI CARICO: [PA] = 1000; MINIMO DIFFERENZIALE DI PRESSIONE PER ATTIVARE IL REGOLATORE: [PA] = 40 ÷ 100. OP CASSETTA MISCELATRICE DI LEGA FERROSA ACCIAIO GENERICO; FUNZIONE: REGOLAZIONE DI PORTATA; IMPIEGO: CONDOTTO DI MANDATA E RIPRESA; DIAMETRO (Ø) [MM] = 200. INCLUSO: REGOLATORE INTERNO. 
SPECIFICHE TECNICHE: A SECONDA DELL'IMPIEGO PUÒ ESSERE CAV, REGOLAZIONE A PORTATA COSTANTE, O VAV, REGOLAZIONE A PORTATA VARIABILE: LA REGOLAZIONE AVVIENE TRAMITE UN REGOLATORE INTERNO; MASSIMO DIFFERENZIALE DI PRESSIONE DI PERDITA DI CARICO: [PA] = 1000; MINIMO DIFFERENZIALE DI PRESSIONE PER ATTIVARE IL REGOLATORE: [PA] = 40 ÷ 100. 
RM CASSETTA MISCELATRICE DI LEGA FERROSA ACCIAIO GENERICO; FUNZIONE: REGOLAZIONE DI PORTATA; IMPIEGO: CONDOTTO DI MANDATA E RIPRESA; DIAMETRO (Ø) [MM] = 200. INCLUSO: REGOLATORE INTERNO 
SPECIFICHE TECNICHE: A SECONDA DELL'IMPIEGO PUÒ ESSERE CAV, REGOLAZIONE A PORTATA COSTANTE, O VAV, REGOLAZIONE A PORTATA VARIABILE: LA REGOLAZIONE AVVIENE TRAMITE UN REGOLATORE INTERNO; MASSIMO DIFFERENZIALE DI PRESSIONE DI PERDITA DI CARICO: [PA] = 1000; MINIMO DIFFERENZIALE DI PRESSIONE PER ATTIVARE IL REGOLATORE: [PA] = 40 ÷ 100 
LV INSTALLAZIONE.</t>
        </is>
      </c>
      <c r="M319" s="4" t="inlineStr">
        <is>
          <t>CAD</t>
        </is>
      </c>
      <c r="N319" s="5" t="n">
        <v>5</v>
      </c>
      <c r="O319" s="6" t="n">
        <v>658.15</v>
      </c>
      <c r="P319" s="6" t="n">
        <v>3290.75</v>
      </c>
      <c r="Q319" s="5" t="n"/>
      <c r="R319" s="6" t="n"/>
      <c r="S319" s="6">
        <f>IF(AND(Q319&lt;&gt;"",R319&lt;&gt;""),Q319*R319,"")</f>
        <v/>
      </c>
      <c r="T319" s="6">
        <f>IF(S319="",P319,S319)</f>
        <v/>
      </c>
      <c r="U319" s="7" t="n">
        <v>0.5</v>
      </c>
      <c r="V319" s="6">
        <f>$T319*U319</f>
        <v/>
      </c>
      <c r="W319" s="7" t="n">
        <v>0.2</v>
      </c>
      <c r="X319" s="6">
        <f>$T319*W319</f>
        <v/>
      </c>
      <c r="Y319" s="7" t="n">
        <v>0</v>
      </c>
      <c r="Z319" s="6">
        <f>$T319*Y319</f>
        <v/>
      </c>
      <c r="AA319" s="7" t="n">
        <v>0</v>
      </c>
      <c r="AB319" s="6">
        <f>$T319*AA319</f>
        <v/>
      </c>
      <c r="AC319" s="7" t="n">
        <v>0</v>
      </c>
      <c r="AD319" s="6">
        <f>$T319*AC319</f>
        <v/>
      </c>
      <c r="AE319" s="7" t="n">
        <v>0</v>
      </c>
      <c r="AF319" s="6">
        <f>$T319*AE319</f>
        <v/>
      </c>
      <c r="AG319" s="7" t="n">
        <v>0</v>
      </c>
      <c r="AH319" s="6">
        <f>$T319*AG319</f>
        <v/>
      </c>
      <c r="AI319" s="7">
        <f>U319+W319+Y319+AA319+AC319+AE319+AG319</f>
        <v/>
      </c>
      <c r="AJ319" s="6">
        <f>V319+X319+Z319+AB319+AD319+AF319+AH319</f>
        <v/>
      </c>
    </row>
    <row r="320" ht="60" customHeight="1" s="35">
      <c r="A320" s="3" t="inlineStr">
        <is>
          <t>LOM251.OC.EEA.PA01.F0939.SB001.0015</t>
        </is>
      </c>
      <c r="B320" s="4" t="inlineStr">
        <is>
          <t>1/1</t>
        </is>
      </c>
      <c r="C320" s="3" t="inlineStr">
        <is>
          <t>IMPIANTO MECCANICO</t>
        </is>
      </c>
      <c r="D320" s="4" t="inlineStr">
        <is>
          <t>SPECIALE</t>
        </is>
      </c>
      <c r="E320" s="4" t="inlineStr">
        <is>
          <t>MECCANICHE SPECIALI</t>
        </is>
      </c>
      <c r="F320" s="3" t="inlineStr">
        <is>
          <t>2_CME_TOTALE MECCANICI RADIOFARMACIA PAVIA.PDF</t>
        </is>
      </c>
      <c r="G320" s="4" t="inlineStr">
        <is>
          <t>80/80</t>
        </is>
      </c>
      <c r="H320" s="3" t="inlineStr">
        <is>
          <t>40 - IMPIANTISTICO</t>
        </is>
      </c>
      <c r="I320" s="3" t="inlineStr">
        <is>
          <t>CENTRALE</t>
        </is>
      </c>
      <c r="J320" s="3" t="inlineStr">
        <is>
          <t>IMPIANTO HVAC</t>
        </is>
      </c>
      <c r="K320" s="3" t="inlineStr">
        <is>
          <t xml:space="preserve">OPERA: CASSETTA MISCELATRICE DI LEGA FERROSA ACCIAIO GENERICO; FUNZIONE: REGOLAZIONE DI PORTATA; IMPIEGO: CONDOTTO DI MANDATA E RIPRESA; DIAMETRO (Ø) [MM] = 250. INCLUSO: REGOLATORE INTERNO. </t>
        </is>
      </c>
      <c r="L320" s="3" t="inlineStr">
        <is>
          <t>OPERA: CASSETTA MISCELATRICE DI LEGA FERROSA ACCIAIO GENERICO; FUNZIONE: REGOLAZIONE DI PORTATA; IMPIEGO: CONDOTTO DI MANDATA E RIPRESA; DIAMETRO (Ø) [MM] = 250. INCLUSO: REGOLATORE INTERNO. 
LAVORO: INSTALLAZIONE. 
SPECIFICHE TECNICHE: A SECONDA DELL'IMPIEGO PUÒ ESSERE CAV, REGOLAZIONE A PORTATA COSTANTE, O VAV, REGOLAZIONE A PORTATA VARIABILE: LA REGOLAZIONE AVVIENE TRAMITE UN REGOLATORE INTERNO; MASSIMO DIFFERENZIALE DI PRESSIONE DI PERDITA DI CARICO: [PA] = 1000; MINIMO DIFFERENZIALE DI PRESSIONE PER ATTIVARE IL REGOLATORE: [PA] = 40 ÷ 100. OP CASSETTA MISCELATRICE DI LEGA FERROSA ACCIAIO GENERICO; FUNZIONE: REGOLAZIONE DI PORTATA; IMPIEGO: CONDOTTO DI MANDATA E RIPRESA; DIAMETRO (Ø) [MM] = 250. INCLUSO: REGOLATORE INTERNO. 
SPECIFICHE TECNICHE: A SECONDA DELL'IMPIEGO PUÒ ESSERE CAV, REGOLAZIONE A PORTATA COSTANTE, O VAV, REGOLAZIONE A PORTATA VARIABILE: LA REGOLAZIONE AVVIENE TRAMITE UN REGOLATORE INTERNO; MASSIMO DIFFERENZIALE DI PRESSIONE DI PERDITA DI CARICO: [PA] = 1000; MINIMO DIFFERENZIALE DI PRESSIONE PER ATTIVARE IL REGOLATORE: [PA] = 40 ÷ 100. 
RM CASSETTA MISCELATRICE DI LEGA FERROSA ACCIAIO GENERICO; FUNZIONE: REGOLAZIONE DI PORTATA; IMPIEGO: CONDOTTO DI MANDATA E RIPRESA; DIAMETRO (Ø) [MM] = 250. INCLUSO: REGOLATORE INTERNO 
SPECIFICHE TECNICHE: A SECONDA DELL'IMPIEGO PUÒ ESSERE CAV, REGOLAZIONE A PORTATA COSTANTE, O VAV, REGOLAZIONE A PORTATA VARIABILE: LA REGOLAZIONE AVVIENE TRAMITE UN REGOLATORE INTERNO; MASSIMO DIFFERENZIALE DI PRESSIONE DI PERDITA DI CARICO: [PA] = 1000; MINIMO DIFFERENZIALE DI PRESSIONE PER ATTIVARE IL REGOLATORE: [PA] = 40 ÷ 100 
LV INSTALLAZIONE.</t>
        </is>
      </c>
      <c r="M320" s="4" t="inlineStr">
        <is>
          <t>CAD</t>
        </is>
      </c>
      <c r="N320" s="5" t="n">
        <v>5</v>
      </c>
      <c r="O320" s="6" t="n">
        <v>670.01</v>
      </c>
      <c r="P320" s="6" t="n">
        <v>3350.05</v>
      </c>
      <c r="Q320" s="5" t="n"/>
      <c r="R320" s="6" t="n"/>
      <c r="S320" s="6">
        <f>IF(AND(Q320&lt;&gt;"",R320&lt;&gt;""),Q320*R320,"")</f>
        <v/>
      </c>
      <c r="T320" s="6">
        <f>IF(S320="",P320,S320)</f>
        <v/>
      </c>
      <c r="U320" s="7" t="n">
        <v>0.5</v>
      </c>
      <c r="V320" s="6">
        <f>$T320*U320</f>
        <v/>
      </c>
      <c r="W320" s="7" t="n">
        <v>0.2</v>
      </c>
      <c r="X320" s="6">
        <f>$T320*W320</f>
        <v/>
      </c>
      <c r="Y320" s="7" t="n">
        <v>0</v>
      </c>
      <c r="Z320" s="6">
        <f>$T320*Y320</f>
        <v/>
      </c>
      <c r="AA320" s="7" t="n">
        <v>0</v>
      </c>
      <c r="AB320" s="6">
        <f>$T320*AA320</f>
        <v/>
      </c>
      <c r="AC320" s="7" t="n">
        <v>0</v>
      </c>
      <c r="AD320" s="6">
        <f>$T320*AC320</f>
        <v/>
      </c>
      <c r="AE320" s="7" t="n">
        <v>0</v>
      </c>
      <c r="AF320" s="6">
        <f>$T320*AE320</f>
        <v/>
      </c>
      <c r="AG320" s="7" t="n">
        <v>0</v>
      </c>
      <c r="AH320" s="6">
        <f>$T320*AG320</f>
        <v/>
      </c>
      <c r="AI320" s="7">
        <f>U320+W320+Y320+AA320+AC320+AE320+AG320</f>
        <v/>
      </c>
      <c r="AJ320" s="6">
        <f>V320+X320+Z320+AB320+AD320+AF320+AH320</f>
        <v/>
      </c>
    </row>
    <row r="321" ht="60" customHeight="1" s="35">
      <c r="A321" s="3" t="inlineStr">
        <is>
          <t>LOM251.OC.EEA.PA01.F0939.SB001.0020</t>
        </is>
      </c>
      <c r="B321" s="4" t="inlineStr">
        <is>
          <t>1/1</t>
        </is>
      </c>
      <c r="C321" s="3" t="inlineStr">
        <is>
          <t>IMPIANTO MECCANICO</t>
        </is>
      </c>
      <c r="D321" s="4" t="inlineStr">
        <is>
          <t>SPECIALE</t>
        </is>
      </c>
      <c r="E321" s="4" t="inlineStr">
        <is>
          <t>MECCANICHE SPECIALI</t>
        </is>
      </c>
      <c r="F321" s="3" t="inlineStr">
        <is>
          <t>2_CME_TOTALE MECCANICI RADIOFARMACIA PAVIA.PDF</t>
        </is>
      </c>
      <c r="G321" s="4" t="inlineStr">
        <is>
          <t>81/81</t>
        </is>
      </c>
      <c r="H321" s="3" t="inlineStr">
        <is>
          <t>40 - IMPIANTISTICO</t>
        </is>
      </c>
      <c r="I321" s="3" t="inlineStr">
        <is>
          <t>CENTRALE</t>
        </is>
      </c>
      <c r="J321" s="3" t="inlineStr">
        <is>
          <t>IMPIANTO HVAC</t>
        </is>
      </c>
      <c r="K321" s="3" t="inlineStr">
        <is>
          <t xml:space="preserve">OPERA: CASSETTA MISCELATRICE DI LEGA FERROSA ACCIAIO GENERICO; FUNZIONE: REGOLAZIONE DI PORTATA; IMPIEGO: CONDOTTO DI MANDATA E RIPRESA; DIAMETRO (Ø) [MM] = 315. INCLUSO: REGOLATORE INTERNO. </t>
        </is>
      </c>
      <c r="L321" s="3" t="inlineStr">
        <is>
          <t>OPERA: CASSETTA MISCELATRICE DI LEGA FERROSA ACCIAIO GENERICO; FUNZIONE: REGOLAZIONE DI PORTATA; IMPIEGO: CONDOTTO DI MANDATA E RIPRESA; DIAMETRO (Ø) [MM] = 315. INCLUSO: REGOLATORE INTERNO. 
LAVORO: INSTALLAZIONE. 
SPECIFICHE TECNICHE: A SECONDA DELL'IMPIEGO PUÒ ESSERE CAV, REGOLAZIONE A PORTATA COSTANTE, O VAV, REGOLAZIONE A PORTATA VARIABILE: LA REGOLAZIONE AVVIENE TRAMITE UN REGOLATORE INTERNO; MASSIMO DIFFERENZIALE DI PRESSIONE DI PERDITA DI CARICO: [PA] = 1000; MINIMO DIFFERENZIALE DI PRESSIONE PER ATTIVARE IL REGOLATORE: [PA] = 40 ÷ 100. OP CASSETTA MISCELATRICE DI LEGA FERROSA ACCIAIO GENERICO; FUNZIONE: REGOLAZIONE DI PORTATA; IMPIEGO: CONDOTTO DI MANDATA E RIPRESA; DIAMETRO (Ø) [MM] = 315. INCLUSO: REGOLATORE INTERNO. 
SPECIFICHE TECNICHE: A SECONDA DELL'IMPIEGO PUÒ ESSERE CAV, REGOLAZIONE A PORTATA COSTANTE, O VAV, REGOLAZIONE A PORTATA VARIABILE: LA REGOLAZIONE AVVIENE TRAMITE UN REGOLATORE INTERNO; MASSIMO DIFFERENZIALE DI PRESSIONE DI PERDITA DI CARICO: [PA] = 1000; MINIMO DIFFERENZIALE DI PRESSIONE PER ATTIVARE IL REGOLATORE: [PA] = 40 ÷ 100. 
RM CASSETTA MISCELATRICE DI LEGA FERROSA ACCIAIO GENERICO; FUNZIONE: REGOLAZIONE DI PORTATA; IMPIEGO: CONDOTTO DI MANDATA E RIPRESA; DIAMETRO (Ø) [MM] = 315. INCLUSO: REGOLATORE INTERNO 
SPECIFICHE TECNICHE: A SECONDA DELL'IMPIEGO PUÒ ESSERE CAV, REGOLAZIONE A PORTATA COSTANTE, O VAV, REGOLAZIONE A PORTATA VARIABILE: LA REGOLAZIONE AVVIENE TRAMITE UN REGOLATORE INTERNO; MASSIMO DIFFERENZIALE DI PRESSIONE DI PERDITA DI CARICO: [PA] = 1000; MINIMO DIFFERENZIALE DI PRESSIONE PER ATTIVARE IL REGOLATORE: [PA] = 40 ÷ 100 
LV INSTALLAZIONE.</t>
        </is>
      </c>
      <c r="M321" s="4" t="inlineStr">
        <is>
          <t>CAD</t>
        </is>
      </c>
      <c r="N321" s="5" t="n">
        <v>1</v>
      </c>
      <c r="O321" s="6" t="n">
        <v>705.59</v>
      </c>
      <c r="P321" s="6" t="n">
        <v>705.59</v>
      </c>
      <c r="Q321" s="5" t="n"/>
      <c r="R321" s="6" t="n"/>
      <c r="S321" s="6">
        <f>IF(AND(Q321&lt;&gt;"",R321&lt;&gt;""),Q321*R321,"")</f>
        <v/>
      </c>
      <c r="T321" s="6">
        <f>IF(S321="",P321,S321)</f>
        <v/>
      </c>
      <c r="U321" s="7" t="n">
        <v>0.5</v>
      </c>
      <c r="V321" s="6">
        <f>$T321*U321</f>
        <v/>
      </c>
      <c r="W321" s="7" t="n">
        <v>0.2</v>
      </c>
      <c r="X321" s="6">
        <f>$T321*W321</f>
        <v/>
      </c>
      <c r="Y321" s="7" t="n">
        <v>0</v>
      </c>
      <c r="Z321" s="6">
        <f>$T321*Y321</f>
        <v/>
      </c>
      <c r="AA321" s="7" t="n">
        <v>0</v>
      </c>
      <c r="AB321" s="6">
        <f>$T321*AA321</f>
        <v/>
      </c>
      <c r="AC321" s="7" t="n">
        <v>0</v>
      </c>
      <c r="AD321" s="6">
        <f>$T321*AC321</f>
        <v/>
      </c>
      <c r="AE321" s="7" t="n">
        <v>0</v>
      </c>
      <c r="AF321" s="6">
        <f>$T321*AE321</f>
        <v/>
      </c>
      <c r="AG321" s="7" t="n">
        <v>0</v>
      </c>
      <c r="AH321" s="6">
        <f>$T321*AG321</f>
        <v/>
      </c>
      <c r="AI321" s="7">
        <f>U321+W321+Y321+AA321+AC321+AE321+AG321</f>
        <v/>
      </c>
      <c r="AJ321" s="6">
        <f>V321+X321+Z321+AB321+AD321+AF321+AH321</f>
        <v/>
      </c>
    </row>
    <row r="322" ht="60" customHeight="1" s="35">
      <c r="A322" s="3" t="inlineStr">
        <is>
          <t>LOM251.OC.EEA.PA02.F7410.D0001.0250</t>
        </is>
      </c>
      <c r="B322" s="4" t="inlineStr">
        <is>
          <t>1/1</t>
        </is>
      </c>
      <c r="C322" s="3" t="inlineStr">
        <is>
          <t>IMPIANTO MECCANICO</t>
        </is>
      </c>
      <c r="D322" s="4" t="inlineStr">
        <is>
          <t>SPECIALE</t>
        </is>
      </c>
      <c r="E322" s="4" t="inlineStr">
        <is>
          <t>MECCANICHE SPECIALI</t>
        </is>
      </c>
      <c r="F322" s="3" t="inlineStr">
        <is>
          <t>2_CME_TOTALE MECCANICI RADIOFARMACIA PAVIA.PDF</t>
        </is>
      </c>
      <c r="G322" s="4" t="inlineStr">
        <is>
          <t>82/82</t>
        </is>
      </c>
      <c r="H322" s="3" t="inlineStr">
        <is>
          <t>40 - IMPIANTISTICO</t>
        </is>
      </c>
      <c r="I322" s="3" t="inlineStr">
        <is>
          <t>CENTRALE</t>
        </is>
      </c>
      <c r="J322" s="3" t="inlineStr">
        <is>
          <t>IMPIANTO HVAC</t>
        </is>
      </c>
      <c r="K322" s="3" t="inlineStr">
        <is>
          <t>OPERA: CONDOTTO, DA INTERNO DI PLASTICA POLIURETANO ESPANSO; FINITURA: LEGA ALLUMINIO GENERICO; FUNZIONE: DISTRIBUZIONE ARIA; IMPIEGO: IMPIANTO DI CLIMATIZZAZIONE; SPESSORE TOTALE [MM] = 20 ÷ 25 | SPE</t>
        </is>
      </c>
      <c r="L322" s="3" t="inlineStr">
        <is>
          <t>OPERA: CONDOTTO, DA INTERNO DI PLASTICA POLIURETANO ESPANSO; FINITURA: LEGA ALLUMINIO GENERICO; FUNZIONE: DISTRIBUZIONE ARIA; IMPIEGO: IMPIANTO DI CLIMATIZZAZIONE; SPESSORE TOTALE [MM] = 20 ÷ 25 | SPESSORE FOGLIO DI LEGA ALLUMINIO GENERICO [MM] = 0,08; REAZIONE AL FUOCO [CLASSE] = 0-1; DENSITÀ PANNELLO PLASTICA POLIURETANO ESPANSO [KG/M³] = 45 ÷ 47. INCLUSO: PEZZI SPECIALI; GIUNZIONI; SIGILLATURE; STAFFAGGI. 
LAVORO: POSA. 
SPECIFICHE TECNICHE: PANNELLO SANDWICH ESENTE DA CFC. OP CONDOTTO, DA INTERNO DI PLASTICA POLIURETANO ESPANSO; FINITURA: LEGA ALLUMINIO GENERICO; FUNZIONE: DISTRIBUZIONE ARIA; IMPIEGO: IMPIANTO DI CLIMATIZZAZIONE; SPESSORE TOTALE [MM] = 20 ÷ 25 | SPESSORE FOGLIO DI LEGA ALLUMINIO GENERICO [MM] = 0,08; REAZIONE AL FUOCO [CLASSE] = 0-1; DENSITÀ PANNELLO PLASTICA POLIURETANO ESPANSO [KG/M³] = 45 ÷ 47. INCLUSO: PEZZI SPECIALI; GIUNZIONI; SIGILLATURE; STAFFAGGI. 
SPECIFICHE TECNICHE: PANNELLO SANDWICH ESENTE DA CFC. 
RM CONDOTTO DA INTERNO DI PLASTICA POLIURETANO ESPANSO; FINITURA: LEGA ALLUMINIO GENERICO; FUNZIONE: DISTRIBUZIONE ARIA; IMPIEGO: IMPIANTO DI CLIMATIZZAZIONE; SPESSORE TOTALE [MM] = 20 ÷ 25 | SPESSORE FOGLIO DI LEGA ALLUMINIO GENERICO [MM] = 0,08; REAZIONE AL FUOCO [CLASSE] = 0-1; DENSITÀ PANNELLO PLASTICA POLIURETANO ESPANSO [KG/M³] = 45 ÷ 47. INCLUSO: PEZZI SPECIALI; GIUNZIONI; SIGILLATURE; STAFFAGGI 
SPECIFICHE TECNICHE: PANNELLO SANDWICH ESENTE DA CFC 
LV POSA.</t>
        </is>
      </c>
      <c r="M322" s="4" t="inlineStr">
        <is>
          <t>M²</t>
        </is>
      </c>
      <c r="N322" s="5" t="n">
        <v>360</v>
      </c>
      <c r="O322" s="6" t="n">
        <v>70.56</v>
      </c>
      <c r="P322" s="6" t="n">
        <v>25401.6</v>
      </c>
      <c r="Q322" s="5" t="n"/>
      <c r="R322" s="6" t="n"/>
      <c r="S322" s="6">
        <f>IF(AND(Q322&lt;&gt;"",R322&lt;&gt;""),Q322*R322,"")</f>
        <v/>
      </c>
      <c r="T322" s="6">
        <f>IF(S322="",P322,S322)</f>
        <v/>
      </c>
      <c r="U322" s="7" t="n">
        <v>0</v>
      </c>
      <c r="V322" s="6">
        <f>$T322*U322</f>
        <v/>
      </c>
      <c r="W322" s="7" t="n">
        <v>0.1</v>
      </c>
      <c r="X322" s="6">
        <f>$T322*W322</f>
        <v/>
      </c>
      <c r="Y322" s="7" t="n">
        <v>0</v>
      </c>
      <c r="Z322" s="6">
        <f>$T322*Y322</f>
        <v/>
      </c>
      <c r="AA322" s="7" t="n">
        <v>0</v>
      </c>
      <c r="AB322" s="6">
        <f>$T322*AA322</f>
        <v/>
      </c>
      <c r="AC322" s="7" t="n">
        <v>0</v>
      </c>
      <c r="AD322" s="6">
        <f>$T322*AC322</f>
        <v/>
      </c>
      <c r="AE322" s="7" t="n">
        <v>0</v>
      </c>
      <c r="AF322" s="6">
        <f>$T322*AE322</f>
        <v/>
      </c>
      <c r="AG322" s="7" t="n">
        <v>0</v>
      </c>
      <c r="AH322" s="6">
        <f>$T322*AG322</f>
        <v/>
      </c>
      <c r="AI322" s="7">
        <f>U322+W322+Y322+AA322+AC322+AE322+AG322</f>
        <v/>
      </c>
      <c r="AJ322" s="6">
        <f>V322+X322+Z322+AB322+AD322+AF322+AH322</f>
        <v/>
      </c>
    </row>
    <row r="323" ht="60" customHeight="1" s="35">
      <c r="A323" s="3" t="inlineStr">
        <is>
          <t>LOM251.OC.EEA.PA02.F7410.SB003.0025</t>
        </is>
      </c>
      <c r="B323" s="4" t="inlineStr">
        <is>
          <t>1/1</t>
        </is>
      </c>
      <c r="C323" s="3" t="inlineStr">
        <is>
          <t>IMPIANTO MECCANICO</t>
        </is>
      </c>
      <c r="D323" s="4" t="inlineStr">
        <is>
          <t>SPECIALE</t>
        </is>
      </c>
      <c r="E323" s="4" t="inlineStr">
        <is>
          <t>MECCANICHE SPECIALI</t>
        </is>
      </c>
      <c r="F323" s="3" t="inlineStr">
        <is>
          <t>2_CME_TOTALE MECCANICI RADIOFARMACIA PAVIA.PDF</t>
        </is>
      </c>
      <c r="G323" s="4" t="inlineStr">
        <is>
          <t>83/83</t>
        </is>
      </c>
      <c r="H323" s="3" t="inlineStr">
        <is>
          <t>40 - IMPIANTISTICO</t>
        </is>
      </c>
      <c r="I323" s="3" t="inlineStr">
        <is>
          <t>CENTRALE</t>
        </is>
      </c>
      <c r="J323" s="3" t="inlineStr">
        <is>
          <t>IMPIANTO HVAC</t>
        </is>
      </c>
      <c r="K323" s="3" t="inlineStr">
        <is>
          <t>OPERA: CONDOTTO DI LEGA FERROSA ACCIAIO ZINCATO; FINITURA: LAMIERA; GEOMETRIA: SEZIONE CIRCOLARE; FUNZIONE: DISTRIBUZIONE ARIA; IMPIEGO: IMPIANTO DI CLIMATIZZAZIONE; SPESSORE LAMIERA 1 [MM] = 8 | SPES</t>
        </is>
      </c>
      <c r="L323" s="3" t="inlineStr">
        <is>
          <t>OPERA: CONDOTTO DI LEGA FERROSA ACCIAIO ZINCATO; FINITURA: LAMIERA; GEOMETRIA: SEZIONE CIRCOLARE; FUNZIONE: DISTRIBUZIONE ARIA; IMPIEGO: IMPIANTO DI CLIMATIZZAZIONE; SPESSORE LAMIERA 1 [MM] = 8 | SPESSORE LAMIERA 2 [MM] = 10 | DIAMETRO (Ø) [MM] = 201 ÷ 450. INCLUSO: PEZZI SPECIALI; GRAFFATURE; GIUNZIONI; GUARNIZIONI; SIGILLATURE; STAFFAGGI. 
LAVORO: POSA. 
SPECIFICHE TECNICHE: I PREZZI UNITARI INCLUDONO MAGGIORAZIONE SIA PER COMPLETAMENTI SOPRA INDICATI, SIA PER SFRIDI E DEVONO ESSERE APPLICATI AI PESI TEORICI RICAVATI DALLE DIMENSIONI GEOMETRICHE DEI CANALI (LATI O DIAMETRO MISURATI ALL'INTERNO E LUNGHEZZA MISURATA SULL'ASSE). OP CONDOTTO DI LEGA FERROSA ACCIAIO ZINCATO; FINITURA: LAMIERA; GEOMETRIA: SEZIONE CIRCOLARE; FUNZIONE: DISTRIBUZIONE ARIA; IMPIEGO: IMPIANTO DI CLIMATIZZAZIONE; SPESSORE LAMIERA 1 [MM] = 8 | SPESSORE LAMIERA 2 [MM] = 10 | DIAMETRO (Ø) [MM] = 201 ÷ 450. INCLUSO: PEZZI SPECIALI; GRAFFATURE; GIUNZIONI; GUARNIZIONI; SIGILLATURE; STAFFAGGI. 
SPECIFICHE TECNICHE: I PREZZI UNITARI INCLUDONO MAGGIORAZIONE SIA PER COMPLETAMENTI SOPRA INDICATI, SIA PER SFRIDI E DEVONO ESSERE APPLICATI AI PESI TEORICI RICAVATI DALLE DIMENSIONI GEOMETRICHE DEI CANALI (LATI O DIAMETRO MISURATI ALL'INTERNO E LUNGHEZZA MISURATA SULL'ASSE). 
RM CONDOTTO DI LEGA FERROSA ACCIAIO ZINCATO; FINITURA: LAMIERA; GEOMETRIA: SEZIONE CIRCOLARE; FUNZIONE: DISTRIBUZIONE ARIA; IMPIEGO: IMPIANTO DI CLIMATIZZAZIONE; SPESSORE LAMIERA 1 [MM] = 8 | SPESSORE LAMIERA 2 [MM] = 10 | DIAMETRO (Ø) [MM] = 201 ÷ 450. INCLUSO: PEZZI SPECIALI; GRAFFATURE; GIUNZIONI; GUARNIZIONI; SIGILLATURE; STAFFAGGI 
SPECIFICHE TECNICHE: I PREZZI UNITARI INCLUDONO MAGGIORAZIONE SIA PER COMPLETAMENTI SOPRA INDICATI, SIA PER SFRIDI E DEVONO ESSERE APPLICATI AI PESI TEORICI RICAVATI DALLE DIMENSIONI GEOMETRICHE DEI CANALI (LATI O DIAMETRO MISURATI ALL'INTERNO E LUNGHEZZA MISURATA SULL'ASSE) 
LV POSA.</t>
        </is>
      </c>
      <c r="M323" s="4" t="inlineStr">
        <is>
          <t>KG</t>
        </is>
      </c>
      <c r="N323" s="5" t="n">
        <v>1350</v>
      </c>
      <c r="O323" s="6" t="n">
        <v>9.5</v>
      </c>
      <c r="P323" s="6" t="n">
        <v>12825</v>
      </c>
      <c r="Q323" s="5" t="n"/>
      <c r="R323" s="6" t="n"/>
      <c r="S323" s="6">
        <f>IF(AND(Q323&lt;&gt;"",R323&lt;&gt;""),Q323*R323,"")</f>
        <v/>
      </c>
      <c r="T323" s="6">
        <f>IF(S323="",P323,S323)</f>
        <v/>
      </c>
      <c r="U323" s="7" t="n">
        <v>0</v>
      </c>
      <c r="V323" s="6">
        <f>$T323*U323</f>
        <v/>
      </c>
      <c r="W323" s="7" t="n">
        <v>0.1</v>
      </c>
      <c r="X323" s="6">
        <f>$T323*W323</f>
        <v/>
      </c>
      <c r="Y323" s="7" t="n">
        <v>0</v>
      </c>
      <c r="Z323" s="6">
        <f>$T323*Y323</f>
        <v/>
      </c>
      <c r="AA323" s="7" t="n">
        <v>0</v>
      </c>
      <c r="AB323" s="6">
        <f>$T323*AA323</f>
        <v/>
      </c>
      <c r="AC323" s="7" t="n">
        <v>0</v>
      </c>
      <c r="AD323" s="6">
        <f>$T323*AC323</f>
        <v/>
      </c>
      <c r="AE323" s="7" t="n">
        <v>0</v>
      </c>
      <c r="AF323" s="6">
        <f>$T323*AE323</f>
        <v/>
      </c>
      <c r="AG323" s="7" t="n">
        <v>0</v>
      </c>
      <c r="AH323" s="6">
        <f>$T323*AG323</f>
        <v/>
      </c>
      <c r="AI323" s="7">
        <f>U323+W323+Y323+AA323+AC323+AE323+AG323</f>
        <v/>
      </c>
      <c r="AJ323" s="6">
        <f>V323+X323+Z323+AB323+AD323+AF323+AH323</f>
        <v/>
      </c>
    </row>
    <row r="324" ht="60" customHeight="1" s="35">
      <c r="A324" s="3" t="inlineStr">
        <is>
          <t>LOM251.OC.EEA.PA02.I1500.E0011.0000</t>
        </is>
      </c>
      <c r="B324" s="4" t="inlineStr">
        <is>
          <t>1/3</t>
        </is>
      </c>
      <c r="C324" s="3" t="inlineStr">
        <is>
          <t>IMPIANTO MECCANICO</t>
        </is>
      </c>
      <c r="D324" s="4" t="inlineStr">
        <is>
          <t>SPECIALE</t>
        </is>
      </c>
      <c r="E324" s="4" t="inlineStr">
        <is>
          <t>MECCANICHE SPECIALI</t>
        </is>
      </c>
      <c r="F324" s="3" t="inlineStr">
        <is>
          <t>2_CME_TOTALE MECCANICI RADIOFARMACIA PAVIA.PDF</t>
        </is>
      </c>
      <c r="G324" s="4" t="inlineStr">
        <is>
          <t>84/84</t>
        </is>
      </c>
      <c r="H324" s="3" t="inlineStr">
        <is>
          <t>40 - IMPIANTISTICO</t>
        </is>
      </c>
      <c r="I324" s="3" t="inlineStr">
        <is>
          <t>CENTRALE</t>
        </is>
      </c>
      <c r="J324" s="3" t="inlineStr">
        <is>
          <t>IMPIANTO HVAC</t>
        </is>
      </c>
      <c r="K324" s="3" t="inlineStr">
        <is>
          <t>OPERA: LASTRA DI GOMMA ELASTOMERICA ESPANSA A CELLULE CHIUSE; FUNZIONE: COIBENTAZIONE; IMPIEGO: CONDOTTO; SPESSORE [MM] = 13; RESISTENZA ALLA FIAMMA [CLASSE] = 1; FATTORE DI PERMEABILITÀ (Μ) MINIMO [-</t>
        </is>
      </c>
      <c r="L324" s="3" t="inlineStr">
        <is>
          <t>OPERA: LASTRA DI GOMMA ELASTOMERICA ESPANSA A CELLULE CHIUSE; FUNZIONE: COIBENTAZIONE; IMPIEGO: CONDOTTO; SPESSORE [MM] = 13; RESISTENZA ALLA FIAMMA [CLASSE] = 1; FATTORE DI PERMEABILITÀ (Μ) MINIMO [-] = 4000. 
LAVORO: POSA. 
SPECIFICHE TECNICHE: LASTRA INCOLLATA; GOMMA ELASTOMERICA ESPANSA A CELLULE CHIUSE SENZA ALOGENI NÉ PVC. OP LASTRA DI GOMMA ELASTOMERICA ESPANSA A CELLULE CHIUSE; FUNZIONE: COIBENTAZIONE; IMPIEGO: CONDOTTO; SPESSORE [MM] = 13; RESISTENZA ALLA FIAMMA [CLASSE] = 1; FATTORE DI PERMEABILITÀ (Μ) MINIMO [-] = 4000. 
SPECIFICHE TECNICHE: LASTRA INCOLLATA; GOMMA ELASTOMERICA ESPANSA A CELLULE CHIUSE SENZA ALOGENI NÉ PVC. 
RM LASTRA DI GOMMA ESPANSA A CELLULE CHIUSE; FUNZIONE: COIBENTAZIONE; IMPIEGO: CONDOTTO; SPESSORE [MM] = 13; RESISTENZA ALLA FIAMMA [CLASSE] = 1; FATTORE DI PERMEABILITÀ (Μ) MINIMO [-] = 4000 
SPECIFICHE TECNICHE: LASTRA INCOLLATA; GOMMA ELASTOMERICA ESPANSA A CELLULE CHIUSE SENZA ALOGENI NÉ PVC 
LV POSA.</t>
        </is>
      </c>
      <c r="M324" s="4" t="inlineStr">
        <is>
          <t>M²</t>
        </is>
      </c>
      <c r="N324" s="5" t="n">
        <v>115</v>
      </c>
      <c r="O324" s="6" t="n">
        <v>39.73</v>
      </c>
      <c r="P324" s="6" t="n">
        <v>4568.95</v>
      </c>
      <c r="Q324" s="5" t="n"/>
      <c r="R324" s="6" t="n"/>
      <c r="S324" s="6">
        <f>IF(AND(Q324&lt;&gt;"",R324&lt;&gt;""),Q324*R324,"")</f>
        <v/>
      </c>
      <c r="T324" s="6">
        <f>IF(S324="",P324,S324)</f>
        <v/>
      </c>
      <c r="U324" s="7" t="n">
        <v>0</v>
      </c>
      <c r="V324" s="6">
        <f>$T324*U324</f>
        <v/>
      </c>
      <c r="W324" s="7" t="n">
        <v>0.1</v>
      </c>
      <c r="X324" s="6">
        <f>$T324*W324</f>
        <v/>
      </c>
      <c r="Y324" s="7" t="n">
        <v>0</v>
      </c>
      <c r="Z324" s="6">
        <f>$T324*Y324</f>
        <v/>
      </c>
      <c r="AA324" s="7" t="n">
        <v>0</v>
      </c>
      <c r="AB324" s="6">
        <f>$T324*AA324</f>
        <v/>
      </c>
      <c r="AC324" s="7" t="n">
        <v>0</v>
      </c>
      <c r="AD324" s="6">
        <f>$T324*AC324</f>
        <v/>
      </c>
      <c r="AE324" s="7" t="n">
        <v>0</v>
      </c>
      <c r="AF324" s="6">
        <f>$T324*AE324</f>
        <v/>
      </c>
      <c r="AG324" s="7" t="n">
        <v>0</v>
      </c>
      <c r="AH324" s="6">
        <f>$T324*AG324</f>
        <v/>
      </c>
      <c r="AI324" s="7">
        <f>U324+W324+Y324+AA324+AC324+AE324+AG324</f>
        <v/>
      </c>
      <c r="AJ324" s="6">
        <f>V324+X324+Z324+AB324+AD324+AF324+AH324</f>
        <v/>
      </c>
    </row>
    <row r="325" ht="60" customHeight="1" s="35">
      <c r="A325" s="3" t="inlineStr">
        <is>
          <t>DEI_IT_033414E</t>
        </is>
      </c>
      <c r="B325" s="4" t="inlineStr">
        <is>
          <t>1/1</t>
        </is>
      </c>
      <c r="C325" s="3" t="inlineStr">
        <is>
          <t>IMPIANTO MECCANICO</t>
        </is>
      </c>
      <c r="D325" s="4" t="inlineStr">
        <is>
          <t>SPECIALE</t>
        </is>
      </c>
      <c r="E325" s="4" t="inlineStr">
        <is>
          <t>MECCANICHE SPECIALI</t>
        </is>
      </c>
      <c r="F325" s="3" t="inlineStr">
        <is>
          <t>2_CME_TOTALE MECCANICI RADIOFARMACIA PAVIA.PDF</t>
        </is>
      </c>
      <c r="G325" s="4" t="inlineStr">
        <is>
          <t>85/85</t>
        </is>
      </c>
      <c r="H325" s="3" t="inlineStr">
        <is>
          <t>40 - IMPIANTISTICO</t>
        </is>
      </c>
      <c r="I325" s="3" t="inlineStr">
        <is>
          <t>CENTRALE</t>
        </is>
      </c>
      <c r="J325" s="3" t="inlineStr">
        <is>
          <t>IMPIANTO HVAC</t>
        </is>
      </c>
      <c r="K325" s="3" t="inlineStr">
        <is>
          <t>FILTRO ASSOLUTO A PANNELLO CON PICCOLE PIEGHE (UNI 10339) PER DIFFUSIONE LAMINARE IDONEO ALLA FILTRAZIONE DELL'ARIA AD ALTISSIMA EFFICIENZA PER AMBIENTI A CONTAMINAZIONE CONTROLLATA, EFFICIENZA MAGGIO</t>
        </is>
      </c>
      <c r="L325" s="3" t="inlineStr">
        <is>
          <t>FILTRO ASSOLUTO A PANNELLO CON PICCOLE PIEGHE (UNI 10339) PER DIFFUSIONE LAMINARE IDONEO ALLA FILTRAZIONE DELL'ARIA AD ALTISSIMA EFFICIENZA PER AMBIENTI A CONTAMINAZIONE CONTROLLATA, EFFICIENZA MAGGIORE DEL 99,99 % A 0,3 MICRON, MEDIA FILTRANTE DI CARTA IN FIBRA DI VETRO PIEGHETTATA, TELAIO TRAFILATO IN ALLUMINIO ESTRUSO, GUARNIZIONE IN ELASTOMERO: DIMENSIONI 610 X 1.220 MM, SUPERFICIE FILTRANTE 22,0 MQ, PORTATA ARIA 1.200 MC/H, PERDITA DI CARICO 140 PA, SPESSORE 68 MM</t>
        </is>
      </c>
      <c r="M325" s="4" t="inlineStr">
        <is>
          <t>CAD</t>
        </is>
      </c>
      <c r="N325" s="5" t="n">
        <v>10</v>
      </c>
      <c r="O325" s="6" t="n">
        <v>901.25</v>
      </c>
      <c r="P325" s="6" t="n">
        <v>9012.5</v>
      </c>
      <c r="Q325" s="5" t="n"/>
      <c r="R325" s="6" t="n"/>
      <c r="S325" s="6">
        <f>IF(AND(Q325&lt;&gt;"",R325&lt;&gt;""),Q325*R325,"")</f>
        <v/>
      </c>
      <c r="T325" s="6">
        <f>IF(S325="",P325,S325)</f>
        <v/>
      </c>
      <c r="U325" s="7" t="n">
        <v>0</v>
      </c>
      <c r="V325" s="6">
        <f>$T325*U325</f>
        <v/>
      </c>
      <c r="W325" s="7" t="n">
        <v>0.1</v>
      </c>
      <c r="X325" s="6">
        <f>$T325*W325</f>
        <v/>
      </c>
      <c r="Y325" s="7" t="n">
        <v>0</v>
      </c>
      <c r="Z325" s="6">
        <f>$T325*Y325</f>
        <v/>
      </c>
      <c r="AA325" s="7" t="n">
        <v>0</v>
      </c>
      <c r="AB325" s="6">
        <f>$T325*AA325</f>
        <v/>
      </c>
      <c r="AC325" s="7" t="n">
        <v>0</v>
      </c>
      <c r="AD325" s="6">
        <f>$T325*AC325</f>
        <v/>
      </c>
      <c r="AE325" s="7" t="n">
        <v>0</v>
      </c>
      <c r="AF325" s="6">
        <f>$T325*AE325</f>
        <v/>
      </c>
      <c r="AG325" s="7" t="n">
        <v>0</v>
      </c>
      <c r="AH325" s="6">
        <f>$T325*AG325</f>
        <v/>
      </c>
      <c r="AI325" s="7">
        <f>U325+W325+Y325+AA325+AC325+AE325+AG325</f>
        <v/>
      </c>
      <c r="AJ325" s="6">
        <f>V325+X325+Z325+AB325+AD325+AF325+AH325</f>
        <v/>
      </c>
    </row>
    <row r="326" ht="60" customHeight="1" s="35">
      <c r="A326" s="3" t="inlineStr">
        <is>
          <t>DEI_IT_033402F</t>
        </is>
      </c>
      <c r="B326" s="4" t="inlineStr">
        <is>
          <t>1/1</t>
        </is>
      </c>
      <c r="C326" s="3" t="inlineStr">
        <is>
          <t>IMPIANTO MECCANICO</t>
        </is>
      </c>
      <c r="D326" s="4" t="inlineStr">
        <is>
          <t>SPECIALE</t>
        </is>
      </c>
      <c r="E326" s="4" t="inlineStr">
        <is>
          <t>MECCANICHE SPECIALI</t>
        </is>
      </c>
      <c r="F326" s="3" t="inlineStr">
        <is>
          <t>2_CME_TOTALE MECCANICI RADIOFARMACIA PAVIA.PDF</t>
        </is>
      </c>
      <c r="G326" s="4" t="inlineStr">
        <is>
          <t>87/87</t>
        </is>
      </c>
      <c r="H326" s="3" t="inlineStr">
        <is>
          <t>40 - IMPIANTISTICO</t>
        </is>
      </c>
      <c r="I326" s="3" t="inlineStr">
        <is>
          <t>CENTRALE</t>
        </is>
      </c>
      <c r="J326" s="3" t="inlineStr">
        <is>
          <t>IMPIANTO HVAC</t>
        </is>
      </c>
      <c r="K326" s="3" t="inlineStr">
        <is>
          <t>FILTRO IN FIBRA SINTETICA DEL TIPO PIANO (UNI 10339), TELAIO IN PROFILATO AD U IN ACCIAIO ZINCATO CON DUE RETI DI SUPPORTO IN FILO ZINCATO ELETTROSALDATO, MEDIA FILTRANTE IN FIBRA MODACRILICA LEGATA M</t>
        </is>
      </c>
      <c r="L326" s="3" t="inlineStr">
        <is>
          <t>FILTRO IN FIBRA SINTETICA DEL TIPO PIANO (UNI 10339), TELAIO IN PROFILATO AD U IN ACCIAIO ZINCATO CON DUE RETI DI SUPPORTO IN FILO ZINCATO ELETTROSALDATO, MEDIA FILTRANTE IN FIBRA MODACRILICA LEGATA MEDIANTE RESINA CLOROVINILICA, CERTIFICATO IN BASE AL DM 26/05/84 DEL M.I. CLASSE 1 DI REAZIONE AL FUOCO, EFFICIENZA PONDERALE 85% EN 779: SPESSORE 48 MM: DIMENSIONI 592 X 592 MM, PORTATA ARIA 1.700 MC/H, PERDITA DI CARICO 75 PA</t>
        </is>
      </c>
      <c r="M326" s="4" t="inlineStr">
        <is>
          <t>CAD</t>
        </is>
      </c>
      <c r="N326" s="5" t="n">
        <v>8</v>
      </c>
      <c r="O326" s="6" t="n">
        <v>24.9</v>
      </c>
      <c r="P326" s="6" t="n">
        <v>199.2</v>
      </c>
      <c r="Q326" s="5" t="n"/>
      <c r="R326" s="6" t="n"/>
      <c r="S326" s="6">
        <f>IF(AND(Q326&lt;&gt;"",R326&lt;&gt;""),Q326*R326,"")</f>
        <v/>
      </c>
      <c r="T326" s="6">
        <f>IF(S326="",P326,S326)</f>
        <v/>
      </c>
      <c r="U326" s="7" t="n">
        <v>0</v>
      </c>
      <c r="V326" s="6">
        <f>$T326*U326</f>
        <v/>
      </c>
      <c r="W326" s="7" t="n">
        <v>0</v>
      </c>
      <c r="X326" s="6">
        <f>$T326*W326</f>
        <v/>
      </c>
      <c r="Y326" s="7" t="n">
        <v>0</v>
      </c>
      <c r="Z326" s="6">
        <f>$T326*Y326</f>
        <v/>
      </c>
      <c r="AA326" s="7" t="n">
        <v>0</v>
      </c>
      <c r="AB326" s="6">
        <f>$T326*AA326</f>
        <v/>
      </c>
      <c r="AC326" s="7" t="n">
        <v>0</v>
      </c>
      <c r="AD326" s="6">
        <f>$T326*AC326</f>
        <v/>
      </c>
      <c r="AE326" s="7" t="n">
        <v>0</v>
      </c>
      <c r="AF326" s="6">
        <f>$T326*AE326</f>
        <v/>
      </c>
      <c r="AG326" s="7" t="n">
        <v>0</v>
      </c>
      <c r="AH326" s="6">
        <f>$T326*AG326</f>
        <v/>
      </c>
      <c r="AI326" s="7">
        <f>U326+W326+Y326+AA326+AC326+AE326+AG326</f>
        <v/>
      </c>
      <c r="AJ326" s="6">
        <f>V326+X326+Z326+AB326+AD326+AF326+AH326</f>
        <v/>
      </c>
    </row>
    <row r="327" ht="60" customHeight="1" s="35">
      <c r="A327" s="3" t="inlineStr">
        <is>
          <t>LOM251.OC.EEA.PA02.F7410.SB003.0035</t>
        </is>
      </c>
      <c r="B327" s="4" t="inlineStr">
        <is>
          <t>1/3</t>
        </is>
      </c>
      <c r="C327" s="3" t="inlineStr">
        <is>
          <t>IMPIANTO MECCANICO</t>
        </is>
      </c>
      <c r="D327" s="4" t="inlineStr">
        <is>
          <t>SPECIALE</t>
        </is>
      </c>
      <c r="E327" s="4" t="inlineStr">
        <is>
          <t>MECCANICHE SPECIALI</t>
        </is>
      </c>
      <c r="F327" s="3" t="inlineStr">
        <is>
          <t>2_CME_TOTALE MECCANICI RADIOFARMACIA PAVIA.PDF</t>
        </is>
      </c>
      <c r="G327" s="4" t="inlineStr">
        <is>
          <t>89/89</t>
        </is>
      </c>
      <c r="H327" s="3" t="inlineStr">
        <is>
          <t>40 - IMPIANTISTICO</t>
        </is>
      </c>
      <c r="I327" s="3" t="inlineStr">
        <is>
          <t>CENTRALE</t>
        </is>
      </c>
      <c r="J327" s="3" t="inlineStr">
        <is>
          <t>IMPIANTO HVAC</t>
        </is>
      </c>
      <c r="K327" s="3" t="inlineStr">
        <is>
          <t>OPERA: CONDOTTO DI LEGA FERROSA ACCIAIO ZINCATO; FINITURA: LAMIERA; GEOMETRIA: SEZIONE CIRCOLARE; FUNZIONE: DISTRIBUZIONE ARIA; IMPIEGO: IMPIANTO DI CLIMATIZZAZIONE; SPESSORE LAMIERA 1 [MM] = 12 | SPE</t>
        </is>
      </c>
      <c r="L327" s="3" t="inlineStr">
        <is>
          <t>OPERA: CONDOTTO DI LEGA FERROSA ACCIAIO ZINCATO; FINITURA: LAMIERA; GEOMETRIA: SEZIONE CIRCOLARE; FUNZIONE: DISTRIBUZIONE ARIA; IMPIEGO: IMPIANTO DI CLIMATIZZAZIONE; SPESSORE LAMIERA 1 [MM] = 12 | SPESSORE LAMIERA 2 [MM] = 10 | DIAMETRO (Ø) [MM] = 751 ÷ 1500. INCLUSO: PEZZI SPECIALI; GRAFFATURE; GIUNZIONI; GUARNIZIONI; SIGILLATURE; STAFFAGGI. 
LAVORO: POSA. 
SPECIFICHE TECNICHE: I PREZZI UNITARI INCLUDONO MAGGIORAZIONE SIA PER COMPLETAMENTI SOPRA INDICATI, SIA PER SFRIDI E DEVONO ESSERE APPLICATI AI PESI TEORICI RICAVATI DALLE DIMENSIONI GEOMETRICHE DEI CANALI (LATI O DIAMETRO MISURATI ALL'INTERNO E LUNGHEZZA MISURATA SULL'ASSE). OP CONDOTTO DI LEGA FERROSA ACCIAIO ZINCATO; FINITURA: LAMIERA; GEOMETRIA: SEZIONE CIRCOLARE; FUNZIONE: DISTRIBUZIONE ARIA; IMPIEGO: IMPIANTO DI CLIMATIZZAZIONE; SPESSORE LAMIERA 1 [MM] = 12 | SPESSORE LAMIERA 2 [MM] = 10 | DIAMETRO (Ø) [MM] = 751 ÷ 1500. INCLUSO: PEZZI SPECIALI; GRAFFATURE; GIUNZIONI; GUARNIZIONI; SIGILLATURE; STAFFAGGI. 
SPECIFICHE TECNICHE: I PREZZI UNITARI INCLUDONO MAGGIORAZIONE SIA PER COMPLETAMENTI SOPRA INDICATI, SIA PER SFRIDI E DEVONO ESSERE APPLICATI AI PESI TEORICI RICAVATI DALLE DIMENSIONI GEOMETRICHE DEI CANALI (LATI O DIAMETRO MISURATI ALL'INTERNO E LUNGHEZZA MISURATA SULL'ASSE). 
RM CONDOTTO DI LEGA FERROSA ACCIAIO ZINCATO; FINITURA: LAMIERA; GEOMETRIA: SEZIONE CIRCOLARE; FUNZIONE: DISTRIBUZIONE ARIA; IMPIEGO: IMPIANTO DI CLIMATIZZAZIONE; SPESSORE LAMIERA 1 [MM] = 12 | SPESSORE LAMIERA 2 [MM] = 10 | DIAMETRO (Ø) [MM] = 751 ÷ 1500. INCLUSO: PEZZI SPECIALI; GRAFFATURE; GIUNZIONI; GUARNIZIONI; SIGILLATURE; STAFFAGGI 
SPECIFICHE TECNICHE: I PREZZI UNITARI INCLUDONO MAGGIORAZIONE SIA PER COMPLETAMENTI SOPRA INDICATI, SIA PER SFRIDI E DEVONO ESSERE APPLICATI AI PESI TEORICI RICAVATI DALLE DIMENSIONI GEOMETRICHE DEI CANALI (LATI O DIAMETRO MISURATI ALL'INTERNO E LUNGHEZZA MISURATA SULL'ASSE) 
LV POSA.</t>
        </is>
      </c>
      <c r="M327" s="4" t="inlineStr">
        <is>
          <t>KG</t>
        </is>
      </c>
      <c r="N327" s="5" t="n">
        <v>110</v>
      </c>
      <c r="O327" s="6" t="n">
        <v>9.5</v>
      </c>
      <c r="P327" s="6" t="n">
        <v>1045</v>
      </c>
      <c r="Q327" s="5" t="n"/>
      <c r="R327" s="6" t="n"/>
      <c r="S327" s="6">
        <f>IF(AND(Q327&lt;&gt;"",R327&lt;&gt;""),Q327*R327,"")</f>
        <v/>
      </c>
      <c r="T327" s="6">
        <f>IF(S327="",P327,S327)</f>
        <v/>
      </c>
      <c r="U327" s="7" t="n">
        <v>0</v>
      </c>
      <c r="V327" s="6">
        <f>$T327*U327</f>
        <v/>
      </c>
      <c r="W327" s="7" t="n">
        <v>0</v>
      </c>
      <c r="X327" s="6">
        <f>$T327*W327</f>
        <v/>
      </c>
      <c r="Y327" s="7" t="n">
        <v>0</v>
      </c>
      <c r="Z327" s="6">
        <f>$T327*Y327</f>
        <v/>
      </c>
      <c r="AA327" s="7" t="n">
        <v>0</v>
      </c>
      <c r="AB327" s="6">
        <f>$T327*AA327</f>
        <v/>
      </c>
      <c r="AC327" s="7" t="n">
        <v>0</v>
      </c>
      <c r="AD327" s="6">
        <f>$T327*AC327</f>
        <v/>
      </c>
      <c r="AE327" s="7" t="n">
        <v>0</v>
      </c>
      <c r="AF327" s="6">
        <f>$T327*AE327</f>
        <v/>
      </c>
      <c r="AG327" s="7" t="n">
        <v>0</v>
      </c>
      <c r="AH327" s="6">
        <f>$T327*AG327</f>
        <v/>
      </c>
      <c r="AI327" s="7">
        <f>U327+W327+Y327+AA327+AC327+AE327+AG327</f>
        <v/>
      </c>
      <c r="AJ327" s="6">
        <f>V327+X327+Z327+AB327+AD327+AF327+AH327</f>
        <v/>
      </c>
    </row>
    <row r="328" ht="60" customHeight="1" s="35">
      <c r="A328" s="3" t="inlineStr">
        <is>
          <t>LOM251.OC.EEA.PA02.F7410.SB003.0035</t>
        </is>
      </c>
      <c r="B328" s="4" t="inlineStr">
        <is>
          <t>2/3</t>
        </is>
      </c>
      <c r="C328" s="3" t="inlineStr">
        <is>
          <t>IMPIANTO MECCANICO</t>
        </is>
      </c>
      <c r="D328" s="4" t="inlineStr">
        <is>
          <t>SPECIALE</t>
        </is>
      </c>
      <c r="E328" s="4" t="inlineStr">
        <is>
          <t>MECCANICHE SPECIALI</t>
        </is>
      </c>
      <c r="F328" s="3" t="inlineStr">
        <is>
          <t>2_CME_TOTALE MECCANICI RADIOFARMACIA PAVIA.PDF</t>
        </is>
      </c>
      <c r="G328" s="4" t="inlineStr">
        <is>
          <t>90/90</t>
        </is>
      </c>
      <c r="H328" s="3" t="inlineStr">
        <is>
          <t>40 - IMPIANTISTICO</t>
        </is>
      </c>
      <c r="I328" s="3" t="inlineStr">
        <is>
          <t>P. TERRA - PRODUZIONE</t>
        </is>
      </c>
      <c r="J328" s="3" t="inlineStr">
        <is>
          <t>IMPIANTO HVAC</t>
        </is>
      </c>
      <c r="K328" s="3" t="inlineStr">
        <is>
          <t>OPERA: CONDOTTO DI LEGA FERROSA ACCIAIO ZINCATO; FINITURA: LAMIERA; GEOMETRIA: SEZIONE CIRCOLARE; FUNZIONE: DISTRIBUZIONE ARIA; IMPIEGO: IMPIANTO DI CLIMATIZZAZIONE; SPESSORE LAMIERA 1 [MM] = 12 | SPE</t>
        </is>
      </c>
      <c r="L328" s="3" t="inlineStr">
        <is>
          <t>OPERA: CONDOTTO DI LEGA FERROSA ACCIAIO ZINCATO; FINITURA: LAMIERA; GEOMETRIA: SEZIONE CIRCOLARE; FUNZIONE: DISTRIBUZIONE ARIA; IMPIEGO: IMPIANTO DI CLIMATIZZAZIONE; SPESSORE LAMIERA 1 [MM] = 12 | SPESSORE LAMIERA 2 [MM] = 10 | DIAMETRO (Ø) [MM] = 751 ÷ 1500. INCLUSO: PEZZI SPECIALI; GRAFFATURE; GIUNZIONI; GUARNIZIONI; SIGILLATURE; STAFFAGGI. 
LAVORO: POSA. 
SPECIFICHE TECNICHE: I PREZZI UNITARI INCLUDONO MAGGIORAZIONE SIA PER COMPLETAMENTI SOPRA INDICATI, SIA PER SFRIDI E DEVONO ESSERE APPLICATI AI PESI TEORICI RICAVATI DALLE DIMENSIONI GEOMETRICHE DEI CANALI (LATI O DIAMETRO MISURATI ALL'INTERNO E LUNGHEZZA MISURATA SULL'ASSE). OP CONDOTTO DI LEGA FERROSA ACCIAIO ZINCATO; FINITURA: LAMIERA; GEOMETRIA: SEZIONE CIRCOLARE; FUNZIONE: DISTRIBUZIONE ARIA; IMPIEGO: IMPIANTO DI CLIMATIZZAZIONE; SPESSORE LAMIERA 1 [MM] = 12 | SPESSORE LAMIERA 2 [MM] = 10 | DIAMETRO (Ø) [MM] = 751 ÷ 1500. INCLUSO: PEZZI SPECIALI; GRAFFATURE; GIUNZIONI; GUARNIZIONI; SIGILLATURE; STAFFAGGI. 
SPECIFICHE TECNICHE: I PREZZI UNITARI INCLUDONO MAGGIORAZIONE SIA PER COMPLETAMENTI SOPRA INDICATI, SIA PER SFRIDI E DEVONO ESSERE APPLICATI AI PESI TEORICI RICAVATI DALLE DIMENSIONI GEOMETRICHE DEI CANALI (LATI O DIAMETRO MISURATI ALL'INTERNO E LUNGHEZZA MISURATA SULL'ASSE). 
RM CONDOTTO DI LEGA FERROSA ACCIAIO ZINCATO; FINITURA: LAMIERA; GEOMETRIA: SEZIONE CIRCOLARE; FUNZIONE: DISTRIBUZIONE ARIA; IMPIEGO: IMPIANTO DI CLIMATIZZAZIONE; SPESSORE LAMIERA 1 [MM] = 12 | SPESSORE LAMIERA 2 [MM] = 10 | DIAMETRO (Ø) [MM] = 751 ÷ 1500. INCLUSO: PEZZI SPECIALI; GRAFFATURE; GIUNZIONI; GUARNIZIONI; SIGILLATURE; STAFFAGGI 
SPECIFICHE TECNICHE: I PREZZI UNITARI INCLUDONO MAGGIORAZIONE SIA PER COMPLETAMENTI SOPRA INDICATI, SIA PER SFRIDI E DEVONO ESSERE APPLICATI AI PESI TEORICI RICAVATI DALLE DIMENSIONI GEOMETRICHE DEI CANALI (LATI O DIAMETRO MISURATI ALL'INTERNO E LUNGHEZZA MISURATA SULL'ASSE) 
LV POSA.</t>
        </is>
      </c>
      <c r="M328" s="4" t="inlineStr">
        <is>
          <t>KG</t>
        </is>
      </c>
      <c r="N328" s="5" t="n">
        <v>2500</v>
      </c>
      <c r="O328" s="6" t="n">
        <v>9.5</v>
      </c>
      <c r="P328" s="6" t="n">
        <v>23750</v>
      </c>
      <c r="Q328" s="5" t="n"/>
      <c r="R328" s="6" t="n"/>
      <c r="S328" s="6">
        <f>IF(AND(Q328&lt;&gt;"",R328&lt;&gt;""),Q328*R328,"")</f>
        <v/>
      </c>
      <c r="T328" s="6">
        <f>IF(S328="",P328,S328)</f>
        <v/>
      </c>
      <c r="U328" s="7" t="n">
        <v>0</v>
      </c>
      <c r="V328" s="6">
        <f>$T328*U328</f>
        <v/>
      </c>
      <c r="W328" s="7" t="n">
        <v>0.4</v>
      </c>
      <c r="X328" s="6">
        <f>$T328*W328</f>
        <v/>
      </c>
      <c r="Y328" s="7" t="n">
        <v>0</v>
      </c>
      <c r="Z328" s="6">
        <f>$T328*Y328</f>
        <v/>
      </c>
      <c r="AA328" s="7" t="n">
        <v>0</v>
      </c>
      <c r="AB328" s="6">
        <f>$T328*AA328</f>
        <v/>
      </c>
      <c r="AC328" s="7" t="n">
        <v>0</v>
      </c>
      <c r="AD328" s="6">
        <f>$T328*AC328</f>
        <v/>
      </c>
      <c r="AE328" s="7" t="n">
        <v>0</v>
      </c>
      <c r="AF328" s="6">
        <f>$T328*AE328</f>
        <v/>
      </c>
      <c r="AG328" s="7" t="n">
        <v>0</v>
      </c>
      <c r="AH328" s="6">
        <f>$T328*AG328</f>
        <v/>
      </c>
      <c r="AI328" s="7">
        <f>U328+W328+Y328+AA328+AC328+AE328+AG328</f>
        <v/>
      </c>
      <c r="AJ328" s="6">
        <f>V328+X328+Z328+AB328+AD328+AF328+AH328</f>
        <v/>
      </c>
    </row>
    <row r="329" ht="60" customHeight="1" s="35">
      <c r="A329" s="3" t="inlineStr">
        <is>
          <t>LOM251.OC.EEA.PA02.I1500.E0011.0000</t>
        </is>
      </c>
      <c r="B329" s="4" t="inlineStr">
        <is>
          <t>2/3</t>
        </is>
      </c>
      <c r="C329" s="3" t="inlineStr">
        <is>
          <t>IMPIANTO MECCANICO</t>
        </is>
      </c>
      <c r="D329" s="4" t="inlineStr">
        <is>
          <t>SPECIALE</t>
        </is>
      </c>
      <c r="E329" s="4" t="inlineStr">
        <is>
          <t>MECCANICHE SPECIALI</t>
        </is>
      </c>
      <c r="F329" s="3" t="inlineStr">
        <is>
          <t>2_CME_TOTALE MECCANICI RADIOFARMACIA PAVIA.PDF</t>
        </is>
      </c>
      <c r="G329" s="4" t="inlineStr">
        <is>
          <t>91/91</t>
        </is>
      </c>
      <c r="H329" s="3" t="inlineStr">
        <is>
          <t>40 - IMPIANTISTICO</t>
        </is>
      </c>
      <c r="I329" s="3" t="inlineStr">
        <is>
          <t>P. TERRA - PRODUZIONE</t>
        </is>
      </c>
      <c r="J329" s="3" t="inlineStr">
        <is>
          <t>IMPIANTO HVAC</t>
        </is>
      </c>
      <c r="K329" s="3" t="inlineStr">
        <is>
          <t>OPERA: LASTRA DI GOMMA ELASTOMERICA ESPANSA A CELLULE CHIUSE; FUNZIONE: COIBENTAZIONE; IMPIEGO: CONDOTTO; SPESSORE [MM] = 13; RESISTENZA ALLA FIAMMA [CLASSE] = 1; FATTORE DI PERMEABILITÀ (Μ) MINIMO [-</t>
        </is>
      </c>
      <c r="L329" s="3" t="inlineStr">
        <is>
          <t>OPERA: LASTRA DI GOMMA ELASTOMERICA ESPANSA A CELLULE CHIUSE; FUNZIONE: COIBENTAZIONE; IMPIEGO: CONDOTTO; SPESSORE [MM] = 13; RESISTENZA ALLA FIAMMA [CLASSE] = 1; FATTORE DI PERMEABILITÀ (Μ) MINIMO [-] = 4000. 
LAVORO: POSA. 
SPECIFICHE TECNICHE: LASTRA INCOLLATA; GOMMA ELASTOMERICA ESPANSA A CELLULE CHIUSE SENZA ALOGENI NÉ PVC. OP LASTRA DI GOMMA ELASTOMERICA ESPANSA A CELLULE CHIUSE; FUNZIONE: COIBENTAZIONE; IMPIEGO: CONDOTTO; SPESSORE [MM] = 13; RESISTENZA ALLA FIAMMA [CLASSE] = 1; FATTORE DI PERMEABILITÀ (Μ) MINIMO [-] = 4000. 
SPECIFICHE TECNICHE: LASTRA INCOLLATA; GOMMA ELASTOMERICA ESPANSA A CELLULE CHIUSE SENZA ALOGENI NÉ PVC. 
RM LASTRA DI GOMMA ESPANSA A CELLULE CHIUSE; FUNZIONE: COIBENTAZIONE; IMPIEGO: CONDOTTO; SPESSORE [MM] = 13; RESISTENZA ALLA FIAMMA [CLASSE] = 1; FATTORE DI PERMEABILITÀ (Μ) MINIMO [-] = 4000 
SPECIFICHE TECNICHE: LASTRA INCOLLATA; GOMMA ELASTOMERICA ESPANSA A CELLULE CHIUSE SENZA ALOGENI NÉ PVC 
LV POSA.</t>
        </is>
      </c>
      <c r="M329" s="4" t="inlineStr">
        <is>
          <t>M²</t>
        </is>
      </c>
      <c r="N329" s="5" t="n">
        <v>180</v>
      </c>
      <c r="O329" s="6" t="n">
        <v>39.73</v>
      </c>
      <c r="P329" s="6" t="n">
        <v>7151.4</v>
      </c>
      <c r="Q329" s="5" t="n"/>
      <c r="R329" s="6" t="n"/>
      <c r="S329" s="6">
        <f>IF(AND(Q329&lt;&gt;"",R329&lt;&gt;""),Q329*R329,"")</f>
        <v/>
      </c>
      <c r="T329" s="6">
        <f>IF(S329="",P329,S329)</f>
        <v/>
      </c>
      <c r="U329" s="7" t="n">
        <v>0</v>
      </c>
      <c r="V329" s="6">
        <f>$T329*U329</f>
        <v/>
      </c>
      <c r="W329" s="7" t="n">
        <v>0.1</v>
      </c>
      <c r="X329" s="6">
        <f>$T329*W329</f>
        <v/>
      </c>
      <c r="Y329" s="7" t="n">
        <v>0</v>
      </c>
      <c r="Z329" s="6">
        <f>$T329*Y329</f>
        <v/>
      </c>
      <c r="AA329" s="7" t="n">
        <v>0</v>
      </c>
      <c r="AB329" s="6">
        <f>$T329*AA329</f>
        <v/>
      </c>
      <c r="AC329" s="7" t="n">
        <v>0</v>
      </c>
      <c r="AD329" s="6">
        <f>$T329*AC329</f>
        <v/>
      </c>
      <c r="AE329" s="7" t="n">
        <v>0</v>
      </c>
      <c r="AF329" s="6">
        <f>$T329*AE329</f>
        <v/>
      </c>
      <c r="AG329" s="7" t="n">
        <v>0</v>
      </c>
      <c r="AH329" s="6">
        <f>$T329*AG329</f>
        <v/>
      </c>
      <c r="AI329" s="7">
        <f>U329+W329+Y329+AA329+AC329+AE329+AG329</f>
        <v/>
      </c>
      <c r="AJ329" s="6">
        <f>V329+X329+Z329+AB329+AD329+AF329+AH329</f>
        <v/>
      </c>
    </row>
    <row r="330" ht="60" customHeight="1" s="35">
      <c r="A330" s="3" t="inlineStr">
        <is>
          <t>LOM251.OC.EEA.PA29.F8210.SB001.0755</t>
        </is>
      </c>
      <c r="B330" s="4" t="inlineStr">
        <is>
          <t>1/1</t>
        </is>
      </c>
      <c r="C330" s="3" t="inlineStr">
        <is>
          <t>IMPIANTO MECCANICO</t>
        </is>
      </c>
      <c r="D330" s="4" t="inlineStr">
        <is>
          <t>SPECIALE</t>
        </is>
      </c>
      <c r="E330" s="4" t="inlineStr">
        <is>
          <t>MECCANICHE SPECIALI</t>
        </is>
      </c>
      <c r="F330" s="3" t="inlineStr">
        <is>
          <t>2_CME_TOTALE MECCANICI RADIOFARMACIA PAVIA.PDF</t>
        </is>
      </c>
      <c r="G330" s="4" t="inlineStr">
        <is>
          <t>92/92</t>
        </is>
      </c>
      <c r="H330" s="3" t="inlineStr">
        <is>
          <t>40 - IMPIANTISTICO</t>
        </is>
      </c>
      <c r="I330" s="3" t="inlineStr">
        <is>
          <t>P. TERRA - PRODUZIONE</t>
        </is>
      </c>
      <c r="J330" s="3" t="inlineStr">
        <is>
          <t>IMPIANTO HVAC</t>
        </is>
      </c>
      <c r="K330" s="3" t="inlineStr">
        <is>
          <t>OPERA: DIFFUSORE DI LEGA FERROSA ACCIAIO GENERICO; GEOMETRIA: VARIABILE | ALETTE RADIALI AD INCLINAZIONE VARIABILE; FUNZIONE: DIFFUSIONE ARIA; IMPIEGO: IMPIANTO DI CONDIZIONAMENTO; DIAMETRO (Ø) [MM] =</t>
        </is>
      </c>
      <c r="L330" s="3" t="inlineStr">
        <is>
          <t>OPERA: DIFFUSORE DI LEGA FERROSA ACCIAIO GENERICO; GEOMETRIA: VARIABILE | ALETTE RADIALI AD INCLINAZIONE VARIABILE; FUNZIONE: DIFFUSIONE ARIA; IMPIEGO: IMPIANTO DI CONDIZIONAMENTO; DIAMETRO (Ø) [MM] = 315. INCLUSO: SERRANDA DI REGOLAZIONE. 
LAVORO: MONTAGGIO. 
SPECIFICHE TECNICHE: ADATTO PER AMBIENTI CON GRANDI ALTEZZE. OP DIFFUSORE DI LEGA FERROSA ACCIAIO GENERICO; GEOMETRIA: VARIABILE | ALETTE RADIALI AD INCLINAZIONE VARIABILE; FUNZIONE: DIFFUSIONE ARIA; IMPIEGO: IMPIANTO DI CONDIZIONAMENTO; DIAMETRO (Ø) [MM] = 315. INCLUSO: SERRANDA DI REGOLAZIONE. 
SPECIFICHE TECNICHE: ADATTO PER AMBIENTI CON GRANDI ALTEZZE. 
RM DIFFUSORE DI LEGA FERROSA ACCIAIO GENERICO; GEOMETRIA: VARIABILE | ALETTE RADIALI AD INCLINAZIONE VARIABILE; FUNZIONE: DIFFUSIONE ARIA; IMPIEGO: IMPIANTO DI CONDIZIONAMENTO; DIAMETRO (Ø) [MM] = 315. INCLUSO: SERRANDA DI REGOLAZIONE 
SPECIFICHE TECNICHE: ADATTO PER AMBIENTI CON GRANDI ALTEZZE 
LV MONTAGGIO.</t>
        </is>
      </c>
      <c r="M330" s="4" t="inlineStr">
        <is>
          <t>CAD</t>
        </is>
      </c>
      <c r="N330" s="5" t="n">
        <v>2</v>
      </c>
      <c r="O330" s="6" t="n">
        <v>222.35</v>
      </c>
      <c r="P330" s="6" t="n">
        <v>444.7</v>
      </c>
      <c r="Q330" s="5" t="n"/>
      <c r="R330" s="6" t="n"/>
      <c r="S330" s="6">
        <f>IF(AND(Q330&lt;&gt;"",R330&lt;&gt;""),Q330*R330,"")</f>
        <v/>
      </c>
      <c r="T330" s="6">
        <f>IF(S330="",P330,S330)</f>
        <v/>
      </c>
      <c r="U330" s="7" t="n">
        <v>0</v>
      </c>
      <c r="V330" s="6">
        <f>$T330*U330</f>
        <v/>
      </c>
      <c r="W330" s="7" t="n">
        <v>0</v>
      </c>
      <c r="X330" s="6">
        <f>$T330*W330</f>
        <v/>
      </c>
      <c r="Y330" s="7" t="n">
        <v>0</v>
      </c>
      <c r="Z330" s="6">
        <f>$T330*Y330</f>
        <v/>
      </c>
      <c r="AA330" s="7" t="n">
        <v>0</v>
      </c>
      <c r="AB330" s="6">
        <f>$T330*AA330</f>
        <v/>
      </c>
      <c r="AC330" s="7" t="n">
        <v>0</v>
      </c>
      <c r="AD330" s="6">
        <f>$T330*AC330</f>
        <v/>
      </c>
      <c r="AE330" s="7" t="n">
        <v>0</v>
      </c>
      <c r="AF330" s="6">
        <f>$T330*AE330</f>
        <v/>
      </c>
      <c r="AG330" s="7" t="n">
        <v>0</v>
      </c>
      <c r="AH330" s="6">
        <f>$T330*AG330</f>
        <v/>
      </c>
      <c r="AI330" s="7">
        <f>U330+W330+Y330+AA330+AC330+AE330+AG330</f>
        <v/>
      </c>
      <c r="AJ330" s="6">
        <f>V330+X330+Z330+AB330+AD330+AF330+AH330</f>
        <v/>
      </c>
    </row>
    <row r="331" ht="60" customHeight="1" s="35">
      <c r="A331" s="3" t="inlineStr">
        <is>
          <t>LOM251.OC.EEA.PA29.F8210.SB001.0760</t>
        </is>
      </c>
      <c r="B331" s="4" t="inlineStr">
        <is>
          <t>1/2</t>
        </is>
      </c>
      <c r="C331" s="3" t="inlineStr">
        <is>
          <t>IMPIANTO MECCANICO</t>
        </is>
      </c>
      <c r="D331" s="4" t="inlineStr">
        <is>
          <t>SPECIALE</t>
        </is>
      </c>
      <c r="E331" s="4" t="inlineStr">
        <is>
          <t>MECCANICHE SPECIALI</t>
        </is>
      </c>
      <c r="F331" s="3" t="inlineStr">
        <is>
          <t>2_CME_TOTALE MECCANICI RADIOFARMACIA PAVIA.PDF</t>
        </is>
      </c>
      <c r="G331" s="4" t="inlineStr">
        <is>
          <t>93/93</t>
        </is>
      </c>
      <c r="H331" s="3" t="inlineStr">
        <is>
          <t>40 - IMPIANTISTICO</t>
        </is>
      </c>
      <c r="I331" s="3" t="inlineStr">
        <is>
          <t>P. TERRA - PRODUZIONE</t>
        </is>
      </c>
      <c r="J331" s="3" t="inlineStr">
        <is>
          <t>IMPIANTO HVAC</t>
        </is>
      </c>
      <c r="K331" s="3" t="inlineStr">
        <is>
          <t>OPERA: DIFFUSORE DI LEGA FERROSA ACCIAIO GENERICO; GEOMETRIA: VARIABILE | ALETTE RADIALI AD INCLINAZIONE VARIABILE; FUNZIONE: DIFFUSIONE ARIA; IMPIEGO: IMPIANTO DI CONDIZIONAMENTO; DIAMETRO (Ø) [MM] =</t>
        </is>
      </c>
      <c r="L331" s="3" t="inlineStr">
        <is>
          <t>OPERA: DIFFUSORE DI LEGA FERROSA ACCIAIO GENERICO; GEOMETRIA: VARIABILE | ALETTE RADIALI AD INCLINAZIONE VARIABILE; FUNZIONE: DIFFUSIONE ARIA; IMPIEGO: IMPIANTO DI CONDIZIONAMENTO; DIAMETRO (Ø) [MM] = 400. INCLUSO: SERRANDA DI REGOLAZIONE. 
LAVORO: MONTAGGIO. 
SPECIFICHE TECNICHE: ADATTO PER AMBIENTI CON GRANDI ALTEZZE. OP DIFFUSORE DI LEGA FERROSA ACCIAIO GENERICO; GEOMETRIA: VARIABILE | ALETTE RADIALI AD INCLINAZIONE VARIABILE; FUNZIONE: DIFFUSIONE ARIA; IMPIEGO: IMPIANTO DI CONDIZIONAMENTO; DIAMETRO (Ø) [MM] = 400. INCLUSO: SERRANDA DI REGOLAZIONE. 
SPECIFICHE TECNICHE: ADATTO PER AMBIENTI CON GRANDI ALTEZZE. 
RM DIFFUSORE DI LEGA FERROSA ACCIAIO GENERICO; GEOMETRIA: VARIABILE | ALETTE RADIALI AD INCLINAZIONE VARIABILE; FUNZIONE: DIFFUSIONE ARIA; IMPIEGO: IMPIANTO DI CONDIZIONAMENTO; DIAMETRO (Ø) [MM] = 400. INCLUSO: SERRANDA DI REGOLAZIONE 
SPECIFICHE TECNICHE: ADATTO PER AMBIENTI CON GRANDI ALTEZZE 
LV MONTAGGIO.</t>
        </is>
      </c>
      <c r="M331" s="4" t="inlineStr">
        <is>
          <t>CAD</t>
        </is>
      </c>
      <c r="N331" s="5" t="n">
        <v>17</v>
      </c>
      <c r="O331" s="6" t="n">
        <v>234.21</v>
      </c>
      <c r="P331" s="6" t="n">
        <v>3981.57</v>
      </c>
      <c r="Q331" s="5" t="n"/>
      <c r="R331" s="6" t="n"/>
      <c r="S331" s="6">
        <f>IF(AND(Q331&lt;&gt;"",R331&lt;&gt;""),Q331*R331,"")</f>
        <v/>
      </c>
      <c r="T331" s="6">
        <f>IF(S331="",P331,S331)</f>
        <v/>
      </c>
      <c r="U331" s="7" t="n">
        <v>0</v>
      </c>
      <c r="V331" s="6">
        <f>$T331*U331</f>
        <v/>
      </c>
      <c r="W331" s="7" t="n">
        <v>0.4</v>
      </c>
      <c r="X331" s="6">
        <f>$T331*W331</f>
        <v/>
      </c>
      <c r="Y331" s="7" t="n">
        <v>0</v>
      </c>
      <c r="Z331" s="6">
        <f>$T331*Y331</f>
        <v/>
      </c>
      <c r="AA331" s="7" t="n">
        <v>0</v>
      </c>
      <c r="AB331" s="6">
        <f>$T331*AA331</f>
        <v/>
      </c>
      <c r="AC331" s="7" t="n">
        <v>0</v>
      </c>
      <c r="AD331" s="6">
        <f>$T331*AC331</f>
        <v/>
      </c>
      <c r="AE331" s="7" t="n">
        <v>0</v>
      </c>
      <c r="AF331" s="6">
        <f>$T331*AE331</f>
        <v/>
      </c>
      <c r="AG331" s="7" t="n">
        <v>0</v>
      </c>
      <c r="AH331" s="6">
        <f>$T331*AG331</f>
        <v/>
      </c>
      <c r="AI331" s="7">
        <f>U331+W331+Y331+AA331+AC331+AE331+AG331</f>
        <v/>
      </c>
      <c r="AJ331" s="6">
        <f>V331+X331+Z331+AB331+AD331+AF331+AH331</f>
        <v/>
      </c>
    </row>
    <row r="332" ht="60" customHeight="1" s="35">
      <c r="A332" s="3" t="inlineStr">
        <is>
          <t>LOM251.OC.EEA.PA29.F8210.SB001.0765</t>
        </is>
      </c>
      <c r="B332" s="4" t="inlineStr">
        <is>
          <t>1/2</t>
        </is>
      </c>
      <c r="C332" s="3" t="inlineStr">
        <is>
          <t>IMPIANTO MECCANICO</t>
        </is>
      </c>
      <c r="D332" s="4" t="inlineStr">
        <is>
          <t>SPECIALE</t>
        </is>
      </c>
      <c r="E332" s="4" t="inlineStr">
        <is>
          <t>MECCANICHE SPECIALI</t>
        </is>
      </c>
      <c r="F332" s="3" t="inlineStr">
        <is>
          <t>2_CME_TOTALE MECCANICI RADIOFARMACIA PAVIA.PDF</t>
        </is>
      </c>
      <c r="G332" s="4" t="inlineStr">
        <is>
          <t>94/94</t>
        </is>
      </c>
      <c r="H332" s="3" t="inlineStr">
        <is>
          <t>40 - IMPIANTISTICO</t>
        </is>
      </c>
      <c r="I332" s="3" t="inlineStr">
        <is>
          <t>P. TERRA - PRODUZIONE</t>
        </is>
      </c>
      <c r="J332" s="3" t="inlineStr">
        <is>
          <t>IMPIANTO HVAC</t>
        </is>
      </c>
      <c r="K332" s="3" t="inlineStr">
        <is>
          <t>OPERA: DIFFUSORE DI LEGA FERROSA ACCIAIO GENERICO; GEOMETRIA: VARIABILE | ALETTE RADIALI AD INCLINAZIONE VARIABILE; FUNZIONE: DIFFUSIONE ARIA; IMPIEGO: IMPIANTO DI CONDIZIONAMENTO; DIAMETRO (Ø) [MM] =</t>
        </is>
      </c>
      <c r="L332" s="3" t="inlineStr">
        <is>
          <t>OPERA: DIFFUSORE DI LEGA FERROSA ACCIAIO GENERICO; GEOMETRIA: VARIABILE | ALETTE RADIALI AD INCLINAZIONE VARIABILE; FUNZIONE: DIFFUSIONE ARIA; IMPIEGO: IMPIANTO DI CONDIZIONAMENTO; DIAMETRO (Ø) [MM] = 500. INCLUSO: SERRANDA DI REGOLAZIONE. 
LAVORO: MONTAGGIO. 
SPECIFICHE TECNICHE: ADATTO PER AMBIENTI CON GRANDI ALTEZZE. OP DIFFUSORE DI LEGA FERROSA ACCIAIO GENERICO; GEOMETRIA: VARIABILE | ALETTE RADIALI AD INCLINAZIONE VARIABILE; FUNZIONE: DIFFUSIONE ARIA; IMPIEGO: IMPIANTO DI CONDIZIONAMENTO; DIAMETRO (Ø) [MM] = 500. INCLUSO: SERRANDA DI REGOLAZIONE. 
SPECIFICHE TECNICHE: ADATTO PER AMBIENTI CON GRANDI ALTEZZE. 
RM DIFFUSORE DI LEGA FERROSA ACCIAIO GENERICO; GEOMETRIA: VARIABILE | ALETTE RADIALI AD INCLINAZIONE VARIABILE; FUNZIONE: DIFFUSIONE ARIA; IMPIEGO: IMPIANTO DI CONDIZIONAMENTO; DIAMETRO (Ø) [MM] = 500. INCLUSO: SERRANDA DI REGOLAZIONE 
SPECIFICHE TECNICHE: ADATTO PER AMBIENTI CON GRANDI ALTEZZE 
LV MONTAGGIO.</t>
        </is>
      </c>
      <c r="M332" s="4" t="inlineStr">
        <is>
          <t>CAD</t>
        </is>
      </c>
      <c r="N332" s="5" t="n">
        <v>3</v>
      </c>
      <c r="O332" s="6" t="n">
        <v>281.65</v>
      </c>
      <c r="P332" s="6" t="n">
        <v>844.95</v>
      </c>
      <c r="Q332" s="5" t="n"/>
      <c r="R332" s="6" t="n"/>
      <c r="S332" s="6">
        <f>IF(AND(Q332&lt;&gt;"",R332&lt;&gt;""),Q332*R332,"")</f>
        <v/>
      </c>
      <c r="T332" s="6">
        <f>IF(S332="",P332,S332)</f>
        <v/>
      </c>
      <c r="U332" s="7" t="n">
        <v>0</v>
      </c>
      <c r="V332" s="6">
        <f>$T332*U332</f>
        <v/>
      </c>
      <c r="W332" s="7" t="n">
        <v>0</v>
      </c>
      <c r="X332" s="6">
        <f>$T332*W332</f>
        <v/>
      </c>
      <c r="Y332" s="7" t="n">
        <v>0</v>
      </c>
      <c r="Z332" s="6">
        <f>$T332*Y332</f>
        <v/>
      </c>
      <c r="AA332" s="7" t="n">
        <v>0</v>
      </c>
      <c r="AB332" s="6">
        <f>$T332*AA332</f>
        <v/>
      </c>
      <c r="AC332" s="7" t="n">
        <v>0</v>
      </c>
      <c r="AD332" s="6">
        <f>$T332*AC332</f>
        <v/>
      </c>
      <c r="AE332" s="7" t="n">
        <v>0</v>
      </c>
      <c r="AF332" s="6">
        <f>$T332*AE332</f>
        <v/>
      </c>
      <c r="AG332" s="7" t="n">
        <v>0</v>
      </c>
      <c r="AH332" s="6">
        <f>$T332*AG332</f>
        <v/>
      </c>
      <c r="AI332" s="7">
        <f>U332+W332+Y332+AA332+AC332+AE332+AG332</f>
        <v/>
      </c>
      <c r="AJ332" s="6">
        <f>V332+X332+Z332+AB332+AD332+AF332+AH332</f>
        <v/>
      </c>
    </row>
    <row r="333" ht="60" customHeight="1" s="35">
      <c r="A333" s="3" t="inlineStr">
        <is>
          <t>LOM251.OC.EEA.PA29.F8210.SB001.0770</t>
        </is>
      </c>
      <c r="B333" s="4" t="inlineStr">
        <is>
          <t>1/1</t>
        </is>
      </c>
      <c r="C333" s="3" t="inlineStr">
        <is>
          <t>IMPIANTO MECCANICO</t>
        </is>
      </c>
      <c r="D333" s="4" t="inlineStr">
        <is>
          <t>SPECIALE</t>
        </is>
      </c>
      <c r="E333" s="4" t="inlineStr">
        <is>
          <t>MECCANICHE SPECIALI</t>
        </is>
      </c>
      <c r="F333" s="3" t="inlineStr">
        <is>
          <t>2_CME_TOTALE MECCANICI RADIOFARMACIA PAVIA.PDF</t>
        </is>
      </c>
      <c r="G333" s="4" t="inlineStr">
        <is>
          <t>95/95</t>
        </is>
      </c>
      <c r="H333" s="3" t="inlineStr">
        <is>
          <t>40 - IMPIANTISTICO</t>
        </is>
      </c>
      <c r="I333" s="3" t="inlineStr">
        <is>
          <t>P. TERRA - PRODUZIONE</t>
        </is>
      </c>
      <c r="J333" s="3" t="inlineStr">
        <is>
          <t>IMPIANTO HVAC</t>
        </is>
      </c>
      <c r="K333" s="3" t="inlineStr">
        <is>
          <t>OPERA: DIFFUSORE DI LEGA FERROSA ACCIAIO GENERICO; GEOMETRIA: VARIABILE | ALETTE RADIALI AD INCLINAZIONE VARIABILE; FUNZIONE: DIFFUSIONE ARIA; IMPIEGO: IMPIANTO DI CONDIZIONAMENTO; DIAMETRO (Ø) [MM] =</t>
        </is>
      </c>
      <c r="L333" s="3" t="inlineStr">
        <is>
          <t>OPERA: DIFFUSORE DI LEGA FERROSA ACCIAIO GENERICO; GEOMETRIA: VARIABILE | ALETTE RADIALI AD INCLINAZIONE VARIABILE; FUNZIONE: DIFFUSIONE ARIA; IMPIEGO: IMPIANTO DI CONDIZIONAMENTO; DIAMETRO (Ø) [MM] = 630. INCLUSO: SERRANDA DI REGOLAZIONE. 
LAVORO: MONTAGGIO. 
SPECIFICHE TECNICHE: ADATTO PER AMBIENTI CON GRANDI ALTEZZE. OP DIFFUSORE DI LEGA FERROSA ACCIAIO GENERICO; GEOMETRIA: VARIABILE | ALETTE RADIALI AD INCLINAZIONE VARIABILE; FUNZIONE: DIFFUSIONE ARIA; IMPIEGO: IMPIANTO DI CONDIZIONAMENTO; DIAMETRO (Ø) [MM] = 630. INCLUSO: SERRANDA DI REGOLAZIONE. 
SPECIFICHE TECNICHE: ADATTO PER AMBIENTI CON GRANDI ALTEZZE. 
RM DIFFUSORE DI LEGA FERROSA ACCIAIO GENERICO; GEOMETRIA: VARIABILE | ALETTE RADIALI AD INCLINAZIONE VARIABILE; FUNZIONE: DIFFUSIONE ARIA; IMPIEGO: IMPIANTO DI CONDIZIONAMENTO; DIAMETRO (Ø) [MM] = 630. INCLUSO: SERRANDA DI REGOLAZIONE 
SPECIFICHE TECNICHE: ADATTO PER AMBIENTI CON GRANDI ALTEZZE 
LV MONTAGGIO.</t>
        </is>
      </c>
      <c r="M333" s="4" t="inlineStr">
        <is>
          <t>CAD</t>
        </is>
      </c>
      <c r="N333" s="5" t="n">
        <v>2</v>
      </c>
      <c r="O333" s="6" t="n">
        <v>305.36</v>
      </c>
      <c r="P333" s="6" t="n">
        <v>610.72</v>
      </c>
      <c r="Q333" s="5" t="n"/>
      <c r="R333" s="6" t="n"/>
      <c r="S333" s="6">
        <f>IF(AND(Q333&lt;&gt;"",R333&lt;&gt;""),Q333*R333,"")</f>
        <v/>
      </c>
      <c r="T333" s="6">
        <f>IF(S333="",P333,S333)</f>
        <v/>
      </c>
      <c r="U333" s="7" t="n">
        <v>0</v>
      </c>
      <c r="V333" s="6">
        <f>$T333*U333</f>
        <v/>
      </c>
      <c r="W333" s="7" t="n">
        <v>0</v>
      </c>
      <c r="X333" s="6">
        <f>$T333*W333</f>
        <v/>
      </c>
      <c r="Y333" s="7" t="n">
        <v>0</v>
      </c>
      <c r="Z333" s="6">
        <f>$T333*Y333</f>
        <v/>
      </c>
      <c r="AA333" s="7" t="n">
        <v>0</v>
      </c>
      <c r="AB333" s="6">
        <f>$T333*AA333</f>
        <v/>
      </c>
      <c r="AC333" s="7" t="n">
        <v>0</v>
      </c>
      <c r="AD333" s="6">
        <f>$T333*AC333</f>
        <v/>
      </c>
      <c r="AE333" s="7" t="n">
        <v>0</v>
      </c>
      <c r="AF333" s="6">
        <f>$T333*AE333</f>
        <v/>
      </c>
      <c r="AG333" s="7" t="n">
        <v>0</v>
      </c>
      <c r="AH333" s="6">
        <f>$T333*AG333</f>
        <v/>
      </c>
      <c r="AI333" s="7">
        <f>U333+W333+Y333+AA333+AC333+AE333+AG333</f>
        <v/>
      </c>
      <c r="AJ333" s="6">
        <f>V333+X333+Z333+AB333+AD333+AF333+AH333</f>
        <v/>
      </c>
    </row>
    <row r="334" ht="60" customHeight="1" s="35">
      <c r="A334" s="3" t="inlineStr">
        <is>
          <t>LOM251.OC.EEA.PA29.F8210.SA001.0255</t>
        </is>
      </c>
      <c r="B334" s="4" t="inlineStr">
        <is>
          <t>1/1</t>
        </is>
      </c>
      <c r="C334" s="3" t="inlineStr">
        <is>
          <t>IMPIANTO MECCANICO</t>
        </is>
      </c>
      <c r="D334" s="4" t="inlineStr">
        <is>
          <t>SPECIALE</t>
        </is>
      </c>
      <c r="E334" s="4" t="inlineStr">
        <is>
          <t>MECCANICHE SPECIALI</t>
        </is>
      </c>
      <c r="F334" s="3" t="inlineStr">
        <is>
          <t>2_CME_TOTALE MECCANICI RADIOFARMACIA PAVIA.PDF</t>
        </is>
      </c>
      <c r="G334" s="4" t="inlineStr">
        <is>
          <t>96/96</t>
        </is>
      </c>
      <c r="H334" s="3" t="inlineStr">
        <is>
          <t>40 - IMPIANTISTICO</t>
        </is>
      </c>
      <c r="I334" s="3" t="inlineStr">
        <is>
          <t>P. TERRA - PRODUZIONE</t>
        </is>
      </c>
      <c r="J334" s="3" t="inlineStr">
        <is>
          <t>IMPIANTO HVAC</t>
        </is>
      </c>
      <c r="K334" s="3" t="inlineStr">
        <is>
          <t>OPERA: DIFFUSORE, MULTIDIREZIONALE DI LEGA ALLUMINIO ANODIZZATO; GEOMETRIA: RETTANGOLARE; FUNZIONE: DIFFUSIONE ARIA; IMPIEGO: IMPIANTO DI CONDIZIONAMENTO; LUNGHEZZA FRONTALE [MM] = 225 | ALTEZZA FRONT</t>
        </is>
      </c>
      <c r="L334" s="3" t="inlineStr">
        <is>
          <t>OPERA: DIFFUSORE, MULTIDIREZIONALE DI LEGA ALLUMINIO ANODIZZATO; GEOMETRIA: RETTANGOLARE; FUNZIONE: DIFFUSIONE ARIA; IMPIEGO: IMPIANTO DI CONDIZIONAMENTO; LUNGHEZZA FRONTALE [MM] = 225 | ALTEZZA FRONTALE [MM] = 225. INCLUSO: SERRANDA DI REGOLAZIONE. 
LAVORO: MONTAGGIO. 
SPECIFICHE TECNICHE: COSTITUITO DA UNA CORNICE ESTERNA E DA UNA PARTE CENTRALE REMOVIBILE, AD ELEMENTI DIVERGENTI MULTIPLI. OP DIFFUSORE, MULTIDIREZIONALE DI LEGA ALLUMINIO ANODIZZATO; GEOMETRIA: RETTANGOLARE; FUNZIONE: DIFFUSIONE ARIA; IMPIEGO: IMPIANTO DI CONDIZIONAMENTO; LUNGHEZZA FRONTALE [MM] = 225 | ALTEZZA FRONTALE [MM] = 225. INCLUSO: SERRANDA DI REGOLAZIONE. 
SPECIFICHE TECNICHE: COSTITUITO DA UNA CORNICE ESTERNA E DA UNA PARTE CENTRALE REMOVIBILE, AD ELEMENTI DIVERGENTI MULTIPLI. 
RM DIFFUSORE MULTIDIREZIONALE DI LEGA ALLUMINIO ANODIZZATO; GEOMETRIA: RETTANGOLARE; FUNZIONE: DIFFUSIONE ARIA; IMPIEGO: IMPIANTO DI CONDIZIONAMENTO; LUNGHEZZA FRONTALE [MM] = 225 | ALTEZZA FRONTALE [MM] = 225. INCLUSO: SERRANDA DI REGOLAZIONE 
SPECIFICHE TECNICHE: COSTITUITO DA UNA CORNICE ESTERNA E DA UNA PARTE CENTRALE REMOVIBILE, AD ELEMENTI DIVERGENTI MULTIPLI 
LV MONTAGGIO.</t>
        </is>
      </c>
      <c r="M334" s="4" t="inlineStr">
        <is>
          <t>CAD</t>
        </is>
      </c>
      <c r="N334" s="5" t="n">
        <v>8</v>
      </c>
      <c r="O334" s="6" t="n">
        <v>234.21</v>
      </c>
      <c r="P334" s="6" t="n">
        <v>1873.68</v>
      </c>
      <c r="Q334" s="5" t="n"/>
      <c r="R334" s="6" t="n"/>
      <c r="S334" s="6">
        <f>IF(AND(Q334&lt;&gt;"",R334&lt;&gt;""),Q334*R334,"")</f>
        <v/>
      </c>
      <c r="T334" s="6">
        <f>IF(S334="",P334,S334)</f>
        <v/>
      </c>
      <c r="U334" s="7" t="n">
        <v>0</v>
      </c>
      <c r="V334" s="6">
        <f>$T334*U334</f>
        <v/>
      </c>
      <c r="W334" s="7" t="n">
        <v>0.4</v>
      </c>
      <c r="X334" s="6">
        <f>$T334*W334</f>
        <v/>
      </c>
      <c r="Y334" s="7" t="n">
        <v>0</v>
      </c>
      <c r="Z334" s="6">
        <f>$T334*Y334</f>
        <v/>
      </c>
      <c r="AA334" s="7" t="n">
        <v>0</v>
      </c>
      <c r="AB334" s="6">
        <f>$T334*AA334</f>
        <v/>
      </c>
      <c r="AC334" s="7" t="n">
        <v>0</v>
      </c>
      <c r="AD334" s="6">
        <f>$T334*AC334</f>
        <v/>
      </c>
      <c r="AE334" s="7" t="n">
        <v>0</v>
      </c>
      <c r="AF334" s="6">
        <f>$T334*AE334</f>
        <v/>
      </c>
      <c r="AG334" s="7" t="n">
        <v>0</v>
      </c>
      <c r="AH334" s="6">
        <f>$T334*AG334</f>
        <v/>
      </c>
      <c r="AI334" s="7">
        <f>U334+W334+Y334+AA334+AC334+AE334+AG334</f>
        <v/>
      </c>
      <c r="AJ334" s="6">
        <f>V334+X334+Z334+AB334+AD334+AF334+AH334</f>
        <v/>
      </c>
    </row>
    <row r="335" ht="60" customHeight="1" s="35">
      <c r="A335" s="3" t="inlineStr">
        <is>
          <t>LOM251.OC.EEA.PA29.F8210.SA001.0260</t>
        </is>
      </c>
      <c r="B335" s="4" t="inlineStr">
        <is>
          <t>1/1</t>
        </is>
      </c>
      <c r="C335" s="3" t="inlineStr">
        <is>
          <t>IMPIANTO MECCANICO</t>
        </is>
      </c>
      <c r="D335" s="4" t="inlineStr">
        <is>
          <t>SPECIALE</t>
        </is>
      </c>
      <c r="E335" s="4" t="inlineStr">
        <is>
          <t>MECCANICHE SPECIALI</t>
        </is>
      </c>
      <c r="F335" s="3" t="inlineStr">
        <is>
          <t>2_CME_TOTALE MECCANICI RADIOFARMACIA PAVIA.PDF</t>
        </is>
      </c>
      <c r="G335" s="4" t="inlineStr">
        <is>
          <t>97/97</t>
        </is>
      </c>
      <c r="H335" s="3" t="inlineStr">
        <is>
          <t>40 - IMPIANTISTICO</t>
        </is>
      </c>
      <c r="I335" s="3" t="inlineStr">
        <is>
          <t>P. TERRA - PRODUZIONE</t>
        </is>
      </c>
      <c r="J335" s="3" t="inlineStr">
        <is>
          <t>IMPIANTO HVAC</t>
        </is>
      </c>
      <c r="K335" s="3" t="inlineStr">
        <is>
          <t>OPERA: DIFFUSORE, MULTIDIREZIONALE DI LEGA ALLUMINIO ANODIZZATO; GEOMETRIA: RETTANGOLARE; FUNZIONE: DIFFUSIONE ARIA; IMPIEGO: IMPIANTO DI CONDIZIONAMENTO; LUNGHEZZA FRONTALE [MM] = 300 | ALTEZZA FRONT</t>
        </is>
      </c>
      <c r="L335" s="3" t="inlineStr">
        <is>
          <t>OPERA: DIFFUSORE, MULTIDIREZIONALE DI LEGA ALLUMINIO ANODIZZATO; GEOMETRIA: RETTANGOLARE; FUNZIONE: DIFFUSIONE ARIA; IMPIEGO: IMPIANTO DI CONDIZIONAMENTO; LUNGHEZZA FRONTALE [MM] = 300 | ALTEZZA FRONTALE [MM] = 300. INCLUSO: SERRANDA DI REGOLAZIONE. 
LAVORO: MONTAGGIO. 
SPECIFICHE TECNICHE: COSTITUITO DA UNA CORNICE ESTERNA E DA UNA PARTE CENTRALE REMOVIBILE, AD ELEMENTI DIVERGENTI MULTIPLI. OP DIFFUSORE, MULTIDIREZIONALE DI LEGA ALLUMINIO ANODIZZATO; GEOMETRIA: RETTANGOLARE; FUNZIONE: DIFFUSIONE ARIA; IMPIEGO: IMPIANTO DI CONDIZIONAMENTO; LUNGHEZZA FRONTALE [MM] = 300 | ALTEZZA FRONTALE [MM] = 300. INCLUSO: SERRANDA DI REGOLAZIONE. 
SPECIFICHE TECNICHE: COSTITUITO DA UNA CORNICE ESTERNA E DA UNA PARTE CENTRALE REMOVIBILE, AD ELEMENTI DIVERGENTI MULTIPLI. 
RM DIFFUSORE MULTIDIREZIONALE DI LEGA ALLUMINIO ANODIZZATO; GEOMETRIA: RETTANGOLARE; FUNZIONE: DIFFUSIONE ARIA; IMPIEGO: IMPIANTO DI CONDIZIONAMENTO; LUNGHEZZA FRONTALE [MM] = 300 | ALTEZZA FRONTALE [MM] = 300. INCLUSO: SERRANDA DI REGOLAZIONE 
SPECIFICHE TECNICHE: COSTITUITO DA UNA CORNICE ESTERNA E DA UNA PARTE CENTRALE REMOVIBILE, AD ELEMENTI DIVERGENTI MULTIPLI 
LV MONTAGGIO.</t>
        </is>
      </c>
      <c r="M335" s="4" t="inlineStr">
        <is>
          <t>CAD</t>
        </is>
      </c>
      <c r="N335" s="5" t="n">
        <v>4</v>
      </c>
      <c r="O335" s="6" t="n">
        <v>246.07</v>
      </c>
      <c r="P335" s="6" t="n">
        <v>984.28</v>
      </c>
      <c r="Q335" s="5" t="n"/>
      <c r="R335" s="6" t="n"/>
      <c r="S335" s="6">
        <f>IF(AND(Q335&lt;&gt;"",R335&lt;&gt;""),Q335*R335,"")</f>
        <v/>
      </c>
      <c r="T335" s="6">
        <f>IF(S335="",P335,S335)</f>
        <v/>
      </c>
      <c r="U335" s="7" t="n">
        <v>0</v>
      </c>
      <c r="V335" s="6">
        <f>$T335*U335</f>
        <v/>
      </c>
      <c r="W335" s="7" t="n">
        <v>0.4</v>
      </c>
      <c r="X335" s="6">
        <f>$T335*W335</f>
        <v/>
      </c>
      <c r="Y335" s="7" t="n">
        <v>0</v>
      </c>
      <c r="Z335" s="6">
        <f>$T335*Y335</f>
        <v/>
      </c>
      <c r="AA335" s="7" t="n">
        <v>0</v>
      </c>
      <c r="AB335" s="6">
        <f>$T335*AA335</f>
        <v/>
      </c>
      <c r="AC335" s="7" t="n">
        <v>0</v>
      </c>
      <c r="AD335" s="6">
        <f>$T335*AC335</f>
        <v/>
      </c>
      <c r="AE335" s="7" t="n">
        <v>0</v>
      </c>
      <c r="AF335" s="6">
        <f>$T335*AE335</f>
        <v/>
      </c>
      <c r="AG335" s="7" t="n">
        <v>0</v>
      </c>
      <c r="AH335" s="6">
        <f>$T335*AG335</f>
        <v/>
      </c>
      <c r="AI335" s="7">
        <f>U335+W335+Y335+AA335+AC335+AE335+AG335</f>
        <v/>
      </c>
      <c r="AJ335" s="6">
        <f>V335+X335+Z335+AB335+AD335+AF335+AH335</f>
        <v/>
      </c>
    </row>
    <row r="336" ht="60" customHeight="1" s="35">
      <c r="A336" s="3" t="inlineStr">
        <is>
          <t>DEI_IT_033412B</t>
        </is>
      </c>
      <c r="B336" s="4" t="inlineStr">
        <is>
          <t>1/1</t>
        </is>
      </c>
      <c r="C336" s="3" t="inlineStr">
        <is>
          <t>IMPIANTO MECCANICO</t>
        </is>
      </c>
      <c r="D336" s="4" t="inlineStr">
        <is>
          <t>SPECIALE</t>
        </is>
      </c>
      <c r="E336" s="4" t="inlineStr">
        <is>
          <t>MECCANICHE SPECIALI</t>
        </is>
      </c>
      <c r="F336" s="3" t="inlineStr">
        <is>
          <t>2_CME_TOTALE MECCANICI RADIOFARMACIA PAVIA.PDF</t>
        </is>
      </c>
      <c r="G336" s="4" t="inlineStr">
        <is>
          <t>98/98</t>
        </is>
      </c>
      <c r="H336" s="3" t="inlineStr">
        <is>
          <t>40 - IMPIANTISTICO</t>
        </is>
      </c>
      <c r="I336" s="3" t="inlineStr">
        <is>
          <t>P. TERRA - PRODUZIONE</t>
        </is>
      </c>
      <c r="J336" s="3" t="inlineStr">
        <is>
          <t>IMPIANTO HVAC</t>
        </is>
      </c>
      <c r="K336" s="3" t="inlineStr">
        <is>
          <t>FILTRO ALTA EFFICIENZA A PICCOLE PIEGHE PROFONDE (UNI 10339), TELAIO IN MDF CON GUARNIZIONI IN ELASTOMERO, EFFICIENZA 99,99%, MEDIA FILTRANTE IN CARTA DI VETRO PIEGHETTATA: DIMENSIONI 610 X 610 MM, SU</t>
        </is>
      </c>
      <c r="L336" s="3" t="inlineStr">
        <is>
          <t>FILTRO ALTA EFFICIENZA A PICCOLE PIEGHE PROFONDE (UNI 10339), TELAIO IN MDF CON GUARNIZIONI IN ELASTOMERO, EFFICIENZA 99,99%, MEDIA FILTRANTE IN CARTA DI VETRO PIEGHETTATA: DIMENSIONI 610 X 610 MM, SUPERFICIE FILTRANTE 12,8 MQ, PORTATA ARIA 1.900 MC/H, PERDITA DI CARICO 250 PA, SPESSORE 290 MM</t>
        </is>
      </c>
      <c r="M336" s="4" t="inlineStr">
        <is>
          <t>CAD</t>
        </is>
      </c>
      <c r="N336" s="5" t="n">
        <v>24</v>
      </c>
      <c r="O336" s="6" t="n">
        <v>188.25</v>
      </c>
      <c r="P336" s="6" t="n">
        <v>4518</v>
      </c>
      <c r="Q336" s="5" t="n"/>
      <c r="R336" s="6" t="n"/>
      <c r="S336" s="6">
        <f>IF(AND(Q336&lt;&gt;"",R336&lt;&gt;""),Q336*R336,"")</f>
        <v/>
      </c>
      <c r="T336" s="6">
        <f>IF(S336="",P336,S336)</f>
        <v/>
      </c>
      <c r="U336" s="7" t="n">
        <v>0</v>
      </c>
      <c r="V336" s="6">
        <f>$T336*U336</f>
        <v/>
      </c>
      <c r="W336" s="7" t="n">
        <v>0.4</v>
      </c>
      <c r="X336" s="6">
        <f>$T336*W336</f>
        <v/>
      </c>
      <c r="Y336" s="7" t="n">
        <v>0</v>
      </c>
      <c r="Z336" s="6">
        <f>$T336*Y336</f>
        <v/>
      </c>
      <c r="AA336" s="7" t="n">
        <v>0</v>
      </c>
      <c r="AB336" s="6">
        <f>$T336*AA336</f>
        <v/>
      </c>
      <c r="AC336" s="7" t="n">
        <v>0</v>
      </c>
      <c r="AD336" s="6">
        <f>$T336*AC336</f>
        <v/>
      </c>
      <c r="AE336" s="7" t="n">
        <v>0</v>
      </c>
      <c r="AF336" s="6">
        <f>$T336*AE336</f>
        <v/>
      </c>
      <c r="AG336" s="7" t="n">
        <v>0</v>
      </c>
      <c r="AH336" s="6">
        <f>$T336*AG336</f>
        <v/>
      </c>
      <c r="AI336" s="7">
        <f>U336+W336+Y336+AA336+AC336+AE336+AG336</f>
        <v/>
      </c>
      <c r="AJ336" s="6">
        <f>V336+X336+Z336+AB336+AD336+AF336+AH336</f>
        <v/>
      </c>
    </row>
    <row r="337" ht="60" customHeight="1" s="35">
      <c r="A337" s="3" t="inlineStr">
        <is>
          <t>LOM251.OC.EEA.PA29.F8215.SA000.0255</t>
        </is>
      </c>
      <c r="B337" s="4" t="inlineStr">
        <is>
          <t>1/2</t>
        </is>
      </c>
      <c r="C337" s="3" t="inlineStr">
        <is>
          <t>IMPIANTO MECCANICO</t>
        </is>
      </c>
      <c r="D337" s="4" t="inlineStr">
        <is>
          <t>SPECIALE</t>
        </is>
      </c>
      <c r="E337" s="4" t="inlineStr">
        <is>
          <t>MECCANICHE SPECIALI</t>
        </is>
      </c>
      <c r="F337" s="3" t="inlineStr">
        <is>
          <t>2_CME_TOTALE MECCANICI RADIOFARMACIA PAVIA.PDF</t>
        </is>
      </c>
      <c r="G337" s="4" t="inlineStr">
        <is>
          <t>99/99</t>
        </is>
      </c>
      <c r="H337" s="3" t="inlineStr">
        <is>
          <t>40 - IMPIANTISTICO</t>
        </is>
      </c>
      <c r="I337" s="3" t="inlineStr">
        <is>
          <t>P. TERRA - PRODUZIONE</t>
        </is>
      </c>
      <c r="J337" s="3" t="inlineStr">
        <is>
          <t>IMPIANTO HVAC</t>
        </is>
      </c>
      <c r="K337" s="3" t="inlineStr">
        <is>
          <t>OPERA: GRIGLIA, DI RIPRESA DI LEGA ALLUMINIO GENERICO; GEOMETRIA: 1 FILARE DI ALETTE FISSE; FUNZIONE: DIFFUSIONE ARIA; IMPIEGO: IMPIANTO DI CLIMATIZZAZIONE; SUPERFICIE FRONTALE [M²] = 0,04 ÷ 0,05. INC</t>
        </is>
      </c>
      <c r="L337" s="3" t="inlineStr">
        <is>
          <t>OPERA: GRIGLIA, DI RIPRESA DI LEGA ALLUMINIO GENERICO; GEOMETRIA: 1 FILARE DI ALETTE FISSE; FUNZIONE: DIFFUSIONE ARIA; IMPIEGO: IMPIANTO DI CLIMATIZZAZIONE; SUPERFICIE FRONTALE [M²] = 0,04 ÷ 0,05. INCLUSO: SERRANDA DI REGOLAZIONE. 
LAVORO: MONTAGGIO. OP GRIGLIA, DI RIPRESA DI LEGA ALLUMINIO GENERICO; GEOMETRIA: 1 FILARE DI ALETTE FISSE; FUNZIONE: DIFFUSIONE ARIA; IMPIEGO: IMPIANTO DI CLIMATIZZAZIONE; SUPERFICIE FRONTALE [M²] = 0,04 ÷ 0,05. INCLUSO: SERRANDA DI REGOLAZIONE. 
RM GRIGLIA DI RIPRESA DI LEGA ALLUMINIO GENERICO; GEOMETRIA: 1 FILARE DI ALETTE FISSE; FUNZIONE: DIFFUSIONE ARIA; IMPIEGO: IMPIANTO DI CLIMATIZZAZIONE; SUPERFICIE FRONTALE [M²] = 0,04 ÷ 0,05. INCLUSO: SERRANDA DI REGOLAZIONE 
LV MONTAGGIO.</t>
        </is>
      </c>
      <c r="M337" s="4" t="inlineStr">
        <is>
          <t>M²</t>
        </is>
      </c>
      <c r="N337" s="5" t="n">
        <v>0.23</v>
      </c>
      <c r="O337" s="6" t="n">
        <v>1915.17</v>
      </c>
      <c r="P337" s="6" t="n">
        <v>440.49</v>
      </c>
      <c r="Q337" s="5" t="n"/>
      <c r="R337" s="6" t="n"/>
      <c r="S337" s="6">
        <f>IF(AND(Q337&lt;&gt;"",R337&lt;&gt;""),Q337*R337,"")</f>
        <v/>
      </c>
      <c r="T337" s="6">
        <f>IF(S337="",P337,S337)</f>
        <v/>
      </c>
      <c r="U337" s="7" t="n">
        <v>0</v>
      </c>
      <c r="V337" s="6">
        <f>$T337*U337</f>
        <v/>
      </c>
      <c r="W337" s="7" t="n">
        <v>0</v>
      </c>
      <c r="X337" s="6">
        <f>$T337*W337</f>
        <v/>
      </c>
      <c r="Y337" s="7" t="n">
        <v>0</v>
      </c>
      <c r="Z337" s="6">
        <f>$T337*Y337</f>
        <v/>
      </c>
      <c r="AA337" s="7" t="n">
        <v>0</v>
      </c>
      <c r="AB337" s="6">
        <f>$T337*AA337</f>
        <v/>
      </c>
      <c r="AC337" s="7" t="n">
        <v>0</v>
      </c>
      <c r="AD337" s="6">
        <f>$T337*AC337</f>
        <v/>
      </c>
      <c r="AE337" s="7" t="n">
        <v>0</v>
      </c>
      <c r="AF337" s="6">
        <f>$T337*AE337</f>
        <v/>
      </c>
      <c r="AG337" s="7" t="n">
        <v>0</v>
      </c>
      <c r="AH337" s="6">
        <f>$T337*AG337</f>
        <v/>
      </c>
      <c r="AI337" s="7">
        <f>U337+W337+Y337+AA337+AC337+AE337+AG337</f>
        <v/>
      </c>
      <c r="AJ337" s="6">
        <f>V337+X337+Z337+AB337+AD337+AF337+AH337</f>
        <v/>
      </c>
    </row>
    <row r="338" ht="60" customHeight="1" s="35">
      <c r="A338" s="3" t="inlineStr">
        <is>
          <t>LOM251.OC.EEA.PA29.F8215.SA000.0260</t>
        </is>
      </c>
      <c r="B338" s="4" t="inlineStr">
        <is>
          <t>2/2</t>
        </is>
      </c>
      <c r="C338" s="3" t="inlineStr">
        <is>
          <t>IMPIANTO MECCANICO</t>
        </is>
      </c>
      <c r="D338" s="4" t="inlineStr">
        <is>
          <t>SPECIALE</t>
        </is>
      </c>
      <c r="E338" s="4" t="inlineStr">
        <is>
          <t>MECCANICHE SPECIALI</t>
        </is>
      </c>
      <c r="F338" s="3" t="inlineStr">
        <is>
          <t>2_CME_TOTALE MECCANICI RADIOFARMACIA PAVIA.PDF</t>
        </is>
      </c>
      <c r="G338" s="4" t="inlineStr">
        <is>
          <t>100/100</t>
        </is>
      </c>
      <c r="H338" s="3" t="inlineStr">
        <is>
          <t>40 - IMPIANTISTICO</t>
        </is>
      </c>
      <c r="I338" s="3" t="inlineStr">
        <is>
          <t>P. TERRA - PRODUZIONE</t>
        </is>
      </c>
      <c r="J338" s="3" t="inlineStr">
        <is>
          <t>IMPIANTO HVAC</t>
        </is>
      </c>
      <c r="K338" s="3" t="inlineStr">
        <is>
          <t>OPERA: GRIGLIA, DI RIPRESA DI LEGA ALLUMINIO GENERICO; GEOMETRIA: 1 FILARE DI ALETTE FISSE; FUNZIONE: DIFFUSIONE ARIA; IMPIEGO: IMPIANTO DI CLIMATIZZAZIONE; SUPERFICIE FRONTALE [M²] = 0,06 ÷ 0,08. INC</t>
        </is>
      </c>
      <c r="L338" s="3" t="inlineStr">
        <is>
          <t>OPERA: GRIGLIA, DI RIPRESA DI LEGA ALLUMINIO GENERICO; GEOMETRIA: 1 FILARE DI ALETTE FISSE; FUNZIONE: DIFFUSIONE ARIA; IMPIEGO: IMPIANTO DI CLIMATIZZAZIONE; SUPERFICIE FRONTALE [M²] = 0,06 ÷ 0,08. INCLUSO: SERRANDA DI REGOLAZIONE. 
LAVORO: MONTAGGIO. OP GRIGLIA, DI RIPRESA DI LEGA ALLUMINIO GENERICO; GEOMETRIA: 1 FILARE DI ALETTE FISSE; FUNZIONE: DIFFUSIONE ARIA; IMPIEGO: IMPIANTO DI CLIMATIZZAZIONE; SUPERFICIE FRONTALE [M²] = 0,06 ÷ 0,08. INCLUSO: SERRANDA DI REGOLAZIONE. 
RM GRIGLIA DI RIPRESA DI LEGA ALLUMINIO GENERICO; GEOMETRIA: 1 FILARE DI ALETTE FISSE; FUNZIONE: DIFFUSIONE ARIA; IMPIEGO: IMPIANTO DI CLIMATIZZAZIONE; SUPERFICIE FRONTALE [M²] = 0,06 ÷ 0,08. INCLUSO: SERRANDA DI REGOLAZIONE 
LV MONTAGGIO.</t>
        </is>
      </c>
      <c r="M338" s="4" t="inlineStr">
        <is>
          <t>M²</t>
        </is>
      </c>
      <c r="N338" s="5" t="n">
        <v>0.58</v>
      </c>
      <c r="O338" s="6" t="n">
        <v>1381.53</v>
      </c>
      <c r="P338" s="6" t="n">
        <v>801.29</v>
      </c>
      <c r="Q338" s="5" t="n"/>
      <c r="R338" s="6" t="n"/>
      <c r="S338" s="6">
        <f>IF(AND(Q338&lt;&gt;"",R338&lt;&gt;""),Q338*R338,"")</f>
        <v/>
      </c>
      <c r="T338" s="6">
        <f>IF(S338="",P338,S338)</f>
        <v/>
      </c>
      <c r="U338" s="7" t="n">
        <v>0</v>
      </c>
      <c r="V338" s="6">
        <f>$T338*U338</f>
        <v/>
      </c>
      <c r="W338" s="7" t="n">
        <v>0.4</v>
      </c>
      <c r="X338" s="6">
        <f>$T338*W338</f>
        <v/>
      </c>
      <c r="Y338" s="7" t="n">
        <v>0</v>
      </c>
      <c r="Z338" s="6">
        <f>$T338*Y338</f>
        <v/>
      </c>
      <c r="AA338" s="7" t="n">
        <v>0</v>
      </c>
      <c r="AB338" s="6">
        <f>$T338*AA338</f>
        <v/>
      </c>
      <c r="AC338" s="7" t="n">
        <v>0</v>
      </c>
      <c r="AD338" s="6">
        <f>$T338*AC338</f>
        <v/>
      </c>
      <c r="AE338" s="7" t="n">
        <v>0</v>
      </c>
      <c r="AF338" s="6">
        <f>$T338*AE338</f>
        <v/>
      </c>
      <c r="AG338" s="7" t="n">
        <v>0</v>
      </c>
      <c r="AH338" s="6">
        <f>$T338*AG338</f>
        <v/>
      </c>
      <c r="AI338" s="7">
        <f>U338+W338+Y338+AA338+AC338+AE338+AG338</f>
        <v/>
      </c>
      <c r="AJ338" s="6">
        <f>V338+X338+Z338+AB338+AD338+AF338+AH338</f>
        <v/>
      </c>
    </row>
    <row r="339" ht="60" customHeight="1" s="35">
      <c r="A339" s="3" t="inlineStr">
        <is>
          <t>LOM251.OC.EEA.PA29.F8215.SA000.0265</t>
        </is>
      </c>
      <c r="B339" s="4" t="inlineStr">
        <is>
          <t>1/2</t>
        </is>
      </c>
      <c r="C339" s="3" t="inlineStr">
        <is>
          <t>IMPIANTO MECCANICO</t>
        </is>
      </c>
      <c r="D339" s="4" t="inlineStr">
        <is>
          <t>SPECIALE</t>
        </is>
      </c>
      <c r="E339" s="4" t="inlineStr">
        <is>
          <t>MECCANICHE SPECIALI</t>
        </is>
      </c>
      <c r="F339" s="3" t="inlineStr">
        <is>
          <t>2_CME_TOTALE MECCANICI RADIOFARMACIA PAVIA.PDF</t>
        </is>
      </c>
      <c r="G339" s="4" t="inlineStr">
        <is>
          <t>101/101</t>
        </is>
      </c>
      <c r="H339" s="3" t="inlineStr">
        <is>
          <t>40 - IMPIANTISTICO</t>
        </is>
      </c>
      <c r="I339" s="3" t="inlineStr">
        <is>
          <t>P. TERRA - PRODUZIONE</t>
        </is>
      </c>
      <c r="J339" s="3" t="inlineStr">
        <is>
          <t>IMPIANTO HVAC</t>
        </is>
      </c>
      <c r="K339" s="3" t="inlineStr">
        <is>
          <t>OPERA: GRIGLIA, DI RIPRESA DI LEGA ALLUMINIO GENERICO; GEOMETRIA: 1 FILARE DI ALETTE FISSE; FUNZIONE: DIFFUSIONE ARIA; IMPIEGO: IMPIANTO DI CLIMATIZZAZIONE; SUPERFICIE FRONTALE [M²] = 0,09 ÷ 0,12. INC</t>
        </is>
      </c>
      <c r="L339" s="3" t="inlineStr">
        <is>
          <t>OPERA: GRIGLIA, DI RIPRESA DI LEGA ALLUMINIO GENERICO; GEOMETRIA: 1 FILARE DI ALETTE FISSE; FUNZIONE: DIFFUSIONE ARIA; IMPIEGO: IMPIANTO DI CLIMATIZZAZIONE; SUPERFICIE FRONTALE [M²] = 0,09 ÷ 0,12. INCLUSO: SERRANDA DI REGOLAZIONE. 
LAVORO: MONTAGGIO. OP GRIGLIA, DI RIPRESA DI LEGA ALLUMINIO GENERICO; GEOMETRIA: 1 FILARE DI ALETTE FISSE; FUNZIONE: DIFFUSIONE ARIA; IMPIEGO: IMPIANTO DI CLIMATIZZAZIONE; SUPERFICIE FRONTALE [M²] = 0,09 ÷ 0,12. INCLUSO: SERRANDA DI REGOLAZIONE. 
RM GRIGLIA DI RIPRESA DI LEGA ALLUMINIO GENERICO; GEOMETRIA: 1 FILARE DI ALETTE FISSE; FUNZIONE: DIFFUSIONE ARIA; IMPIEGO: IMPIANTO DI CLIMATIZZAZIONE; SUPERFICIE FRONTALE [M²] = 0,09 ÷ 0,12. INCLUSO: SERRANDA DI REGOLAZIONE 
LV MONTAGGIO.</t>
        </is>
      </c>
      <c r="M339" s="4" t="inlineStr">
        <is>
          <t>M²</t>
        </is>
      </c>
      <c r="N339" s="5" t="n">
        <v>0.97</v>
      </c>
      <c r="O339" s="6" t="n">
        <v>1007.98</v>
      </c>
      <c r="P339" s="6" t="n">
        <v>977.74</v>
      </c>
      <c r="Q339" s="5" t="n"/>
      <c r="R339" s="6" t="n"/>
      <c r="S339" s="6">
        <f>IF(AND(Q339&lt;&gt;"",R339&lt;&gt;""),Q339*R339,"")</f>
        <v/>
      </c>
      <c r="T339" s="6">
        <f>IF(S339="",P339,S339)</f>
        <v/>
      </c>
      <c r="U339" s="7" t="n">
        <v>0</v>
      </c>
      <c r="V339" s="6">
        <f>$T339*U339</f>
        <v/>
      </c>
      <c r="W339" s="7" t="n">
        <v>0</v>
      </c>
      <c r="X339" s="6">
        <f>$T339*W339</f>
        <v/>
      </c>
      <c r="Y339" s="7" t="n">
        <v>0</v>
      </c>
      <c r="Z339" s="6">
        <f>$T339*Y339</f>
        <v/>
      </c>
      <c r="AA339" s="7" t="n">
        <v>0</v>
      </c>
      <c r="AB339" s="6">
        <f>$T339*AA339</f>
        <v/>
      </c>
      <c r="AC339" s="7" t="n">
        <v>0</v>
      </c>
      <c r="AD339" s="6">
        <f>$T339*AC339</f>
        <v/>
      </c>
      <c r="AE339" s="7" t="n">
        <v>0</v>
      </c>
      <c r="AF339" s="6">
        <f>$T339*AE339</f>
        <v/>
      </c>
      <c r="AG339" s="7" t="n">
        <v>0</v>
      </c>
      <c r="AH339" s="6">
        <f>$T339*AG339</f>
        <v/>
      </c>
      <c r="AI339" s="7">
        <f>U339+W339+Y339+AA339+AC339+AE339+AG339</f>
        <v/>
      </c>
      <c r="AJ339" s="6">
        <f>V339+X339+Z339+AB339+AD339+AF339+AH339</f>
        <v/>
      </c>
    </row>
    <row r="340" ht="60" customHeight="1" s="35">
      <c r="A340" s="3" t="inlineStr">
        <is>
          <t>LOM251.OC.EEA.PA29.F8215.SA000.0270</t>
        </is>
      </c>
      <c r="B340" s="4" t="inlineStr">
        <is>
          <t>1/1</t>
        </is>
      </c>
      <c r="C340" s="3" t="inlineStr">
        <is>
          <t>IMPIANTO MECCANICO</t>
        </is>
      </c>
      <c r="D340" s="4" t="inlineStr">
        <is>
          <t>SPECIALE</t>
        </is>
      </c>
      <c r="E340" s="4" t="inlineStr">
        <is>
          <t>MECCANICHE SPECIALI</t>
        </is>
      </c>
      <c r="F340" s="3" t="inlineStr">
        <is>
          <t>2_CME_TOTALE MECCANICI RADIOFARMACIA PAVIA.PDF</t>
        </is>
      </c>
      <c r="G340" s="4" t="inlineStr">
        <is>
          <t>102/102</t>
        </is>
      </c>
      <c r="H340" s="3" t="inlineStr">
        <is>
          <t>40 - IMPIANTISTICO</t>
        </is>
      </c>
      <c r="I340" s="3" t="inlineStr">
        <is>
          <t>P. TERRA - PRODUZIONE</t>
        </is>
      </c>
      <c r="J340" s="3" t="inlineStr">
        <is>
          <t>IMPIANTO HVAC</t>
        </is>
      </c>
      <c r="K340" s="3" t="inlineStr">
        <is>
          <t>OPERA: GRIGLIA, DI RIPRESA DI LEGA ALLUMINIO GENERICO; GEOMETRIA: 1 FILARE DI ALETTE FISSE; FUNZIONE: DIFFUSIONE ARIA; IMPIEGO: IMPIANTO DI CLIMATIZZAZIONE; SUPERFICIE FRONTALE [M²] = 0,13 ÷ 0,18. INC</t>
        </is>
      </c>
      <c r="L340" s="3" t="inlineStr">
        <is>
          <t>OPERA: GRIGLIA, DI RIPRESA DI LEGA ALLUMINIO GENERICO; GEOMETRIA: 1 FILARE DI ALETTE FISSE; FUNZIONE: DIFFUSIONE ARIA; IMPIEGO: IMPIANTO DI CLIMATIZZAZIONE; SUPERFICIE FRONTALE [M²] = 0,13 ÷ 0,18. INCLUSO: SERRANDA DI REGOLAZIONE. 
LAVORO: MONTAGGIO. OP GRIGLIA, DI RIPRESA DI LEGA ALLUMINIO GENERICO; GEOMETRIA: 1 FILARE DI ALETTE FISSE; FUNZIONE: DIFFUSIONE ARIA; IMPIEGO: IMPIANTO DI CLIMATIZZAZIONE; SUPERFICIE FRONTALE [M²] = 0,13 ÷ 0,18. INCLUSO: SERRANDA DI REGOLAZIONE. 
RM GRIGLIA DI RIPRESA DI LEGA ALLUMINIO GENERICO; GEOMETRIA: 1 FILARE DI ALETTE FISSE; FUNZIONE: DIFFUSIONE ARIA; IMPIEGO: IMPIANTO DI CLIMATIZZAZIONE; SUPERFICIE FRONTALE [M²] = 0,13 ÷ 0,18. INCLUSO: SERRANDA DI REGOLAZIONE 
LV MONTAGGIO.</t>
        </is>
      </c>
      <c r="M340" s="4" t="inlineStr">
        <is>
          <t>M²</t>
        </is>
      </c>
      <c r="N340" s="5" t="n">
        <v>0.3</v>
      </c>
      <c r="O340" s="6" t="n">
        <v>984.27</v>
      </c>
      <c r="P340" s="6" t="n">
        <v>295.28</v>
      </c>
      <c r="Q340" s="5" t="n"/>
      <c r="R340" s="6" t="n"/>
      <c r="S340" s="6">
        <f>IF(AND(Q340&lt;&gt;"",R340&lt;&gt;""),Q340*R340,"")</f>
        <v/>
      </c>
      <c r="T340" s="6">
        <f>IF(S340="",P340,S340)</f>
        <v/>
      </c>
      <c r="U340" s="7" t="n">
        <v>0</v>
      </c>
      <c r="V340" s="6">
        <f>$T340*U340</f>
        <v/>
      </c>
      <c r="W340" s="7" t="n">
        <v>0</v>
      </c>
      <c r="X340" s="6">
        <f>$T340*W340</f>
        <v/>
      </c>
      <c r="Y340" s="7" t="n">
        <v>0</v>
      </c>
      <c r="Z340" s="6">
        <f>$T340*Y340</f>
        <v/>
      </c>
      <c r="AA340" s="7" t="n">
        <v>0</v>
      </c>
      <c r="AB340" s="6">
        <f>$T340*AA340</f>
        <v/>
      </c>
      <c r="AC340" s="7" t="n">
        <v>0</v>
      </c>
      <c r="AD340" s="6">
        <f>$T340*AC340</f>
        <v/>
      </c>
      <c r="AE340" s="7" t="n">
        <v>0</v>
      </c>
      <c r="AF340" s="6">
        <f>$T340*AE340</f>
        <v/>
      </c>
      <c r="AG340" s="7" t="n">
        <v>0</v>
      </c>
      <c r="AH340" s="6">
        <f>$T340*AG340</f>
        <v/>
      </c>
      <c r="AI340" s="7">
        <f>U340+W340+Y340+AA340+AC340+AE340+AG340</f>
        <v/>
      </c>
      <c r="AJ340" s="6">
        <f>V340+X340+Z340+AB340+AD340+AF340+AH340</f>
        <v/>
      </c>
    </row>
    <row r="341" ht="60" customHeight="1" s="35">
      <c r="A341" s="3" t="inlineStr">
        <is>
          <t>LOM251.OC.EEA.PA29.L6815.ZA001.0000</t>
        </is>
      </c>
      <c r="B341" s="4" t="inlineStr">
        <is>
          <t>1/2</t>
        </is>
      </c>
      <c r="C341" s="3" t="inlineStr">
        <is>
          <t>IMPIANTO MECCANICO</t>
        </is>
      </c>
      <c r="D341" s="4" t="inlineStr">
        <is>
          <t>SPECIALE</t>
        </is>
      </c>
      <c r="E341" s="4" t="inlineStr">
        <is>
          <t>MECCANICHE SPECIALI</t>
        </is>
      </c>
      <c r="F341" s="3" t="inlineStr">
        <is>
          <t>2_CME_TOTALE MECCANICI RADIOFARMACIA PAVIA.PDF</t>
        </is>
      </c>
      <c r="G341" s="4" t="inlineStr">
        <is>
          <t>103/103</t>
        </is>
      </c>
      <c r="H341" s="3" t="inlineStr">
        <is>
          <t>40 - IMPIANTISTICO</t>
        </is>
      </c>
      <c r="I341" s="3" t="inlineStr">
        <is>
          <t>P. TERRA - PRODUZIONE</t>
        </is>
      </c>
      <c r="J341" s="3" t="inlineStr">
        <is>
          <t>IMPIANTO HVAC</t>
        </is>
      </c>
      <c r="K341" s="3" t="inlineStr">
        <is>
          <t>OPERA: SERRANDA TAGLIAFUOCO, CIRCOLARE; FUNZIONE: IMPEDIMENTO PROPAGAZIONE INCENDIO; IMPIEGO: IMPIANTO DI CLIMATIZZAZIONE; DIAMETRO (Ø) [MM] = 200; RESISTENZA AL FUOCO [CLASSE] = REI120. INCLUSO: GUAR</t>
        </is>
      </c>
      <c r="L341" s="3" t="inlineStr">
        <is>
          <t>OPERA: SERRANDA TAGLIAFUOCO, CIRCOLARE; FUNZIONE: IMPEDIMENTO PROPAGAZIONE INCENDIO; IMPIEGO: IMPIANTO DI CLIMATIZZAZIONE; DIAMETRO (Ø) [MM] = 200; RESISTENZA AL FUOCO [CLASSE] = REI120. INCLUSO: GUARNIZIONI TERMOESPANDENTI; DISGIUNTORE PORTAFUSIBILE. 
LAVORO: MONTAGGIO. 
SPECIFICHE TECNICHE: CHIUSURA STANDARD A MOLLA CON LEVA DI RIARMO MANUALE; DISGIUNTORE AD UNA TEMPERATURA [°C] = 72. OP SERRANDA TAGLIAFUOCO, CIRCOLARE; FUNZIONE: IMPEDIMENTO PROPAGAZIONE INCENDIO; IMPIEGO: IMPIANTO DI CLIMATIZZAZIONE; DIAMETRO (Ø) [MM] = 200; RESISTENZA AL FUOCO [CLASSE] = REI120. INCLUSO: GUARNIZIONI TERMOESPANDENTI; DISGIUNTORE PORTAFUSIBILE. 
SPECIFICHE TECNICHE: CHIUSURA STANDARD A MOLLA CON LEVA DI RIARMO MANUALE; DISGIUNTORE AD UNA TEMPERATURA [°C] = 72. 
RM SERRANDA TAGLIAFUOCO CIRCOLARE; FUNZIONE: IMPEDIMENTO PROPAGAZIONE INCENDIO; IMPIEGO: IMPIANTO DI CLIMATIZZAZIONE; DIAMETRO (Ø) [MM] = 200; RESISTENZA AL FUOCO [CLASSE] = REI120. COMPONENTI: INVOLUCRO, PALA. INCLUSO: GUARNIZIONI TERMOESPANDENTI; DISGIUNTORE PORTAFUSIBILE 
SPECIFICHE TECNICHE: CHIUSURA STANDARD A MOLLA CON LEVA DI RIARMO MANUALE; DISGIUNTORE AD UNA TEMPERATURA [°C] = 72 
LV MONTAGGIO.</t>
        </is>
      </c>
      <c r="M341" s="4" t="inlineStr">
        <is>
          <t>CAD</t>
        </is>
      </c>
      <c r="N341" s="5" t="n">
        <v>6</v>
      </c>
      <c r="O341" s="6" t="n">
        <v>201.6</v>
      </c>
      <c r="P341" s="6" t="n">
        <v>1209.6</v>
      </c>
      <c r="Q341" s="5" t="n"/>
      <c r="R341" s="6" t="n"/>
      <c r="S341" s="6">
        <f>IF(AND(Q341&lt;&gt;"",R341&lt;&gt;""),Q341*R341,"")</f>
        <v/>
      </c>
      <c r="T341" s="6">
        <f>IF(S341="",P341,S341)</f>
        <v/>
      </c>
      <c r="U341" s="7" t="n">
        <v>0</v>
      </c>
      <c r="V341" s="6">
        <f>$T341*U341</f>
        <v/>
      </c>
      <c r="W341" s="7" t="n">
        <v>0.6</v>
      </c>
      <c r="X341" s="6">
        <f>$T341*W341</f>
        <v/>
      </c>
      <c r="Y341" s="7" t="n">
        <v>0</v>
      </c>
      <c r="Z341" s="6">
        <f>$T341*Y341</f>
        <v/>
      </c>
      <c r="AA341" s="7" t="n">
        <v>0</v>
      </c>
      <c r="AB341" s="6">
        <f>$T341*AA341</f>
        <v/>
      </c>
      <c r="AC341" s="7" t="n">
        <v>0</v>
      </c>
      <c r="AD341" s="6">
        <f>$T341*AC341</f>
        <v/>
      </c>
      <c r="AE341" s="7" t="n">
        <v>0</v>
      </c>
      <c r="AF341" s="6">
        <f>$T341*AE341</f>
        <v/>
      </c>
      <c r="AG341" s="7" t="n">
        <v>0</v>
      </c>
      <c r="AH341" s="6">
        <f>$T341*AG341</f>
        <v/>
      </c>
      <c r="AI341" s="7">
        <f>U341+W341+Y341+AA341+AC341+AE341+AG341</f>
        <v/>
      </c>
      <c r="AJ341" s="6">
        <f>V341+X341+Z341+AB341+AD341+AF341+AH341</f>
        <v/>
      </c>
    </row>
    <row r="342" ht="60" customHeight="1" s="35">
      <c r="A342" s="3" t="inlineStr">
        <is>
          <t>LOM251.OC.EEA.PA29.L6815.ZA001.0005</t>
        </is>
      </c>
      <c r="B342" s="4" t="inlineStr">
        <is>
          <t>1/1</t>
        </is>
      </c>
      <c r="C342" s="3" t="inlineStr">
        <is>
          <t>IMPIANTO MECCANICO</t>
        </is>
      </c>
      <c r="D342" s="4" t="inlineStr">
        <is>
          <t>SPECIALE</t>
        </is>
      </c>
      <c r="E342" s="4" t="inlineStr">
        <is>
          <t>MECCANICHE SPECIALI</t>
        </is>
      </c>
      <c r="F342" s="3" t="inlineStr">
        <is>
          <t>2_CME_TOTALE MECCANICI RADIOFARMACIA PAVIA.PDF</t>
        </is>
      </c>
      <c r="G342" s="4" t="inlineStr">
        <is>
          <t>104/104</t>
        </is>
      </c>
      <c r="H342" s="3" t="inlineStr">
        <is>
          <t>40 - IMPIANTISTICO</t>
        </is>
      </c>
      <c r="I342" s="3" t="inlineStr">
        <is>
          <t>P. TERRA - PRODUZIONE</t>
        </is>
      </c>
      <c r="J342" s="3" t="inlineStr">
        <is>
          <t>IMPIANTO HVAC</t>
        </is>
      </c>
      <c r="K342" s="3" t="inlineStr">
        <is>
          <t>OPERA: SERRANDA TAGLIAFUOCO, CIRCOLARE; FUNZIONE: IMPEDIMENTO PROPAGAZIONE INCENDIO; IMPIEGO: IMPIANTO DI CLIMATIZZAZIONE; DIAMETRO (Ø) [MM] = 250; RESISTENZA AL FUOCO [CLASSE] = REI120. INCLUSO: GUAR</t>
        </is>
      </c>
      <c r="L342" s="3" t="inlineStr">
        <is>
          <t>OPERA: SERRANDA TAGLIAFUOCO, CIRCOLARE; FUNZIONE: IMPEDIMENTO PROPAGAZIONE INCENDIO; IMPIEGO: IMPIANTO DI CLIMATIZZAZIONE; DIAMETRO (Ø) [MM] = 250; RESISTENZA AL FUOCO [CLASSE] = REI120. INCLUSO: GUARNIZIONI TERMOESPANDENTI; DISGIUNTORE PORTAFUSIBILE. 
LAVORO: MONTAGGIO. 
SPECIFICHE TECNICHE: CHIUSURA STANDARD A MOLLA CON LEVA DI RIARMO MANUALE; DISGIUNTORE AD UNA TEMPERATURA [°C] = 72. OP SERRANDA TAGLIAFUOCO, CIRCOLARE; FUNZIONE: IMPEDIMENTO PROPAGAZIONE INCENDIO; IMPIEGO: IMPIANTO DI CLIMATIZZAZIONE; DIAMETRO (Ø) [MM] = 250; RESISTENZA AL FUOCO [CLASSE] = REI120. INCLUSO: GUARNIZIONI TERMOESPANDENTI; DISGIUNTORE PORTAFUSIBILE. 
SPECIFICHE TECNICHE: CHIUSURA STANDARD A MOLLA CON LEVA DI RIARMO MANUALE; DISGIUNTORE AD UNA TEMPERATURA [°C] = 72. 
RM SERRANDA TAGLIAFUOCO CIRCOLARE; FUNZIONE: IMPEDIMENTO PROPAGAZIONE INCENDIO; IMPIEGO: IMPIANTO DI CLIMATIZZAZIONE; DIAMETRO (Ø) [MM] = 250; RESISTENZA AL FUOCO [CLASSE] = REI120. COMPONENTI: INVOLUCRO, PALA. INCLUSO: GUARNIZIONI TERMOESPANDENTI; DISGIUNTORE PORTAFUSIBILE 
SPECIFICHE TECNICHE: CHIUSURA STANDARD A MOLLA CON LEVA DI RIARMO MANUALE; DISGIUNTORE AD UNA TEMPERATURA [°C] = 72 
LV MONTAGGIO.</t>
        </is>
      </c>
      <c r="M342" s="4" t="inlineStr">
        <is>
          <t>CAD</t>
        </is>
      </c>
      <c r="N342" s="5" t="n">
        <v>2</v>
      </c>
      <c r="O342" s="6" t="n">
        <v>213.46</v>
      </c>
      <c r="P342" s="6" t="n">
        <v>426.92</v>
      </c>
      <c r="Q342" s="5" t="n"/>
      <c r="R342" s="6" t="n"/>
      <c r="S342" s="6">
        <f>IF(AND(Q342&lt;&gt;"",R342&lt;&gt;""),Q342*R342,"")</f>
        <v/>
      </c>
      <c r="T342" s="6">
        <f>IF(S342="",P342,S342)</f>
        <v/>
      </c>
      <c r="U342" s="7" t="n">
        <v>0</v>
      </c>
      <c r="V342" s="6">
        <f>$T342*U342</f>
        <v/>
      </c>
      <c r="W342" s="7" t="n">
        <v>0.6</v>
      </c>
      <c r="X342" s="6">
        <f>$T342*W342</f>
        <v/>
      </c>
      <c r="Y342" s="7" t="n">
        <v>0</v>
      </c>
      <c r="Z342" s="6">
        <f>$T342*Y342</f>
        <v/>
      </c>
      <c r="AA342" s="7" t="n">
        <v>0</v>
      </c>
      <c r="AB342" s="6">
        <f>$T342*AA342</f>
        <v/>
      </c>
      <c r="AC342" s="7" t="n">
        <v>0</v>
      </c>
      <c r="AD342" s="6">
        <f>$T342*AC342</f>
        <v/>
      </c>
      <c r="AE342" s="7" t="n">
        <v>0</v>
      </c>
      <c r="AF342" s="6">
        <f>$T342*AE342</f>
        <v/>
      </c>
      <c r="AG342" s="7" t="n">
        <v>0</v>
      </c>
      <c r="AH342" s="6">
        <f>$T342*AG342</f>
        <v/>
      </c>
      <c r="AI342" s="7">
        <f>U342+W342+Y342+AA342+AC342+AE342+AG342</f>
        <v/>
      </c>
      <c r="AJ342" s="6">
        <f>V342+X342+Z342+AB342+AD342+AF342+AH342</f>
        <v/>
      </c>
    </row>
    <row r="343" ht="60" customHeight="1" s="35">
      <c r="A343" s="3" t="inlineStr">
        <is>
          <t>LOM251.OC.EEA.PA02.F7410.OA015.0350</t>
        </is>
      </c>
      <c r="B343" s="4" t="inlineStr">
        <is>
          <t>1/1</t>
        </is>
      </c>
      <c r="C343" s="3" t="inlineStr">
        <is>
          <t>IMPIANTO MECCANICO</t>
        </is>
      </c>
      <c r="D343" s="4" t="inlineStr">
        <is>
          <t>SPECIALE</t>
        </is>
      </c>
      <c r="E343" s="4" t="inlineStr">
        <is>
          <t>MECCANICHE SPECIALI</t>
        </is>
      </c>
      <c r="F343" s="3" t="inlineStr">
        <is>
          <t>2_CME_TOTALE MECCANICI RADIOFARMACIA PAVIA.PDF</t>
        </is>
      </c>
      <c r="G343" s="4" t="inlineStr">
        <is>
          <t>105/105</t>
        </is>
      </c>
      <c r="H343" s="3" t="inlineStr">
        <is>
          <t>40 - IMPIANTISTICO</t>
        </is>
      </c>
      <c r="I343" s="3" t="inlineStr">
        <is>
          <t>P. TERRA - PRODUZIONE</t>
        </is>
      </c>
      <c r="J343" s="3" t="inlineStr">
        <is>
          <t>IMPIANTO HVAC</t>
        </is>
      </c>
      <c r="K343" s="3" t="inlineStr">
        <is>
          <t>OPERA: CONDOTTO DI FIBRA SINTETICA TESSILE; FINITURA: RESINA SINTETICA POLIVINILCLORURO (PVC); GEOMETRIA: FLESSIBILE; FUNZIONE: DISTRIBUZIONE ARIA; IMPIEGO: IMPIANTO DI CLIMATIZZAZIONE; DIAMETRO (Ø) [</t>
        </is>
      </c>
      <c r="L343" s="3" t="inlineStr">
        <is>
          <t>OPERA: CONDOTTO DI FIBRA SINTETICA TESSILE; FINITURA: RESINA SINTETICA POLIVINILCLORURO (PVC); GEOMETRIA: FLESSIBILE; FUNZIONE: DISTRIBUZIONE ARIA; IMPIEGO: IMPIANTO DI CLIMATIZZAZIONE; DIAMETRO (Ø) [MM] = 200. 
LAVORO: POSA. 
SPECIFICHE TECNICHE: ISOLATO; IMPREGNATO IN RESINA SINTETICA POLIVINILCLORURO (PVC); STRATO ESTERNO BARRIERA AL VAPORE DI RESINA SINTETICA POLIVINILCLORURO (PVC). OP CONDOTTO DI FIBRA SINTETICA TESSILE; FINITURA: RESINA SINTETICA POLIVINILCLORURO (PVC); GEOMETRIA: FLESSIBILE; FUNZIONE: DISTRIBUZIONE ARIA; IMPIEGO: IMPIANTO DI CLIMATIZZAZIONE; DIAMETRO (Ø) [MM] = 200. 
SPECIFICHE TECNICHE: ISOLATO; IMPREGNATO IN RESINA SINTETICA POLIVINILCLORURO (PVC); STRATO ESTERNO BARRIERA AL VAPORE DI RESINA SINTETICA POLIVINILCLORURO (PVC). 
RM CONDOTTO DI FIBRA SINTETICA TESSILE; FINITURA: RESINA SINTETICA POLIVINILCLORURO (PVC); GEOMETRIA: FLESSIBILE; FUNZIONE: DISTRIBUZIONE ARIA; IMPIEGO: IMPIANTO DI CLIMATIZZAZIONE; DIAMETRO (Ø) [MM] = 200. COMPONENTE: LASTRA,  
SPECIFICHE TECNICHE: ISOLATO; IMPREGNATO IN RESINA SINTETICA POLIVINILCLORURO (PVC); STRATO ESTERNO BARRIERA AL VAPORE DI RESINA SINTETICA POLIVINILCLORURO (PVC) 
LV POSA.</t>
        </is>
      </c>
      <c r="M343" s="4" t="inlineStr">
        <is>
          <t>M</t>
        </is>
      </c>
      <c r="N343" s="5" t="n">
        <v>30</v>
      </c>
      <c r="O343" s="6" t="n">
        <v>6.64</v>
      </c>
      <c r="P343" s="6" t="n">
        <v>199.2</v>
      </c>
      <c r="Q343" s="5" t="n"/>
      <c r="R343" s="6" t="n"/>
      <c r="S343" s="6">
        <f>IF(AND(Q343&lt;&gt;"",R343&lt;&gt;""),Q343*R343,"")</f>
        <v/>
      </c>
      <c r="T343" s="6">
        <f>IF(S343="",P343,S343)</f>
        <v/>
      </c>
      <c r="U343" s="7" t="n">
        <v>0</v>
      </c>
      <c r="V343" s="6">
        <f>$T343*U343</f>
        <v/>
      </c>
      <c r="W343" s="7" t="n">
        <v>0</v>
      </c>
      <c r="X343" s="6">
        <f>$T343*W343</f>
        <v/>
      </c>
      <c r="Y343" s="7" t="n">
        <v>0</v>
      </c>
      <c r="Z343" s="6">
        <f>$T343*Y343</f>
        <v/>
      </c>
      <c r="AA343" s="7" t="n">
        <v>0</v>
      </c>
      <c r="AB343" s="6">
        <f>$T343*AA343</f>
        <v/>
      </c>
      <c r="AC343" s="7" t="n">
        <v>0</v>
      </c>
      <c r="AD343" s="6">
        <f>$T343*AC343</f>
        <v/>
      </c>
      <c r="AE343" s="7" t="n">
        <v>0</v>
      </c>
      <c r="AF343" s="6">
        <f>$T343*AE343</f>
        <v/>
      </c>
      <c r="AG343" s="7" t="n">
        <v>0</v>
      </c>
      <c r="AH343" s="6">
        <f>$T343*AG343</f>
        <v/>
      </c>
      <c r="AI343" s="7">
        <f>U343+W343+Y343+AA343+AC343+AE343+AG343</f>
        <v/>
      </c>
      <c r="AJ343" s="6">
        <f>V343+X343+Z343+AB343+AD343+AF343+AH343</f>
        <v/>
      </c>
    </row>
    <row r="344" ht="60" customHeight="1" s="35">
      <c r="A344" s="3" t="inlineStr">
        <is>
          <t>LOM251.OC.EEA.PA02.F7410.OA015.0285</t>
        </is>
      </c>
      <c r="B344" s="4" t="inlineStr">
        <is>
          <t>3/4</t>
        </is>
      </c>
      <c r="C344" s="3" t="inlineStr">
        <is>
          <t>IMPIANTO MECCANICO</t>
        </is>
      </c>
      <c r="D344" s="4" t="inlineStr">
        <is>
          <t>SPECIALE</t>
        </is>
      </c>
      <c r="E344" s="4" t="inlineStr">
        <is>
          <t>MECCANICHE SPECIALI</t>
        </is>
      </c>
      <c r="F344" s="3" t="inlineStr">
        <is>
          <t>2_CME_TOTALE MECCANICI RADIOFARMACIA PAVIA.PDF</t>
        </is>
      </c>
      <c r="G344" s="4" t="inlineStr">
        <is>
          <t>106/106</t>
        </is>
      </c>
      <c r="H344" s="3" t="inlineStr">
        <is>
          <t>40 - IMPIANTISTICO</t>
        </is>
      </c>
      <c r="I344" s="3" t="inlineStr">
        <is>
          <t>P. TERRA - PRODUZIONE</t>
        </is>
      </c>
      <c r="J344" s="3" t="inlineStr">
        <is>
          <t>IMPIANTO HVAC</t>
        </is>
      </c>
      <c r="K344" s="3" t="inlineStr">
        <is>
          <t xml:space="preserve">OPERA: CONDOTTO DI FIBRA SINTETICA TESSILE; GEOMETRIA: FLESSIBILE; FUNZIONE: DISTRIBUZIONE ARIA; IMPIEGO: IMPIANTO DI CLIMATIZZAZIONE; DIAMETRO (Ø) [MM] = 200. </t>
        </is>
      </c>
      <c r="L344" s="3" t="inlineStr">
        <is>
          <t>OPERA: CONDOTTO DI FIBRA SINTETICA TESSILE; GEOMETRIA: FLESSIBILE; FUNZIONE: DISTRIBUZIONE ARIA; IMPIEGO: IMPIANTO DI CLIMATIZZAZIONE; DIAMETRO (Ø) [MM] = 200. 
LAVORO: POSA. 
SPECIFICHE TECNICHE: NON ISOLATO; IMPREGNATO IN RESINA SINTETICA POLIVINILCLORURO (PVC). OP CONDOTTO DI FIBRA SINTETICA TESSILE; GEOMETRIA: FLESSIBILE; FUNZIONE: DISTRIBUZIONE ARIA; IMPIEGO: IMPIANTO DI CLIMATIZZAZIONE; DIAMETRO (Ø) [MM] = 200. 
SPECIFICHE TECNICHE: NON ISOLATO; IMPREGNATO IN RESINA SINTETICA POLIVINILCLORURO (PVC). 
RM CONDOTTO DI FIBRA SINTETICA TESSILE; GEOMETRIA: FLESSIBILE; FUNZIONE: DISTRIBUZIONE ARIA; IMPIEGO: IMPIANTO DI CLIMATIZZAZIONE; DIAMETRO (Ø) [MM] = 200 
SPECIFICHE TECNICHE: NON ISOLATO; IMPREGNATO IN RESINA SINTETICA POLIVINILCLORURO (PVC) 
LV POSA.</t>
        </is>
      </c>
      <c r="M344" s="4" t="inlineStr">
        <is>
          <t>M</t>
        </is>
      </c>
      <c r="N344" s="5" t="n">
        <v>30</v>
      </c>
      <c r="O344" s="6" t="n">
        <v>7.48</v>
      </c>
      <c r="P344" s="6" t="n">
        <v>224.4</v>
      </c>
      <c r="Q344" s="5" t="n"/>
      <c r="R344" s="6" t="n"/>
      <c r="S344" s="6">
        <f>IF(AND(Q344&lt;&gt;"",R344&lt;&gt;""),Q344*R344,"")</f>
        <v/>
      </c>
      <c r="T344" s="6">
        <f>IF(S344="",P344,S344)</f>
        <v/>
      </c>
      <c r="U344" s="7" t="n">
        <v>0</v>
      </c>
      <c r="V344" s="6">
        <f>$T344*U344</f>
        <v/>
      </c>
      <c r="W344" s="7" t="n">
        <v>0</v>
      </c>
      <c r="X344" s="6">
        <f>$T344*W344</f>
        <v/>
      </c>
      <c r="Y344" s="7" t="n">
        <v>0</v>
      </c>
      <c r="Z344" s="6">
        <f>$T344*Y344</f>
        <v/>
      </c>
      <c r="AA344" s="7" t="n">
        <v>0</v>
      </c>
      <c r="AB344" s="6">
        <f>$T344*AA344</f>
        <v/>
      </c>
      <c r="AC344" s="7" t="n">
        <v>0</v>
      </c>
      <c r="AD344" s="6">
        <f>$T344*AC344</f>
        <v/>
      </c>
      <c r="AE344" s="7" t="n">
        <v>0</v>
      </c>
      <c r="AF344" s="6">
        <f>$T344*AE344</f>
        <v/>
      </c>
      <c r="AG344" s="7" t="n">
        <v>0</v>
      </c>
      <c r="AH344" s="6">
        <f>$T344*AG344</f>
        <v/>
      </c>
      <c r="AI344" s="7">
        <f>U344+W344+Y344+AA344+AC344+AE344+AG344</f>
        <v/>
      </c>
      <c r="AJ344" s="6">
        <f>V344+X344+Z344+AB344+AD344+AF344+AH344</f>
        <v/>
      </c>
    </row>
    <row r="345" ht="60" customHeight="1" s="35">
      <c r="A345" s="3" t="inlineStr">
        <is>
          <t>LOM251.OC.EEA.PA02.I7407.SB038.0315</t>
        </is>
      </c>
      <c r="B345" s="4" t="inlineStr">
        <is>
          <t>2/2</t>
        </is>
      </c>
      <c r="C345" s="3" t="inlineStr">
        <is>
          <t>IMPIANTO MECCANICO</t>
        </is>
      </c>
      <c r="D345" s="4" t="inlineStr">
        <is>
          <t>SPECIALE</t>
        </is>
      </c>
      <c r="E345" s="4" t="inlineStr">
        <is>
          <t>MECCANICHE SPECIALI</t>
        </is>
      </c>
      <c r="F345" s="3" t="inlineStr">
        <is>
          <t>2_CME_TOTALE MECCANICI RADIOFARMACIA PAVIA.PDF</t>
        </is>
      </c>
      <c r="G345" s="4" t="inlineStr">
        <is>
          <t>107/107</t>
        </is>
      </c>
      <c r="H345" s="3" t="inlineStr">
        <is>
          <t>40 - IMPIANTISTICO</t>
        </is>
      </c>
      <c r="I345" s="3" t="inlineStr">
        <is>
          <t>P. TERRA - PRODUZIONE</t>
        </is>
      </c>
      <c r="J345" s="3" t="inlineStr">
        <is>
          <t>IMPIANTO HVAC</t>
        </is>
      </c>
      <c r="K345" s="3" t="inlineStr">
        <is>
          <t xml:space="preserve">OPERA: TUBAZIONE DI LEGA FERROSA ACCIAIO NERO; FUNZIONE: DISTRIBUZIONE ACQUA; IMPIEGO: RETE IDRICA; DIAMETRO NOMINALE (Ø) [MM] = 65 | SPESSORE [MM] = 2,9. </t>
        </is>
      </c>
      <c r="L345" s="3" t="inlineStr">
        <is>
          <t>OPERA: TUBAZIONE DI LEGA FERROSA ACCIAIO NERO; FUNZIONE: DISTRIBUZIONE ACQUA; IMPIEGO: RETE IDRICA; DIAMETRO NOMINALE (Ø) [MM] = 65 | SPESSORE [MM] = 2,9. 
LAVORO: POSA. 
SPECIFICHE TECNICHE: TUBO SENZA SALDATURA. OP TUBAZIONE DI LEGA FERROSA ACCIAIO NERO; FUNZIONE: DISTRIBUZIONE ACQUA; IMPIEGO: RETE IDRICA; DIAMETRO NOMINALE (Ø) [MM] = 65 | SPESSORE [MM] = 2,9. 
SPECIFICHE TECNICHE: TUBO SENZA SALDATURA. 
RM TUBO DI LEGA FERROSA ACCIAIO NERO; FUNZIONE: DISTRIBUZIONE ACQUA; IMPIEGO: RETE IDRICA; DIAMETRO NOMINALE (Ø) [MM] = 65 | SPESSORE [MM] = 2,9 
SPECIFICHE TECNICHE: TUBO SENZA SALDATURA 
LV POSA.</t>
        </is>
      </c>
      <c r="M345" s="4" t="inlineStr">
        <is>
          <t>M</t>
        </is>
      </c>
      <c r="N345" s="5" t="n">
        <v>30</v>
      </c>
      <c r="O345" s="6" t="n">
        <v>46.47</v>
      </c>
      <c r="P345" s="6" t="n">
        <v>1394.1</v>
      </c>
      <c r="Q345" s="5" t="n"/>
      <c r="R345" s="6" t="n"/>
      <c r="S345" s="6">
        <f>IF(AND(Q345&lt;&gt;"",R345&lt;&gt;""),Q345*R345,"")</f>
        <v/>
      </c>
      <c r="T345" s="6">
        <f>IF(S345="",P345,S345)</f>
        <v/>
      </c>
      <c r="U345" s="7" t="n">
        <v>0</v>
      </c>
      <c r="V345" s="6">
        <f>$T345*U345</f>
        <v/>
      </c>
      <c r="W345" s="7" t="n">
        <v>0.4</v>
      </c>
      <c r="X345" s="6">
        <f>$T345*W345</f>
        <v/>
      </c>
      <c r="Y345" s="7" t="n">
        <v>0</v>
      </c>
      <c r="Z345" s="6">
        <f>$T345*Y345</f>
        <v/>
      </c>
      <c r="AA345" s="7" t="n">
        <v>0</v>
      </c>
      <c r="AB345" s="6">
        <f>$T345*AA345</f>
        <v/>
      </c>
      <c r="AC345" s="7" t="n">
        <v>0</v>
      </c>
      <c r="AD345" s="6">
        <f>$T345*AC345</f>
        <v/>
      </c>
      <c r="AE345" s="7" t="n">
        <v>0</v>
      </c>
      <c r="AF345" s="6">
        <f>$T345*AE345</f>
        <v/>
      </c>
      <c r="AG345" s="7" t="n">
        <v>0</v>
      </c>
      <c r="AH345" s="6">
        <f>$T345*AG345</f>
        <v/>
      </c>
      <c r="AI345" s="7">
        <f>U345+W345+Y345+AA345+AC345+AE345+AG345</f>
        <v/>
      </c>
      <c r="AJ345" s="6">
        <f>V345+X345+Z345+AB345+AD345+AF345+AH345</f>
        <v/>
      </c>
    </row>
    <row r="346" ht="60" customHeight="1" s="35">
      <c r="A346" s="3" t="inlineStr">
        <is>
          <t>LOM251.OC.EEA.PA02.I7407.SB038.0305</t>
        </is>
      </c>
      <c r="B346" s="4" t="inlineStr">
        <is>
          <t>2/2</t>
        </is>
      </c>
      <c r="C346" s="3" t="inlineStr">
        <is>
          <t>IMPIANTO MECCANICO</t>
        </is>
      </c>
      <c r="D346" s="4" t="inlineStr">
        <is>
          <t>SPECIALE</t>
        </is>
      </c>
      <c r="E346" s="4" t="inlineStr">
        <is>
          <t>MECCANICHE SPECIALI</t>
        </is>
      </c>
      <c r="F346" s="3" t="inlineStr">
        <is>
          <t>2_CME_TOTALE MECCANICI RADIOFARMACIA PAVIA.PDF</t>
        </is>
      </c>
      <c r="G346" s="4" t="inlineStr">
        <is>
          <t>108/108</t>
        </is>
      </c>
      <c r="H346" s="3" t="inlineStr">
        <is>
          <t>40 - IMPIANTISTICO</t>
        </is>
      </c>
      <c r="I346" s="3" t="inlineStr">
        <is>
          <t>P. TERRA - PRODUZIONE</t>
        </is>
      </c>
      <c r="J346" s="3" t="inlineStr">
        <is>
          <t>IMPIANTO HVAC</t>
        </is>
      </c>
      <c r="K346" s="3" t="inlineStr">
        <is>
          <t xml:space="preserve">OPERA: TUBAZIONE DI LEGA FERROSA ACCIAIO NERO; FUNZIONE: DISTRIBUZIONE ACQUA; IMPIEGO: RETE IDRICA; DIAMETRO NOMINALE (Ø) [MM] = 40 | SPESSORE [MM] = 2,6. </t>
        </is>
      </c>
      <c r="L346" s="3" t="inlineStr">
        <is>
          <t>OPERA: TUBAZIONE DI LEGA FERROSA ACCIAIO NERO; FUNZIONE: DISTRIBUZIONE ACQUA; IMPIEGO: RETE IDRICA; DIAMETRO NOMINALE (Ø) [MM] = 40 | SPESSORE [MM] = 2,6. 
LAVORO: POSA. 
SPECIFICHE TECNICHE: TUBO SENZA SALDATURA. OP TUBAZIONE DI LEGA FERROSA ACCIAIO NERO; FUNZIONE: DISTRIBUZIONE ACQUA; IMPIEGO: RETE IDRICA; DIAMETRO NOMINALE (Ø) [MM] = 40 | SPESSORE [MM] = 2,6. 
SPECIFICHE TECNICHE: TUBO SENZA SALDATURA. 
RM TUBO DI LEGA FERROSA ACCIAIO NERO; FUNZIONE: DISTRIBUZIONE ACQUA; IMPIEGO: RETE IDRICA; DIAMETRO NOMINALE (Ø) [MM] = 40 | SPESSORE [MM] = 2,6 
SPECIFICHE TECNICHE: TUBO SENZA SALDATURA 
LV POSA.</t>
        </is>
      </c>
      <c r="M346" s="4" t="inlineStr">
        <is>
          <t>M</t>
        </is>
      </c>
      <c r="N346" s="5" t="n">
        <v>40</v>
      </c>
      <c r="O346" s="6" t="n">
        <v>36.2</v>
      </c>
      <c r="P346" s="6" t="n">
        <v>1448</v>
      </c>
      <c r="Q346" s="5" t="n"/>
      <c r="R346" s="6" t="n"/>
      <c r="S346" s="6">
        <f>IF(AND(Q346&lt;&gt;"",R346&lt;&gt;""),Q346*R346,"")</f>
        <v/>
      </c>
      <c r="T346" s="6">
        <f>IF(S346="",P346,S346)</f>
        <v/>
      </c>
      <c r="U346" s="7" t="n">
        <v>0</v>
      </c>
      <c r="V346" s="6">
        <f>$T346*U346</f>
        <v/>
      </c>
      <c r="W346" s="7" t="n">
        <v>0.4</v>
      </c>
      <c r="X346" s="6">
        <f>$T346*W346</f>
        <v/>
      </c>
      <c r="Y346" s="7" t="n">
        <v>0</v>
      </c>
      <c r="Z346" s="6">
        <f>$T346*Y346</f>
        <v/>
      </c>
      <c r="AA346" s="7" t="n">
        <v>0</v>
      </c>
      <c r="AB346" s="6">
        <f>$T346*AA346</f>
        <v/>
      </c>
      <c r="AC346" s="7" t="n">
        <v>0</v>
      </c>
      <c r="AD346" s="6">
        <f>$T346*AC346</f>
        <v/>
      </c>
      <c r="AE346" s="7" t="n">
        <v>0</v>
      </c>
      <c r="AF346" s="6">
        <f>$T346*AE346</f>
        <v/>
      </c>
      <c r="AG346" s="7" t="n">
        <v>0</v>
      </c>
      <c r="AH346" s="6">
        <f>$T346*AG346</f>
        <v/>
      </c>
      <c r="AI346" s="7">
        <f>U346+W346+Y346+AA346+AC346+AE346+AG346</f>
        <v/>
      </c>
      <c r="AJ346" s="6">
        <f>V346+X346+Z346+AB346+AD346+AF346+AH346</f>
        <v/>
      </c>
    </row>
    <row r="347" ht="60" customHeight="1" s="35">
      <c r="A347" s="3" t="inlineStr">
        <is>
          <t>LOM251.OC.EEA.PA02.I1500.E0011.0160</t>
        </is>
      </c>
      <c r="B347" s="4" t="inlineStr">
        <is>
          <t>3/3</t>
        </is>
      </c>
      <c r="C347" s="3" t="inlineStr">
        <is>
          <t>IMPIANTO MECCANICO</t>
        </is>
      </c>
      <c r="D347" s="4" t="inlineStr">
        <is>
          <t>SPECIALE</t>
        </is>
      </c>
      <c r="E347" s="4" t="inlineStr">
        <is>
          <t>MECCANICHE SPECIALI</t>
        </is>
      </c>
      <c r="F347" s="3" t="inlineStr">
        <is>
          <t>2_CME_TOTALE MECCANICI RADIOFARMACIA PAVIA.PDF</t>
        </is>
      </c>
      <c r="G347" s="4" t="inlineStr">
        <is>
          <t>109/109</t>
        </is>
      </c>
      <c r="H347" s="3" t="inlineStr">
        <is>
          <t>40 - IMPIANTISTICO</t>
        </is>
      </c>
      <c r="I347" s="3" t="inlineStr">
        <is>
          <t>P. TERRA - PRODUZIONE</t>
        </is>
      </c>
      <c r="J347" s="3" t="inlineStr">
        <is>
          <t>IMPIANTO HVAC</t>
        </is>
      </c>
      <c r="K347" s="3" t="inlineStr">
        <is>
          <t>OPERA: LASTRA DI GOMMA ELASTOMERICA ESPANSA A CELLULE CHIUSE; FUNZIONE: COIBENTAZIONE; IMPIEGO: TUBAZIONE; SPESSORE MINIMO LASTRA [MM] = 19 | SPESSORE MINIMO ELASTOMERO PER IL DIAMETRO ESTERNO TUBO [M</t>
        </is>
      </c>
      <c r="L347" s="3" t="inlineStr">
        <is>
          <t>OPERA: LASTRA DI GOMMA ELASTOMERICA ESPANSA A CELLULE CHIUSE; FUNZIONE: COIBENTAZIONE; IMPIEGO: TUBAZIONE; SPESSORE MINIMO LASTRA [MM] = 19 | SPESSORE MINIMO ELASTOMERO PER IL DIAMETRO ESTERNO TUBO [MM] = 76 | DIAMETRO NOMINALE TUBAZIONE [MM] = 65; RESISTENZA ALLA FIAMMA [CLASSE] = 1; FATTORE DI PERMEABILITÀ (Μ) MINIMO [-] = 4000. 
LAVORO: POSA. 
SPECIFICHE TECNICHE: GOMMA ELASTOMERICA ESPANSA A CELLULE CHIUSE SENZA ALOGENI NÉ PVC. OP LASTRA DI GOMMA ELASTOMERICA ESPANSA A CELLULE CHIUSE; FUNZIONE: COIBENTAZIONE; IMPIEGO: TUBAZIONE; SPESSORE MINIMO LASTRA [MM] = 19 | SPESSORE MINIMO ELASTOMERO PER IL DIAMETRO ESTERNO TUBO [MM] = 76 | DIAMETRO NOMINALE TUBAZIONE [MM] = 65; RESISTENZA ALLA FIAMMA [CLASSE] = 1; FATTORE DI PERMEABILITÀ (Μ) MINIMO [-] = 4000. 
SPECIFICHE TECNICHE: GOMMA ELASTOMERICA ESPANSA A CELLULE CHIUSE SENZA ALOGENI NÉ PVC. 
RM LASTRA DI GOMMA ESPANSA A CELLULE CHIUSE; FUNZIONE: COIBENTAZIONE; IMPIEGO: TUBAZIONE; SPESSORE MINIMO LASTRA [MM] = 19 | SPESSORE MINIMO ELASTOMERO PER IL DIAMETRO ESTERNO TUBO [MM] = 76 | DIAMETRO NOMINALE TUBAZIONE [MM] = 65; RESISTENZA ALLA FIAMMA [CLASSE] = 1; FATTORE DI PERMEABILITÀ (Μ) MINIMO [-] = 4000 
SPECIFICHE TECNICHE: GOMMA ELASTOMERICA ESPANSA A CELLULE CHIUSE SENZA ALOGENI NÉ PVC 
LV POSA.</t>
        </is>
      </c>
      <c r="M347" s="4" t="inlineStr">
        <is>
          <t>M</t>
        </is>
      </c>
      <c r="N347" s="5" t="n">
        <v>30</v>
      </c>
      <c r="O347" s="6" t="n">
        <v>11.78</v>
      </c>
      <c r="P347" s="6" t="n">
        <v>353.4</v>
      </c>
      <c r="Q347" s="5" t="n"/>
      <c r="R347" s="6" t="n"/>
      <c r="S347" s="6">
        <f>IF(AND(Q347&lt;&gt;"",R347&lt;&gt;""),Q347*R347,"")</f>
        <v/>
      </c>
      <c r="T347" s="6">
        <f>IF(S347="",P347,S347)</f>
        <v/>
      </c>
      <c r="U347" s="7" t="n">
        <v>0</v>
      </c>
      <c r="V347" s="6">
        <f>$T347*U347</f>
        <v/>
      </c>
      <c r="W347" s="7" t="n">
        <v>0</v>
      </c>
      <c r="X347" s="6">
        <f>$T347*W347</f>
        <v/>
      </c>
      <c r="Y347" s="7" t="n">
        <v>0</v>
      </c>
      <c r="Z347" s="6">
        <f>$T347*Y347</f>
        <v/>
      </c>
      <c r="AA347" s="7" t="n">
        <v>0</v>
      </c>
      <c r="AB347" s="6">
        <f>$T347*AA347</f>
        <v/>
      </c>
      <c r="AC347" s="7" t="n">
        <v>0</v>
      </c>
      <c r="AD347" s="6">
        <f>$T347*AC347</f>
        <v/>
      </c>
      <c r="AE347" s="7" t="n">
        <v>0</v>
      </c>
      <c r="AF347" s="6">
        <f>$T347*AE347</f>
        <v/>
      </c>
      <c r="AG347" s="7" t="n">
        <v>0</v>
      </c>
      <c r="AH347" s="6">
        <f>$T347*AG347</f>
        <v/>
      </c>
      <c r="AI347" s="7">
        <f>U347+W347+Y347+AA347+AC347+AE347+AG347</f>
        <v/>
      </c>
      <c r="AJ347" s="6">
        <f>V347+X347+Z347+AB347+AD347+AF347+AH347</f>
        <v/>
      </c>
    </row>
    <row r="348" ht="60" customHeight="1" s="35">
      <c r="A348" s="3" t="inlineStr">
        <is>
          <t>LOM251.OC.EEA.PA02.I1500.E0011.0145</t>
        </is>
      </c>
      <c r="B348" s="4" t="inlineStr">
        <is>
          <t>2/3</t>
        </is>
      </c>
      <c r="C348" s="3" t="inlineStr">
        <is>
          <t>IMPIANTO MECCANICO</t>
        </is>
      </c>
      <c r="D348" s="4" t="inlineStr">
        <is>
          <t>SPECIALE</t>
        </is>
      </c>
      <c r="E348" s="4" t="inlineStr">
        <is>
          <t>MECCANICHE SPECIALI</t>
        </is>
      </c>
      <c r="F348" s="3" t="inlineStr">
        <is>
          <t>2_CME_TOTALE MECCANICI RADIOFARMACIA PAVIA.PDF</t>
        </is>
      </c>
      <c r="G348" s="4" t="inlineStr">
        <is>
          <t>110/110</t>
        </is>
      </c>
      <c r="H348" s="3" t="inlineStr">
        <is>
          <t>40 - IMPIANTISTICO</t>
        </is>
      </c>
      <c r="I348" s="3" t="inlineStr">
        <is>
          <t>P. TERRA - PRODUZIONE</t>
        </is>
      </c>
      <c r="J348" s="3" t="inlineStr">
        <is>
          <t>IMPIANTO HVAC</t>
        </is>
      </c>
      <c r="K348" s="3" t="inlineStr">
        <is>
          <t>OPERA: LASTRA DI GOMMA ELASTOMERICA ESPANSA A CELLULE CHIUSE; FUNZIONE: COIBENTAZIONE; IMPIEGO: TUBAZIONE; SPESSORE MINIMO LASTRA [MM] = 19 | SPESSORE MINIMO ELASTOMERO PER IL DIAMETRO ESTERNO TUBO [M</t>
        </is>
      </c>
      <c r="L348" s="3" t="inlineStr">
        <is>
          <t>OPERA: LASTRA DI GOMMA ELASTOMERICA ESPANSA A CELLULE CHIUSE; FUNZIONE: COIBENTAZIONE; IMPIEGO: TUBAZIONE; SPESSORE MINIMO LASTRA [MM] = 19 | SPESSORE MINIMO ELASTOMERO PER IL DIAMETRO ESTERNO TUBO [MM] = 42 | DIAMETRO NOMINALE TUBAZIONE [MM] = 32; RESISTENZA ALLA FIAMMA [CLASSE] = 1; FATTORE DI PERMEABILITÀ (Μ) MINIMO [-] = 4000. 
LAVORO: POSA. 
SPECIFICHE TECNICHE: GOMMA ELASTOMERICA ESPANSA A CELLULE CHIUSE SENZA ALOGENI NÉ PVC. OP LASTRA DI GOMMA ELASTOMERICA ESPANSA A CELLULE CHIUSE; FUNZIONE: COIBENTAZIONE; IMPIEGO: TUBAZIONE; SPESSORE MINIMO LASTRA [MM] = 19 | SPESSORE MINIMO ELASTOMERO PER IL DIAMETRO ESTERNO TUBO [MM] = 42 | DIAMETRO NOMINALE TUBAZIONE [MM] = 32; RESISTENZA ALLA FIAMMA [CLASSE] = 1; FATTORE DI PERMEABILITÀ (Μ) MINIMO [-] = 4000. 
SPECIFICHE TECNICHE: GOMMA ELASTOMERICA ESPANSA A CELLULE CHIUSE SENZA ALOGENI NÉ PVC. 
RM LASTRA DI GOMMA ESPANSA A CELLULE CHIUSE; FUNZIONE: COIBENTAZIONE; IMPIEGO: TUBAZIONE; SPESSORE MINIMO LASTRA [MM] = 19 | SPESSORE MINIMO ELASTOMERO PER IL DIAMETRO ESTERNO TUBO [MM] = 42 | DIAMETRO NOMINALE TUBAZIONE [MM] = 32; RESISTENZA ALLA FIAMMA [CLASSE] = 1; FATTORE DI PERMEABILITÀ (Μ) MINIMO [-] = 4000 
SPECIFICHE TECNICHE: GOMMA ELASTOMERICA ESPANSA A CELLULE CHIUSE SENZA ALOGENI NÉ PVC 
LV POSA.</t>
        </is>
      </c>
      <c r="M348" s="4" t="inlineStr">
        <is>
          <t>M</t>
        </is>
      </c>
      <c r="N348" s="5" t="n">
        <v>40</v>
      </c>
      <c r="O348" s="6" t="n">
        <v>8.960000000000001</v>
      </c>
      <c r="P348" s="6" t="n">
        <v>358.4</v>
      </c>
      <c r="Q348" s="5" t="n"/>
      <c r="R348" s="6" t="n"/>
      <c r="S348" s="6">
        <f>IF(AND(Q348&lt;&gt;"",R348&lt;&gt;""),Q348*R348,"")</f>
        <v/>
      </c>
      <c r="T348" s="6">
        <f>IF(S348="",P348,S348)</f>
        <v/>
      </c>
      <c r="U348" s="7" t="n">
        <v>0</v>
      </c>
      <c r="V348" s="6">
        <f>$T348*U348</f>
        <v/>
      </c>
      <c r="W348" s="7" t="n">
        <v>0</v>
      </c>
      <c r="X348" s="6">
        <f>$T348*W348</f>
        <v/>
      </c>
      <c r="Y348" s="7" t="n">
        <v>0</v>
      </c>
      <c r="Z348" s="6">
        <f>$T348*Y348</f>
        <v/>
      </c>
      <c r="AA348" s="7" t="n">
        <v>0</v>
      </c>
      <c r="AB348" s="6">
        <f>$T348*AA348</f>
        <v/>
      </c>
      <c r="AC348" s="7" t="n">
        <v>0</v>
      </c>
      <c r="AD348" s="6">
        <f>$T348*AC348</f>
        <v/>
      </c>
      <c r="AE348" s="7" t="n">
        <v>0</v>
      </c>
      <c r="AF348" s="6">
        <f>$T348*AE348</f>
        <v/>
      </c>
      <c r="AG348" s="7" t="n">
        <v>0</v>
      </c>
      <c r="AH348" s="6">
        <f>$T348*AG348</f>
        <v/>
      </c>
      <c r="AI348" s="7">
        <f>U348+W348+Y348+AA348+AC348+AE348+AG348</f>
        <v/>
      </c>
      <c r="AJ348" s="6">
        <f>V348+X348+Z348+AB348+AD348+AF348+AH348</f>
        <v/>
      </c>
    </row>
    <row r="349" ht="60" customHeight="1" s="35">
      <c r="A349" s="3" t="inlineStr">
        <is>
          <t>NP.IM.04</t>
        </is>
      </c>
      <c r="B349" s="4" t="inlineStr">
        <is>
          <t>1/1</t>
        </is>
      </c>
      <c r="C349" s="3" t="inlineStr">
        <is>
          <t>IMPIANTO MECCANICO</t>
        </is>
      </c>
      <c r="D349" s="4" t="inlineStr">
        <is>
          <t>SPECIALE</t>
        </is>
      </c>
      <c r="E349" s="4" t="inlineStr">
        <is>
          <t>MECCANICHE SPECIALI</t>
        </is>
      </c>
      <c r="F349" s="3" t="inlineStr">
        <is>
          <t>2_CME_TOTALE MECCANICI RADIOFARMACIA PAVIA.PDF</t>
        </is>
      </c>
      <c r="G349" s="4" t="inlineStr">
        <is>
          <t>111/111</t>
        </is>
      </c>
      <c r="H349" s="3" t="inlineStr">
        <is>
          <t>40 - IMPIANTISTICO</t>
        </is>
      </c>
      <c r="I349" s="3" t="inlineStr">
        <is>
          <t>P. TERRA - PRODUZIONE</t>
        </is>
      </c>
      <c r="J349" s="3" t="inlineStr">
        <is>
          <t>IMPIANTO HVAC</t>
        </is>
      </c>
      <c r="K349" s="3" t="inlineStr">
        <is>
          <t>FORNITURA E POSA IN OPERA DI SISTEMA DI CONDIZIONATORE D'ARIA DI PRECISIONE AD ACQUA REFRIGERATA, MACCHINA PER APPLICAZIONI IN SALE CED ED IN AMBIENTI CHE OSPITANO DISPOSITIVI PER APPLICAZIONI ICT DOV</t>
        </is>
      </c>
      <c r="L349" s="3" t="inlineStr">
        <is>
          <t>FORNITURA E POSA IN OPERA DI SISTEMA DI CONDIZIONATORE D'ARIA DI PRECISIONE AD ACQUA REFRIGERATA, MACCHINA PER APPLICAZIONI IN SALE CED ED IN AMBIENTI CHE OSPITANO DISPOSITIVI PER APPLICAZIONI ICT DOVE VENGA RICHIESTO UN CONTROLLO PRECISO DI TEMPERATURA ED UMIDITÀ 
POT. FRIG. 25 KW (7/12°C)</t>
        </is>
      </c>
      <c r="M349" s="4" t="inlineStr">
        <is>
          <t>CADAUNO</t>
        </is>
      </c>
      <c r="N349" s="5" t="n">
        <v>1</v>
      </c>
      <c r="O349" s="6" t="n">
        <v>15558.5</v>
      </c>
      <c r="P349" s="6" t="n">
        <v>15558.5</v>
      </c>
      <c r="Q349" s="5" t="n"/>
      <c r="R349" s="6" t="n"/>
      <c r="S349" s="6">
        <f>IF(AND(Q349&lt;&gt;"",R349&lt;&gt;""),Q349*R349,"")</f>
        <v/>
      </c>
      <c r="T349" s="6">
        <f>IF(S349="",P349,S349)</f>
        <v/>
      </c>
      <c r="U349" s="7" t="n">
        <v>0.5</v>
      </c>
      <c r="V349" s="6">
        <f>$T349*U349</f>
        <v/>
      </c>
      <c r="W349" s="7" t="n">
        <v>0.2</v>
      </c>
      <c r="X349" s="6">
        <f>$T349*W349</f>
        <v/>
      </c>
      <c r="Y349" s="7" t="n">
        <v>0</v>
      </c>
      <c r="Z349" s="6">
        <f>$T349*Y349</f>
        <v/>
      </c>
      <c r="AA349" s="7" t="n">
        <v>0</v>
      </c>
      <c r="AB349" s="6">
        <f>$T349*AA349</f>
        <v/>
      </c>
      <c r="AC349" s="7" t="n">
        <v>0</v>
      </c>
      <c r="AD349" s="6">
        <f>$T349*AC349</f>
        <v/>
      </c>
      <c r="AE349" s="7" t="n">
        <v>0</v>
      </c>
      <c r="AF349" s="6">
        <f>$T349*AE349</f>
        <v/>
      </c>
      <c r="AG349" s="7" t="n">
        <v>0</v>
      </c>
      <c r="AH349" s="6">
        <f>$T349*AG349</f>
        <v/>
      </c>
      <c r="AI349" s="7">
        <f>U349+W349+Y349+AA349+AC349+AE349+AG349</f>
        <v/>
      </c>
      <c r="AJ349" s="6">
        <f>V349+X349+Z349+AB349+AD349+AF349+AH349</f>
        <v/>
      </c>
    </row>
    <row r="350" ht="60" customHeight="1" s="35">
      <c r="A350" s="3" t="inlineStr">
        <is>
          <t>LOM251.OC.IIA.PA02.I7832.D0019.0000.D</t>
        </is>
      </c>
      <c r="B350" s="4" t="inlineStr">
        <is>
          <t>1/1</t>
        </is>
      </c>
      <c r="C350" s="3" t="inlineStr">
        <is>
          <t>IMPIANTO MECCANICO</t>
        </is>
      </c>
      <c r="D350" s="4" t="inlineStr">
        <is>
          <t>SPECIALE</t>
        </is>
      </c>
      <c r="E350" s="4" t="inlineStr">
        <is>
          <t>MECCANICHE SPECIALI</t>
        </is>
      </c>
      <c r="F350" s="3" t="inlineStr">
        <is>
          <t>2_CME_TOTALE MECCANICI RADIOFARMACIA PAVIA.PDF</t>
        </is>
      </c>
      <c r="G350" s="4" t="inlineStr">
        <is>
          <t>112/112</t>
        </is>
      </c>
      <c r="H350" s="3" t="inlineStr">
        <is>
          <t>40 - IMPIANTISTICO</t>
        </is>
      </c>
      <c r="I350" s="3" t="inlineStr">
        <is>
          <t>P. TERRA - PRODUZIONE</t>
        </is>
      </c>
      <c r="J350" s="3" t="inlineStr">
        <is>
          <t>IMPIANTO HVAC</t>
        </is>
      </c>
      <c r="K350" s="3" t="inlineStr">
        <is>
          <t xml:space="preserve">OPERA: TUBAZIONE DI DRENAGGIO DI PLASTICA POLIVINCLORURO NON PLASTIFICATO (PVC-U); GEOMETRIA: A FORMA DI TUNNEL; DIAMETRO (Ø) [MM] = 200. </t>
        </is>
      </c>
      <c r="L350" s="3" t="inlineStr">
        <is>
          <t>OPERA: TUBAZIONE DI DRENAGGIO DI PLASTICA POLIVINCLORURO NON PLASTIFICATO (PVC-U); GEOMETRIA: A FORMA DI TUNNEL; DIAMETRO (Ø) [MM] = 200. 
LAVORO: POSA. 
SPECIFICHE TECNICHE: CON PIEDE DI POSA PREFORMATO; SEZIONE INFERIORE NON FORATA PARI AD 1/3 DEL DIAMETRO; LARGHEZZA FESSURE DRENANTI [MM] ≥ 0,8; LUNGHEZZA FESSURE DRENANTI [MM] &lt; 25. PROFONDITÀ SCAVO A SEZIONE OBBLIGATA [M] = 4; POSA CON MEZZO MECCANICO. OP TUBAZIONE DI DRENAGGIO DI PLASTICA POLIVINCLORURO NON PLASTIFICATO (PVC-U); GEOMETRIA: A FORMA DI TUNNEL; DIAMETRO (Ø) [MM] = 200. 
SPECIFICHE TECNICHE: CON PIEDE DI POSA PREFORMATO; SEZIONE INFERIORE NON FORATA PARI AD 1/3 DEL DIAMETRO; LARGHEZZA FESSURE DRENANTI [MM] ≥ 0,8; LUNGHEZZA FESSURE DRENANTI [MM] &lt; 25. 
RM TUBO A BICCHIERE AD INCOLLAGGIO DI PLASTICA POLIVINCLORURO NON PLASTIFICATO (PVC-U); FINITURA: COLORE AVORIO | COLORE GRIGIO | COLORE MARRONE; IMPIEGO: CONDOTTE DI VENTILAZIONE | PLUVIALI; DIAMETRO ESTERNO (Ø) [MM] = 200 | SPESSORE [MM] = 3,2 
SPECIFICHE TECNICHE: COLORI RAL 7037 E RAL 8017 
LV POSA. 
SPECIFICHE TECNICHE: PROFONDITÀ SCAVO A SEZIONE OBBLIGATA [M] = 4; POSA CON MEZZO MECCANICO. 
RP ESCAVATORE CINGOLATO; POTENZA [KW] ≤ 50; PESO [T] = 9. DA CONTEGGIARE A PARTE: SPESE DI ESERCIZIO (RP.00.00.00.1020.B) 
RP AUTOCARRO A CASSONE RIBALTABILE; PORTATA [T] = 13,51 ÷ 21. DA CONTEGGIARE A PARTE: SPESE DI ESERCIZIO (RP.00.50.00.1030.E)</t>
        </is>
      </c>
      <c r="M350" s="4" t="inlineStr">
        <is>
          <t>M</t>
        </is>
      </c>
      <c r="N350" s="5" t="n">
        <v>20</v>
      </c>
      <c r="O350" s="6" t="n">
        <v>51.97</v>
      </c>
      <c r="P350" s="6" t="n">
        <v>1039.4</v>
      </c>
      <c r="Q350" s="5" t="n"/>
      <c r="R350" s="6" t="n"/>
      <c r="S350" s="6">
        <f>IF(AND(Q350&lt;&gt;"",R350&lt;&gt;""),Q350*R350,"")</f>
        <v/>
      </c>
      <c r="T350" s="6">
        <f>IF(S350="",P350,S350)</f>
        <v/>
      </c>
      <c r="U350" s="7" t="n">
        <v>0</v>
      </c>
      <c r="V350" s="6">
        <f>$T350*U350</f>
        <v/>
      </c>
      <c r="W350" s="7" t="n">
        <v>0.25</v>
      </c>
      <c r="X350" s="6">
        <f>$T350*W350</f>
        <v/>
      </c>
      <c r="Y350" s="7" t="n">
        <v>0</v>
      </c>
      <c r="Z350" s="6">
        <f>$T350*Y350</f>
        <v/>
      </c>
      <c r="AA350" s="7" t="n">
        <v>0</v>
      </c>
      <c r="AB350" s="6">
        <f>$T350*AA350</f>
        <v/>
      </c>
      <c r="AC350" s="7" t="n">
        <v>0</v>
      </c>
      <c r="AD350" s="6">
        <f>$T350*AC350</f>
        <v/>
      </c>
      <c r="AE350" s="7" t="n">
        <v>0</v>
      </c>
      <c r="AF350" s="6">
        <f>$T350*AE350</f>
        <v/>
      </c>
      <c r="AG350" s="7" t="n">
        <v>0</v>
      </c>
      <c r="AH350" s="6">
        <f>$T350*AG350</f>
        <v/>
      </c>
      <c r="AI350" s="7">
        <f>U350+W350+Y350+AA350+AC350+AE350+AG350</f>
        <v/>
      </c>
      <c r="AJ350" s="6">
        <f>V350+X350+Z350+AB350+AD350+AF350+AH350</f>
        <v/>
      </c>
    </row>
    <row r="351" ht="60" customHeight="1" s="35">
      <c r="A351" s="3" t="inlineStr">
        <is>
          <t>LOM251.OC.EEA.PA02.F7410.SB003.0035</t>
        </is>
      </c>
      <c r="B351" s="4" t="inlineStr">
        <is>
          <t>3/3</t>
        </is>
      </c>
      <c r="C351" s="3" t="inlineStr">
        <is>
          <t>IMPIANTO MECCANICO</t>
        </is>
      </c>
      <c r="D351" s="4" t="inlineStr">
        <is>
          <t>SPECIALE</t>
        </is>
      </c>
      <c r="E351" s="4" t="inlineStr">
        <is>
          <t>MECCANICHE SPECIALI</t>
        </is>
      </c>
      <c r="F351" s="3" t="inlineStr">
        <is>
          <t>2_CME_TOTALE MECCANICI RADIOFARMACIA PAVIA.PDF</t>
        </is>
      </c>
      <c r="G351" s="4" t="inlineStr">
        <is>
          <t>113/113</t>
        </is>
      </c>
      <c r="H351" s="3" t="inlineStr">
        <is>
          <t>40 - IMPIANTISTICO</t>
        </is>
      </c>
      <c r="I351" s="3" t="inlineStr">
        <is>
          <t>P. PRIMO - PRODUZIONE</t>
        </is>
      </c>
      <c r="J351" s="3" t="inlineStr">
        <is>
          <t>IMPIANTO HVAC</t>
        </is>
      </c>
      <c r="K351" s="3" t="inlineStr">
        <is>
          <t>OPERA: CONDOTTO DI LEGA FERROSA ACCIAIO ZINCATO; FINITURA: LAMIERA; GEOMETRIA: SEZIONE CIRCOLARE; FUNZIONE: DISTRIBUZIONE ARIA; IMPIEGO: IMPIANTO DI CLIMATIZZAZIONE; SPESSORE LAMIERA 1 [MM] = 12 | SPE</t>
        </is>
      </c>
      <c r="L351" s="3" t="inlineStr">
        <is>
          <t>OPERA: CONDOTTO DI LEGA FERROSA ACCIAIO ZINCATO; FINITURA: LAMIERA; GEOMETRIA: SEZIONE CIRCOLARE; FUNZIONE: DISTRIBUZIONE ARIA; IMPIEGO: IMPIANTO DI CLIMATIZZAZIONE; SPESSORE LAMIERA 1 [MM] = 12 | SPESSORE LAMIERA 2 [MM] = 10 | DIAMETRO (Ø) [MM] = 751 ÷ 1500. INCLUSO: PEZZI SPECIALI; GRAFFATURE; GIUNZIONI; GUARNIZIONI; SIGILLATURE; STAFFAGGI. 
LAVORO: POSA. 
SPECIFICHE TECNICHE: I PREZZI UNITARI INCLUDONO MAGGIORAZIONE SIA PER COMPLETAMENTI SOPRA INDICATI, SIA PER SFRIDI E DEVONO ESSERE APPLICATI AI PESI TEORICI RICAVATI DALLE DIMENSIONI GEOMETRICHE DEI CANALI (LATI O DIAMETRO MISURATI ALL'INTERNO E LUNGHEZZA MISURATA SULL'ASSE). OP CONDOTTO DI LEGA FERROSA ACCIAIO ZINCATO; FINITURA: LAMIERA; GEOMETRIA: SEZIONE CIRCOLARE; FUNZIONE: DISTRIBUZIONE ARIA; IMPIEGO: IMPIANTO DI CLIMATIZZAZIONE; SPESSORE LAMIERA 1 [MM] = 12 | SPESSORE LAMIERA 2 [MM] = 10 | DIAMETRO (Ø) [MM] = 751 ÷ 1500. INCLUSO: PEZZI SPECIALI; GRAFFATURE; GIUNZIONI; GUARNIZIONI; SIGILLATURE; STAFFAGGI. 
SPECIFICHE TECNICHE: I PREZZI UNITARI INCLUDONO MAGGIORAZIONE SIA PER COMPLETAMENTI SOPRA INDICATI, SIA PER SFRIDI E DEVONO ESSERE APPLICATI AI PESI TEORICI RICAVATI DALLE DIMENSIONI GEOMETRICHE DEI CANALI (LATI O DIAMETRO MISURATI ALL'INTERNO E LUNGHEZZA MISURATA SULL'ASSE). 
RM CONDOTTO DI LEGA FERROSA ACCIAIO ZINCATO; FINITURA: LAMIERA; GEOMETRIA: SEZIONE CIRCOLARE; FUNZIONE: DISTRIBUZIONE ARIA; IMPIEGO: IMPIANTO DI CLIMATIZZAZIONE; SPESSORE LAMIERA 1 [MM] = 12 | SPESSORE LAMIERA 2 [MM] = 10 | DIAMETRO (Ø) [MM] = 751 ÷ 1500. INCLUSO: PEZZI SPECIALI; GRAFFATURE; GIUNZIONI; GUARNIZIONI; SIGILLATURE; STAFFAGGI 
SPECIFICHE TECNICHE: I PREZZI UNITARI INCLUDONO MAGGIORAZIONE SIA PER COMPLETAMENTI SOPRA INDICATI, SIA PER SFRIDI E DEVONO ESSERE APPLICATI AI PESI TEORICI RICAVATI DALLE DIMENSIONI GEOMETRICHE DEI CANALI (LATI O DIAMETRO MISURATI ALL'INTERNO E LUNGHEZZA MISURATA SULL'ASSE) 
LV POSA.</t>
        </is>
      </c>
      <c r="M351" s="4" t="inlineStr">
        <is>
          <t>KG</t>
        </is>
      </c>
      <c r="N351" s="5" t="n">
        <v>470</v>
      </c>
      <c r="O351" s="6" t="n">
        <v>9.5</v>
      </c>
      <c r="P351" s="6" t="n">
        <v>4465</v>
      </c>
      <c r="Q351" s="5" t="n"/>
      <c r="R351" s="6" t="n"/>
      <c r="S351" s="6">
        <f>IF(AND(Q351&lt;&gt;"",R351&lt;&gt;""),Q351*R351,"")</f>
        <v/>
      </c>
      <c r="T351" s="6">
        <f>IF(S351="",P351,S351)</f>
        <v/>
      </c>
      <c r="U351" s="7" t="n">
        <v>0</v>
      </c>
      <c r="V351" s="6">
        <f>$T351*U351</f>
        <v/>
      </c>
      <c r="W351" s="7" t="n">
        <v>0.25</v>
      </c>
      <c r="X351" s="6">
        <f>$T351*W351</f>
        <v/>
      </c>
      <c r="Y351" s="7" t="n">
        <v>0</v>
      </c>
      <c r="Z351" s="6">
        <f>$T351*Y351</f>
        <v/>
      </c>
      <c r="AA351" s="7" t="n">
        <v>0</v>
      </c>
      <c r="AB351" s="6">
        <f>$T351*AA351</f>
        <v/>
      </c>
      <c r="AC351" s="7" t="n">
        <v>0</v>
      </c>
      <c r="AD351" s="6">
        <f>$T351*AC351</f>
        <v/>
      </c>
      <c r="AE351" s="7" t="n">
        <v>0</v>
      </c>
      <c r="AF351" s="6">
        <f>$T351*AE351</f>
        <v/>
      </c>
      <c r="AG351" s="7" t="n">
        <v>0</v>
      </c>
      <c r="AH351" s="6">
        <f>$T351*AG351</f>
        <v/>
      </c>
      <c r="AI351" s="7">
        <f>U351+W351+Y351+AA351+AC351+AE351+AG351</f>
        <v/>
      </c>
      <c r="AJ351" s="6">
        <f>V351+X351+Z351+AB351+AD351+AF351+AH351</f>
        <v/>
      </c>
    </row>
    <row r="352" ht="60" customHeight="1" s="35">
      <c r="A352" s="3" t="inlineStr">
        <is>
          <t>LOM251.OC.EEA.PA02.I1500.E0011.0000</t>
        </is>
      </c>
      <c r="B352" s="4" t="inlineStr">
        <is>
          <t>3/3</t>
        </is>
      </c>
      <c r="C352" s="3" t="inlineStr">
        <is>
          <t>IMPIANTO MECCANICO</t>
        </is>
      </c>
      <c r="D352" s="4" t="inlineStr">
        <is>
          <t>SPECIALE</t>
        </is>
      </c>
      <c r="E352" s="4" t="inlineStr">
        <is>
          <t>MECCANICHE SPECIALI</t>
        </is>
      </c>
      <c r="F352" s="3" t="inlineStr">
        <is>
          <t>2_CME_TOTALE MECCANICI RADIOFARMACIA PAVIA.PDF</t>
        </is>
      </c>
      <c r="G352" s="4" t="inlineStr">
        <is>
          <t>114/114</t>
        </is>
      </c>
      <c r="H352" s="3" t="inlineStr">
        <is>
          <t>40 - IMPIANTISTICO</t>
        </is>
      </c>
      <c r="I352" s="3" t="inlineStr">
        <is>
          <t>P. PRIMO - PRODUZIONE</t>
        </is>
      </c>
      <c r="J352" s="3" t="inlineStr">
        <is>
          <t>IMPIANTO HVAC</t>
        </is>
      </c>
      <c r="K352" s="3" t="inlineStr">
        <is>
          <t>OPERA: LASTRA DI GOMMA ELASTOMERICA ESPANSA A CELLULE CHIUSE; FUNZIONE: COIBENTAZIONE; IMPIEGO: CONDOTTO; SPESSORE [MM] = 13; RESISTENZA ALLA FIAMMA [CLASSE] = 1; FATTORE DI PERMEABILITÀ (Μ) MINIMO [-</t>
        </is>
      </c>
      <c r="L352" s="3" t="inlineStr">
        <is>
          <t>OPERA: LASTRA DI GOMMA ELASTOMERICA ESPANSA A CELLULE CHIUSE; FUNZIONE: COIBENTAZIONE; IMPIEGO: CONDOTTO; SPESSORE [MM] = 13; RESISTENZA ALLA FIAMMA [CLASSE] = 1; FATTORE DI PERMEABILITÀ (Μ) MINIMO [-] = 4000. 
LAVORO: POSA. 
SPECIFICHE TECNICHE: LASTRA INCOLLATA; GOMMA ELASTOMERICA ESPANSA A CELLULE CHIUSE SENZA ALOGENI NÉ PVC. OP LASTRA DI GOMMA ELASTOMERICA ESPANSA A CELLULE CHIUSE; FUNZIONE: COIBENTAZIONE; IMPIEGO: CONDOTTO; SPESSORE [MM] = 13; RESISTENZA ALLA FIAMMA [CLASSE] = 1; FATTORE DI PERMEABILITÀ (Μ) MINIMO [-] = 4000. 
SPECIFICHE TECNICHE: LASTRA INCOLLATA; GOMMA ELASTOMERICA ESPANSA A CELLULE CHIUSE SENZA ALOGENI NÉ PVC. 
RM LASTRA DI GOMMA ESPANSA A CELLULE CHIUSE; FUNZIONE: COIBENTAZIONE; IMPIEGO: CONDOTTO; SPESSORE [MM] = 13; RESISTENZA ALLA FIAMMA [CLASSE] = 1; FATTORE DI PERMEABILITÀ (Μ) MINIMO [-] = 4000 
SPECIFICHE TECNICHE: LASTRA INCOLLATA; GOMMA ELASTOMERICA ESPANSA A CELLULE CHIUSE SENZA ALOGENI NÉ PVC 
LV POSA.</t>
        </is>
      </c>
      <c r="M352" s="4" t="inlineStr">
        <is>
          <t>M²</t>
        </is>
      </c>
      <c r="N352" s="5" t="n">
        <v>35</v>
      </c>
      <c r="O352" s="6" t="n">
        <v>39.73</v>
      </c>
      <c r="P352" s="6" t="n">
        <v>1390.55</v>
      </c>
      <c r="Q352" s="5" t="n"/>
      <c r="R352" s="6" t="n"/>
      <c r="S352" s="6">
        <f>IF(AND(Q352&lt;&gt;"",R352&lt;&gt;""),Q352*R352,"")</f>
        <v/>
      </c>
      <c r="T352" s="6">
        <f>IF(S352="",P352,S352)</f>
        <v/>
      </c>
      <c r="U352" s="7" t="n">
        <v>0</v>
      </c>
      <c r="V352" s="6">
        <f>$T352*U352</f>
        <v/>
      </c>
      <c r="W352" s="7" t="n">
        <v>0</v>
      </c>
      <c r="X352" s="6">
        <f>$T352*W352</f>
        <v/>
      </c>
      <c r="Y352" s="7" t="n">
        <v>0</v>
      </c>
      <c r="Z352" s="6">
        <f>$T352*Y352</f>
        <v/>
      </c>
      <c r="AA352" s="7" t="n">
        <v>0</v>
      </c>
      <c r="AB352" s="6">
        <f>$T352*AA352</f>
        <v/>
      </c>
      <c r="AC352" s="7" t="n">
        <v>0</v>
      </c>
      <c r="AD352" s="6">
        <f>$T352*AC352</f>
        <v/>
      </c>
      <c r="AE352" s="7" t="n">
        <v>0</v>
      </c>
      <c r="AF352" s="6">
        <f>$T352*AE352</f>
        <v/>
      </c>
      <c r="AG352" s="7" t="n">
        <v>0</v>
      </c>
      <c r="AH352" s="6">
        <f>$T352*AG352</f>
        <v/>
      </c>
      <c r="AI352" s="7">
        <f>U352+W352+Y352+AA352+AC352+AE352+AG352</f>
        <v/>
      </c>
      <c r="AJ352" s="6">
        <f>V352+X352+Z352+AB352+AD352+AF352+AH352</f>
        <v/>
      </c>
    </row>
    <row r="353" ht="60" customHeight="1" s="35">
      <c r="A353" s="3" t="inlineStr">
        <is>
          <t>LOM251.OC.EEA.PA29.F8210.SB001.0760</t>
        </is>
      </c>
      <c r="B353" s="4" t="inlineStr">
        <is>
          <t>2/2</t>
        </is>
      </c>
      <c r="C353" s="3" t="inlineStr">
        <is>
          <t>IMPIANTO MECCANICO</t>
        </is>
      </c>
      <c r="D353" s="4" t="inlineStr">
        <is>
          <t>SPECIALE</t>
        </is>
      </c>
      <c r="E353" s="4" t="inlineStr">
        <is>
          <t>MECCANICHE SPECIALI</t>
        </is>
      </c>
      <c r="F353" s="3" t="inlineStr">
        <is>
          <t>2_CME_TOTALE MECCANICI RADIOFARMACIA PAVIA.PDF</t>
        </is>
      </c>
      <c r="G353" s="4" t="inlineStr">
        <is>
          <t>115/115</t>
        </is>
      </c>
      <c r="H353" s="3" t="inlineStr">
        <is>
          <t>40 - IMPIANTISTICO</t>
        </is>
      </c>
      <c r="I353" s="3" t="inlineStr">
        <is>
          <t>P. PRIMO - PRODUZIONE</t>
        </is>
      </c>
      <c r="J353" s="3" t="inlineStr">
        <is>
          <t>IMPIANTO HVAC</t>
        </is>
      </c>
      <c r="K353" s="3" t="inlineStr">
        <is>
          <t>OPERA: DIFFUSORE DI LEGA FERROSA ACCIAIO GENERICO; GEOMETRIA: VARIABILE | ALETTE RADIALI AD INCLINAZIONE VARIABILE; FUNZIONE: DIFFUSIONE ARIA; IMPIEGO: IMPIANTO DI CONDIZIONAMENTO; DIAMETRO (Ø) [MM] =</t>
        </is>
      </c>
      <c r="L353" s="3" t="inlineStr">
        <is>
          <t>OPERA: DIFFUSORE DI LEGA FERROSA ACCIAIO GENERICO; GEOMETRIA: VARIABILE | ALETTE RADIALI AD INCLINAZIONE VARIABILE; FUNZIONE: DIFFUSIONE ARIA; IMPIEGO: IMPIANTO DI CONDIZIONAMENTO; DIAMETRO (Ø) [MM] = 400. INCLUSO: SERRANDA DI REGOLAZIONE. 
LAVORO: MONTAGGIO. 
SPECIFICHE TECNICHE: ADATTO PER AMBIENTI CON GRANDI ALTEZZE. OP DIFFUSORE DI LEGA FERROSA ACCIAIO GENERICO; GEOMETRIA: VARIABILE | ALETTE RADIALI AD INCLINAZIONE VARIABILE; FUNZIONE: DIFFUSIONE ARIA; IMPIEGO: IMPIANTO DI CONDIZIONAMENTO; DIAMETRO (Ø) [MM] = 400. INCLUSO: SERRANDA DI REGOLAZIONE. 
SPECIFICHE TECNICHE: ADATTO PER AMBIENTI CON GRANDI ALTEZZE. 
RM DIFFUSORE DI LEGA FERROSA ACCIAIO GENERICO; GEOMETRIA: VARIABILE | ALETTE RADIALI AD INCLINAZIONE VARIABILE; FUNZIONE: DIFFUSIONE ARIA; IMPIEGO: IMPIANTO DI CONDIZIONAMENTO; DIAMETRO (Ø) [MM] = 400. INCLUSO: SERRANDA DI REGOLAZIONE 
SPECIFICHE TECNICHE: ADATTO PER AMBIENTI CON GRANDI ALTEZZE 
LV MONTAGGIO.</t>
        </is>
      </c>
      <c r="M353" s="4" t="inlineStr">
        <is>
          <t>CAD</t>
        </is>
      </c>
      <c r="N353" s="5" t="n">
        <v>2</v>
      </c>
      <c r="O353" s="6" t="n">
        <v>234.21</v>
      </c>
      <c r="P353" s="6" t="n">
        <v>468.42</v>
      </c>
      <c r="Q353" s="5" t="n"/>
      <c r="R353" s="6" t="n"/>
      <c r="S353" s="6">
        <f>IF(AND(Q353&lt;&gt;"",R353&lt;&gt;""),Q353*R353,"")</f>
        <v/>
      </c>
      <c r="T353" s="6">
        <f>IF(S353="",P353,S353)</f>
        <v/>
      </c>
      <c r="U353" s="7" t="n">
        <v>0</v>
      </c>
      <c r="V353" s="6">
        <f>$T353*U353</f>
        <v/>
      </c>
      <c r="W353" s="7" t="n">
        <v>0</v>
      </c>
      <c r="X353" s="6">
        <f>$T353*W353</f>
        <v/>
      </c>
      <c r="Y353" s="7" t="n">
        <v>0</v>
      </c>
      <c r="Z353" s="6">
        <f>$T353*Y353</f>
        <v/>
      </c>
      <c r="AA353" s="7" t="n">
        <v>0</v>
      </c>
      <c r="AB353" s="6">
        <f>$T353*AA353</f>
        <v/>
      </c>
      <c r="AC353" s="7" t="n">
        <v>0</v>
      </c>
      <c r="AD353" s="6">
        <f>$T353*AC353</f>
        <v/>
      </c>
      <c r="AE353" s="7" t="n">
        <v>0</v>
      </c>
      <c r="AF353" s="6">
        <f>$T353*AE353</f>
        <v/>
      </c>
      <c r="AG353" s="7" t="n">
        <v>0</v>
      </c>
      <c r="AH353" s="6">
        <f>$T353*AG353</f>
        <v/>
      </c>
      <c r="AI353" s="7">
        <f>U353+W353+Y353+AA353+AC353+AE353+AG353</f>
        <v/>
      </c>
      <c r="AJ353" s="6">
        <f>V353+X353+Z353+AB353+AD353+AF353+AH353</f>
        <v/>
      </c>
    </row>
    <row r="354" ht="60" customHeight="1" s="35">
      <c r="A354" s="3" t="inlineStr">
        <is>
          <t>LOM251.OC.EEA.PA29.F8210.SB001.0765</t>
        </is>
      </c>
      <c r="B354" s="4" t="inlineStr">
        <is>
          <t>2/2</t>
        </is>
      </c>
      <c r="C354" s="3" t="inlineStr">
        <is>
          <t>IMPIANTO MECCANICO</t>
        </is>
      </c>
      <c r="D354" s="4" t="inlineStr">
        <is>
          <t>SPECIALE</t>
        </is>
      </c>
      <c r="E354" s="4" t="inlineStr">
        <is>
          <t>MECCANICHE SPECIALI</t>
        </is>
      </c>
      <c r="F354" s="3" t="inlineStr">
        <is>
          <t>2_CME_TOTALE MECCANICI RADIOFARMACIA PAVIA.PDF</t>
        </is>
      </c>
      <c r="G354" s="4" t="inlineStr">
        <is>
          <t>116/116</t>
        </is>
      </c>
      <c r="H354" s="3" t="inlineStr">
        <is>
          <t>40 - IMPIANTISTICO</t>
        </is>
      </c>
      <c r="I354" s="3" t="inlineStr">
        <is>
          <t>P. PRIMO - PRODUZIONE</t>
        </is>
      </c>
      <c r="J354" s="3" t="inlineStr">
        <is>
          <t>IMPIANTO HVAC</t>
        </is>
      </c>
      <c r="K354" s="3" t="inlineStr">
        <is>
          <t>OPERA: DIFFUSORE DI LEGA FERROSA ACCIAIO GENERICO; GEOMETRIA: VARIABILE | ALETTE RADIALI AD INCLINAZIONE VARIABILE; FUNZIONE: DIFFUSIONE ARIA; IMPIEGO: IMPIANTO DI CONDIZIONAMENTO; DIAMETRO (Ø) [MM] =</t>
        </is>
      </c>
      <c r="L354" s="3" t="inlineStr">
        <is>
          <t>OPERA: DIFFUSORE DI LEGA FERROSA ACCIAIO GENERICO; GEOMETRIA: VARIABILE | ALETTE RADIALI AD INCLINAZIONE VARIABILE; FUNZIONE: DIFFUSIONE ARIA; IMPIEGO: IMPIANTO DI CONDIZIONAMENTO; DIAMETRO (Ø) [MM] = 500. INCLUSO: SERRANDA DI REGOLAZIONE. 
LAVORO: MONTAGGIO. 
SPECIFICHE TECNICHE: ADATTO PER AMBIENTI CON GRANDI ALTEZZE. OP DIFFUSORE DI LEGA FERROSA ACCIAIO GENERICO; GEOMETRIA: VARIABILE | ALETTE RADIALI AD INCLINAZIONE VARIABILE; FUNZIONE: DIFFUSIONE ARIA; IMPIEGO: IMPIANTO DI CONDIZIONAMENTO; DIAMETRO (Ø) [MM] = 500. INCLUSO: SERRANDA DI REGOLAZIONE. 
SPECIFICHE TECNICHE: ADATTO PER AMBIENTI CON GRANDI ALTEZZE. 
RM DIFFUSORE DI LEGA FERROSA ACCIAIO GENERICO; GEOMETRIA: VARIABILE | ALETTE RADIALI AD INCLINAZIONE VARIABILE; FUNZIONE: DIFFUSIONE ARIA; IMPIEGO: IMPIANTO DI CONDIZIONAMENTO; DIAMETRO (Ø) [MM] = 500. INCLUSO: SERRANDA DI REGOLAZIONE 
SPECIFICHE TECNICHE: ADATTO PER AMBIENTI CON GRANDI ALTEZZE 
LV MONTAGGIO.</t>
        </is>
      </c>
      <c r="M354" s="4" t="inlineStr">
        <is>
          <t>CAD</t>
        </is>
      </c>
      <c r="N354" s="5" t="n">
        <v>1</v>
      </c>
      <c r="O354" s="6" t="n">
        <v>281.65</v>
      </c>
      <c r="P354" s="6" t="n">
        <v>281.65</v>
      </c>
      <c r="Q354" s="5" t="n"/>
      <c r="R354" s="6" t="n"/>
      <c r="S354" s="6">
        <f>IF(AND(Q354&lt;&gt;"",R354&lt;&gt;""),Q354*R354,"")</f>
        <v/>
      </c>
      <c r="T354" s="6">
        <f>IF(S354="",P354,S354)</f>
        <v/>
      </c>
      <c r="U354" s="7" t="n">
        <v>0</v>
      </c>
      <c r="V354" s="6">
        <f>$T354*U354</f>
        <v/>
      </c>
      <c r="W354" s="7" t="n">
        <v>0</v>
      </c>
      <c r="X354" s="6">
        <f>$T354*W354</f>
        <v/>
      </c>
      <c r="Y354" s="7" t="n">
        <v>0</v>
      </c>
      <c r="Z354" s="6">
        <f>$T354*Y354</f>
        <v/>
      </c>
      <c r="AA354" s="7" t="n">
        <v>0</v>
      </c>
      <c r="AB354" s="6">
        <f>$T354*AA354</f>
        <v/>
      </c>
      <c r="AC354" s="7" t="n">
        <v>0</v>
      </c>
      <c r="AD354" s="6">
        <f>$T354*AC354</f>
        <v/>
      </c>
      <c r="AE354" s="7" t="n">
        <v>0</v>
      </c>
      <c r="AF354" s="6">
        <f>$T354*AE354</f>
        <v/>
      </c>
      <c r="AG354" s="7" t="n">
        <v>0</v>
      </c>
      <c r="AH354" s="6">
        <f>$T354*AG354</f>
        <v/>
      </c>
      <c r="AI354" s="7">
        <f>U354+W354+Y354+AA354+AC354+AE354+AG354</f>
        <v/>
      </c>
      <c r="AJ354" s="6">
        <f>V354+X354+Z354+AB354+AD354+AF354+AH354</f>
        <v/>
      </c>
    </row>
    <row r="355" ht="60" customHeight="1" s="35">
      <c r="A355" s="3" t="inlineStr">
        <is>
          <t>LOM251.OC.EEA.PA02.F7410.OA015.0285</t>
        </is>
      </c>
      <c r="B355" s="4" t="inlineStr">
        <is>
          <t>4/4</t>
        </is>
      </c>
      <c r="C355" s="3" t="inlineStr">
        <is>
          <t>IMPIANTO MECCANICO</t>
        </is>
      </c>
      <c r="D355" s="4" t="inlineStr">
        <is>
          <t>SPECIALE</t>
        </is>
      </c>
      <c r="E355" s="4" t="inlineStr">
        <is>
          <t>MECCANICHE SPECIALI</t>
        </is>
      </c>
      <c r="F355" s="3" t="inlineStr">
        <is>
          <t>2_CME_TOTALE MECCANICI RADIOFARMACIA PAVIA.PDF</t>
        </is>
      </c>
      <c r="G355" s="4" t="inlineStr">
        <is>
          <t>117/117</t>
        </is>
      </c>
      <c r="H355" s="3" t="inlineStr">
        <is>
          <t>40 - IMPIANTISTICO</t>
        </is>
      </c>
      <c r="I355" s="3" t="inlineStr">
        <is>
          <t>P. PRIMO - PRODUZIONE</t>
        </is>
      </c>
      <c r="J355" s="3" t="inlineStr">
        <is>
          <t>IMPIANTO HVAC</t>
        </is>
      </c>
      <c r="K355" s="3" t="inlineStr">
        <is>
          <t xml:space="preserve">OPERA: CONDOTTO DI FIBRA SINTETICA TESSILE; GEOMETRIA: FLESSIBILE; FUNZIONE: DISTRIBUZIONE ARIA; IMPIEGO: IMPIANTO DI CLIMATIZZAZIONE; DIAMETRO (Ø) [MM] = 200. </t>
        </is>
      </c>
      <c r="L355" s="3" t="inlineStr">
        <is>
          <t>OPERA: CONDOTTO DI FIBRA SINTETICA TESSILE; GEOMETRIA: FLESSIBILE; FUNZIONE: DISTRIBUZIONE ARIA; IMPIEGO: IMPIANTO DI CLIMATIZZAZIONE; DIAMETRO (Ø) [MM] = 200. 
LAVORO: POSA. 
SPECIFICHE TECNICHE: NON ISOLATO; IMPREGNATO IN RESINA SINTETICA POLIVINILCLORURO (PVC). OP CONDOTTO DI FIBRA SINTETICA TESSILE; GEOMETRIA: FLESSIBILE; FUNZIONE: DISTRIBUZIONE ARIA; IMPIEGO: IMPIANTO DI CLIMATIZZAZIONE; DIAMETRO (Ø) [MM] = 200. 
SPECIFICHE TECNICHE: NON ISOLATO; IMPREGNATO IN RESINA SINTETICA POLIVINILCLORURO (PVC). 
RM CONDOTTO DI FIBRA SINTETICA TESSILE; GEOMETRIA: FLESSIBILE; FUNZIONE: DISTRIBUZIONE ARIA; IMPIEGO: IMPIANTO DI CLIMATIZZAZIONE; DIAMETRO (Ø) [MM] = 200 
SPECIFICHE TECNICHE: NON ISOLATO; IMPREGNATO IN RESINA SINTETICA POLIVINILCLORURO (PVC) 
LV POSA.</t>
        </is>
      </c>
      <c r="M355" s="4" t="inlineStr">
        <is>
          <t>M</t>
        </is>
      </c>
      <c r="N355" s="5" t="n">
        <v>10</v>
      </c>
      <c r="O355" s="6" t="n">
        <v>14.12</v>
      </c>
      <c r="P355" s="6" t="n">
        <v>141.2</v>
      </c>
      <c r="Q355" s="5" t="n"/>
      <c r="R355" s="6" t="n"/>
      <c r="S355" s="6">
        <f>IF(AND(Q355&lt;&gt;"",R355&lt;&gt;""),Q355*R355,"")</f>
        <v/>
      </c>
      <c r="T355" s="6">
        <f>IF(S355="",P355,S355)</f>
        <v/>
      </c>
      <c r="U355" s="7" t="n">
        <v>0</v>
      </c>
      <c r="V355" s="6">
        <f>$T355*U355</f>
        <v/>
      </c>
      <c r="W355" s="7" t="n">
        <v>0</v>
      </c>
      <c r="X355" s="6">
        <f>$T355*W355</f>
        <v/>
      </c>
      <c r="Y355" s="7" t="n">
        <v>0</v>
      </c>
      <c r="Z355" s="6">
        <f>$T355*Y355</f>
        <v/>
      </c>
      <c r="AA355" s="7" t="n">
        <v>0</v>
      </c>
      <c r="AB355" s="6">
        <f>$T355*AA355</f>
        <v/>
      </c>
      <c r="AC355" s="7" t="n">
        <v>0</v>
      </c>
      <c r="AD355" s="6">
        <f>$T355*AC355</f>
        <v/>
      </c>
      <c r="AE355" s="7" t="n">
        <v>0</v>
      </c>
      <c r="AF355" s="6">
        <f>$T355*AE355</f>
        <v/>
      </c>
      <c r="AG355" s="7" t="n">
        <v>0</v>
      </c>
      <c r="AH355" s="6">
        <f>$T355*AG355</f>
        <v/>
      </c>
      <c r="AI355" s="7">
        <f>U355+W355+Y355+AA355+AC355+AE355+AG355</f>
        <v/>
      </c>
      <c r="AJ355" s="6">
        <f>V355+X355+Z355+AB355+AD355+AF355+AH355</f>
        <v/>
      </c>
    </row>
    <row r="356" ht="60" customHeight="1" s="35">
      <c r="A356" s="3" t="inlineStr">
        <is>
          <t>LOM251.OC.EEA.PA29.F8215.SA000.0255</t>
        </is>
      </c>
      <c r="B356" s="4" t="inlineStr">
        <is>
          <t>2/2</t>
        </is>
      </c>
      <c r="C356" s="3" t="inlineStr">
        <is>
          <t>IMPIANTO MECCANICO</t>
        </is>
      </c>
      <c r="D356" s="4" t="inlineStr">
        <is>
          <t>SPECIALE</t>
        </is>
      </c>
      <c r="E356" s="4" t="inlineStr">
        <is>
          <t>MECCANICHE SPECIALI</t>
        </is>
      </c>
      <c r="F356" s="3" t="inlineStr">
        <is>
          <t>2_CME_TOTALE MECCANICI RADIOFARMACIA PAVIA.PDF</t>
        </is>
      </c>
      <c r="G356" s="4" t="inlineStr">
        <is>
          <t>118/118</t>
        </is>
      </c>
      <c r="H356" s="3" t="inlineStr">
        <is>
          <t>40 - IMPIANTISTICO</t>
        </is>
      </c>
      <c r="I356" s="3" t="inlineStr">
        <is>
          <t>P. PRIMO - PRODUZIONE</t>
        </is>
      </c>
      <c r="J356" s="3" t="inlineStr">
        <is>
          <t>IMPIANTO HVAC</t>
        </is>
      </c>
      <c r="K356" s="3" t="inlineStr">
        <is>
          <t>OPERA: GRIGLIA, DI RIPRESA DI LEGA ALLUMINIO GENERICO; GEOMETRIA: 1 FILARE DI ALETTE FISSE; FUNZIONE: DIFFUSIONE ARIA; IMPIEGO: IMPIANTO DI CLIMATIZZAZIONE; SUPERFICIE FRONTALE [M²] = 0,04 ÷ 0,05. INC</t>
        </is>
      </c>
      <c r="L356" s="3" t="inlineStr">
        <is>
          <t>OPERA: GRIGLIA, DI RIPRESA DI LEGA ALLUMINIO GENERICO; GEOMETRIA: 1 FILARE DI ALETTE FISSE; FUNZIONE: DIFFUSIONE ARIA; IMPIEGO: IMPIANTO DI CLIMATIZZAZIONE; SUPERFICIE FRONTALE [M²] = 0,04 ÷ 0,05. INCLUSO: SERRANDA DI REGOLAZIONE. 
LAVORO: MONTAGGIO. OP GRIGLIA, DI RIPRESA DI LEGA ALLUMINIO GENERICO; GEOMETRIA: 1 FILARE DI ALETTE FISSE; FUNZIONE: DIFFUSIONE ARIA; IMPIEGO: IMPIANTO DI CLIMATIZZAZIONE; SUPERFICIE FRONTALE [M²] = 0,04 ÷ 0,05. INCLUSO: SERRANDA DI REGOLAZIONE. 
RM GRIGLIA DI RIPRESA DI LEGA ALLUMINIO GENERICO; GEOMETRIA: 1 FILARE DI ALETTE FISSE; FUNZIONE: DIFFUSIONE ARIA; IMPIEGO: IMPIANTO DI CLIMATIZZAZIONE; SUPERFICIE FRONTALE [M²] = 0,04 ÷ 0,05. INCLUSO: SERRANDA DI REGOLAZIONE 
LV MONTAGGIO.</t>
        </is>
      </c>
      <c r="M356" s="4" t="inlineStr">
        <is>
          <t>M²</t>
        </is>
      </c>
      <c r="N356" s="5" t="n">
        <v>0.05</v>
      </c>
      <c r="O356" s="6" t="n">
        <v>1838.09</v>
      </c>
      <c r="P356" s="6" t="n">
        <v>91.90000000000001</v>
      </c>
      <c r="Q356" s="5" t="n"/>
      <c r="R356" s="6" t="n"/>
      <c r="S356" s="6">
        <f>IF(AND(Q356&lt;&gt;"",R356&lt;&gt;""),Q356*R356,"")</f>
        <v/>
      </c>
      <c r="T356" s="6">
        <f>IF(S356="",P356,S356)</f>
        <v/>
      </c>
      <c r="U356" s="7" t="n">
        <v>0</v>
      </c>
      <c r="V356" s="6">
        <f>$T356*U356</f>
        <v/>
      </c>
      <c r="W356" s="7" t="n">
        <v>0</v>
      </c>
      <c r="X356" s="6">
        <f>$T356*W356</f>
        <v/>
      </c>
      <c r="Y356" s="7" t="n">
        <v>0</v>
      </c>
      <c r="Z356" s="6">
        <f>$T356*Y356</f>
        <v/>
      </c>
      <c r="AA356" s="7" t="n">
        <v>0</v>
      </c>
      <c r="AB356" s="6">
        <f>$T356*AA356</f>
        <v/>
      </c>
      <c r="AC356" s="7" t="n">
        <v>0</v>
      </c>
      <c r="AD356" s="6">
        <f>$T356*AC356</f>
        <v/>
      </c>
      <c r="AE356" s="7" t="n">
        <v>0</v>
      </c>
      <c r="AF356" s="6">
        <f>$T356*AE356</f>
        <v/>
      </c>
      <c r="AG356" s="7" t="n">
        <v>0</v>
      </c>
      <c r="AH356" s="6">
        <f>$T356*AG356</f>
        <v/>
      </c>
      <c r="AI356" s="7">
        <f>U356+W356+Y356+AA356+AC356+AE356+AG356</f>
        <v/>
      </c>
      <c r="AJ356" s="6">
        <f>V356+X356+Z356+AB356+AD356+AF356+AH356</f>
        <v/>
      </c>
    </row>
    <row r="357" ht="60" customHeight="1" s="35">
      <c r="A357" s="3" t="inlineStr">
        <is>
          <t>LOM251.OC.EEA.PA29.F8215.SA000.0265</t>
        </is>
      </c>
      <c r="B357" s="4" t="inlineStr">
        <is>
          <t>2/2</t>
        </is>
      </c>
      <c r="C357" s="3" t="inlineStr">
        <is>
          <t>IMPIANTO MECCANICO</t>
        </is>
      </c>
      <c r="D357" s="4" t="inlineStr">
        <is>
          <t>SPECIALE</t>
        </is>
      </c>
      <c r="E357" s="4" t="inlineStr">
        <is>
          <t>MECCANICHE SPECIALI</t>
        </is>
      </c>
      <c r="F357" s="3" t="inlineStr">
        <is>
          <t>2_CME_TOTALE MECCANICI RADIOFARMACIA PAVIA.PDF</t>
        </is>
      </c>
      <c r="G357" s="4" t="inlineStr">
        <is>
          <t>119/119</t>
        </is>
      </c>
      <c r="H357" s="3" t="inlineStr">
        <is>
          <t>40 - IMPIANTISTICO</t>
        </is>
      </c>
      <c r="I357" s="3" t="inlineStr">
        <is>
          <t>P. PRIMO - PRODUZIONE</t>
        </is>
      </c>
      <c r="J357" s="3" t="inlineStr">
        <is>
          <t>IMPIANTO HVAC</t>
        </is>
      </c>
      <c r="K357" s="3" t="inlineStr">
        <is>
          <t>OPERA: GRIGLIA, DI RIPRESA DI LEGA ALLUMINIO GENERICO; GEOMETRIA: 1 FILARE DI ALETTE FISSE; FUNZIONE: DIFFUSIONE ARIA; IMPIEGO: IMPIANTO DI CLIMATIZZAZIONE; SUPERFICIE FRONTALE [M²] = 0,09 ÷ 0,12. INC</t>
        </is>
      </c>
      <c r="L357" s="3" t="inlineStr">
        <is>
          <t>OPERA: GRIGLIA, DI RIPRESA DI LEGA ALLUMINIO GENERICO; GEOMETRIA: 1 FILARE DI ALETTE FISSE; FUNZIONE: DIFFUSIONE ARIA; IMPIEGO: IMPIANTO DI CLIMATIZZAZIONE; SUPERFICIE FRONTALE [M²] = 0,09 ÷ 0,12. INCLUSO: SERRANDA DI REGOLAZIONE. 
LAVORO: MONTAGGIO. OP GRIGLIA, DI RIPRESA DI LEGA ALLUMINIO GENERICO; GEOMETRIA: 1 FILARE DI ALETTE FISSE; FUNZIONE: DIFFUSIONE ARIA; IMPIEGO: IMPIANTO DI CLIMATIZZAZIONE; SUPERFICIE FRONTALE [M²] = 0,09 ÷ 0,12. INCLUSO: SERRANDA DI REGOLAZIONE. 
RM GRIGLIA DI RIPRESA DI LEGA ALLUMINIO GENERICO; GEOMETRIA: 1 FILARE DI ALETTE FISSE; FUNZIONE: DIFFUSIONE ARIA; IMPIEGO: IMPIANTO DI CLIMATIZZAZIONE; SUPERFICIE FRONTALE [M²] = 0,09 ÷ 0,12. INCLUSO: SERRANDA DI REGOLAZIONE 
LV MONTAGGIO.</t>
        </is>
      </c>
      <c r="M357" s="4" t="inlineStr">
        <is>
          <t>M²</t>
        </is>
      </c>
      <c r="N357" s="5" t="n">
        <v>0.12</v>
      </c>
      <c r="O357" s="6" t="n">
        <v>815.29</v>
      </c>
      <c r="P357" s="6" t="n">
        <v>97.83</v>
      </c>
      <c r="Q357" s="5" t="n"/>
      <c r="R357" s="6" t="n"/>
      <c r="S357" s="6">
        <f>IF(AND(Q357&lt;&gt;"",R357&lt;&gt;""),Q357*R357,"")</f>
        <v/>
      </c>
      <c r="T357" s="6">
        <f>IF(S357="",P357,S357)</f>
        <v/>
      </c>
      <c r="U357" s="7" t="n">
        <v>0</v>
      </c>
      <c r="V357" s="6">
        <f>$T357*U357</f>
        <v/>
      </c>
      <c r="W357" s="7" t="n">
        <v>0</v>
      </c>
      <c r="X357" s="6">
        <f>$T357*W357</f>
        <v/>
      </c>
      <c r="Y357" s="7" t="n">
        <v>0</v>
      </c>
      <c r="Z357" s="6">
        <f>$T357*Y357</f>
        <v/>
      </c>
      <c r="AA357" s="7" t="n">
        <v>0</v>
      </c>
      <c r="AB357" s="6">
        <f>$T357*AA357</f>
        <v/>
      </c>
      <c r="AC357" s="7" t="n">
        <v>0</v>
      </c>
      <c r="AD357" s="6">
        <f>$T357*AC357</f>
        <v/>
      </c>
      <c r="AE357" s="7" t="n">
        <v>0</v>
      </c>
      <c r="AF357" s="6">
        <f>$T357*AE357</f>
        <v/>
      </c>
      <c r="AG357" s="7" t="n">
        <v>0</v>
      </c>
      <c r="AH357" s="6">
        <f>$T357*AG357</f>
        <v/>
      </c>
      <c r="AI357" s="7">
        <f>U357+W357+Y357+AA357+AC357+AE357+AG357</f>
        <v/>
      </c>
      <c r="AJ357" s="6">
        <f>V357+X357+Z357+AB357+AD357+AF357+AH357</f>
        <v/>
      </c>
    </row>
    <row r="358" ht="60" customHeight="1" s="35">
      <c r="A358" s="3" t="inlineStr">
        <is>
          <t>LOM251.OC.EEA.PA29.L6815.ZA001.0000</t>
        </is>
      </c>
      <c r="B358" s="4" t="inlineStr">
        <is>
          <t>2/2</t>
        </is>
      </c>
      <c r="C358" s="3" t="inlineStr">
        <is>
          <t>IMPIANTO MECCANICO</t>
        </is>
      </c>
      <c r="D358" s="4" t="inlineStr">
        <is>
          <t>SPECIALE</t>
        </is>
      </c>
      <c r="E358" s="4" t="inlineStr">
        <is>
          <t>MECCANICHE SPECIALI</t>
        </is>
      </c>
      <c r="F358" s="3" t="inlineStr">
        <is>
          <t>2_CME_TOTALE MECCANICI RADIOFARMACIA PAVIA.PDF</t>
        </is>
      </c>
      <c r="G358" s="4" t="inlineStr">
        <is>
          <t>120/120</t>
        </is>
      </c>
      <c r="H358" s="3" t="inlineStr">
        <is>
          <t>40 - IMPIANTISTICO</t>
        </is>
      </c>
      <c r="I358" s="3" t="inlineStr">
        <is>
          <t>P. PRIMO - PRODUZIONE</t>
        </is>
      </c>
      <c r="J358" s="3" t="inlineStr">
        <is>
          <t>IMPIANTO HVAC</t>
        </is>
      </c>
      <c r="K358" s="3" t="inlineStr">
        <is>
          <t>OPERA: SERRANDA TAGLIAFUOCO, CIRCOLARE; FUNZIONE: IMPEDIMENTO PROPAGAZIONE INCENDIO; IMPIEGO: IMPIANTO DI CLIMATIZZAZIONE; DIAMETRO (Ø) [MM] = 200; RESISTENZA AL FUOCO [CLASSE] = REI120. INCLUSO: GUAR</t>
        </is>
      </c>
      <c r="L358" s="3" t="inlineStr">
        <is>
          <t>OPERA: SERRANDA TAGLIAFUOCO, CIRCOLARE; FUNZIONE: IMPEDIMENTO PROPAGAZIONE INCENDIO; IMPIEGO: IMPIANTO DI CLIMATIZZAZIONE; DIAMETRO (Ø) [MM] = 200; RESISTENZA AL FUOCO [CLASSE] = REI120. INCLUSO: GUARNIZIONI TERMOESPANDENTI; DISGIUNTORE PORTAFUSIBILE. 
LAVORO: MONTAGGIO. 
SPECIFICHE TECNICHE: CHIUSURA STANDARD A MOLLA CON LEVA DI RIARMO MANUALE; DISGIUNTORE AD UNA TEMPERATURA [°C] = 72. OP SERRANDA TAGLIAFUOCO, CIRCOLARE; FUNZIONE: IMPEDIMENTO PROPAGAZIONE INCENDIO; IMPIEGO: IMPIANTO DI CLIMATIZZAZIONE; DIAMETRO (Ø) [MM] = 200; RESISTENZA AL FUOCO [CLASSE] = REI120. INCLUSO: GUARNIZIONI TERMOESPANDENTI; DISGIUNTORE PORTAFUSIBILE. 
SPECIFICHE TECNICHE: CHIUSURA STANDARD A MOLLA CON LEVA DI RIARMO MANUALE; DISGIUNTORE AD UNA TEMPERATURA [°C] = 72. 
RM SERRANDA TAGLIAFUOCO CIRCOLARE; FUNZIONE: IMPEDIMENTO PROPAGAZIONE INCENDIO; IMPIEGO: IMPIANTO DI CLIMATIZZAZIONE; DIAMETRO (Ø) [MM] = 200; RESISTENZA AL FUOCO [CLASSE] = REI120. COMPONENTI: INVOLUCRO, PALA. INCLUSO: GUARNIZIONI TERMOESPANDENTI; DISGIUNTORE PORTAFUSIBILE 
SPECIFICHE TECNICHE: CHIUSURA STANDARD A MOLLA CON LEVA DI RIARMO MANUALE; DISGIUNTORE AD UNA TEMPERATURA [°C] = 72 
LV MONTAGGIO.</t>
        </is>
      </c>
      <c r="M358" s="4" t="inlineStr">
        <is>
          <t>CAD</t>
        </is>
      </c>
      <c r="N358" s="5" t="n">
        <v>1</v>
      </c>
      <c r="O358" s="6" t="n">
        <v>201.6</v>
      </c>
      <c r="P358" s="6" t="n">
        <v>201.6</v>
      </c>
      <c r="Q358" s="5" t="n"/>
      <c r="R358" s="6" t="n"/>
      <c r="S358" s="6">
        <f>IF(AND(Q358&lt;&gt;"",R358&lt;&gt;""),Q358*R358,"")</f>
        <v/>
      </c>
      <c r="T358" s="6">
        <f>IF(S358="",P358,S358)</f>
        <v/>
      </c>
      <c r="U358" s="7" t="n">
        <v>0</v>
      </c>
      <c r="V358" s="6">
        <f>$T358*U358</f>
        <v/>
      </c>
      <c r="W358" s="7" t="n">
        <v>0</v>
      </c>
      <c r="X358" s="6">
        <f>$T358*W358</f>
        <v/>
      </c>
      <c r="Y358" s="7" t="n">
        <v>0</v>
      </c>
      <c r="Z358" s="6">
        <f>$T358*Y358</f>
        <v/>
      </c>
      <c r="AA358" s="7" t="n">
        <v>0</v>
      </c>
      <c r="AB358" s="6">
        <f>$T358*AA358</f>
        <v/>
      </c>
      <c r="AC358" s="7" t="n">
        <v>0</v>
      </c>
      <c r="AD358" s="6">
        <f>$T358*AC358</f>
        <v/>
      </c>
      <c r="AE358" s="7" t="n">
        <v>0</v>
      </c>
      <c r="AF358" s="6">
        <f>$T358*AE358</f>
        <v/>
      </c>
      <c r="AG358" s="7" t="n">
        <v>0</v>
      </c>
      <c r="AH358" s="6">
        <f>$T358*AG358</f>
        <v/>
      </c>
      <c r="AI358" s="7">
        <f>U358+W358+Y358+AA358+AC358+AE358+AG358</f>
        <v/>
      </c>
      <c r="AJ358" s="6">
        <f>V358+X358+Z358+AB358+AD358+AF358+AH358</f>
        <v/>
      </c>
    </row>
    <row r="359" ht="60" customHeight="1" s="35">
      <c r="A359" s="3" t="inlineStr">
        <is>
          <t>DEI_IT_015002B</t>
        </is>
      </c>
      <c r="B359" s="4" t="inlineStr">
        <is>
          <t>4/5</t>
        </is>
      </c>
      <c r="C359" s="3" t="inlineStr">
        <is>
          <t>IMPIANTO MECCANICO</t>
        </is>
      </c>
      <c r="D359" s="4" t="inlineStr">
        <is>
          <t>SPECIALE</t>
        </is>
      </c>
      <c r="E359" s="4" t="inlineStr">
        <is>
          <t>MECCANICHE SPECIALI</t>
        </is>
      </c>
      <c r="F359" s="3" t="inlineStr">
        <is>
          <t>2_CME_TOTALE MECCANICI RADIOFARMACIA PAVIA.PDF</t>
        </is>
      </c>
      <c r="G359" s="4" t="inlineStr">
        <is>
          <t>148/148</t>
        </is>
      </c>
      <c r="H359" s="3" t="inlineStr">
        <is>
          <t>40 - IMPIANTISTICO</t>
        </is>
      </c>
      <c r="I359" s="3" t="inlineStr">
        <is>
          <t>CENTRALE</t>
        </is>
      </c>
      <c r="J359" s="3" t="inlineStr">
        <is>
          <t>IMPIANTO IDRICO E FOGNA</t>
        </is>
      </c>
      <c r="K359" s="3" t="inlineStr">
        <is>
          <t>TUBO IN ACCIAIO SENZA SALDATURA A NORMA UNI EN 10255, ZINCATO A CALDO A NORMA EN 10240-A1 ED AL DM MINISTERO DELLA SALUTE 6/4/2004 N. 174, FILETTATO E CON MANICOTTO, LAVORATO E POSTO IN OPERA (SINO AD</t>
        </is>
      </c>
      <c r="L359" s="3" t="inlineStr">
        <is>
          <t>TUBO IN ACCIAIO SENZA SALDATURA A NORMA UNI EN 10255, ZINCATO A CALDO A NORMA EN 10240-A1 ED AL DM MINISTERO DELLA SALUTE 6/4/2004 N. 174, FILETTATO E CON MANICOTTO, LAVORATO E POSTO IN OPERA (SINO AD UN'ALTEZZA DI 3,00 M DAL PIANO DI LAVORO) TAGLIATO A MISURA, COMPRESE EVENTUALI CRAVATTE A MURO, VERNICIATURA, SALDATURA E QUANTO ALTRO NECESSARIO PER DARE IL LAVORO FINITO A REGOLA D'ARTE, ESCLUSI GLI SCAVI, RINTERRI, TRACCE E RACCORDERIA: SERIE MEDIA: Ø INTERNO 1/2", SPESSORE 2,6 MM</t>
        </is>
      </c>
      <c r="M359" s="4" t="inlineStr">
        <is>
          <t>M</t>
        </is>
      </c>
      <c r="N359" s="5" t="n">
        <v>9</v>
      </c>
      <c r="O359" s="6" t="n">
        <v>24.52</v>
      </c>
      <c r="P359" s="6" t="n">
        <v>220.68</v>
      </c>
      <c r="Q359" s="5" t="n"/>
      <c r="R359" s="6" t="n"/>
      <c r="S359" s="6">
        <f>IF(AND(Q359&lt;&gt;"",R359&lt;&gt;""),Q359*R359,"")</f>
        <v/>
      </c>
      <c r="T359" s="6">
        <f>IF(S359="",P359,S359)</f>
        <v/>
      </c>
      <c r="U359" s="7" t="n">
        <v>0</v>
      </c>
      <c r="V359" s="6">
        <f>$T359*U359</f>
        <v/>
      </c>
      <c r="W359" s="7" t="n">
        <v>0</v>
      </c>
      <c r="X359" s="6">
        <f>$T359*W359</f>
        <v/>
      </c>
      <c r="Y359" s="7" t="n">
        <v>0</v>
      </c>
      <c r="Z359" s="6">
        <f>$T359*Y359</f>
        <v/>
      </c>
      <c r="AA359" s="7" t="n">
        <v>0</v>
      </c>
      <c r="AB359" s="6">
        <f>$T359*AA359</f>
        <v/>
      </c>
      <c r="AC359" s="7" t="n">
        <v>0</v>
      </c>
      <c r="AD359" s="6">
        <f>$T359*AC359</f>
        <v/>
      </c>
      <c r="AE359" s="7" t="n">
        <v>0</v>
      </c>
      <c r="AF359" s="6">
        <f>$T359*AE359</f>
        <v/>
      </c>
      <c r="AG359" s="7" t="n">
        <v>0</v>
      </c>
      <c r="AH359" s="6">
        <f>$T359*AG359</f>
        <v/>
      </c>
      <c r="AI359" s="7">
        <f>U359+W359+Y359+AA359+AC359+AE359+AG359</f>
        <v/>
      </c>
      <c r="AJ359" s="6">
        <f>V359+X359+Z359+AB359+AD359+AF359+AH359</f>
        <v/>
      </c>
    </row>
    <row r="360" ht="60" customHeight="1" s="35">
      <c r="A360" s="3" t="inlineStr">
        <is>
          <t>DEI_IT_015002C</t>
        </is>
      </c>
      <c r="B360" s="4" t="inlineStr">
        <is>
          <t>3/4</t>
        </is>
      </c>
      <c r="C360" s="3" t="inlineStr">
        <is>
          <t>IMPIANTO MECCANICO</t>
        </is>
      </c>
      <c r="D360" s="4" t="inlineStr">
        <is>
          <t>SPECIALE</t>
        </is>
      </c>
      <c r="E360" s="4" t="inlineStr">
        <is>
          <t>MECCANICHE SPECIALI</t>
        </is>
      </c>
      <c r="F360" s="3" t="inlineStr">
        <is>
          <t>2_CME_TOTALE MECCANICI RADIOFARMACIA PAVIA.PDF</t>
        </is>
      </c>
      <c r="G360" s="4" t="inlineStr">
        <is>
          <t>149/149</t>
        </is>
      </c>
      <c r="H360" s="3" t="inlineStr">
        <is>
          <t>40 - IMPIANTISTICO</t>
        </is>
      </c>
      <c r="I360" s="3" t="inlineStr">
        <is>
          <t>CENTRALE</t>
        </is>
      </c>
      <c r="J360" s="3" t="inlineStr">
        <is>
          <t>IMPIANTO IDRICO E FOGNA</t>
        </is>
      </c>
      <c r="K360" s="3" t="inlineStr">
        <is>
          <t>TUBO IN ACCIAIO SENZA SALDATURA A NORMA UNI EN 10255, ZINCATO A CALDO A NORMA EN 10240-A1 ED AL DM MINISTERO DELLA SALUTE 6/4/2004 N. 174, FILETTATO E CON MANICOTTO, LAVORATO E POSTO IN OPERA (SINO AD</t>
        </is>
      </c>
      <c r="L360" s="3" t="inlineStr">
        <is>
          <t>TUBO IN ACCIAIO SENZA SALDATURA A NORMA UNI EN 10255, ZINCATO A CALDO A NORMA EN 10240-A1 ED AL DM MINISTERO DELLA SALUTE 6/4/2004 N. 174, FILETTATO E CON MANICOTTO, LAVORATO E POSTO IN OPERA (SINO AD UN'ALTEZZA DI 3,00 M DAL PIANO DI LAVORO) TAGLIATO A MISURA, COMPRESE EVENTUALI CRAVATTE A MURO, VERNICIATURA, SALDATURA E QUANTO ALTRO NECESSARIO PER DARE IL LAVORO FINITO A REGOLA D'ARTE, ESCLUSI GLI SCAVI, RINTERRI, TRACCE E RACCORDERIA: SERIE MEDIA: Ø INTERNO 3/4", SPESSORE 2,6 MM</t>
        </is>
      </c>
      <c r="M360" s="4" t="inlineStr">
        <is>
          <t>M</t>
        </is>
      </c>
      <c r="N360" s="5" t="n">
        <v>2</v>
      </c>
      <c r="O360" s="6" t="n">
        <v>27.97</v>
      </c>
      <c r="P360" s="6" t="n">
        <v>55.94</v>
      </c>
      <c r="Q360" s="5" t="n"/>
      <c r="R360" s="6" t="n"/>
      <c r="S360" s="6">
        <f>IF(AND(Q360&lt;&gt;"",R360&lt;&gt;""),Q360*R360,"")</f>
        <v/>
      </c>
      <c r="T360" s="6">
        <f>IF(S360="",P360,S360)</f>
        <v/>
      </c>
      <c r="U360" s="7" t="n">
        <v>0</v>
      </c>
      <c r="V360" s="6">
        <f>$T360*U360</f>
        <v/>
      </c>
      <c r="W360" s="7" t="n">
        <v>0</v>
      </c>
      <c r="X360" s="6">
        <f>$T360*W360</f>
        <v/>
      </c>
      <c r="Y360" s="7" t="n">
        <v>0</v>
      </c>
      <c r="Z360" s="6">
        <f>$T360*Y360</f>
        <v/>
      </c>
      <c r="AA360" s="7" t="n">
        <v>0</v>
      </c>
      <c r="AB360" s="6">
        <f>$T360*AA360</f>
        <v/>
      </c>
      <c r="AC360" s="7" t="n">
        <v>0</v>
      </c>
      <c r="AD360" s="6">
        <f>$T360*AC360</f>
        <v/>
      </c>
      <c r="AE360" s="7" t="n">
        <v>0</v>
      </c>
      <c r="AF360" s="6">
        <f>$T360*AE360</f>
        <v/>
      </c>
      <c r="AG360" s="7" t="n">
        <v>0</v>
      </c>
      <c r="AH360" s="6">
        <f>$T360*AG360</f>
        <v/>
      </c>
      <c r="AI360" s="7">
        <f>U360+W360+Y360+AA360+AC360+AE360+AG360</f>
        <v/>
      </c>
      <c r="AJ360" s="6">
        <f>V360+X360+Z360+AB360+AD360+AF360+AH360</f>
        <v/>
      </c>
    </row>
    <row r="361" ht="60" customHeight="1" s="35">
      <c r="A361" s="3" t="inlineStr">
        <is>
          <t>DEI_IT_015002D</t>
        </is>
      </c>
      <c r="B361" s="4" t="inlineStr">
        <is>
          <t>3/4</t>
        </is>
      </c>
      <c r="C361" s="3" t="inlineStr">
        <is>
          <t>IMPIANTO MECCANICO</t>
        </is>
      </c>
      <c r="D361" s="4" t="inlineStr">
        <is>
          <t>SPECIALE</t>
        </is>
      </c>
      <c r="E361" s="4" t="inlineStr">
        <is>
          <t>MECCANICHE SPECIALI</t>
        </is>
      </c>
      <c r="F361" s="3" t="inlineStr">
        <is>
          <t>2_CME_TOTALE MECCANICI RADIOFARMACIA PAVIA.PDF</t>
        </is>
      </c>
      <c r="G361" s="4" t="inlineStr">
        <is>
          <t>150/150</t>
        </is>
      </c>
      <c r="H361" s="3" t="inlineStr">
        <is>
          <t>40 - IMPIANTISTICO</t>
        </is>
      </c>
      <c r="I361" s="3" t="inlineStr">
        <is>
          <t>CENTRALE</t>
        </is>
      </c>
      <c r="J361" s="3" t="inlineStr">
        <is>
          <t>IMPIANTO IDRICO E FOGNA</t>
        </is>
      </c>
      <c r="K361" s="3" t="inlineStr">
        <is>
          <t>TUBO IN ACCIAIO SENZA SALDATURA A NORMA UNI EN 10255, ZINCATO A CALDO A NORMA EN 10240-A1 ED AL DM MINISTERO DELLA SALUTE 6/4/2004 N. 174, FILETTATO E CON MANICOTTO, LAVORATO E POSTO IN OPERA (SINO AD</t>
        </is>
      </c>
      <c r="L361" s="3" t="inlineStr">
        <is>
          <t>TUBO IN ACCIAIO SENZA SALDATURA A NORMA UNI EN 10255, ZINCATO A CALDO A NORMA EN 10240-A1 ED AL DM MINISTERO DELLA SALUTE 6/4/2004 N. 174, FILETTATO E CON MANICOTTO, LAVORATO E POSTO IN OPERA (SINO AD UN'ALTEZZA DI 3,00 M DAL PIANO DI LAVORO) TAGLIATO A MISURA, COMPRESE EVENTUALI CRAVATTE A MURO, VERNICIATURA, SALDATURA E QUANTO ALTRO NECESSARIO PER DARE IL LAVORO FINITO A REGOLA D'ARTE, ESCLUSI GLI SCAVI, RINTERRI, TRACCE E RACCORDERIA: SERIE MEDIA: Ø INTERNO 1", SPESSORE 3,2 MM</t>
        </is>
      </c>
      <c r="M361" s="4" t="inlineStr">
        <is>
          <t>M</t>
        </is>
      </c>
      <c r="N361" s="5" t="n">
        <v>1</v>
      </c>
      <c r="O361" s="6" t="n">
        <v>31.42</v>
      </c>
      <c r="P361" s="6" t="n">
        <v>31.42</v>
      </c>
      <c r="Q361" s="5" t="n"/>
      <c r="R361" s="6" t="n"/>
      <c r="S361" s="6">
        <f>IF(AND(Q361&lt;&gt;"",R361&lt;&gt;""),Q361*R361,"")</f>
        <v/>
      </c>
      <c r="T361" s="6">
        <f>IF(S361="",P361,S361)</f>
        <v/>
      </c>
      <c r="U361" s="7" t="n">
        <v>0</v>
      </c>
      <c r="V361" s="6">
        <f>$T361*U361</f>
        <v/>
      </c>
      <c r="W361" s="7" t="n">
        <v>0</v>
      </c>
      <c r="X361" s="6">
        <f>$T361*W361</f>
        <v/>
      </c>
      <c r="Y361" s="7" t="n">
        <v>0</v>
      </c>
      <c r="Z361" s="6">
        <f>$T361*Y361</f>
        <v/>
      </c>
      <c r="AA361" s="7" t="n">
        <v>0</v>
      </c>
      <c r="AB361" s="6">
        <f>$T361*AA361</f>
        <v/>
      </c>
      <c r="AC361" s="7" t="n">
        <v>0</v>
      </c>
      <c r="AD361" s="6">
        <f>$T361*AC361</f>
        <v/>
      </c>
      <c r="AE361" s="7" t="n">
        <v>0</v>
      </c>
      <c r="AF361" s="6">
        <f>$T361*AE361</f>
        <v/>
      </c>
      <c r="AG361" s="7" t="n">
        <v>0</v>
      </c>
      <c r="AH361" s="6">
        <f>$T361*AG361</f>
        <v/>
      </c>
      <c r="AI361" s="7">
        <f>U361+W361+Y361+AA361+AC361+AE361+AG361</f>
        <v/>
      </c>
      <c r="AJ361" s="6">
        <f>V361+X361+Z361+AB361+AD361+AF361+AH361</f>
        <v/>
      </c>
    </row>
    <row r="362" ht="60" customHeight="1" s="35">
      <c r="A362" s="3" t="inlineStr">
        <is>
          <t>LOM251.OC.EEA.PA02.I1500.E0011.0135</t>
        </is>
      </c>
      <c r="B362" s="4" t="inlineStr">
        <is>
          <t>3/3</t>
        </is>
      </c>
      <c r="C362" s="3" t="inlineStr">
        <is>
          <t>IMPIANTO MECCANICO</t>
        </is>
      </c>
      <c r="D362" s="4" t="inlineStr">
        <is>
          <t>SPECIALE</t>
        </is>
      </c>
      <c r="E362" s="4" t="inlineStr">
        <is>
          <t>MECCANICHE SPECIALI</t>
        </is>
      </c>
      <c r="F362" s="3" t="inlineStr">
        <is>
          <t>2_CME_TOTALE MECCANICI RADIOFARMACIA PAVIA.PDF</t>
        </is>
      </c>
      <c r="G362" s="4" t="inlineStr">
        <is>
          <t>151/151</t>
        </is>
      </c>
      <c r="H362" s="3" t="inlineStr">
        <is>
          <t>40 - IMPIANTISTICO</t>
        </is>
      </c>
      <c r="I362" s="3" t="inlineStr">
        <is>
          <t>CENTRALE</t>
        </is>
      </c>
      <c r="J362" s="3" t="inlineStr">
        <is>
          <t>IMPIANTO IDRICO E FOGNA</t>
        </is>
      </c>
      <c r="K362" s="3" t="inlineStr">
        <is>
          <t>OPERA: LASTRA DI GOMMA ELASTOMERICA ESPANSA A CELLULE CHIUSE; FUNZIONE: COIBENTAZIONE; IMPIEGO: TUBAZIONE; SPESSORE MINIMO LASTRA [MM] = 19 | SPESSORE MINIMO ELASTOMERO PER IL DIAMETRO ESTERNO TUBO [M</t>
        </is>
      </c>
      <c r="L362" s="3" t="inlineStr">
        <is>
          <t>OPERA: LASTRA DI GOMMA ELASTOMERICA ESPANSA A CELLULE CHIUSE; FUNZIONE: COIBENTAZIONE; IMPIEGO: TUBAZIONE; SPESSORE MINIMO LASTRA [MM] = 19 | SPESSORE MINIMO ELASTOMERO PER IL DIAMETRO ESTERNO TUBO [MM] = 28 | DIAMETRO NOMINALE TUBAZIONE [MM] = 20; RESISTENZA ALLA FIAMMA [CLASSE] = 1; FATTORE DI PERMEABILITÀ (Μ) MINIMO [-] = 4000. 
LAVORO: POSA. 
SPECIFICHE TECNICHE: GOMMA ELASTOMERICA ESPANSA A CELLULE CHIUSE SENZA ALOGENI NÉ PVC. OP LASTRA DI GOMMA ELASTOMERICA ESPANSA A CELLULE CHIUSE; FUNZIONE: COIBENTAZIONE; IMPIEGO: TUBAZIONE; SPESSORE MINIMO LASTRA [MM] = 19 | SPESSORE MINIMO ELASTOMERO PER IL DIAMETRO ESTERNO TUBO [MM] = 28 | DIAMETRO NOMINALE TUBAZIONE [MM] = 20; RESISTENZA ALLA FIAMMA [CLASSE] = 1; FATTORE DI PERMEABILITÀ (Μ) MINIMO [-] = 4000. 
SPECIFICHE TECNICHE: GOMMA ELASTOMERICA ESPANSA A CELLULE CHIUSE SENZA ALOGENI NÉ PVC. 
RM LASTRA DI GOMMA ESPANSA A CELLULE CHIUSE; FUNZIONE: COIBENTAZIONE; IMPIEGO: TUBAZIONE; SPESSORE MINIMO LASTRA [MM] = 19 | SPESSORE MINIMO ELASTOMERO PER IL DIAMETRO ESTERNO TUBO [MM] = 28 | DIAMETRO NOMINALE TUBAZIONE [MM] = 20; RESISTENZA ALLA FIAMMA [CLASSE] = 1; FATTORE DI PERMEABILITÀ (Μ) MINIMO [-] = 4000 
SPECIFICHE TECNICHE: GOMMA ELASTOMERICA ESPANSA A CELLULE CHIUSE SENZA ALOGENI NÉ PVC 
LV POSA.</t>
        </is>
      </c>
      <c r="M362" s="4" t="inlineStr">
        <is>
          <t>M</t>
        </is>
      </c>
      <c r="N362" s="5" t="n">
        <v>9</v>
      </c>
      <c r="O362" s="6" t="n">
        <v>8.98</v>
      </c>
      <c r="P362" s="6" t="n">
        <v>80.81999999999999</v>
      </c>
      <c r="Q362" s="5" t="n"/>
      <c r="R362" s="6" t="n"/>
      <c r="S362" s="6">
        <f>IF(AND(Q362&lt;&gt;"",R362&lt;&gt;""),Q362*R362,"")</f>
        <v/>
      </c>
      <c r="T362" s="6">
        <f>IF(S362="",P362,S362)</f>
        <v/>
      </c>
      <c r="U362" s="7" t="n">
        <v>0</v>
      </c>
      <c r="V362" s="6">
        <f>$T362*U362</f>
        <v/>
      </c>
      <c r="W362" s="7" t="n">
        <v>0</v>
      </c>
      <c r="X362" s="6">
        <f>$T362*W362</f>
        <v/>
      </c>
      <c r="Y362" s="7" t="n">
        <v>0</v>
      </c>
      <c r="Z362" s="6">
        <f>$T362*Y362</f>
        <v/>
      </c>
      <c r="AA362" s="7" t="n">
        <v>0</v>
      </c>
      <c r="AB362" s="6">
        <f>$T362*AA362</f>
        <v/>
      </c>
      <c r="AC362" s="7" t="n">
        <v>0</v>
      </c>
      <c r="AD362" s="6">
        <f>$T362*AC362</f>
        <v/>
      </c>
      <c r="AE362" s="7" t="n">
        <v>0</v>
      </c>
      <c r="AF362" s="6">
        <f>$T362*AE362</f>
        <v/>
      </c>
      <c r="AG362" s="7" t="n">
        <v>0</v>
      </c>
      <c r="AH362" s="6">
        <f>$T362*AG362</f>
        <v/>
      </c>
      <c r="AI362" s="7">
        <f>U362+W362+Y362+AA362+AC362+AE362+AG362</f>
        <v/>
      </c>
      <c r="AJ362" s="6">
        <f>V362+X362+Z362+AB362+AD362+AF362+AH362</f>
        <v/>
      </c>
    </row>
    <row r="363" ht="60" customHeight="1" s="35">
      <c r="A363" s="3" t="inlineStr">
        <is>
          <t>LOM251.OC.EEA.PA02.I1500.E0011.0140</t>
        </is>
      </c>
      <c r="B363" s="4" t="inlineStr">
        <is>
          <t>3/3</t>
        </is>
      </c>
      <c r="C363" s="3" t="inlineStr">
        <is>
          <t>IMPIANTO MECCANICO</t>
        </is>
      </c>
      <c r="D363" s="4" t="inlineStr">
        <is>
          <t>SPECIALE</t>
        </is>
      </c>
      <c r="E363" s="4" t="inlineStr">
        <is>
          <t>MECCANICHE SPECIALI</t>
        </is>
      </c>
      <c r="F363" s="3" t="inlineStr">
        <is>
          <t>2_CME_TOTALE MECCANICI RADIOFARMACIA PAVIA.PDF</t>
        </is>
      </c>
      <c r="G363" s="4" t="inlineStr">
        <is>
          <t>152/152</t>
        </is>
      </c>
      <c r="H363" s="3" t="inlineStr">
        <is>
          <t>40 - IMPIANTISTICO</t>
        </is>
      </c>
      <c r="I363" s="3" t="inlineStr">
        <is>
          <t>CENTRALE</t>
        </is>
      </c>
      <c r="J363" s="3" t="inlineStr">
        <is>
          <t>IMPIANTO IDRICO E FOGNA</t>
        </is>
      </c>
      <c r="K363" s="3" t="inlineStr">
        <is>
          <t>OPERA: LASTRA DI GOMMA ELASTOMERICA ESPANSA A CELLULE CHIUSE; FUNZIONE: COIBENTAZIONE; IMPIEGO: TUBAZIONE; SPESSORE MINIMO LASTRA [MM] = 19 | SPESSORE MINIMO ELASTOMERO PER IL DIAMETRO ESTERNO TUBO [M</t>
        </is>
      </c>
      <c r="L363" s="3" t="inlineStr">
        <is>
          <t>OPERA: LASTRA DI GOMMA ELASTOMERICA ESPANSA A CELLULE CHIUSE; FUNZIONE: COIBENTAZIONE; IMPIEGO: TUBAZIONE; SPESSORE MINIMO LASTRA [MM] = 19 | SPESSORE MINIMO ELASTOMERO PER IL DIAMETRO ESTERNO TUBO [MM] = 35 | DIAMETRO NOMINALE TUBAZIONE [MM] = 25; RESISTENZA ALLA FIAMMA [CLASSE] = 1; FATTORE DI PERMEABILITÀ (Μ) MINIMO [-] = 4000. 
LAVORO: POSA. 
SPECIFICHE TECNICHE: GOMMA ELASTOMERICA ESPANSA A CELLULE CHIUSE SENZA ALOGENI NÉ PVC. OP LASTRA DI GOMMA ELASTOMERICA ESPANSA A CELLULE CHIUSE; FUNZIONE: COIBENTAZIONE; IMPIEGO: TUBAZIONE; SPESSORE MINIMO LASTRA [MM] = 19 | SPESSORE MINIMO ELASTOMERO PER IL DIAMETRO ESTERNO TUBO [MM] = 35 | DIAMETRO NOMINALE TUBAZIONE [MM] = 25; RESISTENZA ALLA FIAMMA [CLASSE] = 1; FATTORE DI PERMEABILITÀ (Μ) MINIMO [-] = 4000. 
SPECIFICHE TECNICHE: GOMMA ELASTOMERICA ESPANSA A CELLULE CHIUSE SENZA ALOGENI NÉ PVC. 
RM LASTRA DI GOMMA ESPANSA A CELLULE CHIUSE; FUNZIONE: COIBENTAZIONE; IMPIEGO: TUBAZIONE; SPESSORE MINIMO LASTRA [MM] = 19 | SPESSORE MINIMO ELASTOMERO PER IL DIAMETRO ESTERNO TUBO [MM] = 35 | DIAMETRO NOMINALE TUBAZIONE [MM] = 25; RESISTENZA ALLA FIAMMA [CLASSE] = 1; FATTORE DI PERMEABILITÀ (Μ) MINIMO [-] = 4000 
SPECIFICHE TECNICHE: GOMMA ELASTOMERICA ESPANSA A CELLULE CHIUSE SENZA ALOGENI NÉ PVC 
LV POSA.</t>
        </is>
      </c>
      <c r="M363" s="4" t="inlineStr">
        <is>
          <t>M</t>
        </is>
      </c>
      <c r="N363" s="5" t="n">
        <v>2</v>
      </c>
      <c r="O363" s="6" t="n">
        <v>8.98</v>
      </c>
      <c r="P363" s="6" t="n">
        <v>17.96</v>
      </c>
      <c r="Q363" s="5" t="n"/>
      <c r="R363" s="6" t="n"/>
      <c r="S363" s="6">
        <f>IF(AND(Q363&lt;&gt;"",R363&lt;&gt;""),Q363*R363,"")</f>
        <v/>
      </c>
      <c r="T363" s="6">
        <f>IF(S363="",P363,S363)</f>
        <v/>
      </c>
      <c r="U363" s="7" t="n">
        <v>0</v>
      </c>
      <c r="V363" s="6">
        <f>$T363*U363</f>
        <v/>
      </c>
      <c r="W363" s="7" t="n">
        <v>0</v>
      </c>
      <c r="X363" s="6">
        <f>$T363*W363</f>
        <v/>
      </c>
      <c r="Y363" s="7" t="n">
        <v>0</v>
      </c>
      <c r="Z363" s="6">
        <f>$T363*Y363</f>
        <v/>
      </c>
      <c r="AA363" s="7" t="n">
        <v>0</v>
      </c>
      <c r="AB363" s="6">
        <f>$T363*AA363</f>
        <v/>
      </c>
      <c r="AC363" s="7" t="n">
        <v>0</v>
      </c>
      <c r="AD363" s="6">
        <f>$T363*AC363</f>
        <v/>
      </c>
      <c r="AE363" s="7" t="n">
        <v>0</v>
      </c>
      <c r="AF363" s="6">
        <f>$T363*AE363</f>
        <v/>
      </c>
      <c r="AG363" s="7" t="n">
        <v>0</v>
      </c>
      <c r="AH363" s="6">
        <f>$T363*AG363</f>
        <v/>
      </c>
      <c r="AI363" s="7">
        <f>U363+W363+Y363+AA363+AC363+AE363+AG363</f>
        <v/>
      </c>
      <c r="AJ363" s="6">
        <f>V363+X363+Z363+AB363+AD363+AF363+AH363</f>
        <v/>
      </c>
    </row>
    <row r="364" ht="60" customHeight="1" s="35">
      <c r="A364" s="3" t="inlineStr">
        <is>
          <t>LOM251.OC.EEA.PA02.I1500.E0011.0145</t>
        </is>
      </c>
      <c r="B364" s="4" t="inlineStr">
        <is>
          <t>3/3</t>
        </is>
      </c>
      <c r="C364" s="3" t="inlineStr">
        <is>
          <t>IMPIANTO MECCANICO</t>
        </is>
      </c>
      <c r="D364" s="4" t="inlineStr">
        <is>
          <t>SPECIALE</t>
        </is>
      </c>
      <c r="E364" s="4" t="inlineStr">
        <is>
          <t>MECCANICHE SPECIALI</t>
        </is>
      </c>
      <c r="F364" s="3" t="inlineStr">
        <is>
          <t>2_CME_TOTALE MECCANICI RADIOFARMACIA PAVIA.PDF</t>
        </is>
      </c>
      <c r="G364" s="4" t="inlineStr">
        <is>
          <t>153/153</t>
        </is>
      </c>
      <c r="H364" s="3" t="inlineStr">
        <is>
          <t>40 - IMPIANTISTICO</t>
        </is>
      </c>
      <c r="I364" s="3" t="inlineStr">
        <is>
          <t>CENTRALE</t>
        </is>
      </c>
      <c r="J364" s="3" t="inlineStr">
        <is>
          <t>IMPIANTO IDRICO E FOGNA</t>
        </is>
      </c>
      <c r="K364" s="3" t="inlineStr">
        <is>
          <t>OPERA: LASTRA DI GOMMA ELASTOMERICA ESPANSA A CELLULE CHIUSE; FUNZIONE: COIBENTAZIONE; IMPIEGO: TUBAZIONE; SPESSORE MINIMO LASTRA [MM] = 19 | SPESSORE MINIMO ELASTOMERO PER IL DIAMETRO ESTERNO TUBO [M</t>
        </is>
      </c>
      <c r="L364" s="3" t="inlineStr">
        <is>
          <t>OPERA: LASTRA DI GOMMA ELASTOMERICA ESPANSA A CELLULE CHIUSE; FUNZIONE: COIBENTAZIONE; IMPIEGO: TUBAZIONE; SPESSORE MINIMO LASTRA [MM] = 19 | SPESSORE MINIMO ELASTOMERO PER IL DIAMETRO ESTERNO TUBO [MM] = 42 | DIAMETRO NOMINALE TUBAZIONE [MM] = 32; RESISTENZA ALLA FIAMMA [CLASSE] = 1; FATTORE DI PERMEABILITÀ (Μ) MINIMO [-] = 4000. 
LAVORO: POSA. 
SPECIFICHE TECNICHE: GOMMA ELASTOMERICA ESPANSA A CELLULE CHIUSE SENZA ALOGENI NÉ PVC. OP LASTRA DI GOMMA ELASTOMERICA ESPANSA A CELLULE CHIUSE; FUNZIONE: COIBENTAZIONE; IMPIEGO: TUBAZIONE; SPESSORE MINIMO LASTRA [MM] = 19 | SPESSORE MINIMO ELASTOMERO PER IL DIAMETRO ESTERNO TUBO [MM] = 42 | DIAMETRO NOMINALE TUBAZIONE [MM] = 32; RESISTENZA ALLA FIAMMA [CLASSE] = 1; FATTORE DI PERMEABILITÀ (Μ) MINIMO [-] = 4000. 
SPECIFICHE TECNICHE: GOMMA ELASTOMERICA ESPANSA A CELLULE CHIUSE SENZA ALOGENI NÉ PVC. 
RM LASTRA DI GOMMA ESPANSA A CELLULE CHIUSE; FUNZIONE: COIBENTAZIONE; IMPIEGO: TUBAZIONE; SPESSORE MINIMO LASTRA [MM] = 19 | SPESSORE MINIMO ELASTOMERO PER IL DIAMETRO ESTERNO TUBO [MM] = 42 | DIAMETRO NOMINALE TUBAZIONE [MM] = 32; RESISTENZA ALLA FIAMMA [CLASSE] = 1; FATTORE DI PERMEABILITÀ (Μ) MINIMO [-] = 4000 
SPECIFICHE TECNICHE: GOMMA ELASTOMERICA ESPANSA A CELLULE CHIUSE SENZA ALOGENI NÉ PVC 
LV POSA.</t>
        </is>
      </c>
      <c r="M364" s="4" t="inlineStr">
        <is>
          <t>M</t>
        </is>
      </c>
      <c r="N364" s="5" t="n">
        <v>1</v>
      </c>
      <c r="O364" s="6" t="n">
        <v>8.98</v>
      </c>
      <c r="P364" s="6" t="n">
        <v>8.98</v>
      </c>
      <c r="Q364" s="5" t="n"/>
      <c r="R364" s="6" t="n"/>
      <c r="S364" s="6">
        <f>IF(AND(Q364&lt;&gt;"",R364&lt;&gt;""),Q364*R364,"")</f>
        <v/>
      </c>
      <c r="T364" s="6">
        <f>IF(S364="",P364,S364)</f>
        <v/>
      </c>
      <c r="U364" s="7" t="n">
        <v>0</v>
      </c>
      <c r="V364" s="6">
        <f>$T364*U364</f>
        <v/>
      </c>
      <c r="W364" s="7" t="n">
        <v>0</v>
      </c>
      <c r="X364" s="6">
        <f>$T364*W364</f>
        <v/>
      </c>
      <c r="Y364" s="7" t="n">
        <v>0</v>
      </c>
      <c r="Z364" s="6">
        <f>$T364*Y364</f>
        <v/>
      </c>
      <c r="AA364" s="7" t="n">
        <v>0</v>
      </c>
      <c r="AB364" s="6">
        <f>$T364*AA364</f>
        <v/>
      </c>
      <c r="AC364" s="7" t="n">
        <v>0</v>
      </c>
      <c r="AD364" s="6">
        <f>$T364*AC364</f>
        <v/>
      </c>
      <c r="AE364" s="7" t="n">
        <v>0</v>
      </c>
      <c r="AF364" s="6">
        <f>$T364*AE364</f>
        <v/>
      </c>
      <c r="AG364" s="7" t="n">
        <v>0</v>
      </c>
      <c r="AH364" s="6">
        <f>$T364*AG364</f>
        <v/>
      </c>
      <c r="AI364" s="7">
        <f>U364+W364+Y364+AA364+AC364+AE364+AG364</f>
        <v/>
      </c>
      <c r="AJ364" s="6">
        <f>V364+X364+Z364+AB364+AD364+AF364+AH364</f>
        <v/>
      </c>
    </row>
    <row r="365" ht="60" customHeight="1" s="35">
      <c r="A365" s="3" t="inlineStr">
        <is>
          <t>LOM251.OC.EEA.PA02.I9762.ZB015.0000</t>
        </is>
      </c>
      <c r="B365" s="4" t="inlineStr">
        <is>
          <t>2/2</t>
        </is>
      </c>
      <c r="C365" s="3" t="inlineStr">
        <is>
          <t>IMPIANTO MECCANICO</t>
        </is>
      </c>
      <c r="D365" s="4" t="inlineStr">
        <is>
          <t>SPECIALE</t>
        </is>
      </c>
      <c r="E365" s="4" t="inlineStr">
        <is>
          <t>MECCANICHE SPECIALI</t>
        </is>
      </c>
      <c r="F365" s="3" t="inlineStr">
        <is>
          <t>2_CME_TOTALE MECCANICI RADIOFARMACIA PAVIA.PDF</t>
        </is>
      </c>
      <c r="G365" s="4" t="inlineStr">
        <is>
          <t>154/154</t>
        </is>
      </c>
      <c r="H365" s="3" t="inlineStr">
        <is>
          <t>40 - IMPIANTISTICO</t>
        </is>
      </c>
      <c r="I365" s="3" t="inlineStr">
        <is>
          <t>CENTRALE</t>
        </is>
      </c>
      <c r="J365" s="3" t="inlineStr">
        <is>
          <t>IMPIANTO IDRICO E FOGNA</t>
        </is>
      </c>
      <c r="K365" s="3" t="inlineStr">
        <is>
          <t xml:space="preserve">OPERA: VALVOLA, A COMANDO MANUALE A LEVA DI MATERIALE MIX ACCIAIO AL CARBONIO-ACCIAIO INOX; GEOMETRIA: ATTACCHI FILETTATI TIPO GAS | A SFERA; DIAMETRO NOMINALE (Ø) [MM] = 15; PRESSIONE NOMINALE [BAR] </t>
        </is>
      </c>
      <c r="L365" s="3" t="inlineStr">
        <is>
          <t>OPERA: VALVOLA, A COMANDO MANUALE A LEVA DI MATERIALE MIX ACCIAIO AL CARBONIO-ACCIAIO INOX; GEOMETRIA: ATTACCHI FILETTATI TIPO GAS | A SFERA; DIAMETRO NOMINALE (Ø) [MM] = 15; PRESSIONE NOMINALE [BAR] = 40. INCLUSO: MANICOTTO DI LEGA FERROSA ACCIAIO AL CARBONIO. 
LAVORO: POSA. 
SPECIFICHE TECNICHE: VALVOLA CON: CORPO DI LEGA FERROSA ACCIAIO AL CARBONIO, STELO DI LEGA FERROSA ACCIAIO INOX, SFERA DI LEGA FERROSA ACCIAIO INOX, LEVA DI MANOVRA DI LEGA FERROSA ACCIAIO AL CARBONIO CON FINITURA DI GOMMA GENERICA. OP VALVOLA, A COMANDO MANUALE A LEVA DI MATERIALE MIX ACCIAIO AL CARBONIO-ACCIAIO INOX; GEOMETRIA: ATTACCHI FILETTATI TIPO GAS | A SFERA; DIAMETRO NOMINALE (Ø) [MM] = 15; PRESSIONE NOMINALE [BAR] = 40. INCLUSO: MANICOTTO DI LEGA FERROSA ACCIAIO AL CARBONIO. 
SPECIFICHE TECNICHE: VALVOLA CON: CORPO DI LEGA FERROSA ACCIAIO AL CARBONIO, STELO DI LEGA FERROSA ACCIAIO INOX, SFERA DI LEGA FERROSA ACCIAIO INOX, LEVA DI MANOVRA DI LEGA FERROSA ACCIAIO AL CARBONIO CON FINITURA DI GOMMA GENERICA. 
RM VALVOLA A COMANDO MANUALE A LEVA DI MATERIALE MIX ACCIAIO AL CARBONIO-ACCIAIO INOX; GEOMETRIA: ATTACCHI FILETTATI TIPO GAS | A SFERA; DIAMETRO NOMINALE (Ø) [MM] = 15; PRESSIONE NOMINALE [BAR] = 40. INCLUSO: MANICOTTO DI LEGA FERROSA ACCIAIO AL CARBONIO 
SPECIFICHE TECNICHE: VALVOLA CON: CORPO DI LEGA FERROSA ACCIAIO AL CARBONIO, STELO DI LEGA FERROSA ACCIAIO INOX, SFERA DI LEGA FERROSA ACCIAIO INOX, LEVA DI MANOVRA DI LEGA FERROSA ACCIAIO AL CARBONIO CON FINITURA DI GOMMA GENERICA 
LV POSA.</t>
        </is>
      </c>
      <c r="M365" s="4" t="inlineStr">
        <is>
          <t>CAD</t>
        </is>
      </c>
      <c r="N365" s="5" t="n">
        <v>2</v>
      </c>
      <c r="O365" s="6" t="n">
        <v>26.09</v>
      </c>
      <c r="P365" s="6" t="n">
        <v>52.18</v>
      </c>
      <c r="Q365" s="5" t="n"/>
      <c r="R365" s="6" t="n"/>
      <c r="S365" s="6">
        <f>IF(AND(Q365&lt;&gt;"",R365&lt;&gt;""),Q365*R365,"")</f>
        <v/>
      </c>
      <c r="T365" s="6">
        <f>IF(S365="",P365,S365)</f>
        <v/>
      </c>
      <c r="U365" s="7" t="n">
        <v>0</v>
      </c>
      <c r="V365" s="6">
        <f>$T365*U365</f>
        <v/>
      </c>
      <c r="W365" s="7" t="n">
        <v>0</v>
      </c>
      <c r="X365" s="6">
        <f>$T365*W365</f>
        <v/>
      </c>
      <c r="Y365" s="7" t="n">
        <v>0</v>
      </c>
      <c r="Z365" s="6">
        <f>$T365*Y365</f>
        <v/>
      </c>
      <c r="AA365" s="7" t="n">
        <v>0</v>
      </c>
      <c r="AB365" s="6">
        <f>$T365*AA365</f>
        <v/>
      </c>
      <c r="AC365" s="7" t="n">
        <v>0</v>
      </c>
      <c r="AD365" s="6">
        <f>$T365*AC365</f>
        <v/>
      </c>
      <c r="AE365" s="7" t="n">
        <v>0</v>
      </c>
      <c r="AF365" s="6">
        <f>$T365*AE365</f>
        <v/>
      </c>
      <c r="AG365" s="7" t="n">
        <v>0</v>
      </c>
      <c r="AH365" s="6">
        <f>$T365*AG365</f>
        <v/>
      </c>
      <c r="AI365" s="7">
        <f>U365+W365+Y365+AA365+AC365+AE365+AG365</f>
        <v/>
      </c>
      <c r="AJ365" s="6">
        <f>V365+X365+Z365+AB365+AD365+AF365+AH365</f>
        <v/>
      </c>
    </row>
    <row r="366" ht="60" customHeight="1" s="35">
      <c r="A366" s="3" t="inlineStr">
        <is>
          <t>LOM251.OC.EEA.PA02.I9762.ZB015.0005</t>
        </is>
      </c>
      <c r="B366" s="4" t="inlineStr">
        <is>
          <t>2/2</t>
        </is>
      </c>
      <c r="C366" s="3" t="inlineStr">
        <is>
          <t>IMPIANTO MECCANICO</t>
        </is>
      </c>
      <c r="D366" s="4" t="inlineStr">
        <is>
          <t>SPECIALE</t>
        </is>
      </c>
      <c r="E366" s="4" t="inlineStr">
        <is>
          <t>MECCANICHE SPECIALI</t>
        </is>
      </c>
      <c r="F366" s="3" t="inlineStr">
        <is>
          <t>2_CME_TOTALE MECCANICI RADIOFARMACIA PAVIA.PDF</t>
        </is>
      </c>
      <c r="G366" s="4" t="inlineStr">
        <is>
          <t>155/155</t>
        </is>
      </c>
      <c r="H366" s="3" t="inlineStr">
        <is>
          <t>40 - IMPIANTISTICO</t>
        </is>
      </c>
      <c r="I366" s="3" t="inlineStr">
        <is>
          <t>CENTRALE</t>
        </is>
      </c>
      <c r="J366" s="3" t="inlineStr">
        <is>
          <t>IMPIANTO IDRICO E FOGNA</t>
        </is>
      </c>
      <c r="K366" s="3" t="inlineStr">
        <is>
          <t xml:space="preserve">OPERA: VALVOLA, A COMANDO MANUALE A LEVA DI MATERIALE MIX ACCIAIO AL CARBONIO-ACCIAIO INOX; GEOMETRIA: ATTACCHI FILETTATI TIPO GAS | A SFERA; DIAMETRO NOMINALE (Ø) [MM] = 20; PRESSIONE NOMINALE [BAR] </t>
        </is>
      </c>
      <c r="L366" s="3" t="inlineStr">
        <is>
          <t>OPERA: VALVOLA, A COMANDO MANUALE A LEVA DI MATERIALE MIX ACCIAIO AL CARBONIO-ACCIAIO INOX; GEOMETRIA: ATTACCHI FILETTATI TIPO GAS | A SFERA; DIAMETRO NOMINALE (Ø) [MM] = 20; PRESSIONE NOMINALE [BAR] = 40. INCLUSO: MANICOTTO DI LEGA FERROSA ACCIAIO AL CARBONIO. 
LAVORO: POSA. 
SPECIFICHE TECNICHE: VALVOLA CON: CORPO DI LEGA FERROSA ACCIAIO AL CARBONIO, STELO DI LEGA FERROSA ACCIAIO INOX, SFERA DI LEGA FERROSA ACCIAIO INOX, LEVA DI MANOVRA DI LEGA FERROSA ACCIAIO AL CARBONIO CON FINITURA DI GOMMA GENERICA. OP VALVOLA, A COMANDO MANUALE A LEVA DI MATERIALE MIX ACCIAIO AL CARBONIO-ACCIAIO INOX; GEOMETRIA: ATTACCHI FILETTATI TIPO GAS | A SFERA; DIAMETRO NOMINALE (Ø) [MM] = 20; PRESSIONE NOMINALE [BAR] = 40. INCLUSO: MANICOTTO DI LEGA FERROSA ACCIAIO AL CARBONIO. 
SPECIFICHE TECNICHE: VALVOLA CON: CORPO DI LEGA FERROSA ACCIAIO AL CARBONIO, STELO DI LEGA FERROSA ACCIAIO INOX, SFERA DI LEGA FERROSA ACCIAIO INOX, LEVA DI MANOVRA DI LEGA FERROSA ACCIAIO AL CARBONIO CON FINITURA DI GOMMA GENERICA. 
RM VALVOLA A COMANDO MANUALE A LEVA DI MATERIALE MIX ACCIAIO AL CARBONIO-ACCIAIO INOX; GEOMETRIA: ATTACCHI FILETTATI TIPO GAS | A SFERA; DIAMETRO NOMINALE (Ø) [MM] = 20; PRESSIONE NOMINALE [BAR] = 40. INCLUSO: MANICOTTO DI LEGA FERROSA ACCIAIO AL CARBONIO 
SPECIFICHE TECNICHE: VALVOLA CON: CORPO DI LEGA FERROSA ACCIAIO AL CARBONIO, STELO DI LEGA FERROSA ACCIAIO INOX, SFERA DI LEGA FERROSA ACCIAIO INOX, LEVA DI MANOVRA DI LEGA FERROSA ACCIAIO AL CARBONIO CON FINITURA DI GOMMA GENERICA 
LV POSA.</t>
        </is>
      </c>
      <c r="M366" s="4" t="inlineStr">
        <is>
          <t>CAD</t>
        </is>
      </c>
      <c r="N366" s="5" t="n">
        <v>1</v>
      </c>
      <c r="O366" s="6" t="n">
        <v>27.64</v>
      </c>
      <c r="P366" s="6" t="n">
        <v>27.64</v>
      </c>
      <c r="Q366" s="5" t="n"/>
      <c r="R366" s="6" t="n"/>
      <c r="S366" s="6">
        <f>IF(AND(Q366&lt;&gt;"",R366&lt;&gt;""),Q366*R366,"")</f>
        <v/>
      </c>
      <c r="T366" s="6">
        <f>IF(S366="",P366,S366)</f>
        <v/>
      </c>
      <c r="U366" s="7" t="n">
        <v>0</v>
      </c>
      <c r="V366" s="6">
        <f>$T366*U366</f>
        <v/>
      </c>
      <c r="W366" s="7" t="n">
        <v>0</v>
      </c>
      <c r="X366" s="6">
        <f>$T366*W366</f>
        <v/>
      </c>
      <c r="Y366" s="7" t="n">
        <v>0</v>
      </c>
      <c r="Z366" s="6">
        <f>$T366*Y366</f>
        <v/>
      </c>
      <c r="AA366" s="7" t="n">
        <v>0</v>
      </c>
      <c r="AB366" s="6">
        <f>$T366*AA366</f>
        <v/>
      </c>
      <c r="AC366" s="7" t="n">
        <v>0</v>
      </c>
      <c r="AD366" s="6">
        <f>$T366*AC366</f>
        <v/>
      </c>
      <c r="AE366" s="7" t="n">
        <v>0</v>
      </c>
      <c r="AF366" s="6">
        <f>$T366*AE366</f>
        <v/>
      </c>
      <c r="AG366" s="7" t="n">
        <v>0</v>
      </c>
      <c r="AH366" s="6">
        <f>$T366*AG366</f>
        <v/>
      </c>
      <c r="AI366" s="7">
        <f>U366+W366+Y366+AA366+AC366+AE366+AG366</f>
        <v/>
      </c>
      <c r="AJ366" s="6">
        <f>V366+X366+Z366+AB366+AD366+AF366+AH366</f>
        <v/>
      </c>
    </row>
    <row r="367" ht="60" customHeight="1" s="35">
      <c r="A367" s="3" t="inlineStr">
        <is>
          <t>LOM251.OC.EEA.PA02.I9762.ZB015.0010</t>
        </is>
      </c>
      <c r="B367" s="4" t="inlineStr">
        <is>
          <t>2/2</t>
        </is>
      </c>
      <c r="C367" s="3" t="inlineStr">
        <is>
          <t>IMPIANTO MECCANICO</t>
        </is>
      </c>
      <c r="D367" s="4" t="inlineStr">
        <is>
          <t>SPECIALE</t>
        </is>
      </c>
      <c r="E367" s="4" t="inlineStr">
        <is>
          <t>MECCANICHE SPECIALI</t>
        </is>
      </c>
      <c r="F367" s="3" t="inlineStr">
        <is>
          <t>2_CME_TOTALE MECCANICI RADIOFARMACIA PAVIA.PDF</t>
        </is>
      </c>
      <c r="G367" s="4" t="inlineStr">
        <is>
          <t>156/156</t>
        </is>
      </c>
      <c r="H367" s="3" t="inlineStr">
        <is>
          <t>40 - IMPIANTISTICO</t>
        </is>
      </c>
      <c r="I367" s="3" t="inlineStr">
        <is>
          <t>CENTRALE</t>
        </is>
      </c>
      <c r="J367" s="3" t="inlineStr">
        <is>
          <t>IMPIANTO IDRICO E FOGNA</t>
        </is>
      </c>
      <c r="K367" s="3" t="inlineStr">
        <is>
          <t xml:space="preserve">OPERA: VALVOLA, A COMANDO MANUALE A LEVA DI MATERIALE MIX ACCIAIO AL CARBONIO-ACCIAIO INOX; GEOMETRIA: ATTACCHI FILETTATI TIPO GAS | A SFERA; DIAMETRO NOMINALE (Ø) [MM] = 25; PRESSIONE NOMINALE [BAR] </t>
        </is>
      </c>
      <c r="L367" s="3" t="inlineStr">
        <is>
          <t>OPERA: VALVOLA, A COMANDO MANUALE A LEVA DI MATERIALE MIX ACCIAIO AL CARBONIO-ACCIAIO INOX; GEOMETRIA: ATTACCHI FILETTATI TIPO GAS | A SFERA; DIAMETRO NOMINALE (Ø) [MM] = 25; PRESSIONE NOMINALE [BAR] = 40. INCLUSO: MANICOTTO DI LEGA FERROSA ACCIAIO AL CARBONIO. 
LAVORO: POSA. 
SPECIFICHE TECNICHE: VALVOLA CON: CORPO DI LEGA FERROSA ACCIAIO AL CARBONIO, STELO DI LEGA FERROSA ACCIAIO INOX, SFERA DI LEGA FERROSA ACCIAIO INOX, LEVA DI MANOVRA DI LEGA FERROSA ACCIAIO AL CARBONIO CON FINITURA DI GOMMA GENERICA. OP VALVOLA, A COMANDO MANUALE A LEVA DI MATERIALE MIX ACCIAIO AL CARBONIO-ACCIAIO INOX; GEOMETRIA: ATTACCHI FILETTATI TIPO GAS | A SFERA; DIAMETRO NOMINALE (Ø) [MM] = 25; PRESSIONE NOMINALE [BAR] = 40. INCLUSO: MANICOTTO DI LEGA FERROSA ACCIAIO AL CARBONIO. 
SPECIFICHE TECNICHE: VALVOLA CON: CORPO DI LEGA FERROSA ACCIAIO AL CARBONIO, STELO DI LEGA FERROSA ACCIAIO INOX, SFERA DI LEGA FERROSA ACCIAIO INOX, LEVA DI MANOVRA DI LEGA FERROSA ACCIAIO AL CARBONIO CON FINITURA DI GOMMA GENERICA. 
RM VALVOLA A COMANDO MANUALE A LEVA DI MATERIALE MIX ACCIAIO AL CARBONIO-ACCIAIO INOX; GEOMETRIA: ATTACCHI FILETTATI TIPO GAS | A SFERA; DIAMETRO NOMINALE (Ø) [MM] = 25; PRESSIONE NOMINALE [BAR] = 40. INCLUSO: MANICOTTO DI LEGA FERROSA ACCIAIO AL CARBONIO 
SPECIFICHE TECNICHE: VALVOLA CON: CORPO DI LEGA FERROSA ACCIAIO AL CARBONIO, STELO DI LEGA FERROSA ACCIAIO INOX, SFERA DI LEGA FERROSA ACCIAIO INOX, LEVA DI MANOVRA DI LEGA FERROSA ACCIAIO AL CARBONIO CON FINITURA DI GOMMA GENERICA 
LV POSA.</t>
        </is>
      </c>
      <c r="M367" s="4" t="inlineStr">
        <is>
          <t>CAD</t>
        </is>
      </c>
      <c r="N367" s="5" t="n">
        <v>1</v>
      </c>
      <c r="O367" s="6" t="n">
        <v>44.91</v>
      </c>
      <c r="P367" s="6" t="n">
        <v>44.91</v>
      </c>
      <c r="Q367" s="5" t="n"/>
      <c r="R367" s="6" t="n"/>
      <c r="S367" s="6">
        <f>IF(AND(Q367&lt;&gt;"",R367&lt;&gt;""),Q367*R367,"")</f>
        <v/>
      </c>
      <c r="T367" s="6">
        <f>IF(S367="",P367,S367)</f>
        <v/>
      </c>
      <c r="U367" s="7" t="n">
        <v>0</v>
      </c>
      <c r="V367" s="6">
        <f>$T367*U367</f>
        <v/>
      </c>
      <c r="W367" s="7" t="n">
        <v>0</v>
      </c>
      <c r="X367" s="6">
        <f>$T367*W367</f>
        <v/>
      </c>
      <c r="Y367" s="7" t="n">
        <v>0</v>
      </c>
      <c r="Z367" s="6">
        <f>$T367*Y367</f>
        <v/>
      </c>
      <c r="AA367" s="7" t="n">
        <v>0</v>
      </c>
      <c r="AB367" s="6">
        <f>$T367*AA367</f>
        <v/>
      </c>
      <c r="AC367" s="7" t="n">
        <v>0</v>
      </c>
      <c r="AD367" s="6">
        <f>$T367*AC367</f>
        <v/>
      </c>
      <c r="AE367" s="7" t="n">
        <v>0</v>
      </c>
      <c r="AF367" s="6">
        <f>$T367*AE367</f>
        <v/>
      </c>
      <c r="AG367" s="7" t="n">
        <v>0</v>
      </c>
      <c r="AH367" s="6">
        <f>$T367*AG367</f>
        <v/>
      </c>
      <c r="AI367" s="7">
        <f>U367+W367+Y367+AA367+AC367+AE367+AG367</f>
        <v/>
      </c>
      <c r="AJ367" s="6">
        <f>V367+X367+Z367+AB367+AD367+AF367+AH367</f>
        <v/>
      </c>
    </row>
    <row r="368" ht="60" customHeight="1" s="35">
      <c r="A368" s="3" t="inlineStr">
        <is>
          <t>LOM251.OC.EEA.PA02.F9730.SC007.0260</t>
        </is>
      </c>
      <c r="B368" s="4" t="inlineStr">
        <is>
          <t>2/2</t>
        </is>
      </c>
      <c r="C368" s="3" t="inlineStr">
        <is>
          <t>IMPIANTO MECCANICO</t>
        </is>
      </c>
      <c r="D368" s="4" t="inlineStr">
        <is>
          <t>SPECIALE</t>
        </is>
      </c>
      <c r="E368" s="4" t="inlineStr">
        <is>
          <t>MECCANICHE SPECIALI</t>
        </is>
      </c>
      <c r="F368" s="3" t="inlineStr">
        <is>
          <t>2_CME_TOTALE MECCANICI RADIOFARMACIA PAVIA.PDF</t>
        </is>
      </c>
      <c r="G368" s="4" t="inlineStr">
        <is>
          <t>157/157</t>
        </is>
      </c>
      <c r="H368" s="3" t="inlineStr">
        <is>
          <t>40 - IMPIANTISTICO</t>
        </is>
      </c>
      <c r="I368" s="3" t="inlineStr">
        <is>
          <t>CENTRALE</t>
        </is>
      </c>
      <c r="J368" s="3" t="inlineStr">
        <is>
          <t>IMPIANTO IDRICO E FOGNA</t>
        </is>
      </c>
      <c r="K368" s="3" t="inlineStr">
        <is>
          <t>OPERA: VALVOLA DI LEGA RAME BRONZO; GEOMETRIA: A GLOBO | ATTACCHI FILETTATI TIPO GAS; FUNZIONE: DI RITEGNO; DIAMETRO NOMINALE (Ø) [MM] = 25; PRESSIONE NOMINALE [BAR] = 16. INCLUSO: GUARNIZIONI DEL TIP</t>
        </is>
      </c>
      <c r="L368" s="3" t="inlineStr">
        <is>
          <t>OPERA: VALVOLA DI LEGA RAME BRONZO; GEOMETRIA: A GLOBO | ATTACCHI FILETTATI TIPO GAS; FUNZIONE: DI RITEGNO; DIAMETRO NOMINALE (Ø) [MM] = 25; PRESSIONE NOMINALE [BAR] = 16. INCLUSO: GUARNIZIONI DEL TIPO SENZA AMIANTO; CAPPELLO DI LEGA RAME OTTONE. 
LAVORO: POSA. 
SPECIFICHE TECNICHE: VALVOLA CON: CORPO DI LEGA RAME OTTONE, OTTURATORE DI LEGA RAME OTTONE. OP VALVOLA DI LEGA RAME BRONZO; GEOMETRIA: A GLOBO | ATTACCHI FILETTATI TIPO GAS; FUNZIONE: DI RITEGNO; DIAMETRO NOMINALE (Ø) [MM] = 25; PRESSIONE NOMINALE [BAR] = 16. INCLUSO: GUARNIZIONI DEL TIPO SENZA AMIANTO; CAPPELLO DI LEGA RAME OTTONE. 
SPECIFICHE TECNICHE: VALVOLA CON: CORPO DI LEGA RAME OTTONE, OTTURATORE DI LEGA RAME OTTONE. 
RM VALVOLA DI LEGA RAME BRONZO; GEOMETRIA: A GLOBO | ATTACCHI FILETTATI TIPO GAS; FUNZIONE: DI RITEGNO; DIAMETRO NOMINALE (Ø) [MM] = 25; PRESSIONE NOMINALE [BAR] = 16. INCLUSO: GUARNIZIONI DEL TIPO SENZA AMIANTO; CAPPELLO DI LEGA RAME OTTONE 
SPECIFICHE TECNICHE: VALVOLA CON: CORPO DI LEGA RAME OTTONE, OTTURATORE DI LEGA RAME OTTONE 
LV POSA.</t>
        </is>
      </c>
      <c r="M368" s="4" t="inlineStr">
        <is>
          <t>CAD</t>
        </is>
      </c>
      <c r="N368" s="5" t="n">
        <v>1</v>
      </c>
      <c r="O368" s="6" t="n">
        <v>25.94</v>
      </c>
      <c r="P368" s="6" t="n">
        <v>25.94</v>
      </c>
      <c r="Q368" s="5" t="n"/>
      <c r="R368" s="6" t="n"/>
      <c r="S368" s="6">
        <f>IF(AND(Q368&lt;&gt;"",R368&lt;&gt;""),Q368*R368,"")</f>
        <v/>
      </c>
      <c r="T368" s="6">
        <f>IF(S368="",P368,S368)</f>
        <v/>
      </c>
      <c r="U368" s="7" t="n">
        <v>0</v>
      </c>
      <c r="V368" s="6">
        <f>$T368*U368</f>
        <v/>
      </c>
      <c r="W368" s="7" t="n">
        <v>0</v>
      </c>
      <c r="X368" s="6">
        <f>$T368*W368</f>
        <v/>
      </c>
      <c r="Y368" s="7" t="n">
        <v>0</v>
      </c>
      <c r="Z368" s="6">
        <f>$T368*Y368</f>
        <v/>
      </c>
      <c r="AA368" s="7" t="n">
        <v>0</v>
      </c>
      <c r="AB368" s="6">
        <f>$T368*AA368</f>
        <v/>
      </c>
      <c r="AC368" s="7" t="n">
        <v>0</v>
      </c>
      <c r="AD368" s="6">
        <f>$T368*AC368</f>
        <v/>
      </c>
      <c r="AE368" s="7" t="n">
        <v>0</v>
      </c>
      <c r="AF368" s="6">
        <f>$T368*AE368</f>
        <v/>
      </c>
      <c r="AG368" s="7" t="n">
        <v>0</v>
      </c>
      <c r="AH368" s="6">
        <f>$T368*AG368</f>
        <v/>
      </c>
      <c r="AI368" s="7">
        <f>U368+W368+Y368+AA368+AC368+AE368+AG368</f>
        <v/>
      </c>
      <c r="AJ368" s="6">
        <f>V368+X368+Z368+AB368+AD368+AF368+AH368</f>
        <v/>
      </c>
    </row>
    <row r="369" ht="30" customHeight="1" s="35">
      <c r="A369" s="3" t="inlineStr">
        <is>
          <t>DEI_IT_023465C</t>
        </is>
      </c>
      <c r="B369" s="4" t="inlineStr">
        <is>
          <t>1/1</t>
        </is>
      </c>
      <c r="C369" s="3" t="inlineStr">
        <is>
          <t>IMPIANTO MECCANICO</t>
        </is>
      </c>
      <c r="D369" s="4" t="inlineStr">
        <is>
          <t>SPECIALE</t>
        </is>
      </c>
      <c r="E369" s="4" t="inlineStr">
        <is>
          <t>MECCANICHE SPECIALI</t>
        </is>
      </c>
      <c r="F369" s="3" t="inlineStr">
        <is>
          <t>2_CME_TOTALE MECCANICI RADIOFARMACIA PAVIA.PDF</t>
        </is>
      </c>
      <c r="G369" s="4" t="inlineStr">
        <is>
          <t>158/158</t>
        </is>
      </c>
      <c r="H369" s="3" t="inlineStr">
        <is>
          <t>40 - IMPIANTISTICO</t>
        </is>
      </c>
      <c r="I369" s="3" t="inlineStr">
        <is>
          <t>CENTRALE</t>
        </is>
      </c>
      <c r="J369" s="3" t="inlineStr">
        <is>
          <t>IMPIANTO IDRICO E FOGNA</t>
        </is>
      </c>
      <c r="K369" s="3" t="inlineStr">
        <is>
          <t>GIUNTO DI DILATAZIONE ANTIVIBRANTE IN GOMMA EPDM, FILETTATO PN 10/16: Ø 25 MM</t>
        </is>
      </c>
      <c r="L369" s="3" t="inlineStr">
        <is>
          <t>GIUNTO DI DILATAZIONE ANTIVIBRANTE IN GOMMA EPDM, FILETTATO PN 10/16: Ø 25 MM</t>
        </is>
      </c>
      <c r="M369" s="4" t="inlineStr">
        <is>
          <t>CAD</t>
        </is>
      </c>
      <c r="N369" s="5" t="n">
        <v>2</v>
      </c>
      <c r="O369" s="6" t="n">
        <v>36.17</v>
      </c>
      <c r="P369" s="6" t="n">
        <v>72.34</v>
      </c>
      <c r="Q369" s="5" t="n"/>
      <c r="R369" s="6" t="n"/>
      <c r="S369" s="6">
        <f>IF(AND(Q369&lt;&gt;"",R369&lt;&gt;""),Q369*R369,"")</f>
        <v/>
      </c>
      <c r="T369" s="6">
        <f>IF(S369="",P369,S369)</f>
        <v/>
      </c>
      <c r="U369" s="7" t="n">
        <v>0</v>
      </c>
      <c r="V369" s="6">
        <f>$T369*U369</f>
        <v/>
      </c>
      <c r="W369" s="7" t="n">
        <v>0</v>
      </c>
      <c r="X369" s="6">
        <f>$T369*W369</f>
        <v/>
      </c>
      <c r="Y369" s="7" t="n">
        <v>0</v>
      </c>
      <c r="Z369" s="6">
        <f>$T369*Y369</f>
        <v/>
      </c>
      <c r="AA369" s="7" t="n">
        <v>0</v>
      </c>
      <c r="AB369" s="6">
        <f>$T369*AA369</f>
        <v/>
      </c>
      <c r="AC369" s="7" t="n">
        <v>0</v>
      </c>
      <c r="AD369" s="6">
        <f>$T369*AC369</f>
        <v/>
      </c>
      <c r="AE369" s="7" t="n">
        <v>0</v>
      </c>
      <c r="AF369" s="6">
        <f>$T369*AE369</f>
        <v/>
      </c>
      <c r="AG369" s="7" t="n">
        <v>0</v>
      </c>
      <c r="AH369" s="6">
        <f>$T369*AG369</f>
        <v/>
      </c>
      <c r="AI369" s="7">
        <f>U369+W369+Y369+AA369+AC369+AE369+AG369</f>
        <v/>
      </c>
      <c r="AJ369" s="6">
        <f>V369+X369+Z369+AB369+AD369+AF369+AH369</f>
        <v/>
      </c>
    </row>
    <row r="370" ht="60" customHeight="1" s="35">
      <c r="A370" s="3" t="inlineStr">
        <is>
          <t>DEI_IT_015002B</t>
        </is>
      </c>
      <c r="B370" s="4" t="inlineStr">
        <is>
          <t>5/5</t>
        </is>
      </c>
      <c r="C370" s="3" t="inlineStr">
        <is>
          <t>IMPIANTO MECCANICO</t>
        </is>
      </c>
      <c r="D370" s="4" t="inlineStr">
        <is>
          <t>SPECIALE</t>
        </is>
      </c>
      <c r="E370" s="4" t="inlineStr">
        <is>
          <t>MECCANICHE SPECIALI</t>
        </is>
      </c>
      <c r="F370" s="3" t="inlineStr">
        <is>
          <t>2_CME_TOTALE MECCANICI RADIOFARMACIA PAVIA.PDF</t>
        </is>
      </c>
      <c r="G370" s="4" t="inlineStr">
        <is>
          <t>166/166</t>
        </is>
      </c>
      <c r="H370" s="3" t="inlineStr">
        <is>
          <t>40 - IMPIANTISTICO</t>
        </is>
      </c>
      <c r="I370" s="3" t="inlineStr">
        <is>
          <t>P. TERRA</t>
        </is>
      </c>
      <c r="J370" s="3" t="inlineStr">
        <is>
          <t>IMPIANTO IDRICO E FOGNA</t>
        </is>
      </c>
      <c r="K370" s="3" t="inlineStr">
        <is>
          <t>TUBO IN ACCIAIO SENZA SALDATURA A NORMA UNI EN 10255, ZINCATO A CALDO A NORMA EN 10240-A1 ED AL DM MINISTERO DELLA SALUTE 6/4/2004 N. 174, FILETTATO E CON MANICOTTO, LAVORATO E POSTO IN OPERA (SINO AD</t>
        </is>
      </c>
      <c r="L370" s="3" t="inlineStr">
        <is>
          <t>TUBO IN ACCIAIO SENZA SALDATURA A NORMA UNI EN 10255, ZINCATO A CALDO A NORMA EN 10240-A1 ED AL DM MINISTERO DELLA SALUTE 6/4/2004 N. 174, FILETTATO E CON MANICOTTO, LAVORATO E POSTO IN OPERA (SINO AD UN'ALTEZZA DI 3,00 M DAL PIANO DI LAVORO) TAGLIATO A MISURA, COMPRESE EVENTUALI CRAVATTE A MURO, VERNICIATURA, SALDATURA E QUANTO ALTRO NECESSARIO PER DARE IL LAVORO FINITO A REGOLA D'ARTE, ESCLUSI GLI SCAVI, RINTERRI, TRACCE E RACCORDERIA: SERIE MEDIA: Ø INTERNO 1/2", SPESSORE 2,6 MM</t>
        </is>
      </c>
      <c r="M370" s="4" t="inlineStr">
        <is>
          <t>M</t>
        </is>
      </c>
      <c r="N370" s="5" t="n">
        <v>17</v>
      </c>
      <c r="O370" s="6" t="n">
        <v>24.52</v>
      </c>
      <c r="P370" s="6" t="n">
        <v>416.84</v>
      </c>
      <c r="Q370" s="5" t="n"/>
      <c r="R370" s="6" t="n"/>
      <c r="S370" s="6">
        <f>IF(AND(Q370&lt;&gt;"",R370&lt;&gt;""),Q370*R370,"")</f>
        <v/>
      </c>
      <c r="T370" s="6">
        <f>IF(S370="",P370,S370)</f>
        <v/>
      </c>
      <c r="U370" s="7" t="n">
        <v>0</v>
      </c>
      <c r="V370" s="6">
        <f>$T370*U370</f>
        <v/>
      </c>
      <c r="W370" s="7" t="n">
        <v>0</v>
      </c>
      <c r="X370" s="6">
        <f>$T370*W370</f>
        <v/>
      </c>
      <c r="Y370" s="7" t="n">
        <v>0</v>
      </c>
      <c r="Z370" s="6">
        <f>$T370*Y370</f>
        <v/>
      </c>
      <c r="AA370" s="7" t="n">
        <v>0</v>
      </c>
      <c r="AB370" s="6">
        <f>$T370*AA370</f>
        <v/>
      </c>
      <c r="AC370" s="7" t="n">
        <v>0</v>
      </c>
      <c r="AD370" s="6">
        <f>$T370*AC370</f>
        <v/>
      </c>
      <c r="AE370" s="7" t="n">
        <v>0</v>
      </c>
      <c r="AF370" s="6">
        <f>$T370*AE370</f>
        <v/>
      </c>
      <c r="AG370" s="7" t="n">
        <v>0</v>
      </c>
      <c r="AH370" s="6">
        <f>$T370*AG370</f>
        <v/>
      </c>
      <c r="AI370" s="7">
        <f>U370+W370+Y370+AA370+AC370+AE370+AG370</f>
        <v/>
      </c>
      <c r="AJ370" s="6">
        <f>V370+X370+Z370+AB370+AD370+AF370+AH370</f>
        <v/>
      </c>
    </row>
    <row r="371" ht="60" customHeight="1" s="35">
      <c r="A371" s="3" t="inlineStr">
        <is>
          <t>DEI_IT_015002C</t>
        </is>
      </c>
      <c r="B371" s="4" t="inlineStr">
        <is>
          <t>4/4</t>
        </is>
      </c>
      <c r="C371" s="3" t="inlineStr">
        <is>
          <t>IMPIANTO MECCANICO</t>
        </is>
      </c>
      <c r="D371" s="4" t="inlineStr">
        <is>
          <t>SPECIALE</t>
        </is>
      </c>
      <c r="E371" s="4" t="inlineStr">
        <is>
          <t>MECCANICHE SPECIALI</t>
        </is>
      </c>
      <c r="F371" s="3" t="inlineStr">
        <is>
          <t>2_CME_TOTALE MECCANICI RADIOFARMACIA PAVIA.PDF</t>
        </is>
      </c>
      <c r="G371" s="4" t="inlineStr">
        <is>
          <t>167/167</t>
        </is>
      </c>
      <c r="H371" s="3" t="inlineStr">
        <is>
          <t>40 - IMPIANTISTICO</t>
        </is>
      </c>
      <c r="I371" s="3" t="inlineStr">
        <is>
          <t>P. TERRA</t>
        </is>
      </c>
      <c r="J371" s="3" t="inlineStr">
        <is>
          <t>IMPIANTO IDRICO E FOGNA</t>
        </is>
      </c>
      <c r="K371" s="3" t="inlineStr">
        <is>
          <t>TUBO IN ACCIAIO SENZA SALDATURA A NORMA UNI EN 10255, ZINCATO A CALDO A NORMA EN 10240-A1 ED AL DM MINISTERO DELLA SALUTE 6/4/2004 N. 174, FILETTATO E CON MANICOTTO, LAVORATO E POSTO IN OPERA (SINO AD</t>
        </is>
      </c>
      <c r="L371" s="3" t="inlineStr">
        <is>
          <t>TUBO IN ACCIAIO SENZA SALDATURA A NORMA UNI EN 10255, ZINCATO A CALDO A NORMA EN 10240-A1 ED AL DM MINISTERO DELLA SALUTE 6/4/2004 N. 174, FILETTATO E CON MANICOTTO, LAVORATO E POSTO IN OPERA (SINO AD UN'ALTEZZA DI 3,00 M DAL PIANO DI LAVORO) TAGLIATO A MISURA, COMPRESE EVENTUALI CRAVATTE A MURO, VERNICIATURA, SALDATURA E QUANTO ALTRO NECESSARIO PER DARE IL LAVORO FINITO A REGOLA D'ARTE, ESCLUSI GLI SCAVI, RINTERRI, TRACCE E RACCORDERIA: SERIE MEDIA: Ø INTERNO 3/4", SPESSORE 2,6 MM</t>
        </is>
      </c>
      <c r="M371" s="4" t="inlineStr">
        <is>
          <t>M</t>
        </is>
      </c>
      <c r="N371" s="5" t="n">
        <v>4</v>
      </c>
      <c r="O371" s="6" t="n">
        <v>27.97</v>
      </c>
      <c r="P371" s="6" t="n">
        <v>111.88</v>
      </c>
      <c r="Q371" s="5" t="n"/>
      <c r="R371" s="6" t="n"/>
      <c r="S371" s="6">
        <f>IF(AND(Q371&lt;&gt;"",R371&lt;&gt;""),Q371*R371,"")</f>
        <v/>
      </c>
      <c r="T371" s="6">
        <f>IF(S371="",P371,S371)</f>
        <v/>
      </c>
      <c r="U371" s="7" t="n">
        <v>0</v>
      </c>
      <c r="V371" s="6">
        <f>$T371*U371</f>
        <v/>
      </c>
      <c r="W371" s="7" t="n">
        <v>0</v>
      </c>
      <c r="X371" s="6">
        <f>$T371*W371</f>
        <v/>
      </c>
      <c r="Y371" s="7" t="n">
        <v>0</v>
      </c>
      <c r="Z371" s="6">
        <f>$T371*Y371</f>
        <v/>
      </c>
      <c r="AA371" s="7" t="n">
        <v>0</v>
      </c>
      <c r="AB371" s="6">
        <f>$T371*AA371</f>
        <v/>
      </c>
      <c r="AC371" s="7" t="n">
        <v>0</v>
      </c>
      <c r="AD371" s="6">
        <f>$T371*AC371</f>
        <v/>
      </c>
      <c r="AE371" s="7" t="n">
        <v>0</v>
      </c>
      <c r="AF371" s="6">
        <f>$T371*AE371</f>
        <v/>
      </c>
      <c r="AG371" s="7" t="n">
        <v>0</v>
      </c>
      <c r="AH371" s="6">
        <f>$T371*AG371</f>
        <v/>
      </c>
      <c r="AI371" s="7">
        <f>U371+W371+Y371+AA371+AC371+AE371+AG371</f>
        <v/>
      </c>
      <c r="AJ371" s="6">
        <f>V371+X371+Z371+AB371+AD371+AF371+AH371</f>
        <v/>
      </c>
    </row>
    <row r="372" ht="60" customHeight="1" s="35">
      <c r="A372" s="3" t="inlineStr">
        <is>
          <t>DEI_IT_015002D</t>
        </is>
      </c>
      <c r="B372" s="4" t="inlineStr">
        <is>
          <t>4/4</t>
        </is>
      </c>
      <c r="C372" s="3" t="inlineStr">
        <is>
          <t>IMPIANTO MECCANICO</t>
        </is>
      </c>
      <c r="D372" s="4" t="inlineStr">
        <is>
          <t>SPECIALE</t>
        </is>
      </c>
      <c r="E372" s="4" t="inlineStr">
        <is>
          <t>MECCANICHE SPECIALI</t>
        </is>
      </c>
      <c r="F372" s="3" t="inlineStr">
        <is>
          <t>2_CME_TOTALE MECCANICI RADIOFARMACIA PAVIA.PDF</t>
        </is>
      </c>
      <c r="G372" s="4" t="inlineStr">
        <is>
          <t>168/168</t>
        </is>
      </c>
      <c r="H372" s="3" t="inlineStr">
        <is>
          <t>40 - IMPIANTISTICO</t>
        </is>
      </c>
      <c r="I372" s="3" t="inlineStr">
        <is>
          <t>P. TERRA</t>
        </is>
      </c>
      <c r="J372" s="3" t="inlineStr">
        <is>
          <t>IMPIANTO IDRICO E FOGNA</t>
        </is>
      </c>
      <c r="K372" s="3" t="inlineStr">
        <is>
          <t>TUBO IN ACCIAIO SENZA SALDATURA A NORMA UNI EN 10255, ZINCATO A CALDO A NORMA EN 10240-A1 ED AL DM MINISTERO DELLA SALUTE 6/4/2004 N. 174, FILETTATO E CON MANICOTTO, LAVORATO E POSTO IN OPERA (SINO AD</t>
        </is>
      </c>
      <c r="L372" s="3" t="inlineStr">
        <is>
          <t>TUBO IN ACCIAIO SENZA SALDATURA A NORMA UNI EN 10255, ZINCATO A CALDO A NORMA EN 10240-A1 ED AL DM MINISTERO DELLA SALUTE 6/4/2004 N. 174, FILETTATO E CON MANICOTTO, LAVORATO E POSTO IN OPERA (SINO AD UN'ALTEZZA DI 3,00 M DAL PIANO DI LAVORO) TAGLIATO A MISURA, COMPRESE EVENTUALI CRAVATTE A MURO, VERNICIATURA, SALDATURA E QUANTO ALTRO NECESSARIO PER DARE IL LAVORO FINITO A REGOLA D'ARTE, ESCLUSI GLI SCAVI, RINTERRI, TRACCE E RACCORDERIA: SERIE MEDIA: Ø INTERNO 1", SPESSORE 3,2 MM</t>
        </is>
      </c>
      <c r="M372" s="4" t="inlineStr">
        <is>
          <t>M</t>
        </is>
      </c>
      <c r="N372" s="5" t="n">
        <v>5</v>
      </c>
      <c r="O372" s="6" t="n">
        <v>31.42</v>
      </c>
      <c r="P372" s="6" t="n">
        <v>157.1</v>
      </c>
      <c r="Q372" s="5" t="n"/>
      <c r="R372" s="6" t="n"/>
      <c r="S372" s="6">
        <f>IF(AND(Q372&lt;&gt;"",R372&lt;&gt;""),Q372*R372,"")</f>
        <v/>
      </c>
      <c r="T372" s="6">
        <f>IF(S372="",P372,S372)</f>
        <v/>
      </c>
      <c r="U372" s="7" t="n">
        <v>0</v>
      </c>
      <c r="V372" s="6">
        <f>$T372*U372</f>
        <v/>
      </c>
      <c r="W372" s="7" t="n">
        <v>0</v>
      </c>
      <c r="X372" s="6">
        <f>$T372*W372</f>
        <v/>
      </c>
      <c r="Y372" s="7" t="n">
        <v>0</v>
      </c>
      <c r="Z372" s="6">
        <f>$T372*Y372</f>
        <v/>
      </c>
      <c r="AA372" s="7" t="n">
        <v>0</v>
      </c>
      <c r="AB372" s="6">
        <f>$T372*AA372</f>
        <v/>
      </c>
      <c r="AC372" s="7" t="n">
        <v>0</v>
      </c>
      <c r="AD372" s="6">
        <f>$T372*AC372</f>
        <v/>
      </c>
      <c r="AE372" s="7" t="n">
        <v>0</v>
      </c>
      <c r="AF372" s="6">
        <f>$T372*AE372</f>
        <v/>
      </c>
      <c r="AG372" s="7" t="n">
        <v>0</v>
      </c>
      <c r="AH372" s="6">
        <f>$T372*AG372</f>
        <v/>
      </c>
      <c r="AI372" s="7">
        <f>U372+W372+Y372+AA372+AC372+AE372+AG372</f>
        <v/>
      </c>
      <c r="AJ372" s="6">
        <f>V372+X372+Z372+AB372+AD372+AF372+AH372</f>
        <v/>
      </c>
    </row>
    <row r="373" ht="60" customHeight="1" s="35">
      <c r="A373" s="3" t="inlineStr">
        <is>
          <t>LOM251.OC.EEA.PA02.I1500.E0011.0005</t>
        </is>
      </c>
      <c r="B373" s="4" t="inlineStr">
        <is>
          <t>2/2</t>
        </is>
      </c>
      <c r="C373" s="3" t="inlineStr">
        <is>
          <t>IMPIANTO MECCANICO</t>
        </is>
      </c>
      <c r="D373" s="4" t="inlineStr">
        <is>
          <t>SPECIALE</t>
        </is>
      </c>
      <c r="E373" s="4" t="inlineStr">
        <is>
          <t>MECCANICHE SPECIALI</t>
        </is>
      </c>
      <c r="F373" s="3" t="inlineStr">
        <is>
          <t>2_CME_TOTALE MECCANICI RADIOFARMACIA PAVIA.PDF</t>
        </is>
      </c>
      <c r="G373" s="4" t="inlineStr">
        <is>
          <t>169/169</t>
        </is>
      </c>
      <c r="H373" s="3" t="inlineStr">
        <is>
          <t>40 - IMPIANTISTICO</t>
        </is>
      </c>
      <c r="I373" s="3" t="inlineStr">
        <is>
          <t>P. TERRA</t>
        </is>
      </c>
      <c r="J373" s="3" t="inlineStr">
        <is>
          <t>IMPIANTO IDRICO E FOGNA</t>
        </is>
      </c>
      <c r="K373" s="3" t="inlineStr">
        <is>
          <t>OPERA: LASTRA DI GOMMA ELASTOMERICA ESPANSA A CELLULE CHIUSE; FUNZIONE: COIBENTAZIONE; IMPIEGO: CONDOTTO; SPESSORE [MM] = 19; RESISTENZA ALLA FIAMMA [CLASSE] = 1; FATTORE DI PERMEABILITÀ (Μ) MINIMO [-</t>
        </is>
      </c>
      <c r="L373" s="3" t="inlineStr">
        <is>
          <t>OPERA: LASTRA DI GOMMA ELASTOMERICA ESPANSA A CELLULE CHIUSE; FUNZIONE: COIBENTAZIONE; IMPIEGO: CONDOTTO; SPESSORE [MM] = 19; RESISTENZA ALLA FIAMMA [CLASSE] = 1; FATTORE DI PERMEABILITÀ (Μ) MINIMO [-] = 4000. 
LAVORO: POSA. 
SPECIFICHE TECNICHE: LASTRA INCOLLATA; GOMMA ELASTOMERICA ESPANSA A CELLULE CHIUSE SENZA ALOGENI NÉ PVC. OP LASTRA DI GOMMA ELASTOMERICA ESPANSA A CELLULE CHIUSE; FUNZIONE: COIBENTAZIONE; IMPIEGO: CONDOTTO; SPESSORE [MM] = 19; RESISTENZA ALLA FIAMMA [CLASSE] = 1; FATTORE DI PERMEABILITÀ (Μ) MINIMO [-] = 4000. 
SPECIFICHE TECNICHE: LASTRA INCOLLATA; GOMMA ELASTOMERICA ESPANSA A CELLULE CHIUSE SENZA ALOGENI NÉ PVC. 
RM LASTRA DI GOMMA ESPANSA A CELLULE CHIUSE; FUNZIONE: COIBENTAZIONE; IMPIEGO: CONDOTTO; SPESSORE [MM] = 19; RESISTENZA ALLA FIAMMA [CLASSE] = 1; FATTORE DI PERMEABILITÀ (Μ) MINIMO [-] = 4000 
SPECIFICHE TECNICHE: LASTRA INCOLLATA; GOMMA ELASTOMERICA ESPANSA A CELLULE CHIUSE SENZA ALOGENI NÉ PVC 
LV POSA.</t>
        </is>
      </c>
      <c r="M373" s="4" t="inlineStr">
        <is>
          <t>M²</t>
        </is>
      </c>
      <c r="N373" s="5" t="n">
        <v>6</v>
      </c>
      <c r="O373" s="6" t="n">
        <v>8.98</v>
      </c>
      <c r="P373" s="6" t="n">
        <v>53.88</v>
      </c>
      <c r="Q373" s="5" t="n"/>
      <c r="R373" s="6" t="n"/>
      <c r="S373" s="6">
        <f>IF(AND(Q373&lt;&gt;"",R373&lt;&gt;""),Q373*R373,"")</f>
        <v/>
      </c>
      <c r="T373" s="6">
        <f>IF(S373="",P373,S373)</f>
        <v/>
      </c>
      <c r="U373" s="7" t="n">
        <v>0</v>
      </c>
      <c r="V373" s="6">
        <f>$T373*U373</f>
        <v/>
      </c>
      <c r="W373" s="7" t="n">
        <v>0</v>
      </c>
      <c r="X373" s="6">
        <f>$T373*W373</f>
        <v/>
      </c>
      <c r="Y373" s="7" t="n">
        <v>0</v>
      </c>
      <c r="Z373" s="6">
        <f>$T373*Y373</f>
        <v/>
      </c>
      <c r="AA373" s="7" t="n">
        <v>0</v>
      </c>
      <c r="AB373" s="6">
        <f>$T373*AA373</f>
        <v/>
      </c>
      <c r="AC373" s="7" t="n">
        <v>0</v>
      </c>
      <c r="AD373" s="6">
        <f>$T373*AC373</f>
        <v/>
      </c>
      <c r="AE373" s="7" t="n">
        <v>0</v>
      </c>
      <c r="AF373" s="6">
        <f>$T373*AE373</f>
        <v/>
      </c>
      <c r="AG373" s="7" t="n">
        <v>0</v>
      </c>
      <c r="AH373" s="6">
        <f>$T373*AG373</f>
        <v/>
      </c>
      <c r="AI373" s="7">
        <f>U373+W373+Y373+AA373+AC373+AE373+AG373</f>
        <v/>
      </c>
      <c r="AJ373" s="6">
        <f>V373+X373+Z373+AB373+AD373+AF373+AH373</f>
        <v/>
      </c>
    </row>
    <row r="374" ht="60" customHeight="1" s="35">
      <c r="A374" s="3" t="inlineStr">
        <is>
          <t>LOM251.OC.EEA.PA15.I7822.D0010.0750.C</t>
        </is>
      </c>
      <c r="B374" s="4" t="inlineStr">
        <is>
          <t>2/2</t>
        </is>
      </c>
      <c r="C374" s="3" t="inlineStr">
        <is>
          <t>IMPIANTO MECCANICO</t>
        </is>
      </c>
      <c r="D374" s="4" t="inlineStr">
        <is>
          <t>SPECIALE</t>
        </is>
      </c>
      <c r="E374" s="4" t="inlineStr">
        <is>
          <t>MECCANICHE SPECIALI</t>
        </is>
      </c>
      <c r="F374" s="3" t="inlineStr">
        <is>
          <t>2_CME_TOTALE MECCANICI RADIOFARMACIA PAVIA.PDF</t>
        </is>
      </c>
      <c r="G374" s="4" t="inlineStr">
        <is>
          <t>170/170</t>
        </is>
      </c>
      <c r="H374" s="3" t="inlineStr">
        <is>
          <t>40 - IMPIANTISTICO</t>
        </is>
      </c>
      <c r="I374" s="3" t="inlineStr">
        <is>
          <t>P. TERRA</t>
        </is>
      </c>
      <c r="J374" s="3" t="inlineStr">
        <is>
          <t>IMPIANTO IDRICO E FOGNA</t>
        </is>
      </c>
      <c r="K374" s="3" t="inlineStr">
        <is>
          <t xml:space="preserve">OPERA: TUBAZIONE DI SCARICO DI PLASTICA POLIETILENE AD ALTA DENSITÀ (HDPE/PEAD); FUNZIONE: SCARICO; DIAMETRO ESTERNO (Ø) [MM] = 50. </t>
        </is>
      </c>
      <c r="L374" s="3" t="inlineStr">
        <is>
          <t>OPERA: TUBAZIONE DI SCARICO DI PLASTICA POLIETILENE AD ALTA DENSITÀ (HDPE/PEAD); FUNZIONE: SCARICO; DIAMETRO ESTERNO (Ø) [MM] = 50. 
LAVORO: SALDATURA DI TESTA. INCLUSO: OPERAZIONI DI PREPARAZIONE DI ELEMENTI DA SALDARE; NOLO SALDATRICE; CONSUMI. 
SPECIFICHE TECNICHE: PEAD MALLEABILIZZATO. OP TUBAZIONE DI SCARICO DI PLASTICA POLIETILENE AD ALTA DENSITÀ (HDPE/PEAD); FUNZIONE: SCARICO; DIAMETRO ESTERNO (Ø) [MM] = 50. 
SPECIFICHE TECNICHE: PEAD MALLEABILIZZATO. 
RM TUBO DI PLASTICA POLIETILENE (PE); FINITURA: COLORE NERO; GEOMETRIA: MALLEABILIZZATO; FUNZIONE: SCARICO ACQUE; IMPIEGO: IMPIANTO CIVILE | INDUSTRIALE; DIAMETRO ESTERNO (Ø) [MM] = 50 | SPESSORE [MM] = 3. ESCLUSO: RACCORDI 
SPECIFICHE TECNICHE: DA GIUNTARE CON: SALDATURA DI TESTA, MANICOTTO ELETTRICO O MANICOTTO DI DILATAZIONE 
LV SALDATURA DI TESTA. INCLUSO: OPERAZIONI DI PREPARAZIONE DI ELEMENTI DA SALDARE; NOLO SALDATRICE; CONSUMI. 
RP SALDATRICE TESTA-TESTA; DIAMETRO OPERATIVO [MM] = 40 ÷ 160. INCLUSO: ACCESSORI (ES. FRESA SPIANATRICE, TERMOELEMENTO, CENTRALINA, TERMOSTATO, ANELLI DI RIDUZIONE). DA CONTEGGIARE A PARTE: SPESE DI ESERCIZIO (RP.01.20.00.1020.A)</t>
        </is>
      </c>
      <c r="M374" s="4" t="inlineStr">
        <is>
          <t>M</t>
        </is>
      </c>
      <c r="N374" s="5" t="n">
        <v>6</v>
      </c>
      <c r="O374" s="6" t="n">
        <v>15.42</v>
      </c>
      <c r="P374" s="6" t="n">
        <v>92.52</v>
      </c>
      <c r="Q374" s="5" t="n"/>
      <c r="R374" s="6" t="n"/>
      <c r="S374" s="6">
        <f>IF(AND(Q374&lt;&gt;"",R374&lt;&gt;""),Q374*R374,"")</f>
        <v/>
      </c>
      <c r="T374" s="6">
        <f>IF(S374="",P374,S374)</f>
        <v/>
      </c>
      <c r="U374" s="7" t="n">
        <v>0</v>
      </c>
      <c r="V374" s="6">
        <f>$T374*U374</f>
        <v/>
      </c>
      <c r="W374" s="7" t="n">
        <v>0</v>
      </c>
      <c r="X374" s="6">
        <f>$T374*W374</f>
        <v/>
      </c>
      <c r="Y374" s="7" t="n">
        <v>0</v>
      </c>
      <c r="Z374" s="6">
        <f>$T374*Y374</f>
        <v/>
      </c>
      <c r="AA374" s="7" t="n">
        <v>0</v>
      </c>
      <c r="AB374" s="6">
        <f>$T374*AA374</f>
        <v/>
      </c>
      <c r="AC374" s="7" t="n">
        <v>0</v>
      </c>
      <c r="AD374" s="6">
        <f>$T374*AC374</f>
        <v/>
      </c>
      <c r="AE374" s="7" t="n">
        <v>0</v>
      </c>
      <c r="AF374" s="6">
        <f>$T374*AE374</f>
        <v/>
      </c>
      <c r="AG374" s="7" t="n">
        <v>0</v>
      </c>
      <c r="AH374" s="6">
        <f>$T374*AG374</f>
        <v/>
      </c>
      <c r="AI374" s="7">
        <f>U374+W374+Y374+AA374+AC374+AE374+AG374</f>
        <v/>
      </c>
      <c r="AJ374" s="6">
        <f>V374+X374+Z374+AB374+AD374+AF374+AH374</f>
        <v/>
      </c>
    </row>
    <row r="375" ht="60" customHeight="1" s="35">
      <c r="A375" s="3" t="inlineStr">
        <is>
          <t>LOM251.OC.EEA.PA15.I7822.D0010.0750.E</t>
        </is>
      </c>
      <c r="B375" s="4" t="inlineStr">
        <is>
          <t>3/3</t>
        </is>
      </c>
      <c r="C375" s="3" t="inlineStr">
        <is>
          <t>IMPIANTO MECCANICO</t>
        </is>
      </c>
      <c r="D375" s="4" t="inlineStr">
        <is>
          <t>SPECIALE</t>
        </is>
      </c>
      <c r="E375" s="4" t="inlineStr">
        <is>
          <t>MECCANICHE SPECIALI</t>
        </is>
      </c>
      <c r="F375" s="3" t="inlineStr">
        <is>
          <t>2_CME_TOTALE MECCANICI RADIOFARMACIA PAVIA.PDF</t>
        </is>
      </c>
      <c r="G375" s="4" t="inlineStr">
        <is>
          <t>171/171</t>
        </is>
      </c>
      <c r="H375" s="3" t="inlineStr">
        <is>
          <t>40 - IMPIANTISTICO</t>
        </is>
      </c>
      <c r="I375" s="3" t="inlineStr">
        <is>
          <t>P. TERRA</t>
        </is>
      </c>
      <c r="J375" s="3" t="inlineStr">
        <is>
          <t>IMPIANTO IDRICO E FOGNA</t>
        </is>
      </c>
      <c r="K375" s="3" t="inlineStr">
        <is>
          <t xml:space="preserve">OPERA: TUBAZIONE DI SCARICO DI PLASTICA POLIETILENE AD ALTA DENSITÀ (HDPE/PEAD); FUNZIONE: SCARICO; DIAMETRO ESTERNO (Ø) [MM] = 63. </t>
        </is>
      </c>
      <c r="L375" s="3" t="inlineStr">
        <is>
          <t>OPERA: TUBAZIONE DI SCARICO DI PLASTICA POLIETILENE AD ALTA DENSITÀ (HDPE/PEAD); FUNZIONE: SCARICO; DIAMETRO ESTERNO (Ø) [MM] = 63. 
LAVORO: SALDATURA DI TESTA. INCLUSO: OPERAZIONI DI PREPARAZIONE DI ELEMENTI DA SALDARE; NOLO SALDATRICE; CONSUMI. 
SPECIFICHE TECNICHE: PEAD MALLEABILIZZATO. OP TUBAZIONE DI SCARICO DI PLASTICA POLIETILENE AD ALTA DENSITÀ (HDPE/PEAD); FUNZIONE: SCARICO; DIAMETRO ESTERNO (Ø) [MM] = 63. 
SPECIFICHE TECNICHE: PEAD MALLEABILIZZATO. 
RM TUBO DI PLASTICA POLIETILENE (PE); FINITURA: COLORE NERO; GEOMETRIA: MALLEABILIZZATO; FUNZIONE: SCARICO ACQUE; IMPIEGO: IMPIANTO CIVILE | INDUSTRIALE; DIAMETRO ESTERNO (Ø) [MM] = 63 | SPESSORE [MM] = 3. ESCLUSO: RACCORDI 
SPECIFICHE TECNICHE: DA GIUNTARE CON: SALDATURA DI TESTA, MANICOTTO ELETTRICO O MANICOTTO DI DILATAZIONE 
LV SALDATURA DI TESTA. INCLUSO: OPERAZIONI DI PREPARAZIONE DI ELEMENTI DA SALDARE; NOLO SALDATRICE; CONSUMI. 
RP SALDATRICE TESTA-TESTA; DIAMETRO OPERATIVO [MM] = 40 ÷ 160. INCLUSO: ACCESSORI (ES. FRESA SPIANATRICE, TERMOELEMENTO, CENTRALINA, TERMOSTATO, ANELLI DI RIDUZIONE). DA CONTEGGIARE A PARTE: SPESE DI ESERCIZIO (RP.01.20.00.1020.A)</t>
        </is>
      </c>
      <c r="M375" s="4" t="inlineStr">
        <is>
          <t>M</t>
        </is>
      </c>
      <c r="N375" s="5" t="n">
        <v>6</v>
      </c>
      <c r="O375" s="6" t="n">
        <v>22.23</v>
      </c>
      <c r="P375" s="6" t="n">
        <v>133.38</v>
      </c>
      <c r="Q375" s="5" t="n"/>
      <c r="R375" s="6" t="n"/>
      <c r="S375" s="6">
        <f>IF(AND(Q375&lt;&gt;"",R375&lt;&gt;""),Q375*R375,"")</f>
        <v/>
      </c>
      <c r="T375" s="6">
        <f>IF(S375="",P375,S375)</f>
        <v/>
      </c>
      <c r="U375" s="7" t="n">
        <v>0</v>
      </c>
      <c r="V375" s="6">
        <f>$T375*U375</f>
        <v/>
      </c>
      <c r="W375" s="7" t="n">
        <v>0</v>
      </c>
      <c r="X375" s="6">
        <f>$T375*W375</f>
        <v/>
      </c>
      <c r="Y375" s="7" t="n">
        <v>0</v>
      </c>
      <c r="Z375" s="6">
        <f>$T375*Y375</f>
        <v/>
      </c>
      <c r="AA375" s="7" t="n">
        <v>0</v>
      </c>
      <c r="AB375" s="6">
        <f>$T375*AA375</f>
        <v/>
      </c>
      <c r="AC375" s="7" t="n">
        <v>0</v>
      </c>
      <c r="AD375" s="6">
        <f>$T375*AC375</f>
        <v/>
      </c>
      <c r="AE375" s="7" t="n">
        <v>0</v>
      </c>
      <c r="AF375" s="6">
        <f>$T375*AE375</f>
        <v/>
      </c>
      <c r="AG375" s="7" t="n">
        <v>0</v>
      </c>
      <c r="AH375" s="6">
        <f>$T375*AG375</f>
        <v/>
      </c>
      <c r="AI375" s="7">
        <f>U375+W375+Y375+AA375+AC375+AE375+AG375</f>
        <v/>
      </c>
      <c r="AJ375" s="6">
        <f>V375+X375+Z375+AB375+AD375+AF375+AH375</f>
        <v/>
      </c>
    </row>
    <row r="376" ht="60" customHeight="1" s="35">
      <c r="A376" s="3" t="inlineStr">
        <is>
          <t>LOM251.OC.EEA.PA15.I7822.D0010.0750.H</t>
        </is>
      </c>
      <c r="B376" s="4" t="inlineStr">
        <is>
          <t>3/3</t>
        </is>
      </c>
      <c r="C376" s="3" t="inlineStr">
        <is>
          <t>IMPIANTO MECCANICO</t>
        </is>
      </c>
      <c r="D376" s="4" t="inlineStr">
        <is>
          <t>SPECIALE</t>
        </is>
      </c>
      <c r="E376" s="4" t="inlineStr">
        <is>
          <t>MECCANICHE SPECIALI</t>
        </is>
      </c>
      <c r="F376" s="3" t="inlineStr">
        <is>
          <t>2_CME_TOTALE MECCANICI RADIOFARMACIA PAVIA.PDF</t>
        </is>
      </c>
      <c r="G376" s="4" t="inlineStr">
        <is>
          <t>172/172</t>
        </is>
      </c>
      <c r="H376" s="3" t="inlineStr">
        <is>
          <t>40 - IMPIANTISTICO</t>
        </is>
      </c>
      <c r="I376" s="3" t="inlineStr">
        <is>
          <t>P. TERRA</t>
        </is>
      </c>
      <c r="J376" s="3" t="inlineStr">
        <is>
          <t>IMPIANTO IDRICO E FOGNA</t>
        </is>
      </c>
      <c r="K376" s="3" t="inlineStr">
        <is>
          <t xml:space="preserve">OPERA: TUBAZIONE DI SCARICO DI PLASTICA POLIETILENE AD ALTA DENSITÀ (HDPE/PEAD); FUNZIONE: SCARICO; DIAMETRO ESTERNO (Ø) [MM] = 110. </t>
        </is>
      </c>
      <c r="L376" s="3" t="inlineStr">
        <is>
          <t>OPERA: TUBAZIONE DI SCARICO DI PLASTICA POLIETILENE AD ALTA DENSITÀ (HDPE/PEAD); FUNZIONE: SCARICO; DIAMETRO ESTERNO (Ø) [MM] = 110. 
LAVORO: SALDATURA DI TESTA. INCLUSO: OPERAZIONI DI PREPARAZIONE DI ELEMENTI DA SALDARE; NOLO SALDATRICE; CONSUMI. 
SPECIFICHE TECNICHE: PEAD MALLEABILIZZATO. OP TUBAZIONE DI SCARICO DI PLASTICA POLIETILENE AD ALTA DENSITÀ (HDPE/PEAD); FUNZIONE: SCARICO; DIAMETRO ESTERNO (Ø) [MM] = 110. 
SPECIFICHE TECNICHE: PEAD MALLEABILIZZATO. 
RM TUBO DI PLASTICA POLIETILENE (PE); FINITURA: COLORE NERO; GEOMETRIA: MALLEABILIZZATO; FUNZIONE: SCARICO ACQUE; IMPIEGO: IMPIANTO CIVILE | INDUSTRIALE; DIAMETRO ESTERNO (Ø) [MM] = 110 | SPESSORE [MM] = 4,3. ESCLUSO: RACCORDI 
SPECIFICHE TECNICHE: DA GIUNTARE CON: SALDATURA DI TESTA, MANICOTTO ELETTRICO O MANICOTTO DI DILATAZIONE 
LV SALDATURA DI TESTA. INCLUSO: OPERAZIONI DI PREPARAZIONE DI ELEMENTI DA SALDARE; NOLO SALDATRICE; CONSUMI. 
RP SALDATRICE TESTA-TESTA; DIAMETRO OPERATIVO [MM] = 40 ÷ 160. INCLUSO: ACCESSORI (ES. FRESA SPIANATRICE, TERMOELEMENTO, CENTRALINA, TERMOSTATO, ANELLI DI RIDUZIONE). DA CONTEGGIARE A PARTE: SPESE DI ESERCIZIO (RP.01.20.00.1020.A)</t>
        </is>
      </c>
      <c r="M376" s="4" t="inlineStr">
        <is>
          <t>M</t>
        </is>
      </c>
      <c r="N376" s="5" t="n">
        <v>6</v>
      </c>
      <c r="O376" s="6" t="n">
        <v>39.73</v>
      </c>
      <c r="P376" s="6" t="n">
        <v>238.38</v>
      </c>
      <c r="Q376" s="5" t="n"/>
      <c r="R376" s="6" t="n"/>
      <c r="S376" s="6">
        <f>IF(AND(Q376&lt;&gt;"",R376&lt;&gt;""),Q376*R376,"")</f>
        <v/>
      </c>
      <c r="T376" s="6">
        <f>IF(S376="",P376,S376)</f>
        <v/>
      </c>
      <c r="U376" s="7" t="n">
        <v>0</v>
      </c>
      <c r="V376" s="6">
        <f>$T376*U376</f>
        <v/>
      </c>
      <c r="W376" s="7" t="n">
        <v>0</v>
      </c>
      <c r="X376" s="6">
        <f>$T376*W376</f>
        <v/>
      </c>
      <c r="Y376" s="7" t="n">
        <v>0</v>
      </c>
      <c r="Z376" s="6">
        <f>$T376*Y376</f>
        <v/>
      </c>
      <c r="AA376" s="7" t="n">
        <v>0</v>
      </c>
      <c r="AB376" s="6">
        <f>$T376*AA376</f>
        <v/>
      </c>
      <c r="AC376" s="7" t="n">
        <v>0</v>
      </c>
      <c r="AD376" s="6">
        <f>$T376*AC376</f>
        <v/>
      </c>
      <c r="AE376" s="7" t="n">
        <v>0</v>
      </c>
      <c r="AF376" s="6">
        <f>$T376*AE376</f>
        <v/>
      </c>
      <c r="AG376" s="7" t="n">
        <v>0</v>
      </c>
      <c r="AH376" s="6">
        <f>$T376*AG376</f>
        <v/>
      </c>
      <c r="AI376" s="7">
        <f>U376+W376+Y376+AA376+AC376+AE376+AG376</f>
        <v/>
      </c>
      <c r="AJ376" s="6">
        <f>V376+X376+Z376+AB376+AD376+AF376+AH376</f>
        <v/>
      </c>
    </row>
    <row r="377" ht="60" customHeight="1" s="35">
      <c r="A377" s="3" t="inlineStr">
        <is>
          <t>LOM251.OC.EEA.PA15.I7822.D0010.0750.I</t>
        </is>
      </c>
      <c r="B377" s="4" t="inlineStr">
        <is>
          <t>3/3</t>
        </is>
      </c>
      <c r="C377" s="3" t="inlineStr">
        <is>
          <t>IMPIANTO MECCANICO</t>
        </is>
      </c>
      <c r="D377" s="4" t="inlineStr">
        <is>
          <t>SPECIALE</t>
        </is>
      </c>
      <c r="E377" s="4" t="inlineStr">
        <is>
          <t>MECCANICHE SPECIALI</t>
        </is>
      </c>
      <c r="F377" s="3" t="inlineStr">
        <is>
          <t>2_CME_TOTALE MECCANICI RADIOFARMACIA PAVIA.PDF</t>
        </is>
      </c>
      <c r="G377" s="4" t="inlineStr">
        <is>
          <t>173/173</t>
        </is>
      </c>
      <c r="H377" s="3" t="inlineStr">
        <is>
          <t>40 - IMPIANTISTICO</t>
        </is>
      </c>
      <c r="I377" s="3" t="inlineStr">
        <is>
          <t>P. TERRA</t>
        </is>
      </c>
      <c r="J377" s="3" t="inlineStr">
        <is>
          <t>IMPIANTO IDRICO E FOGNA</t>
        </is>
      </c>
      <c r="K377" s="3" t="inlineStr">
        <is>
          <t xml:space="preserve">OPERA: TUBAZIONE DI SCARICO DI PLASTICA POLIETILENE AD ALTA DENSITÀ (HDPE/PEAD); FUNZIONE: SCARICO; DIAMETRO ESTERNO (Ø) [MM] = 125. </t>
        </is>
      </c>
      <c r="L377" s="3" t="inlineStr">
        <is>
          <t>OPERA: TUBAZIONE DI SCARICO DI PLASTICA POLIETILENE AD ALTA DENSITÀ (HDPE/PEAD); FUNZIONE: SCARICO; DIAMETRO ESTERNO (Ø) [MM] = 125. 
LAVORO: SALDATURA DI TESTA. INCLUSO: OPERAZIONI DI PREPARAZIONE DI ELEMENTI DA SALDARE; NOLO SALDATRICE; CONSUMI. 
SPECIFICHE TECNICHE: PEAD MALLEABILIZZATO. OP TUBAZIONE DI SCARICO DI PLASTICA POLIETILENE AD ALTA DENSITÀ (HDPE/PEAD); FUNZIONE: SCARICO; DIAMETRO ESTERNO (Ø) [MM] = 125. 
SPECIFICHE TECNICHE: PEAD MALLEABILIZZATO. 
RM TUBO DI PLASTICA POLIETILENE (PE); FINITURA: COLORE NERO; GEOMETRIA: MALLEABILIZZATO; FUNZIONE: SCARICO ACQUE; IMPIEGO: IMPIANTO CIVILE | INDUSTRIALE; DIAMETRO ESTERNO (Ø) [MM] = 125 | SPESSORE [MM] = 4,9. ESCLUSO: RACCORDI 
SPECIFICHE TECNICHE: DA GIUNTARE CON: SALDATURA DI TESTA, MANICOTTO ELETTRICO O MANICOTTO DI DILATAZIONE 
LV SALDATURA DI TESTA. INCLUSO: OPERAZIONI DI PREPARAZIONE DI ELEMENTI DA SALDARE; NOLO SALDATRICE; CONSUMI. 
RP SALDATRICE TESTA-TESTA; DIAMETRO OPERATIVO [MM] = 75 ÷ 250. INCLUSO: ACCESSORI (ES. FRESA SPIANATRICE, TERMOELEMENTO, CENTRALINA, TERMOSTATO, ANELLI DI RIDUZIONE). DA CONTEGGIARE A PARTE: SPESE DI ESERCIZIO (RP.01.20.00.1020.B)</t>
        </is>
      </c>
      <c r="M377" s="4" t="inlineStr">
        <is>
          <t>M</t>
        </is>
      </c>
      <c r="N377" s="5" t="n">
        <v>4</v>
      </c>
      <c r="O377" s="6" t="n">
        <v>53.36</v>
      </c>
      <c r="P377" s="6" t="n">
        <v>213.44</v>
      </c>
      <c r="Q377" s="5" t="n"/>
      <c r="R377" s="6" t="n"/>
      <c r="S377" s="6">
        <f>IF(AND(Q377&lt;&gt;"",R377&lt;&gt;""),Q377*R377,"")</f>
        <v/>
      </c>
      <c r="T377" s="6">
        <f>IF(S377="",P377,S377)</f>
        <v/>
      </c>
      <c r="U377" s="7" t="n">
        <v>0</v>
      </c>
      <c r="V377" s="6">
        <f>$T377*U377</f>
        <v/>
      </c>
      <c r="W377" s="7" t="n">
        <v>0</v>
      </c>
      <c r="X377" s="6">
        <f>$T377*W377</f>
        <v/>
      </c>
      <c r="Y377" s="7" t="n">
        <v>0</v>
      </c>
      <c r="Z377" s="6">
        <f>$T377*Y377</f>
        <v/>
      </c>
      <c r="AA377" s="7" t="n">
        <v>0</v>
      </c>
      <c r="AB377" s="6">
        <f>$T377*AA377</f>
        <v/>
      </c>
      <c r="AC377" s="7" t="n">
        <v>0</v>
      </c>
      <c r="AD377" s="6">
        <f>$T377*AC377</f>
        <v/>
      </c>
      <c r="AE377" s="7" t="n">
        <v>0</v>
      </c>
      <c r="AF377" s="6">
        <f>$T377*AE377</f>
        <v/>
      </c>
      <c r="AG377" s="7" t="n">
        <v>0</v>
      </c>
      <c r="AH377" s="6">
        <f>$T377*AG377</f>
        <v/>
      </c>
      <c r="AI377" s="7">
        <f>U377+W377+Y377+AA377+AC377+AE377+AG377</f>
        <v/>
      </c>
      <c r="AJ377" s="6">
        <f>V377+X377+Z377+AB377+AD377+AF377+AH377</f>
        <v/>
      </c>
    </row>
    <row r="378" ht="60" customHeight="1" s="35">
      <c r="A378" s="3" t="inlineStr">
        <is>
          <t>LOM251.OC.EEA.PA15.I7822.D0010.0750.J</t>
        </is>
      </c>
      <c r="B378" s="4" t="inlineStr">
        <is>
          <t>2/2</t>
        </is>
      </c>
      <c r="C378" s="3" t="inlineStr">
        <is>
          <t>IMPIANTO MECCANICO</t>
        </is>
      </c>
      <c r="D378" s="4" t="inlineStr">
        <is>
          <t>SPECIALE</t>
        </is>
      </c>
      <c r="E378" s="4" t="inlineStr">
        <is>
          <t>MECCANICHE SPECIALI</t>
        </is>
      </c>
      <c r="F378" s="3" t="inlineStr">
        <is>
          <t>2_CME_TOTALE MECCANICI RADIOFARMACIA PAVIA.PDF</t>
        </is>
      </c>
      <c r="G378" s="4" t="inlineStr">
        <is>
          <t>174/174</t>
        </is>
      </c>
      <c r="H378" s="3" t="inlineStr">
        <is>
          <t>40 - IMPIANTISTICO</t>
        </is>
      </c>
      <c r="I378" s="3" t="inlineStr">
        <is>
          <t>P. TERRA</t>
        </is>
      </c>
      <c r="J378" s="3" t="inlineStr">
        <is>
          <t>IMPIANTO IDRICO E FOGNA</t>
        </is>
      </c>
      <c r="K378" s="3" t="inlineStr">
        <is>
          <t xml:space="preserve">OPERA: TUBAZIONE DI SCARICO DI PLASTICA POLIETILENE AD ALTA DENSITÀ (HDPE/PEAD); FUNZIONE: SCARICO; DIAMETRO ESTERNO (Ø) [MM] = 160. </t>
        </is>
      </c>
      <c r="L378" s="3" t="inlineStr">
        <is>
          <t>OPERA: TUBAZIONE DI SCARICO DI PLASTICA POLIETILENE AD ALTA DENSITÀ (HDPE/PEAD); FUNZIONE: SCARICO; DIAMETRO ESTERNO (Ø) [MM] = 160. 
LAVORO: SALDATURA DI TESTA. INCLUSO: OPERAZIONI DI PREPARAZIONE DI ELEMENTI DA SALDARE; NOLO SALDATRICE; CONSUMI. 
SPECIFICHE TECNICHE: PEAD MALLEABILIZZATO. OP TUBAZIONE DI SCARICO DI PLASTICA POLIETILENE AD ALTA DENSITÀ (HDPE/PEAD); FUNZIONE: SCARICO; DIAMETRO ESTERNO (Ø) [MM] = 160. 
SPECIFICHE TECNICHE: PEAD MALLEABILIZZATO. 
RM TUBO DI PLASTICA POLIETILENE (PE); FINITURA: COLORE NERO; GEOMETRIA: MALLEABILIZZATO; FUNZIONE: SCARICO ACQUE; IMPIEGO: IMPIANTO CIVILE | INDUSTRIALE; DIAMETRO ESTERNO (Ø) [MM] = 160 | SPESSORE [MM] = 6,2. ESCLUSO: RACCORDI 
SPECIFICHE TECNICHE: DA GIUNTARE CON: SALDATURA DI TESTA, MANICOTTO ELETTRICO O MANICOTTO DI DILATAZIONE 
LV SALDATURA DI TESTA. INCLUSO: OPERAZIONI DI PREPARAZIONE DI ELEMENTI DA SALDARE; NOLO SALDATRICE; CONSUMI. 
RP SALDATRICE TESTA-TESTA; DIAMETRO OPERATIVO [MM] = 75 ÷ 250. INCLUSO: ACCESSORI (ES. FRESA SPIANATRICE, TERMOELEMENTO, CENTRALINA, TERMOSTATO, ANELLI DI RIDUZIONE). DA CONTEGGIARE A PARTE: SPESE DI ESERCIZIO (RP.01.20.00.1020.B)</t>
        </is>
      </c>
      <c r="M378" s="4" t="inlineStr">
        <is>
          <t>M</t>
        </is>
      </c>
      <c r="N378" s="5" t="n">
        <v>2</v>
      </c>
      <c r="O378" s="6" t="n">
        <v>63.45</v>
      </c>
      <c r="P378" s="6" t="n">
        <v>126.9</v>
      </c>
      <c r="Q378" s="5" t="n"/>
      <c r="R378" s="6" t="n"/>
      <c r="S378" s="6">
        <f>IF(AND(Q378&lt;&gt;"",R378&lt;&gt;""),Q378*R378,"")</f>
        <v/>
      </c>
      <c r="T378" s="6">
        <f>IF(S378="",P378,S378)</f>
        <v/>
      </c>
      <c r="U378" s="7" t="n">
        <v>0</v>
      </c>
      <c r="V378" s="6">
        <f>$T378*U378</f>
        <v/>
      </c>
      <c r="W378" s="7" t="n">
        <v>0</v>
      </c>
      <c r="X378" s="6">
        <f>$T378*W378</f>
        <v/>
      </c>
      <c r="Y378" s="7" t="n">
        <v>0</v>
      </c>
      <c r="Z378" s="6">
        <f>$T378*Y378</f>
        <v/>
      </c>
      <c r="AA378" s="7" t="n">
        <v>0</v>
      </c>
      <c r="AB378" s="6">
        <f>$T378*AA378</f>
        <v/>
      </c>
      <c r="AC378" s="7" t="n">
        <v>0</v>
      </c>
      <c r="AD378" s="6">
        <f>$T378*AC378</f>
        <v/>
      </c>
      <c r="AE378" s="7" t="n">
        <v>0</v>
      </c>
      <c r="AF378" s="6">
        <f>$T378*AE378</f>
        <v/>
      </c>
      <c r="AG378" s="7" t="n">
        <v>0</v>
      </c>
      <c r="AH378" s="6">
        <f>$T378*AG378</f>
        <v/>
      </c>
      <c r="AI378" s="7">
        <f>U378+W378+Y378+AA378+AC378+AE378+AG378</f>
        <v/>
      </c>
      <c r="AJ378" s="6">
        <f>V378+X378+Z378+AB378+AD378+AF378+AH378</f>
        <v/>
      </c>
    </row>
    <row r="379" ht="60" customHeight="1" s="35">
      <c r="A379" s="3" t="inlineStr">
        <is>
          <t>NP.IM.05</t>
        </is>
      </c>
      <c r="B379" s="4" t="inlineStr">
        <is>
          <t>1/1</t>
        </is>
      </c>
      <c r="C379" s="3" t="inlineStr">
        <is>
          <t>IMPIANTO MECCANICO</t>
        </is>
      </c>
      <c r="D379" s="4" t="inlineStr">
        <is>
          <t>SPECIALE</t>
        </is>
      </c>
      <c r="E379" s="4" t="inlineStr">
        <is>
          <t>MECCANICHE SPECIALI</t>
        </is>
      </c>
      <c r="F379" s="3" t="inlineStr">
        <is>
          <t>2_CME_TOTALE MECCANICI RADIOFARMACIA PAVIA.PDF</t>
        </is>
      </c>
      <c r="G379" s="4" t="inlineStr">
        <is>
          <t>175/175</t>
        </is>
      </c>
      <c r="H379" s="3" t="inlineStr">
        <is>
          <t>40 - IMPIANTISTICO</t>
        </is>
      </c>
      <c r="I379" s="3" t="inlineStr">
        <is>
          <t>MATERIALE IN CAMPO</t>
        </is>
      </c>
      <c r="J379" s="3" t="inlineStr">
        <is>
          <t>MATERIALE IN CAMPO</t>
        </is>
      </c>
      <c r="K379" s="3" t="inlineStr">
        <is>
          <t>FORNITURA E POSA IN OPERA DI SISTEMA DI MATERIALE IN CAMPO PER LA TERMOREGOLAZIONE DEGLI IMPIANTI  HVAC E IDRICO SANITARIO, COMPLETO DI SONDE, VALVOLE, SERVOCOMANDI, TERMOSTATI PER LA GESTIONE DELLA C</t>
        </is>
      </c>
      <c r="L379" s="3" t="inlineStr">
        <is>
          <t>FORNITURA E POSA IN OPERA DI SISTEMA DI MATERIALE IN CAMPO PER LA TERMOREGOLAZIONE DEGLI IMPIANTI  HVAC E IDRICO SANITARIO, COMPLETO DI SONDE, VALVOLE, SERVOCOMANDI, TERMOSTATI PER LA GESTIONE DELLA CENTRALE TERMOFRIGO, CLIMATIZZAZIONE UFFICI, REGOLATORI DI PORTATA, ECC...</t>
        </is>
      </c>
      <c r="M379" s="4" t="inlineStr">
        <is>
          <t>A CORPO</t>
        </is>
      </c>
      <c r="N379" s="5" t="n">
        <v>1</v>
      </c>
      <c r="O379" s="6" t="n">
        <v>101056.03</v>
      </c>
      <c r="P379" s="6" t="n">
        <v>101056.03</v>
      </c>
      <c r="Q379" s="5" t="n"/>
      <c r="R379" s="6" t="n"/>
      <c r="S379" s="6">
        <f>IF(AND(Q379&lt;&gt;"",R379&lt;&gt;""),Q379*R379,"")</f>
        <v/>
      </c>
      <c r="T379" s="6">
        <f>IF(S379="",P379,S379)</f>
        <v/>
      </c>
      <c r="U379" s="7" t="n">
        <v>0</v>
      </c>
      <c r="V379" s="6">
        <f>$T379*U379</f>
        <v/>
      </c>
      <c r="W379" s="7" t="n">
        <v>0.5</v>
      </c>
      <c r="X379" s="6">
        <f>$T379*W379</f>
        <v/>
      </c>
      <c r="Y379" s="7" t="n">
        <v>0</v>
      </c>
      <c r="Z379" s="6">
        <f>$T379*Y379</f>
        <v/>
      </c>
      <c r="AA379" s="7" t="n">
        <v>0</v>
      </c>
      <c r="AB379" s="6">
        <f>$T379*AA379</f>
        <v/>
      </c>
      <c r="AC379" s="7" t="n">
        <v>0</v>
      </c>
      <c r="AD379" s="6">
        <f>$T379*AC379</f>
        <v/>
      </c>
      <c r="AE379" s="7" t="n">
        <v>0</v>
      </c>
      <c r="AF379" s="6">
        <f>$T379*AE379</f>
        <v/>
      </c>
      <c r="AG379" s="7" t="n">
        <v>0</v>
      </c>
      <c r="AH379" s="6">
        <f>$T379*AG379</f>
        <v/>
      </c>
      <c r="AI379" s="7">
        <f>U379+W379+Y379+AA379+AC379+AE379+AG379</f>
        <v/>
      </c>
      <c r="AJ379" s="6">
        <f>V379+X379+Z379+AB379+AD379+AF379+AH379</f>
        <v/>
      </c>
    </row>
    <row r="380" ht="60" customHeight="1" s="35">
      <c r="A380" s="3" t="inlineStr">
        <is>
          <t>LOM251.OC.EEA.PA01.F6010.ZA001.0050</t>
        </is>
      </c>
      <c r="B380" s="4" t="inlineStr">
        <is>
          <t>1/1</t>
        </is>
      </c>
      <c r="C380" s="3" t="inlineStr">
        <is>
          <t>IMPIANTO MECCANICO</t>
        </is>
      </c>
      <c r="D380" s="4" t="inlineStr">
        <is>
          <t>SPECIALE</t>
        </is>
      </c>
      <c r="E380" s="4" t="inlineStr">
        <is>
          <t>MECCANICHE SPECIALI</t>
        </is>
      </c>
      <c r="F380" s="3" t="inlineStr">
        <is>
          <t>2_CME_TOTALE MECCANICI RADIOFARMACIA PAVIA.PDF</t>
        </is>
      </c>
      <c r="G380" s="4" t="inlineStr">
        <is>
          <t>1/1</t>
        </is>
      </c>
      <c r="H380" s="3" t="inlineStr">
        <is>
          <t>50 - INSTALLAZIONE</t>
        </is>
      </c>
      <c r="I380" s="3" t="inlineStr">
        <is>
          <t>CENTRALE</t>
        </is>
      </c>
      <c r="J380" s="3" t="inlineStr">
        <is>
          <t>IMPIANTO HVAC</t>
        </is>
      </c>
      <c r="K380" s="3" t="inlineStr">
        <is>
          <t>OPERA: GRUPPO IDRONICO; FUNZIONE: PRODUZIONE ACQUA REFRIGERATA; IMPIEGO: REFRIGERATORE CONDENSATO AD ARIA; POTENZA FRIGORIFERA [KW] = 107 ÷ 124; N° MINIMO COMPRESSORI [-] = 2. INCLUSO: POMPE DI CIRCOL</t>
        </is>
      </c>
      <c r="L380" s="3" t="inlineStr">
        <is>
          <t>OPERA: GRUPPO IDRONICO; FUNZIONE: PRODUZIONE ACQUA REFRIGERATA; IMPIEGO: REFRIGERATORE CONDENSATO AD ARIA; POTENZA FRIGORIFERA [KW] = 107 ÷ 124; N° MINIMO COMPRESSORI [-] = 2. INCLUSO: POMPE DI CIRCOLAZIONE; VASO D'ESPANSIONE; SERBATOIO D'ACCUMULO; GRUPPO DI RIEMPIMENTO; VALVOLAME; CIRCUITAZIONI MECCANICHE; INTEGRAZIONI A SISTEMA DI CONTROLLO E QUADRO ELETTRICO; AMPLIAMENTO DELLA PANNELLATURA. 
LAVORO: INSTALLAZIONE. 
SPECIFICHE TECNICHE: N° POMPE DI CIRCOLAZIONE = 2 (1 DI RISERVA); POTENZA FRIGORIFERA MISURATA CON TEMPERATURA ACQUA [°C] = 12 ÷ 7 E TEMPERATURA ARIA [°C] = 35. OP GRUPPO IDRONICO; FUNZIONE: PRODUZIONE ACQUA REFRIGERATA; IMPIEGO: REFRIGERATORE CONDENSATO AD ARIA; POTENZA FRIGORIFERA [KW] = 107 ÷ 124; N° MINIMO COMPRESSORI [-] = 2. INCLUSO: POMPE DI CIRCOLAZIONE; VASO D'ESPANSIONE; SERBATOIO D'ACCUMULO; GRUPPO DI RIEMPIMENTO; VALVOLAME; CIRCUITAZIONI MECCANICHE; INTEGRAZIONI A SISTEMA DI CONTROLLO E QUADRO ELETTRICO; AMPLIAMENTO DELLA PANNELLATURA. 
SPECIFICHE TECNICHE: N° POMPE DI CIRCOLAZIONE = 2 (1 DI RISERVA); POTENZA FRIGORIFERA MISURATA CON TEMPERATURA ACQUA [°C] = 12 ÷ 7 E TEMPERATURA ARIA [°C] = 35. 
RM GRUPPO IDRONICO; FUNZIONE: PRODUZIONE ACQUA REFRIGERATA; IMPIEGO: REFRIGERATORE CONDENSATO AD ARIA; POTENZA FRIGORIFERA [KW] = 107 ÷ 124; N° MINIMO COMPRESSORI [-] = 2. INCLUSO: POMPE DI CIRCOLAZIONE; VASO D'ESPANSIONE; SERBATOIO D'ACCUMULO; GRUPPO DI RIEMPIMENTO; VALVOLAME; CIRCUITAZIONI MECCANICHE; INTEGRAZIONI A SISTEMA DI CONTROLLO E QUADRO ELETTRICO; AMPLIAMENTO DELLA PANNELLATURA 
SPECIFICHE TECNICHE: N° POMPE DI CIRCOLAZIONE = 2 (1 DI RISERVA); POTENZA FRIGORIFERA MISURATA CON TEMPERATURA ACQUA [°C] = 12 ÷ 7 E TEMPERATURA ARIA [°C] = 35 
LV INSTALLAZIONE.</t>
        </is>
      </c>
      <c r="M380" s="4" t="inlineStr">
        <is>
          <t>CAD</t>
        </is>
      </c>
      <c r="N380" s="5" t="n">
        <v>1</v>
      </c>
      <c r="O380" s="6" t="n">
        <v>22673.67</v>
      </c>
      <c r="P380" s="6" t="n">
        <v>22673.67</v>
      </c>
      <c r="Q380" s="5" t="n"/>
      <c r="R380" s="6" t="n"/>
      <c r="S380" s="6">
        <f>IF(AND(Q380&lt;&gt;"",R380&lt;&gt;""),Q380*R380,"")</f>
        <v/>
      </c>
      <c r="T380" s="6">
        <f>IF(S380="",P380,S380)</f>
        <v/>
      </c>
      <c r="U380" s="7" t="n">
        <v>0.5</v>
      </c>
      <c r="V380" s="6">
        <f>$T380*U380</f>
        <v/>
      </c>
      <c r="W380" s="7" t="n">
        <v>0.2</v>
      </c>
      <c r="X380" s="6">
        <f>$T380*W380</f>
        <v/>
      </c>
      <c r="Y380" s="7" t="n">
        <v>0</v>
      </c>
      <c r="Z380" s="6">
        <f>$T380*Y380</f>
        <v/>
      </c>
      <c r="AA380" s="7" t="n">
        <v>0</v>
      </c>
      <c r="AB380" s="6">
        <f>$T380*AA380</f>
        <v/>
      </c>
      <c r="AC380" s="7" t="n">
        <v>0</v>
      </c>
      <c r="AD380" s="6">
        <f>$T380*AC380</f>
        <v/>
      </c>
      <c r="AE380" s="7" t="n">
        <v>0</v>
      </c>
      <c r="AF380" s="6">
        <f>$T380*AE380</f>
        <v/>
      </c>
      <c r="AG380" s="7" t="n">
        <v>0</v>
      </c>
      <c r="AH380" s="6">
        <f>$T380*AG380</f>
        <v/>
      </c>
      <c r="AI380" s="7">
        <f>U380+W380+Y380+AA380+AC380+AE380+AG380</f>
        <v/>
      </c>
      <c r="AJ380" s="6">
        <f>V380+X380+Z380+AB380+AD380+AF380+AH380</f>
        <v/>
      </c>
    </row>
    <row r="381" ht="60" customHeight="1" s="35">
      <c r="A381" s="3" t="inlineStr">
        <is>
          <t>NP.IM.01</t>
        </is>
      </c>
      <c r="B381" s="4" t="inlineStr">
        <is>
          <t>2/2</t>
        </is>
      </c>
      <c r="C381" s="3" t="inlineStr">
        <is>
          <t>IMPIANTO MECCANICO</t>
        </is>
      </c>
      <c r="D381" s="4" t="inlineStr">
        <is>
          <t>SPECIALE</t>
        </is>
      </c>
      <c r="E381" s="4" t="inlineStr">
        <is>
          <t>MECCANICHE SPECIALI</t>
        </is>
      </c>
      <c r="F381" s="3" t="inlineStr">
        <is>
          <t>2_CME_TOTALE MECCANICI RADIOFARMACIA PAVIA.PDF</t>
        </is>
      </c>
      <c r="G381" s="4" t="inlineStr">
        <is>
          <t>2/2</t>
        </is>
      </c>
      <c r="H381" s="3" t="inlineStr">
        <is>
          <t>50 - INSTALLAZIONE</t>
        </is>
      </c>
      <c r="I381" s="3" t="inlineStr">
        <is>
          <t>CENTRALE</t>
        </is>
      </c>
      <c r="J381" s="3" t="inlineStr">
        <is>
          <t>IMPIANTO HVAC</t>
        </is>
      </c>
      <c r="K381" s="3" t="inlineStr">
        <is>
          <t xml:space="preserve">FORNITURA E POSA IN OPERA DI POMPS DI CALORE POLIVALENTE CON CONDENSAZIONE AD ARIA, CERTIFICATO EUROVENT, COSTRUITO SECONDO STANDARD DI QUALITÀ ISO 9001, PER INSTALLAZIONE ESTERNA </t>
        </is>
      </c>
      <c r="L381" s="3" t="inlineStr">
        <is>
          <t>FORNITURA E POSA IN OPERA DI POMPS DI CALORE POLIVALENTE CON CONDENSAZIONE AD ARIA, CERTIFICATO EUROVENT, COSTRUITO SECONDO STANDARD DI QUALITÀ ISO 9001, PER INSTALLAZIONE ESTERNA 
CONDIZIONI DI LAVORO: 
ARIA INGRESSO SCAMBIATORE ESTERNO: +35°C -  
ACQUA: +7°/+12°C 
POTENZIALITÀ FRIGORIFERA: 250 KW 
ARIA INGRESSO SCAMBIATORE ESTERNO: +7°C -  
ACQUA: +45°/+40°C 
POTENZIALITÀ TERMICA: 250 KW</t>
        </is>
      </c>
      <c r="M381" s="4" t="inlineStr">
        <is>
          <t>CADAUNO</t>
        </is>
      </c>
      <c r="N381" s="5" t="n">
        <v>0.9</v>
      </c>
      <c r="O381" s="6" t="n">
        <v>95343.27</v>
      </c>
      <c r="P381" s="6" t="n">
        <v>85808.94</v>
      </c>
      <c r="Q381" s="5" t="n"/>
      <c r="R381" s="6" t="n"/>
      <c r="S381" s="6">
        <f>IF(AND(Q381&lt;&gt;"",R381&lt;&gt;""),Q381*R381,"")</f>
        <v/>
      </c>
      <c r="T381" s="6">
        <f>IF(S381="",P381,S381)</f>
        <v/>
      </c>
      <c r="U381" s="7" t="n">
        <v>0.5</v>
      </c>
      <c r="V381" s="6">
        <f>$T381*U381</f>
        <v/>
      </c>
      <c r="W381" s="7" t="n">
        <v>0.2</v>
      </c>
      <c r="X381" s="6">
        <f>$T381*W381</f>
        <v/>
      </c>
      <c r="Y381" s="7" t="n">
        <v>0</v>
      </c>
      <c r="Z381" s="6">
        <f>$T381*Y381</f>
        <v/>
      </c>
      <c r="AA381" s="7" t="n">
        <v>0</v>
      </c>
      <c r="AB381" s="6">
        <f>$T381*AA381</f>
        <v/>
      </c>
      <c r="AC381" s="7" t="n">
        <v>0</v>
      </c>
      <c r="AD381" s="6">
        <f>$T381*AC381</f>
        <v/>
      </c>
      <c r="AE381" s="7" t="n">
        <v>0</v>
      </c>
      <c r="AF381" s="6">
        <f>$T381*AE381</f>
        <v/>
      </c>
      <c r="AG381" s="7" t="n">
        <v>0</v>
      </c>
      <c r="AH381" s="6">
        <f>$T381*AG381</f>
        <v/>
      </c>
      <c r="AI381" s="7">
        <f>U381+W381+Y381+AA381+AC381+AE381+AG381</f>
        <v/>
      </c>
      <c r="AJ381" s="6">
        <f>V381+X381+Z381+AB381+AD381+AF381+AH381</f>
        <v/>
      </c>
    </row>
    <row r="382" ht="54" customHeight="1" s="35">
      <c r="A382" s="3" t="inlineStr">
        <is>
          <t>NP.IM.02</t>
        </is>
      </c>
      <c r="B382" s="4" t="inlineStr">
        <is>
          <t>1/1</t>
        </is>
      </c>
      <c r="C382" s="3" t="inlineStr">
        <is>
          <t>IMPIANTO MECCANICO</t>
        </is>
      </c>
      <c r="D382" s="4" t="inlineStr">
        <is>
          <t>SPECIALE</t>
        </is>
      </c>
      <c r="E382" s="4" t="inlineStr">
        <is>
          <t>MECCANICHE SPECIALI</t>
        </is>
      </c>
      <c r="F382" s="3" t="inlineStr">
        <is>
          <t>2_CME_TOTALE MECCANICI RADIOFARMACIA PAVIA.PDF</t>
        </is>
      </c>
      <c r="G382" s="4" t="inlineStr">
        <is>
          <t>3/3</t>
        </is>
      </c>
      <c r="H382" s="3" t="inlineStr">
        <is>
          <t>50 - INSTALLAZIONE</t>
        </is>
      </c>
      <c r="I382" s="3" t="inlineStr">
        <is>
          <t>CENTRALE</t>
        </is>
      </c>
      <c r="J382" s="3" t="inlineStr">
        <is>
          <t>IMPIANTO HVAC</t>
        </is>
      </c>
      <c r="K382" s="3" t="inlineStr">
        <is>
          <t xml:space="preserve">FORNITURA E POSA IN OPERA DI UNITÀ DI TRATTAMENTO ARIA A SEZIONI COMPONIBILI </t>
        </is>
      </c>
      <c r="L382" s="3" t="inlineStr">
        <is>
          <t>FORNITURA E POSA IN OPERA DI UNITÀ DI TRATTAMENTO ARIA A SEZIONI COMPONIBILI 
PORTATA ARIA MANDATA 14000 MC/H - PREV. UT. 1000 PA 
PORTATA ARIA RIPRESA 14000 MC/H - PREV. UT. 800 PA</t>
        </is>
      </c>
      <c r="M382" s="4" t="inlineStr">
        <is>
          <t>CADAUNO</t>
        </is>
      </c>
      <c r="N382" s="5" t="n">
        <v>1</v>
      </c>
      <c r="O382" s="6" t="n">
        <v>85500.62</v>
      </c>
      <c r="P382" s="6" t="n">
        <v>85500.62</v>
      </c>
      <c r="Q382" s="5" t="n"/>
      <c r="R382" s="6" t="n"/>
      <c r="S382" s="6">
        <f>IF(AND(Q382&lt;&gt;"",R382&lt;&gt;""),Q382*R382,"")</f>
        <v/>
      </c>
      <c r="T382" s="6">
        <f>IF(S382="",P382,S382)</f>
        <v/>
      </c>
      <c r="U382" s="7" t="n">
        <v>0.5</v>
      </c>
      <c r="V382" s="6">
        <f>$T382*U382</f>
        <v/>
      </c>
      <c r="W382" s="7" t="n">
        <v>0.2</v>
      </c>
      <c r="X382" s="6">
        <f>$T382*W382</f>
        <v/>
      </c>
      <c r="Y382" s="7" t="n">
        <v>0</v>
      </c>
      <c r="Z382" s="6">
        <f>$T382*Y382</f>
        <v/>
      </c>
      <c r="AA382" s="7" t="n">
        <v>0</v>
      </c>
      <c r="AB382" s="6">
        <f>$T382*AA382</f>
        <v/>
      </c>
      <c r="AC382" s="7" t="n">
        <v>0</v>
      </c>
      <c r="AD382" s="6">
        <f>$T382*AC382</f>
        <v/>
      </c>
      <c r="AE382" s="7" t="n">
        <v>0</v>
      </c>
      <c r="AF382" s="6">
        <f>$T382*AE382</f>
        <v/>
      </c>
      <c r="AG382" s="7" t="n">
        <v>0</v>
      </c>
      <c r="AH382" s="6">
        <f>$T382*AG382</f>
        <v/>
      </c>
      <c r="AI382" s="7">
        <f>U382+W382+Y382+AA382+AC382+AE382+AG382</f>
        <v/>
      </c>
      <c r="AJ382" s="6">
        <f>V382+X382+Z382+AB382+AD382+AF382+AH382</f>
        <v/>
      </c>
    </row>
    <row r="383" ht="60" customHeight="1" s="35">
      <c r="A383" s="3" t="inlineStr">
        <is>
          <t>DEI_IT_025265A</t>
        </is>
      </c>
      <c r="B383" s="4" t="inlineStr">
        <is>
          <t>1/1</t>
        </is>
      </c>
      <c r="C383" s="3" t="inlineStr">
        <is>
          <t>IMPIANTO MECCANICO</t>
        </is>
      </c>
      <c r="D383" s="4" t="inlineStr">
        <is>
          <t>SPECIALE</t>
        </is>
      </c>
      <c r="E383" s="4" t="inlineStr">
        <is>
          <t>MECCANICHE SPECIALI</t>
        </is>
      </c>
      <c r="F383" s="3" t="inlineStr">
        <is>
          <t>2_CME_TOTALE MECCANICI RADIOFARMACIA PAVIA.PDF</t>
        </is>
      </c>
      <c r="G383" s="4" t="inlineStr">
        <is>
          <t>4/4</t>
        </is>
      </c>
      <c r="H383" s="3" t="inlineStr">
        <is>
          <t>50 - INSTALLAZIONE</t>
        </is>
      </c>
      <c r="I383" s="3" t="inlineStr">
        <is>
          <t>CENTRALE</t>
        </is>
      </c>
      <c r="J383" s="3" t="inlineStr">
        <is>
          <t>IMPIANTO HVAC</t>
        </is>
      </c>
      <c r="K383" s="3" t="inlineStr">
        <is>
          <t>POMPA DI CIRCOLAZIONE IN-LINE A MOTORE VENTILATO A 4 POLI AD ALTO RENDIMENTO (IE3), ATTACCHI FLANGIATI, CORPO IN GHISA, PER IL CONVOGLIAMENTO DI ACQUA FREDDA E CALDA (TEMPERATURA LIQUIDO -20 °C ÷ +140</t>
        </is>
      </c>
      <c r="L383" s="3" t="inlineStr">
        <is>
          <t>POMPA DI CIRCOLAZIONE IN-LINE A MOTORE VENTILATO A 4 POLI AD ALTO RENDIMENTO (IE3), ATTACCHI FLANGIATI, CORPO IN GHISA, PER IL CONVOGLIAMENTO DI ACQUA FREDDA E CALDA (TEMPERATURA LIQUIDO -20 °C ÷ +140 °C), PN 16, GRADO DI PROTEZIONE IP 55, CLASSE DI ISOLAMENTO F, ALIMENTAZIONE ELETTRICA 230/400 V, Ø ATTACCHI 100 MM, COMPRESI ACCESSORI DI MONTAGGIO, ESCLUSO IL COLLEGAMENTO ELETTRICO: POTENZA ELETTRICA 4 KW</t>
        </is>
      </c>
      <c r="M383" s="4" t="inlineStr">
        <is>
          <t>CAD</t>
        </is>
      </c>
      <c r="N383" s="5" t="n">
        <v>14</v>
      </c>
      <c r="O383" s="6" t="n">
        <v>2383.58</v>
      </c>
      <c r="P383" s="6" t="n">
        <v>33370.12</v>
      </c>
      <c r="Q383" s="5" t="n"/>
      <c r="R383" s="6" t="n"/>
      <c r="S383" s="6">
        <f>IF(AND(Q383&lt;&gt;"",R383&lt;&gt;""),Q383*R383,"")</f>
        <v/>
      </c>
      <c r="T383" s="6">
        <f>IF(S383="",P383,S383)</f>
        <v/>
      </c>
      <c r="U383" s="7" t="n">
        <v>0.5</v>
      </c>
      <c r="V383" s="6">
        <f>$T383*U383</f>
        <v/>
      </c>
      <c r="W383" s="7" t="n">
        <v>0.2</v>
      </c>
      <c r="X383" s="6">
        <f>$T383*W383</f>
        <v/>
      </c>
      <c r="Y383" s="7" t="n">
        <v>0</v>
      </c>
      <c r="Z383" s="6">
        <f>$T383*Y383</f>
        <v/>
      </c>
      <c r="AA383" s="7" t="n">
        <v>0</v>
      </c>
      <c r="AB383" s="6">
        <f>$T383*AA383</f>
        <v/>
      </c>
      <c r="AC383" s="7" t="n">
        <v>0</v>
      </c>
      <c r="AD383" s="6">
        <f>$T383*AC383</f>
        <v/>
      </c>
      <c r="AE383" s="7" t="n">
        <v>0</v>
      </c>
      <c r="AF383" s="6">
        <f>$T383*AE383</f>
        <v/>
      </c>
      <c r="AG383" s="7" t="n">
        <v>0</v>
      </c>
      <c r="AH383" s="6">
        <f>$T383*AG383</f>
        <v/>
      </c>
      <c r="AI383" s="7">
        <f>U383+W383+Y383+AA383+AC383+AE383+AG383</f>
        <v/>
      </c>
      <c r="AJ383" s="6">
        <f>V383+X383+Z383+AB383+AD383+AF383+AH383</f>
        <v/>
      </c>
    </row>
    <row r="384" ht="60" customHeight="1" s="35">
      <c r="A384" s="3" t="inlineStr">
        <is>
          <t>DEI_IT_025264B</t>
        </is>
      </c>
      <c r="B384" s="4" t="inlineStr">
        <is>
          <t>2/2</t>
        </is>
      </c>
      <c r="C384" s="3" t="inlineStr">
        <is>
          <t>IMPIANTO MECCANICO</t>
        </is>
      </c>
      <c r="D384" s="4" t="inlineStr">
        <is>
          <t>SPECIALE</t>
        </is>
      </c>
      <c r="E384" s="4" t="inlineStr">
        <is>
          <t>MECCANICHE SPECIALI</t>
        </is>
      </c>
      <c r="F384" s="3" t="inlineStr">
        <is>
          <t>2_CME_TOTALE MECCANICI RADIOFARMACIA PAVIA.PDF</t>
        </is>
      </c>
      <c r="G384" s="4" t="inlineStr">
        <is>
          <t>5/5</t>
        </is>
      </c>
      <c r="H384" s="3" t="inlineStr">
        <is>
          <t>50 - INSTALLAZIONE</t>
        </is>
      </c>
      <c r="I384" s="3" t="inlineStr">
        <is>
          <t>CENTRALE</t>
        </is>
      </c>
      <c r="J384" s="3" t="inlineStr">
        <is>
          <t>IMPIANTO HVAC</t>
        </is>
      </c>
      <c r="K384" s="3" t="inlineStr">
        <is>
          <t>POMPA DI CIRCOLAZIONE IN-LINE A MOTORE VENTILATO A 4 POLI AD ALTO RENDIMENTO (IE3), ATTACCHI FLANGIATI, CORPO IN GHISA, PER IL CONVOGLIAMENTO DI ACQUA FREDDA E CALDA (TEMPERATURA LIQUIDO -20 °C ÷ +120</t>
        </is>
      </c>
      <c r="L384" s="3" t="inlineStr">
        <is>
          <t>POMPA DI CIRCOLAZIONE IN-LINE A MOTORE VENTILATO A 4 POLI AD ALTO RENDIMENTO (IE3), ATTACCHI FLANGIATI, CORPO IN GHISA, PER IL CONVOGLIAMENTO DI ACQUA FREDDA E CALDA (TEMPERATURA LIQUIDO -20 °C ÷ +120 °C), PN 10, GRADO DI PROTEZIONE IP 55, CLASSE DI ISOLAMENTO F, ALIMENTAZIONE ELETTRICA 230/400 V, COMPRESI ACCESSORI DI MONTAGGIO, ESCLUSO IL COLLEGAMENTO ELETTRICO: POTENZA ELETTRICA 1,1 KW, Ø ATTACCO 80 MM</t>
        </is>
      </c>
      <c r="M384" s="4" t="inlineStr">
        <is>
          <t>CAD</t>
        </is>
      </c>
      <c r="N384" s="5" t="n">
        <v>2</v>
      </c>
      <c r="O384" s="6" t="n">
        <v>2502.17</v>
      </c>
      <c r="P384" s="6" t="n">
        <v>5004.34</v>
      </c>
      <c r="Q384" s="5" t="n"/>
      <c r="R384" s="6" t="n"/>
      <c r="S384" s="6">
        <f>IF(AND(Q384&lt;&gt;"",R384&lt;&gt;""),Q384*R384,"")</f>
        <v/>
      </c>
      <c r="T384" s="6">
        <f>IF(S384="",P384,S384)</f>
        <v/>
      </c>
      <c r="U384" s="7" t="n">
        <v>0.5</v>
      </c>
      <c r="V384" s="6">
        <f>$T384*U384</f>
        <v/>
      </c>
      <c r="W384" s="7" t="n">
        <v>0.2</v>
      </c>
      <c r="X384" s="6">
        <f>$T384*W384</f>
        <v/>
      </c>
      <c r="Y384" s="7" t="n">
        <v>0</v>
      </c>
      <c r="Z384" s="6">
        <f>$T384*Y384</f>
        <v/>
      </c>
      <c r="AA384" s="7" t="n">
        <v>0</v>
      </c>
      <c r="AB384" s="6">
        <f>$T384*AA384</f>
        <v/>
      </c>
      <c r="AC384" s="7" t="n">
        <v>0</v>
      </c>
      <c r="AD384" s="6">
        <f>$T384*AC384</f>
        <v/>
      </c>
      <c r="AE384" s="7" t="n">
        <v>0</v>
      </c>
      <c r="AF384" s="6">
        <f>$T384*AE384</f>
        <v/>
      </c>
      <c r="AG384" s="7" t="n">
        <v>0</v>
      </c>
      <c r="AH384" s="6">
        <f>$T384*AG384</f>
        <v/>
      </c>
      <c r="AI384" s="7">
        <f>U384+W384+Y384+AA384+AC384+AE384+AG384</f>
        <v/>
      </c>
      <c r="AJ384" s="6">
        <f>V384+X384+Z384+AB384+AD384+AF384+AH384</f>
        <v/>
      </c>
    </row>
    <row r="385" ht="60" customHeight="1" s="35">
      <c r="A385" s="3" t="inlineStr">
        <is>
          <t>LOM251.OC.EEA.PA01.I8000.SB038.0055</t>
        </is>
      </c>
      <c r="B385" s="4" t="inlineStr">
        <is>
          <t>2/2</t>
        </is>
      </c>
      <c r="C385" s="3" t="inlineStr">
        <is>
          <t>IMPIANTO MECCANICO</t>
        </is>
      </c>
      <c r="D385" s="4" t="inlineStr">
        <is>
          <t>SPECIALE</t>
        </is>
      </c>
      <c r="E385" s="4" t="inlineStr">
        <is>
          <t>MECCANICHE SPECIALI</t>
        </is>
      </c>
      <c r="F385" s="3" t="inlineStr">
        <is>
          <t>2_CME_TOTALE MECCANICI RADIOFARMACIA PAVIA.PDF</t>
        </is>
      </c>
      <c r="G385" s="4" t="inlineStr">
        <is>
          <t>7/7</t>
        </is>
      </c>
      <c r="H385" s="3" t="inlineStr">
        <is>
          <t>50 - INSTALLAZIONE</t>
        </is>
      </c>
      <c r="I385" s="3" t="inlineStr">
        <is>
          <t>CENTRALE</t>
        </is>
      </c>
      <c r="J385" s="3" t="inlineStr">
        <is>
          <t>IMPIANTO HVAC</t>
        </is>
      </c>
      <c r="K385" s="3" t="inlineStr">
        <is>
          <t>OPERA: SERBATOIO, INERZIALE DI LEGA FERROSA ACCIAIO NERO; FINITURA: VERNICIATO | ANTIRUGGINE; GEOMETRIA: VERTICALE; FUNZIONE: ACCUMULO ACQUA REFRIGERATA; IMPIEGO: CENTRALE IDRICA; PRESSIONE MASSIMA DI</t>
        </is>
      </c>
      <c r="L385" s="3" t="inlineStr">
        <is>
          <t>OPERA: SERBATOIO, INERZIALE DI LEGA FERROSA ACCIAIO NERO; FINITURA: VERNICIATO | ANTIRUGGINE; GEOMETRIA: VERTICALE; FUNZIONE: ACCUMULO ACQUA REFRIGERATA; IMPIEGO: CENTRALE IDRICA; PRESSIONE MASSIMA DI ESERCIZIO [BAR] = 6; CAPACITÀ [L] = 1500. 
LAVORO: INSTALLAZIONE. 
SPECIFICHE TECNICHE: SERBATOIO CON VERNICIATURA ESTERNA ANTIRUGGINE. OP SERBATOIO, INERZIALE DI LEGA FERROSA ACCIAIO NERO; FINITURA: VERNICIATO | ANTIRUGGINE; GEOMETRIA: VERTICALE; FUNZIONE: ACCUMULO ACQUA REFRIGERATA; IMPIEGO: CENTRALE IDRICA; PRESSIONE MASSIMA DI ESERCIZIO [BAR] = 6; CAPACITÀ [L] = 1500. 
SPECIFICHE TECNICHE: SERBATOIO CON VERNICIATURA ESTERNA ANTIRUGGINE. 
RM SERBATOIO INERZIALE DI LEGA FERROSA ACCIAIO NERO; FINITURA: VERNICIATO | ANTIRUGGINE; GEOMETRIA: VERTICALE; FUNZIONE: ACCUMULO ACQUA REFRIGERATA; IMPIEGO: CENTRALE IDRICA; PRESSIONE MASSIMA DI ESERCIZIO [BAR] = 6; CAPACITÀ [L] = 1500. COMPONENTE: LASTRA,  
SPECIFICHE TECNICHE: SERBATOIO CON VERNICIATURA ESTERNA ANTIRUGGINE 
LV INSTALLAZIONE.</t>
        </is>
      </c>
      <c r="M385" s="4" t="inlineStr">
        <is>
          <t>CAD</t>
        </is>
      </c>
      <c r="N385" s="5" t="n">
        <v>0.8</v>
      </c>
      <c r="O385" s="6" t="n">
        <v>1897.38</v>
      </c>
      <c r="P385" s="6" t="n">
        <v>1517.9</v>
      </c>
      <c r="Q385" s="5" t="n"/>
      <c r="R385" s="6" t="n"/>
      <c r="S385" s="6">
        <f>IF(AND(Q385&lt;&gt;"",R385&lt;&gt;""),Q385*R385,"")</f>
        <v/>
      </c>
      <c r="T385" s="6">
        <f>IF(S385="",P385,S385)</f>
        <v/>
      </c>
      <c r="U385" s="7" t="n">
        <v>0</v>
      </c>
      <c r="V385" s="6">
        <f>$T385*U385</f>
        <v/>
      </c>
      <c r="W385" s="7" t="n">
        <v>0.7</v>
      </c>
      <c r="X385" s="6">
        <f>$T385*W385</f>
        <v/>
      </c>
      <c r="Y385" s="7" t="n">
        <v>0</v>
      </c>
      <c r="Z385" s="6">
        <f>$T385*Y385</f>
        <v/>
      </c>
      <c r="AA385" s="7" t="n">
        <v>0</v>
      </c>
      <c r="AB385" s="6">
        <f>$T385*AA385</f>
        <v/>
      </c>
      <c r="AC385" s="7" t="n">
        <v>0</v>
      </c>
      <c r="AD385" s="6">
        <f>$T385*AC385</f>
        <v/>
      </c>
      <c r="AE385" s="7" t="n">
        <v>0</v>
      </c>
      <c r="AF385" s="6">
        <f>$T385*AE385</f>
        <v/>
      </c>
      <c r="AG385" s="7" t="n">
        <v>0</v>
      </c>
      <c r="AH385" s="6">
        <f>$T385*AG385</f>
        <v/>
      </c>
      <c r="AI385" s="7">
        <f>U385+W385+Y385+AA385+AC385+AE385+AG385</f>
        <v/>
      </c>
      <c r="AJ385" s="6">
        <f>V385+X385+Z385+AB385+AD385+AF385+AH385</f>
        <v/>
      </c>
    </row>
    <row r="386" ht="60" customHeight="1" s="35">
      <c r="A386" s="3" t="inlineStr">
        <is>
          <t>LOM251.OC.EEA.PA01.I8000.SB038.0015</t>
        </is>
      </c>
      <c r="B386" s="4" t="inlineStr">
        <is>
          <t>2/2</t>
        </is>
      </c>
      <c r="C386" s="3" t="inlineStr">
        <is>
          <t>IMPIANTO MECCANICO</t>
        </is>
      </c>
      <c r="D386" s="4" t="inlineStr">
        <is>
          <t>SPECIALE</t>
        </is>
      </c>
      <c r="E386" s="4" t="inlineStr">
        <is>
          <t>MECCANICHE SPECIALI</t>
        </is>
      </c>
      <c r="F386" s="3" t="inlineStr">
        <is>
          <t>2_CME_TOTALE MECCANICI RADIOFARMACIA PAVIA.PDF</t>
        </is>
      </c>
      <c r="G386" s="4" t="inlineStr">
        <is>
          <t>8/8</t>
        </is>
      </c>
      <c r="H386" s="3" t="inlineStr">
        <is>
          <t>50 - INSTALLAZIONE</t>
        </is>
      </c>
      <c r="I386" s="3" t="inlineStr">
        <is>
          <t>CENTRALE</t>
        </is>
      </c>
      <c r="J386" s="3" t="inlineStr">
        <is>
          <t>IMPIANTO HVAC</t>
        </is>
      </c>
      <c r="K386" s="3" t="inlineStr">
        <is>
          <t>OPERA: SERBATOIO, INERZIALE DI LEGA FERROSA ACCIAIO NERO; FINITURA: VERNICIATO | ANTIRUGGINE; GEOMETRIA: VERTICALE; FUNZIONE: ACCUMULO ACQUA CALDA; IMPIEGO: CENTRALE IDRICA; PRESSIONE DI BOLLO [BAR] =</t>
        </is>
      </c>
      <c r="L386" s="3" t="inlineStr">
        <is>
          <t>OPERA: SERBATOIO, INERZIALE DI LEGA FERROSA ACCIAIO NERO; FINITURA: VERNICIATO | ANTIRUGGINE; GEOMETRIA: VERTICALE; FUNZIONE: ACCUMULO ACQUA CALDA; IMPIEGO: CENTRALE IDRICA; PRESSIONE DI BOLLO [BAR] = 12; CAPACITÀ [L] = 1500. 
LAVORO: INSTALLAZIONE. 
SPECIFICHE TECNICHE: SERBATOIO CON VERNICIATURA ESTERNA ANTIRUGGINE; TEMPERATURA MASSIMA DI ESERCIZIO [°C] = 99. OP SERBATOIO, INERZIALE DI LEGA FERROSA ACCIAIO NERO; FINITURA: VERNICIATO | ANTIRUGGINE; GEOMETRIA: VERTICALE; FUNZIONE: ACCUMULO ACQUA CALDA; IMPIEGO: CENTRALE IDRICA; PRESSIONE DI BOLLO [BAR] = 12; CAPACITÀ [L] = 1500. 
SPECIFICHE TECNICHE: SERBATOIO CON VERNICIATURA ESTERNA ANTIRUGGINE; TEMPERATURA MASSIMA DI ESERCIZIO [°C] = 99. 
RM SERBATOIO INERZIALE DI LEGA FERROSA ACCIAIO NERO; FINITURA: VERNICIATO | ANTIRUGGINE; GEOMETRIA: VERTICALE; FUNZIONE: ACCUMULO ACQUA CALDA; IMPIEGO: CENTRALE IDRICA; PRESSIONE MASSIMA DI ESERCIZIO [BAR] = 6; CAPACITÀ [L] = 1500. COMPONENTE: LASTRA,  
SPECIFICHE TECNICHE: SERBATOIO CON VERNICIATURA ESTERNA ANTIRUGGINE; TEMPERATURA MASSIMA DI ESERCIZIO [°C] = 99 
LV INSTALLAZIONE.</t>
        </is>
      </c>
      <c r="M386" s="4" t="inlineStr">
        <is>
          <t>CAD</t>
        </is>
      </c>
      <c r="N386" s="5" t="n">
        <v>0.8</v>
      </c>
      <c r="O386" s="6" t="n">
        <v>1897.38</v>
      </c>
      <c r="P386" s="6" t="n">
        <v>1517.9</v>
      </c>
      <c r="Q386" s="5" t="n"/>
      <c r="R386" s="6" t="n"/>
      <c r="S386" s="6">
        <f>IF(AND(Q386&lt;&gt;"",R386&lt;&gt;""),Q386*R386,"")</f>
        <v/>
      </c>
      <c r="T386" s="6">
        <f>IF(S386="",P386,S386)</f>
        <v/>
      </c>
      <c r="U386" s="7" t="n">
        <v>0</v>
      </c>
      <c r="V386" s="6">
        <f>$T386*U386</f>
        <v/>
      </c>
      <c r="W386" s="7" t="n">
        <v>0.7</v>
      </c>
      <c r="X386" s="6">
        <f>$T386*W386</f>
        <v/>
      </c>
      <c r="Y386" s="7" t="n">
        <v>0</v>
      </c>
      <c r="Z386" s="6">
        <f>$T386*Y386</f>
        <v/>
      </c>
      <c r="AA386" s="7" t="n">
        <v>0</v>
      </c>
      <c r="AB386" s="6">
        <f>$T386*AA386</f>
        <v/>
      </c>
      <c r="AC386" s="7" t="n">
        <v>0</v>
      </c>
      <c r="AD386" s="6">
        <f>$T386*AC386</f>
        <v/>
      </c>
      <c r="AE386" s="7" t="n">
        <v>0</v>
      </c>
      <c r="AF386" s="6">
        <f>$T386*AE386</f>
        <v/>
      </c>
      <c r="AG386" s="7" t="n">
        <v>0</v>
      </c>
      <c r="AH386" s="6">
        <f>$T386*AG386</f>
        <v/>
      </c>
      <c r="AI386" s="7">
        <f>U386+W386+Y386+AA386+AC386+AE386+AG386</f>
        <v/>
      </c>
      <c r="AJ386" s="6">
        <f>V386+X386+Z386+AB386+AD386+AF386+AH386</f>
        <v/>
      </c>
    </row>
    <row r="387" ht="60" customHeight="1" s="35">
      <c r="A387" s="3" t="inlineStr">
        <is>
          <t>LOM251.OC.EEA.PA01.I8000.SB038.0050</t>
        </is>
      </c>
      <c r="B387" s="4" t="inlineStr">
        <is>
          <t>1/1</t>
        </is>
      </c>
      <c r="C387" s="3" t="inlineStr">
        <is>
          <t>IMPIANTO MECCANICO</t>
        </is>
      </c>
      <c r="D387" s="4" t="inlineStr">
        <is>
          <t>SPECIALE</t>
        </is>
      </c>
      <c r="E387" s="4" t="inlineStr">
        <is>
          <t>MECCANICHE SPECIALI</t>
        </is>
      </c>
      <c r="F387" s="3" t="inlineStr">
        <is>
          <t>2_CME_TOTALE MECCANICI RADIOFARMACIA PAVIA.PDF</t>
        </is>
      </c>
      <c r="G387" s="4" t="inlineStr">
        <is>
          <t>9/9</t>
        </is>
      </c>
      <c r="H387" s="3" t="inlineStr">
        <is>
          <t>50 - INSTALLAZIONE</t>
        </is>
      </c>
      <c r="I387" s="3" t="inlineStr">
        <is>
          <t>CENTRALE</t>
        </is>
      </c>
      <c r="J387" s="3" t="inlineStr">
        <is>
          <t>IMPIANTO HVAC</t>
        </is>
      </c>
      <c r="K387" s="3" t="inlineStr">
        <is>
          <t>OPERA: SERBATOIO, INERZIALE DI LEGA FERROSA ACCIAIO NERO; FINITURA: VERNICIATO | ANTIRUGGINE; GEOMETRIA: VERTICALE; FUNZIONE: ACCUMULO ACQUA REFRIGERATA; IMPIEGO: CENTRALE IDRICA; PRESSIONE MASSIMA DI</t>
        </is>
      </c>
      <c r="L387" s="3" t="inlineStr">
        <is>
          <t>OPERA: SERBATOIO, INERZIALE DI LEGA FERROSA ACCIAIO NERO; FINITURA: VERNICIATO | ANTIRUGGINE; GEOMETRIA: VERTICALE; FUNZIONE: ACCUMULO ACQUA REFRIGERATA; IMPIEGO: CENTRALE IDRICA; PRESSIONE MASSIMA DI ESERCIZIO [BAR] = 6; CAPACITÀ [L] = 1000. 
LAVORO: INSTALLAZIONE. 
SPECIFICHE TECNICHE: SERBATOIO CON VERNICIATURA ESTERNA ANTIRUGGINE. OP SERBATOIO, INERZIALE DI LEGA FERROSA ACCIAIO NERO; FINITURA: VERNICIATO | ANTIRUGGINE; GEOMETRIA: VERTICALE; FUNZIONE: ACCUMULO ACQUA REFRIGERATA; IMPIEGO: CENTRALE IDRICA; PRESSIONE MASSIMA DI ESERCIZIO [BAR] = 6; CAPACITÀ [L] = 1000. 
SPECIFICHE TECNICHE: SERBATOIO CON VERNICIATURA ESTERNA ANTIRUGGINE. 
RM SERBATOIO INERZIALE DI LEGA FERROSA ACCIAIO NERO; FINITURA: VERNICIATO | ANTIRUGGINE; GEOMETRIA: VERTICALE; FUNZIONE: ACCUMULO ACQUA REFRIGERATA; IMPIEGO: CENTRALE IDRICA; PRESSIONE MASSIMA DI ESERCIZIO [BAR] = 6; CAPACITÀ [L] = 1000. COMPONENTE: LASTRA,  
SPECIFICHE TECNICHE: SERBATOIO CON VERNICIATURA ESTERNA ANTIRUGGINE 
LV INSTALLAZIONE.</t>
        </is>
      </c>
      <c r="M387" s="4" t="inlineStr">
        <is>
          <t>CAD</t>
        </is>
      </c>
      <c r="N387" s="5" t="n">
        <v>1</v>
      </c>
      <c r="O387" s="6" t="n">
        <v>1950.74</v>
      </c>
      <c r="P387" s="6" t="n">
        <v>1950.74</v>
      </c>
      <c r="Q387" s="5" t="n"/>
      <c r="R387" s="6" t="n"/>
      <c r="S387" s="6">
        <f>IF(AND(Q387&lt;&gt;"",R387&lt;&gt;""),Q387*R387,"")</f>
        <v/>
      </c>
      <c r="T387" s="6">
        <f>IF(S387="",P387,S387)</f>
        <v/>
      </c>
      <c r="U387" s="7" t="n">
        <v>0</v>
      </c>
      <c r="V387" s="6">
        <f>$T387*U387</f>
        <v/>
      </c>
      <c r="W387" s="7" t="n">
        <v>0.7</v>
      </c>
      <c r="X387" s="6">
        <f>$T387*W387</f>
        <v/>
      </c>
      <c r="Y387" s="7" t="n">
        <v>0</v>
      </c>
      <c r="Z387" s="6">
        <f>$T387*Y387</f>
        <v/>
      </c>
      <c r="AA387" s="7" t="n">
        <v>0</v>
      </c>
      <c r="AB387" s="6">
        <f>$T387*AA387</f>
        <v/>
      </c>
      <c r="AC387" s="7" t="n">
        <v>0</v>
      </c>
      <c r="AD387" s="6">
        <f>$T387*AC387</f>
        <v/>
      </c>
      <c r="AE387" s="7" t="n">
        <v>0</v>
      </c>
      <c r="AF387" s="6">
        <f>$T387*AE387</f>
        <v/>
      </c>
      <c r="AG387" s="7" t="n">
        <v>0</v>
      </c>
      <c r="AH387" s="6">
        <f>$T387*AG387</f>
        <v/>
      </c>
      <c r="AI387" s="7">
        <f>U387+W387+Y387+AA387+AC387+AE387+AG387</f>
        <v/>
      </c>
      <c r="AJ387" s="6">
        <f>V387+X387+Z387+AB387+AD387+AF387+AH387</f>
        <v/>
      </c>
    </row>
    <row r="388" ht="60" customHeight="1" s="35">
      <c r="A388" s="3" t="inlineStr">
        <is>
          <t>LOM251.OC.EEA.PA02.I9762.SB001.0815</t>
        </is>
      </c>
      <c r="B388" s="4" t="inlineStr">
        <is>
          <t>1/1</t>
        </is>
      </c>
      <c r="C388" s="3" t="inlineStr">
        <is>
          <t>IMPIANTO MECCANICO</t>
        </is>
      </c>
      <c r="D388" s="4" t="inlineStr">
        <is>
          <t>SPECIALE</t>
        </is>
      </c>
      <c r="E388" s="4" t="inlineStr">
        <is>
          <t>MECCANICHE SPECIALI</t>
        </is>
      </c>
      <c r="F388" s="3" t="inlineStr">
        <is>
          <t>2_CME_TOTALE MECCANICI RADIOFARMACIA PAVIA.PDF</t>
        </is>
      </c>
      <c r="G388" s="4" t="inlineStr">
        <is>
          <t>50/50</t>
        </is>
      </c>
      <c r="H388" s="3" t="inlineStr">
        <is>
          <t>50 - INSTALLAZIONE</t>
        </is>
      </c>
      <c r="I388" s="3" t="inlineStr">
        <is>
          <t>CENTRALE</t>
        </is>
      </c>
      <c r="J388" s="3" t="inlineStr">
        <is>
          <t>IMPIANTO HVAC</t>
        </is>
      </c>
      <c r="K388" s="3" t="inlineStr">
        <is>
          <t>OPERA: VALVOLA DI LEGA FERROSA ACCIAIO GENERICO; GEOMETRIA: A BATTENTE; FUNZIONE: DI RITEGNO; DIAMETRO NOMINALE (Ø) [MM] = 100; PRESSIONE NOMINALE [BAR] = 25. INCLUSO: GUARNIZIONI DEL TIPO SENZA AMIAN</t>
        </is>
      </c>
      <c r="L388" s="3" t="inlineStr">
        <is>
          <t>OPERA: VALVOLA DI LEGA FERROSA ACCIAIO GENERICO; GEOMETRIA: A BATTENTE; FUNZIONE: DI RITEGNO; DIAMETRO NOMINALE (Ø) [MM] = 100; PRESSIONE NOMINALE [BAR] = 25. INCLUSO: GUARNIZIONI DEL TIPO SENZA AMIANTO. 
LAVORO: POSA. 
SPECIFICHE TECNICHE: VALVOLA CON: CORPO DI LEGA FERROSA ACCIAIO AL CARBONIO, COPERCHIO DI LEGA FERROSA ACCIAIO AL CARBONIO, OTTURATORE DI LEGA FERROSA ACCIAIO AL CARBONIO, ANELLO SEDE DI TENUTA VALVOLA DI LEGA FERROSA ACCIAIO INOX. OP VALVOLA DI LEGA FERROSA ACCIAIO GENERICO; GEOMETRIA: A BATTENTE; FUNZIONE: DI RITEGNO; DIAMETRO NOMINALE (Ø) [MM] = 100; PRESSIONE NOMINALE [BAR] = 25. INCLUSO: GUARNIZIONI DEL TIPO SENZA AMIANTO. 
SPECIFICHE TECNICHE: VALVOLA CON: CORPO DI LEGA FERROSA ACCIAIO AL CARBONIO, COPERCHIO DI LEGA FERROSA ACCIAIO AL CARBONIO, OTTURATORE DI LEGA FERROSA ACCIAIO AL CARBONIO, ANELLO SEDE DI TENUTA VALVOLA DI LEGA FERROSA ACCIAIO INOX. 
RM VALVOLA DI LEGA FERROSA ACCIAIO GENERICO; GEOMETRIA: A BATTENTE; FUNZIONE: DI RITEGNO; DIAMETRO NOMINALE (Ø) [MM] = 100; PRESSIONE NOMINALE [BAR] = 25. INCLUSO: GUARNIZIONI DEL TIPO SENZA AMIANTO 
SPECIFICHE TECNICHE: VALVOLA CON: CORPO DI LEGA FERROSA ACCIAIO AL CARBONIO, COPERCHIO DI LEGA FERROSA ACCIAIO AL CARBONIO, OTTURATORE DI LEGA FERROSA ACCIAIO AL CARBONIO, ANELLO SEDE DI TENUTA VALVOLA DI LEGA FERROSA ACCIAIO INOX 
LV POSA.</t>
        </is>
      </c>
      <c r="M388" s="4" t="inlineStr">
        <is>
          <t>CAD</t>
        </is>
      </c>
      <c r="N388" s="5" t="n">
        <v>3</v>
      </c>
      <c r="O388" s="6" t="n">
        <v>266.23</v>
      </c>
      <c r="P388" s="6" t="n">
        <v>798.6900000000001</v>
      </c>
      <c r="Q388" s="5" t="n"/>
      <c r="R388" s="6" t="n"/>
      <c r="S388" s="6">
        <f>IF(AND(Q388&lt;&gt;"",R388&lt;&gt;""),Q388*R388,"")</f>
        <v/>
      </c>
      <c r="T388" s="6">
        <f>IF(S388="",P388,S388)</f>
        <v/>
      </c>
      <c r="U388" s="7" t="n">
        <v>0</v>
      </c>
      <c r="V388" s="6">
        <f>$T388*U388</f>
        <v/>
      </c>
      <c r="W388" s="7" t="n">
        <v>0.4</v>
      </c>
      <c r="X388" s="6">
        <f>$T388*W388</f>
        <v/>
      </c>
      <c r="Y388" s="7" t="n">
        <v>0</v>
      </c>
      <c r="Z388" s="6">
        <f>$T388*Y388</f>
        <v/>
      </c>
      <c r="AA388" s="7" t="n">
        <v>0</v>
      </c>
      <c r="AB388" s="6">
        <f>$T388*AA388</f>
        <v/>
      </c>
      <c r="AC388" s="7" t="n">
        <v>0</v>
      </c>
      <c r="AD388" s="6">
        <f>$T388*AC388</f>
        <v/>
      </c>
      <c r="AE388" s="7" t="n">
        <v>0</v>
      </c>
      <c r="AF388" s="6">
        <f>$T388*AE388</f>
        <v/>
      </c>
      <c r="AG388" s="7" t="n">
        <v>0</v>
      </c>
      <c r="AH388" s="6">
        <f>$T388*AG388</f>
        <v/>
      </c>
      <c r="AI388" s="7">
        <f>U388+W388+Y388+AA388+AC388+AE388+AG388</f>
        <v/>
      </c>
      <c r="AJ388" s="6">
        <f>V388+X388+Z388+AB388+AD388+AF388+AH388</f>
        <v/>
      </c>
    </row>
    <row r="389" ht="60" customHeight="1" s="35">
      <c r="A389" s="3" t="inlineStr">
        <is>
          <t>LOM251.OC.EEA.PA02.I9762.SB001.0810</t>
        </is>
      </c>
      <c r="B389" s="4" t="inlineStr">
        <is>
          <t>1/1</t>
        </is>
      </c>
      <c r="C389" s="3" t="inlineStr">
        <is>
          <t>IMPIANTO MECCANICO</t>
        </is>
      </c>
      <c r="D389" s="4" t="inlineStr">
        <is>
          <t>SPECIALE</t>
        </is>
      </c>
      <c r="E389" s="4" t="inlineStr">
        <is>
          <t>MECCANICHE SPECIALI</t>
        </is>
      </c>
      <c r="F389" s="3" t="inlineStr">
        <is>
          <t>2_CME_TOTALE MECCANICI RADIOFARMACIA PAVIA.PDF</t>
        </is>
      </c>
      <c r="G389" s="4" t="inlineStr">
        <is>
          <t>51/51</t>
        </is>
      </c>
      <c r="H389" s="3" t="inlineStr">
        <is>
          <t>50 - INSTALLAZIONE</t>
        </is>
      </c>
      <c r="I389" s="3" t="inlineStr">
        <is>
          <t>CENTRALE</t>
        </is>
      </c>
      <c r="J389" s="3" t="inlineStr">
        <is>
          <t>IMPIANTO HVAC</t>
        </is>
      </c>
      <c r="K389" s="3" t="inlineStr">
        <is>
          <t>OPERA: VALVOLA DI LEGA FERROSA ACCIAIO GENERICO; GEOMETRIA: A BATTENTE; FUNZIONE: DI RITEGNO; DIAMETRO NOMINALE (Ø) [MM] = 80; PRESSIONE NOMINALE [BAR] = 25. INCLUSO: GUARNIZIONI DEL TIPO SENZA AMIANT</t>
        </is>
      </c>
      <c r="L389" s="3" t="inlineStr">
        <is>
          <t>OPERA: VALVOLA DI LEGA FERROSA ACCIAIO GENERICO; GEOMETRIA: A BATTENTE; FUNZIONE: DI RITEGNO; DIAMETRO NOMINALE (Ø) [MM] = 80; PRESSIONE NOMINALE [BAR] = 25. INCLUSO: GUARNIZIONI DEL TIPO SENZA AMIANTO. 
LAVORO: POSA. 
SPECIFICHE TECNICHE: VALVOLA CON: CORPO DI LEGA FERROSA ACCIAIO AL CARBONIO, COPERCHIO DI LEGA FERROSA ACCIAIO AL CARBONIO, OTTURATORE DI LEGA FERROSA ACCIAIO AL CARBONIO, ANELLO SEDE DI TENUTA VALVOLA DI LEGA FERROSA ACCIAIO INOX. OP VALVOLA DI LEGA FERROSA ACCIAIO GENERICO; GEOMETRIA: A BATTENTE; FUNZIONE: DI RITEGNO; DIAMETRO NOMINALE (Ø) [MM] = 80; PRESSIONE NOMINALE [BAR] = 25. INCLUSO: GUARNIZIONI DEL TIPO SENZA AMIANTO. 
SPECIFICHE TECNICHE: VALVOLA CON: CORPO DI LEGA FERROSA ACCIAIO AL CARBONIO, COPERCHIO DI LEGA FERROSA ACCIAIO AL CARBONIO, OTTURATORE DI LEGA FERROSA ACCIAIO AL CARBONIO, ANELLO SEDE DI TENUTA VALVOLA DI LEGA FERROSA ACCIAIO INOX. 
RM VALVOLA DI LEGA FERROSA ACCIAIO GENERICO; GEOMETRIA: A BATTENTE; FUNZIONE: DI RITEGNO; DIAMETRO NOMINALE (Ø) [MM] = 80; PRESSIONE NOMINALE [BAR] = 25. INCLUSO: GUARNIZIONI DEL TIPO SENZA AMIANTO 
SPECIFICHE TECNICHE: VALVOLA CON: CORPO DI LEGA FERROSA ACCIAIO AL CARBONIO, COPERCHIO DI LEGA FERROSA ACCIAIO AL CARBONIO, OTTURATORE DI LEGA FERROSA ACCIAIO AL CARBONIO, ANELLO SEDE DI TENUTA VALVOLA DI LEGA FERROSA ACCIAIO INOX 
LV POSA.</t>
        </is>
      </c>
      <c r="M389" s="4" t="inlineStr">
        <is>
          <t>CAD</t>
        </is>
      </c>
      <c r="N389" s="5" t="n">
        <v>2</v>
      </c>
      <c r="O389" s="6" t="n">
        <v>225.91</v>
      </c>
      <c r="P389" s="6" t="n">
        <v>451.82</v>
      </c>
      <c r="Q389" s="5" t="n"/>
      <c r="R389" s="6" t="n"/>
      <c r="S389" s="6">
        <f>IF(AND(Q389&lt;&gt;"",R389&lt;&gt;""),Q389*R389,"")</f>
        <v/>
      </c>
      <c r="T389" s="6">
        <f>IF(S389="",P389,S389)</f>
        <v/>
      </c>
      <c r="U389" s="7" t="n">
        <v>0</v>
      </c>
      <c r="V389" s="6">
        <f>$T389*U389</f>
        <v/>
      </c>
      <c r="W389" s="7" t="n">
        <v>0.4</v>
      </c>
      <c r="X389" s="6">
        <f>$T389*W389</f>
        <v/>
      </c>
      <c r="Y389" s="7" t="n">
        <v>0</v>
      </c>
      <c r="Z389" s="6">
        <f>$T389*Y389</f>
        <v/>
      </c>
      <c r="AA389" s="7" t="n">
        <v>0</v>
      </c>
      <c r="AB389" s="6">
        <f>$T389*AA389</f>
        <v/>
      </c>
      <c r="AC389" s="7" t="n">
        <v>0</v>
      </c>
      <c r="AD389" s="6">
        <f>$T389*AC389</f>
        <v/>
      </c>
      <c r="AE389" s="7" t="n">
        <v>0</v>
      </c>
      <c r="AF389" s="6">
        <f>$T389*AE389</f>
        <v/>
      </c>
      <c r="AG389" s="7" t="n">
        <v>0</v>
      </c>
      <c r="AH389" s="6">
        <f>$T389*AG389</f>
        <v/>
      </c>
      <c r="AI389" s="7">
        <f>U389+W389+Y389+AA389+AC389+AE389+AG389</f>
        <v/>
      </c>
      <c r="AJ389" s="6">
        <f>V389+X389+Z389+AB389+AD389+AF389+AH389</f>
        <v/>
      </c>
    </row>
    <row r="390" ht="60" customHeight="1" s="35">
      <c r="A390" s="3" t="inlineStr">
        <is>
          <t>LOM251.OC.EEA.PA02.I9762.SB001.0805</t>
        </is>
      </c>
      <c r="B390" s="4" t="inlineStr">
        <is>
          <t>1/1</t>
        </is>
      </c>
      <c r="C390" s="3" t="inlineStr">
        <is>
          <t>IMPIANTO MECCANICO</t>
        </is>
      </c>
      <c r="D390" s="4" t="inlineStr">
        <is>
          <t>SPECIALE</t>
        </is>
      </c>
      <c r="E390" s="4" t="inlineStr">
        <is>
          <t>MECCANICHE SPECIALI</t>
        </is>
      </c>
      <c r="F390" s="3" t="inlineStr">
        <is>
          <t>2_CME_TOTALE MECCANICI RADIOFARMACIA PAVIA.PDF</t>
        </is>
      </c>
      <c r="G390" s="4" t="inlineStr">
        <is>
          <t>52/52</t>
        </is>
      </c>
      <c r="H390" s="3" t="inlineStr">
        <is>
          <t>50 - INSTALLAZIONE</t>
        </is>
      </c>
      <c r="I390" s="3" t="inlineStr">
        <is>
          <t>CENTRALE</t>
        </is>
      </c>
      <c r="J390" s="3" t="inlineStr">
        <is>
          <t>IMPIANTO HVAC</t>
        </is>
      </c>
      <c r="K390" s="3" t="inlineStr">
        <is>
          <t>OPERA: VALVOLA DI LEGA FERROSA ACCIAIO GENERICO; GEOMETRIA: A BATTENTE; FUNZIONE: DI RITEGNO; DIAMETRO NOMINALE (Ø) [MM] = 65; PRESSIONE NOMINALE [BAR] = 25. INCLUSO: GUARNIZIONI DEL TIPO SENZA AMIANT</t>
        </is>
      </c>
      <c r="L390" s="3" t="inlineStr">
        <is>
          <t>OPERA: VALVOLA DI LEGA FERROSA ACCIAIO GENERICO; GEOMETRIA: A BATTENTE; FUNZIONE: DI RITEGNO; DIAMETRO NOMINALE (Ø) [MM] = 65; PRESSIONE NOMINALE [BAR] = 25. INCLUSO: GUARNIZIONI DEL TIPO SENZA AMIANTO. 
LAVORO: POSA. 
SPECIFICHE TECNICHE: VALVOLA CON: CORPO DI LEGA FERROSA ACCIAIO AL CARBONIO, COPERCHIO DI LEGA FERROSA ACCIAIO AL CARBONIO, OTTURATORE DI LEGA FERROSA ACCIAIO AL CARBONIO, ANELLO SEDE DI TENUTA VALVOLA DI LEGA FERROSA ACCIAIO INOX. OP VALVOLA DI LEGA FERROSA ACCIAIO GENERICO; GEOMETRIA: A BATTENTE; FUNZIONE: DI RITEGNO; DIAMETRO NOMINALE (Ø) [MM] = 65; PRESSIONE NOMINALE [BAR] = 25. INCLUSO: GUARNIZIONI DEL TIPO SENZA AMIANTO. 
SPECIFICHE TECNICHE: VALVOLA CON: CORPO DI LEGA FERROSA ACCIAIO AL CARBONIO, COPERCHIO DI LEGA FERROSA ACCIAIO AL CARBONIO, OTTURATORE DI LEGA FERROSA ACCIAIO AL CARBONIO, ANELLO SEDE DI TENUTA VALVOLA DI LEGA FERROSA ACCIAIO INOX. 
RM VALVOLA DI LEGA FERROSA ACCIAIO GENERICO; GEOMETRIA: A BATTENTE; FUNZIONE: DI RITEGNO; DIAMETRO NOMINALE (Ø) [MM] = 65; PRESSIONE NOMINALE [BAR] = 25. INCLUSO: GUARNIZIONI DEL TIPO SENZA AMIANTO 
SPECIFICHE TECNICHE: VALVOLA CON: CORPO DI LEGA FERROSA ACCIAIO AL CARBONIO, COPERCHIO DI LEGA FERROSA ACCIAIO AL CARBONIO, OTTURATORE DI LEGA FERROSA ACCIAIO AL CARBONIO, ANELLO SEDE DI TENUTA VALVOLA DI LEGA FERROSA ACCIAIO INOX 
LV POSA.</t>
        </is>
      </c>
      <c r="M390" s="4" t="inlineStr">
        <is>
          <t>CAD</t>
        </is>
      </c>
      <c r="N390" s="5" t="n">
        <v>3</v>
      </c>
      <c r="O390" s="6" t="n">
        <v>170.76</v>
      </c>
      <c r="P390" s="6" t="n">
        <v>512.28</v>
      </c>
      <c r="Q390" s="5" t="n"/>
      <c r="R390" s="6" t="n"/>
      <c r="S390" s="6">
        <f>IF(AND(Q390&lt;&gt;"",R390&lt;&gt;""),Q390*R390,"")</f>
        <v/>
      </c>
      <c r="T390" s="6">
        <f>IF(S390="",P390,S390)</f>
        <v/>
      </c>
      <c r="U390" s="7" t="n">
        <v>0</v>
      </c>
      <c r="V390" s="6">
        <f>$T390*U390</f>
        <v/>
      </c>
      <c r="W390" s="7" t="n">
        <v>0.4</v>
      </c>
      <c r="X390" s="6">
        <f>$T390*W390</f>
        <v/>
      </c>
      <c r="Y390" s="7" t="n">
        <v>0</v>
      </c>
      <c r="Z390" s="6">
        <f>$T390*Y390</f>
        <v/>
      </c>
      <c r="AA390" s="7" t="n">
        <v>0</v>
      </c>
      <c r="AB390" s="6">
        <f>$T390*AA390</f>
        <v/>
      </c>
      <c r="AC390" s="7" t="n">
        <v>0</v>
      </c>
      <c r="AD390" s="6">
        <f>$T390*AC390</f>
        <v/>
      </c>
      <c r="AE390" s="7" t="n">
        <v>0</v>
      </c>
      <c r="AF390" s="6">
        <f>$T390*AE390</f>
        <v/>
      </c>
      <c r="AG390" s="7" t="n">
        <v>0</v>
      </c>
      <c r="AH390" s="6">
        <f>$T390*AG390</f>
        <v/>
      </c>
      <c r="AI390" s="7">
        <f>U390+W390+Y390+AA390+AC390+AE390+AG390</f>
        <v/>
      </c>
      <c r="AJ390" s="6">
        <f>V390+X390+Z390+AB390+AD390+AF390+AH390</f>
        <v/>
      </c>
    </row>
    <row r="391" ht="60" customHeight="1" s="35">
      <c r="A391" s="3" t="inlineStr">
        <is>
          <t>LOM251.OC.EEA.PA02.I9762.SB001.0965</t>
        </is>
      </c>
      <c r="B391" s="4" t="inlineStr">
        <is>
          <t>2/2</t>
        </is>
      </c>
      <c r="C391" s="3" t="inlineStr">
        <is>
          <t>IMPIANTO MECCANICO</t>
        </is>
      </c>
      <c r="D391" s="4" t="inlineStr">
        <is>
          <t>SPECIALE</t>
        </is>
      </c>
      <c r="E391" s="4" t="inlineStr">
        <is>
          <t>MECCANICHE SPECIALI</t>
        </is>
      </c>
      <c r="F391" s="3" t="inlineStr">
        <is>
          <t>2_CME_TOTALE MECCANICI RADIOFARMACIA PAVIA.PDF</t>
        </is>
      </c>
      <c r="G391" s="4" t="inlineStr">
        <is>
          <t>53/53</t>
        </is>
      </c>
      <c r="H391" s="3" t="inlineStr">
        <is>
          <t>50 - INSTALLAZIONE</t>
        </is>
      </c>
      <c r="I391" s="3" t="inlineStr">
        <is>
          <t>CENTRALE</t>
        </is>
      </c>
      <c r="J391" s="3" t="inlineStr">
        <is>
          <t>IMPIANTO HVAC</t>
        </is>
      </c>
      <c r="K391" s="3" t="inlineStr">
        <is>
          <t>OPERA: VALVOLA DI LEGA FERROSA ACCIAIO GENERICO; GEOMETRIA: A DISCO | TIPO WAFER; FUNZIONE: DI RITEGNO; DIAMETRO NOMINALE (Ø) [MM] = 40; PRESSIONE NOMINALE [BAR] = 10 ÷ 40. INCLUSO: MOLLA DI LEGA FERR</t>
        </is>
      </c>
      <c r="L391" s="3" t="inlineStr">
        <is>
          <t>OPERA: VALVOLA DI LEGA FERROSA ACCIAIO GENERICO; GEOMETRIA: A DISCO | TIPO WAFER; FUNZIONE: DI RITEGNO; DIAMETRO NOMINALE (Ø) [MM] = 40; PRESSIONE NOMINALE [BAR] = 10 ÷ 40. INCLUSO: MOLLA DI LEGA FERROSA ACCIAIO INOX;. 
LAVORO: POSA. 
SPECIFICHE TECNICHE: VALVOLA CON: CORPO DI LEGA FERROSA ACCIAIO GALVANIZZATO, DISCO DI LEGA FERROSA ACCIAIO INOX, ANELLO SEDE DI TENUTA VALVOLA DI LEGA FERROSA ACCIAIO INOX. OP VALVOLA DI LEGA FERROSA ACCIAIO GENERICO; GEOMETRIA: A DISCO | TIPO WAFER; FUNZIONE: DI RITEGNO; DIAMETRO NOMINALE (Ø) [MM] = 40; PRESSIONE NOMINALE [BAR] = 10 ÷ 40. INCLUSO: MOLLA DI LEGA FERROSA ACCIAIO INOX;. 
SPECIFICHE TECNICHE: VALVOLA CON: CORPO DI LEGA FERROSA ACCIAIO GALVANIZZATO, DISCO DI LEGA FERROSA ACCIAIO INOX, ANELLO SEDE DI TENUTA VALVOLA DI LEGA FERROSA ACCIAIO INOX. 
RM VALVOLA DI LEGA FERROSA ACCIAIO GENERICO; GEOMETRIA: A DISCO | TIPO WAFER; FUNZIONE: DI RITEGNO; DIAMETRO NOMINALE (Ø) [MM] = 40; PRESSIONE NOMINALE [BAR] = 10 ÷ 40. INCLUSO: MOLLA DI LEGA FERROSA ACCIAIO INOX; 
SPECIFICHE TECNICHE: VALVOLA CON: CORPO DI LEGA FERROSA ACCIAIO GALVANIZZATO, DISCO DI LEGA FERROSA ACCIAIO INOX, ANELLO SEDE DI TENUTA VALVOLA DI LEGA FERROSA ACCIAIO INOX 
LV POSA.</t>
        </is>
      </c>
      <c r="M391" s="4" t="inlineStr">
        <is>
          <t>CAD</t>
        </is>
      </c>
      <c r="N391" s="5" t="n">
        <v>2</v>
      </c>
      <c r="O391" s="6" t="n">
        <v>77.68000000000001</v>
      </c>
      <c r="P391" s="6" t="n">
        <v>155.36</v>
      </c>
      <c r="Q391" s="5" t="n"/>
      <c r="R391" s="6" t="n"/>
      <c r="S391" s="6">
        <f>IF(AND(Q391&lt;&gt;"",R391&lt;&gt;""),Q391*R391,"")</f>
        <v/>
      </c>
      <c r="T391" s="6">
        <f>IF(S391="",P391,S391)</f>
        <v/>
      </c>
      <c r="U391" s="7" t="n">
        <v>0</v>
      </c>
      <c r="V391" s="6">
        <f>$T391*U391</f>
        <v/>
      </c>
      <c r="W391" s="7" t="n">
        <v>0.4</v>
      </c>
      <c r="X391" s="6">
        <f>$T391*W391</f>
        <v/>
      </c>
      <c r="Y391" s="7" t="n">
        <v>0</v>
      </c>
      <c r="Z391" s="6">
        <f>$T391*Y391</f>
        <v/>
      </c>
      <c r="AA391" s="7" t="n">
        <v>0</v>
      </c>
      <c r="AB391" s="6">
        <f>$T391*AA391</f>
        <v/>
      </c>
      <c r="AC391" s="7" t="n">
        <v>0</v>
      </c>
      <c r="AD391" s="6">
        <f>$T391*AC391</f>
        <v/>
      </c>
      <c r="AE391" s="7" t="n">
        <v>0</v>
      </c>
      <c r="AF391" s="6">
        <f>$T391*AE391</f>
        <v/>
      </c>
      <c r="AG391" s="7" t="n">
        <v>0</v>
      </c>
      <c r="AH391" s="6">
        <f>$T391*AG391</f>
        <v/>
      </c>
      <c r="AI391" s="7">
        <f>U391+W391+Y391+AA391+AC391+AE391+AG391</f>
        <v/>
      </c>
      <c r="AJ391" s="6">
        <f>V391+X391+Z391+AB391+AD391+AF391+AH391</f>
        <v/>
      </c>
    </row>
    <row r="392" ht="60" customHeight="1" s="35">
      <c r="A392" s="3" t="inlineStr">
        <is>
          <t>LOM251.OC.EEA.PA02.I9762.SB001.0960</t>
        </is>
      </c>
      <c r="B392" s="4" t="inlineStr">
        <is>
          <t>1/1</t>
        </is>
      </c>
      <c r="C392" s="3" t="inlineStr">
        <is>
          <t>IMPIANTO MECCANICO</t>
        </is>
      </c>
      <c r="D392" s="4" t="inlineStr">
        <is>
          <t>SPECIALE</t>
        </is>
      </c>
      <c r="E392" s="4" t="inlineStr">
        <is>
          <t>MECCANICHE SPECIALI</t>
        </is>
      </c>
      <c r="F392" s="3" t="inlineStr">
        <is>
          <t>2_CME_TOTALE MECCANICI RADIOFARMACIA PAVIA.PDF</t>
        </is>
      </c>
      <c r="G392" s="4" t="inlineStr">
        <is>
          <t>54/54</t>
        </is>
      </c>
      <c r="H392" s="3" t="inlineStr">
        <is>
          <t>50 - INSTALLAZIONE</t>
        </is>
      </c>
      <c r="I392" s="3" t="inlineStr">
        <is>
          <t>CENTRALE</t>
        </is>
      </c>
      <c r="J392" s="3" t="inlineStr">
        <is>
          <t>IMPIANTO HVAC</t>
        </is>
      </c>
      <c r="K392" s="3" t="inlineStr">
        <is>
          <t>OPERA: VALVOLA DI LEGA FERROSA ACCIAIO GENERICO; GEOMETRIA: A DISCO | TIPO WAFER; FUNZIONE: DI RITEGNO; DIAMETRO NOMINALE (Ø) [MM] = 32; PRESSIONE NOMINALE [BAR] = 10 ÷ 40. INCLUSO: MOLLA DI LEGA FERR</t>
        </is>
      </c>
      <c r="L392" s="3" t="inlineStr">
        <is>
          <t>OPERA: VALVOLA DI LEGA FERROSA ACCIAIO GENERICO; GEOMETRIA: A DISCO | TIPO WAFER; FUNZIONE: DI RITEGNO; DIAMETRO NOMINALE (Ø) [MM] = 32; PRESSIONE NOMINALE [BAR] = 10 ÷ 40. INCLUSO: MOLLA DI LEGA FERROSA ACCIAIO INOX;. 
LAVORO: POSA. 
SPECIFICHE TECNICHE: VALVOLA CON: CORPO DI LEGA FERROSA ACCIAIO GALVANIZZATO, DISCO DI LEGA FERROSA ACCIAIO INOX, ANELLO SEDE DI TENUTA VALVOLA DI LEGA FERROSA ACCIAIO INOX. OP VALVOLA DI LEGA FERROSA ACCIAIO GENERICO; GEOMETRIA: A DISCO | TIPO WAFER; FUNZIONE: DI RITEGNO; DIAMETRO NOMINALE (Ø) [MM] = 32; PRESSIONE NOMINALE [BAR] = 10 ÷ 40. INCLUSO: MOLLA DI LEGA FERROSA ACCIAIO INOX;. 
SPECIFICHE TECNICHE: VALVOLA CON: CORPO DI LEGA FERROSA ACCIAIO GALVANIZZATO, DISCO DI LEGA FERROSA ACCIAIO INOX, ANELLO SEDE DI TENUTA VALVOLA DI LEGA FERROSA ACCIAIO INOX. 
RM VALVOLA DI LEGA FERROSA ACCIAIO GENERICO; GEOMETRIA: A DISCO | TIPO WAFER; FUNZIONE: DI RITEGNO; DIAMETRO NOMINALE (Ø) [MM] = 32; PRESSIONE NOMINALE [BAR] = 10 ÷ 40. INCLUSO: MOLLA DI LEGA FERROSA ACCIAIO INOX; 
SPECIFICHE TECNICHE: VALVOLA CON: CORPO DI LEGA FERROSA ACCIAIO GALVANIZZATO, DISCO DI LEGA FERROSA ACCIAIO INOX, ANELLO SEDE DI TENUTA VALVOLA DI LEGA FERROSA ACCIAIO INOX 
LV POSA.</t>
        </is>
      </c>
      <c r="M392" s="4" t="inlineStr">
        <is>
          <t>CAD</t>
        </is>
      </c>
      <c r="N392" s="5" t="n">
        <v>1</v>
      </c>
      <c r="O392" s="6" t="n">
        <v>72.94</v>
      </c>
      <c r="P392" s="6" t="n">
        <v>72.94</v>
      </c>
      <c r="Q392" s="5" t="n"/>
      <c r="R392" s="6" t="n"/>
      <c r="S392" s="6">
        <f>IF(AND(Q392&lt;&gt;"",R392&lt;&gt;""),Q392*R392,"")</f>
        <v/>
      </c>
      <c r="T392" s="6">
        <f>IF(S392="",P392,S392)</f>
        <v/>
      </c>
      <c r="U392" s="7" t="n">
        <v>0</v>
      </c>
      <c r="V392" s="6">
        <f>$T392*U392</f>
        <v/>
      </c>
      <c r="W392" s="7" t="n">
        <v>0.4</v>
      </c>
      <c r="X392" s="6">
        <f>$T392*W392</f>
        <v/>
      </c>
      <c r="Y392" s="7" t="n">
        <v>0</v>
      </c>
      <c r="Z392" s="6">
        <f>$T392*Y392</f>
        <v/>
      </c>
      <c r="AA392" s="7" t="n">
        <v>0</v>
      </c>
      <c r="AB392" s="6">
        <f>$T392*AA392</f>
        <v/>
      </c>
      <c r="AC392" s="7" t="n">
        <v>0</v>
      </c>
      <c r="AD392" s="6">
        <f>$T392*AC392</f>
        <v/>
      </c>
      <c r="AE392" s="7" t="n">
        <v>0</v>
      </c>
      <c r="AF392" s="6">
        <f>$T392*AE392</f>
        <v/>
      </c>
      <c r="AG392" s="7" t="n">
        <v>0</v>
      </c>
      <c r="AH392" s="6">
        <f>$T392*AG392</f>
        <v/>
      </c>
      <c r="AI392" s="7">
        <f>U392+W392+Y392+AA392+AC392+AE392+AG392</f>
        <v/>
      </c>
      <c r="AJ392" s="6">
        <f>V392+X392+Z392+AB392+AD392+AF392+AH392</f>
        <v/>
      </c>
    </row>
    <row r="393" ht="60" customHeight="1" s="35">
      <c r="A393" s="3" t="inlineStr">
        <is>
          <t>LOM251.OC.EEA.PA02.F8005.ZA000.0030</t>
        </is>
      </c>
      <c r="B393" s="4" t="inlineStr">
        <is>
          <t>1/1</t>
        </is>
      </c>
      <c r="C393" s="3" t="inlineStr">
        <is>
          <t>IMPIANTO MECCANICO</t>
        </is>
      </c>
      <c r="D393" s="4" t="inlineStr">
        <is>
          <t>SPECIALE</t>
        </is>
      </c>
      <c r="E393" s="4" t="inlineStr">
        <is>
          <t>MECCANICHE SPECIALI</t>
        </is>
      </c>
      <c r="F393" s="3" t="inlineStr">
        <is>
          <t>2_CME_TOTALE MECCANICI RADIOFARMACIA PAVIA.PDF</t>
        </is>
      </c>
      <c r="G393" s="4" t="inlineStr">
        <is>
          <t>63/63</t>
        </is>
      </c>
      <c r="H393" s="3" t="inlineStr">
        <is>
          <t>50 - INSTALLAZIONE</t>
        </is>
      </c>
      <c r="I393" s="3" t="inlineStr">
        <is>
          <t>CENTRALE</t>
        </is>
      </c>
      <c r="J393" s="3" t="inlineStr">
        <is>
          <t>IMPIANTO HVAC</t>
        </is>
      </c>
      <c r="K393" s="3" t="inlineStr">
        <is>
          <t xml:space="preserve">OPERA: VASO DI ESPANSIONE DI MATERIALE GENERICO; GEOMETRIA: MEMBRANA ATOSSICA; FUNZIONE: STABILIZZAZIONE PRESSIONE; IMPIEGO: IMPIANTO SANITARIO; CAPACITÀ [L] = 60. </t>
        </is>
      </c>
      <c r="L393" s="3" t="inlineStr">
        <is>
          <t>OPERA: VASO DI ESPANSIONE DI MATERIALE GENERICO; GEOMETRIA: MEMBRANA ATOSSICA; FUNZIONE: STABILIZZAZIONE PRESSIONE; IMPIEGO: IMPIANTO SANITARIO; CAPACITÀ [L] = 60. 
LAVORO: POSA. 
SPECIFICHE TECNICHE: CONDIZIONI D'ESERCIZIO MASSIME CON TEMPERATURA [°C] = 99 E PRESSIONE [BAR] = 4. OP VASO DI ESPANSIONE DI MATERIALE GENERICO; GEOMETRIA: MEMBRANA ATOSSICA; FUNZIONE: STABILIZZAZIONE PRESSIONE; IMPIEGO: IMPIANTO SANITARIO; CAPACITÀ [L] = 60. 
SPECIFICHE TECNICHE: CONDIZIONI D'ESERCIZIO MASSIME CON TEMPERATURA [°C] = 99 E PRESSIONE [BAR] = 4. 
RM VASO DI ESPANSIONE DI MATERIALE GENERICO; GEOMETRIA: MEMBRANA ATOSSICA; FUNZIONE: STABILIZZAZIONE PRESSIONE; IMPIEGO: IMPIANTO SANITARIO; CAPACITÀ [L] = 60 
SPECIFICHE TECNICHE: CONDIZIONI D'ESERCIZIO MASSIME CON TEMPERATURA [°C] = 99 E PRESSIONE [BAR] = 4 
LV POSA.</t>
        </is>
      </c>
      <c r="M393" s="4" t="inlineStr">
        <is>
          <t>CAD</t>
        </is>
      </c>
      <c r="N393" s="5" t="n">
        <v>3</v>
      </c>
      <c r="O393" s="6" t="n">
        <v>371.17</v>
      </c>
      <c r="P393" s="6" t="n">
        <v>1113.51</v>
      </c>
      <c r="Q393" s="5" t="n"/>
      <c r="R393" s="6" t="n"/>
      <c r="S393" s="6">
        <f>IF(AND(Q393&lt;&gt;"",R393&lt;&gt;""),Q393*R393,"")</f>
        <v/>
      </c>
      <c r="T393" s="6">
        <f>IF(S393="",P393,S393)</f>
        <v/>
      </c>
      <c r="U393" s="7" t="n">
        <v>0</v>
      </c>
      <c r="V393" s="6">
        <f>$T393*U393</f>
        <v/>
      </c>
      <c r="W393" s="7" t="n">
        <v>0.4</v>
      </c>
      <c r="X393" s="6">
        <f>$T393*W393</f>
        <v/>
      </c>
      <c r="Y393" s="7" t="n">
        <v>0</v>
      </c>
      <c r="Z393" s="6">
        <f>$T393*Y393</f>
        <v/>
      </c>
      <c r="AA393" s="7" t="n">
        <v>0</v>
      </c>
      <c r="AB393" s="6">
        <f>$T393*AA393</f>
        <v/>
      </c>
      <c r="AC393" s="7" t="n">
        <v>0</v>
      </c>
      <c r="AD393" s="6">
        <f>$T393*AC393</f>
        <v/>
      </c>
      <c r="AE393" s="7" t="n">
        <v>0</v>
      </c>
      <c r="AF393" s="6">
        <f>$T393*AE393</f>
        <v/>
      </c>
      <c r="AG393" s="7" t="n">
        <v>0</v>
      </c>
      <c r="AH393" s="6">
        <f>$T393*AG393</f>
        <v/>
      </c>
      <c r="AI393" s="7">
        <f>U393+W393+Y393+AA393+AC393+AE393+AG393</f>
        <v/>
      </c>
      <c r="AJ393" s="6">
        <f>V393+X393+Z393+AB393+AD393+AF393+AH393</f>
        <v/>
      </c>
    </row>
    <row r="394" ht="60" customHeight="1" s="35">
      <c r="A394" s="3" t="inlineStr">
        <is>
          <t>LOM251.OC.EEA.PA02.F8005.ZA000.0015</t>
        </is>
      </c>
      <c r="B394" s="4" t="inlineStr">
        <is>
          <t>1/1</t>
        </is>
      </c>
      <c r="C394" s="3" t="inlineStr">
        <is>
          <t>IMPIANTO MECCANICO</t>
        </is>
      </c>
      <c r="D394" s="4" t="inlineStr">
        <is>
          <t>SPECIALE</t>
        </is>
      </c>
      <c r="E394" s="4" t="inlineStr">
        <is>
          <t>MECCANICHE SPECIALI</t>
        </is>
      </c>
      <c r="F394" s="3" t="inlineStr">
        <is>
          <t>2_CME_TOTALE MECCANICI RADIOFARMACIA PAVIA.PDF</t>
        </is>
      </c>
      <c r="G394" s="4" t="inlineStr">
        <is>
          <t>64/64</t>
        </is>
      </c>
      <c r="H394" s="3" t="inlineStr">
        <is>
          <t>50 - INSTALLAZIONE</t>
        </is>
      </c>
      <c r="I394" s="3" t="inlineStr">
        <is>
          <t>CENTRALE</t>
        </is>
      </c>
      <c r="J394" s="3" t="inlineStr">
        <is>
          <t>IMPIANTO HVAC</t>
        </is>
      </c>
      <c r="K394" s="3" t="inlineStr">
        <is>
          <t xml:space="preserve">OPERA: VASO DI ESPANSIONE DI MATERIALE GENERICO; GEOMETRIA: MEMBRANA ATOSSICA; FUNZIONE: STABILIZZAZIONE PRESSIONE; IMPIEGO: IMPIANTO SANITARIO; CAPACITÀ [L] = 12. </t>
        </is>
      </c>
      <c r="L394" s="3" t="inlineStr">
        <is>
          <t>OPERA: VASO DI ESPANSIONE DI MATERIALE GENERICO; GEOMETRIA: MEMBRANA ATOSSICA; FUNZIONE: STABILIZZAZIONE PRESSIONE; IMPIEGO: IMPIANTO SANITARIO; CAPACITÀ [L] = 12. 
LAVORO: POSA. 
SPECIFICHE TECNICHE: CONDIZIONI D'ESERCIZIO MASSIME CON TEMPERATURA [°C] = 99 E PRESSIONE [BAR] = 4. OP VASO DI ESPANSIONE DI MATERIALE GENERICO; GEOMETRIA: MEMBRANA ATOSSICA; FUNZIONE: STABILIZZAZIONE PRESSIONE; IMPIEGO: IMPIANTO SANITARIO; CAPACITÀ [L] = 12. 
SPECIFICHE TECNICHE: CONDIZIONI D'ESERCIZIO MASSIME CON TEMPERATURA [°C] = 99 E PRESSIONE [BAR] = 4. 
RM VASO DI ESPANSIONE DI MATERIALE GENERICO; GEOMETRIA: MEMBRANA ATOSSICA; FUNZIONE: STABILIZZAZIONE PRESSIONE; IMPIEGO: IMPIANTO SANITARIO; CAPACITÀ [L] = 12 
SPECIFICHE TECNICHE: CONDIZIONI D'ESERCIZIO MASSIME CON TEMPERATURA [°C] = 99 E PRESSIONE [BAR] = 4 
LV POSA.</t>
        </is>
      </c>
      <c r="M394" s="4" t="inlineStr">
        <is>
          <t>CAD</t>
        </is>
      </c>
      <c r="N394" s="5" t="n">
        <v>2</v>
      </c>
      <c r="O394" s="6" t="n">
        <v>88.94</v>
      </c>
      <c r="P394" s="6" t="n">
        <v>177.88</v>
      </c>
      <c r="Q394" s="5" t="n"/>
      <c r="R394" s="6" t="n"/>
      <c r="S394" s="6">
        <f>IF(AND(Q394&lt;&gt;"",R394&lt;&gt;""),Q394*R394,"")</f>
        <v/>
      </c>
      <c r="T394" s="6">
        <f>IF(S394="",P394,S394)</f>
        <v/>
      </c>
      <c r="U394" s="7" t="n">
        <v>0</v>
      </c>
      <c r="V394" s="6">
        <f>$T394*U394</f>
        <v/>
      </c>
      <c r="W394" s="7" t="n">
        <v>0</v>
      </c>
      <c r="X394" s="6">
        <f>$T394*W394</f>
        <v/>
      </c>
      <c r="Y394" s="7" t="n">
        <v>0</v>
      </c>
      <c r="Z394" s="6">
        <f>$T394*Y394</f>
        <v/>
      </c>
      <c r="AA394" s="7" t="n">
        <v>0</v>
      </c>
      <c r="AB394" s="6">
        <f>$T394*AA394</f>
        <v/>
      </c>
      <c r="AC394" s="7" t="n">
        <v>0</v>
      </c>
      <c r="AD394" s="6">
        <f>$T394*AC394</f>
        <v/>
      </c>
      <c r="AE394" s="7" t="n">
        <v>0</v>
      </c>
      <c r="AF394" s="6">
        <f>$T394*AE394</f>
        <v/>
      </c>
      <c r="AG394" s="7" t="n">
        <v>0</v>
      </c>
      <c r="AH394" s="6">
        <f>$T394*AG394</f>
        <v/>
      </c>
      <c r="AI394" s="7">
        <f>U394+W394+Y394+AA394+AC394+AE394+AG394</f>
        <v/>
      </c>
      <c r="AJ394" s="6">
        <f>V394+X394+Z394+AB394+AD394+AF394+AH394</f>
        <v/>
      </c>
    </row>
    <row r="395" ht="60" customHeight="1" s="35">
      <c r="A395" s="3" t="inlineStr">
        <is>
          <t>LOM251.OC.EEA.PA01.F0900.ZA001.0335</t>
        </is>
      </c>
      <c r="B395" s="4" t="inlineStr">
        <is>
          <t>1/1</t>
        </is>
      </c>
      <c r="C395" s="3" t="inlineStr">
        <is>
          <t>IMPIANTO MECCANICO</t>
        </is>
      </c>
      <c r="D395" s="4" t="inlineStr">
        <is>
          <t>SPECIALE</t>
        </is>
      </c>
      <c r="E395" s="4" t="inlineStr">
        <is>
          <t>MECCANICHE SPECIALI</t>
        </is>
      </c>
      <c r="F395" s="3" t="inlineStr">
        <is>
          <t>2_CME_TOTALE MECCANICI RADIOFARMACIA PAVIA.PDF</t>
        </is>
      </c>
      <c r="G395" s="4" t="inlineStr">
        <is>
          <t>67/67</t>
        </is>
      </c>
      <c r="H395" s="3" t="inlineStr">
        <is>
          <t>50 - INSTALLAZIONE</t>
        </is>
      </c>
      <c r="I395" s="3" t="inlineStr">
        <is>
          <t>CENTRALE</t>
        </is>
      </c>
      <c r="J395" s="3" t="inlineStr">
        <is>
          <t>IMPIANTO HVAC</t>
        </is>
      </c>
      <c r="K395" s="3" t="inlineStr">
        <is>
          <t>OPERA: SCAMBIATORE DI CALORE, A PIASTRE ISPEZIONABILI; FUNZIONE: RAFFRESCAMENTO ARIA; IMPIEGO: IMPIANTO DI CLIMATIZZAZIONE; PRESSIONE NOMINALE [BAR] = 16 | POTENZA [KW] ≤ 100. INCLUSO: PIASTRE DI LEGA</t>
        </is>
      </c>
      <c r="L395" s="3" t="inlineStr">
        <is>
          <t>OPERA: SCAMBIATORE DI CALORE, A PIASTRE ISPEZIONABILI; FUNZIONE: RAFFRESCAMENTO ARIA; IMPIEGO: IMPIANTO DI CLIMATIZZAZIONE; PRESSIONE NOMINALE [BAR] = 16 | POTENZA [KW] ≤ 100. INCLUSO: PIASTRE DI LEGA FERROSA ACCIAIO INOX AISI 316; GUARNIZIONI DI GOMMA EPDM; TELAIO DI LEGA FERROSA ACCIAIO; TIRANTERIA DI LEGA FERROSA ACCIAIO; ATTACCHI FLANGIATI; STAFFAGGI. 
LAVORO: INSTALLAZIONE. 
SPECIFICHE TECNICHE: GUARNIZIONI A DOPPIA TENUTA NON INCOLLATE; TEMPERATURA POTENZIALITÀ CON PRIMARIO ACQUA [°C] = 7 ÷ 12 E TEMPERATURA POTENZIALITÀ CON SECONDARIO ACQUA [°C] = 15 ÷ 18. OP SCAMBIATORE DI CALORE, A PIASTRE ISPEZIONABILI; FUNZIONE: RAFFRESCAMENTO ARIA; IMPIEGO: IMPIANTO DI CLIMATIZZAZIONE; PRESSIONE NOMINALE [BAR] = 16 | POTENZA [KW] ≤ 100. INCLUSO: PIASTRE DI LEGA FERROSA ACCIAIO INOX AISI 316; GUARNIZIONI DI GOMMA EPDM; TELAIO DI LEGA FERROSA ACCIAIO; TIRANTERIA DI LEGA FERROSA ACCIAIO; ATTACCHI FLANGIATI; STAFFAGGI. 
SPECIFICHE TECNICHE: GUARNIZIONI A DOPPIA TENUTA NON INCOLLATE; TEMPERATURA POTENZIALITÀ CON PRIMARIO ACQUA [°C] = 7 ÷ 12 E TEMPERATURA POTENZIALITÀ CON SECONDARIO ACQUA [°C] = 15 ÷ 18. 
RM SCAMBIATORE DI CALORE A PIASTRE ISPEZIONABILI; FUNZIONE: RAFFRESCAMENTO ARIA; IMPIEGO: IMPIANTO DI CLIMATIZZAZIONE; PRESSIONE NOMINALE [BAR] = 16 | POTENZA [KW] ≤ 100. INCLUSO: PIASTRE DI LEGA FERROSA ACCIAIO INOX AISI 316; GUARNIZIONI DI GOMMA EPDM; TELAIO DI LEGA FERROSA ACCIAIO; TIRANTERIA DI LEGA FERROSA ACCIAIO; ATTACCHI FLANGIATI; STAFFAGGI 
SPECIFICHE TECNICHE: GUARNIZIONI A DOPPIA TENUTA NON INCOLLATE; TEMPERATURA POTENZIALITÀ CON PRIMARIO ACQUA [°C] = 7 ÷ 12 E TEMPERATURA POTENZIALITÀ CON SECONDARIO ACQUA [°C] = 15 ÷ 18 
LV INSTALLAZIONE.</t>
        </is>
      </c>
      <c r="M395" s="4" t="inlineStr">
        <is>
          <t>CAD</t>
        </is>
      </c>
      <c r="N395" s="5" t="n">
        <v>2</v>
      </c>
      <c r="O395" s="6" t="n">
        <v>1873.66</v>
      </c>
      <c r="P395" s="6" t="n">
        <v>3747.32</v>
      </c>
      <c r="Q395" s="5" t="n"/>
      <c r="R395" s="6" t="n"/>
      <c r="S395" s="6">
        <f>IF(AND(Q395&lt;&gt;"",R395&lt;&gt;""),Q395*R395,"")</f>
        <v/>
      </c>
      <c r="T395" s="6">
        <f>IF(S395="",P395,S395)</f>
        <v/>
      </c>
      <c r="U395" s="7" t="n">
        <v>0.5</v>
      </c>
      <c r="V395" s="6">
        <f>$T395*U395</f>
        <v/>
      </c>
      <c r="W395" s="7" t="n">
        <v>0.2</v>
      </c>
      <c r="X395" s="6">
        <f>$T395*W395</f>
        <v/>
      </c>
      <c r="Y395" s="7" t="n">
        <v>0</v>
      </c>
      <c r="Z395" s="6">
        <f>$T395*Y395</f>
        <v/>
      </c>
      <c r="AA395" s="7" t="n">
        <v>0</v>
      </c>
      <c r="AB395" s="6">
        <f>$T395*AA395</f>
        <v/>
      </c>
      <c r="AC395" s="7" t="n">
        <v>0</v>
      </c>
      <c r="AD395" s="6">
        <f>$T395*AC395</f>
        <v/>
      </c>
      <c r="AE395" s="7" t="n">
        <v>0</v>
      </c>
      <c r="AF395" s="6">
        <f>$T395*AE395</f>
        <v/>
      </c>
      <c r="AG395" s="7" t="n">
        <v>0</v>
      </c>
      <c r="AH395" s="6">
        <f>$T395*AG395</f>
        <v/>
      </c>
      <c r="AI395" s="7">
        <f>U395+W395+Y395+AA395+AC395+AE395+AG395</f>
        <v/>
      </c>
      <c r="AJ395" s="6">
        <f>V395+X395+Z395+AB395+AD395+AF395+AH395</f>
        <v/>
      </c>
    </row>
    <row r="396" ht="42" customHeight="1" s="35">
      <c r="A396" s="3" t="inlineStr">
        <is>
          <t>NP.IM.03</t>
        </is>
      </c>
      <c r="B396" s="4" t="inlineStr">
        <is>
          <t>1/1</t>
        </is>
      </c>
      <c r="C396" s="3" t="inlineStr">
        <is>
          <t>IMPIANTO MECCANICO</t>
        </is>
      </c>
      <c r="D396" s="4" t="inlineStr">
        <is>
          <t>SPECIALE</t>
        </is>
      </c>
      <c r="E396" s="4" t="inlineStr">
        <is>
          <t>MECCANICHE SPECIALI</t>
        </is>
      </c>
      <c r="F396" s="3" t="inlineStr">
        <is>
          <t>2_CME_TOTALE MECCANICI RADIOFARMACIA PAVIA.PDF</t>
        </is>
      </c>
      <c r="G396" s="4" t="inlineStr">
        <is>
          <t>86/86</t>
        </is>
      </c>
      <c r="H396" s="3" t="inlineStr">
        <is>
          <t>50 - INSTALLAZIONE</t>
        </is>
      </c>
      <c r="I396" s="3" t="inlineStr">
        <is>
          <t>CENTRALE</t>
        </is>
      </c>
      <c r="J396" s="3" t="inlineStr">
        <is>
          <t>IMPIANTO HVAC</t>
        </is>
      </c>
      <c r="K396" s="3" t="inlineStr">
        <is>
          <t>FORNITURA E POSA IN OPERA DI SISTEMA DI FILRAZIONE ASSOLUTA, COMPOSTO DA CONTENITORE TIPO CANISTER E N. 6 FILTRI ASSOLUTI H14 PER UNA PORTATA COMPLESSIVA DI 14.000 MC/H</t>
        </is>
      </c>
      <c r="L396" s="3" t="inlineStr">
        <is>
          <t>FORNITURA E POSA IN OPERA DI SISTEMA DI FILRAZIONE ASSOLUTA, COMPOSTO DA CONTENITORE TIPO CANISTER E N. 6 FILTRI ASSOLUTI H14 PER UNA PORTATA COMPLESSIVA DI 14.000 MC/H</t>
        </is>
      </c>
      <c r="M396" s="4" t="inlineStr">
        <is>
          <t>CADAUNO</t>
        </is>
      </c>
      <c r="N396" s="5" t="n">
        <v>1</v>
      </c>
      <c r="O396" s="6" t="n">
        <v>10791.34</v>
      </c>
      <c r="P396" s="6" t="n">
        <v>10791.34</v>
      </c>
      <c r="Q396" s="5" t="n"/>
      <c r="R396" s="6" t="n"/>
      <c r="S396" s="6">
        <f>IF(AND(Q396&lt;&gt;"",R396&lt;&gt;""),Q396*R396,"")</f>
        <v/>
      </c>
      <c r="T396" s="6">
        <f>IF(S396="",P396,S396)</f>
        <v/>
      </c>
      <c r="U396" s="7" t="n">
        <v>0</v>
      </c>
      <c r="V396" s="6">
        <f>$T396*U396</f>
        <v/>
      </c>
      <c r="W396" s="7" t="n">
        <v>0.4</v>
      </c>
      <c r="X396" s="6">
        <f>$T396*W396</f>
        <v/>
      </c>
      <c r="Y396" s="7" t="n">
        <v>0</v>
      </c>
      <c r="Z396" s="6">
        <f>$T396*Y396</f>
        <v/>
      </c>
      <c r="AA396" s="7" t="n">
        <v>0</v>
      </c>
      <c r="AB396" s="6">
        <f>$T396*AA396</f>
        <v/>
      </c>
      <c r="AC396" s="7" t="n">
        <v>0</v>
      </c>
      <c r="AD396" s="6">
        <f>$T396*AC396</f>
        <v/>
      </c>
      <c r="AE396" s="7" t="n">
        <v>0</v>
      </c>
      <c r="AF396" s="6">
        <f>$T396*AE396</f>
        <v/>
      </c>
      <c r="AG396" s="7" t="n">
        <v>0</v>
      </c>
      <c r="AH396" s="6">
        <f>$T396*AG396</f>
        <v/>
      </c>
      <c r="AI396" s="7">
        <f>U396+W396+Y396+AA396+AC396+AE396+AG396</f>
        <v/>
      </c>
      <c r="AJ396" s="6">
        <f>V396+X396+Z396+AB396+AD396+AF396+AH396</f>
        <v/>
      </c>
    </row>
    <row r="397" ht="60" customHeight="1" s="35">
      <c r="A397" s="3" t="inlineStr">
        <is>
          <t>LOM251.OC.EEA.PA29.F7405.SB003.0280</t>
        </is>
      </c>
      <c r="B397" s="4" t="inlineStr">
        <is>
          <t>1/1</t>
        </is>
      </c>
      <c r="C397" s="3" t="inlineStr">
        <is>
          <t>IMPIANTO MECCANICO</t>
        </is>
      </c>
      <c r="D397" s="4" t="inlineStr">
        <is>
          <t>SPECIALE</t>
        </is>
      </c>
      <c r="E397" s="4" t="inlineStr">
        <is>
          <t>MECCANICHE SPECIALI</t>
        </is>
      </c>
      <c r="F397" s="3" t="inlineStr">
        <is>
          <t>2_CME_TOTALE MECCANICI RADIOFARMACIA PAVIA.PDF</t>
        </is>
      </c>
      <c r="G397" s="4" t="inlineStr">
        <is>
          <t>88/88</t>
        </is>
      </c>
      <c r="H397" s="3" t="inlineStr">
        <is>
          <t>50 - INSTALLAZIONE</t>
        </is>
      </c>
      <c r="I397" s="3" t="inlineStr">
        <is>
          <t>CENTRALE</t>
        </is>
      </c>
      <c r="J397" s="3" t="inlineStr">
        <is>
          <t>IMPIANTO HVAC</t>
        </is>
      </c>
      <c r="K397" s="3" t="inlineStr">
        <is>
          <t>OPERA: SERRANDA DI REGOLAZIONE, RETTANGOLARE DI LEGA FERROSA ACCIAIO ZINCATO; FUNZIONE: DISTRIBUZIONE ARIA; IMPIEGO: IMPIANTO DI CLIMATIZZAZIONE; SUPERFICIE [M²] = 0,41 ÷ 0,6. INCLUSO: COMANDO MANUALE</t>
        </is>
      </c>
      <c r="L397" s="3" t="inlineStr">
        <is>
          <t>OPERA: SERRANDA DI REGOLAZIONE, RETTANGOLARE DI LEGA FERROSA ACCIAIO ZINCATO; FUNZIONE: DISTRIBUZIONE ARIA; IMPIEGO: IMPIANTO DI CLIMATIZZAZIONE; SUPERFICIE [M²] = 0,41 ÷ 0,6. INCLUSO: COMANDO MANUALE. 
LAVORO: MONTAGGIO. OP SERRANDA DI REGOLAZIONE, RETTANGOLARE DI LEGA FERROSA ACCIAIO ZINCATO; FUNZIONE: DISTRIBUZIONE ARIA; IMPIEGO: IMPIANTO DI CLIMATIZZAZIONE; SUPERFICIE [M²] = 0,41 ÷ 0,6. INCLUSO: COMANDO MANUALE. 
RM SERRANDA DI REGOLAZIONE RETTANGOLARE DI LEGA FERROSA ACCIAIO ZINCATO; FUNZIONE: DISTRIBUZIONE ARIA; IMPIEGO: IMPIANTO DI CLIMATIZZAZIONE; SUPERFICIE [M²] = 0,41 ÷ 0,6. COMPONENTI: ALETTA, TENUTA LATERALE. INCLUSO: COMANDO MANUALE 
LV MONTAGGIO.</t>
        </is>
      </c>
      <c r="M397" s="4" t="inlineStr">
        <is>
          <t>M²</t>
        </is>
      </c>
      <c r="N397" s="5" t="n">
        <v>1</v>
      </c>
      <c r="O397" s="6" t="n">
        <v>426.91</v>
      </c>
      <c r="P397" s="6" t="n">
        <v>426.91</v>
      </c>
      <c r="Q397" s="5" t="n"/>
      <c r="R397" s="6" t="n"/>
      <c r="S397" s="6">
        <f>IF(AND(Q397&lt;&gt;"",R397&lt;&gt;""),Q397*R397,"")</f>
        <v/>
      </c>
      <c r="T397" s="6">
        <f>IF(S397="",P397,S397)</f>
        <v/>
      </c>
      <c r="U397" s="7" t="n">
        <v>0</v>
      </c>
      <c r="V397" s="6">
        <f>$T397*U397</f>
        <v/>
      </c>
      <c r="W397" s="7" t="n">
        <v>0</v>
      </c>
      <c r="X397" s="6">
        <f>$T397*W397</f>
        <v/>
      </c>
      <c r="Y397" s="7" t="n">
        <v>0</v>
      </c>
      <c r="Z397" s="6">
        <f>$T397*Y397</f>
        <v/>
      </c>
      <c r="AA397" s="7" t="n">
        <v>0</v>
      </c>
      <c r="AB397" s="6">
        <f>$T397*AA397</f>
        <v/>
      </c>
      <c r="AC397" s="7" t="n">
        <v>0</v>
      </c>
      <c r="AD397" s="6">
        <f>$T397*AC397</f>
        <v/>
      </c>
      <c r="AE397" s="7" t="n">
        <v>0</v>
      </c>
      <c r="AF397" s="6">
        <f>$T397*AE397</f>
        <v/>
      </c>
      <c r="AG397" s="7" t="n">
        <v>0</v>
      </c>
      <c r="AH397" s="6">
        <f>$T397*AG397</f>
        <v/>
      </c>
      <c r="AI397" s="7">
        <f>U397+W397+Y397+AA397+AC397+AE397+AG397</f>
        <v/>
      </c>
      <c r="AJ397" s="6">
        <f>V397+X397+Z397+AB397+AD397+AF397+AH397</f>
        <v/>
      </c>
    </row>
    <row r="398" ht="60" customHeight="1" s="35">
      <c r="A398" s="3" t="inlineStr">
        <is>
          <t>LOM252.OC.EEA.PA02.G7605.ZA001.0015</t>
        </is>
      </c>
      <c r="B398" s="4" t="inlineStr">
        <is>
          <t>1/4</t>
        </is>
      </c>
      <c r="C398" s="3" t="inlineStr">
        <is>
          <t>IMPIANTO ELETTRICO</t>
        </is>
      </c>
      <c r="D398" s="4" t="inlineStr">
        <is>
          <t>NON SPECIALE</t>
        </is>
      </c>
      <c r="E398" s="4" t="inlineStr">
        <is>
          <t>ELETTRICHE</t>
        </is>
      </c>
      <c r="F398" s="3" t="inlineStr">
        <is>
          <t>3_CME IE RADIOFARMACIA PAVIA - REV02 VARIANTE ESECUTIVA.PDF</t>
        </is>
      </c>
      <c r="G398" s="4" t="inlineStr">
        <is>
          <t>99/99</t>
        </is>
      </c>
      <c r="H398" s="3" t="inlineStr">
        <is>
          <t>40 - IMPIANTISTICO</t>
        </is>
      </c>
      <c r="I398" s="3" t="inlineStr">
        <is>
          <t>CABINA DI CONSEGNA MT</t>
        </is>
      </c>
      <c r="J398" s="3" t="inlineStr">
        <is>
          <t>IMPIANTO DI MESSA A TERRA</t>
        </is>
      </c>
      <c r="K398" s="3" t="inlineStr">
        <is>
          <t xml:space="preserve">OPERA: CORDA; IMPIEGO: IMPIANTO DI TERRA; SEZIONE [MM²] = 50. </t>
        </is>
      </c>
      <c r="L398" s="3" t="inlineStr">
        <is>
          <t>OPERA: CORDA; IMPIEGO: IMPIANTO DI TERRA; SEZIONE [MM²] = 50. 
LAVORO: POSA. 
SPECIFICHE TECNICHE: CORDA DI RAME NUDA. OP CORDA; IMPIEGO: IMPIANTO DI TERRA; SEZIONE [MM²] = 50. 
SPECIFICHE TECNICHE: CORDA DI RAME NUDA. 
RM CORDA DI LEGA RAME GENERICO; IMPIEGO: IMPIANTO DI TERRA; SEZIONE [MM²] = 50 
SPECIFICHE TECNICHE: CORDA DI RAME NUDA 
LV POSA.
[DIMENSIONI: 30,00]</t>
        </is>
      </c>
      <c r="M398" s="4" t="inlineStr">
        <is>
          <t>M</t>
        </is>
      </c>
      <c r="N398" s="5" t="n">
        <v>30</v>
      </c>
      <c r="O398" s="6" t="n">
        <v>10</v>
      </c>
      <c r="P398" s="6" t="n">
        <v>300</v>
      </c>
      <c r="Q398" s="5" t="n"/>
      <c r="R398" s="6" t="n"/>
      <c r="S398" s="6">
        <f>IF(AND(Q398&lt;&gt;"",R398&lt;&gt;""),Q398*R398,"")</f>
        <v/>
      </c>
      <c r="T398" s="6">
        <f>IF(S398="",P398,S398)</f>
        <v/>
      </c>
      <c r="U398" s="7" t="n">
        <v>0</v>
      </c>
      <c r="V398" s="6">
        <f>$T398*U398</f>
        <v/>
      </c>
      <c r="W398" s="7" t="n">
        <v>0</v>
      </c>
      <c r="X398" s="6">
        <f>$T398*W398</f>
        <v/>
      </c>
      <c r="Y398" s="7" t="n">
        <v>0</v>
      </c>
      <c r="Z398" s="6">
        <f>$T398*Y398</f>
        <v/>
      </c>
      <c r="AA398" s="7" t="n">
        <v>0</v>
      </c>
      <c r="AB398" s="6">
        <f>$T398*AA398</f>
        <v/>
      </c>
      <c r="AC398" s="7" t="n">
        <v>0</v>
      </c>
      <c r="AD398" s="6">
        <f>$T398*AC398</f>
        <v/>
      </c>
      <c r="AE398" s="7" t="n">
        <v>0</v>
      </c>
      <c r="AF398" s="6">
        <f>$T398*AE398</f>
        <v/>
      </c>
      <c r="AG398" s="7" t="n">
        <v>0</v>
      </c>
      <c r="AH398" s="6">
        <f>$T398*AG398</f>
        <v/>
      </c>
      <c r="AI398" s="7">
        <f>U398+W398+Y398+AA398+AC398+AE398+AG398</f>
        <v/>
      </c>
      <c r="AJ398" s="6">
        <f>V398+X398+Z398+AB398+AD398+AF398+AH398</f>
        <v/>
      </c>
    </row>
    <row r="399" ht="60" customHeight="1" s="35">
      <c r="A399" s="3" t="inlineStr">
        <is>
          <t>LOM252.OC.EEA.PA02.G7610.SB003.0005</t>
        </is>
      </c>
      <c r="B399" s="4" t="inlineStr">
        <is>
          <t>1/3</t>
        </is>
      </c>
      <c r="C399" s="3" t="inlineStr">
        <is>
          <t>IMPIANTO ELETTRICO</t>
        </is>
      </c>
      <c r="D399" s="4" t="inlineStr">
        <is>
          <t>NON SPECIALE</t>
        </is>
      </c>
      <c r="E399" s="4" t="inlineStr">
        <is>
          <t>ELETTRICHE</t>
        </is>
      </c>
      <c r="F399" s="3" t="inlineStr">
        <is>
          <t>3_CME IE RADIOFARMACIA PAVIA - REV02 VARIANTE ESECUTIVA.PDF</t>
        </is>
      </c>
      <c r="G399" s="4" t="inlineStr">
        <is>
          <t>100/100</t>
        </is>
      </c>
      <c r="H399" s="3" t="inlineStr">
        <is>
          <t>40 - IMPIANTISTICO</t>
        </is>
      </c>
      <c r="I399" s="3" t="inlineStr">
        <is>
          <t>CABINA DI CONSEGNA MT</t>
        </is>
      </c>
      <c r="J399" s="3" t="inlineStr">
        <is>
          <t>IMPIANTO DI MESSA A TERRA</t>
        </is>
      </c>
      <c r="K399" s="3" t="inlineStr">
        <is>
          <t>OPERA: DISPERSORE, A CROCE DI LEGA FERROSA ACCIAIO ZINCATO; IMPIEGO: ALLACCIAMENTI DI CORDE, TONDI, PIATTI E FUNI; LUNGHEZZA [M] = 1,5 | LARGHEZZA SEZIONE [MM] = 50 | LUNGHEZZA SEZIONE [MM] = 50 | SPE</t>
        </is>
      </c>
      <c r="L399" s="3" t="inlineStr">
        <is>
          <t>OPERA: DISPERSORE, A CROCE DI LEGA FERROSA ACCIAIO ZINCATO; IMPIEGO: ALLACCIAMENTI DI CORDE, TONDI, PIATTI E FUNI; LUNGHEZZA [M] = 1,5 | LARGHEZZA SEZIONE [MM] = 50 | LUNGHEZZA SEZIONE [MM] = 50 | SPESSORE SEZIONE [MM] = 5. 
LAVORO: POSA. OP DISPERSORE, A CROCE DI LEGA FERROSA ACCIAIO ZINCATO; IMPIEGO: ALLACCIAMENTI DI CORDE, TONDI, PIATTI E FUNI; LUNGHEZZA [M] = 1,5 | LARGHEZZA SEZIONE [MM] = 50 | LUNGHEZZA SEZIONE [MM] = 50 | SPESSORE SEZIONE [MM] = 5. 
RM DISPERSORE A CROCE DI LEGA FERROSA ACCIAIO ZINCATO; IMPIEGO: ALLACCIAMENTI DI CORDE, TONDI, PIATTI E FUNI; LUNGHEZZA [M] = 1,5 | LARGHEZZA SEZIONE [MM] = 50 | LUNGHEZZA SEZIONE [MM] = 50 | SPESSORE SEZIONE [MM] = 5. COMPONENTE: BANDIERA,  
LV POSA.</t>
        </is>
      </c>
      <c r="M399" s="4" t="inlineStr">
        <is>
          <t>CAD</t>
        </is>
      </c>
      <c r="N399" s="5" t="n">
        <v>4</v>
      </c>
      <c r="O399" s="6" t="n">
        <v>67.05</v>
      </c>
      <c r="P399" s="6" t="n">
        <v>268.2</v>
      </c>
      <c r="Q399" s="5" t="n"/>
      <c r="R399" s="6" t="n"/>
      <c r="S399" s="6">
        <f>IF(AND(Q399&lt;&gt;"",R399&lt;&gt;""),Q399*R399,"")</f>
        <v/>
      </c>
      <c r="T399" s="6">
        <f>IF(S399="",P399,S399)</f>
        <v/>
      </c>
      <c r="U399" s="7" t="n">
        <v>0</v>
      </c>
      <c r="V399" s="6">
        <f>$T399*U399</f>
        <v/>
      </c>
      <c r="W399" s="7" t="n">
        <v>0</v>
      </c>
      <c r="X399" s="6">
        <f>$T399*W399</f>
        <v/>
      </c>
      <c r="Y399" s="7" t="n">
        <v>0</v>
      </c>
      <c r="Z399" s="6">
        <f>$T399*Y399</f>
        <v/>
      </c>
      <c r="AA399" s="7" t="n">
        <v>0</v>
      </c>
      <c r="AB399" s="6">
        <f>$T399*AA399</f>
        <v/>
      </c>
      <c r="AC399" s="7" t="n">
        <v>0</v>
      </c>
      <c r="AD399" s="6">
        <f>$T399*AC399</f>
        <v/>
      </c>
      <c r="AE399" s="7" t="n">
        <v>0</v>
      </c>
      <c r="AF399" s="6">
        <f>$T399*AE399</f>
        <v/>
      </c>
      <c r="AG399" s="7" t="n">
        <v>0</v>
      </c>
      <c r="AH399" s="6">
        <f>$T399*AG399</f>
        <v/>
      </c>
      <c r="AI399" s="7">
        <f>U399+W399+Y399+AA399+AC399+AE399+AG399</f>
        <v/>
      </c>
      <c r="AJ399" s="6">
        <f>V399+X399+Z399+AB399+AD399+AF399+AH399</f>
        <v/>
      </c>
    </row>
    <row r="400" ht="60" customHeight="1" s="35">
      <c r="A400" s="3" t="inlineStr">
        <is>
          <t>DEIELE251_075016D</t>
        </is>
      </c>
      <c r="B400" s="4" t="inlineStr">
        <is>
          <t>1/5</t>
        </is>
      </c>
      <c r="C400" s="3" t="inlineStr">
        <is>
          <t>IMPIANTO ELETTRICO</t>
        </is>
      </c>
      <c r="D400" s="4" t="inlineStr">
        <is>
          <t>NON SPECIALE</t>
        </is>
      </c>
      <c r="E400" s="4" t="inlineStr">
        <is>
          <t>ELETTRICHE</t>
        </is>
      </c>
      <c r="F400" s="3" t="inlineStr">
        <is>
          <t>3_CME IE RADIOFARMACIA PAVIA - REV02 VARIANTE ESECUTIVA.PDF</t>
        </is>
      </c>
      <c r="G400" s="4" t="inlineStr">
        <is>
          <t>101/101</t>
        </is>
      </c>
      <c r="H400" s="3" t="inlineStr">
        <is>
          <t>40 - IMPIANTISTICO</t>
        </is>
      </c>
      <c r="I400" s="3" t="inlineStr">
        <is>
          <t>CABINA DI CONSEGNA MT</t>
        </is>
      </c>
      <c r="J400" s="3" t="inlineStr">
        <is>
          <t>IMPIANTO DI MESSA A TERRA</t>
        </is>
      </c>
      <c r="K400" s="3" t="inlineStr">
        <is>
          <t>BARRA EQUIPOTENZIALE INDUSTRIALE NUDA, CON VITERIA IN ACCIAIO INOSSIDABILE PER SERRAGGIO CAPICORDA, INSTALLATA A MURO COMPLETA DI ISOLATORI IN DUROPLASTICO ED ACCESSORI DI FISSAGGIO: IN ACCIAIO INOSSI</t>
        </is>
      </c>
      <c r="L400" s="3" t="inlineStr">
        <is>
          <t>BARRA EQUIPOTENZIALE INDUSTRIALE NUDA, CON VITERIA IN ACCIAIO INOSSIDABILE PER SERRAGGIO CAPICORDA, INSTALLATA A MURO COMPLETA DI ISOLATORI IN DUROPLASTICO ED ACCESSORI DI FISSAGGIO: IN ACCIAIO INOSSIDABILE, DIMENSIONI: 500 X 40 X 5 MM, PER 12 COLLEGAMENTI</t>
        </is>
      </c>
      <c r="M400" s="4" t="inlineStr">
        <is>
          <t>CAD</t>
        </is>
      </c>
      <c r="N400" s="5" t="n">
        <v>1</v>
      </c>
      <c r="O400" s="6" t="n">
        <v>151.8</v>
      </c>
      <c r="P400" s="6" t="n">
        <v>151.8</v>
      </c>
      <c r="Q400" s="5" t="n"/>
      <c r="R400" s="6" t="n"/>
      <c r="S400" s="6">
        <f>IF(AND(Q400&lt;&gt;"",R400&lt;&gt;""),Q400*R400,"")</f>
        <v/>
      </c>
      <c r="T400" s="6">
        <f>IF(S400="",P400,S400)</f>
        <v/>
      </c>
      <c r="U400" s="7" t="n">
        <v>0</v>
      </c>
      <c r="V400" s="6">
        <f>$T400*U400</f>
        <v/>
      </c>
      <c r="W400" s="7" t="n">
        <v>0</v>
      </c>
      <c r="X400" s="6">
        <f>$T400*W400</f>
        <v/>
      </c>
      <c r="Y400" s="7" t="n">
        <v>0</v>
      </c>
      <c r="Z400" s="6">
        <f>$T400*Y400</f>
        <v/>
      </c>
      <c r="AA400" s="7" t="n">
        <v>0</v>
      </c>
      <c r="AB400" s="6">
        <f>$T400*AA400</f>
        <v/>
      </c>
      <c r="AC400" s="7" t="n">
        <v>0</v>
      </c>
      <c r="AD400" s="6">
        <f>$T400*AC400</f>
        <v/>
      </c>
      <c r="AE400" s="7" t="n">
        <v>0</v>
      </c>
      <c r="AF400" s="6">
        <f>$T400*AE400</f>
        <v/>
      </c>
      <c r="AG400" s="7" t="n">
        <v>0</v>
      </c>
      <c r="AH400" s="6">
        <f>$T400*AG400</f>
        <v/>
      </c>
      <c r="AI400" s="7">
        <f>U400+W400+Y400+AA400+AC400+AE400+AG400</f>
        <v/>
      </c>
      <c r="AJ400" s="6">
        <f>V400+X400+Z400+AB400+AD400+AF400+AH400</f>
        <v/>
      </c>
    </row>
    <row r="401" ht="18" customHeight="1" s="35">
      <c r="A401" s="3" t="inlineStr">
        <is>
          <t>DEIELE251_015005</t>
        </is>
      </c>
      <c r="B401" s="4" t="inlineStr">
        <is>
          <t>1/3</t>
        </is>
      </c>
      <c r="C401" s="3" t="inlineStr">
        <is>
          <t>IMPIANTO ELETTRICO</t>
        </is>
      </c>
      <c r="D401" s="4" t="inlineStr">
        <is>
          <t>NON SPECIALE</t>
        </is>
      </c>
      <c r="E401" s="4" t="inlineStr">
        <is>
          <t>ELETTRICHE</t>
        </is>
      </c>
      <c r="F401" s="3" t="inlineStr">
        <is>
          <t>3_CME IE RADIOFARMACIA PAVIA - REV02 VARIANTE ESECUTIVA.PDF</t>
        </is>
      </c>
      <c r="G401" s="4" t="inlineStr">
        <is>
          <t>102/102</t>
        </is>
      </c>
      <c r="H401" s="3" t="inlineStr">
        <is>
          <t>40 - IMPIANTISTICO</t>
        </is>
      </c>
      <c r="I401" s="3" t="inlineStr">
        <is>
          <t>CABINA DI CONSEGNA MT</t>
        </is>
      </c>
      <c r="J401" s="3" t="inlineStr">
        <is>
          <t>IMPIANTO DI MESSA A TERRA</t>
        </is>
      </c>
      <c r="K401" s="3" t="inlineStr">
        <is>
          <t>COLLEGAMENTO EQUIPOTENZIALE PER VANO</t>
        </is>
      </c>
      <c r="L401" s="3" t="inlineStr">
        <is>
          <t>COLLEGAMENTO EQUIPOTENZIALE PER VANO</t>
        </is>
      </c>
      <c r="M401" s="4" t="inlineStr">
        <is>
          <t>CAD</t>
        </is>
      </c>
      <c r="N401" s="5" t="n">
        <v>1</v>
      </c>
      <c r="O401" s="6" t="n">
        <v>151.8</v>
      </c>
      <c r="P401" s="6" t="n">
        <v>151.8</v>
      </c>
      <c r="Q401" s="5" t="n"/>
      <c r="R401" s="6" t="n"/>
      <c r="S401" s="6">
        <f>IF(AND(Q401&lt;&gt;"",R401&lt;&gt;""),Q401*R401,"")</f>
        <v/>
      </c>
      <c r="T401" s="6">
        <f>IF(S401="",P401,S401)</f>
        <v/>
      </c>
      <c r="U401" s="7" t="n">
        <v>0</v>
      </c>
      <c r="V401" s="6">
        <f>$T401*U401</f>
        <v/>
      </c>
      <c r="W401" s="7" t="n">
        <v>0</v>
      </c>
      <c r="X401" s="6">
        <f>$T401*W401</f>
        <v/>
      </c>
      <c r="Y401" s="7" t="n">
        <v>0</v>
      </c>
      <c r="Z401" s="6">
        <f>$T401*Y401</f>
        <v/>
      </c>
      <c r="AA401" s="7" t="n">
        <v>0</v>
      </c>
      <c r="AB401" s="6">
        <f>$T401*AA401</f>
        <v/>
      </c>
      <c r="AC401" s="7" t="n">
        <v>0</v>
      </c>
      <c r="AD401" s="6">
        <f>$T401*AC401</f>
        <v/>
      </c>
      <c r="AE401" s="7" t="n">
        <v>0</v>
      </c>
      <c r="AF401" s="6">
        <f>$T401*AE401</f>
        <v/>
      </c>
      <c r="AG401" s="7" t="n">
        <v>0</v>
      </c>
      <c r="AH401" s="6">
        <f>$T401*AG401</f>
        <v/>
      </c>
      <c r="AI401" s="7">
        <f>U401+W401+Y401+AA401+AC401+AE401+AG401</f>
        <v/>
      </c>
      <c r="AJ401" s="6">
        <f>V401+X401+Z401+AB401+AD401+AF401+AH401</f>
        <v/>
      </c>
    </row>
    <row r="402" ht="60" customHeight="1" s="35">
      <c r="A402" s="3" t="inlineStr">
        <is>
          <t>LOM252.OC.EEA.PA02.G7409.D0000.0255</t>
        </is>
      </c>
      <c r="B402" s="4" t="inlineStr">
        <is>
          <t>1/3</t>
        </is>
      </c>
      <c r="C402" s="3" t="inlineStr">
        <is>
          <t>IMPIANTO ELETTRICO</t>
        </is>
      </c>
      <c r="D402" s="4" t="inlineStr">
        <is>
          <t>NON SPECIALE</t>
        </is>
      </c>
      <c r="E402" s="4" t="inlineStr">
        <is>
          <t>ELETTRICHE</t>
        </is>
      </c>
      <c r="F402" s="3" t="inlineStr">
        <is>
          <t>3_CME IE RADIOFARMACIA PAVIA - REV02 VARIANTE ESECUTIVA.PDF</t>
        </is>
      </c>
      <c r="G402" s="4" t="inlineStr">
        <is>
          <t>103/103</t>
        </is>
      </c>
      <c r="H402" s="3" t="inlineStr">
        <is>
          <t>40 - IMPIANTISTICO</t>
        </is>
      </c>
      <c r="I402" s="3" t="inlineStr">
        <is>
          <t>CABINA DI CONSEGNA MT</t>
        </is>
      </c>
      <c r="J402" s="3" t="inlineStr">
        <is>
          <t>DISTRIBUZIONE SECONDARIA</t>
        </is>
      </c>
      <c r="K402" s="3" t="inlineStr">
        <is>
          <t xml:space="preserve">OPERA: TUBO, RIGIDO DI PLASTICA GENERICO; IMPIEGO: TUBAZIONI ELETTRICHE; DIAMETRO [MM] = 20. </t>
        </is>
      </c>
      <c r="L402" s="3" t="inlineStr">
        <is>
          <t>OPERA: TUBO, RIGIDO DI PLASTICA GENERICO; IMPIEGO: TUBAZIONI ELETTRICHE; DIAMETRO [MM] = 20. 
LAVORO: POSA. 
SPECIFICHE TECNICHE: PER INSTALLAZIONE A VISTA, CON MARCHIO IMQ, AUTOESTINQUENTE. OP TUBO, RIGIDO DI PLASTICA GENERICO; IMPIEGO: TUBAZIONI ELETTRICHE; DIAMETRO [MM] = 20. 
SPECIFICHE TECNICHE: PER INSTALLAZIONE A VISTA, CON MARCHIO IMQ, AUTOESTINQUENTE. 
RM TUBO RIGIDO DI PLASTICA GENERICO; IMPIEGO: TUBAZIONI ELETTRICHE; DIAMETRO (Ø) [MM] = 20 
SPECIFICHE TECNICHE: PER INSTALLAZIONE A VISTA, CON MARCHIO IMQ, AUTOESTINQUENTE 
LV POSA.
[DIMENSIONI: 30,00]</t>
        </is>
      </c>
      <c r="M402" s="4" t="inlineStr">
        <is>
          <t>M</t>
        </is>
      </c>
      <c r="N402" s="5" t="n">
        <v>30</v>
      </c>
      <c r="O402" s="6" t="n">
        <v>6.96</v>
      </c>
      <c r="P402" s="6" t="n">
        <v>208.8</v>
      </c>
      <c r="Q402" s="5" t="n"/>
      <c r="R402" s="6" t="n"/>
      <c r="S402" s="6">
        <f>IF(AND(Q402&lt;&gt;"",R402&lt;&gt;""),Q402*R402,"")</f>
        <v/>
      </c>
      <c r="T402" s="6">
        <f>IF(S402="",P402,S402)</f>
        <v/>
      </c>
      <c r="U402" s="7" t="n">
        <v>0</v>
      </c>
      <c r="V402" s="6">
        <f>$T402*U402</f>
        <v/>
      </c>
      <c r="W402" s="7" t="n">
        <v>0</v>
      </c>
      <c r="X402" s="6">
        <f>$T402*W402</f>
        <v/>
      </c>
      <c r="Y402" s="7" t="n">
        <v>0</v>
      </c>
      <c r="Z402" s="6">
        <f>$T402*Y402</f>
        <v/>
      </c>
      <c r="AA402" s="7" t="n">
        <v>0</v>
      </c>
      <c r="AB402" s="6">
        <f>$T402*AA402</f>
        <v/>
      </c>
      <c r="AC402" s="7" t="n">
        <v>0</v>
      </c>
      <c r="AD402" s="6">
        <f>$T402*AC402</f>
        <v/>
      </c>
      <c r="AE402" s="7" t="n">
        <v>0</v>
      </c>
      <c r="AF402" s="6">
        <f>$T402*AE402</f>
        <v/>
      </c>
      <c r="AG402" s="7" t="n">
        <v>0</v>
      </c>
      <c r="AH402" s="6">
        <f>$T402*AG402</f>
        <v/>
      </c>
      <c r="AI402" s="7">
        <f>U402+W402+Y402+AA402+AC402+AE402+AG402</f>
        <v/>
      </c>
      <c r="AJ402" s="6">
        <f>V402+X402+Z402+AB402+AD402+AF402+AH402</f>
        <v/>
      </c>
    </row>
    <row r="403" ht="60" customHeight="1" s="35">
      <c r="A403" s="3" t="inlineStr">
        <is>
          <t>LOM252.OC.EEA.PA02.G7409.D0000.0260</t>
        </is>
      </c>
      <c r="B403" s="4" t="inlineStr">
        <is>
          <t>1/3</t>
        </is>
      </c>
      <c r="C403" s="3" t="inlineStr">
        <is>
          <t>IMPIANTO ELETTRICO</t>
        </is>
      </c>
      <c r="D403" s="4" t="inlineStr">
        <is>
          <t>NON SPECIALE</t>
        </is>
      </c>
      <c r="E403" s="4" t="inlineStr">
        <is>
          <t>ELETTRICHE</t>
        </is>
      </c>
      <c r="F403" s="3" t="inlineStr">
        <is>
          <t>3_CME IE RADIOFARMACIA PAVIA - REV02 VARIANTE ESECUTIVA.PDF</t>
        </is>
      </c>
      <c r="G403" s="4" t="inlineStr">
        <is>
          <t>104/104</t>
        </is>
      </c>
      <c r="H403" s="3" t="inlineStr">
        <is>
          <t>40 - IMPIANTISTICO</t>
        </is>
      </c>
      <c r="I403" s="3" t="inlineStr">
        <is>
          <t>CABINA DI CONSEGNA MT</t>
        </is>
      </c>
      <c r="J403" s="3" t="inlineStr">
        <is>
          <t>DISTRIBUZIONE SECONDARIA</t>
        </is>
      </c>
      <c r="K403" s="3" t="inlineStr">
        <is>
          <t xml:space="preserve">OPERA: TUBO, RIGIDO DI PLASTICA GENERICO; IMPIEGO: TUBAZIONI ELETTRICHE; DIAMETRO [MM] = 25. </t>
        </is>
      </c>
      <c r="L403" s="3" t="inlineStr">
        <is>
          <t>OPERA: TUBO, RIGIDO DI PLASTICA GENERICO; IMPIEGO: TUBAZIONI ELETTRICHE; DIAMETRO [MM] = 25. 
LAVORO: POSA. 
SPECIFICHE TECNICHE: PER INSTALLAZIONE A VISTA, CON MARCHIO IMQ, AUTOESTINQUENTE. OP TUBO, RIGIDO DI PLASTICA GENERICO; IMPIEGO: TUBAZIONI ELETTRICHE; DIAMETRO [MM] = 25. 
SPECIFICHE TECNICHE: PER INSTALLAZIONE A VISTA, CON MARCHIO IMQ, AUTOESTINQUENTE. 
RM TUBO RIGIDO DI PLASTICA GENERICO; IMPIEGO: TUBAZIONI ELETTRICHE; DIAMETRO (Ø) [MM] = 25 
SPECIFICHE TECNICHE: PER INSTALLAZIONE A VISTA, CON MARCHIO IMQ, AUTOESTINQUENTE 
LV POSA.
[DIMENSIONI: 20,00]</t>
        </is>
      </c>
      <c r="M403" s="4" t="inlineStr">
        <is>
          <t>M</t>
        </is>
      </c>
      <c r="N403" s="5" t="n">
        <v>20</v>
      </c>
      <c r="O403" s="6" t="n">
        <v>8.23</v>
      </c>
      <c r="P403" s="6" t="n">
        <v>164.6</v>
      </c>
      <c r="Q403" s="5" t="n"/>
      <c r="R403" s="6" t="n"/>
      <c r="S403" s="6">
        <f>IF(AND(Q403&lt;&gt;"",R403&lt;&gt;""),Q403*R403,"")</f>
        <v/>
      </c>
      <c r="T403" s="6">
        <f>IF(S403="",P403,S403)</f>
        <v/>
      </c>
      <c r="U403" s="7" t="n">
        <v>0</v>
      </c>
      <c r="V403" s="6">
        <f>$T403*U403</f>
        <v/>
      </c>
      <c r="W403" s="7" t="n">
        <v>0</v>
      </c>
      <c r="X403" s="6">
        <f>$T403*W403</f>
        <v/>
      </c>
      <c r="Y403" s="7" t="n">
        <v>0</v>
      </c>
      <c r="Z403" s="6">
        <f>$T403*Y403</f>
        <v/>
      </c>
      <c r="AA403" s="7" t="n">
        <v>0</v>
      </c>
      <c r="AB403" s="6">
        <f>$T403*AA403</f>
        <v/>
      </c>
      <c r="AC403" s="7" t="n">
        <v>0</v>
      </c>
      <c r="AD403" s="6">
        <f>$T403*AC403</f>
        <v/>
      </c>
      <c r="AE403" s="7" t="n">
        <v>0</v>
      </c>
      <c r="AF403" s="6">
        <f>$T403*AE403</f>
        <v/>
      </c>
      <c r="AG403" s="7" t="n">
        <v>0</v>
      </c>
      <c r="AH403" s="6">
        <f>$T403*AG403</f>
        <v/>
      </c>
      <c r="AI403" s="7">
        <f>U403+W403+Y403+AA403+AC403+AE403+AG403</f>
        <v/>
      </c>
      <c r="AJ403" s="6">
        <f>V403+X403+Z403+AB403+AD403+AF403+AH403</f>
        <v/>
      </c>
    </row>
    <row r="404" ht="60" customHeight="1" s="35">
      <c r="A404" s="3" t="inlineStr">
        <is>
          <t>LOM252.OC.EEA.PA02.G7424.SC009.0610</t>
        </is>
      </c>
      <c r="B404" s="4" t="inlineStr">
        <is>
          <t>1/5</t>
        </is>
      </c>
      <c r="C404" s="3" t="inlineStr">
        <is>
          <t>IMPIANTO ELETTRICO</t>
        </is>
      </c>
      <c r="D404" s="4" t="inlineStr">
        <is>
          <t>NON SPECIALE</t>
        </is>
      </c>
      <c r="E404" s="4" t="inlineStr">
        <is>
          <t>ELETTRICHE</t>
        </is>
      </c>
      <c r="F404" s="3" t="inlineStr">
        <is>
          <t>3_CME IE RADIOFARMACIA PAVIA - REV02 VARIANTE ESECUTIVA.PDF</t>
        </is>
      </c>
      <c r="G404" s="4" t="inlineStr">
        <is>
          <t>105/105</t>
        </is>
      </c>
      <c r="H404" s="3" t="inlineStr">
        <is>
          <t>40 - IMPIANTISTICO</t>
        </is>
      </c>
      <c r="I404" s="3" t="inlineStr">
        <is>
          <t>CABINA DI CONSEGNA MT</t>
        </is>
      </c>
      <c r="J404" s="3" t="inlineStr">
        <is>
          <t>DISTRIBUZIONE SECONDARIA</t>
        </is>
      </c>
      <c r="K404" s="3" t="inlineStr">
        <is>
          <t xml:space="preserve">OPERA: CAVO, FG16OM16 DI LEGA RAME RICOTTO; GEOMETRIA: FLESSIBILE; SEZIONE NOMINALE [MM²] = 3X2,5; TENSIONE NOMINALE [KV] = 0,6/1; N° POLI [-] = 3P. </t>
        </is>
      </c>
      <c r="L404" s="3" t="inlineStr">
        <is>
          <t>OPERA: CAVO, FG16OM16 DI LEGA RAME RICOTTO; GEOMETRIA: FLESSIBILE; SEZIONE NOMINALE [MM²] = 3X2,5; TENSIONE NOMINALE [KV] = 0,6/1; N° POLI [-] = 3P. 
LAVORO: POSA. OP CAVO, FG16OM16 DI LEGA RAME RICOTTO; GEOMETRIA: FLESSIBILE; SEZIONE NOMINALE [MM²] = 3X2,5; TENSIONE NOMINALE UO/U [KV] = 0,6/1; N° POLI [-] = 3P. 
RM CAVO FG16OM16 DI LEGA RAME RICOTTO; GEOMETRIA: FLESSIBILE; SEZIONE NOMINALE [MM²] = 3X2,5; TENSIONE NOMINALE UO/U [KV] = 0,6/1; N° POLI [-] = 3P. COMPONENTI: ISOLANTE, GUAINA TERMOPLASTICA 
LV POSA.
[DIMENSIONI: 20,00]</t>
        </is>
      </c>
      <c r="M404" s="4" t="inlineStr">
        <is>
          <t>M</t>
        </is>
      </c>
      <c r="N404" s="5" t="n">
        <v>20</v>
      </c>
      <c r="O404" s="6" t="n">
        <v>4.94</v>
      </c>
      <c r="P404" s="6" t="n">
        <v>98.8</v>
      </c>
      <c r="Q404" s="5" t="n"/>
      <c r="R404" s="6" t="n"/>
      <c r="S404" s="6">
        <f>IF(AND(Q404&lt;&gt;"",R404&lt;&gt;""),Q404*R404,"")</f>
        <v/>
      </c>
      <c r="T404" s="6">
        <f>IF(S404="",P404,S404)</f>
        <v/>
      </c>
      <c r="U404" s="7" t="n">
        <v>0</v>
      </c>
      <c r="V404" s="6">
        <f>$T404*U404</f>
        <v/>
      </c>
      <c r="W404" s="7" t="n">
        <v>0</v>
      </c>
      <c r="X404" s="6">
        <f>$T404*W404</f>
        <v/>
      </c>
      <c r="Y404" s="7" t="n">
        <v>0</v>
      </c>
      <c r="Z404" s="6">
        <f>$T404*Y404</f>
        <v/>
      </c>
      <c r="AA404" s="7" t="n">
        <v>0</v>
      </c>
      <c r="AB404" s="6">
        <f>$T404*AA404</f>
        <v/>
      </c>
      <c r="AC404" s="7" t="n">
        <v>0</v>
      </c>
      <c r="AD404" s="6">
        <f>$T404*AC404</f>
        <v/>
      </c>
      <c r="AE404" s="7" t="n">
        <v>0</v>
      </c>
      <c r="AF404" s="6">
        <f>$T404*AE404</f>
        <v/>
      </c>
      <c r="AG404" s="7" t="n">
        <v>0</v>
      </c>
      <c r="AH404" s="6">
        <f>$T404*AG404</f>
        <v/>
      </c>
      <c r="AI404" s="7">
        <f>U404+W404+Y404+AA404+AC404+AE404+AG404</f>
        <v/>
      </c>
      <c r="AJ404" s="6">
        <f>V404+X404+Z404+AB404+AD404+AF404+AH404</f>
        <v/>
      </c>
    </row>
    <row r="405" ht="60" customHeight="1" s="35">
      <c r="A405" s="3" t="inlineStr">
        <is>
          <t>LOM252.OC.EEA.PA02.G7424.SC009.0615</t>
        </is>
      </c>
      <c r="B405" s="4" t="inlineStr">
        <is>
          <t>1/5</t>
        </is>
      </c>
      <c r="C405" s="3" t="inlineStr">
        <is>
          <t>IMPIANTO ELETTRICO</t>
        </is>
      </c>
      <c r="D405" s="4" t="inlineStr">
        <is>
          <t>NON SPECIALE</t>
        </is>
      </c>
      <c r="E405" s="4" t="inlineStr">
        <is>
          <t>ELETTRICHE</t>
        </is>
      </c>
      <c r="F405" s="3" t="inlineStr">
        <is>
          <t>3_CME IE RADIOFARMACIA PAVIA - REV02 VARIANTE ESECUTIVA.PDF</t>
        </is>
      </c>
      <c r="G405" s="4" t="inlineStr">
        <is>
          <t>106/106</t>
        </is>
      </c>
      <c r="H405" s="3" t="inlineStr">
        <is>
          <t>40 - IMPIANTISTICO</t>
        </is>
      </c>
      <c r="I405" s="3" t="inlineStr">
        <is>
          <t>CABINA DI CONSEGNA MT</t>
        </is>
      </c>
      <c r="J405" s="3" t="inlineStr">
        <is>
          <t>DISTRIBUZIONE SECONDARIA</t>
        </is>
      </c>
      <c r="K405" s="3" t="inlineStr">
        <is>
          <t xml:space="preserve">OPERA: CAVO, FG16OM16 DI LEGA RAME RICOTTO; GEOMETRIA: FLESSIBILE; SEZIONE NOMINALE [MM²] = 3X4; TENSIONE NOMINALE [KV] = 0,6/1; N° POLI [-] = 3P. </t>
        </is>
      </c>
      <c r="L405" s="3" t="inlineStr">
        <is>
          <t>OPERA: CAVO, FG16OM16 DI LEGA RAME RICOTTO; GEOMETRIA: FLESSIBILE; SEZIONE NOMINALE [MM²] = 3X4; TENSIONE NOMINALE [KV] = 0,6/1; N° POLI [-] = 3P. 
LAVORO: POSA. OP CAVO, FG16OM16 DI LEGA RAME RICOTTO; GEOMETRIA: FLESSIBILE; SEZIONE NOMINALE [MM²] = 3X4; TENSIONE NOMINALE UO/U [KV] = 0,6/1; N° POLI [-] = 3P. 
RM CAVO FG16OM16 DI LEGA RAME RICOTTO; GEOMETRIA: FLESSIBILE; SEZIONE NOMINALE [MM²] = 3X4; TENSIONE NOMINALE UO/U [KV] = 0,6/1; N° POLI [-] = 3P. COMPONENTI: ISOLANTE, GUAINA TERMOPLASTICA 
LV POSA.
[DIMENSIONI: 20,00]</t>
        </is>
      </c>
      <c r="M405" s="4" t="inlineStr">
        <is>
          <t>M</t>
        </is>
      </c>
      <c r="N405" s="5" t="n">
        <v>20</v>
      </c>
      <c r="O405" s="6" t="n">
        <v>5.81</v>
      </c>
      <c r="P405" s="6" t="n">
        <v>116.2</v>
      </c>
      <c r="Q405" s="5" t="n"/>
      <c r="R405" s="6" t="n"/>
      <c r="S405" s="6">
        <f>IF(AND(Q405&lt;&gt;"",R405&lt;&gt;""),Q405*R405,"")</f>
        <v/>
      </c>
      <c r="T405" s="6">
        <f>IF(S405="",P405,S405)</f>
        <v/>
      </c>
      <c r="U405" s="7" t="n">
        <v>0</v>
      </c>
      <c r="V405" s="6">
        <f>$T405*U405</f>
        <v/>
      </c>
      <c r="W405" s="7" t="n">
        <v>0</v>
      </c>
      <c r="X405" s="6">
        <f>$T405*W405</f>
        <v/>
      </c>
      <c r="Y405" s="7" t="n">
        <v>0</v>
      </c>
      <c r="Z405" s="6">
        <f>$T405*Y405</f>
        <v/>
      </c>
      <c r="AA405" s="7" t="n">
        <v>0</v>
      </c>
      <c r="AB405" s="6">
        <f>$T405*AA405</f>
        <v/>
      </c>
      <c r="AC405" s="7" t="n">
        <v>0</v>
      </c>
      <c r="AD405" s="6">
        <f>$T405*AC405</f>
        <v/>
      </c>
      <c r="AE405" s="7" t="n">
        <v>0</v>
      </c>
      <c r="AF405" s="6">
        <f>$T405*AE405</f>
        <v/>
      </c>
      <c r="AG405" s="7" t="n">
        <v>0</v>
      </c>
      <c r="AH405" s="6">
        <f>$T405*AG405</f>
        <v/>
      </c>
      <c r="AI405" s="7">
        <f>U405+W405+Y405+AA405+AC405+AE405+AG405</f>
        <v/>
      </c>
      <c r="AJ405" s="6">
        <f>V405+X405+Z405+AB405+AD405+AF405+AH405</f>
        <v/>
      </c>
    </row>
    <row r="406" ht="60" customHeight="1" s="35">
      <c r="A406" s="3" t="inlineStr">
        <is>
          <t>LOM252.OC.EEA.PA01.G8237.ZA001.1025</t>
        </is>
      </c>
      <c r="B406" s="4" t="inlineStr">
        <is>
          <t>1/3</t>
        </is>
      </c>
      <c r="C406" s="3" t="inlineStr">
        <is>
          <t>IMPIANTO ELETTRICO</t>
        </is>
      </c>
      <c r="D406" s="4" t="inlineStr">
        <is>
          <t>NON SPECIALE</t>
        </is>
      </c>
      <c r="E406" s="4" t="inlineStr">
        <is>
          <t>ELETTRICHE</t>
        </is>
      </c>
      <c r="F406" s="3" t="inlineStr">
        <is>
          <t>3_CME IE RADIOFARMACIA PAVIA - REV02 VARIANTE ESECUTIVA.PDF</t>
        </is>
      </c>
      <c r="G406" s="4" t="inlineStr">
        <is>
          <t>107/107</t>
        </is>
      </c>
      <c r="H406" s="3" t="inlineStr">
        <is>
          <t>40 - IMPIANTISTICO</t>
        </is>
      </c>
      <c r="I406" s="3" t="inlineStr">
        <is>
          <t>CABINA DI CONSEGNA MT</t>
        </is>
      </c>
      <c r="J406" s="3" t="inlineStr">
        <is>
          <t>IMPIANTO DI ILLUMINAZIONE</t>
        </is>
      </c>
      <c r="K406" s="3" t="inlineStr">
        <is>
          <t>OPERA: DERIVAZIONE D'IMPIANTO PUNTO LUCE, INTERROTTO; GEOMETRIA: INTERRUTTORE UNIPOLARE; IMPIEGO: DERIVAZIONE D'IMPIANTO A VISTA A PARETE/A SOFFITTO; TENSIONE NOMINALE SPIA [V] = 230. INCLUSO: TUBO PR</t>
        </is>
      </c>
      <c r="L406" s="3" t="inlineStr">
        <is>
          <t>OPERA: DERIVAZIONE D'IMPIANTO PUNTO LUCE, INTERROTTO; GEOMETRIA: INTERRUTTORE UNIPOLARE; IMPIEGO: DERIVAZIONE D'IMPIANTO A VISTA A PARETE/A SOFFITTO; TENSIONE NOMINALE SPIA [V] = 230. INCLUSO: TUBO PROTETTIVO; CONDUTTORI DI ALIMENTAZIONE E DI TERRA; SCATOLE DA INCASSO; FRUTTI COMPONIBILI; PLACCHE; SUPPORTI; TASSELLI/GANCI. 
LAVORO: INSTALLAZIONE IN OPERA. INCLUSO: LINEA DI COLLEGAMENTO ALLO SPECIFICO PUNTO DI ALIMENTAZIONE; FISSAGGIO DELLE CANALIZZAZIONI A MEZZO DI TASSELLI O GANCI; ASSISTENZA PER IL TRASPORTO DEI MATERIALI AL PIANO. 
SPECIFICHE TECNICHE: PER IMPIANTI DI ENERGIA; GRADO DI PROTEZIONE IP55; REALIZZATO CON TUBO PROTETTIVO RIGIDO DI PLASTICA POLIVINILCLORURO (PVC) AUTOESTINGUENTE; CONDUTTORI DI ALIMENTAZIONE E DI TERRA DI LEGA RAME GENERICO RICOTTO ISOLATO CONFORMI AI REQUISITI PREVISTI DALLA NORMATIVA EUROPEA REGOLAMENTO UE 305/2011 - PRODOTTI DA COSTRUZIONE CPR; TIPOLOGIA CONDUTTORI E SEZIONE ADEGUATI ALL'UTILIZZO. OP DERIVAZIONE D'IMPIANTO PUNTO LUCE, INTERROTTO; GEOMETRIA: INTERRUTTORE UNIPOLARE; IMPIEGO: DERIVAZIONE D'IMPIANTO A VISTA A PARETE/A SOFFITTO; TENSIONE NOMINALE SPIA [V] = 230. INCLUSO: TUBO PROTETTIVO; CONDUTTORI DI ALIMENTAZIONE E DI TERRA; SCATOLE DA INCASSO; FRUTTI COMPONIBILI; PLACCHE; SUPPORTI; TASSELLI/GANCI. 
SPECIFICHE TECNICHE: PER IMPIANTI DI ENERGIA; GRADO DI PROTEZIONE IP55; REALIZZATO CON TUBO PROTETTIVO RIGIDO DI PLASTICA POLIVINILCLORURO (PVC) AUTOESTINGUENTE; CONDUTTORI DI ALIMENTAZIONE E DI TERRA DI LEGA RAME GENERICO RICOTTO ISOLATO CONFORMI AI REQUISITI PREVISTI DALLA NORMATIVA EUROPEA REGOLAMENTO UE 305/2011 - PRODOTTI DA COSTRUZIONE CPR; TIPOLOGIA CONDUTTORI E SEZIONE ADEGUATI ALL'UTILIZZO. 
RM DERIVAZIONE D'IMPIANTO PUNTO LUCE INTERROTTO; GEOMETRIA: INTERRUTTORE UNIPOLARE; IMPIEGO: DERIVAZIONE D'IMPIANTO A VISTA A PARETE/A SOFFITTO; TENSIONE NOMINALE SPIA [V] = 230. INCLUSO: TUBO PROTETTIVO; CONDUTTORI DI ALIMENTAZIONE E DI TERRA; SCATOLE DA INCASSO; FRUTTI COMPONIBILI; PLACCHE; SUPPORTI; TASSELLI/GANCI 
SPECIFICHE TECNICHE: PER IMPIANTI DI ENERGIA; GRADO DI PROTEZIONE IP55; REALIZZATO CON TUBO PROTETTIVO RIGIDO DI PLASTICA POLIVINILCLORURO (PVC) AUTOESTINGUENTE; CONDUTTORI DI ALIMENTAZIONE E DI TERRA DI LEGA RAME GENERICO RICOTTO ISOLATO CONFORMI AI REQUISITI PREVISTI DALLA NORMATIVA EUROPEA REGOLAMENTO UE 305/2011 - PRODOTTI DA COSTRUZIONE CPR; TIPOLOGIA CONDUTTORI E SEZIONE ADEGUATI ALL'UTILIZZO 
LV INSTALLAZIONE IN OPERA. INCLUSO: LINEA DI COLLEGAMENTO ALLO SPECIFICO PUNTO DI ALIMENTAZIONE; FISSAGGIO DELLE CANALIZZAZIONI A MEZZO DI TASSELLI O GANCI; ASSISTENZA PER IL TRASPORTO DEI MATERIALI AL PIANO.</t>
        </is>
      </c>
      <c r="M406" s="4" t="inlineStr">
        <is>
          <t>CAD</t>
        </is>
      </c>
      <c r="N406" s="5" t="n">
        <v>1</v>
      </c>
      <c r="O406" s="6" t="n">
        <v>91.72</v>
      </c>
      <c r="P406" s="6" t="n">
        <v>91.72</v>
      </c>
      <c r="Q406" s="5" t="n"/>
      <c r="R406" s="6" t="n"/>
      <c r="S406" s="6">
        <f>IF(AND(Q406&lt;&gt;"",R406&lt;&gt;""),Q406*R406,"")</f>
        <v/>
      </c>
      <c r="T406" s="6">
        <f>IF(S406="",P406,S406)</f>
        <v/>
      </c>
      <c r="U406" s="7" t="n">
        <v>0</v>
      </c>
      <c r="V406" s="6">
        <f>$T406*U406</f>
        <v/>
      </c>
      <c r="W406" s="7" t="n">
        <v>0</v>
      </c>
      <c r="X406" s="6">
        <f>$T406*W406</f>
        <v/>
      </c>
      <c r="Y406" s="7" t="n">
        <v>0</v>
      </c>
      <c r="Z406" s="6">
        <f>$T406*Y406</f>
        <v/>
      </c>
      <c r="AA406" s="7" t="n">
        <v>0</v>
      </c>
      <c r="AB406" s="6">
        <f>$T406*AA406</f>
        <v/>
      </c>
      <c r="AC406" s="7" t="n">
        <v>0</v>
      </c>
      <c r="AD406" s="6">
        <f>$T406*AC406</f>
        <v/>
      </c>
      <c r="AE406" s="7" t="n">
        <v>0</v>
      </c>
      <c r="AF406" s="6">
        <f>$T406*AE406</f>
        <v/>
      </c>
      <c r="AG406" s="7" t="n">
        <v>0</v>
      </c>
      <c r="AH406" s="6">
        <f>$T406*AG406</f>
        <v/>
      </c>
      <c r="AI406" s="7">
        <f>U406+W406+Y406+AA406+AC406+AE406+AG406</f>
        <v/>
      </c>
      <c r="AJ406" s="6">
        <f>V406+X406+Z406+AB406+AD406+AF406+AH406</f>
        <v/>
      </c>
    </row>
    <row r="407" ht="60" customHeight="1" s="35">
      <c r="A407" s="3" t="inlineStr">
        <is>
          <t>LOM252.OC.EEA.PA01.G8237.ZA001.0760</t>
        </is>
      </c>
      <c r="B407" s="4" t="inlineStr">
        <is>
          <t>1/6</t>
        </is>
      </c>
      <c r="C407" s="3" t="inlineStr">
        <is>
          <t>IMPIANTO ELETTRICO</t>
        </is>
      </c>
      <c r="D407" s="4" t="inlineStr">
        <is>
          <t>NON SPECIALE</t>
        </is>
      </c>
      <c r="E407" s="4" t="inlineStr">
        <is>
          <t>ELETTRICHE</t>
        </is>
      </c>
      <c r="F407" s="3" t="inlineStr">
        <is>
          <t>3_CME IE RADIOFARMACIA PAVIA - REV02 VARIANTE ESECUTIVA.PDF</t>
        </is>
      </c>
      <c r="G407" s="4" t="inlineStr">
        <is>
          <t>108/108</t>
        </is>
      </c>
      <c r="H407" s="3" t="inlineStr">
        <is>
          <t>40 - IMPIANTISTICO</t>
        </is>
      </c>
      <c r="I407" s="3" t="inlineStr">
        <is>
          <t>CABINA DI CONSEGNA MT</t>
        </is>
      </c>
      <c r="J407" s="3" t="inlineStr">
        <is>
          <t>IMPIANTO DI ILLUMINAZIONE</t>
        </is>
      </c>
      <c r="K407" s="3" t="inlineStr">
        <is>
          <t>OPERA: DERIVAZIONE D'IMPIANTO PUNTO LUCE, IN PARALLELO; IMPIEGO: DERIVAZIONE D'IMPIANTO A VISTA A PARETE/A SOFFITTO. INCLUSO: TUBO PROTETTIVO; CONDUTTORI DI ALIMENTAZIONE E DI TERRA; SCATOLE DA INCASS</t>
        </is>
      </c>
      <c r="L407" s="3" t="inlineStr">
        <is>
          <t>OPERA: DERIVAZIONE D'IMPIANTO PUNTO LUCE, IN PARALLELO; IMPIEGO: DERIVAZIONE D'IMPIANTO A VISTA A PARETE/A SOFFITTO. INCLUSO: TUBO PROTETTIVO; CONDUTTORI DI ALIMENTAZIONE E DI TERRA; SCATOLE DA INCASSO; FRUTTI COMPONIBILI; PLACCHE; SUPPORTI; TASSELLI/GANCI. 
LAVORO: INSTALLAZIONE IN OPERA. INCLUSO: LINEA DI COLLEGAMENTO ALLO SPECIFICO PUNTO DI ALIMENTAZIONE; FISSAGGIO DELLE CANALIZZAZIONI A MEZZO DI TASSELLI O GANCI; ASSISTENZA PER IL TRASPORTO DEI MATERIALI AL PIANO. 
SPECIFICHE TECNICHE: IN PARALLELO AD UNA QUALSIASI DERIVAZIONE; PER IMPIANTI DI ENERGIA; GRADO DI PROTEZIONE IP55; REALIZZATO CON TUBO PROTETTIVO RIGIDO DI PLASTICA POLIVINILCLORURO (PVC) AUTOESTINGUENTE; CONDUTTORI DI ALIMENTAZIONE E DI TERRA DI LEGA RAME GENERICO RICOTTO ISOLATO CONFORMI AI REQUISITI PREVISTI DALLA NORMATIVA EUROPEA REGOLAMENTO UE 305/2011 - PRODOTTI DA COSTRUZIONE CPR; TIPOLOGIA CONDUTTORI E SEZIONE ADEGUATI ALL'UTILIZZO. OP DERIVAZIONE D'IMPIANTO PUNTO LUCE, IN PARALLELO; IMPIEGO: DERIVAZIONE D'IMPIANTO A VISTA A PARETE/A SOFFITTO. INCLUSO: TUBO PROTETTIVO; CONDUTTORI DI ALIMENTAZIONE E DI TERRA; SCATOLE DA INCASSO; FRUTTI COMPONIBILI; PLACCHE; SUPPORTI; TASSELLI/GANCI. 
SPECIFICHE TECNICHE: IN PARALLELO AD UNA QUALSIASI DERIVAZIONE; PER IMPIANTI DI ENERGIA; GRADO DI PROTEZIONE IP55; REALIZZATO CON TUBO PROTETTIVO RIGIDO DI PLASTICA POLIVINILCLORURO (PVC) AUTOESTINGUENTE; CONDUTTORI DI ALIMENTAZIONE E DI TERRA DI LEGA RAME GENERICO RICOTTO ISOLATO CONFORMI AI REQUISITI PREVISTI DALLA NORMATIVA EUROPEA REGOLAMENTO UE 305/2011 - PRODOTTI DA COSTRUZIONE CPR; TIPOLOGIA CONDUTTORI E SEZIONE ADEGUATI ALL'UTILIZZO. 
RM DERIVAZIONE D'IMPIANTO PUNTO LUCE IN PARALLELO; IMPIEGO: DERIVAZIONE D'IMPIANTO A VISTA A PARETE/A SOFFITTO. INCLUSO: TUBO PROTETTIVO; CONDUTTORI DI ALIMENTAZIONE E DI TERRA; SCATOLE DA INCASSO; FRUTTI COMPONIBILI; PLACCHE; SUPPORTI; TASSELLI/GANCI 
SPECIFICHE TECNICHE: IN PARALLELO AD UNA QUALSIASI DERIVAZIONE; PER IMPIANTI DI ENERGIA; GRADO DI PROTEZIONE IP55; REALIZZATO CON TUBO PROTETTIVO RIGIDO DI PLASTICA POLIVINILCLORURO (PVC) AUTOESTINGUENTE; CONDUTTORI DI ALIMENTAZIONE E DI TERRA DI LEGA RAME GENERICO RICOTTO ISOLATO CONFORMI AI REQUISITI PREVISTI DALLA NORMATIVA EUROPEA REGOLAMENTO UE 305/2011 - PRODOTTI DA COSTRUZIONE CPR; TIPOLOGIA CONDUTTORI E SEZIONE ADEGUATI ALL'UTILIZZO 
LV INSTALLAZIONE IN OPERA. INCLUSO: LINEA DI COLLEGAMENTO ALLO SPECIFICO PUNTO DI ALIMENTAZIONE; FISSAGGIO DELLE CANALIZZAZIONI A MEZZO DI TASSELLI O GANCI; ASSISTENZA PER IL TRASPORTO DEI MATERIALI AL PIANO.</t>
        </is>
      </c>
      <c r="M407" s="4" t="inlineStr">
        <is>
          <t>CAD</t>
        </is>
      </c>
      <c r="N407" s="5" t="n">
        <v>2</v>
      </c>
      <c r="O407" s="6" t="n">
        <v>39.63</v>
      </c>
      <c r="P407" s="6" t="n">
        <v>79.26000000000001</v>
      </c>
      <c r="Q407" s="5" t="n"/>
      <c r="R407" s="6" t="n"/>
      <c r="S407" s="6">
        <f>IF(AND(Q407&lt;&gt;"",R407&lt;&gt;""),Q407*R407,"")</f>
        <v/>
      </c>
      <c r="T407" s="6">
        <f>IF(S407="",P407,S407)</f>
        <v/>
      </c>
      <c r="U407" s="7" t="n">
        <v>0</v>
      </c>
      <c r="V407" s="6">
        <f>$T407*U407</f>
        <v/>
      </c>
      <c r="W407" s="7" t="n">
        <v>0</v>
      </c>
      <c r="X407" s="6">
        <f>$T407*W407</f>
        <v/>
      </c>
      <c r="Y407" s="7" t="n">
        <v>0</v>
      </c>
      <c r="Z407" s="6">
        <f>$T407*Y407</f>
        <v/>
      </c>
      <c r="AA407" s="7" t="n">
        <v>0</v>
      </c>
      <c r="AB407" s="6">
        <f>$T407*AA407</f>
        <v/>
      </c>
      <c r="AC407" s="7" t="n">
        <v>0</v>
      </c>
      <c r="AD407" s="6">
        <f>$T407*AC407</f>
        <v/>
      </c>
      <c r="AE407" s="7" t="n">
        <v>0</v>
      </c>
      <c r="AF407" s="6">
        <f>$T407*AE407</f>
        <v/>
      </c>
      <c r="AG407" s="7" t="n">
        <v>0</v>
      </c>
      <c r="AH407" s="6">
        <f>$T407*AG407</f>
        <v/>
      </c>
      <c r="AI407" s="7">
        <f>U407+W407+Y407+AA407+AC407+AE407+AG407</f>
        <v/>
      </c>
      <c r="AJ407" s="6">
        <f>V407+X407+Z407+AB407+AD407+AF407+AH407</f>
        <v/>
      </c>
    </row>
    <row r="408" ht="60" customHeight="1" s="35">
      <c r="A408" s="3" t="inlineStr">
        <is>
          <t>LOM252.OC.EEA.PA01.G8237.ZA001.0760</t>
        </is>
      </c>
      <c r="B408" s="4" t="inlineStr">
        <is>
          <t>2/6</t>
        </is>
      </c>
      <c r="C408" s="3" t="inlineStr">
        <is>
          <t>IMPIANTO ELETTRICO</t>
        </is>
      </c>
      <c r="D408" s="4" t="inlineStr">
        <is>
          <t>NON SPECIALE</t>
        </is>
      </c>
      <c r="E408" s="4" t="inlineStr">
        <is>
          <t>ELETTRICHE</t>
        </is>
      </c>
      <c r="F408" s="3" t="inlineStr">
        <is>
          <t>3_CME IE RADIOFARMACIA PAVIA - REV02 VARIANTE ESECUTIVA.PDF</t>
        </is>
      </c>
      <c r="G408" s="4" t="inlineStr">
        <is>
          <t>109/109</t>
        </is>
      </c>
      <c r="H408" s="3" t="inlineStr">
        <is>
          <t>40 - IMPIANTISTICO</t>
        </is>
      </c>
      <c r="I408" s="3" t="inlineStr">
        <is>
          <t>CABINA DI CONSEGNA MT</t>
        </is>
      </c>
      <c r="J408" s="3" t="inlineStr">
        <is>
          <t>IMPIANTO DI ILLUMINAZIONE</t>
        </is>
      </c>
      <c r="K408" s="3" t="inlineStr">
        <is>
          <t>OPERA: DERIVAZIONE D'IMPIANTO PUNTO LUCE, IN PARALLELO; IMPIEGO: DERIVAZIONE D'IMPIANTO A VISTA A PARETE/A SOFFITTO. INCLUSO: TUBO PROTETTIVO; CONDUTTORI DI ALIMENTAZIONE E DI TERRA; SCATOLE DA INCASS</t>
        </is>
      </c>
      <c r="L408" s="3" t="inlineStr">
        <is>
          <t>OPERA: DERIVAZIONE D'IMPIANTO PUNTO LUCE, IN PARALLELO; IMPIEGO: DERIVAZIONE D'IMPIANTO A VISTA A PARETE/A SOFFITTO. INCLUSO: TUBO PROTETTIVO; CONDUTTORI DI ALIMENTAZIONE E DI TERRA; SCATOLE DA INCASSO; FRUTTI COMPONIBILI; PLACCHE; SUPPORTI; TASSELLI/GANCI. 
LAVORO: INSTALLAZIONE IN OPERA. INCLUSO: LINEA DI COLLEGAMENTO ALLO SPECIFICO PUNTO DI ALIMENTAZIONE; FISSAGGIO DELLE CANALIZZAZIONI A MEZZO DI TASSELLI O GANCI; ASSISTENZA PER IL TRASPORTO DEI MATERIALI AL PIANO. 
SPECIFICHE TECNICHE: IN PARALLELO AD UNA QUALSIASI DERIVAZIONE; PER IMPIANTI DI ENERGIA; GRADO DI PROTEZIONE IP55; REALIZZATO CON TUBO PROTETTIVO RIGIDO DI PLASTICA POLIVINILCLORURO (PVC) AUTOESTINGUENTE; CONDUTTORI DI ALIMENTAZIONE E DI TERRA DI LEGA RAME GENERICO RICOTTO ISOLATO CONFORMI AI REQUISITI PREVISTI DALLA NORMATIVA EUROPEA REGOLAMENTO UE 305/2011 - PRODOTTI DA COSTRUZIONE CPR; TIPOLOGIA CONDUTTORI E SEZIONE ADEGUATI ALL'UTILIZZO. OP DERIVAZIONE D'IMPIANTO PUNTO LUCE, IN PARALLELO; IMPIEGO: DERIVAZIONE D'IMPIANTO A VISTA A PARETE/A SOFFITTO. INCLUSO: TUBO PROTETTIVO; CONDUTTORI DI ALIMENTAZIONE E DI TERRA; SCATOLE DA INCASSO; FRUTTI COMPONIBILI; PLACCHE; SUPPORTI; TASSELLI/GANCI. 
SPECIFICHE TECNICHE: IN PARALLELO AD UNA QUALSIASI DERIVAZIONE; PER IMPIANTI DI ENERGIA; GRADO DI PROTEZIONE IP55; REALIZZATO CON TUBO PROTETTIVO RIGIDO DI PLASTICA POLIVINILCLORURO (PVC) AUTOESTINGUENTE; CONDUTTORI DI ALIMENTAZIONE E DI TERRA DI LEGA RAME GENERICO RICOTTO ISOLATO CONFORMI AI REQUISITI PREVISTI DALLA NORMATIVA EUROPEA REGOLAMENTO UE 305/2011 - PRODOTTI DA COSTRUZIONE CPR; TIPOLOGIA CONDUTTORI E SEZIONE ADEGUATI ALL'UTILIZZO. 
RM DERIVAZIONE D'IMPIANTO PUNTO LUCE IN PARALLELO; IMPIEGO: DERIVAZIONE D'IMPIANTO A VISTA A PARETE/A SOFFITTO. INCLUSO: TUBO PROTETTIVO; CONDUTTORI DI ALIMENTAZIONE E DI TERRA; SCATOLE DA INCASSO; FRUTTI COMPONIBILI; PLACCHE; SUPPORTI; TASSELLI/GANCI 
SPECIFICHE TECNICHE: IN PARALLELO AD UNA QUALSIASI DERIVAZIONE; PER IMPIANTI DI ENERGIA; GRADO DI PROTEZIONE IP55; REALIZZATO CON TUBO PROTETTIVO RIGIDO DI PLASTICA POLIVINILCLORURO (PVC) AUTOESTINGUENTE; CONDUTTORI DI ALIMENTAZIONE E DI TERRA DI LEGA RAME GENERICO RICOTTO ISOLATO CONFORMI AI REQUISITI PREVISTI DALLA NORMATIVA EUROPEA REGOLAMENTO UE 305/2011 - PRODOTTI DA COSTRUZIONE CPR; TIPOLOGIA CONDUTTORI E SEZIONE ADEGUATI ALL'UTILIZZO 
LV INSTALLAZIONE IN OPERA. INCLUSO: LINEA DI COLLEGAMENTO ALLO SPECIFICO PUNTO DI ALIMENTAZIONE; FISSAGGIO DELLE CANALIZZAZIONI A MEZZO DI TASSELLI O GANCI; ASSISTENZA PER IL TRASPORTO DEI MATERIALI AL PIANO.</t>
        </is>
      </c>
      <c r="M408" s="4" t="inlineStr">
        <is>
          <t>CAD</t>
        </is>
      </c>
      <c r="N408" s="5" t="n">
        <v>2</v>
      </c>
      <c r="O408" s="6" t="n">
        <v>39.63</v>
      </c>
      <c r="P408" s="6" t="n">
        <v>79.26000000000001</v>
      </c>
      <c r="Q408" s="5" t="n"/>
      <c r="R408" s="6" t="n"/>
      <c r="S408" s="6">
        <f>IF(AND(Q408&lt;&gt;"",R408&lt;&gt;""),Q408*R408,"")</f>
        <v/>
      </c>
      <c r="T408" s="6">
        <f>IF(S408="",P408,S408)</f>
        <v/>
      </c>
      <c r="U408" s="7" t="n">
        <v>0</v>
      </c>
      <c r="V408" s="6">
        <f>$T408*U408</f>
        <v/>
      </c>
      <c r="W408" s="7" t="n">
        <v>0</v>
      </c>
      <c r="X408" s="6">
        <f>$T408*W408</f>
        <v/>
      </c>
      <c r="Y408" s="7" t="n">
        <v>0</v>
      </c>
      <c r="Z408" s="6">
        <f>$T408*Y408</f>
        <v/>
      </c>
      <c r="AA408" s="7" t="n">
        <v>0</v>
      </c>
      <c r="AB408" s="6">
        <f>$T408*AA408</f>
        <v/>
      </c>
      <c r="AC408" s="7" t="n">
        <v>0</v>
      </c>
      <c r="AD408" s="6">
        <f>$T408*AC408</f>
        <v/>
      </c>
      <c r="AE408" s="7" t="n">
        <v>0</v>
      </c>
      <c r="AF408" s="6">
        <f>$T408*AE408</f>
        <v/>
      </c>
      <c r="AG408" s="7" t="n">
        <v>0</v>
      </c>
      <c r="AH408" s="6">
        <f>$T408*AG408</f>
        <v/>
      </c>
      <c r="AI408" s="7">
        <f>U408+W408+Y408+AA408+AC408+AE408+AG408</f>
        <v/>
      </c>
      <c r="AJ408" s="6">
        <f>V408+X408+Z408+AB408+AD408+AF408+AH408</f>
        <v/>
      </c>
    </row>
    <row r="409" ht="60" customHeight="1" s="35">
      <c r="A409" s="3" t="inlineStr">
        <is>
          <t>LOM252.OC.EEA.PA01.G8210.ZA001.0590</t>
        </is>
      </c>
      <c r="B409" s="4" t="inlineStr">
        <is>
          <t>1/5</t>
        </is>
      </c>
      <c r="C409" s="3" t="inlineStr">
        <is>
          <t>IMPIANTO ELETTRICO</t>
        </is>
      </c>
      <c r="D409" s="4" t="inlineStr">
        <is>
          <t>NON SPECIALE</t>
        </is>
      </c>
      <c r="E409" s="4" t="inlineStr">
        <is>
          <t>ELETTRICHE</t>
        </is>
      </c>
      <c r="F409" s="3" t="inlineStr">
        <is>
          <t>3_CME IE RADIOFARMACIA PAVIA - REV02 VARIANTE ESECUTIVA.PDF</t>
        </is>
      </c>
      <c r="G409" s="4" t="inlineStr">
        <is>
          <t>110/110</t>
        </is>
      </c>
      <c r="H409" s="3" t="inlineStr">
        <is>
          <t>40 - IMPIANTISTICO</t>
        </is>
      </c>
      <c r="I409" s="3" t="inlineStr">
        <is>
          <t>CABINA DI CONSEGNA MT</t>
        </is>
      </c>
      <c r="J409" s="3" t="inlineStr">
        <is>
          <t>IMPIANTO DI ILLUMINAZIONE</t>
        </is>
      </c>
      <c r="K409" s="3" t="inlineStr">
        <is>
          <t>OPERA: CORPO ILLUMINANTE, LED; FUNZIONE: ILLUMINAZIONE DI EMERGENZA; AUTONOMIA [H] = 1 / 2 | FLUSSO LUMINOSO SE [LM] = 250 / 130 | FLUSSO LUMINOSO SA [LM] = 110. INCLUSO: LED MULTICOLORE. ESCLUSO: ACC</t>
        </is>
      </c>
      <c r="L409" s="3" t="inlineStr">
        <is>
          <t>OPERA: CORPO ILLUMINANTE, LED; FUNZIONE: ILLUMINAZIONE DI EMERGENZA; AUTONOMIA [H] = 1 / 2 | FLUSSO LUMINOSO SE [LM] = 250 / 130 | FLUSSO LUMINOSO SA [LM] = 110. INCLUSO: LED MULTICOLORE. ESCLUSO: ACCESSORIO MODULO AGGIUNTIVO. 
LAVORO: INSTALLAZIONE. 
SPECIFICHE TECNICHE: GRADO SI PROTEZIONE IP66, COMMUTABILE IN VERSIONE SE E SA,  COMMUTABILE IN VERSIONE SE E SA, DOTATO DI SISITEMA AUTOMATICO DI TEST DELL'AUTONOMIA (COMPRENDENTE IL CONTROLLO DI TUTTE LE FUNZIONI DELLA LAMPADA) IN UN ARCO DI TEMPO PARI ALL'AUTONOMIA RICHIESTA DALLE SINGOLE NORMATIVE RISULTATO E  VISUALIZZATO CON LED MULTICOLORE, INSTALLABILE A PARETE, A PLAFONE, A BANDIERA E A INCASSO,  PREDISPOSTO PER INSERIMENTO MODULO AGGIUNTIVO. OP CORPO ILLUMINANTE, LED; FUNZIONE: ILLUMINAZIONE DI EMERGENZA; AUTONOMIA [H] = 1 / 2 | FLUSSO LUMINOSO SE [LM] = 250 / 130 | FLUSSO LUMINOSO SA [LM] = 110. INCLUSO: LED MULTICOLORE. ESCLUSO: ACCESSORIO MODULO AGGIUNTIVO. 
SPECIFICHE TECNICHE: GRADO SI PROTEZIONE IP66, COMMUTABILE IN VERSIONE SE E SA,  COMMUTABILE IN VERSIONE SE E SA, DOTATO DI SISITEMA AUTOMATICO DI TEST DELL'AUTONOMIA (COMPRENDENTE IL CONTROLLO DI TUTTE LE FUNZIONI DELLA LAMPADA) IN UN ARCO DI TEMPO PARI ALL'AUTONOMIA RICHIESTA DALLE SINGOLE NORMATIVE RISULTATO E  VISUALIZZATO CON LED MULTICOLORE, INSTALLABILE A PARETE, A PLAFONE, A BANDIERA E A INCASSO,  PREDISPOSTO PER INSERIMENTO MODULO AGGIUNTIVO. 
RM CORPO ILLUMINANTE LED; FUNZIONE: ILLUMINAZIONE DI EMERGENZA; AUTONOMIA [H] = 1 / 2 | FLUSSO LUMINOSO SE [LM] = 250 / 130 | FLUSSO LUMINOSO SA [LM] = 110. COMPONENTE: BATTERIA TITANIO, . INCLUSO: LED MULTICOLORE. ESCLUSO: ACCESSORIO MODULO AGGIUNTIVO 
SPECIFICHE TECNICHE: GRADO SI PROTEZIONE IP66, COMMUTABILE IN VERSIONE SE E SA,  COMMUTABILE IN VERSIONE SE E SA, DOTATO DI SISITEMA AUTOMATICO DI TEST DELL'AUTONOMIA (COMPRENDENTE IL CONTROLLO DI TUTTE LE FUNZIONI DELLA LAMPADA) IN UN ARCO DI TEMPO PARI ALL'AUTONOMIA RICHIESTA DALLE SINGOLE NORMATIVE RISULTATO E  VISUALIZZATO CON LED MULTICOLORE, INSTALLABILE A PARETE, A PLAFONE, A BANDIERA E A INCASSO,  PREDISPOSTO PER INSERIMENTO MODULO AGGIUNTIVO 
LV INSTALLAZIONE.</t>
        </is>
      </c>
      <c r="M409" s="4" t="inlineStr">
        <is>
          <t>CAD</t>
        </is>
      </c>
      <c r="N409" s="5" t="n">
        <v>2</v>
      </c>
      <c r="O409" s="6" t="n">
        <v>90.79000000000001</v>
      </c>
      <c r="P409" s="6" t="n">
        <v>181.58</v>
      </c>
      <c r="Q409" s="5" t="n"/>
      <c r="R409" s="6" t="n"/>
      <c r="S409" s="6">
        <f>IF(AND(Q409&lt;&gt;"",R409&lt;&gt;""),Q409*R409,"")</f>
        <v/>
      </c>
      <c r="T409" s="6">
        <f>IF(S409="",P409,S409)</f>
        <v/>
      </c>
      <c r="U409" s="7" t="n">
        <v>0</v>
      </c>
      <c r="V409" s="6">
        <f>$T409*U409</f>
        <v/>
      </c>
      <c r="W409" s="7" t="n">
        <v>0</v>
      </c>
      <c r="X409" s="6">
        <f>$T409*W409</f>
        <v/>
      </c>
      <c r="Y409" s="7" t="n">
        <v>0</v>
      </c>
      <c r="Z409" s="6">
        <f>$T409*Y409</f>
        <v/>
      </c>
      <c r="AA409" s="7" t="n">
        <v>0</v>
      </c>
      <c r="AB409" s="6">
        <f>$T409*AA409</f>
        <v/>
      </c>
      <c r="AC409" s="7" t="n">
        <v>0</v>
      </c>
      <c r="AD409" s="6">
        <f>$T409*AC409</f>
        <v/>
      </c>
      <c r="AE409" s="7" t="n">
        <v>0</v>
      </c>
      <c r="AF409" s="6">
        <f>$T409*AE409</f>
        <v/>
      </c>
      <c r="AG409" s="7" t="n">
        <v>0</v>
      </c>
      <c r="AH409" s="6">
        <f>$T409*AG409</f>
        <v/>
      </c>
      <c r="AI409" s="7">
        <f>U409+W409+Y409+AA409+AC409+AE409+AG409</f>
        <v/>
      </c>
      <c r="AJ409" s="6">
        <f>V409+X409+Z409+AB409+AD409+AF409+AH409</f>
        <v/>
      </c>
    </row>
    <row r="410" ht="60" customHeight="1" s="35">
      <c r="A410" s="3" t="inlineStr">
        <is>
          <t>IE_NP_ILLORD01</t>
        </is>
      </c>
      <c r="B410" s="4" t="inlineStr">
        <is>
          <t>1/5</t>
        </is>
      </c>
      <c r="C410" s="3" t="inlineStr">
        <is>
          <t>IMPIANTO ELETTRICO</t>
        </is>
      </c>
      <c r="D410" s="4" t="inlineStr">
        <is>
          <t>NON SPECIALE</t>
        </is>
      </c>
      <c r="E410" s="4" t="inlineStr">
        <is>
          <t>ELETTRICHE</t>
        </is>
      </c>
      <c r="F410" s="3" t="inlineStr">
        <is>
          <t>3_CME IE RADIOFARMACIA PAVIA - REV02 VARIANTE ESECUTIVA.PDF</t>
        </is>
      </c>
      <c r="G410" s="4" t="inlineStr">
        <is>
          <t>111/111</t>
        </is>
      </c>
      <c r="H410" s="3" t="inlineStr">
        <is>
          <t>40 - IMPIANTISTICO</t>
        </is>
      </c>
      <c r="I410" s="3" t="inlineStr">
        <is>
          <t>CABINA DI CONSEGNA MT</t>
        </is>
      </c>
      <c r="J410" s="3" t="inlineStr">
        <is>
          <t>IMPIANTO DI ILLUMINAZIONE</t>
        </is>
      </c>
      <c r="K410" s="3" t="inlineStr">
        <is>
          <t>FORNITURA E POSA IN OPERA DI APPARECCHIO ILLUMINANTE INDUSTRIALE DI TIPO STAGNO INSTALLATO A PLAFONE E/O A SOSPENSIONE E TUTTI GLI ACCESSORI NECESSARI PER IL PERFETTO FUNZIONAMENTO DEL CORPO ILLUMINAN</t>
        </is>
      </c>
      <c r="L410" s="3" t="inlineStr">
        <is>
          <t>FORNITURA E POSA IN OPERA DI APPARECCHIO ILLUMINANTE INDUSTRIALE DI TIPO STAGNO INSTALLATO A PLAFONE E/O A SOSPENSIONE E TUTTI GLI ACCESSORI NECESSARI PER IL PERFETTO FUNZIONAMENTO DEL CORPO ILLUMINANTE. 
CARATTERISTICHE GENERALI: 
CLASSIFICAZIONE RISCHIO FOTOBIOLOGICO: RG0 GRUPPO ESENTE. 
TEMPERATURA COLORE 4000K 
POTENZA ASSORBITA (W TOT) 34W 
FLUSSO LUMINOSO USCENTE 5194LM 
CRI &gt;=80 
CLASSE DI ISOLAMENTO I 
LOW FLICKER &lt;3% 
GRADO DI PROTEZIONE IP66 
PESO 1.8KG 
NORME DI RIFERIMENTO EN 60598-1, EN 60598-2-1, EN 62471, UNI EN 13032-1:2012, UNI EN 13032-4:2015, IES LM-79-08 
MANTENIMENTO DEL FLUSSO LUMINOSO LED L80B20: 50.000H  
CARATTERISTICHE ELETTRICHE DI PILOTAGGIO 
ALIMENTAZIONE ELETTRONICA 230V-50/60HZ, 
FATTORE DI POTENZA ≥0,95 
MATERIALI 
CORPO: STAMPATO AD INIEZIONE IN POLICARBONATO GRIGIO, INFRANGIBILE, STABILIZZATO AI RAGGI UV, DI ELEVATA RESISTENZA MECCANICA GRAZIE ALLA STRUTTURA RINFORZATA DA NERVATURE INTERNE. 
DIFFUSORE: STAMPATO AD INIEZIONE IN POLICARBONATO CON RIGHE INTERNE PER UN MAGGIOR CONTROLLO LUMINOSO, AUTOESTINGUENTE V2, STABILIZZATO AI RAGGI UV, FINITURA ESTERNA LISCIA PER FACILITARE LA PULIZIA NECESSARIA PER AVERE LA MASSIMA EFFICIENZA LUMINOSA. IL POLICARBONATO UTILIZZATO È DI PRIMA SCELTA E STABILIZZATO AI RAGGI U.V. LA LAVORAZIONE ELIMINA L’EFFETTO DELL’ABBAGLIAMENTO MA NON DIMINUISCE IL RENDIMENTO. POLICARBONATO CON OTTIMO COEFFICIENTE DI DIFFUSIONE E DI TRASMISSIONE DELLA LUCE. CHIUSURA A INCASTRO E CON VITI DI SICUREZZA IN ACCIAIO INOX. 
RIFLETTORE IN ACCIAIO ZINCATO PREVERNICIATO BIANCO A FORNO CON RESINA POLIESTERE STABILIZZATO AI RAGGI UV. FISSATO AL CORPO CON INNESTO RAPIDO MEDIANTE DISPOSITIVO RICAVATO DIRETTAMENTE SUL CORPO. 
SONO COMPRESI LA MANODOPERA, GLI ALLACCIAMENTI ELETTRICI, GLI ACCESSORI DI MONTAGGIO, FISSAGGIO, ALIMENTAZIONE, SOSTEGNO, OGNI ONERE ACCESSORIO PER L’INSTALLAZIONE DELLA PLAFONIERA COME DA PROGETTO E MATERIALI DI CONSUMO. 
APPARECCHIO DISANO - MODELLO 960 HYDRO LED - MONEY SAVING  - ART. 164754-00 O EQUIVALENTE APPROVATO</t>
        </is>
      </c>
      <c r="M410" s="4" t="inlineStr">
        <is>
          <t>CADAUNO</t>
        </is>
      </c>
      <c r="N410" s="5" t="n">
        <v>3</v>
      </c>
      <c r="O410" s="6" t="n">
        <v>91.81</v>
      </c>
      <c r="P410" s="6" t="n">
        <v>275.43</v>
      </c>
      <c r="Q410" s="5" t="n"/>
      <c r="R410" s="6" t="n"/>
      <c r="S410" s="6">
        <f>IF(AND(Q410&lt;&gt;"",R410&lt;&gt;""),Q410*R410,"")</f>
        <v/>
      </c>
      <c r="T410" s="6">
        <f>IF(S410="",P410,S410)</f>
        <v/>
      </c>
      <c r="U410" s="7" t="n">
        <v>0</v>
      </c>
      <c r="V410" s="6">
        <f>$T410*U410</f>
        <v/>
      </c>
      <c r="W410" s="7" t="n">
        <v>0</v>
      </c>
      <c r="X410" s="6">
        <f>$T410*W410</f>
        <v/>
      </c>
      <c r="Y410" s="7" t="n">
        <v>0</v>
      </c>
      <c r="Z410" s="6">
        <f>$T410*Y410</f>
        <v/>
      </c>
      <c r="AA410" s="7" t="n">
        <v>0</v>
      </c>
      <c r="AB410" s="6">
        <f>$T410*AA410</f>
        <v/>
      </c>
      <c r="AC410" s="7" t="n">
        <v>0</v>
      </c>
      <c r="AD410" s="6">
        <f>$T410*AC410</f>
        <v/>
      </c>
      <c r="AE410" s="7" t="n">
        <v>0</v>
      </c>
      <c r="AF410" s="6">
        <f>$T410*AE410</f>
        <v/>
      </c>
      <c r="AG410" s="7" t="n">
        <v>0</v>
      </c>
      <c r="AH410" s="6">
        <f>$T410*AG410</f>
        <v/>
      </c>
      <c r="AI410" s="7">
        <f>U410+W410+Y410+AA410+AC410+AE410+AG410</f>
        <v/>
      </c>
      <c r="AJ410" s="6">
        <f>V410+X410+Z410+AB410+AD410+AF410+AH410</f>
        <v/>
      </c>
    </row>
    <row r="411" ht="60" customHeight="1" s="35">
      <c r="A411" s="3" t="inlineStr">
        <is>
          <t>LOM252.OC.EEA.PA01.G8235.ZA001.0270</t>
        </is>
      </c>
      <c r="B411" s="4" t="inlineStr">
        <is>
          <t>1/4</t>
        </is>
      </c>
      <c r="C411" s="3" t="inlineStr">
        <is>
          <t>IMPIANTO ELETTRICO</t>
        </is>
      </c>
      <c r="D411" s="4" t="inlineStr">
        <is>
          <t>NON SPECIALE</t>
        </is>
      </c>
      <c r="E411" s="4" t="inlineStr">
        <is>
          <t>ELETTRICHE</t>
        </is>
      </c>
      <c r="F411" s="3" t="inlineStr">
        <is>
          <t>3_CME IE RADIOFARMACIA PAVIA - REV02 VARIANTE ESECUTIVA.PDF</t>
        </is>
      </c>
      <c r="G411" s="4" t="inlineStr">
        <is>
          <t>112/112</t>
        </is>
      </c>
      <c r="H411" s="3" t="inlineStr">
        <is>
          <t>40 - IMPIANTISTICO</t>
        </is>
      </c>
      <c r="I411" s="3" t="inlineStr">
        <is>
          <t>CABINA DI CONSEGNA MT</t>
        </is>
      </c>
      <c r="J411" s="3" t="inlineStr">
        <is>
          <t>IMPIANTO DI FORZA MOTRICE</t>
        </is>
      </c>
      <c r="K411" s="3" t="inlineStr">
        <is>
          <t>OPERA: DERIVAZIONE D'IMPIANTO PRESA, BIPASSO; FUNZIONE: PRESA DI CORRENTE; IMPIEGO: DERIVAZIONE D'IMPIANTO A VISTA A PARETE/A SOFFITTO; CORRENTE NOMINALE 1 [A] = 10 | CORRENTE NOMINALE 2 [A] = 16 | GR</t>
        </is>
      </c>
      <c r="L411" s="3" t="inlineStr">
        <is>
          <t>OPERA: DERIVAZIONE D'IMPIANTO PRESA, BIPASSO; FUNZIONE: PRESA DI CORRENTE; IMPIEGO: DERIVAZIONE D'IMPIANTO A VISTA A PARETE/A SOFFITTO; CORRENTE NOMINALE 1 [A] = 10 | CORRENTE NOMINALE 2 [A] = 16 | GRADO DI SICUREZZA [-] = 2.2; N° PRESE [-] = 1 + T. INCLUSO: TUBO PROTETTIVO; CONDUTTORI DI ALIMENTAZIONE E DI TERRA; SCATOLE DA INCASSO; FRUTTI COMPONIBILI; PLACCHE; SUPPORTI; TASSELLI/GANCI. 
LAVORO: INSTALLAZIONE IN OPERA. INCLUSO: LINEA DI COLLEGAMENTO ALLO SPECIFICO PUNTO DI ALIMENTAZIONE; FISSAGGIO DELLE CANALIZZAZIONI A MEZZO DI TASSELLI O GANCI; ASSISTENZA PER IL TRASPORTO DEI MATERIALI AL PIANO. 
SPECIFICHE TECNICHE: PER IMPIANTI DI ENERGIA; GRADO DI PROTEZIONE IP55; REALIZZATO CON TUBO PROTETTIVO RIGIDO DI PLASTICA POLIVINILCLORURO (PVC) AUTOESTINGUENTE; CONDUTTORI DI ALIMENTAZIONE E DI TERRA DI LEGA RAME GENERICO RICOTTO ISOLATO CONFORMI AI REQUISITI PREVISTI DALLA NORMATIVA EUROPEA REGOLAMENTO UE 305/2011 - PRODOTTI DA COSTRUZIONE CPR; TIPOLOGIA CONDUTTORI E SEZIONE ADEGUATI ALL'UTILIZZO. OP DERIVAZIONE D'IMPIANTO PRESA, BIPASSO; FUNZIONE: PRESA DI CORRENTE; IMPIEGO: DERIVAZIONE D'IMPIANTO A VISTA A PARETE/A SOFFITTO; CORRENTE NOMINALE 1 [A] = 10 | CORRENTE NOMINALE 2 [A] = 16 | GRADO DI SICUREZZA [-] = 2.2; N° PRESE [-] = 1 + T. INCLUSO: TUBO PROTETTIVO; CONDUTTORI DI ALIMENTAZIONE E DI TERRA; SCATOLE DA INCASSO; FRUTTI COMPONIBILI; PLACCHE; SUPPORTI; TASSELLI/GANCI. 
SPECIFICHE TECNICHE: PER IMPIANTI DI ENERGIA; GRADO DI PROTEZIONE IP55; REALIZZATO CON TUBO PROTETTIVO RIGIDO DI PLASTICA POLIVINILCLORURO (PVC) AUTOESTINGUENTE; CONDUTTORI DI ALIMENTAZIONE E DI TERRA DI LEGA RAME GENERICO RICOTTO ISOLATO CONFORMI AI REQUISITI PREVISTI DALLA NORMATIVA EUROPEA REGOLAMENTO UE 305/2011 - PRODOTTI DA COSTRUZIONE CPR; TIPOLOGIA CONDUTTORI E SEZIONE ADEGUATI ALL'UTILIZZO. 
RM DERIVAZIONE D'IMPIANTO PRESA BIPASSO; FUNZIONE: PRESA DI CORRENTE; IMPIEGO: DERIVAZIONE D'IMPIANTO A VISTA A PARETE/A SOFFITTO; CORRENTE NOMINALE 1 [A] = 10 | CORRENTE NOMINALE 2 [A] = 16 | GRADO DI SICUREZZA [-] = 2.2; N° PRESE [-] = 2 + T. INCLUSO: TUBO PROTETTIVO; CONDUTTORI DI ALIMENTAZIONE E DI TERRA; SCATOLE DA INCASSO; FRUTTI COMPONIBILI; PLACCHE; SUPPORTI; TASSELLI/GANCI 
SPECIFICHE TECNICHE: PER IMPIANTI DI ENERGIA; GRADO DI PROTEZIONE IP55; REALIZZATO CON TUBO PROTETTIVO RIGIDO DI PLASTICA POLIVINILCLORURO (PVC) AUTOESTINGUENTE; CONDUTTORI DI ALIMENTAZIONE E DI TERRA DI LEGA RAME GENERICO RICOTTO ISOLATO CONFORMI AI REQUISITI PREVISTI DALLA NORMATIVA EUROPEA REGOLAMENTO UE 305/2011 - PRODOTTI DA COSTRUZIONE CPR; TIPOLOGIA CONDUTTORI E SEZIONE ADEGUATI ALL'UTILIZZO 
LV INSTALLAZIONE IN OPERA. INCLUSO: LINEA DI COLLEGAMENTO ALLO SPECIFICO PUNTO DI ALIMENTAZIONE; FISSAGGIO DELLE CANALIZZAZIONI A MEZZO DI TASSELLI O GANCI; ASSISTENZA PER IL TRASPORTO DEI MATERIALI AL PIANO.</t>
        </is>
      </c>
      <c r="M411" s="4" t="inlineStr">
        <is>
          <t>CAD</t>
        </is>
      </c>
      <c r="N411" s="5" t="n">
        <v>2</v>
      </c>
      <c r="O411" s="6" t="n">
        <v>69.58</v>
      </c>
      <c r="P411" s="6" t="n">
        <v>139.16</v>
      </c>
      <c r="Q411" s="5" t="n"/>
      <c r="R411" s="6" t="n"/>
      <c r="S411" s="6">
        <f>IF(AND(Q411&lt;&gt;"",R411&lt;&gt;""),Q411*R411,"")</f>
        <v/>
      </c>
      <c r="T411" s="6">
        <f>IF(S411="",P411,S411)</f>
        <v/>
      </c>
      <c r="U411" s="7" t="n">
        <v>0</v>
      </c>
      <c r="V411" s="6">
        <f>$T411*U411</f>
        <v/>
      </c>
      <c r="W411" s="7" t="n">
        <v>0</v>
      </c>
      <c r="X411" s="6">
        <f>$T411*W411</f>
        <v/>
      </c>
      <c r="Y411" s="7" t="n">
        <v>0</v>
      </c>
      <c r="Z411" s="6">
        <f>$T411*Y411</f>
        <v/>
      </c>
      <c r="AA411" s="7" t="n">
        <v>0</v>
      </c>
      <c r="AB411" s="6">
        <f>$T411*AA411</f>
        <v/>
      </c>
      <c r="AC411" s="7" t="n">
        <v>0</v>
      </c>
      <c r="AD411" s="6">
        <f>$T411*AC411</f>
        <v/>
      </c>
      <c r="AE411" s="7" t="n">
        <v>0</v>
      </c>
      <c r="AF411" s="6">
        <f>$T411*AE411</f>
        <v/>
      </c>
      <c r="AG411" s="7" t="n">
        <v>0</v>
      </c>
      <c r="AH411" s="6">
        <f>$T411*AG411</f>
        <v/>
      </c>
      <c r="AI411" s="7">
        <f>U411+W411+Y411+AA411+AC411+AE411+AG411</f>
        <v/>
      </c>
      <c r="AJ411" s="6">
        <f>V411+X411+Z411+AB411+AD411+AF411+AH411</f>
        <v/>
      </c>
    </row>
    <row r="412" ht="60" customHeight="1" s="35">
      <c r="A412" s="3" t="inlineStr">
        <is>
          <t>LOM252.OC.EEA.PA02.G8231.ZA001.1000</t>
        </is>
      </c>
      <c r="B412" s="4" t="inlineStr">
        <is>
          <t>1/5</t>
        </is>
      </c>
      <c r="C412" s="3" t="inlineStr">
        <is>
          <t>IMPIANTO ELETTRICO</t>
        </is>
      </c>
      <c r="D412" s="4" t="inlineStr">
        <is>
          <t>NON SPECIALE</t>
        </is>
      </c>
      <c r="E412" s="4" t="inlineStr">
        <is>
          <t>ELETTRICHE</t>
        </is>
      </c>
      <c r="F412" s="3" t="inlineStr">
        <is>
          <t>3_CME IE RADIOFARMACIA PAVIA - REV02 VARIANTE ESECUTIVA.PDF</t>
        </is>
      </c>
      <c r="G412" s="4" t="inlineStr">
        <is>
          <t>113/113</t>
        </is>
      </c>
      <c r="H412" s="3" t="inlineStr">
        <is>
          <t>40 - IMPIANTISTICO</t>
        </is>
      </c>
      <c r="I412" s="3" t="inlineStr">
        <is>
          <t>CABINA DI CONSEGNA MT</t>
        </is>
      </c>
      <c r="J412" s="3" t="inlineStr">
        <is>
          <t>IMPIANTO DI FORZA MOTRICE</t>
        </is>
      </c>
      <c r="K412" s="3" t="inlineStr">
        <is>
          <t xml:space="preserve">OPERA: PRESA; CORRENTE NOMINALE [A] = 10/16; N° POLI [-] = 2P+T. </t>
        </is>
      </c>
      <c r="L412" s="3" t="inlineStr">
        <is>
          <t>OPERA: PRESA; CORRENTE NOMINALE [A] = 10/16; N° POLI [-] = 2P+T. 
LAVORO: POSA. 
SPECIFICHE TECNICHE: UNEL BIVALENTE MODULARE. OP PRESA; CORRENTE NOMINALE [A] = 10/16; N° POLI [-] = 2P+T. 
SPECIFICHE TECNICHE: UNEL BIVALENTE MODULARE. 
RM PRESA; CORRENTE NOMINALE [A] = 10/16; N° POLI [-] = 2P+T 
SPECIFICHE TECNICHE: UNEL BIVALENTE MODULARE 
LV POSA.</t>
        </is>
      </c>
      <c r="M412" s="4" t="inlineStr">
        <is>
          <t>CAD</t>
        </is>
      </c>
      <c r="N412" s="5" t="n">
        <v>2</v>
      </c>
      <c r="O412" s="6" t="n">
        <v>75.90000000000001</v>
      </c>
      <c r="P412" s="6" t="n">
        <v>151.8</v>
      </c>
      <c r="Q412" s="5" t="n"/>
      <c r="R412" s="6" t="n"/>
      <c r="S412" s="6">
        <f>IF(AND(Q412&lt;&gt;"",R412&lt;&gt;""),Q412*R412,"")</f>
        <v/>
      </c>
      <c r="T412" s="6">
        <f>IF(S412="",P412,S412)</f>
        <v/>
      </c>
      <c r="U412" s="7" t="n">
        <v>0</v>
      </c>
      <c r="V412" s="6">
        <f>$T412*U412</f>
        <v/>
      </c>
      <c r="W412" s="7" t="n">
        <v>0</v>
      </c>
      <c r="X412" s="6">
        <f>$T412*W412</f>
        <v/>
      </c>
      <c r="Y412" s="7" t="n">
        <v>0</v>
      </c>
      <c r="Z412" s="6">
        <f>$T412*Y412</f>
        <v/>
      </c>
      <c r="AA412" s="7" t="n">
        <v>0</v>
      </c>
      <c r="AB412" s="6">
        <f>$T412*AA412</f>
        <v/>
      </c>
      <c r="AC412" s="7" t="n">
        <v>0</v>
      </c>
      <c r="AD412" s="6">
        <f>$T412*AC412</f>
        <v/>
      </c>
      <c r="AE412" s="7" t="n">
        <v>0</v>
      </c>
      <c r="AF412" s="6">
        <f>$T412*AE412</f>
        <v/>
      </c>
      <c r="AG412" s="7" t="n">
        <v>0</v>
      </c>
      <c r="AH412" s="6">
        <f>$T412*AG412</f>
        <v/>
      </c>
      <c r="AI412" s="7">
        <f>U412+W412+Y412+AA412+AC412+AE412+AG412</f>
        <v/>
      </c>
      <c r="AJ412" s="6">
        <f>V412+X412+Z412+AB412+AD412+AF412+AH412</f>
        <v/>
      </c>
    </row>
    <row r="413" ht="60" customHeight="1" s="35">
      <c r="A413" s="3" t="inlineStr">
        <is>
          <t>LOM252.OC.EEA.PA02.G7605.ZA001.0015</t>
        </is>
      </c>
      <c r="B413" s="4" t="inlineStr">
        <is>
          <t>2/4</t>
        </is>
      </c>
      <c r="C413" s="3" t="inlineStr">
        <is>
          <t>IMPIANTO ELETTRICO</t>
        </is>
      </c>
      <c r="D413" s="4" t="inlineStr">
        <is>
          <t>NON SPECIALE</t>
        </is>
      </c>
      <c r="E413" s="4" t="inlineStr">
        <is>
          <t>ELETTRICHE</t>
        </is>
      </c>
      <c r="F413" s="3" t="inlineStr">
        <is>
          <t>3_CME IE RADIOFARMACIA PAVIA - REV02 VARIANTE ESECUTIVA.PDF</t>
        </is>
      </c>
      <c r="G413" s="4" t="inlineStr">
        <is>
          <t>114/114</t>
        </is>
      </c>
      <c r="H413" s="3" t="inlineStr">
        <is>
          <t>40 - IMPIANTISTICO</t>
        </is>
      </c>
      <c r="I413" s="3" t="inlineStr">
        <is>
          <t>CABINA DI TRASFORMAZIONE MT/BT</t>
        </is>
      </c>
      <c r="J413" s="3" t="inlineStr">
        <is>
          <t>IMPIANTO DI MESSA A TERRA</t>
        </is>
      </c>
      <c r="K413" s="3" t="inlineStr">
        <is>
          <t xml:space="preserve">OPERA: CORDA; IMPIEGO: IMPIANTO DI TERRA; SEZIONE [MM²] = 50. </t>
        </is>
      </c>
      <c r="L413" s="3" t="inlineStr">
        <is>
          <t>OPERA: CORDA; IMPIEGO: IMPIANTO DI TERRA; SEZIONE [MM²] = 50. 
LAVORO: POSA. 
SPECIFICHE TECNICHE: CORDA DI RAME NUDA. OP CORDA; IMPIEGO: IMPIANTO DI TERRA; SEZIONE [MM²] = 50. 
SPECIFICHE TECNICHE: CORDA DI RAME NUDA. 
RM CORDA DI LEGA RAME GENERICO; IMPIEGO: IMPIANTO DI TERRA; SEZIONE [MM²] = 50 
SPECIFICHE TECNICHE: CORDA DI RAME NUDA 
LV POSA.
[DIMENSIONI: 30,00]</t>
        </is>
      </c>
      <c r="M413" s="4" t="inlineStr">
        <is>
          <t>M</t>
        </is>
      </c>
      <c r="N413" s="5" t="n">
        <v>30</v>
      </c>
      <c r="O413" s="6" t="n">
        <v>9.369999999999999</v>
      </c>
      <c r="P413" s="6" t="n">
        <v>281.1</v>
      </c>
      <c r="Q413" s="5" t="n"/>
      <c r="R413" s="6" t="n"/>
      <c r="S413" s="6">
        <f>IF(AND(Q413&lt;&gt;"",R413&lt;&gt;""),Q413*R413,"")</f>
        <v/>
      </c>
      <c r="T413" s="6">
        <f>IF(S413="",P413,S413)</f>
        <v/>
      </c>
      <c r="U413" s="7" t="n">
        <v>0</v>
      </c>
      <c r="V413" s="6">
        <f>$T413*U413</f>
        <v/>
      </c>
      <c r="W413" s="7" t="n">
        <v>0</v>
      </c>
      <c r="X413" s="6">
        <f>$T413*W413</f>
        <v/>
      </c>
      <c r="Y413" s="7" t="n">
        <v>0</v>
      </c>
      <c r="Z413" s="6">
        <f>$T413*Y413</f>
        <v/>
      </c>
      <c r="AA413" s="7" t="n">
        <v>0</v>
      </c>
      <c r="AB413" s="6">
        <f>$T413*AA413</f>
        <v/>
      </c>
      <c r="AC413" s="7" t="n">
        <v>0</v>
      </c>
      <c r="AD413" s="6">
        <f>$T413*AC413</f>
        <v/>
      </c>
      <c r="AE413" s="7" t="n">
        <v>0</v>
      </c>
      <c r="AF413" s="6">
        <f>$T413*AE413</f>
        <v/>
      </c>
      <c r="AG413" s="7" t="n">
        <v>0</v>
      </c>
      <c r="AH413" s="6">
        <f>$T413*AG413</f>
        <v/>
      </c>
      <c r="AI413" s="7">
        <f>U413+W413+Y413+AA413+AC413+AE413+AG413</f>
        <v/>
      </c>
      <c r="AJ413" s="6">
        <f>V413+X413+Z413+AB413+AD413+AF413+AH413</f>
        <v/>
      </c>
    </row>
    <row r="414" ht="60" customHeight="1" s="35">
      <c r="A414" s="3" t="inlineStr">
        <is>
          <t>LOM252.OC.EEA.PA02.G7610.SB003.0005</t>
        </is>
      </c>
      <c r="B414" s="4" t="inlineStr">
        <is>
          <t>2/3</t>
        </is>
      </c>
      <c r="C414" s="3" t="inlineStr">
        <is>
          <t>IMPIANTO ELETTRICO</t>
        </is>
      </c>
      <c r="D414" s="4" t="inlineStr">
        <is>
          <t>NON SPECIALE</t>
        </is>
      </c>
      <c r="E414" s="4" t="inlineStr">
        <is>
          <t>ELETTRICHE</t>
        </is>
      </c>
      <c r="F414" s="3" t="inlineStr">
        <is>
          <t>3_CME IE RADIOFARMACIA PAVIA - REV02 VARIANTE ESECUTIVA.PDF</t>
        </is>
      </c>
      <c r="G414" s="4" t="inlineStr">
        <is>
          <t>115/115</t>
        </is>
      </c>
      <c r="H414" s="3" t="inlineStr">
        <is>
          <t>40 - IMPIANTISTICO</t>
        </is>
      </c>
      <c r="I414" s="3" t="inlineStr">
        <is>
          <t>CABINA DI TRASFORMAZIONE MT/BT</t>
        </is>
      </c>
      <c r="J414" s="3" t="inlineStr">
        <is>
          <t>IMPIANTO DI MESSA A TERRA</t>
        </is>
      </c>
      <c r="K414" s="3" t="inlineStr">
        <is>
          <t>OPERA: DISPERSORE, A CROCE DI LEGA FERROSA ACCIAIO ZINCATO; IMPIEGO: ALLACCIAMENTI DI CORDE, TONDI, PIATTI E FUNI; LUNGHEZZA [M] = 1,5 | LARGHEZZA SEZIONE [MM] = 50 | LUNGHEZZA SEZIONE [MM] = 50 | SPE</t>
        </is>
      </c>
      <c r="L414" s="3" t="inlineStr">
        <is>
          <t>OPERA: DISPERSORE, A CROCE DI LEGA FERROSA ACCIAIO ZINCATO; IMPIEGO: ALLACCIAMENTI DI CORDE, TONDI, PIATTI E FUNI; LUNGHEZZA [M] = 1,5 | LARGHEZZA SEZIONE [MM] = 50 | LUNGHEZZA SEZIONE [MM] = 50 | SPESSORE SEZIONE [MM] = 5. 
LAVORO: POSA. OP DISPERSORE, A CROCE DI LEGA FERROSA ACCIAIO ZINCATO; IMPIEGO: ALLACCIAMENTI DI CORDE, TONDI, PIATTI E FUNI; LUNGHEZZA [M] = 1,5 | LARGHEZZA SEZIONE [MM] = 50 | LUNGHEZZA SEZIONE [MM] = 50 | SPESSORE SEZIONE [MM] = 5. 
RM DISPERSORE A CROCE DI LEGA FERROSA ACCIAIO ZINCATO; IMPIEGO: ALLACCIAMENTI DI CORDE, TONDI, PIATTI E FUNI; LUNGHEZZA [M] = 1,5 | LARGHEZZA SEZIONE [MM] = 50 | LUNGHEZZA SEZIONE [MM] = 50 | SPESSORE SEZIONE [MM] = 5. COMPONENTE: BANDIERA,  
LV POSA.</t>
        </is>
      </c>
      <c r="M414" s="4" t="inlineStr">
        <is>
          <t>CAD</t>
        </is>
      </c>
      <c r="N414" s="5" t="n">
        <v>4</v>
      </c>
      <c r="O414" s="6" t="n">
        <v>62.85</v>
      </c>
      <c r="P414" s="6" t="n">
        <v>251.4</v>
      </c>
      <c r="Q414" s="5" t="n"/>
      <c r="R414" s="6" t="n"/>
      <c r="S414" s="6">
        <f>IF(AND(Q414&lt;&gt;"",R414&lt;&gt;""),Q414*R414,"")</f>
        <v/>
      </c>
      <c r="T414" s="6">
        <f>IF(S414="",P414,S414)</f>
        <v/>
      </c>
      <c r="U414" s="7" t="n">
        <v>0</v>
      </c>
      <c r="V414" s="6">
        <f>$T414*U414</f>
        <v/>
      </c>
      <c r="W414" s="7" t="n">
        <v>0</v>
      </c>
      <c r="X414" s="6">
        <f>$T414*W414</f>
        <v/>
      </c>
      <c r="Y414" s="7" t="n">
        <v>0</v>
      </c>
      <c r="Z414" s="6">
        <f>$T414*Y414</f>
        <v/>
      </c>
      <c r="AA414" s="7" t="n">
        <v>0</v>
      </c>
      <c r="AB414" s="6">
        <f>$T414*AA414</f>
        <v/>
      </c>
      <c r="AC414" s="7" t="n">
        <v>0</v>
      </c>
      <c r="AD414" s="6">
        <f>$T414*AC414</f>
        <v/>
      </c>
      <c r="AE414" s="7" t="n">
        <v>0</v>
      </c>
      <c r="AF414" s="6">
        <f>$T414*AE414</f>
        <v/>
      </c>
      <c r="AG414" s="7" t="n">
        <v>0</v>
      </c>
      <c r="AH414" s="6">
        <f>$T414*AG414</f>
        <v/>
      </c>
      <c r="AI414" s="7">
        <f>U414+W414+Y414+AA414+AC414+AE414+AG414</f>
        <v/>
      </c>
      <c r="AJ414" s="6">
        <f>V414+X414+Z414+AB414+AD414+AF414+AH414</f>
        <v/>
      </c>
    </row>
    <row r="415" ht="60" customHeight="1" s="35">
      <c r="A415" s="3" t="inlineStr">
        <is>
          <t>DEIELE251_075016D</t>
        </is>
      </c>
      <c r="B415" s="4" t="inlineStr">
        <is>
          <t>2/5</t>
        </is>
      </c>
      <c r="C415" s="3" t="inlineStr">
        <is>
          <t>IMPIANTO ELETTRICO</t>
        </is>
      </c>
      <c r="D415" s="4" t="inlineStr">
        <is>
          <t>NON SPECIALE</t>
        </is>
      </c>
      <c r="E415" s="4" t="inlineStr">
        <is>
          <t>ELETTRICHE</t>
        </is>
      </c>
      <c r="F415" s="3" t="inlineStr">
        <is>
          <t>3_CME IE RADIOFARMACIA PAVIA - REV02 VARIANTE ESECUTIVA.PDF</t>
        </is>
      </c>
      <c r="G415" s="4" t="inlineStr">
        <is>
          <t>116/116</t>
        </is>
      </c>
      <c r="H415" s="3" t="inlineStr">
        <is>
          <t>40 - IMPIANTISTICO</t>
        </is>
      </c>
      <c r="I415" s="3" t="inlineStr">
        <is>
          <t>CABINA DI TRASFORMAZIONE MT/BT</t>
        </is>
      </c>
      <c r="J415" s="3" t="inlineStr">
        <is>
          <t>IMPIANTO DI MESSA A TERRA</t>
        </is>
      </c>
      <c r="K415" s="3" t="inlineStr">
        <is>
          <t>BARRA EQUIPOTENZIALE INDUSTRIALE NUDA, CON VITERIA IN ACCIAIO INOSSIDABILE PER SERRAGGIO CAPICORDA, INSTALLATA A MURO COMPLETA DI ISOLATORI IN DUROPLASTICO ED ACCESSORI DI FISSAGGIO: IN ACCIAIO INOSSI</t>
        </is>
      </c>
      <c r="L415" s="3" t="inlineStr">
        <is>
          <t>BARRA EQUIPOTENZIALE INDUSTRIALE NUDA, CON VITERIA IN ACCIAIO INOSSIDABILE PER SERRAGGIO CAPICORDA, INSTALLATA A MURO COMPLETA DI ISOLATORI IN DUROPLASTICO ED ACCESSORI DI FISSAGGIO: IN ACCIAIO INOSSIDABILE, DIMENSIONI: 500 X 40 X 5 MM, PER 12 COLLEGAMENTI</t>
        </is>
      </c>
      <c r="M415" s="4" t="inlineStr">
        <is>
          <t>CAD</t>
        </is>
      </c>
      <c r="N415" s="5" t="n">
        <v>1</v>
      </c>
      <c r="O415" s="6" t="n">
        <v>142.3</v>
      </c>
      <c r="P415" s="6" t="n">
        <v>142.3</v>
      </c>
      <c r="Q415" s="5" t="n"/>
      <c r="R415" s="6" t="n"/>
      <c r="S415" s="6">
        <f>IF(AND(Q415&lt;&gt;"",R415&lt;&gt;""),Q415*R415,"")</f>
        <v/>
      </c>
      <c r="T415" s="6">
        <f>IF(S415="",P415,S415)</f>
        <v/>
      </c>
      <c r="U415" s="7" t="n">
        <v>0</v>
      </c>
      <c r="V415" s="6">
        <f>$T415*U415</f>
        <v/>
      </c>
      <c r="W415" s="7" t="n">
        <v>0</v>
      </c>
      <c r="X415" s="6">
        <f>$T415*W415</f>
        <v/>
      </c>
      <c r="Y415" s="7" t="n">
        <v>0</v>
      </c>
      <c r="Z415" s="6">
        <f>$T415*Y415</f>
        <v/>
      </c>
      <c r="AA415" s="7" t="n">
        <v>0</v>
      </c>
      <c r="AB415" s="6">
        <f>$T415*AA415</f>
        <v/>
      </c>
      <c r="AC415" s="7" t="n">
        <v>0</v>
      </c>
      <c r="AD415" s="6">
        <f>$T415*AC415</f>
        <v/>
      </c>
      <c r="AE415" s="7" t="n">
        <v>0</v>
      </c>
      <c r="AF415" s="6">
        <f>$T415*AE415</f>
        <v/>
      </c>
      <c r="AG415" s="7" t="n">
        <v>0</v>
      </c>
      <c r="AH415" s="6">
        <f>$T415*AG415</f>
        <v/>
      </c>
      <c r="AI415" s="7">
        <f>U415+W415+Y415+AA415+AC415+AE415+AG415</f>
        <v/>
      </c>
      <c r="AJ415" s="6">
        <f>V415+X415+Z415+AB415+AD415+AF415+AH415</f>
        <v/>
      </c>
    </row>
    <row r="416" ht="18" customHeight="1" s="35">
      <c r="A416" s="3" t="inlineStr">
        <is>
          <t>DEIELE251_015005</t>
        </is>
      </c>
      <c r="B416" s="4" t="inlineStr">
        <is>
          <t>2/3</t>
        </is>
      </c>
      <c r="C416" s="3" t="inlineStr">
        <is>
          <t>IMPIANTO ELETTRICO</t>
        </is>
      </c>
      <c r="D416" s="4" t="inlineStr">
        <is>
          <t>NON SPECIALE</t>
        </is>
      </c>
      <c r="E416" s="4" t="inlineStr">
        <is>
          <t>ELETTRICHE</t>
        </is>
      </c>
      <c r="F416" s="3" t="inlineStr">
        <is>
          <t>3_CME IE RADIOFARMACIA PAVIA - REV02 VARIANTE ESECUTIVA.PDF</t>
        </is>
      </c>
      <c r="G416" s="4" t="inlineStr">
        <is>
          <t>117/117</t>
        </is>
      </c>
      <c r="H416" s="3" t="inlineStr">
        <is>
          <t>40 - IMPIANTISTICO</t>
        </is>
      </c>
      <c r="I416" s="3" t="inlineStr">
        <is>
          <t>CABINA DI TRASFORMAZIONE MT/BT</t>
        </is>
      </c>
      <c r="J416" s="3" t="inlineStr">
        <is>
          <t>IMPIANTO DI MESSA A TERRA</t>
        </is>
      </c>
      <c r="K416" s="3" t="inlineStr">
        <is>
          <t>COLLEGAMENTO EQUIPOTENZIALE PER VANO</t>
        </is>
      </c>
      <c r="L416" s="3" t="inlineStr">
        <is>
          <t>COLLEGAMENTO EQUIPOTENZIALE PER VANO</t>
        </is>
      </c>
      <c r="M416" s="4" t="inlineStr">
        <is>
          <t>CAD</t>
        </is>
      </c>
      <c r="N416" s="5" t="n">
        <v>1</v>
      </c>
      <c r="O416" s="6" t="n">
        <v>142.3</v>
      </c>
      <c r="P416" s="6" t="n">
        <v>142.3</v>
      </c>
      <c r="Q416" s="5" t="n"/>
      <c r="R416" s="6" t="n"/>
      <c r="S416" s="6">
        <f>IF(AND(Q416&lt;&gt;"",R416&lt;&gt;""),Q416*R416,"")</f>
        <v/>
      </c>
      <c r="T416" s="6">
        <f>IF(S416="",P416,S416)</f>
        <v/>
      </c>
      <c r="U416" s="7" t="n">
        <v>0</v>
      </c>
      <c r="V416" s="6">
        <f>$T416*U416</f>
        <v/>
      </c>
      <c r="W416" s="7" t="n">
        <v>0</v>
      </c>
      <c r="X416" s="6">
        <f>$T416*W416</f>
        <v/>
      </c>
      <c r="Y416" s="7" t="n">
        <v>0</v>
      </c>
      <c r="Z416" s="6">
        <f>$T416*Y416</f>
        <v/>
      </c>
      <c r="AA416" s="7" t="n">
        <v>0</v>
      </c>
      <c r="AB416" s="6">
        <f>$T416*AA416</f>
        <v/>
      </c>
      <c r="AC416" s="7" t="n">
        <v>0</v>
      </c>
      <c r="AD416" s="6">
        <f>$T416*AC416</f>
        <v/>
      </c>
      <c r="AE416" s="7" t="n">
        <v>0</v>
      </c>
      <c r="AF416" s="6">
        <f>$T416*AE416</f>
        <v/>
      </c>
      <c r="AG416" s="7" t="n">
        <v>0</v>
      </c>
      <c r="AH416" s="6">
        <f>$T416*AG416</f>
        <v/>
      </c>
      <c r="AI416" s="7">
        <f>U416+W416+Y416+AA416+AC416+AE416+AG416</f>
        <v/>
      </c>
      <c r="AJ416" s="6">
        <f>V416+X416+Z416+AB416+AD416+AF416+AH416</f>
        <v/>
      </c>
    </row>
    <row r="417" ht="60" customHeight="1" s="35">
      <c r="A417" s="3" t="inlineStr">
        <is>
          <t>LOM252.OC.EEA.PA02.G7424.SC009.1320</t>
        </is>
      </c>
      <c r="B417" s="4" t="inlineStr">
        <is>
          <t>1/2</t>
        </is>
      </c>
      <c r="C417" s="3" t="inlineStr">
        <is>
          <t>IMPIANTO ELETTRICO</t>
        </is>
      </c>
      <c r="D417" s="4" t="inlineStr">
        <is>
          <t>NON SPECIALE</t>
        </is>
      </c>
      <c r="E417" s="4" t="inlineStr">
        <is>
          <t>ELETTRICHE</t>
        </is>
      </c>
      <c r="F417" s="3" t="inlineStr">
        <is>
          <t>3_CME IE RADIOFARMACIA PAVIA - REV02 VARIANTE ESECUTIVA.PDF</t>
        </is>
      </c>
      <c r="G417" s="4" t="inlineStr">
        <is>
          <t>118/118</t>
        </is>
      </c>
      <c r="H417" s="3" t="inlineStr">
        <is>
          <t>40 - IMPIANTISTICO</t>
        </is>
      </c>
      <c r="I417" s="3" t="inlineStr">
        <is>
          <t>CABINA DI TRASFORMAZIONE MT/BT</t>
        </is>
      </c>
      <c r="J417" s="3" t="inlineStr">
        <is>
          <t>IMPIANTO DI MESSA A TERRA</t>
        </is>
      </c>
      <c r="K417" s="3" t="inlineStr">
        <is>
          <t xml:space="preserve">OPERA: CAVO, FG17 DI LEGA RAME RICOTTO; GEOMETRIA: FLESSIBILE; SEZIONE NOMINALE [MM²] = 240; TENSIONE NOMINALE [KV] = 450/750; N° POLI [-] = 1P. </t>
        </is>
      </c>
      <c r="L417" s="3" t="inlineStr">
        <is>
          <t>OPERA: CAVO, FG17 DI LEGA RAME RICOTTO; GEOMETRIA: FLESSIBILE; SEZIONE NOMINALE [MM²] = 240; TENSIONE NOMINALE [KV] = 450/750; N° POLI [-] = 1P. 
LAVORO: POSA. OP CAVO, FG17 DI LEGA RAME RICOTTO; GEOMETRIA: FLESSIBILE; SEZIONE NOMINALE [MM²] = 240; TENSIONE NOMINALE UO/U [KV] = 450/750; N° POLI [-] = 1P. 
RM CAVO FG17 DI LEGA RAME RICOTTO; GEOMETRIA: FLESSIBILE; SEZIONE NOMINALE [MM²] = 240; TENSIONE NOMINALE UO/U [KV] = 450/750; N° POLI [-] = 1P. COMPONENTE: ISOLANTE,  
LV POSA.
[DIMENSIONI: 1,00 20,00]</t>
        </is>
      </c>
      <c r="M417" s="4" t="inlineStr">
        <is>
          <t>M</t>
        </is>
      </c>
      <c r="N417" s="5" t="n">
        <v>20</v>
      </c>
      <c r="O417" s="6" t="n">
        <v>51.99</v>
      </c>
      <c r="P417" s="6" t="n">
        <v>1039.8</v>
      </c>
      <c r="Q417" s="5" t="n"/>
      <c r="R417" s="6" t="n"/>
      <c r="S417" s="6">
        <f>IF(AND(Q417&lt;&gt;"",R417&lt;&gt;""),Q417*R417,"")</f>
        <v/>
      </c>
      <c r="T417" s="6">
        <f>IF(S417="",P417,S417)</f>
        <v/>
      </c>
      <c r="U417" s="7" t="n">
        <v>0</v>
      </c>
      <c r="V417" s="6">
        <f>$T417*U417</f>
        <v/>
      </c>
      <c r="W417" s="7" t="n">
        <v>0</v>
      </c>
      <c r="X417" s="6">
        <f>$T417*W417</f>
        <v/>
      </c>
      <c r="Y417" s="7" t="n">
        <v>0</v>
      </c>
      <c r="Z417" s="6">
        <f>$T417*Y417</f>
        <v/>
      </c>
      <c r="AA417" s="7" t="n">
        <v>0</v>
      </c>
      <c r="AB417" s="6">
        <f>$T417*AA417</f>
        <v/>
      </c>
      <c r="AC417" s="7" t="n">
        <v>0</v>
      </c>
      <c r="AD417" s="6">
        <f>$T417*AC417</f>
        <v/>
      </c>
      <c r="AE417" s="7" t="n">
        <v>0</v>
      </c>
      <c r="AF417" s="6">
        <f>$T417*AE417</f>
        <v/>
      </c>
      <c r="AG417" s="7" t="n">
        <v>0</v>
      </c>
      <c r="AH417" s="6">
        <f>$T417*AG417</f>
        <v/>
      </c>
      <c r="AI417" s="7">
        <f>U417+W417+Y417+AA417+AC417+AE417+AG417</f>
        <v/>
      </c>
      <c r="AJ417" s="6">
        <f>V417+X417+Z417+AB417+AD417+AF417+AH417</f>
        <v/>
      </c>
    </row>
    <row r="418" ht="60" customHeight="1" s="35">
      <c r="A418" s="3" t="inlineStr">
        <is>
          <t>LOM252.OC.EEA.PA02.G7409.D0000.0255</t>
        </is>
      </c>
      <c r="B418" s="4" t="inlineStr">
        <is>
          <t>2/3</t>
        </is>
      </c>
      <c r="C418" s="3" t="inlineStr">
        <is>
          <t>IMPIANTO ELETTRICO</t>
        </is>
      </c>
      <c r="D418" s="4" t="inlineStr">
        <is>
          <t>NON SPECIALE</t>
        </is>
      </c>
      <c r="E418" s="4" t="inlineStr">
        <is>
          <t>ELETTRICHE</t>
        </is>
      </c>
      <c r="F418" s="3" t="inlineStr">
        <is>
          <t>3_CME IE RADIOFARMACIA PAVIA - REV02 VARIANTE ESECUTIVA.PDF</t>
        </is>
      </c>
      <c r="G418" s="4" t="inlineStr">
        <is>
          <t>119/119</t>
        </is>
      </c>
      <c r="H418" s="3" t="inlineStr">
        <is>
          <t>40 - IMPIANTISTICO</t>
        </is>
      </c>
      <c r="I418" s="3" t="inlineStr">
        <is>
          <t>CABINA DI TRASFORMAZIONE MT/BT</t>
        </is>
      </c>
      <c r="J418" s="3" t="inlineStr">
        <is>
          <t>DISTRIBUZIONE SECONDARIA</t>
        </is>
      </c>
      <c r="K418" s="3" t="inlineStr">
        <is>
          <t xml:space="preserve">OPERA: TUBO, RIGIDO DI PLASTICA GENERICO; IMPIEGO: TUBAZIONI ELETTRICHE; DIAMETRO [MM] = 20. </t>
        </is>
      </c>
      <c r="L418" s="3" t="inlineStr">
        <is>
          <t>OPERA: TUBO, RIGIDO DI PLASTICA GENERICO; IMPIEGO: TUBAZIONI ELETTRICHE; DIAMETRO [MM] = 20. 
LAVORO: POSA. 
SPECIFICHE TECNICHE: PER INSTALLAZIONE A VISTA, CON MARCHIO IMQ, AUTOESTINQUENTE. OP TUBO, RIGIDO DI PLASTICA GENERICO; IMPIEGO: TUBAZIONI ELETTRICHE; DIAMETRO [MM] = 20. 
SPECIFICHE TECNICHE: PER INSTALLAZIONE A VISTA, CON MARCHIO IMQ, AUTOESTINQUENTE. 
RM TUBO RIGIDO DI PLASTICA GENERICO; IMPIEGO: TUBAZIONI ELETTRICHE; DIAMETRO (Ø) [MM] = 20 
SPECIFICHE TECNICHE: PER INSTALLAZIONE A VISTA, CON MARCHIO IMQ, AUTOESTINQUENTE 
LV POSA.
[DIMENSIONI: 30,00]</t>
        </is>
      </c>
      <c r="M418" s="4" t="inlineStr">
        <is>
          <t>M</t>
        </is>
      </c>
      <c r="N418" s="5" t="n">
        <v>30</v>
      </c>
      <c r="O418" s="6" t="n">
        <v>6.53</v>
      </c>
      <c r="P418" s="6" t="n">
        <v>195.9</v>
      </c>
      <c r="Q418" s="5" t="n"/>
      <c r="R418" s="6" t="n"/>
      <c r="S418" s="6">
        <f>IF(AND(Q418&lt;&gt;"",R418&lt;&gt;""),Q418*R418,"")</f>
        <v/>
      </c>
      <c r="T418" s="6">
        <f>IF(S418="",P418,S418)</f>
        <v/>
      </c>
      <c r="U418" s="7" t="n">
        <v>0</v>
      </c>
      <c r="V418" s="6">
        <f>$T418*U418</f>
        <v/>
      </c>
      <c r="W418" s="7" t="n">
        <v>0</v>
      </c>
      <c r="X418" s="6">
        <f>$T418*W418</f>
        <v/>
      </c>
      <c r="Y418" s="7" t="n">
        <v>0</v>
      </c>
      <c r="Z418" s="6">
        <f>$T418*Y418</f>
        <v/>
      </c>
      <c r="AA418" s="7" t="n">
        <v>0</v>
      </c>
      <c r="AB418" s="6">
        <f>$T418*AA418</f>
        <v/>
      </c>
      <c r="AC418" s="7" t="n">
        <v>0</v>
      </c>
      <c r="AD418" s="6">
        <f>$T418*AC418</f>
        <v/>
      </c>
      <c r="AE418" s="7" t="n">
        <v>0</v>
      </c>
      <c r="AF418" s="6">
        <f>$T418*AE418</f>
        <v/>
      </c>
      <c r="AG418" s="7" t="n">
        <v>0</v>
      </c>
      <c r="AH418" s="6">
        <f>$T418*AG418</f>
        <v/>
      </c>
      <c r="AI418" s="7">
        <f>U418+W418+Y418+AA418+AC418+AE418+AG418</f>
        <v/>
      </c>
      <c r="AJ418" s="6">
        <f>V418+X418+Z418+AB418+AD418+AF418+AH418</f>
        <v/>
      </c>
    </row>
    <row r="419" ht="60" customHeight="1" s="35">
      <c r="A419" s="3" t="inlineStr">
        <is>
          <t>LOM252.OC.EEA.PA02.G7409.D0000.0260</t>
        </is>
      </c>
      <c r="B419" s="4" t="inlineStr">
        <is>
          <t>2/3</t>
        </is>
      </c>
      <c r="C419" s="3" t="inlineStr">
        <is>
          <t>IMPIANTO ELETTRICO</t>
        </is>
      </c>
      <c r="D419" s="4" t="inlineStr">
        <is>
          <t>NON SPECIALE</t>
        </is>
      </c>
      <c r="E419" s="4" t="inlineStr">
        <is>
          <t>ELETTRICHE</t>
        </is>
      </c>
      <c r="F419" s="3" t="inlineStr">
        <is>
          <t>3_CME IE RADIOFARMACIA PAVIA - REV02 VARIANTE ESECUTIVA.PDF</t>
        </is>
      </c>
      <c r="G419" s="4" t="inlineStr">
        <is>
          <t>120/120</t>
        </is>
      </c>
      <c r="H419" s="3" t="inlineStr">
        <is>
          <t>40 - IMPIANTISTICO</t>
        </is>
      </c>
      <c r="I419" s="3" t="inlineStr">
        <is>
          <t>CABINA DI TRASFORMAZIONE MT/BT</t>
        </is>
      </c>
      <c r="J419" s="3" t="inlineStr">
        <is>
          <t>DISTRIBUZIONE SECONDARIA</t>
        </is>
      </c>
      <c r="K419" s="3" t="inlineStr">
        <is>
          <t xml:space="preserve">OPERA: TUBO, RIGIDO DI PLASTICA GENERICO; IMPIEGO: TUBAZIONI ELETTRICHE; DIAMETRO [MM] = 25. </t>
        </is>
      </c>
      <c r="L419" s="3" t="inlineStr">
        <is>
          <t>OPERA: TUBO, RIGIDO DI PLASTICA GENERICO; IMPIEGO: TUBAZIONI ELETTRICHE; DIAMETRO [MM] = 25. 
LAVORO: POSA. 
SPECIFICHE TECNICHE: PER INSTALLAZIONE A VISTA, CON MARCHIO IMQ, AUTOESTINQUENTE. OP TUBO, RIGIDO DI PLASTICA GENERICO; IMPIEGO: TUBAZIONI ELETTRICHE; DIAMETRO [MM] = 25. 
SPECIFICHE TECNICHE: PER INSTALLAZIONE A VISTA, CON MARCHIO IMQ, AUTOESTINQUENTE. 
RM TUBO RIGIDO DI PLASTICA GENERICO; IMPIEGO: TUBAZIONI ELETTRICHE; DIAMETRO (Ø) [MM] = 25 
SPECIFICHE TECNICHE: PER INSTALLAZIONE A VISTA, CON MARCHIO IMQ, AUTOESTINQUENTE 
LV POSA.
[DIMENSIONI: 20,00]</t>
        </is>
      </c>
      <c r="M419" s="4" t="inlineStr">
        <is>
          <t>M</t>
        </is>
      </c>
      <c r="N419" s="5" t="n">
        <v>20</v>
      </c>
      <c r="O419" s="6" t="n">
        <v>7.71</v>
      </c>
      <c r="P419" s="6" t="n">
        <v>154.2</v>
      </c>
      <c r="Q419" s="5" t="n"/>
      <c r="R419" s="6" t="n"/>
      <c r="S419" s="6">
        <f>IF(AND(Q419&lt;&gt;"",R419&lt;&gt;""),Q419*R419,"")</f>
        <v/>
      </c>
      <c r="T419" s="6">
        <f>IF(S419="",P419,S419)</f>
        <v/>
      </c>
      <c r="U419" s="7" t="n">
        <v>0</v>
      </c>
      <c r="V419" s="6">
        <f>$T419*U419</f>
        <v/>
      </c>
      <c r="W419" s="7" t="n">
        <v>0</v>
      </c>
      <c r="X419" s="6">
        <f>$T419*W419</f>
        <v/>
      </c>
      <c r="Y419" s="7" t="n">
        <v>0</v>
      </c>
      <c r="Z419" s="6">
        <f>$T419*Y419</f>
        <v/>
      </c>
      <c r="AA419" s="7" t="n">
        <v>0</v>
      </c>
      <c r="AB419" s="6">
        <f>$T419*AA419</f>
        <v/>
      </c>
      <c r="AC419" s="7" t="n">
        <v>0</v>
      </c>
      <c r="AD419" s="6">
        <f>$T419*AC419</f>
        <v/>
      </c>
      <c r="AE419" s="7" t="n">
        <v>0</v>
      </c>
      <c r="AF419" s="6">
        <f>$T419*AE419</f>
        <v/>
      </c>
      <c r="AG419" s="7" t="n">
        <v>0</v>
      </c>
      <c r="AH419" s="6">
        <f>$T419*AG419</f>
        <v/>
      </c>
      <c r="AI419" s="7">
        <f>U419+W419+Y419+AA419+AC419+AE419+AG419</f>
        <v/>
      </c>
      <c r="AJ419" s="6">
        <f>V419+X419+Z419+AB419+AD419+AF419+AH419</f>
        <v/>
      </c>
    </row>
    <row r="420" ht="60" customHeight="1" s="35">
      <c r="A420" s="3" t="inlineStr">
        <is>
          <t>LOM252.OC.EEA.PA02.G7424.SC009.0610</t>
        </is>
      </c>
      <c r="B420" s="4" t="inlineStr">
        <is>
          <t>2/5</t>
        </is>
      </c>
      <c r="C420" s="3" t="inlineStr">
        <is>
          <t>IMPIANTO ELETTRICO</t>
        </is>
      </c>
      <c r="D420" s="4" t="inlineStr">
        <is>
          <t>NON SPECIALE</t>
        </is>
      </c>
      <c r="E420" s="4" t="inlineStr">
        <is>
          <t>ELETTRICHE</t>
        </is>
      </c>
      <c r="F420" s="3" t="inlineStr">
        <is>
          <t>3_CME IE RADIOFARMACIA PAVIA - REV02 VARIANTE ESECUTIVA.PDF</t>
        </is>
      </c>
      <c r="G420" s="4" t="inlineStr">
        <is>
          <t>121/121</t>
        </is>
      </c>
      <c r="H420" s="3" t="inlineStr">
        <is>
          <t>40 - IMPIANTISTICO</t>
        </is>
      </c>
      <c r="I420" s="3" t="inlineStr">
        <is>
          <t>CABINA DI TRASFORMAZIONE MT/BT</t>
        </is>
      </c>
      <c r="J420" s="3" t="inlineStr">
        <is>
          <t>DISTRIBUZIONE SECONDARIA</t>
        </is>
      </c>
      <c r="K420" s="3" t="inlineStr">
        <is>
          <t xml:space="preserve">OPERA: CAVO, FG16OM16 DI LEGA RAME RICOTTO; GEOMETRIA: FLESSIBILE; SEZIONE NOMINALE [MM²] = 3X2,5; TENSIONE NOMINALE [KV] = 0,6/1; N° POLI [-] = 3P. </t>
        </is>
      </c>
      <c r="L420" s="3" t="inlineStr">
        <is>
          <t>OPERA: CAVO, FG16OM16 DI LEGA RAME RICOTTO; GEOMETRIA: FLESSIBILE; SEZIONE NOMINALE [MM²] = 3X2,5; TENSIONE NOMINALE [KV] = 0,6/1; N° POLI [-] = 3P. 
LAVORO: POSA. OP CAVO, FG16OM16 DI LEGA RAME RICOTTO; GEOMETRIA: FLESSIBILE; SEZIONE NOMINALE [MM²] = 3X2,5; TENSIONE NOMINALE UO/U [KV] = 0,6/1; N° POLI [-] = 3P. 
RM CAVO FG16OM16 DI LEGA RAME RICOTTO; GEOMETRIA: FLESSIBILE; SEZIONE NOMINALE [MM²] = 3X2,5; TENSIONE NOMINALE UO/U [KV] = 0,6/1; N° POLI [-] = 3P. COMPONENTI: ISOLANTE, GUAINA TERMOPLASTICA 
LV POSA.
[DIMENSIONI: 20,00]</t>
        </is>
      </c>
      <c r="M420" s="4" t="inlineStr">
        <is>
          <t>M</t>
        </is>
      </c>
      <c r="N420" s="5" t="n">
        <v>20</v>
      </c>
      <c r="O420" s="6" t="n">
        <v>4.63</v>
      </c>
      <c r="P420" s="6" t="n">
        <v>92.59999999999999</v>
      </c>
      <c r="Q420" s="5" t="n"/>
      <c r="R420" s="6" t="n"/>
      <c r="S420" s="6">
        <f>IF(AND(Q420&lt;&gt;"",R420&lt;&gt;""),Q420*R420,"")</f>
        <v/>
      </c>
      <c r="T420" s="6">
        <f>IF(S420="",P420,S420)</f>
        <v/>
      </c>
      <c r="U420" s="7" t="n">
        <v>0</v>
      </c>
      <c r="V420" s="6">
        <f>$T420*U420</f>
        <v/>
      </c>
      <c r="W420" s="7" t="n">
        <v>0</v>
      </c>
      <c r="X420" s="6">
        <f>$T420*W420</f>
        <v/>
      </c>
      <c r="Y420" s="7" t="n">
        <v>0</v>
      </c>
      <c r="Z420" s="6">
        <f>$T420*Y420</f>
        <v/>
      </c>
      <c r="AA420" s="7" t="n">
        <v>0</v>
      </c>
      <c r="AB420" s="6">
        <f>$T420*AA420</f>
        <v/>
      </c>
      <c r="AC420" s="7" t="n">
        <v>0</v>
      </c>
      <c r="AD420" s="6">
        <f>$T420*AC420</f>
        <v/>
      </c>
      <c r="AE420" s="7" t="n">
        <v>0</v>
      </c>
      <c r="AF420" s="6">
        <f>$T420*AE420</f>
        <v/>
      </c>
      <c r="AG420" s="7" t="n">
        <v>0</v>
      </c>
      <c r="AH420" s="6">
        <f>$T420*AG420</f>
        <v/>
      </c>
      <c r="AI420" s="7">
        <f>U420+W420+Y420+AA420+AC420+AE420+AG420</f>
        <v/>
      </c>
      <c r="AJ420" s="6">
        <f>V420+X420+Z420+AB420+AD420+AF420+AH420</f>
        <v/>
      </c>
    </row>
    <row r="421" ht="60" customHeight="1" s="35">
      <c r="A421" s="3" t="inlineStr">
        <is>
          <t>LOM252.OC.EEA.PA02.G7424.SC009.0615</t>
        </is>
      </c>
      <c r="B421" s="4" t="inlineStr">
        <is>
          <t>2/5</t>
        </is>
      </c>
      <c r="C421" s="3" t="inlineStr">
        <is>
          <t>IMPIANTO ELETTRICO</t>
        </is>
      </c>
      <c r="D421" s="4" t="inlineStr">
        <is>
          <t>NON SPECIALE</t>
        </is>
      </c>
      <c r="E421" s="4" t="inlineStr">
        <is>
          <t>ELETTRICHE</t>
        </is>
      </c>
      <c r="F421" s="3" t="inlineStr">
        <is>
          <t>3_CME IE RADIOFARMACIA PAVIA - REV02 VARIANTE ESECUTIVA.PDF</t>
        </is>
      </c>
      <c r="G421" s="4" t="inlineStr">
        <is>
          <t>122/122</t>
        </is>
      </c>
      <c r="H421" s="3" t="inlineStr">
        <is>
          <t>40 - IMPIANTISTICO</t>
        </is>
      </c>
      <c r="I421" s="3" t="inlineStr">
        <is>
          <t>CABINA DI TRASFORMAZIONE MT/BT</t>
        </is>
      </c>
      <c r="J421" s="3" t="inlineStr">
        <is>
          <t>DISTRIBUZIONE SECONDARIA</t>
        </is>
      </c>
      <c r="K421" s="3" t="inlineStr">
        <is>
          <t xml:space="preserve">OPERA: CAVO, FG16OM16 DI LEGA RAME RICOTTO; GEOMETRIA: FLESSIBILE; SEZIONE NOMINALE [MM²] = 3X4; TENSIONE NOMINALE [KV] = 0,6/1; N° POLI [-] = 3P. </t>
        </is>
      </c>
      <c r="L421" s="3" t="inlineStr">
        <is>
          <t>OPERA: CAVO, FG16OM16 DI LEGA RAME RICOTTO; GEOMETRIA: FLESSIBILE; SEZIONE NOMINALE [MM²] = 3X4; TENSIONE NOMINALE [KV] = 0,6/1; N° POLI [-] = 3P. 
LAVORO: POSA. OP CAVO, FG16OM16 DI LEGA RAME RICOTTO; GEOMETRIA: FLESSIBILE; SEZIONE NOMINALE [MM²] = 3X4; TENSIONE NOMINALE UO/U [KV] = 0,6/1; N° POLI [-] = 3P. 
RM CAVO FG16OM16 DI LEGA RAME RICOTTO; GEOMETRIA: FLESSIBILE; SEZIONE NOMINALE [MM²] = 3X4; TENSIONE NOMINALE UO/U [KV] = 0,6/1; N° POLI [-] = 3P. COMPONENTI: ISOLANTE, GUAINA TERMOPLASTICA 
LV POSA.
[DIMENSIONI: 20,00]</t>
        </is>
      </c>
      <c r="M421" s="4" t="inlineStr">
        <is>
          <t>M</t>
        </is>
      </c>
      <c r="N421" s="5" t="n">
        <v>20</v>
      </c>
      <c r="O421" s="6" t="n">
        <v>5.44</v>
      </c>
      <c r="P421" s="6" t="n">
        <v>108.8</v>
      </c>
      <c r="Q421" s="5" t="n"/>
      <c r="R421" s="6" t="n"/>
      <c r="S421" s="6">
        <f>IF(AND(Q421&lt;&gt;"",R421&lt;&gt;""),Q421*R421,"")</f>
        <v/>
      </c>
      <c r="T421" s="6">
        <f>IF(S421="",P421,S421)</f>
        <v/>
      </c>
      <c r="U421" s="7" t="n">
        <v>0</v>
      </c>
      <c r="V421" s="6">
        <f>$T421*U421</f>
        <v/>
      </c>
      <c r="W421" s="7" t="n">
        <v>0</v>
      </c>
      <c r="X421" s="6">
        <f>$T421*W421</f>
        <v/>
      </c>
      <c r="Y421" s="7" t="n">
        <v>0</v>
      </c>
      <c r="Z421" s="6">
        <f>$T421*Y421</f>
        <v/>
      </c>
      <c r="AA421" s="7" t="n">
        <v>0</v>
      </c>
      <c r="AB421" s="6">
        <f>$T421*AA421</f>
        <v/>
      </c>
      <c r="AC421" s="7" t="n">
        <v>0</v>
      </c>
      <c r="AD421" s="6">
        <f>$T421*AC421</f>
        <v/>
      </c>
      <c r="AE421" s="7" t="n">
        <v>0</v>
      </c>
      <c r="AF421" s="6">
        <f>$T421*AE421</f>
        <v/>
      </c>
      <c r="AG421" s="7" t="n">
        <v>0</v>
      </c>
      <c r="AH421" s="6">
        <f>$T421*AG421</f>
        <v/>
      </c>
      <c r="AI421" s="7">
        <f>U421+W421+Y421+AA421+AC421+AE421+AG421</f>
        <v/>
      </c>
      <c r="AJ421" s="6">
        <f>V421+X421+Z421+AB421+AD421+AF421+AH421</f>
        <v/>
      </c>
    </row>
    <row r="422" ht="60" customHeight="1" s="35">
      <c r="A422" s="3" t="inlineStr">
        <is>
          <t>LOM252.OC.EEA.PA01.G8237.ZA001.1025</t>
        </is>
      </c>
      <c r="B422" s="4" t="inlineStr">
        <is>
          <t>2/3</t>
        </is>
      </c>
      <c r="C422" s="3" t="inlineStr">
        <is>
          <t>IMPIANTO ELETTRICO</t>
        </is>
      </c>
      <c r="D422" s="4" t="inlineStr">
        <is>
          <t>NON SPECIALE</t>
        </is>
      </c>
      <c r="E422" s="4" t="inlineStr">
        <is>
          <t>ELETTRICHE</t>
        </is>
      </c>
      <c r="F422" s="3" t="inlineStr">
        <is>
          <t>3_CME IE RADIOFARMACIA PAVIA - REV02 VARIANTE ESECUTIVA.PDF</t>
        </is>
      </c>
      <c r="G422" s="4" t="inlineStr">
        <is>
          <t>123/123</t>
        </is>
      </c>
      <c r="H422" s="3" t="inlineStr">
        <is>
          <t>40 - IMPIANTISTICO</t>
        </is>
      </c>
      <c r="I422" s="3" t="inlineStr">
        <is>
          <t>CABINA DI TRASFORMAZIONE MT/BT</t>
        </is>
      </c>
      <c r="J422" s="3" t="inlineStr">
        <is>
          <t>IMPIANTO DI ILLUMINAZIONE</t>
        </is>
      </c>
      <c r="K422" s="3" t="inlineStr">
        <is>
          <t>OPERA: DERIVAZIONE D'IMPIANTO PUNTO LUCE, INTERROTTO; GEOMETRIA: INTERRUTTORE UNIPOLARE; IMPIEGO: DERIVAZIONE D'IMPIANTO A VISTA A PARETE/A SOFFITTO; TENSIONE NOMINALE SPIA [V] = 230. INCLUSO: TUBO PR</t>
        </is>
      </c>
      <c r="L422" s="3" t="inlineStr">
        <is>
          <t>OPERA: DERIVAZIONE D'IMPIANTO PUNTO LUCE, INTERROTTO; GEOMETRIA: INTERRUTTORE UNIPOLARE; IMPIEGO: DERIVAZIONE D'IMPIANTO A VISTA A PARETE/A SOFFITTO; TENSIONE NOMINALE SPIA [V] = 230. INCLUSO: TUBO PROTETTIVO; CONDUTTORI DI ALIMENTAZIONE E DI TERRA; SCATOLE DA INCASSO; FRUTTI COMPONIBILI; PLACCHE; SUPPORTI; TASSELLI/GANCI. 
LAVORO: INSTALLAZIONE IN OPERA. INCLUSO: LINEA DI COLLEGAMENTO ALLO SPECIFICO PUNTO DI ALIMENTAZIONE; FISSAGGIO DELLE CANALIZZAZIONI A MEZZO DI TASSELLI O GANCI; ASSISTENZA PER IL TRASPORTO DEI MATERIALI AL PIANO. 
SPECIFICHE TECNICHE: PER IMPIANTI DI ENERGIA; GRADO DI PROTEZIONE IP55; REALIZZATO CON TUBO PROTETTIVO RIGIDO DI PLASTICA POLIVINILCLORURO (PVC) AUTOESTINGUENTE; CONDUTTORI DI ALIMENTAZIONE E DI TERRA DI LEGA RAME GENERICO RICOTTO ISOLATO CONFORMI AI REQUISITI PREVISTI DALLA NORMATIVA EUROPEA REGOLAMENTO UE 305/2011 - PRODOTTI DA COSTRUZIONE CPR; TIPOLOGIA CONDUTTORI E SEZIONE ADEGUATI ALL'UTILIZZO. OP DERIVAZIONE D'IMPIANTO PUNTO LUCE, INTERROTTO; GEOMETRIA: INTERRUTTORE UNIPOLARE; IMPIEGO: DERIVAZIONE D'IMPIANTO A VISTA A PARETE/A SOFFITTO; TENSIONE NOMINALE SPIA [V] = 230. INCLUSO: TUBO PROTETTIVO; CONDUTTORI DI ALIMENTAZIONE E DI TERRA; SCATOLE DA INCASSO; FRUTTI COMPONIBILI; PLACCHE; SUPPORTI; TASSELLI/GANCI. 
SPECIFICHE TECNICHE: PER IMPIANTI DI ENERGIA; GRADO DI PROTEZIONE IP55; REALIZZATO CON TUBO PROTETTIVO RIGIDO DI PLASTICA POLIVINILCLORURO (PVC) AUTOESTINGUENTE; CONDUTTORI DI ALIMENTAZIONE E DI TERRA DI LEGA RAME GENERICO RICOTTO ISOLATO CONFORMI AI REQUISITI PREVISTI DALLA NORMATIVA EUROPEA REGOLAMENTO UE 305/2011 - PRODOTTI DA COSTRUZIONE CPR; TIPOLOGIA CONDUTTORI E SEZIONE ADEGUATI ALL'UTILIZZO. 
RM DERIVAZIONE D'IMPIANTO PUNTO LUCE INTERROTTO; GEOMETRIA: INTERRUTTORE UNIPOLARE; IMPIEGO: DERIVAZIONE D'IMPIANTO A VISTA A PARETE/A SOFFITTO; TENSIONE NOMINALE SPIA [V] = 230. INCLUSO: TUBO PROTETTIVO; CONDUTTORI DI ALIMENTAZIONE E DI TERRA; SCATOLE DA INCASSO; FRUTTI COMPONIBILI; PLACCHE; SUPPORTI; TASSELLI/GANCI 
SPECIFICHE TECNICHE: PER IMPIANTI DI ENERGIA; GRADO DI PROTEZIONE IP55; REALIZZATO CON TUBO PROTETTIVO RIGIDO DI PLASTICA POLIVINILCLORURO (PVC) AUTOESTINGUENTE; CONDUTTORI DI ALIMENTAZIONE E DI TERRA DI LEGA RAME GENERICO RICOTTO ISOLATO CONFORMI AI REQUISITI PREVISTI DALLA NORMATIVA EUROPEA REGOLAMENTO UE 305/2011 - PRODOTTI DA COSTRUZIONE CPR; TIPOLOGIA CONDUTTORI E SEZIONE ADEGUATI ALL'UTILIZZO 
LV INSTALLAZIONE IN OPERA. INCLUSO: LINEA DI COLLEGAMENTO ALLO SPECIFICO PUNTO DI ALIMENTAZIONE; FISSAGGIO DELLE CANALIZZAZIONI A MEZZO DI TASSELLI O GANCI; ASSISTENZA PER IL TRASPORTO DEI MATERIALI AL PIANO.</t>
        </is>
      </c>
      <c r="M422" s="4" t="inlineStr">
        <is>
          <t>CAD</t>
        </is>
      </c>
      <c r="N422" s="5" t="n">
        <v>1</v>
      </c>
      <c r="O422" s="6" t="n">
        <v>85.98</v>
      </c>
      <c r="P422" s="6" t="n">
        <v>85.98</v>
      </c>
      <c r="Q422" s="5" t="n"/>
      <c r="R422" s="6" t="n"/>
      <c r="S422" s="6">
        <f>IF(AND(Q422&lt;&gt;"",R422&lt;&gt;""),Q422*R422,"")</f>
        <v/>
      </c>
      <c r="T422" s="6">
        <f>IF(S422="",P422,S422)</f>
        <v/>
      </c>
      <c r="U422" s="7" t="n">
        <v>0</v>
      </c>
      <c r="V422" s="6">
        <f>$T422*U422</f>
        <v/>
      </c>
      <c r="W422" s="7" t="n">
        <v>0</v>
      </c>
      <c r="X422" s="6">
        <f>$T422*W422</f>
        <v/>
      </c>
      <c r="Y422" s="7" t="n">
        <v>0</v>
      </c>
      <c r="Z422" s="6">
        <f>$T422*Y422</f>
        <v/>
      </c>
      <c r="AA422" s="7" t="n">
        <v>0</v>
      </c>
      <c r="AB422" s="6">
        <f>$T422*AA422</f>
        <v/>
      </c>
      <c r="AC422" s="7" t="n">
        <v>0</v>
      </c>
      <c r="AD422" s="6">
        <f>$T422*AC422</f>
        <v/>
      </c>
      <c r="AE422" s="7" t="n">
        <v>0</v>
      </c>
      <c r="AF422" s="6">
        <f>$T422*AE422</f>
        <v/>
      </c>
      <c r="AG422" s="7" t="n">
        <v>0</v>
      </c>
      <c r="AH422" s="6">
        <f>$T422*AG422</f>
        <v/>
      </c>
      <c r="AI422" s="7">
        <f>U422+W422+Y422+AA422+AC422+AE422+AG422</f>
        <v/>
      </c>
      <c r="AJ422" s="6">
        <f>V422+X422+Z422+AB422+AD422+AF422+AH422</f>
        <v/>
      </c>
    </row>
    <row r="423" ht="60" customHeight="1" s="35">
      <c r="A423" s="3" t="inlineStr">
        <is>
          <t>LOM252.OC.EEA.PA01.G8237.ZA001.0760</t>
        </is>
      </c>
      <c r="B423" s="4" t="inlineStr">
        <is>
          <t>3/6</t>
        </is>
      </c>
      <c r="C423" s="3" t="inlineStr">
        <is>
          <t>IMPIANTO ELETTRICO</t>
        </is>
      </c>
      <c r="D423" s="4" t="inlineStr">
        <is>
          <t>NON SPECIALE</t>
        </is>
      </c>
      <c r="E423" s="4" t="inlineStr">
        <is>
          <t>ELETTRICHE</t>
        </is>
      </c>
      <c r="F423" s="3" t="inlineStr">
        <is>
          <t>3_CME IE RADIOFARMACIA PAVIA - REV02 VARIANTE ESECUTIVA.PDF</t>
        </is>
      </c>
      <c r="G423" s="4" t="inlineStr">
        <is>
          <t>124/124</t>
        </is>
      </c>
      <c r="H423" s="3" t="inlineStr">
        <is>
          <t>40 - IMPIANTISTICO</t>
        </is>
      </c>
      <c r="I423" s="3" t="inlineStr">
        <is>
          <t>CABINA DI TRASFORMAZIONE MT/BT</t>
        </is>
      </c>
      <c r="J423" s="3" t="inlineStr">
        <is>
          <t>IMPIANTO DI ILLUMINAZIONE</t>
        </is>
      </c>
      <c r="K423" s="3" t="inlineStr">
        <is>
          <t>OPERA: DERIVAZIONE D'IMPIANTO PUNTO LUCE, IN PARALLELO; IMPIEGO: DERIVAZIONE D'IMPIANTO A VISTA A PARETE/A SOFFITTO. INCLUSO: TUBO PROTETTIVO; CONDUTTORI DI ALIMENTAZIONE E DI TERRA; SCATOLE DA INCASS</t>
        </is>
      </c>
      <c r="L423" s="3" t="inlineStr">
        <is>
          <t>OPERA: DERIVAZIONE D'IMPIANTO PUNTO LUCE, IN PARALLELO; IMPIEGO: DERIVAZIONE D'IMPIANTO A VISTA A PARETE/A SOFFITTO. INCLUSO: TUBO PROTETTIVO; CONDUTTORI DI ALIMENTAZIONE E DI TERRA; SCATOLE DA INCASSO; FRUTTI COMPONIBILI; PLACCHE; SUPPORTI; TASSELLI/GANCI. 
LAVORO: INSTALLAZIONE IN OPERA. INCLUSO: LINEA DI COLLEGAMENTO ALLO SPECIFICO PUNTO DI ALIMENTAZIONE; FISSAGGIO DELLE CANALIZZAZIONI A MEZZO DI TASSELLI O GANCI; ASSISTENZA PER IL TRASPORTO DEI MATERIALI AL PIANO. 
SPECIFICHE TECNICHE: IN PARALLELO AD UNA QUALSIASI DERIVAZIONE; PER IMPIANTI DI ENERGIA; GRADO DI PROTEZIONE IP55; REALIZZATO CON TUBO PROTETTIVO RIGIDO DI PLASTICA POLIVINILCLORURO (PVC) AUTOESTINGUENTE; CONDUTTORI DI ALIMENTAZIONE E DI TERRA DI LEGA RAME GENERICO RICOTTO ISOLATO CONFORMI AI REQUISITI PREVISTI DALLA NORMATIVA EUROPEA REGOLAMENTO UE 305/2011 - PRODOTTI DA COSTRUZIONE CPR; TIPOLOGIA CONDUTTORI E SEZIONE ADEGUATI ALL'UTILIZZO. OP DERIVAZIONE D'IMPIANTO PUNTO LUCE, IN PARALLELO; IMPIEGO: DERIVAZIONE D'IMPIANTO A VISTA A PARETE/A SOFFITTO. INCLUSO: TUBO PROTETTIVO; CONDUTTORI DI ALIMENTAZIONE E DI TERRA; SCATOLE DA INCASSO; FRUTTI COMPONIBILI; PLACCHE; SUPPORTI; TASSELLI/GANCI. 
SPECIFICHE TECNICHE: IN PARALLELO AD UNA QUALSIASI DERIVAZIONE; PER IMPIANTI DI ENERGIA; GRADO DI PROTEZIONE IP55; REALIZZATO CON TUBO PROTETTIVO RIGIDO DI PLASTICA POLIVINILCLORURO (PVC) AUTOESTINGUENTE; CONDUTTORI DI ALIMENTAZIONE E DI TERRA DI LEGA RAME GENERICO RICOTTO ISOLATO CONFORMI AI REQUISITI PREVISTI DALLA NORMATIVA EUROPEA REGOLAMENTO UE 305/2011 - PRODOTTI DA COSTRUZIONE CPR; TIPOLOGIA CONDUTTORI E SEZIONE ADEGUATI ALL'UTILIZZO. 
RM DERIVAZIONE D'IMPIANTO PUNTO LUCE IN PARALLELO; IMPIEGO: DERIVAZIONE D'IMPIANTO A VISTA A PARETE/A SOFFITTO. INCLUSO: TUBO PROTETTIVO; CONDUTTORI DI ALIMENTAZIONE E DI TERRA; SCATOLE DA INCASSO; FRUTTI COMPONIBILI; PLACCHE; SUPPORTI; TASSELLI/GANCI 
SPECIFICHE TECNICHE: IN PARALLELO AD UNA QUALSIASI DERIVAZIONE; PER IMPIANTI DI ENERGIA; GRADO DI PROTEZIONE IP55; REALIZZATO CON TUBO PROTETTIVO RIGIDO DI PLASTICA POLIVINILCLORURO (PVC) AUTOESTINGUENTE; CONDUTTORI DI ALIMENTAZIONE E DI TERRA DI LEGA RAME GENERICO RICOTTO ISOLATO CONFORMI AI REQUISITI PREVISTI DALLA NORMATIVA EUROPEA REGOLAMENTO UE 305/2011 - PRODOTTI DA COSTRUZIONE CPR; TIPOLOGIA CONDUTTORI E SEZIONE ADEGUATI ALL'UTILIZZO 
LV INSTALLAZIONE IN OPERA. INCLUSO: LINEA DI COLLEGAMENTO ALLO SPECIFICO PUNTO DI ALIMENTAZIONE; FISSAGGIO DELLE CANALIZZAZIONI A MEZZO DI TASSELLI O GANCI; ASSISTENZA PER IL TRASPORTO DEI MATERIALI AL PIANO.</t>
        </is>
      </c>
      <c r="M423" s="4" t="inlineStr">
        <is>
          <t>CAD</t>
        </is>
      </c>
      <c r="N423" s="5" t="n">
        <v>2</v>
      </c>
      <c r="O423" s="6" t="n">
        <v>37.15</v>
      </c>
      <c r="P423" s="6" t="n">
        <v>74.3</v>
      </c>
      <c r="Q423" s="5" t="n"/>
      <c r="R423" s="6" t="n"/>
      <c r="S423" s="6">
        <f>IF(AND(Q423&lt;&gt;"",R423&lt;&gt;""),Q423*R423,"")</f>
        <v/>
      </c>
      <c r="T423" s="6">
        <f>IF(S423="",P423,S423)</f>
        <v/>
      </c>
      <c r="U423" s="7" t="n">
        <v>0</v>
      </c>
      <c r="V423" s="6">
        <f>$T423*U423</f>
        <v/>
      </c>
      <c r="W423" s="7" t="n">
        <v>0</v>
      </c>
      <c r="X423" s="6">
        <f>$T423*W423</f>
        <v/>
      </c>
      <c r="Y423" s="7" t="n">
        <v>0</v>
      </c>
      <c r="Z423" s="6">
        <f>$T423*Y423</f>
        <v/>
      </c>
      <c r="AA423" s="7" t="n">
        <v>0</v>
      </c>
      <c r="AB423" s="6">
        <f>$T423*AA423</f>
        <v/>
      </c>
      <c r="AC423" s="7" t="n">
        <v>0</v>
      </c>
      <c r="AD423" s="6">
        <f>$T423*AC423</f>
        <v/>
      </c>
      <c r="AE423" s="7" t="n">
        <v>0</v>
      </c>
      <c r="AF423" s="6">
        <f>$T423*AE423</f>
        <v/>
      </c>
      <c r="AG423" s="7" t="n">
        <v>0</v>
      </c>
      <c r="AH423" s="6">
        <f>$T423*AG423</f>
        <v/>
      </c>
      <c r="AI423" s="7">
        <f>U423+W423+Y423+AA423+AC423+AE423+AG423</f>
        <v/>
      </c>
      <c r="AJ423" s="6">
        <f>V423+X423+Z423+AB423+AD423+AF423+AH423</f>
        <v/>
      </c>
    </row>
    <row r="424" ht="60" customHeight="1" s="35">
      <c r="A424" s="3" t="inlineStr">
        <is>
          <t>LOM252.OC.EEA.PA01.G8237.ZA001.0760</t>
        </is>
      </c>
      <c r="B424" s="4" t="inlineStr">
        <is>
          <t>4/6</t>
        </is>
      </c>
      <c r="C424" s="3" t="inlineStr">
        <is>
          <t>IMPIANTO ELETTRICO</t>
        </is>
      </c>
      <c r="D424" s="4" t="inlineStr">
        <is>
          <t>NON SPECIALE</t>
        </is>
      </c>
      <c r="E424" s="4" t="inlineStr">
        <is>
          <t>ELETTRICHE</t>
        </is>
      </c>
      <c r="F424" s="3" t="inlineStr">
        <is>
          <t>3_CME IE RADIOFARMACIA PAVIA - REV02 VARIANTE ESECUTIVA.PDF</t>
        </is>
      </c>
      <c r="G424" s="4" t="inlineStr">
        <is>
          <t>125/125</t>
        </is>
      </c>
      <c r="H424" s="3" t="inlineStr">
        <is>
          <t>40 - IMPIANTISTICO</t>
        </is>
      </c>
      <c r="I424" s="3" t="inlineStr">
        <is>
          <t>CABINA DI TRASFORMAZIONE MT/BT</t>
        </is>
      </c>
      <c r="J424" s="3" t="inlineStr">
        <is>
          <t>IMPIANTO DI ILLUMINAZIONE</t>
        </is>
      </c>
      <c r="K424" s="3" t="inlineStr">
        <is>
          <t>OPERA: DERIVAZIONE D'IMPIANTO PUNTO LUCE, IN PARALLELO; IMPIEGO: DERIVAZIONE D'IMPIANTO A VISTA A PARETE/A SOFFITTO. INCLUSO: TUBO PROTETTIVO; CONDUTTORI DI ALIMENTAZIONE E DI TERRA; SCATOLE DA INCASS</t>
        </is>
      </c>
      <c r="L424" s="3" t="inlineStr">
        <is>
          <t>OPERA: DERIVAZIONE D'IMPIANTO PUNTO LUCE, IN PARALLELO; IMPIEGO: DERIVAZIONE D'IMPIANTO A VISTA A PARETE/A SOFFITTO. INCLUSO: TUBO PROTETTIVO; CONDUTTORI DI ALIMENTAZIONE E DI TERRA; SCATOLE DA INCASSO; FRUTTI COMPONIBILI; PLACCHE; SUPPORTI; TASSELLI/GANCI. 
LAVORO: INSTALLAZIONE IN OPERA. INCLUSO: LINEA DI COLLEGAMENTO ALLO SPECIFICO PUNTO DI ALIMENTAZIONE; FISSAGGIO DELLE CANALIZZAZIONI A MEZZO DI TASSELLI O GANCI; ASSISTENZA PER IL TRASPORTO DEI MATERIALI AL PIANO. 
SPECIFICHE TECNICHE: IN PARALLELO AD UNA QUALSIASI DERIVAZIONE; PER IMPIANTI DI ENERGIA; GRADO DI PROTEZIONE IP55; REALIZZATO CON TUBO PROTETTIVO RIGIDO DI PLASTICA POLIVINILCLORURO (PVC) AUTOESTINGUENTE; CONDUTTORI DI ALIMENTAZIONE E DI TERRA DI LEGA RAME GENERICO RICOTTO ISOLATO CONFORMI AI REQUISITI PREVISTI DALLA NORMATIVA EUROPEA REGOLAMENTO UE 305/2011 - PRODOTTI DA COSTRUZIONE CPR; TIPOLOGIA CONDUTTORI E SEZIONE ADEGUATI ALL'UTILIZZO. OP DERIVAZIONE D'IMPIANTO PUNTO LUCE, IN PARALLELO; IMPIEGO: DERIVAZIONE D'IMPIANTO A VISTA A PARETE/A SOFFITTO. INCLUSO: TUBO PROTETTIVO; CONDUTTORI DI ALIMENTAZIONE E DI TERRA; SCATOLE DA INCASSO; FRUTTI COMPONIBILI; PLACCHE; SUPPORTI; TASSELLI/GANCI. 
SPECIFICHE TECNICHE: IN PARALLELO AD UNA QUALSIASI DERIVAZIONE; PER IMPIANTI DI ENERGIA; GRADO DI PROTEZIONE IP55; REALIZZATO CON TUBO PROTETTIVO RIGIDO DI PLASTICA POLIVINILCLORURO (PVC) AUTOESTINGUENTE; CONDUTTORI DI ALIMENTAZIONE E DI TERRA DI LEGA RAME GENERICO RICOTTO ISOLATO CONFORMI AI REQUISITI PREVISTI DALLA NORMATIVA EUROPEA REGOLAMENTO UE 305/2011 - PRODOTTI DA COSTRUZIONE CPR; TIPOLOGIA CONDUTTORI E SEZIONE ADEGUATI ALL'UTILIZZO. 
RM DERIVAZIONE D'IMPIANTO PUNTO LUCE IN PARALLELO; IMPIEGO: DERIVAZIONE D'IMPIANTO A VISTA A PARETE/A SOFFITTO. INCLUSO: TUBO PROTETTIVO; CONDUTTORI DI ALIMENTAZIONE E DI TERRA; SCATOLE DA INCASSO; FRUTTI COMPONIBILI; PLACCHE; SUPPORTI; TASSELLI/GANCI 
SPECIFICHE TECNICHE: IN PARALLELO AD UNA QUALSIASI DERIVAZIONE; PER IMPIANTI DI ENERGIA; GRADO DI PROTEZIONE IP55; REALIZZATO CON TUBO PROTETTIVO RIGIDO DI PLASTICA POLIVINILCLORURO (PVC) AUTOESTINGUENTE; CONDUTTORI DI ALIMENTAZIONE E DI TERRA DI LEGA RAME GENERICO RICOTTO ISOLATO CONFORMI AI REQUISITI PREVISTI DALLA NORMATIVA EUROPEA REGOLAMENTO UE 305/2011 - PRODOTTI DA COSTRUZIONE CPR; TIPOLOGIA CONDUTTORI E SEZIONE ADEGUATI ALL'UTILIZZO 
LV INSTALLAZIONE IN OPERA. INCLUSO: LINEA DI COLLEGAMENTO ALLO SPECIFICO PUNTO DI ALIMENTAZIONE; FISSAGGIO DELLE CANALIZZAZIONI A MEZZO DI TASSELLI O GANCI; ASSISTENZA PER IL TRASPORTO DEI MATERIALI AL PIANO.</t>
        </is>
      </c>
      <c r="M424" s="4" t="inlineStr">
        <is>
          <t>CAD</t>
        </is>
      </c>
      <c r="N424" s="5" t="n">
        <v>2</v>
      </c>
      <c r="O424" s="6" t="n">
        <v>37.15</v>
      </c>
      <c r="P424" s="6" t="n">
        <v>74.3</v>
      </c>
      <c r="Q424" s="5" t="n"/>
      <c r="R424" s="6" t="n"/>
      <c r="S424" s="6">
        <f>IF(AND(Q424&lt;&gt;"",R424&lt;&gt;""),Q424*R424,"")</f>
        <v/>
      </c>
      <c r="T424" s="6">
        <f>IF(S424="",P424,S424)</f>
        <v/>
      </c>
      <c r="U424" s="7" t="n">
        <v>0</v>
      </c>
      <c r="V424" s="6">
        <f>$T424*U424</f>
        <v/>
      </c>
      <c r="W424" s="7" t="n">
        <v>0</v>
      </c>
      <c r="X424" s="6">
        <f>$T424*W424</f>
        <v/>
      </c>
      <c r="Y424" s="7" t="n">
        <v>0</v>
      </c>
      <c r="Z424" s="6">
        <f>$T424*Y424</f>
        <v/>
      </c>
      <c r="AA424" s="7" t="n">
        <v>0</v>
      </c>
      <c r="AB424" s="6">
        <f>$T424*AA424</f>
        <v/>
      </c>
      <c r="AC424" s="7" t="n">
        <v>0</v>
      </c>
      <c r="AD424" s="6">
        <f>$T424*AC424</f>
        <v/>
      </c>
      <c r="AE424" s="7" t="n">
        <v>0</v>
      </c>
      <c r="AF424" s="6">
        <f>$T424*AE424</f>
        <v/>
      </c>
      <c r="AG424" s="7" t="n">
        <v>0</v>
      </c>
      <c r="AH424" s="6">
        <f>$T424*AG424</f>
        <v/>
      </c>
      <c r="AI424" s="7">
        <f>U424+W424+Y424+AA424+AC424+AE424+AG424</f>
        <v/>
      </c>
      <c r="AJ424" s="6">
        <f>V424+X424+Z424+AB424+AD424+AF424+AH424</f>
        <v/>
      </c>
    </row>
    <row r="425" ht="60" customHeight="1" s="35">
      <c r="A425" s="3" t="inlineStr">
        <is>
          <t>LOM252.OC.EEA.PA01.G8210.ZA001.0590</t>
        </is>
      </c>
      <c r="B425" s="4" t="inlineStr">
        <is>
          <t>2/5</t>
        </is>
      </c>
      <c r="C425" s="3" t="inlineStr">
        <is>
          <t>IMPIANTO ELETTRICO</t>
        </is>
      </c>
      <c r="D425" s="4" t="inlineStr">
        <is>
          <t>NON SPECIALE</t>
        </is>
      </c>
      <c r="E425" s="4" t="inlineStr">
        <is>
          <t>ELETTRICHE</t>
        </is>
      </c>
      <c r="F425" s="3" t="inlineStr">
        <is>
          <t>3_CME IE RADIOFARMACIA PAVIA - REV02 VARIANTE ESECUTIVA.PDF</t>
        </is>
      </c>
      <c r="G425" s="4" t="inlineStr">
        <is>
          <t>126/126</t>
        </is>
      </c>
      <c r="H425" s="3" t="inlineStr">
        <is>
          <t>40 - IMPIANTISTICO</t>
        </is>
      </c>
      <c r="I425" s="3" t="inlineStr">
        <is>
          <t>CABINA DI TRASFORMAZIONE MT/BT</t>
        </is>
      </c>
      <c r="J425" s="3" t="inlineStr">
        <is>
          <t>IMPIANTO DI ILLUMINAZIONE</t>
        </is>
      </c>
      <c r="K425" s="3" t="inlineStr">
        <is>
          <t>OPERA: CORPO ILLUMINANTE, LED; FUNZIONE: ILLUMINAZIONE DI EMERGENZA; AUTONOMIA [H] = 1 / 2 | FLUSSO LUMINOSO SE [LM] = 250 / 130 | FLUSSO LUMINOSO SA [LM] = 110. INCLUSO: LED MULTICOLORE. ESCLUSO: ACC</t>
        </is>
      </c>
      <c r="L425" s="3" t="inlineStr">
        <is>
          <t>OPERA: CORPO ILLUMINANTE, LED; FUNZIONE: ILLUMINAZIONE DI EMERGENZA; AUTONOMIA [H] = 1 / 2 | FLUSSO LUMINOSO SE [LM] = 250 / 130 | FLUSSO LUMINOSO SA [LM] = 110. INCLUSO: LED MULTICOLORE. ESCLUSO: ACCESSORIO MODULO AGGIUNTIVO. 
LAVORO: INSTALLAZIONE. 
SPECIFICHE TECNICHE: GRADO SI PROTEZIONE IP66, COMMUTABILE IN VERSIONE SE E SA,  COMMUTABILE IN VERSIONE SE E SA, DOTATO DI SISITEMA AUTOMATICO DI TEST DELL'AUTONOMIA (COMPRENDENTE IL CONTROLLO DI TUTTE LE FUNZIONI DELLA LAMPADA) IN UN ARCO DI TEMPO PARI ALL'AUTONOMIA RICHIESTA DALLE SINGOLE NORMATIVE RISULTATO E  VISUALIZZATO CON LED MULTICOLORE, INSTALLABILE A PARETE, A PLAFONE, A BANDIERA E A INCASSO,  PREDISPOSTO PER INSERIMENTO MODULO AGGIUNTIVO. OP CORPO ILLUMINANTE, LED; FUNZIONE: ILLUMINAZIONE DI EMERGENZA; AUTONOMIA [H] = 1 / 2 | FLUSSO LUMINOSO SE [LM] = 250 / 130 | FLUSSO LUMINOSO SA [LM] = 110. INCLUSO: LED MULTICOLORE. ESCLUSO: ACCESSORIO MODULO AGGIUNTIVO. 
SPECIFICHE TECNICHE: GRADO SI PROTEZIONE IP66, COMMUTABILE IN VERSIONE SE E SA,  COMMUTABILE IN VERSIONE SE E SA, DOTATO DI SISITEMA AUTOMATICO DI TEST DELL'AUTONOMIA (COMPRENDENTE IL CONTROLLO DI TUTTE LE FUNZIONI DELLA LAMPADA) IN UN ARCO DI TEMPO PARI ALL'AUTONOMIA RICHIESTA DALLE SINGOLE NORMATIVE RISULTATO E  VISUALIZZATO CON LED MULTICOLORE, INSTALLABILE A PARETE, A PLAFONE, A BANDIERA E A INCASSO,  PREDISPOSTO PER INSERIMENTO MODULO AGGIUNTIVO. 
RM CORPO ILLUMINANTE LED; FUNZIONE: ILLUMINAZIONE DI EMERGENZA; AUTONOMIA [H] = 1 / 2 | FLUSSO LUMINOSO SE [LM] = 250 / 130 | FLUSSO LUMINOSO SA [LM] = 110. COMPONENTE: BATTERIA TITANIO, . INCLUSO: LED MULTICOLORE. ESCLUSO: ACCESSORIO MODULO AGGIUNTIVO 
SPECIFICHE TECNICHE: GRADO SI PROTEZIONE IP66, COMMUTABILE IN VERSIONE SE E SA,  COMMUTABILE IN VERSIONE SE E SA, DOTATO DI SISITEMA AUTOMATICO DI TEST DELL'AUTONOMIA (COMPRENDENTE IL CONTROLLO DI TUTTE LE FUNZIONI DELLA LAMPADA) IN UN ARCO DI TEMPO PARI ALL'AUTONOMIA RICHIESTA DALLE SINGOLE NORMATIVE RISULTATO E  VISUALIZZATO CON LED MULTICOLORE, INSTALLABILE A PARETE, A PLAFONE, A BANDIERA E A INCASSO,  PREDISPOSTO PER INSERIMENTO MODULO AGGIUNTIVO 
LV INSTALLAZIONE.</t>
        </is>
      </c>
      <c r="M425" s="4" t="inlineStr">
        <is>
          <t>CAD</t>
        </is>
      </c>
      <c r="N425" s="5" t="n">
        <v>2</v>
      </c>
      <c r="O425" s="6" t="n">
        <v>85.11</v>
      </c>
      <c r="P425" s="6" t="n">
        <v>170.22</v>
      </c>
      <c r="Q425" s="5" t="n"/>
      <c r="R425" s="6" t="n"/>
      <c r="S425" s="6">
        <f>IF(AND(Q425&lt;&gt;"",R425&lt;&gt;""),Q425*R425,"")</f>
        <v/>
      </c>
      <c r="T425" s="6">
        <f>IF(S425="",P425,S425)</f>
        <v/>
      </c>
      <c r="U425" s="7" t="n">
        <v>0</v>
      </c>
      <c r="V425" s="6">
        <f>$T425*U425</f>
        <v/>
      </c>
      <c r="W425" s="7" t="n">
        <v>0</v>
      </c>
      <c r="X425" s="6">
        <f>$T425*W425</f>
        <v/>
      </c>
      <c r="Y425" s="7" t="n">
        <v>0</v>
      </c>
      <c r="Z425" s="6">
        <f>$T425*Y425</f>
        <v/>
      </c>
      <c r="AA425" s="7" t="n">
        <v>0</v>
      </c>
      <c r="AB425" s="6">
        <f>$T425*AA425</f>
        <v/>
      </c>
      <c r="AC425" s="7" t="n">
        <v>0</v>
      </c>
      <c r="AD425" s="6">
        <f>$T425*AC425</f>
        <v/>
      </c>
      <c r="AE425" s="7" t="n">
        <v>0</v>
      </c>
      <c r="AF425" s="6">
        <f>$T425*AE425</f>
        <v/>
      </c>
      <c r="AG425" s="7" t="n">
        <v>0</v>
      </c>
      <c r="AH425" s="6">
        <f>$T425*AG425</f>
        <v/>
      </c>
      <c r="AI425" s="7">
        <f>U425+W425+Y425+AA425+AC425+AE425+AG425</f>
        <v/>
      </c>
      <c r="AJ425" s="6">
        <f>V425+X425+Z425+AB425+AD425+AF425+AH425</f>
        <v/>
      </c>
    </row>
    <row r="426" ht="60" customHeight="1" s="35">
      <c r="A426" s="3" t="inlineStr">
        <is>
          <t>IE_NP_ILLORD01</t>
        </is>
      </c>
      <c r="B426" s="4" t="inlineStr">
        <is>
          <t>2/5</t>
        </is>
      </c>
      <c r="C426" s="3" t="inlineStr">
        <is>
          <t>IMPIANTO ELETTRICO</t>
        </is>
      </c>
      <c r="D426" s="4" t="inlineStr">
        <is>
          <t>NON SPECIALE</t>
        </is>
      </c>
      <c r="E426" s="4" t="inlineStr">
        <is>
          <t>ELETTRICHE</t>
        </is>
      </c>
      <c r="F426" s="3" t="inlineStr">
        <is>
          <t>3_CME IE RADIOFARMACIA PAVIA - REV02 VARIANTE ESECUTIVA.PDF</t>
        </is>
      </c>
      <c r="G426" s="4" t="inlineStr">
        <is>
          <t>127/127</t>
        </is>
      </c>
      <c r="H426" s="3" t="inlineStr">
        <is>
          <t>40 - IMPIANTISTICO</t>
        </is>
      </c>
      <c r="I426" s="3" t="inlineStr">
        <is>
          <t>CABINA DI TRASFORMAZIONE MT/BT</t>
        </is>
      </c>
      <c r="J426" s="3" t="inlineStr">
        <is>
          <t>IMPIANTO DI ILLUMINAZIONE</t>
        </is>
      </c>
      <c r="K426" s="3" t="inlineStr">
        <is>
          <t>FORNITURA E POSA IN OPERA DI APPARECCHIO ILLUMINANTE INDUSTRIALE DI TIPO STAGNO INSTALLATO A PLAFONE E/O A SOSPENSIONE E TUTTI GLI ACCESSORI NECESSARI PER IL PERFETTO FUNZIONAMENTO DEL CORPO ILLUMINAN</t>
        </is>
      </c>
      <c r="L426" s="3" t="inlineStr">
        <is>
          <t>FORNITURA E POSA IN OPERA DI APPARECCHIO ILLUMINANTE INDUSTRIALE DI TIPO STAGNO INSTALLATO A PLAFONE E/O A SOSPENSIONE E TUTTI GLI ACCESSORI NECESSARI PER IL PERFETTO FUNZIONAMENTO DEL CORPO ILLUMINANTE. 
CARATTERISTICHE GENERALI: 
CLASSIFICAZIONE RISCHIO FOTOBIOLOGICO: RG0 GRUPPO ESENTE. 
TEMPERATURA COLORE 4000K 
POTENZA ASSORBITA (W TOT) 34W 
FLUSSO LUMINOSO USCENTE 5194LM 
CRI &gt;=80 
CLASSE DI ISOLAMENTO I 
LOW FLICKER &lt;3% 
GRADO DI PROTEZIONE IP66 
PESO 1.8KG 
NORME DI RIFERIMENTO EN 60598-1, EN 60598-2-1, EN 62471, UNI EN 13032-1:2012, UNI EN 13032-4:2015, IES LM-79-08 
MANTENIMENTO DEL FLUSSO LUMINOSO LED L80B20: 50.000H  
CARATTERISTICHE ELETTRICHE DI PILOTAGGIO 
ALIMENTAZIONE ELETTRONICA 230V-50/60HZ, 
FATTORE DI POTENZA ≥0,95 
MATERIALI 
CORPO: STAMPATO AD INIEZIONE IN POLICARBONATO GRIGIO, INFRANGIBILE, STABILIZZATO AI RAGGI UV, DI ELEVATA RESISTENZA MECCANICA GRAZIE ALLA STRUTTURA RINFORZATA DA NERVATURE INTERNE. 
DIFFUSORE: STAMPATO AD INIEZIONE IN POLICARBONATO CON RIGHE INTERNE PER UN MAGGIOR CONTROLLO LUMINOSO, AUTOESTINGUENTE V2, STABILIZZATO AI RAGGI UV, FINITURA ESTERNA LISCIA PER FACILITARE LA PULIZIA NECESSARIA PER AVERE LA MASSIMA EFFICIENZA LUMINOSA. IL POLICARBONATO UTILIZZATO È DI PRIMA SCELTA E STABILIZZATO AI RAGGI U.V. LA LAVORAZIONE ELIMINA L’EFFETTO DELL’ABBAGLIAMENTO MA NON DIMINUISCE IL RENDIMENTO. POLICARBONATO CON OTTIMO COEFFICIENTE DI DIFFUSIONE E DI TRASMISSIONE DELLA LUCE. CHIUSURA A INCASTRO E CON VITI DI SICUREZZA IN ACCIAIO INOX. 
RIFLETTORE IN ACCIAIO ZINCATO PREVERNICIATO BIANCO A FORNO CON RESINA POLIESTERE STABILIZZATO AI RAGGI UV. FISSATO AL CORPO CON INNESTO RAPIDO MEDIANTE DISPOSITIVO RICAVATO DIRETTAMENTE SUL CORPO. 
SONO COMPRESI LA MANODOPERA, GLI ALLACCIAMENTI ELETTRICI, GLI ACCESSORI DI MONTAGGIO, FISSAGGIO, ALIMENTAZIONE, SOSTEGNO, OGNI ONERE ACCESSORIO PER L’INSTALLAZIONE DELLA PLAFONIERA COME DA PROGETTO E MATERIALI DI CONSUMO. 
APPARECCHIO DISANO - MODELLO 960 HYDRO LED - MONEY SAVING  - ART. 164754-00 O EQUIVALENTE APPROVATO</t>
        </is>
      </c>
      <c r="M426" s="4" t="inlineStr">
        <is>
          <t>CADAUNO</t>
        </is>
      </c>
      <c r="N426" s="5" t="n">
        <v>3</v>
      </c>
      <c r="O426" s="6" t="n">
        <v>86.06</v>
      </c>
      <c r="P426" s="6" t="n">
        <v>258.18</v>
      </c>
      <c r="Q426" s="5" t="n"/>
      <c r="R426" s="6" t="n"/>
      <c r="S426" s="6">
        <f>IF(AND(Q426&lt;&gt;"",R426&lt;&gt;""),Q426*R426,"")</f>
        <v/>
      </c>
      <c r="T426" s="6">
        <f>IF(S426="",P426,S426)</f>
        <v/>
      </c>
      <c r="U426" s="7" t="n">
        <v>0</v>
      </c>
      <c r="V426" s="6">
        <f>$T426*U426</f>
        <v/>
      </c>
      <c r="W426" s="7" t="n">
        <v>0</v>
      </c>
      <c r="X426" s="6">
        <f>$T426*W426</f>
        <v/>
      </c>
      <c r="Y426" s="7" t="n">
        <v>0</v>
      </c>
      <c r="Z426" s="6">
        <f>$T426*Y426</f>
        <v/>
      </c>
      <c r="AA426" s="7" t="n">
        <v>0</v>
      </c>
      <c r="AB426" s="6">
        <f>$T426*AA426</f>
        <v/>
      </c>
      <c r="AC426" s="7" t="n">
        <v>0</v>
      </c>
      <c r="AD426" s="6">
        <f>$T426*AC426</f>
        <v/>
      </c>
      <c r="AE426" s="7" t="n">
        <v>0</v>
      </c>
      <c r="AF426" s="6">
        <f>$T426*AE426</f>
        <v/>
      </c>
      <c r="AG426" s="7" t="n">
        <v>0</v>
      </c>
      <c r="AH426" s="6">
        <f>$T426*AG426</f>
        <v/>
      </c>
      <c r="AI426" s="7">
        <f>U426+W426+Y426+AA426+AC426+AE426+AG426</f>
        <v/>
      </c>
      <c r="AJ426" s="6">
        <f>V426+X426+Z426+AB426+AD426+AF426+AH426</f>
        <v/>
      </c>
    </row>
    <row r="427" ht="60" customHeight="1" s="35">
      <c r="A427" s="3" t="inlineStr">
        <is>
          <t>LOM252.OC.EEA.PA01.G8235.ZA001.0270</t>
        </is>
      </c>
      <c r="B427" s="4" t="inlineStr">
        <is>
          <t>2/4</t>
        </is>
      </c>
      <c r="C427" s="3" t="inlineStr">
        <is>
          <t>IMPIANTO ELETTRICO</t>
        </is>
      </c>
      <c r="D427" s="4" t="inlineStr">
        <is>
          <t>NON SPECIALE</t>
        </is>
      </c>
      <c r="E427" s="4" t="inlineStr">
        <is>
          <t>ELETTRICHE</t>
        </is>
      </c>
      <c r="F427" s="3" t="inlineStr">
        <is>
          <t>3_CME IE RADIOFARMACIA PAVIA - REV02 VARIANTE ESECUTIVA.PDF</t>
        </is>
      </c>
      <c r="G427" s="4" t="inlineStr">
        <is>
          <t>128/128</t>
        </is>
      </c>
      <c r="H427" s="3" t="inlineStr">
        <is>
          <t>40 - IMPIANTISTICO</t>
        </is>
      </c>
      <c r="I427" s="3" t="inlineStr">
        <is>
          <t>CABINA DI TRASFORMAZIONE MT/BT</t>
        </is>
      </c>
      <c r="J427" s="3" t="inlineStr">
        <is>
          <t>IMPIANTO DI FORZA MOTRICE</t>
        </is>
      </c>
      <c r="K427" s="3" t="inlineStr">
        <is>
          <t>OPERA: DERIVAZIONE D'IMPIANTO PRESA, BIPASSO; FUNZIONE: PRESA DI CORRENTE; IMPIEGO: DERIVAZIONE D'IMPIANTO A VISTA A PARETE/A SOFFITTO; CORRENTE NOMINALE 1 [A] = 10 | CORRENTE NOMINALE 2 [A] = 16 | GR</t>
        </is>
      </c>
      <c r="L427" s="3" t="inlineStr">
        <is>
          <t>OPERA: DERIVAZIONE D'IMPIANTO PRESA, BIPASSO; FUNZIONE: PRESA DI CORRENTE; IMPIEGO: DERIVAZIONE D'IMPIANTO A VISTA A PARETE/A SOFFITTO; CORRENTE NOMINALE 1 [A] = 10 | CORRENTE NOMINALE 2 [A] = 16 | GRADO DI SICUREZZA [-] = 2.2; N° PRESE [-] = 1 + T. INCLUSO: TUBO PROTETTIVO; CONDUTTORI DI ALIMENTAZIONE E DI TERRA; SCATOLE DA INCASSO; FRUTTI COMPONIBILI; PLACCHE; SUPPORTI; TASSELLI/GANCI. 
LAVORO: INSTALLAZIONE IN OPERA. INCLUSO: LINEA DI COLLEGAMENTO ALLO SPECIFICO PUNTO DI ALIMENTAZIONE; FISSAGGIO DELLE CANALIZZAZIONI A MEZZO DI TASSELLI O GANCI; ASSISTENZA PER IL TRASPORTO DEI MATERIALI AL PIANO. 
SPECIFICHE TECNICHE: PER IMPIANTI DI ENERGIA; GRADO DI PROTEZIONE IP55; REALIZZATO CON TUBO PROTETTIVO RIGIDO DI PLASTICA POLIVINILCLORURO (PVC) AUTOESTINGUENTE; CONDUTTORI DI ALIMENTAZIONE E DI TERRA DI LEGA RAME GENERICO RICOTTO ISOLATO CONFORMI AI REQUISITI PREVISTI DALLA NORMATIVA EUROPEA REGOLAMENTO UE 305/2011 - PRODOTTI DA COSTRUZIONE CPR; TIPOLOGIA CONDUTTORI E SEZIONE ADEGUATI ALL'UTILIZZO. OP DERIVAZIONE D'IMPIANTO PRESA, BIPASSO; FUNZIONE: PRESA DI CORRENTE; IMPIEGO: DERIVAZIONE D'IMPIANTO A VISTA A PARETE/A SOFFITTO; CORRENTE NOMINALE 1 [A] = 10 | CORRENTE NOMINALE 2 [A] = 16 | GRADO DI SICUREZZA [-] = 2.2; N° PRESE [-] = 1 + T. INCLUSO: TUBO PROTETTIVO; CONDUTTORI DI ALIMENTAZIONE E DI TERRA; SCATOLE DA INCASSO; FRUTTI COMPONIBILI; PLACCHE; SUPPORTI; TASSELLI/GANCI. 
SPECIFICHE TECNICHE: PER IMPIANTI DI ENERGIA; GRADO DI PROTEZIONE IP55; REALIZZATO CON TUBO PROTETTIVO RIGIDO DI PLASTICA POLIVINILCLORURO (PVC) AUTOESTINGUENTE; CONDUTTORI DI ALIMENTAZIONE E DI TERRA DI LEGA RAME GENERICO RICOTTO ISOLATO CONFORMI AI REQUISITI PREVISTI DALLA NORMATIVA EUROPEA REGOLAMENTO UE 305/2011 - PRODOTTI DA COSTRUZIONE CPR; TIPOLOGIA CONDUTTORI E SEZIONE ADEGUATI ALL'UTILIZZO. 
RM DERIVAZIONE D'IMPIANTO PRESA BIPASSO; FUNZIONE: PRESA DI CORRENTE; IMPIEGO: DERIVAZIONE D'IMPIANTO A VISTA A PARETE/A SOFFITTO; CORRENTE NOMINALE 1 [A] = 10 | CORRENTE NOMINALE 2 [A] = 16 | GRADO DI SICUREZZA [-] = 2.2; N° PRESE [-] = 2 + T. INCLUSO: TUBO PROTETTIVO; CONDUTTORI DI ALIMENTAZIONE E DI TERRA; SCATOLE DA INCASSO; FRUTTI COMPONIBILI; PLACCHE; SUPPORTI; TASSELLI/GANCI 
SPECIFICHE TECNICHE: PER IMPIANTI DI ENERGIA; GRADO DI PROTEZIONE IP55; REALIZZATO CON TUBO PROTETTIVO RIGIDO DI PLASTICA POLIVINILCLORURO (PVC) AUTOESTINGUENTE; CONDUTTORI DI ALIMENTAZIONE E DI TERRA DI LEGA RAME GENERICO RICOTTO ISOLATO CONFORMI AI REQUISITI PREVISTI DALLA NORMATIVA EUROPEA REGOLAMENTO UE 305/2011 - PRODOTTI DA COSTRUZIONE CPR; TIPOLOGIA CONDUTTORI E SEZIONE ADEGUATI ALL'UTILIZZO 
LV INSTALLAZIONE IN OPERA. INCLUSO: LINEA DI COLLEGAMENTO ALLO SPECIFICO PUNTO DI ALIMENTAZIONE; FISSAGGIO DELLE CANALIZZAZIONI A MEZZO DI TASSELLI O GANCI; ASSISTENZA PER IL TRASPORTO DEI MATERIALI AL PIANO.</t>
        </is>
      </c>
      <c r="M427" s="4" t="inlineStr">
        <is>
          <t>CAD</t>
        </is>
      </c>
      <c r="N427" s="5" t="n">
        <v>2</v>
      </c>
      <c r="O427" s="6" t="n">
        <v>65.22</v>
      </c>
      <c r="P427" s="6" t="n">
        <v>130.44</v>
      </c>
      <c r="Q427" s="5" t="n"/>
      <c r="R427" s="6" t="n"/>
      <c r="S427" s="6">
        <f>IF(AND(Q427&lt;&gt;"",R427&lt;&gt;""),Q427*R427,"")</f>
        <v/>
      </c>
      <c r="T427" s="6">
        <f>IF(S427="",P427,S427)</f>
        <v/>
      </c>
      <c r="U427" s="7" t="n">
        <v>0</v>
      </c>
      <c r="V427" s="6">
        <f>$T427*U427</f>
        <v/>
      </c>
      <c r="W427" s="7" t="n">
        <v>0</v>
      </c>
      <c r="X427" s="6">
        <f>$T427*W427</f>
        <v/>
      </c>
      <c r="Y427" s="7" t="n">
        <v>0</v>
      </c>
      <c r="Z427" s="6">
        <f>$T427*Y427</f>
        <v/>
      </c>
      <c r="AA427" s="7" t="n">
        <v>0</v>
      </c>
      <c r="AB427" s="6">
        <f>$T427*AA427</f>
        <v/>
      </c>
      <c r="AC427" s="7" t="n">
        <v>0</v>
      </c>
      <c r="AD427" s="6">
        <f>$T427*AC427</f>
        <v/>
      </c>
      <c r="AE427" s="7" t="n">
        <v>0</v>
      </c>
      <c r="AF427" s="6">
        <f>$T427*AE427</f>
        <v/>
      </c>
      <c r="AG427" s="7" t="n">
        <v>0</v>
      </c>
      <c r="AH427" s="6">
        <f>$T427*AG427</f>
        <v/>
      </c>
      <c r="AI427" s="7">
        <f>U427+W427+Y427+AA427+AC427+AE427+AG427</f>
        <v/>
      </c>
      <c r="AJ427" s="6">
        <f>V427+X427+Z427+AB427+AD427+AF427+AH427</f>
        <v/>
      </c>
    </row>
    <row r="428" ht="60" customHeight="1" s="35">
      <c r="A428" s="3" t="inlineStr">
        <is>
          <t>LOM252.OC.EEA.PA02.G8231.ZA001.1000</t>
        </is>
      </c>
      <c r="B428" s="4" t="inlineStr">
        <is>
          <t>2/5</t>
        </is>
      </c>
      <c r="C428" s="3" t="inlineStr">
        <is>
          <t>IMPIANTO ELETTRICO</t>
        </is>
      </c>
      <c r="D428" s="4" t="inlineStr">
        <is>
          <t>NON SPECIALE</t>
        </is>
      </c>
      <c r="E428" s="4" t="inlineStr">
        <is>
          <t>ELETTRICHE</t>
        </is>
      </c>
      <c r="F428" s="3" t="inlineStr">
        <is>
          <t>3_CME IE RADIOFARMACIA PAVIA - REV02 VARIANTE ESECUTIVA.PDF</t>
        </is>
      </c>
      <c r="G428" s="4" t="inlineStr">
        <is>
          <t>129/129</t>
        </is>
      </c>
      <c r="H428" s="3" t="inlineStr">
        <is>
          <t>40 - IMPIANTISTICO</t>
        </is>
      </c>
      <c r="I428" s="3" t="inlineStr">
        <is>
          <t>CABINA DI TRASFORMAZIONE MT/BT</t>
        </is>
      </c>
      <c r="J428" s="3" t="inlineStr">
        <is>
          <t>IMPIANTO DI FORZA MOTRICE</t>
        </is>
      </c>
      <c r="K428" s="3" t="inlineStr">
        <is>
          <t xml:space="preserve">OPERA: PRESA; CORRENTE NOMINALE [A] = 10/16; N° POLI [-] = 2P+T. </t>
        </is>
      </c>
      <c r="L428" s="3" t="inlineStr">
        <is>
          <t>OPERA: PRESA; CORRENTE NOMINALE [A] = 10/16; N° POLI [-] = 2P+T. 
LAVORO: POSA. 
SPECIFICHE TECNICHE: UNEL BIVALENTE MODULARE. OP PRESA; CORRENTE NOMINALE [A] = 10/16; N° POLI [-] = 2P+T. 
SPECIFICHE TECNICHE: UNEL BIVALENTE MODULARE. 
RM PRESA; CORRENTE NOMINALE [A] = 10/16; N° POLI [-] = 2P+T 
SPECIFICHE TECNICHE: UNEL BIVALENTE MODULARE 
LV POSA.</t>
        </is>
      </c>
      <c r="M428" s="4" t="inlineStr">
        <is>
          <t>CAD</t>
        </is>
      </c>
      <c r="N428" s="5" t="n">
        <v>2</v>
      </c>
      <c r="O428" s="6" t="n">
        <v>71.15000000000001</v>
      </c>
      <c r="P428" s="6" t="n">
        <v>142.3</v>
      </c>
      <c r="Q428" s="5" t="n"/>
      <c r="R428" s="6" t="n"/>
      <c r="S428" s="6">
        <f>IF(AND(Q428&lt;&gt;"",R428&lt;&gt;""),Q428*R428,"")</f>
        <v/>
      </c>
      <c r="T428" s="6">
        <f>IF(S428="",P428,S428)</f>
        <v/>
      </c>
      <c r="U428" s="7" t="n">
        <v>0</v>
      </c>
      <c r="V428" s="6">
        <f>$T428*U428</f>
        <v/>
      </c>
      <c r="W428" s="7" t="n">
        <v>0</v>
      </c>
      <c r="X428" s="6">
        <f>$T428*W428</f>
        <v/>
      </c>
      <c r="Y428" s="7" t="n">
        <v>0</v>
      </c>
      <c r="Z428" s="6">
        <f>$T428*Y428</f>
        <v/>
      </c>
      <c r="AA428" s="7" t="n">
        <v>0</v>
      </c>
      <c r="AB428" s="6">
        <f>$T428*AA428</f>
        <v/>
      </c>
      <c r="AC428" s="7" t="n">
        <v>0</v>
      </c>
      <c r="AD428" s="6">
        <f>$T428*AC428</f>
        <v/>
      </c>
      <c r="AE428" s="7" t="n">
        <v>0</v>
      </c>
      <c r="AF428" s="6">
        <f>$T428*AE428</f>
        <v/>
      </c>
      <c r="AG428" s="7" t="n">
        <v>0</v>
      </c>
      <c r="AH428" s="6">
        <f>$T428*AG428</f>
        <v/>
      </c>
      <c r="AI428" s="7">
        <f>U428+W428+Y428+AA428+AC428+AE428+AG428</f>
        <v/>
      </c>
      <c r="AJ428" s="6">
        <f>V428+X428+Z428+AB428+AD428+AF428+AH428</f>
        <v/>
      </c>
    </row>
    <row r="429" ht="60" customHeight="1" s="35">
      <c r="A429" s="3" t="inlineStr">
        <is>
          <t>DEIELE251_075016D</t>
        </is>
      </c>
      <c r="B429" s="4" t="inlineStr">
        <is>
          <t>3/5</t>
        </is>
      </c>
      <c r="C429" s="3" t="inlineStr">
        <is>
          <t>IMPIANTO ELETTRICO</t>
        </is>
      </c>
      <c r="D429" s="4" t="inlineStr">
        <is>
          <t>NON SPECIALE</t>
        </is>
      </c>
      <c r="E429" s="4" t="inlineStr">
        <is>
          <t>ELETTRICHE</t>
        </is>
      </c>
      <c r="F429" s="3" t="inlineStr">
        <is>
          <t>3_CME IE RADIOFARMACIA PAVIA - REV02 VARIANTE ESECUTIVA.PDF</t>
        </is>
      </c>
      <c r="G429" s="4" t="inlineStr">
        <is>
          <t>130/130</t>
        </is>
      </c>
      <c r="H429" s="3" t="inlineStr">
        <is>
          <t>40 - IMPIANTISTICO</t>
        </is>
      </c>
      <c r="I429" s="3" t="inlineStr">
        <is>
          <t>CABINA BT</t>
        </is>
      </c>
      <c r="J429" s="3" t="inlineStr">
        <is>
          <t>IMPIANTO DI MESSA A TERRA</t>
        </is>
      </c>
      <c r="K429" s="3" t="inlineStr">
        <is>
          <t>BARRA EQUIPOTENZIALE INDUSTRIALE NUDA, CON VITERIA IN ACCIAIO INOSSIDABILE PER SERRAGGIO CAPICORDA, INSTALLATA A MURO COMPLETA DI ISOLATORI IN DUROPLASTICO ED ACCESSORI DI FISSAGGIO: IN ACCIAIO INOSSI</t>
        </is>
      </c>
      <c r="L429" s="3" t="inlineStr">
        <is>
          <t>BARRA EQUIPOTENZIALE INDUSTRIALE NUDA, CON VITERIA IN ACCIAIO INOSSIDABILE PER SERRAGGIO CAPICORDA, INSTALLATA A MURO COMPLETA DI ISOLATORI IN DUROPLASTICO ED ACCESSORI DI FISSAGGIO: IN ACCIAIO INOSSIDABILE, DIMENSIONI: 500 X 40 X 5 MM, PER 12 COLLEGAMENTI</t>
        </is>
      </c>
      <c r="M429" s="4" t="inlineStr">
        <is>
          <t>CAD</t>
        </is>
      </c>
      <c r="N429" s="5" t="n">
        <v>1</v>
      </c>
      <c r="O429" s="6" t="n">
        <v>142.3</v>
      </c>
      <c r="P429" s="6" t="n">
        <v>142.3</v>
      </c>
      <c r="Q429" s="5" t="n"/>
      <c r="R429" s="6" t="n"/>
      <c r="S429" s="6">
        <f>IF(AND(Q429&lt;&gt;"",R429&lt;&gt;""),Q429*R429,"")</f>
        <v/>
      </c>
      <c r="T429" s="6">
        <f>IF(S429="",P429,S429)</f>
        <v/>
      </c>
      <c r="U429" s="7" t="n">
        <v>0</v>
      </c>
      <c r="V429" s="6">
        <f>$T429*U429</f>
        <v/>
      </c>
      <c r="W429" s="7" t="n">
        <v>0</v>
      </c>
      <c r="X429" s="6">
        <f>$T429*W429</f>
        <v/>
      </c>
      <c r="Y429" s="7" t="n">
        <v>0</v>
      </c>
      <c r="Z429" s="6">
        <f>$T429*Y429</f>
        <v/>
      </c>
      <c r="AA429" s="7" t="n">
        <v>0</v>
      </c>
      <c r="AB429" s="6">
        <f>$T429*AA429</f>
        <v/>
      </c>
      <c r="AC429" s="7" t="n">
        <v>0</v>
      </c>
      <c r="AD429" s="6">
        <f>$T429*AC429</f>
        <v/>
      </c>
      <c r="AE429" s="7" t="n">
        <v>0</v>
      </c>
      <c r="AF429" s="6">
        <f>$T429*AE429</f>
        <v/>
      </c>
      <c r="AG429" s="7" t="n">
        <v>0</v>
      </c>
      <c r="AH429" s="6">
        <f>$T429*AG429</f>
        <v/>
      </c>
      <c r="AI429" s="7">
        <f>U429+W429+Y429+AA429+AC429+AE429+AG429</f>
        <v/>
      </c>
      <c r="AJ429" s="6">
        <f>V429+X429+Z429+AB429+AD429+AF429+AH429</f>
        <v/>
      </c>
    </row>
    <row r="430" ht="18" customHeight="1" s="35">
      <c r="A430" s="3" t="inlineStr">
        <is>
          <t>DEIELE251_015005</t>
        </is>
      </c>
      <c r="B430" s="4" t="inlineStr">
        <is>
          <t>3/3</t>
        </is>
      </c>
      <c r="C430" s="3" t="inlineStr">
        <is>
          <t>IMPIANTO ELETTRICO</t>
        </is>
      </c>
      <c r="D430" s="4" t="inlineStr">
        <is>
          <t>NON SPECIALE</t>
        </is>
      </c>
      <c r="E430" s="4" t="inlineStr">
        <is>
          <t>ELETTRICHE</t>
        </is>
      </c>
      <c r="F430" s="3" t="inlineStr">
        <is>
          <t>3_CME IE RADIOFARMACIA PAVIA - REV02 VARIANTE ESECUTIVA.PDF</t>
        </is>
      </c>
      <c r="G430" s="4" t="inlineStr">
        <is>
          <t>131/131</t>
        </is>
      </c>
      <c r="H430" s="3" t="inlineStr">
        <is>
          <t>40 - IMPIANTISTICO</t>
        </is>
      </c>
      <c r="I430" s="3" t="inlineStr">
        <is>
          <t>CABINA BT</t>
        </is>
      </c>
      <c r="J430" s="3" t="inlineStr">
        <is>
          <t>IMPIANTO DI MESSA A TERRA</t>
        </is>
      </c>
      <c r="K430" s="3" t="inlineStr">
        <is>
          <t>COLLEGAMENTO EQUIPOTENZIALE PER VANO</t>
        </is>
      </c>
      <c r="L430" s="3" t="inlineStr">
        <is>
          <t>COLLEGAMENTO EQUIPOTENZIALE PER VANO</t>
        </is>
      </c>
      <c r="M430" s="4" t="inlineStr">
        <is>
          <t>CAD</t>
        </is>
      </c>
      <c r="N430" s="5" t="n">
        <v>1</v>
      </c>
      <c r="O430" s="6" t="n">
        <v>142.3</v>
      </c>
      <c r="P430" s="6" t="n">
        <v>142.3</v>
      </c>
      <c r="Q430" s="5" t="n"/>
      <c r="R430" s="6" t="n"/>
      <c r="S430" s="6">
        <f>IF(AND(Q430&lt;&gt;"",R430&lt;&gt;""),Q430*R430,"")</f>
        <v/>
      </c>
      <c r="T430" s="6">
        <f>IF(S430="",P430,S430)</f>
        <v/>
      </c>
      <c r="U430" s="7" t="n">
        <v>0</v>
      </c>
      <c r="V430" s="6">
        <f>$T430*U430</f>
        <v/>
      </c>
      <c r="W430" s="7" t="n">
        <v>0</v>
      </c>
      <c r="X430" s="6">
        <f>$T430*W430</f>
        <v/>
      </c>
      <c r="Y430" s="7" t="n">
        <v>0</v>
      </c>
      <c r="Z430" s="6">
        <f>$T430*Y430</f>
        <v/>
      </c>
      <c r="AA430" s="7" t="n">
        <v>0</v>
      </c>
      <c r="AB430" s="6">
        <f>$T430*AA430</f>
        <v/>
      </c>
      <c r="AC430" s="7" t="n">
        <v>0</v>
      </c>
      <c r="AD430" s="6">
        <f>$T430*AC430</f>
        <v/>
      </c>
      <c r="AE430" s="7" t="n">
        <v>0</v>
      </c>
      <c r="AF430" s="6">
        <f>$T430*AE430</f>
        <v/>
      </c>
      <c r="AG430" s="7" t="n">
        <v>0</v>
      </c>
      <c r="AH430" s="6">
        <f>$T430*AG430</f>
        <v/>
      </c>
      <c r="AI430" s="7">
        <f>U430+W430+Y430+AA430+AC430+AE430+AG430</f>
        <v/>
      </c>
      <c r="AJ430" s="6">
        <f>V430+X430+Z430+AB430+AD430+AF430+AH430</f>
        <v/>
      </c>
    </row>
    <row r="431" ht="60" customHeight="1" s="35">
      <c r="A431" s="3" t="inlineStr">
        <is>
          <t>LOM252.OC.EEA.PA02.G7424.SC009.1300</t>
        </is>
      </c>
      <c r="B431" s="4" t="inlineStr">
        <is>
          <t>1/2</t>
        </is>
      </c>
      <c r="C431" s="3" t="inlineStr">
        <is>
          <t>IMPIANTO ELETTRICO</t>
        </is>
      </c>
      <c r="D431" s="4" t="inlineStr">
        <is>
          <t>NON SPECIALE</t>
        </is>
      </c>
      <c r="E431" s="4" t="inlineStr">
        <is>
          <t>ELETTRICHE</t>
        </is>
      </c>
      <c r="F431" s="3" t="inlineStr">
        <is>
          <t>3_CME IE RADIOFARMACIA PAVIA - REV02 VARIANTE ESECUTIVA.PDF</t>
        </is>
      </c>
      <c r="G431" s="4" t="inlineStr">
        <is>
          <t>132/132</t>
        </is>
      </c>
      <c r="H431" s="3" t="inlineStr">
        <is>
          <t>40 - IMPIANTISTICO</t>
        </is>
      </c>
      <c r="I431" s="3" t="inlineStr">
        <is>
          <t>CABINA BT</t>
        </is>
      </c>
      <c r="J431" s="3" t="inlineStr">
        <is>
          <t>IMPIANTO DI MESSA A TERRA</t>
        </is>
      </c>
      <c r="K431" s="3" t="inlineStr">
        <is>
          <t xml:space="preserve">OPERA: CAVO, FG17 DI LEGA RAME RICOTTO; GEOMETRIA: FLESSIBILE; SEZIONE NOMINALE [MM²] = 95; TENSIONE NOMINALE [KV] = 450/750; N° POLI [-] = 1P. </t>
        </is>
      </c>
      <c r="L431" s="3" t="inlineStr">
        <is>
          <t>OPERA: CAVO, FG17 DI LEGA RAME RICOTTO; GEOMETRIA: FLESSIBILE; SEZIONE NOMINALE [MM²] = 95; TENSIONE NOMINALE [KV] = 450/750; N° POLI [-] = 1P. 
LAVORO: POSA. OP CAVO, FG17 DI LEGA RAME RICOTTO; GEOMETRIA: FLESSIBILE; SEZIONE NOMINALE [MM²] = 95; TENSIONE NOMINALE UO/U [KV] = 450/750; N° POLI [-] = 1P. 
RM CAVO FG17 DI LEGA RAME RICOTTO; GEOMETRIA: FLESSIBILE; SEZIONE NOMINALE [MM²] = 95; TENSIONE NOMINALE UO/U [KV] = 450/750; N° POLI [-] = 1P. COMPONENTE: ISOLANTE,  
LV POSA.
[DIMENSIONI: 1,00 10,00]</t>
        </is>
      </c>
      <c r="M431" s="4" t="inlineStr">
        <is>
          <t>M</t>
        </is>
      </c>
      <c r="N431" s="5" t="n">
        <v>10</v>
      </c>
      <c r="O431" s="6" t="n">
        <v>23.36</v>
      </c>
      <c r="P431" s="6" t="n">
        <v>233.6</v>
      </c>
      <c r="Q431" s="5" t="n"/>
      <c r="R431" s="6" t="n"/>
      <c r="S431" s="6">
        <f>IF(AND(Q431&lt;&gt;"",R431&lt;&gt;""),Q431*R431,"")</f>
        <v/>
      </c>
      <c r="T431" s="6">
        <f>IF(S431="",P431,S431)</f>
        <v/>
      </c>
      <c r="U431" s="7" t="n">
        <v>0</v>
      </c>
      <c r="V431" s="6">
        <f>$T431*U431</f>
        <v/>
      </c>
      <c r="W431" s="7" t="n">
        <v>0</v>
      </c>
      <c r="X431" s="6">
        <f>$T431*W431</f>
        <v/>
      </c>
      <c r="Y431" s="7" t="n">
        <v>0</v>
      </c>
      <c r="Z431" s="6">
        <f>$T431*Y431</f>
        <v/>
      </c>
      <c r="AA431" s="7" t="n">
        <v>0</v>
      </c>
      <c r="AB431" s="6">
        <f>$T431*AA431</f>
        <v/>
      </c>
      <c r="AC431" s="7" t="n">
        <v>0</v>
      </c>
      <c r="AD431" s="6">
        <f>$T431*AC431</f>
        <v/>
      </c>
      <c r="AE431" s="7" t="n">
        <v>0</v>
      </c>
      <c r="AF431" s="6">
        <f>$T431*AE431</f>
        <v/>
      </c>
      <c r="AG431" s="7" t="n">
        <v>0</v>
      </c>
      <c r="AH431" s="6">
        <f>$T431*AG431</f>
        <v/>
      </c>
      <c r="AI431" s="7">
        <f>U431+W431+Y431+AA431+AC431+AE431+AG431</f>
        <v/>
      </c>
      <c r="AJ431" s="6">
        <f>V431+X431+Z431+AB431+AD431+AF431+AH431</f>
        <v/>
      </c>
    </row>
    <row r="432" ht="60" customHeight="1" s="35">
      <c r="A432" s="3" t="inlineStr">
        <is>
          <t>LOM252.OC.EEA.PA02.G7424.SC009.0550</t>
        </is>
      </c>
      <c r="B432" s="4" t="inlineStr">
        <is>
          <t>1/2</t>
        </is>
      </c>
      <c r="C432" s="3" t="inlineStr">
        <is>
          <t>IMPIANTO ELETTRICO</t>
        </is>
      </c>
      <c r="D432" s="4" t="inlineStr">
        <is>
          <t>NON SPECIALE</t>
        </is>
      </c>
      <c r="E432" s="4" t="inlineStr">
        <is>
          <t>ELETTRICHE</t>
        </is>
      </c>
      <c r="F432" s="3" t="inlineStr">
        <is>
          <t>3_CME IE RADIOFARMACIA PAVIA - REV02 VARIANTE ESECUTIVA.PDF</t>
        </is>
      </c>
      <c r="G432" s="4" t="inlineStr">
        <is>
          <t>133/133</t>
        </is>
      </c>
      <c r="H432" s="3" t="inlineStr">
        <is>
          <t>40 - IMPIANTISTICO</t>
        </is>
      </c>
      <c r="I432" s="3" t="inlineStr">
        <is>
          <t>CABINA BT</t>
        </is>
      </c>
      <c r="J432" s="3" t="inlineStr">
        <is>
          <t>DISTRIBUZIONE PRINCIPALE BT</t>
        </is>
      </c>
      <c r="K432" s="3" t="inlineStr">
        <is>
          <t xml:space="preserve">OPERA: CAVO, FG16OM16 DI LEGA RAME RICOTTO; GEOMETRIA: FLESSIBILE; SEZIONE NOMINALE [MM²] = 240; TENSIONE NOMINALE [KV] = 0,6/1; N° POLI [-] = 1P. </t>
        </is>
      </c>
      <c r="L432" s="3" t="inlineStr">
        <is>
          <t>OPERA: CAVO, FG16OM16 DI LEGA RAME RICOTTO; GEOMETRIA: FLESSIBILE; SEZIONE NOMINALE [MM²] = 240; TENSIONE NOMINALE [KV] = 0,6/1; N° POLI [-] = 1P. 
LAVORO: POSA. OP CAVO, FG16OM16 DI LEGA RAME RICOTTO; GEOMETRIA: FLESSIBILE; SEZIONE NOMINALE [MM²] = 240; TENSIONE NOMINALE UO/U [KV] = 0,6/1; N° POLI [-] = 1P. 
RM CAVO FG16OM16 DI LEGA RAME RICOTTO; GEOMETRIA: FLESSIBILE; SEZIONE NOMINALE [MM²] = 240; TENSIONE NOMINALE UO/U [KV] = 0,6/1; N° POLI [-] = 1P. COMPONENTI: ISOLANTE, GUAINA TERMOPLASTICA, RIVESTIMENTO INTERNO 
LV POSA.
[DIMENSIONI: 8,00 20,00]</t>
        </is>
      </c>
      <c r="M432" s="4" t="inlineStr">
        <is>
          <t>M</t>
        </is>
      </c>
      <c r="N432" s="5" t="n">
        <v>160</v>
      </c>
      <c r="O432" s="6" t="n">
        <v>44.24</v>
      </c>
      <c r="P432" s="6" t="n">
        <v>7078.4</v>
      </c>
      <c r="Q432" s="5" t="n"/>
      <c r="R432" s="6" t="n"/>
      <c r="S432" s="6">
        <f>IF(AND(Q432&lt;&gt;"",R432&lt;&gt;""),Q432*R432,"")</f>
        <v/>
      </c>
      <c r="T432" s="6">
        <f>IF(S432="",P432,S432)</f>
        <v/>
      </c>
      <c r="U432" s="7" t="n">
        <v>0</v>
      </c>
      <c r="V432" s="6">
        <f>$T432*U432</f>
        <v/>
      </c>
      <c r="W432" s="7" t="n">
        <v>0.6</v>
      </c>
      <c r="X432" s="6">
        <f>$T432*W432</f>
        <v/>
      </c>
      <c r="Y432" s="7" t="n">
        <v>0</v>
      </c>
      <c r="Z432" s="6">
        <f>$T432*Y432</f>
        <v/>
      </c>
      <c r="AA432" s="7" t="n">
        <v>0</v>
      </c>
      <c r="AB432" s="6">
        <f>$T432*AA432</f>
        <v/>
      </c>
      <c r="AC432" s="7" t="n">
        <v>0</v>
      </c>
      <c r="AD432" s="6">
        <f>$T432*AC432</f>
        <v/>
      </c>
      <c r="AE432" s="7" t="n">
        <v>0</v>
      </c>
      <c r="AF432" s="6">
        <f>$T432*AE432</f>
        <v/>
      </c>
      <c r="AG432" s="7" t="n">
        <v>0</v>
      </c>
      <c r="AH432" s="6">
        <f>$T432*AG432</f>
        <v/>
      </c>
      <c r="AI432" s="7">
        <f>U432+W432+Y432+AA432+AC432+AE432+AG432</f>
        <v/>
      </c>
      <c r="AJ432" s="6">
        <f>V432+X432+Z432+AB432+AD432+AF432+AH432</f>
        <v/>
      </c>
    </row>
    <row r="433" ht="60" customHeight="1" s="35">
      <c r="A433" s="3" t="inlineStr">
        <is>
          <t>LOM252.OC.EEA.PA02.G7424.SC009.0545</t>
        </is>
      </c>
      <c r="B433" s="4" t="inlineStr">
        <is>
          <t>1/3</t>
        </is>
      </c>
      <c r="C433" s="3" t="inlineStr">
        <is>
          <t>IMPIANTO ELETTRICO</t>
        </is>
      </c>
      <c r="D433" s="4" t="inlineStr">
        <is>
          <t>NON SPECIALE</t>
        </is>
      </c>
      <c r="E433" s="4" t="inlineStr">
        <is>
          <t>ELETTRICHE</t>
        </is>
      </c>
      <c r="F433" s="3" t="inlineStr">
        <is>
          <t>3_CME IE RADIOFARMACIA PAVIA - REV02 VARIANTE ESECUTIVA.PDF</t>
        </is>
      </c>
      <c r="G433" s="4" t="inlineStr">
        <is>
          <t>134/134</t>
        </is>
      </c>
      <c r="H433" s="3" t="inlineStr">
        <is>
          <t>40 - IMPIANTISTICO</t>
        </is>
      </c>
      <c r="I433" s="3" t="inlineStr">
        <is>
          <t>CABINA BT</t>
        </is>
      </c>
      <c r="J433" s="3" t="inlineStr">
        <is>
          <t>DISTRIBUZIONE PRINCIPALE BT</t>
        </is>
      </c>
      <c r="K433" s="3" t="inlineStr">
        <is>
          <t xml:space="preserve">OPERA: CAVO, FG16OM16 DI LEGA RAME RICOTTO; GEOMETRIA: FLESSIBILE; SEZIONE NOMINALE [MM²] = 185; TENSIONE NOMINALE [KV] = 0,6/1; N° POLI [-] = 1P. </t>
        </is>
      </c>
      <c r="L433" s="3" t="inlineStr">
        <is>
          <t>OPERA: CAVO, FG16OM16 DI LEGA RAME RICOTTO; GEOMETRIA: FLESSIBILE; SEZIONE NOMINALE [MM²] = 185; TENSIONE NOMINALE [KV] = 0,6/1; N° POLI [-] = 1P. 
LAVORO: POSA. OP CAVO, FG16OM16 DI LEGA RAME RICOTTO; GEOMETRIA: FLESSIBILE; SEZIONE NOMINALE [MM²] = 185; TENSIONE NOMINALE UO/U [KV] = 0,6/1; N° POLI [-] = 1P. 
RM CAVO FG16OM16 DI LEGA RAME RICOTTO; GEOMETRIA: FLESSIBILE; SEZIONE NOMINALE [MM²] = 185; TENSIONE NOMINALE UO/U [KV] = 0,6/1; N° POLI [-] = 1P. COMPONENTI: ISOLANTE, GUAINA TERMOPLASTICA, RIVESTIMENTO INTERNO 
LV POSA.
[DIMENSIONI: 4,00 10,00 | 4,00 10,00 | 4,00 10,00 | 4,00 10,00]</t>
        </is>
      </c>
      <c r="M433" s="4" t="inlineStr">
        <is>
          <t>M</t>
        </is>
      </c>
      <c r="N433" s="5" t="n">
        <v>160</v>
      </c>
      <c r="O433" s="6" t="n">
        <v>35.78</v>
      </c>
      <c r="P433" s="6" t="n">
        <v>5724.8</v>
      </c>
      <c r="Q433" s="5" t="n"/>
      <c r="R433" s="6" t="n"/>
      <c r="S433" s="6">
        <f>IF(AND(Q433&lt;&gt;"",R433&lt;&gt;""),Q433*R433,"")</f>
        <v/>
      </c>
      <c r="T433" s="6">
        <f>IF(S433="",P433,S433)</f>
        <v/>
      </c>
      <c r="U433" s="7" t="n">
        <v>0</v>
      </c>
      <c r="V433" s="6">
        <f>$T433*U433</f>
        <v/>
      </c>
      <c r="W433" s="7" t="n">
        <v>0.6</v>
      </c>
      <c r="X433" s="6">
        <f>$T433*W433</f>
        <v/>
      </c>
      <c r="Y433" s="7" t="n">
        <v>0</v>
      </c>
      <c r="Z433" s="6">
        <f>$T433*Y433</f>
        <v/>
      </c>
      <c r="AA433" s="7" t="n">
        <v>0</v>
      </c>
      <c r="AB433" s="6">
        <f>$T433*AA433</f>
        <v/>
      </c>
      <c r="AC433" s="7" t="n">
        <v>0</v>
      </c>
      <c r="AD433" s="6">
        <f>$T433*AC433</f>
        <v/>
      </c>
      <c r="AE433" s="7" t="n">
        <v>0</v>
      </c>
      <c r="AF433" s="6">
        <f>$T433*AE433</f>
        <v/>
      </c>
      <c r="AG433" s="7" t="n">
        <v>0</v>
      </c>
      <c r="AH433" s="6">
        <f>$T433*AG433</f>
        <v/>
      </c>
      <c r="AI433" s="7">
        <f>U433+W433+Y433+AA433+AC433+AE433+AG433</f>
        <v/>
      </c>
      <c r="AJ433" s="6">
        <f>V433+X433+Z433+AB433+AD433+AF433+AH433</f>
        <v/>
      </c>
    </row>
    <row r="434" ht="60" customHeight="1" s="35">
      <c r="A434" s="3" t="inlineStr">
        <is>
          <t>LOM252.OC.EEA.PA01.L8250.ZA001.0010</t>
        </is>
      </c>
      <c r="B434" s="4" t="inlineStr">
        <is>
          <t>1/2</t>
        </is>
      </c>
      <c r="C434" s="3" t="inlineStr">
        <is>
          <t>IMPIANTO ELETTRICO</t>
        </is>
      </c>
      <c r="D434" s="4" t="inlineStr">
        <is>
          <t>NON SPECIALE</t>
        </is>
      </c>
      <c r="E434" s="4" t="inlineStr">
        <is>
          <t>ELETTRICHE</t>
        </is>
      </c>
      <c r="F434" s="3" t="inlineStr">
        <is>
          <t>3_CME IE RADIOFARMACIA PAVIA - REV02 VARIANTE ESECUTIVA.PDF</t>
        </is>
      </c>
      <c r="G434" s="4" t="inlineStr">
        <is>
          <t>135/135</t>
        </is>
      </c>
      <c r="H434" s="3" t="inlineStr">
        <is>
          <t>40 - IMPIANTISTICO</t>
        </is>
      </c>
      <c r="I434" s="3" t="inlineStr">
        <is>
          <t>CABINA BT</t>
        </is>
      </c>
      <c r="J434" s="3" t="inlineStr">
        <is>
          <t>DISTRIBUZIONE SECONDARIA</t>
        </is>
      </c>
      <c r="K434" s="3" t="inlineStr">
        <is>
          <t xml:space="preserve">OPERA: PULSANTE, MANUALE D'ALLARME; GEOMETRIA: A ROTTURA VETRO. </t>
        </is>
      </c>
      <c r="L434" s="3" t="inlineStr">
        <is>
          <t>OPERA: PULSANTE, MANUALE D'ALLARME; GEOMETRIA: A ROTTURA VETRO. 
LAVORO: INSTALLAZIONE. 
SPECIFICHE TECNICHE: PULSANTE A 1 SCAMBIO, GRADO DI PROTEZIONE IP65. OP PULSANTE, MANUALE D'ALLARME; GEOMETRIA: A ROTTURA VETRO. 
SPECIFICHE TECNICHE: PULSANTE A 1 SCAMBIO, GRADO DI PROTEZIONE IP65. 
RM PULSANTE MANUALE D'ALLARME; GEOMETRIA: A ROTTURA VETRO 
SPECIFICHE TECNICHE: PULSANTE A 1 SCAMBIO, GRADO DI PROTEZIONE IP65 
LV INSTALLAZIONE.</t>
        </is>
      </c>
      <c r="M434" s="4" t="inlineStr">
        <is>
          <t>CAD</t>
        </is>
      </c>
      <c r="N434" s="5" t="n">
        <v>3</v>
      </c>
      <c r="O434" s="6" t="n">
        <v>103.77</v>
      </c>
      <c r="P434" s="6" t="n">
        <v>311.31</v>
      </c>
      <c r="Q434" s="5" t="n"/>
      <c r="R434" s="6" t="n"/>
      <c r="S434" s="6">
        <f>IF(AND(Q434&lt;&gt;"",R434&lt;&gt;""),Q434*R434,"")</f>
        <v/>
      </c>
      <c r="T434" s="6">
        <f>IF(S434="",P434,S434)</f>
        <v/>
      </c>
      <c r="U434" s="7" t="n">
        <v>0</v>
      </c>
      <c r="V434" s="6">
        <f>$T434*U434</f>
        <v/>
      </c>
      <c r="W434" s="7" t="n">
        <v>0</v>
      </c>
      <c r="X434" s="6">
        <f>$T434*W434</f>
        <v/>
      </c>
      <c r="Y434" s="7" t="n">
        <v>0</v>
      </c>
      <c r="Z434" s="6">
        <f>$T434*Y434</f>
        <v/>
      </c>
      <c r="AA434" s="7" t="n">
        <v>0</v>
      </c>
      <c r="AB434" s="6">
        <f>$T434*AA434</f>
        <v/>
      </c>
      <c r="AC434" s="7" t="n">
        <v>0</v>
      </c>
      <c r="AD434" s="6">
        <f>$T434*AC434</f>
        <v/>
      </c>
      <c r="AE434" s="7" t="n">
        <v>0</v>
      </c>
      <c r="AF434" s="6">
        <f>$T434*AE434</f>
        <v/>
      </c>
      <c r="AG434" s="7" t="n">
        <v>0</v>
      </c>
      <c r="AH434" s="6">
        <f>$T434*AG434</f>
        <v/>
      </c>
      <c r="AI434" s="7">
        <f>U434+W434+Y434+AA434+AC434+AE434+AG434</f>
        <v/>
      </c>
      <c r="AJ434" s="6">
        <f>V434+X434+Z434+AB434+AD434+AF434+AH434</f>
        <v/>
      </c>
    </row>
    <row r="435" ht="60" customHeight="1" s="35">
      <c r="A435" s="3" t="inlineStr">
        <is>
          <t>LOM252.OC.EEA.PA02.G7409.D0000.0255</t>
        </is>
      </c>
      <c r="B435" s="4" t="inlineStr">
        <is>
          <t>3/3</t>
        </is>
      </c>
      <c r="C435" s="3" t="inlineStr">
        <is>
          <t>IMPIANTO ELETTRICO</t>
        </is>
      </c>
      <c r="D435" s="4" t="inlineStr">
        <is>
          <t>NON SPECIALE</t>
        </is>
      </c>
      <c r="E435" s="4" t="inlineStr">
        <is>
          <t>ELETTRICHE</t>
        </is>
      </c>
      <c r="F435" s="3" t="inlineStr">
        <is>
          <t>3_CME IE RADIOFARMACIA PAVIA - REV02 VARIANTE ESECUTIVA.PDF</t>
        </is>
      </c>
      <c r="G435" s="4" t="inlineStr">
        <is>
          <t>136/136</t>
        </is>
      </c>
      <c r="H435" s="3" t="inlineStr">
        <is>
          <t>40 - IMPIANTISTICO</t>
        </is>
      </c>
      <c r="I435" s="3" t="inlineStr">
        <is>
          <t>CABINA BT</t>
        </is>
      </c>
      <c r="J435" s="3" t="inlineStr">
        <is>
          <t>DISTRIBUZIONE SECONDARIA</t>
        </is>
      </c>
      <c r="K435" s="3" t="inlineStr">
        <is>
          <t xml:space="preserve">OPERA: TUBO, RIGIDO DI PLASTICA GENERICO; IMPIEGO: TUBAZIONI ELETTRICHE; DIAMETRO [MM] = 20. </t>
        </is>
      </c>
      <c r="L435" s="3" t="inlineStr">
        <is>
          <t>OPERA: TUBO, RIGIDO DI PLASTICA GENERICO; IMPIEGO: TUBAZIONI ELETTRICHE; DIAMETRO [MM] = 20. 
LAVORO: POSA. 
SPECIFICHE TECNICHE: PER INSTALLAZIONE A VISTA, CON MARCHIO IMQ, AUTOESTINQUENTE. OP TUBO, RIGIDO DI PLASTICA GENERICO; IMPIEGO: TUBAZIONI ELETTRICHE; DIAMETRO [MM] = 20. 
SPECIFICHE TECNICHE: PER INSTALLAZIONE A VISTA, CON MARCHIO IMQ, AUTOESTINQUENTE. 
RM TUBO RIGIDO DI PLASTICA GENERICO; IMPIEGO: TUBAZIONI ELETTRICHE; DIAMETRO (Ø) [MM] = 20 
SPECIFICHE TECNICHE: PER INSTALLAZIONE A VISTA, CON MARCHIO IMQ, AUTOESTINQUENTE 
LV POSA.
[DIMENSIONI: 20,00]</t>
        </is>
      </c>
      <c r="M435" s="4" t="inlineStr">
        <is>
          <t>M</t>
        </is>
      </c>
      <c r="N435" s="5" t="n">
        <v>20</v>
      </c>
      <c r="O435" s="6" t="n">
        <v>6.53</v>
      </c>
      <c r="P435" s="6" t="n">
        <v>130.6</v>
      </c>
      <c r="Q435" s="5" t="n"/>
      <c r="R435" s="6" t="n"/>
      <c r="S435" s="6">
        <f>IF(AND(Q435&lt;&gt;"",R435&lt;&gt;""),Q435*R435,"")</f>
        <v/>
      </c>
      <c r="T435" s="6">
        <f>IF(S435="",P435,S435)</f>
        <v/>
      </c>
      <c r="U435" s="7" t="n">
        <v>0</v>
      </c>
      <c r="V435" s="6">
        <f>$T435*U435</f>
        <v/>
      </c>
      <c r="W435" s="7" t="n">
        <v>0</v>
      </c>
      <c r="X435" s="6">
        <f>$T435*W435</f>
        <v/>
      </c>
      <c r="Y435" s="7" t="n">
        <v>0</v>
      </c>
      <c r="Z435" s="6">
        <f>$T435*Y435</f>
        <v/>
      </c>
      <c r="AA435" s="7" t="n">
        <v>0</v>
      </c>
      <c r="AB435" s="6">
        <f>$T435*AA435</f>
        <v/>
      </c>
      <c r="AC435" s="7" t="n">
        <v>0</v>
      </c>
      <c r="AD435" s="6">
        <f>$T435*AC435</f>
        <v/>
      </c>
      <c r="AE435" s="7" t="n">
        <v>0</v>
      </c>
      <c r="AF435" s="6">
        <f>$T435*AE435</f>
        <v/>
      </c>
      <c r="AG435" s="7" t="n">
        <v>0</v>
      </c>
      <c r="AH435" s="6">
        <f>$T435*AG435</f>
        <v/>
      </c>
      <c r="AI435" s="7">
        <f>U435+W435+Y435+AA435+AC435+AE435+AG435</f>
        <v/>
      </c>
      <c r="AJ435" s="6">
        <f>V435+X435+Z435+AB435+AD435+AF435+AH435</f>
        <v/>
      </c>
    </row>
    <row r="436" ht="60" customHeight="1" s="35">
      <c r="A436" s="3" t="inlineStr">
        <is>
          <t>LOM252.OC.EEA.PA02.G7409.D0000.0260</t>
        </is>
      </c>
      <c r="B436" s="4" t="inlineStr">
        <is>
          <t>3/3</t>
        </is>
      </c>
      <c r="C436" s="3" t="inlineStr">
        <is>
          <t>IMPIANTO ELETTRICO</t>
        </is>
      </c>
      <c r="D436" s="4" t="inlineStr">
        <is>
          <t>NON SPECIALE</t>
        </is>
      </c>
      <c r="E436" s="4" t="inlineStr">
        <is>
          <t>ELETTRICHE</t>
        </is>
      </c>
      <c r="F436" s="3" t="inlineStr">
        <is>
          <t>3_CME IE RADIOFARMACIA PAVIA - REV02 VARIANTE ESECUTIVA.PDF</t>
        </is>
      </c>
      <c r="G436" s="4" t="inlineStr">
        <is>
          <t>137/137</t>
        </is>
      </c>
      <c r="H436" s="3" t="inlineStr">
        <is>
          <t>40 - IMPIANTISTICO</t>
        </is>
      </c>
      <c r="I436" s="3" t="inlineStr">
        <is>
          <t>CABINA BT</t>
        </is>
      </c>
      <c r="J436" s="3" t="inlineStr">
        <is>
          <t>DISTRIBUZIONE SECONDARIA</t>
        </is>
      </c>
      <c r="K436" s="3" t="inlineStr">
        <is>
          <t xml:space="preserve">OPERA: TUBO, RIGIDO DI PLASTICA GENERICO; IMPIEGO: TUBAZIONI ELETTRICHE; DIAMETRO [MM] = 25. </t>
        </is>
      </c>
      <c r="L436" s="3" t="inlineStr">
        <is>
          <t>OPERA: TUBO, RIGIDO DI PLASTICA GENERICO; IMPIEGO: TUBAZIONI ELETTRICHE; DIAMETRO [MM] = 25. 
LAVORO: POSA. 
SPECIFICHE TECNICHE: PER INSTALLAZIONE A VISTA, CON MARCHIO IMQ, AUTOESTINQUENTE. OP TUBO, RIGIDO DI PLASTICA GENERICO; IMPIEGO: TUBAZIONI ELETTRICHE; DIAMETRO [MM] = 25. 
SPECIFICHE TECNICHE: PER INSTALLAZIONE A VISTA, CON MARCHIO IMQ, AUTOESTINQUENTE. 
RM TUBO RIGIDO DI PLASTICA GENERICO; IMPIEGO: TUBAZIONI ELETTRICHE; DIAMETRO (Ø) [MM] = 25 
SPECIFICHE TECNICHE: PER INSTALLAZIONE A VISTA, CON MARCHIO IMQ, AUTOESTINQUENTE 
LV POSA.
[DIMENSIONI: 15,00]</t>
        </is>
      </c>
      <c r="M436" s="4" t="inlineStr">
        <is>
          <t>M</t>
        </is>
      </c>
      <c r="N436" s="5" t="n">
        <v>15</v>
      </c>
      <c r="O436" s="6" t="n">
        <v>7.71</v>
      </c>
      <c r="P436" s="6" t="n">
        <v>115.65</v>
      </c>
      <c r="Q436" s="5" t="n"/>
      <c r="R436" s="6" t="n"/>
      <c r="S436" s="6">
        <f>IF(AND(Q436&lt;&gt;"",R436&lt;&gt;""),Q436*R436,"")</f>
        <v/>
      </c>
      <c r="T436" s="6">
        <f>IF(S436="",P436,S436)</f>
        <v/>
      </c>
      <c r="U436" s="7" t="n">
        <v>0</v>
      </c>
      <c r="V436" s="6">
        <f>$T436*U436</f>
        <v/>
      </c>
      <c r="W436" s="7" t="n">
        <v>0</v>
      </c>
      <c r="X436" s="6">
        <f>$T436*W436</f>
        <v/>
      </c>
      <c r="Y436" s="7" t="n">
        <v>0</v>
      </c>
      <c r="Z436" s="6">
        <f>$T436*Y436</f>
        <v/>
      </c>
      <c r="AA436" s="7" t="n">
        <v>0</v>
      </c>
      <c r="AB436" s="6">
        <f>$T436*AA436</f>
        <v/>
      </c>
      <c r="AC436" s="7" t="n">
        <v>0</v>
      </c>
      <c r="AD436" s="6">
        <f>$T436*AC436</f>
        <v/>
      </c>
      <c r="AE436" s="7" t="n">
        <v>0</v>
      </c>
      <c r="AF436" s="6">
        <f>$T436*AE436</f>
        <v/>
      </c>
      <c r="AG436" s="7" t="n">
        <v>0</v>
      </c>
      <c r="AH436" s="6">
        <f>$T436*AG436</f>
        <v/>
      </c>
      <c r="AI436" s="7">
        <f>U436+W436+Y436+AA436+AC436+AE436+AG436</f>
        <v/>
      </c>
      <c r="AJ436" s="6">
        <f>V436+X436+Z436+AB436+AD436+AF436+AH436</f>
        <v/>
      </c>
    </row>
    <row r="437" ht="60" customHeight="1" s="35">
      <c r="A437" s="3" t="inlineStr">
        <is>
          <t>LOM252.OC.EEA.PA02.G7424.SC009.0610</t>
        </is>
      </c>
      <c r="B437" s="4" t="inlineStr">
        <is>
          <t>3/5</t>
        </is>
      </c>
      <c r="C437" s="3" t="inlineStr">
        <is>
          <t>IMPIANTO ELETTRICO</t>
        </is>
      </c>
      <c r="D437" s="4" t="inlineStr">
        <is>
          <t>NON SPECIALE</t>
        </is>
      </c>
      <c r="E437" s="4" t="inlineStr">
        <is>
          <t>ELETTRICHE</t>
        </is>
      </c>
      <c r="F437" s="3" t="inlineStr">
        <is>
          <t>3_CME IE RADIOFARMACIA PAVIA - REV02 VARIANTE ESECUTIVA.PDF</t>
        </is>
      </c>
      <c r="G437" s="4" t="inlineStr">
        <is>
          <t>138/138</t>
        </is>
      </c>
      <c r="H437" s="3" t="inlineStr">
        <is>
          <t>40 - IMPIANTISTICO</t>
        </is>
      </c>
      <c r="I437" s="3" t="inlineStr">
        <is>
          <t>CABINA BT</t>
        </is>
      </c>
      <c r="J437" s="3" t="inlineStr">
        <is>
          <t>DISTRIBUZIONE SECONDARIA</t>
        </is>
      </c>
      <c r="K437" s="3" t="inlineStr">
        <is>
          <t xml:space="preserve">OPERA: CAVO, FG16OM16 DI LEGA RAME RICOTTO; GEOMETRIA: FLESSIBILE; SEZIONE NOMINALE [MM²] = 3X2,5; TENSIONE NOMINALE [KV] = 0,6/1; N° POLI [-] = 3P. </t>
        </is>
      </c>
      <c r="L437" s="3" t="inlineStr">
        <is>
          <t>OPERA: CAVO, FG16OM16 DI LEGA RAME RICOTTO; GEOMETRIA: FLESSIBILE; SEZIONE NOMINALE [MM²] = 3X2,5; TENSIONE NOMINALE [KV] = 0,6/1; N° POLI [-] = 3P. 
LAVORO: POSA. OP CAVO, FG16OM16 DI LEGA RAME RICOTTO; GEOMETRIA: FLESSIBILE; SEZIONE NOMINALE [MM²] = 3X2,5; TENSIONE NOMINALE UO/U [KV] = 0,6/1; N° POLI [-] = 3P. 
RM CAVO FG16OM16 DI LEGA RAME RICOTTO; GEOMETRIA: FLESSIBILE; SEZIONE NOMINALE [MM²] = 3X2,5; TENSIONE NOMINALE UO/U [KV] = 0,6/1; N° POLI [-] = 3P. COMPONENTI: ISOLANTE, GUAINA TERMOPLASTICA 
LV POSA.
[DIMENSIONI: 15,00]</t>
        </is>
      </c>
      <c r="M437" s="4" t="inlineStr">
        <is>
          <t>M</t>
        </is>
      </c>
      <c r="N437" s="5" t="n">
        <v>15</v>
      </c>
      <c r="O437" s="6" t="n">
        <v>4.63</v>
      </c>
      <c r="P437" s="6" t="n">
        <v>69.45</v>
      </c>
      <c r="Q437" s="5" t="n"/>
      <c r="R437" s="6" t="n"/>
      <c r="S437" s="6">
        <f>IF(AND(Q437&lt;&gt;"",R437&lt;&gt;""),Q437*R437,"")</f>
        <v/>
      </c>
      <c r="T437" s="6">
        <f>IF(S437="",P437,S437)</f>
        <v/>
      </c>
      <c r="U437" s="7" t="n">
        <v>0</v>
      </c>
      <c r="V437" s="6">
        <f>$T437*U437</f>
        <v/>
      </c>
      <c r="W437" s="7" t="n">
        <v>0</v>
      </c>
      <c r="X437" s="6">
        <f>$T437*W437</f>
        <v/>
      </c>
      <c r="Y437" s="7" t="n">
        <v>0</v>
      </c>
      <c r="Z437" s="6">
        <f>$T437*Y437</f>
        <v/>
      </c>
      <c r="AA437" s="7" t="n">
        <v>0</v>
      </c>
      <c r="AB437" s="6">
        <f>$T437*AA437</f>
        <v/>
      </c>
      <c r="AC437" s="7" t="n">
        <v>0</v>
      </c>
      <c r="AD437" s="6">
        <f>$T437*AC437</f>
        <v/>
      </c>
      <c r="AE437" s="7" t="n">
        <v>0</v>
      </c>
      <c r="AF437" s="6">
        <f>$T437*AE437</f>
        <v/>
      </c>
      <c r="AG437" s="7" t="n">
        <v>0</v>
      </c>
      <c r="AH437" s="6">
        <f>$T437*AG437</f>
        <v/>
      </c>
      <c r="AI437" s="7">
        <f>U437+W437+Y437+AA437+AC437+AE437+AG437</f>
        <v/>
      </c>
      <c r="AJ437" s="6">
        <f>V437+X437+Z437+AB437+AD437+AF437+AH437</f>
        <v/>
      </c>
    </row>
    <row r="438" ht="60" customHeight="1" s="35">
      <c r="A438" s="3" t="inlineStr">
        <is>
          <t>LOM252.OC.EEA.PA02.G7424.SC009.0615</t>
        </is>
      </c>
      <c r="B438" s="4" t="inlineStr">
        <is>
          <t>3/5</t>
        </is>
      </c>
      <c r="C438" s="3" t="inlineStr">
        <is>
          <t>IMPIANTO ELETTRICO</t>
        </is>
      </c>
      <c r="D438" s="4" t="inlineStr">
        <is>
          <t>NON SPECIALE</t>
        </is>
      </c>
      <c r="E438" s="4" t="inlineStr">
        <is>
          <t>ELETTRICHE</t>
        </is>
      </c>
      <c r="F438" s="3" t="inlineStr">
        <is>
          <t>3_CME IE RADIOFARMACIA PAVIA - REV02 VARIANTE ESECUTIVA.PDF</t>
        </is>
      </c>
      <c r="G438" s="4" t="inlineStr">
        <is>
          <t>139/139</t>
        </is>
      </c>
      <c r="H438" s="3" t="inlineStr">
        <is>
          <t>40 - IMPIANTISTICO</t>
        </is>
      </c>
      <c r="I438" s="3" t="inlineStr">
        <is>
          <t>CABINA BT</t>
        </is>
      </c>
      <c r="J438" s="3" t="inlineStr">
        <is>
          <t>DISTRIBUZIONE SECONDARIA</t>
        </is>
      </c>
      <c r="K438" s="3" t="inlineStr">
        <is>
          <t xml:space="preserve">OPERA: CAVO, FG16OM16 DI LEGA RAME RICOTTO; GEOMETRIA: FLESSIBILE; SEZIONE NOMINALE [MM²] = 3X4; TENSIONE NOMINALE [KV] = 0,6/1; N° POLI [-] = 3P. </t>
        </is>
      </c>
      <c r="L438" s="3" t="inlineStr">
        <is>
          <t>OPERA: CAVO, FG16OM16 DI LEGA RAME RICOTTO; GEOMETRIA: FLESSIBILE; SEZIONE NOMINALE [MM²] = 3X4; TENSIONE NOMINALE [KV] = 0,6/1; N° POLI [-] = 3P. 
LAVORO: POSA. OP CAVO, FG16OM16 DI LEGA RAME RICOTTO; GEOMETRIA: FLESSIBILE; SEZIONE NOMINALE [MM²] = 3X4; TENSIONE NOMINALE UO/U [KV] = 0,6/1; N° POLI [-] = 3P. 
RM CAVO FG16OM16 DI LEGA RAME RICOTTO; GEOMETRIA: FLESSIBILE; SEZIONE NOMINALE [MM²] = 3X4; TENSIONE NOMINALE UO/U [KV] = 0,6/1; N° POLI [-] = 3P. COMPONENTI: ISOLANTE, GUAINA TERMOPLASTICA 
LV POSA.
[DIMENSIONI: 25,00]</t>
        </is>
      </c>
      <c r="M438" s="4" t="inlineStr">
        <is>
          <t>M</t>
        </is>
      </c>
      <c r="N438" s="5" t="n">
        <v>25</v>
      </c>
      <c r="O438" s="6" t="n">
        <v>5.44</v>
      </c>
      <c r="P438" s="6" t="n">
        <v>136</v>
      </c>
      <c r="Q438" s="5" t="n"/>
      <c r="R438" s="6" t="n"/>
      <c r="S438" s="6">
        <f>IF(AND(Q438&lt;&gt;"",R438&lt;&gt;""),Q438*R438,"")</f>
        <v/>
      </c>
      <c r="T438" s="6">
        <f>IF(S438="",P438,S438)</f>
        <v/>
      </c>
      <c r="U438" s="7" t="n">
        <v>0</v>
      </c>
      <c r="V438" s="6">
        <f>$T438*U438</f>
        <v/>
      </c>
      <c r="W438" s="7" t="n">
        <v>0</v>
      </c>
      <c r="X438" s="6">
        <f>$T438*W438</f>
        <v/>
      </c>
      <c r="Y438" s="7" t="n">
        <v>0</v>
      </c>
      <c r="Z438" s="6">
        <f>$T438*Y438</f>
        <v/>
      </c>
      <c r="AA438" s="7" t="n">
        <v>0</v>
      </c>
      <c r="AB438" s="6">
        <f>$T438*AA438</f>
        <v/>
      </c>
      <c r="AC438" s="7" t="n">
        <v>0</v>
      </c>
      <c r="AD438" s="6">
        <f>$T438*AC438</f>
        <v/>
      </c>
      <c r="AE438" s="7" t="n">
        <v>0</v>
      </c>
      <c r="AF438" s="6">
        <f>$T438*AE438</f>
        <v/>
      </c>
      <c r="AG438" s="7" t="n">
        <v>0</v>
      </c>
      <c r="AH438" s="6">
        <f>$T438*AG438</f>
        <v/>
      </c>
      <c r="AI438" s="7">
        <f>U438+W438+Y438+AA438+AC438+AE438+AG438</f>
        <v/>
      </c>
      <c r="AJ438" s="6">
        <f>V438+X438+Z438+AB438+AD438+AF438+AH438</f>
        <v/>
      </c>
    </row>
    <row r="439" ht="60" customHeight="1" s="35">
      <c r="A439" s="3" t="inlineStr">
        <is>
          <t>LOM252.OC.EEA.PA01.G8237.ZA001.1025</t>
        </is>
      </c>
      <c r="B439" s="4" t="inlineStr">
        <is>
          <t>3/3</t>
        </is>
      </c>
      <c r="C439" s="3" t="inlineStr">
        <is>
          <t>IMPIANTO ELETTRICO</t>
        </is>
      </c>
      <c r="D439" s="4" t="inlineStr">
        <is>
          <t>NON SPECIALE</t>
        </is>
      </c>
      <c r="E439" s="4" t="inlineStr">
        <is>
          <t>ELETTRICHE</t>
        </is>
      </c>
      <c r="F439" s="3" t="inlineStr">
        <is>
          <t>3_CME IE RADIOFARMACIA PAVIA - REV02 VARIANTE ESECUTIVA.PDF</t>
        </is>
      </c>
      <c r="G439" s="4" t="inlineStr">
        <is>
          <t>140/140</t>
        </is>
      </c>
      <c r="H439" s="3" t="inlineStr">
        <is>
          <t>40 - IMPIANTISTICO</t>
        </is>
      </c>
      <c r="I439" s="3" t="inlineStr">
        <is>
          <t>CABINA BT</t>
        </is>
      </c>
      <c r="J439" s="3" t="inlineStr">
        <is>
          <t>IMPIANTO DI ILLUMINAZIONE</t>
        </is>
      </c>
      <c r="K439" s="3" t="inlineStr">
        <is>
          <t>OPERA: DERIVAZIONE D'IMPIANTO PUNTO LUCE, INTERROTTO; GEOMETRIA: INTERRUTTORE UNIPOLARE; IMPIEGO: DERIVAZIONE D'IMPIANTO A VISTA A PARETE/A SOFFITTO; TENSIONE NOMINALE SPIA [V] = 230. INCLUSO: TUBO PR</t>
        </is>
      </c>
      <c r="L439" s="3" t="inlineStr">
        <is>
          <t>OPERA: DERIVAZIONE D'IMPIANTO PUNTO LUCE, INTERROTTO; GEOMETRIA: INTERRUTTORE UNIPOLARE; IMPIEGO: DERIVAZIONE D'IMPIANTO A VISTA A PARETE/A SOFFITTO; TENSIONE NOMINALE SPIA [V] = 230. INCLUSO: TUBO PROTETTIVO; CONDUTTORI DI ALIMENTAZIONE E DI TERRA; SCATOLE DA INCASSO; FRUTTI COMPONIBILI; PLACCHE; SUPPORTI; TASSELLI/GANCI. 
LAVORO: INSTALLAZIONE IN OPERA. INCLUSO: LINEA DI COLLEGAMENTO ALLO SPECIFICO PUNTO DI ALIMENTAZIONE; FISSAGGIO DELLE CANALIZZAZIONI A MEZZO DI TASSELLI O GANCI; ASSISTENZA PER IL TRASPORTO DEI MATERIALI AL PIANO. 
SPECIFICHE TECNICHE: PER IMPIANTI DI ENERGIA; GRADO DI PROTEZIONE IP55; REALIZZATO CON TUBO PROTETTIVO RIGIDO DI PLASTICA POLIVINILCLORURO (PVC) AUTOESTINGUENTE; CONDUTTORI DI ALIMENTAZIONE E DI TERRA DI LEGA RAME GENERICO RICOTTO ISOLATO CONFORMI AI REQUISITI PREVISTI DALLA NORMATIVA EUROPEA REGOLAMENTO UE 305/2011 - PRODOTTI DA COSTRUZIONE CPR; TIPOLOGIA CONDUTTORI E SEZIONE ADEGUATI ALL'UTILIZZO. OP DERIVAZIONE D'IMPIANTO PUNTO LUCE, INTERROTTO; GEOMETRIA: INTERRUTTORE UNIPOLARE; IMPIEGO: DERIVAZIONE D'IMPIANTO A VISTA A PARETE/A SOFFITTO; TENSIONE NOMINALE SPIA [V] = 230. INCLUSO: TUBO PROTETTIVO; CONDUTTORI DI ALIMENTAZIONE E DI TERRA; SCATOLE DA INCASSO; FRUTTI COMPONIBILI; PLACCHE; SUPPORTI; TASSELLI/GANCI. 
SPECIFICHE TECNICHE: PER IMPIANTI DI ENERGIA; GRADO DI PROTEZIONE IP55; REALIZZATO CON TUBO PROTETTIVO RIGIDO DI PLASTICA POLIVINILCLORURO (PVC) AUTOESTINGUENTE; CONDUTTORI DI ALIMENTAZIONE E DI TERRA DI LEGA RAME GENERICO RICOTTO ISOLATO CONFORMI AI REQUISITI PREVISTI DALLA NORMATIVA EUROPEA REGOLAMENTO UE 305/2011 - PRODOTTI DA COSTRUZIONE CPR; TIPOLOGIA CONDUTTORI E SEZIONE ADEGUATI ALL'UTILIZZO. 
RM DERIVAZIONE D'IMPIANTO PUNTO LUCE INTERROTTO; GEOMETRIA: INTERRUTTORE UNIPOLARE; IMPIEGO: DERIVAZIONE D'IMPIANTO A VISTA A PARETE/A SOFFITTO; TENSIONE NOMINALE SPIA [V] = 230. INCLUSO: TUBO PROTETTIVO; CONDUTTORI DI ALIMENTAZIONE E DI TERRA; SCATOLE DA INCASSO; FRUTTI COMPONIBILI; PLACCHE; SUPPORTI; TASSELLI/GANCI 
SPECIFICHE TECNICHE: PER IMPIANTI DI ENERGIA; GRADO DI PROTEZIONE IP55; REALIZZATO CON TUBO PROTETTIVO RIGIDO DI PLASTICA POLIVINILCLORURO (PVC) AUTOESTINGUENTE; CONDUTTORI DI ALIMENTAZIONE E DI TERRA DI LEGA RAME GENERICO RICOTTO ISOLATO CONFORMI AI REQUISITI PREVISTI DALLA NORMATIVA EUROPEA REGOLAMENTO UE 305/2011 - PRODOTTI DA COSTRUZIONE CPR; TIPOLOGIA CONDUTTORI E SEZIONE ADEGUATI ALL'UTILIZZO 
LV INSTALLAZIONE IN OPERA. INCLUSO: LINEA DI COLLEGAMENTO ALLO SPECIFICO PUNTO DI ALIMENTAZIONE; FISSAGGIO DELLE CANALIZZAZIONI A MEZZO DI TASSELLI O GANCI; ASSISTENZA PER IL TRASPORTO DEI MATERIALI AL PIANO.</t>
        </is>
      </c>
      <c r="M439" s="4" t="inlineStr">
        <is>
          <t>CAD</t>
        </is>
      </c>
      <c r="N439" s="5" t="n">
        <v>1</v>
      </c>
      <c r="O439" s="6" t="n">
        <v>85.98</v>
      </c>
      <c r="P439" s="6" t="n">
        <v>85.98</v>
      </c>
      <c r="Q439" s="5" t="n"/>
      <c r="R439" s="6" t="n"/>
      <c r="S439" s="6">
        <f>IF(AND(Q439&lt;&gt;"",R439&lt;&gt;""),Q439*R439,"")</f>
        <v/>
      </c>
      <c r="T439" s="6">
        <f>IF(S439="",P439,S439)</f>
        <v/>
      </c>
      <c r="U439" s="7" t="n">
        <v>0</v>
      </c>
      <c r="V439" s="6">
        <f>$T439*U439</f>
        <v/>
      </c>
      <c r="W439" s="7" t="n">
        <v>0</v>
      </c>
      <c r="X439" s="6">
        <f>$T439*W439</f>
        <v/>
      </c>
      <c r="Y439" s="7" t="n">
        <v>0</v>
      </c>
      <c r="Z439" s="6">
        <f>$T439*Y439</f>
        <v/>
      </c>
      <c r="AA439" s="7" t="n">
        <v>0</v>
      </c>
      <c r="AB439" s="6">
        <f>$T439*AA439</f>
        <v/>
      </c>
      <c r="AC439" s="7" t="n">
        <v>0</v>
      </c>
      <c r="AD439" s="6">
        <f>$T439*AC439</f>
        <v/>
      </c>
      <c r="AE439" s="7" t="n">
        <v>0</v>
      </c>
      <c r="AF439" s="6">
        <f>$T439*AE439</f>
        <v/>
      </c>
      <c r="AG439" s="7" t="n">
        <v>0</v>
      </c>
      <c r="AH439" s="6">
        <f>$T439*AG439</f>
        <v/>
      </c>
      <c r="AI439" s="7">
        <f>U439+W439+Y439+AA439+AC439+AE439+AG439</f>
        <v/>
      </c>
      <c r="AJ439" s="6">
        <f>V439+X439+Z439+AB439+AD439+AF439+AH439</f>
        <v/>
      </c>
    </row>
    <row r="440" ht="60" customHeight="1" s="35">
      <c r="A440" s="3" t="inlineStr">
        <is>
          <t>LOM252.OC.EEA.PA01.G8237.ZA001.0760</t>
        </is>
      </c>
      <c r="B440" s="4" t="inlineStr">
        <is>
          <t>5/6</t>
        </is>
      </c>
      <c r="C440" s="3" t="inlineStr">
        <is>
          <t>IMPIANTO ELETTRICO</t>
        </is>
      </c>
      <c r="D440" s="4" t="inlineStr">
        <is>
          <t>NON SPECIALE</t>
        </is>
      </c>
      <c r="E440" s="4" t="inlineStr">
        <is>
          <t>ELETTRICHE</t>
        </is>
      </c>
      <c r="F440" s="3" t="inlineStr">
        <is>
          <t>3_CME IE RADIOFARMACIA PAVIA - REV02 VARIANTE ESECUTIVA.PDF</t>
        </is>
      </c>
      <c r="G440" s="4" t="inlineStr">
        <is>
          <t>141/141</t>
        </is>
      </c>
      <c r="H440" s="3" t="inlineStr">
        <is>
          <t>40 - IMPIANTISTICO</t>
        </is>
      </c>
      <c r="I440" s="3" t="inlineStr">
        <is>
          <t>CABINA BT</t>
        </is>
      </c>
      <c r="J440" s="3" t="inlineStr">
        <is>
          <t>IMPIANTO DI ILLUMINAZIONE</t>
        </is>
      </c>
      <c r="K440" s="3" t="inlineStr">
        <is>
          <t>OPERA: DERIVAZIONE D'IMPIANTO PUNTO LUCE, IN PARALLELO; IMPIEGO: DERIVAZIONE D'IMPIANTO A VISTA A PARETE/A SOFFITTO. INCLUSO: TUBO PROTETTIVO; CONDUTTORI DI ALIMENTAZIONE E DI TERRA; SCATOLE DA INCASS</t>
        </is>
      </c>
      <c r="L440" s="3" t="inlineStr">
        <is>
          <t>OPERA: DERIVAZIONE D'IMPIANTO PUNTO LUCE, IN PARALLELO; IMPIEGO: DERIVAZIONE D'IMPIANTO A VISTA A PARETE/A SOFFITTO. INCLUSO: TUBO PROTETTIVO; CONDUTTORI DI ALIMENTAZIONE E DI TERRA; SCATOLE DA INCASSO; FRUTTI COMPONIBILI; PLACCHE; SUPPORTI; TASSELLI/GANCI. 
LAVORO: INSTALLAZIONE IN OPERA. INCLUSO: LINEA DI COLLEGAMENTO ALLO SPECIFICO PUNTO DI ALIMENTAZIONE; FISSAGGIO DELLE CANALIZZAZIONI A MEZZO DI TASSELLI O GANCI; ASSISTENZA PER IL TRASPORTO DEI MATERIALI AL PIANO. 
SPECIFICHE TECNICHE: IN PARALLELO AD UNA QUALSIASI DERIVAZIONE; PER IMPIANTI DI ENERGIA; GRADO DI PROTEZIONE IP55; REALIZZATO CON TUBO PROTETTIVO RIGIDO DI PLASTICA POLIVINILCLORURO (PVC) AUTOESTINGUENTE; CONDUTTORI DI ALIMENTAZIONE E DI TERRA DI LEGA RAME GENERICO RICOTTO ISOLATO CONFORMI AI REQUISITI PREVISTI DALLA NORMATIVA EUROPEA REGOLAMENTO UE 305/2011 - PRODOTTI DA COSTRUZIONE CPR; TIPOLOGIA CONDUTTORI E SEZIONE ADEGUATI ALL'UTILIZZO. OP DERIVAZIONE D'IMPIANTO PUNTO LUCE, IN PARALLELO; IMPIEGO: DERIVAZIONE D'IMPIANTO A VISTA A PARETE/A SOFFITTO. INCLUSO: TUBO PROTETTIVO; CONDUTTORI DI ALIMENTAZIONE E DI TERRA; SCATOLE DA INCASSO; FRUTTI COMPONIBILI; PLACCHE; SUPPORTI; TASSELLI/GANCI. 
SPECIFICHE TECNICHE: IN PARALLELO AD UNA QUALSIASI DERIVAZIONE; PER IMPIANTI DI ENERGIA; GRADO DI PROTEZIONE IP55; REALIZZATO CON TUBO PROTETTIVO RIGIDO DI PLASTICA POLIVINILCLORURO (PVC) AUTOESTINGUENTE; CONDUTTORI DI ALIMENTAZIONE E DI TERRA DI LEGA RAME GENERICO RICOTTO ISOLATO CONFORMI AI REQUISITI PREVISTI DALLA NORMATIVA EUROPEA REGOLAMENTO UE 305/2011 - PRODOTTI DA COSTRUZIONE CPR; TIPOLOGIA CONDUTTORI E SEZIONE ADEGUATI ALL'UTILIZZO. 
RM DERIVAZIONE D'IMPIANTO PUNTO LUCE IN PARALLELO; IMPIEGO: DERIVAZIONE D'IMPIANTO A VISTA A PARETE/A SOFFITTO. INCLUSO: TUBO PROTETTIVO; CONDUTTORI DI ALIMENTAZIONE E DI TERRA; SCATOLE DA INCASSO; FRUTTI COMPONIBILI; PLACCHE; SUPPORTI; TASSELLI/GANCI 
SPECIFICHE TECNICHE: IN PARALLELO AD UNA QUALSIASI DERIVAZIONE; PER IMPIANTI DI ENERGIA; GRADO DI PROTEZIONE IP55; REALIZZATO CON TUBO PROTETTIVO RIGIDO DI PLASTICA POLIVINILCLORURO (PVC) AUTOESTINGUENTE; CONDUTTORI DI ALIMENTAZIONE E DI TERRA DI LEGA RAME GENERICO RICOTTO ISOLATO CONFORMI AI REQUISITI PREVISTI DALLA NORMATIVA EUROPEA REGOLAMENTO UE 305/2011 - PRODOTTI DA COSTRUZIONE CPR; TIPOLOGIA CONDUTTORI E SEZIONE ADEGUATI ALL'UTILIZZO 
LV INSTALLAZIONE IN OPERA. INCLUSO: LINEA DI COLLEGAMENTO ALLO SPECIFICO PUNTO DI ALIMENTAZIONE; FISSAGGIO DELLE CANALIZZAZIONI A MEZZO DI TASSELLI O GANCI; ASSISTENZA PER IL TRASPORTO DEI MATERIALI AL PIANO.</t>
        </is>
      </c>
      <c r="M440" s="4" t="inlineStr">
        <is>
          <t>CAD</t>
        </is>
      </c>
      <c r="N440" s="5" t="n">
        <v>1</v>
      </c>
      <c r="O440" s="6" t="n">
        <v>37.15</v>
      </c>
      <c r="P440" s="6" t="n">
        <v>37.15</v>
      </c>
      <c r="Q440" s="5" t="n"/>
      <c r="R440" s="6" t="n"/>
      <c r="S440" s="6">
        <f>IF(AND(Q440&lt;&gt;"",R440&lt;&gt;""),Q440*R440,"")</f>
        <v/>
      </c>
      <c r="T440" s="6">
        <f>IF(S440="",P440,S440)</f>
        <v/>
      </c>
      <c r="U440" s="7" t="n">
        <v>0</v>
      </c>
      <c r="V440" s="6">
        <f>$T440*U440</f>
        <v/>
      </c>
      <c r="W440" s="7" t="n">
        <v>0</v>
      </c>
      <c r="X440" s="6">
        <f>$T440*W440</f>
        <v/>
      </c>
      <c r="Y440" s="7" t="n">
        <v>0</v>
      </c>
      <c r="Z440" s="6">
        <f>$T440*Y440</f>
        <v/>
      </c>
      <c r="AA440" s="7" t="n">
        <v>0</v>
      </c>
      <c r="AB440" s="6">
        <f>$T440*AA440</f>
        <v/>
      </c>
      <c r="AC440" s="7" t="n">
        <v>0</v>
      </c>
      <c r="AD440" s="6">
        <f>$T440*AC440</f>
        <v/>
      </c>
      <c r="AE440" s="7" t="n">
        <v>0</v>
      </c>
      <c r="AF440" s="6">
        <f>$T440*AE440</f>
        <v/>
      </c>
      <c r="AG440" s="7" t="n">
        <v>0</v>
      </c>
      <c r="AH440" s="6">
        <f>$T440*AG440</f>
        <v/>
      </c>
      <c r="AI440" s="7">
        <f>U440+W440+Y440+AA440+AC440+AE440+AG440</f>
        <v/>
      </c>
      <c r="AJ440" s="6">
        <f>V440+X440+Z440+AB440+AD440+AF440+AH440</f>
        <v/>
      </c>
    </row>
    <row r="441" ht="60" customHeight="1" s="35">
      <c r="A441" s="3" t="inlineStr">
        <is>
          <t>LOM252.OC.EEA.PA01.G8210.ZA001.0590</t>
        </is>
      </c>
      <c r="B441" s="4" t="inlineStr">
        <is>
          <t>3/5</t>
        </is>
      </c>
      <c r="C441" s="3" t="inlineStr">
        <is>
          <t>IMPIANTO ELETTRICO</t>
        </is>
      </c>
      <c r="D441" s="4" t="inlineStr">
        <is>
          <t>NON SPECIALE</t>
        </is>
      </c>
      <c r="E441" s="4" t="inlineStr">
        <is>
          <t>ELETTRICHE</t>
        </is>
      </c>
      <c r="F441" s="3" t="inlineStr">
        <is>
          <t>3_CME IE RADIOFARMACIA PAVIA - REV02 VARIANTE ESECUTIVA.PDF</t>
        </is>
      </c>
      <c r="G441" s="4" t="inlineStr">
        <is>
          <t>142/142</t>
        </is>
      </c>
      <c r="H441" s="3" t="inlineStr">
        <is>
          <t>40 - IMPIANTISTICO</t>
        </is>
      </c>
      <c r="I441" s="3" t="inlineStr">
        <is>
          <t>CABINA BT</t>
        </is>
      </c>
      <c r="J441" s="3" t="inlineStr">
        <is>
          <t>IMPIANTO DI ILLUMINAZIONE</t>
        </is>
      </c>
      <c r="K441" s="3" t="inlineStr">
        <is>
          <t>OPERA: CORPO ILLUMINANTE, LED; FUNZIONE: ILLUMINAZIONE DI EMERGENZA; AUTONOMIA [H] = 1 / 2 | FLUSSO LUMINOSO SE [LM] = 250 / 130 | FLUSSO LUMINOSO SA [LM] = 110. INCLUSO: LED MULTICOLORE. ESCLUSO: ACC</t>
        </is>
      </c>
      <c r="L441" s="3" t="inlineStr">
        <is>
          <t>OPERA: CORPO ILLUMINANTE, LED; FUNZIONE: ILLUMINAZIONE DI EMERGENZA; AUTONOMIA [H] = 1 / 2 | FLUSSO LUMINOSO SE [LM] = 250 / 130 | FLUSSO LUMINOSO SA [LM] = 110. INCLUSO: LED MULTICOLORE. ESCLUSO: ACCESSORIO MODULO AGGIUNTIVO. 
LAVORO: INSTALLAZIONE. 
SPECIFICHE TECNICHE: GRADO SI PROTEZIONE IP66, COMMUTABILE IN VERSIONE SE E SA,  COMMUTABILE IN VERSIONE SE E SA, DOTATO DI SISITEMA AUTOMATICO DI TEST DELL'AUTONOMIA (COMPRENDENTE IL CONTROLLO DI TUTTE LE FUNZIONI DELLA LAMPADA) IN UN ARCO DI TEMPO PARI ALL'AUTONOMIA RICHIESTA DALLE SINGOLE NORMATIVE RISULTATO E  VISUALIZZATO CON LED MULTICOLORE, INSTALLABILE A PARETE, A PLAFONE, A BANDIERA E A INCASSO,  PREDISPOSTO PER INSERIMENTO MODULO AGGIUNTIVO. OP CORPO ILLUMINANTE, LED; FUNZIONE: ILLUMINAZIONE DI EMERGENZA; AUTONOMIA [H] = 1 / 2 | FLUSSO LUMINOSO SE [LM] = 250 / 130 | FLUSSO LUMINOSO SA [LM] = 110. INCLUSO: LED MULTICOLORE. ESCLUSO: ACCESSORIO MODULO AGGIUNTIVO. 
SPECIFICHE TECNICHE: GRADO SI PROTEZIONE IP66, COMMUTABILE IN VERSIONE SE E SA,  COMMUTABILE IN VERSIONE SE E SA, DOTATO DI SISITEMA AUTOMATICO DI TEST DELL'AUTONOMIA (COMPRENDENTE IL CONTROLLO DI TUTTE LE FUNZIONI DELLA LAMPADA) IN UN ARCO DI TEMPO PARI ALL'AUTONOMIA RICHIESTA DALLE SINGOLE NORMATIVE RISULTATO E  VISUALIZZATO CON LED MULTICOLORE, INSTALLABILE A PARETE, A PLAFONE, A BANDIERA E A INCASSO,  PREDISPOSTO PER INSERIMENTO MODULO AGGIUNTIVO. 
RM CORPO ILLUMINANTE LED; FUNZIONE: ILLUMINAZIONE DI EMERGENZA; AUTONOMIA [H] = 1 / 2 | FLUSSO LUMINOSO SE [LM] = 250 / 130 | FLUSSO LUMINOSO SA [LM] = 110. COMPONENTE: BATTERIA TITANIO, . INCLUSO: LED MULTICOLORE. ESCLUSO: ACCESSORIO MODULO AGGIUNTIVO 
SPECIFICHE TECNICHE: GRADO SI PROTEZIONE IP66, COMMUTABILE IN VERSIONE SE E SA,  COMMUTABILE IN VERSIONE SE E SA, DOTATO DI SISITEMA AUTOMATICO DI TEST DELL'AUTONOMIA (COMPRENDENTE IL CONTROLLO DI TUTTE LE FUNZIONI DELLA LAMPADA) IN UN ARCO DI TEMPO PARI ALL'AUTONOMIA RICHIESTA DALLE SINGOLE NORMATIVE RISULTATO E  VISUALIZZATO CON LED MULTICOLORE, INSTALLABILE A PARETE, A PLAFONE, A BANDIERA E A INCASSO,  PREDISPOSTO PER INSERIMENTO MODULO AGGIUNTIVO 
LV INSTALLAZIONE.</t>
        </is>
      </c>
      <c r="M441" s="4" t="inlineStr">
        <is>
          <t>CAD</t>
        </is>
      </c>
      <c r="N441" s="5" t="n">
        <v>1</v>
      </c>
      <c r="O441" s="6" t="n">
        <v>85.11</v>
      </c>
      <c r="P441" s="6" t="n">
        <v>85.11</v>
      </c>
      <c r="Q441" s="5" t="n"/>
      <c r="R441" s="6" t="n"/>
      <c r="S441" s="6">
        <f>IF(AND(Q441&lt;&gt;"",R441&lt;&gt;""),Q441*R441,"")</f>
        <v/>
      </c>
      <c r="T441" s="6">
        <f>IF(S441="",P441,S441)</f>
        <v/>
      </c>
      <c r="U441" s="7" t="n">
        <v>0</v>
      </c>
      <c r="V441" s="6">
        <f>$T441*U441</f>
        <v/>
      </c>
      <c r="W441" s="7" t="n">
        <v>0</v>
      </c>
      <c r="X441" s="6">
        <f>$T441*W441</f>
        <v/>
      </c>
      <c r="Y441" s="7" t="n">
        <v>0</v>
      </c>
      <c r="Z441" s="6">
        <f>$T441*Y441</f>
        <v/>
      </c>
      <c r="AA441" s="7" t="n">
        <v>0</v>
      </c>
      <c r="AB441" s="6">
        <f>$T441*AA441</f>
        <v/>
      </c>
      <c r="AC441" s="7" t="n">
        <v>0</v>
      </c>
      <c r="AD441" s="6">
        <f>$T441*AC441</f>
        <v/>
      </c>
      <c r="AE441" s="7" t="n">
        <v>0</v>
      </c>
      <c r="AF441" s="6">
        <f>$T441*AE441</f>
        <v/>
      </c>
      <c r="AG441" s="7" t="n">
        <v>0</v>
      </c>
      <c r="AH441" s="6">
        <f>$T441*AG441</f>
        <v/>
      </c>
      <c r="AI441" s="7">
        <f>U441+W441+Y441+AA441+AC441+AE441+AG441</f>
        <v/>
      </c>
      <c r="AJ441" s="6">
        <f>V441+X441+Z441+AB441+AD441+AF441+AH441</f>
        <v/>
      </c>
    </row>
    <row r="442" ht="60" customHeight="1" s="35">
      <c r="A442" s="3" t="inlineStr">
        <is>
          <t>IE_NP_ILLORD01</t>
        </is>
      </c>
      <c r="B442" s="4" t="inlineStr">
        <is>
          <t>3/5</t>
        </is>
      </c>
      <c r="C442" s="3" t="inlineStr">
        <is>
          <t>IMPIANTO ELETTRICO</t>
        </is>
      </c>
      <c r="D442" s="4" t="inlineStr">
        <is>
          <t>NON SPECIALE</t>
        </is>
      </c>
      <c r="E442" s="4" t="inlineStr">
        <is>
          <t>ELETTRICHE</t>
        </is>
      </c>
      <c r="F442" s="3" t="inlineStr">
        <is>
          <t>3_CME IE RADIOFARMACIA PAVIA - REV02 VARIANTE ESECUTIVA.PDF</t>
        </is>
      </c>
      <c r="G442" s="4" t="inlineStr">
        <is>
          <t>143/143</t>
        </is>
      </c>
      <c r="H442" s="3" t="inlineStr">
        <is>
          <t>40 - IMPIANTISTICO</t>
        </is>
      </c>
      <c r="I442" s="3" t="inlineStr">
        <is>
          <t>CABINA BT</t>
        </is>
      </c>
      <c r="J442" s="3" t="inlineStr">
        <is>
          <t>IMPIANTO DI ILLUMINAZIONE</t>
        </is>
      </c>
      <c r="K442" s="3" t="inlineStr">
        <is>
          <t>FORNITURA E POSA IN OPERA DI APPARECCHIO ILLUMINANTE INDUSTRIALE DI TIPO STAGNO INSTALLATO A PLAFONE E/O A SOSPENSIONE E TUTTI GLI ACCESSORI NECESSARI PER IL PERFETTO FUNZIONAMENTO DEL CORPO ILLUMINAN</t>
        </is>
      </c>
      <c r="L442" s="3" t="inlineStr">
        <is>
          <t>FORNITURA E POSA IN OPERA DI APPARECCHIO ILLUMINANTE INDUSTRIALE DI TIPO STAGNO INSTALLATO A PLAFONE E/O A SOSPENSIONE E TUTTI GLI ACCESSORI NECESSARI PER IL PERFETTO FUNZIONAMENTO DEL CORPO ILLUMINANTE. 
CARATTERISTICHE GENERALI: 
CLASSIFICAZIONE RISCHIO FOTOBIOLOGICO: RG0 GRUPPO ESENTE. 
TEMPERATURA COLORE 4000K 
POTENZA ASSORBITA (W TOT) 34W 
FLUSSO LUMINOSO USCENTE 5194LM 
CRI &gt;=80 
CLASSE DI ISOLAMENTO I 
LOW FLICKER &lt;3% 
GRADO DI PROTEZIONE IP66 
PESO 1.8KG 
NORME DI RIFERIMENTO EN 60598-1, EN 60598-2-1, EN 62471, UNI EN 13032-1:2012, UNI EN 13032-4:2015, IES LM-79-08 
MANTENIMENTO DEL FLUSSO LUMINOSO LED L80B20: 50.000H  
CARATTERISTICHE ELETTRICHE DI PILOTAGGIO 
ALIMENTAZIONE ELETTRONICA 230V-50/60HZ, 
FATTORE DI POTENZA ≥0,95 
MATERIALI 
CORPO: STAMPATO AD INIEZIONE IN POLICARBONATO GRIGIO, INFRANGIBILE, STABILIZZATO AI RAGGI UV, DI ELEVATA RESISTENZA MECCANICA GRAZIE ALLA STRUTTURA RINFORZATA DA NERVATURE INTERNE. 
DIFFUSORE: STAMPATO AD INIEZIONE IN POLICARBONATO CON RIGHE INTERNE PER UN MAGGIOR CONTROLLO LUMINOSO, AUTOESTINGUENTE V2, STABILIZZATO AI RAGGI UV, FINITURA ESTERNA LISCIA PER FACILITARE LA PULIZIA NECESSARIA PER AVERE LA MASSIMA EFFICIENZA LUMINOSA. IL POLICARBONATO UTILIZZATO È DI PRIMA SCELTA E STABILIZZATO AI RAGGI U.V. LA LAVORAZIONE ELIMINA L’EFFETTO DELL’ABBAGLIAMENTO MA NON DIMINUISCE IL RENDIMENTO. POLICARBONATO CON OTTIMO COEFFICIENTE DI DIFFUSIONE E DI TRASMISSIONE DELLA LUCE. CHIUSURA A INCASTRO E CON VITI DI SICUREZZA IN ACCIAIO INOX. 
RIFLETTORE IN ACCIAIO ZINCATO PREVERNICIATO BIANCO A FORNO CON RESINA POLIESTERE STABILIZZATO AI RAGGI UV. FISSATO AL CORPO CON INNESTO RAPIDO MEDIANTE DISPOSITIVO RICAVATO DIRETTAMENTE SUL CORPO. 
SONO COMPRESI LA MANODOPERA, GLI ALLACCIAMENTI ELETTRICI, GLI ACCESSORI DI MONTAGGIO, FISSAGGIO, ALIMENTAZIONE, SOSTEGNO, OGNI ONERE ACCESSORIO PER L’INSTALLAZIONE DELLA PLAFONIERA COME DA PROGETTO E MATERIALI DI CONSUMO. 
APPARECCHIO DISANO - MODELLO 960 HYDRO LED - MONEY SAVING  - ART. 164754-00 O EQUIVALENTE APPROVATO</t>
        </is>
      </c>
      <c r="M442" s="4" t="inlineStr">
        <is>
          <t>CADAUNO</t>
        </is>
      </c>
      <c r="N442" s="5" t="n">
        <v>2</v>
      </c>
      <c r="O442" s="6" t="n">
        <v>86.06</v>
      </c>
      <c r="P442" s="6" t="n">
        <v>172.12</v>
      </c>
      <c r="Q442" s="5" t="n"/>
      <c r="R442" s="6" t="n"/>
      <c r="S442" s="6">
        <f>IF(AND(Q442&lt;&gt;"",R442&lt;&gt;""),Q442*R442,"")</f>
        <v/>
      </c>
      <c r="T442" s="6">
        <f>IF(S442="",P442,S442)</f>
        <v/>
      </c>
      <c r="U442" s="7" t="n">
        <v>0</v>
      </c>
      <c r="V442" s="6">
        <f>$T442*U442</f>
        <v/>
      </c>
      <c r="W442" s="7" t="n">
        <v>0</v>
      </c>
      <c r="X442" s="6">
        <f>$T442*W442</f>
        <v/>
      </c>
      <c r="Y442" s="7" t="n">
        <v>0</v>
      </c>
      <c r="Z442" s="6">
        <f>$T442*Y442</f>
        <v/>
      </c>
      <c r="AA442" s="7" t="n">
        <v>0</v>
      </c>
      <c r="AB442" s="6">
        <f>$T442*AA442</f>
        <v/>
      </c>
      <c r="AC442" s="7" t="n">
        <v>0</v>
      </c>
      <c r="AD442" s="6">
        <f>$T442*AC442</f>
        <v/>
      </c>
      <c r="AE442" s="7" t="n">
        <v>0</v>
      </c>
      <c r="AF442" s="6">
        <f>$T442*AE442</f>
        <v/>
      </c>
      <c r="AG442" s="7" t="n">
        <v>0</v>
      </c>
      <c r="AH442" s="6">
        <f>$T442*AG442</f>
        <v/>
      </c>
      <c r="AI442" s="7">
        <f>U442+W442+Y442+AA442+AC442+AE442+AG442</f>
        <v/>
      </c>
      <c r="AJ442" s="6">
        <f>V442+X442+Z442+AB442+AD442+AF442+AH442</f>
        <v/>
      </c>
    </row>
    <row r="443" ht="60" customHeight="1" s="35">
      <c r="A443" s="3" t="inlineStr">
        <is>
          <t>LOM252.OC.EEA.PA01.G8235.ZA001.0270</t>
        </is>
      </c>
      <c r="B443" s="4" t="inlineStr">
        <is>
          <t>3/4</t>
        </is>
      </c>
      <c r="C443" s="3" t="inlineStr">
        <is>
          <t>IMPIANTO ELETTRICO</t>
        </is>
      </c>
      <c r="D443" s="4" t="inlineStr">
        <is>
          <t>NON SPECIALE</t>
        </is>
      </c>
      <c r="E443" s="4" t="inlineStr">
        <is>
          <t>ELETTRICHE</t>
        </is>
      </c>
      <c r="F443" s="3" t="inlineStr">
        <is>
          <t>3_CME IE RADIOFARMACIA PAVIA - REV02 VARIANTE ESECUTIVA.PDF</t>
        </is>
      </c>
      <c r="G443" s="4" t="inlineStr">
        <is>
          <t>144/144</t>
        </is>
      </c>
      <c r="H443" s="3" t="inlineStr">
        <is>
          <t>40 - IMPIANTISTICO</t>
        </is>
      </c>
      <c r="I443" s="3" t="inlineStr">
        <is>
          <t>CABINA BT</t>
        </is>
      </c>
      <c r="J443" s="3" t="inlineStr">
        <is>
          <t>IMPIANTO DI FORZA MOTRICE</t>
        </is>
      </c>
      <c r="K443" s="3" t="inlineStr">
        <is>
          <t>OPERA: DERIVAZIONE D'IMPIANTO PRESA, BIPASSO; FUNZIONE: PRESA DI CORRENTE; IMPIEGO: DERIVAZIONE D'IMPIANTO A VISTA A PARETE/A SOFFITTO; CORRENTE NOMINALE 1 [A] = 10 | CORRENTE NOMINALE 2 [A] = 16 | GR</t>
        </is>
      </c>
      <c r="L443" s="3" t="inlineStr">
        <is>
          <t>OPERA: DERIVAZIONE D'IMPIANTO PRESA, BIPASSO; FUNZIONE: PRESA DI CORRENTE; IMPIEGO: DERIVAZIONE D'IMPIANTO A VISTA A PARETE/A SOFFITTO; CORRENTE NOMINALE 1 [A] = 10 | CORRENTE NOMINALE 2 [A] = 16 | GRADO DI SICUREZZA [-] = 2.2; N° PRESE [-] = 1 + T. INCLUSO: TUBO PROTETTIVO; CONDUTTORI DI ALIMENTAZIONE E DI TERRA; SCATOLE DA INCASSO; FRUTTI COMPONIBILI; PLACCHE; SUPPORTI; TASSELLI/GANCI. 
LAVORO: INSTALLAZIONE IN OPERA. INCLUSO: LINEA DI COLLEGAMENTO ALLO SPECIFICO PUNTO DI ALIMENTAZIONE; FISSAGGIO DELLE CANALIZZAZIONI A MEZZO DI TASSELLI O GANCI; ASSISTENZA PER IL TRASPORTO DEI MATERIALI AL PIANO. 
SPECIFICHE TECNICHE: PER IMPIANTI DI ENERGIA; GRADO DI PROTEZIONE IP55; REALIZZATO CON TUBO PROTETTIVO RIGIDO DI PLASTICA POLIVINILCLORURO (PVC) AUTOESTINGUENTE; CONDUTTORI DI ALIMENTAZIONE E DI TERRA DI LEGA RAME GENERICO RICOTTO ISOLATO CONFORMI AI REQUISITI PREVISTI DALLA NORMATIVA EUROPEA REGOLAMENTO UE 305/2011 - PRODOTTI DA COSTRUZIONE CPR; TIPOLOGIA CONDUTTORI E SEZIONE ADEGUATI ALL'UTILIZZO. OP DERIVAZIONE D'IMPIANTO PRESA, BIPASSO; FUNZIONE: PRESA DI CORRENTE; IMPIEGO: DERIVAZIONE D'IMPIANTO A VISTA A PARETE/A SOFFITTO; CORRENTE NOMINALE 1 [A] = 10 | CORRENTE NOMINALE 2 [A] = 16 | GRADO DI SICUREZZA [-] = 2.2; N° PRESE [-] = 1 + T. INCLUSO: TUBO PROTETTIVO; CONDUTTORI DI ALIMENTAZIONE E DI TERRA; SCATOLE DA INCASSO; FRUTTI COMPONIBILI; PLACCHE; SUPPORTI; TASSELLI/GANCI. 
SPECIFICHE TECNICHE: PER IMPIANTI DI ENERGIA; GRADO DI PROTEZIONE IP55; REALIZZATO CON TUBO PROTETTIVO RIGIDO DI PLASTICA POLIVINILCLORURO (PVC) AUTOESTINGUENTE; CONDUTTORI DI ALIMENTAZIONE E DI TERRA DI LEGA RAME GENERICO RICOTTO ISOLATO CONFORMI AI REQUISITI PREVISTI DALLA NORMATIVA EUROPEA REGOLAMENTO UE 305/2011 - PRODOTTI DA COSTRUZIONE CPR; TIPOLOGIA CONDUTTORI E SEZIONE ADEGUATI ALL'UTILIZZO. 
RM DERIVAZIONE D'IMPIANTO PRESA BIPASSO; FUNZIONE: PRESA DI CORRENTE; IMPIEGO: DERIVAZIONE D'IMPIANTO A VISTA A PARETE/A SOFFITTO; CORRENTE NOMINALE 1 [A] = 10 | CORRENTE NOMINALE 2 [A] = 16 | GRADO DI SICUREZZA [-] = 2.2; N° PRESE [-] = 2 + T. INCLUSO: TUBO PROTETTIVO; CONDUTTORI DI ALIMENTAZIONE E DI TERRA; SCATOLE DA INCASSO; FRUTTI COMPONIBILI; PLACCHE; SUPPORTI; TASSELLI/GANCI 
SPECIFICHE TECNICHE: PER IMPIANTI DI ENERGIA; GRADO DI PROTEZIONE IP55; REALIZZATO CON TUBO PROTETTIVO RIGIDO DI PLASTICA POLIVINILCLORURO (PVC) AUTOESTINGUENTE; CONDUTTORI DI ALIMENTAZIONE E DI TERRA DI LEGA RAME GENERICO RICOTTO ISOLATO CONFORMI AI REQUISITI PREVISTI DALLA NORMATIVA EUROPEA REGOLAMENTO UE 305/2011 - PRODOTTI DA COSTRUZIONE CPR; TIPOLOGIA CONDUTTORI E SEZIONE ADEGUATI ALL'UTILIZZO 
LV INSTALLAZIONE IN OPERA. INCLUSO: LINEA DI COLLEGAMENTO ALLO SPECIFICO PUNTO DI ALIMENTAZIONE; FISSAGGIO DELLE CANALIZZAZIONI A MEZZO DI TASSELLI O GANCI; ASSISTENZA PER IL TRASPORTO DEI MATERIALI AL PIANO.</t>
        </is>
      </c>
      <c r="M443" s="4" t="inlineStr">
        <is>
          <t>CAD</t>
        </is>
      </c>
      <c r="N443" s="5" t="n">
        <v>2</v>
      </c>
      <c r="O443" s="6" t="n">
        <v>65.22</v>
      </c>
      <c r="P443" s="6" t="n">
        <v>130.44</v>
      </c>
      <c r="Q443" s="5" t="n"/>
      <c r="R443" s="6" t="n"/>
      <c r="S443" s="6">
        <f>IF(AND(Q443&lt;&gt;"",R443&lt;&gt;""),Q443*R443,"")</f>
        <v/>
      </c>
      <c r="T443" s="6">
        <f>IF(S443="",P443,S443)</f>
        <v/>
      </c>
      <c r="U443" s="7" t="n">
        <v>0</v>
      </c>
      <c r="V443" s="6">
        <f>$T443*U443</f>
        <v/>
      </c>
      <c r="W443" s="7" t="n">
        <v>0</v>
      </c>
      <c r="X443" s="6">
        <f>$T443*W443</f>
        <v/>
      </c>
      <c r="Y443" s="7" t="n">
        <v>0</v>
      </c>
      <c r="Z443" s="6">
        <f>$T443*Y443</f>
        <v/>
      </c>
      <c r="AA443" s="7" t="n">
        <v>0</v>
      </c>
      <c r="AB443" s="6">
        <f>$T443*AA443</f>
        <v/>
      </c>
      <c r="AC443" s="7" t="n">
        <v>0</v>
      </c>
      <c r="AD443" s="6">
        <f>$T443*AC443</f>
        <v/>
      </c>
      <c r="AE443" s="7" t="n">
        <v>0</v>
      </c>
      <c r="AF443" s="6">
        <f>$T443*AE443</f>
        <v/>
      </c>
      <c r="AG443" s="7" t="n">
        <v>0</v>
      </c>
      <c r="AH443" s="6">
        <f>$T443*AG443</f>
        <v/>
      </c>
      <c r="AI443" s="7">
        <f>U443+W443+Y443+AA443+AC443+AE443+AG443</f>
        <v/>
      </c>
      <c r="AJ443" s="6">
        <f>V443+X443+Z443+AB443+AD443+AF443+AH443</f>
        <v/>
      </c>
    </row>
    <row r="444" ht="60" customHeight="1" s="35">
      <c r="A444" s="3" t="inlineStr">
        <is>
          <t>LOM252.OC.EEA.PA02.G8231.ZA001.1000</t>
        </is>
      </c>
      <c r="B444" s="4" t="inlineStr">
        <is>
          <t>3/5</t>
        </is>
      </c>
      <c r="C444" s="3" t="inlineStr">
        <is>
          <t>IMPIANTO ELETTRICO</t>
        </is>
      </c>
      <c r="D444" s="4" t="inlineStr">
        <is>
          <t>NON SPECIALE</t>
        </is>
      </c>
      <c r="E444" s="4" t="inlineStr">
        <is>
          <t>ELETTRICHE</t>
        </is>
      </c>
      <c r="F444" s="3" t="inlineStr">
        <is>
          <t>3_CME IE RADIOFARMACIA PAVIA - REV02 VARIANTE ESECUTIVA.PDF</t>
        </is>
      </c>
      <c r="G444" s="4" t="inlineStr">
        <is>
          <t>145/145</t>
        </is>
      </c>
      <c r="H444" s="3" t="inlineStr">
        <is>
          <t>40 - IMPIANTISTICO</t>
        </is>
      </c>
      <c r="I444" s="3" t="inlineStr">
        <is>
          <t>CABINA BT</t>
        </is>
      </c>
      <c r="J444" s="3" t="inlineStr">
        <is>
          <t>IMPIANTO DI FORZA MOTRICE</t>
        </is>
      </c>
      <c r="K444" s="3" t="inlineStr">
        <is>
          <t xml:space="preserve">OPERA: PRESA; CORRENTE NOMINALE [A] = 10/16; N° POLI [-] = 2P+T. </t>
        </is>
      </c>
      <c r="L444" s="3" t="inlineStr">
        <is>
          <t>OPERA: PRESA; CORRENTE NOMINALE [A] = 10/16; N° POLI [-] = 2P+T. 
LAVORO: POSA. 
SPECIFICHE TECNICHE: UNEL BIVALENTE MODULARE. OP PRESA; CORRENTE NOMINALE [A] = 10/16; N° POLI [-] = 2P+T. 
SPECIFICHE TECNICHE: UNEL BIVALENTE MODULARE. 
RM PRESA; CORRENTE NOMINALE [A] = 10/16; N° POLI [-] = 2P+T 
SPECIFICHE TECNICHE: UNEL BIVALENTE MODULARE 
LV POSA.</t>
        </is>
      </c>
      <c r="M444" s="4" t="inlineStr">
        <is>
          <t>CAD</t>
        </is>
      </c>
      <c r="N444" s="5" t="n">
        <v>2</v>
      </c>
      <c r="O444" s="6" t="n">
        <v>71.15000000000001</v>
      </c>
      <c r="P444" s="6" t="n">
        <v>142.3</v>
      </c>
      <c r="Q444" s="5" t="n"/>
      <c r="R444" s="6" t="n"/>
      <c r="S444" s="6">
        <f>IF(AND(Q444&lt;&gt;"",R444&lt;&gt;""),Q444*R444,"")</f>
        <v/>
      </c>
      <c r="T444" s="6">
        <f>IF(S444="",P444,S444)</f>
        <v/>
      </c>
      <c r="U444" s="7" t="n">
        <v>0</v>
      </c>
      <c r="V444" s="6">
        <f>$T444*U444</f>
        <v/>
      </c>
      <c r="W444" s="7" t="n">
        <v>0</v>
      </c>
      <c r="X444" s="6">
        <f>$T444*W444</f>
        <v/>
      </c>
      <c r="Y444" s="7" t="n">
        <v>0</v>
      </c>
      <c r="Z444" s="6">
        <f>$T444*Y444</f>
        <v/>
      </c>
      <c r="AA444" s="7" t="n">
        <v>0</v>
      </c>
      <c r="AB444" s="6">
        <f>$T444*AA444</f>
        <v/>
      </c>
      <c r="AC444" s="7" t="n">
        <v>0</v>
      </c>
      <c r="AD444" s="6">
        <f>$T444*AC444</f>
        <v/>
      </c>
      <c r="AE444" s="7" t="n">
        <v>0</v>
      </c>
      <c r="AF444" s="6">
        <f>$T444*AE444</f>
        <v/>
      </c>
      <c r="AG444" s="7" t="n">
        <v>0</v>
      </c>
      <c r="AH444" s="6">
        <f>$T444*AG444</f>
        <v/>
      </c>
      <c r="AI444" s="7">
        <f>U444+W444+Y444+AA444+AC444+AE444+AG444</f>
        <v/>
      </c>
      <c r="AJ444" s="6">
        <f>V444+X444+Z444+AB444+AD444+AF444+AH444</f>
        <v/>
      </c>
    </row>
    <row r="445" ht="60" customHeight="1" s="35">
      <c r="A445" s="3" t="inlineStr">
        <is>
          <t>LOM252.OC.EEA.PA02.G7605.ZA001.0015</t>
        </is>
      </c>
      <c r="B445" s="4" t="inlineStr">
        <is>
          <t>3/4</t>
        </is>
      </c>
      <c r="C445" s="3" t="inlineStr">
        <is>
          <t>IMPIANTO ELETTRICO</t>
        </is>
      </c>
      <c r="D445" s="4" t="inlineStr">
        <is>
          <t>NON SPECIALE</t>
        </is>
      </c>
      <c r="E445" s="4" t="inlineStr">
        <is>
          <t>ELETTRICHE</t>
        </is>
      </c>
      <c r="F445" s="3" t="inlineStr">
        <is>
          <t>3_CME IE RADIOFARMACIA PAVIA - REV02 VARIANTE ESECUTIVA.PDF</t>
        </is>
      </c>
      <c r="G445" s="4" t="inlineStr">
        <is>
          <t>146/146</t>
        </is>
      </c>
      <c r="H445" s="3" t="inlineStr">
        <is>
          <t>40 - IMPIANTISTICO</t>
        </is>
      </c>
      <c r="I445" s="3" t="inlineStr">
        <is>
          <t>ESTERNO</t>
        </is>
      </c>
      <c r="J445" s="3" t="inlineStr">
        <is>
          <t>IMPIANTO DI MESSA A TERRA</t>
        </is>
      </c>
      <c r="K445" s="3" t="inlineStr">
        <is>
          <t xml:space="preserve">OPERA: CORDA; IMPIEGO: IMPIANTO DI TERRA; SEZIONE [MM²] = 50. </t>
        </is>
      </c>
      <c r="L445" s="3" t="inlineStr">
        <is>
          <t>OPERA: CORDA; IMPIEGO: IMPIANTO DI TERRA; SEZIONE [MM²] = 50. 
LAVORO: POSA. 
SPECIFICHE TECNICHE: CORDA DI RAME NUDA. OP CORDA; IMPIEGO: IMPIANTO DI TERRA; SEZIONE [MM²] = 50. 
SPECIFICHE TECNICHE: CORDA DI RAME NUDA. 
RM CORDA DI LEGA RAME GENERICO; IMPIEGO: IMPIANTO DI TERRA; SEZIONE [MM²] = 50 
SPECIFICHE TECNICHE: CORDA DI RAME NUDA 
LV POSA.
[DIMENSIONI: 100,00 | 150,00]</t>
        </is>
      </c>
      <c r="M445" s="4" t="inlineStr">
        <is>
          <t>M</t>
        </is>
      </c>
      <c r="N445" s="5" t="n">
        <v>250</v>
      </c>
      <c r="O445" s="6" t="n">
        <v>9.369999999999999</v>
      </c>
      <c r="P445" s="6" t="n">
        <v>2342.5</v>
      </c>
      <c r="Q445" s="5" t="n"/>
      <c r="R445" s="6" t="n"/>
      <c r="S445" s="6">
        <f>IF(AND(Q445&lt;&gt;"",R445&lt;&gt;""),Q445*R445,"")</f>
        <v/>
      </c>
      <c r="T445" s="6">
        <f>IF(S445="",P445,S445)</f>
        <v/>
      </c>
      <c r="U445" s="7" t="n">
        <v>0</v>
      </c>
      <c r="V445" s="6">
        <f>$T445*U445</f>
        <v/>
      </c>
      <c r="W445" s="7" t="n">
        <v>0.6</v>
      </c>
      <c r="X445" s="6">
        <f>$T445*W445</f>
        <v/>
      </c>
      <c r="Y445" s="7" t="n">
        <v>0</v>
      </c>
      <c r="Z445" s="6">
        <f>$T445*Y445</f>
        <v/>
      </c>
      <c r="AA445" s="7" t="n">
        <v>0</v>
      </c>
      <c r="AB445" s="6">
        <f>$T445*AA445</f>
        <v/>
      </c>
      <c r="AC445" s="7" t="n">
        <v>0</v>
      </c>
      <c r="AD445" s="6">
        <f>$T445*AC445</f>
        <v/>
      </c>
      <c r="AE445" s="7" t="n">
        <v>0</v>
      </c>
      <c r="AF445" s="6">
        <f>$T445*AE445</f>
        <v/>
      </c>
      <c r="AG445" s="7" t="n">
        <v>0</v>
      </c>
      <c r="AH445" s="6">
        <f>$T445*AG445</f>
        <v/>
      </c>
      <c r="AI445" s="7">
        <f>U445+W445+Y445+AA445+AC445+AE445+AG445</f>
        <v/>
      </c>
      <c r="AJ445" s="6">
        <f>V445+X445+Z445+AB445+AD445+AF445+AH445</f>
        <v/>
      </c>
    </row>
    <row r="446" ht="60" customHeight="1" s="35">
      <c r="A446" s="3" t="inlineStr">
        <is>
          <t>LOM252.OC.EEA.PA02.G7424.SC009.1275</t>
        </is>
      </c>
      <c r="B446" s="4" t="inlineStr">
        <is>
          <t>1/2</t>
        </is>
      </c>
      <c r="C446" s="3" t="inlineStr">
        <is>
          <t>IMPIANTO ELETTRICO</t>
        </is>
      </c>
      <c r="D446" s="4" t="inlineStr">
        <is>
          <t>NON SPECIALE</t>
        </is>
      </c>
      <c r="E446" s="4" t="inlineStr">
        <is>
          <t>ELETTRICHE</t>
        </is>
      </c>
      <c r="F446" s="3" t="inlineStr">
        <is>
          <t>3_CME IE RADIOFARMACIA PAVIA - REV02 VARIANTE ESECUTIVA.PDF</t>
        </is>
      </c>
      <c r="G446" s="4" t="inlineStr">
        <is>
          <t>147/147</t>
        </is>
      </c>
      <c r="H446" s="3" t="inlineStr">
        <is>
          <t>40 - IMPIANTISTICO</t>
        </is>
      </c>
      <c r="I446" s="3" t="inlineStr">
        <is>
          <t>ESTERNO</t>
        </is>
      </c>
      <c r="J446" s="3" t="inlineStr">
        <is>
          <t>IMPIANTO DI MESSA A TERRA</t>
        </is>
      </c>
      <c r="K446" s="3" t="inlineStr">
        <is>
          <t xml:space="preserve">OPERA: CAVO, FG17 DI LEGA RAME RICOTTO; GEOMETRIA: FLESSIBILE; SEZIONE NOMINALE [MM²] = 16; TENSIONE NOMINALE [KV] = 450/750; N° POLI [-] = 1P. </t>
        </is>
      </c>
      <c r="L446" s="3" t="inlineStr">
        <is>
          <t>OPERA: CAVO, FG17 DI LEGA RAME RICOTTO; GEOMETRIA: FLESSIBILE; SEZIONE NOMINALE [MM²] = 16; TENSIONE NOMINALE [KV] = 450/750; N° POLI [-] = 1P. 
LAVORO: POSA. OP CAVO, FG17 DI LEGA RAME RICOTTO; GEOMETRIA: FLESSIBILE; SEZIONE NOMINALE [MM²] = 16; TENSIONE NOMINALE UO/U [KV] = 450/750; N° POLI [-] = 1P. 
RM CAVO FG17 DI LEGA RAME RICOTTO; GEOMETRIA: FLESSIBILE; SEZIONE NOMINALE [MM²] = 16; TENSIONE NOMINALE UO/U [KV] = 450/750; N° POLI [-] = 1P. COMPONENTE: ISOLANTE,  
LV POSA.
[DIMENSIONI: 1,00 130,00]</t>
        </is>
      </c>
      <c r="M446" s="4" t="inlineStr">
        <is>
          <t>M</t>
        </is>
      </c>
      <c r="N446" s="5" t="n">
        <v>130</v>
      </c>
      <c r="O446" s="6" t="n">
        <v>5.84</v>
      </c>
      <c r="P446" s="6" t="n">
        <v>759.2</v>
      </c>
      <c r="Q446" s="5" t="n"/>
      <c r="R446" s="6" t="n"/>
      <c r="S446" s="6">
        <f>IF(AND(Q446&lt;&gt;"",R446&lt;&gt;""),Q446*R446,"")</f>
        <v/>
      </c>
      <c r="T446" s="6">
        <f>IF(S446="",P446,S446)</f>
        <v/>
      </c>
      <c r="U446" s="7" t="n">
        <v>0</v>
      </c>
      <c r="V446" s="6">
        <f>$T446*U446</f>
        <v/>
      </c>
      <c r="W446" s="7" t="n">
        <v>0</v>
      </c>
      <c r="X446" s="6">
        <f>$T446*W446</f>
        <v/>
      </c>
      <c r="Y446" s="7" t="n">
        <v>0</v>
      </c>
      <c r="Z446" s="6">
        <f>$T446*Y446</f>
        <v/>
      </c>
      <c r="AA446" s="7" t="n">
        <v>0</v>
      </c>
      <c r="AB446" s="6">
        <f>$T446*AA446</f>
        <v/>
      </c>
      <c r="AC446" s="7" t="n">
        <v>0</v>
      </c>
      <c r="AD446" s="6">
        <f>$T446*AC446</f>
        <v/>
      </c>
      <c r="AE446" s="7" t="n">
        <v>0</v>
      </c>
      <c r="AF446" s="6">
        <f>$T446*AE446</f>
        <v/>
      </c>
      <c r="AG446" s="7" t="n">
        <v>0</v>
      </c>
      <c r="AH446" s="6">
        <f>$T446*AG446</f>
        <v/>
      </c>
      <c r="AI446" s="7">
        <f>U446+W446+Y446+AA446+AC446+AE446+AG446</f>
        <v/>
      </c>
      <c r="AJ446" s="6">
        <f>V446+X446+Z446+AB446+AD446+AF446+AH446</f>
        <v/>
      </c>
    </row>
    <row r="447" ht="60" customHeight="1" s="35">
      <c r="A447" s="3" t="inlineStr">
        <is>
          <t>LOM252.OC.EEA.PA02.G7424.SC009.1320</t>
        </is>
      </c>
      <c r="B447" s="4" t="inlineStr">
        <is>
          <t>2/2</t>
        </is>
      </c>
      <c r="C447" s="3" t="inlineStr">
        <is>
          <t>IMPIANTO ELETTRICO</t>
        </is>
      </c>
      <c r="D447" s="4" t="inlineStr">
        <is>
          <t>NON SPECIALE</t>
        </is>
      </c>
      <c r="E447" s="4" t="inlineStr">
        <is>
          <t>ELETTRICHE</t>
        </is>
      </c>
      <c r="F447" s="3" t="inlineStr">
        <is>
          <t>3_CME IE RADIOFARMACIA PAVIA - REV02 VARIANTE ESECUTIVA.PDF</t>
        </is>
      </c>
      <c r="G447" s="4" t="inlineStr">
        <is>
          <t>148/148</t>
        </is>
      </c>
      <c r="H447" s="3" t="inlineStr">
        <is>
          <t>40 - IMPIANTISTICO</t>
        </is>
      </c>
      <c r="I447" s="3" t="inlineStr">
        <is>
          <t>ESTERNO</t>
        </is>
      </c>
      <c r="J447" s="3" t="inlineStr">
        <is>
          <t>IMPIANTO DI MESSA A TERRA</t>
        </is>
      </c>
      <c r="K447" s="3" t="inlineStr">
        <is>
          <t xml:space="preserve">OPERA: CAVO, FG17 DI LEGA RAME RICOTTO; GEOMETRIA: FLESSIBILE; SEZIONE NOMINALE [MM²] = 240; TENSIONE NOMINALE [KV] = 450/750; N° POLI [-] = 1P. </t>
        </is>
      </c>
      <c r="L447" s="3" t="inlineStr">
        <is>
          <t>OPERA: CAVO, FG17 DI LEGA RAME RICOTTO; GEOMETRIA: FLESSIBILE; SEZIONE NOMINALE [MM²] = 240; TENSIONE NOMINALE [KV] = 450/750; N° POLI [-] = 1P. 
LAVORO: POSA. OP CAVO, FG17 DI LEGA RAME RICOTTO; GEOMETRIA: FLESSIBILE; SEZIONE NOMINALE [MM²] = 240; TENSIONE NOMINALE UO/U [KV] = 450/750; N° POLI [-] = 1P. 
RM CAVO FG17 DI LEGA RAME RICOTTO; GEOMETRIA: FLESSIBILE; SEZIONE NOMINALE [MM²] = 240; TENSIONE NOMINALE UO/U [KV] = 450/750; N° POLI [-] = 1P. COMPONENTE: ISOLANTE,  
LV POSA.
[DIMENSIONI: 1,00 100,00]</t>
        </is>
      </c>
      <c r="M447" s="4" t="inlineStr">
        <is>
          <t>M</t>
        </is>
      </c>
      <c r="N447" s="5" t="n">
        <v>100</v>
      </c>
      <c r="O447" s="6" t="n">
        <v>55.46</v>
      </c>
      <c r="P447" s="6" t="n">
        <v>5546</v>
      </c>
      <c r="Q447" s="5" t="n"/>
      <c r="R447" s="6" t="n"/>
      <c r="S447" s="6">
        <f>IF(AND(Q447&lt;&gt;"",R447&lt;&gt;""),Q447*R447,"")</f>
        <v/>
      </c>
      <c r="T447" s="6">
        <f>IF(S447="",P447,S447)</f>
        <v/>
      </c>
      <c r="U447" s="7" t="n">
        <v>0</v>
      </c>
      <c r="V447" s="6">
        <f>$T447*U447</f>
        <v/>
      </c>
      <c r="W447" s="7" t="n">
        <v>0.6</v>
      </c>
      <c r="X447" s="6">
        <f>$T447*W447</f>
        <v/>
      </c>
      <c r="Y447" s="7" t="n">
        <v>0</v>
      </c>
      <c r="Z447" s="6">
        <f>$T447*Y447</f>
        <v/>
      </c>
      <c r="AA447" s="7" t="n">
        <v>0</v>
      </c>
      <c r="AB447" s="6">
        <f>$T447*AA447</f>
        <v/>
      </c>
      <c r="AC447" s="7" t="n">
        <v>0</v>
      </c>
      <c r="AD447" s="6">
        <f>$T447*AC447</f>
        <v/>
      </c>
      <c r="AE447" s="7" t="n">
        <v>0</v>
      </c>
      <c r="AF447" s="6">
        <f>$T447*AE447</f>
        <v/>
      </c>
      <c r="AG447" s="7" t="n">
        <v>0</v>
      </c>
      <c r="AH447" s="6">
        <f>$T447*AG447</f>
        <v/>
      </c>
      <c r="AI447" s="7">
        <f>U447+W447+Y447+AA447+AC447+AE447+AG447</f>
        <v/>
      </c>
      <c r="AJ447" s="6">
        <f>V447+X447+Z447+AB447+AD447+AF447+AH447</f>
        <v/>
      </c>
    </row>
    <row r="448" ht="60" customHeight="1" s="35">
      <c r="A448" s="3" t="inlineStr">
        <is>
          <t>LOM252.OC.EEA.PA02.G7424.SC009.1315</t>
        </is>
      </c>
      <c r="B448" s="4" t="inlineStr">
        <is>
          <t>1/1</t>
        </is>
      </c>
      <c r="C448" s="3" t="inlineStr">
        <is>
          <t>IMPIANTO ELETTRICO</t>
        </is>
      </c>
      <c r="D448" s="4" t="inlineStr">
        <is>
          <t>NON SPECIALE</t>
        </is>
      </c>
      <c r="E448" s="4" t="inlineStr">
        <is>
          <t>ELETTRICHE</t>
        </is>
      </c>
      <c r="F448" s="3" t="inlineStr">
        <is>
          <t>3_CME IE RADIOFARMACIA PAVIA - REV02 VARIANTE ESECUTIVA.PDF</t>
        </is>
      </c>
      <c r="G448" s="4" t="inlineStr">
        <is>
          <t>149/149</t>
        </is>
      </c>
      <c r="H448" s="3" t="inlineStr">
        <is>
          <t>40 - IMPIANTISTICO</t>
        </is>
      </c>
      <c r="I448" s="3" t="inlineStr">
        <is>
          <t>ESTERNO</t>
        </is>
      </c>
      <c r="J448" s="3" t="inlineStr">
        <is>
          <t>IMPIANTO DI MESSA A TERRA</t>
        </is>
      </c>
      <c r="K448" s="3" t="inlineStr">
        <is>
          <t xml:space="preserve">OPERA: CAVO, FG17 DI LEGA RAME RICOTTO; GEOMETRIA: FLESSIBILE; SEZIONE NOMINALE [MM²] = 185; TENSIONE NOMINALE [KV] = 450/750; N° POLI [-] = 1P. </t>
        </is>
      </c>
      <c r="L448" s="3" t="inlineStr">
        <is>
          <t>OPERA: CAVO, FG17 DI LEGA RAME RICOTTO; GEOMETRIA: FLESSIBILE; SEZIONE NOMINALE [MM²] = 185; TENSIONE NOMINALE [KV] = 450/750; N° POLI [-] = 1P. 
LAVORO: POSA. OP CAVO, FG17 DI LEGA RAME RICOTTO; GEOMETRIA: FLESSIBILE; SEZIONE NOMINALE [MM²] = 185; TENSIONE NOMINALE UO/U [KV] = 450/750; N° POLI [-] = 1P. 
RM CAVO FG17 DI LEGA RAME RICOTTO; GEOMETRIA: FLESSIBILE; SEZIONE NOMINALE [MM²] = 185; TENSIONE NOMINALE UO/U [KV] = 450/750; N° POLI [-] = 1P. COMPONENTE: ISOLANTE,  
LV POSA.
[DIMENSIONI: 1,00 100,00 | -1,00 100,00 | 1,00 100,00]</t>
        </is>
      </c>
      <c r="M448" s="4" t="inlineStr">
        <is>
          <t>M</t>
        </is>
      </c>
      <c r="N448" s="5" t="n">
        <v>100</v>
      </c>
      <c r="O448" s="6" t="n">
        <v>30.62</v>
      </c>
      <c r="P448" s="6" t="n">
        <v>3062</v>
      </c>
      <c r="Q448" s="5" t="n"/>
      <c r="R448" s="6" t="n"/>
      <c r="S448" s="6">
        <f>IF(AND(Q448&lt;&gt;"",R448&lt;&gt;""),Q448*R448,"")</f>
        <v/>
      </c>
      <c r="T448" s="6">
        <f>IF(S448="",P448,S448)</f>
        <v/>
      </c>
      <c r="U448" s="7" t="n">
        <v>0</v>
      </c>
      <c r="V448" s="6">
        <f>$T448*U448</f>
        <v/>
      </c>
      <c r="W448" s="7" t="n">
        <v>0.6</v>
      </c>
      <c r="X448" s="6">
        <f>$T448*W448</f>
        <v/>
      </c>
      <c r="Y448" s="7" t="n">
        <v>0</v>
      </c>
      <c r="Z448" s="6">
        <f>$T448*Y448</f>
        <v/>
      </c>
      <c r="AA448" s="7" t="n">
        <v>0</v>
      </c>
      <c r="AB448" s="6">
        <f>$T448*AA448</f>
        <v/>
      </c>
      <c r="AC448" s="7" t="n">
        <v>0</v>
      </c>
      <c r="AD448" s="6">
        <f>$T448*AC448</f>
        <v/>
      </c>
      <c r="AE448" s="7" t="n">
        <v>0</v>
      </c>
      <c r="AF448" s="6">
        <f>$T448*AE448</f>
        <v/>
      </c>
      <c r="AG448" s="7" t="n">
        <v>0</v>
      </c>
      <c r="AH448" s="6">
        <f>$T448*AG448</f>
        <v/>
      </c>
      <c r="AI448" s="7">
        <f>U448+W448+Y448+AA448+AC448+AE448+AG448</f>
        <v/>
      </c>
      <c r="AJ448" s="6">
        <f>V448+X448+Z448+AB448+AD448+AF448+AH448</f>
        <v/>
      </c>
    </row>
    <row r="449" ht="60" customHeight="1" s="35">
      <c r="A449" s="3" t="inlineStr">
        <is>
          <t>LOM252.OC.EEA.PA02.G7400.D0006.0030</t>
        </is>
      </c>
      <c r="B449" s="4" t="inlineStr">
        <is>
          <t>1/1</t>
        </is>
      </c>
      <c r="C449" s="3" t="inlineStr">
        <is>
          <t>IMPIANTO ELETTRICO</t>
        </is>
      </c>
      <c r="D449" s="4" t="inlineStr">
        <is>
          <t>NON SPECIALE</t>
        </is>
      </c>
      <c r="E449" s="4" t="inlineStr">
        <is>
          <t>ELETTRICHE</t>
        </is>
      </c>
      <c r="F449" s="3" t="inlineStr">
        <is>
          <t>3_CME IE RADIOFARMACIA PAVIA - REV02 VARIANTE ESECUTIVA.PDF</t>
        </is>
      </c>
      <c r="G449" s="4" t="inlineStr">
        <is>
          <t>150/150</t>
        </is>
      </c>
      <c r="H449" s="3" t="inlineStr">
        <is>
          <t>40 - IMPIANTISTICO</t>
        </is>
      </c>
      <c r="I449" s="3" t="inlineStr">
        <is>
          <t>ESTERNO</t>
        </is>
      </c>
      <c r="J449" s="3" t="inlineStr">
        <is>
          <t>DISTRIBUZIONE PRINCIPALE BT</t>
        </is>
      </c>
      <c r="K449" s="3" t="inlineStr">
        <is>
          <t xml:space="preserve">OPERA: CAVIDOTTO FLESSIBILE DI PLASTICA POLIETILENE (PE); FINITURA: CORRUGATI | LISCI; DIAMETRO ESTERNO (Ø) [MM] = 125 | DIAMETRO INTERNO (Ø) [MM] = 107. </t>
        </is>
      </c>
      <c r="L449" s="3" t="inlineStr">
        <is>
          <t>OPERA: CAVIDOTTO FLESSIBILE DI PLASTICA POLIETILENE (PE); FINITURA: CORRUGATI | LISCI; DIAMETRO ESTERNO (Ø) [MM] = 125 | DIAMETRO INTERNO (Ø) [MM] = 107. 
LAVORO: POSA. ESCLUSO: SCAVO; PIANO APPOGGIO; RINFIANCO; RIEMPIMENTO. OP CAVIDOTTO FLESSIBILE DI PLASTICA POLIETILENE (PE); FINITURA: CORRUGATI | LISCI; DIAMETRO ESTERNO (Ø) [MM] = 125 | DIAMETRO INTERNO (Ø) [MM] = 107. 
RM TUBO A MANICOTTO DI GIUNZIONE DI PLASTICA POLIETILENE (PE); FINITURA: LISCIO; GEOMETRIA: CORRUGATO | FLESSIBILE | A DOPPIA PARETE ; IMPIEGO: CAVIDOTTO; DIAMETRO ESTERNO (Ø) [MM] = 125 | DIAMETRO INTERNO (Ø) [MM] = 107. INCLUSO: TIRAFILO INCORPORATO 
SPECIFICHE TECNICHE: CORRUGATA ESTERNA E LISCIA INTERNA 
RM AGGREGATO SABBIA VIVA DI ROCCIA NATURALE MINERALE; IMPIEGO: IMPASTI; PESO SPECIFICO MEDIO [KG/M³] = 1450 
SPECIFICHE TECNICHE: DI CAVA, LAVATA E VAGLIATA 
LV POSA. ESCLUSO: SCAVO; PIANO APPOGGIO; RINFIANCO; RIEMPIMENTO. 
RP PALA CINGOLATA; POTENZA [KW] ≤ 55. DA CONTEGGIARE A PARTE: SPESE DI ESERCIZIO (RP.00.00.05.1030.A)
[DIMENSIONI: 4,00 100,00 | 3,00 100,00 | 1,00 150,00]</t>
        </is>
      </c>
      <c r="M449" s="4" t="inlineStr">
        <is>
          <t>M</t>
        </is>
      </c>
      <c r="N449" s="5" t="n">
        <v>850</v>
      </c>
      <c r="O449" s="6" t="n">
        <v>11.99</v>
      </c>
      <c r="P449" s="6" t="n">
        <v>10191.5</v>
      </c>
      <c r="Q449" s="5" t="n"/>
      <c r="R449" s="6" t="n"/>
      <c r="S449" s="6">
        <f>IF(AND(Q449&lt;&gt;"",R449&lt;&gt;""),Q449*R449,"")</f>
        <v/>
      </c>
      <c r="T449" s="6">
        <f>IF(S449="",P449,S449)</f>
        <v/>
      </c>
      <c r="U449" s="7" t="n">
        <v>0</v>
      </c>
      <c r="V449" s="6">
        <f>$T449*U449</f>
        <v/>
      </c>
      <c r="W449" s="7" t="n">
        <v>0.6</v>
      </c>
      <c r="X449" s="6">
        <f>$T449*W449</f>
        <v/>
      </c>
      <c r="Y449" s="7" t="n">
        <v>0</v>
      </c>
      <c r="Z449" s="6">
        <f>$T449*Y449</f>
        <v/>
      </c>
      <c r="AA449" s="7" t="n">
        <v>0</v>
      </c>
      <c r="AB449" s="6">
        <f>$T449*AA449</f>
        <v/>
      </c>
      <c r="AC449" s="7" t="n">
        <v>0</v>
      </c>
      <c r="AD449" s="6">
        <f>$T449*AC449</f>
        <v/>
      </c>
      <c r="AE449" s="7" t="n">
        <v>0</v>
      </c>
      <c r="AF449" s="6">
        <f>$T449*AE449</f>
        <v/>
      </c>
      <c r="AG449" s="7" t="n">
        <v>0</v>
      </c>
      <c r="AH449" s="6">
        <f>$T449*AG449</f>
        <v/>
      </c>
      <c r="AI449" s="7">
        <f>U449+W449+Y449+AA449+AC449+AE449+AG449</f>
        <v/>
      </c>
      <c r="AJ449" s="6">
        <f>V449+X449+Z449+AB449+AD449+AF449+AH449</f>
        <v/>
      </c>
    </row>
    <row r="450" ht="30" customHeight="1" s="35">
      <c r="A450" s="3" t="inlineStr">
        <is>
          <t>DEIELE251_235016</t>
        </is>
      </c>
      <c r="B450" s="4" t="inlineStr">
        <is>
          <t>1/1</t>
        </is>
      </c>
      <c r="C450" s="3" t="inlineStr">
        <is>
          <t>IMPIANTO ELETTRICO</t>
        </is>
      </c>
      <c r="D450" s="4" t="inlineStr">
        <is>
          <t>NON SPECIALE</t>
        </is>
      </c>
      <c r="E450" s="4" t="inlineStr">
        <is>
          <t>ELETTRICHE</t>
        </is>
      </c>
      <c r="F450" s="3" t="inlineStr">
        <is>
          <t>3_CME IE RADIOFARMACIA PAVIA - REV02 VARIANTE ESECUTIVA.PDF</t>
        </is>
      </c>
      <c r="G450" s="4" t="inlineStr">
        <is>
          <t>151/151</t>
        </is>
      </c>
      <c r="H450" s="3" t="inlineStr">
        <is>
          <t>40 - IMPIANTISTICO</t>
        </is>
      </c>
      <c r="I450" s="3" t="inlineStr">
        <is>
          <t>ESTERNO</t>
        </is>
      </c>
      <c r="J450" s="3" t="inlineStr">
        <is>
          <t>DISTRIBUZIONE PRINCIPALE BT</t>
        </is>
      </c>
      <c r="K450" s="3" t="inlineStr">
        <is>
          <t>POZZETTO DIMENSIONI FINO A 40 X 40 CM CON CHIUSINO IN GHISA (CLASSE C250 - D400), INCLUSE LE OPERE DI SCAVO E REINTERRO</t>
        </is>
      </c>
      <c r="L450" s="3" t="inlineStr">
        <is>
          <t>POZZETTO DIMENSIONI FINO A 40 X 40 CM CON CHIUSINO IN GHISA (CLASSE C250 - D400), INCLUSE LE OPERE DI SCAVO E REINTERRO</t>
        </is>
      </c>
      <c r="M450" s="4" t="inlineStr">
        <is>
          <t>CAD</t>
        </is>
      </c>
      <c r="N450" s="5" t="n">
        <v>9</v>
      </c>
      <c r="O450" s="6" t="n">
        <v>288.73</v>
      </c>
      <c r="P450" s="6" t="n">
        <v>2598.57</v>
      </c>
      <c r="Q450" s="5" t="n"/>
      <c r="R450" s="6" t="n"/>
      <c r="S450" s="6">
        <f>IF(AND(Q450&lt;&gt;"",R450&lt;&gt;""),Q450*R450,"")</f>
        <v/>
      </c>
      <c r="T450" s="6">
        <f>IF(S450="",P450,S450)</f>
        <v/>
      </c>
      <c r="U450" s="7" t="n">
        <v>0</v>
      </c>
      <c r="V450" s="6">
        <f>$T450*U450</f>
        <v/>
      </c>
      <c r="W450" s="7" t="n">
        <v>0.6</v>
      </c>
      <c r="X450" s="6">
        <f>$T450*W450</f>
        <v/>
      </c>
      <c r="Y450" s="7" t="n">
        <v>0</v>
      </c>
      <c r="Z450" s="6">
        <f>$T450*Y450</f>
        <v/>
      </c>
      <c r="AA450" s="7" t="n">
        <v>0</v>
      </c>
      <c r="AB450" s="6">
        <f>$T450*AA450</f>
        <v/>
      </c>
      <c r="AC450" s="7" t="n">
        <v>0</v>
      </c>
      <c r="AD450" s="6">
        <f>$T450*AC450</f>
        <v/>
      </c>
      <c r="AE450" s="7" t="n">
        <v>0</v>
      </c>
      <c r="AF450" s="6">
        <f>$T450*AE450</f>
        <v/>
      </c>
      <c r="AG450" s="7" t="n">
        <v>0</v>
      </c>
      <c r="AH450" s="6">
        <f>$T450*AG450</f>
        <v/>
      </c>
      <c r="AI450" s="7">
        <f>U450+W450+Y450+AA450+AC450+AE450+AG450</f>
        <v/>
      </c>
      <c r="AJ450" s="6">
        <f>V450+X450+Z450+AB450+AD450+AF450+AH450</f>
        <v/>
      </c>
    </row>
    <row r="451" ht="60" customHeight="1" s="35">
      <c r="A451" s="3" t="inlineStr">
        <is>
          <t>LOM252.OC.EEA.PA02.G7424.SC009.0740</t>
        </is>
      </c>
      <c r="B451" s="4" t="inlineStr">
        <is>
          <t>1/1</t>
        </is>
      </c>
      <c r="C451" s="3" t="inlineStr">
        <is>
          <t>IMPIANTO ELETTRICO</t>
        </is>
      </c>
      <c r="D451" s="4" t="inlineStr">
        <is>
          <t>NON SPECIALE</t>
        </is>
      </c>
      <c r="E451" s="4" t="inlineStr">
        <is>
          <t>ELETTRICHE</t>
        </is>
      </c>
      <c r="F451" s="3" t="inlineStr">
        <is>
          <t>3_CME IE RADIOFARMACIA PAVIA - REV02 VARIANTE ESECUTIVA.PDF</t>
        </is>
      </c>
      <c r="G451" s="4" t="inlineStr">
        <is>
          <t>152/152</t>
        </is>
      </c>
      <c r="H451" s="3" t="inlineStr">
        <is>
          <t>40 - IMPIANTISTICO</t>
        </is>
      </c>
      <c r="I451" s="3" t="inlineStr">
        <is>
          <t>ESTERNO</t>
        </is>
      </c>
      <c r="J451" s="3" t="inlineStr">
        <is>
          <t>DISTRIBUZIONE PRINCIPALE BT</t>
        </is>
      </c>
      <c r="K451" s="3" t="inlineStr">
        <is>
          <t xml:space="preserve">OPERA: CAVO, FG16OM16 DI LEGA RAME RICOTTO; GEOMETRIA: FLESSIBILE; SEZIONE NOMINALE [MM²] = 5X16; TENSIONE NOMINALE [KV] = 0,6/1; N° POLI [-] = 4/5P. </t>
        </is>
      </c>
      <c r="L451" s="3" t="inlineStr">
        <is>
          <t>OPERA: CAVO, FG16OM16 DI LEGA RAME RICOTTO; GEOMETRIA: FLESSIBILE; SEZIONE NOMINALE [MM²] = 5X16; TENSIONE NOMINALE [KV] = 0,6/1; N° POLI [-] = 4/5P. 
LAVORO: POSA. OP CAVO, FG16OM16 DI LEGA RAME RICOTTO; GEOMETRIA: FLESSIBILE; SEZIONE NOMINALE [MM²] = 5X16; TENSIONE NOMINALE UO/U [KV] = 0,6/1; N° POLI [-] = 4/5P. 
RM CAVO FG16OM16 DI LEGA RAME RICOTTO; GEOMETRIA: FLESSIBILE; SEZIONE NOMINALE [MM²] = 5X16; TENSIONE NOMINALE UO/U [KV] = 0,6/1; N° POLI [-] = 4/5P. COMPONENTI: ISOLANTE, GUAINA TERMOPLASTICA 
LV POSA.
[DIMENSIONI: 1,00 150,00]</t>
        </is>
      </c>
      <c r="M451" s="4" t="inlineStr">
        <is>
          <t>M</t>
        </is>
      </c>
      <c r="N451" s="5" t="n">
        <v>150</v>
      </c>
      <c r="O451" s="6" t="n">
        <v>18.4</v>
      </c>
      <c r="P451" s="6" t="n">
        <v>2760</v>
      </c>
      <c r="Q451" s="5" t="n"/>
      <c r="R451" s="6" t="n"/>
      <c r="S451" s="6">
        <f>IF(AND(Q451&lt;&gt;"",R451&lt;&gt;""),Q451*R451,"")</f>
        <v/>
      </c>
      <c r="T451" s="6">
        <f>IF(S451="",P451,S451)</f>
        <v/>
      </c>
      <c r="U451" s="7" t="n">
        <v>0</v>
      </c>
      <c r="V451" s="6">
        <f>$T451*U451</f>
        <v/>
      </c>
      <c r="W451" s="7" t="n">
        <v>0.6</v>
      </c>
      <c r="X451" s="6">
        <f>$T451*W451</f>
        <v/>
      </c>
      <c r="Y451" s="7" t="n">
        <v>0</v>
      </c>
      <c r="Z451" s="6">
        <f>$T451*Y451</f>
        <v/>
      </c>
      <c r="AA451" s="7" t="n">
        <v>0</v>
      </c>
      <c r="AB451" s="6">
        <f>$T451*AA451</f>
        <v/>
      </c>
      <c r="AC451" s="7" t="n">
        <v>0</v>
      </c>
      <c r="AD451" s="6">
        <f>$T451*AC451</f>
        <v/>
      </c>
      <c r="AE451" s="7" t="n">
        <v>0</v>
      </c>
      <c r="AF451" s="6">
        <f>$T451*AE451</f>
        <v/>
      </c>
      <c r="AG451" s="7" t="n">
        <v>0</v>
      </c>
      <c r="AH451" s="6">
        <f>$T451*AG451</f>
        <v/>
      </c>
      <c r="AI451" s="7">
        <f>U451+W451+Y451+AA451+AC451+AE451+AG451</f>
        <v/>
      </c>
      <c r="AJ451" s="6">
        <f>V451+X451+Z451+AB451+AD451+AF451+AH451</f>
        <v/>
      </c>
    </row>
    <row r="452" ht="60" customHeight="1" s="35">
      <c r="A452" s="3" t="inlineStr">
        <is>
          <t>LOM252.OC.EEA.PA02.G7424.SC009.0515</t>
        </is>
      </c>
      <c r="B452" s="4" t="inlineStr">
        <is>
          <t>1/3</t>
        </is>
      </c>
      <c r="C452" s="3" t="inlineStr">
        <is>
          <t>IMPIANTO ELETTRICO</t>
        </is>
      </c>
      <c r="D452" s="4" t="inlineStr">
        <is>
          <t>NON SPECIALE</t>
        </is>
      </c>
      <c r="E452" s="4" t="inlineStr">
        <is>
          <t>ELETTRICHE</t>
        </is>
      </c>
      <c r="F452" s="3" t="inlineStr">
        <is>
          <t>3_CME IE RADIOFARMACIA PAVIA - REV02 VARIANTE ESECUTIVA.PDF</t>
        </is>
      </c>
      <c r="G452" s="4" t="inlineStr">
        <is>
          <t>153/153</t>
        </is>
      </c>
      <c r="H452" s="3" t="inlineStr">
        <is>
          <t>40 - IMPIANTISTICO</t>
        </is>
      </c>
      <c r="I452" s="3" t="inlineStr">
        <is>
          <t>ESTERNO</t>
        </is>
      </c>
      <c r="J452" s="3" t="inlineStr">
        <is>
          <t>DISTRIBUZIONE PRINCIPALE BT</t>
        </is>
      </c>
      <c r="K452" s="3" t="inlineStr">
        <is>
          <t xml:space="preserve">OPERA: CAVO, FG16OM16 DI LEGA RAME RICOTTO; GEOMETRIA: FLESSIBILE; SEZIONE NOMINALE [MM²] = 35; TENSIONE NOMINALE [KV] = 0,6/1; N° POLI [-] = 1P. </t>
        </is>
      </c>
      <c r="L452" s="3" t="inlineStr">
        <is>
          <t>OPERA: CAVO, FG16OM16 DI LEGA RAME RICOTTO; GEOMETRIA: FLESSIBILE; SEZIONE NOMINALE [MM²] = 35; TENSIONE NOMINALE [KV] = 0,6/1; N° POLI [-] = 1P. 
LAVORO: POSA. OP CAVO, FG16OM16 DI LEGA RAME RICOTTO; GEOMETRIA: FLESSIBILE; SEZIONE NOMINALE [MM²] = 35; TENSIONE NOMINALE UO/U [KV] = 0,6/1; N° POLI [-] = 1P. 
RM CAVO FG16OM16 DI LEGA RAME RICOTTO; GEOMETRIA: FLESSIBILE; SEZIONE NOMINALE [MM²] = 35; TENSIONE NOMINALE UO/U [KV] = 0,6/1; N° POLI [-] = 1P. COMPONENTI: ISOLANTE, GUAINA TERMOPLASTICA, RIVESTIMENTO INTERNO 
LV POSA.
[DIMENSIONI: 4,00 130,00]</t>
        </is>
      </c>
      <c r="M452" s="4" t="inlineStr">
        <is>
          <t>M</t>
        </is>
      </c>
      <c r="N452" s="5" t="n">
        <v>520</v>
      </c>
      <c r="O452" s="6" t="n">
        <v>9.15</v>
      </c>
      <c r="P452" s="6" t="n">
        <v>4758</v>
      </c>
      <c r="Q452" s="5" t="n"/>
      <c r="R452" s="6" t="n"/>
      <c r="S452" s="6">
        <f>IF(AND(Q452&lt;&gt;"",R452&lt;&gt;""),Q452*R452,"")</f>
        <v/>
      </c>
      <c r="T452" s="6">
        <f>IF(S452="",P452,S452)</f>
        <v/>
      </c>
      <c r="U452" s="7" t="n">
        <v>0</v>
      </c>
      <c r="V452" s="6">
        <f>$T452*U452</f>
        <v/>
      </c>
      <c r="W452" s="7" t="n">
        <v>0.6</v>
      </c>
      <c r="X452" s="6">
        <f>$T452*W452</f>
        <v/>
      </c>
      <c r="Y452" s="7" t="n">
        <v>0</v>
      </c>
      <c r="Z452" s="6">
        <f>$T452*Y452</f>
        <v/>
      </c>
      <c r="AA452" s="7" t="n">
        <v>0</v>
      </c>
      <c r="AB452" s="6">
        <f>$T452*AA452</f>
        <v/>
      </c>
      <c r="AC452" s="7" t="n">
        <v>0</v>
      </c>
      <c r="AD452" s="6">
        <f>$T452*AC452</f>
        <v/>
      </c>
      <c r="AE452" s="7" t="n">
        <v>0</v>
      </c>
      <c r="AF452" s="6">
        <f>$T452*AE452</f>
        <v/>
      </c>
      <c r="AG452" s="7" t="n">
        <v>0</v>
      </c>
      <c r="AH452" s="6">
        <f>$T452*AG452</f>
        <v/>
      </c>
      <c r="AI452" s="7">
        <f>U452+W452+Y452+AA452+AC452+AE452+AG452</f>
        <v/>
      </c>
      <c r="AJ452" s="6">
        <f>V452+X452+Z452+AB452+AD452+AF452+AH452</f>
        <v/>
      </c>
    </row>
    <row r="453" ht="60" customHeight="1" s="35">
      <c r="A453" s="3" t="inlineStr">
        <is>
          <t>LOM252.OC.EEA.PA02.G7424.SC009.0540</t>
        </is>
      </c>
      <c r="B453" s="4" t="inlineStr">
        <is>
          <t>1/2</t>
        </is>
      </c>
      <c r="C453" s="3" t="inlineStr">
        <is>
          <t>IMPIANTO ELETTRICO</t>
        </is>
      </c>
      <c r="D453" s="4" t="inlineStr">
        <is>
          <t>NON SPECIALE</t>
        </is>
      </c>
      <c r="E453" s="4" t="inlineStr">
        <is>
          <t>ELETTRICHE</t>
        </is>
      </c>
      <c r="F453" s="3" t="inlineStr">
        <is>
          <t>3_CME IE RADIOFARMACIA PAVIA - REV02 VARIANTE ESECUTIVA.PDF</t>
        </is>
      </c>
      <c r="G453" s="4" t="inlineStr">
        <is>
          <t>154/154</t>
        </is>
      </c>
      <c r="H453" s="3" t="inlineStr">
        <is>
          <t>40 - IMPIANTISTICO</t>
        </is>
      </c>
      <c r="I453" s="3" t="inlineStr">
        <is>
          <t>ESTERNO</t>
        </is>
      </c>
      <c r="J453" s="3" t="inlineStr">
        <is>
          <t>DISTRIBUZIONE PRINCIPALE BT</t>
        </is>
      </c>
      <c r="K453" s="3" t="inlineStr">
        <is>
          <t xml:space="preserve">OPERA: CAVO, FG16OM16 DI LEGA RAME RICOTTO; GEOMETRIA: FLESSIBILE; SEZIONE NOMINALE [MM²] = 150; TENSIONE NOMINALE [KV] = 0,6/1; N° POLI [-] = 1P. </t>
        </is>
      </c>
      <c r="L453" s="3" t="inlineStr">
        <is>
          <t>OPERA: CAVO, FG16OM16 DI LEGA RAME RICOTTO; GEOMETRIA: FLESSIBILE; SEZIONE NOMINALE [MM²] = 150; TENSIONE NOMINALE [KV] = 0,6/1; N° POLI [-] = 1P. 
LAVORO: POSA. OP CAVO, FG16OM16 DI LEGA RAME RICOTTO; GEOMETRIA: FLESSIBILE; SEZIONE NOMINALE [MM²] = 150; TENSIONE NOMINALE UO/U [KV] = 0,6/1; N° POLI [-] = 1P. 
RM CAVO FG16OM16 DI LEGA RAME RICOTTO; GEOMETRIA: FLESSIBILE; SEZIONE NOMINALE [MM²] = 150; TENSIONE NOMINALE UO/U [KV] = 0,6/1; N° POLI [-] = 1P. COMPONENTI: ISOLANTE, GUAINA TERMOPLASTICA, RIVESTIMENTO INTERNO 
LV POSA.
[DIMENSIONI: 8,00 100,00 | 8,00 100,00 | -1600,00]</t>
        </is>
      </c>
      <c r="M453" s="4" t="inlineStr">
        <is>
          <t>M</t>
        </is>
      </c>
      <c r="N453" s="5" t="n">
        <v>0</v>
      </c>
      <c r="O453" s="6" t="n">
        <v>0</v>
      </c>
      <c r="P453" s="6" t="n">
        <v>0</v>
      </c>
      <c r="Q453" s="5" t="n"/>
      <c r="R453" s="6" t="n"/>
      <c r="S453" s="6">
        <f>IF(AND(Q453&lt;&gt;"",R453&lt;&gt;""),Q453*R453,"")</f>
        <v/>
      </c>
      <c r="T453" s="6">
        <f>IF(S453="",P453,S453)</f>
        <v/>
      </c>
      <c r="U453" s="7" t="n">
        <v>0</v>
      </c>
      <c r="V453" s="6">
        <f>$T453*U453</f>
        <v/>
      </c>
      <c r="W453" s="7" t="n">
        <v>0</v>
      </c>
      <c r="X453" s="6">
        <f>$T453*W453</f>
        <v/>
      </c>
      <c r="Y453" s="7" t="n">
        <v>0</v>
      </c>
      <c r="Z453" s="6">
        <f>$T453*Y453</f>
        <v/>
      </c>
      <c r="AA453" s="7" t="n">
        <v>0</v>
      </c>
      <c r="AB453" s="6">
        <f>$T453*AA453</f>
        <v/>
      </c>
      <c r="AC453" s="7" t="n">
        <v>0</v>
      </c>
      <c r="AD453" s="6">
        <f>$T453*AC453</f>
        <v/>
      </c>
      <c r="AE453" s="7" t="n">
        <v>0</v>
      </c>
      <c r="AF453" s="6">
        <f>$T453*AE453</f>
        <v/>
      </c>
      <c r="AG453" s="7" t="n">
        <v>0</v>
      </c>
      <c r="AH453" s="6">
        <f>$T453*AG453</f>
        <v/>
      </c>
      <c r="AI453" s="7">
        <f>U453+W453+Y453+AA453+AC453+AE453+AG453</f>
        <v/>
      </c>
      <c r="AJ453" s="6">
        <f>V453+X453+Z453+AB453+AD453+AF453+AH453</f>
        <v/>
      </c>
    </row>
    <row r="454" ht="60" customHeight="1" s="35">
      <c r="A454" s="3" t="inlineStr">
        <is>
          <t>LOM252.OC.EEA.PA02.G7424.SC009.0545</t>
        </is>
      </c>
      <c r="B454" s="4" t="inlineStr">
        <is>
          <t>2/3</t>
        </is>
      </c>
      <c r="C454" s="3" t="inlineStr">
        <is>
          <t>IMPIANTO ELETTRICO</t>
        </is>
      </c>
      <c r="D454" s="4" t="inlineStr">
        <is>
          <t>NON SPECIALE</t>
        </is>
      </c>
      <c r="E454" s="4" t="inlineStr">
        <is>
          <t>ELETTRICHE</t>
        </is>
      </c>
      <c r="F454" s="3" t="inlineStr">
        <is>
          <t>3_CME IE RADIOFARMACIA PAVIA - REV02 VARIANTE ESECUTIVA.PDF</t>
        </is>
      </c>
      <c r="G454" s="4" t="inlineStr">
        <is>
          <t>155/155</t>
        </is>
      </c>
      <c r="H454" s="3" t="inlineStr">
        <is>
          <t>40 - IMPIANTISTICO</t>
        </is>
      </c>
      <c r="I454" s="3" t="inlineStr">
        <is>
          <t>ESTERNO</t>
        </is>
      </c>
      <c r="J454" s="3" t="inlineStr">
        <is>
          <t>DISTRIBUZIONE PRINCIPALE BT</t>
        </is>
      </c>
      <c r="K454" s="3" t="inlineStr">
        <is>
          <t xml:space="preserve">OPERA: CAVO, FG16OM16 DI LEGA RAME RICOTTO; GEOMETRIA: FLESSIBILE; SEZIONE NOMINALE [MM²] = 185; TENSIONE NOMINALE [KV] = 0,6/1; N° POLI [-] = 1P. </t>
        </is>
      </c>
      <c r="L454" s="3" t="inlineStr">
        <is>
          <t>OPERA: CAVO, FG16OM16 DI LEGA RAME RICOTTO; GEOMETRIA: FLESSIBILE; SEZIONE NOMINALE [MM²] = 185; TENSIONE NOMINALE [KV] = 0,6/1; N° POLI [-] = 1P. 
LAVORO: POSA. OP CAVO, FG16OM16 DI LEGA RAME RICOTTO; GEOMETRIA: FLESSIBILE; SEZIONE NOMINALE [MM²] = 185; TENSIONE NOMINALE UO/U [KV] = 0,6/1; N° POLI [-] = 1P. 
RM CAVO FG16OM16 DI LEGA RAME RICOTTO; GEOMETRIA: FLESSIBILE; SEZIONE NOMINALE [MM²] = 185; TENSIONE NOMINALE UO/U [KV] = 0,6/1; N° POLI [-] = 1P. COMPONENTI: ISOLANTE, GUAINA TERMOPLASTICA, RIVESTIMENTO INTERNO 
LV POSA.
[DIMENSIONI: 8,00 100,00]</t>
        </is>
      </c>
      <c r="M454" s="4" t="inlineStr">
        <is>
          <t>M</t>
        </is>
      </c>
      <c r="N454" s="5" t="n">
        <v>800</v>
      </c>
      <c r="O454" s="6" t="n">
        <v>38.17</v>
      </c>
      <c r="P454" s="6" t="n">
        <v>30536</v>
      </c>
      <c r="Q454" s="5" t="n"/>
      <c r="R454" s="6" t="n"/>
      <c r="S454" s="6">
        <f>IF(AND(Q454&lt;&gt;"",R454&lt;&gt;""),Q454*R454,"")</f>
        <v/>
      </c>
      <c r="T454" s="6">
        <f>IF(S454="",P454,S454)</f>
        <v/>
      </c>
      <c r="U454" s="7" t="n">
        <v>0</v>
      </c>
      <c r="V454" s="6">
        <f>$T454*U454</f>
        <v/>
      </c>
      <c r="W454" s="7" t="n">
        <v>0.6</v>
      </c>
      <c r="X454" s="6">
        <f>$T454*W454</f>
        <v/>
      </c>
      <c r="Y454" s="7" t="n">
        <v>0</v>
      </c>
      <c r="Z454" s="6">
        <f>$T454*Y454</f>
        <v/>
      </c>
      <c r="AA454" s="7" t="n">
        <v>0</v>
      </c>
      <c r="AB454" s="6">
        <f>$T454*AA454</f>
        <v/>
      </c>
      <c r="AC454" s="7" t="n">
        <v>0</v>
      </c>
      <c r="AD454" s="6">
        <f>$T454*AC454</f>
        <v/>
      </c>
      <c r="AE454" s="7" t="n">
        <v>0</v>
      </c>
      <c r="AF454" s="6">
        <f>$T454*AE454</f>
        <v/>
      </c>
      <c r="AG454" s="7" t="n">
        <v>0</v>
      </c>
      <c r="AH454" s="6">
        <f>$T454*AG454</f>
        <v/>
      </c>
      <c r="AI454" s="7">
        <f>U454+W454+Y454+AA454+AC454+AE454+AG454</f>
        <v/>
      </c>
      <c r="AJ454" s="6">
        <f>V454+X454+Z454+AB454+AD454+AF454+AH454</f>
        <v/>
      </c>
    </row>
    <row r="455" ht="60" customHeight="1" s="35">
      <c r="A455" s="3" t="inlineStr">
        <is>
          <t>LOM252.OC.EEA.PA02.G7424.SC009.0550</t>
        </is>
      </c>
      <c r="B455" s="4" t="inlineStr">
        <is>
          <t>2/2</t>
        </is>
      </c>
      <c r="C455" s="3" t="inlineStr">
        <is>
          <t>IMPIANTO ELETTRICO</t>
        </is>
      </c>
      <c r="D455" s="4" t="inlineStr">
        <is>
          <t>NON SPECIALE</t>
        </is>
      </c>
      <c r="E455" s="4" t="inlineStr">
        <is>
          <t>ELETTRICHE</t>
        </is>
      </c>
      <c r="F455" s="3" t="inlineStr">
        <is>
          <t>3_CME IE RADIOFARMACIA PAVIA - REV02 VARIANTE ESECUTIVA.PDF</t>
        </is>
      </c>
      <c r="G455" s="4" t="inlineStr">
        <is>
          <t>156/156</t>
        </is>
      </c>
      <c r="H455" s="3" t="inlineStr">
        <is>
          <t>40 - IMPIANTISTICO</t>
        </is>
      </c>
      <c r="I455" s="3" t="inlineStr">
        <is>
          <t>ESTERNO</t>
        </is>
      </c>
      <c r="J455" s="3" t="inlineStr">
        <is>
          <t>DISTRIBUZIONE PRINCIPALE BT</t>
        </is>
      </c>
      <c r="K455" s="3" t="inlineStr">
        <is>
          <t xml:space="preserve">OPERA: CAVO, FG16OM16 DI LEGA RAME RICOTTO; GEOMETRIA: FLESSIBILE; SEZIONE NOMINALE [MM²] = 240; TENSIONE NOMINALE [KV] = 0,6/1; N° POLI [-] = 1P. </t>
        </is>
      </c>
      <c r="L455" s="3" t="inlineStr">
        <is>
          <t>OPERA: CAVO, FG16OM16 DI LEGA RAME RICOTTO; GEOMETRIA: FLESSIBILE; SEZIONE NOMINALE [MM²] = 240; TENSIONE NOMINALE [KV] = 0,6/1; N° POLI [-] = 1P. 
LAVORO: POSA. OP CAVO, FG16OM16 DI LEGA RAME RICOTTO; GEOMETRIA: FLESSIBILE; SEZIONE NOMINALE [MM²] = 240; TENSIONE NOMINALE UO/U [KV] = 0,6/1; N° POLI [-] = 1P. 
RM CAVO FG16OM16 DI LEGA RAME RICOTTO; GEOMETRIA: FLESSIBILE; SEZIONE NOMINALE [MM²] = 240; TENSIONE NOMINALE UO/U [KV] = 0,6/1; N° POLI [-] = 1P. COMPONENTI: ISOLANTE, GUAINA TERMOPLASTICA, RIVESTIMENTO INTERNO 
LV POSA.
[DIMENSIONI: 8,00 100,00]</t>
        </is>
      </c>
      <c r="M455" s="4" t="inlineStr">
        <is>
          <t>M</t>
        </is>
      </c>
      <c r="N455" s="5" t="n">
        <v>800</v>
      </c>
      <c r="O455" s="6" t="n">
        <v>47.19</v>
      </c>
      <c r="P455" s="6" t="n">
        <v>37752</v>
      </c>
      <c r="Q455" s="5" t="n"/>
      <c r="R455" s="6" t="n"/>
      <c r="S455" s="6">
        <f>IF(AND(Q455&lt;&gt;"",R455&lt;&gt;""),Q455*R455,"")</f>
        <v/>
      </c>
      <c r="T455" s="6">
        <f>IF(S455="",P455,S455)</f>
        <v/>
      </c>
      <c r="U455" s="7" t="n">
        <v>0</v>
      </c>
      <c r="V455" s="6">
        <f>$T455*U455</f>
        <v/>
      </c>
      <c r="W455" s="7" t="n">
        <v>0.6</v>
      </c>
      <c r="X455" s="6">
        <f>$T455*W455</f>
        <v/>
      </c>
      <c r="Y455" s="7" t="n">
        <v>0</v>
      </c>
      <c r="Z455" s="6">
        <f>$T455*Y455</f>
        <v/>
      </c>
      <c r="AA455" s="7" t="n">
        <v>0</v>
      </c>
      <c r="AB455" s="6">
        <f>$T455*AA455</f>
        <v/>
      </c>
      <c r="AC455" s="7" t="n">
        <v>0</v>
      </c>
      <c r="AD455" s="6">
        <f>$T455*AC455</f>
        <v/>
      </c>
      <c r="AE455" s="7" t="n">
        <v>0</v>
      </c>
      <c r="AF455" s="6">
        <f>$T455*AE455</f>
        <v/>
      </c>
      <c r="AG455" s="7" t="n">
        <v>0</v>
      </c>
      <c r="AH455" s="6">
        <f>$T455*AG455</f>
        <v/>
      </c>
      <c r="AI455" s="7">
        <f>U455+W455+Y455+AA455+AC455+AE455+AG455</f>
        <v/>
      </c>
      <c r="AJ455" s="6">
        <f>V455+X455+Z455+AB455+AD455+AF455+AH455</f>
        <v/>
      </c>
    </row>
    <row r="456" ht="60" customHeight="1" s="35">
      <c r="A456" s="3" t="inlineStr">
        <is>
          <t>LOM252.OC.EEA.PA02.G7400.D0006.0010</t>
        </is>
      </c>
      <c r="B456" s="4" t="inlineStr">
        <is>
          <t>1/2</t>
        </is>
      </c>
      <c r="C456" s="3" t="inlineStr">
        <is>
          <t>IMPIANTO ELETTRICO</t>
        </is>
      </c>
      <c r="D456" s="4" t="inlineStr">
        <is>
          <t>NON SPECIALE</t>
        </is>
      </c>
      <c r="E456" s="4" t="inlineStr">
        <is>
          <t>ELETTRICHE</t>
        </is>
      </c>
      <c r="F456" s="3" t="inlineStr">
        <is>
          <t>3_CME IE RADIOFARMACIA PAVIA - REV02 VARIANTE ESECUTIVA.PDF</t>
        </is>
      </c>
      <c r="G456" s="4" t="inlineStr">
        <is>
          <t>157/157</t>
        </is>
      </c>
      <c r="H456" s="3" t="inlineStr">
        <is>
          <t>40 - IMPIANTISTICO</t>
        </is>
      </c>
      <c r="I456" s="3" t="inlineStr">
        <is>
          <t>ESTERNO</t>
        </is>
      </c>
      <c r="J456" s="3" t="inlineStr">
        <is>
          <t>DISTRIBUZIONE SECONDARIA</t>
        </is>
      </c>
      <c r="K456" s="3" t="inlineStr">
        <is>
          <t xml:space="preserve">OPERA: CAVIDOTTO FLESSIBILE DI PLASTICA POLIETILENE (PE); FINITURA: CORRUGATI | LISCI; DIAMETRO ESTERNO (Ø) [MM] = 63 | DIAMETRO INTERNO (Ø) [MM] = 52. </t>
        </is>
      </c>
      <c r="L456" s="3" t="inlineStr">
        <is>
          <t>OPERA: CAVIDOTTO FLESSIBILE DI PLASTICA POLIETILENE (PE); FINITURA: CORRUGATI | LISCI; DIAMETRO ESTERNO (Ø) [MM] = 63 | DIAMETRO INTERNO (Ø) [MM] = 52. 
LAVORO: POSA. ESCLUSO: SCAVO; PIANO APPOGGIO; RINFIANCO; RIEMPIMENTO. OP CAVIDOTTO FLESSIBILE DI PLASTICA POLIETILENE (PE); FINITURA: CORRUGATI | LISCI; DIAMETRO ESTERNO (Ø) [MM] = 63 | DIAMETRO INTERNO (Ø) [MM] = 52. 
RM TUBO A MANICOTTO DI GIUNZIONE DI PLASTICA POLIETILENE (PE); FINITURA: LISCIO; GEOMETRIA: CORRUGATO | FLESSIBILE | A DOPPIA PARETE ; IMPIEGO: CAVIDOTTO; DIAMETRO ESTERNO (Ø) [MM] = 63 | DIAMETRO INTERNO (Ø) [MM] = 52. INCLUSO: TIRAFILO INCORPORATO 
SPECIFICHE TECNICHE: CORRUGATA ESTERNA E LISCIA INTERNA 
RM AGGREGATO SABBIA VIVA DI ROCCIA NATURALE MINERALE; IMPIEGO: IMPASTI; PESO SPECIFICO MEDIO [KG/M³] = 1450 
SPECIFICHE TECNICHE: DI CAVA, LAVATA E VAGLIATA 
LV POSA. ESCLUSO: SCAVO; PIANO APPOGGIO; RINFIANCO; RIEMPIMENTO. 
RP PALA CINGOLATA; POTENZA [KW] ≤ 55. DA CONTEGGIARE A PARTE: SPESE DI ESERCIZIO (RP.00.00.05.1030.A)
[DIMENSIONI: 4,00 100,00]</t>
        </is>
      </c>
      <c r="M456" s="4" t="inlineStr">
        <is>
          <t>M</t>
        </is>
      </c>
      <c r="N456" s="5" t="n">
        <v>400</v>
      </c>
      <c r="O456" s="6" t="n">
        <v>5.48</v>
      </c>
      <c r="P456" s="6" t="n">
        <v>2192</v>
      </c>
      <c r="Q456" s="5" t="n"/>
      <c r="R456" s="6" t="n"/>
      <c r="S456" s="6">
        <f>IF(AND(Q456&lt;&gt;"",R456&lt;&gt;""),Q456*R456,"")</f>
        <v/>
      </c>
      <c r="T456" s="6">
        <f>IF(S456="",P456,S456)</f>
        <v/>
      </c>
      <c r="U456" s="7" t="n">
        <v>0</v>
      </c>
      <c r="V456" s="6">
        <f>$T456*U456</f>
        <v/>
      </c>
      <c r="W456" s="7" t="n">
        <v>0.6</v>
      </c>
      <c r="X456" s="6">
        <f>$T456*W456</f>
        <v/>
      </c>
      <c r="Y456" s="7" t="n">
        <v>0</v>
      </c>
      <c r="Z456" s="6">
        <f>$T456*Y456</f>
        <v/>
      </c>
      <c r="AA456" s="7" t="n">
        <v>0</v>
      </c>
      <c r="AB456" s="6">
        <f>$T456*AA456</f>
        <v/>
      </c>
      <c r="AC456" s="7" t="n">
        <v>0</v>
      </c>
      <c r="AD456" s="6">
        <f>$T456*AC456</f>
        <v/>
      </c>
      <c r="AE456" s="7" t="n">
        <v>0</v>
      </c>
      <c r="AF456" s="6">
        <f>$T456*AE456</f>
        <v/>
      </c>
      <c r="AG456" s="7" t="n">
        <v>0</v>
      </c>
      <c r="AH456" s="6">
        <f>$T456*AG456</f>
        <v/>
      </c>
      <c r="AI456" s="7">
        <f>U456+W456+Y456+AA456+AC456+AE456+AG456</f>
        <v/>
      </c>
      <c r="AJ456" s="6">
        <f>V456+X456+Z456+AB456+AD456+AF456+AH456</f>
        <v/>
      </c>
    </row>
    <row r="457" ht="60" customHeight="1" s="35">
      <c r="A457" s="3" t="inlineStr">
        <is>
          <t>LOM252.OC.EEA.PA02.G7424.SC009.0565</t>
        </is>
      </c>
      <c r="B457" s="4" t="inlineStr">
        <is>
          <t>1/1</t>
        </is>
      </c>
      <c r="C457" s="3" t="inlineStr">
        <is>
          <t>IMPIANTO ELETTRICO</t>
        </is>
      </c>
      <c r="D457" s="4" t="inlineStr">
        <is>
          <t>NON SPECIALE</t>
        </is>
      </c>
      <c r="E457" s="4" t="inlineStr">
        <is>
          <t>ELETTRICHE</t>
        </is>
      </c>
      <c r="F457" s="3" t="inlineStr">
        <is>
          <t>3_CME IE RADIOFARMACIA PAVIA - REV02 VARIANTE ESECUTIVA.PDF</t>
        </is>
      </c>
      <c r="G457" s="4" t="inlineStr">
        <is>
          <t>158/158</t>
        </is>
      </c>
      <c r="H457" s="3" t="inlineStr">
        <is>
          <t>40 - IMPIANTISTICO</t>
        </is>
      </c>
      <c r="I457" s="3" t="inlineStr">
        <is>
          <t>ESTERNO</t>
        </is>
      </c>
      <c r="J457" s="3" t="inlineStr">
        <is>
          <t>DISTRIBUZIONE SECONDARIA</t>
        </is>
      </c>
      <c r="K457" s="3" t="inlineStr">
        <is>
          <t xml:space="preserve">OPERA: CAVO, FG16OM16 DI LEGA RAME RICOTTO; GEOMETRIA: FLESSIBILE; SEZIONE NOMINALE [MM²] = 2X2,5; TENSIONE NOMINALE [KV] = 0,6/1; N° POLI [-] = 2P. </t>
        </is>
      </c>
      <c r="L457" s="3" t="inlineStr">
        <is>
          <t>OPERA: CAVO, FG16OM16 DI LEGA RAME RICOTTO; GEOMETRIA: FLESSIBILE; SEZIONE NOMINALE [MM²] = 2X2,5; TENSIONE NOMINALE [KV] = 0,6/1; N° POLI [-] = 2P. 
LAVORO: POSA. OP CAVO, FG16OM16 DI LEGA RAME RICOTTO; GEOMETRIA: FLESSIBILE; SEZIONE NOMINALE [MM²] = 2X2,5; TENSIONE NOMINALE UO/U [KV] = 0,6/1; N° POLI [-] = 2P. 
RM CAVO FG16OM16 DI LEGA RAME RICOTTO; GEOMETRIA: FLESSIBILE; SEZIONE NOMINALE [MM²] = 2X2,5; TENSIONE NOMINALE UO/U [KV] = 0,6/1; N° POLI [-] = 2P. COMPONENTI: ISOLANTE, GUAINA TERMOPLASTICA 
LV POSA.
[DIMENSIONI: 100,00 | 100,00 | 100,00]</t>
        </is>
      </c>
      <c r="M457" s="4" t="inlineStr">
        <is>
          <t>M</t>
        </is>
      </c>
      <c r="N457" s="5" t="n">
        <v>300</v>
      </c>
      <c r="O457" s="6" t="n">
        <v>4.19</v>
      </c>
      <c r="P457" s="6" t="n">
        <v>1257</v>
      </c>
      <c r="Q457" s="5" t="n"/>
      <c r="R457" s="6" t="n"/>
      <c r="S457" s="6">
        <f>IF(AND(Q457&lt;&gt;"",R457&lt;&gt;""),Q457*R457,"")</f>
        <v/>
      </c>
      <c r="T457" s="6">
        <f>IF(S457="",P457,S457)</f>
        <v/>
      </c>
      <c r="U457" s="7" t="n">
        <v>0</v>
      </c>
      <c r="V457" s="6">
        <f>$T457*U457</f>
        <v/>
      </c>
      <c r="W457" s="7" t="n">
        <v>0</v>
      </c>
      <c r="X457" s="6">
        <f>$T457*W457</f>
        <v/>
      </c>
      <c r="Y457" s="7" t="n">
        <v>0</v>
      </c>
      <c r="Z457" s="6">
        <f>$T457*Y457</f>
        <v/>
      </c>
      <c r="AA457" s="7" t="n">
        <v>0</v>
      </c>
      <c r="AB457" s="6">
        <f>$T457*AA457</f>
        <v/>
      </c>
      <c r="AC457" s="7" t="n">
        <v>0</v>
      </c>
      <c r="AD457" s="6">
        <f>$T457*AC457</f>
        <v/>
      </c>
      <c r="AE457" s="7" t="n">
        <v>0</v>
      </c>
      <c r="AF457" s="6">
        <f>$T457*AE457</f>
        <v/>
      </c>
      <c r="AG457" s="7" t="n">
        <v>0</v>
      </c>
      <c r="AH457" s="6">
        <f>$T457*AG457</f>
        <v/>
      </c>
      <c r="AI457" s="7">
        <f>U457+W457+Y457+AA457+AC457+AE457+AG457</f>
        <v/>
      </c>
      <c r="AJ457" s="6">
        <f>V457+X457+Z457+AB457+AD457+AF457+AH457</f>
        <v/>
      </c>
    </row>
    <row r="458" ht="60" customHeight="1" s="35">
      <c r="A458" s="3" t="inlineStr">
        <is>
          <t>IE_NP_QGEN</t>
        </is>
      </c>
      <c r="B458" s="4" t="inlineStr">
        <is>
          <t>1/1</t>
        </is>
      </c>
      <c r="C458" s="3" t="inlineStr">
        <is>
          <t>IMPIANTO ELETTRICO</t>
        </is>
      </c>
      <c r="D458" s="4" t="inlineStr">
        <is>
          <t>NON SPECIALE</t>
        </is>
      </c>
      <c r="E458" s="4" t="inlineStr">
        <is>
          <t>ELETTRICHE</t>
        </is>
      </c>
      <c r="F458" s="3" t="inlineStr">
        <is>
          <t>3_CME IE RADIOFARMACIA PAVIA - REV02 VARIANTE ESECUTIVA.PDF</t>
        </is>
      </c>
      <c r="G458" s="4" t="inlineStr">
        <is>
          <t>159/159</t>
        </is>
      </c>
      <c r="H458" s="3" t="inlineStr">
        <is>
          <t>40 - IMPIANTISTICO</t>
        </is>
      </c>
      <c r="I458" s="3" t="inlineStr">
        <is>
          <t>RADIOFARMACIA</t>
        </is>
      </c>
      <c r="J458" s="3" t="inlineStr">
        <is>
          <t>QUADRI ELETTRICI BT E UPS</t>
        </is>
      </c>
      <c r="K458" s="3" t="inlineStr">
        <is>
          <t>FORNITURA E POSA IN OPERA DI QUADRO ELETTRICO GENERALE RADIOFARMACIA QGEN COSTITUITO DA ARMADIO METALLICO DA PAVIMENTO, CON GRADO DI PROTEZIONE IP42 (SECONDO IEC 60529), COLORE RAL 7035,  STRUTTURA MO</t>
        </is>
      </c>
      <c r="L458" s="3" t="inlineStr">
        <is>
          <t>FORNITURA E POSA IN OPERA DI QUADRO ELETTRICO GENERALE RADIOFARMACIA QGEN COSTITUITO DA ARMADIO METALLICO DA PAVIMENTO, CON GRADO DI PROTEZIONE IP42 (SECONDO IEC 60529), COLORE RAL 7035,  STRUTTURA MONOBLOCCO AUTOESTINGUENTE (CLASSIFICAZIONE HB40) CON PORTA TRASPARENTE E CONTROPORTA; TENUTA AGLI IMPATTI MECCANICI FINO A IK10 (SECONDO IEC 62262); STABILE AI RAGGI ULTRAVIOLETTI (TENUTA A +150°C); NON CONTIENE ALOGENI. L'OPERA S'INTENDE COMPRENSIVA DI CANALI PORTA CAVI PER CABLAGGIO, MORSETTERIA CON MORSETTI DI VARIA SEZIONE, CORREDATA DI SUPPORTO, SEPARATORI, NUMERI DI IDENTIFICAZIONE, ACCESSORI DI IDENTIFICAZIONE DEI CONDUTTORI INTERNI E DEI CIRCUITI , MONTAGGIO E CABLAGGIO APPARECCHIATURE MODBUS-KNX-CENTRALINE DI REGOLAZIONE, SBARRA DI TERRA, SISTEMA DI SBARRE IN RAME NUDO DI ADEGUATA SEZIONE CORREDATO DI RELATIVI SUPPORTI INFERIORI ED INTERMEDI, CONDUTTORI DI CABLAGGIO TIPO FS17 E DI OGNI ONERE ANNESSO E CONNESSO PER RENDERLA PERFETTAMENTE FUNZIONANTE E REALIZZATA IN CONFORMITÀ ALLA NORMA CEI EN 61439-1 E CEI EN 61439-2. AL TERMINE DEI LAVORI L'INSTALLATORE DOVRÀ RILASCIARE DICHIARAZIONE DI CONFORMITÀ DEL QUADRO ELETTRICO ALLA NORMA CEI EN 61439-1 E CEI EN 61439-2 COMPLETA DI TUTTI I SUOI ALLEGATI OBBLIGATORI. SARÀ INOLTRE FORNITO IL CALCOLO DELLE SOVRATEMPERATURE. IL QUADRO CONTERRÀ MONTATE E CABLATE LE APPARECCHIATURE COME RIPORTATO SULLO SCHEMA ELETTRICO ALLEGATO.</t>
        </is>
      </c>
      <c r="M458" s="4" t="inlineStr">
        <is>
          <t>A CORPO</t>
        </is>
      </c>
      <c r="N458" s="5" t="n">
        <v>1</v>
      </c>
      <c r="O458" s="6" t="n">
        <v>12581.99</v>
      </c>
      <c r="P458" s="6" t="n">
        <v>12581.99</v>
      </c>
      <c r="Q458" s="5" t="n"/>
      <c r="R458" s="6" t="n"/>
      <c r="S458" s="6">
        <f>IF(AND(Q458&lt;&gt;"",R458&lt;&gt;""),Q458*R458,"")</f>
        <v/>
      </c>
      <c r="T458" s="6">
        <f>IF(S458="",P458,S458)</f>
        <v/>
      </c>
      <c r="U458" s="7" t="n">
        <v>0.5</v>
      </c>
      <c r="V458" s="6">
        <f>$T458*U458</f>
        <v/>
      </c>
      <c r="W458" s="7" t="n">
        <v>0.1</v>
      </c>
      <c r="X458" s="6">
        <f>$T458*W458</f>
        <v/>
      </c>
      <c r="Y458" s="7" t="n">
        <v>0</v>
      </c>
      <c r="Z458" s="6">
        <f>$T458*Y458</f>
        <v/>
      </c>
      <c r="AA458" s="7" t="n">
        <v>0</v>
      </c>
      <c r="AB458" s="6">
        <f>$T458*AA458</f>
        <v/>
      </c>
      <c r="AC458" s="7" t="n">
        <v>0</v>
      </c>
      <c r="AD458" s="6">
        <f>$T458*AC458</f>
        <v/>
      </c>
      <c r="AE458" s="7" t="n">
        <v>0</v>
      </c>
      <c r="AF458" s="6">
        <f>$T458*AE458</f>
        <v/>
      </c>
      <c r="AG458" s="7" t="n">
        <v>0</v>
      </c>
      <c r="AH458" s="6">
        <f>$T458*AG458</f>
        <v/>
      </c>
      <c r="AI458" s="7">
        <f>U458+W458+Y458+AA458+AC458+AE458+AG458</f>
        <v/>
      </c>
      <c r="AJ458" s="6">
        <f>V458+X458+Z458+AB458+AD458+AF458+AH458</f>
        <v/>
      </c>
    </row>
    <row r="459" ht="60" customHeight="1" s="35">
      <c r="A459" s="3" t="inlineStr">
        <is>
          <t>IE_NP_QP1</t>
        </is>
      </c>
      <c r="B459" s="4" t="inlineStr">
        <is>
          <t>1/1</t>
        </is>
      </c>
      <c r="C459" s="3" t="inlineStr">
        <is>
          <t>IMPIANTO ELETTRICO</t>
        </is>
      </c>
      <c r="D459" s="4" t="inlineStr">
        <is>
          <t>NON SPECIALE</t>
        </is>
      </c>
      <c r="E459" s="4" t="inlineStr">
        <is>
          <t>ELETTRICHE</t>
        </is>
      </c>
      <c r="F459" s="3" t="inlineStr">
        <is>
          <t>3_CME IE RADIOFARMACIA PAVIA - REV02 VARIANTE ESECUTIVA.PDF</t>
        </is>
      </c>
      <c r="G459" s="4" t="inlineStr">
        <is>
          <t>160/160</t>
        </is>
      </c>
      <c r="H459" s="3" t="inlineStr">
        <is>
          <t>40 - IMPIANTISTICO</t>
        </is>
      </c>
      <c r="I459" s="3" t="inlineStr">
        <is>
          <t>RADIOFARMACIA</t>
        </is>
      </c>
      <c r="J459" s="3" t="inlineStr">
        <is>
          <t>QUADRI ELETTRICI BT E UPS</t>
        </is>
      </c>
      <c r="K459" s="3" t="inlineStr">
        <is>
          <t>FORNITURA E POSA IN OPERA DI QUADRO ELETTRICO PIANO 1 QP1 COSTITUITO DA ARMADIO METALLICO DA PAVIMENTO, CON GRADO DI PROTEZIONE IP42 (SECONDO IEC 60529), COLORE RAL 7035,  STRUTTURA MONOBLOCCO AUTOEST</t>
        </is>
      </c>
      <c r="L459" s="3" t="inlineStr">
        <is>
          <t>FORNITURA E POSA IN OPERA DI QUADRO ELETTRICO PIANO 1 QP1 COSTITUITO DA ARMADIO METALLICO DA PAVIMENTO, CON GRADO DI PROTEZIONE IP42 (SECONDO IEC 60529), COLORE RAL 7035,  STRUTTURA MONOBLOCCO AUTOESTINGUENTE (CLASSIFICAZIONE HB40) CON PORTA TRASPARENTE E CONTROPORTA; TENUTA AGLI IMPATTI MECCANICI FINO A IK10 (SECONDO IEC 62262); STABILE AI RAGGI ULTRAVIOLETTI (TENUTA A +150°C); NON CONTIENE ALOGENI. L'OPERA S'INTENDE COMPRENSIVA DI CANALI PORTA CAVI PER CABLAGGIO, MORSETTERIA CON MORSETTI DI VARIA SEZIONE, CORREDATA DI SUPPORTO, SEPARATORI, NUMERI DI IDENTIFICAZIONE, ACCESSORI DI IDENTIFICAZIONE DEI CONDUTTORI INTERNI E DEI CIRCUITI , MONTAGGIO E CABLAGGIO APPARECCHIATURE MODBUS-KNX-CENTRALINE DI REGOLAZIONE, SBARRA DI TERRA, SISTEMA DI SBARRE IN RAME NUDO DI ADEGUATA SEZIONE CORREDATO DI RELATIVI SUPPORTI INFERIORI ED INTERMEDI, CONDUTTORI DI CABLAGGIO TIPO FS17 E DI OGNI ONERE ANNESSO E CONNESSO PER RENDERLA PERFETTAMENTE FUNZIONANTE E REALIZZATA IN CONFORMITÀ ALLA NORMA CEI EN 61439-1 E CEI EN 61439-2. AL TERMINE DEI LAVORI L'INSTALLATORE DOVRÀ RILASCIARE DICHIARAZIONE DI CONFORMITÀ DEL QUADRO ELETTRICO ALLA NORMA CEI EN 61439-1 E CEI EN 61439-2 COMPLETA DI TUTTI I SUOI ALLEGATI OBBLIGATORI. SARÀ INOLTRE FORNITO IL CALCOLO DELLE SOVRATEMPERATURE. IL QUADRO CONTERRÀ MONTATE E CABLATE LE APPARECCHIATURE COME RIPORTATO SULLO SCHEMA ELETTRICO ALLEGATO.</t>
        </is>
      </c>
      <c r="M459" s="4" t="inlineStr">
        <is>
          <t>A CORPO</t>
        </is>
      </c>
      <c r="N459" s="5" t="n">
        <v>1</v>
      </c>
      <c r="O459" s="6" t="n">
        <v>10032.39</v>
      </c>
      <c r="P459" s="6" t="n">
        <v>10032.39</v>
      </c>
      <c r="Q459" s="5" t="n"/>
      <c r="R459" s="6" t="n"/>
      <c r="S459" s="6">
        <f>IF(AND(Q459&lt;&gt;"",R459&lt;&gt;""),Q459*R459,"")</f>
        <v/>
      </c>
      <c r="T459" s="6">
        <f>IF(S459="",P459,S459)</f>
        <v/>
      </c>
      <c r="U459" s="7" t="n">
        <v>0.5</v>
      </c>
      <c r="V459" s="6">
        <f>$T459*U459</f>
        <v/>
      </c>
      <c r="W459" s="7" t="n">
        <v>0.1</v>
      </c>
      <c r="X459" s="6">
        <f>$T459*W459</f>
        <v/>
      </c>
      <c r="Y459" s="7" t="n">
        <v>0</v>
      </c>
      <c r="Z459" s="6">
        <f>$T459*Y459</f>
        <v/>
      </c>
      <c r="AA459" s="7" t="n">
        <v>0</v>
      </c>
      <c r="AB459" s="6">
        <f>$T459*AA459</f>
        <v/>
      </c>
      <c r="AC459" s="7" t="n">
        <v>0</v>
      </c>
      <c r="AD459" s="6">
        <f>$T459*AC459</f>
        <v/>
      </c>
      <c r="AE459" s="7" t="n">
        <v>0</v>
      </c>
      <c r="AF459" s="6">
        <f>$T459*AE459</f>
        <v/>
      </c>
      <c r="AG459" s="7" t="n">
        <v>0</v>
      </c>
      <c r="AH459" s="6">
        <f>$T459*AG459</f>
        <v/>
      </c>
      <c r="AI459" s="7">
        <f>U459+W459+Y459+AA459+AC459+AE459+AG459</f>
        <v/>
      </c>
      <c r="AJ459" s="6">
        <f>V459+X459+Z459+AB459+AD459+AF459+AH459</f>
        <v/>
      </c>
    </row>
    <row r="460" ht="60" customHeight="1" s="35">
      <c r="A460" s="3" t="inlineStr">
        <is>
          <t>LOM252.OC.EEA.PA02.G7605.ZA001.0015</t>
        </is>
      </c>
      <c r="B460" s="4" t="inlineStr">
        <is>
          <t>4/4</t>
        </is>
      </c>
      <c r="C460" s="3" t="inlineStr">
        <is>
          <t>IMPIANTO ELETTRICO</t>
        </is>
      </c>
      <c r="D460" s="4" t="inlineStr">
        <is>
          <t>NON SPECIALE</t>
        </is>
      </c>
      <c r="E460" s="4" t="inlineStr">
        <is>
          <t>ELETTRICHE</t>
        </is>
      </c>
      <c r="F460" s="3" t="inlineStr">
        <is>
          <t>3_CME IE RADIOFARMACIA PAVIA - REV02 VARIANTE ESECUTIVA.PDF</t>
        </is>
      </c>
      <c r="G460" s="4" t="inlineStr">
        <is>
          <t>161/161</t>
        </is>
      </c>
      <c r="H460" s="3" t="inlineStr">
        <is>
          <t>40 - IMPIANTISTICO</t>
        </is>
      </c>
      <c r="I460" s="3" t="inlineStr">
        <is>
          <t>RADIOFARMACIA</t>
        </is>
      </c>
      <c r="J460" s="3" t="inlineStr">
        <is>
          <t>IMPIANTO DI MESSA A TERRA</t>
        </is>
      </c>
      <c r="K460" s="3" t="inlineStr">
        <is>
          <t xml:space="preserve">OPERA: CORDA; IMPIEGO: IMPIANTO DI TERRA; SEZIONE [MM²] = 50. </t>
        </is>
      </c>
      <c r="L460" s="3" t="inlineStr">
        <is>
          <t>OPERA: CORDA; IMPIEGO: IMPIANTO DI TERRA; SEZIONE [MM²] = 50. 
LAVORO: POSA. 
SPECIFICHE TECNICHE: CORDA DI RAME NUDA. OP CORDA; IMPIEGO: IMPIANTO DI TERRA; SEZIONE [MM²] = 50. 
SPECIFICHE TECNICHE: CORDA DI RAME NUDA. 
RM CORDA DI LEGA RAME GENERICO; IMPIEGO: IMPIANTO DI TERRA; SEZIONE [MM²] = 50 
SPECIFICHE TECNICHE: CORDA DI RAME NUDA 
LV POSA.
[DIMENSIONI: 150,00]</t>
        </is>
      </c>
      <c r="M460" s="4" t="inlineStr">
        <is>
          <t>M</t>
        </is>
      </c>
      <c r="N460" s="5" t="n">
        <v>150</v>
      </c>
      <c r="O460" s="6" t="n">
        <v>9.369999999999999</v>
      </c>
      <c r="P460" s="6" t="n">
        <v>1405.5</v>
      </c>
      <c r="Q460" s="5" t="n"/>
      <c r="R460" s="6" t="n"/>
      <c r="S460" s="6">
        <f>IF(AND(Q460&lt;&gt;"",R460&lt;&gt;""),Q460*R460,"")</f>
        <v/>
      </c>
      <c r="T460" s="6">
        <f>IF(S460="",P460,S460)</f>
        <v/>
      </c>
      <c r="U460" s="7" t="n">
        <v>0</v>
      </c>
      <c r="V460" s="6">
        <f>$T460*U460</f>
        <v/>
      </c>
      <c r="W460" s="7" t="n">
        <v>0.6</v>
      </c>
      <c r="X460" s="6">
        <f>$T460*W460</f>
        <v/>
      </c>
      <c r="Y460" s="7" t="n">
        <v>0</v>
      </c>
      <c r="Z460" s="6">
        <f>$T460*Y460</f>
        <v/>
      </c>
      <c r="AA460" s="7" t="n">
        <v>0</v>
      </c>
      <c r="AB460" s="6">
        <f>$T460*AA460</f>
        <v/>
      </c>
      <c r="AC460" s="7" t="n">
        <v>0</v>
      </c>
      <c r="AD460" s="6">
        <f>$T460*AC460</f>
        <v/>
      </c>
      <c r="AE460" s="7" t="n">
        <v>0</v>
      </c>
      <c r="AF460" s="6">
        <f>$T460*AE460</f>
        <v/>
      </c>
      <c r="AG460" s="7" t="n">
        <v>0</v>
      </c>
      <c r="AH460" s="6">
        <f>$T460*AG460</f>
        <v/>
      </c>
      <c r="AI460" s="7">
        <f>U460+W460+Y460+AA460+AC460+AE460+AG460</f>
        <v/>
      </c>
      <c r="AJ460" s="6">
        <f>V460+X460+Z460+AB460+AD460+AF460+AH460</f>
        <v/>
      </c>
    </row>
    <row r="461" ht="60" customHeight="1" s="35">
      <c r="A461" s="3" t="inlineStr">
        <is>
          <t>LOM252.OC.EEA.PA02.G7610.SB003.0005</t>
        </is>
      </c>
      <c r="B461" s="4" t="inlineStr">
        <is>
          <t>3/3</t>
        </is>
      </c>
      <c r="C461" s="3" t="inlineStr">
        <is>
          <t>IMPIANTO ELETTRICO</t>
        </is>
      </c>
      <c r="D461" s="4" t="inlineStr">
        <is>
          <t>NON SPECIALE</t>
        </is>
      </c>
      <c r="E461" s="4" t="inlineStr">
        <is>
          <t>ELETTRICHE</t>
        </is>
      </c>
      <c r="F461" s="3" t="inlineStr">
        <is>
          <t>3_CME IE RADIOFARMACIA PAVIA - REV02 VARIANTE ESECUTIVA.PDF</t>
        </is>
      </c>
      <c r="G461" s="4" t="inlineStr">
        <is>
          <t>162/162</t>
        </is>
      </c>
      <c r="H461" s="3" t="inlineStr">
        <is>
          <t>40 - IMPIANTISTICO</t>
        </is>
      </c>
      <c r="I461" s="3" t="inlineStr">
        <is>
          <t>RADIOFARMACIA</t>
        </is>
      </c>
      <c r="J461" s="3" t="inlineStr">
        <is>
          <t>IMPIANTO DI MESSA A TERRA</t>
        </is>
      </c>
      <c r="K461" s="3" t="inlineStr">
        <is>
          <t>OPERA: DISPERSORE, A CROCE DI LEGA FERROSA ACCIAIO ZINCATO; IMPIEGO: ALLACCIAMENTI DI CORDE, TONDI, PIATTI E FUNI; LUNGHEZZA [M] = 1,5 | LARGHEZZA SEZIONE [MM] = 50 | LUNGHEZZA SEZIONE [MM] = 50 | SPE</t>
        </is>
      </c>
      <c r="L461" s="3" t="inlineStr">
        <is>
          <t>OPERA: DISPERSORE, A CROCE DI LEGA FERROSA ACCIAIO ZINCATO; IMPIEGO: ALLACCIAMENTI DI CORDE, TONDI, PIATTI E FUNI; LUNGHEZZA [M] = 1,5 | LARGHEZZA SEZIONE [MM] = 50 | LUNGHEZZA SEZIONE [MM] = 50 | SPESSORE SEZIONE [MM] = 5. 
LAVORO: POSA. OP DISPERSORE, A CROCE DI LEGA FERROSA ACCIAIO ZINCATO; IMPIEGO: ALLACCIAMENTI DI CORDE, TONDI, PIATTI E FUNI; LUNGHEZZA [M] = 1,5 | LARGHEZZA SEZIONE [MM] = 50 | LUNGHEZZA SEZIONE [MM] = 50 | SPESSORE SEZIONE [MM] = 5. 
RM DISPERSORE A CROCE DI LEGA FERROSA ACCIAIO ZINCATO; IMPIEGO: ALLACCIAMENTI DI CORDE, TONDI, PIATTI E FUNI; LUNGHEZZA [M] = 1,5 | LARGHEZZA SEZIONE [MM] = 50 | LUNGHEZZA SEZIONE [MM] = 50 | SPESSORE SEZIONE [MM] = 5. COMPONENTE: BANDIERA,  
LV POSA.</t>
        </is>
      </c>
      <c r="M461" s="4" t="inlineStr">
        <is>
          <t>CAD</t>
        </is>
      </c>
      <c r="N461" s="5" t="n">
        <v>4</v>
      </c>
      <c r="O461" s="6" t="n">
        <v>59.29</v>
      </c>
      <c r="P461" s="6" t="n">
        <v>237.16</v>
      </c>
      <c r="Q461" s="5" t="n"/>
      <c r="R461" s="6" t="n"/>
      <c r="S461" s="6">
        <f>IF(AND(Q461&lt;&gt;"",R461&lt;&gt;""),Q461*R461,"")</f>
        <v/>
      </c>
      <c r="T461" s="6">
        <f>IF(S461="",P461,S461)</f>
        <v/>
      </c>
      <c r="U461" s="7" t="n">
        <v>0</v>
      </c>
      <c r="V461" s="6">
        <f>$T461*U461</f>
        <v/>
      </c>
      <c r="W461" s="7" t="n">
        <v>0</v>
      </c>
      <c r="X461" s="6">
        <f>$T461*W461</f>
        <v/>
      </c>
      <c r="Y461" s="7" t="n">
        <v>0</v>
      </c>
      <c r="Z461" s="6">
        <f>$T461*Y461</f>
        <v/>
      </c>
      <c r="AA461" s="7" t="n">
        <v>0</v>
      </c>
      <c r="AB461" s="6">
        <f>$T461*AA461</f>
        <v/>
      </c>
      <c r="AC461" s="7" t="n">
        <v>0</v>
      </c>
      <c r="AD461" s="6">
        <f>$T461*AC461</f>
        <v/>
      </c>
      <c r="AE461" s="7" t="n">
        <v>0</v>
      </c>
      <c r="AF461" s="6">
        <f>$T461*AE461</f>
        <v/>
      </c>
      <c r="AG461" s="7" t="n">
        <v>0</v>
      </c>
      <c r="AH461" s="6">
        <f>$T461*AG461</f>
        <v/>
      </c>
      <c r="AI461" s="7">
        <f>U461+W461+Y461+AA461+AC461+AE461+AG461</f>
        <v/>
      </c>
      <c r="AJ461" s="6">
        <f>V461+X461+Z461+AB461+AD461+AF461+AH461</f>
        <v/>
      </c>
    </row>
    <row r="462" ht="60" customHeight="1" s="35">
      <c r="A462" s="3" t="inlineStr">
        <is>
          <t>DEIELE251_075016D</t>
        </is>
      </c>
      <c r="B462" s="4" t="inlineStr">
        <is>
          <t>4/5</t>
        </is>
      </c>
      <c r="C462" s="3" t="inlineStr">
        <is>
          <t>IMPIANTO ELETTRICO</t>
        </is>
      </c>
      <c r="D462" s="4" t="inlineStr">
        <is>
          <t>NON SPECIALE</t>
        </is>
      </c>
      <c r="E462" s="4" t="inlineStr">
        <is>
          <t>ELETTRICHE</t>
        </is>
      </c>
      <c r="F462" s="3" t="inlineStr">
        <is>
          <t>3_CME IE RADIOFARMACIA PAVIA - REV02 VARIANTE ESECUTIVA.PDF</t>
        </is>
      </c>
      <c r="G462" s="4" t="inlineStr">
        <is>
          <t>163/163</t>
        </is>
      </c>
      <c r="H462" s="3" t="inlineStr">
        <is>
          <t>40 - IMPIANTISTICO</t>
        </is>
      </c>
      <c r="I462" s="3" t="inlineStr">
        <is>
          <t>RADIOFARMACIA</t>
        </is>
      </c>
      <c r="J462" s="3" t="inlineStr">
        <is>
          <t>IMPIANTO DI MESSA A TERRA</t>
        </is>
      </c>
      <c r="K462" s="3" t="inlineStr">
        <is>
          <t>BARRA EQUIPOTENZIALE INDUSTRIALE NUDA, CON VITERIA IN ACCIAIO INOSSIDABILE PER SERRAGGIO CAPICORDA, INSTALLATA A MURO COMPLETA DI ISOLATORI IN DUROPLASTICO ED ACCESSORI DI FISSAGGIO: IN ACCIAIO INOSSI</t>
        </is>
      </c>
      <c r="L462" s="3" t="inlineStr">
        <is>
          <t>BARRA EQUIPOTENZIALE INDUSTRIALE NUDA, CON VITERIA IN ACCIAIO INOSSIDABILE PER SERRAGGIO CAPICORDA, INSTALLATA A MURO COMPLETA DI ISOLATORI IN DUROPLASTICO ED ACCESSORI DI FISSAGGIO: IN ACCIAIO INOSSIDABILE, DIMENSIONI: 500 X 40 X 5 MM, PER 12 COLLEGAMENTI</t>
        </is>
      </c>
      <c r="M462" s="4" t="inlineStr">
        <is>
          <t>CAD</t>
        </is>
      </c>
      <c r="N462" s="5" t="n">
        <v>2</v>
      </c>
      <c r="O462" s="6" t="n">
        <v>142.3</v>
      </c>
      <c r="P462" s="6" t="n">
        <v>284.6</v>
      </c>
      <c r="Q462" s="5" t="n"/>
      <c r="R462" s="6" t="n"/>
      <c r="S462" s="6">
        <f>IF(AND(Q462&lt;&gt;"",R462&lt;&gt;""),Q462*R462,"")</f>
        <v/>
      </c>
      <c r="T462" s="6">
        <f>IF(S462="",P462,S462)</f>
        <v/>
      </c>
      <c r="U462" s="7" t="n">
        <v>0</v>
      </c>
      <c r="V462" s="6">
        <f>$T462*U462</f>
        <v/>
      </c>
      <c r="W462" s="7" t="n">
        <v>0</v>
      </c>
      <c r="X462" s="6">
        <f>$T462*W462</f>
        <v/>
      </c>
      <c r="Y462" s="7" t="n">
        <v>0</v>
      </c>
      <c r="Z462" s="6">
        <f>$T462*Y462</f>
        <v/>
      </c>
      <c r="AA462" s="7" t="n">
        <v>0</v>
      </c>
      <c r="AB462" s="6">
        <f>$T462*AA462</f>
        <v/>
      </c>
      <c r="AC462" s="7" t="n">
        <v>0</v>
      </c>
      <c r="AD462" s="6">
        <f>$T462*AC462</f>
        <v/>
      </c>
      <c r="AE462" s="7" t="n">
        <v>0</v>
      </c>
      <c r="AF462" s="6">
        <f>$T462*AE462</f>
        <v/>
      </c>
      <c r="AG462" s="7" t="n">
        <v>0</v>
      </c>
      <c r="AH462" s="6">
        <f>$T462*AG462</f>
        <v/>
      </c>
      <c r="AI462" s="7">
        <f>U462+W462+Y462+AA462+AC462+AE462+AG462</f>
        <v/>
      </c>
      <c r="AJ462" s="6">
        <f>V462+X462+Z462+AB462+AD462+AF462+AH462</f>
        <v/>
      </c>
    </row>
    <row r="463" ht="60" customHeight="1" s="35">
      <c r="A463" s="3" t="inlineStr">
        <is>
          <t>LOM252.OC.EEA.PA02.G7615.ZA001.0035</t>
        </is>
      </c>
      <c r="B463" s="4" t="inlineStr">
        <is>
          <t>1/1</t>
        </is>
      </c>
      <c r="C463" s="3" t="inlineStr">
        <is>
          <t>IMPIANTO ELETTRICO</t>
        </is>
      </c>
      <c r="D463" s="4" t="inlineStr">
        <is>
          <t>NON SPECIALE</t>
        </is>
      </c>
      <c r="E463" s="4" t="inlineStr">
        <is>
          <t>ELETTRICHE</t>
        </is>
      </c>
      <c r="F463" s="3" t="inlineStr">
        <is>
          <t>3_CME IE RADIOFARMACIA PAVIA - REV02 VARIANTE ESECUTIVA.PDF</t>
        </is>
      </c>
      <c r="G463" s="4" t="inlineStr">
        <is>
          <t>164/164</t>
        </is>
      </c>
      <c r="H463" s="3" t="inlineStr">
        <is>
          <t>40 - IMPIANTISTICO</t>
        </is>
      </c>
      <c r="I463" s="3" t="inlineStr">
        <is>
          <t>RADIOFARMACIA</t>
        </is>
      </c>
      <c r="J463" s="3" t="inlineStr">
        <is>
          <t>IMPIANTO DI MESSA A TERRA</t>
        </is>
      </c>
      <c r="K463" s="3" t="inlineStr">
        <is>
          <t xml:space="preserve">OPERA: PIASTRA EQUIPOTENZIALE. INCLUSO: CASSETTA DA INCASSO, MORSETTI IN OTTONE NICHELATO, 7 CONDUTTORI PER SEZIONI [MM²] ≤ 16. </t>
        </is>
      </c>
      <c r="L463" s="3" t="inlineStr">
        <is>
          <t>OPERA: PIASTRA EQUIPOTENZIALE. INCLUSO: CASSETTA DA INCASSO, MORSETTI IN OTTONE NICHELATO, 7 CONDUTTORI PER SEZIONI [MM²] ≤ 16. 
LAVORO: POSA. OP PIASTRA EQUIPOTENZIALE. INCLUSO: CASSETTA DA INCASSO, MORSETTI IN OTTONE NICHELATO, 7 CONDUTTORI PER SEZIONI [MM²] ≤ 16. 
RM PIASTRA EQUIPOTENZIALE. COMPONENTE: COLLEGAMENTO, . INCLUSO: CASSETTA DA INCASSO, MORSETTI IN OTTONE NICHELATO, 7 CONDUTTORI PER SEZIONI [MM²] &lt;= 16 
LV POSA.</t>
        </is>
      </c>
      <c r="M463" s="4" t="inlineStr">
        <is>
          <t>CAD</t>
        </is>
      </c>
      <c r="N463" s="5" t="n">
        <v>4</v>
      </c>
      <c r="O463" s="6" t="n">
        <v>118.59</v>
      </c>
      <c r="P463" s="6" t="n">
        <v>474.36</v>
      </c>
      <c r="Q463" s="5" t="n"/>
      <c r="R463" s="6" t="n"/>
      <c r="S463" s="6">
        <f>IF(AND(Q463&lt;&gt;"",R463&lt;&gt;""),Q463*R463,"")</f>
        <v/>
      </c>
      <c r="T463" s="6">
        <f>IF(S463="",P463,S463)</f>
        <v/>
      </c>
      <c r="U463" s="7" t="n">
        <v>0</v>
      </c>
      <c r="V463" s="6">
        <f>$T463*U463</f>
        <v/>
      </c>
      <c r="W463" s="7" t="n">
        <v>0</v>
      </c>
      <c r="X463" s="6">
        <f>$T463*W463</f>
        <v/>
      </c>
      <c r="Y463" s="7" t="n">
        <v>0</v>
      </c>
      <c r="Z463" s="6">
        <f>$T463*Y463</f>
        <v/>
      </c>
      <c r="AA463" s="7" t="n">
        <v>0</v>
      </c>
      <c r="AB463" s="6">
        <f>$T463*AA463</f>
        <v/>
      </c>
      <c r="AC463" s="7" t="n">
        <v>0</v>
      </c>
      <c r="AD463" s="6">
        <f>$T463*AC463</f>
        <v/>
      </c>
      <c r="AE463" s="7" t="n">
        <v>0</v>
      </c>
      <c r="AF463" s="6">
        <f>$T463*AE463</f>
        <v/>
      </c>
      <c r="AG463" s="7" t="n">
        <v>0</v>
      </c>
      <c r="AH463" s="6">
        <f>$T463*AG463</f>
        <v/>
      </c>
      <c r="AI463" s="7">
        <f>U463+W463+Y463+AA463+AC463+AE463+AG463</f>
        <v/>
      </c>
      <c r="AJ463" s="6">
        <f>V463+X463+Z463+AB463+AD463+AF463+AH463</f>
        <v/>
      </c>
    </row>
    <row r="464" ht="60" customHeight="1" s="35">
      <c r="A464" s="3" t="inlineStr">
        <is>
          <t>LOM252.OC.EEA.PA02.G7424.SC009.1285</t>
        </is>
      </c>
      <c r="B464" s="4" t="inlineStr">
        <is>
          <t>1/2</t>
        </is>
      </c>
      <c r="C464" s="3" t="inlineStr">
        <is>
          <t>IMPIANTO ELETTRICO</t>
        </is>
      </c>
      <c r="D464" s="4" t="inlineStr">
        <is>
          <t>NON SPECIALE</t>
        </is>
      </c>
      <c r="E464" s="4" t="inlineStr">
        <is>
          <t>ELETTRICHE</t>
        </is>
      </c>
      <c r="F464" s="3" t="inlineStr">
        <is>
          <t>3_CME IE RADIOFARMACIA PAVIA - REV02 VARIANTE ESECUTIVA.PDF</t>
        </is>
      </c>
      <c r="G464" s="4" t="inlineStr">
        <is>
          <t>165/165</t>
        </is>
      </c>
      <c r="H464" s="3" t="inlineStr">
        <is>
          <t>40 - IMPIANTISTICO</t>
        </is>
      </c>
      <c r="I464" s="3" t="inlineStr">
        <is>
          <t>RADIOFARMACIA</t>
        </is>
      </c>
      <c r="J464" s="3" t="inlineStr">
        <is>
          <t>IMPIANTO DI MESSA A TERRA</t>
        </is>
      </c>
      <c r="K464" s="3" t="inlineStr">
        <is>
          <t xml:space="preserve">OPERA: CAVO, FG17 DI LEGA RAME RICOTTO; GEOMETRIA: FLESSIBILE; SEZIONE NOMINALE [MM²] = 35; TENSIONE NOMINALE [KV] = 450/750; N° POLI [-] = 1P. </t>
        </is>
      </c>
      <c r="L464" s="3" t="inlineStr">
        <is>
          <t>OPERA: CAVO, FG17 DI LEGA RAME RICOTTO; GEOMETRIA: FLESSIBILE; SEZIONE NOMINALE [MM²] = 35; TENSIONE NOMINALE [KV] = 450/750; N° POLI [-] = 1P. 
LAVORO: POSA. OP CAVO, FG17 DI LEGA RAME RICOTTO; GEOMETRIA: FLESSIBILE; SEZIONE NOMINALE [MM²] = 35; TENSIONE NOMINALE UO/U [KV] = 450/750; N° POLI [-] = 1P. 
RM CAVO FG17 DI LEGA RAME RICOTTO; GEOMETRIA: FLESSIBILE; SEZIONE NOMINALE [MM²] = 35; TENSIONE NOMINALE UO/U [KV] = 450/750; N° POLI [-] = 1P. COMPONENTE: ISOLANTE,  
LV POSA.
[DIMENSIONI: 1,00 25,00]</t>
        </is>
      </c>
      <c r="M464" s="4" t="inlineStr">
        <is>
          <t>M</t>
        </is>
      </c>
      <c r="N464" s="5" t="n">
        <v>25</v>
      </c>
      <c r="O464" s="6" t="n">
        <v>9.9</v>
      </c>
      <c r="P464" s="6" t="n">
        <v>247.5</v>
      </c>
      <c r="Q464" s="5" t="n"/>
      <c r="R464" s="6" t="n"/>
      <c r="S464" s="6">
        <f>IF(AND(Q464&lt;&gt;"",R464&lt;&gt;""),Q464*R464,"")</f>
        <v/>
      </c>
      <c r="T464" s="6">
        <f>IF(S464="",P464,S464)</f>
        <v/>
      </c>
      <c r="U464" s="7" t="n">
        <v>0</v>
      </c>
      <c r="V464" s="6">
        <f>$T464*U464</f>
        <v/>
      </c>
      <c r="W464" s="7" t="n">
        <v>0</v>
      </c>
      <c r="X464" s="6">
        <f>$T464*W464</f>
        <v/>
      </c>
      <c r="Y464" s="7" t="n">
        <v>0</v>
      </c>
      <c r="Z464" s="6">
        <f>$T464*Y464</f>
        <v/>
      </c>
      <c r="AA464" s="7" t="n">
        <v>0</v>
      </c>
      <c r="AB464" s="6">
        <f>$T464*AA464</f>
        <v/>
      </c>
      <c r="AC464" s="7" t="n">
        <v>0</v>
      </c>
      <c r="AD464" s="6">
        <f>$T464*AC464</f>
        <v/>
      </c>
      <c r="AE464" s="7" t="n">
        <v>0</v>
      </c>
      <c r="AF464" s="6">
        <f>$T464*AE464</f>
        <v/>
      </c>
      <c r="AG464" s="7" t="n">
        <v>0</v>
      </c>
      <c r="AH464" s="6">
        <f>$T464*AG464</f>
        <v/>
      </c>
      <c r="AI464" s="7">
        <f>U464+W464+Y464+AA464+AC464+AE464+AG464</f>
        <v/>
      </c>
      <c r="AJ464" s="6">
        <f>V464+X464+Z464+AB464+AD464+AF464+AH464</f>
        <v/>
      </c>
    </row>
    <row r="465" ht="60" customHeight="1" s="35">
      <c r="A465" s="3" t="inlineStr">
        <is>
          <t>LOM252.OC.EEA.PA02.G7424.SC009.1290</t>
        </is>
      </c>
      <c r="B465" s="4" t="inlineStr">
        <is>
          <t>1/1</t>
        </is>
      </c>
      <c r="C465" s="3" t="inlineStr">
        <is>
          <t>IMPIANTO ELETTRICO</t>
        </is>
      </c>
      <c r="D465" s="4" t="inlineStr">
        <is>
          <t>NON SPECIALE</t>
        </is>
      </c>
      <c r="E465" s="4" t="inlineStr">
        <is>
          <t>ELETTRICHE</t>
        </is>
      </c>
      <c r="F465" s="3" t="inlineStr">
        <is>
          <t>3_CME IE RADIOFARMACIA PAVIA - REV02 VARIANTE ESECUTIVA.PDF</t>
        </is>
      </c>
      <c r="G465" s="4" t="inlineStr">
        <is>
          <t>166/166</t>
        </is>
      </c>
      <c r="H465" s="3" t="inlineStr">
        <is>
          <t>40 - IMPIANTISTICO</t>
        </is>
      </c>
      <c r="I465" s="3" t="inlineStr">
        <is>
          <t>RADIOFARMACIA</t>
        </is>
      </c>
      <c r="J465" s="3" t="inlineStr">
        <is>
          <t>IMPIANTO DI MESSA A TERRA</t>
        </is>
      </c>
      <c r="K465" s="3" t="inlineStr">
        <is>
          <t xml:space="preserve">OPERA: CAVO, FG17 DI LEGA RAME RICOTTO; GEOMETRIA: FLESSIBILE; SEZIONE NOMINALE [MM²] = 50; TENSIONE NOMINALE [KV] = 450/750; N° POLI [-] = 1P. </t>
        </is>
      </c>
      <c r="L465" s="3" t="inlineStr">
        <is>
          <t>OPERA: CAVO, FG17 DI LEGA RAME RICOTTO; GEOMETRIA: FLESSIBILE; SEZIONE NOMINALE [MM²] = 50; TENSIONE NOMINALE [KV] = 450/750; N° POLI [-] = 1P. 
LAVORO: POSA. OP CAVO, FG17 DI LEGA RAME RICOTTO; GEOMETRIA: FLESSIBILE; SEZIONE NOMINALE [MM²] = 50; TENSIONE NOMINALE UO/U [KV] = 450/750; N° POLI [-] = 1P. 
RM CAVO FG17 DI LEGA RAME RICOTTO; GEOMETRIA: FLESSIBILE; SEZIONE NOMINALE [MM²] = 50; TENSIONE NOMINALE UO/U [KV] = 450/750; N° POLI [-] = 1P. COMPONENTE: ISOLANTE,  
LV POSA.
[DIMENSIONI: 1,00 30,00]</t>
        </is>
      </c>
      <c r="M465" s="4" t="inlineStr">
        <is>
          <t>M</t>
        </is>
      </c>
      <c r="N465" s="5" t="n">
        <v>30</v>
      </c>
      <c r="O465" s="6" t="n">
        <v>12.98</v>
      </c>
      <c r="P465" s="6" t="n">
        <v>389.4</v>
      </c>
      <c r="Q465" s="5" t="n"/>
      <c r="R465" s="6" t="n"/>
      <c r="S465" s="6">
        <f>IF(AND(Q465&lt;&gt;"",R465&lt;&gt;""),Q465*R465,"")</f>
        <v/>
      </c>
      <c r="T465" s="6">
        <f>IF(S465="",P465,S465)</f>
        <v/>
      </c>
      <c r="U465" s="7" t="n">
        <v>0</v>
      </c>
      <c r="V465" s="6">
        <f>$T465*U465</f>
        <v/>
      </c>
      <c r="W465" s="7" t="n">
        <v>0</v>
      </c>
      <c r="X465" s="6">
        <f>$T465*W465</f>
        <v/>
      </c>
      <c r="Y465" s="7" t="n">
        <v>0</v>
      </c>
      <c r="Z465" s="6">
        <f>$T465*Y465</f>
        <v/>
      </c>
      <c r="AA465" s="7" t="n">
        <v>0</v>
      </c>
      <c r="AB465" s="6">
        <f>$T465*AA465</f>
        <v/>
      </c>
      <c r="AC465" s="7" t="n">
        <v>0</v>
      </c>
      <c r="AD465" s="6">
        <f>$T465*AC465</f>
        <v/>
      </c>
      <c r="AE465" s="7" t="n">
        <v>0</v>
      </c>
      <c r="AF465" s="6">
        <f>$T465*AE465</f>
        <v/>
      </c>
      <c r="AG465" s="7" t="n">
        <v>0</v>
      </c>
      <c r="AH465" s="6">
        <f>$T465*AG465</f>
        <v/>
      </c>
      <c r="AI465" s="7">
        <f>U465+W465+Y465+AA465+AC465+AE465+AG465</f>
        <v/>
      </c>
      <c r="AJ465" s="6">
        <f>V465+X465+Z465+AB465+AD465+AF465+AH465</f>
        <v/>
      </c>
    </row>
    <row r="466" ht="60" customHeight="1" s="35">
      <c r="A466" s="3" t="inlineStr">
        <is>
          <t>LOM252.OC.EEA.PA02.G7424.SC009.1300</t>
        </is>
      </c>
      <c r="B466" s="4" t="inlineStr">
        <is>
          <t>2/2</t>
        </is>
      </c>
      <c r="C466" s="3" t="inlineStr">
        <is>
          <t>IMPIANTO ELETTRICO</t>
        </is>
      </c>
      <c r="D466" s="4" t="inlineStr">
        <is>
          <t>NON SPECIALE</t>
        </is>
      </c>
      <c r="E466" s="4" t="inlineStr">
        <is>
          <t>ELETTRICHE</t>
        </is>
      </c>
      <c r="F466" s="3" t="inlineStr">
        <is>
          <t>3_CME IE RADIOFARMACIA PAVIA - REV02 VARIANTE ESECUTIVA.PDF</t>
        </is>
      </c>
      <c r="G466" s="4" t="inlineStr">
        <is>
          <t>167/167</t>
        </is>
      </c>
      <c r="H466" s="3" t="inlineStr">
        <is>
          <t>40 - IMPIANTISTICO</t>
        </is>
      </c>
      <c r="I466" s="3" t="inlineStr">
        <is>
          <t>RADIOFARMACIA</t>
        </is>
      </c>
      <c r="J466" s="3" t="inlineStr">
        <is>
          <t>IMPIANTO DI MESSA A TERRA</t>
        </is>
      </c>
      <c r="K466" s="3" t="inlineStr">
        <is>
          <t xml:space="preserve">OPERA: CAVO, FG17 DI LEGA RAME RICOTTO; GEOMETRIA: FLESSIBILE; SEZIONE NOMINALE [MM²] = 95; TENSIONE NOMINALE [KV] = 450/750; N° POLI [-] = 1P. </t>
        </is>
      </c>
      <c r="L466" s="3" t="inlineStr">
        <is>
          <t>OPERA: CAVO, FG17 DI LEGA RAME RICOTTO; GEOMETRIA: FLESSIBILE; SEZIONE NOMINALE [MM²] = 95; TENSIONE NOMINALE [KV] = 450/750; N° POLI [-] = 1P. 
LAVORO: POSA. OP CAVO, FG17 DI LEGA RAME RICOTTO; GEOMETRIA: FLESSIBILE; SEZIONE NOMINALE [MM²] = 95; TENSIONE NOMINALE UO/U [KV] = 450/750; N° POLI [-] = 1P. 
RM CAVO FG17 DI LEGA RAME RICOTTO; GEOMETRIA: FLESSIBILE; SEZIONE NOMINALE [MM²] = 95; TENSIONE NOMINALE UO/U [KV] = 450/750; N° POLI [-] = 1P. COMPONENTE: ISOLANTE,  
LV POSA.
[DIMENSIONI: 1,00 25,00]</t>
        </is>
      </c>
      <c r="M466" s="4" t="inlineStr">
        <is>
          <t>M</t>
        </is>
      </c>
      <c r="N466" s="5" t="n">
        <v>25</v>
      </c>
      <c r="O466" s="6" t="n">
        <v>23.37</v>
      </c>
      <c r="P466" s="6" t="n">
        <v>584.25</v>
      </c>
      <c r="Q466" s="5" t="n"/>
      <c r="R466" s="6" t="n"/>
      <c r="S466" s="6">
        <f>IF(AND(Q466&lt;&gt;"",R466&lt;&gt;""),Q466*R466,"")</f>
        <v/>
      </c>
      <c r="T466" s="6">
        <f>IF(S466="",P466,S466)</f>
        <v/>
      </c>
      <c r="U466" s="7" t="n">
        <v>0</v>
      </c>
      <c r="V466" s="6">
        <f>$T466*U466</f>
        <v/>
      </c>
      <c r="W466" s="7" t="n">
        <v>0</v>
      </c>
      <c r="X466" s="6">
        <f>$T466*W466</f>
        <v/>
      </c>
      <c r="Y466" s="7" t="n">
        <v>0</v>
      </c>
      <c r="Z466" s="6">
        <f>$T466*Y466</f>
        <v/>
      </c>
      <c r="AA466" s="7" t="n">
        <v>0</v>
      </c>
      <c r="AB466" s="6">
        <f>$T466*AA466</f>
        <v/>
      </c>
      <c r="AC466" s="7" t="n">
        <v>0</v>
      </c>
      <c r="AD466" s="6">
        <f>$T466*AC466</f>
        <v/>
      </c>
      <c r="AE466" s="7" t="n">
        <v>0</v>
      </c>
      <c r="AF466" s="6">
        <f>$T466*AE466</f>
        <v/>
      </c>
      <c r="AG466" s="7" t="n">
        <v>0</v>
      </c>
      <c r="AH466" s="6">
        <f>$T466*AG466</f>
        <v/>
      </c>
      <c r="AI466" s="7">
        <f>U466+W466+Y466+AA466+AC466+AE466+AG466</f>
        <v/>
      </c>
      <c r="AJ466" s="6">
        <f>V466+X466+Z466+AB466+AD466+AF466+AH466</f>
        <v/>
      </c>
    </row>
    <row r="467" ht="60" customHeight="1" s="35">
      <c r="A467" s="3" t="inlineStr">
        <is>
          <t>LOM252.OC.EEA.PA02.G7415.SB003.0010.A</t>
        </is>
      </c>
      <c r="B467" s="4" t="inlineStr">
        <is>
          <t>1/1</t>
        </is>
      </c>
      <c r="C467" s="3" t="inlineStr">
        <is>
          <t>IMPIANTO ELETTRICO</t>
        </is>
      </c>
      <c r="D467" s="4" t="inlineStr">
        <is>
          <t>NON SPECIALE</t>
        </is>
      </c>
      <c r="E467" s="4" t="inlineStr">
        <is>
          <t>ELETTRICHE</t>
        </is>
      </c>
      <c r="F467" s="3" t="inlineStr">
        <is>
          <t>3_CME IE RADIOFARMACIA PAVIA - REV02 VARIANTE ESECUTIVA.PDF</t>
        </is>
      </c>
      <c r="G467" s="4" t="inlineStr">
        <is>
          <t>168/168</t>
        </is>
      </c>
      <c r="H467" s="3" t="inlineStr">
        <is>
          <t>40 - IMPIANTISTICO</t>
        </is>
      </c>
      <c r="I467" s="3" t="inlineStr">
        <is>
          <t>RADIOFARMACIA</t>
        </is>
      </c>
      <c r="J467" s="3" t="inlineStr">
        <is>
          <t>DISTRIBUZIONE PRINCIPALE BT</t>
        </is>
      </c>
      <c r="K467" s="3" t="inlineStr">
        <is>
          <t>OPERA: PASSERELLA DI LEGA FERROSA ACCIAIO ZINCATO; GEOMETRIA: LAMIERA | ASOLATA | BORDI RIPIEGATI; FUNZIONE: PORTACAVI; ALTEZZA [MM] = 80 | LARGHEZZA [MM] = 100. INCLUSO: ACCESSORI DI MONTAGGIO, ACCES</t>
        </is>
      </c>
      <c r="L467" s="3" t="inlineStr">
        <is>
          <t>OPERA: PASSERELLA DI LEGA FERROSA ACCIAIO ZINCATO; GEOMETRIA: LAMIERA | ASOLATA | BORDI RIPIEGATI; FUNZIONE: PORTACAVI; ALTEZZA [MM] = 80 | LARGHEZZA [MM] = 100. INCLUSO: ACCESSORI DI MONTAGGIO, ACCESSORI DI FISSAGGIO. 
LAVORO: POSA. OP PASSERELLA DI LEGA FERROSA ACCIAIO ZINCATO; GEOMETRIA: LAMIERA | ASOLATA | BORDI RIPIEGATI; FUNZIONE: PORTACAVI; ALTEZZA [MM] = 80 | LARGHEZZA [MM] = 100. INCLUSO: ACCESSORI DI MONTAGGIO, ACCESSORI DI FISSAGGIO. 
RM PASSERELLA DI LEGA FERROSA ACCIAIO ZINCATO; GEOMETRIA: LAMIERA | ASOLATA | BORDI RIPIEGATI; FUNZIONE: PORTACAVI; ALTEZZA [MM] = 80 | LARGHEZZA [MM] = 100. INCLUSO: ACCESSORI DI MONTAGGIO, ACCESSORI DI FISSAGGIO 
LV POSA.
[DIMENSIONI: 25,00 | 5,00]</t>
        </is>
      </c>
      <c r="M467" s="4" t="inlineStr">
        <is>
          <t>M</t>
        </is>
      </c>
      <c r="N467" s="5" t="n">
        <v>30</v>
      </c>
      <c r="O467" s="6" t="n">
        <v>41.56</v>
      </c>
      <c r="P467" s="6" t="n">
        <v>1246.8</v>
      </c>
      <c r="Q467" s="5" t="n"/>
      <c r="R467" s="6" t="n"/>
      <c r="S467" s="6">
        <f>IF(AND(Q467&lt;&gt;"",R467&lt;&gt;""),Q467*R467,"")</f>
        <v/>
      </c>
      <c r="T467" s="6">
        <f>IF(S467="",P467,S467)</f>
        <v/>
      </c>
      <c r="U467" s="7" t="n">
        <v>0</v>
      </c>
      <c r="V467" s="6">
        <f>$T467*U467</f>
        <v/>
      </c>
      <c r="W467" s="7" t="n">
        <v>0</v>
      </c>
      <c r="X467" s="6">
        <f>$T467*W467</f>
        <v/>
      </c>
      <c r="Y467" s="7" t="n">
        <v>0</v>
      </c>
      <c r="Z467" s="6">
        <f>$T467*Y467</f>
        <v/>
      </c>
      <c r="AA467" s="7" t="n">
        <v>0</v>
      </c>
      <c r="AB467" s="6">
        <f>$T467*AA467</f>
        <v/>
      </c>
      <c r="AC467" s="7" t="n">
        <v>0</v>
      </c>
      <c r="AD467" s="6">
        <f>$T467*AC467</f>
        <v/>
      </c>
      <c r="AE467" s="7" t="n">
        <v>0</v>
      </c>
      <c r="AF467" s="6">
        <f>$T467*AE467</f>
        <v/>
      </c>
      <c r="AG467" s="7" t="n">
        <v>0</v>
      </c>
      <c r="AH467" s="6">
        <f>$T467*AG467</f>
        <v/>
      </c>
      <c r="AI467" s="7">
        <f>U467+W467+Y467+AA467+AC467+AE467+AG467</f>
        <v/>
      </c>
      <c r="AJ467" s="6">
        <f>V467+X467+Z467+AB467+AD467+AF467+AH467</f>
        <v/>
      </c>
    </row>
    <row r="468" ht="60" customHeight="1" s="35">
      <c r="A468" s="3" t="inlineStr">
        <is>
          <t>LOM252.OC.EEA.PA02.G7415.SB003.0010.C</t>
        </is>
      </c>
      <c r="B468" s="4" t="inlineStr">
        <is>
          <t>1/1</t>
        </is>
      </c>
      <c r="C468" s="3" t="inlineStr">
        <is>
          <t>IMPIANTO ELETTRICO</t>
        </is>
      </c>
      <c r="D468" s="4" t="inlineStr">
        <is>
          <t>NON SPECIALE</t>
        </is>
      </c>
      <c r="E468" s="4" t="inlineStr">
        <is>
          <t>ELETTRICHE</t>
        </is>
      </c>
      <c r="F468" s="3" t="inlineStr">
        <is>
          <t>3_CME IE RADIOFARMACIA PAVIA - REV02 VARIANTE ESECUTIVA.PDF</t>
        </is>
      </c>
      <c r="G468" s="4" t="inlineStr">
        <is>
          <t>169/169</t>
        </is>
      </c>
      <c r="H468" s="3" t="inlineStr">
        <is>
          <t>40 - IMPIANTISTICO</t>
        </is>
      </c>
      <c r="I468" s="3" t="inlineStr">
        <is>
          <t>RADIOFARMACIA</t>
        </is>
      </c>
      <c r="J468" s="3" t="inlineStr">
        <is>
          <t>DISTRIBUZIONE PRINCIPALE BT</t>
        </is>
      </c>
      <c r="K468" s="3" t="inlineStr">
        <is>
          <t>OPERA: PASSERELLA DI LEGA FERROSA ACCIAIO ZINCATO; GEOMETRIA: LAMIERA | ASOLATA | BORDI RIPIEGATI; FUNZIONE: PORTACAVI; ALTEZZA [MM] = 80 | LARGHEZZA [MM] = 200. INCLUSO: ACCESSORI DI MONTAGGIO, ACCES</t>
        </is>
      </c>
      <c r="L468" s="3" t="inlineStr">
        <is>
          <t>OPERA: PASSERELLA DI LEGA FERROSA ACCIAIO ZINCATO; GEOMETRIA: LAMIERA | ASOLATA | BORDI RIPIEGATI; FUNZIONE: PORTACAVI; ALTEZZA [MM] = 80 | LARGHEZZA [MM] = 200. INCLUSO: ACCESSORI DI MONTAGGIO, ACCESSORI DI FISSAGGIO. 
LAVORO: POSA. OP PASSERELLA DI LEGA FERROSA ACCIAIO ZINCATO; GEOMETRIA: LAMIERA | ASOLATA | BORDI RIPIEGATI; FUNZIONE: PORTACAVI; ALTEZZA [MM] = 80 | LARGHEZZA [MM] = 200. INCLUSO: ACCESSORI DI MONTAGGIO, ACCESSORI DI FISSAGGIO. 
RM PASSERELLA DI LEGA FERROSA ACCIAIO ZINCATO; GEOMETRIA: LAMIERA | ASOLATA | BORDI RIPIEGATI; FUNZIONE: PORTACAVI; ALTEZZA [MM] = 80 | LARGHEZZA [MM] = 200. INCLUSO: ACCESSORI DI MONTAGGIO, ACCESSORI DI FISSAGGIO 
LV POSA.
[DIMENSIONI: 50,00 | 60,00 | 20,00 | 110,00 | -20,00 | 70,00 | 30,00]</t>
        </is>
      </c>
      <c r="M468" s="4" t="inlineStr">
        <is>
          <t>M</t>
        </is>
      </c>
      <c r="N468" s="5" t="n">
        <v>320</v>
      </c>
      <c r="O468" s="6" t="n">
        <v>56.61</v>
      </c>
      <c r="P468" s="6" t="n">
        <v>18115.2</v>
      </c>
      <c r="Q468" s="5" t="n"/>
      <c r="R468" s="6" t="n"/>
      <c r="S468" s="6">
        <f>IF(AND(Q468&lt;&gt;"",R468&lt;&gt;""),Q468*R468,"")</f>
        <v/>
      </c>
      <c r="T468" s="6">
        <f>IF(S468="",P468,S468)</f>
        <v/>
      </c>
      <c r="U468" s="7" t="n">
        <v>0</v>
      </c>
      <c r="V468" s="6">
        <f>$T468*U468</f>
        <v/>
      </c>
      <c r="W468" s="7" t="n">
        <v>0.4</v>
      </c>
      <c r="X468" s="6">
        <f>$T468*W468</f>
        <v/>
      </c>
      <c r="Y468" s="7" t="n">
        <v>0</v>
      </c>
      <c r="Z468" s="6">
        <f>$T468*Y468</f>
        <v/>
      </c>
      <c r="AA468" s="7" t="n">
        <v>0</v>
      </c>
      <c r="AB468" s="6">
        <f>$T468*AA468</f>
        <v/>
      </c>
      <c r="AC468" s="7" t="n">
        <v>0</v>
      </c>
      <c r="AD468" s="6">
        <f>$T468*AC468</f>
        <v/>
      </c>
      <c r="AE468" s="7" t="n">
        <v>0</v>
      </c>
      <c r="AF468" s="6">
        <f>$T468*AE468</f>
        <v/>
      </c>
      <c r="AG468" s="7" t="n">
        <v>0</v>
      </c>
      <c r="AH468" s="6">
        <f>$T468*AG468</f>
        <v/>
      </c>
      <c r="AI468" s="7">
        <f>U468+W468+Y468+AA468+AC468+AE468+AG468</f>
        <v/>
      </c>
      <c r="AJ468" s="6">
        <f>V468+X468+Z468+AB468+AD468+AF468+AH468</f>
        <v/>
      </c>
    </row>
    <row r="469" ht="60" customHeight="1" s="35">
      <c r="A469" s="3" t="inlineStr">
        <is>
          <t>LOM252.OC.EEA.PA02.G7415.SB003.0010.E</t>
        </is>
      </c>
      <c r="B469" s="4" t="inlineStr">
        <is>
          <t>1/1</t>
        </is>
      </c>
      <c r="C469" s="3" t="inlineStr">
        <is>
          <t>IMPIANTO ELETTRICO</t>
        </is>
      </c>
      <c r="D469" s="4" t="inlineStr">
        <is>
          <t>NON SPECIALE</t>
        </is>
      </c>
      <c r="E469" s="4" t="inlineStr">
        <is>
          <t>ELETTRICHE</t>
        </is>
      </c>
      <c r="F469" s="3" t="inlineStr">
        <is>
          <t>3_CME IE RADIOFARMACIA PAVIA - REV02 VARIANTE ESECUTIVA.PDF</t>
        </is>
      </c>
      <c r="G469" s="4" t="inlineStr">
        <is>
          <t>170/170</t>
        </is>
      </c>
      <c r="H469" s="3" t="inlineStr">
        <is>
          <t>40 - IMPIANTISTICO</t>
        </is>
      </c>
      <c r="I469" s="3" t="inlineStr">
        <is>
          <t>RADIOFARMACIA</t>
        </is>
      </c>
      <c r="J469" s="3" t="inlineStr">
        <is>
          <t>DISTRIBUZIONE PRINCIPALE BT</t>
        </is>
      </c>
      <c r="K469" s="3" t="inlineStr">
        <is>
          <t>OPERA: PASSERELLA DI LEGA FERROSA ACCIAIO ZINCATO; GEOMETRIA: LAMIERA | ASOLATA | BORDI RIPIEGATI; FUNZIONE: PORTACAVI; ALTEZZA [MM] = 80 | LARGHEZZA [MM] = 300. INCLUSO: ACCESSORI DI MONTAGGIO, ACCES</t>
        </is>
      </c>
      <c r="L469" s="3" t="inlineStr">
        <is>
          <t>OPERA: PASSERELLA DI LEGA FERROSA ACCIAIO ZINCATO; GEOMETRIA: LAMIERA | ASOLATA | BORDI RIPIEGATI; FUNZIONE: PORTACAVI; ALTEZZA [MM] = 80 | LARGHEZZA [MM] = 300. INCLUSO: ACCESSORI DI MONTAGGIO, ACCESSORI DI FISSAGGIO. 
LAVORO: POSA. OP PASSERELLA DI LEGA FERROSA ACCIAIO ZINCATO; GEOMETRIA: LAMIERA | ASOLATA | BORDI RIPIEGATI; FUNZIONE: PORTACAVI; ALTEZZA [MM] = 80 | LARGHEZZA [MM] = 300. INCLUSO: ACCESSORI DI MONTAGGIO, ACCESSORI DI FISSAGGIO. 
RM PASSERELLA DI LEGA FERROSA ACCIAIO ZINCATO; GEOMETRIA: LAMIERA | ASOLATA | BORDI RIPIEGATI; FUNZIONE: PORTACAVI; ALTEZZA [MM] = 80 | LARGHEZZA [MM] = 300. INCLUSO: ACCESSORI DI MONTAGGIO, ACCESSORI DI FISSAGGIO 
LV POSA.
[DIMENSIONI: 70,00 | -20,00 | 35,00 | 30,00 | 10,00 | 15,00]</t>
        </is>
      </c>
      <c r="M469" s="4" t="inlineStr">
        <is>
          <t>M</t>
        </is>
      </c>
      <c r="N469" s="5" t="n">
        <v>140</v>
      </c>
      <c r="O469" s="6" t="n">
        <v>65.84999999999999</v>
      </c>
      <c r="P469" s="6" t="n">
        <v>9219</v>
      </c>
      <c r="Q469" s="5" t="n"/>
      <c r="R469" s="6" t="n"/>
      <c r="S469" s="6">
        <f>IF(AND(Q469&lt;&gt;"",R469&lt;&gt;""),Q469*R469,"")</f>
        <v/>
      </c>
      <c r="T469" s="6">
        <f>IF(S469="",P469,S469)</f>
        <v/>
      </c>
      <c r="U469" s="7" t="n">
        <v>0</v>
      </c>
      <c r="V469" s="6">
        <f>$T469*U469</f>
        <v/>
      </c>
      <c r="W469" s="7" t="n">
        <v>0.4</v>
      </c>
      <c r="X469" s="6">
        <f>$T469*W469</f>
        <v/>
      </c>
      <c r="Y469" s="7" t="n">
        <v>0</v>
      </c>
      <c r="Z469" s="6">
        <f>$T469*Y469</f>
        <v/>
      </c>
      <c r="AA469" s="7" t="n">
        <v>0</v>
      </c>
      <c r="AB469" s="6">
        <f>$T469*AA469</f>
        <v/>
      </c>
      <c r="AC469" s="7" t="n">
        <v>0</v>
      </c>
      <c r="AD469" s="6">
        <f>$T469*AC469</f>
        <v/>
      </c>
      <c r="AE469" s="7" t="n">
        <v>0</v>
      </c>
      <c r="AF469" s="6">
        <f>$T469*AE469</f>
        <v/>
      </c>
      <c r="AG469" s="7" t="n">
        <v>0</v>
      </c>
      <c r="AH469" s="6">
        <f>$T469*AG469</f>
        <v/>
      </c>
      <c r="AI469" s="7">
        <f>U469+W469+Y469+AA469+AC469+AE469+AG469</f>
        <v/>
      </c>
      <c r="AJ469" s="6">
        <f>V469+X469+Z469+AB469+AD469+AF469+AH469</f>
        <v/>
      </c>
    </row>
    <row r="470" ht="60" customHeight="1" s="35">
      <c r="A470" s="3" t="inlineStr">
        <is>
          <t>LOM252.OC.EEA.PA02.G7415.SB003.0010.F</t>
        </is>
      </c>
      <c r="B470" s="4" t="inlineStr">
        <is>
          <t>1/1</t>
        </is>
      </c>
      <c r="C470" s="3" t="inlineStr">
        <is>
          <t>IMPIANTO ELETTRICO</t>
        </is>
      </c>
      <c r="D470" s="4" t="inlineStr">
        <is>
          <t>NON SPECIALE</t>
        </is>
      </c>
      <c r="E470" s="4" t="inlineStr">
        <is>
          <t>ELETTRICHE</t>
        </is>
      </c>
      <c r="F470" s="3" t="inlineStr">
        <is>
          <t>3_CME IE RADIOFARMACIA PAVIA - REV02 VARIANTE ESECUTIVA.PDF</t>
        </is>
      </c>
      <c r="G470" s="4" t="inlineStr">
        <is>
          <t>171/171</t>
        </is>
      </c>
      <c r="H470" s="3" t="inlineStr">
        <is>
          <t>40 - IMPIANTISTICO</t>
        </is>
      </c>
      <c r="I470" s="3" t="inlineStr">
        <is>
          <t>RADIOFARMACIA</t>
        </is>
      </c>
      <c r="J470" s="3" t="inlineStr">
        <is>
          <t>DISTRIBUZIONE PRINCIPALE BT</t>
        </is>
      </c>
      <c r="K470" s="3" t="inlineStr">
        <is>
          <t>OPERA: PASSERELLA DI LEGA FERROSA ACCIAIO ZINCATO; GEOMETRIA: LAMIERA | ASOLATA | BORDI RIPIEGATI; FUNZIONE: PORTACAVI; ALTEZZA [MM] = 80 | LARGHEZZA [MM] = 400. INCLUSO: ACCESSORI DI MONTAGGIO, ACCES</t>
        </is>
      </c>
      <c r="L470" s="3" t="inlineStr">
        <is>
          <t>OPERA: PASSERELLA DI LEGA FERROSA ACCIAIO ZINCATO; GEOMETRIA: LAMIERA | ASOLATA | BORDI RIPIEGATI; FUNZIONE: PORTACAVI; ALTEZZA [MM] = 80 | LARGHEZZA [MM] = 400. INCLUSO: ACCESSORI DI MONTAGGIO, ACCESSORI DI FISSAGGIO. 
LAVORO: POSA. OP PASSERELLA DI LEGA FERROSA ACCIAIO ZINCATO; GEOMETRIA: LAMIERA | ASOLATA | BORDI RIPIEGATI; FUNZIONE: PORTACAVI; ALTEZZA [MM] = 80 | LARGHEZZA [MM] = 400. INCLUSO: ACCESSORI DI MONTAGGIO, ACCESSORI DI FISSAGGIO. 
RM PASSERELLA DI LEGA FERROSA ACCIAIO ZINCATO; GEOMETRIA: LAMIERA | ASOLATA | BORDI RIPIEGATI; FUNZIONE: PORTACAVI; ALTEZZA [MM] = 80 | LARGHEZZA [MM] = 400. INCLUSO: ACCESSORI DI MONTAGGIO, ACCESSORI DI FISSAGGIO 
LV POSA.
[DIMENSIONI: 30,00 | 5,00 | 15,00]</t>
        </is>
      </c>
      <c r="M470" s="4" t="inlineStr">
        <is>
          <t>M</t>
        </is>
      </c>
      <c r="N470" s="5" t="n">
        <v>50</v>
      </c>
      <c r="O470" s="6" t="n">
        <v>87.66</v>
      </c>
      <c r="P470" s="6" t="n">
        <v>4383</v>
      </c>
      <c r="Q470" s="5" t="n"/>
      <c r="R470" s="6" t="n"/>
      <c r="S470" s="6">
        <f>IF(AND(Q470&lt;&gt;"",R470&lt;&gt;""),Q470*R470,"")</f>
        <v/>
      </c>
      <c r="T470" s="6">
        <f>IF(S470="",P470,S470)</f>
        <v/>
      </c>
      <c r="U470" s="7" t="n">
        <v>0</v>
      </c>
      <c r="V470" s="6">
        <f>$T470*U470</f>
        <v/>
      </c>
      <c r="W470" s="7" t="n">
        <v>0.4</v>
      </c>
      <c r="X470" s="6">
        <f>$T470*W470</f>
        <v/>
      </c>
      <c r="Y470" s="7" t="n">
        <v>0</v>
      </c>
      <c r="Z470" s="6">
        <f>$T470*Y470</f>
        <v/>
      </c>
      <c r="AA470" s="7" t="n">
        <v>0</v>
      </c>
      <c r="AB470" s="6">
        <f>$T470*AA470</f>
        <v/>
      </c>
      <c r="AC470" s="7" t="n">
        <v>0</v>
      </c>
      <c r="AD470" s="6">
        <f>$T470*AC470</f>
        <v/>
      </c>
      <c r="AE470" s="7" t="n">
        <v>0</v>
      </c>
      <c r="AF470" s="6">
        <f>$T470*AE470</f>
        <v/>
      </c>
      <c r="AG470" s="7" t="n">
        <v>0</v>
      </c>
      <c r="AH470" s="6">
        <f>$T470*AG470</f>
        <v/>
      </c>
      <c r="AI470" s="7">
        <f>U470+W470+Y470+AA470+AC470+AE470+AG470</f>
        <v/>
      </c>
      <c r="AJ470" s="6">
        <f>V470+X470+Z470+AB470+AD470+AF470+AH470</f>
        <v/>
      </c>
    </row>
    <row r="471" ht="60" customHeight="1" s="35">
      <c r="A471" s="3" t="inlineStr">
        <is>
          <t>LOM252.OC.EEA.PA02.G7424.SC009.0515</t>
        </is>
      </c>
      <c r="B471" s="4" t="inlineStr">
        <is>
          <t>2/3</t>
        </is>
      </c>
      <c r="C471" s="3" t="inlineStr">
        <is>
          <t>IMPIANTO ELETTRICO</t>
        </is>
      </c>
      <c r="D471" s="4" t="inlineStr">
        <is>
          <t>NON SPECIALE</t>
        </is>
      </c>
      <c r="E471" s="4" t="inlineStr">
        <is>
          <t>ELETTRICHE</t>
        </is>
      </c>
      <c r="F471" s="3" t="inlineStr">
        <is>
          <t>3_CME IE RADIOFARMACIA PAVIA - REV02 VARIANTE ESECUTIVA.PDF</t>
        </is>
      </c>
      <c r="G471" s="4" t="inlineStr">
        <is>
          <t>172/172</t>
        </is>
      </c>
      <c r="H471" s="3" t="inlineStr">
        <is>
          <t>40 - IMPIANTISTICO</t>
        </is>
      </c>
      <c r="I471" s="3" t="inlineStr">
        <is>
          <t>RADIOFARMACIA</t>
        </is>
      </c>
      <c r="J471" s="3" t="inlineStr">
        <is>
          <t>DISTRIBUZIONE PRINCIPALE BT</t>
        </is>
      </c>
      <c r="K471" s="3" t="inlineStr">
        <is>
          <t xml:space="preserve">OPERA: CAVO, FG16OM16 DI LEGA RAME RICOTTO; GEOMETRIA: FLESSIBILE; SEZIONE NOMINALE [MM²] = 35; TENSIONE NOMINALE [KV] = 0,6/1; N° POLI [-] = 1P. </t>
        </is>
      </c>
      <c r="L471" s="3" t="inlineStr">
        <is>
          <t>OPERA: CAVO, FG16OM16 DI LEGA RAME RICOTTO; GEOMETRIA: FLESSIBILE; SEZIONE NOMINALE [MM²] = 35; TENSIONE NOMINALE [KV] = 0,6/1; N° POLI [-] = 1P. 
LAVORO: POSA. OP CAVO, FG16OM16 DI LEGA RAME RICOTTO; GEOMETRIA: FLESSIBILE; SEZIONE NOMINALE [MM²] = 35; TENSIONE NOMINALE UO/U [KV] = 0,6/1; N° POLI [-] = 1P. 
RM CAVO FG16OM16 DI LEGA RAME RICOTTO; GEOMETRIA: FLESSIBILE; SEZIONE NOMINALE [MM²] = 35; TENSIONE NOMINALE UO/U [KV] = 0,6/1; N° POLI [-] = 1P. COMPONENTI: ISOLANTE, GUAINA TERMOPLASTICA, RIVESTIMENTO INTERNO 
LV POSA.
[DIMENSIONI: 4,00 25,00]</t>
        </is>
      </c>
      <c r="M471" s="4" t="inlineStr">
        <is>
          <t>M</t>
        </is>
      </c>
      <c r="N471" s="5" t="n">
        <v>100</v>
      </c>
      <c r="O471" s="6" t="n">
        <v>9.15</v>
      </c>
      <c r="P471" s="6" t="n">
        <v>915</v>
      </c>
      <c r="Q471" s="5" t="n"/>
      <c r="R471" s="6" t="n"/>
      <c r="S471" s="6">
        <f>IF(AND(Q471&lt;&gt;"",R471&lt;&gt;""),Q471*R471,"")</f>
        <v/>
      </c>
      <c r="T471" s="6">
        <f>IF(S471="",P471,S471)</f>
        <v/>
      </c>
      <c r="U471" s="7" t="n">
        <v>0</v>
      </c>
      <c r="V471" s="6">
        <f>$T471*U471</f>
        <v/>
      </c>
      <c r="W471" s="7" t="n">
        <v>0.4</v>
      </c>
      <c r="X471" s="6">
        <f>$T471*W471</f>
        <v/>
      </c>
      <c r="Y471" s="7" t="n">
        <v>0</v>
      </c>
      <c r="Z471" s="6">
        <f>$T471*Y471</f>
        <v/>
      </c>
      <c r="AA471" s="7" t="n">
        <v>0</v>
      </c>
      <c r="AB471" s="6">
        <f>$T471*AA471</f>
        <v/>
      </c>
      <c r="AC471" s="7" t="n">
        <v>0</v>
      </c>
      <c r="AD471" s="6">
        <f>$T471*AC471</f>
        <v/>
      </c>
      <c r="AE471" s="7" t="n">
        <v>0</v>
      </c>
      <c r="AF471" s="6">
        <f>$T471*AE471</f>
        <v/>
      </c>
      <c r="AG471" s="7" t="n">
        <v>0</v>
      </c>
      <c r="AH471" s="6">
        <f>$T471*AG471</f>
        <v/>
      </c>
      <c r="AI471" s="7">
        <f>U471+W471+Y471+AA471+AC471+AE471+AG471</f>
        <v/>
      </c>
      <c r="AJ471" s="6">
        <f>V471+X471+Z471+AB471+AD471+AF471+AH471</f>
        <v/>
      </c>
    </row>
    <row r="472" ht="60" customHeight="1" s="35">
      <c r="A472" s="3" t="inlineStr">
        <is>
          <t>LOM252.OC.EEA.PA02.G7424.SC009.0530</t>
        </is>
      </c>
      <c r="B472" s="4" t="inlineStr">
        <is>
          <t>1/1</t>
        </is>
      </c>
      <c r="C472" s="3" t="inlineStr">
        <is>
          <t>IMPIANTO ELETTRICO</t>
        </is>
      </c>
      <c r="D472" s="4" t="inlineStr">
        <is>
          <t>NON SPECIALE</t>
        </is>
      </c>
      <c r="E472" s="4" t="inlineStr">
        <is>
          <t>ELETTRICHE</t>
        </is>
      </c>
      <c r="F472" s="3" t="inlineStr">
        <is>
          <t>3_CME IE RADIOFARMACIA PAVIA - REV02 VARIANTE ESECUTIVA.PDF</t>
        </is>
      </c>
      <c r="G472" s="4" t="inlineStr">
        <is>
          <t>173/173</t>
        </is>
      </c>
      <c r="H472" s="3" t="inlineStr">
        <is>
          <t>40 - IMPIANTISTICO</t>
        </is>
      </c>
      <c r="I472" s="3" t="inlineStr">
        <is>
          <t>RADIOFARMACIA</t>
        </is>
      </c>
      <c r="J472" s="3" t="inlineStr">
        <is>
          <t>DISTRIBUZIONE PRINCIPALE BT</t>
        </is>
      </c>
      <c r="K472" s="3" t="inlineStr">
        <is>
          <t xml:space="preserve">OPERA: CAVO, FG16OM16 DI LEGA RAME RICOTTO; GEOMETRIA: FLESSIBILE; SEZIONE NOMINALE [MM²] = 95; TENSIONE NOMINALE [KV] = 0,6/1; N° POLI [-] = 1P. </t>
        </is>
      </c>
      <c r="L472" s="3" t="inlineStr">
        <is>
          <t>OPERA: CAVO, FG16OM16 DI LEGA RAME RICOTTO; GEOMETRIA: FLESSIBILE; SEZIONE NOMINALE [MM²] = 95; TENSIONE NOMINALE [KV] = 0,6/1; N° POLI [-] = 1P. 
LAVORO: POSA. OP CAVO, FG16OM16 DI LEGA RAME RICOTTO; GEOMETRIA: FLESSIBILE; SEZIONE NOMINALE [MM²] = 95; TENSIONE NOMINALE UO/U [KV] = 0,6/1; N° POLI [-] = 1P. 
RM CAVO FG16OM16 DI LEGA RAME RICOTTO; GEOMETRIA: FLESSIBILE; SEZIONE NOMINALE [MM²] = 95; TENSIONE NOMINALE UO/U [KV] = 0,6/1; N° POLI [-] = 1P. COMPONENTI: ISOLANTE, GUAINA TERMOPLASTICA, RIVESTIMENTO INTERNO 
LV POSA.
[DIMENSIONI: 4,00 30,00]</t>
        </is>
      </c>
      <c r="M472" s="4" t="inlineStr">
        <is>
          <t>M</t>
        </is>
      </c>
      <c r="N472" s="5" t="n">
        <v>120</v>
      </c>
      <c r="O472" s="6" t="n">
        <v>21.84</v>
      </c>
      <c r="P472" s="6" t="n">
        <v>2620.8</v>
      </c>
      <c r="Q472" s="5" t="n"/>
      <c r="R472" s="6" t="n"/>
      <c r="S472" s="6">
        <f>IF(AND(Q472&lt;&gt;"",R472&lt;&gt;""),Q472*R472,"")</f>
        <v/>
      </c>
      <c r="T472" s="6">
        <f>IF(S472="",P472,S472)</f>
        <v/>
      </c>
      <c r="U472" s="7" t="n">
        <v>0</v>
      </c>
      <c r="V472" s="6">
        <f>$T472*U472</f>
        <v/>
      </c>
      <c r="W472" s="7" t="n">
        <v>0.4</v>
      </c>
      <c r="X472" s="6">
        <f>$T472*W472</f>
        <v/>
      </c>
      <c r="Y472" s="7" t="n">
        <v>0</v>
      </c>
      <c r="Z472" s="6">
        <f>$T472*Y472</f>
        <v/>
      </c>
      <c r="AA472" s="7" t="n">
        <v>0</v>
      </c>
      <c r="AB472" s="6">
        <f>$T472*AA472</f>
        <v/>
      </c>
      <c r="AC472" s="7" t="n">
        <v>0</v>
      </c>
      <c r="AD472" s="6">
        <f>$T472*AC472</f>
        <v/>
      </c>
      <c r="AE472" s="7" t="n">
        <v>0</v>
      </c>
      <c r="AF472" s="6">
        <f>$T472*AE472</f>
        <v/>
      </c>
      <c r="AG472" s="7" t="n">
        <v>0</v>
      </c>
      <c r="AH472" s="6">
        <f>$T472*AG472</f>
        <v/>
      </c>
      <c r="AI472" s="7">
        <f>U472+W472+Y472+AA472+AC472+AE472+AG472</f>
        <v/>
      </c>
      <c r="AJ472" s="6">
        <f>V472+X472+Z472+AB472+AD472+AF472+AH472</f>
        <v/>
      </c>
    </row>
    <row r="473" ht="60" customHeight="1" s="35">
      <c r="A473" s="3" t="inlineStr">
        <is>
          <t>LOM252.OC.EEA.PA02.G7424.SC009.0540</t>
        </is>
      </c>
      <c r="B473" s="4" t="inlineStr">
        <is>
          <t>2/2</t>
        </is>
      </c>
      <c r="C473" s="3" t="inlineStr">
        <is>
          <t>IMPIANTO ELETTRICO</t>
        </is>
      </c>
      <c r="D473" s="4" t="inlineStr">
        <is>
          <t>NON SPECIALE</t>
        </is>
      </c>
      <c r="E473" s="4" t="inlineStr">
        <is>
          <t>ELETTRICHE</t>
        </is>
      </c>
      <c r="F473" s="3" t="inlineStr">
        <is>
          <t>3_CME IE RADIOFARMACIA PAVIA - REV02 VARIANTE ESECUTIVA.PDF</t>
        </is>
      </c>
      <c r="G473" s="4" t="inlineStr">
        <is>
          <t>174/174</t>
        </is>
      </c>
      <c r="H473" s="3" t="inlineStr">
        <is>
          <t>40 - IMPIANTISTICO</t>
        </is>
      </c>
      <c r="I473" s="3" t="inlineStr">
        <is>
          <t>RADIOFARMACIA</t>
        </is>
      </c>
      <c r="J473" s="3" t="inlineStr">
        <is>
          <t>DISTRIBUZIONE PRINCIPALE BT</t>
        </is>
      </c>
      <c r="K473" s="3" t="inlineStr">
        <is>
          <t xml:space="preserve">OPERA: CAVO, FG16OM16 DI LEGA RAME RICOTTO; GEOMETRIA: FLESSIBILE; SEZIONE NOMINALE [MM²] = 150; TENSIONE NOMINALE [KV] = 0,6/1; N° POLI [-] = 1P. </t>
        </is>
      </c>
      <c r="L473" s="3" t="inlineStr">
        <is>
          <t>OPERA: CAVO, FG16OM16 DI LEGA RAME RICOTTO; GEOMETRIA: FLESSIBILE; SEZIONE NOMINALE [MM²] = 150; TENSIONE NOMINALE [KV] = 0,6/1; N° POLI [-] = 1P. 
LAVORO: POSA. OP CAVO, FG16OM16 DI LEGA RAME RICOTTO; GEOMETRIA: FLESSIBILE; SEZIONE NOMINALE [MM²] = 150; TENSIONE NOMINALE UO/U [KV] = 0,6/1; N° POLI [-] = 1P. 
RM CAVO FG16OM16 DI LEGA RAME RICOTTO; GEOMETRIA: FLESSIBILE; SEZIONE NOMINALE [MM²] = 150; TENSIONE NOMINALE UO/U [KV] = 0,6/1; N° POLI [-] = 1P. COMPONENTI: ISOLANTE, GUAINA TERMOPLASTICA, RIVESTIMENTO INTERNO 
LV POSA.
[DIMENSIONI: 4,00 25,00 | -100,00]</t>
        </is>
      </c>
      <c r="M473" s="4" t="inlineStr">
        <is>
          <t>M</t>
        </is>
      </c>
      <c r="N473" s="5" t="n">
        <v>0</v>
      </c>
      <c r="O473" s="6" t="n">
        <v>0</v>
      </c>
      <c r="P473" s="6" t="n">
        <v>0</v>
      </c>
      <c r="Q473" s="5" t="n"/>
      <c r="R473" s="6" t="n"/>
      <c r="S473" s="6">
        <f>IF(AND(Q473&lt;&gt;"",R473&lt;&gt;""),Q473*R473,"")</f>
        <v/>
      </c>
      <c r="T473" s="6">
        <f>IF(S473="",P473,S473)</f>
        <v/>
      </c>
      <c r="U473" s="7" t="n">
        <v>0</v>
      </c>
      <c r="V473" s="6">
        <f>$T473*U473</f>
        <v/>
      </c>
      <c r="W473" s="7" t="n">
        <v>0</v>
      </c>
      <c r="X473" s="6">
        <f>$T473*W473</f>
        <v/>
      </c>
      <c r="Y473" s="7" t="n">
        <v>0</v>
      </c>
      <c r="Z473" s="6">
        <f>$T473*Y473</f>
        <v/>
      </c>
      <c r="AA473" s="7" t="n">
        <v>0</v>
      </c>
      <c r="AB473" s="6">
        <f>$T473*AA473</f>
        <v/>
      </c>
      <c r="AC473" s="7" t="n">
        <v>0</v>
      </c>
      <c r="AD473" s="6">
        <f>$T473*AC473</f>
        <v/>
      </c>
      <c r="AE473" s="7" t="n">
        <v>0</v>
      </c>
      <c r="AF473" s="6">
        <f>$T473*AE473</f>
        <v/>
      </c>
      <c r="AG473" s="7" t="n">
        <v>0</v>
      </c>
      <c r="AH473" s="6">
        <f>$T473*AG473</f>
        <v/>
      </c>
      <c r="AI473" s="7">
        <f>U473+W473+Y473+AA473+AC473+AE473+AG473</f>
        <v/>
      </c>
      <c r="AJ473" s="6">
        <f>V473+X473+Z473+AB473+AD473+AF473+AH473</f>
        <v/>
      </c>
    </row>
    <row r="474" ht="60" customHeight="1" s="35">
      <c r="A474" s="3" t="inlineStr">
        <is>
          <t>LOM252.OC.EEA.PA02.G7424.SC009.0545</t>
        </is>
      </c>
      <c r="B474" s="4" t="inlineStr">
        <is>
          <t>3/3</t>
        </is>
      </c>
      <c r="C474" s="3" t="inlineStr">
        <is>
          <t>IMPIANTO ELETTRICO</t>
        </is>
      </c>
      <c r="D474" s="4" t="inlineStr">
        <is>
          <t>NON SPECIALE</t>
        </is>
      </c>
      <c r="E474" s="4" t="inlineStr">
        <is>
          <t>ELETTRICHE</t>
        </is>
      </c>
      <c r="F474" s="3" t="inlineStr">
        <is>
          <t>3_CME IE RADIOFARMACIA PAVIA - REV02 VARIANTE ESECUTIVA.PDF</t>
        </is>
      </c>
      <c r="G474" s="4" t="inlineStr">
        <is>
          <t>175/175</t>
        </is>
      </c>
      <c r="H474" s="3" t="inlineStr">
        <is>
          <t>40 - IMPIANTISTICO</t>
        </is>
      </c>
      <c r="I474" s="3" t="inlineStr">
        <is>
          <t>RADIOFARMACIA</t>
        </is>
      </c>
      <c r="J474" s="3" t="inlineStr">
        <is>
          <t>DISTRIBUZIONE PRINCIPALE BT</t>
        </is>
      </c>
      <c r="K474" s="3" t="inlineStr">
        <is>
          <t xml:space="preserve">OPERA: CAVO, FG16OM16 DI LEGA RAME RICOTTO; GEOMETRIA: FLESSIBILE; SEZIONE NOMINALE [MM²] = 185; TENSIONE NOMINALE [KV] = 0,6/1; N° POLI [-] = 1P. </t>
        </is>
      </c>
      <c r="L474" s="3" t="inlineStr">
        <is>
          <t>OPERA: CAVO, FG16OM16 DI LEGA RAME RICOTTO; GEOMETRIA: FLESSIBILE; SEZIONE NOMINALE [MM²] = 185; TENSIONE NOMINALE [KV] = 0,6/1; N° POLI [-] = 1P. 
LAVORO: POSA. OP CAVO, FG16OM16 DI LEGA RAME RICOTTO; GEOMETRIA: FLESSIBILE; SEZIONE NOMINALE [MM²] = 185; TENSIONE NOMINALE UO/U [KV] = 0,6/1; N° POLI [-] = 1P. 
RM CAVO FG16OM16 DI LEGA RAME RICOTTO; GEOMETRIA: FLESSIBILE; SEZIONE NOMINALE [MM²] = 185; TENSIONE NOMINALE UO/U [KV] = 0,6/1; N° POLI [-] = 1P. COMPONENTI: ISOLANTE, GUAINA TERMOPLASTICA, RIVESTIMENTO INTERNO 
LV POSA.
[DIMENSIONI: 4,00 25,00]</t>
        </is>
      </c>
      <c r="M474" s="4" t="inlineStr">
        <is>
          <t>M</t>
        </is>
      </c>
      <c r="N474" s="5" t="n">
        <v>100</v>
      </c>
      <c r="O474" s="6" t="n">
        <v>35.78</v>
      </c>
      <c r="P474" s="6" t="n">
        <v>3578</v>
      </c>
      <c r="Q474" s="5" t="n"/>
      <c r="R474" s="6" t="n"/>
      <c r="S474" s="6">
        <f>IF(AND(Q474&lt;&gt;"",R474&lt;&gt;""),Q474*R474,"")</f>
        <v/>
      </c>
      <c r="T474" s="6">
        <f>IF(S474="",P474,S474)</f>
        <v/>
      </c>
      <c r="U474" s="7" t="n">
        <v>0</v>
      </c>
      <c r="V474" s="6">
        <f>$T474*U474</f>
        <v/>
      </c>
      <c r="W474" s="7" t="n">
        <v>0.4</v>
      </c>
      <c r="X474" s="6">
        <f>$T474*W474</f>
        <v/>
      </c>
      <c r="Y474" s="7" t="n">
        <v>0</v>
      </c>
      <c r="Z474" s="6">
        <f>$T474*Y474</f>
        <v/>
      </c>
      <c r="AA474" s="7" t="n">
        <v>0</v>
      </c>
      <c r="AB474" s="6">
        <f>$T474*AA474</f>
        <v/>
      </c>
      <c r="AC474" s="7" t="n">
        <v>0</v>
      </c>
      <c r="AD474" s="6">
        <f>$T474*AC474</f>
        <v/>
      </c>
      <c r="AE474" s="7" t="n">
        <v>0</v>
      </c>
      <c r="AF474" s="6">
        <f>$T474*AE474</f>
        <v/>
      </c>
      <c r="AG474" s="7" t="n">
        <v>0</v>
      </c>
      <c r="AH474" s="6">
        <f>$T474*AG474</f>
        <v/>
      </c>
      <c r="AI474" s="7">
        <f>U474+W474+Y474+AA474+AC474+AE474+AG474</f>
        <v/>
      </c>
      <c r="AJ474" s="6">
        <f>V474+X474+Z474+AB474+AD474+AF474+AH474</f>
        <v/>
      </c>
    </row>
    <row r="475" ht="60" customHeight="1" s="35">
      <c r="A475" s="3" t="inlineStr">
        <is>
          <t>LOM252.OC.EEA.PA02.G7424.SC009.0745</t>
        </is>
      </c>
      <c r="B475" s="4" t="inlineStr">
        <is>
          <t>1/1</t>
        </is>
      </c>
      <c r="C475" s="3" t="inlineStr">
        <is>
          <t>IMPIANTO ELETTRICO</t>
        </is>
      </c>
      <c r="D475" s="4" t="inlineStr">
        <is>
          <t>NON SPECIALE</t>
        </is>
      </c>
      <c r="E475" s="4" t="inlineStr">
        <is>
          <t>ELETTRICHE</t>
        </is>
      </c>
      <c r="F475" s="3" t="inlineStr">
        <is>
          <t>3_CME IE RADIOFARMACIA PAVIA - REV02 VARIANTE ESECUTIVA.PDF</t>
        </is>
      </c>
      <c r="G475" s="4" t="inlineStr">
        <is>
          <t>176/176</t>
        </is>
      </c>
      <c r="H475" s="3" t="inlineStr">
        <is>
          <t>40 - IMPIANTISTICO</t>
        </is>
      </c>
      <c r="I475" s="3" t="inlineStr">
        <is>
          <t>RADIOFARMACIA</t>
        </is>
      </c>
      <c r="J475" s="3" t="inlineStr">
        <is>
          <t>DISTRIBUZIONE PRINCIPALE BT</t>
        </is>
      </c>
      <c r="K475" s="3" t="inlineStr">
        <is>
          <t xml:space="preserve">OPERA: CAVO, FG16OM16 DI LEGA RAME RICOTTO; GEOMETRIA: FLESSIBILE; SEZIONE NOMINALE [MM²] = 5X25; TENSIONE NOMINALE [KV] = 0,6/1; N° POLI [-] = 4/5P. </t>
        </is>
      </c>
      <c r="L475" s="3" t="inlineStr">
        <is>
          <t>OPERA: CAVO, FG16OM16 DI LEGA RAME RICOTTO; GEOMETRIA: FLESSIBILE; SEZIONE NOMINALE [MM²] = 5X25; TENSIONE NOMINALE [KV] = 0,6/1; N° POLI [-] = 4/5P. 
LAVORO: POSA. OP CAVO, FG16OM16 DI LEGA RAME RICOTTO; GEOMETRIA: FLESSIBILE; SEZIONE NOMINALE [MM²] = 5X25; TENSIONE NOMINALE UO/U [KV] = 0,6/1; N° POLI [-] = 4/5P. 
RM CAVO FG16OM16 DI LEGA RAME RICOTTO; GEOMETRIA: FLESSIBILE; SEZIONE NOMINALE [MM²] = 5X25; TENSIONE NOMINALE UO/U [KV] = 0,6/1; N° POLI [-] = 4/5P. COMPONENTI: ISOLANTE, GUAINA TERMOPLASTICA 
LV POSA.
[DIMENSIONI: 1,00 20,00 | 1,00 35,00 | 1,00 35,00 | 1,00 35,00]</t>
        </is>
      </c>
      <c r="M475" s="4" t="inlineStr">
        <is>
          <t>M</t>
        </is>
      </c>
      <c r="N475" s="5" t="n">
        <v>125</v>
      </c>
      <c r="O475" s="6" t="n">
        <v>35.31</v>
      </c>
      <c r="P475" s="6" t="n">
        <v>4413.75</v>
      </c>
      <c r="Q475" s="5" t="n"/>
      <c r="R475" s="6" t="n"/>
      <c r="S475" s="6">
        <f>IF(AND(Q475&lt;&gt;"",R475&lt;&gt;""),Q475*R475,"")</f>
        <v/>
      </c>
      <c r="T475" s="6">
        <f>IF(S475="",P475,S475)</f>
        <v/>
      </c>
      <c r="U475" s="7" t="n">
        <v>0</v>
      </c>
      <c r="V475" s="6">
        <f>$T475*U475</f>
        <v/>
      </c>
      <c r="W475" s="7" t="n">
        <v>0.4</v>
      </c>
      <c r="X475" s="6">
        <f>$T475*W475</f>
        <v/>
      </c>
      <c r="Y475" s="7" t="n">
        <v>0</v>
      </c>
      <c r="Z475" s="6">
        <f>$T475*Y475</f>
        <v/>
      </c>
      <c r="AA475" s="7" t="n">
        <v>0</v>
      </c>
      <c r="AB475" s="6">
        <f>$T475*AA475</f>
        <v/>
      </c>
      <c r="AC475" s="7" t="n">
        <v>0</v>
      </c>
      <c r="AD475" s="6">
        <f>$T475*AC475</f>
        <v/>
      </c>
      <c r="AE475" s="7" t="n">
        <v>0</v>
      </c>
      <c r="AF475" s="6">
        <f>$T475*AE475</f>
        <v/>
      </c>
      <c r="AG475" s="7" t="n">
        <v>0</v>
      </c>
      <c r="AH475" s="6">
        <f>$T475*AG475</f>
        <v/>
      </c>
      <c r="AI475" s="7">
        <f>U475+W475+Y475+AA475+AC475+AE475+AG475</f>
        <v/>
      </c>
      <c r="AJ475" s="6">
        <f>V475+X475+Z475+AB475+AD475+AF475+AH475</f>
        <v/>
      </c>
    </row>
    <row r="476" ht="60" customHeight="1" s="35">
      <c r="A476" s="3" t="inlineStr">
        <is>
          <t>LOM252.OC.EEA.PA02.G7424.SC009.0610</t>
        </is>
      </c>
      <c r="B476" s="4" t="inlineStr">
        <is>
          <t>4/5</t>
        </is>
      </c>
      <c r="C476" s="3" t="inlineStr">
        <is>
          <t>IMPIANTO ELETTRICO</t>
        </is>
      </c>
      <c r="D476" s="4" t="inlineStr">
        <is>
          <t>NON SPECIALE</t>
        </is>
      </c>
      <c r="E476" s="4" t="inlineStr">
        <is>
          <t>ELETTRICHE</t>
        </is>
      </c>
      <c r="F476" s="3" t="inlineStr">
        <is>
          <t>3_CME IE RADIOFARMACIA PAVIA - REV02 VARIANTE ESECUTIVA.PDF</t>
        </is>
      </c>
      <c r="G476" s="4" t="inlineStr">
        <is>
          <t>177/177</t>
        </is>
      </c>
      <c r="H476" s="3" t="inlineStr">
        <is>
          <t>40 - IMPIANTISTICO</t>
        </is>
      </c>
      <c r="I476" s="3" t="inlineStr">
        <is>
          <t>RADIOFARMACIA</t>
        </is>
      </c>
      <c r="J476" s="3" t="inlineStr">
        <is>
          <t>DISTRIBUZIONE SECONDARIA</t>
        </is>
      </c>
      <c r="K476" s="3" t="inlineStr">
        <is>
          <t xml:space="preserve">OPERA: CAVO, FG16OM16 DI LEGA RAME RICOTTO; GEOMETRIA: FLESSIBILE; SEZIONE NOMINALE [MM²] = 3X2,5; TENSIONE NOMINALE [KV] = 0,6/1; N° POLI [-] = 3P. </t>
        </is>
      </c>
      <c r="L476" s="3" t="inlineStr">
        <is>
          <t>OPERA: CAVO, FG16OM16 DI LEGA RAME RICOTTO; GEOMETRIA: FLESSIBILE; SEZIONE NOMINALE [MM²] = 3X2,5; TENSIONE NOMINALE [KV] = 0,6/1; N° POLI [-] = 3P. 
LAVORO: POSA. OP CAVO, FG16OM16 DI LEGA RAME RICOTTO; GEOMETRIA: FLESSIBILE; SEZIONE NOMINALE [MM²] = 3X2,5; TENSIONE NOMINALE UO/U [KV] = 0,6/1; N° POLI [-] = 3P. 
RM CAVO FG16OM16 DI LEGA RAME RICOTTO; GEOMETRIA: FLESSIBILE; SEZIONE NOMINALE [MM²] = 3X2,5; TENSIONE NOMINALE UO/U [KV] = 0,6/1; N° POLI [-] = 3P. COMPONENTI: ISOLANTE, GUAINA TERMOPLASTICA 
LV POSA.
[DIMENSIONI: 320,00 | 350,00]</t>
        </is>
      </c>
      <c r="M476" s="4" t="inlineStr">
        <is>
          <t>M</t>
        </is>
      </c>
      <c r="N476" s="5" t="n">
        <v>670</v>
      </c>
      <c r="O476" s="6" t="n">
        <v>4.63</v>
      </c>
      <c r="P476" s="6" t="n">
        <v>3102.1</v>
      </c>
      <c r="Q476" s="5" t="n"/>
      <c r="R476" s="6" t="n"/>
      <c r="S476" s="6">
        <f>IF(AND(Q476&lt;&gt;"",R476&lt;&gt;""),Q476*R476,"")</f>
        <v/>
      </c>
      <c r="T476" s="6">
        <f>IF(S476="",P476,S476)</f>
        <v/>
      </c>
      <c r="U476" s="7" t="n">
        <v>0</v>
      </c>
      <c r="V476" s="6">
        <f>$T476*U476</f>
        <v/>
      </c>
      <c r="W476" s="7" t="n">
        <v>0.4</v>
      </c>
      <c r="X476" s="6">
        <f>$T476*W476</f>
        <v/>
      </c>
      <c r="Y476" s="7" t="n">
        <v>0</v>
      </c>
      <c r="Z476" s="6">
        <f>$T476*Y476</f>
        <v/>
      </c>
      <c r="AA476" s="7" t="n">
        <v>0</v>
      </c>
      <c r="AB476" s="6">
        <f>$T476*AA476</f>
        <v/>
      </c>
      <c r="AC476" s="7" t="n">
        <v>0</v>
      </c>
      <c r="AD476" s="6">
        <f>$T476*AC476</f>
        <v/>
      </c>
      <c r="AE476" s="7" t="n">
        <v>0</v>
      </c>
      <c r="AF476" s="6">
        <f>$T476*AE476</f>
        <v/>
      </c>
      <c r="AG476" s="7" t="n">
        <v>0</v>
      </c>
      <c r="AH476" s="6">
        <f>$T476*AG476</f>
        <v/>
      </c>
      <c r="AI476" s="7">
        <f>U476+W476+Y476+AA476+AC476+AE476+AG476</f>
        <v/>
      </c>
      <c r="AJ476" s="6">
        <f>V476+X476+Z476+AB476+AD476+AF476+AH476</f>
        <v/>
      </c>
    </row>
    <row r="477" ht="60" customHeight="1" s="35">
      <c r="A477" s="3" t="inlineStr">
        <is>
          <t>LOM252.OC.EEA.PA02.G7424.SC009.0615</t>
        </is>
      </c>
      <c r="B477" s="4" t="inlineStr">
        <is>
          <t>4/5</t>
        </is>
      </c>
      <c r="C477" s="3" t="inlineStr">
        <is>
          <t>IMPIANTO ELETTRICO</t>
        </is>
      </c>
      <c r="D477" s="4" t="inlineStr">
        <is>
          <t>NON SPECIALE</t>
        </is>
      </c>
      <c r="E477" s="4" t="inlineStr">
        <is>
          <t>ELETTRICHE</t>
        </is>
      </c>
      <c r="F477" s="3" t="inlineStr">
        <is>
          <t>3_CME IE RADIOFARMACIA PAVIA - REV02 VARIANTE ESECUTIVA.PDF</t>
        </is>
      </c>
      <c r="G477" s="4" t="inlineStr">
        <is>
          <t>178/178</t>
        </is>
      </c>
      <c r="H477" s="3" t="inlineStr">
        <is>
          <t>40 - IMPIANTISTICO</t>
        </is>
      </c>
      <c r="I477" s="3" t="inlineStr">
        <is>
          <t>RADIOFARMACIA</t>
        </is>
      </c>
      <c r="J477" s="3" t="inlineStr">
        <is>
          <t>DISTRIBUZIONE SECONDARIA</t>
        </is>
      </c>
      <c r="K477" s="3" t="inlineStr">
        <is>
          <t xml:space="preserve">OPERA: CAVO, FG16OM16 DI LEGA RAME RICOTTO; GEOMETRIA: FLESSIBILE; SEZIONE NOMINALE [MM²] = 3X4; TENSIONE NOMINALE [KV] = 0,6/1; N° POLI [-] = 3P. </t>
        </is>
      </c>
      <c r="L477" s="3" t="inlineStr">
        <is>
          <t>OPERA: CAVO, FG16OM16 DI LEGA RAME RICOTTO; GEOMETRIA: FLESSIBILE; SEZIONE NOMINALE [MM²] = 3X4; TENSIONE NOMINALE [KV] = 0,6/1; N° POLI [-] = 3P. 
LAVORO: POSA. OP CAVO, FG16OM16 DI LEGA RAME RICOTTO; GEOMETRIA: FLESSIBILE; SEZIONE NOMINALE [MM²] = 3X4; TENSIONE NOMINALE UO/U [KV] = 0,6/1; N° POLI [-] = 3P. 
RM CAVO FG16OM16 DI LEGA RAME RICOTTO; GEOMETRIA: FLESSIBILE; SEZIONE NOMINALE [MM²] = 3X4; TENSIONE NOMINALE UO/U [KV] = 0,6/1; N° POLI [-] = 3P. COMPONENTI: ISOLANTE, GUAINA TERMOPLASTICA 
LV POSA.
[DIMENSIONI: 250,00 | 285,00]</t>
        </is>
      </c>
      <c r="M477" s="4" t="inlineStr">
        <is>
          <t>M</t>
        </is>
      </c>
      <c r="N477" s="5" t="n">
        <v>535</v>
      </c>
      <c r="O477" s="6" t="n">
        <v>5.44</v>
      </c>
      <c r="P477" s="6" t="n">
        <v>2910.4</v>
      </c>
      <c r="Q477" s="5" t="n"/>
      <c r="R477" s="6" t="n"/>
      <c r="S477" s="6">
        <f>IF(AND(Q477&lt;&gt;"",R477&lt;&gt;""),Q477*R477,"")</f>
        <v/>
      </c>
      <c r="T477" s="6">
        <f>IF(S477="",P477,S477)</f>
        <v/>
      </c>
      <c r="U477" s="7" t="n">
        <v>0</v>
      </c>
      <c r="V477" s="6">
        <f>$T477*U477</f>
        <v/>
      </c>
      <c r="W477" s="7" t="n">
        <v>0.4</v>
      </c>
      <c r="X477" s="6">
        <f>$T477*W477</f>
        <v/>
      </c>
      <c r="Y477" s="7" t="n">
        <v>0</v>
      </c>
      <c r="Z477" s="6">
        <f>$T477*Y477</f>
        <v/>
      </c>
      <c r="AA477" s="7" t="n">
        <v>0</v>
      </c>
      <c r="AB477" s="6">
        <f>$T477*AA477</f>
        <v/>
      </c>
      <c r="AC477" s="7" t="n">
        <v>0</v>
      </c>
      <c r="AD477" s="6">
        <f>$T477*AC477</f>
        <v/>
      </c>
      <c r="AE477" s="7" t="n">
        <v>0</v>
      </c>
      <c r="AF477" s="6">
        <f>$T477*AE477</f>
        <v/>
      </c>
      <c r="AG477" s="7" t="n">
        <v>0</v>
      </c>
      <c r="AH477" s="6">
        <f>$T477*AG477</f>
        <v/>
      </c>
      <c r="AI477" s="7">
        <f>U477+W477+Y477+AA477+AC477+AE477+AG477</f>
        <v/>
      </c>
      <c r="AJ477" s="6">
        <f>V477+X477+Z477+AB477+AD477+AF477+AH477</f>
        <v/>
      </c>
    </row>
    <row r="478" ht="60" customHeight="1" s="35">
      <c r="A478" s="3" t="inlineStr">
        <is>
          <t>LOM252.OC.EEA.PA02.G7424.SC009.0725</t>
        </is>
      </c>
      <c r="B478" s="4" t="inlineStr">
        <is>
          <t>1/1</t>
        </is>
      </c>
      <c r="C478" s="3" t="inlineStr">
        <is>
          <t>IMPIANTO ELETTRICO</t>
        </is>
      </c>
      <c r="D478" s="4" t="inlineStr">
        <is>
          <t>NON SPECIALE</t>
        </is>
      </c>
      <c r="E478" s="4" t="inlineStr">
        <is>
          <t>ELETTRICHE</t>
        </is>
      </c>
      <c r="F478" s="3" t="inlineStr">
        <is>
          <t>3_CME IE RADIOFARMACIA PAVIA - REV02 VARIANTE ESECUTIVA.PDF</t>
        </is>
      </c>
      <c r="G478" s="4" t="inlineStr">
        <is>
          <t>179/179</t>
        </is>
      </c>
      <c r="H478" s="3" t="inlineStr">
        <is>
          <t>40 - IMPIANTISTICO</t>
        </is>
      </c>
      <c r="I478" s="3" t="inlineStr">
        <is>
          <t>RADIOFARMACIA</t>
        </is>
      </c>
      <c r="J478" s="3" t="inlineStr">
        <is>
          <t>DISTRIBUZIONE SECONDARIA</t>
        </is>
      </c>
      <c r="K478" s="3" t="inlineStr">
        <is>
          <t xml:space="preserve">OPERA: CAVO, FG16OM16 DI LEGA RAME RICOTTO; GEOMETRIA: FLESSIBILE; SEZIONE NOMINALE [MM²] = 5X4; TENSIONE NOMINALE [KV] = 0,6/1; N° POLI [-] = 4/5P. </t>
        </is>
      </c>
      <c r="L478" s="3" t="inlineStr">
        <is>
          <t>OPERA: CAVO, FG16OM16 DI LEGA RAME RICOTTO; GEOMETRIA: FLESSIBILE; SEZIONE NOMINALE [MM²] = 5X4; TENSIONE NOMINALE [KV] = 0,6/1; N° POLI [-] = 4/5P. 
LAVORO: POSA. OP CAVO, FG16OM16 DI LEGA RAME RICOTTO; GEOMETRIA: FLESSIBILE; SEZIONE NOMINALE [MM²] = 5X4; TENSIONE NOMINALE UO/U [KV] = 0,6/1; N° POLI [-] = 4/5P. 
RM CAVO FG16OM16 DI LEGA RAME RICOTTO; GEOMETRIA: FLESSIBILE; SEZIONE NOMINALE [MM²] = 5X4; TENSIONE NOMINALE UO/U [KV] = 0,6/1; N° POLI [-] = 4/5P. COMPONENTI: ISOLANTE, GUAINA TERMOPLASTICA 
LV POSA.
[DIMENSIONI: 25,00]</t>
        </is>
      </c>
      <c r="M478" s="4" t="inlineStr">
        <is>
          <t>M</t>
        </is>
      </c>
      <c r="N478" s="5" t="n">
        <v>25</v>
      </c>
      <c r="O478" s="6" t="n">
        <v>7.75</v>
      </c>
      <c r="P478" s="6" t="n">
        <v>193.75</v>
      </c>
      <c r="Q478" s="5" t="n"/>
      <c r="R478" s="6" t="n"/>
      <c r="S478" s="6">
        <f>IF(AND(Q478&lt;&gt;"",R478&lt;&gt;""),Q478*R478,"")</f>
        <v/>
      </c>
      <c r="T478" s="6">
        <f>IF(S478="",P478,S478)</f>
        <v/>
      </c>
      <c r="U478" s="7" t="n">
        <v>0</v>
      </c>
      <c r="V478" s="6">
        <f>$T478*U478</f>
        <v/>
      </c>
      <c r="W478" s="7" t="n">
        <v>0</v>
      </c>
      <c r="X478" s="6">
        <f>$T478*W478</f>
        <v/>
      </c>
      <c r="Y478" s="7" t="n">
        <v>0</v>
      </c>
      <c r="Z478" s="6">
        <f>$T478*Y478</f>
        <v/>
      </c>
      <c r="AA478" s="7" t="n">
        <v>0</v>
      </c>
      <c r="AB478" s="6">
        <f>$T478*AA478</f>
        <v/>
      </c>
      <c r="AC478" s="7" t="n">
        <v>0</v>
      </c>
      <c r="AD478" s="6">
        <f>$T478*AC478</f>
        <v/>
      </c>
      <c r="AE478" s="7" t="n">
        <v>0</v>
      </c>
      <c r="AF478" s="6">
        <f>$T478*AE478</f>
        <v/>
      </c>
      <c r="AG478" s="7" t="n">
        <v>0</v>
      </c>
      <c r="AH478" s="6">
        <f>$T478*AG478</f>
        <v/>
      </c>
      <c r="AI478" s="7">
        <f>U478+W478+Y478+AA478+AC478+AE478+AG478</f>
        <v/>
      </c>
      <c r="AJ478" s="6">
        <f>V478+X478+Z478+AB478+AD478+AF478+AH478</f>
        <v/>
      </c>
    </row>
    <row r="479" ht="60" customHeight="1" s="35">
      <c r="A479" s="3" t="inlineStr">
        <is>
          <t>LOM252.OC.EEA.PA02.G7424.SC009.0735</t>
        </is>
      </c>
      <c r="B479" s="4" t="inlineStr">
        <is>
          <t>1/1</t>
        </is>
      </c>
      <c r="C479" s="3" t="inlineStr">
        <is>
          <t>IMPIANTO ELETTRICO</t>
        </is>
      </c>
      <c r="D479" s="4" t="inlineStr">
        <is>
          <t>NON SPECIALE</t>
        </is>
      </c>
      <c r="E479" s="4" t="inlineStr">
        <is>
          <t>ELETTRICHE</t>
        </is>
      </c>
      <c r="F479" s="3" t="inlineStr">
        <is>
          <t>3_CME IE RADIOFARMACIA PAVIA - REV02 VARIANTE ESECUTIVA.PDF</t>
        </is>
      </c>
      <c r="G479" s="4" t="inlineStr">
        <is>
          <t>180/180</t>
        </is>
      </c>
      <c r="H479" s="3" t="inlineStr">
        <is>
          <t>40 - IMPIANTISTICO</t>
        </is>
      </c>
      <c r="I479" s="3" t="inlineStr">
        <is>
          <t>RADIOFARMACIA</t>
        </is>
      </c>
      <c r="J479" s="3" t="inlineStr">
        <is>
          <t>DISTRIBUZIONE SECONDARIA</t>
        </is>
      </c>
      <c r="K479" s="3" t="inlineStr">
        <is>
          <t xml:space="preserve">OPERA: CAVO, FG16OM16 DI LEGA RAME RICOTTO; GEOMETRIA: FLESSIBILE; SEZIONE NOMINALE [MM²] = 5X10; TENSIONE NOMINALE [KV] = 0,6/1; N° POLI [-] = 4/5P. </t>
        </is>
      </c>
      <c r="L479" s="3" t="inlineStr">
        <is>
          <t>OPERA: CAVO, FG16OM16 DI LEGA RAME RICOTTO; GEOMETRIA: FLESSIBILE; SEZIONE NOMINALE [MM²] = 5X10; TENSIONE NOMINALE [KV] = 0,6/1; N° POLI [-] = 4/5P. 
LAVORO: POSA. OP CAVO, FG16OM16 DI LEGA RAME RICOTTO; GEOMETRIA: FLESSIBILE; SEZIONE NOMINALE [MM²] = 5X10; TENSIONE NOMINALE UO/U [KV] = 0,6/1; N° POLI [-] = 4/5P. 
RM CAVO FG16OM16 DI LEGA RAME RICOTTO; GEOMETRIA: FLESSIBILE; SEZIONE NOMINALE [MM²] = 5X10; TENSIONE NOMINALE UO/U [KV] = 0,6/1; N° POLI [-] = 4/5P. COMPONENTI: ISOLANTE, GUAINA TERMOPLASTICA 
LV POSA.
[DIMENSIONI: 1,00 5,00]</t>
        </is>
      </c>
      <c r="M479" s="4" t="inlineStr">
        <is>
          <t>M</t>
        </is>
      </c>
      <c r="N479" s="5" t="n">
        <v>5</v>
      </c>
      <c r="O479" s="6" t="n">
        <v>14.82</v>
      </c>
      <c r="P479" s="6" t="n">
        <v>74.09999999999999</v>
      </c>
      <c r="Q479" s="5" t="n"/>
      <c r="R479" s="6" t="n"/>
      <c r="S479" s="6">
        <f>IF(AND(Q479&lt;&gt;"",R479&lt;&gt;""),Q479*R479,"")</f>
        <v/>
      </c>
      <c r="T479" s="6">
        <f>IF(S479="",P479,S479)</f>
        <v/>
      </c>
      <c r="U479" s="7" t="n">
        <v>0</v>
      </c>
      <c r="V479" s="6">
        <f>$T479*U479</f>
        <v/>
      </c>
      <c r="W479" s="7" t="n">
        <v>0</v>
      </c>
      <c r="X479" s="6">
        <f>$T479*W479</f>
        <v/>
      </c>
      <c r="Y479" s="7" t="n">
        <v>0</v>
      </c>
      <c r="Z479" s="6">
        <f>$T479*Y479</f>
        <v/>
      </c>
      <c r="AA479" s="7" t="n">
        <v>0</v>
      </c>
      <c r="AB479" s="6">
        <f>$T479*AA479</f>
        <v/>
      </c>
      <c r="AC479" s="7" t="n">
        <v>0</v>
      </c>
      <c r="AD479" s="6">
        <f>$T479*AC479</f>
        <v/>
      </c>
      <c r="AE479" s="7" t="n">
        <v>0</v>
      </c>
      <c r="AF479" s="6">
        <f>$T479*AE479</f>
        <v/>
      </c>
      <c r="AG479" s="7" t="n">
        <v>0</v>
      </c>
      <c r="AH479" s="6">
        <f>$T479*AG479</f>
        <v/>
      </c>
      <c r="AI479" s="7">
        <f>U479+W479+Y479+AA479+AC479+AE479+AG479</f>
        <v/>
      </c>
      <c r="AJ479" s="6">
        <f>V479+X479+Z479+AB479+AD479+AF479+AH479</f>
        <v/>
      </c>
    </row>
    <row r="480" ht="60" customHeight="1" s="35">
      <c r="A480" s="3" t="inlineStr">
        <is>
          <t>LOM252.OC.EEA.PA01.L8250.ZA001.0010</t>
        </is>
      </c>
      <c r="B480" s="4" t="inlineStr">
        <is>
          <t>2/2</t>
        </is>
      </c>
      <c r="C480" s="3" t="inlineStr">
        <is>
          <t>IMPIANTO ELETTRICO</t>
        </is>
      </c>
      <c r="D480" s="4" t="inlineStr">
        <is>
          <t>NON SPECIALE</t>
        </is>
      </c>
      <c r="E480" s="4" t="inlineStr">
        <is>
          <t>ELETTRICHE</t>
        </is>
      </c>
      <c r="F480" s="3" t="inlineStr">
        <is>
          <t>3_CME IE RADIOFARMACIA PAVIA - REV02 VARIANTE ESECUTIVA.PDF</t>
        </is>
      </c>
      <c r="G480" s="4" t="inlineStr">
        <is>
          <t>181/181</t>
        </is>
      </c>
      <c r="H480" s="3" t="inlineStr">
        <is>
          <t>40 - IMPIANTISTICO</t>
        </is>
      </c>
      <c r="I480" s="3" t="inlineStr">
        <is>
          <t>RADIOFARMACIA</t>
        </is>
      </c>
      <c r="J480" s="3" t="inlineStr">
        <is>
          <t>DISTRIBUZIONE SECONDARIA</t>
        </is>
      </c>
      <c r="K480" s="3" t="inlineStr">
        <is>
          <t xml:space="preserve">OPERA: PULSANTE, MANUALE D'ALLARME; GEOMETRIA: A ROTTURA VETRO. </t>
        </is>
      </c>
      <c r="L480" s="3" t="inlineStr">
        <is>
          <t>OPERA: PULSANTE, MANUALE D'ALLARME; GEOMETRIA: A ROTTURA VETRO. 
LAVORO: INSTALLAZIONE. 
SPECIFICHE TECNICHE: PULSANTE A 1 SCAMBIO, GRADO DI PROTEZIONE IP65. OP PULSANTE, MANUALE D'ALLARME; GEOMETRIA: A ROTTURA VETRO. 
SPECIFICHE TECNICHE: PULSANTE A 1 SCAMBIO, GRADO DI PROTEZIONE IP65. 
RM PULSANTE MANUALE D'ALLARME; GEOMETRIA: A ROTTURA VETRO 
SPECIFICHE TECNICHE: PULSANTE A 1 SCAMBIO, GRADO DI PROTEZIONE IP65 
LV INSTALLAZIONE.</t>
        </is>
      </c>
      <c r="M480" s="4" t="inlineStr">
        <is>
          <t>CAD</t>
        </is>
      </c>
      <c r="N480" s="5" t="n">
        <v>3</v>
      </c>
      <c r="O480" s="6" t="n">
        <v>103.77</v>
      </c>
      <c r="P480" s="6" t="n">
        <v>311.31</v>
      </c>
      <c r="Q480" s="5" t="n"/>
      <c r="R480" s="6" t="n"/>
      <c r="S480" s="6">
        <f>IF(AND(Q480&lt;&gt;"",R480&lt;&gt;""),Q480*R480,"")</f>
        <v/>
      </c>
      <c r="T480" s="6">
        <f>IF(S480="",P480,S480)</f>
        <v/>
      </c>
      <c r="U480" s="7" t="n">
        <v>0</v>
      </c>
      <c r="V480" s="6">
        <f>$T480*U480</f>
        <v/>
      </c>
      <c r="W480" s="7" t="n">
        <v>0</v>
      </c>
      <c r="X480" s="6">
        <f>$T480*W480</f>
        <v/>
      </c>
      <c r="Y480" s="7" t="n">
        <v>0</v>
      </c>
      <c r="Z480" s="6">
        <f>$T480*Y480</f>
        <v/>
      </c>
      <c r="AA480" s="7" t="n">
        <v>0</v>
      </c>
      <c r="AB480" s="6">
        <f>$T480*AA480</f>
        <v/>
      </c>
      <c r="AC480" s="7" t="n">
        <v>0</v>
      </c>
      <c r="AD480" s="6">
        <f>$T480*AC480</f>
        <v/>
      </c>
      <c r="AE480" s="7" t="n">
        <v>0</v>
      </c>
      <c r="AF480" s="6">
        <f>$T480*AE480</f>
        <v/>
      </c>
      <c r="AG480" s="7" t="n">
        <v>0</v>
      </c>
      <c r="AH480" s="6">
        <f>$T480*AG480</f>
        <v/>
      </c>
      <c r="AI480" s="7">
        <f>U480+W480+Y480+AA480+AC480+AE480+AG480</f>
        <v/>
      </c>
      <c r="AJ480" s="6">
        <f>V480+X480+Z480+AB480+AD480+AF480+AH480</f>
        <v/>
      </c>
    </row>
    <row r="481" ht="60" customHeight="1" s="35">
      <c r="A481" s="3" t="inlineStr">
        <is>
          <t>LOM252.OC.EEA.PA01.G8237.ZA001.0250</t>
        </is>
      </c>
      <c r="B481" s="4" t="inlineStr">
        <is>
          <t>1/2</t>
        </is>
      </c>
      <c r="C481" s="3" t="inlineStr">
        <is>
          <t>IMPIANTO ELETTRICO</t>
        </is>
      </c>
      <c r="D481" s="4" t="inlineStr">
        <is>
          <t>NON SPECIALE</t>
        </is>
      </c>
      <c r="E481" s="4" t="inlineStr">
        <is>
          <t>ELETTRICHE</t>
        </is>
      </c>
      <c r="F481" s="3" t="inlineStr">
        <is>
          <t>3_CME IE RADIOFARMACIA PAVIA - REV02 VARIANTE ESECUTIVA.PDF</t>
        </is>
      </c>
      <c r="G481" s="4" t="inlineStr">
        <is>
          <t>182/182</t>
        </is>
      </c>
      <c r="H481" s="3" t="inlineStr">
        <is>
          <t>40 - IMPIANTISTICO</t>
        </is>
      </c>
      <c r="I481" s="3" t="inlineStr">
        <is>
          <t>RADIOFARMACIA</t>
        </is>
      </c>
      <c r="J481" s="3" t="inlineStr">
        <is>
          <t>IMPIANTO DI ILLUMINAZIONE</t>
        </is>
      </c>
      <c r="K481" s="3" t="inlineStr">
        <is>
          <t>OPERA: DERIVAZIONE D'IMPIANTO PUNTO LUCE, COMANDATO; IMPIEGO: DERIVAZIONE D'IMPIANTO DA INCASSO. INCLUSO: TUBO PROTETTIVO; CONDUTTORI DI ALIMENTAZIONE E DI TERRA; SCATOLE DA INCASSO; FRUTTI COMPONIBIL</t>
        </is>
      </c>
      <c r="L481" s="3" t="inlineStr">
        <is>
          <t>OPERA: DERIVAZIONE D'IMPIANTO PUNTO LUCE, COMANDATO; IMPIEGO: DERIVAZIONE D'IMPIANTO DA INCASSO. INCLUSO: TUBO PROTETTIVO; CONDUTTORI DI ALIMENTAZIONE E DI TERRA; SCATOLE DA INCASSO; FRUTTI COMPONIBILI; PLACCHE; SUPPORTI; TASSELLI/GANCI. ESCLUSO: ORGANO DI COMANDO SUL QUADRO. 
LAVORO: INSTALLAZIONE IN OPERA. INCLUSO: LINEA DI COLLEGAMENTO ALLO SPECIFICO PUNTO DI ALIMENTAZIONE; FISSAGGIO DELLE CANALIZZAZIONI A MEZZO DI TASSELLI O GANCI; ASSISTENZA PER IL TRASPORTO DEI MATERIALI AL PIANO. 
SPECIFICHE TECNICHE: COMANDATO DAL QUADRO ELETTRICO; PER IMPIANTI DI ENERGIA; REALIZZATO CON TUBO PROTETTIVO FLESSIBILE O RIGIDO DI PLASTICA POLIVINILCLORURO (PVC) AD ALTA RESISTENZA ALLO SCHIACCIAMENTO; CONDUTTORI DI ALIMENTAZIONE E DI TERRA DI LEGA RAME GENERICO RICOTTO ISOLATO CONFORMI AI REQUISITI PREVISTI DALLA NORMATIVA EUROPEA REGOLAMENTO UE 305/2011 - PRODOTTI DA COSTRUZIONE CPR; TIPOLOGIA CONDUTTORI E SEZIONE ADEGUATI ALL'UTILIZZO. OP DERIVAZIONE D'IMPIANTO PUNTO LUCE, COMANDATO; IMPIEGO: DERIVAZIONE D'IMPIANTO DA INCASSO. INCLUSO: TUBO PROTETTIVO; CONDUTTORI DI ALIMENTAZIONE E DI TERRA; SCATOLE DA INCASSO; FRUTTI COMPONIBILI; PLACCHE; SUPPORTI; TASSELLI/GANCI. ESCLUSO: ORGANO DI COMANDO SUL QUADRO. 
SPECIFICHE TECNICHE: COMANDATO DAL QUADRO ELETTRICO; PER IMPIANTI DI ENERGIA; REALIZZATO CON TUBO PROTETTIVO FLESSIBILE O RIGIDO DI PLASTICA POLIVINILCLORURO (PVC) AD ALTA RESISTENZA ALLO SCHIACCIAMENTO; CONDUTTORI DI ALIMENTAZIONE E DI TERRA DI LEGA RAME GENERICO RICOTTO ISOLATO CONFORMI AI REQUISITI PREVISTI DALLA NORMATIVA EUROPEA REGOLAMENTO UE 305/2011 - PRODOTTI DA COSTRUZIONE CPR; TIPOLOGIA CONDUTTORI E SEZIONE ADEGUATI ALL'UTILIZZO. 
RM DERIVAZIONE D'IMPIANTO PUNTO LUCE COMANDATO; IMPIEGO: DERIVAZIONE D'IMPIANTO DA INCASSO. INCLUSO: TUBO PROTETTIVO; CONDUTTORI DI ALIMENTAZIONE E DI TERRA; SCATOLE DA INCASSO; FRUTTI COMPONIBILI; PLACCHE; SUPPORTI; TASSELLI/GANCI. ESCLUSO: ORGANO DI COMANDO SUL QUADRO 
SPECIFICHE TECNICHE: COMANDATO DAL QUADRO ELETTRICO; PER IMPIANTI DI ENERGIA; REALIZZATO CON TUBO PROTETTIVO FLESSIBILE O RIGIDO DI PLASTICA POLIVINILCLORURO (PVC) AD ALTA RESISTENZA ALLO SCHIACCIAMENTO; CONDUTTORI DI ALIMENTAZIONE E DI TERRA DI LEGA RAME GENERICO RICOTTO ISOLATO CONFORMI AI REQUISITI PREVISTI DALLA NORMATIVA EUROPEA REGOLAMENTO UE 305/2011 - PRODOTTI DA COSTRUZIONE CPR; TIPOLOGIA CONDUTTORI E SEZIONE ADEGUATI ALL'UTILIZZO 
LV INSTALLAZIONE IN OPERA. INCLUSO: LINEA DI COLLEGAMENTO ALLO SPECIFICO PUNTO DI ALIMENTAZIONE; FISSAGGIO DELLE CANALIZZAZIONI A MEZZO DI TASSELLI O GANCI; ASSISTENZA PER IL TRASPORTO DEI MATERIALI AL PIANO.</t>
        </is>
      </c>
      <c r="M481" s="4" t="inlineStr">
        <is>
          <t>CAD</t>
        </is>
      </c>
      <c r="N481" s="5" t="n">
        <v>52</v>
      </c>
      <c r="O481" s="6" t="n">
        <v>31.33</v>
      </c>
      <c r="P481" s="6" t="n">
        <v>1629.16</v>
      </c>
      <c r="Q481" s="5" t="n"/>
      <c r="R481" s="6" t="n"/>
      <c r="S481" s="6">
        <f>IF(AND(Q481&lt;&gt;"",R481&lt;&gt;""),Q481*R481,"")</f>
        <v/>
      </c>
      <c r="T481" s="6">
        <f>IF(S481="",P481,S481)</f>
        <v/>
      </c>
      <c r="U481" s="7" t="n">
        <v>0</v>
      </c>
      <c r="V481" s="6">
        <f>$T481*U481</f>
        <v/>
      </c>
      <c r="W481" s="7" t="n">
        <v>0</v>
      </c>
      <c r="X481" s="6">
        <f>$T481*W481</f>
        <v/>
      </c>
      <c r="Y481" s="7" t="n">
        <v>0</v>
      </c>
      <c r="Z481" s="6">
        <f>$T481*Y481</f>
        <v/>
      </c>
      <c r="AA481" s="7" t="n">
        <v>0</v>
      </c>
      <c r="AB481" s="6">
        <f>$T481*AA481</f>
        <v/>
      </c>
      <c r="AC481" s="7" t="n">
        <v>0</v>
      </c>
      <c r="AD481" s="6">
        <f>$T481*AC481</f>
        <v/>
      </c>
      <c r="AE481" s="7" t="n">
        <v>0</v>
      </c>
      <c r="AF481" s="6">
        <f>$T481*AE481</f>
        <v/>
      </c>
      <c r="AG481" s="7" t="n">
        <v>0</v>
      </c>
      <c r="AH481" s="6">
        <f>$T481*AG481</f>
        <v/>
      </c>
      <c r="AI481" s="7">
        <f>U481+W481+Y481+AA481+AC481+AE481+AG481</f>
        <v/>
      </c>
      <c r="AJ481" s="6">
        <f>V481+X481+Z481+AB481+AD481+AF481+AH481</f>
        <v/>
      </c>
    </row>
    <row r="482" ht="60" customHeight="1" s="35">
      <c r="A482" s="3" t="inlineStr">
        <is>
          <t>LOM252.OC.EEA.PA01.G8237.ZA001.1005</t>
        </is>
      </c>
      <c r="B482" s="4" t="inlineStr">
        <is>
          <t>1/2</t>
        </is>
      </c>
      <c r="C482" s="3" t="inlineStr">
        <is>
          <t>IMPIANTO ELETTRICO</t>
        </is>
      </c>
      <c r="D482" s="4" t="inlineStr">
        <is>
          <t>NON SPECIALE</t>
        </is>
      </c>
      <c r="E482" s="4" t="inlineStr">
        <is>
          <t>ELETTRICHE</t>
        </is>
      </c>
      <c r="F482" s="3" t="inlineStr">
        <is>
          <t>3_CME IE RADIOFARMACIA PAVIA - REV02 VARIANTE ESECUTIVA.PDF</t>
        </is>
      </c>
      <c r="G482" s="4" t="inlineStr">
        <is>
          <t>183/183</t>
        </is>
      </c>
      <c r="H482" s="3" t="inlineStr">
        <is>
          <t>40 - IMPIANTISTICO</t>
        </is>
      </c>
      <c r="I482" s="3" t="inlineStr">
        <is>
          <t>RADIOFARMACIA</t>
        </is>
      </c>
      <c r="J482" s="3" t="inlineStr">
        <is>
          <t>IMPIANTO DI ILLUMINAZIONE</t>
        </is>
      </c>
      <c r="K482" s="3" t="inlineStr">
        <is>
          <t>OPERA: DERIVAZIONE D'IMPIANTO PUNTO LUCE, INTERROTTO; GEOMETRIA: INTERRUTTORE UNIPOLARE; IMPIEGO: DERIVAZIONE D'IMPIANTO DA INCASSO; TENSIONE NOMINALE SPIA [V] = 230. INCLUSO: TUBO PROTETTIVO; CONDUTT</t>
        </is>
      </c>
      <c r="L482" s="3" t="inlineStr">
        <is>
          <t>OPERA: DERIVAZIONE D'IMPIANTO PUNTO LUCE, INTERROTTO; GEOMETRIA: INTERRUTTORE UNIPOLARE; IMPIEGO: DERIVAZIONE D'IMPIANTO DA INCASSO; TENSIONE NOMINALE SPIA [V] = 230. INCLUSO: TUBO PROTETTIVO; CONDUTTORI DI ALIMENTAZIONE E DI TERRA; SCATOLE DA INCASSO; FRUTTI COMPONIBILI; PLACCHE; SUPPORTI; TASSELLI/GANCI. 
LAVORO: INSTALLAZIONE IN OPERA. INCLUSO: LINEA DI COLLEGAMENTO ALLO SPECIFICO PUNTO DI ALIMENTAZIONE; ASSISTENZA PER IL TRASPORTO DEI MATERIALI AL PIANO. 
SPECIFICHE TECNICHE: PER IMPIANTI DI ENERGIA; REALIZZATO CON TUBO PROTETTIVO FLESSIBILE O RIGIDO DI PLASTICA POLIVINILCLORURO (PVC) AD ALTA RESISTENZA ALLO SCHIACCIAMENTO; CONDUTTORI DI ALIMENTAZIONE E DI TERRA DI LEGA RAME GENERICO RICOTTO ISOLATO CONFORMI AI REQUISITI PREVISTI DALLA NORMATIVA EUROPEA REGOLAMENTO UE 305/2011 - PRODOTTI DA COSTRUZIONE CPR; TIPOLOGIA CONDUTTORI E SEZIONE ADEGUATI ALL'UTILIZZO. OP DERIVAZIONE D'IMPIANTO PUNTO LUCE, INTERROTTO; GEOMETRIA: INTERRUTTORE UNIPOLARE; IMPIEGO: DERIVAZIONE D'IMPIANTO DA INCASSO; TENSIONE NOMINALE SPIA [V] = 230. INCLUSO: TUBO PROTETTIVO; CONDUTTORI DI ALIMENTAZIONE E DI TERRA; SCATOLE DA INCASSO; FRUTTI COMPONIBILI; PLACCHE; SUPPORTI; TASSELLI/GANCI. 
SPECIFICHE TECNICHE: PER IMPIANTI DI ENERGIA; REALIZZATO CON TUBO PROTETTIVO FLESSIBILE O RIGIDO DI PLASTICA POLIVINILCLORURO (PVC) AD ALTA RESISTENZA ALLO SCHIACCIAMENTO; CONDUTTORI DI ALIMENTAZIONE E DI TERRA DI LEGA RAME GENERICO RICOTTO ISOLATO CONFORMI AI REQUISITI PREVISTI DALLA NORMATIVA EUROPEA REGOLAMENTO UE 305/2011 - PRODOTTI DA COSTRUZIONE CPR; TIPOLOGIA CONDUTTORI E SEZIONE ADEGUATI ALL'UTILIZZO. 
RM DERIVAZIONE D'IMPIANTO PUNTO LUCE INTERROTTO; GEOMETRIA: INTERRUTTORE UNIPOLARE; IMPIEGO: DERIVAZIONE D'IMPIANTO DA INCASSO; TENSIONE NOMINALE SPIA [V] = 230. INCLUSO: TUBO PROTETTIVO; CONDUTTORI DI ALIMENTAZIONE E DI TERRA; SCATOLE DA INCASSO; FRUTTI COMPONIBILI; PLACCHE; SUPPORTI; TASSELLI/GANCI 
SPECIFICHE TECNICHE: PER IMPIANTI DI ENERGIA; REALIZZATO CON TUBO PROTETTIVO FLESSIBILE O RIGIDO DI PLASTICA POLIVINILCLORURO (PVC) AD ALTA RESISTENZA ALLO SCHIACCIAMENTO; CONDUTTORI DI ALIMENTAZIONE E DI TERRA DI LEGA RAME GENERICO RICOTTO ISOLATO CONFORMI AI REQUISITI PREVISTI DALLA NORMATIVA EUROPEA REGOLAMENTO UE 305/2011 - PRODOTTI DA COSTRUZIONE CPR; TIPOLOGIA CONDUTTORI E SEZIONE ADEGUATI ALL'UTILIZZO 
LV INSTALLAZIONE IN OPERA. INCLUSO: LINEA DI COLLEGAMENTO ALLO SPECIFICO PUNTO DI ALIMENTAZIONE; ASSISTENZA PER IL TRASPORTO DEI MATERIALI AL PIANO.</t>
        </is>
      </c>
      <c r="M482" s="4" t="inlineStr">
        <is>
          <t>CAD</t>
        </is>
      </c>
      <c r="N482" s="5" t="n">
        <v>10</v>
      </c>
      <c r="O482" s="6" t="n">
        <v>48.82</v>
      </c>
      <c r="P482" s="6" t="n">
        <v>488.2</v>
      </c>
      <c r="Q482" s="5" t="n"/>
      <c r="R482" s="6" t="n"/>
      <c r="S482" s="6">
        <f>IF(AND(Q482&lt;&gt;"",R482&lt;&gt;""),Q482*R482,"")</f>
        <v/>
      </c>
      <c r="T482" s="6">
        <f>IF(S482="",P482,S482)</f>
        <v/>
      </c>
      <c r="U482" s="7" t="n">
        <v>0</v>
      </c>
      <c r="V482" s="6">
        <f>$T482*U482</f>
        <v/>
      </c>
      <c r="W482" s="7" t="n">
        <v>0</v>
      </c>
      <c r="X482" s="6">
        <f>$T482*W482</f>
        <v/>
      </c>
      <c r="Y482" s="7" t="n">
        <v>0</v>
      </c>
      <c r="Z482" s="6">
        <f>$T482*Y482</f>
        <v/>
      </c>
      <c r="AA482" s="7" t="n">
        <v>0</v>
      </c>
      <c r="AB482" s="6">
        <f>$T482*AA482</f>
        <v/>
      </c>
      <c r="AC482" s="7" t="n">
        <v>0</v>
      </c>
      <c r="AD482" s="6">
        <f>$T482*AC482</f>
        <v/>
      </c>
      <c r="AE482" s="7" t="n">
        <v>0</v>
      </c>
      <c r="AF482" s="6">
        <f>$T482*AE482</f>
        <v/>
      </c>
      <c r="AG482" s="7" t="n">
        <v>0</v>
      </c>
      <c r="AH482" s="6">
        <f>$T482*AG482</f>
        <v/>
      </c>
      <c r="AI482" s="7">
        <f>U482+W482+Y482+AA482+AC482+AE482+AG482</f>
        <v/>
      </c>
      <c r="AJ482" s="6">
        <f>V482+X482+Z482+AB482+AD482+AF482+AH482</f>
        <v/>
      </c>
    </row>
    <row r="483" ht="60" customHeight="1" s="35">
      <c r="A483" s="3" t="inlineStr">
        <is>
          <t>LOM252.OC.EEA.PA01.G8237.ZA001.0000</t>
        </is>
      </c>
      <c r="B483" s="4" t="inlineStr">
        <is>
          <t>1/2</t>
        </is>
      </c>
      <c r="C483" s="3" t="inlineStr">
        <is>
          <t>IMPIANTO ELETTRICO</t>
        </is>
      </c>
      <c r="D483" s="4" t="inlineStr">
        <is>
          <t>NON SPECIALE</t>
        </is>
      </c>
      <c r="E483" s="4" t="inlineStr">
        <is>
          <t>ELETTRICHE</t>
        </is>
      </c>
      <c r="F483" s="3" t="inlineStr">
        <is>
          <t>3_CME IE RADIOFARMACIA PAVIA - REV02 VARIANTE ESECUTIVA.PDF</t>
        </is>
      </c>
      <c r="G483" s="4" t="inlineStr">
        <is>
          <t>184/184</t>
        </is>
      </c>
      <c r="H483" s="3" t="inlineStr">
        <is>
          <t>40 - IMPIANTISTICO</t>
        </is>
      </c>
      <c r="I483" s="3" t="inlineStr">
        <is>
          <t>RADIOFARMACIA</t>
        </is>
      </c>
      <c r="J483" s="3" t="inlineStr">
        <is>
          <t>IMPIANTO DI ILLUMINAZIONE</t>
        </is>
      </c>
      <c r="K483" s="3" t="inlineStr">
        <is>
          <t>OPERA: DERIVAZIONE D'IMPIANTO PUNTO LUCE, A RELÈ; GEOMETRIA: INTERRUTTORE BIPOLARE; IMPIEGO: DERIVAZIONE D'IMPIANTO DA INCASSO. INCLUSO: RELÈ PASSO-PASSO BIPOLARE DA CASSETTA; TUBO PROTETTIVO; CONDUTT</t>
        </is>
      </c>
      <c r="L483" s="3" t="inlineStr">
        <is>
          <t>OPERA: DERIVAZIONE D'IMPIANTO PUNTO LUCE, A RELÈ; GEOMETRIA: INTERRUTTORE BIPOLARE; IMPIEGO: DERIVAZIONE D'IMPIANTO DA INCASSO. INCLUSO: RELÈ PASSO-PASSO BIPOLARE DA CASSETTA; TUBO PROTETTIVO; CONDUTTORI DI ALIMENTAZIONE E DI TERRA; SCATOLE DA INCASSO; FRUTTI COMPONIBILI; PLACCHE; SUPPORTI; TASSELLI/GANCI. 
LAVORO: INSTALLAZIONE IN OPERA. INCLUSO: LINEA DI COLLEGAMENTO ALLO SPECIFICO PUNTO DI ALIMENTAZIONE; FISSAGGIO DELLE CANALIZZAZIONI A MEZZO DI TASSELLI O GANCI; ASSISTENZA PER IL TRASPORTO DEI MATERIALI AL PIANO. 
SPECIFICHE TECNICHE: PER IMPIANTI DI ENERGIA; REALIZZATO CON TUBO PROTETTIVO FLESSIBILE O RIGIDO DI PLASTICA POLIVINILCLORURO (PVC) AD ALTA RESISTENZA ALLO SCHIACCIAMENTO; CONDUTTORI DI ALIMENTAZIONE E DI TERRA DI LEGA RAME GENERICO RICOTTO ISOLATO CONFORMI AI REQUISITI PREVISTI DALLA NORMATIVA EUROPEA REGOLAMENTO UE 305/2011 - PRODOTTI DA COSTRUZIONE CPR; TIPOLOGIA CONDUTTORI E SEZIONE ADEGUATI ALL'UTILIZZO. OP DERIVAZIONE D'IMPIANTO PUNTO LUCE, A RELÈ; GEOMETRIA: INTERRUTTORE BIPOLARE; IMPIEGO: DERIVAZIONE D'IMPIANTO DA INCASSO. INCLUSO: RELÈ PASSO-PASSO BIPOLARE DA CASSETTA; TUBO PROTETTIVO; CONDUTTORI DI ALIMENTAZIONE E DI TERRA; SCATOLE DA INCASSO; FRUTTI COMPONIBILI; PLACCHE; SUPPORTI; TASSELLI/GANCI. 
SPECIFICHE TECNICHE: PER IMPIANTI DI ENERGIA; REALIZZATO CON TUBO PROTETTIVO FLESSIBILE O RIGIDO DI PLASTICA POLIVINILCLORURO (PVC) AD ALTA RESISTENZA ALLO SCHIACCIAMENTO; CONDUTTORI DI ALIMENTAZIONE E DI TERRA DI LEGA RAME GENERICO RICOTTO ISOLATO CONFORMI AI REQUISITI PREVISTI DALLA NORMATIVA EUROPEA REGOLAMENTO UE 305/2011 - PRODOTTI DA COSTRUZIONE CPR; TIPOLOGIA CONDUTTORI E SEZIONE ADEGUATI ALL'UTILIZZO. 
RM DERIVAZIONE D'IMPIANTO PUNTO LUCE A RELÈ; GEOMETRIA: INTERRUTTORE BIPOLARE; IMPIEGO: DERIVAZIONE D'IMPIANTO DA INCASSO. INCLUSO: RELÈ PASSO-PASSO BIPOLARE DA CASSETTA; TUBO PROTETTIVO; CONDUTTORI DI ALIMENTAZIONE E DI TERRA; SCATOLE DA INCASSO; FRUTTI COMPONIBILI; PLACCHE; SUPPORTI; TASSELLI/GANCI 
SPECIFICHE TECNICHE: PER IMPIANTI DI ENERGIA; REALIZZATO CON TUBO PROTETTIVO FLESSIBILE O RIGIDO DI PLASTICA POLIVINILCLORURO (PVC) AD ALTA RESISTENZA ALLO SCHIACCIAMENTO; CONDUTTORI DI ALIMENTAZIONE E DI TERRA DI LEGA RAME GENERICO RICOTTO ISOLATO CONFORMI AI REQUISITI PREVISTI DALLA NORMATIVA EUROPEA REGOLAMENTO UE 305/2011 - PRODOTTI DA COSTRUZIONE CPR; TIPOLOGIA CONDUTTORI E SEZIONE ADEGUATI ALL'UTILIZZO 
LV INSTALLAZIONE IN OPERA. INCLUSO: LINEA DI COLLEGAMENTO ALLO SPECIFICO PUNTO DI ALIMENTAZIONE; FISSAGGIO DELLE CANALIZZAZIONI A MEZZO DI TASSELLI O GANCI; ASSISTENZA PER IL TRASPORTO DEI MATERIALI AL PIANO.</t>
        </is>
      </c>
      <c r="M483" s="4" t="inlineStr">
        <is>
          <t>CAD</t>
        </is>
      </c>
      <c r="N483" s="5" t="n">
        <v>22</v>
      </c>
      <c r="O483" s="6" t="n">
        <v>52.37</v>
      </c>
      <c r="P483" s="6" t="n">
        <v>1152.14</v>
      </c>
      <c r="Q483" s="5" t="n"/>
      <c r="R483" s="6" t="n"/>
      <c r="S483" s="6">
        <f>IF(AND(Q483&lt;&gt;"",R483&lt;&gt;""),Q483*R483,"")</f>
        <v/>
      </c>
      <c r="T483" s="6">
        <f>IF(S483="",P483,S483)</f>
        <v/>
      </c>
      <c r="U483" s="7" t="n">
        <v>0</v>
      </c>
      <c r="V483" s="6">
        <f>$T483*U483</f>
        <v/>
      </c>
      <c r="W483" s="7" t="n">
        <v>0</v>
      </c>
      <c r="X483" s="6">
        <f>$T483*W483</f>
        <v/>
      </c>
      <c r="Y483" s="7" t="n">
        <v>0</v>
      </c>
      <c r="Z483" s="6">
        <f>$T483*Y483</f>
        <v/>
      </c>
      <c r="AA483" s="7" t="n">
        <v>0</v>
      </c>
      <c r="AB483" s="6">
        <f>$T483*AA483</f>
        <v/>
      </c>
      <c r="AC483" s="7" t="n">
        <v>0</v>
      </c>
      <c r="AD483" s="6">
        <f>$T483*AC483</f>
        <v/>
      </c>
      <c r="AE483" s="7" t="n">
        <v>0</v>
      </c>
      <c r="AF483" s="6">
        <f>$T483*AE483</f>
        <v/>
      </c>
      <c r="AG483" s="7" t="n">
        <v>0</v>
      </c>
      <c r="AH483" s="6">
        <f>$T483*AG483</f>
        <v/>
      </c>
      <c r="AI483" s="7">
        <f>U483+W483+Y483+AA483+AC483+AE483+AG483</f>
        <v/>
      </c>
      <c r="AJ483" s="6">
        <f>V483+X483+Z483+AB483+AD483+AF483+AH483</f>
        <v/>
      </c>
    </row>
    <row r="484" ht="60" customHeight="1" s="35">
      <c r="A484" s="3" t="inlineStr">
        <is>
          <t>LOM252.OC.EEA.PA01.G8237.ZA001.0750</t>
        </is>
      </c>
      <c r="B484" s="4" t="inlineStr">
        <is>
          <t>1/2</t>
        </is>
      </c>
      <c r="C484" s="3" t="inlineStr">
        <is>
          <t>IMPIANTO ELETTRICO</t>
        </is>
      </c>
      <c r="D484" s="4" t="inlineStr">
        <is>
          <t>NON SPECIALE</t>
        </is>
      </c>
      <c r="E484" s="4" t="inlineStr">
        <is>
          <t>ELETTRICHE</t>
        </is>
      </c>
      <c r="F484" s="3" t="inlineStr">
        <is>
          <t>3_CME IE RADIOFARMACIA PAVIA - REV02 VARIANTE ESECUTIVA.PDF</t>
        </is>
      </c>
      <c r="G484" s="4" t="inlineStr">
        <is>
          <t>185/185</t>
        </is>
      </c>
      <c r="H484" s="3" t="inlineStr">
        <is>
          <t>40 - IMPIANTISTICO</t>
        </is>
      </c>
      <c r="I484" s="3" t="inlineStr">
        <is>
          <t>RADIOFARMACIA</t>
        </is>
      </c>
      <c r="J484" s="3" t="inlineStr">
        <is>
          <t>IMPIANTO DI ILLUMINAZIONE</t>
        </is>
      </c>
      <c r="K484" s="3" t="inlineStr">
        <is>
          <t>OPERA: DERIVAZIONE D'IMPIANTO PUNTO LUCE, IN PARALLELO; IMPIEGO: DERIVAZIONE D'IMPIANTO DA INCASSO. INCLUSO: TUBO PROTETTIVO; CONDUTTORI DI ALIMENTAZIONE E DI TERRA; SCATOLE DA INCASSO; FRUTTI COMPONI</t>
        </is>
      </c>
      <c r="L484" s="3" t="inlineStr">
        <is>
          <t>OPERA: DERIVAZIONE D'IMPIANTO PUNTO LUCE, IN PARALLELO; IMPIEGO: DERIVAZIONE D'IMPIANTO DA INCASSO. INCLUSO: TUBO PROTETTIVO; CONDUTTORI DI ALIMENTAZIONE E DI TERRA; SCATOLE DA INCASSO; FRUTTI COMPONIBILI; PLACCHE; SUPPORTI; TASSELLI/GANCI. 
LAVORO: INSTALLAZIONE IN OPERA. INCLUSO: LINEA DI COLLEGAMENTO ALLO SPECIFICO PUNTO DI ALIMENTAZIONE; FISSAGGIO DELLE CANALIZZAZIONI A MEZZO DI TASSELLI O GANCI; ASSISTENZA PER IL TRASPORTO DEI MATERIALI AL PIANO. 
SPECIFICHE TECNICHE: IN PARALLELO AD UNA QUALSIASI DERIVAZIONE; PER IMPIANTI DI ENERGIA; REALIZZATO CON TUBO PROTETTIVO FLESSIBILE O RIGIDO DI PLASTICA POLIVINILCLORURO (PVC) AD ALTA RESISTENZA ALLO SCHIACCIAMENTO; CONDUTTORI DI ALIMENTAZIONE E DI TERRA DI LEGA RAME GENERICO RICOTTO ISOLATO CONFORMI AI REQUISITI PREVISTI DALLA NORMATIVA EUROPEA REGOLAMENTO UE 305/2011 - PRODOTTI DA COSTRUZIONE CPR; TIPOLOGIA CONDUTTORI E SEZIONE ADEGUATI ALL'UTILIZZO. OP DERIVAZIONE D'IMPIANTO PUNTO LUCE, IN PARALLELO; IMPIEGO: DERIVAZIONE D'IMPIANTO DA INCASSO. INCLUSO: TUBO PROTETTIVO; CONDUTTORI DI ALIMENTAZIONE E DI TERRA; SCATOLE DA INCASSO; FRUTTI COMPONIBILI; PLACCHE; SUPPORTI; TASSELLI/GANCI. 
SPECIFICHE TECNICHE: IN PARALLELO AD UNA QUALSIASI DERIVAZIONE; PER IMPIANTI DI ENERGIA; REALIZZATO CON TUBO PROTETTIVO FLESSIBILE O RIGIDO DI PLASTICA POLIVINILCLORURO (PVC) AD ALTA RESISTENZA ALLO SCHIACCIAMENTO; CONDUTTORI DI ALIMENTAZIONE E DI TERRA DI LEGA RAME GENERICO RICOTTO ISOLATO CONFORMI AI REQUISITI PREVISTI DALLA NORMATIVA EUROPEA REGOLAMENTO UE 305/2011 - PRODOTTI DA COSTRUZIONE CPR; TIPOLOGIA CONDUTTORI E SEZIONE ADEGUATI ALL'UTILIZZO. 
RM DERIVAZIONE D'IMPIANTO PUNTO LUCE IN PARALLELO; IMPIEGO: DERIVAZIONE D'IMPIANTO DA INCASSO. INCLUSO: TUBO PROTETTIVO; CONDUTTORI DI ALIMENTAZIONE E DI TERRA; SCATOLE DA INCASSO; FRUTTI COMPONIBILI; PLACCHE; SUPPORTI; TASSELLI/GANCI 
SPECIFICHE TECNICHE: IN PARALLELO AD UNA QUALSIASI DERIVAZIONE; PER IMPIANTI DI ENERGIA; REALIZZATO CON TUBO PROTETTIVO FLESSIBILE O RIGIDO DI PLASTICA POLIVINILCLORURO (PVC) AD ALTA RESISTENZA ALLO SCHIACCIAMENTO; CONDUTTORI DI ALIMENTAZIONE E DI TERRA DI LEGA RAME GENERICO RICOTTO ISOLATO CONFORMI AI REQUISITI PREVISTI DALLA NORMATIVA EUROPEA REGOLAMENTO UE 305/2011 - PRODOTTI DA COSTRUZIONE CPR; TIPOLOGIA CONDUTTORI E SEZIONE ADEGUATI ALL'UTILIZZO 
LV INSTALLAZIONE IN OPERA. INCLUSO: LINEA DI COLLEGAMENTO ALLO SPECIFICO PUNTO DI ALIMENTAZIONE; FISSAGGIO DELLE CANALIZZAZIONI A MEZZO DI TASSELLI O GANCI; ASSISTENZA PER IL TRASPORTO DEI MATERIALI AL PIANO.</t>
        </is>
      </c>
      <c r="M484" s="4" t="inlineStr">
        <is>
          <t>CAD</t>
        </is>
      </c>
      <c r="N484" s="5" t="n">
        <v>101</v>
      </c>
      <c r="O484" s="6" t="n">
        <v>31.33</v>
      </c>
      <c r="P484" s="6" t="n">
        <v>3164.33</v>
      </c>
      <c r="Q484" s="5" t="n"/>
      <c r="R484" s="6" t="n"/>
      <c r="S484" s="6">
        <f>IF(AND(Q484&lt;&gt;"",R484&lt;&gt;""),Q484*R484,"")</f>
        <v/>
      </c>
      <c r="T484" s="6">
        <f>IF(S484="",P484,S484)</f>
        <v/>
      </c>
      <c r="U484" s="7" t="n">
        <v>0</v>
      </c>
      <c r="V484" s="6">
        <f>$T484*U484</f>
        <v/>
      </c>
      <c r="W484" s="7" t="n">
        <v>0</v>
      </c>
      <c r="X484" s="6">
        <f>$T484*W484</f>
        <v/>
      </c>
      <c r="Y484" s="7" t="n">
        <v>0</v>
      </c>
      <c r="Z484" s="6">
        <f>$T484*Y484</f>
        <v/>
      </c>
      <c r="AA484" s="7" t="n">
        <v>0</v>
      </c>
      <c r="AB484" s="6">
        <f>$T484*AA484</f>
        <v/>
      </c>
      <c r="AC484" s="7" t="n">
        <v>0</v>
      </c>
      <c r="AD484" s="6">
        <f>$T484*AC484</f>
        <v/>
      </c>
      <c r="AE484" s="7" t="n">
        <v>0</v>
      </c>
      <c r="AF484" s="6">
        <f>$T484*AE484</f>
        <v/>
      </c>
      <c r="AG484" s="7" t="n">
        <v>0</v>
      </c>
      <c r="AH484" s="6">
        <f>$T484*AG484</f>
        <v/>
      </c>
      <c r="AI484" s="7">
        <f>U484+W484+Y484+AA484+AC484+AE484+AG484</f>
        <v/>
      </c>
      <c r="AJ484" s="6">
        <f>V484+X484+Z484+AB484+AD484+AF484+AH484</f>
        <v/>
      </c>
    </row>
    <row r="485" ht="60" customHeight="1" s="35">
      <c r="A485" s="3" t="inlineStr">
        <is>
          <t>LOM252.OC.EEA.PA02.H8204.ZA001.0785</t>
        </is>
      </c>
      <c r="B485" s="4" t="inlineStr">
        <is>
          <t>1/1</t>
        </is>
      </c>
      <c r="C485" s="3" t="inlineStr">
        <is>
          <t>IMPIANTO ELETTRICO</t>
        </is>
      </c>
      <c r="D485" s="4" t="inlineStr">
        <is>
          <t>NON SPECIALE</t>
        </is>
      </c>
      <c r="E485" s="4" t="inlineStr">
        <is>
          <t>ELETTRICHE</t>
        </is>
      </c>
      <c r="F485" s="3" t="inlineStr">
        <is>
          <t>3_CME IE RADIOFARMACIA PAVIA - REV02 VARIANTE ESECUTIVA.PDF</t>
        </is>
      </c>
      <c r="G485" s="4" t="inlineStr">
        <is>
          <t>186/186</t>
        </is>
      </c>
      <c r="H485" s="3" t="inlineStr">
        <is>
          <t>40 - IMPIANTISTICO</t>
        </is>
      </c>
      <c r="I485" s="3" t="inlineStr">
        <is>
          <t>RADIOFARMACIA</t>
        </is>
      </c>
      <c r="J485" s="3" t="inlineStr">
        <is>
          <t>IMPIANTO DI ILLUMINAZIONE</t>
        </is>
      </c>
      <c r="K485" s="3" t="inlineStr">
        <is>
          <t xml:space="preserve">OPERA: RIVEVLATORE, AD INFRAROSSI PASSIVI; FUNZIONE: RIVELATORE DI PRESENZA. </t>
        </is>
      </c>
      <c r="L485" s="3" t="inlineStr">
        <is>
          <t>OPERA: RIVEVLATORE, AD INFRAROSSI PASSIVI; FUNZIONE: RIVELATORE DI PRESENZA. 
LAVORO: POSA. OP RIVEVLATORE, AD INFRAROSSI PASSIVI; FUNZIONE: RIVELATORE DI PRESENZA. 
RM RIVELATORE AD INFRAROSSI PASSIVI; FUNZIONE: RIVELATORE DI PRESENZA 
LV POSA.</t>
        </is>
      </c>
      <c r="M485" s="4" t="inlineStr">
        <is>
          <t>CAD</t>
        </is>
      </c>
      <c r="N485" s="5" t="n">
        <v>12</v>
      </c>
      <c r="O485" s="6" t="n">
        <v>69.97</v>
      </c>
      <c r="P485" s="6" t="n">
        <v>839.64</v>
      </c>
      <c r="Q485" s="5" t="n"/>
      <c r="R485" s="6" t="n"/>
      <c r="S485" s="6">
        <f>IF(AND(Q485&lt;&gt;"",R485&lt;&gt;""),Q485*R485,"")</f>
        <v/>
      </c>
      <c r="T485" s="6">
        <f>IF(S485="",P485,S485)</f>
        <v/>
      </c>
      <c r="U485" s="7" t="n">
        <v>0</v>
      </c>
      <c r="V485" s="6">
        <f>$T485*U485</f>
        <v/>
      </c>
      <c r="W485" s="7" t="n">
        <v>0</v>
      </c>
      <c r="X485" s="6">
        <f>$T485*W485</f>
        <v/>
      </c>
      <c r="Y485" s="7" t="n">
        <v>0</v>
      </c>
      <c r="Z485" s="6">
        <f>$T485*Y485</f>
        <v/>
      </c>
      <c r="AA485" s="7" t="n">
        <v>0</v>
      </c>
      <c r="AB485" s="6">
        <f>$T485*AA485</f>
        <v/>
      </c>
      <c r="AC485" s="7" t="n">
        <v>0</v>
      </c>
      <c r="AD485" s="6">
        <f>$T485*AC485</f>
        <v/>
      </c>
      <c r="AE485" s="7" t="n">
        <v>0</v>
      </c>
      <c r="AF485" s="6">
        <f>$T485*AE485</f>
        <v/>
      </c>
      <c r="AG485" s="7" t="n">
        <v>0</v>
      </c>
      <c r="AH485" s="6">
        <f>$T485*AG485</f>
        <v/>
      </c>
      <c r="AI485" s="7">
        <f>U485+W485+Y485+AA485+AC485+AE485+AG485</f>
        <v/>
      </c>
      <c r="AJ485" s="6">
        <f>V485+X485+Z485+AB485+AD485+AF485+AH485</f>
        <v/>
      </c>
    </row>
    <row r="486" ht="60" customHeight="1" s="35">
      <c r="A486" s="3" t="inlineStr">
        <is>
          <t>IE_NP_ILLEM01</t>
        </is>
      </c>
      <c r="B486" s="4" t="inlineStr">
        <is>
          <t>1/2</t>
        </is>
      </c>
      <c r="C486" s="3" t="inlineStr">
        <is>
          <t>IMPIANTO ELETTRICO</t>
        </is>
      </c>
      <c r="D486" s="4" t="inlineStr">
        <is>
          <t>NON SPECIALE</t>
        </is>
      </c>
      <c r="E486" s="4" t="inlineStr">
        <is>
          <t>ELETTRICHE</t>
        </is>
      </c>
      <c r="F486" s="3" t="inlineStr">
        <is>
          <t>3_CME IE RADIOFARMACIA PAVIA - REV02 VARIANTE ESECUTIVA.PDF</t>
        </is>
      </c>
      <c r="G486" s="4" t="inlineStr">
        <is>
          <t>187/187</t>
        </is>
      </c>
      <c r="H486" s="3" t="inlineStr">
        <is>
          <t>40 - IMPIANTISTICO</t>
        </is>
      </c>
      <c r="I486" s="3" t="inlineStr">
        <is>
          <t>RADIOFARMACIA</t>
        </is>
      </c>
      <c r="J486" s="3" t="inlineStr">
        <is>
          <t>IMPIANTO DI ILLUMINAZIONE</t>
        </is>
      </c>
      <c r="K486" s="3" t="inlineStr">
        <is>
          <t>MODULO INVERTER PER ILLUMINAZIONE DI EMERGENZA CON CONTROLLO LOCALE E CENTRALIZZATO, COSTITUITA DA UN COMPLESSO ELETTRONICO DI COMANDO E DA BATTERIE AL NI-CD, AUTONOMIA MINIMA 1,5 ORE, INSTALLABILE IN</t>
        </is>
      </c>
      <c r="L486" s="3" t="inlineStr">
        <is>
          <t>MODULO INVERTER PER ILLUMINAZIONE DI EMERGENZA CON CONTROLLO LOCALE E CENTRALIZZATO, COSTITUITA DA UN COMPLESSO ELETTRONICO DI COMANDO E DA BATTERIE AL NI-CD, AUTONOMIA MINIMA 1,5 ORE, INSTALLABILE IN PLAFONIERA E ADATTA PER L'ACCENSIONE DI MODULI LED; IDONEO ALL'IMPIEGO PER ILLUMINAZIONE PERMANENTE E NON PERMANENTE.</t>
        </is>
      </c>
      <c r="M486" s="4" t="inlineStr">
        <is>
          <t>CADAUNO</t>
        </is>
      </c>
      <c r="N486" s="5" t="n">
        <v>22</v>
      </c>
      <c r="O486" s="6" t="n">
        <v>118.59</v>
      </c>
      <c r="P486" s="6" t="n">
        <v>2608.98</v>
      </c>
      <c r="Q486" s="5" t="n"/>
      <c r="R486" s="6" t="n"/>
      <c r="S486" s="6">
        <f>IF(AND(Q486&lt;&gt;"",R486&lt;&gt;""),Q486*R486,"")</f>
        <v/>
      </c>
      <c r="T486" s="6">
        <f>IF(S486="",P486,S486)</f>
        <v/>
      </c>
      <c r="U486" s="7" t="n">
        <v>0</v>
      </c>
      <c r="V486" s="6">
        <f>$T486*U486</f>
        <v/>
      </c>
      <c r="W486" s="7" t="n">
        <v>0</v>
      </c>
      <c r="X486" s="6">
        <f>$T486*W486</f>
        <v/>
      </c>
      <c r="Y486" s="7" t="n">
        <v>0</v>
      </c>
      <c r="Z486" s="6">
        <f>$T486*Y486</f>
        <v/>
      </c>
      <c r="AA486" s="7" t="n">
        <v>0</v>
      </c>
      <c r="AB486" s="6">
        <f>$T486*AA486</f>
        <v/>
      </c>
      <c r="AC486" s="7" t="n">
        <v>0</v>
      </c>
      <c r="AD486" s="6">
        <f>$T486*AC486</f>
        <v/>
      </c>
      <c r="AE486" s="7" t="n">
        <v>0</v>
      </c>
      <c r="AF486" s="6">
        <f>$T486*AE486</f>
        <v/>
      </c>
      <c r="AG486" s="7" t="n">
        <v>0</v>
      </c>
      <c r="AH486" s="6">
        <f>$T486*AG486</f>
        <v/>
      </c>
      <c r="AI486" s="7">
        <f>U486+W486+Y486+AA486+AC486+AE486+AG486</f>
        <v/>
      </c>
      <c r="AJ486" s="6">
        <f>V486+X486+Z486+AB486+AD486+AF486+AH486</f>
        <v/>
      </c>
    </row>
    <row r="487" ht="60" customHeight="1" s="35">
      <c r="A487" s="3" t="inlineStr">
        <is>
          <t>IE_NP_ILLORD01</t>
        </is>
      </c>
      <c r="B487" s="4" t="inlineStr">
        <is>
          <t>4/5</t>
        </is>
      </c>
      <c r="C487" s="3" t="inlineStr">
        <is>
          <t>IMPIANTO ELETTRICO</t>
        </is>
      </c>
      <c r="D487" s="4" t="inlineStr">
        <is>
          <t>NON SPECIALE</t>
        </is>
      </c>
      <c r="E487" s="4" t="inlineStr">
        <is>
          <t>ELETTRICHE</t>
        </is>
      </c>
      <c r="F487" s="3" t="inlineStr">
        <is>
          <t>3_CME IE RADIOFARMACIA PAVIA - REV02 VARIANTE ESECUTIVA.PDF</t>
        </is>
      </c>
      <c r="G487" s="4" t="inlineStr">
        <is>
          <t>188/188</t>
        </is>
      </c>
      <c r="H487" s="3" t="inlineStr">
        <is>
          <t>40 - IMPIANTISTICO</t>
        </is>
      </c>
      <c r="I487" s="3" t="inlineStr">
        <is>
          <t>RADIOFARMACIA</t>
        </is>
      </c>
      <c r="J487" s="3" t="inlineStr">
        <is>
          <t>IMPIANTO DI ILLUMINAZIONE</t>
        </is>
      </c>
      <c r="K487" s="3" t="inlineStr">
        <is>
          <t>FORNITURA E POSA IN OPERA DI APPARECCHIO ILLUMINANTE INDUSTRIALE DI TIPO STAGNO INSTALLATO A PLAFONE E/O A SOSPENSIONE E TUTTI GLI ACCESSORI NECESSARI PER IL PERFETTO FUNZIONAMENTO DEL CORPO ILLUMINAN</t>
        </is>
      </c>
      <c r="L487" s="3" t="inlineStr">
        <is>
          <t>FORNITURA E POSA IN OPERA DI APPARECCHIO ILLUMINANTE INDUSTRIALE DI TIPO STAGNO INSTALLATO A PLAFONE E/O A SOSPENSIONE E TUTTI GLI ACCESSORI NECESSARI PER IL PERFETTO FUNZIONAMENTO DEL CORPO ILLUMINANTE. 
CARATTERISTICHE GENERALI: 
CLASSIFICAZIONE RISCHIO FOTOBIOLOGICO: RG0 GRUPPO ESENTE. 
TEMPERATURA COLORE 4000K 
POTENZA ASSORBITA (W TOT) 34W 
FLUSSO LUMINOSO USCENTE 5194LM 
CRI &gt;=80 
CLASSE DI ISOLAMENTO I 
LOW FLICKER &lt;3% 
GRADO DI PROTEZIONE IP66 
PESO 1.8KG 
NORME DI RIFERIMENTO EN 60598-1, EN 60598-2-1, EN 62471, UNI EN 13032-1:2012, UNI EN 13032-4:2015, IES LM-79-08 
MANTENIMENTO DEL FLUSSO LUMINOSO LED L80B20: 50.000H  
CARATTERISTICHE ELETTRICHE DI PILOTAGGIO 
ALIMENTAZIONE ELETTRONICA 230V-50/60HZ, 
FATTORE DI POTENZA ≥0,95 
MATERIALI 
CORPO: STAMPATO AD INIEZIONE IN POLICARBONATO GRIGIO, INFRANGIBILE, STABILIZZATO AI RAGGI UV, DI ELEVATA RESISTENZA MECCANICA GRAZIE ALLA STRUTTURA RINFORZATA DA NERVATURE INTERNE. 
DIFFUSORE: STAMPATO AD INIEZIONE IN POLICARBONATO CON RIGHE INTERNE PER UN MAGGIOR CONTROLLO LUMINOSO, AUTOESTINGUENTE V2, STABILIZZATO AI RAGGI UV, FINITURA ESTERNA LISCIA PER FACILITARE LA PULIZIA NECESSARIA PER AVERE LA MASSIMA EFFICIENZA LUMINOSA. IL POLICARBONATO UTILIZZATO È DI PRIMA SCELTA E STABILIZZATO AI RAGGI U.V. LA LAVORAZIONE ELIMINA L’EFFETTO DELL’ABBAGLIAMENTO MA NON DIMINUISCE IL RENDIMENTO. POLICARBONATO CON OTTIMO COEFFICIENTE DI DIFFUSIONE E DI TRASMISSIONE DELLA LUCE. CHIUSURA A INCASTRO E CON VITI DI SICUREZZA IN ACCIAIO INOX. 
RIFLETTORE IN ACCIAIO ZINCATO PREVERNICIATO BIANCO A FORNO CON RESINA POLIESTERE STABILIZZATO AI RAGGI UV. FISSATO AL CORPO CON INNESTO RAPIDO MEDIANTE DISPOSITIVO RICAVATO DIRETTAMENTE SUL CORPO. 
SONO COMPRESI LA MANODOPERA, GLI ALLACCIAMENTI ELETTRICI, GLI ACCESSORI DI MONTAGGIO, FISSAGGIO, ALIMENTAZIONE, SOSTEGNO, OGNI ONERE ACCESSORIO PER L’INSTALLAZIONE DELLA PLAFONIERA COME DA PROGETTO E MATERIALI DI CONSUMO. 
APPARECCHIO DISANO - MODELLO 960 HYDRO LED - MONEY SAVING  - ART. 164754-00 O EQUIVALENTE APPROVATO</t>
        </is>
      </c>
      <c r="M487" s="4" t="inlineStr">
        <is>
          <t>CADAUNO</t>
        </is>
      </c>
      <c r="N487" s="5" t="n">
        <v>0</v>
      </c>
      <c r="O487" s="6" t="n">
        <v>0</v>
      </c>
      <c r="P487" s="6" t="n">
        <v>0</v>
      </c>
      <c r="Q487" s="5" t="n"/>
      <c r="R487" s="6" t="n"/>
      <c r="S487" s="6">
        <f>IF(AND(Q487&lt;&gt;"",R487&lt;&gt;""),Q487*R487,"")</f>
        <v/>
      </c>
      <c r="T487" s="6">
        <f>IF(S487="",P487,S487)</f>
        <v/>
      </c>
      <c r="U487" s="7" t="n">
        <v>0</v>
      </c>
      <c r="V487" s="6">
        <f>$T487*U487</f>
        <v/>
      </c>
      <c r="W487" s="7" t="n">
        <v>0</v>
      </c>
      <c r="X487" s="6">
        <f>$T487*W487</f>
        <v/>
      </c>
      <c r="Y487" s="7" t="n">
        <v>0</v>
      </c>
      <c r="Z487" s="6">
        <f>$T487*Y487</f>
        <v/>
      </c>
      <c r="AA487" s="7" t="n">
        <v>0</v>
      </c>
      <c r="AB487" s="6">
        <f>$T487*AA487</f>
        <v/>
      </c>
      <c r="AC487" s="7" t="n">
        <v>0</v>
      </c>
      <c r="AD487" s="6">
        <f>$T487*AC487</f>
        <v/>
      </c>
      <c r="AE487" s="7" t="n">
        <v>0</v>
      </c>
      <c r="AF487" s="6">
        <f>$T487*AE487</f>
        <v/>
      </c>
      <c r="AG487" s="7" t="n">
        <v>0</v>
      </c>
      <c r="AH487" s="6">
        <f>$T487*AG487</f>
        <v/>
      </c>
      <c r="AI487" s="7">
        <f>U487+W487+Y487+AA487+AC487+AE487+AG487</f>
        <v/>
      </c>
      <c r="AJ487" s="6">
        <f>V487+X487+Z487+AB487+AD487+AF487+AH487</f>
        <v/>
      </c>
    </row>
    <row r="488" ht="60" customHeight="1" s="35">
      <c r="A488" s="3" t="inlineStr">
        <is>
          <t>IE_NP_ILLORD05</t>
        </is>
      </c>
      <c r="B488" s="4" t="inlineStr">
        <is>
          <t>1/2</t>
        </is>
      </c>
      <c r="C488" s="3" t="inlineStr">
        <is>
          <t>IMPIANTO ELETTRICO</t>
        </is>
      </c>
      <c r="D488" s="4" t="inlineStr">
        <is>
          <t>NON SPECIALE</t>
        </is>
      </c>
      <c r="E488" s="4" t="inlineStr">
        <is>
          <t>ELETTRICHE</t>
        </is>
      </c>
      <c r="F488" s="3" t="inlineStr">
        <is>
          <t>3_CME IE RADIOFARMACIA PAVIA - REV02 VARIANTE ESECUTIVA.PDF</t>
        </is>
      </c>
      <c r="G488" s="4" t="inlineStr">
        <is>
          <t>189/189</t>
        </is>
      </c>
      <c r="H488" s="3" t="inlineStr">
        <is>
          <t>40 - IMPIANTISTICO</t>
        </is>
      </c>
      <c r="I488" s="3" t="inlineStr">
        <is>
          <t>RADIOFARMACIA</t>
        </is>
      </c>
      <c r="J488" s="3" t="inlineStr">
        <is>
          <t>IMPIANTO DI ILLUMINAZIONE</t>
        </is>
      </c>
      <c r="K488" s="3" t="inlineStr">
        <is>
          <t>FORNITURA E POSA IN OPERA DI APPARECCHIO ILLUMINANTE LINEARE INSTALLATO A PARETE E TUTTI GLI ACCESSORI NECESSARI PER IL PERFETTO FUNZIONAMENTO DEL CORPO ILLUMINANTE. CARATTERISTICHE GENERALI: CLASSIFI</t>
        </is>
      </c>
      <c r="L488" s="3" t="inlineStr">
        <is>
          <t>FORNITURA E POSA IN OPERA DI APPARECCHIO ILLUMINANTE LINEARE INSTALLATO A PARETE E TUTTI GLI ACCESSORI NECESSARI PER IL PERFETTO FUNZIONAMENTO DEL CORPO ILLUMINANTE. CARATTERISTICHE GENERALI: CLASSIFICAZIONE RISCHIO FOTOBIOLOGICO: RG0 GRUPPO ESENTE. TEMPERATURA COLORE 4000K POTENZA ASSORBITA (W TOT) 28W FLUSSO LUMINOSO USCENTE 2858LM CRI &gt;=80 CLASSE DI ISOLAMENTO I LOW FLICKER &lt;3% GRADO DI PROTEZIONE IP43 PESO 1.5KG NORME DI RIFERIMENTO EN 60598-1, EN 60598-2-1, EN 62471, UNI EN 13032-1:2012, UNI EN 13032-4:2015, IES LM-79-08 MANTENIMENTO DEL FLUSSO LUMINOSO LED L80B20: 50.000H  CARATTERISTICHE ELETTRICHE DI PILOTAGGIO ALIMENTAZIONE ELETTRONICA 230V-50/60HZ, FATTORE DI POTENZA ≥0,95 MATERIALI CORPO: IN ALLUMINIO ESTRUSO CON TESTATE DI CHIUSURA DIFFUSORE: IN POLICARBONATO TRASPARENTE, ANTIABBAGLIAMENTO, INFRANGIBILE EAUTOESTINGUENTE V2, STABILIZZATO AI RAGGI UV.  APPARECCHIO DISANO - MODELLO 420 RIGO LED - ART. 214567-00 O EQUIVALENTE APPROVATO</t>
        </is>
      </c>
      <c r="M488" s="4" t="inlineStr">
        <is>
          <t>CADAUNO</t>
        </is>
      </c>
      <c r="N488" s="5" t="n">
        <v>10</v>
      </c>
      <c r="O488" s="6" t="n">
        <v>148.64</v>
      </c>
      <c r="P488" s="6" t="n">
        <v>1486.4</v>
      </c>
      <c r="Q488" s="5" t="n"/>
      <c r="R488" s="6" t="n"/>
      <c r="S488" s="6">
        <f>IF(AND(Q488&lt;&gt;"",R488&lt;&gt;""),Q488*R488,"")</f>
        <v/>
      </c>
      <c r="T488" s="6">
        <f>IF(S488="",P488,S488)</f>
        <v/>
      </c>
      <c r="U488" s="7" t="n">
        <v>0</v>
      </c>
      <c r="V488" s="6">
        <f>$T488*U488</f>
        <v/>
      </c>
      <c r="W488" s="7" t="n">
        <v>0</v>
      </c>
      <c r="X488" s="6">
        <f>$T488*W488</f>
        <v/>
      </c>
      <c r="Y488" s="7" t="n">
        <v>0</v>
      </c>
      <c r="Z488" s="6">
        <f>$T488*Y488</f>
        <v/>
      </c>
      <c r="AA488" s="7" t="n">
        <v>0</v>
      </c>
      <c r="AB488" s="6">
        <f>$T488*AA488</f>
        <v/>
      </c>
      <c r="AC488" s="7" t="n">
        <v>0</v>
      </c>
      <c r="AD488" s="6">
        <f>$T488*AC488</f>
        <v/>
      </c>
      <c r="AE488" s="7" t="n">
        <v>0</v>
      </c>
      <c r="AF488" s="6">
        <f>$T488*AE488</f>
        <v/>
      </c>
      <c r="AG488" s="7" t="n">
        <v>0</v>
      </c>
      <c r="AH488" s="6">
        <f>$T488*AG488</f>
        <v/>
      </c>
      <c r="AI488" s="7">
        <f>U488+W488+Y488+AA488+AC488+AE488+AG488</f>
        <v/>
      </c>
      <c r="AJ488" s="6">
        <f>V488+X488+Z488+AB488+AD488+AF488+AH488</f>
        <v/>
      </c>
    </row>
    <row r="489" ht="60" customHeight="1" s="35">
      <c r="A489" s="3" t="inlineStr">
        <is>
          <t>IE_NP_ILLORD03</t>
        </is>
      </c>
      <c r="B489" s="4" t="inlineStr">
        <is>
          <t>1/1</t>
        </is>
      </c>
      <c r="C489" s="3" t="inlineStr">
        <is>
          <t>IMPIANTO ELETTRICO</t>
        </is>
      </c>
      <c r="D489" s="4" t="inlineStr">
        <is>
          <t>NON SPECIALE</t>
        </is>
      </c>
      <c r="E489" s="4" t="inlineStr">
        <is>
          <t>ELETTRICHE</t>
        </is>
      </c>
      <c r="F489" s="3" t="inlineStr">
        <is>
          <t>3_CME IE RADIOFARMACIA PAVIA - REV02 VARIANTE ESECUTIVA.PDF</t>
        </is>
      </c>
      <c r="G489" s="4" t="inlineStr">
        <is>
          <t>190/190</t>
        </is>
      </c>
      <c r="H489" s="3" t="inlineStr">
        <is>
          <t>40 - IMPIANTISTICO</t>
        </is>
      </c>
      <c r="I489" s="3" t="inlineStr">
        <is>
          <t>RADIOFARMACIA</t>
        </is>
      </c>
      <c r="J489" s="3" t="inlineStr">
        <is>
          <t>IMPIANTO DI ILLUMINAZIONE</t>
        </is>
      </c>
      <c r="K489" s="3" t="inlineStr">
        <is>
          <t>PLAFONIERA AD INCASSO PER CONTROSOFFITTATURE A PANNELLI ADATTA AD UFFICI E CORRIDOI. PRODOTTO IN CONFORMITÀ ALLE NORME EN 60598 CEI 34-21, CLASSE DI ISOLAMENTO I E GRADO DI PROTEZIONE IP40 - IK05 IN C</t>
        </is>
      </c>
      <c r="L489" s="3" t="inlineStr">
        <is>
          <t>PLAFONIERA AD INCASSO PER CONTROSOFFITTATURE A PANNELLI ADATTA AD UFFICI E CORRIDOI. PRODOTTO IN CONFORMITÀ ALLE NORME EN 60598 CEI 34-21, CLASSE DI ISOLAMENTO I E GRADO DI PROTEZIONE IP40 - IK05 IN CONFORMITÀ ALLE NORME EN 60529 E EN 50102. CORPO IN ACCIAIO ZINCATO PREVERNICIATO CON RESINA POLIESTERE, OTTICA AD ALVEOLI A DOPPIA PARABOLICITÀ ANTIRIFLESSO IN ALLUMINIO SPECULARE A BASSISSIMA LUMINANZA; EQUIPAGGIATA CON - MODULO DA: - LAMPADE LED 4000K 4200 LM POTENZA 45 W - MODULO DA 600 X 600 MM APPARECCHIO BEGHELLI - MODELLO BEGHELLI PAN LED 70022 O EQUIVALENTE APPROVATO</t>
        </is>
      </c>
      <c r="M489" s="4" t="inlineStr">
        <is>
          <t>CADAUNO</t>
        </is>
      </c>
      <c r="N489" s="5" t="n">
        <v>99</v>
      </c>
      <c r="O489" s="6" t="n">
        <v>303.58</v>
      </c>
      <c r="P489" s="6" t="n">
        <v>30054.42</v>
      </c>
      <c r="Q489" s="5" t="n"/>
      <c r="R489" s="6" t="n"/>
      <c r="S489" s="6">
        <f>IF(AND(Q489&lt;&gt;"",R489&lt;&gt;""),Q489*R489,"")</f>
        <v/>
      </c>
      <c r="T489" s="6">
        <f>IF(S489="",P489,S489)</f>
        <v/>
      </c>
      <c r="U489" s="7" t="n">
        <v>0</v>
      </c>
      <c r="V489" s="6">
        <f>$T489*U489</f>
        <v/>
      </c>
      <c r="W489" s="7" t="n">
        <v>0.4</v>
      </c>
      <c r="X489" s="6">
        <f>$T489*W489</f>
        <v/>
      </c>
      <c r="Y489" s="7" t="n">
        <v>0</v>
      </c>
      <c r="Z489" s="6">
        <f>$T489*Y489</f>
        <v/>
      </c>
      <c r="AA489" s="7" t="n">
        <v>0</v>
      </c>
      <c r="AB489" s="6">
        <f>$T489*AA489</f>
        <v/>
      </c>
      <c r="AC489" s="7" t="n">
        <v>0</v>
      </c>
      <c r="AD489" s="6">
        <f>$T489*AC489</f>
        <v/>
      </c>
      <c r="AE489" s="7" t="n">
        <v>0</v>
      </c>
      <c r="AF489" s="6">
        <f>$T489*AE489</f>
        <v/>
      </c>
      <c r="AG489" s="7" t="n">
        <v>0</v>
      </c>
      <c r="AH489" s="6">
        <f>$T489*AG489</f>
        <v/>
      </c>
      <c r="AI489" s="7">
        <f>U489+W489+Y489+AA489+AC489+AE489+AG489</f>
        <v/>
      </c>
      <c r="AJ489" s="6">
        <f>V489+X489+Z489+AB489+AD489+AF489+AH489</f>
        <v/>
      </c>
    </row>
    <row r="490" ht="60" customHeight="1" s="35">
      <c r="A490" s="3" t="inlineStr">
        <is>
          <t>IE_NP_ILLORD04</t>
        </is>
      </c>
      <c r="B490" s="4" t="inlineStr">
        <is>
          <t>1/1</t>
        </is>
      </c>
      <c r="C490" s="3" t="inlineStr">
        <is>
          <t>IMPIANTO ELETTRICO</t>
        </is>
      </c>
      <c r="D490" s="4" t="inlineStr">
        <is>
          <t>NON SPECIALE</t>
        </is>
      </c>
      <c r="E490" s="4" t="inlineStr">
        <is>
          <t>ELETTRICHE</t>
        </is>
      </c>
      <c r="F490" s="3" t="inlineStr">
        <is>
          <t>3_CME IE RADIOFARMACIA PAVIA - REV02 VARIANTE ESECUTIVA.PDF</t>
        </is>
      </c>
      <c r="G490" s="4" t="inlineStr">
        <is>
          <t>191/191</t>
        </is>
      </c>
      <c r="H490" s="3" t="inlineStr">
        <is>
          <t>40 - IMPIANTISTICO</t>
        </is>
      </c>
      <c r="I490" s="3" t="inlineStr">
        <is>
          <t>RADIOFARMACIA</t>
        </is>
      </c>
      <c r="J490" s="3" t="inlineStr">
        <is>
          <t>IMPIANTO DI ILLUMINAZIONE</t>
        </is>
      </c>
      <c r="K490" s="3" t="inlineStr">
        <is>
          <t>FARETTO DA INCASSO PER INTERNI. PRODOTTO IN CONFORMITÀ ALLE NORME EN 60598-1 CEI 34-21, CLASSE DI ISOLAMENTO I E GRADO DI PROTEZIONE IP40 - IK07 IN CONFORMITÀ ALLE NORME EN 60529 E EN 50102.   CORPO I</t>
        </is>
      </c>
      <c r="L490" s="3" t="inlineStr">
        <is>
          <t>FARETTO DA INCASSO PER INTERNI. PRODOTTO IN CONFORMITÀ ALLE NORME EN 60598-1 CEI 34-21, CLASSE DI ISOLAMENTO I E GRADO DI PROTEZIONE IP40 - IK07 IN CONFORMITÀ ALLE NORME EN 60529 E EN 50102.   CORPO IN POLICARBONATO INFRANGIBILE ED AUTOESTINGUENTE V2, STABILIZZATO AI RAGGI UV, ANTIGIALLIMENTO, RIFLETTORE IN POLICARBONATO INFRANGIBILE AUTOESTINGUENTE SISTEMA ANTIRIFLESSO ED ANTI ABBAGLIAMENTO,  ALIMENTATORE INCORPORATO, COMPLETO DI STAFFA REGOLABILE IN ACCIAIO CHE ASSICURA L'ADERENZA AL CONTROSOFFITTO,  ALIMENTAZIONE 230 V 50 HZ; EQUIPAGGIATO CON LAMPADA LED 4000K 2400 LM DA: - 18W APPARECCHIO BEGHELLI - MODELLO FOSNOVA ENERGY 2245 O EQUIVALENTE APPROVATO</t>
        </is>
      </c>
      <c r="M490" s="4" t="inlineStr">
        <is>
          <t>CADAUNO</t>
        </is>
      </c>
      <c r="N490" s="5" t="n">
        <v>14</v>
      </c>
      <c r="O490" s="6" t="n">
        <v>75.51000000000001</v>
      </c>
      <c r="P490" s="6" t="n">
        <v>1057.14</v>
      </c>
      <c r="Q490" s="5" t="n"/>
      <c r="R490" s="6" t="n"/>
      <c r="S490" s="6">
        <f>IF(AND(Q490&lt;&gt;"",R490&lt;&gt;""),Q490*R490,"")</f>
        <v/>
      </c>
      <c r="T490" s="6">
        <f>IF(S490="",P490,S490)</f>
        <v/>
      </c>
      <c r="U490" s="7" t="n">
        <v>0</v>
      </c>
      <c r="V490" s="6">
        <f>$T490*U490</f>
        <v/>
      </c>
      <c r="W490" s="7" t="n">
        <v>0.4</v>
      </c>
      <c r="X490" s="6">
        <f>$T490*W490</f>
        <v/>
      </c>
      <c r="Y490" s="7" t="n">
        <v>0</v>
      </c>
      <c r="Z490" s="6">
        <f>$T490*Y490</f>
        <v/>
      </c>
      <c r="AA490" s="7" t="n">
        <v>0</v>
      </c>
      <c r="AB490" s="6">
        <f>$T490*AA490</f>
        <v/>
      </c>
      <c r="AC490" s="7" t="n">
        <v>0</v>
      </c>
      <c r="AD490" s="6">
        <f>$T490*AC490</f>
        <v/>
      </c>
      <c r="AE490" s="7" t="n">
        <v>0</v>
      </c>
      <c r="AF490" s="6">
        <f>$T490*AE490</f>
        <v/>
      </c>
      <c r="AG490" s="7" t="n">
        <v>0</v>
      </c>
      <c r="AH490" s="6">
        <f>$T490*AG490</f>
        <v/>
      </c>
      <c r="AI490" s="7">
        <f>U490+W490+Y490+AA490+AC490+AE490+AG490</f>
        <v/>
      </c>
      <c r="AJ490" s="6">
        <f>V490+X490+Z490+AB490+AD490+AF490+AH490</f>
        <v/>
      </c>
    </row>
    <row r="491" ht="60" customHeight="1" s="35">
      <c r="A491" s="3" t="inlineStr">
        <is>
          <t>LOM252.OC.EEA.PA01.G8210.ZA001.0590</t>
        </is>
      </c>
      <c r="B491" s="4" t="inlineStr">
        <is>
          <t>4/5</t>
        </is>
      </c>
      <c r="C491" s="3" t="inlineStr">
        <is>
          <t>IMPIANTO ELETTRICO</t>
        </is>
      </c>
      <c r="D491" s="4" t="inlineStr">
        <is>
          <t>NON SPECIALE</t>
        </is>
      </c>
      <c r="E491" s="4" t="inlineStr">
        <is>
          <t>ELETTRICHE</t>
        </is>
      </c>
      <c r="F491" s="3" t="inlineStr">
        <is>
          <t>3_CME IE RADIOFARMACIA PAVIA - REV02 VARIANTE ESECUTIVA.PDF</t>
        </is>
      </c>
      <c r="G491" s="4" t="inlineStr">
        <is>
          <t>192/192</t>
        </is>
      </c>
      <c r="H491" s="3" t="inlineStr">
        <is>
          <t>40 - IMPIANTISTICO</t>
        </is>
      </c>
      <c r="I491" s="3" t="inlineStr">
        <is>
          <t>RADIOFARMACIA</t>
        </is>
      </c>
      <c r="J491" s="3" t="inlineStr">
        <is>
          <t>IMPIANTO DI ILLUMINAZIONE</t>
        </is>
      </c>
      <c r="K491" s="3" t="inlineStr">
        <is>
          <t>OPERA: CORPO ILLUMINANTE, LED; FUNZIONE: ILLUMINAZIONE DI EMERGENZA; AUTONOMIA [H] = 1 / 2 | FLUSSO LUMINOSO SE [LM] = 250 / 130 | FLUSSO LUMINOSO SA [LM] = 110. INCLUSO: LED MULTICOLORE. ESCLUSO: ACC</t>
        </is>
      </c>
      <c r="L491" s="3" t="inlineStr">
        <is>
          <t>OPERA: CORPO ILLUMINANTE, LED; FUNZIONE: ILLUMINAZIONE DI EMERGENZA; AUTONOMIA [H] = 1 / 2 | FLUSSO LUMINOSO SE [LM] = 250 / 130 | FLUSSO LUMINOSO SA [LM] = 110. INCLUSO: LED MULTICOLORE. ESCLUSO: ACCESSORIO MODULO AGGIUNTIVO. 
LAVORO: INSTALLAZIONE. 
SPECIFICHE TECNICHE: GRADO SI PROTEZIONE IP66, COMMUTABILE IN VERSIONE SE E SA,  COMMUTABILE IN VERSIONE SE E SA, DOTATO DI SISITEMA AUTOMATICO DI TEST DELL'AUTONOMIA (COMPRENDENTE IL CONTROLLO DI TUTTE LE FUNZIONI DELLA LAMPADA) IN UN ARCO DI TEMPO PARI ALL'AUTONOMIA RICHIESTA DALLE SINGOLE NORMATIVE RISULTATO E  VISUALIZZATO CON LED MULTICOLORE, INSTALLABILE A PARETE, A PLAFONE, A BANDIERA E A INCASSO,  PREDISPOSTO PER INSERIMENTO MODULO AGGIUNTIVO. OP CORPO ILLUMINANTE, LED; FUNZIONE: ILLUMINAZIONE DI EMERGENZA; AUTONOMIA [H] = 1 / 2 | FLUSSO LUMINOSO SE [LM] = 250 / 130 | FLUSSO LUMINOSO SA [LM] = 110. INCLUSO: LED MULTICOLORE. ESCLUSO: ACCESSORIO MODULO AGGIUNTIVO. 
SPECIFICHE TECNICHE: GRADO SI PROTEZIONE IP66, COMMUTABILE IN VERSIONE SE E SA,  COMMUTABILE IN VERSIONE SE E SA, DOTATO DI SISITEMA AUTOMATICO DI TEST DELL'AUTONOMIA (COMPRENDENTE IL CONTROLLO DI TUTTE LE FUNZIONI DELLA LAMPADA) IN UN ARCO DI TEMPO PARI ALL'AUTONOMIA RICHIESTA DALLE SINGOLE NORMATIVE RISULTATO E  VISUALIZZATO CON LED MULTICOLORE, INSTALLABILE A PARETE, A PLAFONE, A BANDIERA E A INCASSO,  PREDISPOSTO PER INSERIMENTO MODULO AGGIUNTIVO. 
RM CORPO ILLUMINANTE LED; FUNZIONE: ILLUMINAZIONE DI EMERGENZA; AUTONOMIA [H] = 1 / 2 | FLUSSO LUMINOSO SE [LM] = 250 / 130 | FLUSSO LUMINOSO SA [LM] = 110. COMPONENTE: BATTERIA TITANIO, . INCLUSO: LED MULTICOLORE. ESCLUSO: ACCESSORIO MODULO AGGIUNTIVO 
SPECIFICHE TECNICHE: GRADO SI PROTEZIONE IP66, COMMUTABILE IN VERSIONE SE E SA,  COMMUTABILE IN VERSIONE SE E SA, DOTATO DI SISITEMA AUTOMATICO DI TEST DELL'AUTONOMIA (COMPRENDENTE IL CONTROLLO DI TUTTE LE FUNZIONI DELLA LAMPADA) IN UN ARCO DI TEMPO PARI ALL'AUTONOMIA RICHIESTA DALLE SINGOLE NORMATIVE RISULTATO E  VISUALIZZATO CON LED MULTICOLORE, INSTALLABILE A PARETE, A PLAFONE, A BANDIERA E A INCASSO,  PREDISPOSTO PER INSERIMENTO MODULO AGGIUNTIVO 
LV INSTALLAZIONE.</t>
        </is>
      </c>
      <c r="M491" s="4" t="inlineStr">
        <is>
          <t>CAD</t>
        </is>
      </c>
      <c r="N491" s="5" t="n">
        <v>10</v>
      </c>
      <c r="O491" s="6" t="n">
        <v>93.43000000000001</v>
      </c>
      <c r="P491" s="6" t="n">
        <v>934.3</v>
      </c>
      <c r="Q491" s="5" t="n"/>
      <c r="R491" s="6" t="n"/>
      <c r="S491" s="6">
        <f>IF(AND(Q491&lt;&gt;"",R491&lt;&gt;""),Q491*R491,"")</f>
        <v/>
      </c>
      <c r="T491" s="6">
        <f>IF(S491="",P491,S491)</f>
        <v/>
      </c>
      <c r="U491" s="7" t="n">
        <v>0</v>
      </c>
      <c r="V491" s="6">
        <f>$T491*U491</f>
        <v/>
      </c>
      <c r="W491" s="7" t="n">
        <v>0.4</v>
      </c>
      <c r="X491" s="6">
        <f>$T491*W491</f>
        <v/>
      </c>
      <c r="Y491" s="7" t="n">
        <v>0</v>
      </c>
      <c r="Z491" s="6">
        <f>$T491*Y491</f>
        <v/>
      </c>
      <c r="AA491" s="7" t="n">
        <v>0</v>
      </c>
      <c r="AB491" s="6">
        <f>$T491*AA491</f>
        <v/>
      </c>
      <c r="AC491" s="7" t="n">
        <v>0</v>
      </c>
      <c r="AD491" s="6">
        <f>$T491*AC491</f>
        <v/>
      </c>
      <c r="AE491" s="7" t="n">
        <v>0</v>
      </c>
      <c r="AF491" s="6">
        <f>$T491*AE491</f>
        <v/>
      </c>
      <c r="AG491" s="7" t="n">
        <v>0</v>
      </c>
      <c r="AH491" s="6">
        <f>$T491*AG491</f>
        <v/>
      </c>
      <c r="AI491" s="7">
        <f>U491+W491+Y491+AA491+AC491+AE491+AG491</f>
        <v/>
      </c>
      <c r="AJ491" s="6">
        <f>V491+X491+Z491+AB491+AD491+AF491+AH491</f>
        <v/>
      </c>
    </row>
    <row r="492" ht="60" customHeight="1" s="35">
      <c r="A492" s="3" t="inlineStr">
        <is>
          <t>LOM252.OC.EEA.PA01.G8210.ZA001.0625</t>
        </is>
      </c>
      <c r="B492" s="4" t="inlineStr">
        <is>
          <t>1/1</t>
        </is>
      </c>
      <c r="C492" s="3" t="inlineStr">
        <is>
          <t>IMPIANTO ELETTRICO</t>
        </is>
      </c>
      <c r="D492" s="4" t="inlineStr">
        <is>
          <t>NON SPECIALE</t>
        </is>
      </c>
      <c r="E492" s="4" t="inlineStr">
        <is>
          <t>ELETTRICHE</t>
        </is>
      </c>
      <c r="F492" s="3" t="inlineStr">
        <is>
          <t>3_CME IE RADIOFARMACIA PAVIA - REV02 VARIANTE ESECUTIVA.PDF</t>
        </is>
      </c>
      <c r="G492" s="4" t="inlineStr">
        <is>
          <t>193/193</t>
        </is>
      </c>
      <c r="H492" s="3" t="inlineStr">
        <is>
          <t>40 - IMPIANTISTICO</t>
        </is>
      </c>
      <c r="I492" s="3" t="inlineStr">
        <is>
          <t>RADIOFARMACIA</t>
        </is>
      </c>
      <c r="J492" s="3" t="inlineStr">
        <is>
          <t>IMPIANTO DI ILLUMINAZIONE</t>
        </is>
      </c>
      <c r="K492" s="3" t="inlineStr">
        <is>
          <t xml:space="preserve">OPERA: CORPO ILLUMINANTE, LED; GEOMETRIA: A BANDIERA; FUNZIONE: SEGNALETICA DI EMERGENZA. INCLUSO: CORPO IN POLICARBONATO, STAFFA UNIVERSALE, PITTOGRAMMA. </t>
        </is>
      </c>
      <c r="L492" s="3" t="inlineStr">
        <is>
          <t>OPERA: CORPO ILLUMINANTE, LED; GEOMETRIA: A BANDIERA; FUNZIONE: SEGNALETICA DI EMERGENZA. INCLUSO: CORPO IN POLICARBONATO, STAFFA UNIVERSALE, PITTOGRAMMA. 
LAVORO: INSTALLAZIONE. 
SPECIFICHE TECNICHE: INSTALLAZIONE A PARETE/SOFFITTO, GRADO DI PROTEZIONE IP40 SCHERMO SERIGRAFATO CHE GARANTISCE LA MASSIMA UNIFORMITÀ DI ILLUMINAMENTO DEL SEGNALE ED ELEVATISSIMA LUMINOSITÀ (OLTRE 500CD/MQ).- SCHERMO AGGIUNTIVO A BANDIERA COMPLETO DI PITTOGRAMMA. OP CORPO ILLUMINANTE, LED; GEOMETRIA: A BANDIERA; FUNZIONE: SEGNALETICA DI EMERGENZA. INCLUSO: CORPO IN POLICARBONATO, STAFFA UNIVERSALE, PITTOGRAMMA. 
SPECIFICHE TECNICHE: INSTALLAZIONE A PARETE/SOFFITTO, GRADO DI PROTEZIONE IP40 SCHERMO SERIGRAFATO CHE GARANTISCE LA MASSIMA UNIFORMITÀ DI ILLUMINAMENTO DEL SEGNALE ED ELEVATISSIMA LUMINOSITÀ (OLTRE 500CD/MQ).- SCHERMO AGGIUNTIVO A BANDIERA COMPLETO DI PITTOGRAMMA. 
RM CORPO ILLUMINANTE LED; GEOMETRIA: A BANDIERA; FUNZIONE: SEGNALETICA DI EMERGENZA. COMPONENTE: SCHERMO, . INCLUSO: CORPO IN POLICARBONATO, STAFFA UNIVERSALE, PITTOGRAMMA 
SPECIFICHE TECNICHE: INSTALLAZIONE A PARETE/SOFFITTO, GRADO DI PROTEZIONE IP40 SCHERMO SERIGRAFATO CHE GARANTISCE LA MASSIMA UNIFORMITÀ DI ILLUMINAMENTO DEL SEGNALE ED ELEVATISSIMA LUMINOSITÀ (OLTRE 500CD/MQ).- SCHERMO AGGIUNTIVO A BANDIERA COMPLETO DI PITTOGRAMMA 
LV INSTALLAZIONE.</t>
        </is>
      </c>
      <c r="M492" s="4" t="inlineStr">
        <is>
          <t>CAD</t>
        </is>
      </c>
      <c r="N492" s="5" t="n">
        <v>7</v>
      </c>
      <c r="O492" s="6" t="n">
        <v>174.05</v>
      </c>
      <c r="P492" s="6" t="n">
        <v>1218.35</v>
      </c>
      <c r="Q492" s="5" t="n"/>
      <c r="R492" s="6" t="n"/>
      <c r="S492" s="6">
        <f>IF(AND(Q492&lt;&gt;"",R492&lt;&gt;""),Q492*R492,"")</f>
        <v/>
      </c>
      <c r="T492" s="6">
        <f>IF(S492="",P492,S492)</f>
        <v/>
      </c>
      <c r="U492" s="7" t="n">
        <v>0</v>
      </c>
      <c r="V492" s="6">
        <f>$T492*U492</f>
        <v/>
      </c>
      <c r="W492" s="7" t="n">
        <v>0</v>
      </c>
      <c r="X492" s="6">
        <f>$T492*W492</f>
        <v/>
      </c>
      <c r="Y492" s="7" t="n">
        <v>0</v>
      </c>
      <c r="Z492" s="6">
        <f>$T492*Y492</f>
        <v/>
      </c>
      <c r="AA492" s="7" t="n">
        <v>0</v>
      </c>
      <c r="AB492" s="6">
        <f>$T492*AA492</f>
        <v/>
      </c>
      <c r="AC492" s="7" t="n">
        <v>0</v>
      </c>
      <c r="AD492" s="6">
        <f>$T492*AC492</f>
        <v/>
      </c>
      <c r="AE492" s="7" t="n">
        <v>0</v>
      </c>
      <c r="AF492" s="6">
        <f>$T492*AE492</f>
        <v/>
      </c>
      <c r="AG492" s="7" t="n">
        <v>0</v>
      </c>
      <c r="AH492" s="6">
        <f>$T492*AG492</f>
        <v/>
      </c>
      <c r="AI492" s="7">
        <f>U492+W492+Y492+AA492+AC492+AE492+AG492</f>
        <v/>
      </c>
      <c r="AJ492" s="6">
        <f>V492+X492+Z492+AB492+AD492+AF492+AH492</f>
        <v/>
      </c>
    </row>
    <row r="493" ht="60" customHeight="1" s="35">
      <c r="A493" s="3" t="inlineStr">
        <is>
          <t>LOM252.OC.EEA.PA01.G8235.ZA001.0250</t>
        </is>
      </c>
      <c r="B493" s="4" t="inlineStr">
        <is>
          <t>1/2</t>
        </is>
      </c>
      <c r="C493" s="3" t="inlineStr">
        <is>
          <t>IMPIANTO ELETTRICO</t>
        </is>
      </c>
      <c r="D493" s="4" t="inlineStr">
        <is>
          <t>NON SPECIALE</t>
        </is>
      </c>
      <c r="E493" s="4" t="inlineStr">
        <is>
          <t>ELETTRICHE</t>
        </is>
      </c>
      <c r="F493" s="3" t="inlineStr">
        <is>
          <t>3_CME IE RADIOFARMACIA PAVIA - REV02 VARIANTE ESECUTIVA.PDF</t>
        </is>
      </c>
      <c r="G493" s="4" t="inlineStr">
        <is>
          <t>194/194</t>
        </is>
      </c>
      <c r="H493" s="3" t="inlineStr">
        <is>
          <t>40 - IMPIANTISTICO</t>
        </is>
      </c>
      <c r="I493" s="3" t="inlineStr">
        <is>
          <t>RADIOFARMACIA</t>
        </is>
      </c>
      <c r="J493" s="3" t="inlineStr">
        <is>
          <t>IMPIANTO DI FORZA MOTRICE</t>
        </is>
      </c>
      <c r="K493" s="3" t="inlineStr">
        <is>
          <t xml:space="preserve">OPERA: DERIVAZIONE D'IMPIANTO PRESA, BIPASSO; FUNZIONE: PRESA DI CORRENTE; IMPIEGO: DERIVAZIONE D'IMPIANTO DA INCASSO; CORRENTE NOMINALE 1 [A] = 10 | CORRENTE NOMINALE 2 [A] = 16 | GRADO DI SICUREZZA </t>
        </is>
      </c>
      <c r="L493" s="3" t="inlineStr">
        <is>
          <t>OPERA: DERIVAZIONE D'IMPIANTO PRESA, BIPASSO; FUNZIONE: PRESA DI CORRENTE; IMPIEGO: DERIVAZIONE D'IMPIANTO DA INCASSO; CORRENTE NOMINALE 1 [A] = 10 | CORRENTE NOMINALE 2 [A] = 16 | GRADO DI SICUREZZA [-] = 2.2; N° PRESE [-] = 1 + T. INCLUSO: TUBO PROTETTIVO; CONDUTTORI DI ALIMENTAZIONE E DI TERRA; SCATOLE DA INCASSO; FRUTTI COMPONIBILI; PLACCHE; SUPPORTI; TASSELLI/GANCI. 
LAVORO: INSTALLAZIONE IN OPERA. INCLUSO: LINEA DI COLLEGAMENTO ALLO SPECIFICO PUNTO DI ALIMENTAZIONE; FISSAGGIO DELLE CANALIZZAZIONI A MEZZO DI TASSELLI O GANCI; ASSISTENZA PER IL TRASPORTO DEI MATERIALI AL PIANO. 
SPECIFICHE TECNICHE: PER IMPIANTI DI ENERGIA; REALIZZATO CON TUBO PROTETTIVO FLESSIBILE O RIGIDO DI PLASTICA POLIVINILCLORURO (PVC) AD ALTA RESISTENZA ALLO SCHIACCIAMENTO; CONDUTTORI DI ALIMENTAZIONE E DI TERRA DI LEGA RAME GENERICO RICOTTO ISOLATO CONFORMI AI REQUISITI PREVISTI DALLA NORMATIVA EUROPEA REGOLAMENTO UE 305/2011 - PRODOTTI DA COSTRUZIONE CPR; TIPOLOGIA CONDUTTORI E SEZIONE ADEGUATI ALL'UTILIZZO. OP DERIVAZIONE D'IMPIANTO PRESA, BIPASSO; FUNZIONE: PRESA DI CORRENTE; IMPIEGO: DERIVAZIONE D'IMPIANTO DA INCASSO; CORRENTE NOMINALE 1 [A] = 10 | CORRENTE NOMINALE 2 [A] = 16 | GRADO DI SICUREZZA [-] = 2.2; N° PRESE [-] = 1 + T. INCLUSO: TUBO PROTETTIVO; CONDUTTORI DI ALIMENTAZIONE E DI TERRA; SCATOLE DA INCASSO; FRUTTI COMPONIBILI; PLACCHE; SUPPORTI; TASSELLI/GANCI. 
SPECIFICHE TECNICHE: PER IMPIANTI DI ENERGIA; REALIZZATO CON TUBO PROTETTIVO FLESSIBILE O RIGIDO DI PLASTICA POLIVINILCLORURO (PVC) AD ALTA RESISTENZA ALLO SCHIACCIAMENTO; CONDUTTORI DI ALIMENTAZIONE E DI TERRA DI LEGA RAME GENERICO RICOTTO ISOLATO CONFORMI AI REQUISITI PREVISTI DALLA NORMATIVA EUROPEA REGOLAMENTO UE 305/2011 - PRODOTTI DA COSTRUZIONE CPR; TIPOLOGIA CONDUTTORI E SEZIONE ADEGUATI ALL'UTILIZZO. 
RM DERIVAZIONE D'IMPIANTO PRESA BIPASSO; FUNZIONE: PRESA DI CORRENTE; IMPIEGO: DERIVAZIONE D'IMPIANTO DA INCASSO; CORRENTE NOMINALE 1 [A] = 10 | CORRENTE NOMINALE 2 [A] = 16 | GRADO DI SICUREZZA [-] = 2.2; N° PRESE [-] = 2 + T. INCLUSO: TUBO PROTETTIVO; CONDUTTORI DI ALIMENTAZIONE E DI TERRA; SCATOLE DA INCASSO; FRUTTI COMPONIBILI; PLACCHE; SUPPORTI; TASSELLI/GANCI 
SPECIFICHE TECNICHE: PER IMPIANTI DI ENERGIA; REALIZZATO CON TUBO PROTETTIVO FLESSIBILE O RIGIDO DI PLASTICA POLIVINILCLORURO (PVC) AD ALTA RESISTENZA ALLO SCHIACCIAMENTO; CONDUTTORI DI ALIMENTAZIONE E DI TERRA DI LEGA RAME GENERICO RICOTTO ISOLATO CONFORMI AI REQUISITI PREVISTI DALLA NORMATIVA EUROPEA REGOLAMENTO UE 305/2011 - PRODOTTI DA COSTRUZIONE CPR; TIPOLOGIA CONDUTTORI E SEZIONE ADEGUATI ALL'UTILIZZO 
LV INSTALLAZIONE IN OPERA. INCLUSO: LINEA DI COLLEGAMENTO ALLO SPECIFICO PUNTO DI ALIMENTAZIONE; FISSAGGIO DELLE CANALIZZAZIONI A MEZZO DI TASSELLI O GANCI; ASSISTENZA PER IL TRASPORTO DEI MATERIALI AL PIANO.
[DIMENSIONI: 1,00 2,000 | 8,00 2,000]</t>
        </is>
      </c>
      <c r="M493" s="4" t="inlineStr">
        <is>
          <t>CAD</t>
        </is>
      </c>
      <c r="N493" s="5" t="n">
        <v>63</v>
      </c>
      <c r="O493" s="6" t="n">
        <v>65.22</v>
      </c>
      <c r="P493" s="6" t="n">
        <v>4108.86</v>
      </c>
      <c r="Q493" s="5" t="n"/>
      <c r="R493" s="6" t="n"/>
      <c r="S493" s="6">
        <f>IF(AND(Q493&lt;&gt;"",R493&lt;&gt;""),Q493*R493,"")</f>
        <v/>
      </c>
      <c r="T493" s="6">
        <f>IF(S493="",P493,S493)</f>
        <v/>
      </c>
      <c r="U493" s="7" t="n">
        <v>0</v>
      </c>
      <c r="V493" s="6">
        <f>$T493*U493</f>
        <v/>
      </c>
      <c r="W493" s="7" t="n">
        <v>0</v>
      </c>
      <c r="X493" s="6">
        <f>$T493*W493</f>
        <v/>
      </c>
      <c r="Y493" s="7" t="n">
        <v>0</v>
      </c>
      <c r="Z493" s="6">
        <f>$T493*Y493</f>
        <v/>
      </c>
      <c r="AA493" s="7" t="n">
        <v>0</v>
      </c>
      <c r="AB493" s="6">
        <f>$T493*AA493</f>
        <v/>
      </c>
      <c r="AC493" s="7" t="n">
        <v>0</v>
      </c>
      <c r="AD493" s="6">
        <f>$T493*AC493</f>
        <v/>
      </c>
      <c r="AE493" s="7" t="n">
        <v>0</v>
      </c>
      <c r="AF493" s="6">
        <f>$T493*AE493</f>
        <v/>
      </c>
      <c r="AG493" s="7" t="n">
        <v>0</v>
      </c>
      <c r="AH493" s="6">
        <f>$T493*AG493</f>
        <v/>
      </c>
      <c r="AI493" s="7">
        <f>U493+W493+Y493+AA493+AC493+AE493+AG493</f>
        <v/>
      </c>
      <c r="AJ493" s="6">
        <f>V493+X493+Z493+AB493+AD493+AF493+AH493</f>
        <v/>
      </c>
    </row>
    <row r="494" ht="60" customHeight="1" s="35">
      <c r="A494" s="3" t="inlineStr">
        <is>
          <t>LOM252.OC.EEA.PA01.G8235.ZA001.0270</t>
        </is>
      </c>
      <c r="B494" s="4" t="inlineStr">
        <is>
          <t>4/4</t>
        </is>
      </c>
      <c r="C494" s="3" t="inlineStr">
        <is>
          <t>IMPIANTO ELETTRICO</t>
        </is>
      </c>
      <c r="D494" s="4" t="inlineStr">
        <is>
          <t>NON SPECIALE</t>
        </is>
      </c>
      <c r="E494" s="4" t="inlineStr">
        <is>
          <t>ELETTRICHE</t>
        </is>
      </c>
      <c r="F494" s="3" t="inlineStr">
        <is>
          <t>3_CME IE RADIOFARMACIA PAVIA - REV02 VARIANTE ESECUTIVA.PDF</t>
        </is>
      </c>
      <c r="G494" s="4" t="inlineStr">
        <is>
          <t>195/195</t>
        </is>
      </c>
      <c r="H494" s="3" t="inlineStr">
        <is>
          <t>40 - IMPIANTISTICO</t>
        </is>
      </c>
      <c r="I494" s="3" t="inlineStr">
        <is>
          <t>RADIOFARMACIA</t>
        </is>
      </c>
      <c r="J494" s="3" t="inlineStr">
        <is>
          <t>IMPIANTO DI FORZA MOTRICE</t>
        </is>
      </c>
      <c r="K494" s="3" t="inlineStr">
        <is>
          <t>OPERA: DERIVAZIONE D'IMPIANTO PRESA, BIPASSO; FUNZIONE: PRESA DI CORRENTE; IMPIEGO: DERIVAZIONE D'IMPIANTO A VISTA A PARETE/A SOFFITTO; CORRENTE NOMINALE 1 [A] = 10 | CORRENTE NOMINALE 2 [A] = 16 | GR</t>
        </is>
      </c>
      <c r="L494" s="3" t="inlineStr">
        <is>
          <t>OPERA: DERIVAZIONE D'IMPIANTO PRESA, BIPASSO; FUNZIONE: PRESA DI CORRENTE; IMPIEGO: DERIVAZIONE D'IMPIANTO A VISTA A PARETE/A SOFFITTO; CORRENTE NOMINALE 1 [A] = 10 | CORRENTE NOMINALE 2 [A] = 16 | GRADO DI SICUREZZA [-] = 2.2; N° PRESE [-] = 1 + T. INCLUSO: TUBO PROTETTIVO; CONDUTTORI DI ALIMENTAZIONE E DI TERRA; SCATOLE DA INCASSO; FRUTTI COMPONIBILI; PLACCHE; SUPPORTI; TASSELLI/GANCI. 
LAVORO: INSTALLAZIONE IN OPERA. INCLUSO: LINEA DI COLLEGAMENTO ALLO SPECIFICO PUNTO DI ALIMENTAZIONE; FISSAGGIO DELLE CANALIZZAZIONI A MEZZO DI TASSELLI O GANCI; ASSISTENZA PER IL TRASPORTO DEI MATERIALI AL PIANO. 
SPECIFICHE TECNICHE: PER IMPIANTI DI ENERGIA; GRADO DI PROTEZIONE IP55; REALIZZATO CON TUBO PROTETTIVO RIGIDO DI PLASTICA POLIVINILCLORURO (PVC) AUTOESTINGUENTE; CONDUTTORI DI ALIMENTAZIONE E DI TERRA DI LEGA RAME GENERICO RICOTTO ISOLATO CONFORMI AI REQUISITI PREVISTI DALLA NORMATIVA EUROPEA REGOLAMENTO UE 305/2011 - PRODOTTI DA COSTRUZIONE CPR; TIPOLOGIA CONDUTTORI E SEZIONE ADEGUATI ALL'UTILIZZO. OP DERIVAZIONE D'IMPIANTO PRESA, BIPASSO; FUNZIONE: PRESA DI CORRENTE; IMPIEGO: DERIVAZIONE D'IMPIANTO A VISTA A PARETE/A SOFFITTO; CORRENTE NOMINALE 1 [A] = 10 | CORRENTE NOMINALE 2 [A] = 16 | GRADO DI SICUREZZA [-] = 2.2; N° PRESE [-] = 1 + T. INCLUSO: TUBO PROTETTIVO; CONDUTTORI DI ALIMENTAZIONE E DI TERRA; SCATOLE DA INCASSO; FRUTTI COMPONIBILI; PLACCHE; SUPPORTI; TASSELLI/GANCI. 
SPECIFICHE TECNICHE: PER IMPIANTI DI ENERGIA; GRADO DI PROTEZIONE IP55; REALIZZATO CON TUBO PROTETTIVO RIGIDO DI PLASTICA POLIVINILCLORURO (PVC) AUTOESTINGUENTE; CONDUTTORI DI ALIMENTAZIONE E DI TERRA DI LEGA RAME GENERICO RICOTTO ISOLATO CONFORMI AI REQUISITI PREVISTI DALLA NORMATIVA EUROPEA REGOLAMENTO UE 305/2011 - PRODOTTI DA COSTRUZIONE CPR; TIPOLOGIA CONDUTTORI E SEZIONE ADEGUATI ALL'UTILIZZO. 
RM DERIVAZIONE D'IMPIANTO PRESA BIPASSO; FUNZIONE: PRESA DI CORRENTE; IMPIEGO: DERIVAZIONE D'IMPIANTO A VISTA A PARETE/A SOFFITTO; CORRENTE NOMINALE 1 [A] = 10 | CORRENTE NOMINALE 2 [A] = 16 | GRADO DI SICUREZZA [-] = 2.2; N° PRESE [-] = 2 + T. INCLUSO: TUBO PROTETTIVO; CONDUTTORI DI ALIMENTAZIONE E DI TERRA; SCATOLE DA INCASSO; FRUTTI COMPONIBILI; PLACCHE; SUPPORTI; TASSELLI/GANCI 
SPECIFICHE TECNICHE: PER IMPIANTI DI ENERGIA; GRADO DI PROTEZIONE IP55; REALIZZATO CON TUBO PROTETTIVO RIGIDO DI PLASTICA POLIVINILCLORURO (PVC) AUTOESTINGUENTE; CONDUTTORI DI ALIMENTAZIONE E DI TERRA DI LEGA RAME GENERICO RICOTTO ISOLATO CONFORMI AI REQUISITI PREVISTI DALLA NORMATIVA EUROPEA REGOLAMENTO UE 305/2011 - PRODOTTI DA COSTRUZIONE CPR; TIPOLOGIA CONDUTTORI E SEZIONE ADEGUATI ALL'UTILIZZO 
LV INSTALLAZIONE IN OPERA. INCLUSO: LINEA DI COLLEGAMENTO ALLO SPECIFICO PUNTO DI ALIMENTAZIONE; FISSAGGIO DELLE CANALIZZAZIONI A MEZZO DI TASSELLI O GANCI; ASSISTENZA PER IL TRASPORTO DEI MATERIALI AL PIANO.</t>
        </is>
      </c>
      <c r="M494" s="4" t="inlineStr">
        <is>
          <t>CAD</t>
        </is>
      </c>
      <c r="N494" s="5" t="n">
        <v>17</v>
      </c>
      <c r="O494" s="6" t="n">
        <v>66.41</v>
      </c>
      <c r="P494" s="6" t="n">
        <v>1128.97</v>
      </c>
      <c r="Q494" s="5" t="n"/>
      <c r="R494" s="6" t="n"/>
      <c r="S494" s="6">
        <f>IF(AND(Q494&lt;&gt;"",R494&lt;&gt;""),Q494*R494,"")</f>
        <v/>
      </c>
      <c r="T494" s="6">
        <f>IF(S494="",P494,S494)</f>
        <v/>
      </c>
      <c r="U494" s="7" t="n">
        <v>0</v>
      </c>
      <c r="V494" s="6">
        <f>$T494*U494</f>
        <v/>
      </c>
      <c r="W494" s="7" t="n">
        <v>0</v>
      </c>
      <c r="X494" s="6">
        <f>$T494*W494</f>
        <v/>
      </c>
      <c r="Y494" s="7" t="n">
        <v>0</v>
      </c>
      <c r="Z494" s="6">
        <f>$T494*Y494</f>
        <v/>
      </c>
      <c r="AA494" s="7" t="n">
        <v>0</v>
      </c>
      <c r="AB494" s="6">
        <f>$T494*AA494</f>
        <v/>
      </c>
      <c r="AC494" s="7" t="n">
        <v>0</v>
      </c>
      <c r="AD494" s="6">
        <f>$T494*AC494</f>
        <v/>
      </c>
      <c r="AE494" s="7" t="n">
        <v>0</v>
      </c>
      <c r="AF494" s="6">
        <f>$T494*AE494</f>
        <v/>
      </c>
      <c r="AG494" s="7" t="n">
        <v>0</v>
      </c>
      <c r="AH494" s="6">
        <f>$T494*AG494</f>
        <v/>
      </c>
      <c r="AI494" s="7">
        <f>U494+W494+Y494+AA494+AC494+AE494+AG494</f>
        <v/>
      </c>
      <c r="AJ494" s="6">
        <f>V494+X494+Z494+AB494+AD494+AF494+AH494</f>
        <v/>
      </c>
    </row>
    <row r="495" ht="60" customHeight="1" s="35">
      <c r="A495" s="3" t="inlineStr">
        <is>
          <t>LOM252.OC.EEA.PA02.G8231.ZA001.1000</t>
        </is>
      </c>
      <c r="B495" s="4" t="inlineStr">
        <is>
          <t>4/5</t>
        </is>
      </c>
      <c r="C495" s="3" t="inlineStr">
        <is>
          <t>IMPIANTO ELETTRICO</t>
        </is>
      </c>
      <c r="D495" s="4" t="inlineStr">
        <is>
          <t>NON SPECIALE</t>
        </is>
      </c>
      <c r="E495" s="4" t="inlineStr">
        <is>
          <t>ELETTRICHE</t>
        </is>
      </c>
      <c r="F495" s="3" t="inlineStr">
        <is>
          <t>3_CME IE RADIOFARMACIA PAVIA - REV02 VARIANTE ESECUTIVA.PDF</t>
        </is>
      </c>
      <c r="G495" s="4" t="inlineStr">
        <is>
          <t>196/196</t>
        </is>
      </c>
      <c r="H495" s="3" t="inlineStr">
        <is>
          <t>40 - IMPIANTISTICO</t>
        </is>
      </c>
      <c r="I495" s="3" t="inlineStr">
        <is>
          <t>RADIOFARMACIA</t>
        </is>
      </c>
      <c r="J495" s="3" t="inlineStr">
        <is>
          <t>IMPIANTO DI FORZA MOTRICE</t>
        </is>
      </c>
      <c r="K495" s="3" t="inlineStr">
        <is>
          <t xml:space="preserve">OPERA: PRESA; CORRENTE NOMINALE [A] = 10/16; N° POLI [-] = 2P+T. </t>
        </is>
      </c>
      <c r="L495" s="3" t="inlineStr">
        <is>
          <t>OPERA: PRESA; CORRENTE NOMINALE [A] = 10/16; N° POLI [-] = 2P+T. 
LAVORO: POSA. 
SPECIFICHE TECNICHE: UNEL BIVALENTE MODULARE. OP PRESA; CORRENTE NOMINALE [A] = 10/16; N° POLI [-] = 2P+T. 
SPECIFICHE TECNICHE: UNEL BIVALENTE MODULARE. 
RM PRESA; CORRENTE NOMINALE [A] = 10/16; N° POLI [-] = 2P+T 
SPECIFICHE TECNICHE: UNEL BIVALENTE MODULARE 
LV POSA.
[DIMENSIONI: 1,00 4,000 | 8,00 4,000]</t>
        </is>
      </c>
      <c r="M495" s="4" t="inlineStr">
        <is>
          <t>CAD</t>
        </is>
      </c>
      <c r="N495" s="5" t="n">
        <v>81</v>
      </c>
      <c r="O495" s="6" t="n">
        <v>31.63</v>
      </c>
      <c r="P495" s="6" t="n">
        <v>2562.03</v>
      </c>
      <c r="Q495" s="5" t="n"/>
      <c r="R495" s="6" t="n"/>
      <c r="S495" s="6">
        <f>IF(AND(Q495&lt;&gt;"",R495&lt;&gt;""),Q495*R495,"")</f>
        <v/>
      </c>
      <c r="T495" s="6">
        <f>IF(S495="",P495,S495)</f>
        <v/>
      </c>
      <c r="U495" s="7" t="n">
        <v>0</v>
      </c>
      <c r="V495" s="6">
        <f>$T495*U495</f>
        <v/>
      </c>
      <c r="W495" s="7" t="n">
        <v>0</v>
      </c>
      <c r="X495" s="6">
        <f>$T495*W495</f>
        <v/>
      </c>
      <c r="Y495" s="7" t="n">
        <v>0</v>
      </c>
      <c r="Z495" s="6">
        <f>$T495*Y495</f>
        <v/>
      </c>
      <c r="AA495" s="7" t="n">
        <v>0</v>
      </c>
      <c r="AB495" s="6">
        <f>$T495*AA495</f>
        <v/>
      </c>
      <c r="AC495" s="7" t="n">
        <v>0</v>
      </c>
      <c r="AD495" s="6">
        <f>$T495*AC495</f>
        <v/>
      </c>
      <c r="AE495" s="7" t="n">
        <v>0</v>
      </c>
      <c r="AF495" s="6">
        <f>$T495*AE495</f>
        <v/>
      </c>
      <c r="AG495" s="7" t="n">
        <v>0</v>
      </c>
      <c r="AH495" s="6">
        <f>$T495*AG495</f>
        <v/>
      </c>
      <c r="AI495" s="7">
        <f>U495+W495+Y495+AA495+AC495+AE495+AG495</f>
        <v/>
      </c>
      <c r="AJ495" s="6">
        <f>V495+X495+Z495+AB495+AD495+AF495+AH495</f>
        <v/>
      </c>
    </row>
    <row r="496" ht="60" customHeight="1" s="35">
      <c r="A496" s="3" t="inlineStr">
        <is>
          <t>LOM252.OC.EEA.PA01.G8238.ZA001.0000</t>
        </is>
      </c>
      <c r="B496" s="4" t="inlineStr">
        <is>
          <t>1/2</t>
        </is>
      </c>
      <c r="C496" s="3" t="inlineStr">
        <is>
          <t>IMPIANTO ELETTRICO</t>
        </is>
      </c>
      <c r="D496" s="4" t="inlineStr">
        <is>
          <t>NON SPECIALE</t>
        </is>
      </c>
      <c r="E496" s="4" t="inlineStr">
        <is>
          <t>ELETTRICHE</t>
        </is>
      </c>
      <c r="F496" s="3" t="inlineStr">
        <is>
          <t>3_CME IE RADIOFARMACIA PAVIA - REV02 VARIANTE ESECUTIVA.PDF</t>
        </is>
      </c>
      <c r="G496" s="4" t="inlineStr">
        <is>
          <t>197/197</t>
        </is>
      </c>
      <c r="H496" s="3" t="inlineStr">
        <is>
          <t>40 - IMPIANTISTICO</t>
        </is>
      </c>
      <c r="I496" s="3" t="inlineStr">
        <is>
          <t>RADIOFARMACIA</t>
        </is>
      </c>
      <c r="J496" s="3" t="inlineStr">
        <is>
          <t>IMPIANTO DI FORZA MOTRICE</t>
        </is>
      </c>
      <c r="K496" s="3" t="inlineStr">
        <is>
          <t>OPERA: DERIVAZIONE D'IMPIANTO ALIMENTAZIONE, DIRETTA; FUNZIONE: ALIMENTAZIONE DI UTILIZZATORE MONOFASE; IMPIEGO: DERIVAZIONE D'IMPIANTO A VISTA/PARZIALMENTE INCASSATA; SEZIONE NOMINALE CAVO [MM²] ≤ 4.</t>
        </is>
      </c>
      <c r="L496" s="3" t="inlineStr">
        <is>
          <t>OPERA: DERIVAZIONE D'IMPIANTO ALIMENTAZIONE, DIRETTA; FUNZIONE: ALIMENTAZIONE DI UTILIZZATORE MONOFASE; IMPIEGO: DERIVAZIONE D'IMPIANTO A VISTA/PARZIALMENTE INCASSATA; SEZIONE NOMINALE CAVO [MM²] ≤ 4. INCLUSO: LINEA DI ALIMENTAZIONE; SEZIONATORE; TASSELLI/GANCI. 
LAVORO: INSTALLAZIONE IN OPERA. INCLUSO: FISSAGGIO DELLE CANALIZZAZIONI A MEZZO DI TASSELLI O GANCI; ASSISTENZA PER IL TRASPORTO DEI MATERIALI AL PIANO. 
SPECIFICHE TECNICHE: PER IMPIANTI DI ENERGIA DI TIPO INDUSTRIALE; TUBAZIONI IN MATERIALE PLASTICO O METALLICHE IN RELAZIONE ALLE DESCRIZIONI DI CAPITOLATO; PER ALIMENTAZIONE APPARECCHI UTILIZZATORI FINO A TENSIONE NOMINALE [V] = 400;  GRADO DI PROTEZIONE IP55; LINEA DI ALIMENTAZIONE ALLO SPECIFICO PUNTO DI ALIMENTAZIONE DI LEGA RAME GENERICO RICOTTO ISOLATO CONFORMI AI REQUISITI PREVISTI DALLA NORMATIVA EUROPEA REGOLAMENTO UE 305/2011 - PRODOTTI DA COSTRUZIONE CPR; TIPOLOGIA CONDUTTORI E SEZIONE ADEGUATI ALL'UTILIZZO. OP DERIVAZIONE D'IMPIANTO ALIMENTAZIONE, DIRETTA; FUNZIONE: ALIMENTAZIONE DI UTILIZZATORE MONOFASE; IMPIEGO: DERIVAZIONE D'IMPIANTO A VISTA/PARZIALMENTE INCASSATA; SEZIONE NOMINALE CAVO [MM²] ≤ 4. INCLUSO: LINEA DI ALIMENTAZIONE; SEZIONATORE; TASSELLI/GANCI. 
SPECIFICHE TECNICHE: PER IMPIANTI DI ENERGIA DI TIPO INDUSTRIALE; TUBAZIONI IN MATERIALE PLASTICO O METALLICHE IN RELAZIONE ALLE DESCRIZIONI DI CAPITOLATO; PER ALIMENTAZIONE APPARECCHI UTILIZZATORI FINO A TENSIONE NOMINALE [V] = 400;  GRADO DI PROTEZIONE IP55; LINEA DI ALIMENTAZIONE ALLO SPECIFICO PUNTO DI ALIMENTAZIONE DI LEGA RAME GENERICO RICOTTO ISOLATO CONFORMI AI REQUISITI PREVISTI DALLA NORMATIVA EUROPEA REGOLAMENTO UE 305/2011 - PRODOTTI DA COSTRUZIONE CPR; TIPOLOGIA CONDUTTORI E SEZIONE ADEGUATI ALL'UTILIZZO. 
RM DERIVAZIONE D'IMPIANTO ALIMENTAZIONE DIRETTA; FUNZIONE: ALIMENTAZIONE DI UTILIZZATORE MONOFASE; IMPIEGO: DERIVAZIONE D'IMPIANTO A VISTA/PARZIALMENTE INCASSATA; SEZIONE NOMINALE CAVO [MM²] ≤ 4. INCLUSO: LINEA DI ALIMENTAZIONE; SEZIONATORE; TASSELLI/GANCI 
SPECIFICHE TECNICHE: PER IMPIANTI DI ENERGIA DI TIPO INDUSTRIALE; TUBAZIONI IN MATERIALE PLASTICO O METALLICHE IN RELAZIONE ALLE DESCRIZIONI DI CAPITOLATO; PER ALIMENTAZIONE APPARECCHI UTILIZZATORI FINO A TENSIONE NOMINALE [V] = 400;  GRADO DI PROTEZIONE IP55; LINEA DI ALIMENTAZIONE ALLO SPECIFICO PUNTO DI ALIMENTAZIONE DI LEGA RAME GENERICO RICOTTO ISOLATO CONFORMI AI REQUISITI PREVISTI DALLA NORMATIVA EUROPEA REGOLAMENTO UE 305/2011 - PRODOTTI DA COSTRUZIONE CPR; TIPOLOGIA CONDUTTORI E SEZIONE ADEGUATI ALL'UTILIZZO 
LV INSTALLAZIONE IN OPERA. INCLUSO: FISSAGGIO DELLE CANALIZZAZIONI A MEZZO DI TASSELLI O GANCI; ASSISTENZA PER IL TRASPORTO DEI MATERIALI AL PIANO.</t>
        </is>
      </c>
      <c r="M496" s="4" t="inlineStr">
        <is>
          <t>CAD</t>
        </is>
      </c>
      <c r="N496" s="5" t="n">
        <v>11</v>
      </c>
      <c r="O496" s="6" t="n">
        <v>97.84</v>
      </c>
      <c r="P496" s="6" t="n">
        <v>1076.24</v>
      </c>
      <c r="Q496" s="5" t="n"/>
      <c r="R496" s="6" t="n"/>
      <c r="S496" s="6">
        <f>IF(AND(Q496&lt;&gt;"",R496&lt;&gt;""),Q496*R496,"")</f>
        <v/>
      </c>
      <c r="T496" s="6">
        <f>IF(S496="",P496,S496)</f>
        <v/>
      </c>
      <c r="U496" s="7" t="n">
        <v>0</v>
      </c>
      <c r="V496" s="6">
        <f>$T496*U496</f>
        <v/>
      </c>
      <c r="W496" s="7" t="n">
        <v>0</v>
      </c>
      <c r="X496" s="6">
        <f>$T496*W496</f>
        <v/>
      </c>
      <c r="Y496" s="7" t="n">
        <v>0</v>
      </c>
      <c r="Z496" s="6">
        <f>$T496*Y496</f>
        <v/>
      </c>
      <c r="AA496" s="7" t="n">
        <v>0</v>
      </c>
      <c r="AB496" s="6">
        <f>$T496*AA496</f>
        <v/>
      </c>
      <c r="AC496" s="7" t="n">
        <v>0</v>
      </c>
      <c r="AD496" s="6">
        <f>$T496*AC496</f>
        <v/>
      </c>
      <c r="AE496" s="7" t="n">
        <v>0</v>
      </c>
      <c r="AF496" s="6">
        <f>$T496*AE496</f>
        <v/>
      </c>
      <c r="AG496" s="7" t="n">
        <v>0</v>
      </c>
      <c r="AH496" s="6">
        <f>$T496*AG496</f>
        <v/>
      </c>
      <c r="AI496" s="7">
        <f>U496+W496+Y496+AA496+AC496+AE496+AG496</f>
        <v/>
      </c>
      <c r="AJ496" s="6">
        <f>V496+X496+Z496+AB496+AD496+AF496+AH496</f>
        <v/>
      </c>
    </row>
    <row r="497" ht="60" customHeight="1" s="35">
      <c r="A497" s="3" t="inlineStr">
        <is>
          <t>DEIELE251_025219B</t>
        </is>
      </c>
      <c r="B497" s="4" t="inlineStr">
        <is>
          <t>1/2</t>
        </is>
      </c>
      <c r="C497" s="3" t="inlineStr">
        <is>
          <t>IMPIANTO ELETTRICO</t>
        </is>
      </c>
      <c r="D497" s="4" t="inlineStr">
        <is>
          <t>NON SPECIALE</t>
        </is>
      </c>
      <c r="E497" s="4" t="inlineStr">
        <is>
          <t>ELETTRICHE</t>
        </is>
      </c>
      <c r="F497" s="3" t="inlineStr">
        <is>
          <t>3_CME IE RADIOFARMACIA PAVIA - REV02 VARIANTE ESECUTIVA.PDF</t>
        </is>
      </c>
      <c r="G497" s="4" t="inlineStr">
        <is>
          <t>198/198</t>
        </is>
      </c>
      <c r="H497" s="3" t="inlineStr">
        <is>
          <t>40 - IMPIANTISTICO</t>
        </is>
      </c>
      <c r="I497" s="3" t="inlineStr">
        <is>
          <t>RADIOFARMACIA</t>
        </is>
      </c>
      <c r="J497" s="3" t="inlineStr">
        <is>
          <t>IMPIANTO DI FORZA MOTRICE</t>
        </is>
      </c>
      <c r="K497" s="3" t="inlineStr">
        <is>
          <t>ALLACCIAMENTO DI UTENZA TRIFASE INCLUSO CONDUTTORE DI NEUTRO E DI PROTEZIONE, CON UTILIZZO DI CAVO UNIPOLARE O MULTIPOLARE ISOLATO IN EPR POSATO IN GUAINA PROTETTIVA DI PVC FLESSIBILE, PROVVISTA DI RA</t>
        </is>
      </c>
      <c r="L497" s="3" t="inlineStr">
        <is>
          <t>ALLACCIAMENTO DI UTENZA TRIFASE INCLUSO CONDUTTORE DI NEUTRO E DI PROTEZIONE, CON UTILIZZO DI CAVO UNIPOLARE O MULTIPOLARE ISOLATO IN EPR POSATO IN GUAINA PROTETTIVA DI PVC FLESSIBILE, PROVVISTA DI RACCORDI FILETTATI E DI ADATTATORI ALLE ESTREMITÀ, LUNGHEZZA FINO A 1,5 M: SEZIONE CONDUTTORI DA 6 A 16 MMQ</t>
        </is>
      </c>
      <c r="M497" s="4" t="inlineStr">
        <is>
          <t>CAD</t>
        </is>
      </c>
      <c r="N497" s="5" t="n">
        <v>1</v>
      </c>
      <c r="O497" s="6" t="n">
        <v>95.47</v>
      </c>
      <c r="P497" s="6" t="n">
        <v>95.47</v>
      </c>
      <c r="Q497" s="5" t="n"/>
      <c r="R497" s="6" t="n"/>
      <c r="S497" s="6">
        <f>IF(AND(Q497&lt;&gt;"",R497&lt;&gt;""),Q497*R497,"")</f>
        <v/>
      </c>
      <c r="T497" s="6">
        <f>IF(S497="",P497,S497)</f>
        <v/>
      </c>
      <c r="U497" s="7" t="n">
        <v>0</v>
      </c>
      <c r="V497" s="6">
        <f>$T497*U497</f>
        <v/>
      </c>
      <c r="W497" s="7" t="n">
        <v>0</v>
      </c>
      <c r="X497" s="6">
        <f>$T497*W497</f>
        <v/>
      </c>
      <c r="Y497" s="7" t="n">
        <v>0</v>
      </c>
      <c r="Z497" s="6">
        <f>$T497*Y497</f>
        <v/>
      </c>
      <c r="AA497" s="7" t="n">
        <v>0</v>
      </c>
      <c r="AB497" s="6">
        <f>$T497*AA497</f>
        <v/>
      </c>
      <c r="AC497" s="7" t="n">
        <v>0</v>
      </c>
      <c r="AD497" s="6">
        <f>$T497*AC497</f>
        <v/>
      </c>
      <c r="AE497" s="7" t="n">
        <v>0</v>
      </c>
      <c r="AF497" s="6">
        <f>$T497*AE497</f>
        <v/>
      </c>
      <c r="AG497" s="7" t="n">
        <v>0</v>
      </c>
      <c r="AH497" s="6">
        <f>$T497*AG497</f>
        <v/>
      </c>
      <c r="AI497" s="7">
        <f>U497+W497+Y497+AA497+AC497+AE497+AG497</f>
        <v/>
      </c>
      <c r="AJ497" s="6">
        <f>V497+X497+Z497+AB497+AD497+AF497+AH497</f>
        <v/>
      </c>
    </row>
    <row r="498" ht="60" customHeight="1" s="35">
      <c r="A498" s="3" t="inlineStr">
        <is>
          <t>DEIELE251_025219G</t>
        </is>
      </c>
      <c r="B498" s="4" t="inlineStr">
        <is>
          <t>1/1</t>
        </is>
      </c>
      <c r="C498" s="3" t="inlineStr">
        <is>
          <t>IMPIANTO ELETTRICO</t>
        </is>
      </c>
      <c r="D498" s="4" t="inlineStr">
        <is>
          <t>NON SPECIALE</t>
        </is>
      </c>
      <c r="E498" s="4" t="inlineStr">
        <is>
          <t>ELETTRICHE</t>
        </is>
      </c>
      <c r="F498" s="3" t="inlineStr">
        <is>
          <t>3_CME IE RADIOFARMACIA PAVIA - REV02 VARIANTE ESECUTIVA.PDF</t>
        </is>
      </c>
      <c r="G498" s="4" t="inlineStr">
        <is>
          <t>199/199</t>
        </is>
      </c>
      <c r="H498" s="3" t="inlineStr">
        <is>
          <t>40 - IMPIANTISTICO</t>
        </is>
      </c>
      <c r="I498" s="3" t="inlineStr">
        <is>
          <t>RADIOFARMACIA</t>
        </is>
      </c>
      <c r="J498" s="3" t="inlineStr">
        <is>
          <t>IMPIANTO DI FORZA MOTRICE</t>
        </is>
      </c>
      <c r="K498" s="3" t="inlineStr">
        <is>
          <t>ALLACCIAMENTO DI UTENZA TRIFASE INCLUSO CONDUTTORE DI NEUTRO E DI PROTEZIONE, CON UTILIZZO DI CAVO UNIPOLARE O MULTIPOLARE ISOLATO IN EPR POSATO IN GUAINA PROTETTIVA DI PVC FLESSIBILE, PROVVISTA DI RA</t>
        </is>
      </c>
      <c r="L498" s="3" t="inlineStr">
        <is>
          <t>ALLACCIAMENTO DI UTENZA TRIFASE INCLUSO CONDUTTORE DI NEUTRO E DI PROTEZIONE, CON UTILIZZO DI CAVO UNIPOLARE O MULTIPOLARE ISOLATO IN EPR POSATO IN GUAINA PROTETTIVA DI PVC FLESSIBILE, PROVVISTA DI RACCORDI FILETTATI E DI ADATTATORI ALLE ESTREMITÀ, LUNGHEZZA FINO A 1,5 M: SEZIONE CONDUTTORI DA 240 A 300 MMQ</t>
        </is>
      </c>
      <c r="M498" s="4" t="inlineStr">
        <is>
          <t>CAD</t>
        </is>
      </c>
      <c r="N498" s="5" t="n">
        <v>1</v>
      </c>
      <c r="O498" s="6" t="n">
        <v>936.83</v>
      </c>
      <c r="P498" s="6" t="n">
        <v>936.83</v>
      </c>
      <c r="Q498" s="5" t="n"/>
      <c r="R498" s="6" t="n"/>
      <c r="S498" s="6">
        <f>IF(AND(Q498&lt;&gt;"",R498&lt;&gt;""),Q498*R498,"")</f>
        <v/>
      </c>
      <c r="T498" s="6">
        <f>IF(S498="",P498,S498)</f>
        <v/>
      </c>
      <c r="U498" s="7" t="n">
        <v>0</v>
      </c>
      <c r="V498" s="6">
        <f>$T498*U498</f>
        <v/>
      </c>
      <c r="W498" s="7" t="n">
        <v>0</v>
      </c>
      <c r="X498" s="6">
        <f>$T498*W498</f>
        <v/>
      </c>
      <c r="Y498" s="7" t="n">
        <v>0</v>
      </c>
      <c r="Z498" s="6">
        <f>$T498*Y498</f>
        <v/>
      </c>
      <c r="AA498" s="7" t="n">
        <v>0</v>
      </c>
      <c r="AB498" s="6">
        <f>$T498*AA498</f>
        <v/>
      </c>
      <c r="AC498" s="7" t="n">
        <v>0</v>
      </c>
      <c r="AD498" s="6">
        <f>$T498*AC498</f>
        <v/>
      </c>
      <c r="AE498" s="7" t="n">
        <v>0</v>
      </c>
      <c r="AF498" s="6">
        <f>$T498*AE498</f>
        <v/>
      </c>
      <c r="AG498" s="7" t="n">
        <v>0</v>
      </c>
      <c r="AH498" s="6">
        <f>$T498*AG498</f>
        <v/>
      </c>
      <c r="AI498" s="7">
        <f>U498+W498+Y498+AA498+AC498+AE498+AG498</f>
        <v/>
      </c>
      <c r="AJ498" s="6">
        <f>V498+X498+Z498+AB498+AD498+AF498+AH498</f>
        <v/>
      </c>
    </row>
    <row r="499" ht="60" customHeight="1" s="35">
      <c r="A499" s="3" t="inlineStr">
        <is>
          <t>LOM252.OC.EEA.PA01.G8239.ZA001.0000</t>
        </is>
      </c>
      <c r="B499" s="4" t="inlineStr">
        <is>
          <t>1/2</t>
        </is>
      </c>
      <c r="C499" s="3" t="inlineStr">
        <is>
          <t>IMPIANTO ELETTRICO</t>
        </is>
      </c>
      <c r="D499" s="4" t="inlineStr">
        <is>
          <t>NON SPECIALE</t>
        </is>
      </c>
      <c r="E499" s="4" t="inlineStr">
        <is>
          <t>ELETTRICHE</t>
        </is>
      </c>
      <c r="F499" s="3" t="inlineStr">
        <is>
          <t>3_CME IE RADIOFARMACIA PAVIA - REV02 VARIANTE ESECUTIVA.PDF</t>
        </is>
      </c>
      <c r="G499" s="4" t="inlineStr">
        <is>
          <t>200/200</t>
        </is>
      </c>
      <c r="H499" s="3" t="inlineStr">
        <is>
          <t>40 - IMPIANTISTICO</t>
        </is>
      </c>
      <c r="I499" s="3" t="inlineStr">
        <is>
          <t>RADIOFARMACIA</t>
        </is>
      </c>
      <c r="J499" s="3" t="inlineStr">
        <is>
          <t>CABLAGGIO STRUTTURATO</t>
        </is>
      </c>
      <c r="K499" s="3" t="inlineStr">
        <is>
          <t xml:space="preserve">OPERA: PREDISPOSIZIONE PER DERIVAZIONE D'IMPIANTO; IMPIEGO: DERIVAZIONE D'IMPIANTO DA INCASSO. INCLUSO: SCATOLA DA INCASSO; QUOTA PARTE DELLA SCATOLA DI DERIVAZIONE. </t>
        </is>
      </c>
      <c r="L499" s="3" t="inlineStr">
        <is>
          <t>OPERA: PREDISPOSIZIONE PER DERIVAZIONE D'IMPIANTO; IMPIEGO: DERIVAZIONE D'IMPIANTO DA INCASSO. INCLUSO: SCATOLA DA INCASSO; QUOTA PARTE DELLA SCATOLA DI DERIVAZIONE. 
LAVORO: INSTALLAZIONE IN OPERA. INCLUSO: CHIUSURA AL RUSTICO CON MALTA CEMENTIZIA; ASSISTENZA PER IL TRASPORTO DEI MATERIALI AL PIANO. 
SPECIFICHE TECNICHE: PER IMPIANTI DI SEGNALAZIONE O DI COMUNICAZIONE; REALIZZATO CON TUBO PROTETTIVO FLESSIBILE DI PLASTICA POLIVINILCLORURO (PVC) AD ALTA RESISTENZA ALLO SCHIACCIAMENTO. OP PREDISPOSIZIONE PER DERIVAZIONE D'IMPIANTO; IMPIEGO: DERIVAZIONE D'IMPIANTO DA INCASSO. INCLUSO: SCATOLA DA INCASSO; QUOTA PARTE DELLA SCATOLA DI DERIVAZIONE. 
SPECIFICHE TECNICHE: PER IMPIANTI DI SEGNALAZIONE O DI COMUNICAZIONE; REALIZZATO CON TUBO PROTETTIVO FLESSIBILE DI PLASTICA POLIVINILCLORURO (PVC) AD ALTA RESISTENZA ALLO SCHIACCIAMENTO. 
RM PREDISPOSIZIONE PER DERIVAZIONE D'IMPIANTO; IMPIEGO: DERIVAZIONE D'IMPIANTO DA INCASSO. INCLUSO: SCATOLA DA INCASSO; QUOTA PARTE DELLA SCATOLA DI DERIVAZIONE 
SPECIFICHE TECNICHE: PER IMPIANTI DI SEGNALAZIONE O DI COMUNICAZIONE; REALIZZATO CON TUBO PROTETTIVO FLESSIBILE DI PLASTICA POLIVINILCLORURO (PVC) AD ALTA RESISTENZA ALLO SCHIACCIAMENTO 
LV INSTALLAZIONE IN OPERA. INCLUSO: CHIUSURA AL RUSTICO CON MALTA CEMENTIZIA; ASSISTENZA PER IL TRASPORTO DEI MATERIALI AL PIANO.</t>
        </is>
      </c>
      <c r="M499" s="4" t="inlineStr">
        <is>
          <t>CAD</t>
        </is>
      </c>
      <c r="N499" s="5" t="n">
        <v>34</v>
      </c>
      <c r="O499" s="6" t="n">
        <v>26.69</v>
      </c>
      <c r="P499" s="6" t="n">
        <v>907.46</v>
      </c>
      <c r="Q499" s="5" t="n"/>
      <c r="R499" s="6" t="n"/>
      <c r="S499" s="6">
        <f>IF(AND(Q499&lt;&gt;"",R499&lt;&gt;""),Q499*R499,"")</f>
        <v/>
      </c>
      <c r="T499" s="6">
        <f>IF(S499="",P499,S499)</f>
        <v/>
      </c>
      <c r="U499" s="7" t="n">
        <v>0</v>
      </c>
      <c r="V499" s="6">
        <f>$T499*U499</f>
        <v/>
      </c>
      <c r="W499" s="7" t="n">
        <v>0</v>
      </c>
      <c r="X499" s="6">
        <f>$T499*W499</f>
        <v/>
      </c>
      <c r="Y499" s="7" t="n">
        <v>0</v>
      </c>
      <c r="Z499" s="6">
        <f>$T499*Y499</f>
        <v/>
      </c>
      <c r="AA499" s="7" t="n">
        <v>0</v>
      </c>
      <c r="AB499" s="6">
        <f>$T499*AA499</f>
        <v/>
      </c>
      <c r="AC499" s="7" t="n">
        <v>0</v>
      </c>
      <c r="AD499" s="6">
        <f>$T499*AC499</f>
        <v/>
      </c>
      <c r="AE499" s="7" t="n">
        <v>0</v>
      </c>
      <c r="AF499" s="6">
        <f>$T499*AE499</f>
        <v/>
      </c>
      <c r="AG499" s="7" t="n">
        <v>0</v>
      </c>
      <c r="AH499" s="6">
        <f>$T499*AG499</f>
        <v/>
      </c>
      <c r="AI499" s="7">
        <f>U499+W499+Y499+AA499+AC499+AE499+AG499</f>
        <v/>
      </c>
      <c r="AJ499" s="6">
        <f>V499+X499+Z499+AB499+AD499+AF499+AH499</f>
        <v/>
      </c>
    </row>
    <row r="500" ht="60" customHeight="1" s="35">
      <c r="A500" s="3" t="inlineStr">
        <is>
          <t>LOM252.OC.EEA.PA01.G8239.ZA001.0005</t>
        </is>
      </c>
      <c r="B500" s="4" t="inlineStr">
        <is>
          <t>1/2</t>
        </is>
      </c>
      <c r="C500" s="3" t="inlineStr">
        <is>
          <t>IMPIANTO ELETTRICO</t>
        </is>
      </c>
      <c r="D500" s="4" t="inlineStr">
        <is>
          <t>NON SPECIALE</t>
        </is>
      </c>
      <c r="E500" s="4" t="inlineStr">
        <is>
          <t>ELETTRICHE</t>
        </is>
      </c>
      <c r="F500" s="3" t="inlineStr">
        <is>
          <t>3_CME IE RADIOFARMACIA PAVIA - REV02 VARIANTE ESECUTIVA.PDF</t>
        </is>
      </c>
      <c r="G500" s="4" t="inlineStr">
        <is>
          <t>201/201</t>
        </is>
      </c>
      <c r="H500" s="3" t="inlineStr">
        <is>
          <t>40 - IMPIANTISTICO</t>
        </is>
      </c>
      <c r="I500" s="3" t="inlineStr">
        <is>
          <t>RADIOFARMACIA</t>
        </is>
      </c>
      <c r="J500" s="3" t="inlineStr">
        <is>
          <t>CABLAGGIO STRUTTURATO</t>
        </is>
      </c>
      <c r="K500" s="3" t="inlineStr">
        <is>
          <t xml:space="preserve">OPERA: PREDISPOSIZIONE PER DERIVAZIONE D'IMPIANTO; IMPIEGO: DERIVAZIONE D'IMPIANTO A VISTA A PARETE/A SOFFITTO. INCLUSO: SCATOLA A VISTA. </t>
        </is>
      </c>
      <c r="L500" s="3" t="inlineStr">
        <is>
          <t>OPERA: PREDISPOSIZIONE PER DERIVAZIONE D'IMPIANTO; IMPIEGO: DERIVAZIONE D'IMPIANTO A VISTA A PARETE/A SOFFITTO. INCLUSO: SCATOLA A VISTA. 
LAVORO: INSTALLAZIONE IN OPERA. INCLUSO: ASSISTENZA PER IL TRASPORTO DEI MATERIALI AL PIANO. 
SPECIFICHE TECNICHE: PER IMPIANTI DI SEGNALAZIONE O DI COMUNICAZIONE; GRADO DI PROTEZIONE IP44; REALIZZATO CON TUBO PROTETTIVO RIGIDO DI PLASTICA POLIVINILCLORURO (PVC) AUTOESTINGUENTE. OP PREDISPOSIZIONE PER DERIVAZIONE D'IMPIANTO; IMPIEGO: DERIVAZIONE D'IMPIANTO A VISTA A PARETE/A SOFFITTO. INCLUSO: SCATOLA A VISTA. 
SPECIFICHE TECNICHE: PER IMPIANTI DI SEGNALAZIONE O DI COMUNICAZIONE; GRADO DI PROTEZIONE IP44; REALIZZATO CON TUBO PROTETTIVO RIGIDO DI PLASTICA POLIVINILCLORURO (PVC) AUTOESTINGUENTE. 
RM PREDISPOSIZIONE PER DERIVAZIONE D'IMPIANTO; IMPIEGO: DERIVAZIONE D'IMPIANTO A VISTA A PARETE/A SOFFITTO. INCLUSO: SCATOLA A VISTA 
SPECIFICHE TECNICHE: PER IMPIANTI DI SEGNALAZIONE O DI COMUNICAZIONE; GRADO DI PROTEZIONE IP44; REALIZZATO CON TUBO PROTETTIVO RIGIDO DI PLASTICA POLIVINILCLORURO (PVC) AUTOESTINGUENTE 
LV INSTALLAZIONE IN OPERA. INCLUSO: ASSISTENZA PER IL TRASPORTO DEI MATERIALI AL PIANO.</t>
        </is>
      </c>
      <c r="M500" s="4" t="inlineStr">
        <is>
          <t>CAD</t>
        </is>
      </c>
      <c r="N500" s="5" t="n">
        <v>8</v>
      </c>
      <c r="O500" s="6" t="n">
        <v>42.69</v>
      </c>
      <c r="P500" s="6" t="n">
        <v>341.52</v>
      </c>
      <c r="Q500" s="5" t="n"/>
      <c r="R500" s="6" t="n"/>
      <c r="S500" s="6">
        <f>IF(AND(Q500&lt;&gt;"",R500&lt;&gt;""),Q500*R500,"")</f>
        <v/>
      </c>
      <c r="T500" s="6">
        <f>IF(S500="",P500,S500)</f>
        <v/>
      </c>
      <c r="U500" s="7" t="n">
        <v>0</v>
      </c>
      <c r="V500" s="6">
        <f>$T500*U500</f>
        <v/>
      </c>
      <c r="W500" s="7" t="n">
        <v>0</v>
      </c>
      <c r="X500" s="6">
        <f>$T500*W500</f>
        <v/>
      </c>
      <c r="Y500" s="7" t="n">
        <v>0</v>
      </c>
      <c r="Z500" s="6">
        <f>$T500*Y500</f>
        <v/>
      </c>
      <c r="AA500" s="7" t="n">
        <v>0</v>
      </c>
      <c r="AB500" s="6">
        <f>$T500*AA500</f>
        <v/>
      </c>
      <c r="AC500" s="7" t="n">
        <v>0</v>
      </c>
      <c r="AD500" s="6">
        <f>$T500*AC500</f>
        <v/>
      </c>
      <c r="AE500" s="7" t="n">
        <v>0</v>
      </c>
      <c r="AF500" s="6">
        <f>$T500*AE500</f>
        <v/>
      </c>
      <c r="AG500" s="7" t="n">
        <v>0</v>
      </c>
      <c r="AH500" s="6">
        <f>$T500*AG500</f>
        <v/>
      </c>
      <c r="AI500" s="7">
        <f>U500+W500+Y500+AA500+AC500+AE500+AG500</f>
        <v/>
      </c>
      <c r="AJ500" s="6">
        <f>V500+X500+Z500+AB500+AD500+AF500+AH500</f>
        <v/>
      </c>
    </row>
    <row r="501" ht="42" customHeight="1" s="35">
      <c r="A501" s="3" t="inlineStr">
        <is>
          <t>LOM252.OC.EEA.PA02.G7427.ZA001.2250</t>
        </is>
      </c>
      <c r="B501" s="4" t="inlineStr">
        <is>
          <t>1/2</t>
        </is>
      </c>
      <c r="C501" s="3" t="inlineStr">
        <is>
          <t>IMPIANTO ELETTRICO</t>
        </is>
      </c>
      <c r="D501" s="4" t="inlineStr">
        <is>
          <t>NON SPECIALE</t>
        </is>
      </c>
      <c r="E501" s="4" t="inlineStr">
        <is>
          <t>ELETTRICHE</t>
        </is>
      </c>
      <c r="F501" s="3" t="inlineStr">
        <is>
          <t>3_CME IE RADIOFARMACIA PAVIA - REV02 VARIANTE ESECUTIVA.PDF</t>
        </is>
      </c>
      <c r="G501" s="4" t="inlineStr">
        <is>
          <t>202/202</t>
        </is>
      </c>
      <c r="H501" s="3" t="inlineStr">
        <is>
          <t>40 - IMPIANTISTICO</t>
        </is>
      </c>
      <c r="I501" s="3" t="inlineStr">
        <is>
          <t>RADIOFARMACIA</t>
        </is>
      </c>
      <c r="J501" s="3" t="inlineStr">
        <is>
          <t>CABLAGGIO STRUTTURATO</t>
        </is>
      </c>
      <c r="K501" s="3" t="inlineStr">
        <is>
          <t xml:space="preserve">OPERA: SCATOLA, PORTA APPARECCHI; GEOMETRIA: 3 POSTI. </t>
        </is>
      </c>
      <c r="L501" s="3" t="inlineStr">
        <is>
          <t>OPERA: SCATOLA, PORTA APPARECCHI; GEOMETRIA: 3 POSTI. 
LAVORO: POSA. OP SCATOLA, PORTA APPARECCHI; GEOMETRIA: 3 POSTI. 
RM SCATOLA PORTA APPARECCHI; GEOMETRIA: 3 POSTI 
LV POSA.</t>
        </is>
      </c>
      <c r="M501" s="4" t="inlineStr">
        <is>
          <t>CAD</t>
        </is>
      </c>
      <c r="N501" s="5" t="n">
        <v>34</v>
      </c>
      <c r="O501" s="6" t="n">
        <v>16.3</v>
      </c>
      <c r="P501" s="6" t="n">
        <v>554.2</v>
      </c>
      <c r="Q501" s="5" t="n"/>
      <c r="R501" s="6" t="n"/>
      <c r="S501" s="6">
        <f>IF(AND(Q501&lt;&gt;"",R501&lt;&gt;""),Q501*R501,"")</f>
        <v/>
      </c>
      <c r="T501" s="6">
        <f>IF(S501="",P501,S501)</f>
        <v/>
      </c>
      <c r="U501" s="7" t="n">
        <v>0</v>
      </c>
      <c r="V501" s="6">
        <f>$T501*U501</f>
        <v/>
      </c>
      <c r="W501" s="7" t="n">
        <v>0</v>
      </c>
      <c r="X501" s="6">
        <f>$T501*W501</f>
        <v/>
      </c>
      <c r="Y501" s="7" t="n">
        <v>0</v>
      </c>
      <c r="Z501" s="6">
        <f>$T501*Y501</f>
        <v/>
      </c>
      <c r="AA501" s="7" t="n">
        <v>0</v>
      </c>
      <c r="AB501" s="6">
        <f>$T501*AA501</f>
        <v/>
      </c>
      <c r="AC501" s="7" t="n">
        <v>0</v>
      </c>
      <c r="AD501" s="6">
        <f>$T501*AC501</f>
        <v/>
      </c>
      <c r="AE501" s="7" t="n">
        <v>0</v>
      </c>
      <c r="AF501" s="6">
        <f>$T501*AE501</f>
        <v/>
      </c>
      <c r="AG501" s="7" t="n">
        <v>0</v>
      </c>
      <c r="AH501" s="6">
        <f>$T501*AG501</f>
        <v/>
      </c>
      <c r="AI501" s="7">
        <f>U501+W501+Y501+AA501+AC501+AE501+AG501</f>
        <v/>
      </c>
      <c r="AJ501" s="6">
        <f>V501+X501+Z501+AB501+AD501+AF501+AH501</f>
        <v/>
      </c>
    </row>
    <row r="502" ht="60" customHeight="1" s="35">
      <c r="A502" s="3" t="inlineStr">
        <is>
          <t>LOM252.OC.EEA.PA02.G8231.ZA001.1260</t>
        </is>
      </c>
      <c r="B502" s="4" t="inlineStr">
        <is>
          <t>1/2</t>
        </is>
      </c>
      <c r="C502" s="3" t="inlineStr">
        <is>
          <t>IMPIANTO ELETTRICO</t>
        </is>
      </c>
      <c r="D502" s="4" t="inlineStr">
        <is>
          <t>NON SPECIALE</t>
        </is>
      </c>
      <c r="E502" s="4" t="inlineStr">
        <is>
          <t>ELETTRICHE</t>
        </is>
      </c>
      <c r="F502" s="3" t="inlineStr">
        <is>
          <t>3_CME IE RADIOFARMACIA PAVIA - REV02 VARIANTE ESECUTIVA.PDF</t>
        </is>
      </c>
      <c r="G502" s="4" t="inlineStr">
        <is>
          <t>203/203</t>
        </is>
      </c>
      <c r="H502" s="3" t="inlineStr">
        <is>
          <t>40 - IMPIANTISTICO</t>
        </is>
      </c>
      <c r="I502" s="3" t="inlineStr">
        <is>
          <t>RADIOFARMACIA</t>
        </is>
      </c>
      <c r="J502" s="3" t="inlineStr">
        <is>
          <t>CABLAGGIO STRUTTURATO</t>
        </is>
      </c>
      <c r="K502" s="3" t="inlineStr">
        <is>
          <t xml:space="preserve">OPERA: PRESA, UTENTE. INCLUSO: COPERCHIO. </t>
        </is>
      </c>
      <c r="L502" s="3" t="inlineStr">
        <is>
          <t>OPERA: PRESA, UTENTE. INCLUSO: COPERCHIO. 
LAVORO: POSA. 
SPECIFICHE TECNICHE: PRESA UTENTE RJ45 UTP NON SCHERMATA, CABLAGGIO UNIVERSALE T568A/B, SERIE CIVILE PER MONTAGGIO SU SUPPORTO DI PLASTICA E PLACCA IN TECNOPOLIMERO, CATEGORIA 6. OP PRESA, UTENTE. INCLUSO: COPERCHIO. 
SPECIFICHE TECNICHE: PRESA UTENTE RJ45 UTP NON SCHERMATA, CABLAGGIO UNIVERSALE T568A/B, SERIE CIVILE PER MONTAGGIO SU SUPPORTO DI PLASTICA E PLACCA IN TECNOPOLIMERO, CATEGORIA 6. 
RM PRESA UTENTE. INCLUSO: COPERCHIO 
SPECIFICHE TECNICHE: PRESA UTENTE RJ45 UTP NON SCHERMATA, CABLAGGIO UNIVERSALE T568A/B, SERIE CIVILE PER MONTAGGIO SU SUPPORTO DI PLASTICA E PLACCA IN TECNOPOLIMERO, CATEGORIA 6 
LV POSA.
[DIMENSIONI: 12,00 2,000 | 22,00 2,000]</t>
        </is>
      </c>
      <c r="M502" s="4" t="inlineStr">
        <is>
          <t>CAD</t>
        </is>
      </c>
      <c r="N502" s="5" t="n">
        <v>76</v>
      </c>
      <c r="O502" s="6" t="n">
        <v>38.55</v>
      </c>
      <c r="P502" s="6" t="n">
        <v>2929.8</v>
      </c>
      <c r="Q502" s="5" t="n"/>
      <c r="R502" s="6" t="n"/>
      <c r="S502" s="6">
        <f>IF(AND(Q502&lt;&gt;"",R502&lt;&gt;""),Q502*R502,"")</f>
        <v/>
      </c>
      <c r="T502" s="6">
        <f>IF(S502="",P502,S502)</f>
        <v/>
      </c>
      <c r="U502" s="7" t="n">
        <v>0</v>
      </c>
      <c r="V502" s="6">
        <f>$T502*U502</f>
        <v/>
      </c>
      <c r="W502" s="7" t="n">
        <v>0</v>
      </c>
      <c r="X502" s="6">
        <f>$T502*W502</f>
        <v/>
      </c>
      <c r="Y502" s="7" t="n">
        <v>0</v>
      </c>
      <c r="Z502" s="6">
        <f>$T502*Y502</f>
        <v/>
      </c>
      <c r="AA502" s="7" t="n">
        <v>0</v>
      </c>
      <c r="AB502" s="6">
        <f>$T502*AA502</f>
        <v/>
      </c>
      <c r="AC502" s="7" t="n">
        <v>0</v>
      </c>
      <c r="AD502" s="6">
        <f>$T502*AC502</f>
        <v/>
      </c>
      <c r="AE502" s="7" t="n">
        <v>0</v>
      </c>
      <c r="AF502" s="6">
        <f>$T502*AE502</f>
        <v/>
      </c>
      <c r="AG502" s="7" t="n">
        <v>0</v>
      </c>
      <c r="AH502" s="6">
        <f>$T502*AG502</f>
        <v/>
      </c>
      <c r="AI502" s="7">
        <f>U502+W502+Y502+AA502+AC502+AE502+AG502</f>
        <v/>
      </c>
      <c r="AJ502" s="6">
        <f>V502+X502+Z502+AB502+AD502+AF502+AH502</f>
        <v/>
      </c>
    </row>
    <row r="503" ht="60" customHeight="1" s="35">
      <c r="A503" s="3" t="inlineStr">
        <is>
          <t>LOM252.OC.EEA.PA02.H7455.SC000.0260</t>
        </is>
      </c>
      <c r="B503" s="4" t="inlineStr">
        <is>
          <t>1/2</t>
        </is>
      </c>
      <c r="C503" s="3" t="inlineStr">
        <is>
          <t>IMPIANTO ELETTRICO</t>
        </is>
      </c>
      <c r="D503" s="4" t="inlineStr">
        <is>
          <t>NON SPECIALE</t>
        </is>
      </c>
      <c r="E503" s="4" t="inlineStr">
        <is>
          <t>ELETTRICHE</t>
        </is>
      </c>
      <c r="F503" s="3" t="inlineStr">
        <is>
          <t>3_CME IE RADIOFARMACIA PAVIA - REV02 VARIANTE ESECUTIVA.PDF</t>
        </is>
      </c>
      <c r="G503" s="4" t="inlineStr">
        <is>
          <t>204/204</t>
        </is>
      </c>
      <c r="H503" s="3" t="inlineStr">
        <is>
          <t>40 - IMPIANTISTICO</t>
        </is>
      </c>
      <c r="I503" s="3" t="inlineStr">
        <is>
          <t>RADIOFARMACIA</t>
        </is>
      </c>
      <c r="J503" s="3" t="inlineStr">
        <is>
          <t>CABLAGGIO STRUTTURATO</t>
        </is>
      </c>
      <c r="K503" s="3" t="inlineStr">
        <is>
          <t xml:space="preserve">OPERA: CAVO, UTP DI LEGA RAME GENERICO; GEOMETRIA: 4 COPPIE | TWISTATO | NON SCHERMATO. </t>
        </is>
      </c>
      <c r="L503" s="3" t="inlineStr">
        <is>
          <t>OPERA: CAVO, UTP DI LEGA RAME GENERICO; GEOMETRIA: 4 COPPIE | TWISTATO | NON SCHERMATO. 
LAVORO: POSA. OP CAVO, UTP DI LEGA RAME GENERICO; GEOMETRIA: 4 COPPIE | TWISTATO | NON SCHERMATO. 
RM CAVO UTP DI LEGA RAME GENERICO; GEOMETRIA: 4 COPPIE | TWISTATO | NON SCHERMATO. COMPONENTE: CONDUTTORE, . INCLUSO: GUAINA LSZH 
LV POSA.
[DIMENSIONI: 18,00 40,00 | 24,00 40,00 | 2,00 20,00]</t>
        </is>
      </c>
      <c r="M503" s="4" t="inlineStr">
        <is>
          <t>M</t>
        </is>
      </c>
      <c r="N503" s="5" t="n">
        <v>1720</v>
      </c>
      <c r="O503" s="6" t="n">
        <v>3.15</v>
      </c>
      <c r="P503" s="6" t="n">
        <v>5418</v>
      </c>
      <c r="Q503" s="5" t="n"/>
      <c r="R503" s="6" t="n"/>
      <c r="S503" s="6">
        <f>IF(AND(Q503&lt;&gt;"",R503&lt;&gt;""),Q503*R503,"")</f>
        <v/>
      </c>
      <c r="T503" s="6">
        <f>IF(S503="",P503,S503)</f>
        <v/>
      </c>
      <c r="U503" s="7" t="n">
        <v>0</v>
      </c>
      <c r="V503" s="6">
        <f>$T503*U503</f>
        <v/>
      </c>
      <c r="W503" s="7" t="n">
        <v>0.4</v>
      </c>
      <c r="X503" s="6">
        <f>$T503*W503</f>
        <v/>
      </c>
      <c r="Y503" s="7" t="n">
        <v>0</v>
      </c>
      <c r="Z503" s="6">
        <f>$T503*Y503</f>
        <v/>
      </c>
      <c r="AA503" s="7" t="n">
        <v>0</v>
      </c>
      <c r="AB503" s="6">
        <f>$T503*AA503</f>
        <v/>
      </c>
      <c r="AC503" s="7" t="n">
        <v>0</v>
      </c>
      <c r="AD503" s="6">
        <f>$T503*AC503</f>
        <v/>
      </c>
      <c r="AE503" s="7" t="n">
        <v>0</v>
      </c>
      <c r="AF503" s="6">
        <f>$T503*AE503</f>
        <v/>
      </c>
      <c r="AG503" s="7" t="n">
        <v>0</v>
      </c>
      <c r="AH503" s="6">
        <f>$T503*AG503</f>
        <v/>
      </c>
      <c r="AI503" s="7">
        <f>U503+W503+Y503+AA503+AC503+AE503+AG503</f>
        <v/>
      </c>
      <c r="AJ503" s="6">
        <f>V503+X503+Z503+AB503+AD503+AF503+AH503</f>
        <v/>
      </c>
    </row>
    <row r="504" ht="60" customHeight="1" s="35">
      <c r="A504" s="3" t="inlineStr">
        <is>
          <t>LOM252.OC.EEA.PA02.H7498.R0000.0015</t>
        </is>
      </c>
      <c r="B504" s="4" t="inlineStr">
        <is>
          <t>1/1</t>
        </is>
      </c>
      <c r="C504" s="3" t="inlineStr">
        <is>
          <t>IMPIANTO ELETTRICO</t>
        </is>
      </c>
      <c r="D504" s="4" t="inlineStr">
        <is>
          <t>NON SPECIALE</t>
        </is>
      </c>
      <c r="E504" s="4" t="inlineStr">
        <is>
          <t>ELETTRICHE</t>
        </is>
      </c>
      <c r="F504" s="3" t="inlineStr">
        <is>
          <t>3_CME IE RADIOFARMACIA PAVIA - REV02 VARIANTE ESECUTIVA.PDF</t>
        </is>
      </c>
      <c r="G504" s="4" t="inlineStr">
        <is>
          <t>205/205</t>
        </is>
      </c>
      <c r="H504" s="3" t="inlineStr">
        <is>
          <t>40 - IMPIANTISTICO</t>
        </is>
      </c>
      <c r="I504" s="3" t="inlineStr">
        <is>
          <t>RADIOFARMACIA</t>
        </is>
      </c>
      <c r="J504" s="3" t="inlineStr">
        <is>
          <t>CABLAGGIO STRUTTURATO</t>
        </is>
      </c>
      <c r="K504" s="3" t="inlineStr">
        <is>
          <t xml:space="preserve">OPERA: ARMADIO RACK, 19" DI METALLO GENERICO; IMPIEGO: SISTEMI AUDIO DI DIFFUSIONE SONORA; UNITÀ RACK [U] = 42. INCLUSO: MONTANTI IN ACCIAIO, PANNELLI LATERALI REMOVIBILI, PORTA POSTERIORE. </t>
        </is>
      </c>
      <c r="L504" s="3" t="inlineStr">
        <is>
          <t>OPERA: ARMADIO RACK, 19" DI METALLO GENERICO; IMPIEGO: SISTEMI AUDIO DI DIFFUSIONE SONORA; UNITÀ RACK [U] = 42. INCLUSO: MONTANTI IN ACCIAIO, PANNELLI LATERALI REMOVIBILI, PORTA POSTERIORE. 
LAVORO: POSA. 
SPECIFICHE TECNICHE: ARMADIO RACK CON PASSAGGI PER L'USCITA DEI CAVI, FORNITO ASSEMBLATO. OP ARMADIO RACK, 19" DI METALLO GENERICO; IMPIEGO: SISTEMI AUDIO DI DIFFUSIONE SONORA; UNITÀ RACK [U] = 42. INCLUSO: MONTANTI IN ACCIAIO, PANNELLI LATERALI REMOVIBILI, PORTA POSTERIORE. 
SPECIFICHE TECNICHE: ARMADIO RACK CON PASSAGGI PER L'USCITA DEI CAVI, FORNITO ASSEMBLATO. 
RM ARMADIO RACK 19" DI METALLO GENERICO; IMPIEGO: SISTEMI AUDIO DI DIFFUSIONE SONORA; UNITÀ RACK [U] = 42. COMPONENTE: BASE, . INCLUSO: MONTANTI IN ACCIAIO, PANNELLI LATERALI REMOVIBILI, PORTA POSTERIORE 
SPECIFICHE TECNICHE: ARMADIO RACK CON PASSAGGI PER L'USCITA DEI CAVI, FORNITO ASSEMBLATO 
LV POSA.</t>
        </is>
      </c>
      <c r="M504" s="4" t="inlineStr">
        <is>
          <t>CAD</t>
        </is>
      </c>
      <c r="N504" s="5" t="n">
        <v>2</v>
      </c>
      <c r="O504" s="6" t="n">
        <v>1214.32</v>
      </c>
      <c r="P504" s="6" t="n">
        <v>2428.64</v>
      </c>
      <c r="Q504" s="5" t="n"/>
      <c r="R504" s="6" t="n"/>
      <c r="S504" s="6">
        <f>IF(AND(Q504&lt;&gt;"",R504&lt;&gt;""),Q504*R504,"")</f>
        <v/>
      </c>
      <c r="T504" s="6">
        <f>IF(S504="",P504,S504)</f>
        <v/>
      </c>
      <c r="U504" s="7" t="n">
        <v>0</v>
      </c>
      <c r="V504" s="6">
        <f>$T504*U504</f>
        <v/>
      </c>
      <c r="W504" s="7" t="n">
        <v>0.5</v>
      </c>
      <c r="X504" s="6">
        <f>$T504*W504</f>
        <v/>
      </c>
      <c r="Y504" s="7" t="n">
        <v>0</v>
      </c>
      <c r="Z504" s="6">
        <f>$T504*Y504</f>
        <v/>
      </c>
      <c r="AA504" s="7" t="n">
        <v>0</v>
      </c>
      <c r="AB504" s="6">
        <f>$T504*AA504</f>
        <v/>
      </c>
      <c r="AC504" s="7" t="n">
        <v>0</v>
      </c>
      <c r="AD504" s="6">
        <f>$T504*AC504</f>
        <v/>
      </c>
      <c r="AE504" s="7" t="n">
        <v>0</v>
      </c>
      <c r="AF504" s="6">
        <f>$T504*AE504</f>
        <v/>
      </c>
      <c r="AG504" s="7" t="n">
        <v>0</v>
      </c>
      <c r="AH504" s="6">
        <f>$T504*AG504</f>
        <v/>
      </c>
      <c r="AI504" s="7">
        <f>U504+W504+Y504+AA504+AC504+AE504+AG504</f>
        <v/>
      </c>
      <c r="AJ504" s="6">
        <f>V504+X504+Z504+AB504+AD504+AF504+AH504</f>
        <v/>
      </c>
    </row>
    <row r="505" ht="54" customHeight="1" s="35">
      <c r="A505" s="3" t="inlineStr">
        <is>
          <t>DEIELE251_095145C</t>
        </is>
      </c>
      <c r="B505" s="4" t="inlineStr">
        <is>
          <t>1/1</t>
        </is>
      </c>
      <c r="C505" s="3" t="inlineStr">
        <is>
          <t>IMPIANTO ELETTRICO</t>
        </is>
      </c>
      <c r="D505" s="4" t="inlineStr">
        <is>
          <t>NON SPECIALE</t>
        </is>
      </c>
      <c r="E505" s="4" t="inlineStr">
        <is>
          <t>ELETTRICHE</t>
        </is>
      </c>
      <c r="F505" s="3" t="inlineStr">
        <is>
          <t>3_CME IE RADIOFARMACIA PAVIA - REV02 VARIANTE ESECUTIVA.PDF</t>
        </is>
      </c>
      <c r="G505" s="4" t="inlineStr">
        <is>
          <t>206/206</t>
        </is>
      </c>
      <c r="H505" s="3" t="inlineStr">
        <is>
          <t>40 - IMPIANTISTICO</t>
        </is>
      </c>
      <c r="I505" s="3" t="inlineStr">
        <is>
          <t>RADIOFARMACIA</t>
        </is>
      </c>
      <c r="J505" s="3" t="inlineStr">
        <is>
          <t>CABLAGGIO STRUTTURATO</t>
        </is>
      </c>
      <c r="K505" s="3" t="inlineStr">
        <is>
          <t>PANNELLO DI PERMUTAZIONE MODULARE, CABLAGGIO UNIVERSALE, CON TELAIO PER ARMADIO DA 19", COMPLETO DI PORTE PER CAVI UTP O FTP: VUOTO, PREDISPOSTO PER 24 PORTE TIPO RJ45 PER CAVI UTP/FTP</t>
        </is>
      </c>
      <c r="L505" s="3" t="inlineStr">
        <is>
          <t>PANNELLO DI PERMUTAZIONE MODULARE, CABLAGGIO UNIVERSALE, CON TELAIO PER ARMADIO DA 19", COMPLETO DI PORTE PER CAVI UTP O FTP: VUOTO, PREDISPOSTO PER 24 PORTE TIPO RJ45 PER CAVI UTP/FTP</t>
        </is>
      </c>
      <c r="M505" s="4" t="inlineStr">
        <is>
          <t>CAD</t>
        </is>
      </c>
      <c r="N505" s="5" t="n">
        <v>10</v>
      </c>
      <c r="O505" s="6" t="n">
        <v>62.85</v>
      </c>
      <c r="P505" s="6" t="n">
        <v>628.5</v>
      </c>
      <c r="Q505" s="5" t="n"/>
      <c r="R505" s="6" t="n"/>
      <c r="S505" s="6">
        <f>IF(AND(Q505&lt;&gt;"",R505&lt;&gt;""),Q505*R505,"")</f>
        <v/>
      </c>
      <c r="T505" s="6">
        <f>IF(S505="",P505,S505)</f>
        <v/>
      </c>
      <c r="U505" s="7" t="n">
        <v>0</v>
      </c>
      <c r="V505" s="6">
        <f>$T505*U505</f>
        <v/>
      </c>
      <c r="W505" s="7" t="n">
        <v>0</v>
      </c>
      <c r="X505" s="6">
        <f>$T505*W505</f>
        <v/>
      </c>
      <c r="Y505" s="7" t="n">
        <v>0</v>
      </c>
      <c r="Z505" s="6">
        <f>$T505*Y505</f>
        <v/>
      </c>
      <c r="AA505" s="7" t="n">
        <v>0</v>
      </c>
      <c r="AB505" s="6">
        <f>$T505*AA505</f>
        <v/>
      </c>
      <c r="AC505" s="7" t="n">
        <v>0</v>
      </c>
      <c r="AD505" s="6">
        <f>$T505*AC505</f>
        <v/>
      </c>
      <c r="AE505" s="7" t="n">
        <v>0</v>
      </c>
      <c r="AF505" s="6">
        <f>$T505*AE505</f>
        <v/>
      </c>
      <c r="AG505" s="7" t="n">
        <v>0</v>
      </c>
      <c r="AH505" s="6">
        <f>$T505*AG505</f>
        <v/>
      </c>
      <c r="AI505" s="7">
        <f>U505+W505+Y505+AA505+AC505+AE505+AG505</f>
        <v/>
      </c>
      <c r="AJ505" s="6">
        <f>V505+X505+Z505+AB505+AD505+AF505+AH505</f>
        <v/>
      </c>
    </row>
    <row r="506" ht="60" customHeight="1" s="35">
      <c r="A506" s="3" t="inlineStr">
        <is>
          <t>LOM252.OC.EEA.PA01.G7448.ZA001.0505</t>
        </is>
      </c>
      <c r="B506" s="4" t="inlineStr">
        <is>
          <t>1/1</t>
        </is>
      </c>
      <c r="C506" s="3" t="inlineStr">
        <is>
          <t>IMPIANTO ELETTRICO</t>
        </is>
      </c>
      <c r="D506" s="4" t="inlineStr">
        <is>
          <t>NON SPECIALE</t>
        </is>
      </c>
      <c r="E506" s="4" t="inlineStr">
        <is>
          <t>ELETTRICHE</t>
        </is>
      </c>
      <c r="F506" s="3" t="inlineStr">
        <is>
          <t>3_CME IE RADIOFARMACIA PAVIA - REV02 VARIANTE ESECUTIVA.PDF</t>
        </is>
      </c>
      <c r="G506" s="4" t="inlineStr">
        <is>
          <t>207/207</t>
        </is>
      </c>
      <c r="H506" s="3" t="inlineStr">
        <is>
          <t>40 - IMPIANTISTICO</t>
        </is>
      </c>
      <c r="I506" s="3" t="inlineStr">
        <is>
          <t>RADIOFARMACIA</t>
        </is>
      </c>
      <c r="J506" s="3" t="inlineStr">
        <is>
          <t>CABLAGGIO STRUTTURATO</t>
        </is>
      </c>
      <c r="K506" s="3" t="inlineStr">
        <is>
          <t xml:space="preserve">OPERA: CONNETTORE, RJ45; GEOMETRIA: UTP NON SCHERMATO; IMPIEGO: PANNELLI DI PERMUTAZIONE. </t>
        </is>
      </c>
      <c r="L506" s="3" t="inlineStr">
        <is>
          <t>OPERA: CONNETTORE, RJ45; GEOMETRIA: UTP NON SCHERMATO; IMPIEGO: PANNELLI DI PERMUTAZIONE. 
LAVORO: INSTALLAZIONE. 
SPECIFICHE TECNICHE: CABLAGGIO UNIVERSALE T568A/B, CATEGORIA 6E. OP CONNETTORE, RJ45; GEOMETRIA: UTP NON SCHERMATO; IMPIEGO: PANNELLI DI PERMUTAZIONE. 
SPECIFICHE TECNICHE: CABLAGGIO UNIVERSALE T568A/B, CATEGORIA 6E. 
RM CONNETTORE RJ45; GEOMETRIA: UTP NON SCHERMATO; IMPIEGO: PANNELLI DI PERMUTAZIONE 
SPECIFICHE TECNICHE: CABLAGGIO UNIVERSALE T568A/B, CATEGORIA 6E 
LV INSTALLAZIONE.
[DIMENSIONI: 7,00 24,000 | 3,00 24,000]</t>
        </is>
      </c>
      <c r="M506" s="4" t="inlineStr">
        <is>
          <t>CAD</t>
        </is>
      </c>
      <c r="N506" s="5" t="n">
        <v>240</v>
      </c>
      <c r="O506" s="6" t="n">
        <v>10.48</v>
      </c>
      <c r="P506" s="6" t="n">
        <v>2515.2</v>
      </c>
      <c r="Q506" s="5" t="n"/>
      <c r="R506" s="6" t="n"/>
      <c r="S506" s="6">
        <f>IF(AND(Q506&lt;&gt;"",R506&lt;&gt;""),Q506*R506,"")</f>
        <v/>
      </c>
      <c r="T506" s="6">
        <f>IF(S506="",P506,S506)</f>
        <v/>
      </c>
      <c r="U506" s="7" t="n">
        <v>0</v>
      </c>
      <c r="V506" s="6">
        <f>$T506*U506</f>
        <v/>
      </c>
      <c r="W506" s="7" t="n">
        <v>0.4</v>
      </c>
      <c r="X506" s="6">
        <f>$T506*W506</f>
        <v/>
      </c>
      <c r="Y506" s="7" t="n">
        <v>0</v>
      </c>
      <c r="Z506" s="6">
        <f>$T506*Y506</f>
        <v/>
      </c>
      <c r="AA506" s="7" t="n">
        <v>0</v>
      </c>
      <c r="AB506" s="6">
        <f>$T506*AA506</f>
        <v/>
      </c>
      <c r="AC506" s="7" t="n">
        <v>0</v>
      </c>
      <c r="AD506" s="6">
        <f>$T506*AC506</f>
        <v/>
      </c>
      <c r="AE506" s="7" t="n">
        <v>0</v>
      </c>
      <c r="AF506" s="6">
        <f>$T506*AE506</f>
        <v/>
      </c>
      <c r="AG506" s="7" t="n">
        <v>0</v>
      </c>
      <c r="AH506" s="6">
        <f>$T506*AG506</f>
        <v/>
      </c>
      <c r="AI506" s="7">
        <f>U506+W506+Y506+AA506+AC506+AE506+AG506</f>
        <v/>
      </c>
      <c r="AJ506" s="6">
        <f>V506+X506+Z506+AB506+AD506+AF506+AH506</f>
        <v/>
      </c>
    </row>
    <row r="507" ht="30" customHeight="1" s="35">
      <c r="A507" s="3" t="inlineStr">
        <is>
          <t>DEIELE251_095113</t>
        </is>
      </c>
      <c r="B507" s="4" t="inlineStr">
        <is>
          <t>1/1</t>
        </is>
      </c>
      <c r="C507" s="3" t="inlineStr">
        <is>
          <t>IMPIANTO ELETTRICO</t>
        </is>
      </c>
      <c r="D507" s="4" t="inlineStr">
        <is>
          <t>NON SPECIALE</t>
        </is>
      </c>
      <c r="E507" s="4" t="inlineStr">
        <is>
          <t>ELETTRICHE</t>
        </is>
      </c>
      <c r="F507" s="3" t="inlineStr">
        <is>
          <t>3_CME IE RADIOFARMACIA PAVIA - REV02 VARIANTE ESECUTIVA.PDF</t>
        </is>
      </c>
      <c r="G507" s="4" t="inlineStr">
        <is>
          <t>208/208</t>
        </is>
      </c>
      <c r="H507" s="3" t="inlineStr">
        <is>
          <t>40 - IMPIANTISTICO</t>
        </is>
      </c>
      <c r="I507" s="3" t="inlineStr">
        <is>
          <t>RADIOFARMACIA</t>
        </is>
      </c>
      <c r="J507" s="3" t="inlineStr">
        <is>
          <t>CABLAGGIO STRUTTURATO</t>
        </is>
      </c>
      <c r="K507" s="3" t="inlineStr">
        <is>
          <t>ATTESTAZIONE DI CAVO UTP O FTP 4 COPPIE SU CONNETTORE RJ45 CAT. 6 CONFORME ISO IEC 11801 QUESTO INCLUSO</t>
        </is>
      </c>
      <c r="L507" s="3" t="inlineStr">
        <is>
          <t>ATTESTAZIONE DI CAVO UTP O FTP 4 COPPIE SU CONNETTORE RJ45 CAT. 6 CONFORME ISO IEC 11801 QUESTO INCLUSO</t>
        </is>
      </c>
      <c r="M507" s="4" t="inlineStr">
        <is>
          <t>CAD</t>
        </is>
      </c>
      <c r="N507" s="5" t="n">
        <v>212</v>
      </c>
      <c r="O507" s="6" t="n">
        <v>16.41</v>
      </c>
      <c r="P507" s="6" t="n">
        <v>3478.92</v>
      </c>
      <c r="Q507" s="5" t="n"/>
      <c r="R507" s="6" t="n"/>
      <c r="S507" s="6">
        <f>IF(AND(Q507&lt;&gt;"",R507&lt;&gt;""),Q507*R507,"")</f>
        <v/>
      </c>
      <c r="T507" s="6">
        <f>IF(S507="",P507,S507)</f>
        <v/>
      </c>
      <c r="U507" s="7" t="n">
        <v>0</v>
      </c>
      <c r="V507" s="6">
        <f>$T507*U507</f>
        <v/>
      </c>
      <c r="W507" s="7" t="n">
        <v>0</v>
      </c>
      <c r="X507" s="6">
        <f>$T507*W507</f>
        <v/>
      </c>
      <c r="Y507" s="7" t="n">
        <v>0</v>
      </c>
      <c r="Z507" s="6">
        <f>$T507*Y507</f>
        <v/>
      </c>
      <c r="AA507" s="7" t="n">
        <v>0</v>
      </c>
      <c r="AB507" s="6">
        <f>$T507*AA507</f>
        <v/>
      </c>
      <c r="AC507" s="7" t="n">
        <v>0</v>
      </c>
      <c r="AD507" s="6">
        <f>$T507*AC507</f>
        <v/>
      </c>
      <c r="AE507" s="7" t="n">
        <v>0</v>
      </c>
      <c r="AF507" s="6">
        <f>$T507*AE507</f>
        <v/>
      </c>
      <c r="AG507" s="7" t="n">
        <v>0</v>
      </c>
      <c r="AH507" s="6">
        <f>$T507*AG507</f>
        <v/>
      </c>
      <c r="AI507" s="7">
        <f>U507+W507+Y507+AA507+AC507+AE507+AG507</f>
        <v/>
      </c>
      <c r="AJ507" s="6">
        <f>V507+X507+Z507+AB507+AD507+AF507+AH507</f>
        <v/>
      </c>
    </row>
    <row r="508" ht="60" customHeight="1" s="35">
      <c r="A508" s="3" t="inlineStr">
        <is>
          <t>LOM252.OC.EEA.PA01.H0927.ZA001.0260</t>
        </is>
      </c>
      <c r="B508" s="4" t="inlineStr">
        <is>
          <t>1/1</t>
        </is>
      </c>
      <c r="C508" s="3" t="inlineStr">
        <is>
          <t>IMPIANTO ELETTRICO</t>
        </is>
      </c>
      <c r="D508" s="4" t="inlineStr">
        <is>
          <t>NON SPECIALE</t>
        </is>
      </c>
      <c r="E508" s="4" t="inlineStr">
        <is>
          <t>ELETTRICHE</t>
        </is>
      </c>
      <c r="F508" s="3" t="inlineStr">
        <is>
          <t>3_CME IE RADIOFARMACIA PAVIA - REV02 VARIANTE ESECUTIVA.PDF</t>
        </is>
      </c>
      <c r="G508" s="4" t="inlineStr">
        <is>
          <t>209/209</t>
        </is>
      </c>
      <c r="H508" s="3" t="inlineStr">
        <is>
          <t>40 - IMPIANTISTICO</t>
        </is>
      </c>
      <c r="I508" s="3" t="inlineStr">
        <is>
          <t>RADIOFARMACIA</t>
        </is>
      </c>
      <c r="J508" s="3" t="inlineStr">
        <is>
          <t>CABLAGGIO STRUTTURATO</t>
        </is>
      </c>
      <c r="K508" s="3" t="inlineStr">
        <is>
          <t xml:space="preserve">OPERA: SWITCH DI RETE, PER GIGABITE ETHERNET; FUNZIONE: POWER OVER ETHERNET (POE); IMPIEGO: TELECAMERE IP; TEMPERATURA DI ESERCIZIO [°C] = 0 ÷ 50. </t>
        </is>
      </c>
      <c r="L508" s="3" t="inlineStr">
        <is>
          <t>OPERA: SWITCH DI RETE, PER GIGABITE ETHERNET; FUNZIONE: POWER OVER ETHERNET (POE); IMPIEGO: TELECAMERE IP; TEMPERATURA DI ESERCIZIO [°C] = 0 ÷ 50. 
LAVORO: INSTALLAZIONE. 
SPECIFICHE TECNICHE: SWITCH DI RETE PER GIGABIT ETHERNET CON FUNZIONALITÀ POE PER TELECAMERE IP CON PORTE GIGE PER CONNESSIONI NVR / SERVER, ADATTO PER UTILIZZI IN AMBIENTI ORDINARI. CARATTERISTICHE: 24 PORTE GIGABIT ETHERNET RJ-45 CON POE +. SWITCH NON BLOCCABILE FINO A 48GBPS. DIMENSIONI DEL TELAIO JUMBO DA 10KBYTES. TABELLA DI INDIRIZZO MAC DI 8K- SUPPORTO MULTICAST COMPLETO PER IP VIDEO. FINO A 256 GRUPPI MULTICAST. SUPPORTO VLAN. FINO A 256 GRUPPI VLAN. QUALITÀ DEL SERVIZIO (QOS). POWER OVER ETHERNET. RILEVA AUTOMATICAMENTE I DISPOSITIVI A POTENZA POE (PD). FILTRO MAC E SORGENTE DI ORIGINE INDIRIZZO IP / MAC. CONFORME A IEEE 802.3AF / IEEE 802.3AT POWER OVER ETHERNET / END-SPAN PSE E FINO A 24 DISPOSITIVI IEEE 802.3AF (24 PORTE 15,4W)/ 802.3AT (12 PORTE 30W) ALIMENTATI. POTENZA TOTALE POE FINO A 380W -. OP SWITCH DI RETE, PER GIGABITE ETHERNET; FUNZIONE: POWER OVER ETHERNET (POE); IMPIEGO: TELECAMERE IP; TEMPERATURA DI ESERCIZIO [°C] = 0 ÷ 50. 
SPECIFICHE TECNICHE: SWITCH DI RETE PER GIGABIT ETHERNET CON FUNZIONALITÀ POE PER TELECAMERE IP CON PORTE GIGE PER CONNESSIONI NVR / SERVER, ADATTO PER UTILIZZI IN AMBIENTI ORDINARI. CARATTERISTICHE: 24 PORTE GIGABIT ETHERNET RJ-45 CON POE +. SWITCH NON BLOCCABILE FINO A 48GBPS. DIMENSIONI DEL TELAIO JUMBO DA 10KBYTES. TABELLA DI INDIRIZZO MAC DI 8K- SUPPORTO MULTICAST COMPLETO PER IP VIDEO. FINO A 256 GRUPPI MULTICAST. SUPPORTO VLAN. FINO A 256 GRUPPI VLAN. QUALITÀ DEL SERVIZIO (QOS). POWER OVER ETHERNET. RILEVA AUTOMATICAMENTE I DISPOSITIVI A POTENZA POE (PD). FILTRO MAC E SORGENTE DI ORIGINE INDIRIZZO IP / MAC. CONFORME A IEEE 802.3AF / IEEE 802.3AT POWER OVER ETHERNET / END-SPAN PSE E FINO A 24 DISPOSITIVI IEEE 802.3AF (24 PORTE 15,4W)/ 802.3AT (12 PORTE 30W) ALIMENTATI. POTENZA TOTALE POE FINO A 380W -. 
RM SWITCH DI RETE PER GIGABITE ETHERNET; FUNZIONE: POWER OVER ETHERNET (POE); IMPIEGO: TELECAMERE IP; TEMPERATURA DI ESERCIZIO [°C] = 0 ÷ 50 
SPECIFICHE TECNICHE: SWITCH DI RETE PER GIGABIT ETHERNET CON FUNZIONALITÀ POE PER TELECAMERE IP CON PORTE GIGE PER CONNESSIONI NVR / SERVER, ADATTO PER UTILIZZI IN AMBIENTI ORDINARI. CARATTERISTICHE: 24 PORTE GIGABIT ETHERNET RJ-45 CON POE +. SWITCH NON BLOCCABILE FINO A 48GBPS. DIMENSIONI DEL TELAIO JUMBO DA 10KBYTES. TABELLA DI INDIRIZZO MAC DI 8K- SUPPORTO MULTICAST COMPLETO PER IP VIDEO. FINO A 256 GRUPPI MULTICAST. SUPPORTO VLAN. FINO A 256 GRUPPI VLAN. QUALITÀ DEL SERVIZIO (QOS). POWER OVER ETHERNET. RILEVA AUTOMATICAMENTE I DISPOSITIVI A POTENZA POE (PD). FILTRO MAC E SORGENTE DI ORIGINE INDIRIZZO IP / MAC. CONFORME A IEEE 802.3AF / IEEE 802.3AT POWER OVER ETHERNET / END-SPAN PSE E FINO A 24 DISPOSITIVI IEEE 802.3AF (24 PORTE 15,4W)/ 802.3AT (12 PORTE 30W) ALIMENTATI. POTENZA TOTALE POE FINO A 380W - 
LV INSTALLAZIONE.</t>
        </is>
      </c>
      <c r="M508" s="4" t="inlineStr">
        <is>
          <t>CAD</t>
        </is>
      </c>
      <c r="N508" s="5" t="n">
        <v>10</v>
      </c>
      <c r="O508" s="6" t="n">
        <v>219.38</v>
      </c>
      <c r="P508" s="6" t="n">
        <v>2193.8</v>
      </c>
      <c r="Q508" s="5" t="n"/>
      <c r="R508" s="6" t="n"/>
      <c r="S508" s="6">
        <f>IF(AND(Q508&lt;&gt;"",R508&lt;&gt;""),Q508*R508,"")</f>
        <v/>
      </c>
      <c r="T508" s="6">
        <f>IF(S508="",P508,S508)</f>
        <v/>
      </c>
      <c r="U508" s="7" t="n">
        <v>0</v>
      </c>
      <c r="V508" s="6">
        <f>$T508*U508</f>
        <v/>
      </c>
      <c r="W508" s="7" t="n">
        <v>0.5</v>
      </c>
      <c r="X508" s="6">
        <f>$T508*W508</f>
        <v/>
      </c>
      <c r="Y508" s="7" t="n">
        <v>0</v>
      </c>
      <c r="Z508" s="6">
        <f>$T508*Y508</f>
        <v/>
      </c>
      <c r="AA508" s="7" t="n">
        <v>0</v>
      </c>
      <c r="AB508" s="6">
        <f>$T508*AA508</f>
        <v/>
      </c>
      <c r="AC508" s="7" t="n">
        <v>0</v>
      </c>
      <c r="AD508" s="6">
        <f>$T508*AC508</f>
        <v/>
      </c>
      <c r="AE508" s="7" t="n">
        <v>0</v>
      </c>
      <c r="AF508" s="6">
        <f>$T508*AE508</f>
        <v/>
      </c>
      <c r="AG508" s="7" t="n">
        <v>0</v>
      </c>
      <c r="AH508" s="6">
        <f>$T508*AG508</f>
        <v/>
      </c>
      <c r="AI508" s="7">
        <f>U508+W508+Y508+AA508+AC508+AE508+AG508</f>
        <v/>
      </c>
      <c r="AJ508" s="6">
        <f>V508+X508+Z508+AB508+AD508+AF508+AH508</f>
        <v/>
      </c>
    </row>
    <row r="509" ht="42" customHeight="1" s="35">
      <c r="A509" s="3" t="inlineStr">
        <is>
          <t>DEIELE251_095134F</t>
        </is>
      </c>
      <c r="B509" s="4" t="inlineStr">
        <is>
          <t>1/1</t>
        </is>
      </c>
      <c r="C509" s="3" t="inlineStr">
        <is>
          <t>IMPIANTO ELETTRICO</t>
        </is>
      </c>
      <c r="D509" s="4" t="inlineStr">
        <is>
          <t>NON SPECIALE</t>
        </is>
      </c>
      <c r="E509" s="4" t="inlineStr">
        <is>
          <t>ELETTRICHE</t>
        </is>
      </c>
      <c r="F509" s="3" t="inlineStr">
        <is>
          <t>3_CME IE RADIOFARMACIA PAVIA - REV02 VARIANTE ESECUTIVA.PDF</t>
        </is>
      </c>
      <c r="G509" s="4" t="inlineStr">
        <is>
          <t>210/210</t>
        </is>
      </c>
      <c r="H509" s="3" t="inlineStr">
        <is>
          <t>40 - IMPIANTISTICO</t>
        </is>
      </c>
      <c r="I509" s="3" t="inlineStr">
        <is>
          <t>RADIOFARMACIA</t>
        </is>
      </c>
      <c r="J509" s="3" t="inlineStr">
        <is>
          <t>CABLAGGIO STRUTTURATO</t>
        </is>
      </c>
      <c r="K509" s="3" t="inlineStr">
        <is>
          <t>PATCH-CORD REALIZZATA IN CAVO 4 COPPIE, CONDUTTORI IN RAME 24AWG E CONNETTORI RJ45, CONFORME ALLA NORMATIVA ISO /IEC 11801 E EIA/TIA 568 C2-1, LUNGHEZZA: 200 CM, U/UTP CATEGORIA 6</t>
        </is>
      </c>
      <c r="L509" s="3" t="inlineStr">
        <is>
          <t>PATCH-CORD REALIZZATA IN CAVO 4 COPPIE, CONDUTTORI IN RAME 24AWG E CONNETTORI RJ45, CONFORME ALLA NORMATIVA ISO /IEC 11801 E EIA/TIA 568 C2-1, LUNGHEZZA: 200 CM, U/UTP CATEGORIA 6</t>
        </is>
      </c>
      <c r="M509" s="4" t="inlineStr">
        <is>
          <t>CAD</t>
        </is>
      </c>
      <c r="N509" s="5" t="n">
        <v>212</v>
      </c>
      <c r="O509" s="6" t="n">
        <v>4.57</v>
      </c>
      <c r="P509" s="6" t="n">
        <v>968.84</v>
      </c>
      <c r="Q509" s="5" t="n"/>
      <c r="R509" s="6" t="n"/>
      <c r="S509" s="6">
        <f>IF(AND(Q509&lt;&gt;"",R509&lt;&gt;""),Q509*R509,"")</f>
        <v/>
      </c>
      <c r="T509" s="6">
        <f>IF(S509="",P509,S509)</f>
        <v/>
      </c>
      <c r="U509" s="7" t="n">
        <v>0</v>
      </c>
      <c r="V509" s="6">
        <f>$T509*U509</f>
        <v/>
      </c>
      <c r="W509" s="7" t="n">
        <v>0</v>
      </c>
      <c r="X509" s="6">
        <f>$T509*W509</f>
        <v/>
      </c>
      <c r="Y509" s="7" t="n">
        <v>0</v>
      </c>
      <c r="Z509" s="6">
        <f>$T509*Y509</f>
        <v/>
      </c>
      <c r="AA509" s="7" t="n">
        <v>0</v>
      </c>
      <c r="AB509" s="6">
        <f>$T509*AA509</f>
        <v/>
      </c>
      <c r="AC509" s="7" t="n">
        <v>0</v>
      </c>
      <c r="AD509" s="6">
        <f>$T509*AC509</f>
        <v/>
      </c>
      <c r="AE509" s="7" t="n">
        <v>0</v>
      </c>
      <c r="AF509" s="6">
        <f>$T509*AE509</f>
        <v/>
      </c>
      <c r="AG509" s="7" t="n">
        <v>0</v>
      </c>
      <c r="AH509" s="6">
        <f>$T509*AG509</f>
        <v/>
      </c>
      <c r="AI509" s="7">
        <f>U509+W509+Y509+AA509+AC509+AE509+AG509</f>
        <v/>
      </c>
      <c r="AJ509" s="6">
        <f>V509+X509+Z509+AB509+AD509+AF509+AH509</f>
        <v/>
      </c>
    </row>
    <row r="510" ht="60" customHeight="1" s="35">
      <c r="A510" s="3" t="inlineStr">
        <is>
          <t>LOM252.OC.EEA.PA04.G6000.ZA001.0010</t>
        </is>
      </c>
      <c r="B510" s="4" t="inlineStr">
        <is>
          <t>1/1</t>
        </is>
      </c>
      <c r="C510" s="3" t="inlineStr">
        <is>
          <t>IMPIANTO ELETTRICO</t>
        </is>
      </c>
      <c r="D510" s="4" t="inlineStr">
        <is>
          <t>NON SPECIALE</t>
        </is>
      </c>
      <c r="E510" s="4" t="inlineStr">
        <is>
          <t>ELETTRICHE</t>
        </is>
      </c>
      <c r="F510" s="3" t="inlineStr">
        <is>
          <t>3_CME IE RADIOFARMACIA PAVIA - REV02 VARIANTE ESECUTIVA.PDF</t>
        </is>
      </c>
      <c r="G510" s="4" t="inlineStr">
        <is>
          <t>211/211</t>
        </is>
      </c>
      <c r="H510" s="3" t="inlineStr">
        <is>
          <t>50 - INSTALLAZIONE</t>
        </is>
      </c>
      <c r="I510" s="3" t="inlineStr">
        <is>
          <t>RADIOFARMACIA</t>
        </is>
      </c>
      <c r="J510" s="3" t="inlineStr">
        <is>
          <t>IMPIANTO FOTOVOLTAICO</t>
        </is>
      </c>
      <c r="K510" s="3" t="inlineStr">
        <is>
          <t>OPERA: IMPIANTO FOTOVOLTAICO; POTEZA COMPLESSIVA PER SINGOLO IMPIANTO [KWP] = 21 ÷ 50. INCLUSO: ONERI RELATIVI A TUTTE LE PRATICHE DOCUMENTALI E FISCALI NECESSARIE (PERMESSI COMUNALI, RICHIESTE INCENT</t>
        </is>
      </c>
      <c r="L510" s="3" t="inlineStr">
        <is>
          <t>OPERA: IMPIANTO FOTOVOLTAICO; POTEZA COMPLESSIVA PER SINGOLO IMPIANTO [KWP] = 21 ÷ 50. INCLUSO: ONERI RELATIVI A TUTTE LE PRATICHE DOCUMENTALI E FISCALI NECESSARIE (PERMESSI COMUNALI, RICHIESTE INCENTIVO - CONTO ENERGIA), DOMANDA DI CONNESSIONE PRESSO GESTORE ENERGIA ELETTRICA; LE DICHIARAZIONI ATTESTANTO CONFORMITÀ AI SENSI DEL DECRETO 37/08, ART. 1, LETTERA ""A", LE DICHIARAZIONI ATTESTANTO CONFORMITÀ VERIFICHE EFFETTUATE SULL'IMPIANTO ESEGUITO E IL RELATIVO ESITO;LE DICHIARAZIONI ATTESTANTO CONFORMITÀ CERTIFICATI DI CONFORMITÀ DEI MODULI FOTOVOLTAICI ALLE NORME CEI EN 61215 OPPURE CEI EN 61646; MANUALE DI USO E MANUTENZIONE; NUMERI DI MATRICOLA DEI MODULI FOTOVOLTAICI E DEGLI INVERTER; FOTOGRAFIE NEL N. RICHIESTO PER L'OTTENIMENTO DELLE TARIFFE INCENTIVANTI; GARANZIE RELATIVE ALLE APPARECCHIATTURE INSTALLATE; EVENTUALI GARANZIE SULLE PRESTAZIONI DI FUNZIONAMENTO; DISEGNI AS-BUILT ALLEGATI ALLE CERTIFICAZIONI E CONFORMI ALLE RICHIESTE AEEG PER L'OTTENIMENTO DELLE TARIFFE INCENTIVANTI. 
LAVORO: OP IMPIANTO FOTOVOLTAICO; POTEZA COMPLESSIVA PER SINGOLO IMPIANTO [KWP] = 21 ÷ 50. INCLUSO: ONERI RELATIVI A TUTTE LE PRATICHE DOCUMENTALI E FISCALI NECESSARIE (PERMESSI COMUNALI, RICHIESTE INCENTIVO - CONTO ENERGIA), DOMANDA DI CONNESSIONE PRESSO GESTORE ENERGIA ELETTRICA; LE DICHIARAZIONI ATTESTANTO CONFORMITÀ AI SENSI DEL DECRETO 37/08, ART. 1, LETTERA ""A", LE DICHIARAZIONI ATTESTANTO CONFORMITÀ VERIFICHE EFFETTUATE SULL'IMPIANTO ESEGUITO E IL RELATIVO ESITO;LE DICHIARAZIONI ATTESTANTO CONFORMITÀ CERTIFICATI DI CONFORMITÀ DEI MODULI FOTOVOLTAICI ALLE NORME CEI EN 61215 OPPURE CEI EN 61646; MANUALE DI USO E MANUTENZIONE; NUMERI DI MATRICOLA DEI MODULI FOTOVOLTAICI E DEGLI INVERTER; FOTOGRAFIE NEL N. RICHIESTO PER L'OTTENIMENTO DELLE TARIFFE INCENTIVANTI; GARANZIE RELATIVE ALLE APPARECCHIATTURE INSTALLATE; EVENTUALI GARANZIE SULLE PRESTAZIONI DI FUNZIONAMENTO; DISEGNI AS-BUILT ALLEGATI ALLE CERTIFICAZIONI E CONFORMI ALLE RICHIESTE AEEG PER L'OTTENIMENTO DELLE TARIFFE INCENTIVANTI. 
RM IMPIANTO FOTOVOLTAICO; POTEZA COMPLESSIVA PER SINGOLO IMPIANTO [KWP] = 21 ÷ 50. COMPONENTI: MODULO FOTOVOLTAICO MONOCRISTALLINO, INVERTER BIDIREZIONALE, QUADRO DI PARALLELO DI PARALLELO INVERTER. INCLUSO: ONERI RELATIVI A TUTTE LE PRATICHE DOCUMENTALI E FISCALI NECESSARIE (PERMESSI COMUNALI, RICHIESTE INCENTIVO - CONTO ENERGIA), DOMANDA DI CONNESSIONE PRESSO GESTORE ENERGIA ELETTRICA; LE DICHIARAZIONI ATTESTANTO CONFORMITÀ AI SENSI DEL DECRETO 37/08, ART. 1, LETTERA ""A", LE DICHIARAZIONI ATTESTANTO CONFORMITÀ VERIFICHE EFFETTUATE SULL'IMPIANTO ESEGUITO E IL RELATIVO ESITO;LE DICHIARAZIONI ATTESTANTO CONFORMITÀ CERTIFICATI DI CONFORMITÀ DEI MODULI FOTOVOLTAICI ALLE NORME CEI EN 61215 OPPURE CEI EN 61646; MANUALE DI USO E MANUTENZIONE; NUMERI DI MATRICOLA DEI MODULI FOTOVOLTAICI E DEGLI INVERTER; FOTOGRAFIE NEL N. RICHIESTO PER L'OTTENIMENTO DELLE TARIFFE INCENTIVANTI; GARANZIE RELATIVE ALLE APPARECCHIATTURE INSTALLATE; EVENTUALI GARANZIE SULLE PRESTAZIONI DI FUNZIONAMENTO; DISEGNI AS-BUILT ALLEGATI ALLE CERTIFICAZIONI E CONFORMI ALLE RICHIESTE AEEG PER L'OTTENIMENTO DELLE TARIFFE INCENTIVANTI 
LV1</t>
        </is>
      </c>
      <c r="M510" s="4" t="inlineStr">
        <is>
          <t>KWP</t>
        </is>
      </c>
      <c r="N510" s="5" t="n">
        <v>40.87</v>
      </c>
      <c r="O510" s="6" t="n">
        <v>984.27</v>
      </c>
      <c r="P510" s="6" t="n">
        <v>40227.11</v>
      </c>
      <c r="Q510" s="5" t="n"/>
      <c r="R510" s="6" t="n"/>
      <c r="S510" s="6">
        <f>IF(AND(Q510&lt;&gt;"",R510&lt;&gt;""),Q510*R510,"")</f>
        <v/>
      </c>
      <c r="T510" s="6">
        <f>IF(S510="",P510,S510)</f>
        <v/>
      </c>
      <c r="U510" s="7" t="n">
        <v>0</v>
      </c>
      <c r="V510" s="6">
        <f>$T510*U510</f>
        <v/>
      </c>
      <c r="W510" s="7" t="n">
        <v>0.4</v>
      </c>
      <c r="X510" s="6">
        <f>$T510*W510</f>
        <v/>
      </c>
      <c r="Y510" s="7" t="n">
        <v>0</v>
      </c>
      <c r="Z510" s="6">
        <f>$T510*Y510</f>
        <v/>
      </c>
      <c r="AA510" s="7" t="n">
        <v>0</v>
      </c>
      <c r="AB510" s="6">
        <f>$T510*AA510</f>
        <v/>
      </c>
      <c r="AC510" s="7" t="n">
        <v>0</v>
      </c>
      <c r="AD510" s="6">
        <f>$T510*AC510</f>
        <v/>
      </c>
      <c r="AE510" s="7" t="n">
        <v>1</v>
      </c>
      <c r="AF510" s="6">
        <f>$T510*AE510</f>
        <v/>
      </c>
      <c r="AG510" s="7" t="n">
        <v>0</v>
      </c>
      <c r="AH510" s="6">
        <f>$T510*AG510</f>
        <v/>
      </c>
      <c r="AI510" s="7">
        <f>U510+W510+Y510+AA510+AC510+AE510+AG510</f>
        <v/>
      </c>
      <c r="AJ510" s="6">
        <f>V510+X510+Z510+AB510+AD510+AF510+AH510</f>
        <v/>
      </c>
    </row>
    <row r="511" ht="60" customHeight="1" s="35">
      <c r="A511" s="3" t="inlineStr">
        <is>
          <t>IE_NP_LOC.CABINAMT</t>
        </is>
      </c>
      <c r="B511" s="4" t="inlineStr">
        <is>
          <t>1/1</t>
        </is>
      </c>
      <c r="C511" s="3" t="inlineStr">
        <is>
          <t>IMPIANTO ELETTRICO</t>
        </is>
      </c>
      <c r="D511" s="4" t="inlineStr">
        <is>
          <t>SPECIALE</t>
        </is>
      </c>
      <c r="E511" s="4" t="inlineStr">
        <is>
          <t>ELETTRICHE SPECIALI</t>
        </is>
      </c>
      <c r="F511" s="3" t="inlineStr">
        <is>
          <t>3_CME IE RADIOFARMACIA PAVIA - REV02 VARIANTE ESECUTIVA.PDF</t>
        </is>
      </c>
      <c r="G511" s="4" t="inlineStr">
        <is>
          <t>1/1</t>
        </is>
      </c>
      <c r="H511" s="3" t="inlineStr">
        <is>
          <t>40 - IMPIANTISTICO</t>
        </is>
      </c>
      <c r="I511" s="3" t="inlineStr">
        <is>
          <t>CABINA DI CONSEGNA MT</t>
        </is>
      </c>
      <c r="J511" s="3" t="inlineStr">
        <is>
          <t>LOCALI CABINE</t>
        </is>
      </c>
      <c r="K511" s="3" t="inlineStr">
        <is>
          <t xml:space="preserve">FORNITURA E POSA IN OPERA DI CABINA PREFABBRICATA LOCALE CONSEGNA MT DEL TIPO MONOBLOCCO REALIZZATA CON STRUTTURA MONOLITICA AVENTE DIMENSIONI ESTERNE MM 5300X 2300 X H2500 MM (CIRCA) MUNITE DI (COME </t>
        </is>
      </c>
      <c r="L511" s="3" t="inlineStr">
        <is>
          <t>FORNITURA E POSA IN OPERA DI CABINA PREFABBRICATA LOCALE CONSEGNA MT DEL TIPO MONOBLOCCO REALIZZATA CON STRUTTURA MONOLITICA AVENTE DIMENSIONI ESTERNE MM 5300X 2300 X H2500 MM (CIRCA) MUNITE DI (COME DA DISEGNI ALLEGATI) ACCESSI CON PORTE IN PVC DIM.MM 1200X2150, GRIGLIE DI AERAZIONE IN VETRORESINA DIM. 1200X500MM, RIFINITURA A PERFETTA REGOLA D'ARTE CON TINTEGGIATURA INTERNA ED ESTERNA,  INCLUSO IL BASAMENTO DI FONDAZIONE PREFABBRICATO, INCLUSE LE OPERE SUL TERRENO. VEDI PARTICOLARI SU ELABORATI GRAFICI</t>
        </is>
      </c>
      <c r="M511" s="4" t="inlineStr">
        <is>
          <t>A CORPO</t>
        </is>
      </c>
      <c r="N511" s="5" t="n">
        <v>1</v>
      </c>
      <c r="O511" s="6" t="n">
        <v>20759.2</v>
      </c>
      <c r="P511" s="6" t="n">
        <v>20759.2</v>
      </c>
      <c r="Q511" s="5" t="n"/>
      <c r="R511" s="6" t="n"/>
      <c r="S511" s="6">
        <f>IF(AND(Q511&lt;&gt;"",R511&lt;&gt;""),Q511*R511,"")</f>
        <v/>
      </c>
      <c r="T511" s="6">
        <f>IF(S511="",P511,S511)</f>
        <v/>
      </c>
      <c r="U511" s="7" t="n">
        <v>0.3</v>
      </c>
      <c r="V511" s="6">
        <f>$T511*U511</f>
        <v/>
      </c>
      <c r="W511" s="7" t="n">
        <v>0.3</v>
      </c>
      <c r="X511" s="6">
        <f>$T511*W511</f>
        <v/>
      </c>
      <c r="Y511" s="7" t="n">
        <v>0</v>
      </c>
      <c r="Z511" s="6">
        <f>$T511*Y511</f>
        <v/>
      </c>
      <c r="AA511" s="7" t="n">
        <v>0</v>
      </c>
      <c r="AB511" s="6">
        <f>$T511*AA511</f>
        <v/>
      </c>
      <c r="AC511" s="7" t="n">
        <v>0</v>
      </c>
      <c r="AD511" s="6">
        <f>$T511*AC511</f>
        <v/>
      </c>
      <c r="AE511" s="7" t="n">
        <v>0</v>
      </c>
      <c r="AF511" s="6">
        <f>$T511*AE511</f>
        <v/>
      </c>
      <c r="AG511" s="7" t="n">
        <v>0</v>
      </c>
      <c r="AH511" s="6">
        <f>$T511*AG511</f>
        <v/>
      </c>
      <c r="AI511" s="7">
        <f>U511+W511+Y511+AA511+AC511+AE511+AG511</f>
        <v/>
      </c>
      <c r="AJ511" s="6">
        <f>V511+X511+Z511+AB511+AD511+AF511+AH511</f>
        <v/>
      </c>
    </row>
    <row r="512" ht="60" customHeight="1" s="35">
      <c r="A512" s="3" t="inlineStr">
        <is>
          <t>IE_NP_LOC.CABINAMTBT</t>
        </is>
      </c>
      <c r="B512" s="4" t="inlineStr">
        <is>
          <t>1/1</t>
        </is>
      </c>
      <c r="C512" s="3" t="inlineStr">
        <is>
          <t>IMPIANTO ELETTRICO</t>
        </is>
      </c>
      <c r="D512" s="4" t="inlineStr">
        <is>
          <t>SPECIALE</t>
        </is>
      </c>
      <c r="E512" s="4" t="inlineStr">
        <is>
          <t>ELETTRICHE SPECIALI</t>
        </is>
      </c>
      <c r="F512" s="3" t="inlineStr">
        <is>
          <t>3_CME IE RADIOFARMACIA PAVIA - REV02 VARIANTE ESECUTIVA.PDF</t>
        </is>
      </c>
      <c r="G512" s="4" t="inlineStr">
        <is>
          <t>6/6</t>
        </is>
      </c>
      <c r="H512" s="3" t="inlineStr">
        <is>
          <t>40 - IMPIANTISTICO</t>
        </is>
      </c>
      <c r="I512" s="3" t="inlineStr">
        <is>
          <t>CABINA DI TRASFORMAZIONE MT/BT</t>
        </is>
      </c>
      <c r="J512" s="3" t="inlineStr">
        <is>
          <t>LOCALI CABINE</t>
        </is>
      </c>
      <c r="K512" s="3" t="inlineStr">
        <is>
          <t>FORNITURA E POSA IN OPERA DI CABINA PREFABBRICATA LOCALE TRASFORMAZIONE MT/BT DEL TIPO MONOBLOCCO REALIZZATA CON STRUTTURA MONOLITICA AVENTE DIMENSIONI ESTERNE MM 10500X 2500 X H2500 MM (CIRCA) MUNITE</t>
        </is>
      </c>
      <c r="L512" s="3" t="inlineStr">
        <is>
          <t>FORNITURA E POSA IN OPERA DI CABINA PREFABBRICATA LOCALE TRASFORMAZIONE MT/BT DEL TIPO MONOBLOCCO REALIZZATA CON STRUTTURA MONOLITICA AVENTE DIMENSIONI ESTERNE MM 10500X 2500 X H2500 MM (CIRCA) MUNITE DI (COME DA DISEGNI ALLEGATI) ACCESSI CON PORTE IN PVC DIM.MM 1200X2150, GRIGLIE DI AERAZIONE IN VETRORESINA DIM. 1200X500MM, RIFINITURA A PERFETTA REGOLA D'ARTE CON TINTEGGIATURA INTERNA ED ESTERNA,  INCLUSO IL BASAMENTO DI FONDAZIONE PREFABBRICATO DEL TIPO A VASCA, INCLUSE LE OPERE SUL TERRENO. VEDI PARTICOLARI SU ELABORATI GRAFICI</t>
        </is>
      </c>
      <c r="M512" s="4" t="inlineStr">
        <is>
          <t>A CORPO</t>
        </is>
      </c>
      <c r="N512" s="5" t="n">
        <v>1</v>
      </c>
      <c r="O512" s="6" t="n">
        <v>54085.6</v>
      </c>
      <c r="P512" s="6" t="n">
        <v>54085.6</v>
      </c>
      <c r="Q512" s="5" t="n"/>
      <c r="R512" s="6" t="n"/>
      <c r="S512" s="6">
        <f>IF(AND(Q512&lt;&gt;"",R512&lt;&gt;""),Q512*R512,"")</f>
        <v/>
      </c>
      <c r="T512" s="6">
        <f>IF(S512="",P512,S512)</f>
        <v/>
      </c>
      <c r="U512" s="7" t="n">
        <v>0.3</v>
      </c>
      <c r="V512" s="6">
        <f>$T512*U512</f>
        <v/>
      </c>
      <c r="W512" s="7" t="n">
        <v>0.3</v>
      </c>
      <c r="X512" s="6">
        <f>$T512*W512</f>
        <v/>
      </c>
      <c r="Y512" s="7" t="n">
        <v>0</v>
      </c>
      <c r="Z512" s="6">
        <f>$T512*Y512</f>
        <v/>
      </c>
      <c r="AA512" s="7" t="n">
        <v>0</v>
      </c>
      <c r="AB512" s="6">
        <f>$T512*AA512</f>
        <v/>
      </c>
      <c r="AC512" s="7" t="n">
        <v>0</v>
      </c>
      <c r="AD512" s="6">
        <f>$T512*AC512</f>
        <v/>
      </c>
      <c r="AE512" s="7" t="n">
        <v>0</v>
      </c>
      <c r="AF512" s="6">
        <f>$T512*AE512</f>
        <v/>
      </c>
      <c r="AG512" s="7" t="n">
        <v>0</v>
      </c>
      <c r="AH512" s="6">
        <f>$T512*AG512</f>
        <v/>
      </c>
      <c r="AI512" s="7">
        <f>U512+W512+Y512+AA512+AC512+AE512+AG512</f>
        <v/>
      </c>
      <c r="AJ512" s="6">
        <f>V512+X512+Z512+AB512+AD512+AF512+AH512</f>
        <v/>
      </c>
    </row>
    <row r="513" ht="60" customHeight="1" s="35">
      <c r="A513" s="3" t="inlineStr">
        <is>
          <t>LOM252.OC.EEA.PA01.G8235.ZA001.1095</t>
        </is>
      </c>
      <c r="B513" s="4" t="inlineStr">
        <is>
          <t>1/3</t>
        </is>
      </c>
      <c r="C513" s="3" t="inlineStr">
        <is>
          <t>IMPIANTO ELETTRICO</t>
        </is>
      </c>
      <c r="D513" s="4" t="inlineStr">
        <is>
          <t>SPECIALE</t>
        </is>
      </c>
      <c r="E513" s="4" t="inlineStr">
        <is>
          <t>ELETTRICHE SPECIALI</t>
        </is>
      </c>
      <c r="F513" s="3" t="inlineStr">
        <is>
          <t>3_CME IE RADIOFARMACIA PAVIA - REV02 VARIANTE ESECUTIVA.PDF</t>
        </is>
      </c>
      <c r="G513" s="4" t="inlineStr">
        <is>
          <t>14/14</t>
        </is>
      </c>
      <c r="H513" s="3" t="inlineStr">
        <is>
          <t>40 - IMPIANTISTICO</t>
        </is>
      </c>
      <c r="I513" s="3" t="inlineStr">
        <is>
          <t>CABINA DI TRASFORMAZIONE MT/BT</t>
        </is>
      </c>
      <c r="J513" s="3" t="inlineStr">
        <is>
          <t>IMPIANTO DI RIVELAZIONE FUMI</t>
        </is>
      </c>
      <c r="K513" s="3" t="inlineStr">
        <is>
          <t>OPERA: DERIVAZIONE D'IMPIANTO PRESA; FUNZIONE: ATTACCO APPARECCHIATURE DI SEGNALAZIONE INCENDIO; IMPIEGO: DERIVAZIONE D'IMPIANTO DA INCASSO. INCLUSO: LINEA DI ALIMENTAZIONE E SEGNALAZIONE; TUBO PROTET</t>
        </is>
      </c>
      <c r="L513" s="3" t="inlineStr">
        <is>
          <t>OPERA: DERIVAZIONE D'IMPIANTO PRESA; FUNZIONE: ATTACCO APPARECCHIATURE DI SEGNALAZIONE INCENDIO; IMPIEGO: DERIVAZIONE D'IMPIANTO DA INCASSO. INCLUSO: LINEA DI ALIMENTAZIONE E SEGNALAZIONE; TUBO PROTETTIVO; CONDUTTORI DI ALIMENTAZIONE E DI TERRA; SCATOLE DA INCASSO; FRUTTI COMPONIBILI; PLACCHE; SUPPORTI; PRESE TELEFONICHE/DATI O CITOFONICHE; RELÈ DI SEGNALAZIONE; CATENA DI SEGNALAZIONE A GUIDA DI LUCE O A NUMERAZIONE CENTRALE (RELÈ SERIE; SUONERIA; RELÈ SEGNALE; LAMPADA SEGNALE INTERNA E/O ESTERNA; PULSANTE ANNULLO). ESCLUSO: ALIMENTATORI; CITOFONI; ALTOPARLANTI; RIVELATORI DI FUMO; CENTRALINO DI CONTROLLO. 
LAVORO: INSTALLAZIONE IN OPERA. INCLUSO: LINEA DI COLLEGAMENTO ALLO SPECIFICO PUNTO DI ALIMENTAZIONE; ASSISTENZA PER IL TRASPORTO DEI MATERIALI AL PIANO. 
SPECIFICHE TECNICHE: PER IMPIANTI DI SEGNALAZIONE O DI COMUNICAZIONE; REALIZZATO CON TUBO PROTETTIVO RIGIDO DI PLASTICA POLIVINILCLORURO (PVC) AUTOESTINGUENTE; CONDUTTORI DI ALIMENTAZIONE E DI TERRA DI LEGA RAME GENERICO RICOTTO ISOLATO CONFORMI AI REQUISITI PREVISTI DALLA NORMATIVA EUROPEA REGOLAMENTO UE 305/2011 - PRODOTTI DA COSTRUZIONE CPR; TIPOLOGIA CONDUTTORI E SEZIONE ADEGUATI ALL'UTILIZZO. OP DERIVAZIONE D'IMPIANTO PRESA; FUNZIONE: ATTACCO APPARECCHIATURE DI SEGNALAZIONE INCENDIO; IMPIEGO: DERIVAZIONE D'IMPIANTO DA INCASSO. INCLUSO: LINEA DI ALIMENTAZIONE E SEGNALAZIONE; TUBO PROTETTIVO; CONDUTTORI DI ALIMENTAZIONE E DI TERRA; SCATOLE DA INCASSO; FRUTTI COMPONIBILI; PLACCHE; SUPPORTI; PRESE TELEFONICHE/DATI O CITOFONICHE; RELÈ DI SEGNALAZIONE; CATENA DI SEGNALAZIONE A GUIDA DI LUCE O A NUMERAZIONE CENTRALE (RELÈ SERIE; SUONERIA; RELÈ SEGNALE; LAMPADA SEGNALE INTERNA E/O ESTERNA; PULSANTE ANNULLO). ESCLUSO: ALIMENTATORI; CITOFONI; ALTOPARLANTI; RIVELATORI DI FUMO; CENTRALINO DI CONTROLLO. 
SPECIFICHE TECNICHE: PER IMPIANTI DI SEGNALAZIONE O DI COMUNICAZIONE; REALIZZATO CON TUBO PROTETTIVO RIGIDO DI PLASTICA POLIVINILCLORURO (PVC) AUTOESTINGUENTE; CONDUTTORI DI ALIMENTAZIONE E DI TERRA DI LEGA RAME GENERICO RICOTTO ISOLATO CONFORMI AI REQUISITI PREVISTI DALLA NORMATIVA EUROPEA REGOLAMENTO UE 305/2011 - PRODOTTI DA COSTRUZIONE CPR; TIPOLOGIA CONDUTTORI E SEZIONE ADEGUATI ALL'UTILIZZO. 
RM DERIVAZIONE D'IMPIANTO PRESA; FUNZIONE: ATTACCO APPARECCHIATURE DI SEGNALAZIONE INCENDIO; IMPIEGO: DERIVAZIONE D'IMPIANTO DA INCASSO. INCLUSO: LINEA DI ALIMENTAZIONE E SEGNALAZIONE; TUBO PROTETTIVO; CONDUTTORI DI ALIMENTAZIONE E DI TERRA; SCATOLE DA INCASSO; FRUTTI COMPONIBILI; PLACCHE; SUPPORTI; PRESE TELEFONICHE/DATI O CITOFONICHE; RELÈ DI SEGNALAZIONE; CATENA DI SEGNALAZIONE A GUIDA DI LUCE O A NUMERAZIONE CENTRALE (RELÈ SERIE; SUONERIA; RELÈ SEGNALE; LAMPADA SEGNALE INTERNA E/O ESTERNA; PULSANTE ANNULLO). ESCLUSO: ALIMENTATORI; CITOFONI; ALTOPARLANTI; RIVELATORI DI FUMO; CENTRALINO DI CONTROLLO 
SPECIFICHE TECNICHE: PER IMPIANTI DI SEGNALAZIONE O DI COMUNICAZIONE; REALIZZATO CON TUBO PROTETTIVO RIGIDO DI PLASTICA POLIVINILCLORURO (PVC) AUTOESTINGUENTE; CONDUTTORI DI ALIMENTAZIONE E DI TERRA DI LEGA RAME GENERICO RICOTTO ISOLATO CONFORMI AI REQUISITI PREVISTI DALLA NORMATIVA EUROPEA REGOLAMENTO UE 305/2011 - PRODOTTI DA COSTRUZIONE CPR; TIPOLOGIA CONDUTTORI E SEZIONE ADEGUATI ALL'UTILIZZO 
LV INSTALLAZIONE IN OPERA. INCLUSO: LINEA DI COLLEGAMENTO ALLO SPECIFICO PUNTO DI ALIMENTAZIONE; ASSISTENZA PER IL TRASPORTO DEI MATERIALI AL PIANO.</t>
        </is>
      </c>
      <c r="M513" s="4" t="inlineStr">
        <is>
          <t>CAD</t>
        </is>
      </c>
      <c r="N513" s="5" t="n">
        <v>3</v>
      </c>
      <c r="O513" s="6" t="n">
        <v>34.39</v>
      </c>
      <c r="P513" s="6" t="n">
        <v>103.17</v>
      </c>
      <c r="Q513" s="5" t="n"/>
      <c r="R513" s="6" t="n"/>
      <c r="S513" s="6">
        <f>IF(AND(Q513&lt;&gt;"",R513&lt;&gt;""),Q513*R513,"")</f>
        <v/>
      </c>
      <c r="T513" s="6">
        <f>IF(S513="",P513,S513)</f>
        <v/>
      </c>
      <c r="U513" s="7" t="n">
        <v>0</v>
      </c>
      <c r="V513" s="6">
        <f>$T513*U513</f>
        <v/>
      </c>
      <c r="W513" s="7" t="n">
        <v>0</v>
      </c>
      <c r="X513" s="6">
        <f>$T513*W513</f>
        <v/>
      </c>
      <c r="Y513" s="7" t="n">
        <v>0</v>
      </c>
      <c r="Z513" s="6">
        <f>$T513*Y513</f>
        <v/>
      </c>
      <c r="AA513" s="7" t="n">
        <v>0</v>
      </c>
      <c r="AB513" s="6">
        <f>$T513*AA513</f>
        <v/>
      </c>
      <c r="AC513" s="7" t="n">
        <v>0</v>
      </c>
      <c r="AD513" s="6">
        <f>$T513*AC513</f>
        <v/>
      </c>
      <c r="AE513" s="7" t="n">
        <v>0</v>
      </c>
      <c r="AF513" s="6">
        <f>$T513*AE513</f>
        <v/>
      </c>
      <c r="AG513" s="7" t="n">
        <v>0</v>
      </c>
      <c r="AH513" s="6">
        <f>$T513*AG513</f>
        <v/>
      </c>
      <c r="AI513" s="7">
        <f>U513+W513+Y513+AA513+AC513+AE513+AG513</f>
        <v/>
      </c>
      <c r="AJ513" s="6">
        <f>V513+X513+Z513+AB513+AD513+AF513+AH513</f>
        <v/>
      </c>
    </row>
    <row r="514" ht="60" customHeight="1" s="35">
      <c r="A514" s="3" t="inlineStr">
        <is>
          <t>LOM252.OC.EEA.PA02.L8225.ZA001.1750</t>
        </is>
      </c>
      <c r="B514" s="4" t="inlineStr">
        <is>
          <t>1/3</t>
        </is>
      </c>
      <c r="C514" s="3" t="inlineStr">
        <is>
          <t>IMPIANTO ELETTRICO</t>
        </is>
      </c>
      <c r="D514" s="4" t="inlineStr">
        <is>
          <t>SPECIALE</t>
        </is>
      </c>
      <c r="E514" s="4" t="inlineStr">
        <is>
          <t>ELETTRICHE SPECIALI</t>
        </is>
      </c>
      <c r="F514" s="3" t="inlineStr">
        <is>
          <t>3_CME IE RADIOFARMACIA PAVIA - REV02 VARIANTE ESECUTIVA.PDF</t>
        </is>
      </c>
      <c r="G514" s="4" t="inlineStr">
        <is>
          <t>15/15</t>
        </is>
      </c>
      <c r="H514" s="3" t="inlineStr">
        <is>
          <t>40 - IMPIANTISTICO</t>
        </is>
      </c>
      <c r="I514" s="3" t="inlineStr">
        <is>
          <t>CABINA DI TRASFORMAZIONE MT/BT</t>
        </is>
      </c>
      <c r="J514" s="3" t="inlineStr">
        <is>
          <t>IMPIANTO DI RIVELAZIONE FUMI</t>
        </is>
      </c>
      <c r="K514" s="3" t="inlineStr">
        <is>
          <t xml:space="preserve">OPERA: RIVEVLATORE, OTTICO; IMPIEGO: CENTRALI ANALOGICHE. </t>
        </is>
      </c>
      <c r="L514" s="3" t="inlineStr">
        <is>
          <t>OPERA: RIVEVLATORE, OTTICO; IMPIEGO: CENTRALI ANALOGICHE. 
LAVORO: POSA. 
SPECIFICHE TECNICHE: SENSORE OTTICO DI FUMO AD EFFETTO TYNDALL DI TIPO ANALOGICO/INDIRIZZATO, DOTATO DI 2 LED PER LA SEGNALAZIONE DELLE CONDIZIONI DI ALLARME OLTRE AD UNA USCITA ELETTRONICA PER IL COLLEGAMENTO DI UNA SEGNALAZIONE REMOTA A BASSO ASSORBIMENTO, IL SENSORE DISPONE DI CAMERA OTTICA RIMOVIBILE E SOSTITUIBILE LOCALMENTE SENZA L'AUSILIO DI ATTREZZATURE PARTICOLARI E SENZA NECESSITÀ DI RICALIBRATURA, CON DICHIARAZIONE DOP.. OP RIVEVLATORE, OTTICO; IMPIEGO: CENTRALI ANALOGICHE. 
SPECIFICHE TECNICHE: SENSORE OTTICO DI FUMO AD EFFETTO TYNDALL DI TIPO ANALOGICO/INDIRIZZATO, DOTATO DI 2 LED PER LA SEGNALAZIONE DELLE CONDIZIONI DI ALLARME OLTRE AD UNA USCITA ELETTRONICA PER IL COLLEGAMENTO DI UNA SEGNALAZIONE REMOTA A BASSO ASSORBIMENTO, IL SENSORE DISPONE DI CAMERA OTTICA RIMOVIBILE E SOSTITUIBILE LOCALMENTE SENZA L'AUSILIO DI ATTREZZATURE PARTICOLARI E SENZA NECESSITÀ DI RICALIBRATURA, CON DICHIARAZIONE DOP.. 
RM RIVELATORE OTTICO; IMPIEGO: CENTRALI ANALOGICHE 
SPECIFICHE TECNICHE: SENSORE OTTICO DI FUMO AD EFFETTO TYNDALL DI TIPO ANALOGICO/INDIRIZZATO, DOTATO DI 2 LED PER LA SEGNALAZIONE DELLE CONDIZIONI DI ALLARME OLTRE AD UNA USCITA ELETTRONICA PER IL COLLEGAMENTO DI UNA SEGNALAZIONE REMOTA A BASSO ASSORBIMENTO, IL SENSORE DISPONE DI CAMERA OTTICA RIMOVIBILE E SOSTITUIBILE LOCALMENTE SENZA L'AUSILIO DI ATTREZZATURE PARTICOLARI E SENZA NECESSITÀ DI RICALIBRATURA, CON DICHIARAZIONE DOP. 
LV POSA.</t>
        </is>
      </c>
      <c r="M514" s="4" t="inlineStr">
        <is>
          <t>CAD</t>
        </is>
      </c>
      <c r="N514" s="5" t="n">
        <v>1</v>
      </c>
      <c r="O514" s="6" t="n">
        <v>92.5</v>
      </c>
      <c r="P514" s="6" t="n">
        <v>92.5</v>
      </c>
      <c r="Q514" s="5" t="n"/>
      <c r="R514" s="6" t="n"/>
      <c r="S514" s="6">
        <f>IF(AND(Q514&lt;&gt;"",R514&lt;&gt;""),Q514*R514,"")</f>
        <v/>
      </c>
      <c r="T514" s="6">
        <f>IF(S514="",P514,S514)</f>
        <v/>
      </c>
      <c r="U514" s="7" t="n">
        <v>0</v>
      </c>
      <c r="V514" s="6">
        <f>$T514*U514</f>
        <v/>
      </c>
      <c r="W514" s="7" t="n">
        <v>0</v>
      </c>
      <c r="X514" s="6">
        <f>$T514*W514</f>
        <v/>
      </c>
      <c r="Y514" s="7" t="n">
        <v>0</v>
      </c>
      <c r="Z514" s="6">
        <f>$T514*Y514</f>
        <v/>
      </c>
      <c r="AA514" s="7" t="n">
        <v>0</v>
      </c>
      <c r="AB514" s="6">
        <f>$T514*AA514</f>
        <v/>
      </c>
      <c r="AC514" s="7" t="n">
        <v>0</v>
      </c>
      <c r="AD514" s="6">
        <f>$T514*AC514</f>
        <v/>
      </c>
      <c r="AE514" s="7" t="n">
        <v>0</v>
      </c>
      <c r="AF514" s="6">
        <f>$T514*AE514</f>
        <v/>
      </c>
      <c r="AG514" s="7" t="n">
        <v>0</v>
      </c>
      <c r="AH514" s="6">
        <f>$T514*AG514</f>
        <v/>
      </c>
      <c r="AI514" s="7">
        <f>U514+W514+Y514+AA514+AC514+AE514+AG514</f>
        <v/>
      </c>
      <c r="AJ514" s="6">
        <f>V514+X514+Z514+AB514+AD514+AF514+AH514</f>
        <v/>
      </c>
    </row>
    <row r="515" ht="60" customHeight="1" s="35">
      <c r="A515" s="3" t="inlineStr">
        <is>
          <t>LOM252.OC.EEA.PA01.L8250.ZA001.0250</t>
        </is>
      </c>
      <c r="B515" s="4" t="inlineStr">
        <is>
          <t>1/3</t>
        </is>
      </c>
      <c r="C515" s="3" t="inlineStr">
        <is>
          <t>IMPIANTO ELETTRICO</t>
        </is>
      </c>
      <c r="D515" s="4" t="inlineStr">
        <is>
          <t>SPECIALE</t>
        </is>
      </c>
      <c r="E515" s="4" t="inlineStr">
        <is>
          <t>ELETTRICHE SPECIALI</t>
        </is>
      </c>
      <c r="F515" s="3" t="inlineStr">
        <is>
          <t>3_CME IE RADIOFARMACIA PAVIA - REV02 VARIANTE ESECUTIVA.PDF</t>
        </is>
      </c>
      <c r="G515" s="4" t="inlineStr">
        <is>
          <t>16/16</t>
        </is>
      </c>
      <c r="H515" s="3" t="inlineStr">
        <is>
          <t>40 - IMPIANTISTICO</t>
        </is>
      </c>
      <c r="I515" s="3" t="inlineStr">
        <is>
          <t>CABINA DI TRASFORMAZIONE MT/BT</t>
        </is>
      </c>
      <c r="J515" s="3" t="inlineStr">
        <is>
          <t>IMPIANTO DI RIVELAZIONE FUMI</t>
        </is>
      </c>
      <c r="K515" s="3" t="inlineStr">
        <is>
          <t>OPERA: PULSANTE, MANUALE INDIRIZZABILE; GEOMETRIA: A ROTTURA VETRO; TENSIONE DI ALIMENTAZIONE [VCC] = 15 ÷ 28 | CORRENTE NOMINALE A RIPOSO [ΜA] = 200 | CORRENTE NOMINALE IN ALLARME [ΜA] = 5 | TEMPERAT</t>
        </is>
      </c>
      <c r="L515" s="3" t="inlineStr">
        <is>
          <t>OPERA: PULSANTE, MANUALE INDIRIZZABILE; GEOMETRIA: A ROTTURA VETRO; TENSIONE DI ALIMENTAZIONE [VCC] = 15 ÷ 28 | CORRENTE NOMINALE A RIPOSO [ΜA] = 200 | CORRENTE NOMINALE IN ALLARME [ΜA] = 5 | TEMPERATURA DI FUNZIONAMENTO [°C] = 0 ÷ 50 | UMIDTÀ RELATIVA [%] = 95. INCLUSO: DOPPIO ISOLATORE PER PROTEZIONE DELLA LINEA DI COMUNICAZIONE, CHIAVE DI TEST. 
LAVORO: INSTALLAZIONE. 
SPECIFICHE TECNICHE: PULSANTE INDIRIZZATO DA INTERNO, CERTIFICATO CPR, GRADO DI PROTEZIONE IP24D, LA CORRENTE IN ALLARME È DA CONSIDERARSI CON LED ATTIVO. OP PULSANTE, MANUALE INDIRIZZABILE; GEOMETRIA: A ROTTURA VETRO; TENSIONE DI ALIMENTAZIONE [VCC] = 15 ÷ 28 | CORRENTE NOMINALE A RIPOSO [ΜA] = 200 | CORRENTE NOMINALE IN ALLARME [ΜA] = 5 | TEMPERATURA DI FUNZIONAMENTO [°C] = 0 ÷ 50 | UMIDTÀ RELATIVA [%] = 95. INCLUSO: DOPPIO ISOLATORE PER PROTEZIONE DELLA LINEA DI COMUNICAZIONE, CHIAVE DI TEST. 
SPECIFICHE TECNICHE: PULSANTE INDIRIZZATO DA INTERNO, CERTIFICATO CPR, GRADO DI PROTEZIONE IP24D, LA CORRENTE IN ALLARME È DA CONSIDERARSI CON LED ATTIVO. 
RM PULSANTE MANUALE INDIRIZZABILE; GEOMETRIA: A ROTTURA VETRO; TENSIONE DI ALIMENTAZIONE [VCC] = 15 ÷ 28 | CORRENTE NOMINALE A RIPOSO [ΜA] = 200 | CORRENTE NOMINALE IN ALLARME [ΜA] = 5 | TEMPERATURA DI FUNZIONAMENTO [°C] = 0 ÷ 50 | UMIDTÀ RELATIVA [%] = 95. COMPONENTE: LED, . INCLUSO: DOPPIO ISOLATORE PER PROTEZIONE DELLA LINEA DI COMUNICAZIONE, CHIAVE DI TEST 
SPECIFICHE TECNICHE: PULSANTE INDIRIZZATO DA INTERNO, CERTIFICATO CPR, GRADO DI PROTEZIONE IP24D, LA CORRENTE IN ALLARME È DA CONSIDERARSI CON LED ATTIVO 
LV INSTALLAZIONE.</t>
        </is>
      </c>
      <c r="M515" s="4" t="inlineStr">
        <is>
          <t>CAD</t>
        </is>
      </c>
      <c r="N515" s="5" t="n">
        <v>1</v>
      </c>
      <c r="O515" s="6" t="n">
        <v>96.05</v>
      </c>
      <c r="P515" s="6" t="n">
        <v>96.05</v>
      </c>
      <c r="Q515" s="5" t="n"/>
      <c r="R515" s="6" t="n"/>
      <c r="S515" s="6">
        <f>IF(AND(Q515&lt;&gt;"",R515&lt;&gt;""),Q515*R515,"")</f>
        <v/>
      </c>
      <c r="T515" s="6">
        <f>IF(S515="",P515,S515)</f>
        <v/>
      </c>
      <c r="U515" s="7" t="n">
        <v>0</v>
      </c>
      <c r="V515" s="6">
        <f>$T515*U515</f>
        <v/>
      </c>
      <c r="W515" s="7" t="n">
        <v>0</v>
      </c>
      <c r="X515" s="6">
        <f>$T515*W515</f>
        <v/>
      </c>
      <c r="Y515" s="7" t="n">
        <v>0</v>
      </c>
      <c r="Z515" s="6">
        <f>$T515*Y515</f>
        <v/>
      </c>
      <c r="AA515" s="7" t="n">
        <v>0</v>
      </c>
      <c r="AB515" s="6">
        <f>$T515*AA515</f>
        <v/>
      </c>
      <c r="AC515" s="7" t="n">
        <v>0</v>
      </c>
      <c r="AD515" s="6">
        <f>$T515*AC515</f>
        <v/>
      </c>
      <c r="AE515" s="7" t="n">
        <v>0</v>
      </c>
      <c r="AF515" s="6">
        <f>$T515*AE515</f>
        <v/>
      </c>
      <c r="AG515" s="7" t="n">
        <v>0</v>
      </c>
      <c r="AH515" s="6">
        <f>$T515*AG515</f>
        <v/>
      </c>
      <c r="AI515" s="7">
        <f>U515+W515+Y515+AA515+AC515+AE515+AG515</f>
        <v/>
      </c>
      <c r="AJ515" s="6">
        <f>V515+X515+Z515+AB515+AD515+AF515+AH515</f>
        <v/>
      </c>
    </row>
    <row r="516" ht="60" customHeight="1" s="35">
      <c r="A516" s="3" t="inlineStr">
        <is>
          <t>LOM252.OC.EEA.PA04.L4200.ZA000.0515</t>
        </is>
      </c>
      <c r="B516" s="4" t="inlineStr">
        <is>
          <t>1/3</t>
        </is>
      </c>
      <c r="C516" s="3" t="inlineStr">
        <is>
          <t>IMPIANTO ELETTRICO</t>
        </is>
      </c>
      <c r="D516" s="4" t="inlineStr">
        <is>
          <t>SPECIALE</t>
        </is>
      </c>
      <c r="E516" s="4" t="inlineStr">
        <is>
          <t>ELETTRICHE SPECIALI</t>
        </is>
      </c>
      <c r="F516" s="3" t="inlineStr">
        <is>
          <t>3_CME IE RADIOFARMACIA PAVIA - REV02 VARIANTE ESECUTIVA.PDF</t>
        </is>
      </c>
      <c r="G516" s="4" t="inlineStr">
        <is>
          <t>17/17</t>
        </is>
      </c>
      <c r="H516" s="3" t="inlineStr">
        <is>
          <t>40 - IMPIANTISTICO</t>
        </is>
      </c>
      <c r="I516" s="3" t="inlineStr">
        <is>
          <t>CABINA DI TRASFORMAZIONE MT/BT</t>
        </is>
      </c>
      <c r="J516" s="3" t="inlineStr">
        <is>
          <t>IMPIANTO DI RIVELAZIONE FUMI</t>
        </is>
      </c>
      <c r="K516" s="3" t="inlineStr">
        <is>
          <t>OPERA: SEGNALATORE ACUSTICO, SIRENA DI MATERIALE GENERICO; FUNZIONE: SEGNALATORE OTTICO; IMPIEGO: IMPIANTI DI RIVELAZIONE INCENDIO | AMBIENTI INTERNI; TENSIONE DI ALIMENTAZIONE CC [V] = 17 ÷ 60. INCLU</t>
        </is>
      </c>
      <c r="L516" s="3" t="inlineStr">
        <is>
          <t>OPERA: SEGNALATORE ACUSTICO, SIRENA DI MATERIALE GENERICO; FUNZIONE: SEGNALATORE OTTICO; IMPIEGO: IMPIANTI DI RIVELAZIONE INCENDIO | AMBIENTI INTERNI; TENSIONE DI ALIMENTAZIONE CC [V] = 17 ÷ 60. INCLUSO:  TRIMMER PER LA REGOLAZIONE DEL VOLUME, DISPOSITIVO DI BLOCCAGGIO, LAMPEGGIANTE E BASE A BASSO PROFILO. 
LAVORO: FORMAZIONE. 
SPECIFICHE TECNICHE: SIRENA DI TIPO PIEZO-ELETTRONICA MULTITONO, ATTIVAZIONE REMOTA SELEZIONABILE SU 2 TONI, PROTEZIONE IP21. SIRENA E LAMPEGGIANTE CON COMANDO SEPARATO. OP SEGNALATORE ACUSTICO, SIRENA DI MATERIALE GENERICO; FUNZIONE: SEGNALATORE OTTICO; IMPIEGO: IMPIANTI DI RIVELAZIONE INCENDIO | AMBIENTI INTERNI; TENSIONE DI ALIMENTAZIONE CC [V] = 17 ÷ 60. INCLUSO:  TRIMMER PER LA REGOLAZIONE DEL VOLUME, DISPOSITIVO DI BLOCCAGGIO, LAMPEGGIANTE E BASE A BASSO PROFILO. 
SPECIFICHE TECNICHE: SIRENA DI TIPO PIEZO-ELETTRONICA MULTITONO, ATTIVAZIONE REMOTA SELEZIONABILE SU 2 TONI, PROTEZIONE IP21. SIRENA E LAMPEGGIANTE CON COMANDO SEPARATO. 
RM SEGNALATORE ACUSTICO SIRENA DI MATERIALE GENERICO; FUNZIONE: SEGNALATORE OTTICO; IMPIEGO: IMPIANTI DI RIVELAZIONE INCENDIO | AMBIENTI INTERNI; TENSIONE DI ALIMENTAZIONE CC [V] = 17 ÷ 60. INCLUSO:  TRIMMER PER LA REGOLAZIONE DEL VOLUME, DISPOSITIVO DI BLOCCAGGIO, LAMPEGGIANTE E BASE A BASSO PROFILO 
SPECIFICHE TECNICHE: SIRENA DI TIPO PIEZO-ELETTRONICA MULTITONO, ATTIVAZIONE REMOTA SELEZIONABILE SU 2 TONI, PROTEZIONE IP21. SIRENA E LAMPEGGIANTE CON COMANDO SEPARATO 
LV FORMAZIONE.</t>
        </is>
      </c>
      <c r="M516" s="4" t="inlineStr">
        <is>
          <t>CAD</t>
        </is>
      </c>
      <c r="N516" s="5" t="n">
        <v>1</v>
      </c>
      <c r="O516" s="6" t="n">
        <v>183.81</v>
      </c>
      <c r="P516" s="6" t="n">
        <v>183.81</v>
      </c>
      <c r="Q516" s="5" t="n"/>
      <c r="R516" s="6" t="n"/>
      <c r="S516" s="6">
        <f>IF(AND(Q516&lt;&gt;"",R516&lt;&gt;""),Q516*R516,"")</f>
        <v/>
      </c>
      <c r="T516" s="6">
        <f>IF(S516="",P516,S516)</f>
        <v/>
      </c>
      <c r="U516" s="7" t="n">
        <v>0</v>
      </c>
      <c r="V516" s="6">
        <f>$T516*U516</f>
        <v/>
      </c>
      <c r="W516" s="7" t="n">
        <v>0</v>
      </c>
      <c r="X516" s="6">
        <f>$T516*W516</f>
        <v/>
      </c>
      <c r="Y516" s="7" t="n">
        <v>0</v>
      </c>
      <c r="Z516" s="6">
        <f>$T516*Y516</f>
        <v/>
      </c>
      <c r="AA516" s="7" t="n">
        <v>0</v>
      </c>
      <c r="AB516" s="6">
        <f>$T516*AA516</f>
        <v/>
      </c>
      <c r="AC516" s="7" t="n">
        <v>0</v>
      </c>
      <c r="AD516" s="6">
        <f>$T516*AC516</f>
        <v/>
      </c>
      <c r="AE516" s="7" t="n">
        <v>0</v>
      </c>
      <c r="AF516" s="6">
        <f>$T516*AE516</f>
        <v/>
      </c>
      <c r="AG516" s="7" t="n">
        <v>0</v>
      </c>
      <c r="AH516" s="6">
        <f>$T516*AG516</f>
        <v/>
      </c>
      <c r="AI516" s="7">
        <f>U516+W516+Y516+AA516+AC516+AE516+AG516</f>
        <v/>
      </c>
      <c r="AJ516" s="6">
        <f>V516+X516+Z516+AB516+AD516+AF516+AH516</f>
        <v/>
      </c>
    </row>
    <row r="517" ht="60" customHeight="1" s="35">
      <c r="A517" s="3" t="inlineStr">
        <is>
          <t>LOM252.OC.EEA.PA02.L7430.ZA001.0020</t>
        </is>
      </c>
      <c r="B517" s="4" t="inlineStr">
        <is>
          <t>1/4</t>
        </is>
      </c>
      <c r="C517" s="3" t="inlineStr">
        <is>
          <t>IMPIANTO ELETTRICO</t>
        </is>
      </c>
      <c r="D517" s="4" t="inlineStr">
        <is>
          <t>SPECIALE</t>
        </is>
      </c>
      <c r="E517" s="4" t="inlineStr">
        <is>
          <t>ELETTRICHE SPECIALI</t>
        </is>
      </c>
      <c r="F517" s="3" t="inlineStr">
        <is>
          <t>3_CME IE RADIOFARMACIA PAVIA - REV02 VARIANTE ESECUTIVA.PDF</t>
        </is>
      </c>
      <c r="G517" s="4" t="inlineStr">
        <is>
          <t>18/18</t>
        </is>
      </c>
      <c r="H517" s="3" t="inlineStr">
        <is>
          <t>40 - IMPIANTISTICO</t>
        </is>
      </c>
      <c r="I517" s="3" t="inlineStr">
        <is>
          <t>CABINA DI TRASFORMAZIONE MT/BT</t>
        </is>
      </c>
      <c r="J517" s="3" t="inlineStr">
        <is>
          <t>IMPIANTO DI RIVELAZIONE FUMI</t>
        </is>
      </c>
      <c r="K517" s="3" t="inlineStr">
        <is>
          <t xml:space="preserve">OPERA: CAVO; GEOMETRIA: TWISTATO | SCHERMATO | ROSSO; SEZIONE NOMINALE [MM²] = 2X1,5. </t>
        </is>
      </c>
      <c r="L517" s="3" t="inlineStr">
        <is>
          <t>OPERA: CAVO; GEOMETRIA: TWISTATO | SCHERMATO | ROSSO; SEZIONE NOMINALE [MM²] = 2X1,5. 
LAVORO: POSA. OP CAVO; GEOMETRIA: TWISTATO | SCHERMATO | ROSSO; SEZIONE NOMINALE [MM²] = 2X1,5. 
RM CAVO; GEOMETRIA: TWISTATO | SCHERMATO | ROSSO; FORNITURA: IN OPERA; SEZIONE NOMINALE [MM²] = 2X1,5 
SPECIFICHE TECNICHE: CAVO ANTINCENDIO DI GRADO 3 
LV POSA.
[DIMENSIONI: 20,00]</t>
        </is>
      </c>
      <c r="M517" s="4" t="inlineStr">
        <is>
          <t>M</t>
        </is>
      </c>
      <c r="N517" s="5" t="n">
        <v>20</v>
      </c>
      <c r="O517" s="6" t="n">
        <v>3.5</v>
      </c>
      <c r="P517" s="6" t="n">
        <v>70</v>
      </c>
      <c r="Q517" s="5" t="n"/>
      <c r="R517" s="6" t="n"/>
      <c r="S517" s="6">
        <f>IF(AND(Q517&lt;&gt;"",R517&lt;&gt;""),Q517*R517,"")</f>
        <v/>
      </c>
      <c r="T517" s="6">
        <f>IF(S517="",P517,S517)</f>
        <v/>
      </c>
      <c r="U517" s="7" t="n">
        <v>0</v>
      </c>
      <c r="V517" s="6">
        <f>$T517*U517</f>
        <v/>
      </c>
      <c r="W517" s="7" t="n">
        <v>0</v>
      </c>
      <c r="X517" s="6">
        <f>$T517*W517</f>
        <v/>
      </c>
      <c r="Y517" s="7" t="n">
        <v>0</v>
      </c>
      <c r="Z517" s="6">
        <f>$T517*Y517</f>
        <v/>
      </c>
      <c r="AA517" s="7" t="n">
        <v>0</v>
      </c>
      <c r="AB517" s="6">
        <f>$T517*AA517</f>
        <v/>
      </c>
      <c r="AC517" s="7" t="n">
        <v>0</v>
      </c>
      <c r="AD517" s="6">
        <f>$T517*AC517</f>
        <v/>
      </c>
      <c r="AE517" s="7" t="n">
        <v>0</v>
      </c>
      <c r="AF517" s="6">
        <f>$T517*AE517</f>
        <v/>
      </c>
      <c r="AG517" s="7" t="n">
        <v>0</v>
      </c>
      <c r="AH517" s="6">
        <f>$T517*AG517</f>
        <v/>
      </c>
      <c r="AI517" s="7">
        <f>U517+W517+Y517+AA517+AC517+AE517+AG517</f>
        <v/>
      </c>
      <c r="AJ517" s="6">
        <f>V517+X517+Z517+AB517+AD517+AF517+AH517</f>
        <v/>
      </c>
    </row>
    <row r="518" ht="60" customHeight="1" s="35">
      <c r="A518" s="3" t="inlineStr">
        <is>
          <t>LOM252.OC.EEA.PA01.G8235.ZA001.1095</t>
        </is>
      </c>
      <c r="B518" s="4" t="inlineStr">
        <is>
          <t>2/3</t>
        </is>
      </c>
      <c r="C518" s="3" t="inlineStr">
        <is>
          <t>IMPIANTO ELETTRICO</t>
        </is>
      </c>
      <c r="D518" s="4" t="inlineStr">
        <is>
          <t>SPECIALE</t>
        </is>
      </c>
      <c r="E518" s="4" t="inlineStr">
        <is>
          <t>ELETTRICHE SPECIALI</t>
        </is>
      </c>
      <c r="F518" s="3" t="inlineStr">
        <is>
          <t>3_CME IE RADIOFARMACIA PAVIA - REV02 VARIANTE ESECUTIVA.PDF</t>
        </is>
      </c>
      <c r="G518" s="4" t="inlineStr">
        <is>
          <t>22/22</t>
        </is>
      </c>
      <c r="H518" s="3" t="inlineStr">
        <is>
          <t>40 - IMPIANTISTICO</t>
        </is>
      </c>
      <c r="I518" s="3" t="inlineStr">
        <is>
          <t>CABINA BT</t>
        </is>
      </c>
      <c r="J518" s="3" t="inlineStr">
        <is>
          <t>IMPIANTO DI RIVELAZIONE FUMI</t>
        </is>
      </c>
      <c r="K518" s="3" t="inlineStr">
        <is>
          <t>OPERA: DERIVAZIONE D'IMPIANTO PRESA; FUNZIONE: ATTACCO APPARECCHIATURE DI SEGNALAZIONE INCENDIO; IMPIEGO: DERIVAZIONE D'IMPIANTO DA INCASSO. INCLUSO: LINEA DI ALIMENTAZIONE E SEGNALAZIONE; TUBO PROTET</t>
        </is>
      </c>
      <c r="L518" s="3" t="inlineStr">
        <is>
          <t>OPERA: DERIVAZIONE D'IMPIANTO PRESA; FUNZIONE: ATTACCO APPARECCHIATURE DI SEGNALAZIONE INCENDIO; IMPIEGO: DERIVAZIONE D'IMPIANTO DA INCASSO. INCLUSO: LINEA DI ALIMENTAZIONE E SEGNALAZIONE; TUBO PROTETTIVO; CONDUTTORI DI ALIMENTAZIONE E DI TERRA; SCATOLE DA INCASSO; FRUTTI COMPONIBILI; PLACCHE; SUPPORTI; PRESE TELEFONICHE/DATI O CITOFONICHE; RELÈ DI SEGNALAZIONE; CATENA DI SEGNALAZIONE A GUIDA DI LUCE O A NUMERAZIONE CENTRALE (RELÈ SERIE; SUONERIA; RELÈ SEGNALE; LAMPADA SEGNALE INTERNA E/O ESTERNA; PULSANTE ANNULLO). ESCLUSO: ALIMENTATORI; CITOFONI; ALTOPARLANTI; RIVELATORI DI FUMO; CENTRALINO DI CONTROLLO. 
LAVORO: INSTALLAZIONE IN OPERA. INCLUSO: LINEA DI COLLEGAMENTO ALLO SPECIFICO PUNTO DI ALIMENTAZIONE; ASSISTENZA PER IL TRASPORTO DEI MATERIALI AL PIANO. 
SPECIFICHE TECNICHE: PER IMPIANTI DI SEGNALAZIONE O DI COMUNICAZIONE; REALIZZATO CON TUBO PROTETTIVO RIGIDO DI PLASTICA POLIVINILCLORURO (PVC) AUTOESTINGUENTE; CONDUTTORI DI ALIMENTAZIONE E DI TERRA DI LEGA RAME GENERICO RICOTTO ISOLATO CONFORMI AI REQUISITI PREVISTI DALLA NORMATIVA EUROPEA REGOLAMENTO UE 305/2011 - PRODOTTI DA COSTRUZIONE CPR; TIPOLOGIA CONDUTTORI E SEZIONE ADEGUATI ALL'UTILIZZO. OP DERIVAZIONE D'IMPIANTO PRESA; FUNZIONE: ATTACCO APPARECCHIATURE DI SEGNALAZIONE INCENDIO; IMPIEGO: DERIVAZIONE D'IMPIANTO DA INCASSO. INCLUSO: LINEA DI ALIMENTAZIONE E SEGNALAZIONE; TUBO PROTETTIVO; CONDUTTORI DI ALIMENTAZIONE E DI TERRA; SCATOLE DA INCASSO; FRUTTI COMPONIBILI; PLACCHE; SUPPORTI; PRESE TELEFONICHE/DATI O CITOFONICHE; RELÈ DI SEGNALAZIONE; CATENA DI SEGNALAZIONE A GUIDA DI LUCE O A NUMERAZIONE CENTRALE (RELÈ SERIE; SUONERIA; RELÈ SEGNALE; LAMPADA SEGNALE INTERNA E/O ESTERNA; PULSANTE ANNULLO). ESCLUSO: ALIMENTATORI; CITOFONI; ALTOPARLANTI; RIVELATORI DI FUMO; CENTRALINO DI CONTROLLO. 
SPECIFICHE TECNICHE: PER IMPIANTI DI SEGNALAZIONE O DI COMUNICAZIONE; REALIZZATO CON TUBO PROTETTIVO RIGIDO DI PLASTICA POLIVINILCLORURO (PVC) AUTOESTINGUENTE; CONDUTTORI DI ALIMENTAZIONE E DI TERRA DI LEGA RAME GENERICO RICOTTO ISOLATO CONFORMI AI REQUISITI PREVISTI DALLA NORMATIVA EUROPEA REGOLAMENTO UE 305/2011 - PRODOTTI DA COSTRUZIONE CPR; TIPOLOGIA CONDUTTORI E SEZIONE ADEGUATI ALL'UTILIZZO. 
RM DERIVAZIONE D'IMPIANTO PRESA; FUNZIONE: ATTACCO APPARECCHIATURE DI SEGNALAZIONE INCENDIO; IMPIEGO: DERIVAZIONE D'IMPIANTO DA INCASSO. INCLUSO: LINEA DI ALIMENTAZIONE E SEGNALAZIONE; TUBO PROTETTIVO; CONDUTTORI DI ALIMENTAZIONE E DI TERRA; SCATOLE DA INCASSO; FRUTTI COMPONIBILI; PLACCHE; SUPPORTI; PRESE TELEFONICHE/DATI O CITOFONICHE; RELÈ DI SEGNALAZIONE; CATENA DI SEGNALAZIONE A GUIDA DI LUCE O A NUMERAZIONE CENTRALE (RELÈ SERIE; SUONERIA; RELÈ SEGNALE; LAMPADA SEGNALE INTERNA E/O ESTERNA; PULSANTE ANNULLO). ESCLUSO: ALIMENTATORI; CITOFONI; ALTOPARLANTI; RIVELATORI DI FUMO; CENTRALINO DI CONTROLLO 
SPECIFICHE TECNICHE: PER IMPIANTI DI SEGNALAZIONE O DI COMUNICAZIONE; REALIZZATO CON TUBO PROTETTIVO RIGIDO DI PLASTICA POLIVINILCLORURO (PVC) AUTOESTINGUENTE; CONDUTTORI DI ALIMENTAZIONE E DI TERRA DI LEGA RAME GENERICO RICOTTO ISOLATO CONFORMI AI REQUISITI PREVISTI DALLA NORMATIVA EUROPEA REGOLAMENTO UE 305/2011 - PRODOTTI DA COSTRUZIONE CPR; TIPOLOGIA CONDUTTORI E SEZIONE ADEGUATI ALL'UTILIZZO 
LV INSTALLAZIONE IN OPERA. INCLUSO: LINEA DI COLLEGAMENTO ALLO SPECIFICO PUNTO DI ALIMENTAZIONE; ASSISTENZA PER IL TRASPORTO DEI MATERIALI AL PIANO.</t>
        </is>
      </c>
      <c r="M518" s="4" t="inlineStr">
        <is>
          <t>CAD</t>
        </is>
      </c>
      <c r="N518" s="5" t="n">
        <v>3</v>
      </c>
      <c r="O518" s="6" t="n">
        <v>34.39</v>
      </c>
      <c r="P518" s="6" t="n">
        <v>103.17</v>
      </c>
      <c r="Q518" s="5" t="n"/>
      <c r="R518" s="6" t="n"/>
      <c r="S518" s="6">
        <f>IF(AND(Q518&lt;&gt;"",R518&lt;&gt;""),Q518*R518,"")</f>
        <v/>
      </c>
      <c r="T518" s="6">
        <f>IF(S518="",P518,S518)</f>
        <v/>
      </c>
      <c r="U518" s="7" t="n">
        <v>0</v>
      </c>
      <c r="V518" s="6">
        <f>$T518*U518</f>
        <v/>
      </c>
      <c r="W518" s="7" t="n">
        <v>0</v>
      </c>
      <c r="X518" s="6">
        <f>$T518*W518</f>
        <v/>
      </c>
      <c r="Y518" s="7" t="n">
        <v>0</v>
      </c>
      <c r="Z518" s="6">
        <f>$T518*Y518</f>
        <v/>
      </c>
      <c r="AA518" s="7" t="n">
        <v>0</v>
      </c>
      <c r="AB518" s="6">
        <f>$T518*AA518</f>
        <v/>
      </c>
      <c r="AC518" s="7" t="n">
        <v>0</v>
      </c>
      <c r="AD518" s="6">
        <f>$T518*AC518</f>
        <v/>
      </c>
      <c r="AE518" s="7" t="n">
        <v>0</v>
      </c>
      <c r="AF518" s="6">
        <f>$T518*AE518</f>
        <v/>
      </c>
      <c r="AG518" s="7" t="n">
        <v>0</v>
      </c>
      <c r="AH518" s="6">
        <f>$T518*AG518</f>
        <v/>
      </c>
      <c r="AI518" s="7">
        <f>U518+W518+Y518+AA518+AC518+AE518+AG518</f>
        <v/>
      </c>
      <c r="AJ518" s="6">
        <f>V518+X518+Z518+AB518+AD518+AF518+AH518</f>
        <v/>
      </c>
    </row>
    <row r="519" ht="60" customHeight="1" s="35">
      <c r="A519" s="3" t="inlineStr">
        <is>
          <t>LOM252.OC.EEA.PA02.L8225.ZA001.1750</t>
        </is>
      </c>
      <c r="B519" s="4" t="inlineStr">
        <is>
          <t>2/3</t>
        </is>
      </c>
      <c r="C519" s="3" t="inlineStr">
        <is>
          <t>IMPIANTO ELETTRICO</t>
        </is>
      </c>
      <c r="D519" s="4" t="inlineStr">
        <is>
          <t>SPECIALE</t>
        </is>
      </c>
      <c r="E519" s="4" t="inlineStr">
        <is>
          <t>ELETTRICHE SPECIALI</t>
        </is>
      </c>
      <c r="F519" s="3" t="inlineStr">
        <is>
          <t>3_CME IE RADIOFARMACIA PAVIA - REV02 VARIANTE ESECUTIVA.PDF</t>
        </is>
      </c>
      <c r="G519" s="4" t="inlineStr">
        <is>
          <t>23/23</t>
        </is>
      </c>
      <c r="H519" s="3" t="inlineStr">
        <is>
          <t>40 - IMPIANTISTICO</t>
        </is>
      </c>
      <c r="I519" s="3" t="inlineStr">
        <is>
          <t>CABINA BT</t>
        </is>
      </c>
      <c r="J519" s="3" t="inlineStr">
        <is>
          <t>IMPIANTO DI RIVELAZIONE FUMI</t>
        </is>
      </c>
      <c r="K519" s="3" t="inlineStr">
        <is>
          <t xml:space="preserve">OPERA: RIVEVLATORE, OTTICO; IMPIEGO: CENTRALI ANALOGICHE. </t>
        </is>
      </c>
      <c r="L519" s="3" t="inlineStr">
        <is>
          <t>OPERA: RIVEVLATORE, OTTICO; IMPIEGO: CENTRALI ANALOGICHE. 
LAVORO: POSA. 
SPECIFICHE TECNICHE: SENSORE OTTICO DI FUMO AD EFFETTO TYNDALL DI TIPO ANALOGICO/INDIRIZZATO, DOTATO DI 2 LED PER LA SEGNALAZIONE DELLE CONDIZIONI DI ALLARME OLTRE AD UNA USCITA ELETTRONICA PER IL COLLEGAMENTO DI UNA SEGNALAZIONE REMOTA A BASSO ASSORBIMENTO, IL SENSORE DISPONE DI CAMERA OTTICA RIMOVIBILE E SOSTITUIBILE LOCALMENTE SENZA L'AUSILIO DI ATTREZZATURE PARTICOLARI E SENZA NECESSITÀ DI RICALIBRATURA, CON DICHIARAZIONE DOP.. OP RIVEVLATORE, OTTICO; IMPIEGO: CENTRALI ANALOGICHE. 
SPECIFICHE TECNICHE: SENSORE OTTICO DI FUMO AD EFFETTO TYNDALL DI TIPO ANALOGICO/INDIRIZZATO, DOTATO DI 2 LED PER LA SEGNALAZIONE DELLE CONDIZIONI DI ALLARME OLTRE AD UNA USCITA ELETTRONICA PER IL COLLEGAMENTO DI UNA SEGNALAZIONE REMOTA A BASSO ASSORBIMENTO, IL SENSORE DISPONE DI CAMERA OTTICA RIMOVIBILE E SOSTITUIBILE LOCALMENTE SENZA L'AUSILIO DI ATTREZZATURE PARTICOLARI E SENZA NECESSITÀ DI RICALIBRATURA, CON DICHIARAZIONE DOP.. 
RM RIVELATORE OTTICO; IMPIEGO: CENTRALI ANALOGICHE 
SPECIFICHE TECNICHE: SENSORE OTTICO DI FUMO AD EFFETTO TYNDALL DI TIPO ANALOGICO/INDIRIZZATO, DOTATO DI 2 LED PER LA SEGNALAZIONE DELLE CONDIZIONI DI ALLARME OLTRE AD UNA USCITA ELETTRONICA PER IL COLLEGAMENTO DI UNA SEGNALAZIONE REMOTA A BASSO ASSORBIMENTO, IL SENSORE DISPONE DI CAMERA OTTICA RIMOVIBILE E SOSTITUIBILE LOCALMENTE SENZA L'AUSILIO DI ATTREZZATURE PARTICOLARI E SENZA NECESSITÀ DI RICALIBRATURA, CON DICHIARAZIONE DOP. 
LV POSA.</t>
        </is>
      </c>
      <c r="M519" s="4" t="inlineStr">
        <is>
          <t>CAD</t>
        </is>
      </c>
      <c r="N519" s="5" t="n">
        <v>1</v>
      </c>
      <c r="O519" s="6" t="n">
        <v>92.5</v>
      </c>
      <c r="P519" s="6" t="n">
        <v>92.5</v>
      </c>
      <c r="Q519" s="5" t="n"/>
      <c r="R519" s="6" t="n"/>
      <c r="S519" s="6">
        <f>IF(AND(Q519&lt;&gt;"",R519&lt;&gt;""),Q519*R519,"")</f>
        <v/>
      </c>
      <c r="T519" s="6">
        <f>IF(S519="",P519,S519)</f>
        <v/>
      </c>
      <c r="U519" s="7" t="n">
        <v>0</v>
      </c>
      <c r="V519" s="6">
        <f>$T519*U519</f>
        <v/>
      </c>
      <c r="W519" s="7" t="n">
        <v>0</v>
      </c>
      <c r="X519" s="6">
        <f>$T519*W519</f>
        <v/>
      </c>
      <c r="Y519" s="7" t="n">
        <v>0</v>
      </c>
      <c r="Z519" s="6">
        <f>$T519*Y519</f>
        <v/>
      </c>
      <c r="AA519" s="7" t="n">
        <v>0</v>
      </c>
      <c r="AB519" s="6">
        <f>$T519*AA519</f>
        <v/>
      </c>
      <c r="AC519" s="7" t="n">
        <v>0</v>
      </c>
      <c r="AD519" s="6">
        <f>$T519*AC519</f>
        <v/>
      </c>
      <c r="AE519" s="7" t="n">
        <v>0</v>
      </c>
      <c r="AF519" s="6">
        <f>$T519*AE519</f>
        <v/>
      </c>
      <c r="AG519" s="7" t="n">
        <v>0</v>
      </c>
      <c r="AH519" s="6">
        <f>$T519*AG519</f>
        <v/>
      </c>
      <c r="AI519" s="7">
        <f>U519+W519+Y519+AA519+AC519+AE519+AG519</f>
        <v/>
      </c>
      <c r="AJ519" s="6">
        <f>V519+X519+Z519+AB519+AD519+AF519+AH519</f>
        <v/>
      </c>
    </row>
    <row r="520" ht="60" customHeight="1" s="35">
      <c r="A520" s="3" t="inlineStr">
        <is>
          <t>LOM252.OC.EEA.PA01.L8250.ZA001.0250</t>
        </is>
      </c>
      <c r="B520" s="4" t="inlineStr">
        <is>
          <t>2/3</t>
        </is>
      </c>
      <c r="C520" s="3" t="inlineStr">
        <is>
          <t>IMPIANTO ELETTRICO</t>
        </is>
      </c>
      <c r="D520" s="4" t="inlineStr">
        <is>
          <t>SPECIALE</t>
        </is>
      </c>
      <c r="E520" s="4" t="inlineStr">
        <is>
          <t>ELETTRICHE SPECIALI</t>
        </is>
      </c>
      <c r="F520" s="3" t="inlineStr">
        <is>
          <t>3_CME IE RADIOFARMACIA PAVIA - REV02 VARIANTE ESECUTIVA.PDF</t>
        </is>
      </c>
      <c r="G520" s="4" t="inlineStr">
        <is>
          <t>24/24</t>
        </is>
      </c>
      <c r="H520" s="3" t="inlineStr">
        <is>
          <t>40 - IMPIANTISTICO</t>
        </is>
      </c>
      <c r="I520" s="3" t="inlineStr">
        <is>
          <t>CABINA BT</t>
        </is>
      </c>
      <c r="J520" s="3" t="inlineStr">
        <is>
          <t>IMPIANTO DI RIVELAZIONE FUMI</t>
        </is>
      </c>
      <c r="K520" s="3" t="inlineStr">
        <is>
          <t>OPERA: PULSANTE, MANUALE INDIRIZZABILE; GEOMETRIA: A ROTTURA VETRO; TENSIONE DI ALIMENTAZIONE [VCC] = 15 ÷ 28 | CORRENTE NOMINALE A RIPOSO [ΜA] = 200 | CORRENTE NOMINALE IN ALLARME [ΜA] = 5 | TEMPERAT</t>
        </is>
      </c>
      <c r="L520" s="3" t="inlineStr">
        <is>
          <t>OPERA: PULSANTE, MANUALE INDIRIZZABILE; GEOMETRIA: A ROTTURA VETRO; TENSIONE DI ALIMENTAZIONE [VCC] = 15 ÷ 28 | CORRENTE NOMINALE A RIPOSO [ΜA] = 200 | CORRENTE NOMINALE IN ALLARME [ΜA] = 5 | TEMPERATURA DI FUNZIONAMENTO [°C] = 0 ÷ 50 | UMIDTÀ RELATIVA [%] = 95. INCLUSO: DOPPIO ISOLATORE PER PROTEZIONE DELLA LINEA DI COMUNICAZIONE, CHIAVE DI TEST. 
LAVORO: INSTALLAZIONE. 
SPECIFICHE TECNICHE: PULSANTE INDIRIZZATO DA INTERNO, CERTIFICATO CPR, GRADO DI PROTEZIONE IP24D, LA CORRENTE IN ALLARME È DA CONSIDERARSI CON LED ATTIVO. OP PULSANTE, MANUALE INDIRIZZABILE; GEOMETRIA: A ROTTURA VETRO; TENSIONE DI ALIMENTAZIONE [VCC] = 15 ÷ 28 | CORRENTE NOMINALE A RIPOSO [ΜA] = 200 | CORRENTE NOMINALE IN ALLARME [ΜA] = 5 | TEMPERATURA DI FUNZIONAMENTO [°C] = 0 ÷ 50 | UMIDTÀ RELATIVA [%] = 95. INCLUSO: DOPPIO ISOLATORE PER PROTEZIONE DELLA LINEA DI COMUNICAZIONE, CHIAVE DI TEST. 
SPECIFICHE TECNICHE: PULSANTE INDIRIZZATO DA INTERNO, CERTIFICATO CPR, GRADO DI PROTEZIONE IP24D, LA CORRENTE IN ALLARME È DA CONSIDERARSI CON LED ATTIVO. 
RM PULSANTE MANUALE INDIRIZZABILE; GEOMETRIA: A ROTTURA VETRO; TENSIONE DI ALIMENTAZIONE [VCC] = 15 ÷ 28 | CORRENTE NOMINALE A RIPOSO [ΜA] = 200 | CORRENTE NOMINALE IN ALLARME [ΜA] = 5 | TEMPERATURA DI FUNZIONAMENTO [°C] = 0 ÷ 50 | UMIDTÀ RELATIVA [%] = 95. COMPONENTE: LED, . INCLUSO: DOPPIO ISOLATORE PER PROTEZIONE DELLA LINEA DI COMUNICAZIONE, CHIAVE DI TEST 
SPECIFICHE TECNICHE: PULSANTE INDIRIZZATO DA INTERNO, CERTIFICATO CPR, GRADO DI PROTEZIONE IP24D, LA CORRENTE IN ALLARME È DA CONSIDERARSI CON LED ATTIVO 
LV INSTALLAZIONE.</t>
        </is>
      </c>
      <c r="M520" s="4" t="inlineStr">
        <is>
          <t>CAD</t>
        </is>
      </c>
      <c r="N520" s="5" t="n">
        <v>1</v>
      </c>
      <c r="O520" s="6" t="n">
        <v>96.05</v>
      </c>
      <c r="P520" s="6" t="n">
        <v>96.05</v>
      </c>
      <c r="Q520" s="5" t="n"/>
      <c r="R520" s="6" t="n"/>
      <c r="S520" s="6">
        <f>IF(AND(Q520&lt;&gt;"",R520&lt;&gt;""),Q520*R520,"")</f>
        <v/>
      </c>
      <c r="T520" s="6">
        <f>IF(S520="",P520,S520)</f>
        <v/>
      </c>
      <c r="U520" s="7" t="n">
        <v>0</v>
      </c>
      <c r="V520" s="6">
        <f>$T520*U520</f>
        <v/>
      </c>
      <c r="W520" s="7" t="n">
        <v>0</v>
      </c>
      <c r="X520" s="6">
        <f>$T520*W520</f>
        <v/>
      </c>
      <c r="Y520" s="7" t="n">
        <v>0</v>
      </c>
      <c r="Z520" s="6">
        <f>$T520*Y520</f>
        <v/>
      </c>
      <c r="AA520" s="7" t="n">
        <v>0</v>
      </c>
      <c r="AB520" s="6">
        <f>$T520*AA520</f>
        <v/>
      </c>
      <c r="AC520" s="7" t="n">
        <v>0</v>
      </c>
      <c r="AD520" s="6">
        <f>$T520*AC520</f>
        <v/>
      </c>
      <c r="AE520" s="7" t="n">
        <v>0</v>
      </c>
      <c r="AF520" s="6">
        <f>$T520*AE520</f>
        <v/>
      </c>
      <c r="AG520" s="7" t="n">
        <v>0</v>
      </c>
      <c r="AH520" s="6">
        <f>$T520*AG520</f>
        <v/>
      </c>
      <c r="AI520" s="7">
        <f>U520+W520+Y520+AA520+AC520+AE520+AG520</f>
        <v/>
      </c>
      <c r="AJ520" s="6">
        <f>V520+X520+Z520+AB520+AD520+AF520+AH520</f>
        <v/>
      </c>
    </row>
    <row r="521" ht="60" customHeight="1" s="35">
      <c r="A521" s="3" t="inlineStr">
        <is>
          <t>LOM252.OC.EEA.PA04.L4200.ZA000.0515</t>
        </is>
      </c>
      <c r="B521" s="4" t="inlineStr">
        <is>
          <t>2/3</t>
        </is>
      </c>
      <c r="C521" s="3" t="inlineStr">
        <is>
          <t>IMPIANTO ELETTRICO</t>
        </is>
      </c>
      <c r="D521" s="4" t="inlineStr">
        <is>
          <t>SPECIALE</t>
        </is>
      </c>
      <c r="E521" s="4" t="inlineStr">
        <is>
          <t>ELETTRICHE SPECIALI</t>
        </is>
      </c>
      <c r="F521" s="3" t="inlineStr">
        <is>
          <t>3_CME IE RADIOFARMACIA PAVIA - REV02 VARIANTE ESECUTIVA.PDF</t>
        </is>
      </c>
      <c r="G521" s="4" t="inlineStr">
        <is>
          <t>25/25</t>
        </is>
      </c>
      <c r="H521" s="3" t="inlineStr">
        <is>
          <t>40 - IMPIANTISTICO</t>
        </is>
      </c>
      <c r="I521" s="3" t="inlineStr">
        <is>
          <t>CABINA BT</t>
        </is>
      </c>
      <c r="J521" s="3" t="inlineStr">
        <is>
          <t>IMPIANTO DI RIVELAZIONE FUMI</t>
        </is>
      </c>
      <c r="K521" s="3" t="inlineStr">
        <is>
          <t>OPERA: SEGNALATORE ACUSTICO, SIRENA DI MATERIALE GENERICO; FUNZIONE: SEGNALATORE OTTICO; IMPIEGO: IMPIANTI DI RIVELAZIONE INCENDIO | AMBIENTI INTERNI; TENSIONE DI ALIMENTAZIONE CC [V] = 17 ÷ 60. INCLU</t>
        </is>
      </c>
      <c r="L521" s="3" t="inlineStr">
        <is>
          <t>OPERA: SEGNALATORE ACUSTICO, SIRENA DI MATERIALE GENERICO; FUNZIONE: SEGNALATORE OTTICO; IMPIEGO: IMPIANTI DI RIVELAZIONE INCENDIO | AMBIENTI INTERNI; TENSIONE DI ALIMENTAZIONE CC [V] = 17 ÷ 60. INCLUSO:  TRIMMER PER LA REGOLAZIONE DEL VOLUME, DISPOSITIVO DI BLOCCAGGIO, LAMPEGGIANTE E BASE A BASSO PROFILO. 
LAVORO: FORMAZIONE. 
SPECIFICHE TECNICHE: SIRENA DI TIPO PIEZO-ELETTRONICA MULTITONO, ATTIVAZIONE REMOTA SELEZIONABILE SU 2 TONI, PROTEZIONE IP21. SIRENA E LAMPEGGIANTE CON COMANDO SEPARATO. OP SEGNALATORE ACUSTICO, SIRENA DI MATERIALE GENERICO; FUNZIONE: SEGNALATORE OTTICO; IMPIEGO: IMPIANTI DI RIVELAZIONE INCENDIO | AMBIENTI INTERNI; TENSIONE DI ALIMENTAZIONE CC [V] = 17 ÷ 60. INCLUSO:  TRIMMER PER LA REGOLAZIONE DEL VOLUME, DISPOSITIVO DI BLOCCAGGIO, LAMPEGGIANTE E BASE A BASSO PROFILO. 
SPECIFICHE TECNICHE: SIRENA DI TIPO PIEZO-ELETTRONICA MULTITONO, ATTIVAZIONE REMOTA SELEZIONABILE SU 2 TONI, PROTEZIONE IP21. SIRENA E LAMPEGGIANTE CON COMANDO SEPARATO. 
RM SEGNALATORE ACUSTICO SIRENA DI MATERIALE GENERICO; FUNZIONE: SEGNALATORE OTTICO; IMPIEGO: IMPIANTI DI RIVELAZIONE INCENDIO | AMBIENTI INTERNI; TENSIONE DI ALIMENTAZIONE CC [V] = 17 ÷ 60. INCLUSO:  TRIMMER PER LA REGOLAZIONE DEL VOLUME, DISPOSITIVO DI BLOCCAGGIO, LAMPEGGIANTE E BASE A BASSO PROFILO 
SPECIFICHE TECNICHE: SIRENA DI TIPO PIEZO-ELETTRONICA MULTITONO, ATTIVAZIONE REMOTA SELEZIONABILE SU 2 TONI, PROTEZIONE IP21. SIRENA E LAMPEGGIANTE CON COMANDO SEPARATO 
LV FORMAZIONE.</t>
        </is>
      </c>
      <c r="M521" s="4" t="inlineStr">
        <is>
          <t>CAD</t>
        </is>
      </c>
      <c r="N521" s="5" t="n">
        <v>1</v>
      </c>
      <c r="O521" s="6" t="n">
        <v>183.81</v>
      </c>
      <c r="P521" s="6" t="n">
        <v>183.81</v>
      </c>
      <c r="Q521" s="5" t="n"/>
      <c r="R521" s="6" t="n"/>
      <c r="S521" s="6">
        <f>IF(AND(Q521&lt;&gt;"",R521&lt;&gt;""),Q521*R521,"")</f>
        <v/>
      </c>
      <c r="T521" s="6">
        <f>IF(S521="",P521,S521)</f>
        <v/>
      </c>
      <c r="U521" s="7" t="n">
        <v>0</v>
      </c>
      <c r="V521" s="6">
        <f>$T521*U521</f>
        <v/>
      </c>
      <c r="W521" s="7" t="n">
        <v>0</v>
      </c>
      <c r="X521" s="6">
        <f>$T521*W521</f>
        <v/>
      </c>
      <c r="Y521" s="7" t="n">
        <v>0</v>
      </c>
      <c r="Z521" s="6">
        <f>$T521*Y521</f>
        <v/>
      </c>
      <c r="AA521" s="7" t="n">
        <v>0</v>
      </c>
      <c r="AB521" s="6">
        <f>$T521*AA521</f>
        <v/>
      </c>
      <c r="AC521" s="7" t="n">
        <v>0</v>
      </c>
      <c r="AD521" s="6">
        <f>$T521*AC521</f>
        <v/>
      </c>
      <c r="AE521" s="7" t="n">
        <v>0</v>
      </c>
      <c r="AF521" s="6">
        <f>$T521*AE521</f>
        <v/>
      </c>
      <c r="AG521" s="7" t="n">
        <v>0</v>
      </c>
      <c r="AH521" s="6">
        <f>$T521*AG521</f>
        <v/>
      </c>
      <c r="AI521" s="7">
        <f>U521+W521+Y521+AA521+AC521+AE521+AG521</f>
        <v/>
      </c>
      <c r="AJ521" s="6">
        <f>V521+X521+Z521+AB521+AD521+AF521+AH521</f>
        <v/>
      </c>
    </row>
    <row r="522" ht="60" customHeight="1" s="35">
      <c r="A522" s="3" t="inlineStr">
        <is>
          <t>LOM252.OC.EEA.PA02.L7430.ZA001.0020</t>
        </is>
      </c>
      <c r="B522" s="4" t="inlineStr">
        <is>
          <t>2/4</t>
        </is>
      </c>
      <c r="C522" s="3" t="inlineStr">
        <is>
          <t>IMPIANTO ELETTRICO</t>
        </is>
      </c>
      <c r="D522" s="4" t="inlineStr">
        <is>
          <t>SPECIALE</t>
        </is>
      </c>
      <c r="E522" s="4" t="inlineStr">
        <is>
          <t>ELETTRICHE SPECIALI</t>
        </is>
      </c>
      <c r="F522" s="3" t="inlineStr">
        <is>
          <t>3_CME IE RADIOFARMACIA PAVIA - REV02 VARIANTE ESECUTIVA.PDF</t>
        </is>
      </c>
      <c r="G522" s="4" t="inlineStr">
        <is>
          <t>26/26</t>
        </is>
      </c>
      <c r="H522" s="3" t="inlineStr">
        <is>
          <t>40 - IMPIANTISTICO</t>
        </is>
      </c>
      <c r="I522" s="3" t="inlineStr">
        <is>
          <t>CABINA BT</t>
        </is>
      </c>
      <c r="J522" s="3" t="inlineStr">
        <is>
          <t>IMPIANTO DI RIVELAZIONE FUMI</t>
        </is>
      </c>
      <c r="K522" s="3" t="inlineStr">
        <is>
          <t xml:space="preserve">OPERA: CAVO; GEOMETRIA: TWISTATO | SCHERMATO | ROSSO; SEZIONE NOMINALE [MM²] = 2X1,5. </t>
        </is>
      </c>
      <c r="L522" s="3" t="inlineStr">
        <is>
          <t>OPERA: CAVO; GEOMETRIA: TWISTATO | SCHERMATO | ROSSO; SEZIONE NOMINALE [MM²] = 2X1,5. 
LAVORO: POSA. OP CAVO; GEOMETRIA: TWISTATO | SCHERMATO | ROSSO; SEZIONE NOMINALE [MM²] = 2X1,5. 
RM CAVO; GEOMETRIA: TWISTATO | SCHERMATO | ROSSO; FORNITURA: IN OPERA; SEZIONE NOMINALE [MM²] = 2X1,5 
SPECIFICHE TECNICHE: CAVO ANTINCENDIO DI GRADO 3 
LV POSA.
[DIMENSIONI: 20,00]</t>
        </is>
      </c>
      <c r="M522" s="4" t="inlineStr">
        <is>
          <t>M</t>
        </is>
      </c>
      <c r="N522" s="5" t="n">
        <v>20</v>
      </c>
      <c r="O522" s="6" t="n">
        <v>3.5</v>
      </c>
      <c r="P522" s="6" t="n">
        <v>70</v>
      </c>
      <c r="Q522" s="5" t="n"/>
      <c r="R522" s="6" t="n"/>
      <c r="S522" s="6">
        <f>IF(AND(Q522&lt;&gt;"",R522&lt;&gt;""),Q522*R522,"")</f>
        <v/>
      </c>
      <c r="T522" s="6">
        <f>IF(S522="",P522,S522)</f>
        <v/>
      </c>
      <c r="U522" s="7" t="n">
        <v>0</v>
      </c>
      <c r="V522" s="6">
        <f>$T522*U522</f>
        <v/>
      </c>
      <c r="W522" s="7" t="n">
        <v>0</v>
      </c>
      <c r="X522" s="6">
        <f>$T522*W522</f>
        <v/>
      </c>
      <c r="Y522" s="7" t="n">
        <v>0</v>
      </c>
      <c r="Z522" s="6">
        <f>$T522*Y522</f>
        <v/>
      </c>
      <c r="AA522" s="7" t="n">
        <v>0</v>
      </c>
      <c r="AB522" s="6">
        <f>$T522*AA522</f>
        <v/>
      </c>
      <c r="AC522" s="7" t="n">
        <v>0</v>
      </c>
      <c r="AD522" s="6">
        <f>$T522*AC522</f>
        <v/>
      </c>
      <c r="AE522" s="7" t="n">
        <v>0</v>
      </c>
      <c r="AF522" s="6">
        <f>$T522*AE522</f>
        <v/>
      </c>
      <c r="AG522" s="7" t="n">
        <v>0</v>
      </c>
      <c r="AH522" s="6">
        <f>$T522*AG522</f>
        <v/>
      </c>
      <c r="AI522" s="7">
        <f>U522+W522+Y522+AA522+AC522+AE522+AG522</f>
        <v/>
      </c>
      <c r="AJ522" s="6">
        <f>V522+X522+Z522+AB522+AD522+AF522+AH522</f>
        <v/>
      </c>
    </row>
    <row r="523" ht="60" customHeight="1" s="35">
      <c r="A523" s="3" t="inlineStr">
        <is>
          <t>LOM252.OC.EEA.PA02.G7400.D0006.0040</t>
        </is>
      </c>
      <c r="B523" s="4" t="inlineStr">
        <is>
          <t>1/2</t>
        </is>
      </c>
      <c r="C523" s="3" t="inlineStr">
        <is>
          <t>IMPIANTO ELETTRICO</t>
        </is>
      </c>
      <c r="D523" s="4" t="inlineStr">
        <is>
          <t>SPECIALE</t>
        </is>
      </c>
      <c r="E523" s="4" t="inlineStr">
        <is>
          <t>ELETTRICHE SPECIALI</t>
        </is>
      </c>
      <c r="F523" s="3" t="inlineStr">
        <is>
          <t>3_CME IE RADIOFARMACIA PAVIA - REV02 VARIANTE ESECUTIVA.PDF</t>
        </is>
      </c>
      <c r="G523" s="4" t="inlineStr">
        <is>
          <t>27/27</t>
        </is>
      </c>
      <c r="H523" s="3" t="inlineStr">
        <is>
          <t>40 - IMPIANTISTICO</t>
        </is>
      </c>
      <c r="I523" s="3" t="inlineStr">
        <is>
          <t>ESTERNO</t>
        </is>
      </c>
      <c r="J523" s="3" t="inlineStr">
        <is>
          <t>DISTRIBUZIONE PRINCIPALE MT</t>
        </is>
      </c>
      <c r="K523" s="3" t="inlineStr">
        <is>
          <t xml:space="preserve">OPERA: CAVIDOTTO FLESSIBILE DI PLASTICA POLIETILENE (PE); FINITURA: CORRUGATI | LISCI; DIAMETRO ESTERNO (Ø) [MM] = 160 | DIAMETRO INTERNO (Ø) [MM] = 138. </t>
        </is>
      </c>
      <c r="L523" s="3" t="inlineStr">
        <is>
          <t>OPERA: CAVIDOTTO FLESSIBILE DI PLASTICA POLIETILENE (PE); FINITURA: CORRUGATI | LISCI; DIAMETRO ESTERNO (Ø) [MM] = 160 | DIAMETRO INTERNO (Ø) [MM] = 138. 
LAVORO: POSA. ESCLUSO: SCAVO; PIANO APPOGGIO; RINFIANCO; RIEMPIMENTO. OP CAVIDOTTO FLESSIBILE DI PLASTICA POLIETILENE (PE); FINITURA: CORRUGATI | LISCI; DIAMETRO ESTERNO (Ø) [MM] = 160 | DIAMETRO INTERNO (Ø) [MM] = 138. 
RM TUBO A MANICOTTO DI GIUNZIONE DI PLASTICA POLIETILENE (PE); FINITURA: LISCIA; GEOMETRIA: CORRUGATI | FLESSIBILE | A DOPPIA PARETE ; IMPIEGO: CAVIDOTTO; DIAMETRO ESTERNO (Ø) [MM] = 160 | DIAMETRO INTERNO (Ø) [MM] = 138. INCLUSO: TIRAFILO INCORPORATO 
RM AGGREGATO SABBIA VIVA DI ROCCIA NATURALE MINERALE; IMPIEGO: IMPASTI; PESO SPECIFICO MEDIO [KG/M³] = 1450 
SPECIFICHE TECNICHE: DI CAVA, LAVATA E VAGLIATA 
LV POSA. ESCLUSO: SCAVO; PIANO APPOGGIO; RINFIANCO; RIEMPIMENTO. 
RP PALA CINGOLATA; POTENZA [KW] ≤ 55. DA CONTEGGIARE A PARTE: SPESE DI ESERCIZIO (RP.00.00.05.1030.A)
[DIMENSIONI: 2,00 250,00 | -2,00 100,00]</t>
        </is>
      </c>
      <c r="M523" s="4" t="inlineStr">
        <is>
          <t>M</t>
        </is>
      </c>
      <c r="N523" s="5" t="n">
        <v>300</v>
      </c>
      <c r="O523" s="6" t="n">
        <v>15.25</v>
      </c>
      <c r="P523" s="6" t="n">
        <v>4575</v>
      </c>
      <c r="Q523" s="5" t="n"/>
      <c r="R523" s="6" t="n"/>
      <c r="S523" s="6">
        <f>IF(AND(Q523&lt;&gt;"",R523&lt;&gt;""),Q523*R523,"")</f>
        <v/>
      </c>
      <c r="T523" s="6">
        <f>IF(S523="",P523,S523)</f>
        <v/>
      </c>
      <c r="U523" s="7" t="n">
        <v>0</v>
      </c>
      <c r="V523" s="6">
        <f>$T523*U523</f>
        <v/>
      </c>
      <c r="W523" s="7" t="n">
        <v>0.3</v>
      </c>
      <c r="X523" s="6">
        <f>$T523*W523</f>
        <v/>
      </c>
      <c r="Y523" s="7" t="n">
        <v>0</v>
      </c>
      <c r="Z523" s="6">
        <f>$T523*Y523</f>
        <v/>
      </c>
      <c r="AA523" s="7" t="n">
        <v>0</v>
      </c>
      <c r="AB523" s="6">
        <f>$T523*AA523</f>
        <v/>
      </c>
      <c r="AC523" s="7" t="n">
        <v>0</v>
      </c>
      <c r="AD523" s="6">
        <f>$T523*AC523</f>
        <v/>
      </c>
      <c r="AE523" s="7" t="n">
        <v>0</v>
      </c>
      <c r="AF523" s="6">
        <f>$T523*AE523</f>
        <v/>
      </c>
      <c r="AG523" s="7" t="n">
        <v>0</v>
      </c>
      <c r="AH523" s="6">
        <f>$T523*AG523</f>
        <v/>
      </c>
      <c r="AI523" s="7">
        <f>U523+W523+Y523+AA523+AC523+AE523+AG523</f>
        <v/>
      </c>
      <c r="AJ523" s="6">
        <f>V523+X523+Z523+AB523+AD523+AF523+AH523</f>
        <v/>
      </c>
    </row>
    <row r="524" ht="60" customHeight="1" s="35">
      <c r="A524" s="3" t="inlineStr">
        <is>
          <t>LOM252.OC.EEA.PA02.G7400.D0006.0010</t>
        </is>
      </c>
      <c r="B524" s="4" t="inlineStr">
        <is>
          <t>2/2</t>
        </is>
      </c>
      <c r="C524" s="3" t="inlineStr">
        <is>
          <t>IMPIANTO ELETTRICO</t>
        </is>
      </c>
      <c r="D524" s="4" t="inlineStr">
        <is>
          <t>SPECIALE</t>
        </is>
      </c>
      <c r="E524" s="4" t="inlineStr">
        <is>
          <t>ELETTRICHE SPECIALI</t>
        </is>
      </c>
      <c r="F524" s="3" t="inlineStr">
        <is>
          <t>3_CME IE RADIOFARMACIA PAVIA - REV02 VARIANTE ESECUTIVA.PDF</t>
        </is>
      </c>
      <c r="G524" s="4" t="inlineStr">
        <is>
          <t>28/28</t>
        </is>
      </c>
      <c r="H524" s="3" t="inlineStr">
        <is>
          <t>40 - IMPIANTISTICO</t>
        </is>
      </c>
      <c r="I524" s="3" t="inlineStr">
        <is>
          <t>ESTERNO</t>
        </is>
      </c>
      <c r="J524" s="3" t="inlineStr">
        <is>
          <t>DISTRIBUZIONE PRINCIPALE MT</t>
        </is>
      </c>
      <c r="K524" s="3" t="inlineStr">
        <is>
          <t xml:space="preserve">OPERA: CAVIDOTTO FLESSIBILE DI PLASTICA POLIETILENE (PE); FINITURA: CORRUGATI | LISCI; DIAMETRO ESTERNO (Ø) [MM] = 63 | DIAMETRO INTERNO (Ø) [MM] = 52. </t>
        </is>
      </c>
      <c r="L524" s="3" t="inlineStr">
        <is>
          <t>OPERA: CAVIDOTTO FLESSIBILE DI PLASTICA POLIETILENE (PE); FINITURA: CORRUGATI | LISCI; DIAMETRO ESTERNO (Ø) [MM] = 63 | DIAMETRO INTERNO (Ø) [MM] = 52. 
LAVORO: POSA. ESCLUSO: SCAVO; PIANO APPOGGIO; RINFIANCO; RIEMPIMENTO. OP CAVIDOTTO FLESSIBILE DI PLASTICA POLIETILENE (PE); FINITURA: CORRUGATI | LISCI; DIAMETRO ESTERNO (Ø) [MM] = 63 | DIAMETRO INTERNO (Ø) [MM] = 52. 
RM TUBO A MANICOTTO DI GIUNZIONE DI PLASTICA POLIETILENE (PE); FINITURA: LISCIO; GEOMETRIA: CORRUGATO | FLESSIBILE | A DOPPIA PARETE ; IMPIEGO: CAVIDOTTO; DIAMETRO ESTERNO (Ø) [MM] = 63 | DIAMETRO INTERNO (Ø) [MM] = 52. INCLUSO: TIRAFILO INCORPORATO 
SPECIFICHE TECNICHE: CORRUGATA ESTERNA E LISCIA INTERNA 
RM AGGREGATO SABBIA VIVA DI ROCCIA NATURALE MINERALE; IMPIEGO: IMPASTI; PESO SPECIFICO MEDIO [KG/M³] = 1450 
SPECIFICHE TECNICHE: DI CAVA, LAVATA E VAGLIATA 
LV POSA. ESCLUSO: SCAVO; PIANO APPOGGIO; RINFIANCO; RIEMPIMENTO. 
RP PALA CINGOLATA; POTENZA [KW] ≤ 55. DA CONTEGGIARE A PARTE: SPESE DI ESERCIZIO (RP.00.00.05.1030.A)
[DIMENSIONI: 1,00 250,00 | -1,00 100,00]</t>
        </is>
      </c>
      <c r="M524" s="4" t="inlineStr">
        <is>
          <t>M</t>
        </is>
      </c>
      <c r="N524" s="5" t="n">
        <v>150</v>
      </c>
      <c r="O524" s="6" t="n">
        <v>5.48</v>
      </c>
      <c r="P524" s="6" t="n">
        <v>822</v>
      </c>
      <c r="Q524" s="5" t="n"/>
      <c r="R524" s="6" t="n"/>
      <c r="S524" s="6">
        <f>IF(AND(Q524&lt;&gt;"",R524&lt;&gt;""),Q524*R524,"")</f>
        <v/>
      </c>
      <c r="T524" s="6">
        <f>IF(S524="",P524,S524)</f>
        <v/>
      </c>
      <c r="U524" s="7" t="n">
        <v>0</v>
      </c>
      <c r="V524" s="6">
        <f>$T524*U524</f>
        <v/>
      </c>
      <c r="W524" s="7" t="n">
        <v>0.3</v>
      </c>
      <c r="X524" s="6">
        <f>$T524*W524</f>
        <v/>
      </c>
      <c r="Y524" s="7" t="n">
        <v>0</v>
      </c>
      <c r="Z524" s="6">
        <f>$T524*Y524</f>
        <v/>
      </c>
      <c r="AA524" s="7" t="n">
        <v>0</v>
      </c>
      <c r="AB524" s="6">
        <f>$T524*AA524</f>
        <v/>
      </c>
      <c r="AC524" s="7" t="n">
        <v>0</v>
      </c>
      <c r="AD524" s="6">
        <f>$T524*AC524</f>
        <v/>
      </c>
      <c r="AE524" s="7" t="n">
        <v>0</v>
      </c>
      <c r="AF524" s="6">
        <f>$T524*AE524</f>
        <v/>
      </c>
      <c r="AG524" s="7" t="n">
        <v>0</v>
      </c>
      <c r="AH524" s="6">
        <f>$T524*AG524</f>
        <v/>
      </c>
      <c r="AI524" s="7">
        <f>U524+W524+Y524+AA524+AC524+AE524+AG524</f>
        <v/>
      </c>
      <c r="AJ524" s="6">
        <f>V524+X524+Z524+AB524+AD524+AF524+AH524</f>
        <v/>
      </c>
    </row>
    <row r="525" ht="30" customHeight="1" s="35">
      <c r="A525" s="3" t="inlineStr">
        <is>
          <t>DEIELE251_235017</t>
        </is>
      </c>
      <c r="B525" s="4" t="inlineStr">
        <is>
          <t>1/1</t>
        </is>
      </c>
      <c r="C525" s="3" t="inlineStr">
        <is>
          <t>IMPIANTO ELETTRICO</t>
        </is>
      </c>
      <c r="D525" s="4" t="inlineStr">
        <is>
          <t>SPECIALE</t>
        </is>
      </c>
      <c r="E525" s="4" t="inlineStr">
        <is>
          <t>ELETTRICHE SPECIALI</t>
        </is>
      </c>
      <c r="F525" s="3" t="inlineStr">
        <is>
          <t>3_CME IE RADIOFARMACIA PAVIA - REV02 VARIANTE ESECUTIVA.PDF</t>
        </is>
      </c>
      <c r="G525" s="4" t="inlineStr">
        <is>
          <t>29/29</t>
        </is>
      </c>
      <c r="H525" s="3" t="inlineStr">
        <is>
          <t>40 - IMPIANTISTICO</t>
        </is>
      </c>
      <c r="I525" s="3" t="inlineStr">
        <is>
          <t>ESTERNO</t>
        </is>
      </c>
      <c r="J525" s="3" t="inlineStr">
        <is>
          <t>DISTRIBUZIONE PRINCIPALE MT</t>
        </is>
      </c>
      <c r="K525" s="3" t="inlineStr">
        <is>
          <t>POZZETTO DIMENSIONI FINO A 90 X 70 CM CON CHIUSINO IN GHISA (CLASSE C250 - D400), INCLUSE LE OPERE DI SCAVO E REINTERRO</t>
        </is>
      </c>
      <c r="L525" s="3" t="inlineStr">
        <is>
          <t>POZZETTO DIMENSIONI FINO A 90 X 70 CM CON CHIUSINO IN GHISA (CLASSE C250 - D400), INCLUSE LE OPERE DI SCAVO E REINTERRO</t>
        </is>
      </c>
      <c r="M525" s="4" t="inlineStr">
        <is>
          <t>CAD</t>
        </is>
      </c>
      <c r="N525" s="5" t="n">
        <v>9</v>
      </c>
      <c r="O525" s="6" t="n">
        <v>750.7</v>
      </c>
      <c r="P525" s="6" t="n">
        <v>6756.3</v>
      </c>
      <c r="Q525" s="5" t="n"/>
      <c r="R525" s="6" t="n"/>
      <c r="S525" s="6">
        <f>IF(AND(Q525&lt;&gt;"",R525&lt;&gt;""),Q525*R525,"")</f>
        <v/>
      </c>
      <c r="T525" s="6">
        <f>IF(S525="",P525,S525)</f>
        <v/>
      </c>
      <c r="U525" s="7" t="n">
        <v>0</v>
      </c>
      <c r="V525" s="6">
        <f>$T525*U525</f>
        <v/>
      </c>
      <c r="W525" s="7" t="n">
        <v>0.6</v>
      </c>
      <c r="X525" s="6">
        <f>$T525*W525</f>
        <v/>
      </c>
      <c r="Y525" s="7" t="n">
        <v>0</v>
      </c>
      <c r="Z525" s="6">
        <f>$T525*Y525</f>
        <v/>
      </c>
      <c r="AA525" s="7" t="n">
        <v>0</v>
      </c>
      <c r="AB525" s="6">
        <f>$T525*AA525</f>
        <v/>
      </c>
      <c r="AC525" s="7" t="n">
        <v>0</v>
      </c>
      <c r="AD525" s="6">
        <f>$T525*AC525</f>
        <v/>
      </c>
      <c r="AE525" s="7" t="n">
        <v>0</v>
      </c>
      <c r="AF525" s="6">
        <f>$T525*AE525</f>
        <v/>
      </c>
      <c r="AG525" s="7" t="n">
        <v>0</v>
      </c>
      <c r="AH525" s="6">
        <f>$T525*AG525</f>
        <v/>
      </c>
      <c r="AI525" s="7">
        <f>U525+W525+Y525+AA525+AC525+AE525+AG525</f>
        <v/>
      </c>
      <c r="AJ525" s="6">
        <f>V525+X525+Z525+AB525+AD525+AF525+AH525</f>
        <v/>
      </c>
    </row>
    <row r="526" ht="60" customHeight="1" s="35">
      <c r="A526" s="3" t="inlineStr">
        <is>
          <t>IE_NP_CAVMT1X95</t>
        </is>
      </c>
      <c r="B526" s="4" t="inlineStr">
        <is>
          <t>1/1</t>
        </is>
      </c>
      <c r="C526" s="3" t="inlineStr">
        <is>
          <t>IMPIANTO ELETTRICO</t>
        </is>
      </c>
      <c r="D526" s="4" t="inlineStr">
        <is>
          <t>SPECIALE</t>
        </is>
      </c>
      <c r="E526" s="4" t="inlineStr">
        <is>
          <t>ELETTRICHE SPECIALI</t>
        </is>
      </c>
      <c r="F526" s="3" t="inlineStr">
        <is>
          <t>3_CME IE RADIOFARMACIA PAVIA - REV02 VARIANTE ESECUTIVA.PDF</t>
        </is>
      </c>
      <c r="G526" s="4" t="inlineStr">
        <is>
          <t>30/30</t>
        </is>
      </c>
      <c r="H526" s="3" t="inlineStr">
        <is>
          <t>40 - IMPIANTISTICO</t>
        </is>
      </c>
      <c r="I526" s="3" t="inlineStr">
        <is>
          <t>ESTERNO</t>
        </is>
      </c>
      <c r="J526" s="3" t="inlineStr">
        <is>
          <t>DISTRIBUZIONE PRINCIPALE MT</t>
        </is>
      </c>
      <c r="K526" s="3" t="inlineStr">
        <is>
          <t>CAVO UNIPOLARE MT, SIGLA DI DESIGNAZIONE RG26H1M16 12-20KV, (CEI 20-13, CEI UNEL 35334). CAVO UNIPOLARE MT, SIGLA DI DESIGNAZIONE RG26H1M16 UNIPOLARI ISOLATI IN GOMMA HEPR DI QUALITÀ G26, ISOLAMENTO 1</t>
        </is>
      </c>
      <c r="L526" s="3" t="inlineStr">
        <is>
          <t>CAVO UNIPOLARE MT, SIGLA DI DESIGNAZIONE RG26H1M16 12-20KV, (CEI 20-13, CEI UNEL 35334). CAVO UNIPOLARE MT, SIGLA DI DESIGNAZIONE RG26H1M16 UNIPOLARI ISOLATI IN GOMMA HEPR DI QUALITÀ G26, ISOLAMENTO 12-20KV O 18-30 KV CONDUTTORE IN RAME ROSSO CON GUAINA TERMOPLASTICA LS0H, QUALITÀ M16, CONFORMI CPR AL REGOLAMENTO 305/2011/UE CLASSE CCA-S1B,D1,A1,FORNITO E POSTO IN OPERA ENTRO CAVIDOTTI O DIRETTAMENTE INTERRATO A TREFOLO. SONO COMPRESI: L'INSTALLAZIONE ENTRO CAVIDOTTO O DIRETTAMENTE INTERRATO, LE GIUNZIONI, I TERMINALI. E' INOLTRE COMPRESO QUANTO ALTRO OCCORRE PER DARE L'OPERA FINITA. 
SEZIONE 1X95 MMQ 12/20 KV
[DIMENSIONI: 3,00 150,00 | 3,00 10,00 | -3,00 160,00]</t>
        </is>
      </c>
      <c r="M526" s="4" t="inlineStr">
        <is>
          <t>M</t>
        </is>
      </c>
      <c r="N526" s="5" t="n">
        <v>0</v>
      </c>
      <c r="O526" s="6" t="n">
        <v>0</v>
      </c>
      <c r="P526" s="6" t="n">
        <v>0</v>
      </c>
      <c r="Q526" s="5" t="n"/>
      <c r="R526" s="6" t="n"/>
      <c r="S526" s="6">
        <f>IF(AND(Q526&lt;&gt;"",R526&lt;&gt;""),Q526*R526,"")</f>
        <v/>
      </c>
      <c r="T526" s="6">
        <f>IF(S526="",P526,S526)</f>
        <v/>
      </c>
      <c r="U526" s="7" t="n">
        <v>0</v>
      </c>
      <c r="V526" s="6">
        <f>$T526*U526</f>
        <v/>
      </c>
      <c r="W526" s="7" t="n">
        <v>0</v>
      </c>
      <c r="X526" s="6">
        <f>$T526*W526</f>
        <v/>
      </c>
      <c r="Y526" s="7" t="n">
        <v>0</v>
      </c>
      <c r="Z526" s="6">
        <f>$T526*Y526</f>
        <v/>
      </c>
      <c r="AA526" s="7" t="n">
        <v>0</v>
      </c>
      <c r="AB526" s="6">
        <f>$T526*AA526</f>
        <v/>
      </c>
      <c r="AC526" s="7" t="n">
        <v>0</v>
      </c>
      <c r="AD526" s="6">
        <f>$T526*AC526</f>
        <v/>
      </c>
      <c r="AE526" s="7" t="n">
        <v>0</v>
      </c>
      <c r="AF526" s="6">
        <f>$T526*AE526</f>
        <v/>
      </c>
      <c r="AG526" s="7" t="n">
        <v>0</v>
      </c>
      <c r="AH526" s="6">
        <f>$T526*AG526</f>
        <v/>
      </c>
      <c r="AI526" s="7">
        <f>U526+W526+Y526+AA526+AC526+AE526+AG526</f>
        <v/>
      </c>
      <c r="AJ526" s="6">
        <f>V526+X526+Z526+AB526+AD526+AF526+AH526</f>
        <v/>
      </c>
    </row>
    <row r="527" ht="60" customHeight="1" s="35">
      <c r="A527" s="3" t="inlineStr">
        <is>
          <t>IE_NP_CAVMT1X50</t>
        </is>
      </c>
      <c r="B527" s="4" t="inlineStr">
        <is>
          <t>1/1</t>
        </is>
      </c>
      <c r="C527" s="3" t="inlineStr">
        <is>
          <t>IMPIANTO ELETTRICO</t>
        </is>
      </c>
      <c r="D527" s="4" t="inlineStr">
        <is>
          <t>SPECIALE</t>
        </is>
      </c>
      <c r="E527" s="4" t="inlineStr">
        <is>
          <t>ELETTRICHE SPECIALI</t>
        </is>
      </c>
      <c r="F527" s="3" t="inlineStr">
        <is>
          <t>3_CME IE RADIOFARMACIA PAVIA - REV02 VARIANTE ESECUTIVA.PDF</t>
        </is>
      </c>
      <c r="G527" s="4" t="inlineStr">
        <is>
          <t>31/31</t>
        </is>
      </c>
      <c r="H527" s="3" t="inlineStr">
        <is>
          <t>40 - IMPIANTISTICO</t>
        </is>
      </c>
      <c r="I527" s="3" t="inlineStr">
        <is>
          <t>ESTERNO</t>
        </is>
      </c>
      <c r="J527" s="3" t="inlineStr">
        <is>
          <t>DISTRIBUZIONE PRINCIPALE MT</t>
        </is>
      </c>
      <c r="K527" s="3" t="inlineStr">
        <is>
          <t>CAVO UNIPOLARE MT, SIGLA DI DESIGNAZIONE RG26H1M16 12-20KV, (CEI 20-13, CEI UNEL 35334). CAVO UNIPOLARE MT, SIGLA DI DESIGNAZIONE RG26H1M16 UNIPOLARI ISOLATI IN GOMMA HEPR DI QUALITÀ G26, ISOLAMENTO 1</t>
        </is>
      </c>
      <c r="L527" s="3" t="inlineStr">
        <is>
          <t>CAVO UNIPOLARE MT, SIGLA DI DESIGNAZIONE RG26H1M16 12-20KV, (CEI 20-13, CEI UNEL 35334). CAVO UNIPOLARE MT, SIGLA DI DESIGNAZIONE RG26H1M16 UNIPOLARI ISOLATI IN GOMMA HEPR DI QUALITÀ G26, ISOLAMENTO 12-20KV O 18-30 KV CONDUTTORE IN RAME ROSSO CON GUAINA TERMOPLASTICA LS0H, QUALITÀ M16, CONFORMI CPR AL REGOLAMENTO 305/2011/UE CLASSE CCA-S1B,D1,A1,FORNITO E POSTO IN OPERA ENTRO CAVIDOTTI O DIRETTAMENTE INTERRATO A TREFOLO. SONO COMPRESI: L'INSTALLAZIONE ENTRO CAVIDOTTO O DIRETTAMENTE INTERRATO, LE GIUNZIONI, I TERMINALI. E' INOLTRE COMPRESO QUANTO ALTRO OCCORRE PER DARE L'OPERA FINITA. SEZIONE 1X50 MMQ 12/20 KV
[DIMENSIONI: 3,00 150,00 | 3,00 10,00]</t>
        </is>
      </c>
      <c r="M527" s="4" t="inlineStr">
        <is>
          <t>M</t>
        </is>
      </c>
      <c r="N527" s="5" t="n">
        <v>480</v>
      </c>
      <c r="O527" s="6" t="n">
        <v>16.08</v>
      </c>
      <c r="P527" s="6" t="n">
        <v>7718.4</v>
      </c>
      <c r="Q527" s="5" t="n"/>
      <c r="R527" s="6" t="n"/>
      <c r="S527" s="6">
        <f>IF(AND(Q527&lt;&gt;"",R527&lt;&gt;""),Q527*R527,"")</f>
        <v/>
      </c>
      <c r="T527" s="6">
        <f>IF(S527="",P527,S527)</f>
        <v/>
      </c>
      <c r="U527" s="7" t="n">
        <v>0</v>
      </c>
      <c r="V527" s="6">
        <f>$T527*U527</f>
        <v/>
      </c>
      <c r="W527" s="7" t="n">
        <v>0.5</v>
      </c>
      <c r="X527" s="6">
        <f>$T527*W527</f>
        <v/>
      </c>
      <c r="Y527" s="7" t="n">
        <v>0</v>
      </c>
      <c r="Z527" s="6">
        <f>$T527*Y527</f>
        <v/>
      </c>
      <c r="AA527" s="7" t="n">
        <v>0</v>
      </c>
      <c r="AB527" s="6">
        <f>$T527*AA527</f>
        <v/>
      </c>
      <c r="AC527" s="7" t="n">
        <v>0</v>
      </c>
      <c r="AD527" s="6">
        <f>$T527*AC527</f>
        <v/>
      </c>
      <c r="AE527" s="7" t="n">
        <v>0</v>
      </c>
      <c r="AF527" s="6">
        <f>$T527*AE527</f>
        <v/>
      </c>
      <c r="AG527" s="7" t="n">
        <v>0</v>
      </c>
      <c r="AH527" s="6">
        <f>$T527*AG527</f>
        <v/>
      </c>
      <c r="AI527" s="7">
        <f>U527+W527+Y527+AA527+AC527+AE527+AG527</f>
        <v/>
      </c>
      <c r="AJ527" s="6">
        <f>V527+X527+Z527+AB527+AD527+AF527+AH527</f>
        <v/>
      </c>
    </row>
    <row r="528" ht="60" customHeight="1" s="35">
      <c r="A528" s="3" t="inlineStr">
        <is>
          <t>DEIELE251_023028E</t>
        </is>
      </c>
      <c r="B528" s="4" t="inlineStr">
        <is>
          <t>1/1</t>
        </is>
      </c>
      <c r="C528" s="3" t="inlineStr">
        <is>
          <t>IMPIANTO ELETTRICO</t>
        </is>
      </c>
      <c r="D528" s="4" t="inlineStr">
        <is>
          <t>SPECIALE</t>
        </is>
      </c>
      <c r="E528" s="4" t="inlineStr">
        <is>
          <t>ELETTRICHE SPECIALI</t>
        </is>
      </c>
      <c r="F528" s="3" t="inlineStr">
        <is>
          <t>3_CME IE RADIOFARMACIA PAVIA - REV02 VARIANTE ESECUTIVA.PDF</t>
        </is>
      </c>
      <c r="G528" s="4" t="inlineStr">
        <is>
          <t>32/32</t>
        </is>
      </c>
      <c r="H528" s="3" t="inlineStr">
        <is>
          <t>40 - IMPIANTISTICO</t>
        </is>
      </c>
      <c r="I528" s="3" t="inlineStr">
        <is>
          <t>ESTERNO</t>
        </is>
      </c>
      <c r="J528" s="3" t="inlineStr">
        <is>
          <t>DISTRIBUZIONE PRINCIPALE MT</t>
        </is>
      </c>
      <c r="K528" s="3" t="inlineStr">
        <is>
          <t>CAVO FLESSIBILE CONFORME CEI 20-13 E DESIGNAZIONE SECONDO CEI UNEL 35011, ISOLATO CON GOMMA ETILENPROPILENICA AD ALTO MODULO SCHERMATURA IN TRECCIA DI RAME ROSSO CON GUAINA IN PVC, TENSIONE NOMINALE 0</t>
        </is>
      </c>
      <c r="L528" s="3" t="inlineStr">
        <is>
          <t>CAVO FLESSIBILE CONFORME CEI 20-13 E DESIGNAZIONE SECONDO CEI UNEL 35011, ISOLATO CON GOMMA ETILENPROPILENICA AD ALTO MODULO SCHERMATURA IN TRECCIA DI RAME ROSSO CON GUAINA IN PVC, TENSIONE NOMINALE 0,6/1 KV, NON PROPAGANTE L'INCENDIO CONFORME CEI 20-22 II E AI REQUISITI DELLA NORMATIVA EUROPA REGOLAMENTO UE 305/2011- PRODOTTI DA COSTRUZIONE CPR , CLASSE DCA - S3, D2, A3: BIPOLARE FG16OH2R16 - 0,6/1 KV: SEZIONE 10 MMQ
[DIMENSIONI: 250,00 | -100,00]</t>
        </is>
      </c>
      <c r="M528" s="4" t="inlineStr">
        <is>
          <t>M</t>
        </is>
      </c>
      <c r="N528" s="5" t="n">
        <v>150</v>
      </c>
      <c r="O528" s="6" t="n">
        <v>10.12</v>
      </c>
      <c r="P528" s="6" t="n">
        <v>1518</v>
      </c>
      <c r="Q528" s="5" t="n"/>
      <c r="R528" s="6" t="n"/>
      <c r="S528" s="6">
        <f>IF(AND(Q528&lt;&gt;"",R528&lt;&gt;""),Q528*R528,"")</f>
        <v/>
      </c>
      <c r="T528" s="6">
        <f>IF(S528="",P528,S528)</f>
        <v/>
      </c>
      <c r="U528" s="7" t="n">
        <v>0</v>
      </c>
      <c r="V528" s="6">
        <f>$T528*U528</f>
        <v/>
      </c>
      <c r="W528" s="7" t="n">
        <v>0.5</v>
      </c>
      <c r="X528" s="6">
        <f>$T528*W528</f>
        <v/>
      </c>
      <c r="Y528" s="7" t="n">
        <v>0</v>
      </c>
      <c r="Z528" s="6">
        <f>$T528*Y528</f>
        <v/>
      </c>
      <c r="AA528" s="7" t="n">
        <v>0</v>
      </c>
      <c r="AB528" s="6">
        <f>$T528*AA528</f>
        <v/>
      </c>
      <c r="AC528" s="7" t="n">
        <v>0</v>
      </c>
      <c r="AD528" s="6">
        <f>$T528*AC528</f>
        <v/>
      </c>
      <c r="AE528" s="7" t="n">
        <v>0</v>
      </c>
      <c r="AF528" s="6">
        <f>$T528*AE528</f>
        <v/>
      </c>
      <c r="AG528" s="7" t="n">
        <v>0</v>
      </c>
      <c r="AH528" s="6">
        <f>$T528*AG528</f>
        <v/>
      </c>
      <c r="AI528" s="7">
        <f>U528+W528+Y528+AA528+AC528+AE528+AG528</f>
        <v/>
      </c>
      <c r="AJ528" s="6">
        <f>V528+X528+Z528+AB528+AD528+AF528+AH528</f>
        <v/>
      </c>
    </row>
    <row r="529" ht="60" customHeight="1" s="35">
      <c r="A529" s="3" t="inlineStr">
        <is>
          <t>LOM252.OC.EEA.PA02.L7430.ZA001.0020</t>
        </is>
      </c>
      <c r="B529" s="4" t="inlineStr">
        <is>
          <t>3/4</t>
        </is>
      </c>
      <c r="C529" s="3" t="inlineStr">
        <is>
          <t>IMPIANTO ELETTRICO</t>
        </is>
      </c>
      <c r="D529" s="4" t="inlineStr">
        <is>
          <t>SPECIALE</t>
        </is>
      </c>
      <c r="E529" s="4" t="inlineStr">
        <is>
          <t>ELETTRICHE SPECIALI</t>
        </is>
      </c>
      <c r="F529" s="3" t="inlineStr">
        <is>
          <t>3_CME IE RADIOFARMACIA PAVIA - REV02 VARIANTE ESECUTIVA.PDF</t>
        </is>
      </c>
      <c r="G529" s="4" t="inlineStr">
        <is>
          <t>33/33</t>
        </is>
      </c>
      <c r="H529" s="3" t="inlineStr">
        <is>
          <t>40 - IMPIANTISTICO</t>
        </is>
      </c>
      <c r="I529" s="3" t="inlineStr">
        <is>
          <t>ESTERNO</t>
        </is>
      </c>
      <c r="J529" s="3" t="inlineStr">
        <is>
          <t>IMPIANTO DI RIVELAZIONE FUMI</t>
        </is>
      </c>
      <c r="K529" s="3" t="inlineStr">
        <is>
          <t xml:space="preserve">OPERA: CAVO; GEOMETRIA: TWISTATO | SCHERMATO | ROSSO; SEZIONE NOMINALE [MM²] = 2X1,5. </t>
        </is>
      </c>
      <c r="L529" s="3" t="inlineStr">
        <is>
          <t>OPERA: CAVO; GEOMETRIA: TWISTATO | SCHERMATO | ROSSO; SEZIONE NOMINALE [MM²] = 2X1,5. 
LAVORO: POSA. OP CAVO; GEOMETRIA: TWISTATO | SCHERMATO | ROSSO; SEZIONE NOMINALE [MM²] = 2X1,5. 
RM CAVO; GEOMETRIA: TWISTATO | SCHERMATO | ROSSO; FORNITURA: IN OPERA; SEZIONE NOMINALE [MM²] = 2X1,5 
SPECIFICHE TECNICHE: CAVO ANTINCENDIO DI GRADO 3 
LV POSA.
[DIMENSIONI: 100,00]</t>
        </is>
      </c>
      <c r="M529" s="4" t="inlineStr">
        <is>
          <t>M</t>
        </is>
      </c>
      <c r="N529" s="5" t="n">
        <v>100</v>
      </c>
      <c r="O529" s="6" t="n">
        <v>3.5</v>
      </c>
      <c r="P529" s="6" t="n">
        <v>350</v>
      </c>
      <c r="Q529" s="5" t="n"/>
      <c r="R529" s="6" t="n"/>
      <c r="S529" s="6">
        <f>IF(AND(Q529&lt;&gt;"",R529&lt;&gt;""),Q529*R529,"")</f>
        <v/>
      </c>
      <c r="T529" s="6">
        <f>IF(S529="",P529,S529)</f>
        <v/>
      </c>
      <c r="U529" s="7" t="n">
        <v>0</v>
      </c>
      <c r="V529" s="6">
        <f>$T529*U529</f>
        <v/>
      </c>
      <c r="W529" s="7" t="n">
        <v>0</v>
      </c>
      <c r="X529" s="6">
        <f>$T529*W529</f>
        <v/>
      </c>
      <c r="Y529" s="7" t="n">
        <v>0</v>
      </c>
      <c r="Z529" s="6">
        <f>$T529*Y529</f>
        <v/>
      </c>
      <c r="AA529" s="7" t="n">
        <v>0</v>
      </c>
      <c r="AB529" s="6">
        <f>$T529*AA529</f>
        <v/>
      </c>
      <c r="AC529" s="7" t="n">
        <v>0</v>
      </c>
      <c r="AD529" s="6">
        <f>$T529*AC529</f>
        <v/>
      </c>
      <c r="AE529" s="7" t="n">
        <v>0</v>
      </c>
      <c r="AF529" s="6">
        <f>$T529*AE529</f>
        <v/>
      </c>
      <c r="AG529" s="7" t="n">
        <v>0</v>
      </c>
      <c r="AH529" s="6">
        <f>$T529*AG529</f>
        <v/>
      </c>
      <c r="AI529" s="7">
        <f>U529+W529+Y529+AA529+AC529+AE529+AG529</f>
        <v/>
      </c>
      <c r="AJ529" s="6">
        <f>V529+X529+Z529+AB529+AD529+AF529+AH529</f>
        <v/>
      </c>
    </row>
    <row r="530" ht="60" customHeight="1" s="35">
      <c r="A530" s="3" t="inlineStr">
        <is>
          <t>IE_NP_QCT</t>
        </is>
      </c>
      <c r="B530" s="4" t="inlineStr">
        <is>
          <t>1/1</t>
        </is>
      </c>
      <c r="C530" s="3" t="inlineStr">
        <is>
          <t>IMPIANTO ELETTRICO</t>
        </is>
      </c>
      <c r="D530" s="4" t="inlineStr">
        <is>
          <t>SPECIALE</t>
        </is>
      </c>
      <c r="E530" s="4" t="inlineStr">
        <is>
          <t>ELETTRICHE SPECIALI</t>
        </is>
      </c>
      <c r="F530" s="3" t="inlineStr">
        <is>
          <t>3_CME IE RADIOFARMACIA PAVIA - REV02 VARIANTE ESECUTIVA.PDF</t>
        </is>
      </c>
      <c r="G530" s="4" t="inlineStr">
        <is>
          <t>34/34</t>
        </is>
      </c>
      <c r="H530" s="3" t="inlineStr">
        <is>
          <t>40 - IMPIANTISTICO</t>
        </is>
      </c>
      <c r="I530" s="3" t="inlineStr">
        <is>
          <t>RADIOFARMACIA</t>
        </is>
      </c>
      <c r="J530" s="3" t="inlineStr">
        <is>
          <t>QUADRI ELETTRICI BT E UPS</t>
        </is>
      </c>
      <c r="K530" s="3" t="inlineStr">
        <is>
          <t>FORNITURA E POSA IN OPERA DI QUADRO ELETTRICO CENTRALE TERMICA QCT COSTITUITO DA ARMADIO METALLICO DA PAVIMENTO, CON GRADO DI PROTEZIONE IP42 (SECONDO IEC 60529), COLORE RAL 7035,  STRUTTURA MONOBLOCC</t>
        </is>
      </c>
      <c r="L530" s="3" t="inlineStr">
        <is>
          <t>FORNITURA E POSA IN OPERA DI QUADRO ELETTRICO CENTRALE TERMICA QCT COSTITUITO DA ARMADIO METALLICO DA PAVIMENTO, CON GRADO DI PROTEZIONE IP42 (SECONDO IEC 60529), COLORE RAL 7035,  STRUTTURA MONOBLOCCO AUTOESTINGUENTE (CLASSIFICAZIONE HB40) CON PORTA TRASPARENTE E CONTROPORTA; TENUTA AGLI IMPATTI MECCANICI FINO A IK10 (SECONDO IEC 62262); STABILE AI RAGGI ULTRAVIOLETTI (TENUTA A +150°C); NON CONTIENE ALOGENI. L'OPERA S'INTENDE COMPRENSIVA DI CANALI PORTA CAVI PER CABLAGGIO, MORSETTERIA CON MORSETTI DI VARIA SEZIONE, CORREDATA DI SUPPORTO, SEPARATORI, NUMERI DI IDENTIFICAZIONE, ACCESSORI DI IDENTIFICAZIONE DEI CONDUTTORI INTERNI E DEI CIRCUITI , MONTAGGIO E CABLAGGIO APPARECCHIATURE MODBUS-KNX-CENTRALINE DI REGOLAZIONE, SBARRA DI TERRA, SISTEMA DI SBARRE IN RAME NUDO DI ADEGUATA SEZIONE CORREDATO DI RELATIVI SUPPORTI INFERIORI ED INTERMEDI, CONDUTTORI DI CABLAGGIO TIPO FS17 E DI OGNI ONERE ANNESSO E CONNESSO PER RENDERLA PERFETTAMENTE FUNZIONANTE E REALIZZATA IN CONFORMITÀ ALLA NORMA CEI EN 61439-1 E CEI EN 61439-2. AL TERMINE DEI LAVORI L'INSTALLATORE DOVRÀ RILASCIARE DICHIARAZIONE DI CONFORMITÀ DEL QUADRO ELETTRICO ALLA NORMA CEI EN 61439-1 E CEI EN 61439-2 COMPLETA DI TUTTI I SUOI ALLEGATI OBBLIGATORI. SARÀ INOLTRE FORNITO IL CALCOLO DELLE SOVRATEMPERATURE. IL QUADRO CONTERRÀ MONTATE E CABLATE LE APPARECCHIATURE COME RIPORTATO SULLO SCHEMA ELETTRICO ALLEGATO.</t>
        </is>
      </c>
      <c r="M530" s="4" t="inlineStr">
        <is>
          <t>A CORPO</t>
        </is>
      </c>
      <c r="N530" s="5" t="n">
        <v>1</v>
      </c>
      <c r="O530" s="6" t="n">
        <v>13257.93</v>
      </c>
      <c r="P530" s="6" t="n">
        <v>13257.93</v>
      </c>
      <c r="Q530" s="5" t="n"/>
      <c r="R530" s="6" t="n"/>
      <c r="S530" s="6">
        <f>IF(AND(Q530&lt;&gt;"",R530&lt;&gt;""),Q530*R530,"")</f>
        <v/>
      </c>
      <c r="T530" s="6">
        <f>IF(S530="",P530,S530)</f>
        <v/>
      </c>
      <c r="U530" s="7" t="n">
        <v>0.5</v>
      </c>
      <c r="V530" s="6">
        <f>$T530*U530</f>
        <v/>
      </c>
      <c r="W530" s="7" t="n">
        <v>0.1</v>
      </c>
      <c r="X530" s="6">
        <f>$T530*W530</f>
        <v/>
      </c>
      <c r="Y530" s="7" t="n">
        <v>0</v>
      </c>
      <c r="Z530" s="6">
        <f>$T530*Y530</f>
        <v/>
      </c>
      <c r="AA530" s="7" t="n">
        <v>0</v>
      </c>
      <c r="AB530" s="6">
        <f>$T530*AA530</f>
        <v/>
      </c>
      <c r="AC530" s="7" t="n">
        <v>0</v>
      </c>
      <c r="AD530" s="6">
        <f>$T530*AC530</f>
        <v/>
      </c>
      <c r="AE530" s="7" t="n">
        <v>0</v>
      </c>
      <c r="AF530" s="6">
        <f>$T530*AE530</f>
        <v/>
      </c>
      <c r="AG530" s="7" t="n">
        <v>0</v>
      </c>
      <c r="AH530" s="6">
        <f>$T530*AG530</f>
        <v/>
      </c>
      <c r="AI530" s="7">
        <f>U530+W530+Y530+AA530+AC530+AE530+AG530</f>
        <v/>
      </c>
      <c r="AJ530" s="6">
        <f>V530+X530+Z530+AB530+AD530+AF530+AH530</f>
        <v/>
      </c>
    </row>
    <row r="531" ht="60" customHeight="1" s="35">
      <c r="A531" s="3" t="inlineStr">
        <is>
          <t>IE_NP_QCLT</t>
        </is>
      </c>
      <c r="B531" s="4" t="inlineStr">
        <is>
          <t>1/1</t>
        </is>
      </c>
      <c r="C531" s="3" t="inlineStr">
        <is>
          <t>IMPIANTO ELETTRICO</t>
        </is>
      </c>
      <c r="D531" s="4" t="inlineStr">
        <is>
          <t>SPECIALE</t>
        </is>
      </c>
      <c r="E531" s="4" t="inlineStr">
        <is>
          <t>ELETTRICHE SPECIALI</t>
        </is>
      </c>
      <c r="F531" s="3" t="inlineStr">
        <is>
          <t>3_CME IE RADIOFARMACIA PAVIA - REV02 VARIANTE ESECUTIVA.PDF</t>
        </is>
      </c>
      <c r="G531" s="4" t="inlineStr">
        <is>
          <t>35/35</t>
        </is>
      </c>
      <c r="H531" s="3" t="inlineStr">
        <is>
          <t>40 - IMPIANTISTICO</t>
        </is>
      </c>
      <c r="I531" s="3" t="inlineStr">
        <is>
          <t>RADIOFARMACIA</t>
        </is>
      </c>
      <c r="J531" s="3" t="inlineStr">
        <is>
          <t>QUADRI ELETTRICI BT E UPS</t>
        </is>
      </c>
      <c r="K531" s="3" t="inlineStr">
        <is>
          <t>FORNITURA E POSA IN OPERA DI QUADRO ELETTRICO CICLOTRONE QCLT COSTITUITO DA ARMADIO METALLICO DA PAVIMENTO, CON GRADO DI PROTEZIONE IP42 (SECONDO IEC 60529), COLORE RAL 7035,  STRUTTURA MONOBLOCCO AUT</t>
        </is>
      </c>
      <c r="L531" s="3" t="inlineStr">
        <is>
          <t>FORNITURA E POSA IN OPERA DI QUADRO ELETTRICO CICLOTRONE QCLT COSTITUITO DA ARMADIO METALLICO DA PAVIMENTO, CON GRADO DI PROTEZIONE IP42 (SECONDO IEC 60529), COLORE RAL 7035,  STRUTTURA MONOBLOCCO AUTOESTINGUENTE (CLASSIFICAZIONE HB40) CON PORTA TRASPARENTE E CONTROPORTA; TENUTA AGLI IMPATTI MECCANICI FINO A IK10 (SECONDO IEC 62262); STABILE AI RAGGI ULTRAVIOLETTI (TENUTA A +150°C); NON CONTIENE ALOGENI. L'OPERA S'INTENDE COMPRENSIVA DI CANALI PORTA CAVI PER CABLAGGIO, MORSETTERIA CON MORSETTI DI VARIA SEZIONE, CORREDATA DI SUPPORTO, SEPARATORI, NUMERI DI IDENTIFICAZIONE, ACCESSORI DI IDENTIFICAZIONE DEI CONDUTTORI INTERNI E DEI CIRCUITI , MONTAGGIO E CABLAGGIO APPARECCHIATURE MODBUS-KNX-CENTRALINE DI REGOLAZIONE, SBARRA DI TERRA, SISTEMA DI SBARRE IN RAME NUDO DI ADEGUATA SEZIONE CORREDATO DI RELATIVI SUPPORTI INFERIORI ED INTERMEDI, CONDUTTORI DI CABLAGGIO TIPO FS17 E DI OGNI ONERE ANNESSO E CONNESSO PER RENDERLA PERFETTAMENTE FUNZIONANTE E REALIZZATA IN CONFORMITÀ ALLA NORMA CEI EN 61439-1 E CEI EN 61439-2. AL TERMINE DEI LAVORI L'INSTALLATORE DOVRÀ RILASCIARE DICHIARAZIONE DI CONFORMITÀ DEL QUADRO ELETTRICO ALLA NORMA CEI EN 61439-1 E CEI EN 61439-2 COMPLETA DI TUTTI I SUOI ALLEGATI OBBLIGATORI. SARÀ INOLTRE FORNITO IL CALCOLO DELLE SOVRATEMPERATURE. IL QUADRO CONTERRÀ MONTATE E CABLATE LE APPARECCHIATURE COME RIPORTATO SULLO SCHEMA ELETTRICO ALLEGATO.</t>
        </is>
      </c>
      <c r="M531" s="4" t="inlineStr">
        <is>
          <t>A CORPO</t>
        </is>
      </c>
      <c r="N531" s="5" t="n">
        <v>1</v>
      </c>
      <c r="O531" s="6" t="n">
        <v>10815.06</v>
      </c>
      <c r="P531" s="6" t="n">
        <v>10815.06</v>
      </c>
      <c r="Q531" s="5" t="n"/>
      <c r="R531" s="6" t="n"/>
      <c r="S531" s="6">
        <f>IF(AND(Q531&lt;&gt;"",R531&lt;&gt;""),Q531*R531,"")</f>
        <v/>
      </c>
      <c r="T531" s="6">
        <f>IF(S531="",P531,S531)</f>
        <v/>
      </c>
      <c r="U531" s="7" t="n">
        <v>0.5</v>
      </c>
      <c r="V531" s="6">
        <f>$T531*U531</f>
        <v/>
      </c>
      <c r="W531" s="7" t="n">
        <v>0.1</v>
      </c>
      <c r="X531" s="6">
        <f>$T531*W531</f>
        <v/>
      </c>
      <c r="Y531" s="7" t="n">
        <v>0</v>
      </c>
      <c r="Z531" s="6">
        <f>$T531*Y531</f>
        <v/>
      </c>
      <c r="AA531" s="7" t="n">
        <v>0</v>
      </c>
      <c r="AB531" s="6">
        <f>$T531*AA531</f>
        <v/>
      </c>
      <c r="AC531" s="7" t="n">
        <v>0</v>
      </c>
      <c r="AD531" s="6">
        <f>$T531*AC531</f>
        <v/>
      </c>
      <c r="AE531" s="7" t="n">
        <v>0</v>
      </c>
      <c r="AF531" s="6">
        <f>$T531*AE531</f>
        <v/>
      </c>
      <c r="AG531" s="7" t="n">
        <v>0</v>
      </c>
      <c r="AH531" s="6">
        <f>$T531*AG531</f>
        <v/>
      </c>
      <c r="AI531" s="7">
        <f>U531+W531+Y531+AA531+AC531+AE531+AG531</f>
        <v/>
      </c>
      <c r="AJ531" s="6">
        <f>V531+X531+Z531+AB531+AD531+AF531+AH531</f>
        <v/>
      </c>
    </row>
    <row r="532" ht="60" customHeight="1" s="35">
      <c r="A532" s="3" t="inlineStr">
        <is>
          <t>IE_NP_QCQC</t>
        </is>
      </c>
      <c r="B532" s="4" t="inlineStr">
        <is>
          <t>1/1</t>
        </is>
      </c>
      <c r="C532" s="3" t="inlineStr">
        <is>
          <t>IMPIANTO ELETTRICO</t>
        </is>
      </c>
      <c r="D532" s="4" t="inlineStr">
        <is>
          <t>SPECIALE</t>
        </is>
      </c>
      <c r="E532" s="4" t="inlineStr">
        <is>
          <t>ELETTRICHE SPECIALI</t>
        </is>
      </c>
      <c r="F532" s="3" t="inlineStr">
        <is>
          <t>3_CME IE RADIOFARMACIA PAVIA - REV02 VARIANTE ESECUTIVA.PDF</t>
        </is>
      </c>
      <c r="G532" s="4" t="inlineStr">
        <is>
          <t>36/36</t>
        </is>
      </c>
      <c r="H532" s="3" t="inlineStr">
        <is>
          <t>40 - IMPIANTISTICO</t>
        </is>
      </c>
      <c r="I532" s="3" t="inlineStr">
        <is>
          <t>RADIOFARMACIA</t>
        </is>
      </c>
      <c r="J532" s="3" t="inlineStr">
        <is>
          <t>QUADRI ELETTRICI BT E UPS</t>
        </is>
      </c>
      <c r="K532" s="3" t="inlineStr">
        <is>
          <t>FORNITURA E POSA IN OPERA DI QUADRO ELETTRICO ZONA CONTROLLO QUALITÀ E CONFEZIONAMENTO DEPOSITO E FILTRI QCQC COSTITUITO DA ARMADIO METALLICO DA PARETE/PAVIMENTO, CON GRADO DI PROTEZIONE IP42 (SECONDO</t>
        </is>
      </c>
      <c r="L532" s="3" t="inlineStr">
        <is>
          <t>FORNITURA E POSA IN OPERA DI QUADRO ELETTRICO ZONA CONTROLLO QUALITÀ E CONFEZIONAMENTO DEPOSITO E FILTRI QCQC COSTITUITO DA ARMADIO METALLICO DA PARETE/PAVIMENTO, CON GRADO DI PROTEZIONE IP42 (SECONDO IEC 60529), COLORE RAL 7035,  STRUTTURA MONOBLOCCO AUTOESTINGUENTE (CLASSIFICAZIONE HB40) CON PORTA TRASPARENTE E CONTROPORTA; TENUTA AGLI IMPATTI MECCANICI FINO A IK10 (SECONDO IEC 62262); STABILE AI RAGGI ULTRAVIOLETTI (TENUTA A +150°C); NON CONTIENE ALOGENI. L'OPERA S'INTENDE COMPRENSIVA DI CANALI PORTA CAVI PER CABLAGGIO, MORSETTERIA CON MORSETTI DI VARIA SEZIONE, CORREDATA DI SUPPORTO, SEPARATORI, NUMERI DI IDENTIFICAZIONE, ACCESSORI DI IDENTIFICAZIONE DEI CONDUTTORI INTERNI E DEI CIRCUITI , MONTAGGIO E CABLAGGIO APPARECCHIATURE MODBUS-KNX-CENTRALINE DI REGOLAZIONE, SBARRA DI TERRA, SISTEMA DI SBARRE IN RAME NUDO DI ADEGUATA SEZIONE CORREDATO DI RELATIVI SUPPORTI INFERIORI ED INTERMEDI, CONDUTTORI DI CABLAGGIO TIPO FS17 E DI OGNI ONERE ANNESSO E CONNESSO PER RENDERLA PERFETTAMENTE FUNZIONANTE E REALIZZATA IN CONFORMITÀ ALLA NORMA CEI EN 61439-1 E CEI EN 61439-2. AL TERMINE DEI LAVORI L'INSTALLATORE DOVRÀ RILASCIARE DICHIARAZIONE DI CONFORMITÀ DEL QUADRO ELETTRICO ALLA NORMA CEI EN 61439-1 E CEI EN 61439-2 COMPLETA DI TUTTI I SUOI ALLEGATI OBBLIGATORI. SARÀ INOLTRE FORNITO IL CALCOLO DELLE SOVRATEMPERATURE. IL QUADRO CONTERRÀ MONTATE E CABLATE LE APPARECCHIATURE COME RIPORTATO SULLO SCHEMA ELETTRICO ALLEGATO.</t>
        </is>
      </c>
      <c r="M532" s="4" t="inlineStr">
        <is>
          <t>A CORPO</t>
        </is>
      </c>
      <c r="N532" s="5" t="n">
        <v>1</v>
      </c>
      <c r="O532" s="6" t="n">
        <v>7435.35</v>
      </c>
      <c r="P532" s="6" t="n">
        <v>7435.35</v>
      </c>
      <c r="Q532" s="5" t="n"/>
      <c r="R532" s="6" t="n"/>
      <c r="S532" s="6">
        <f>IF(AND(Q532&lt;&gt;"",R532&lt;&gt;""),Q532*R532,"")</f>
        <v/>
      </c>
      <c r="T532" s="6">
        <f>IF(S532="",P532,S532)</f>
        <v/>
      </c>
      <c r="U532" s="7" t="n">
        <v>0.5</v>
      </c>
      <c r="V532" s="6">
        <f>$T532*U532</f>
        <v/>
      </c>
      <c r="W532" s="7" t="n">
        <v>0.1</v>
      </c>
      <c r="X532" s="6">
        <f>$T532*W532</f>
        <v/>
      </c>
      <c r="Y532" s="7" t="n">
        <v>0</v>
      </c>
      <c r="Z532" s="6">
        <f>$T532*Y532</f>
        <v/>
      </c>
      <c r="AA532" s="7" t="n">
        <v>0</v>
      </c>
      <c r="AB532" s="6">
        <f>$T532*AA532</f>
        <v/>
      </c>
      <c r="AC532" s="7" t="n">
        <v>0</v>
      </c>
      <c r="AD532" s="6">
        <f>$T532*AC532</f>
        <v/>
      </c>
      <c r="AE532" s="7" t="n">
        <v>0</v>
      </c>
      <c r="AF532" s="6">
        <f>$T532*AE532</f>
        <v/>
      </c>
      <c r="AG532" s="7" t="n">
        <v>0</v>
      </c>
      <c r="AH532" s="6">
        <f>$T532*AG532</f>
        <v/>
      </c>
      <c r="AI532" s="7">
        <f>U532+W532+Y532+AA532+AC532+AE532+AG532</f>
        <v/>
      </c>
      <c r="AJ532" s="6">
        <f>V532+X532+Z532+AB532+AD532+AF532+AH532</f>
        <v/>
      </c>
    </row>
    <row r="533" ht="60" customHeight="1" s="35">
      <c r="A533" s="3" t="inlineStr">
        <is>
          <t>IE_NP_QDEF</t>
        </is>
      </c>
      <c r="B533" s="4" t="inlineStr">
        <is>
          <t>1/1</t>
        </is>
      </c>
      <c r="C533" s="3" t="inlineStr">
        <is>
          <t>IMPIANTO ELETTRICO</t>
        </is>
      </c>
      <c r="D533" s="4" t="inlineStr">
        <is>
          <t>SPECIALE</t>
        </is>
      </c>
      <c r="E533" s="4" t="inlineStr">
        <is>
          <t>ELETTRICHE SPECIALI</t>
        </is>
      </c>
      <c r="F533" s="3" t="inlineStr">
        <is>
          <t>3_CME IE RADIOFARMACIA PAVIA - REV02 VARIANTE ESECUTIVA.PDF</t>
        </is>
      </c>
      <c r="G533" s="4" t="inlineStr">
        <is>
          <t>37/37</t>
        </is>
      </c>
      <c r="H533" s="3" t="inlineStr">
        <is>
          <t>40 - IMPIANTISTICO</t>
        </is>
      </c>
      <c r="I533" s="3" t="inlineStr">
        <is>
          <t>RADIOFARMACIA</t>
        </is>
      </c>
      <c r="J533" s="3" t="inlineStr">
        <is>
          <t>QUADRI ELETTRICI BT E UPS</t>
        </is>
      </c>
      <c r="K533" s="3" t="inlineStr">
        <is>
          <t>FORNITURA E POSA IN OPERA DI QUADRO ELETTRICO ZONA DEPOSITO E FILTRI QDEF COSTITUITO DA ARMADIO METALLICO DA PARETE/PAVIMENTO, CON GRADO DI PROTEZIONE IP42 (SECONDO IEC 60529), COLORE RAL 7035,  STRUT</t>
        </is>
      </c>
      <c r="L533" s="3" t="inlineStr">
        <is>
          <t>FORNITURA E POSA IN OPERA DI QUADRO ELETTRICO ZONA DEPOSITO E FILTRI QDEF COSTITUITO DA ARMADIO METALLICO DA PARETE/PAVIMENTO, CON GRADO DI PROTEZIONE IP42 (SECONDO IEC 60529), COLORE RAL 7035,  STRUTTURA MONOBLOCCO AUTOESTINGUENTE (CLASSIFICAZIONE HB40) CON PORTA TRASPARENTE E CONTROPORTA; TENUTA AGLI IMPATTI MECCANICI FINO A IK10 (SECONDO IEC 62262); STABILE AI RAGGI ULTRAVIOLETTI (TENUTA A +150°C); NON CONTIENE ALOGENI. L'OPERA S'INTENDE COMPRENSIVA DI CANALI PORTA CAVI PER CABLAGGIO, MORSETTERIA CON MORSETTI DI VARIA SEZIONE, CORREDATA DI SUPPORTO, SEPARATORI, NUMERI DI IDENTIFICAZIONE, ACCESSORI DI IDENTIFICAZIONE DEI CONDUTTORI INTERNI E DEI CIRCUITI , MONTAGGIO E CABLAGGIO APPARECCHIATURE MODBUS-KNX-CENTRALINE DI REGOLAZIONE, SBARRA DI TERRA, SISTEMA DI SBARRE IN RAME NUDO DI ADEGUATA SEZIONE CORREDATO DI RELATIVI SUPPORTI INFERIORI ED INTERMEDI, CONDUTTORI DI CABLAGGIO TIPO FS17 E DI OGNI ONERE ANNESSO E CONNESSO PER RENDERLA PERFETTAMENTE FUNZIONANTE E REALIZZATA IN CONFORMITÀ ALLA NORMA CEI EN 61439-1 E CEI EN 61439-2. AL TERMINE DEI LAVORI L'INSTALLATORE DOVRÀ RILASCIARE DICHIARAZIONE DI CONFORMITÀ DEL QUADRO ELETTRICO ALLA NORMA CEI EN 61439-1 E CEI EN 61439-2 COMPLETA DI TUTTI I SUOI ALLEGATI OBBLIGATORI. SARÀ INOLTRE FORNITO IL CALCOLO DELLE SOVRATEMPERATURE. IL QUADRO CONTERRÀ MONTATE E CABLATE LE APPARECCHIATURE COME RIPORTATO SULLO SCHEMA ELETTRICO ALLEGATO.</t>
        </is>
      </c>
      <c r="M533" s="4" t="inlineStr">
        <is>
          <t>A CORPO</t>
        </is>
      </c>
      <c r="N533" s="5" t="n">
        <v>1</v>
      </c>
      <c r="O533" s="6" t="n">
        <v>6889.86</v>
      </c>
      <c r="P533" s="6" t="n">
        <v>6889.86</v>
      </c>
      <c r="Q533" s="5" t="n"/>
      <c r="R533" s="6" t="n"/>
      <c r="S533" s="6">
        <f>IF(AND(Q533&lt;&gt;"",R533&lt;&gt;""),Q533*R533,"")</f>
        <v/>
      </c>
      <c r="T533" s="6">
        <f>IF(S533="",P533,S533)</f>
        <v/>
      </c>
      <c r="U533" s="7" t="n">
        <v>0.5</v>
      </c>
      <c r="V533" s="6">
        <f>$T533*U533</f>
        <v/>
      </c>
      <c r="W533" s="7" t="n">
        <v>0.1</v>
      </c>
      <c r="X533" s="6">
        <f>$T533*W533</f>
        <v/>
      </c>
      <c r="Y533" s="7" t="n">
        <v>0</v>
      </c>
      <c r="Z533" s="6">
        <f>$T533*Y533</f>
        <v/>
      </c>
      <c r="AA533" s="7" t="n">
        <v>0</v>
      </c>
      <c r="AB533" s="6">
        <f>$T533*AA533</f>
        <v/>
      </c>
      <c r="AC533" s="7" t="n">
        <v>0</v>
      </c>
      <c r="AD533" s="6">
        <f>$T533*AC533</f>
        <v/>
      </c>
      <c r="AE533" s="7" t="n">
        <v>0</v>
      </c>
      <c r="AF533" s="6">
        <f>$T533*AE533</f>
        <v/>
      </c>
      <c r="AG533" s="7" t="n">
        <v>0</v>
      </c>
      <c r="AH533" s="6">
        <f>$T533*AG533</f>
        <v/>
      </c>
      <c r="AI533" s="7">
        <f>U533+W533+Y533+AA533+AC533+AE533+AG533</f>
        <v/>
      </c>
      <c r="AJ533" s="6">
        <f>V533+X533+Z533+AB533+AD533+AF533+AH533</f>
        <v/>
      </c>
    </row>
    <row r="534" ht="60" customHeight="1" s="35">
      <c r="A534" s="3" t="inlineStr">
        <is>
          <t>IE_NP_QPROD</t>
        </is>
      </c>
      <c r="B534" s="4" t="inlineStr">
        <is>
          <t>1/1</t>
        </is>
      </c>
      <c r="C534" s="3" t="inlineStr">
        <is>
          <t>IMPIANTO ELETTRICO</t>
        </is>
      </c>
      <c r="D534" s="4" t="inlineStr">
        <is>
          <t>SPECIALE</t>
        </is>
      </c>
      <c r="E534" s="4" t="inlineStr">
        <is>
          <t>ELETTRICHE SPECIALI</t>
        </is>
      </c>
      <c r="F534" s="3" t="inlineStr">
        <is>
          <t>3_CME IE RADIOFARMACIA PAVIA - REV02 VARIANTE ESECUTIVA.PDF</t>
        </is>
      </c>
      <c r="G534" s="4" t="inlineStr">
        <is>
          <t>38/38</t>
        </is>
      </c>
      <c r="H534" s="3" t="inlineStr">
        <is>
          <t>40 - IMPIANTISTICO</t>
        </is>
      </c>
      <c r="I534" s="3" t="inlineStr">
        <is>
          <t>RADIOFARMACIA</t>
        </is>
      </c>
      <c r="J534" s="3" t="inlineStr">
        <is>
          <t>QUADRI ELETTRICI BT E UPS</t>
        </is>
      </c>
      <c r="K534" s="3" t="inlineStr">
        <is>
          <t>FORNITURA E POSA IN OPERA DI QUADRO ELETTRICO ZONA PRODUZIONE QZP COSTITUITO DA ARMADIO METALLICO DA PARETE/PAVIMENTO, CON GRADO DI PROTEZIONE IP42 (SECONDO IEC 60529), COLORE RAL 7035,  STRUTTURA MON</t>
        </is>
      </c>
      <c r="L534" s="3" t="inlineStr">
        <is>
          <t>FORNITURA E POSA IN OPERA DI QUADRO ELETTRICO ZONA PRODUZIONE QZP COSTITUITO DA ARMADIO METALLICO DA PARETE/PAVIMENTO, CON GRADO DI PROTEZIONE IP42 (SECONDO IEC 60529), COLORE RAL 7035,  STRUTTURA MONOBLOCCO AUTOESTINGUENTE (CLASSIFICAZIONE HB40) CON PORTA TRASPARENTE E CONTROPORTA; TENUTA AGLI IMPATTI MECCANICI FINO A IK10 (SECONDO IEC 62262); STABILE AI RAGGI ULTRAVIOLETTI (TENUTA A +150°C); NON CONTIENE ALOGENI. L'OPERA S'INTENDE COMPRENSIVA DI CANALI PORTA CAVI PER CABLAGGIO, MORSETTERIA CON MORSETTI DI VARIA SEZIONE, CORREDATA DI SUPPORTO, SEPARATORI, NUMERI DI IDENTIFICAZIONE, ACCESSORI DI IDENTIFICAZIONE DEI CONDUTTORI INTERNI E DEI CIRCUITI , MONTAGGIO E CABLAGGIO APPARECCHIATURE MODBUS-KNX-CENTRALINE DI REGOLAZIONE, SBARRA DI TERRA, SISTEMA DI SBARRE IN RAME NUDO DI ADEGUATA SEZIONE CORREDATO DI RELATIVI SUPPORTI INFERIORI ED INTERMEDI, CONDUTTORI DI CABLAGGIO TIPO FS17 E DI OGNI ONERE ANNESSO E CONNESSO PER RENDERLA PERFETTAMENTE FUNZIONANTE E REALIZZATA IN CONFORMITÀ ALLA NORMA CEI EN 61439-1 E CEI EN 61439-2. AL TERMINE DEI LAVORI L'INSTALLATORE DOVRÀ RILASCIARE DICHIARAZIONE DI CONFORMITÀ DEL QUADRO ELETTRICO ALLA NORMA CEI EN 61439-1 E CEI EN 61439-2 COMPLETA DI TUTTI I SUOI ALLEGATI OBBLIGATORI. SARÀ INOLTRE FORNITO IL CALCOLO DELLE SOVRATEMPERATURE. IL QUADRO CONTERRÀ MONTATE E CABLATE LE APPARECCHIATURE COME RIPORTATO SULLO SCHEMA ELETTRICO ALLEGATO.</t>
        </is>
      </c>
      <c r="M534" s="4" t="inlineStr">
        <is>
          <t>A CORPO</t>
        </is>
      </c>
      <c r="N534" s="5" t="n">
        <v>1</v>
      </c>
      <c r="O534" s="6" t="n">
        <v>10637.18</v>
      </c>
      <c r="P534" s="6" t="n">
        <v>10637.18</v>
      </c>
      <c r="Q534" s="5" t="n"/>
      <c r="R534" s="6" t="n"/>
      <c r="S534" s="6">
        <f>IF(AND(Q534&lt;&gt;"",R534&lt;&gt;""),Q534*R534,"")</f>
        <v/>
      </c>
      <c r="T534" s="6">
        <f>IF(S534="",P534,S534)</f>
        <v/>
      </c>
      <c r="U534" s="7" t="n">
        <v>0.5</v>
      </c>
      <c r="V534" s="6">
        <f>$T534*U534</f>
        <v/>
      </c>
      <c r="W534" s="7" t="n">
        <v>0.1</v>
      </c>
      <c r="X534" s="6">
        <f>$T534*W534</f>
        <v/>
      </c>
      <c r="Y534" s="7" t="n">
        <v>0</v>
      </c>
      <c r="Z534" s="6">
        <f>$T534*Y534</f>
        <v/>
      </c>
      <c r="AA534" s="7" t="n">
        <v>0</v>
      </c>
      <c r="AB534" s="6">
        <f>$T534*AA534</f>
        <v/>
      </c>
      <c r="AC534" s="7" t="n">
        <v>0</v>
      </c>
      <c r="AD534" s="6">
        <f>$T534*AC534</f>
        <v/>
      </c>
      <c r="AE534" s="7" t="n">
        <v>0</v>
      </c>
      <c r="AF534" s="6">
        <f>$T534*AE534</f>
        <v/>
      </c>
      <c r="AG534" s="7" t="n">
        <v>0</v>
      </c>
      <c r="AH534" s="6">
        <f>$T534*AG534</f>
        <v/>
      </c>
      <c r="AI534" s="7">
        <f>U534+W534+Y534+AA534+AC534+AE534+AG534</f>
        <v/>
      </c>
      <c r="AJ534" s="6">
        <f>V534+X534+Z534+AB534+AD534+AF534+AH534</f>
        <v/>
      </c>
    </row>
    <row r="535" ht="60" customHeight="1" s="35">
      <c r="A535" s="3" t="inlineStr">
        <is>
          <t>DEIELE251_075016D</t>
        </is>
      </c>
      <c r="B535" s="4" t="inlineStr">
        <is>
          <t>5/5</t>
        </is>
      </c>
      <c r="C535" s="3" t="inlineStr">
        <is>
          <t>IMPIANTO ELETTRICO</t>
        </is>
      </c>
      <c r="D535" s="4" t="inlineStr">
        <is>
          <t>SPECIALE</t>
        </is>
      </c>
      <c r="E535" s="4" t="inlineStr">
        <is>
          <t>ELETTRICHE SPECIALI</t>
        </is>
      </c>
      <c r="F535" s="3" t="inlineStr">
        <is>
          <t>3_CME IE RADIOFARMACIA PAVIA - REV02 VARIANTE ESECUTIVA.PDF</t>
        </is>
      </c>
      <c r="G535" s="4" t="inlineStr">
        <is>
          <t>39/39</t>
        </is>
      </c>
      <c r="H535" s="3" t="inlineStr">
        <is>
          <t>40 - IMPIANTISTICO</t>
        </is>
      </c>
      <c r="I535" s="3" t="inlineStr">
        <is>
          <t>RADIOFARMACIA</t>
        </is>
      </c>
      <c r="J535" s="3" t="inlineStr">
        <is>
          <t>IMPIANTO DI MESSA A TERRA</t>
        </is>
      </c>
      <c r="K535" s="3" t="inlineStr">
        <is>
          <t>BARRA EQUIPOTENZIALE INDUSTRIALE NUDA, CON VITERIA IN ACCIAIO INOSSIDABILE PER SERRAGGIO CAPICORDA, INSTALLATA A MURO COMPLETA DI ISOLATORI IN DUROPLASTICO ED ACCESSORI DI FISSAGGIO: IN ACCIAIO INOSSI</t>
        </is>
      </c>
      <c r="L535" s="3" t="inlineStr">
        <is>
          <t>BARRA EQUIPOTENZIALE INDUSTRIALE NUDA, CON VITERIA IN ACCIAIO INOSSIDABILE PER SERRAGGIO CAPICORDA, INSTALLATA A MURO COMPLETA DI ISOLATORI IN DUROPLASTICO ED ACCESSORI DI FISSAGGIO: IN ACCIAIO INOSSIDABILE, DIMENSIONI: 500 X 40 X 5 MM, PER 12 COLLEGAMENTI</t>
        </is>
      </c>
      <c r="M535" s="4" t="inlineStr">
        <is>
          <t>CAD</t>
        </is>
      </c>
      <c r="N535" s="5" t="n">
        <v>5</v>
      </c>
      <c r="O535" s="6" t="n">
        <v>142.3</v>
      </c>
      <c r="P535" s="6" t="n">
        <v>711.5</v>
      </c>
      <c r="Q535" s="5" t="n"/>
      <c r="R535" s="6" t="n"/>
      <c r="S535" s="6">
        <f>IF(AND(Q535&lt;&gt;"",R535&lt;&gt;""),Q535*R535,"")</f>
        <v/>
      </c>
      <c r="T535" s="6">
        <f>IF(S535="",P535,S535)</f>
        <v/>
      </c>
      <c r="U535" s="7" t="n">
        <v>0</v>
      </c>
      <c r="V535" s="6">
        <f>$T535*U535</f>
        <v/>
      </c>
      <c r="W535" s="7" t="n">
        <v>0</v>
      </c>
      <c r="X535" s="6">
        <f>$T535*W535</f>
        <v/>
      </c>
      <c r="Y535" s="7" t="n">
        <v>0</v>
      </c>
      <c r="Z535" s="6">
        <f>$T535*Y535</f>
        <v/>
      </c>
      <c r="AA535" s="7" t="n">
        <v>0</v>
      </c>
      <c r="AB535" s="6">
        <f>$T535*AA535</f>
        <v/>
      </c>
      <c r="AC535" s="7" t="n">
        <v>0</v>
      </c>
      <c r="AD535" s="6">
        <f>$T535*AC535</f>
        <v/>
      </c>
      <c r="AE535" s="7" t="n">
        <v>0</v>
      </c>
      <c r="AF535" s="6">
        <f>$T535*AE535</f>
        <v/>
      </c>
      <c r="AG535" s="7" t="n">
        <v>0</v>
      </c>
      <c r="AH535" s="6">
        <f>$T535*AG535</f>
        <v/>
      </c>
      <c r="AI535" s="7">
        <f>U535+W535+Y535+AA535+AC535+AE535+AG535</f>
        <v/>
      </c>
      <c r="AJ535" s="6">
        <f>V535+X535+Z535+AB535+AD535+AF535+AH535</f>
        <v/>
      </c>
    </row>
    <row r="536" ht="60" customHeight="1" s="35">
      <c r="A536" s="3" t="inlineStr">
        <is>
          <t>LOM252.OC.EEA.PA02.G7424.SC009.1275</t>
        </is>
      </c>
      <c r="B536" s="4" t="inlineStr">
        <is>
          <t>2/2</t>
        </is>
      </c>
      <c r="C536" s="3" t="inlineStr">
        <is>
          <t>IMPIANTO ELETTRICO</t>
        </is>
      </c>
      <c r="D536" s="4" t="inlineStr">
        <is>
          <t>SPECIALE</t>
        </is>
      </c>
      <c r="E536" s="4" t="inlineStr">
        <is>
          <t>ELETTRICHE SPECIALI</t>
        </is>
      </c>
      <c r="F536" s="3" t="inlineStr">
        <is>
          <t>3_CME IE RADIOFARMACIA PAVIA - REV02 VARIANTE ESECUTIVA.PDF</t>
        </is>
      </c>
      <c r="G536" s="4" t="inlineStr">
        <is>
          <t>40/40</t>
        </is>
      </c>
      <c r="H536" s="3" t="inlineStr">
        <is>
          <t>40 - IMPIANTISTICO</t>
        </is>
      </c>
      <c r="I536" s="3" t="inlineStr">
        <is>
          <t>RADIOFARMACIA</t>
        </is>
      </c>
      <c r="J536" s="3" t="inlineStr">
        <is>
          <t>IMPIANTO DI MESSA A TERRA</t>
        </is>
      </c>
      <c r="K536" s="3" t="inlineStr">
        <is>
          <t xml:space="preserve">OPERA: CAVO, FG17 DI LEGA RAME RICOTTO; GEOMETRIA: FLESSIBILE; SEZIONE NOMINALE [MM²] = 16; TENSIONE NOMINALE [KV] = 450/750; N° POLI [-] = 1P. </t>
        </is>
      </c>
      <c r="L536" s="3" t="inlineStr">
        <is>
          <t>OPERA: CAVO, FG17 DI LEGA RAME RICOTTO; GEOMETRIA: FLESSIBILE; SEZIONE NOMINALE [MM²] = 16; TENSIONE NOMINALE [KV] = 450/750; N° POLI [-] = 1P. 
LAVORO: POSA. OP CAVO, FG17 DI LEGA RAME RICOTTO; GEOMETRIA: FLESSIBILE; SEZIONE NOMINALE [MM²] = 16; TENSIONE NOMINALE UO/U [KV] = 450/750; N° POLI [-] = 1P. 
RM CAVO FG17 DI LEGA RAME RICOTTO; GEOMETRIA: FLESSIBILE; SEZIONE NOMINALE [MM²] = 16; TENSIONE NOMINALE UO/U [KV] = 450/750; N° POLI [-] = 1P. COMPONENTE: ISOLANTE,  
LV POSA.
[DIMENSIONI: 1,00 40,00]</t>
        </is>
      </c>
      <c r="M536" s="4" t="inlineStr">
        <is>
          <t>M</t>
        </is>
      </c>
      <c r="N536" s="5" t="n">
        <v>40</v>
      </c>
      <c r="O536" s="6" t="n">
        <v>5.84</v>
      </c>
      <c r="P536" s="6" t="n">
        <v>233.6</v>
      </c>
      <c r="Q536" s="5" t="n"/>
      <c r="R536" s="6" t="n"/>
      <c r="S536" s="6">
        <f>IF(AND(Q536&lt;&gt;"",R536&lt;&gt;""),Q536*R536,"")</f>
        <v/>
      </c>
      <c r="T536" s="6">
        <f>IF(S536="",P536,S536)</f>
        <v/>
      </c>
      <c r="U536" s="7" t="n">
        <v>0</v>
      </c>
      <c r="V536" s="6">
        <f>$T536*U536</f>
        <v/>
      </c>
      <c r="W536" s="7" t="n">
        <v>0</v>
      </c>
      <c r="X536" s="6">
        <f>$T536*W536</f>
        <v/>
      </c>
      <c r="Y536" s="7" t="n">
        <v>0</v>
      </c>
      <c r="Z536" s="6">
        <f>$T536*Y536</f>
        <v/>
      </c>
      <c r="AA536" s="7" t="n">
        <v>0</v>
      </c>
      <c r="AB536" s="6">
        <f>$T536*AA536</f>
        <v/>
      </c>
      <c r="AC536" s="7" t="n">
        <v>0</v>
      </c>
      <c r="AD536" s="6">
        <f>$T536*AC536</f>
        <v/>
      </c>
      <c r="AE536" s="7" t="n">
        <v>0</v>
      </c>
      <c r="AF536" s="6">
        <f>$T536*AE536</f>
        <v/>
      </c>
      <c r="AG536" s="7" t="n">
        <v>0</v>
      </c>
      <c r="AH536" s="6">
        <f>$T536*AG536</f>
        <v/>
      </c>
      <c r="AI536" s="7">
        <f>U536+W536+Y536+AA536+AC536+AE536+AG536</f>
        <v/>
      </c>
      <c r="AJ536" s="6">
        <f>V536+X536+Z536+AB536+AD536+AF536+AH536</f>
        <v/>
      </c>
    </row>
    <row r="537" ht="60" customHeight="1" s="35">
      <c r="A537" s="3" t="inlineStr">
        <is>
          <t>LOM252.OC.EEA.PA02.G7424.SC009.1285</t>
        </is>
      </c>
      <c r="B537" s="4" t="inlineStr">
        <is>
          <t>2/2</t>
        </is>
      </c>
      <c r="C537" s="3" t="inlineStr">
        <is>
          <t>IMPIANTO ELETTRICO</t>
        </is>
      </c>
      <c r="D537" s="4" t="inlineStr">
        <is>
          <t>SPECIALE</t>
        </is>
      </c>
      <c r="E537" s="4" t="inlineStr">
        <is>
          <t>ELETTRICHE SPECIALI</t>
        </is>
      </c>
      <c r="F537" s="3" t="inlineStr">
        <is>
          <t>3_CME IE RADIOFARMACIA PAVIA - REV02 VARIANTE ESECUTIVA.PDF</t>
        </is>
      </c>
      <c r="G537" s="4" t="inlineStr">
        <is>
          <t>41/41</t>
        </is>
      </c>
      <c r="H537" s="3" t="inlineStr">
        <is>
          <t>40 - IMPIANTISTICO</t>
        </is>
      </c>
      <c r="I537" s="3" t="inlineStr">
        <is>
          <t>RADIOFARMACIA</t>
        </is>
      </c>
      <c r="J537" s="3" t="inlineStr">
        <is>
          <t>IMPIANTO DI MESSA A TERRA</t>
        </is>
      </c>
      <c r="K537" s="3" t="inlineStr">
        <is>
          <t xml:space="preserve">OPERA: CAVO, FG17 DI LEGA RAME RICOTTO; GEOMETRIA: FLESSIBILE; SEZIONE NOMINALE [MM²] = 35; TENSIONE NOMINALE [KV] = 450/750; N° POLI [-] = 1P. </t>
        </is>
      </c>
      <c r="L537" s="3" t="inlineStr">
        <is>
          <t>OPERA: CAVO, FG17 DI LEGA RAME RICOTTO; GEOMETRIA: FLESSIBILE; SEZIONE NOMINALE [MM²] = 35; TENSIONE NOMINALE [KV] = 450/750; N° POLI [-] = 1P. 
LAVORO: POSA. OP CAVO, FG17 DI LEGA RAME RICOTTO; GEOMETRIA: FLESSIBILE; SEZIONE NOMINALE [MM²] = 35; TENSIONE NOMINALE UO/U [KV] = 450/750; N° POLI [-] = 1P. 
RM CAVO FG17 DI LEGA RAME RICOTTO; GEOMETRIA: FLESSIBILE; SEZIONE NOMINALE [MM²] = 35; TENSIONE NOMINALE UO/U [KV] = 450/750; N° POLI [-] = 1P. COMPONENTE: ISOLANTE,  
LV POSA.
[DIMENSIONI: 1,00 50,00 | 1,00 20,00]</t>
        </is>
      </c>
      <c r="M537" s="4" t="inlineStr">
        <is>
          <t>M</t>
        </is>
      </c>
      <c r="N537" s="5" t="n">
        <v>70</v>
      </c>
      <c r="O537" s="6" t="n">
        <v>9.9</v>
      </c>
      <c r="P537" s="6" t="n">
        <v>693</v>
      </c>
      <c r="Q537" s="5" t="n"/>
      <c r="R537" s="6" t="n"/>
      <c r="S537" s="6">
        <f>IF(AND(Q537&lt;&gt;"",R537&lt;&gt;""),Q537*R537,"")</f>
        <v/>
      </c>
      <c r="T537" s="6">
        <f>IF(S537="",P537,S537)</f>
        <v/>
      </c>
      <c r="U537" s="7" t="n">
        <v>0</v>
      </c>
      <c r="V537" s="6">
        <f>$T537*U537</f>
        <v/>
      </c>
      <c r="W537" s="7" t="n">
        <v>0</v>
      </c>
      <c r="X537" s="6">
        <f>$T537*W537</f>
        <v/>
      </c>
      <c r="Y537" s="7" t="n">
        <v>0</v>
      </c>
      <c r="Z537" s="6">
        <f>$T537*Y537</f>
        <v/>
      </c>
      <c r="AA537" s="7" t="n">
        <v>0</v>
      </c>
      <c r="AB537" s="6">
        <f>$T537*AA537</f>
        <v/>
      </c>
      <c r="AC537" s="7" t="n">
        <v>0</v>
      </c>
      <c r="AD537" s="6">
        <f>$T537*AC537</f>
        <v/>
      </c>
      <c r="AE537" s="7" t="n">
        <v>0</v>
      </c>
      <c r="AF537" s="6">
        <f>$T537*AE537</f>
        <v/>
      </c>
      <c r="AG537" s="7" t="n">
        <v>0</v>
      </c>
      <c r="AH537" s="6">
        <f>$T537*AG537</f>
        <v/>
      </c>
      <c r="AI537" s="7">
        <f>U537+W537+Y537+AA537+AC537+AE537+AG537</f>
        <v/>
      </c>
      <c r="AJ537" s="6">
        <f>V537+X537+Z537+AB537+AD537+AF537+AH537</f>
        <v/>
      </c>
    </row>
    <row r="538" ht="60" customHeight="1" s="35">
      <c r="A538" s="3" t="inlineStr">
        <is>
          <t>LOM252.OC.EEA.PA02.G7424.SC009.0605</t>
        </is>
      </c>
      <c r="B538" s="4" t="inlineStr">
        <is>
          <t>1/1</t>
        </is>
      </c>
      <c r="C538" s="3" t="inlineStr">
        <is>
          <t>IMPIANTO ELETTRICO</t>
        </is>
      </c>
      <c r="D538" s="4" t="inlineStr">
        <is>
          <t>SPECIALE</t>
        </is>
      </c>
      <c r="E538" s="4" t="inlineStr">
        <is>
          <t>ELETTRICHE SPECIALI</t>
        </is>
      </c>
      <c r="F538" s="3" t="inlineStr">
        <is>
          <t>3_CME IE RADIOFARMACIA PAVIA - REV02 VARIANTE ESECUTIVA.PDF</t>
        </is>
      </c>
      <c r="G538" s="4" t="inlineStr">
        <is>
          <t>42/42</t>
        </is>
      </c>
      <c r="H538" s="3" t="inlineStr">
        <is>
          <t>40 - IMPIANTISTICO</t>
        </is>
      </c>
      <c r="I538" s="3" t="inlineStr">
        <is>
          <t>RADIOFARMACIA</t>
        </is>
      </c>
      <c r="J538" s="3" t="inlineStr">
        <is>
          <t>DISTRIBUZIONE SECONDARIA</t>
        </is>
      </c>
      <c r="K538" s="3" t="inlineStr">
        <is>
          <t xml:space="preserve">OPERA: CAVO, FG16OM16 DI LEGA RAME RICOTTO; GEOMETRIA: FLESSIBILE; SEZIONE NOMINALE [MM²] = 3X1,5; TENSIONE NOMINALE [KV] = 0,6/1; N° POLI [-] = 3P. </t>
        </is>
      </c>
      <c r="L538" s="3" t="inlineStr">
        <is>
          <t>OPERA: CAVO, FG16OM16 DI LEGA RAME RICOTTO; GEOMETRIA: FLESSIBILE; SEZIONE NOMINALE [MM²] = 3X1,5; TENSIONE NOMINALE [KV] = 0,6/1; N° POLI [-] = 3P. 
LAVORO: POSA. OP CAVO, FG16OM16 DI LEGA RAME RICOTTO; GEOMETRIA: FLESSIBILE; SEZIONE NOMINALE [MM²] = 3X1,5; TENSIONE NOMINALE UO/U [KV] = 0,6/1; N° POLI [-] = 3P. 
RM CAVO FG16OM16 DI LEGA RAME RICOTTO; GEOMETRIA: FLESSIBILE; SEZIONE NOMINALE [MM²] = 3X1,5; TENSIONE NOMINALE UO/U [KV] = 0,6/1; N° POLI [-] = 3P. COMPONENTI: ISOLANTE, GUAINA TERMOPLASTICA 
LV POSA.
[DIMENSIONI: 30,00 | 90,00]</t>
        </is>
      </c>
      <c r="M538" s="4" t="inlineStr">
        <is>
          <t>M</t>
        </is>
      </c>
      <c r="N538" s="5" t="n">
        <v>120</v>
      </c>
      <c r="O538" s="6" t="n">
        <v>3.4</v>
      </c>
      <c r="P538" s="6" t="n">
        <v>408</v>
      </c>
      <c r="Q538" s="5" t="n"/>
      <c r="R538" s="6" t="n"/>
      <c r="S538" s="6">
        <f>IF(AND(Q538&lt;&gt;"",R538&lt;&gt;""),Q538*R538,"")</f>
        <v/>
      </c>
      <c r="T538" s="6">
        <f>IF(S538="",P538,S538)</f>
        <v/>
      </c>
      <c r="U538" s="7" t="n">
        <v>0</v>
      </c>
      <c r="V538" s="6">
        <f>$T538*U538</f>
        <v/>
      </c>
      <c r="W538" s="7" t="n">
        <v>0</v>
      </c>
      <c r="X538" s="6">
        <f>$T538*W538</f>
        <v/>
      </c>
      <c r="Y538" s="7" t="n">
        <v>0</v>
      </c>
      <c r="Z538" s="6">
        <f>$T538*Y538</f>
        <v/>
      </c>
      <c r="AA538" s="7" t="n">
        <v>0</v>
      </c>
      <c r="AB538" s="6">
        <f>$T538*AA538</f>
        <v/>
      </c>
      <c r="AC538" s="7" t="n">
        <v>0</v>
      </c>
      <c r="AD538" s="6">
        <f>$T538*AC538</f>
        <v/>
      </c>
      <c r="AE538" s="7" t="n">
        <v>0</v>
      </c>
      <c r="AF538" s="6">
        <f>$T538*AE538</f>
        <v/>
      </c>
      <c r="AG538" s="7" t="n">
        <v>0</v>
      </c>
      <c r="AH538" s="6">
        <f>$T538*AG538</f>
        <v/>
      </c>
      <c r="AI538" s="7">
        <f>U538+W538+Y538+AA538+AC538+AE538+AG538</f>
        <v/>
      </c>
      <c r="AJ538" s="6">
        <f>V538+X538+Z538+AB538+AD538+AF538+AH538</f>
        <v/>
      </c>
    </row>
    <row r="539" ht="60" customHeight="1" s="35">
      <c r="A539" s="3" t="inlineStr">
        <is>
          <t>LOM252.OC.EEA.PA02.G7424.SC009.0610</t>
        </is>
      </c>
      <c r="B539" s="4" t="inlineStr">
        <is>
          <t>5/5</t>
        </is>
      </c>
      <c r="C539" s="3" t="inlineStr">
        <is>
          <t>IMPIANTO ELETTRICO</t>
        </is>
      </c>
      <c r="D539" s="4" t="inlineStr">
        <is>
          <t>SPECIALE</t>
        </is>
      </c>
      <c r="E539" s="4" t="inlineStr">
        <is>
          <t>ELETTRICHE SPECIALI</t>
        </is>
      </c>
      <c r="F539" s="3" t="inlineStr">
        <is>
          <t>3_CME IE RADIOFARMACIA PAVIA - REV02 VARIANTE ESECUTIVA.PDF</t>
        </is>
      </c>
      <c r="G539" s="4" t="inlineStr">
        <is>
          <t>43/43</t>
        </is>
      </c>
      <c r="H539" s="3" t="inlineStr">
        <is>
          <t>40 - IMPIANTISTICO</t>
        </is>
      </c>
      <c r="I539" s="3" t="inlineStr">
        <is>
          <t>RADIOFARMACIA</t>
        </is>
      </c>
      <c r="J539" s="3" t="inlineStr">
        <is>
          <t>DISTRIBUZIONE SECONDARIA</t>
        </is>
      </c>
      <c r="K539" s="3" t="inlineStr">
        <is>
          <t xml:space="preserve">OPERA: CAVO, FG16OM16 DI LEGA RAME RICOTTO; GEOMETRIA: FLESSIBILE; SEZIONE NOMINALE [MM²] = 3X2,5; TENSIONE NOMINALE [KV] = 0,6/1; N° POLI [-] = 3P. </t>
        </is>
      </c>
      <c r="L539" s="3" t="inlineStr">
        <is>
          <t>OPERA: CAVO, FG16OM16 DI LEGA RAME RICOTTO; GEOMETRIA: FLESSIBILE; SEZIONE NOMINALE [MM²] = 3X2,5; TENSIONE NOMINALE [KV] = 0,6/1; N° POLI [-] = 3P. 
LAVORO: POSA. OP CAVO, FG16OM16 DI LEGA RAME RICOTTO; GEOMETRIA: FLESSIBILE; SEZIONE NOMINALE [MM²] = 3X2,5; TENSIONE NOMINALE UO/U [KV] = 0,6/1; N° POLI [-] = 3P. 
RM CAVO FG16OM16 DI LEGA RAME RICOTTO; GEOMETRIA: FLESSIBILE; SEZIONE NOMINALE [MM²] = 3X2,5; TENSIONE NOMINALE UO/U [KV] = 0,6/1; N° POLI [-] = 3P. COMPONENTI: ISOLANTE, GUAINA TERMOPLASTICA 
LV POSA.
[DIMENSIONI: 90,00 | 90,00 | -60,00 | 70,00 | 60,00 | 20,00 | 60,00]</t>
        </is>
      </c>
      <c r="M539" s="4" t="inlineStr">
        <is>
          <t>M</t>
        </is>
      </c>
      <c r="N539" s="5" t="n">
        <v>330</v>
      </c>
      <c r="O539" s="6" t="n">
        <v>4.63</v>
      </c>
      <c r="P539" s="6" t="n">
        <v>1527.9</v>
      </c>
      <c r="Q539" s="5" t="n"/>
      <c r="R539" s="6" t="n"/>
      <c r="S539" s="6">
        <f>IF(AND(Q539&lt;&gt;"",R539&lt;&gt;""),Q539*R539,"")</f>
        <v/>
      </c>
      <c r="T539" s="6">
        <f>IF(S539="",P539,S539)</f>
        <v/>
      </c>
      <c r="U539" s="7" t="n">
        <v>0</v>
      </c>
      <c r="V539" s="6">
        <f>$T539*U539</f>
        <v/>
      </c>
      <c r="W539" s="7" t="n">
        <v>0.3</v>
      </c>
      <c r="X539" s="6">
        <f>$T539*W539</f>
        <v/>
      </c>
      <c r="Y539" s="7" t="n">
        <v>0</v>
      </c>
      <c r="Z539" s="6">
        <f>$T539*Y539</f>
        <v/>
      </c>
      <c r="AA539" s="7" t="n">
        <v>0</v>
      </c>
      <c r="AB539" s="6">
        <f>$T539*AA539</f>
        <v/>
      </c>
      <c r="AC539" s="7" t="n">
        <v>0</v>
      </c>
      <c r="AD539" s="6">
        <f>$T539*AC539</f>
        <v/>
      </c>
      <c r="AE539" s="7" t="n">
        <v>0</v>
      </c>
      <c r="AF539" s="6">
        <f>$T539*AE539</f>
        <v/>
      </c>
      <c r="AG539" s="7" t="n">
        <v>0</v>
      </c>
      <c r="AH539" s="6">
        <f>$T539*AG539</f>
        <v/>
      </c>
      <c r="AI539" s="7">
        <f>U539+W539+Y539+AA539+AC539+AE539+AG539</f>
        <v/>
      </c>
      <c r="AJ539" s="6">
        <f>V539+X539+Z539+AB539+AD539+AF539+AH539</f>
        <v/>
      </c>
    </row>
    <row r="540" ht="60" customHeight="1" s="35">
      <c r="A540" s="3" t="inlineStr">
        <is>
          <t>LOM252.OC.EEA.PA02.G7424.SC009.0615</t>
        </is>
      </c>
      <c r="B540" s="4" t="inlineStr">
        <is>
          <t>5/5</t>
        </is>
      </c>
      <c r="C540" s="3" t="inlineStr">
        <is>
          <t>IMPIANTO ELETTRICO</t>
        </is>
      </c>
      <c r="D540" s="4" t="inlineStr">
        <is>
          <t>SPECIALE</t>
        </is>
      </c>
      <c r="E540" s="4" t="inlineStr">
        <is>
          <t>ELETTRICHE SPECIALI</t>
        </is>
      </c>
      <c r="F540" s="3" t="inlineStr">
        <is>
          <t>3_CME IE RADIOFARMACIA PAVIA - REV02 VARIANTE ESECUTIVA.PDF</t>
        </is>
      </c>
      <c r="G540" s="4" t="inlineStr">
        <is>
          <t>44/44</t>
        </is>
      </c>
      <c r="H540" s="3" t="inlineStr">
        <is>
          <t>40 - IMPIANTISTICO</t>
        </is>
      </c>
      <c r="I540" s="3" t="inlineStr">
        <is>
          <t>RADIOFARMACIA</t>
        </is>
      </c>
      <c r="J540" s="3" t="inlineStr">
        <is>
          <t>DISTRIBUZIONE SECONDARIA</t>
        </is>
      </c>
      <c r="K540" s="3" t="inlineStr">
        <is>
          <t xml:space="preserve">OPERA: CAVO, FG16OM16 DI LEGA RAME RICOTTO; GEOMETRIA: FLESSIBILE; SEZIONE NOMINALE [MM²] = 3X4; TENSIONE NOMINALE [KV] = 0,6/1; N° POLI [-] = 3P. </t>
        </is>
      </c>
      <c r="L540" s="3" t="inlineStr">
        <is>
          <t>OPERA: CAVO, FG16OM16 DI LEGA RAME RICOTTO; GEOMETRIA: FLESSIBILE; SEZIONE NOMINALE [MM²] = 3X4; TENSIONE NOMINALE [KV] = 0,6/1; N° POLI [-] = 3P. 
LAVORO: POSA. OP CAVO, FG16OM16 DI LEGA RAME RICOTTO; GEOMETRIA: FLESSIBILE; SEZIONE NOMINALE [MM²] = 3X4; TENSIONE NOMINALE UO/U [KV] = 0,6/1; N° POLI [-] = 3P. 
RM CAVO FG16OM16 DI LEGA RAME RICOTTO; GEOMETRIA: FLESSIBILE; SEZIONE NOMINALE [MM²] = 3X4; TENSIONE NOMINALE UO/U [KV] = 0,6/1; N° POLI [-] = 3P. COMPONENTI: ISOLANTE, GUAINA TERMOPLASTICA 
LV POSA.
[DIMENSIONI: 90,00 | -90,00 | 90,00 | 70,00 | 460,00 | 115,00 | 240,00]</t>
        </is>
      </c>
      <c r="M540" s="4" t="inlineStr">
        <is>
          <t>M</t>
        </is>
      </c>
      <c r="N540" s="5" t="n">
        <v>975</v>
      </c>
      <c r="O540" s="6" t="n">
        <v>5.44</v>
      </c>
      <c r="P540" s="6" t="n">
        <v>5304</v>
      </c>
      <c r="Q540" s="5" t="n"/>
      <c r="R540" s="6" t="n"/>
      <c r="S540" s="6">
        <f>IF(AND(Q540&lt;&gt;"",R540&lt;&gt;""),Q540*R540,"")</f>
        <v/>
      </c>
      <c r="T540" s="6">
        <f>IF(S540="",P540,S540)</f>
        <v/>
      </c>
      <c r="U540" s="7" t="n">
        <v>0</v>
      </c>
      <c r="V540" s="6">
        <f>$T540*U540</f>
        <v/>
      </c>
      <c r="W540" s="7" t="n">
        <v>0.3</v>
      </c>
      <c r="X540" s="6">
        <f>$T540*W540</f>
        <v/>
      </c>
      <c r="Y540" s="7" t="n">
        <v>0</v>
      </c>
      <c r="Z540" s="6">
        <f>$T540*Y540</f>
        <v/>
      </c>
      <c r="AA540" s="7" t="n">
        <v>0</v>
      </c>
      <c r="AB540" s="6">
        <f>$T540*AA540</f>
        <v/>
      </c>
      <c r="AC540" s="7" t="n">
        <v>0</v>
      </c>
      <c r="AD540" s="6">
        <f>$T540*AC540</f>
        <v/>
      </c>
      <c r="AE540" s="7" t="n">
        <v>0</v>
      </c>
      <c r="AF540" s="6">
        <f>$T540*AE540</f>
        <v/>
      </c>
      <c r="AG540" s="7" t="n">
        <v>0</v>
      </c>
      <c r="AH540" s="6">
        <f>$T540*AG540</f>
        <v/>
      </c>
      <c r="AI540" s="7">
        <f>U540+W540+Y540+AA540+AC540+AE540+AG540</f>
        <v/>
      </c>
      <c r="AJ540" s="6">
        <f>V540+X540+Z540+AB540+AD540+AF540+AH540</f>
        <v/>
      </c>
    </row>
    <row r="541" ht="60" customHeight="1" s="35">
      <c r="A541" s="3" t="inlineStr">
        <is>
          <t>LOM252.OC.EEA.PA02.G7424.SC009.0660</t>
        </is>
      </c>
      <c r="B541" s="4" t="inlineStr">
        <is>
          <t>1/1</t>
        </is>
      </c>
      <c r="C541" s="3" t="inlineStr">
        <is>
          <t>IMPIANTO ELETTRICO</t>
        </is>
      </c>
      <c r="D541" s="4" t="inlineStr">
        <is>
          <t>SPECIALE</t>
        </is>
      </c>
      <c r="E541" s="4" t="inlineStr">
        <is>
          <t>ELETTRICHE SPECIALI</t>
        </is>
      </c>
      <c r="F541" s="3" t="inlineStr">
        <is>
          <t>3_CME IE RADIOFARMACIA PAVIA - REV02 VARIANTE ESECUTIVA.PDF</t>
        </is>
      </c>
      <c r="G541" s="4" t="inlineStr">
        <is>
          <t>45/45</t>
        </is>
      </c>
      <c r="H541" s="3" t="inlineStr">
        <is>
          <t>40 - IMPIANTISTICO</t>
        </is>
      </c>
      <c r="I541" s="3" t="inlineStr">
        <is>
          <t>RADIOFARMACIA</t>
        </is>
      </c>
      <c r="J541" s="3" t="inlineStr">
        <is>
          <t>DISTRIBUZIONE SECONDARIA</t>
        </is>
      </c>
      <c r="K541" s="3" t="inlineStr">
        <is>
          <t xml:space="preserve">OPERA: CAVO, FG16OM16 DI LEGA RAME RICOTTO; GEOMETRIA: FLESSIBILE; SEZIONE NOMINALE [MM²] = 4X1,5; TENSIONE NOMINALE [KV] = 0,6/1; N° POLI [-] = 4/5P. </t>
        </is>
      </c>
      <c r="L541" s="3" t="inlineStr">
        <is>
          <t>OPERA: CAVO, FG16OM16 DI LEGA RAME RICOTTO; GEOMETRIA: FLESSIBILE; SEZIONE NOMINALE [MM²] = 4X1,5; TENSIONE NOMINALE [KV] = 0,6/1; N° POLI [-] = 4/5P. 
LAVORO: POSA. OP CAVO, FG16OM16 DI LEGA RAME RICOTTO; GEOMETRIA: FLESSIBILE; SEZIONE NOMINALE [MM²] = 4X1,5; TENSIONE NOMINALE UO/U [KV] = 0,6/1; N° POLI [-] = 4/5P. 
RM CAVO FG16OM16 DI LEGA RAME RICOTTO; GEOMETRIA: FLESSIBILE; SEZIONE NOMINALE [MM²] = 4X1,5; TENSIONE NOMINALE UO/U [KV] = 0,6/1; N° POLI [-] = 4/5P. COMPONENTI: ISOLANTE, GUAINA TERMOPLASTICA 
LV POSA.
[DIMENSIONI: 240,00 | -240,00 | 180,00]</t>
        </is>
      </c>
      <c r="M541" s="4" t="inlineStr">
        <is>
          <t>M</t>
        </is>
      </c>
      <c r="N541" s="5" t="n">
        <v>180</v>
      </c>
      <c r="O541" s="6" t="n">
        <v>4.4</v>
      </c>
      <c r="P541" s="6" t="n">
        <v>792</v>
      </c>
      <c r="Q541" s="5" t="n"/>
      <c r="R541" s="6" t="n"/>
      <c r="S541" s="6">
        <f>IF(AND(Q541&lt;&gt;"",R541&lt;&gt;""),Q541*R541,"")</f>
        <v/>
      </c>
      <c r="T541" s="6">
        <f>IF(S541="",P541,S541)</f>
        <v/>
      </c>
      <c r="U541" s="7" t="n">
        <v>0</v>
      </c>
      <c r="V541" s="6">
        <f>$T541*U541</f>
        <v/>
      </c>
      <c r="W541" s="7" t="n">
        <v>0.3</v>
      </c>
      <c r="X541" s="6">
        <f>$T541*W541</f>
        <v/>
      </c>
      <c r="Y541" s="7" t="n">
        <v>0</v>
      </c>
      <c r="Z541" s="6">
        <f>$T541*Y541</f>
        <v/>
      </c>
      <c r="AA541" s="7" t="n">
        <v>0</v>
      </c>
      <c r="AB541" s="6">
        <f>$T541*AA541</f>
        <v/>
      </c>
      <c r="AC541" s="7" t="n">
        <v>0</v>
      </c>
      <c r="AD541" s="6">
        <f>$T541*AC541</f>
        <v/>
      </c>
      <c r="AE541" s="7" t="n">
        <v>0</v>
      </c>
      <c r="AF541" s="6">
        <f>$T541*AE541</f>
        <v/>
      </c>
      <c r="AG541" s="7" t="n">
        <v>0</v>
      </c>
      <c r="AH541" s="6">
        <f>$T541*AG541</f>
        <v/>
      </c>
      <c r="AI541" s="7">
        <f>U541+W541+Y541+AA541+AC541+AE541+AG541</f>
        <v/>
      </c>
      <c r="AJ541" s="6">
        <f>V541+X541+Z541+AB541+AD541+AF541+AH541</f>
        <v/>
      </c>
    </row>
    <row r="542" ht="60" customHeight="1" s="35">
      <c r="A542" s="3" t="inlineStr">
        <is>
          <t>LOM252.OC.EEA.PA02.G7424.SC009.0665</t>
        </is>
      </c>
      <c r="B542" s="4" t="inlineStr">
        <is>
          <t>1/1</t>
        </is>
      </c>
      <c r="C542" s="3" t="inlineStr">
        <is>
          <t>IMPIANTO ELETTRICO</t>
        </is>
      </c>
      <c r="D542" s="4" t="inlineStr">
        <is>
          <t>SPECIALE</t>
        </is>
      </c>
      <c r="E542" s="4" t="inlineStr">
        <is>
          <t>ELETTRICHE SPECIALI</t>
        </is>
      </c>
      <c r="F542" s="3" t="inlineStr">
        <is>
          <t>3_CME IE RADIOFARMACIA PAVIA - REV02 VARIANTE ESECUTIVA.PDF</t>
        </is>
      </c>
      <c r="G542" s="4" t="inlineStr">
        <is>
          <t>46/46</t>
        </is>
      </c>
      <c r="H542" s="3" t="inlineStr">
        <is>
          <t>40 - IMPIANTISTICO</t>
        </is>
      </c>
      <c r="I542" s="3" t="inlineStr">
        <is>
          <t>RADIOFARMACIA</t>
        </is>
      </c>
      <c r="J542" s="3" t="inlineStr">
        <is>
          <t>DISTRIBUZIONE SECONDARIA</t>
        </is>
      </c>
      <c r="K542" s="3" t="inlineStr">
        <is>
          <t xml:space="preserve">OPERA: CAVO, FG16OM16 DI LEGA RAME RICOTTO; GEOMETRIA: FLESSIBILE; SEZIONE NOMINALE [MM²] = 4X2,5; TENSIONE NOMINALE [KV] = 0,6/1; N° POLI [-] = 4/5P. </t>
        </is>
      </c>
      <c r="L542" s="3" t="inlineStr">
        <is>
          <t>OPERA: CAVO, FG16OM16 DI LEGA RAME RICOTTO; GEOMETRIA: FLESSIBILE; SEZIONE NOMINALE [MM²] = 4X2,5; TENSIONE NOMINALE [KV] = 0,6/1; N° POLI [-] = 4/5P. 
LAVORO: POSA. OP CAVO, FG16OM16 DI LEGA RAME RICOTTO; GEOMETRIA: FLESSIBILE; SEZIONE NOMINALE [MM²] = 4X2,5; TENSIONE NOMINALE UO/U [KV] = 0,6/1; N° POLI [-] = 4/5P. 
RM CAVO FG16OM16 DI LEGA RAME RICOTTO; GEOMETRIA: FLESSIBILE; SEZIONE NOMINALE [MM²] = 4X2,5; TENSIONE NOMINALE UO/U [KV] = 0,6/1; N° POLI [-] = 4/5P. COMPONENTI: ISOLANTE, GUAINA TERMOPLASTICA 
LV POSA.
[DIMENSIONI: 80,00 | -80,00 | 80,00]</t>
        </is>
      </c>
      <c r="M542" s="4" t="inlineStr">
        <is>
          <t>M</t>
        </is>
      </c>
      <c r="N542" s="5" t="n">
        <v>80</v>
      </c>
      <c r="O542" s="6" t="n">
        <v>5.16</v>
      </c>
      <c r="P542" s="6" t="n">
        <v>412.8</v>
      </c>
      <c r="Q542" s="5" t="n"/>
      <c r="R542" s="6" t="n"/>
      <c r="S542" s="6">
        <f>IF(AND(Q542&lt;&gt;"",R542&lt;&gt;""),Q542*R542,"")</f>
        <v/>
      </c>
      <c r="T542" s="6">
        <f>IF(S542="",P542,S542)</f>
        <v/>
      </c>
      <c r="U542" s="7" t="n">
        <v>0</v>
      </c>
      <c r="V542" s="6">
        <f>$T542*U542</f>
        <v/>
      </c>
      <c r="W542" s="7" t="n">
        <v>0.3</v>
      </c>
      <c r="X542" s="6">
        <f>$T542*W542</f>
        <v/>
      </c>
      <c r="Y542" s="7" t="n">
        <v>0</v>
      </c>
      <c r="Z542" s="6">
        <f>$T542*Y542</f>
        <v/>
      </c>
      <c r="AA542" s="7" t="n">
        <v>0</v>
      </c>
      <c r="AB542" s="6">
        <f>$T542*AA542</f>
        <v/>
      </c>
      <c r="AC542" s="7" t="n">
        <v>0</v>
      </c>
      <c r="AD542" s="6">
        <f>$T542*AC542</f>
        <v/>
      </c>
      <c r="AE542" s="7" t="n">
        <v>0</v>
      </c>
      <c r="AF542" s="6">
        <f>$T542*AE542</f>
        <v/>
      </c>
      <c r="AG542" s="7" t="n">
        <v>0</v>
      </c>
      <c r="AH542" s="6">
        <f>$T542*AG542</f>
        <v/>
      </c>
      <c r="AI542" s="7">
        <f>U542+W542+Y542+AA542+AC542+AE542+AG542</f>
        <v/>
      </c>
      <c r="AJ542" s="6">
        <f>V542+X542+Z542+AB542+AD542+AF542+AH542</f>
        <v/>
      </c>
    </row>
    <row r="543" ht="60" customHeight="1" s="35">
      <c r="A543" s="3" t="inlineStr">
        <is>
          <t>LOM252.OC.EEA.PA02.G7424.SC009.0680</t>
        </is>
      </c>
      <c r="B543" s="4" t="inlineStr">
        <is>
          <t>1/1</t>
        </is>
      </c>
      <c r="C543" s="3" t="inlineStr">
        <is>
          <t>IMPIANTO ELETTRICO</t>
        </is>
      </c>
      <c r="D543" s="4" t="inlineStr">
        <is>
          <t>SPECIALE</t>
        </is>
      </c>
      <c r="E543" s="4" t="inlineStr">
        <is>
          <t>ELETTRICHE SPECIALI</t>
        </is>
      </c>
      <c r="F543" s="3" t="inlineStr">
        <is>
          <t>3_CME IE RADIOFARMACIA PAVIA - REV02 VARIANTE ESECUTIVA.PDF</t>
        </is>
      </c>
      <c r="G543" s="4" t="inlineStr">
        <is>
          <t>47/47</t>
        </is>
      </c>
      <c r="H543" s="3" t="inlineStr">
        <is>
          <t>40 - IMPIANTISTICO</t>
        </is>
      </c>
      <c r="I543" s="3" t="inlineStr">
        <is>
          <t>RADIOFARMACIA</t>
        </is>
      </c>
      <c r="J543" s="3" t="inlineStr">
        <is>
          <t>DISTRIBUZIONE SECONDARIA</t>
        </is>
      </c>
      <c r="K543" s="3" t="inlineStr">
        <is>
          <t xml:space="preserve">OPERA: CAVO, FG16OM16 DI LEGA RAME RICOTTO; GEOMETRIA: FLESSIBILE; SEZIONE NOMINALE [MM²] = 4X10; TENSIONE NOMINALE [KV] = 0,6/1; N° POLI [-] = 4/5P. </t>
        </is>
      </c>
      <c r="L543" s="3" t="inlineStr">
        <is>
          <t>OPERA: CAVO, FG16OM16 DI LEGA RAME RICOTTO; GEOMETRIA: FLESSIBILE; SEZIONE NOMINALE [MM²] = 4X10; TENSIONE NOMINALE [KV] = 0,6/1; N° POLI [-] = 4/5P. 
LAVORO: POSA. OP CAVO, FG16OM16 DI LEGA RAME RICOTTO; GEOMETRIA: FLESSIBILE; SEZIONE NOMINALE [MM²] = 4X10; TENSIONE NOMINALE UO/U [KV] = 0,6/1; N° POLI [-] = 4/5P. 
RM CAVO FG16OM16 DI LEGA RAME RICOTTO; GEOMETRIA: FLESSIBILE; SEZIONE NOMINALE [MM²] = 4X10; TENSIONE NOMINALE UO/U [KV] = 0,6/1; N° POLI [-] = 4/5P. COMPONENTI: ISOLANTE, GUAINA TERMOPLASTICA 
LV POSA.
[DIMENSIONI: 40,00]</t>
        </is>
      </c>
      <c r="M543" s="4" t="inlineStr">
        <is>
          <t>M</t>
        </is>
      </c>
      <c r="N543" s="5" t="n">
        <v>40</v>
      </c>
      <c r="O543" s="6" t="n">
        <v>11.62</v>
      </c>
      <c r="P543" s="6" t="n">
        <v>464.8</v>
      </c>
      <c r="Q543" s="5" t="n"/>
      <c r="R543" s="6" t="n"/>
      <c r="S543" s="6">
        <f>IF(AND(Q543&lt;&gt;"",R543&lt;&gt;""),Q543*R543,"")</f>
        <v/>
      </c>
      <c r="T543" s="6">
        <f>IF(S543="",P543,S543)</f>
        <v/>
      </c>
      <c r="U543" s="7" t="n">
        <v>0</v>
      </c>
      <c r="V543" s="6">
        <f>$T543*U543</f>
        <v/>
      </c>
      <c r="W543" s="7" t="n">
        <v>0.3</v>
      </c>
      <c r="X543" s="6">
        <f>$T543*W543</f>
        <v/>
      </c>
      <c r="Y543" s="7" t="n">
        <v>0</v>
      </c>
      <c r="Z543" s="6">
        <f>$T543*Y543</f>
        <v/>
      </c>
      <c r="AA543" s="7" t="n">
        <v>0</v>
      </c>
      <c r="AB543" s="6">
        <f>$T543*AA543</f>
        <v/>
      </c>
      <c r="AC543" s="7" t="n">
        <v>0</v>
      </c>
      <c r="AD543" s="6">
        <f>$T543*AC543</f>
        <v/>
      </c>
      <c r="AE543" s="7" t="n">
        <v>0</v>
      </c>
      <c r="AF543" s="6">
        <f>$T543*AE543</f>
        <v/>
      </c>
      <c r="AG543" s="7" t="n">
        <v>0</v>
      </c>
      <c r="AH543" s="6">
        <f>$T543*AG543</f>
        <v/>
      </c>
      <c r="AI543" s="7">
        <f>U543+W543+Y543+AA543+AC543+AE543+AG543</f>
        <v/>
      </c>
      <c r="AJ543" s="6">
        <f>V543+X543+Z543+AB543+AD543+AF543+AH543</f>
        <v/>
      </c>
    </row>
    <row r="544" ht="60" customHeight="1" s="35">
      <c r="A544" s="3" t="inlineStr">
        <is>
          <t>LOM252.OC.EEA.PA02.G7424.SC009.0720</t>
        </is>
      </c>
      <c r="B544" s="4" t="inlineStr">
        <is>
          <t>1/1</t>
        </is>
      </c>
      <c r="C544" s="3" t="inlineStr">
        <is>
          <t>IMPIANTO ELETTRICO</t>
        </is>
      </c>
      <c r="D544" s="4" t="inlineStr">
        <is>
          <t>SPECIALE</t>
        </is>
      </c>
      <c r="E544" s="4" t="inlineStr">
        <is>
          <t>ELETTRICHE SPECIALI</t>
        </is>
      </c>
      <c r="F544" s="3" t="inlineStr">
        <is>
          <t>3_CME IE RADIOFARMACIA PAVIA - REV02 VARIANTE ESECUTIVA.PDF</t>
        </is>
      </c>
      <c r="G544" s="4" t="inlineStr">
        <is>
          <t>48/48</t>
        </is>
      </c>
      <c r="H544" s="3" t="inlineStr">
        <is>
          <t>40 - IMPIANTISTICO</t>
        </is>
      </c>
      <c r="I544" s="3" t="inlineStr">
        <is>
          <t>RADIOFARMACIA</t>
        </is>
      </c>
      <c r="J544" s="3" t="inlineStr">
        <is>
          <t>DISTRIBUZIONE SECONDARIA</t>
        </is>
      </c>
      <c r="K544" s="3" t="inlineStr">
        <is>
          <t xml:space="preserve">OPERA: CAVO, FG16OM16 DI LEGA RAME RICOTTO; GEOMETRIA: FLESSIBILE; SEZIONE NOMINALE [MM²] = 5X2,5; TENSIONE NOMINALE [KV] = 0,6/1; N° POLI [-] = 4/5P. </t>
        </is>
      </c>
      <c r="L544" s="3" t="inlineStr">
        <is>
          <t>OPERA: CAVO, FG16OM16 DI LEGA RAME RICOTTO; GEOMETRIA: FLESSIBILE; SEZIONE NOMINALE [MM²] = 5X2,5; TENSIONE NOMINALE [KV] = 0,6/1; N° POLI [-] = 4/5P. 
LAVORO: POSA. OP CAVO, FG16OM16 DI LEGA RAME RICOTTO; GEOMETRIA: FLESSIBILE; SEZIONE NOMINALE [MM²] = 5X2,5; TENSIONE NOMINALE UO/U [KV] = 0,6/1; N° POLI [-] = 4/5P. 
RM CAVO FG16OM16 DI LEGA RAME RICOTTO; GEOMETRIA: FLESSIBILE; SEZIONE NOMINALE [MM²] = 5X2,5; TENSIONE NOMINALE UO/U [KV] = 0,6/1; N° POLI [-] = 4/5P. COMPONENTI: ISOLANTE, GUAINA TERMOPLASTICA 
LV POSA.
[DIMENSIONI: 20,00]</t>
        </is>
      </c>
      <c r="M544" s="4" t="inlineStr">
        <is>
          <t>M</t>
        </is>
      </c>
      <c r="N544" s="5" t="n">
        <v>20</v>
      </c>
      <c r="O544" s="6" t="n">
        <v>5.87</v>
      </c>
      <c r="P544" s="6" t="n">
        <v>117.4</v>
      </c>
      <c r="Q544" s="5" t="n"/>
      <c r="R544" s="6" t="n"/>
      <c r="S544" s="6">
        <f>IF(AND(Q544&lt;&gt;"",R544&lt;&gt;""),Q544*R544,"")</f>
        <v/>
      </c>
      <c r="T544" s="6">
        <f>IF(S544="",P544,S544)</f>
        <v/>
      </c>
      <c r="U544" s="7" t="n">
        <v>0</v>
      </c>
      <c r="V544" s="6">
        <f>$T544*U544</f>
        <v/>
      </c>
      <c r="W544" s="7" t="n">
        <v>0.3</v>
      </c>
      <c r="X544" s="6">
        <f>$T544*W544</f>
        <v/>
      </c>
      <c r="Y544" s="7" t="n">
        <v>0</v>
      </c>
      <c r="Z544" s="6">
        <f>$T544*Y544</f>
        <v/>
      </c>
      <c r="AA544" s="7" t="n">
        <v>0</v>
      </c>
      <c r="AB544" s="6">
        <f>$T544*AA544</f>
        <v/>
      </c>
      <c r="AC544" s="7" t="n">
        <v>0</v>
      </c>
      <c r="AD544" s="6">
        <f>$T544*AC544</f>
        <v/>
      </c>
      <c r="AE544" s="7" t="n">
        <v>0</v>
      </c>
      <c r="AF544" s="6">
        <f>$T544*AE544</f>
        <v/>
      </c>
      <c r="AG544" s="7" t="n">
        <v>0</v>
      </c>
      <c r="AH544" s="6">
        <f>$T544*AG544</f>
        <v/>
      </c>
      <c r="AI544" s="7">
        <f>U544+W544+Y544+AA544+AC544+AE544+AG544</f>
        <v/>
      </c>
      <c r="AJ544" s="6">
        <f>V544+X544+Z544+AB544+AD544+AF544+AH544</f>
        <v/>
      </c>
    </row>
    <row r="545" ht="60" customHeight="1" s="35">
      <c r="A545" s="3" t="inlineStr">
        <is>
          <t>LOM252.OC.EEA.PA02.G7424.SC009.0515</t>
        </is>
      </c>
      <c r="B545" s="4" t="inlineStr">
        <is>
          <t>3/3</t>
        </is>
      </c>
      <c r="C545" s="3" t="inlineStr">
        <is>
          <t>IMPIANTO ELETTRICO</t>
        </is>
      </c>
      <c r="D545" s="4" t="inlineStr">
        <is>
          <t>SPECIALE</t>
        </is>
      </c>
      <c r="E545" s="4" t="inlineStr">
        <is>
          <t>ELETTRICHE SPECIALI</t>
        </is>
      </c>
      <c r="F545" s="3" t="inlineStr">
        <is>
          <t>3_CME IE RADIOFARMACIA PAVIA - REV02 VARIANTE ESECUTIVA.PDF</t>
        </is>
      </c>
      <c r="G545" s="4" t="inlineStr">
        <is>
          <t>49/49</t>
        </is>
      </c>
      <c r="H545" s="3" t="inlineStr">
        <is>
          <t>40 - IMPIANTISTICO</t>
        </is>
      </c>
      <c r="I545" s="3" t="inlineStr">
        <is>
          <t>RADIOFARMACIA</t>
        </is>
      </c>
      <c r="J545" s="3" t="inlineStr">
        <is>
          <t>DISTRIBUZIONE SECONDARIA</t>
        </is>
      </c>
      <c r="K545" s="3" t="inlineStr">
        <is>
          <t xml:space="preserve">OPERA: CAVO, FG16OM16 DI LEGA RAME RICOTTO; GEOMETRIA: FLESSIBILE; SEZIONE NOMINALE [MM²] = 35; TENSIONE NOMINALE [KV] = 0,6/1; N° POLI [-] = 1P. </t>
        </is>
      </c>
      <c r="L545" s="3" t="inlineStr">
        <is>
          <t>OPERA: CAVO, FG16OM16 DI LEGA RAME RICOTTO; GEOMETRIA: FLESSIBILE; SEZIONE NOMINALE [MM²] = 35; TENSIONE NOMINALE [KV] = 0,6/1; N° POLI [-] = 1P. 
LAVORO: POSA. OP CAVO, FG16OM16 DI LEGA RAME RICOTTO; GEOMETRIA: FLESSIBILE; SEZIONE NOMINALE [MM²] = 35; TENSIONE NOMINALE UO/U [KV] = 0,6/1; N° POLI [-] = 1P. 
RM CAVO FG16OM16 DI LEGA RAME RICOTTO; GEOMETRIA: FLESSIBILE; SEZIONE NOMINALE [MM²] = 35; TENSIONE NOMINALE UO/U [KV] = 0,6/1; N° POLI [-] = 1P. COMPONENTI: ISOLANTE, GUAINA TERMOPLASTICA, RIVESTIMENTO INTERNO 
LV POSA.
[DIMENSIONI: 4,00 40,00]</t>
        </is>
      </c>
      <c r="M545" s="4" t="inlineStr">
        <is>
          <t>M</t>
        </is>
      </c>
      <c r="N545" s="5" t="n">
        <v>160</v>
      </c>
      <c r="O545" s="6" t="n">
        <v>9.15</v>
      </c>
      <c r="P545" s="6" t="n">
        <v>1464</v>
      </c>
      <c r="Q545" s="5" t="n"/>
      <c r="R545" s="6" t="n"/>
      <c r="S545" s="6">
        <f>IF(AND(Q545&lt;&gt;"",R545&lt;&gt;""),Q545*R545,"")</f>
        <v/>
      </c>
      <c r="T545" s="6">
        <f>IF(S545="",P545,S545)</f>
        <v/>
      </c>
      <c r="U545" s="7" t="n">
        <v>0</v>
      </c>
      <c r="V545" s="6">
        <f>$T545*U545</f>
        <v/>
      </c>
      <c r="W545" s="7" t="n">
        <v>0.3</v>
      </c>
      <c r="X545" s="6">
        <f>$T545*W545</f>
        <v/>
      </c>
      <c r="Y545" s="7" t="n">
        <v>0</v>
      </c>
      <c r="Z545" s="6">
        <f>$T545*Y545</f>
        <v/>
      </c>
      <c r="AA545" s="7" t="n">
        <v>0</v>
      </c>
      <c r="AB545" s="6">
        <f>$T545*AA545</f>
        <v/>
      </c>
      <c r="AC545" s="7" t="n">
        <v>0</v>
      </c>
      <c r="AD545" s="6">
        <f>$T545*AC545</f>
        <v/>
      </c>
      <c r="AE545" s="7" t="n">
        <v>0</v>
      </c>
      <c r="AF545" s="6">
        <f>$T545*AE545</f>
        <v/>
      </c>
      <c r="AG545" s="7" t="n">
        <v>0</v>
      </c>
      <c r="AH545" s="6">
        <f>$T545*AG545</f>
        <v/>
      </c>
      <c r="AI545" s="7">
        <f>U545+W545+Y545+AA545+AC545+AE545+AG545</f>
        <v/>
      </c>
      <c r="AJ545" s="6">
        <f>V545+X545+Z545+AB545+AD545+AF545+AH545</f>
        <v/>
      </c>
    </row>
    <row r="546" ht="60" customHeight="1" s="35">
      <c r="A546" s="3" t="inlineStr">
        <is>
          <t>LOM252.OC.EEA.PA02.G7424.SC009.0520</t>
        </is>
      </c>
      <c r="B546" s="4" t="inlineStr">
        <is>
          <t>1/1</t>
        </is>
      </c>
      <c r="C546" s="3" t="inlineStr">
        <is>
          <t>IMPIANTO ELETTRICO</t>
        </is>
      </c>
      <c r="D546" s="4" t="inlineStr">
        <is>
          <t>SPECIALE</t>
        </is>
      </c>
      <c r="E546" s="4" t="inlineStr">
        <is>
          <t>ELETTRICHE SPECIALI</t>
        </is>
      </c>
      <c r="F546" s="3" t="inlineStr">
        <is>
          <t>3_CME IE RADIOFARMACIA PAVIA - REV02 VARIANTE ESECUTIVA.PDF</t>
        </is>
      </c>
      <c r="G546" s="4" t="inlineStr">
        <is>
          <t>50/50</t>
        </is>
      </c>
      <c r="H546" s="3" t="inlineStr">
        <is>
          <t>40 - IMPIANTISTICO</t>
        </is>
      </c>
      <c r="I546" s="3" t="inlineStr">
        <is>
          <t>RADIOFARMACIA</t>
        </is>
      </c>
      <c r="J546" s="3" t="inlineStr">
        <is>
          <t>DISTRIBUZIONE SECONDARIA</t>
        </is>
      </c>
      <c r="K546" s="3" t="inlineStr">
        <is>
          <t xml:space="preserve">OPERA: CAVO, FG16OM16 DI LEGA RAME RICOTTO; GEOMETRIA: FLESSIBILE; SEZIONE NOMINALE [MM²] = 50; TENSIONE NOMINALE [KV] = 0,6/1; N° POLI [-] = 1P. </t>
        </is>
      </c>
      <c r="L546" s="3" t="inlineStr">
        <is>
          <t>OPERA: CAVO, FG16OM16 DI LEGA RAME RICOTTO; GEOMETRIA: FLESSIBILE; SEZIONE NOMINALE [MM²] = 50; TENSIONE NOMINALE [KV] = 0,6/1; N° POLI [-] = 1P. 
LAVORO: POSA. OP CAVO, FG16OM16 DI LEGA RAME RICOTTO; GEOMETRIA: FLESSIBILE; SEZIONE NOMINALE [MM²] = 50; TENSIONE NOMINALE UO/U [KV] = 0,6/1; N° POLI [-] = 1P. 
RM CAVO FG16OM16 DI LEGA RAME RICOTTO; GEOMETRIA: FLESSIBILE; SEZIONE NOMINALE [MM²] = 50; TENSIONE NOMINALE UO/U [KV] = 0,6/1; N° POLI [-] = 1P. COMPONENTI: ISOLANTE, GUAINA TERMOPLASTICA, RIVESTIMENTO INTERNO 
LV POSA.
[DIMENSIONI: 4,00 20,00]</t>
        </is>
      </c>
      <c r="M546" s="4" t="inlineStr">
        <is>
          <t>M</t>
        </is>
      </c>
      <c r="N546" s="5" t="n">
        <v>80</v>
      </c>
      <c r="O546" s="6" t="n">
        <v>11.69</v>
      </c>
      <c r="P546" s="6" t="n">
        <v>935.2</v>
      </c>
      <c r="Q546" s="5" t="n"/>
      <c r="R546" s="6" t="n"/>
      <c r="S546" s="6">
        <f>IF(AND(Q546&lt;&gt;"",R546&lt;&gt;""),Q546*R546,"")</f>
        <v/>
      </c>
      <c r="T546" s="6">
        <f>IF(S546="",P546,S546)</f>
        <v/>
      </c>
      <c r="U546" s="7" t="n">
        <v>0</v>
      </c>
      <c r="V546" s="6">
        <f>$T546*U546</f>
        <v/>
      </c>
      <c r="W546" s="7" t="n">
        <v>0.3</v>
      </c>
      <c r="X546" s="6">
        <f>$T546*W546</f>
        <v/>
      </c>
      <c r="Y546" s="7" t="n">
        <v>0</v>
      </c>
      <c r="Z546" s="6">
        <f>$T546*Y546</f>
        <v/>
      </c>
      <c r="AA546" s="7" t="n">
        <v>0</v>
      </c>
      <c r="AB546" s="6">
        <f>$T546*AA546</f>
        <v/>
      </c>
      <c r="AC546" s="7" t="n">
        <v>0</v>
      </c>
      <c r="AD546" s="6">
        <f>$T546*AC546</f>
        <v/>
      </c>
      <c r="AE546" s="7" t="n">
        <v>0</v>
      </c>
      <c r="AF546" s="6">
        <f>$T546*AE546</f>
        <v/>
      </c>
      <c r="AG546" s="7" t="n">
        <v>0</v>
      </c>
      <c r="AH546" s="6">
        <f>$T546*AG546</f>
        <v/>
      </c>
      <c r="AI546" s="7">
        <f>U546+W546+Y546+AA546+AC546+AE546+AG546</f>
        <v/>
      </c>
      <c r="AJ546" s="6">
        <f>V546+X546+Z546+AB546+AD546+AF546+AH546</f>
        <v/>
      </c>
    </row>
    <row r="547" ht="60" customHeight="1" s="35">
      <c r="A547" s="3" t="inlineStr">
        <is>
          <t>LOM252.OC.EEA.PA02.G7424.SC009.0525</t>
        </is>
      </c>
      <c r="B547" s="4" t="inlineStr">
        <is>
          <t>1/1</t>
        </is>
      </c>
      <c r="C547" s="3" t="inlineStr">
        <is>
          <t>IMPIANTO ELETTRICO</t>
        </is>
      </c>
      <c r="D547" s="4" t="inlineStr">
        <is>
          <t>SPECIALE</t>
        </is>
      </c>
      <c r="E547" s="4" t="inlineStr">
        <is>
          <t>ELETTRICHE SPECIALI</t>
        </is>
      </c>
      <c r="F547" s="3" t="inlineStr">
        <is>
          <t>3_CME IE RADIOFARMACIA PAVIA - REV02 VARIANTE ESECUTIVA.PDF</t>
        </is>
      </c>
      <c r="G547" s="4" t="inlineStr">
        <is>
          <t>51/51</t>
        </is>
      </c>
      <c r="H547" s="3" t="inlineStr">
        <is>
          <t>40 - IMPIANTISTICO</t>
        </is>
      </c>
      <c r="I547" s="3" t="inlineStr">
        <is>
          <t>RADIOFARMACIA</t>
        </is>
      </c>
      <c r="J547" s="3" t="inlineStr">
        <is>
          <t>DISTRIBUZIONE SECONDARIA</t>
        </is>
      </c>
      <c r="K547" s="3" t="inlineStr">
        <is>
          <t xml:space="preserve">OPERA: CAVO, FG16OM16 DI LEGA RAME RICOTTO; GEOMETRIA: FLESSIBILE; SEZIONE NOMINALE [MM²] = 70; TENSIONE NOMINALE [KV] = 0,6/1; N° POLI [-] = 1P. </t>
        </is>
      </c>
      <c r="L547" s="3" t="inlineStr">
        <is>
          <t>OPERA: CAVO, FG16OM16 DI LEGA RAME RICOTTO; GEOMETRIA: FLESSIBILE; SEZIONE NOMINALE [MM²] = 70; TENSIONE NOMINALE [KV] = 0,6/1; N° POLI [-] = 1P. 
LAVORO: POSA. OP CAVO, FG16OM16 DI LEGA RAME RICOTTO; GEOMETRIA: FLESSIBILE; SEZIONE NOMINALE [MM²] = 70; TENSIONE NOMINALE UO/U [KV] = 0,6/1; N° POLI [-] = 1P. 
RM CAVO FG16OM16 DI LEGA RAME RICOTTO; GEOMETRIA: FLESSIBILE; SEZIONE NOMINALE [MM²] = 70; TENSIONE NOMINALE UO/U [KV] = 0,6/1; N° POLI [-] = 1P. COMPONENTI: ISOLANTE, GUAINA TERMOPLASTICA, RIVESTIMENTO INTERNO 
LV POSA.
[DIMENSIONI: 4,00 50,00]</t>
        </is>
      </c>
      <c r="M547" s="4" t="inlineStr">
        <is>
          <t>M</t>
        </is>
      </c>
      <c r="N547" s="5" t="n">
        <v>200</v>
      </c>
      <c r="O547" s="6" t="n">
        <v>16.28</v>
      </c>
      <c r="P547" s="6" t="n">
        <v>3256</v>
      </c>
      <c r="Q547" s="5" t="n"/>
      <c r="R547" s="6" t="n"/>
      <c r="S547" s="6">
        <f>IF(AND(Q547&lt;&gt;"",R547&lt;&gt;""),Q547*R547,"")</f>
        <v/>
      </c>
      <c r="T547" s="6">
        <f>IF(S547="",P547,S547)</f>
        <v/>
      </c>
      <c r="U547" s="7" t="n">
        <v>0</v>
      </c>
      <c r="V547" s="6">
        <f>$T547*U547</f>
        <v/>
      </c>
      <c r="W547" s="7" t="n">
        <v>0.3</v>
      </c>
      <c r="X547" s="6">
        <f>$T547*W547</f>
        <v/>
      </c>
      <c r="Y547" s="7" t="n">
        <v>0</v>
      </c>
      <c r="Z547" s="6">
        <f>$T547*Y547</f>
        <v/>
      </c>
      <c r="AA547" s="7" t="n">
        <v>0</v>
      </c>
      <c r="AB547" s="6">
        <f>$T547*AA547</f>
        <v/>
      </c>
      <c r="AC547" s="7" t="n">
        <v>0</v>
      </c>
      <c r="AD547" s="6">
        <f>$T547*AC547</f>
        <v/>
      </c>
      <c r="AE547" s="7" t="n">
        <v>0</v>
      </c>
      <c r="AF547" s="6">
        <f>$T547*AE547</f>
        <v/>
      </c>
      <c r="AG547" s="7" t="n">
        <v>0</v>
      </c>
      <c r="AH547" s="6">
        <f>$T547*AG547</f>
        <v/>
      </c>
      <c r="AI547" s="7">
        <f>U547+W547+Y547+AA547+AC547+AE547+AG547</f>
        <v/>
      </c>
      <c r="AJ547" s="6">
        <f>V547+X547+Z547+AB547+AD547+AF547+AH547</f>
        <v/>
      </c>
    </row>
    <row r="548" ht="60" customHeight="1" s="35">
      <c r="A548" s="3" t="inlineStr">
        <is>
          <t>LOM252.OC.EEA.PA02.G7415.SB001.0005.B</t>
        </is>
      </c>
      <c r="B548" s="4" t="inlineStr">
        <is>
          <t>1/1</t>
        </is>
      </c>
      <c r="C548" s="3" t="inlineStr">
        <is>
          <t>IMPIANTO ELETTRICO</t>
        </is>
      </c>
      <c r="D548" s="4" t="inlineStr">
        <is>
          <t>SPECIALE</t>
        </is>
      </c>
      <c r="E548" s="4" t="inlineStr">
        <is>
          <t>ELETTRICHE SPECIALI</t>
        </is>
      </c>
      <c r="F548" s="3" t="inlineStr">
        <is>
          <t>3_CME IE RADIOFARMACIA PAVIA - REV02 VARIANTE ESECUTIVA.PDF</t>
        </is>
      </c>
      <c r="G548" s="4" t="inlineStr">
        <is>
          <t>52/52</t>
        </is>
      </c>
      <c r="H548" s="3" t="inlineStr">
        <is>
          <t>40 - IMPIANTISTICO</t>
        </is>
      </c>
      <c r="I548" s="3" t="inlineStr">
        <is>
          <t>RADIOFARMACIA</t>
        </is>
      </c>
      <c r="J548" s="3" t="inlineStr">
        <is>
          <t>DISTRIBUZIONE SECONDARIA</t>
        </is>
      </c>
      <c r="K548" s="3" t="inlineStr">
        <is>
          <t xml:space="preserve">OPERA: PASSERELLA DI LEGA FERROSA ACCIAIO GENERICO; GEOMETRIA: GRIGLIA; ALTEZZA [MM] = 54 | LARGHEZZA [MM] = 100. INCLUSO: ACCESSORI DI FISSAGGIO. </t>
        </is>
      </c>
      <c r="L548" s="3" t="inlineStr">
        <is>
          <t>OPERA: PASSERELLA DI LEGA FERROSA ACCIAIO GENERICO; GEOMETRIA: GRIGLIA; ALTEZZA [MM] = 54 | LARGHEZZA [MM] = 100. INCLUSO: ACCESSORI DI FISSAGGIO. 
LAVORO: POSA. 
SPECIFICHE TECNICHE: REALIZZATO IN TONDINI ELETTROSALDATI CON ZINCATURA A CALDO DOPO LAVORAZIONE. OP PASSERELLA DI LEGA FERROSA ACCIAIO GENERICO; GEOMETRIA: GRIGLIA; ALTEZZA [MM] = 54 | LARGHEZZA [MM] = 100. INCLUSO: ACCESSORI DI FISSAGGIO. 
SPECIFICHE TECNICHE: REALIZZATO IN TONDINI ELETTROSALDATI CON ZINCATURA A CALDO DOPO LAVORAZIONE. 
RM PASSERELLA DI LEGA FERROSA ACCIAIO GENERICO; GEOMETRIA: GRIGLIA; ALTEZZA [MM] = 54 | LARGHEZZA [MM] = 100. INCLUSO: ACCESSORI DI FISSAGGIO 
SPECIFICHE TECNICHE: REALIZZATO IN TONDINI ELETTROSALDATI CON ZINCATURA A CALDO DOPO LAVORAZIONE 
LV POSA.
[DIMENSIONI: 50,00]</t>
        </is>
      </c>
      <c r="M548" s="4" t="inlineStr">
        <is>
          <t>M</t>
        </is>
      </c>
      <c r="N548" s="5" t="n">
        <v>50</v>
      </c>
      <c r="O548" s="6" t="n">
        <v>41.56</v>
      </c>
      <c r="P548" s="6" t="n">
        <v>2078</v>
      </c>
      <c r="Q548" s="5" t="n"/>
      <c r="R548" s="6" t="n"/>
      <c r="S548" s="6">
        <f>IF(AND(Q548&lt;&gt;"",R548&lt;&gt;""),Q548*R548,"")</f>
        <v/>
      </c>
      <c r="T548" s="6">
        <f>IF(S548="",P548,S548)</f>
        <v/>
      </c>
      <c r="U548" s="7" t="n">
        <v>0</v>
      </c>
      <c r="V548" s="6">
        <f>$T548*U548</f>
        <v/>
      </c>
      <c r="W548" s="7" t="n">
        <v>0.3</v>
      </c>
      <c r="X548" s="6">
        <f>$T548*W548</f>
        <v/>
      </c>
      <c r="Y548" s="7" t="n">
        <v>0</v>
      </c>
      <c r="Z548" s="6">
        <f>$T548*Y548</f>
        <v/>
      </c>
      <c r="AA548" s="7" t="n">
        <v>0</v>
      </c>
      <c r="AB548" s="6">
        <f>$T548*AA548</f>
        <v/>
      </c>
      <c r="AC548" s="7" t="n">
        <v>0</v>
      </c>
      <c r="AD548" s="6">
        <f>$T548*AC548</f>
        <v/>
      </c>
      <c r="AE548" s="7" t="n">
        <v>0</v>
      </c>
      <c r="AF548" s="6">
        <f>$T548*AE548</f>
        <v/>
      </c>
      <c r="AG548" s="7" t="n">
        <v>0</v>
      </c>
      <c r="AH548" s="6">
        <f>$T548*AG548</f>
        <v/>
      </c>
      <c r="AI548" s="7">
        <f>U548+W548+Y548+AA548+AC548+AE548+AG548</f>
        <v/>
      </c>
      <c r="AJ548" s="6">
        <f>V548+X548+Z548+AB548+AD548+AF548+AH548</f>
        <v/>
      </c>
    </row>
    <row r="549" ht="60" customHeight="1" s="35">
      <c r="A549" s="3" t="inlineStr">
        <is>
          <t>LOM252.OC.EEA.PA02.G7400.D0006.0025</t>
        </is>
      </c>
      <c r="B549" s="4" t="inlineStr">
        <is>
          <t>1/1</t>
        </is>
      </c>
      <c r="C549" s="3" t="inlineStr">
        <is>
          <t>IMPIANTO ELETTRICO</t>
        </is>
      </c>
      <c r="D549" s="4" t="inlineStr">
        <is>
          <t>SPECIALE</t>
        </is>
      </c>
      <c r="E549" s="4" t="inlineStr">
        <is>
          <t>ELETTRICHE SPECIALI</t>
        </is>
      </c>
      <c r="F549" s="3" t="inlineStr">
        <is>
          <t>3_CME IE RADIOFARMACIA PAVIA - REV02 VARIANTE ESECUTIVA.PDF</t>
        </is>
      </c>
      <c r="G549" s="4" t="inlineStr">
        <is>
          <t>53/53</t>
        </is>
      </c>
      <c r="H549" s="3" t="inlineStr">
        <is>
          <t>40 - IMPIANTISTICO</t>
        </is>
      </c>
      <c r="I549" s="3" t="inlineStr">
        <is>
          <t>RADIOFARMACIA</t>
        </is>
      </c>
      <c r="J549" s="3" t="inlineStr">
        <is>
          <t>DISTRIBUZIONE SECONDARIA</t>
        </is>
      </c>
      <c r="K549" s="3" t="inlineStr">
        <is>
          <t xml:space="preserve">OPERA: CAVIDOTTO FLESSIBILE DI PLASTICA POLIETILENE (PE); FINITURA: CORRUGATI | LISCI; DIAMETRO ESTERNO (Ø) [MM] = 110 | DIAMETRO INTERNO (Ø) [MM] = 94. </t>
        </is>
      </c>
      <c r="L549" s="3" t="inlineStr">
        <is>
          <t>OPERA: CAVIDOTTO FLESSIBILE DI PLASTICA POLIETILENE (PE); FINITURA: CORRUGATI | LISCI; DIAMETRO ESTERNO (Ø) [MM] = 110 | DIAMETRO INTERNO (Ø) [MM] = 94. 
LAVORO: POSA. ESCLUSO: SCAVO; PIANO APPOGGIO; RINFIANCO; RIEMPIMENTO. OP CAVIDOTTO FLESSIBILE DI PLASTICA POLIETILENE (PE); FINITURA: CORRUGATI | LISCI; DIAMETRO ESTERNO (Ø) [MM] = 110 | DIAMETRO INTERNO (Ø) [MM] = 94. 
RM TUBO A MANICOTTO DI GIUNZIONE DI PLASTICA POLIETILENE (PE); FINITURA: LISCIO; GEOMETRIA: CORRUGATO | FLESSIBILE | A DOPPIA PARETE ; IMPIEGO: CAVIDOTTO; DIAMETRO ESTERNO (Ø) [MM] = 94 | DIAMETRO INTERNO (Ø) [MM] = 94. INCLUSO: TIRAFILO INCORPORATO 
SPECIFICHE TECNICHE: CORRUGATA ESTERNA E LISCIA INTERNA 
RM AGGREGATO SABBIA VIVA DI ROCCIA NATURALE MINERALE; IMPIEGO: IMPASTI; PESO SPECIFICO MEDIO [KG/M³] = 1450 
SPECIFICHE TECNICHE: DI CAVA, LAVATA E VAGLIATA 
LV POSA. ESCLUSO: SCAVO; PIANO APPOGGIO; RINFIANCO; RIEMPIMENTO. 
RP PALA CINGOLATA; POTENZA [KW] ≤ 55. DA CONTEGGIARE A PARTE: SPESE DI ESERCIZIO (RP.00.00.05.1030.A)
[DIMENSIONI: 50,00]</t>
        </is>
      </c>
      <c r="M549" s="4" t="inlineStr">
        <is>
          <t>M</t>
        </is>
      </c>
      <c r="N549" s="5" t="n">
        <v>50</v>
      </c>
      <c r="O549" s="6" t="n">
        <v>10.99</v>
      </c>
      <c r="P549" s="6" t="n">
        <v>549.5</v>
      </c>
      <c r="Q549" s="5" t="n"/>
      <c r="R549" s="6" t="n"/>
      <c r="S549" s="6">
        <f>IF(AND(Q549&lt;&gt;"",R549&lt;&gt;""),Q549*R549,"")</f>
        <v/>
      </c>
      <c r="T549" s="6">
        <f>IF(S549="",P549,S549)</f>
        <v/>
      </c>
      <c r="U549" s="7" t="n">
        <v>0</v>
      </c>
      <c r="V549" s="6">
        <f>$T549*U549</f>
        <v/>
      </c>
      <c r="W549" s="7" t="n">
        <v>0.3</v>
      </c>
      <c r="X549" s="6">
        <f>$T549*W549</f>
        <v/>
      </c>
      <c r="Y549" s="7" t="n">
        <v>0</v>
      </c>
      <c r="Z549" s="6">
        <f>$T549*Y549</f>
        <v/>
      </c>
      <c r="AA549" s="7" t="n">
        <v>0</v>
      </c>
      <c r="AB549" s="6">
        <f>$T549*AA549</f>
        <v/>
      </c>
      <c r="AC549" s="7" t="n">
        <v>0</v>
      </c>
      <c r="AD549" s="6">
        <f>$T549*AC549</f>
        <v/>
      </c>
      <c r="AE549" s="7" t="n">
        <v>0</v>
      </c>
      <c r="AF549" s="6">
        <f>$T549*AE549</f>
        <v/>
      </c>
      <c r="AG549" s="7" t="n">
        <v>0</v>
      </c>
      <c r="AH549" s="6">
        <f>$T549*AG549</f>
        <v/>
      </c>
      <c r="AI549" s="7">
        <f>U549+W549+Y549+AA549+AC549+AE549+AG549</f>
        <v/>
      </c>
      <c r="AJ549" s="6">
        <f>V549+X549+Z549+AB549+AD549+AF549+AH549</f>
        <v/>
      </c>
    </row>
    <row r="550" ht="60" customHeight="1" s="35">
      <c r="A550" s="3" t="inlineStr">
        <is>
          <t>LOM252.OC.EEA.PA02.G7400.D0006.0040</t>
        </is>
      </c>
      <c r="B550" s="4" t="inlineStr">
        <is>
          <t>2/2</t>
        </is>
      </c>
      <c r="C550" s="3" t="inlineStr">
        <is>
          <t>IMPIANTO ELETTRICO</t>
        </is>
      </c>
      <c r="D550" s="4" t="inlineStr">
        <is>
          <t>SPECIALE</t>
        </is>
      </c>
      <c r="E550" s="4" t="inlineStr">
        <is>
          <t>ELETTRICHE SPECIALI</t>
        </is>
      </c>
      <c r="F550" s="3" t="inlineStr">
        <is>
          <t>3_CME IE RADIOFARMACIA PAVIA - REV02 VARIANTE ESECUTIVA.PDF</t>
        </is>
      </c>
      <c r="G550" s="4" t="inlineStr">
        <is>
          <t>54/54</t>
        </is>
      </c>
      <c r="H550" s="3" t="inlineStr">
        <is>
          <t>40 - IMPIANTISTICO</t>
        </is>
      </c>
      <c r="I550" s="3" t="inlineStr">
        <is>
          <t>RADIOFARMACIA</t>
        </is>
      </c>
      <c r="J550" s="3" t="inlineStr">
        <is>
          <t>DISTRIBUZIONE SECONDARIA</t>
        </is>
      </c>
      <c r="K550" s="3" t="inlineStr">
        <is>
          <t xml:space="preserve">OPERA: CAVIDOTTO FLESSIBILE DI PLASTICA POLIETILENE (PE); FINITURA: CORRUGATI | LISCI; DIAMETRO ESTERNO (Ø) [MM] = 160 | DIAMETRO INTERNO (Ø) [MM] = 138. </t>
        </is>
      </c>
      <c r="L550" s="3" t="inlineStr">
        <is>
          <t>OPERA: CAVIDOTTO FLESSIBILE DI PLASTICA POLIETILENE (PE); FINITURA: CORRUGATI | LISCI; DIAMETRO ESTERNO (Ø) [MM] = 160 | DIAMETRO INTERNO (Ø) [MM] = 138. 
LAVORO: POSA. ESCLUSO: SCAVO; PIANO APPOGGIO; RINFIANCO; RIEMPIMENTO. OP CAVIDOTTO FLESSIBILE DI PLASTICA POLIETILENE (PE); FINITURA: CORRUGATI | LISCI; DIAMETRO ESTERNO (Ø) [MM] = 160 | DIAMETRO INTERNO (Ø) [MM] = 138. 
RM TUBO A MANICOTTO DI GIUNZIONE DI PLASTICA POLIETILENE (PE); FINITURA: LISCIA; GEOMETRIA: CORRUGATI | FLESSIBILE | A DOPPIA PARETE ; IMPIEGO: CAVIDOTTO; DIAMETRO ESTERNO (Ø) [MM] = 160 | DIAMETRO INTERNO (Ø) [MM] = 138. INCLUSO: TIRAFILO INCORPORATO 
RM AGGREGATO SABBIA VIVA DI ROCCIA NATURALE MINERALE; IMPIEGO: IMPASTI; PESO SPECIFICO MEDIO [KG/M³] = 1450 
SPECIFICHE TECNICHE: DI CAVA, LAVATA E VAGLIATA 
LV POSA. ESCLUSO: SCAVO; PIANO APPOGGIO; RINFIANCO; RIEMPIMENTO. 
RP PALA CINGOLATA; POTENZA [KW] ≤ 55. DA CONTEGGIARE A PARTE: SPESE DI ESERCIZIO (RP.00.00.05.1030.A)
[DIMENSIONI: 50,00]</t>
        </is>
      </c>
      <c r="M550" s="4" t="inlineStr">
        <is>
          <t>M</t>
        </is>
      </c>
      <c r="N550" s="5" t="n">
        <v>50</v>
      </c>
      <c r="O550" s="6" t="n">
        <v>15.25</v>
      </c>
      <c r="P550" s="6" t="n">
        <v>762.5</v>
      </c>
      <c r="Q550" s="5" t="n"/>
      <c r="R550" s="6" t="n"/>
      <c r="S550" s="6">
        <f>IF(AND(Q550&lt;&gt;"",R550&lt;&gt;""),Q550*R550,"")</f>
        <v/>
      </c>
      <c r="T550" s="6">
        <f>IF(S550="",P550,S550)</f>
        <v/>
      </c>
      <c r="U550" s="7" t="n">
        <v>0</v>
      </c>
      <c r="V550" s="6">
        <f>$T550*U550</f>
        <v/>
      </c>
      <c r="W550" s="7" t="n">
        <v>0.3</v>
      </c>
      <c r="X550" s="6">
        <f>$T550*W550</f>
        <v/>
      </c>
      <c r="Y550" s="7" t="n">
        <v>0</v>
      </c>
      <c r="Z550" s="6">
        <f>$T550*Y550</f>
        <v/>
      </c>
      <c r="AA550" s="7" t="n">
        <v>0</v>
      </c>
      <c r="AB550" s="6">
        <f>$T550*AA550</f>
        <v/>
      </c>
      <c r="AC550" s="7" t="n">
        <v>0</v>
      </c>
      <c r="AD550" s="6">
        <f>$T550*AC550</f>
        <v/>
      </c>
      <c r="AE550" s="7" t="n">
        <v>0</v>
      </c>
      <c r="AF550" s="6">
        <f>$T550*AE550</f>
        <v/>
      </c>
      <c r="AG550" s="7" t="n">
        <v>0</v>
      </c>
      <c r="AH550" s="6">
        <f>$T550*AG550</f>
        <v/>
      </c>
      <c r="AI550" s="7">
        <f>U550+W550+Y550+AA550+AC550+AE550+AG550</f>
        <v/>
      </c>
      <c r="AJ550" s="6">
        <f>V550+X550+Z550+AB550+AD550+AF550+AH550</f>
        <v/>
      </c>
    </row>
    <row r="551" ht="60" customHeight="1" s="35">
      <c r="A551" s="3" t="inlineStr">
        <is>
          <t>LOM252.OC.EEA.PA01.G8237.ZA001.0250</t>
        </is>
      </c>
      <c r="B551" s="4" t="inlineStr">
        <is>
          <t>2/2</t>
        </is>
      </c>
      <c r="C551" s="3" t="inlineStr">
        <is>
          <t>IMPIANTO ELETTRICO</t>
        </is>
      </c>
      <c r="D551" s="4" t="inlineStr">
        <is>
          <t>SPECIALE</t>
        </is>
      </c>
      <c r="E551" s="4" t="inlineStr">
        <is>
          <t>ELETTRICHE SPECIALI</t>
        </is>
      </c>
      <c r="F551" s="3" t="inlineStr">
        <is>
          <t>3_CME IE RADIOFARMACIA PAVIA - REV02 VARIANTE ESECUTIVA.PDF</t>
        </is>
      </c>
      <c r="G551" s="4" t="inlineStr">
        <is>
          <t>55/55</t>
        </is>
      </c>
      <c r="H551" s="3" t="inlineStr">
        <is>
          <t>40 - IMPIANTISTICO</t>
        </is>
      </c>
      <c r="I551" s="3" t="inlineStr">
        <is>
          <t>RADIOFARMACIA</t>
        </is>
      </c>
      <c r="J551" s="3" t="inlineStr">
        <is>
          <t>IMPIANTO DI ILLUMINAZIONE</t>
        </is>
      </c>
      <c r="K551" s="3" t="inlineStr">
        <is>
          <t>OPERA: DERIVAZIONE D'IMPIANTO PUNTO LUCE, COMANDATO; IMPIEGO: DERIVAZIONE D'IMPIANTO DA INCASSO. INCLUSO: TUBO PROTETTIVO; CONDUTTORI DI ALIMENTAZIONE E DI TERRA; SCATOLE DA INCASSO; FRUTTI COMPONIBIL</t>
        </is>
      </c>
      <c r="L551" s="3" t="inlineStr">
        <is>
          <t>OPERA: DERIVAZIONE D'IMPIANTO PUNTO LUCE, COMANDATO; IMPIEGO: DERIVAZIONE D'IMPIANTO DA INCASSO. INCLUSO: TUBO PROTETTIVO; CONDUTTORI DI ALIMENTAZIONE E DI TERRA; SCATOLE DA INCASSO; FRUTTI COMPONIBILI; PLACCHE; SUPPORTI; TASSELLI/GANCI. ESCLUSO: ORGANO DI COMANDO SUL QUADRO. 
LAVORO: INSTALLAZIONE IN OPERA. INCLUSO: LINEA DI COLLEGAMENTO ALLO SPECIFICO PUNTO DI ALIMENTAZIONE; FISSAGGIO DELLE CANALIZZAZIONI A MEZZO DI TASSELLI O GANCI; ASSISTENZA PER IL TRASPORTO DEI MATERIALI AL PIANO. 
SPECIFICHE TECNICHE: COMANDATO DAL QUADRO ELETTRICO; PER IMPIANTI DI ENERGIA; REALIZZATO CON TUBO PROTETTIVO FLESSIBILE O RIGIDO DI PLASTICA POLIVINILCLORURO (PVC) AD ALTA RESISTENZA ALLO SCHIACCIAMENTO; CONDUTTORI DI ALIMENTAZIONE E DI TERRA DI LEGA RAME GENERICO RICOTTO ISOLATO CONFORMI AI REQUISITI PREVISTI DALLA NORMATIVA EUROPEA REGOLAMENTO UE 305/2011 - PRODOTTI DA COSTRUZIONE CPR; TIPOLOGIA CONDUTTORI E SEZIONE ADEGUATI ALL'UTILIZZO. OP DERIVAZIONE D'IMPIANTO PUNTO LUCE, COMANDATO; IMPIEGO: DERIVAZIONE D'IMPIANTO DA INCASSO. INCLUSO: TUBO PROTETTIVO; CONDUTTORI DI ALIMENTAZIONE E DI TERRA; SCATOLE DA INCASSO; FRUTTI COMPONIBILI; PLACCHE; SUPPORTI; TASSELLI/GANCI. ESCLUSO: ORGANO DI COMANDO SUL QUADRO. 
SPECIFICHE TECNICHE: COMANDATO DAL QUADRO ELETTRICO; PER IMPIANTI DI ENERGIA; REALIZZATO CON TUBO PROTETTIVO FLESSIBILE O RIGIDO DI PLASTICA POLIVINILCLORURO (PVC) AD ALTA RESISTENZA ALLO SCHIACCIAMENTO; CONDUTTORI DI ALIMENTAZIONE E DI TERRA DI LEGA RAME GENERICO RICOTTO ISOLATO CONFORMI AI REQUISITI PREVISTI DALLA NORMATIVA EUROPEA REGOLAMENTO UE 305/2011 - PRODOTTI DA COSTRUZIONE CPR; TIPOLOGIA CONDUTTORI E SEZIONE ADEGUATI ALL'UTILIZZO. 
RM DERIVAZIONE D'IMPIANTO PUNTO LUCE COMANDATO; IMPIEGO: DERIVAZIONE D'IMPIANTO DA INCASSO. INCLUSO: TUBO PROTETTIVO; CONDUTTORI DI ALIMENTAZIONE E DI TERRA; SCATOLE DA INCASSO; FRUTTI COMPONIBILI; PLACCHE; SUPPORTI; TASSELLI/GANCI. ESCLUSO: ORGANO DI COMANDO SUL QUADRO 
SPECIFICHE TECNICHE: COMANDATO DAL QUADRO ELETTRICO; PER IMPIANTI DI ENERGIA; REALIZZATO CON TUBO PROTETTIVO FLESSIBILE O RIGIDO DI PLASTICA POLIVINILCLORURO (PVC) AD ALTA RESISTENZA ALLO SCHIACCIAMENTO; CONDUTTORI DI ALIMENTAZIONE E DI TERRA DI LEGA RAME GENERICO RICOTTO ISOLATO CONFORMI AI REQUISITI PREVISTI DALLA NORMATIVA EUROPEA REGOLAMENTO UE 305/2011 - PRODOTTI DA COSTRUZIONE CPR; TIPOLOGIA CONDUTTORI E SEZIONE ADEGUATI ALL'UTILIZZO 
LV INSTALLAZIONE IN OPERA. INCLUSO: LINEA DI COLLEGAMENTO ALLO SPECIFICO PUNTO DI ALIMENTAZIONE; FISSAGGIO DELLE CANALIZZAZIONI A MEZZO DI TASSELLI O GANCI; ASSISTENZA PER IL TRASPORTO DEI MATERIALI AL PIANO.</t>
        </is>
      </c>
      <c r="M551" s="4" t="inlineStr">
        <is>
          <t>CAD</t>
        </is>
      </c>
      <c r="N551" s="5" t="n">
        <v>22</v>
      </c>
      <c r="O551" s="6" t="n">
        <v>31.33</v>
      </c>
      <c r="P551" s="6" t="n">
        <v>689.26</v>
      </c>
      <c r="Q551" s="5" t="n"/>
      <c r="R551" s="6" t="n"/>
      <c r="S551" s="6">
        <f>IF(AND(Q551&lt;&gt;"",R551&lt;&gt;""),Q551*R551,"")</f>
        <v/>
      </c>
      <c r="T551" s="6">
        <f>IF(S551="",P551,S551)</f>
        <v/>
      </c>
      <c r="U551" s="7" t="n">
        <v>0</v>
      </c>
      <c r="V551" s="6">
        <f>$T551*U551</f>
        <v/>
      </c>
      <c r="W551" s="7" t="n">
        <v>0</v>
      </c>
      <c r="X551" s="6">
        <f>$T551*W551</f>
        <v/>
      </c>
      <c r="Y551" s="7" t="n">
        <v>0</v>
      </c>
      <c r="Z551" s="6">
        <f>$T551*Y551</f>
        <v/>
      </c>
      <c r="AA551" s="7" t="n">
        <v>0</v>
      </c>
      <c r="AB551" s="6">
        <f>$T551*AA551</f>
        <v/>
      </c>
      <c r="AC551" s="7" t="n">
        <v>0</v>
      </c>
      <c r="AD551" s="6">
        <f>$T551*AC551</f>
        <v/>
      </c>
      <c r="AE551" s="7" t="n">
        <v>0</v>
      </c>
      <c r="AF551" s="6">
        <f>$T551*AE551</f>
        <v/>
      </c>
      <c r="AG551" s="7" t="n">
        <v>0</v>
      </c>
      <c r="AH551" s="6">
        <f>$T551*AG551</f>
        <v/>
      </c>
      <c r="AI551" s="7">
        <f>U551+W551+Y551+AA551+AC551+AE551+AG551</f>
        <v/>
      </c>
      <c r="AJ551" s="6">
        <f>V551+X551+Z551+AB551+AD551+AF551+AH551</f>
        <v/>
      </c>
    </row>
    <row r="552" ht="60" customHeight="1" s="35">
      <c r="A552" s="3" t="inlineStr">
        <is>
          <t>LOM252.OC.EEA.PA01.G8237.ZA001.0260</t>
        </is>
      </c>
      <c r="B552" s="4" t="inlineStr">
        <is>
          <t>1/1</t>
        </is>
      </c>
      <c r="C552" s="3" t="inlineStr">
        <is>
          <t>IMPIANTO ELETTRICO</t>
        </is>
      </c>
      <c r="D552" s="4" t="inlineStr">
        <is>
          <t>SPECIALE</t>
        </is>
      </c>
      <c r="E552" s="4" t="inlineStr">
        <is>
          <t>ELETTRICHE SPECIALI</t>
        </is>
      </c>
      <c r="F552" s="3" t="inlineStr">
        <is>
          <t>3_CME IE RADIOFARMACIA PAVIA - REV02 VARIANTE ESECUTIVA.PDF</t>
        </is>
      </c>
      <c r="G552" s="4" t="inlineStr">
        <is>
          <t>56/56</t>
        </is>
      </c>
      <c r="H552" s="3" t="inlineStr">
        <is>
          <t>40 - IMPIANTISTICO</t>
        </is>
      </c>
      <c r="I552" s="3" t="inlineStr">
        <is>
          <t>RADIOFARMACIA</t>
        </is>
      </c>
      <c r="J552" s="3" t="inlineStr">
        <is>
          <t>IMPIANTO DI ILLUMINAZIONE</t>
        </is>
      </c>
      <c r="K552" s="3" t="inlineStr">
        <is>
          <t xml:space="preserve">OPERA: DERIVAZIONE D'IMPIANTO PUNTO LUCE, COMANDATO; IMPIEGO: DERIVAZIONE D'IMPIANTO A VISTA A PARETE/A SOFFITTO. INCLUSO: TUBO PROTETTIVO; CONDUTTORI DI ALIMENTAZIONE E DI TERRA; SCATOLE DA INCASSO; </t>
        </is>
      </c>
      <c r="L552" s="3" t="inlineStr">
        <is>
          <t>OPERA: DERIVAZIONE D'IMPIANTO PUNTO LUCE, COMANDATO; IMPIEGO: DERIVAZIONE D'IMPIANTO A VISTA A PARETE/A SOFFITTO. INCLUSO: TUBO PROTETTIVO; CONDUTTORI DI ALIMENTAZIONE E DI TERRA; SCATOLE DA INCASSO; FRUTTI COMPONIBILI; PLACCHE; SUPPORTI; TASSELLI/GANCI. ESCLUSO: ORGANO DI COMANDO SUL QUADRO. 
LAVORO: INSTALLAZIONE IN OPERA. INCLUSO: LINEA DI COLLEGAMENTO ALLO SPECIFICO PUNTO DI ALIMENTAZIONE; FISSAGGIO DELLE CANALIZZAZIONI A MEZZO DI TASSELLI O GANCI; ASSISTENZA PER IL TRASPORTO DEI MATERIALI AL PIANO. 
SPECIFICHE TECNICHE: COMANDATO DAL QUADRO ELETTRICO; PER IMPIANTI DI ENERGIA; GRADO DI PROTEZIONE IP55; REALIZZATO CON TUBO PROTETTIVO RIGIDO DI PLASTICA POLIVINILCLORURO (PVC) AUTOESTINGUENTE; CONDUTTORI DI ALIMENTAZIONE E DI TERRA DI LEGA RAME GENERICO RICOTTO ISOLATO CONFORMI AI REQUISITI PREVISTI DALLA NORMATIVA EUROPEA REGOLAMENTO UE 305/2011 - PRODOTTI DA COSTRUZIONE CPR; TIPOLOGIA CONDUTTORI E SEZIONE ADEGUATI ALL'UTILIZZO. OP DERIVAZIONE D'IMPIANTO PUNTO LUCE, COMANDATO; IMPIEGO: DERIVAZIONE D'IMPIANTO A VISTA A PARETE/A SOFFITTO. INCLUSO: TUBO PROTETTIVO; CONDUTTORI DI ALIMENTAZIONE E DI TERRA; SCATOLE DA INCASSO; FRUTTI COMPONIBILI; PLACCHE; SUPPORTI; TASSELLI/GANCI. ESCLUSO: ORGANO DI COMANDO SUL QUADRO. 
SPECIFICHE TECNICHE: COMANDATO DAL QUADRO ELETTRICO; PER IMPIANTI DI ENERGIA; GRADO DI PROTEZIONE IP55; REALIZZATO CON TUBO PROTETTIVO RIGIDO DI PLASTICA POLIVINILCLORURO (PVC) AUTOESTINGUENTE; CONDUTTORI DI ALIMENTAZIONE E DI TERRA DI LEGA RAME GENERICO RICOTTO ISOLATO CONFORMI AI REQUISITI PREVISTI DALLA NORMATIVA EUROPEA REGOLAMENTO UE 305/2011 - PRODOTTI DA COSTRUZIONE CPR; TIPOLOGIA CONDUTTORI E SEZIONE ADEGUATI ALL'UTILIZZO. 
RM DERIVAZIONE D'IMPIANTO PUNTO LUCE COMANDATO; IMPIEGO: DERIVAZIONE D'IMPIANTO A VISTA A PARETE/A SOFFITTO. INCLUSO: TUBO PROTETTIVO; CONDUTTORI DI ALIMENTAZIONE E DI TERRA; SCATOLE DA INCASSO; FRUTTI COMPONIBILI; PLACCHE; SUPPORTI; TASSELLI/GANCI. ESCLUSO: ORGANO DI COMANDO SUL QUADRO 
SPECIFICHE TECNICHE: COMANDATO DAL QUADRO ELETTRICO; PER IMPIANTI DI ENERGIA; GRADO DI PROTEZIONE IP55; REALIZZATO CON TUBO PROTETTIVO RIGIDO DI PLASTICA POLIVINILCLORURO (PVC) AUTOESTINGUENTE; CONDUTTORI DI ALIMENTAZIONE E DI TERRA DI LEGA RAME GENERICO RICOTTO ISOLATO CONFORMI AI REQUISITI PREVISTI DALLA NORMATIVA EUROPEA REGOLAMENTO UE 305/2011 - PRODOTTI DA COSTRUZIONE CPR; TIPOLOGIA CONDUTTORI E SEZIONE ADEGUATI ALL'UTILIZZO 
LV INSTALLAZIONE IN OPERA. INCLUSO: LINEA DI COLLEGAMENTO ALLO SPECIFICO PUNTO DI ALIMENTAZIONE; FISSAGGIO DELLE CANALIZZAZIONI A MEZZO DI TASSELLI O GANCI; ASSISTENZA PER IL TRASPORTO DEI MATERIALI AL PIANO.</t>
        </is>
      </c>
      <c r="M552" s="4" t="inlineStr">
        <is>
          <t>CAD</t>
        </is>
      </c>
      <c r="N552" s="5" t="n">
        <v>5</v>
      </c>
      <c r="O552" s="6" t="n">
        <v>31.33</v>
      </c>
      <c r="P552" s="6" t="n">
        <v>156.65</v>
      </c>
      <c r="Q552" s="5" t="n"/>
      <c r="R552" s="6" t="n"/>
      <c r="S552" s="6">
        <f>IF(AND(Q552&lt;&gt;"",R552&lt;&gt;""),Q552*R552,"")</f>
        <v/>
      </c>
      <c r="T552" s="6">
        <f>IF(S552="",P552,S552)</f>
        <v/>
      </c>
      <c r="U552" s="7" t="n">
        <v>0</v>
      </c>
      <c r="V552" s="6">
        <f>$T552*U552</f>
        <v/>
      </c>
      <c r="W552" s="7" t="n">
        <v>0</v>
      </c>
      <c r="X552" s="6">
        <f>$T552*W552</f>
        <v/>
      </c>
      <c r="Y552" s="7" t="n">
        <v>0</v>
      </c>
      <c r="Z552" s="6">
        <f>$T552*Y552</f>
        <v/>
      </c>
      <c r="AA552" s="7" t="n">
        <v>0</v>
      </c>
      <c r="AB552" s="6">
        <f>$T552*AA552</f>
        <v/>
      </c>
      <c r="AC552" s="7" t="n">
        <v>0</v>
      </c>
      <c r="AD552" s="6">
        <f>$T552*AC552</f>
        <v/>
      </c>
      <c r="AE552" s="7" t="n">
        <v>0</v>
      </c>
      <c r="AF552" s="6">
        <f>$T552*AE552</f>
        <v/>
      </c>
      <c r="AG552" s="7" t="n">
        <v>0</v>
      </c>
      <c r="AH552" s="6">
        <f>$T552*AG552</f>
        <v/>
      </c>
      <c r="AI552" s="7">
        <f>U552+W552+Y552+AA552+AC552+AE552+AG552</f>
        <v/>
      </c>
      <c r="AJ552" s="6">
        <f>V552+X552+Z552+AB552+AD552+AF552+AH552</f>
        <v/>
      </c>
    </row>
    <row r="553" ht="60" customHeight="1" s="35">
      <c r="A553" s="3" t="inlineStr">
        <is>
          <t>LOM252.OC.EEA.PA01.G8237.ZA001.1005</t>
        </is>
      </c>
      <c r="B553" s="4" t="inlineStr">
        <is>
          <t>2/2</t>
        </is>
      </c>
      <c r="C553" s="3" t="inlineStr">
        <is>
          <t>IMPIANTO ELETTRICO</t>
        </is>
      </c>
      <c r="D553" s="4" t="inlineStr">
        <is>
          <t>SPECIALE</t>
        </is>
      </c>
      <c r="E553" s="4" t="inlineStr">
        <is>
          <t>ELETTRICHE SPECIALI</t>
        </is>
      </c>
      <c r="F553" s="3" t="inlineStr">
        <is>
          <t>3_CME IE RADIOFARMACIA PAVIA - REV02 VARIANTE ESECUTIVA.PDF</t>
        </is>
      </c>
      <c r="G553" s="4" t="inlineStr">
        <is>
          <t>57/57</t>
        </is>
      </c>
      <c r="H553" s="3" t="inlineStr">
        <is>
          <t>40 - IMPIANTISTICO</t>
        </is>
      </c>
      <c r="I553" s="3" t="inlineStr">
        <is>
          <t>RADIOFARMACIA</t>
        </is>
      </c>
      <c r="J553" s="3" t="inlineStr">
        <is>
          <t>IMPIANTO DI ILLUMINAZIONE</t>
        </is>
      </c>
      <c r="K553" s="3" t="inlineStr">
        <is>
          <t>OPERA: DERIVAZIONE D'IMPIANTO PUNTO LUCE, INTERROTTO; GEOMETRIA: INTERRUTTORE UNIPOLARE; IMPIEGO: DERIVAZIONE D'IMPIANTO DA INCASSO; TENSIONE NOMINALE SPIA [V] = 230. INCLUSO: TUBO PROTETTIVO; CONDUTT</t>
        </is>
      </c>
      <c r="L553" s="3" t="inlineStr">
        <is>
          <t>OPERA: DERIVAZIONE D'IMPIANTO PUNTO LUCE, INTERROTTO; GEOMETRIA: INTERRUTTORE UNIPOLARE; IMPIEGO: DERIVAZIONE D'IMPIANTO DA INCASSO; TENSIONE NOMINALE SPIA [V] = 230. INCLUSO: TUBO PROTETTIVO; CONDUTTORI DI ALIMENTAZIONE E DI TERRA; SCATOLE DA INCASSO; FRUTTI COMPONIBILI; PLACCHE; SUPPORTI; TASSELLI/GANCI. 
LAVORO: INSTALLAZIONE IN OPERA. INCLUSO: LINEA DI COLLEGAMENTO ALLO SPECIFICO PUNTO DI ALIMENTAZIONE; ASSISTENZA PER IL TRASPORTO DEI MATERIALI AL PIANO. 
SPECIFICHE TECNICHE: PER IMPIANTI DI ENERGIA; REALIZZATO CON TUBO PROTETTIVO FLESSIBILE O RIGIDO DI PLASTICA POLIVINILCLORURO (PVC) AD ALTA RESISTENZA ALLO SCHIACCIAMENTO; CONDUTTORI DI ALIMENTAZIONE E DI TERRA DI LEGA RAME GENERICO RICOTTO ISOLATO CONFORMI AI REQUISITI PREVISTI DALLA NORMATIVA EUROPEA REGOLAMENTO UE 305/2011 - PRODOTTI DA COSTRUZIONE CPR; TIPOLOGIA CONDUTTORI E SEZIONE ADEGUATI ALL'UTILIZZO. OP DERIVAZIONE D'IMPIANTO PUNTO LUCE, INTERROTTO; GEOMETRIA: INTERRUTTORE UNIPOLARE; IMPIEGO: DERIVAZIONE D'IMPIANTO DA INCASSO; TENSIONE NOMINALE SPIA [V] = 230. INCLUSO: TUBO PROTETTIVO; CONDUTTORI DI ALIMENTAZIONE E DI TERRA; SCATOLE DA INCASSO; FRUTTI COMPONIBILI; PLACCHE; SUPPORTI; TASSELLI/GANCI. 
SPECIFICHE TECNICHE: PER IMPIANTI DI ENERGIA; REALIZZATO CON TUBO PROTETTIVO FLESSIBILE O RIGIDO DI PLASTICA POLIVINILCLORURO (PVC) AD ALTA RESISTENZA ALLO SCHIACCIAMENTO; CONDUTTORI DI ALIMENTAZIONE E DI TERRA DI LEGA RAME GENERICO RICOTTO ISOLATO CONFORMI AI REQUISITI PREVISTI DALLA NORMATIVA EUROPEA REGOLAMENTO UE 305/2011 - PRODOTTI DA COSTRUZIONE CPR; TIPOLOGIA CONDUTTORI E SEZIONE ADEGUATI ALL'UTILIZZO. 
RM DERIVAZIONE D'IMPIANTO PUNTO LUCE INTERROTTO; GEOMETRIA: INTERRUTTORE UNIPOLARE; IMPIEGO: DERIVAZIONE D'IMPIANTO DA INCASSO; TENSIONE NOMINALE SPIA [V] = 230. INCLUSO: TUBO PROTETTIVO; CONDUTTORI DI ALIMENTAZIONE E DI TERRA; SCATOLE DA INCASSO; FRUTTI COMPONIBILI; PLACCHE; SUPPORTI; TASSELLI/GANCI 
SPECIFICHE TECNICHE: PER IMPIANTI DI ENERGIA; REALIZZATO CON TUBO PROTETTIVO FLESSIBILE O RIGIDO DI PLASTICA POLIVINILCLORURO (PVC) AD ALTA RESISTENZA ALLO SCHIACCIAMENTO; CONDUTTORI DI ALIMENTAZIONE E DI TERRA DI LEGA RAME GENERICO RICOTTO ISOLATO CONFORMI AI REQUISITI PREVISTI DALLA NORMATIVA EUROPEA REGOLAMENTO UE 305/2011 - PRODOTTI DA COSTRUZIONE CPR; TIPOLOGIA CONDUTTORI E SEZIONE ADEGUATI ALL'UTILIZZO 
LV INSTALLAZIONE IN OPERA. INCLUSO: LINEA DI COLLEGAMENTO ALLO SPECIFICO PUNTO DI ALIMENTAZIONE; ASSISTENZA PER IL TRASPORTO DEI MATERIALI AL PIANO.</t>
        </is>
      </c>
      <c r="M553" s="4" t="inlineStr">
        <is>
          <t>CAD</t>
        </is>
      </c>
      <c r="N553" s="5" t="n">
        <v>14</v>
      </c>
      <c r="O553" s="6" t="n">
        <v>48.82</v>
      </c>
      <c r="P553" s="6" t="n">
        <v>683.48</v>
      </c>
      <c r="Q553" s="5" t="n"/>
      <c r="R553" s="6" t="n"/>
      <c r="S553" s="6">
        <f>IF(AND(Q553&lt;&gt;"",R553&lt;&gt;""),Q553*R553,"")</f>
        <v/>
      </c>
      <c r="T553" s="6">
        <f>IF(S553="",P553,S553)</f>
        <v/>
      </c>
      <c r="U553" s="7" t="n">
        <v>0</v>
      </c>
      <c r="V553" s="6">
        <f>$T553*U553</f>
        <v/>
      </c>
      <c r="W553" s="7" t="n">
        <v>0</v>
      </c>
      <c r="X553" s="6">
        <f>$T553*W553</f>
        <v/>
      </c>
      <c r="Y553" s="7" t="n">
        <v>0</v>
      </c>
      <c r="Z553" s="6">
        <f>$T553*Y553</f>
        <v/>
      </c>
      <c r="AA553" s="7" t="n">
        <v>0</v>
      </c>
      <c r="AB553" s="6">
        <f>$T553*AA553</f>
        <v/>
      </c>
      <c r="AC553" s="7" t="n">
        <v>0</v>
      </c>
      <c r="AD553" s="6">
        <f>$T553*AC553</f>
        <v/>
      </c>
      <c r="AE553" s="7" t="n">
        <v>0</v>
      </c>
      <c r="AF553" s="6">
        <f>$T553*AE553</f>
        <v/>
      </c>
      <c r="AG553" s="7" t="n">
        <v>0</v>
      </c>
      <c r="AH553" s="6">
        <f>$T553*AG553</f>
        <v/>
      </c>
      <c r="AI553" s="7">
        <f>U553+W553+Y553+AA553+AC553+AE553+AG553</f>
        <v/>
      </c>
      <c r="AJ553" s="6">
        <f>V553+X553+Z553+AB553+AD553+AF553+AH553</f>
        <v/>
      </c>
    </row>
    <row r="554" ht="60" customHeight="1" s="35">
      <c r="A554" s="3" t="inlineStr">
        <is>
          <t>LOM252.OC.EEA.PA01.G8237.ZA001.0000</t>
        </is>
      </c>
      <c r="B554" s="4" t="inlineStr">
        <is>
          <t>2/2</t>
        </is>
      </c>
      <c r="C554" s="3" t="inlineStr">
        <is>
          <t>IMPIANTO ELETTRICO</t>
        </is>
      </c>
      <c r="D554" s="4" t="inlineStr">
        <is>
          <t>SPECIALE</t>
        </is>
      </c>
      <c r="E554" s="4" t="inlineStr">
        <is>
          <t>ELETTRICHE SPECIALI</t>
        </is>
      </c>
      <c r="F554" s="3" t="inlineStr">
        <is>
          <t>3_CME IE RADIOFARMACIA PAVIA - REV02 VARIANTE ESECUTIVA.PDF</t>
        </is>
      </c>
      <c r="G554" s="4" t="inlineStr">
        <is>
          <t>58/58</t>
        </is>
      </c>
      <c r="H554" s="3" t="inlineStr">
        <is>
          <t>40 - IMPIANTISTICO</t>
        </is>
      </c>
      <c r="I554" s="3" t="inlineStr">
        <is>
          <t>RADIOFARMACIA</t>
        </is>
      </c>
      <c r="J554" s="3" t="inlineStr">
        <is>
          <t>IMPIANTO DI ILLUMINAZIONE</t>
        </is>
      </c>
      <c r="K554" s="3" t="inlineStr">
        <is>
          <t>OPERA: DERIVAZIONE D'IMPIANTO PUNTO LUCE, A RELÈ; GEOMETRIA: INTERRUTTORE BIPOLARE; IMPIEGO: DERIVAZIONE D'IMPIANTO DA INCASSO. INCLUSO: RELÈ PASSO-PASSO BIPOLARE DA CASSETTA; TUBO PROTETTIVO; CONDUTT</t>
        </is>
      </c>
      <c r="L554" s="3" t="inlineStr">
        <is>
          <t>OPERA: DERIVAZIONE D'IMPIANTO PUNTO LUCE, A RELÈ; GEOMETRIA: INTERRUTTORE BIPOLARE; IMPIEGO: DERIVAZIONE D'IMPIANTO DA INCASSO. INCLUSO: RELÈ PASSO-PASSO BIPOLARE DA CASSETTA; TUBO PROTETTIVO; CONDUTTORI DI ALIMENTAZIONE E DI TERRA; SCATOLE DA INCASSO; FRUTTI COMPONIBILI; PLACCHE; SUPPORTI; TASSELLI/GANCI. 
LAVORO: INSTALLAZIONE IN OPERA. INCLUSO: LINEA DI COLLEGAMENTO ALLO SPECIFICO PUNTO DI ALIMENTAZIONE; FISSAGGIO DELLE CANALIZZAZIONI A MEZZO DI TASSELLI O GANCI; ASSISTENZA PER IL TRASPORTO DEI MATERIALI AL PIANO. 
SPECIFICHE TECNICHE: PER IMPIANTI DI ENERGIA; REALIZZATO CON TUBO PROTETTIVO FLESSIBILE O RIGIDO DI PLASTICA POLIVINILCLORURO (PVC) AD ALTA RESISTENZA ALLO SCHIACCIAMENTO; CONDUTTORI DI ALIMENTAZIONE E DI TERRA DI LEGA RAME GENERICO RICOTTO ISOLATO CONFORMI AI REQUISITI PREVISTI DALLA NORMATIVA EUROPEA REGOLAMENTO UE 305/2011 - PRODOTTI DA COSTRUZIONE CPR; TIPOLOGIA CONDUTTORI E SEZIONE ADEGUATI ALL'UTILIZZO. OP DERIVAZIONE D'IMPIANTO PUNTO LUCE, A RELÈ; GEOMETRIA: INTERRUTTORE BIPOLARE; IMPIEGO: DERIVAZIONE D'IMPIANTO DA INCASSO. INCLUSO: RELÈ PASSO-PASSO BIPOLARE DA CASSETTA; TUBO PROTETTIVO; CONDUTTORI DI ALIMENTAZIONE E DI TERRA; SCATOLE DA INCASSO; FRUTTI COMPONIBILI; PLACCHE; SUPPORTI; TASSELLI/GANCI. 
SPECIFICHE TECNICHE: PER IMPIANTI DI ENERGIA; REALIZZATO CON TUBO PROTETTIVO FLESSIBILE O RIGIDO DI PLASTICA POLIVINILCLORURO (PVC) AD ALTA RESISTENZA ALLO SCHIACCIAMENTO; CONDUTTORI DI ALIMENTAZIONE E DI TERRA DI LEGA RAME GENERICO RICOTTO ISOLATO CONFORMI AI REQUISITI PREVISTI DALLA NORMATIVA EUROPEA REGOLAMENTO UE 305/2011 - PRODOTTI DA COSTRUZIONE CPR; TIPOLOGIA CONDUTTORI E SEZIONE ADEGUATI ALL'UTILIZZO. 
RM DERIVAZIONE D'IMPIANTO PUNTO LUCE A RELÈ; GEOMETRIA: INTERRUTTORE BIPOLARE; IMPIEGO: DERIVAZIONE D'IMPIANTO DA INCASSO. INCLUSO: RELÈ PASSO-PASSO BIPOLARE DA CASSETTA; TUBO PROTETTIVO; CONDUTTORI DI ALIMENTAZIONE E DI TERRA; SCATOLE DA INCASSO; FRUTTI COMPONIBILI; PLACCHE; SUPPORTI; TASSELLI/GANCI 
SPECIFICHE TECNICHE: PER IMPIANTI DI ENERGIA; REALIZZATO CON TUBO PROTETTIVO FLESSIBILE O RIGIDO DI PLASTICA POLIVINILCLORURO (PVC) AD ALTA RESISTENZA ALLO SCHIACCIAMENTO; CONDUTTORI DI ALIMENTAZIONE E DI TERRA DI LEGA RAME GENERICO RICOTTO ISOLATO CONFORMI AI REQUISITI PREVISTI DALLA NORMATIVA EUROPEA REGOLAMENTO UE 305/2011 - PRODOTTI DA COSTRUZIONE CPR; TIPOLOGIA CONDUTTORI E SEZIONE ADEGUATI ALL'UTILIZZO 
LV INSTALLAZIONE IN OPERA. INCLUSO: LINEA DI COLLEGAMENTO ALLO SPECIFICO PUNTO DI ALIMENTAZIONE; FISSAGGIO DELLE CANALIZZAZIONI A MEZZO DI TASSELLI O GANCI; ASSISTENZA PER IL TRASPORTO DEI MATERIALI AL PIANO.</t>
        </is>
      </c>
      <c r="M554" s="4" t="inlineStr">
        <is>
          <t>CAD</t>
        </is>
      </c>
      <c r="N554" s="5" t="n">
        <v>5</v>
      </c>
      <c r="O554" s="6" t="n">
        <v>52.37</v>
      </c>
      <c r="P554" s="6" t="n">
        <v>261.85</v>
      </c>
      <c r="Q554" s="5" t="n"/>
      <c r="R554" s="6" t="n"/>
      <c r="S554" s="6">
        <f>IF(AND(Q554&lt;&gt;"",R554&lt;&gt;""),Q554*R554,"")</f>
        <v/>
      </c>
      <c r="T554" s="6">
        <f>IF(S554="",P554,S554)</f>
        <v/>
      </c>
      <c r="U554" s="7" t="n">
        <v>0</v>
      </c>
      <c r="V554" s="6">
        <f>$T554*U554</f>
        <v/>
      </c>
      <c r="W554" s="7" t="n">
        <v>0</v>
      </c>
      <c r="X554" s="6">
        <f>$T554*W554</f>
        <v/>
      </c>
      <c r="Y554" s="7" t="n">
        <v>0</v>
      </c>
      <c r="Z554" s="6">
        <f>$T554*Y554</f>
        <v/>
      </c>
      <c r="AA554" s="7" t="n">
        <v>0</v>
      </c>
      <c r="AB554" s="6">
        <f>$T554*AA554</f>
        <v/>
      </c>
      <c r="AC554" s="7" t="n">
        <v>0</v>
      </c>
      <c r="AD554" s="6">
        <f>$T554*AC554</f>
        <v/>
      </c>
      <c r="AE554" s="7" t="n">
        <v>0</v>
      </c>
      <c r="AF554" s="6">
        <f>$T554*AE554</f>
        <v/>
      </c>
      <c r="AG554" s="7" t="n">
        <v>0</v>
      </c>
      <c r="AH554" s="6">
        <f>$T554*AG554</f>
        <v/>
      </c>
      <c r="AI554" s="7">
        <f>U554+W554+Y554+AA554+AC554+AE554+AG554</f>
        <v/>
      </c>
      <c r="AJ554" s="6">
        <f>V554+X554+Z554+AB554+AD554+AF554+AH554</f>
        <v/>
      </c>
    </row>
    <row r="555" ht="60" customHeight="1" s="35">
      <c r="A555" s="3" t="inlineStr">
        <is>
          <t>LOM252.OC.EEA.PA01.G8237.ZA001.0020</t>
        </is>
      </c>
      <c r="B555" s="4" t="inlineStr">
        <is>
          <t>1/1</t>
        </is>
      </c>
      <c r="C555" s="3" t="inlineStr">
        <is>
          <t>IMPIANTO ELETTRICO</t>
        </is>
      </c>
      <c r="D555" s="4" t="inlineStr">
        <is>
          <t>SPECIALE</t>
        </is>
      </c>
      <c r="E555" s="4" t="inlineStr">
        <is>
          <t>ELETTRICHE SPECIALI</t>
        </is>
      </c>
      <c r="F555" s="3" t="inlineStr">
        <is>
          <t>3_CME IE RADIOFARMACIA PAVIA - REV02 VARIANTE ESECUTIVA.PDF</t>
        </is>
      </c>
      <c r="G555" s="4" t="inlineStr">
        <is>
          <t>59/59</t>
        </is>
      </c>
      <c r="H555" s="3" t="inlineStr">
        <is>
          <t>40 - IMPIANTISTICO</t>
        </is>
      </c>
      <c r="I555" s="3" t="inlineStr">
        <is>
          <t>RADIOFARMACIA</t>
        </is>
      </c>
      <c r="J555" s="3" t="inlineStr">
        <is>
          <t>IMPIANTO DI ILLUMINAZIONE</t>
        </is>
      </c>
      <c r="K555" s="3" t="inlineStr">
        <is>
          <t>OPERA: DERIVAZIONE D'IMPIANTO PUNTO LUCE, A RELÈ; GEOMETRIA: INTERRUTTORE BIPOLARE; IMPIEGO: DERIVAZIONE D'IMPIANTO A VISTA A PARETE/A SOFFITTO. INCLUSO: RELÈ PASSO-PASSO BIPOLARE DA CASSETTA; TUBO PR</t>
        </is>
      </c>
      <c r="L555" s="3" t="inlineStr">
        <is>
          <t>OPERA: DERIVAZIONE D'IMPIANTO PUNTO LUCE, A RELÈ; GEOMETRIA: INTERRUTTORE BIPOLARE; IMPIEGO: DERIVAZIONE D'IMPIANTO A VISTA A PARETE/A SOFFITTO. INCLUSO: RELÈ PASSO-PASSO BIPOLARE DA CASSETTA; TUBO PROTETTIVO; CONDUTTORI DI ALIMENTAZIONE E DI TERRA; SCATOLE DA INCASSO; FRUTTI COMPONIBILI; PLACCHE; SUPPORTI; TASSELLI/GANCI. 
LAVORO: INSTALLAZIONE IN OPERA. INCLUSO: LINEA DI COLLEGAMENTO ALLO SPECIFICO PUNTO DI ALIMENTAZIONE; FISSAGGIO DELLE CANALIZZAZIONI A MEZZO DI TASSELLI O GANCI; ASSISTENZA PER IL TRASPORTO DEI MATERIALI AL PIANO. 
SPECIFICHE TECNICHE: PER IMPIANTI DI ENERGIA; GRADO DI PROTEZIONE IP55; REALIZZATO CON TUBO PROTETTIVO RIGIDO DI PLASTICA POLIVINILCLORURO (PVC) AUTOESTINGUENTE; CONDUTTORI DI ALIMENTAZIONE E DI TERRA DI LEGA RAME GENERICO RICOTTO ISOLATO CONFORMI AI REQUISITI PREVISTI DALLA NORMATIVA EUROPEA REGOLAMENTO UE 305/2011 - PRODOTTI DA COSTRUZIONE CPR; TIPOLOGIA CONDUTTORI E SEZIONE ADEGUATI ALL'UTILIZZO. OP DERIVAZIONE D'IMPIANTO PUNTO LUCE, A RELÈ; GEOMETRIA: INTERRUTTORE BIPOLARE; IMPIEGO: DERIVAZIONE D'IMPIANTO A VISTA A PARETE/A SOFFITTO. INCLUSO: RELÈ PASSO-PASSO BIPOLARE DA CASSETTA; TUBO PROTETTIVO; CONDUTTORI DI ALIMENTAZIONE E DI TERRA; SCATOLE DA INCASSO; FRUTTI COMPONIBILI; PLACCHE; SUPPORTI; TASSELLI/GANCI. 
SPECIFICHE TECNICHE: PER IMPIANTI DI ENERGIA; GRADO DI PROTEZIONE IP55; REALIZZATO CON TUBO PROTETTIVO RIGIDO DI PLASTICA POLIVINILCLORURO (PVC) AUTOESTINGUENTE; CONDUTTORI DI ALIMENTAZIONE E DI TERRA DI LEGA RAME GENERICO RICOTTO ISOLATO CONFORMI AI REQUISITI PREVISTI DALLA NORMATIVA EUROPEA REGOLAMENTO UE 305/2011 - PRODOTTI DA COSTRUZIONE CPR; TIPOLOGIA CONDUTTORI E SEZIONE ADEGUATI ALL'UTILIZZO. 
RM DERIVAZIONE D'IMPIANTO PUNTO LUCE A RELÈ; GEOMETRIA: INTERRUTTORE BIPOLARE; IMPIEGO: DERIVAZIONE D'IMPIANTO A VISTA A PARETE/A SOFFITTO. INCLUSO: RELÈ PASSO-PASSO BIPOLARE DA CASSETTA; TUBO PROTETTIVO; CONDUTTORI DI ALIMENTAZIONE E DI TERRA; SCATOLE DA INCASSO; FRUTTI COMPONIBILI; PLACCHE; SUPPORTI; TASSELLI/GANCI 
SPECIFICHE TECNICHE: PER IMPIANTI DI ENERGIA; GRADO DI PROTEZIONE IP55; REALIZZATO CON TUBO PROTETTIVO RIGIDO DI PLASTICA POLIVINILCLORURO (PVC) AUTOESTINGUENTE; CONDUTTORI DI ALIMENTAZIONE E DI TERRA DI LEGA RAME GENERICO RICOTTO ISOLATO CONFORMI AI REQUISITI PREVISTI DALLA NORMATIVA EUROPEA REGOLAMENTO UE 305/2011 - PRODOTTI DA COSTRUZIONE CPR; TIPOLOGIA CONDUTTORI E SEZIONE ADEGUATI ALL'UTILIZZO 
LV INSTALLAZIONE IN OPERA. INCLUSO: LINEA DI COLLEGAMENTO ALLO SPECIFICO PUNTO DI ALIMENTAZIONE; FISSAGGIO DELLE CANALIZZAZIONI A MEZZO DI TASSELLI O GANCI; ASSISTENZA PER IL TRASPORTO DEI MATERIALI AL PIANO.</t>
        </is>
      </c>
      <c r="M555" s="4" t="inlineStr">
        <is>
          <t>CAD</t>
        </is>
      </c>
      <c r="N555" s="5" t="n">
        <v>4</v>
      </c>
      <c r="O555" s="6" t="n">
        <v>58.3</v>
      </c>
      <c r="P555" s="6" t="n">
        <v>233.2</v>
      </c>
      <c r="Q555" s="5" t="n"/>
      <c r="R555" s="6" t="n"/>
      <c r="S555" s="6">
        <f>IF(AND(Q555&lt;&gt;"",R555&lt;&gt;""),Q555*R555,"")</f>
        <v/>
      </c>
      <c r="T555" s="6">
        <f>IF(S555="",P555,S555)</f>
        <v/>
      </c>
      <c r="U555" s="7" t="n">
        <v>0</v>
      </c>
      <c r="V555" s="6">
        <f>$T555*U555</f>
        <v/>
      </c>
      <c r="W555" s="7" t="n">
        <v>0</v>
      </c>
      <c r="X555" s="6">
        <f>$T555*W555</f>
        <v/>
      </c>
      <c r="Y555" s="7" t="n">
        <v>0</v>
      </c>
      <c r="Z555" s="6">
        <f>$T555*Y555</f>
        <v/>
      </c>
      <c r="AA555" s="7" t="n">
        <v>0</v>
      </c>
      <c r="AB555" s="6">
        <f>$T555*AA555</f>
        <v/>
      </c>
      <c r="AC555" s="7" t="n">
        <v>0</v>
      </c>
      <c r="AD555" s="6">
        <f>$T555*AC555</f>
        <v/>
      </c>
      <c r="AE555" s="7" t="n">
        <v>0</v>
      </c>
      <c r="AF555" s="6">
        <f>$T555*AE555</f>
        <v/>
      </c>
      <c r="AG555" s="7" t="n">
        <v>0</v>
      </c>
      <c r="AH555" s="6">
        <f>$T555*AG555</f>
        <v/>
      </c>
      <c r="AI555" s="7">
        <f>U555+W555+Y555+AA555+AC555+AE555+AG555</f>
        <v/>
      </c>
      <c r="AJ555" s="6">
        <f>V555+X555+Z555+AB555+AD555+AF555+AH555</f>
        <v/>
      </c>
    </row>
    <row r="556" ht="60" customHeight="1" s="35">
      <c r="A556" s="3" t="inlineStr">
        <is>
          <t>LOM252.OC.EEA.PA01.G8237.ZA001.0750</t>
        </is>
      </c>
      <c r="B556" s="4" t="inlineStr">
        <is>
          <t>2/2</t>
        </is>
      </c>
      <c r="C556" s="3" t="inlineStr">
        <is>
          <t>IMPIANTO ELETTRICO</t>
        </is>
      </c>
      <c r="D556" s="4" t="inlineStr">
        <is>
          <t>SPECIALE</t>
        </is>
      </c>
      <c r="E556" s="4" t="inlineStr">
        <is>
          <t>ELETTRICHE SPECIALI</t>
        </is>
      </c>
      <c r="F556" s="3" t="inlineStr">
        <is>
          <t>3_CME IE RADIOFARMACIA PAVIA - REV02 VARIANTE ESECUTIVA.PDF</t>
        </is>
      </c>
      <c r="G556" s="4" t="inlineStr">
        <is>
          <t>60/60</t>
        </is>
      </c>
      <c r="H556" s="3" t="inlineStr">
        <is>
          <t>40 - IMPIANTISTICO</t>
        </is>
      </c>
      <c r="I556" s="3" t="inlineStr">
        <is>
          <t>RADIOFARMACIA</t>
        </is>
      </c>
      <c r="J556" s="3" t="inlineStr">
        <is>
          <t>IMPIANTO DI ILLUMINAZIONE</t>
        </is>
      </c>
      <c r="K556" s="3" t="inlineStr">
        <is>
          <t>OPERA: DERIVAZIONE D'IMPIANTO PUNTO LUCE, IN PARALLELO; IMPIEGO: DERIVAZIONE D'IMPIANTO DA INCASSO. INCLUSO: TUBO PROTETTIVO; CONDUTTORI DI ALIMENTAZIONE E DI TERRA; SCATOLE DA INCASSO; FRUTTI COMPONI</t>
        </is>
      </c>
      <c r="L556" s="3" t="inlineStr">
        <is>
          <t>OPERA: DERIVAZIONE D'IMPIANTO PUNTO LUCE, IN PARALLELO; IMPIEGO: DERIVAZIONE D'IMPIANTO DA INCASSO. INCLUSO: TUBO PROTETTIVO; CONDUTTORI DI ALIMENTAZIONE E DI TERRA; SCATOLE DA INCASSO; FRUTTI COMPONIBILI; PLACCHE; SUPPORTI; TASSELLI/GANCI. 
LAVORO: INSTALLAZIONE IN OPERA. INCLUSO: LINEA DI COLLEGAMENTO ALLO SPECIFICO PUNTO DI ALIMENTAZIONE; FISSAGGIO DELLE CANALIZZAZIONI A MEZZO DI TASSELLI O GANCI; ASSISTENZA PER IL TRASPORTO DEI MATERIALI AL PIANO. 
SPECIFICHE TECNICHE: IN PARALLELO AD UNA QUALSIASI DERIVAZIONE; PER IMPIANTI DI ENERGIA; REALIZZATO CON TUBO PROTETTIVO FLESSIBILE O RIGIDO DI PLASTICA POLIVINILCLORURO (PVC) AD ALTA RESISTENZA ALLO SCHIACCIAMENTO; CONDUTTORI DI ALIMENTAZIONE E DI TERRA DI LEGA RAME GENERICO RICOTTO ISOLATO CONFORMI AI REQUISITI PREVISTI DALLA NORMATIVA EUROPEA REGOLAMENTO UE 305/2011 - PRODOTTI DA COSTRUZIONE CPR; TIPOLOGIA CONDUTTORI E SEZIONE ADEGUATI ALL'UTILIZZO. OP DERIVAZIONE D'IMPIANTO PUNTO LUCE, IN PARALLELO; IMPIEGO: DERIVAZIONE D'IMPIANTO DA INCASSO. INCLUSO: TUBO PROTETTIVO; CONDUTTORI DI ALIMENTAZIONE E DI TERRA; SCATOLE DA INCASSO; FRUTTI COMPONIBILI; PLACCHE; SUPPORTI; TASSELLI/GANCI. 
SPECIFICHE TECNICHE: IN PARALLELO AD UNA QUALSIASI DERIVAZIONE; PER IMPIANTI DI ENERGIA; REALIZZATO CON TUBO PROTETTIVO FLESSIBILE O RIGIDO DI PLASTICA POLIVINILCLORURO (PVC) AD ALTA RESISTENZA ALLO SCHIACCIAMENTO; CONDUTTORI DI ALIMENTAZIONE E DI TERRA DI LEGA RAME GENERICO RICOTTO ISOLATO CONFORMI AI REQUISITI PREVISTI DALLA NORMATIVA EUROPEA REGOLAMENTO UE 305/2011 - PRODOTTI DA COSTRUZIONE CPR; TIPOLOGIA CONDUTTORI E SEZIONE ADEGUATI ALL'UTILIZZO. 
RM DERIVAZIONE D'IMPIANTO PUNTO LUCE IN PARALLELO; IMPIEGO: DERIVAZIONE D'IMPIANTO DA INCASSO. INCLUSO: TUBO PROTETTIVO; CONDUTTORI DI ALIMENTAZIONE E DI TERRA; SCATOLE DA INCASSO; FRUTTI COMPONIBILI; PLACCHE; SUPPORTI; TASSELLI/GANCI 
SPECIFICHE TECNICHE: IN PARALLELO AD UNA QUALSIASI DERIVAZIONE; PER IMPIANTI DI ENERGIA; REALIZZATO CON TUBO PROTETTIVO FLESSIBILE O RIGIDO DI PLASTICA POLIVINILCLORURO (PVC) AD ALTA RESISTENZA ALLO SCHIACCIAMENTO; CONDUTTORI DI ALIMENTAZIONE E DI TERRA DI LEGA RAME GENERICO RICOTTO ISOLATO CONFORMI AI REQUISITI PREVISTI DALLA NORMATIVA EUROPEA REGOLAMENTO UE 305/2011 - PRODOTTI DA COSTRUZIONE CPR; TIPOLOGIA CONDUTTORI E SEZIONE ADEGUATI ALL'UTILIZZO 
LV INSTALLAZIONE IN OPERA. INCLUSO: LINEA DI COLLEGAMENTO ALLO SPECIFICO PUNTO DI ALIMENTAZIONE; FISSAGGIO DELLE CANALIZZAZIONI A MEZZO DI TASSELLI O GANCI; ASSISTENZA PER IL TRASPORTO DEI MATERIALI AL PIANO.</t>
        </is>
      </c>
      <c r="M556" s="4" t="inlineStr">
        <is>
          <t>CAD</t>
        </is>
      </c>
      <c r="N556" s="5" t="n">
        <v>67</v>
      </c>
      <c r="O556" s="6" t="n">
        <v>31.33</v>
      </c>
      <c r="P556" s="6" t="n">
        <v>2099.11</v>
      </c>
      <c r="Q556" s="5" t="n"/>
      <c r="R556" s="6" t="n"/>
      <c r="S556" s="6">
        <f>IF(AND(Q556&lt;&gt;"",R556&lt;&gt;""),Q556*R556,"")</f>
        <v/>
      </c>
      <c r="T556" s="6">
        <f>IF(S556="",P556,S556)</f>
        <v/>
      </c>
      <c r="U556" s="7" t="n">
        <v>0</v>
      </c>
      <c r="V556" s="6">
        <f>$T556*U556</f>
        <v/>
      </c>
      <c r="W556" s="7" t="n">
        <v>0</v>
      </c>
      <c r="X556" s="6">
        <f>$T556*W556</f>
        <v/>
      </c>
      <c r="Y556" s="7" t="n">
        <v>0</v>
      </c>
      <c r="Z556" s="6">
        <f>$T556*Y556</f>
        <v/>
      </c>
      <c r="AA556" s="7" t="n">
        <v>0</v>
      </c>
      <c r="AB556" s="6">
        <f>$T556*AA556</f>
        <v/>
      </c>
      <c r="AC556" s="7" t="n">
        <v>0</v>
      </c>
      <c r="AD556" s="6">
        <f>$T556*AC556</f>
        <v/>
      </c>
      <c r="AE556" s="7" t="n">
        <v>0</v>
      </c>
      <c r="AF556" s="6">
        <f>$T556*AE556</f>
        <v/>
      </c>
      <c r="AG556" s="7" t="n">
        <v>0</v>
      </c>
      <c r="AH556" s="6">
        <f>$T556*AG556</f>
        <v/>
      </c>
      <c r="AI556" s="7">
        <f>U556+W556+Y556+AA556+AC556+AE556+AG556</f>
        <v/>
      </c>
      <c r="AJ556" s="6">
        <f>V556+X556+Z556+AB556+AD556+AF556+AH556</f>
        <v/>
      </c>
    </row>
    <row r="557" ht="60" customHeight="1" s="35">
      <c r="A557" s="3" t="inlineStr">
        <is>
          <t>LOM252.OC.EEA.PA01.G8237.ZA001.0760</t>
        </is>
      </c>
      <c r="B557" s="4" t="inlineStr">
        <is>
          <t>6/6</t>
        </is>
      </c>
      <c r="C557" s="3" t="inlineStr">
        <is>
          <t>IMPIANTO ELETTRICO</t>
        </is>
      </c>
      <c r="D557" s="4" t="inlineStr">
        <is>
          <t>SPECIALE</t>
        </is>
      </c>
      <c r="E557" s="4" t="inlineStr">
        <is>
          <t>ELETTRICHE SPECIALI</t>
        </is>
      </c>
      <c r="F557" s="3" t="inlineStr">
        <is>
          <t>3_CME IE RADIOFARMACIA PAVIA - REV02 VARIANTE ESECUTIVA.PDF</t>
        </is>
      </c>
      <c r="G557" s="4" t="inlineStr">
        <is>
          <t>61/61</t>
        </is>
      </c>
      <c r="H557" s="3" t="inlineStr">
        <is>
          <t>40 - IMPIANTISTICO</t>
        </is>
      </c>
      <c r="I557" s="3" t="inlineStr">
        <is>
          <t>RADIOFARMACIA</t>
        </is>
      </c>
      <c r="J557" s="3" t="inlineStr">
        <is>
          <t>IMPIANTO DI ILLUMINAZIONE</t>
        </is>
      </c>
      <c r="K557" s="3" t="inlineStr">
        <is>
          <t>OPERA: DERIVAZIONE D'IMPIANTO PUNTO LUCE, IN PARALLELO; IMPIEGO: DERIVAZIONE D'IMPIANTO A VISTA A PARETE/A SOFFITTO. INCLUSO: TUBO PROTETTIVO; CONDUTTORI DI ALIMENTAZIONE E DI TERRA; SCATOLE DA INCASS</t>
        </is>
      </c>
      <c r="L557" s="3" t="inlineStr">
        <is>
          <t>OPERA: DERIVAZIONE D'IMPIANTO PUNTO LUCE, IN PARALLELO; IMPIEGO: DERIVAZIONE D'IMPIANTO A VISTA A PARETE/A SOFFITTO. INCLUSO: TUBO PROTETTIVO; CONDUTTORI DI ALIMENTAZIONE E DI TERRA; SCATOLE DA INCASSO; FRUTTI COMPONIBILI; PLACCHE; SUPPORTI; TASSELLI/GANCI. 
LAVORO: INSTALLAZIONE IN OPERA. INCLUSO: LINEA DI COLLEGAMENTO ALLO SPECIFICO PUNTO DI ALIMENTAZIONE; FISSAGGIO DELLE CANALIZZAZIONI A MEZZO DI TASSELLI O GANCI; ASSISTENZA PER IL TRASPORTO DEI MATERIALI AL PIANO. 
SPECIFICHE TECNICHE: IN PARALLELO AD UNA QUALSIASI DERIVAZIONE; PER IMPIANTI DI ENERGIA; GRADO DI PROTEZIONE IP55; REALIZZATO CON TUBO PROTETTIVO RIGIDO DI PLASTICA POLIVINILCLORURO (PVC) AUTOESTINGUENTE; CONDUTTORI DI ALIMENTAZIONE E DI TERRA DI LEGA RAME GENERICO RICOTTO ISOLATO CONFORMI AI REQUISITI PREVISTI DALLA NORMATIVA EUROPEA REGOLAMENTO UE 305/2011 - PRODOTTI DA COSTRUZIONE CPR; TIPOLOGIA CONDUTTORI E SEZIONE ADEGUATI ALL'UTILIZZO. OP DERIVAZIONE D'IMPIANTO PUNTO LUCE, IN PARALLELO; IMPIEGO: DERIVAZIONE D'IMPIANTO A VISTA A PARETE/A SOFFITTO. INCLUSO: TUBO PROTETTIVO; CONDUTTORI DI ALIMENTAZIONE E DI TERRA; SCATOLE DA INCASSO; FRUTTI COMPONIBILI; PLACCHE; SUPPORTI; TASSELLI/GANCI. 
SPECIFICHE TECNICHE: IN PARALLELO AD UNA QUALSIASI DERIVAZIONE; PER IMPIANTI DI ENERGIA; GRADO DI PROTEZIONE IP55; REALIZZATO CON TUBO PROTETTIVO RIGIDO DI PLASTICA POLIVINILCLORURO (PVC) AUTOESTINGUENTE; CONDUTTORI DI ALIMENTAZIONE E DI TERRA DI LEGA RAME GENERICO RICOTTO ISOLATO CONFORMI AI REQUISITI PREVISTI DALLA NORMATIVA EUROPEA REGOLAMENTO UE 305/2011 - PRODOTTI DA COSTRUZIONE CPR; TIPOLOGIA CONDUTTORI E SEZIONE ADEGUATI ALL'UTILIZZO. 
RM DERIVAZIONE D'IMPIANTO PUNTO LUCE IN PARALLELO; IMPIEGO: DERIVAZIONE D'IMPIANTO A VISTA A PARETE/A SOFFITTO. INCLUSO: TUBO PROTETTIVO; CONDUTTORI DI ALIMENTAZIONE E DI TERRA; SCATOLE DA INCASSO; FRUTTI COMPONIBILI; PLACCHE; SUPPORTI; TASSELLI/GANCI 
SPECIFICHE TECNICHE: IN PARALLELO AD UNA QUALSIASI DERIVAZIONE; PER IMPIANTI DI ENERGIA; GRADO DI PROTEZIONE IP55; REALIZZATO CON TUBO PROTETTIVO RIGIDO DI PLASTICA POLIVINILCLORURO (PVC) AUTOESTINGUENTE; CONDUTTORI DI ALIMENTAZIONE E DI TERRA DI LEGA RAME GENERICO RICOTTO ISOLATO CONFORMI AI REQUISITI PREVISTI DALLA NORMATIVA EUROPEA REGOLAMENTO UE 305/2011 - PRODOTTI DA COSTRUZIONE CPR; TIPOLOGIA CONDUTTORI E SEZIONE ADEGUATI ALL'UTILIZZO 
LV INSTALLAZIONE IN OPERA. INCLUSO: LINEA DI COLLEGAMENTO ALLO SPECIFICO PUNTO DI ALIMENTAZIONE; FISSAGGIO DELLE CANALIZZAZIONI A MEZZO DI TASSELLI O GANCI; ASSISTENZA PER IL TRASPORTO DEI MATERIALI AL PIANO.</t>
        </is>
      </c>
      <c r="M557" s="4" t="inlineStr">
        <is>
          <t>CAD</t>
        </is>
      </c>
      <c r="N557" s="5" t="n">
        <v>16</v>
      </c>
      <c r="O557" s="6" t="n">
        <v>31.33</v>
      </c>
      <c r="P557" s="6" t="n">
        <v>501.28</v>
      </c>
      <c r="Q557" s="5" t="n"/>
      <c r="R557" s="6" t="n"/>
      <c r="S557" s="6">
        <f>IF(AND(Q557&lt;&gt;"",R557&lt;&gt;""),Q557*R557,"")</f>
        <v/>
      </c>
      <c r="T557" s="6">
        <f>IF(S557="",P557,S557)</f>
        <v/>
      </c>
      <c r="U557" s="7" t="n">
        <v>0</v>
      </c>
      <c r="V557" s="6">
        <f>$T557*U557</f>
        <v/>
      </c>
      <c r="W557" s="7" t="n">
        <v>0.6</v>
      </c>
      <c r="X557" s="6">
        <f>$T557*W557</f>
        <v/>
      </c>
      <c r="Y557" s="7" t="n">
        <v>0</v>
      </c>
      <c r="Z557" s="6">
        <f>$T557*Y557</f>
        <v/>
      </c>
      <c r="AA557" s="7" t="n">
        <v>0</v>
      </c>
      <c r="AB557" s="6">
        <f>$T557*AA557</f>
        <v/>
      </c>
      <c r="AC557" s="7" t="n">
        <v>0</v>
      </c>
      <c r="AD557" s="6">
        <f>$T557*AC557</f>
        <v/>
      </c>
      <c r="AE557" s="7" t="n">
        <v>0</v>
      </c>
      <c r="AF557" s="6">
        <f>$T557*AE557</f>
        <v/>
      </c>
      <c r="AG557" s="7" t="n">
        <v>0</v>
      </c>
      <c r="AH557" s="6">
        <f>$T557*AG557</f>
        <v/>
      </c>
      <c r="AI557" s="7">
        <f>U557+W557+Y557+AA557+AC557+AE557+AG557</f>
        <v/>
      </c>
      <c r="AJ557" s="6">
        <f>V557+X557+Z557+AB557+AD557+AF557+AH557</f>
        <v/>
      </c>
    </row>
    <row r="558" ht="60" customHeight="1" s="35">
      <c r="A558" s="3" t="inlineStr">
        <is>
          <t>IE_NP_ILLEM01</t>
        </is>
      </c>
      <c r="B558" s="4" t="inlineStr">
        <is>
          <t>2/2</t>
        </is>
      </c>
      <c r="C558" s="3" t="inlineStr">
        <is>
          <t>IMPIANTO ELETTRICO</t>
        </is>
      </c>
      <c r="D558" s="4" t="inlineStr">
        <is>
          <t>SPECIALE</t>
        </is>
      </c>
      <c r="E558" s="4" t="inlineStr">
        <is>
          <t>ELETTRICHE SPECIALI</t>
        </is>
      </c>
      <c r="F558" s="3" t="inlineStr">
        <is>
          <t>3_CME IE RADIOFARMACIA PAVIA - REV02 VARIANTE ESECUTIVA.PDF</t>
        </is>
      </c>
      <c r="G558" s="4" t="inlineStr">
        <is>
          <t>62/62</t>
        </is>
      </c>
      <c r="H558" s="3" t="inlineStr">
        <is>
          <t>40 - IMPIANTISTICO</t>
        </is>
      </c>
      <c r="I558" s="3" t="inlineStr">
        <is>
          <t>RADIOFARMACIA</t>
        </is>
      </c>
      <c r="J558" s="3" t="inlineStr">
        <is>
          <t>IMPIANTO DI ILLUMINAZIONE</t>
        </is>
      </c>
      <c r="K558" s="3" t="inlineStr">
        <is>
          <t>MODULO INVERTER PER ILLUMINAZIONE DI EMERGENZA CON CONTROLLO LOCALE E CENTRALIZZATO, COSTITUITA DA UN COMPLESSO ELETTRONICO DI COMANDO E DA BATTERIE AL NI-CD, AUTONOMIA MINIMA 1,5 ORE, INSTALLABILE IN</t>
        </is>
      </c>
      <c r="L558" s="3" t="inlineStr">
        <is>
          <t>MODULO INVERTER PER ILLUMINAZIONE DI EMERGENZA CON CONTROLLO LOCALE E CENTRALIZZATO, COSTITUITA DA UN COMPLESSO ELETTRONICO DI COMANDO E DA BATTERIE AL NI-CD, AUTONOMIA MINIMA 1,5 ORE, INSTALLABILE IN PLAFONIERA E ADATTA PER L'ACCENSIONE DI MODULI LED; IDONEO ALL'IMPIEGO PER ILLUMINAZIONE PERMANENTE E NON PERMANENTE.</t>
        </is>
      </c>
      <c r="M558" s="4" t="inlineStr">
        <is>
          <t>CADAUNO</t>
        </is>
      </c>
      <c r="N558" s="5" t="n">
        <v>18</v>
      </c>
      <c r="O558" s="6" t="n">
        <v>118.59</v>
      </c>
      <c r="P558" s="6" t="n">
        <v>2134.62</v>
      </c>
      <c r="Q558" s="5" t="n"/>
      <c r="R558" s="6" t="n"/>
      <c r="S558" s="6">
        <f>IF(AND(Q558&lt;&gt;"",R558&lt;&gt;""),Q558*R558,"")</f>
        <v/>
      </c>
      <c r="T558" s="6">
        <f>IF(S558="",P558,S558)</f>
        <v/>
      </c>
      <c r="U558" s="7" t="n">
        <v>0</v>
      </c>
      <c r="V558" s="6">
        <f>$T558*U558</f>
        <v/>
      </c>
      <c r="W558" s="7" t="n">
        <v>0.6</v>
      </c>
      <c r="X558" s="6">
        <f>$T558*W558</f>
        <v/>
      </c>
      <c r="Y558" s="7" t="n">
        <v>0</v>
      </c>
      <c r="Z558" s="6">
        <f>$T558*Y558</f>
        <v/>
      </c>
      <c r="AA558" s="7" t="n">
        <v>0</v>
      </c>
      <c r="AB558" s="6">
        <f>$T558*AA558</f>
        <v/>
      </c>
      <c r="AC558" s="7" t="n">
        <v>0</v>
      </c>
      <c r="AD558" s="6">
        <f>$T558*AC558</f>
        <v/>
      </c>
      <c r="AE558" s="7" t="n">
        <v>0</v>
      </c>
      <c r="AF558" s="6">
        <f>$T558*AE558</f>
        <v/>
      </c>
      <c r="AG558" s="7" t="n">
        <v>0</v>
      </c>
      <c r="AH558" s="6">
        <f>$T558*AG558</f>
        <v/>
      </c>
      <c r="AI558" s="7">
        <f>U558+W558+Y558+AA558+AC558+AE558+AG558</f>
        <v/>
      </c>
      <c r="AJ558" s="6">
        <f>V558+X558+Z558+AB558+AD558+AF558+AH558</f>
        <v/>
      </c>
    </row>
    <row r="559" ht="60" customHeight="1" s="35">
      <c r="A559" s="3" t="inlineStr">
        <is>
          <t>IE_NP_ILLORD01</t>
        </is>
      </c>
      <c r="B559" s="4" t="inlineStr">
        <is>
          <t>5/5</t>
        </is>
      </c>
      <c r="C559" s="3" t="inlineStr">
        <is>
          <t>IMPIANTO ELETTRICO</t>
        </is>
      </c>
      <c r="D559" s="4" t="inlineStr">
        <is>
          <t>SPECIALE</t>
        </is>
      </c>
      <c r="E559" s="4" t="inlineStr">
        <is>
          <t>ELETTRICHE SPECIALI</t>
        </is>
      </c>
      <c r="F559" s="3" t="inlineStr">
        <is>
          <t>3_CME IE RADIOFARMACIA PAVIA - REV02 VARIANTE ESECUTIVA.PDF</t>
        </is>
      </c>
      <c r="G559" s="4" t="inlineStr">
        <is>
          <t>63/63</t>
        </is>
      </c>
      <c r="H559" s="3" t="inlineStr">
        <is>
          <t>40 - IMPIANTISTICO</t>
        </is>
      </c>
      <c r="I559" s="3" t="inlineStr">
        <is>
          <t>RADIOFARMACIA</t>
        </is>
      </c>
      <c r="J559" s="3" t="inlineStr">
        <is>
          <t>IMPIANTO DI ILLUMINAZIONE</t>
        </is>
      </c>
      <c r="K559" s="3" t="inlineStr">
        <is>
          <t>FORNITURA E POSA IN OPERA DI APPARECCHIO ILLUMINANTE INDUSTRIALE DI TIPO STAGNO INSTALLATO A PLAFONE E/O A SOSPENSIONE E TUTTI GLI ACCESSORI NECESSARI PER IL PERFETTO FUNZIONAMENTO DEL CORPO ILLUMINAN</t>
        </is>
      </c>
      <c r="L559" s="3" t="inlineStr">
        <is>
          <t>FORNITURA E POSA IN OPERA DI APPARECCHIO ILLUMINANTE INDUSTRIALE DI TIPO STAGNO INSTALLATO A PLAFONE E/O A SOSPENSIONE E TUTTI GLI ACCESSORI NECESSARI PER IL PERFETTO FUNZIONAMENTO DEL CORPO ILLUMINANTE. 
CARATTERISTICHE GENERALI: 
CLASSIFICAZIONE RISCHIO FOTOBIOLOGICO: RG0 GRUPPO ESENTE. 
TEMPERATURA COLORE 4000K 
POTENZA ASSORBITA (W TOT) 34W 
FLUSSO LUMINOSO USCENTE 5194LM 
CRI &gt;=80 
CLASSE DI ISOLAMENTO I 
LOW FLICKER &lt;3% 
GRADO DI PROTEZIONE IP66 
PESO 1.8KG 
NORME DI RIFERIMENTO EN 60598-1, EN 60598-2-1, EN 62471, UNI EN 13032-1:2012, UNI EN 13032-4:2015, IES LM-79-08 
MANTENIMENTO DEL FLUSSO LUMINOSO LED L80B20: 50.000H  
CARATTERISTICHE ELETTRICHE DI PILOTAGGIO 
ALIMENTAZIONE ELETTRONICA 230V-50/60HZ, 
FATTORE DI POTENZA ≥0,95 
MATERIALI 
CORPO: STAMPATO AD INIEZIONE IN POLICARBONATO GRIGIO, INFRANGIBILE, STABILIZZATO AI RAGGI UV, DI ELEVATA RESISTENZA MECCANICA GRAZIE ALLA STRUTTURA RINFORZATA DA NERVATURE INTERNE. 
DIFFUSORE: STAMPATO AD INIEZIONE IN POLICARBONATO CON RIGHE INTERNE PER UN MAGGIOR CONTROLLO LUMINOSO, AUTOESTINGUENTE V2, STABILIZZATO AI RAGGI UV, FINITURA ESTERNA LISCIA PER FACILITARE LA PULIZIA NECESSARIA PER AVERE LA MASSIMA EFFICIENZA LUMINOSA. IL POLICARBONATO UTILIZZATO È DI PRIMA SCELTA E STABILIZZATO AI RAGGI U.V. LA LAVORAZIONE ELIMINA L’EFFETTO DELL’ABBAGLIAMENTO MA NON DIMINUISCE IL RENDIMENTO. POLICARBONATO CON OTTIMO COEFFICIENTE DI DIFFUSIONE E DI TRASMISSIONE DELLA LUCE. CHIUSURA A INCASTRO E CON VITI DI SICUREZZA IN ACCIAIO INOX. 
RIFLETTORE IN ACCIAIO ZINCATO PREVERNICIATO BIANCO A FORNO CON RESINA POLIESTERE STABILIZZATO AI RAGGI UV. FISSATO AL CORPO CON INNESTO RAPIDO MEDIANTE DISPOSITIVO RICAVATO DIRETTAMENTE SUL CORPO. 
SONO COMPRESI LA MANODOPERA, GLI ALLACCIAMENTI ELETTRICI, GLI ACCESSORI DI MONTAGGIO, FISSAGGIO, ALIMENTAZIONE, SOSTEGNO, OGNI ONERE ACCESSORIO PER L’INSTALLAZIONE DELLA PLAFONIERA COME DA PROGETTO E MATERIALI DI CONSUMO. 
APPARECCHIO DISANO - MODELLO 960 HYDRO LED - MONEY SAVING  - ART. 164754-00 O EQUIVALENTE APPROVATO</t>
        </is>
      </c>
      <c r="M559" s="4" t="inlineStr">
        <is>
          <t>CADAUNO</t>
        </is>
      </c>
      <c r="N559" s="5" t="n">
        <v>18</v>
      </c>
      <c r="O559" s="6" t="n">
        <v>94.36</v>
      </c>
      <c r="P559" s="6" t="n">
        <v>1698.48</v>
      </c>
      <c r="Q559" s="5" t="n"/>
      <c r="R559" s="6" t="n"/>
      <c r="S559" s="6">
        <f>IF(AND(Q559&lt;&gt;"",R559&lt;&gt;""),Q559*R559,"")</f>
        <v/>
      </c>
      <c r="T559" s="6">
        <f>IF(S559="",P559,S559)</f>
        <v/>
      </c>
      <c r="U559" s="7" t="n">
        <v>0</v>
      </c>
      <c r="V559" s="6">
        <f>$T559*U559</f>
        <v/>
      </c>
      <c r="W559" s="7" t="n">
        <v>0.6</v>
      </c>
      <c r="X559" s="6">
        <f>$T559*W559</f>
        <v/>
      </c>
      <c r="Y559" s="7" t="n">
        <v>0</v>
      </c>
      <c r="Z559" s="6">
        <f>$T559*Y559</f>
        <v/>
      </c>
      <c r="AA559" s="7" t="n">
        <v>0</v>
      </c>
      <c r="AB559" s="6">
        <f>$T559*AA559</f>
        <v/>
      </c>
      <c r="AC559" s="7" t="n">
        <v>0</v>
      </c>
      <c r="AD559" s="6">
        <f>$T559*AC559</f>
        <v/>
      </c>
      <c r="AE559" s="7" t="n">
        <v>0</v>
      </c>
      <c r="AF559" s="6">
        <f>$T559*AE559</f>
        <v/>
      </c>
      <c r="AG559" s="7" t="n">
        <v>0</v>
      </c>
      <c r="AH559" s="6">
        <f>$T559*AG559</f>
        <v/>
      </c>
      <c r="AI559" s="7">
        <f>U559+W559+Y559+AA559+AC559+AE559+AG559</f>
        <v/>
      </c>
      <c r="AJ559" s="6">
        <f>V559+X559+Z559+AB559+AD559+AF559+AH559</f>
        <v/>
      </c>
    </row>
    <row r="560" ht="60" customHeight="1" s="35">
      <c r="A560" s="3" t="inlineStr">
        <is>
          <t>IE_NP_ILLORD05</t>
        </is>
      </c>
      <c r="B560" s="4" t="inlineStr">
        <is>
          <t>2/2</t>
        </is>
      </c>
      <c r="C560" s="3" t="inlineStr">
        <is>
          <t>IMPIANTO ELETTRICO</t>
        </is>
      </c>
      <c r="D560" s="4" t="inlineStr">
        <is>
          <t>SPECIALE</t>
        </is>
      </c>
      <c r="E560" s="4" t="inlineStr">
        <is>
          <t>ELETTRICHE SPECIALI</t>
        </is>
      </c>
      <c r="F560" s="3" t="inlineStr">
        <is>
          <t>3_CME IE RADIOFARMACIA PAVIA - REV02 VARIANTE ESECUTIVA.PDF</t>
        </is>
      </c>
      <c r="G560" s="4" t="inlineStr">
        <is>
          <t>64/64</t>
        </is>
      </c>
      <c r="H560" s="3" t="inlineStr">
        <is>
          <t>40 - IMPIANTISTICO</t>
        </is>
      </c>
      <c r="I560" s="3" t="inlineStr">
        <is>
          <t>RADIOFARMACIA</t>
        </is>
      </c>
      <c r="J560" s="3" t="inlineStr">
        <is>
          <t>IMPIANTO DI ILLUMINAZIONE</t>
        </is>
      </c>
      <c r="K560" s="3" t="inlineStr">
        <is>
          <t>FORNITURA E POSA IN OPERA DI APPARECCHIO ILLUMINANTE LINEARE INSTALLATO A PARETE E TUTTI GLI ACCESSORI NECESSARI PER IL PERFETTO FUNZIONAMENTO DEL CORPO ILLUMINANTE. CARATTERISTICHE GENERALI: CLASSIFI</t>
        </is>
      </c>
      <c r="L560" s="3" t="inlineStr">
        <is>
          <t>FORNITURA E POSA IN OPERA DI APPARECCHIO ILLUMINANTE LINEARE INSTALLATO A PARETE E TUTTI GLI ACCESSORI NECESSARI PER IL PERFETTO FUNZIONAMENTO DEL CORPO ILLUMINANTE. CARATTERISTICHE GENERALI: CLASSIFICAZIONE RISCHIO FOTOBIOLOGICO: RG0 GRUPPO ESENTE. TEMPERATURA COLORE 4000K POTENZA ASSORBITA (W TOT) 28W FLUSSO LUMINOSO USCENTE 2858LM CRI &gt;=80 CLASSE DI ISOLAMENTO I LOW FLICKER &lt;3% GRADO DI PROTEZIONE IP43 PESO 1.5KG NORME DI RIFERIMENTO EN 60598-1, EN 60598-2-1, EN 62471, UNI EN 13032-1:2012, UNI EN 13032-4:2015, IES LM-79-08 MANTENIMENTO DEL FLUSSO LUMINOSO LED L80B20: 50.000H  CARATTERISTICHE ELETTRICHE DI PILOTAGGIO ALIMENTAZIONE ELETTRONICA 230V-50/60HZ, FATTORE DI POTENZA ≥0,95 MATERIALI CORPO: IN ALLUMINIO ESTRUSO CON TESTATE DI CHIUSURA DIFFUSORE: IN POLICARBONATO TRASPARENTE, ANTIABBAGLIAMENTO, INFRANGIBILE EAUTOESTINGUENTE V2, STABILIZZATO AI RAGGI UV.  APPARECCHIO DISANO - MODELLO 420 RIGO LED - ART. 214567-00 O EQUIVALENTE APPROVATO</t>
        </is>
      </c>
      <c r="M560" s="4" t="inlineStr">
        <is>
          <t>CADAUNO</t>
        </is>
      </c>
      <c r="N560" s="5" t="n">
        <v>7</v>
      </c>
      <c r="O560" s="6" t="n">
        <v>139.34</v>
      </c>
      <c r="P560" s="6" t="n">
        <v>975.38</v>
      </c>
      <c r="Q560" s="5" t="n"/>
      <c r="R560" s="6" t="n"/>
      <c r="S560" s="6">
        <f>IF(AND(Q560&lt;&gt;"",R560&lt;&gt;""),Q560*R560,"")</f>
        <v/>
      </c>
      <c r="T560" s="6">
        <f>IF(S560="",P560,S560)</f>
        <v/>
      </c>
      <c r="U560" s="7" t="n">
        <v>0</v>
      </c>
      <c r="V560" s="6">
        <f>$T560*U560</f>
        <v/>
      </c>
      <c r="W560" s="7" t="n">
        <v>0.6</v>
      </c>
      <c r="X560" s="6">
        <f>$T560*W560</f>
        <v/>
      </c>
      <c r="Y560" s="7" t="n">
        <v>0</v>
      </c>
      <c r="Z560" s="6">
        <f>$T560*Y560</f>
        <v/>
      </c>
      <c r="AA560" s="7" t="n">
        <v>0</v>
      </c>
      <c r="AB560" s="6">
        <f>$T560*AA560</f>
        <v/>
      </c>
      <c r="AC560" s="7" t="n">
        <v>0</v>
      </c>
      <c r="AD560" s="6">
        <f>$T560*AC560</f>
        <v/>
      </c>
      <c r="AE560" s="7" t="n">
        <v>0</v>
      </c>
      <c r="AF560" s="6">
        <f>$T560*AE560</f>
        <v/>
      </c>
      <c r="AG560" s="7" t="n">
        <v>0</v>
      </c>
      <c r="AH560" s="6">
        <f>$T560*AG560</f>
        <v/>
      </c>
      <c r="AI560" s="7">
        <f>U560+W560+Y560+AA560+AC560+AE560+AG560</f>
        <v/>
      </c>
      <c r="AJ560" s="6">
        <f>V560+X560+Z560+AB560+AD560+AF560+AH560</f>
        <v/>
      </c>
    </row>
    <row r="561" ht="60" customHeight="1" s="35">
      <c r="A561" s="3" t="inlineStr">
        <is>
          <t>IE_NP_ILLORD02</t>
        </is>
      </c>
      <c r="B561" s="4" t="inlineStr">
        <is>
          <t>1/1</t>
        </is>
      </c>
      <c r="C561" s="3" t="inlineStr">
        <is>
          <t>IMPIANTO ELETTRICO</t>
        </is>
      </c>
      <c r="D561" s="4" t="inlineStr">
        <is>
          <t>SPECIALE</t>
        </is>
      </c>
      <c r="E561" s="4" t="inlineStr">
        <is>
          <t>ELETTRICHE SPECIALI</t>
        </is>
      </c>
      <c r="F561" s="3" t="inlineStr">
        <is>
          <t>3_CME IE RADIOFARMACIA PAVIA - REV02 VARIANTE ESECUTIVA.PDF</t>
        </is>
      </c>
      <c r="G561" s="4" t="inlineStr">
        <is>
          <t>65/65</t>
        </is>
      </c>
      <c r="H561" s="3" t="inlineStr">
        <is>
          <t>40 - IMPIANTISTICO</t>
        </is>
      </c>
      <c r="I561" s="3" t="inlineStr">
        <is>
          <t>RADIOFARMACIA</t>
        </is>
      </c>
      <c r="J561" s="3" t="inlineStr">
        <is>
          <t>IMPIANTO DI ILLUMINAZIONE</t>
        </is>
      </c>
      <c r="K561" s="3" t="inlineStr">
        <is>
          <t>PLAFONIERA AD INCASSO PER CONTROSOFFITTATURE A PANNELLI ADATTA AI LUOGHI CLASSIFICATI SECONDO LA NORMATIVA SULLE CAMERE BIANCHE EN 14644-1. PRODOTTO IN CONFORMITÀ ALLE NORME EN 60598 CEI 34-21, CLASSE</t>
        </is>
      </c>
      <c r="L561" s="3" t="inlineStr">
        <is>
          <t>PLAFONIERA AD INCASSO PER CONTROSOFFITTATURE A PANNELLI ADATTA AI LUOGHI CLASSIFICATI SECONDO LA NORMATIVA SULLE CAMERE BIANCHE EN 14644-1. PRODOTTO IN CONFORMITÀ ALLE NORME EN 60598 CEI 34-21, CLASSE DI ISOLAMENTO I E GRADO DI PROTEZIONE IP65 - IK05 IN CONFORMITÀ ALLE NORME EN 60529 E EN 50102. CORPO IN ACCIAIO ZINCATO PREVERNICIATO CON RESINA POLIESTERE, OTTICA AD ALVEOLI A DOPPIA PARABOLICITÀ ANTIRIFLESSO IN ALLUMINIO SPECULARE A BASSISSIMA LUMINANZA; EQUIPAGGIATA CON - MODULO DA: - LAMPADE LED 4000K 5400 LM POTENZA 47 W CON SISTEMA DIMMER ED EQUIPAGGIABILI CON MODULO DALI -  MODULO DA 600 X 600 MM APPARECCHIO BEGHELLI - MODELLO BEGHELLI CLINIC PANEL M600 41501 O EQUIVALENTE APPROVATO</t>
        </is>
      </c>
      <c r="M561" s="4" t="inlineStr">
        <is>
          <t>CADAUNO</t>
        </is>
      </c>
      <c r="N561" s="5" t="n">
        <v>61</v>
      </c>
      <c r="O561" s="6" t="n">
        <v>303.58</v>
      </c>
      <c r="P561" s="6" t="n">
        <v>18518.38</v>
      </c>
      <c r="Q561" s="5" t="n"/>
      <c r="R561" s="6" t="n"/>
      <c r="S561" s="6">
        <f>IF(AND(Q561&lt;&gt;"",R561&lt;&gt;""),Q561*R561,"")</f>
        <v/>
      </c>
      <c r="T561" s="6">
        <f>IF(S561="",P561,S561)</f>
        <v/>
      </c>
      <c r="U561" s="7" t="n">
        <v>0.5</v>
      </c>
      <c r="V561" s="6">
        <f>$T561*U561</f>
        <v/>
      </c>
      <c r="W561" s="7" t="n">
        <v>0.1</v>
      </c>
      <c r="X561" s="6">
        <f>$T561*W561</f>
        <v/>
      </c>
      <c r="Y561" s="7" t="n">
        <v>0</v>
      </c>
      <c r="Z561" s="6">
        <f>$T561*Y561</f>
        <v/>
      </c>
      <c r="AA561" s="7" t="n">
        <v>0</v>
      </c>
      <c r="AB561" s="6">
        <f>$T561*AA561</f>
        <v/>
      </c>
      <c r="AC561" s="7" t="n">
        <v>0</v>
      </c>
      <c r="AD561" s="6">
        <f>$T561*AC561</f>
        <v/>
      </c>
      <c r="AE561" s="7" t="n">
        <v>0</v>
      </c>
      <c r="AF561" s="6">
        <f>$T561*AE561</f>
        <v/>
      </c>
      <c r="AG561" s="7" t="n">
        <v>0</v>
      </c>
      <c r="AH561" s="6">
        <f>$T561*AG561</f>
        <v/>
      </c>
      <c r="AI561" s="7">
        <f>U561+W561+Y561+AA561+AC561+AE561+AG561</f>
        <v/>
      </c>
      <c r="AJ561" s="6">
        <f>V561+X561+Z561+AB561+AD561+AF561+AH561</f>
        <v/>
      </c>
    </row>
    <row r="562" ht="60" customHeight="1" s="35">
      <c r="A562" s="3" t="inlineStr">
        <is>
          <t>LOM252.OC.EEA.PA01.G8210.ZA001.0590</t>
        </is>
      </c>
      <c r="B562" s="4" t="inlineStr">
        <is>
          <t>5/5</t>
        </is>
      </c>
      <c r="C562" s="3" t="inlineStr">
        <is>
          <t>IMPIANTO ELETTRICO</t>
        </is>
      </c>
      <c r="D562" s="4" t="inlineStr">
        <is>
          <t>SPECIALE</t>
        </is>
      </c>
      <c r="E562" s="4" t="inlineStr">
        <is>
          <t>ELETTRICHE SPECIALI</t>
        </is>
      </c>
      <c r="F562" s="3" t="inlineStr">
        <is>
          <t>3_CME IE RADIOFARMACIA PAVIA - REV02 VARIANTE ESECUTIVA.PDF</t>
        </is>
      </c>
      <c r="G562" s="4" t="inlineStr">
        <is>
          <t>66/66</t>
        </is>
      </c>
      <c r="H562" s="3" t="inlineStr">
        <is>
          <t>40 - IMPIANTISTICO</t>
        </is>
      </c>
      <c r="I562" s="3" t="inlineStr">
        <is>
          <t>RADIOFARMACIA</t>
        </is>
      </c>
      <c r="J562" s="3" t="inlineStr">
        <is>
          <t>IMPIANTO DI ILLUMINAZIONE</t>
        </is>
      </c>
      <c r="K562" s="3" t="inlineStr">
        <is>
          <t>OPERA: CORPO ILLUMINANTE, LED; FUNZIONE: ILLUMINAZIONE DI EMERGENZA; AUTONOMIA [H] = 1 / 2 | FLUSSO LUMINOSO SE [LM] = 250 / 130 | FLUSSO LUMINOSO SA [LM] = 110. INCLUSO: LED MULTICOLORE. ESCLUSO: ACC</t>
        </is>
      </c>
      <c r="L562" s="3" t="inlineStr">
        <is>
          <t>OPERA: CORPO ILLUMINANTE, LED; FUNZIONE: ILLUMINAZIONE DI EMERGENZA; AUTONOMIA [H] = 1 / 2 | FLUSSO LUMINOSO SE [LM] = 250 / 130 | FLUSSO LUMINOSO SA [LM] = 110. INCLUSO: LED MULTICOLORE. ESCLUSO: ACCESSORIO MODULO AGGIUNTIVO. 
LAVORO: INSTALLAZIONE. 
SPECIFICHE TECNICHE: GRADO SI PROTEZIONE IP66, COMMUTABILE IN VERSIONE SE E SA,  COMMUTABILE IN VERSIONE SE E SA, DOTATO DI SISITEMA AUTOMATICO DI TEST DELL'AUTONOMIA (COMPRENDENTE IL CONTROLLO DI TUTTE LE FUNZIONI DELLA LAMPADA) IN UN ARCO DI TEMPO PARI ALL'AUTONOMIA RICHIESTA DALLE SINGOLE NORMATIVE RISULTATO E  VISUALIZZATO CON LED MULTICOLORE, INSTALLABILE A PARETE, A PLAFONE, A BANDIERA E A INCASSO,  PREDISPOSTO PER INSERIMENTO MODULO AGGIUNTIVO. OP CORPO ILLUMINANTE, LED; FUNZIONE: ILLUMINAZIONE DI EMERGENZA; AUTONOMIA [H] = 1 / 2 | FLUSSO LUMINOSO SE [LM] = 250 / 130 | FLUSSO LUMINOSO SA [LM] = 110. INCLUSO: LED MULTICOLORE. ESCLUSO: ACCESSORIO MODULO AGGIUNTIVO. 
SPECIFICHE TECNICHE: GRADO SI PROTEZIONE IP66, COMMUTABILE IN VERSIONE SE E SA,  COMMUTABILE IN VERSIONE SE E SA, DOTATO DI SISITEMA AUTOMATICO DI TEST DELL'AUTONOMIA (COMPRENDENTE IL CONTROLLO DI TUTTE LE FUNZIONI DELLA LAMPADA) IN UN ARCO DI TEMPO PARI ALL'AUTONOMIA RICHIESTA DALLE SINGOLE NORMATIVE RISULTATO E  VISUALIZZATO CON LED MULTICOLORE, INSTALLABILE A PARETE, A PLAFONE, A BANDIERA E A INCASSO,  PREDISPOSTO PER INSERIMENTO MODULO AGGIUNTIVO. 
RM CORPO ILLUMINANTE LED; FUNZIONE: ILLUMINAZIONE DI EMERGENZA; AUTONOMIA [H] = 1 / 2 | FLUSSO LUMINOSO SE [LM] = 250 / 130 | FLUSSO LUMINOSO SA [LM] = 110. COMPONENTE: BATTERIA TITANIO, . INCLUSO: LED MULTICOLORE. ESCLUSO: ACCESSORIO MODULO AGGIUNTIVO 
SPECIFICHE TECNICHE: GRADO SI PROTEZIONE IP66, COMMUTABILE IN VERSIONE SE E SA,  COMMUTABILE IN VERSIONE SE E SA, DOTATO DI SISITEMA AUTOMATICO DI TEST DELL'AUTONOMIA (COMPRENDENTE IL CONTROLLO DI TUTTE LE FUNZIONI DELLA LAMPADA) IN UN ARCO DI TEMPO PARI ALL'AUTONOMIA RICHIESTA DALLE SINGOLE NORMATIVE RISULTATO E  VISUALIZZATO CON LED MULTICOLORE, INSTALLABILE A PARETE, A PLAFONE, A BANDIERA E A INCASSO,  PREDISPOSTO PER INSERIMENTO MODULO AGGIUNTIVO 
LV INSTALLAZIONE.</t>
        </is>
      </c>
      <c r="M562" s="4" t="inlineStr">
        <is>
          <t>CAD</t>
        </is>
      </c>
      <c r="N562" s="5" t="n">
        <v>5</v>
      </c>
      <c r="O562" s="6" t="n">
        <v>93.43000000000001</v>
      </c>
      <c r="P562" s="6" t="n">
        <v>467.15</v>
      </c>
      <c r="Q562" s="5" t="n"/>
      <c r="R562" s="6" t="n"/>
      <c r="S562" s="6">
        <f>IF(AND(Q562&lt;&gt;"",R562&lt;&gt;""),Q562*R562,"")</f>
        <v/>
      </c>
      <c r="T562" s="6">
        <f>IF(S562="",P562,S562)</f>
        <v/>
      </c>
      <c r="U562" s="7" t="n">
        <v>0</v>
      </c>
      <c r="V562" s="6">
        <f>$T562*U562</f>
        <v/>
      </c>
      <c r="W562" s="7" t="n">
        <v>0.6</v>
      </c>
      <c r="X562" s="6">
        <f>$T562*W562</f>
        <v/>
      </c>
      <c r="Y562" s="7" t="n">
        <v>0</v>
      </c>
      <c r="Z562" s="6">
        <f>$T562*Y562</f>
        <v/>
      </c>
      <c r="AA562" s="7" t="n">
        <v>0</v>
      </c>
      <c r="AB562" s="6">
        <f>$T562*AA562</f>
        <v/>
      </c>
      <c r="AC562" s="7" t="n">
        <v>0</v>
      </c>
      <c r="AD562" s="6">
        <f>$T562*AC562</f>
        <v/>
      </c>
      <c r="AE562" s="7" t="n">
        <v>0</v>
      </c>
      <c r="AF562" s="6">
        <f>$T562*AE562</f>
        <v/>
      </c>
      <c r="AG562" s="7" t="n">
        <v>0</v>
      </c>
      <c r="AH562" s="6">
        <f>$T562*AG562</f>
        <v/>
      </c>
      <c r="AI562" s="7">
        <f>U562+W562+Y562+AA562+AC562+AE562+AG562</f>
        <v/>
      </c>
      <c r="AJ562" s="6">
        <f>V562+X562+Z562+AB562+AD562+AF562+AH562</f>
        <v/>
      </c>
    </row>
    <row r="563" ht="60" customHeight="1" s="35">
      <c r="A563" s="3" t="inlineStr">
        <is>
          <t>LOM252.OC.EEA.PA01.G8235.ZA001.0250</t>
        </is>
      </c>
      <c r="B563" s="4" t="inlineStr">
        <is>
          <t>2/2</t>
        </is>
      </c>
      <c r="C563" s="3" t="inlineStr">
        <is>
          <t>IMPIANTO ELETTRICO</t>
        </is>
      </c>
      <c r="D563" s="4" t="inlineStr">
        <is>
          <t>SPECIALE</t>
        </is>
      </c>
      <c r="E563" s="4" t="inlineStr">
        <is>
          <t>ELETTRICHE SPECIALI</t>
        </is>
      </c>
      <c r="F563" s="3" t="inlineStr">
        <is>
          <t>3_CME IE RADIOFARMACIA PAVIA - REV02 VARIANTE ESECUTIVA.PDF</t>
        </is>
      </c>
      <c r="G563" s="4" t="inlineStr">
        <is>
          <t>67/67</t>
        </is>
      </c>
      <c r="H563" s="3" t="inlineStr">
        <is>
          <t>40 - IMPIANTISTICO</t>
        </is>
      </c>
      <c r="I563" s="3" t="inlineStr">
        <is>
          <t>RADIOFARMACIA</t>
        </is>
      </c>
      <c r="J563" s="3" t="inlineStr">
        <is>
          <t>IMPIANTO DI FORZA MOTRICE</t>
        </is>
      </c>
      <c r="K563" s="3" t="inlineStr">
        <is>
          <t xml:space="preserve">OPERA: DERIVAZIONE D'IMPIANTO PRESA, BIPASSO; FUNZIONE: PRESA DI CORRENTE; IMPIEGO: DERIVAZIONE D'IMPIANTO DA INCASSO; CORRENTE NOMINALE 1 [A] = 10 | CORRENTE NOMINALE 2 [A] = 16 | GRADO DI SICUREZZA </t>
        </is>
      </c>
      <c r="L563" s="3" t="inlineStr">
        <is>
          <t>OPERA: DERIVAZIONE D'IMPIANTO PRESA, BIPASSO; FUNZIONE: PRESA DI CORRENTE; IMPIEGO: DERIVAZIONE D'IMPIANTO DA INCASSO; CORRENTE NOMINALE 1 [A] = 10 | CORRENTE NOMINALE 2 [A] = 16 | GRADO DI SICUREZZA [-] = 2.2; N° PRESE [-] = 1 + T. INCLUSO: TUBO PROTETTIVO; CONDUTTORI DI ALIMENTAZIONE E DI TERRA; SCATOLE DA INCASSO; FRUTTI COMPONIBILI; PLACCHE; SUPPORTI; TASSELLI/GANCI. 
LAVORO: INSTALLAZIONE IN OPERA. INCLUSO: LINEA DI COLLEGAMENTO ALLO SPECIFICO PUNTO DI ALIMENTAZIONE; FISSAGGIO DELLE CANALIZZAZIONI A MEZZO DI TASSELLI O GANCI; ASSISTENZA PER IL TRASPORTO DEI MATERIALI AL PIANO. 
SPECIFICHE TECNICHE: PER IMPIANTI DI ENERGIA; REALIZZATO CON TUBO PROTETTIVO FLESSIBILE O RIGIDO DI PLASTICA POLIVINILCLORURO (PVC) AD ALTA RESISTENZA ALLO SCHIACCIAMENTO; CONDUTTORI DI ALIMENTAZIONE E DI TERRA DI LEGA RAME GENERICO RICOTTO ISOLATO CONFORMI AI REQUISITI PREVISTI DALLA NORMATIVA EUROPEA REGOLAMENTO UE 305/2011 - PRODOTTI DA COSTRUZIONE CPR; TIPOLOGIA CONDUTTORI E SEZIONE ADEGUATI ALL'UTILIZZO. OP DERIVAZIONE D'IMPIANTO PRESA, BIPASSO; FUNZIONE: PRESA DI CORRENTE; IMPIEGO: DERIVAZIONE D'IMPIANTO DA INCASSO; CORRENTE NOMINALE 1 [A] = 10 | CORRENTE NOMINALE 2 [A] = 16 | GRADO DI SICUREZZA [-] = 2.2; N° PRESE [-] = 1 + T. INCLUSO: TUBO PROTETTIVO; CONDUTTORI DI ALIMENTAZIONE E DI TERRA; SCATOLE DA INCASSO; FRUTTI COMPONIBILI; PLACCHE; SUPPORTI; TASSELLI/GANCI. 
SPECIFICHE TECNICHE: PER IMPIANTI DI ENERGIA; REALIZZATO CON TUBO PROTETTIVO FLESSIBILE O RIGIDO DI PLASTICA POLIVINILCLORURO (PVC) AD ALTA RESISTENZA ALLO SCHIACCIAMENTO; CONDUTTORI DI ALIMENTAZIONE E DI TERRA DI LEGA RAME GENERICO RICOTTO ISOLATO CONFORMI AI REQUISITI PREVISTI DALLA NORMATIVA EUROPEA REGOLAMENTO UE 305/2011 - PRODOTTI DA COSTRUZIONE CPR; TIPOLOGIA CONDUTTORI E SEZIONE ADEGUATI ALL'UTILIZZO. 
RM DERIVAZIONE D'IMPIANTO PRESA BIPASSO; FUNZIONE: PRESA DI CORRENTE; IMPIEGO: DERIVAZIONE D'IMPIANTO DA INCASSO; CORRENTE NOMINALE 1 [A] = 10 | CORRENTE NOMINALE 2 [A] = 16 | GRADO DI SICUREZZA [-] = 2.2; N° PRESE [-] = 2 + T. INCLUSO: TUBO PROTETTIVO; CONDUTTORI DI ALIMENTAZIONE E DI TERRA; SCATOLE DA INCASSO; FRUTTI COMPONIBILI; PLACCHE; SUPPORTI; TASSELLI/GANCI 
SPECIFICHE TECNICHE: PER IMPIANTI DI ENERGIA; REALIZZATO CON TUBO PROTETTIVO FLESSIBILE O RIGIDO DI PLASTICA POLIVINILCLORURO (PVC) AD ALTA RESISTENZA ALLO SCHIACCIAMENTO; CONDUTTORI DI ALIMENTAZIONE E DI TERRA DI LEGA RAME GENERICO RICOTTO ISOLATO CONFORMI AI REQUISITI PREVISTI DALLA NORMATIVA EUROPEA REGOLAMENTO UE 305/2011 - PRODOTTI DA COSTRUZIONE CPR; TIPOLOGIA CONDUTTORI E SEZIONE ADEGUATI ALL'UTILIZZO 
LV INSTALLAZIONE IN OPERA. INCLUSO: LINEA DI COLLEGAMENTO ALLO SPECIFICO PUNTO DI ALIMENTAZIONE; FISSAGGIO DELLE CANALIZZAZIONI A MEZZO DI TASSELLI O GANCI; ASSISTENZA PER IL TRASPORTO DEI MATERIALI AL PIANO.
[DIMENSIONI: 32,00 2,000]</t>
        </is>
      </c>
      <c r="M563" s="4" t="inlineStr">
        <is>
          <t>CAD</t>
        </is>
      </c>
      <c r="N563" s="5" t="n">
        <v>89</v>
      </c>
      <c r="O563" s="6" t="n">
        <v>65.22</v>
      </c>
      <c r="P563" s="6" t="n">
        <v>5804.58</v>
      </c>
      <c r="Q563" s="5" t="n"/>
      <c r="R563" s="6" t="n"/>
      <c r="S563" s="6">
        <f>IF(AND(Q563&lt;&gt;"",R563&lt;&gt;""),Q563*R563,"")</f>
        <v/>
      </c>
      <c r="T563" s="6">
        <f>IF(S563="",P563,S563)</f>
        <v/>
      </c>
      <c r="U563" s="7" t="n">
        <v>0</v>
      </c>
      <c r="V563" s="6">
        <f>$T563*U563</f>
        <v/>
      </c>
      <c r="W563" s="7" t="n">
        <v>0</v>
      </c>
      <c r="X563" s="6">
        <f>$T563*W563</f>
        <v/>
      </c>
      <c r="Y563" s="7" t="n">
        <v>0</v>
      </c>
      <c r="Z563" s="6">
        <f>$T563*Y563</f>
        <v/>
      </c>
      <c r="AA563" s="7" t="n">
        <v>0</v>
      </c>
      <c r="AB563" s="6">
        <f>$T563*AA563</f>
        <v/>
      </c>
      <c r="AC563" s="7" t="n">
        <v>0</v>
      </c>
      <c r="AD563" s="6">
        <f>$T563*AC563</f>
        <v/>
      </c>
      <c r="AE563" s="7" t="n">
        <v>0</v>
      </c>
      <c r="AF563" s="6">
        <f>$T563*AE563</f>
        <v/>
      </c>
      <c r="AG563" s="7" t="n">
        <v>0</v>
      </c>
      <c r="AH563" s="6">
        <f>$T563*AG563</f>
        <v/>
      </c>
      <c r="AI563" s="7">
        <f>U563+W563+Y563+AA563+AC563+AE563+AG563</f>
        <v/>
      </c>
      <c r="AJ563" s="6">
        <f>V563+X563+Z563+AB563+AD563+AF563+AH563</f>
        <v/>
      </c>
    </row>
    <row r="564" ht="60" customHeight="1" s="35">
      <c r="A564" s="3" t="inlineStr">
        <is>
          <t>LOM252.OC.EEA.PA02.G8231.ZA001.1000</t>
        </is>
      </c>
      <c r="B564" s="4" t="inlineStr">
        <is>
          <t>5/5</t>
        </is>
      </c>
      <c r="C564" s="3" t="inlineStr">
        <is>
          <t>IMPIANTO ELETTRICO</t>
        </is>
      </c>
      <c r="D564" s="4" t="inlineStr">
        <is>
          <t>SPECIALE</t>
        </is>
      </c>
      <c r="E564" s="4" t="inlineStr">
        <is>
          <t>ELETTRICHE SPECIALI</t>
        </is>
      </c>
      <c r="F564" s="3" t="inlineStr">
        <is>
          <t>3_CME IE RADIOFARMACIA PAVIA - REV02 VARIANTE ESECUTIVA.PDF</t>
        </is>
      </c>
      <c r="G564" s="4" t="inlineStr">
        <is>
          <t>68/68</t>
        </is>
      </c>
      <c r="H564" s="3" t="inlineStr">
        <is>
          <t>40 - IMPIANTISTICO</t>
        </is>
      </c>
      <c r="I564" s="3" t="inlineStr">
        <is>
          <t>RADIOFARMACIA</t>
        </is>
      </c>
      <c r="J564" s="3" t="inlineStr">
        <is>
          <t>IMPIANTO DI FORZA MOTRICE</t>
        </is>
      </c>
      <c r="K564" s="3" t="inlineStr">
        <is>
          <t xml:space="preserve">OPERA: PRESA; CORRENTE NOMINALE [A] = 10/16; N° POLI [-] = 2P+T. </t>
        </is>
      </c>
      <c r="L564" s="3" t="inlineStr">
        <is>
          <t>OPERA: PRESA; CORRENTE NOMINALE [A] = 10/16; N° POLI [-] = 2P+T. 
LAVORO: POSA. 
SPECIFICHE TECNICHE: UNEL BIVALENTE MODULARE. OP PRESA; CORRENTE NOMINALE [A] = 10/16; N° POLI [-] = 2P+T. 
SPECIFICHE TECNICHE: UNEL BIVALENTE MODULARE. 
RM PRESA; CORRENTE NOMINALE [A] = 10/16; N° POLI [-] = 2P+T 
SPECIFICHE TECNICHE: UNEL BIVALENTE MODULARE 
LV POSA.
[DIMENSIONI: 32,00 4,000]</t>
        </is>
      </c>
      <c r="M564" s="4" t="inlineStr">
        <is>
          <t>CAD</t>
        </is>
      </c>
      <c r="N564" s="5" t="n">
        <v>153</v>
      </c>
      <c r="O564" s="6" t="n">
        <v>31.63</v>
      </c>
      <c r="P564" s="6" t="n">
        <v>4839.39</v>
      </c>
      <c r="Q564" s="5" t="n"/>
      <c r="R564" s="6" t="n"/>
      <c r="S564" s="6">
        <f>IF(AND(Q564&lt;&gt;"",R564&lt;&gt;""),Q564*R564,"")</f>
        <v/>
      </c>
      <c r="T564" s="6">
        <f>IF(S564="",P564,S564)</f>
        <v/>
      </c>
      <c r="U564" s="7" t="n">
        <v>0</v>
      </c>
      <c r="V564" s="6">
        <f>$T564*U564</f>
        <v/>
      </c>
      <c r="W564" s="7" t="n">
        <v>0</v>
      </c>
      <c r="X564" s="6">
        <f>$T564*W564</f>
        <v/>
      </c>
      <c r="Y564" s="7" t="n">
        <v>0</v>
      </c>
      <c r="Z564" s="6">
        <f>$T564*Y564</f>
        <v/>
      </c>
      <c r="AA564" s="7" t="n">
        <v>0</v>
      </c>
      <c r="AB564" s="6">
        <f>$T564*AA564</f>
        <v/>
      </c>
      <c r="AC564" s="7" t="n">
        <v>0</v>
      </c>
      <c r="AD564" s="6">
        <f>$T564*AC564</f>
        <v/>
      </c>
      <c r="AE564" s="7" t="n">
        <v>0</v>
      </c>
      <c r="AF564" s="6">
        <f>$T564*AE564</f>
        <v/>
      </c>
      <c r="AG564" s="7" t="n">
        <v>0</v>
      </c>
      <c r="AH564" s="6">
        <f>$T564*AG564</f>
        <v/>
      </c>
      <c r="AI564" s="7">
        <f>U564+W564+Y564+AA564+AC564+AE564+AG564</f>
        <v/>
      </c>
      <c r="AJ564" s="6">
        <f>V564+X564+Z564+AB564+AD564+AF564+AH564</f>
        <v/>
      </c>
    </row>
    <row r="565" ht="60" customHeight="1" s="35">
      <c r="A565" s="3" t="inlineStr">
        <is>
          <t>LOM252.OC.EEA.PA01.G8238.ZA001.0000</t>
        </is>
      </c>
      <c r="B565" s="4" t="inlineStr">
        <is>
          <t>2/2</t>
        </is>
      </c>
      <c r="C565" s="3" t="inlineStr">
        <is>
          <t>IMPIANTO ELETTRICO</t>
        </is>
      </c>
      <c r="D565" s="4" t="inlineStr">
        <is>
          <t>SPECIALE</t>
        </is>
      </c>
      <c r="E565" s="4" t="inlineStr">
        <is>
          <t>ELETTRICHE SPECIALI</t>
        </is>
      </c>
      <c r="F565" s="3" t="inlineStr">
        <is>
          <t>3_CME IE RADIOFARMACIA PAVIA - REV02 VARIANTE ESECUTIVA.PDF</t>
        </is>
      </c>
      <c r="G565" s="4" t="inlineStr">
        <is>
          <t>69/69</t>
        </is>
      </c>
      <c r="H565" s="3" t="inlineStr">
        <is>
          <t>40 - IMPIANTISTICO</t>
        </is>
      </c>
      <c r="I565" s="3" t="inlineStr">
        <is>
          <t>RADIOFARMACIA</t>
        </is>
      </c>
      <c r="J565" s="3" t="inlineStr">
        <is>
          <t>IMPIANTO DI FORZA MOTRICE</t>
        </is>
      </c>
      <c r="K565" s="3" t="inlineStr">
        <is>
          <t>OPERA: DERIVAZIONE D'IMPIANTO ALIMENTAZIONE, DIRETTA; FUNZIONE: ALIMENTAZIONE DI UTILIZZATORE MONOFASE; IMPIEGO: DERIVAZIONE D'IMPIANTO A VISTA/PARZIALMENTE INCASSATA; SEZIONE NOMINALE CAVO [MM²] ≤ 4.</t>
        </is>
      </c>
      <c r="L565" s="3" t="inlineStr">
        <is>
          <t>OPERA: DERIVAZIONE D'IMPIANTO ALIMENTAZIONE, DIRETTA; FUNZIONE: ALIMENTAZIONE DI UTILIZZATORE MONOFASE; IMPIEGO: DERIVAZIONE D'IMPIANTO A VISTA/PARZIALMENTE INCASSATA; SEZIONE NOMINALE CAVO [MM²] ≤ 4. INCLUSO: LINEA DI ALIMENTAZIONE; SEZIONATORE; TASSELLI/GANCI. 
LAVORO: INSTALLAZIONE IN OPERA. INCLUSO: FISSAGGIO DELLE CANALIZZAZIONI A MEZZO DI TASSELLI O GANCI; ASSISTENZA PER IL TRASPORTO DEI MATERIALI AL PIANO. 
SPECIFICHE TECNICHE: PER IMPIANTI DI ENERGIA DI TIPO INDUSTRIALE; TUBAZIONI IN MATERIALE PLASTICO O METALLICHE IN RELAZIONE ALLE DESCRIZIONI DI CAPITOLATO; PER ALIMENTAZIONE APPARECCHI UTILIZZATORI FINO A TENSIONE NOMINALE [V] = 400;  GRADO DI PROTEZIONE IP55; LINEA DI ALIMENTAZIONE ALLO SPECIFICO PUNTO DI ALIMENTAZIONE DI LEGA RAME GENERICO RICOTTO ISOLATO CONFORMI AI REQUISITI PREVISTI DALLA NORMATIVA EUROPEA REGOLAMENTO UE 305/2011 - PRODOTTI DA COSTRUZIONE CPR; TIPOLOGIA CONDUTTORI E SEZIONE ADEGUATI ALL'UTILIZZO. OP DERIVAZIONE D'IMPIANTO ALIMENTAZIONE, DIRETTA; FUNZIONE: ALIMENTAZIONE DI UTILIZZATORE MONOFASE; IMPIEGO: DERIVAZIONE D'IMPIANTO A VISTA/PARZIALMENTE INCASSATA; SEZIONE NOMINALE CAVO [MM²] ≤ 4. INCLUSO: LINEA DI ALIMENTAZIONE; SEZIONATORE; TASSELLI/GANCI. 
SPECIFICHE TECNICHE: PER IMPIANTI DI ENERGIA DI TIPO INDUSTRIALE; TUBAZIONI IN MATERIALE PLASTICO O METALLICHE IN RELAZIONE ALLE DESCRIZIONI DI CAPITOLATO; PER ALIMENTAZIONE APPARECCHI UTILIZZATORI FINO A TENSIONE NOMINALE [V] = 400;  GRADO DI PROTEZIONE IP55; LINEA DI ALIMENTAZIONE ALLO SPECIFICO PUNTO DI ALIMENTAZIONE DI LEGA RAME GENERICO RICOTTO ISOLATO CONFORMI AI REQUISITI PREVISTI DALLA NORMATIVA EUROPEA REGOLAMENTO UE 305/2011 - PRODOTTI DA COSTRUZIONE CPR; TIPOLOGIA CONDUTTORI E SEZIONE ADEGUATI ALL'UTILIZZO. 
RM DERIVAZIONE D'IMPIANTO ALIMENTAZIONE DIRETTA; FUNZIONE: ALIMENTAZIONE DI UTILIZZATORE MONOFASE; IMPIEGO: DERIVAZIONE D'IMPIANTO A VISTA/PARZIALMENTE INCASSATA; SEZIONE NOMINALE CAVO [MM²] ≤ 4. INCLUSO: LINEA DI ALIMENTAZIONE; SEZIONATORE; TASSELLI/GANCI 
SPECIFICHE TECNICHE: PER IMPIANTI DI ENERGIA DI TIPO INDUSTRIALE; TUBAZIONI IN MATERIALE PLASTICO O METALLICHE IN RELAZIONE ALLE DESCRIZIONI DI CAPITOLATO; PER ALIMENTAZIONE APPARECCHI UTILIZZATORI FINO A TENSIONE NOMINALE [V] = 400;  GRADO DI PROTEZIONE IP55; LINEA DI ALIMENTAZIONE ALLO SPECIFICO PUNTO DI ALIMENTAZIONE DI LEGA RAME GENERICO RICOTTO ISOLATO CONFORMI AI REQUISITI PREVISTI DALLA NORMATIVA EUROPEA REGOLAMENTO UE 305/2011 - PRODOTTI DA COSTRUZIONE CPR; TIPOLOGIA CONDUTTORI E SEZIONE ADEGUATI ALL'UTILIZZO 
LV INSTALLAZIONE IN OPERA. INCLUSO: FISSAGGIO DELLE CANALIZZAZIONI A MEZZO DI TASSELLI O GANCI; ASSISTENZA PER IL TRASPORTO DEI MATERIALI AL PIANO.</t>
        </is>
      </c>
      <c r="M565" s="4" t="inlineStr">
        <is>
          <t>CAD</t>
        </is>
      </c>
      <c r="N565" s="5" t="n">
        <v>12</v>
      </c>
      <c r="O565" s="6" t="n">
        <v>97.84</v>
      </c>
      <c r="P565" s="6" t="n">
        <v>1174.08</v>
      </c>
      <c r="Q565" s="5" t="n"/>
      <c r="R565" s="6" t="n"/>
      <c r="S565" s="6">
        <f>IF(AND(Q565&lt;&gt;"",R565&lt;&gt;""),Q565*R565,"")</f>
        <v/>
      </c>
      <c r="T565" s="6">
        <f>IF(S565="",P565,S565)</f>
        <v/>
      </c>
      <c r="U565" s="7" t="n">
        <v>0</v>
      </c>
      <c r="V565" s="6">
        <f>$T565*U565</f>
        <v/>
      </c>
      <c r="W565" s="7" t="n">
        <v>0</v>
      </c>
      <c r="X565" s="6">
        <f>$T565*W565</f>
        <v/>
      </c>
      <c r="Y565" s="7" t="n">
        <v>0</v>
      </c>
      <c r="Z565" s="6">
        <f>$T565*Y565</f>
        <v/>
      </c>
      <c r="AA565" s="7" t="n">
        <v>0</v>
      </c>
      <c r="AB565" s="6">
        <f>$T565*AA565</f>
        <v/>
      </c>
      <c r="AC565" s="7" t="n">
        <v>0</v>
      </c>
      <c r="AD565" s="6">
        <f>$T565*AC565</f>
        <v/>
      </c>
      <c r="AE565" s="7" t="n">
        <v>0</v>
      </c>
      <c r="AF565" s="6">
        <f>$T565*AE565</f>
        <v/>
      </c>
      <c r="AG565" s="7" t="n">
        <v>0</v>
      </c>
      <c r="AH565" s="6">
        <f>$T565*AG565</f>
        <v/>
      </c>
      <c r="AI565" s="7">
        <f>U565+W565+Y565+AA565+AC565+AE565+AG565</f>
        <v/>
      </c>
      <c r="AJ565" s="6">
        <f>V565+X565+Z565+AB565+AD565+AF565+AH565</f>
        <v/>
      </c>
    </row>
    <row r="566" ht="60" customHeight="1" s="35">
      <c r="A566" s="3" t="inlineStr">
        <is>
          <t>DEIELE251_025219A</t>
        </is>
      </c>
      <c r="B566" s="4" t="inlineStr">
        <is>
          <t>1/1</t>
        </is>
      </c>
      <c r="C566" s="3" t="inlineStr">
        <is>
          <t>IMPIANTO ELETTRICO</t>
        </is>
      </c>
      <c r="D566" s="4" t="inlineStr">
        <is>
          <t>SPECIALE</t>
        </is>
      </c>
      <c r="E566" s="4" t="inlineStr">
        <is>
          <t>ELETTRICHE SPECIALI</t>
        </is>
      </c>
      <c r="F566" s="3" t="inlineStr">
        <is>
          <t>3_CME IE RADIOFARMACIA PAVIA - REV02 VARIANTE ESECUTIVA.PDF</t>
        </is>
      </c>
      <c r="G566" s="4" t="inlineStr">
        <is>
          <t>70/70</t>
        </is>
      </c>
      <c r="H566" s="3" t="inlineStr">
        <is>
          <t>40 - IMPIANTISTICO</t>
        </is>
      </c>
      <c r="I566" s="3" t="inlineStr">
        <is>
          <t>RADIOFARMACIA</t>
        </is>
      </c>
      <c r="J566" s="3" t="inlineStr">
        <is>
          <t>IMPIANTO DI FORZA MOTRICE</t>
        </is>
      </c>
      <c r="K566" s="3" t="inlineStr">
        <is>
          <t>ALLACCIAMENTO DI UTENZA TRIFASE INCLUSO CONDUTTORE DI NEUTRO E DI PROTEZIONE, CON UTILIZZO DI CAVO UNIPOLARE O MULTIPOLARE ISOLATO IN EPR POSATO IN GUAINA PROTETTIVA DI PVC FLESSIBILE, PROVVISTA DI RA</t>
        </is>
      </c>
      <c r="L566" s="3" t="inlineStr">
        <is>
          <t>ALLACCIAMENTO DI UTENZA TRIFASE INCLUSO CONDUTTORE DI NEUTRO E DI PROTEZIONE, CON UTILIZZO DI CAVO UNIPOLARE O MULTIPOLARE ISOLATO IN EPR POSATO IN GUAINA PROTETTIVA DI PVC FLESSIBILE, PROVVISTA DI RACCORDI FILETTATI E DI ADATTATORI ALLE ESTREMITÀ, LUNGHEZZA FINO A 1,5 M: SEZIONE CONDUTTORI DA 1,5 A 4 MMQ</t>
        </is>
      </c>
      <c r="M566" s="4" t="inlineStr">
        <is>
          <t>CAD</t>
        </is>
      </c>
      <c r="N566" s="5" t="n">
        <v>20</v>
      </c>
      <c r="O566" s="6" t="n">
        <v>95.47</v>
      </c>
      <c r="P566" s="6" t="n">
        <v>1909.4</v>
      </c>
      <c r="Q566" s="5" t="n"/>
      <c r="R566" s="6" t="n"/>
      <c r="S566" s="6">
        <f>IF(AND(Q566&lt;&gt;"",R566&lt;&gt;""),Q566*R566,"")</f>
        <v/>
      </c>
      <c r="T566" s="6">
        <f>IF(S566="",P566,S566)</f>
        <v/>
      </c>
      <c r="U566" s="7" t="n">
        <v>0</v>
      </c>
      <c r="V566" s="6">
        <f>$T566*U566</f>
        <v/>
      </c>
      <c r="W566" s="7" t="n">
        <v>0</v>
      </c>
      <c r="X566" s="6">
        <f>$T566*W566</f>
        <v/>
      </c>
      <c r="Y566" s="7" t="n">
        <v>0</v>
      </c>
      <c r="Z566" s="6">
        <f>$T566*Y566</f>
        <v/>
      </c>
      <c r="AA566" s="7" t="n">
        <v>0</v>
      </c>
      <c r="AB566" s="6">
        <f>$T566*AA566</f>
        <v/>
      </c>
      <c r="AC566" s="7" t="n">
        <v>0</v>
      </c>
      <c r="AD566" s="6">
        <f>$T566*AC566</f>
        <v/>
      </c>
      <c r="AE566" s="7" t="n">
        <v>0</v>
      </c>
      <c r="AF566" s="6">
        <f>$T566*AE566</f>
        <v/>
      </c>
      <c r="AG566" s="7" t="n">
        <v>0</v>
      </c>
      <c r="AH566" s="6">
        <f>$T566*AG566</f>
        <v/>
      </c>
      <c r="AI566" s="7">
        <f>U566+W566+Y566+AA566+AC566+AE566+AG566</f>
        <v/>
      </c>
      <c r="AJ566" s="6">
        <f>V566+X566+Z566+AB566+AD566+AF566+AH566</f>
        <v/>
      </c>
    </row>
    <row r="567" ht="60" customHeight="1" s="35">
      <c r="A567" s="3" t="inlineStr">
        <is>
          <t>DEIELE251_025219B</t>
        </is>
      </c>
      <c r="B567" s="4" t="inlineStr">
        <is>
          <t>2/2</t>
        </is>
      </c>
      <c r="C567" s="3" t="inlineStr">
        <is>
          <t>IMPIANTO ELETTRICO</t>
        </is>
      </c>
      <c r="D567" s="4" t="inlineStr">
        <is>
          <t>SPECIALE</t>
        </is>
      </c>
      <c r="E567" s="4" t="inlineStr">
        <is>
          <t>ELETTRICHE SPECIALI</t>
        </is>
      </c>
      <c r="F567" s="3" t="inlineStr">
        <is>
          <t>3_CME IE RADIOFARMACIA PAVIA - REV02 VARIANTE ESECUTIVA.PDF</t>
        </is>
      </c>
      <c r="G567" s="4" t="inlineStr">
        <is>
          <t>71/71</t>
        </is>
      </c>
      <c r="H567" s="3" t="inlineStr">
        <is>
          <t>40 - IMPIANTISTICO</t>
        </is>
      </c>
      <c r="I567" s="3" t="inlineStr">
        <is>
          <t>RADIOFARMACIA</t>
        </is>
      </c>
      <c r="J567" s="3" t="inlineStr">
        <is>
          <t>IMPIANTO DI FORZA MOTRICE</t>
        </is>
      </c>
      <c r="K567" s="3" t="inlineStr">
        <is>
          <t>ALLACCIAMENTO DI UTENZA TRIFASE INCLUSO CONDUTTORE DI NEUTRO E DI PROTEZIONE, CON UTILIZZO DI CAVO UNIPOLARE O MULTIPOLARE ISOLATO IN EPR POSATO IN GUAINA PROTETTIVA DI PVC FLESSIBILE, PROVVISTA DI RA</t>
        </is>
      </c>
      <c r="L567" s="3" t="inlineStr">
        <is>
          <t>ALLACCIAMENTO DI UTENZA TRIFASE INCLUSO CONDUTTORE DI NEUTRO E DI PROTEZIONE, CON UTILIZZO DI CAVO UNIPOLARE O MULTIPOLARE ISOLATO IN EPR POSATO IN GUAINA PROTETTIVA DI PVC FLESSIBILE, PROVVISTA DI RACCORDI FILETTATI E DI ADATTATORI ALLE ESTREMITÀ, LUNGHEZZA FINO A 1,5 M: SEZIONE CONDUTTORI DA 6 A 16 MMQ</t>
        </is>
      </c>
      <c r="M567" s="4" t="inlineStr">
        <is>
          <t>CAD</t>
        </is>
      </c>
      <c r="N567" s="5" t="n">
        <v>2</v>
      </c>
      <c r="O567" s="6" t="n">
        <v>95.47</v>
      </c>
      <c r="P567" s="6" t="n">
        <v>190.94</v>
      </c>
      <c r="Q567" s="5" t="n"/>
      <c r="R567" s="6" t="n"/>
      <c r="S567" s="6">
        <f>IF(AND(Q567&lt;&gt;"",R567&lt;&gt;""),Q567*R567,"")</f>
        <v/>
      </c>
      <c r="T567" s="6">
        <f>IF(S567="",P567,S567)</f>
        <v/>
      </c>
      <c r="U567" s="7" t="n">
        <v>0</v>
      </c>
      <c r="V567" s="6">
        <f>$T567*U567</f>
        <v/>
      </c>
      <c r="W567" s="7" t="n">
        <v>0</v>
      </c>
      <c r="X567" s="6">
        <f>$T567*W567</f>
        <v/>
      </c>
      <c r="Y567" s="7" t="n">
        <v>0</v>
      </c>
      <c r="Z567" s="6">
        <f>$T567*Y567</f>
        <v/>
      </c>
      <c r="AA567" s="7" t="n">
        <v>0</v>
      </c>
      <c r="AB567" s="6">
        <f>$T567*AA567</f>
        <v/>
      </c>
      <c r="AC567" s="7" t="n">
        <v>0</v>
      </c>
      <c r="AD567" s="6">
        <f>$T567*AC567</f>
        <v/>
      </c>
      <c r="AE567" s="7" t="n">
        <v>0</v>
      </c>
      <c r="AF567" s="6">
        <f>$T567*AE567</f>
        <v/>
      </c>
      <c r="AG567" s="7" t="n">
        <v>0</v>
      </c>
      <c r="AH567" s="6">
        <f>$T567*AG567</f>
        <v/>
      </c>
      <c r="AI567" s="7">
        <f>U567+W567+Y567+AA567+AC567+AE567+AG567</f>
        <v/>
      </c>
      <c r="AJ567" s="6">
        <f>V567+X567+Z567+AB567+AD567+AF567+AH567</f>
        <v/>
      </c>
    </row>
    <row r="568" ht="60" customHeight="1" s="35">
      <c r="A568" s="3" t="inlineStr">
        <is>
          <t>DEIELE251_025219C</t>
        </is>
      </c>
      <c r="B568" s="4" t="inlineStr">
        <is>
          <t>1/1</t>
        </is>
      </c>
      <c r="C568" s="3" t="inlineStr">
        <is>
          <t>IMPIANTO ELETTRICO</t>
        </is>
      </c>
      <c r="D568" s="4" t="inlineStr">
        <is>
          <t>SPECIALE</t>
        </is>
      </c>
      <c r="E568" s="4" t="inlineStr">
        <is>
          <t>ELETTRICHE SPECIALI</t>
        </is>
      </c>
      <c r="F568" s="3" t="inlineStr">
        <is>
          <t>3_CME IE RADIOFARMACIA PAVIA - REV02 VARIANTE ESECUTIVA.PDF</t>
        </is>
      </c>
      <c r="G568" s="4" t="inlineStr">
        <is>
          <t>72/72</t>
        </is>
      </c>
      <c r="H568" s="3" t="inlineStr">
        <is>
          <t>40 - IMPIANTISTICO</t>
        </is>
      </c>
      <c r="I568" s="3" t="inlineStr">
        <is>
          <t>RADIOFARMACIA</t>
        </is>
      </c>
      <c r="J568" s="3" t="inlineStr">
        <is>
          <t>IMPIANTO DI FORZA MOTRICE</t>
        </is>
      </c>
      <c r="K568" s="3" t="inlineStr">
        <is>
          <t>ALLACCIAMENTO DI UTENZA TRIFASE INCLUSO CONDUTTORE DI NEUTRO E DI PROTEZIONE, CON UTILIZZO DI CAVO UNIPOLARE O MULTIPOLARE ISOLATO IN EPR POSATO IN GUAINA PROTETTIVA DI PVC FLESSIBILE, PROVVISTA DI RA</t>
        </is>
      </c>
      <c r="L568" s="3" t="inlineStr">
        <is>
          <t>ALLACCIAMENTO DI UTENZA TRIFASE INCLUSO CONDUTTORE DI NEUTRO E DI PROTEZIONE, CON UTILIZZO DI CAVO UNIPOLARE O MULTIPOLARE ISOLATO IN EPR POSATO IN GUAINA PROTETTIVA DI PVC FLESSIBILE, PROVVISTA DI RACCORDI FILETTATI E DI ADATTATORI ALLE ESTREMITÀ, LUNGHEZZA FINO A 1,5 M: SEZIONE CONDUTTORI DA 25 A 35 MMQ</t>
        </is>
      </c>
      <c r="M568" s="4" t="inlineStr">
        <is>
          <t>CAD</t>
        </is>
      </c>
      <c r="N568" s="5" t="n">
        <v>2</v>
      </c>
      <c r="O568" s="6" t="n">
        <v>195.67</v>
      </c>
      <c r="P568" s="6" t="n">
        <v>391.34</v>
      </c>
      <c r="Q568" s="5" t="n"/>
      <c r="R568" s="6" t="n"/>
      <c r="S568" s="6">
        <f>IF(AND(Q568&lt;&gt;"",R568&lt;&gt;""),Q568*R568,"")</f>
        <v/>
      </c>
      <c r="T568" s="6">
        <f>IF(S568="",P568,S568)</f>
        <v/>
      </c>
      <c r="U568" s="7" t="n">
        <v>0</v>
      </c>
      <c r="V568" s="6">
        <f>$T568*U568</f>
        <v/>
      </c>
      <c r="W568" s="7" t="n">
        <v>0</v>
      </c>
      <c r="X568" s="6">
        <f>$T568*W568</f>
        <v/>
      </c>
      <c r="Y568" s="7" t="n">
        <v>0</v>
      </c>
      <c r="Z568" s="6">
        <f>$T568*Y568</f>
        <v/>
      </c>
      <c r="AA568" s="7" t="n">
        <v>0</v>
      </c>
      <c r="AB568" s="6">
        <f>$T568*AA568</f>
        <v/>
      </c>
      <c r="AC568" s="7" t="n">
        <v>0</v>
      </c>
      <c r="AD568" s="6">
        <f>$T568*AC568</f>
        <v/>
      </c>
      <c r="AE568" s="7" t="n">
        <v>0</v>
      </c>
      <c r="AF568" s="6">
        <f>$T568*AE568</f>
        <v/>
      </c>
      <c r="AG568" s="7" t="n">
        <v>0</v>
      </c>
      <c r="AH568" s="6">
        <f>$T568*AG568</f>
        <v/>
      </c>
      <c r="AI568" s="7">
        <f>U568+W568+Y568+AA568+AC568+AE568+AG568</f>
        <v/>
      </c>
      <c r="AJ568" s="6">
        <f>V568+X568+Z568+AB568+AD568+AF568+AH568</f>
        <v/>
      </c>
    </row>
    <row r="569" ht="60" customHeight="1" s="35">
      <c r="A569" s="3" t="inlineStr">
        <is>
          <t>DEIELE251_025219D</t>
        </is>
      </c>
      <c r="B569" s="4" t="inlineStr">
        <is>
          <t>1/1</t>
        </is>
      </c>
      <c r="C569" s="3" t="inlineStr">
        <is>
          <t>IMPIANTO ELETTRICO</t>
        </is>
      </c>
      <c r="D569" s="4" t="inlineStr">
        <is>
          <t>SPECIALE</t>
        </is>
      </c>
      <c r="E569" s="4" t="inlineStr">
        <is>
          <t>ELETTRICHE SPECIALI</t>
        </is>
      </c>
      <c r="F569" s="3" t="inlineStr">
        <is>
          <t>3_CME IE RADIOFARMACIA PAVIA - REV02 VARIANTE ESECUTIVA.PDF</t>
        </is>
      </c>
      <c r="G569" s="4" t="inlineStr">
        <is>
          <t>73/73</t>
        </is>
      </c>
      <c r="H569" s="3" t="inlineStr">
        <is>
          <t>40 - IMPIANTISTICO</t>
        </is>
      </c>
      <c r="I569" s="3" t="inlineStr">
        <is>
          <t>RADIOFARMACIA</t>
        </is>
      </c>
      <c r="J569" s="3" t="inlineStr">
        <is>
          <t>IMPIANTO DI FORZA MOTRICE</t>
        </is>
      </c>
      <c r="K569" s="3" t="inlineStr">
        <is>
          <t>ALLACCIAMENTO DI UTENZA TRIFASE INCLUSO CONDUTTORE DI NEUTRO E DI PROTEZIONE, CON UTILIZZO DI CAVO UNIPOLARE O MULTIPOLARE ISOLATO IN EPR POSATO IN GUAINA PROTETTIVA DI PVC FLESSIBILE, PROVVISTA DI RA</t>
        </is>
      </c>
      <c r="L569" s="3" t="inlineStr">
        <is>
          <t>ALLACCIAMENTO DI UTENZA TRIFASE INCLUSO CONDUTTORE DI NEUTRO E DI PROTEZIONE, CON UTILIZZO DI CAVO UNIPOLARE O MULTIPOLARE ISOLATO IN EPR POSATO IN GUAINA PROTETTIVA DI PVC FLESSIBILE, PROVVISTA DI RACCORDI FILETTATI E DI ADATTATORI ALLE ESTREMITÀ, LUNGHEZZA FINO A 1,5 M: SEZIONE CONDUTTORI DA 50 A 70 MMQ</t>
        </is>
      </c>
      <c r="M569" s="4" t="inlineStr">
        <is>
          <t>CAD</t>
        </is>
      </c>
      <c r="N569" s="5" t="n">
        <v>2</v>
      </c>
      <c r="O569" s="6" t="n">
        <v>326.11</v>
      </c>
      <c r="P569" s="6" t="n">
        <v>652.22</v>
      </c>
      <c r="Q569" s="5" t="n"/>
      <c r="R569" s="6" t="n"/>
      <c r="S569" s="6">
        <f>IF(AND(Q569&lt;&gt;"",R569&lt;&gt;""),Q569*R569,"")</f>
        <v/>
      </c>
      <c r="T569" s="6">
        <f>IF(S569="",P569,S569)</f>
        <v/>
      </c>
      <c r="U569" s="7" t="n">
        <v>0</v>
      </c>
      <c r="V569" s="6">
        <f>$T569*U569</f>
        <v/>
      </c>
      <c r="W569" s="7" t="n">
        <v>0</v>
      </c>
      <c r="X569" s="6">
        <f>$T569*W569</f>
        <v/>
      </c>
      <c r="Y569" s="7" t="n">
        <v>0</v>
      </c>
      <c r="Z569" s="6">
        <f>$T569*Y569</f>
        <v/>
      </c>
      <c r="AA569" s="7" t="n">
        <v>0</v>
      </c>
      <c r="AB569" s="6">
        <f>$T569*AA569</f>
        <v/>
      </c>
      <c r="AC569" s="7" t="n">
        <v>0</v>
      </c>
      <c r="AD569" s="6">
        <f>$T569*AC569</f>
        <v/>
      </c>
      <c r="AE569" s="7" t="n">
        <v>0</v>
      </c>
      <c r="AF569" s="6">
        <f>$T569*AE569</f>
        <v/>
      </c>
      <c r="AG569" s="7" t="n">
        <v>0</v>
      </c>
      <c r="AH569" s="6">
        <f>$T569*AG569</f>
        <v/>
      </c>
      <c r="AI569" s="7">
        <f>U569+W569+Y569+AA569+AC569+AE569+AG569</f>
        <v/>
      </c>
      <c r="AJ569" s="6">
        <f>V569+X569+Z569+AB569+AD569+AF569+AH569</f>
        <v/>
      </c>
    </row>
    <row r="570" ht="60" customHeight="1" s="35">
      <c r="A570" s="3" t="inlineStr">
        <is>
          <t>DEIELE251_025219E</t>
        </is>
      </c>
      <c r="B570" s="4" t="inlineStr">
        <is>
          <t>1/1</t>
        </is>
      </c>
      <c r="C570" s="3" t="inlineStr">
        <is>
          <t>IMPIANTO ELETTRICO</t>
        </is>
      </c>
      <c r="D570" s="4" t="inlineStr">
        <is>
          <t>SPECIALE</t>
        </is>
      </c>
      <c r="E570" s="4" t="inlineStr">
        <is>
          <t>ELETTRICHE SPECIALI</t>
        </is>
      </c>
      <c r="F570" s="3" t="inlineStr">
        <is>
          <t>3_CME IE RADIOFARMACIA PAVIA - REV02 VARIANTE ESECUTIVA.PDF</t>
        </is>
      </c>
      <c r="G570" s="4" t="inlineStr">
        <is>
          <t>74/74</t>
        </is>
      </c>
      <c r="H570" s="3" t="inlineStr">
        <is>
          <t>40 - IMPIANTISTICO</t>
        </is>
      </c>
      <c r="I570" s="3" t="inlineStr">
        <is>
          <t>RADIOFARMACIA</t>
        </is>
      </c>
      <c r="J570" s="3" t="inlineStr">
        <is>
          <t>IMPIANTO DI FORZA MOTRICE</t>
        </is>
      </c>
      <c r="K570" s="3" t="inlineStr">
        <is>
          <t>ALLACCIAMENTO DI UTENZA TRIFASE INCLUSO CONDUTTORE DI NEUTRO E DI PROTEZIONE, CON UTILIZZO DI CAVO UNIPOLARE O MULTIPOLARE ISOLATO IN EPR POSATO IN GUAINA PROTETTIVA DI PVC FLESSIBILE, PROVVISTA DI RA</t>
        </is>
      </c>
      <c r="L570" s="3" t="inlineStr">
        <is>
          <t>ALLACCIAMENTO DI UTENZA TRIFASE INCLUSO CONDUTTORE DI NEUTRO E DI PROTEZIONE, CON UTILIZZO DI CAVO UNIPOLARE O MULTIPOLARE ISOLATO IN EPR POSATO IN GUAINA PROTETTIVA DI PVC FLESSIBILE, PROVVISTA DI RACCORDI FILETTATI E DI ADATTATORI ALLE ESTREMITÀ, LUNGHEZZA FINO A 1,5 M: SEZIONE CONDUTTORI DA 95 A 120 MMQ</t>
        </is>
      </c>
      <c r="M570" s="4" t="inlineStr">
        <is>
          <t>CAD</t>
        </is>
      </c>
      <c r="N570" s="5" t="n">
        <v>1</v>
      </c>
      <c r="O570" s="6" t="n">
        <v>509.92</v>
      </c>
      <c r="P570" s="6" t="n">
        <v>509.92</v>
      </c>
      <c r="Q570" s="5" t="n"/>
      <c r="R570" s="6" t="n"/>
      <c r="S570" s="6">
        <f>IF(AND(Q570&lt;&gt;"",R570&lt;&gt;""),Q570*R570,"")</f>
        <v/>
      </c>
      <c r="T570" s="6">
        <f>IF(S570="",P570,S570)</f>
        <v/>
      </c>
      <c r="U570" s="7" t="n">
        <v>0</v>
      </c>
      <c r="V570" s="6">
        <f>$T570*U570</f>
        <v/>
      </c>
      <c r="W570" s="7" t="n">
        <v>0</v>
      </c>
      <c r="X570" s="6">
        <f>$T570*W570</f>
        <v/>
      </c>
      <c r="Y570" s="7" t="n">
        <v>0</v>
      </c>
      <c r="Z570" s="6">
        <f>$T570*Y570</f>
        <v/>
      </c>
      <c r="AA570" s="7" t="n">
        <v>0</v>
      </c>
      <c r="AB570" s="6">
        <f>$T570*AA570</f>
        <v/>
      </c>
      <c r="AC570" s="7" t="n">
        <v>0</v>
      </c>
      <c r="AD570" s="6">
        <f>$T570*AC570</f>
        <v/>
      </c>
      <c r="AE570" s="7" t="n">
        <v>0</v>
      </c>
      <c r="AF570" s="6">
        <f>$T570*AE570</f>
        <v/>
      </c>
      <c r="AG570" s="7" t="n">
        <v>0</v>
      </c>
      <c r="AH570" s="6">
        <f>$T570*AG570</f>
        <v/>
      </c>
      <c r="AI570" s="7">
        <f>U570+W570+Y570+AA570+AC570+AE570+AG570</f>
        <v/>
      </c>
      <c r="AJ570" s="6">
        <f>V570+X570+Z570+AB570+AD570+AF570+AH570</f>
        <v/>
      </c>
    </row>
    <row r="571" ht="60" customHeight="1" s="35">
      <c r="A571" s="3" t="inlineStr">
        <is>
          <t>DEIELE251_025219F</t>
        </is>
      </c>
      <c r="B571" s="4" t="inlineStr">
        <is>
          <t>1/1</t>
        </is>
      </c>
      <c r="C571" s="3" t="inlineStr">
        <is>
          <t>IMPIANTO ELETTRICO</t>
        </is>
      </c>
      <c r="D571" s="4" t="inlineStr">
        <is>
          <t>SPECIALE</t>
        </is>
      </c>
      <c r="E571" s="4" t="inlineStr">
        <is>
          <t>ELETTRICHE SPECIALI</t>
        </is>
      </c>
      <c r="F571" s="3" t="inlineStr">
        <is>
          <t>3_CME IE RADIOFARMACIA PAVIA - REV02 VARIANTE ESECUTIVA.PDF</t>
        </is>
      </c>
      <c r="G571" s="4" t="inlineStr">
        <is>
          <t>75/75</t>
        </is>
      </c>
      <c r="H571" s="3" t="inlineStr">
        <is>
          <t>40 - IMPIANTISTICO</t>
        </is>
      </c>
      <c r="I571" s="3" t="inlineStr">
        <is>
          <t>RADIOFARMACIA</t>
        </is>
      </c>
      <c r="J571" s="3" t="inlineStr">
        <is>
          <t>IMPIANTO DI FORZA MOTRICE</t>
        </is>
      </c>
      <c r="K571" s="3" t="inlineStr">
        <is>
          <t>ALLACCIAMENTO DI UTENZA TRIFASE INCLUSO CONDUTTORE DI NEUTRO E DI PROTEZIONE, CON UTILIZZO DI CAVO UNIPOLARE O MULTIPOLARE ISOLATO IN EPR POSATO IN GUAINA PROTETTIVA DI PVC FLESSIBILE, PROVVISTA DI RA</t>
        </is>
      </c>
      <c r="L571" s="3" t="inlineStr">
        <is>
          <t>ALLACCIAMENTO DI UTENZA TRIFASE INCLUSO CONDUTTORE DI NEUTRO E DI PROTEZIONE, CON UTILIZZO DI CAVO UNIPOLARE O MULTIPOLARE ISOLATO IN EPR POSATO IN GUAINA PROTETTIVA DI PVC FLESSIBILE, PROVVISTA DI RACCORDI FILETTATI E DI ADATTATORI ALLE ESTREMITÀ, LUNGHEZZA FINO A 1,5 M: SEZIONE CONDUTTORI DA 150 A 185 MMQ</t>
        </is>
      </c>
      <c r="M571" s="4" t="inlineStr">
        <is>
          <t>CAD</t>
        </is>
      </c>
      <c r="N571" s="5" t="n">
        <v>1</v>
      </c>
      <c r="O571" s="6" t="n">
        <v>675.9400000000001</v>
      </c>
      <c r="P571" s="6" t="n">
        <v>675.9400000000001</v>
      </c>
      <c r="Q571" s="5" t="n"/>
      <c r="R571" s="6" t="n"/>
      <c r="S571" s="6">
        <f>IF(AND(Q571&lt;&gt;"",R571&lt;&gt;""),Q571*R571,"")</f>
        <v/>
      </c>
      <c r="T571" s="6">
        <f>IF(S571="",P571,S571)</f>
        <v/>
      </c>
      <c r="U571" s="7" t="n">
        <v>0</v>
      </c>
      <c r="V571" s="6">
        <f>$T571*U571</f>
        <v/>
      </c>
      <c r="W571" s="7" t="n">
        <v>0</v>
      </c>
      <c r="X571" s="6">
        <f>$T571*W571</f>
        <v/>
      </c>
      <c r="Y571" s="7" t="n">
        <v>0</v>
      </c>
      <c r="Z571" s="6">
        <f>$T571*Y571</f>
        <v/>
      </c>
      <c r="AA571" s="7" t="n">
        <v>0</v>
      </c>
      <c r="AB571" s="6">
        <f>$T571*AA571</f>
        <v/>
      </c>
      <c r="AC571" s="7" t="n">
        <v>0</v>
      </c>
      <c r="AD571" s="6">
        <f>$T571*AC571</f>
        <v/>
      </c>
      <c r="AE571" s="7" t="n">
        <v>0</v>
      </c>
      <c r="AF571" s="6">
        <f>$T571*AE571</f>
        <v/>
      </c>
      <c r="AG571" s="7" t="n">
        <v>0</v>
      </c>
      <c r="AH571" s="6">
        <f>$T571*AG571</f>
        <v/>
      </c>
      <c r="AI571" s="7">
        <f>U571+W571+Y571+AA571+AC571+AE571+AG571</f>
        <v/>
      </c>
      <c r="AJ571" s="6">
        <f>V571+X571+Z571+AB571+AD571+AF571+AH571</f>
        <v/>
      </c>
    </row>
    <row r="572" ht="60" customHeight="1" s="35">
      <c r="A572" s="3" t="inlineStr">
        <is>
          <t>LOM252.OC.EEA.PA02.G8232.D0000.0005</t>
        </is>
      </c>
      <c r="B572" s="4" t="inlineStr">
        <is>
          <t>1/1</t>
        </is>
      </c>
      <c r="C572" s="3" t="inlineStr">
        <is>
          <t>IMPIANTO ELETTRICO</t>
        </is>
      </c>
      <c r="D572" s="4" t="inlineStr">
        <is>
          <t>SPECIALE</t>
        </is>
      </c>
      <c r="E572" s="4" t="inlineStr">
        <is>
          <t>ELETTRICHE SPECIALI</t>
        </is>
      </c>
      <c r="F572" s="3" t="inlineStr">
        <is>
          <t>3_CME IE RADIOFARMACIA PAVIA - REV02 VARIANTE ESECUTIVA.PDF</t>
        </is>
      </c>
      <c r="G572" s="4" t="inlineStr">
        <is>
          <t>76/76</t>
        </is>
      </c>
      <c r="H572" s="3" t="inlineStr">
        <is>
          <t>40 - IMPIANTISTICO</t>
        </is>
      </c>
      <c r="I572" s="3" t="inlineStr">
        <is>
          <t>RADIOFARMACIA</t>
        </is>
      </c>
      <c r="J572" s="3" t="inlineStr">
        <is>
          <t>IMPIANTO DI FORZA MOTRICE</t>
        </is>
      </c>
      <c r="K572" s="3" t="inlineStr">
        <is>
          <t>OPERA: GRUPPO PRESA, DI CORRENTE DI TIPO INTERBLOCCATO DI PLASTICA GENERICO; GRADO DI RESISTENZA AL FUOCO [°C] = GWT 960. INCLUSO: FUSIBILI, SEZIONATORE DI CATEGORIA AC23A, PRESSACAVO IN MATERIALE ISO</t>
        </is>
      </c>
      <c r="L572" s="3" t="inlineStr">
        <is>
          <t>OPERA: GRUPPO PRESA, DI CORRENTE DI TIPO INTERBLOCCATO DI PLASTICA GENERICO; GRADO DI RESISTENZA AL FUOCO [°C] = GWT 960. INCLUSO: FUSIBILI, SEZIONATORE DI CATEGORIA AC23A, PRESSACAVO IN MATERIALE ISOLANTE, PIASTRA DI FONDO. 
LAVORO: POSA. 
SPECIFICHE TECNICHE: GRUPPO PRESA IN MATERIALE TERMOPLASTICO, AUTOESTINGUENZA V0, GRADO DI PROTEZIONE IP67, RESISTENZA AGLI URTI IK10. OP GRUPPO PRESA, DI CORRENTE DI TIPO INTERBLOCCATO DI PLASTICA GENERICO; GRADO DI RESISTENZA AL FUOCO [°C] = GWT 960. INCLUSO: FUSIBILI, SEZIONATORE DI CATEGORIA AC23A, PRESSACAVO IN MATERIALE ISOLANTE, PIASTRA DI FONDO. 
SPECIFICHE TECNICHE: GRUPPO PRESA IN MATERIALE TERMOPLASTICO, AUTOESTINGUENZA V0, GRADO DI PROTEZIONE IP67, RESISTENZA AGLI URTI IK10. 
RM GRUPPO PRESA DI CORRENTE DI TIPO INTERBLOCCATO DI PLASTICA GENERICO; GRADO DI RESISTENZA AL FUOCO [°C] = GWT 960. COMPONENTI: PRESA, PRESA, CENTRALINA CIECO. INCLUSO: FUSIBILI, SEZIONATORE DI CATEGORIA AC23A, PRESSACAVO IN MATERIALE ISOLANTE, PIASTRA DI FONDO 
SPECIFICHE TECNICHE: GRUPPO PRESA IN MATERIALE TERMOPLASTICO, AUTOESTINGUENZA V0, GRADO DI PROTEZIONE IP67, RESISTENZA AGLI URTI IK10 
RM GRUPPO PRESA DI CORRENTE DI TIPO INTERBLOCCATO DI PLASTICA GENERICO; GRADO DI RESISTENZA AL FUOCO [°C] = GWT 960. COMPONENTI: PRESA, PRESA, CENTRALINA CIECO. INCLUSO: FUSIBILI, SEZIONATORE DI CATEGORIA AC23A, PRESSACAVO IN MATERIALE ISOLANTE, PIASTRA DI FONDO 
SPECIFICHE TECNICHE: GRUPPO PRESA IN MATERIALE TERMOPLASTICO, AUTOESTINGUENZA V0, GRADO DI PROTEZIONE IP67, RESISTENZA AGLI URTI IK10 
LV POSA.</t>
        </is>
      </c>
      <c r="M572" s="4" t="inlineStr">
        <is>
          <t>CAD</t>
        </is>
      </c>
      <c r="N572" s="5" t="n">
        <v>1</v>
      </c>
      <c r="O572" s="6" t="n">
        <v>145.27</v>
      </c>
      <c r="P572" s="6" t="n">
        <v>145.27</v>
      </c>
      <c r="Q572" s="5" t="n"/>
      <c r="R572" s="6" t="n"/>
      <c r="S572" s="6">
        <f>IF(AND(Q572&lt;&gt;"",R572&lt;&gt;""),Q572*R572,"")</f>
        <v/>
      </c>
      <c r="T572" s="6">
        <f>IF(S572="",P572,S572)</f>
        <v/>
      </c>
      <c r="U572" s="7" t="n">
        <v>0</v>
      </c>
      <c r="V572" s="6">
        <f>$T572*U572</f>
        <v/>
      </c>
      <c r="W572" s="7" t="n">
        <v>0</v>
      </c>
      <c r="X572" s="6">
        <f>$T572*W572</f>
        <v/>
      </c>
      <c r="Y572" s="7" t="n">
        <v>0</v>
      </c>
      <c r="Z572" s="6">
        <f>$T572*Y572</f>
        <v/>
      </c>
      <c r="AA572" s="7" t="n">
        <v>0</v>
      </c>
      <c r="AB572" s="6">
        <f>$T572*AA572</f>
        <v/>
      </c>
      <c r="AC572" s="7" t="n">
        <v>0</v>
      </c>
      <c r="AD572" s="6">
        <f>$T572*AC572</f>
        <v/>
      </c>
      <c r="AE572" s="7" t="n">
        <v>0</v>
      </c>
      <c r="AF572" s="6">
        <f>$T572*AE572</f>
        <v/>
      </c>
      <c r="AG572" s="7" t="n">
        <v>0</v>
      </c>
      <c r="AH572" s="6">
        <f>$T572*AG572</f>
        <v/>
      </c>
      <c r="AI572" s="7">
        <f>U572+W572+Y572+AA572+AC572+AE572+AG572</f>
        <v/>
      </c>
      <c r="AJ572" s="6">
        <f>V572+X572+Z572+AB572+AD572+AF572+AH572</f>
        <v/>
      </c>
    </row>
    <row r="573" ht="60" customHeight="1" s="35">
      <c r="A573" s="3" t="inlineStr">
        <is>
          <t>DEIIT251_045065</t>
        </is>
      </c>
      <c r="B573" s="4" t="inlineStr">
        <is>
          <t>1/2</t>
        </is>
      </c>
      <c r="C573" s="3" t="inlineStr">
        <is>
          <t>IMPIANTO ELETTRICO</t>
        </is>
      </c>
      <c r="D573" s="4" t="inlineStr">
        <is>
          <t>SPECIALE</t>
        </is>
      </c>
      <c r="E573" s="4" t="inlineStr">
        <is>
          <t>ELETTRICHE SPECIALI</t>
        </is>
      </c>
      <c r="F573" s="3" t="inlineStr">
        <is>
          <t>3_CME IE RADIOFARMACIA PAVIA - REV02 VARIANTE ESECUTIVA.PDF</t>
        </is>
      </c>
      <c r="G573" s="4" t="inlineStr">
        <is>
          <t>77/77</t>
        </is>
      </c>
      <c r="H573" s="3" t="inlineStr">
        <is>
          <t>40 - IMPIANTISTICO</t>
        </is>
      </c>
      <c r="I573" s="3" t="inlineStr">
        <is>
          <t>RADIOFARMACIA</t>
        </is>
      </c>
      <c r="J573" s="3" t="inlineStr">
        <is>
          <t>IMPIANTO DI FORZA MOTRICE</t>
        </is>
      </c>
      <c r="K573" s="3" t="inlineStr">
        <is>
          <t>COLLEGAMENTO ELETTRICO DEGLI ELEMENTI IN CAMPO DI REGOLAZIONE E DI CONTROLLO, COMPRENSIVO DI CAVI, TUBAZIONI, E CABLAGGIO AI QUADRI DI REGOLAZIONE, È ESCLUSA L'ASSISTENZA MURARIA, VALUTATO PER OGNI PU</t>
        </is>
      </c>
      <c r="L573" s="3" t="inlineStr">
        <is>
          <t>COLLEGAMENTO ELETTRICO DEGLI ELEMENTI IN CAMPO DI REGOLAZIONE E DI CONTROLLO, COMPRENSIVO DI CAVI, TUBAZIONI, E CABLAGGIO AI QUADRI DI REGOLAZIONE, È ESCLUSA L'ASSISTENZA MURARIA, VALUTATO PER OGNI PUNTO DI REGOLAZIONE E CONTROLLO COLLEGATO</t>
        </is>
      </c>
      <c r="M573" s="4" t="inlineStr">
        <is>
          <t>CAD</t>
        </is>
      </c>
      <c r="N573" s="5" t="n">
        <v>33</v>
      </c>
      <c r="O573" s="6" t="n">
        <v>123.34</v>
      </c>
      <c r="P573" s="6" t="n">
        <v>4070.22</v>
      </c>
      <c r="Q573" s="5" t="n"/>
      <c r="R573" s="6" t="n"/>
      <c r="S573" s="6">
        <f>IF(AND(Q573&lt;&gt;"",R573&lt;&gt;""),Q573*R573,"")</f>
        <v/>
      </c>
      <c r="T573" s="6">
        <f>IF(S573="",P573,S573)</f>
        <v/>
      </c>
      <c r="U573" s="7" t="n">
        <v>0</v>
      </c>
      <c r="V573" s="6">
        <f>$T573*U573</f>
        <v/>
      </c>
      <c r="W573" s="7" t="n">
        <v>0</v>
      </c>
      <c r="X573" s="6">
        <f>$T573*W573</f>
        <v/>
      </c>
      <c r="Y573" s="7" t="n">
        <v>0</v>
      </c>
      <c r="Z573" s="6">
        <f>$T573*Y573</f>
        <v/>
      </c>
      <c r="AA573" s="7" t="n">
        <v>0</v>
      </c>
      <c r="AB573" s="6">
        <f>$T573*AA573</f>
        <v/>
      </c>
      <c r="AC573" s="7" t="n">
        <v>0</v>
      </c>
      <c r="AD573" s="6">
        <f>$T573*AC573</f>
        <v/>
      </c>
      <c r="AE573" s="7" t="n">
        <v>0</v>
      </c>
      <c r="AF573" s="6">
        <f>$T573*AE573</f>
        <v/>
      </c>
      <c r="AG573" s="7" t="n">
        <v>0</v>
      </c>
      <c r="AH573" s="6">
        <f>$T573*AG573</f>
        <v/>
      </c>
      <c r="AI573" s="7">
        <f>U573+W573+Y573+AA573+AC573+AE573+AG573</f>
        <v/>
      </c>
      <c r="AJ573" s="6">
        <f>V573+X573+Z573+AB573+AD573+AF573+AH573</f>
        <v/>
      </c>
    </row>
    <row r="574" ht="60" customHeight="1" s="35">
      <c r="A574" s="3" t="inlineStr">
        <is>
          <t>IE_NP_TREG01</t>
        </is>
      </c>
      <c r="B574" s="4" t="inlineStr">
        <is>
          <t>1/1</t>
        </is>
      </c>
      <c r="C574" s="3" t="inlineStr">
        <is>
          <t>IMPIANTO ELETTRICO</t>
        </is>
      </c>
      <c r="D574" s="4" t="inlineStr">
        <is>
          <t>SPECIALE</t>
        </is>
      </c>
      <c r="E574" s="4" t="inlineStr">
        <is>
          <t>ELETTRICHE SPECIALI</t>
        </is>
      </c>
      <c r="F574" s="3" t="inlineStr">
        <is>
          <t>3_CME IE RADIOFARMACIA PAVIA - REV02 VARIANTE ESECUTIVA.PDF</t>
        </is>
      </c>
      <c r="G574" s="4" t="inlineStr">
        <is>
          <t>78/78</t>
        </is>
      </c>
      <c r="H574" s="3" t="inlineStr">
        <is>
          <t>40 - IMPIANTISTICO</t>
        </is>
      </c>
      <c r="I574" s="3" t="inlineStr">
        <is>
          <t>RADIOFARMACIA</t>
        </is>
      </c>
      <c r="J574" s="3" t="inlineStr">
        <is>
          <t>IMPIANTO DI TERMOREGOLAZIONE</t>
        </is>
      </c>
      <c r="K574" s="3" t="inlineStr">
        <is>
          <t>FORNITURA E POSA IN OPERA DI POSTAZIONE DI TERMOREGOLAZIONE DEGLI IMPIANTI IDRONICI E AERAULICI COMPOSTO DA: DCC7-CL-S-P3-1 DELL DESIGO CC 7.0 SYS CL-S 3YR PRO SUP CLIENT SERVER (SMALL, 500 DATAPOINT)</t>
        </is>
      </c>
      <c r="L574" s="3" t="inlineStr">
        <is>
          <t>FORNITURA E POSA IN OPERA DI POSTAZIONE DI TERMOREGOLAZIONE DEGLI IMPIANTI IDRONICI E AERAULICI COMPOSTO DA: DCC7-CL-S-P3-1 DELL DESIGO CC 7.0 SYS CL-S 3YR PRO SUP CLIENT SERVER (SMALL, 500 DATAPOINT) DELL DESIGO CC 7.0 SYS CL-S 3YR PRO SUP 1 DIS-P2725H-P3 MONITOR 27 POLLICI MONITOR 27 POLLICI 1 CCA-CMPT-BA CCA-CMPT-BA LICENZA CC COMPATTA BA, FUNZIONI BASE 1 CCA-100-BA CCA-100-BA LICENZA CC, AGGIUNTA DI 100 PUNTI DI TIPO BUILDING AUTOMATION 4 ENGINEERING DEFINIZIONE LOGICHE FUNZIONAMENTO/SCHEMI ANALISI DOCUMENTAZIONE FORNITA DAL CLIENTE, ELABORAZIONE SCHEMI DI CABLAGGIO SWDEVELOPMENT SVILUPPO SW SVILUPPO SW PERSONALIZZATO SULLA BASE DI RICHIESTE SPECIFICHE COMMISSIONING MESSA IN SERVIZIO E STARTUP MESSA IN SERVIZIO E STARTUP, CARICAMENTO PROGRAMMI ELABORATI A BORDO DELLE UNITÀ CENTRALI GRAFICA CONFIGURAZIONE DELLE PAGINE GRAFICHE ELABORAZIONE E CONFIGURAZIONE DELLE PAGINE GRAFICHE SULLA BASE DELLE PLAMIMETRIE TRASMESSE E DELLE SPECIFICHE DEFINITE TRAINING CORSO DI ISTRUZIONE OPERATORI CORSO DI ISTRUZIONE OPERATORI PROJECTMANAGEMENT COORDINAMENTO DELLA FORNITURA ATTIVITÀ DI COORDINAMENTO DELLA FORNITURA, GESTIONE COMMESSA, COORDINAMENTO TECNICI E SUPPORTO ALL'INSTALLAZIONE</t>
        </is>
      </c>
      <c r="M574" s="4" t="inlineStr">
        <is>
          <t>A CORPO</t>
        </is>
      </c>
      <c r="N574" s="5" t="n">
        <v>1</v>
      </c>
      <c r="O574" s="6" t="n">
        <v>0</v>
      </c>
      <c r="P574" s="6" t="n">
        <v>0</v>
      </c>
      <c r="Q574" s="5" t="n"/>
      <c r="R574" s="6" t="n"/>
      <c r="S574" s="6">
        <f>IF(AND(Q574&lt;&gt;"",R574&lt;&gt;""),Q574*R574,"")</f>
        <v/>
      </c>
      <c r="T574" s="6">
        <f>IF(S574="",P574,S574)</f>
        <v/>
      </c>
      <c r="U574" s="7" t="n">
        <v>0</v>
      </c>
      <c r="V574" s="6">
        <f>$T574*U574</f>
        <v/>
      </c>
      <c r="W574" s="7" t="n">
        <v>0</v>
      </c>
      <c r="X574" s="6">
        <f>$T574*W574</f>
        <v/>
      </c>
      <c r="Y574" s="7" t="n">
        <v>0</v>
      </c>
      <c r="Z574" s="6">
        <f>$T574*Y574</f>
        <v/>
      </c>
      <c r="AA574" s="7" t="n">
        <v>0</v>
      </c>
      <c r="AB574" s="6">
        <f>$T574*AA574</f>
        <v/>
      </c>
      <c r="AC574" s="7" t="n">
        <v>0</v>
      </c>
      <c r="AD574" s="6">
        <f>$T574*AC574</f>
        <v/>
      </c>
      <c r="AE574" s="7" t="n">
        <v>0</v>
      </c>
      <c r="AF574" s="6">
        <f>$T574*AE574</f>
        <v/>
      </c>
      <c r="AG574" s="7" t="n">
        <v>0</v>
      </c>
      <c r="AH574" s="6">
        <f>$T574*AG574</f>
        <v/>
      </c>
      <c r="AI574" s="7">
        <f>U574+W574+Y574+AA574+AC574+AE574+AG574</f>
        <v/>
      </c>
      <c r="AJ574" s="6">
        <f>V574+X574+Z574+AB574+AD574+AF574+AH574</f>
        <v/>
      </c>
    </row>
    <row r="575" ht="60" customHeight="1" s="35">
      <c r="A575" s="3" t="inlineStr">
        <is>
          <t>IE_NP_TREG02</t>
        </is>
      </c>
      <c r="B575" s="4" t="inlineStr">
        <is>
          <t>1/1</t>
        </is>
      </c>
      <c r="C575" s="3" t="inlineStr">
        <is>
          <t>IMPIANTO ELETTRICO</t>
        </is>
      </c>
      <c r="D575" s="4" t="inlineStr">
        <is>
          <t>SPECIALE</t>
        </is>
      </c>
      <c r="E575" s="4" t="inlineStr">
        <is>
          <t>ELETTRICHE SPECIALI</t>
        </is>
      </c>
      <c r="F575" s="3" t="inlineStr">
        <is>
          <t>3_CME IE RADIOFARMACIA PAVIA - REV02 VARIANTE ESECUTIVA.PDF</t>
        </is>
      </c>
      <c r="G575" s="4" t="inlineStr">
        <is>
          <t>79/79</t>
        </is>
      </c>
      <c r="H575" s="3" t="inlineStr">
        <is>
          <t>40 - IMPIANTISTICO</t>
        </is>
      </c>
      <c r="I575" s="3" t="inlineStr">
        <is>
          <t>RADIOFARMACIA</t>
        </is>
      </c>
      <c r="J575" s="3" t="inlineStr">
        <is>
          <t>IMPIANTO DI TERMOREGOLAZIONE</t>
        </is>
      </c>
      <c r="K575" s="3" t="inlineStr">
        <is>
          <t>FORNITURA E POSA IN OPERA DEI MODULI DI TERMOREGOLAZIONE PER LA GESTIONE DEGLI AMBIENTI DA INSTALLARE ALL'INTERNO DEI QUADRI ELETTRICI DI POTENZA INCLUSA L'INSTALLAZIONE ED IL CABLAGGIO SECONDO LE IND</t>
        </is>
      </c>
      <c r="L575" s="3" t="inlineStr">
        <is>
          <t>FORNITURA E POSA IN OPERA DEI MODULI DI TERMOREGOLAZIONE PER LA GESTIONE DEGLI AMBIENTI DA INSTALLARE ALL'INTERNO DEI QUADRI ELETTRICI DI POTENZA INCLUSA L'INSTALLAZIONE ED IL CABLAGGIO SECONDO LE INDICAZIONI DEL FORNITORE DELLE APPARECCHIATURE. DETTAGLIO DELLE APPARECCHIATURE: PXC7.E400M PXC7.E400M CONTR. PROGRAMMABILE MAX250PT CONTROLLORE DI AUTOMAZIONE MODULARE REGOLAZIONE E CONTROLLO SISTEMI HVAC. COMUNICAZIONE BACNET/IP. COMUNICAZIONE BACNET SECURE CONNECT. GESTIONE COMPLETA E FUNZIONI DI SISTEMA. LIBERAMENTE PROGRAMMABILI CON AMPIA LIBRERIA DI BLOCCHI BASE E LIBRERIE DI APPLICATIVI. COLLEGAMENTO DI SEGNALI DI INGRESSO E USCITA ATTRAVERSO MODULI TXM (MAX 200 PUNTI). INTEGRAZIONE SOTTOSISTEMI MODBUS RTU E/O MODBUS TCP (MAX 200 PUNTI). INTEGRA I DISPOSITIVI BACNET MS/TP (15 DISPOSITVI MAX SU 2 BUS). INTERFACCIA WEB TESTUALE. TOTALE PUNTI GESTIBILI 250. FINO A 2 PORTE RS485 CONFIGURABILI. ACCESSO REMOTO TRAMITE CLOUD. 1 TXS1.12F10 ALIMENTATORE MODULI MODULO TXS1.12F10, ALIMENTATORE PER CONNESSIONE BUS, CON GENERAZIONE E TRASFERIMENTO DELL' ALIMENTAZIONE DC 24V, 1.2 A AI MODULI TX I/O E DISPOSITIVI DI CAMPO. 4 TXS1.EF10 CONNETTORE BUS MODULO TXS1.EF10 PER CONNESSIONE BUS, CON TRASFERIMENTO DELL' ALIMENTAZIONE DC 24V AI MODULI TX I/O E DISPOSITIVI DI CAMPO. 4 TXM1.8U MODULO 8 INGRESSI USCITE ANAGLOGICHE MODULO TXM1.8U, 8 INGRESSI/USCITE UNIVERSALI INDIVIDUALMENTE CONFIGURABILI. INGRESSI DIGITALI MANTENUTI, IMPULSIVI O CONTEGGI. SENSORI DI TEMPERATURA O 0..10 VCC. USCITE ANALOGICHE 0..10 VCC. SEGNALAZIONE STATO INGRESSI CON LEDS. 29 TXM1.8D MODULO 8 INGRESSI DIGITALI MODULO TXM1.8D, 8 INGRESSI DIGITALI INDIVIDUALMENTE CONFIGURABILI. SEGNALAZIONE INGRESSI CON LEDS MULTICOLORE VERDE-GIALLO-ROSSO. 3 TXM1.6R MODULO 6 USCITE DIGITALI MODULO TXM1.6R, 6 USCITE DIGITALI A RELÈ INDIVIDUALMENTE CONFIGURABILI. SEGNALAZIONE USCITE CON LEDS SENZA COMANDO MANUALE LOCALE. PORTATA CONTATTI 4A (RESISTIVO) OPPURE 3 A (INDUTTIVO A 250 VCA). 4 TXA1.K24 INDIRIZZI 1- 24 + RESET TXA1.K24 SET INDIRIZZI 1...24 CON RESET 1 TXA1.K-48 INDIRIZZI 25-48+RESET TXA1.K48 SET INDIRIZZI 25...48 CON RESET</t>
        </is>
      </c>
      <c r="M575" s="4" t="inlineStr">
        <is>
          <t>A CORPO</t>
        </is>
      </c>
      <c r="N575" s="5" t="n">
        <v>1</v>
      </c>
      <c r="O575" s="6" t="n">
        <v>0</v>
      </c>
      <c r="P575" s="6" t="n">
        <v>0</v>
      </c>
      <c r="Q575" s="5" t="n"/>
      <c r="R575" s="6" t="n"/>
      <c r="S575" s="6">
        <f>IF(AND(Q575&lt;&gt;"",R575&lt;&gt;""),Q575*R575,"")</f>
        <v/>
      </c>
      <c r="T575" s="6">
        <f>IF(S575="",P575,S575)</f>
        <v/>
      </c>
      <c r="U575" s="7" t="n">
        <v>0</v>
      </c>
      <c r="V575" s="6">
        <f>$T575*U575</f>
        <v/>
      </c>
      <c r="W575" s="7" t="n">
        <v>0</v>
      </c>
      <c r="X575" s="6">
        <f>$T575*W575</f>
        <v/>
      </c>
      <c r="Y575" s="7" t="n">
        <v>0</v>
      </c>
      <c r="Z575" s="6">
        <f>$T575*Y575</f>
        <v/>
      </c>
      <c r="AA575" s="7" t="n">
        <v>0</v>
      </c>
      <c r="AB575" s="6">
        <f>$T575*AA575</f>
        <v/>
      </c>
      <c r="AC575" s="7" t="n">
        <v>0</v>
      </c>
      <c r="AD575" s="6">
        <f>$T575*AC575</f>
        <v/>
      </c>
      <c r="AE575" s="7" t="n">
        <v>0</v>
      </c>
      <c r="AF575" s="6">
        <f>$T575*AE575</f>
        <v/>
      </c>
      <c r="AG575" s="7" t="n">
        <v>0</v>
      </c>
      <c r="AH575" s="6">
        <f>$T575*AG575</f>
        <v/>
      </c>
      <c r="AI575" s="7">
        <f>U575+W575+Y575+AA575+AC575+AE575+AG575</f>
        <v/>
      </c>
      <c r="AJ575" s="6">
        <f>V575+X575+Z575+AB575+AD575+AF575+AH575</f>
        <v/>
      </c>
    </row>
    <row r="576" ht="60" customHeight="1" s="35">
      <c r="A576" s="3" t="inlineStr">
        <is>
          <t>IE_NP_TREG03</t>
        </is>
      </c>
      <c r="B576" s="4" t="inlineStr">
        <is>
          <t>1/1</t>
        </is>
      </c>
      <c r="C576" s="3" t="inlineStr">
        <is>
          <t>IMPIANTO ELETTRICO</t>
        </is>
      </c>
      <c r="D576" s="4" t="inlineStr">
        <is>
          <t>SPECIALE</t>
        </is>
      </c>
      <c r="E576" s="4" t="inlineStr">
        <is>
          <t>ELETTRICHE SPECIALI</t>
        </is>
      </c>
      <c r="F576" s="3" t="inlineStr">
        <is>
          <t>3_CME IE RADIOFARMACIA PAVIA - REV02 VARIANTE ESECUTIVA.PDF</t>
        </is>
      </c>
      <c r="G576" s="4" t="inlineStr">
        <is>
          <t>80/80</t>
        </is>
      </c>
      <c r="H576" s="3" t="inlineStr">
        <is>
          <t>40 - IMPIANTISTICO</t>
        </is>
      </c>
      <c r="I576" s="3" t="inlineStr">
        <is>
          <t>RADIOFARMACIA</t>
        </is>
      </c>
      <c r="J576" s="3" t="inlineStr">
        <is>
          <t>IMPIANTO DI TERMOREGOLAZIONE</t>
        </is>
      </c>
      <c r="K576" s="3" t="inlineStr">
        <is>
          <t>FORNITURA E POSA IN OPERA DEI MODULI DI TERMOREGOLAZIONE PER LA GESTIONE DELLA UTA 1 DA INSTALLARE ALL'INTERNO DEL QUADRO ELETTRICO DI POTENZA QCT INCLUSA L'INSTALLAZIONE ED IL CABLAGGIO SECONDO LE IN</t>
        </is>
      </c>
      <c r="L576" s="3" t="inlineStr">
        <is>
          <t>FORNITURA E POSA IN OPERA DEI MODULI DI TERMOREGOLAZIONE PER LA GESTIONE DELLA UTA 1 DA INSTALLARE ALL'INTERNO DEL QUADRO ELETTRICO DI POTENZA QCT INCLUSA L'INSTALLAZIONE ED IL CABLAGGIO SECONDO LE INDICAZIONI DEL FORNITORE DELLE APPARECCHIATURE. DETTAGLIO DELLE APPARECCHIATURE: PXC5.E24 PXC5.E24 AUTOMATION STATION CONTROLLORE DI AUTOMAZIONE COMPATTA PER HVAC E SISTEMI DI AUTOMAZIONE DEGLI EDIFICI, LIBERAMENTE PROGRAMMABILE TRAMITE INTERFACCIA DI PROGRAMMAZIONE GRAFICA. COMUNICAZIONE BACNET/IP (CERTIFICATA BTL). COMUNICAZIONE BACNET SECURE CONNECT. 24 INGRESSI/ USCITE: 2 INGRESSI DIGITALI, 8 INGRESSI/USCITE UNIVERSALI, 8 INGRESSI/USCITE SUPER UNIVERSALI, 6 USCITE RELÈ AMPLIABILE TRAMITE MODULI I/O TXM… BUS KNX PL-LINK PER IL COLLEGAMENTO DI SENSORI E UNITÀ AMBIENTE (ALIMENTAZIONE DEL BUS A BORDO DEL CONTROLLORE). INTEGRAZIONE MODBUS TRAMITE RTU E/O TCP (MAX 80 DP). INTEGRAZIONE DI DISPOSITIVI BACNET MS/TP (FINO A 120 DISPOSITIVI SU DUE LINEE MS/TP). INTERFACCIA WLAN PER L'ENGINEERING E LA MESSA IN SERVIZIO. FINO A 120 DATAPOINT TOTALI TRA PUNTI FISICI PUNTI DI INTEGRAZIONE MODBUS. TENSIONE DI ESERCIZIO AC O DC 24 V 1 TXM1.6R MODULO 6 USCITE DIGITALI MODULO TXM1.6R, 6 USCITE DIGITALI A RELÈ INDIVIDUALMENTE CONFIGURABILI. SEGNALAZIONE USCITE CON LEDS SENZA COMANDO MANUALE LOCALE. PORTATA CONTATTI 4A (RESISTIVO) OPPURE 3 A (INDUTTIVO A 250 VCA). 1 TXM1.16D MODULO 16 INGRESSI DIGITALI MODULO TXM1.16D, 16 INGRESSI DIGITALI INDIVIDUALMENTE CONFIGURABILI. SEGNALAZIONE STATO INGRESSI CON LEDS 1 TXS1.12F10 ALIMENTATORE MODULI MODULO TXS1.12F10, ALIMENTATORE PER CONNESSIONE BUS, CON GENERAZIONE E TRASFERIMENTO DELL' ALIMENTAZIONE DC 24V, 1.2 A AI MODULI TX I/O E DISPOSITIVI DI CAMPO.  ESCLIUSO EVENTUALI INVERTER</t>
        </is>
      </c>
      <c r="M576" s="4" t="inlineStr">
        <is>
          <t>A CORPO</t>
        </is>
      </c>
      <c r="N576" s="5" t="n">
        <v>1</v>
      </c>
      <c r="O576" s="6" t="n">
        <v>0</v>
      </c>
      <c r="P576" s="6" t="n">
        <v>0</v>
      </c>
      <c r="Q576" s="5" t="n"/>
      <c r="R576" s="6" t="n"/>
      <c r="S576" s="6">
        <f>IF(AND(Q576&lt;&gt;"",R576&lt;&gt;""),Q576*R576,"")</f>
        <v/>
      </c>
      <c r="T576" s="6">
        <f>IF(S576="",P576,S576)</f>
        <v/>
      </c>
      <c r="U576" s="7" t="n">
        <v>0</v>
      </c>
      <c r="V576" s="6">
        <f>$T576*U576</f>
        <v/>
      </c>
      <c r="W576" s="7" t="n">
        <v>0</v>
      </c>
      <c r="X576" s="6">
        <f>$T576*W576</f>
        <v/>
      </c>
      <c r="Y576" s="7" t="n">
        <v>0</v>
      </c>
      <c r="Z576" s="6">
        <f>$T576*Y576</f>
        <v/>
      </c>
      <c r="AA576" s="7" t="n">
        <v>0</v>
      </c>
      <c r="AB576" s="6">
        <f>$T576*AA576</f>
        <v/>
      </c>
      <c r="AC576" s="7" t="n">
        <v>0</v>
      </c>
      <c r="AD576" s="6">
        <f>$T576*AC576</f>
        <v/>
      </c>
      <c r="AE576" s="7" t="n">
        <v>0</v>
      </c>
      <c r="AF576" s="6">
        <f>$T576*AE576</f>
        <v/>
      </c>
      <c r="AG576" s="7" t="n">
        <v>0</v>
      </c>
      <c r="AH576" s="6">
        <f>$T576*AG576</f>
        <v/>
      </c>
      <c r="AI576" s="7">
        <f>U576+W576+Y576+AA576+AC576+AE576+AG576</f>
        <v/>
      </c>
      <c r="AJ576" s="6">
        <f>V576+X576+Z576+AB576+AD576+AF576+AH576</f>
        <v/>
      </c>
    </row>
    <row r="577" ht="60" customHeight="1" s="35">
      <c r="A577" s="3" t="inlineStr">
        <is>
          <t>IE_NP_TREG04</t>
        </is>
      </c>
      <c r="B577" s="4" t="inlineStr">
        <is>
          <t>1/1</t>
        </is>
      </c>
      <c r="C577" s="3" t="inlineStr">
        <is>
          <t>IMPIANTO ELETTRICO</t>
        </is>
      </c>
      <c r="D577" s="4" t="inlineStr">
        <is>
          <t>SPECIALE</t>
        </is>
      </c>
      <c r="E577" s="4" t="inlineStr">
        <is>
          <t>ELETTRICHE SPECIALI</t>
        </is>
      </c>
      <c r="F577" s="3" t="inlineStr">
        <is>
          <t>3_CME IE RADIOFARMACIA PAVIA - REV02 VARIANTE ESECUTIVA.PDF</t>
        </is>
      </c>
      <c r="G577" s="4" t="inlineStr">
        <is>
          <t>81/81</t>
        </is>
      </c>
      <c r="H577" s="3" t="inlineStr">
        <is>
          <t>40 - IMPIANTISTICO</t>
        </is>
      </c>
      <c r="I577" s="3" t="inlineStr">
        <is>
          <t>RADIOFARMACIA</t>
        </is>
      </c>
      <c r="J577" s="3" t="inlineStr">
        <is>
          <t>IMPIANTO DI TERMOREGOLAZIONE</t>
        </is>
      </c>
      <c r="K577" s="3" t="inlineStr">
        <is>
          <t xml:space="preserve">FORNITURA E POSA IN OPERA DEI MODULI DI TERMOREGOLAZIONE PER LA GESTIONE DELLA PDC ACS DA INSTALLARE ALL'INTERNO DEL QUADRO ELETTRICO DI POTENZA QCT INCLUSA L'INSTALLAZIONE ED IL CABLAGGIO SECONDO LE </t>
        </is>
      </c>
      <c r="L577" s="3" t="inlineStr">
        <is>
          <t>FORNITURA E POSA IN OPERA DEI MODULI DI TERMOREGOLAZIONE PER LA GESTIONE DELLA PDC ACS DA INSTALLARE ALL'INTERNO DEL QUADRO ELETTRICO DI POTENZA QCT INCLUSA L'INSTALLAZIONE ED IL CABLAGGIO SECONDO LE INDICAZIONI DEL FORNITORE DELLE APPARECCHIATURE. DETTAGLIO DELLE APPARECCHIATURE:  PXC4.E16S-2 CONTROLLORE DI AUTOMAZIONE COMPATTO, LIBERAMENTE PROGRAMMABILE, DOTATO DI FUNZIONI DI SISTEMA (GESTIONE ALLARMI CON ALARM ROUTING, PROGRAMMAZIONE, FUNZIONI TREND). GESTIONE DI 100 ALLARMI ,40 FUNZIONI TREND PER UN MASSIMO DI 20000 CAMPIONAMENTI,5 OROLOGI SETTIMANALI E 5 OROLOGI A CALENDARIO. GESTIONE DI UN TOTALE DI 400 PUNTI BACNET PER UN MASSIMO DI 40 DATAPOINT FISICI. TIME MASTER ANCHE CON PROTOCOLLO NTP. LIBERAMENTE PROGRAMMABILE (STRETTA SOMIGLIANZA CON LO STANDARD CEN 11312). TUTTI I BLOCCHI FUNZIONE, DISPONIBILI NELLE LIBRERIE, POSSONO ESSERE COLLEGATI GRAFICAMENTE. TOTALE 16 I/O A BORDO (12 INGRESSI UNIVERSALI + 4 USCITE A RELÈ). POSSIBILITÀ DI CONNETTERE DIRETTAMENTE I MODULI D’ESTENSIONE I/O (TXM1) (CON ALIMENTATORE INCORPORATO DA 300MA). CONNESSIONE MASSIMA DI 8 MODULI DI ESPANSIONE. CONNESSIONE DIRETTA DEI DISPOSITIVI DI CAMPO: IL CONTROLLER FORNISCE ALIMENTAZIONE PER INGRESSI E USCITE NONCHÉ PER SENSORI ATTIVI. TENSIONE DI FUNZIONAMENTO AC 24 V CON ASSORBIMENTO MASSIMO 78VA O 24 V DC CON ASSORBIMENTO MASSIMO 66 W. INSTALLAZIONE SU GUIDA DIN STANDARD O A PARETE. MORSETTIERE PLUG-IN INCLUSE. SENZA BATTERIA: RISERVA DI ENERGIA (SUPERCAP) PER IL SUPPORTO DELL'OROLOGIO IN TEMPO REALE (7 GIORNI). PROGETTAZIONE E MESSA IN SERVIZIO CON LO STRUMENTO ABT SITE DI FACILE UTILIZZO E SENZA NESSUN COSTO DI LICENZA, ATTRAVERSO MENÙ GRAFICI. VISUALIZZATORE TESTUALE DEI DATAPOINT LOCALI E CONFIGURAZIONE TRAMITE INTERFACCIA WEB. CONNESSIONE WLAN PER SVILUPPO, MESSA IN SERVIZIO E GESTIONE, CON COPERTURA FINO A 5M. COMUNICAZIONE BACNET CERTIFICATA BTL SU IP, IN CONFORMITÀ CON LO STANDARD BACNET CON PROFILO B-BC (REV. 1.16). CERTIFICAZIONE N° BTL-31062.DISPONIBLITÀ DI PROTOCOLLO BACNET/SC CON FUNZIONALITÀ DI NODO. COMPATIBILE CON IPV4. IMPLEMENTAZIONE SICUREZZA A LIVELLO IT ATTRAVERSO HTTPS, IEC62443 4-2 (LIVELLO SICUREZZA 2). SWITCH ETHERNET A DUE PORTE. FUNZIONALITÀ BBMD. GESTIONE E MESSA IN SERVIZIO CON APP ABT GO (DISPONIBILE IOS, ANDROID, WINDOWS) ATTRAVERSO CONNESSIONE WLAN O CABLATA. DISPONIBILE CONNESSIONE VIA CLOUD (REMOTE ACCESS) PER ATTIVITÀ DI MANUTENZIONE E MODIFICH8E SOFTWARE CON APPOSITA LICENZA SOFTWARE, COMPATIBILE CON BUILDING X 1</t>
        </is>
      </c>
      <c r="M577" s="4" t="inlineStr">
        <is>
          <t>A CORPO</t>
        </is>
      </c>
      <c r="N577" s="5" t="n">
        <v>1</v>
      </c>
      <c r="O577" s="6" t="n">
        <v>0</v>
      </c>
      <c r="P577" s="6" t="n">
        <v>0</v>
      </c>
      <c r="Q577" s="5" t="n"/>
      <c r="R577" s="6" t="n"/>
      <c r="S577" s="6">
        <f>IF(AND(Q577&lt;&gt;"",R577&lt;&gt;""),Q577*R577,"")</f>
        <v/>
      </c>
      <c r="T577" s="6">
        <f>IF(S577="",P577,S577)</f>
        <v/>
      </c>
      <c r="U577" s="7" t="n">
        <v>0</v>
      </c>
      <c r="V577" s="6">
        <f>$T577*U577</f>
        <v/>
      </c>
      <c r="W577" s="7" t="n">
        <v>0</v>
      </c>
      <c r="X577" s="6">
        <f>$T577*W577</f>
        <v/>
      </c>
      <c r="Y577" s="7" t="n">
        <v>0</v>
      </c>
      <c r="Z577" s="6">
        <f>$T577*Y577</f>
        <v/>
      </c>
      <c r="AA577" s="7" t="n">
        <v>0</v>
      </c>
      <c r="AB577" s="6">
        <f>$T577*AA577</f>
        <v/>
      </c>
      <c r="AC577" s="7" t="n">
        <v>0</v>
      </c>
      <c r="AD577" s="6">
        <f>$T577*AC577</f>
        <v/>
      </c>
      <c r="AE577" s="7" t="n">
        <v>0</v>
      </c>
      <c r="AF577" s="6">
        <f>$T577*AE577</f>
        <v/>
      </c>
      <c r="AG577" s="7" t="n">
        <v>0</v>
      </c>
      <c r="AH577" s="6">
        <f>$T577*AG577</f>
        <v/>
      </c>
      <c r="AI577" s="7">
        <f>U577+W577+Y577+AA577+AC577+AE577+AG577</f>
        <v/>
      </c>
      <c r="AJ577" s="6">
        <f>V577+X577+Z577+AB577+AD577+AF577+AH577</f>
        <v/>
      </c>
    </row>
    <row r="578" ht="60" customHeight="1" s="35">
      <c r="A578" s="3" t="inlineStr">
        <is>
          <t>IE_NP_TREG05</t>
        </is>
      </c>
      <c r="B578" s="4" t="inlineStr">
        <is>
          <t>1/1</t>
        </is>
      </c>
      <c r="C578" s="3" t="inlineStr">
        <is>
          <t>IMPIANTO ELETTRICO</t>
        </is>
      </c>
      <c r="D578" s="4" t="inlineStr">
        <is>
          <t>SPECIALE</t>
        </is>
      </c>
      <c r="E578" s="4" t="inlineStr">
        <is>
          <t>ELETTRICHE SPECIALI</t>
        </is>
      </c>
      <c r="F578" s="3" t="inlineStr">
        <is>
          <t>3_CME IE RADIOFARMACIA PAVIA - REV02 VARIANTE ESECUTIVA.PDF</t>
        </is>
      </c>
      <c r="G578" s="4" t="inlineStr">
        <is>
          <t>82/82</t>
        </is>
      </c>
      <c r="H578" s="3" t="inlineStr">
        <is>
          <t>40 - IMPIANTISTICO</t>
        </is>
      </c>
      <c r="I578" s="3" t="inlineStr">
        <is>
          <t>RADIOFARMACIA</t>
        </is>
      </c>
      <c r="J578" s="3" t="inlineStr">
        <is>
          <t>IMPIANTO DI TERMOREGOLAZIONE</t>
        </is>
      </c>
      <c r="K578" s="3" t="inlineStr">
        <is>
          <t>FORNITURA E POSA IN OPERA DEI MODULI DI TERMOREGOLAZIONE PER LA GESTIONE DELLA CENTRALE TERMOFRIGO DA INSTALLARE ALL'INTERNO DEL QUADRO ELETTRICO DI POTENZA QCT INCLUSA L'INSTALLAZIONE ED IL CABLAGGIO</t>
        </is>
      </c>
      <c r="L578" s="3" t="inlineStr">
        <is>
          <t>FORNITURA E POSA IN OPERA DEI MODULI DI TERMOREGOLAZIONE PER LA GESTIONE DELLA CENTRALE TERMOFRIGO DA INSTALLARE ALL'INTERNO DEL QUADRO ELETTRICO DI POTENZA QCT INCLUSA L'INSTALLAZIONE ED IL CABLAGGIO SECONDO LE INDICAZIONI DEL FORNITORE DELLE APPARECCHIATURE. DETTAGLIO DELLE APPARECCHIATURE:  PXC7.E400M PXC7.E400M CONTR. PROGRAMMABILE MAX250PT CONTROLLORE DI AUTOMAZIONE MODULARE REGOLAZIONE E CONTROLLO SISTEMI HVAC. COMUNICAZIONE BACNET/IP. COMUNICAZIONE BACNET SECURE CONNECT. GESTIONE COMPLETA E FUNZIONI DI SISTEMA. LIBERAMENTE PROGRAMMABILI CON AMPIA LIBRERIA DI BLOCCHI BASE E LIBRERIE DI APPLICATIVI. COLLEGAMENTO DI SEGNALI DI INGRESSO E USCITA ATTRAVERSO MODULI TXM (MAX 200 PUNTI). INTEGRAZIONE SOTTOSISTEMI MODBUS RTU E/O MODBUS TCP (MAX 200 PUNTI). INTEGRA I DISPOSITIVI BACNET MS/TP (15 DISPOSITVI MAX SU 2 BUS). INTERFACCIA WEB TESTUALE. TOTALE PUNTI GESTIBILI 250. FINO A 2 PORTE RS485 CONFIGURABILI. ACCESSO REMOTO TRAMITE CLOUD. 1 TXS1.12F10 ALIMENTATORE MODULI MODULO TXS1.12F10, ALIMENTATORE PER CONNESSIONE BUS, CON GENERAZIONE E TRASFERIMENTO DELL' ALIMENTAZIONE DC 24V, 1.2 A AI MODULI TX I/O E DISPOSITIVI DI CAMPO. 1 TXS1.EF10 CONNETTORE BUS MODULO TXS1.EF10 PER CONNESSIONE BUS, CON TRASFERIMENTO DELL' ALIMENTAZIONE DC 24V AI MODULI TX I/O E DISPOSITIVI DI CAMPO. 2 TXA1.K24 INDIRIZZI 1- 24 + RESET TXA1.K24 SET INDIRIZZI 1...24 CON RESET 1 TXM1.16D MODULO 16 INGRESSI DIGITALI MODULO TXM1.16D, 16 INGRESSI DIGITALI INDIVIDUALMENTE CONFIGURABILI. SEGNALAZIONE STATO INGRESSI CON LEDS 2 TXM1.8U MODULO 8 INGRESSI USCITE ANAGLOGICHE MODULO TXM1.8U, 8 INGRESSI/USCITE UNIVERSALI INDIVIDUALMENTE CONFIGURABILI. INGRESSI DIGITALI MANTENUTI, IMPULSIVI O CONTEGGI. SENSORI DI TEMPERATURA O 0..10 VCC. USCITE ANALOGICHE 0..10 VCC. SEGNALAZIONE STATO INGRESSI CON LEDS. 6 TXM1.6R MODULO 6 USCITE DIGITALI MODULO TXM1.6R, 6 USCITE DIGITALI A RELÈ INDIVIDUALMENTE CONFIGURABILI. SEGNALAZIONE USCITE CON LEDS SENZA COMANDO MANUALE LOCALE. PORTATA CONTATTI 4A (RESISTIVO) OPPURE 3 A (INDUTTIVO A 250 VCA). 4</t>
        </is>
      </c>
      <c r="M578" s="4" t="inlineStr">
        <is>
          <t>A CORPO</t>
        </is>
      </c>
      <c r="N578" s="5" t="n">
        <v>1</v>
      </c>
      <c r="O578" s="6" t="n">
        <v>0</v>
      </c>
      <c r="P578" s="6" t="n">
        <v>0</v>
      </c>
      <c r="Q578" s="5" t="n"/>
      <c r="R578" s="6" t="n"/>
      <c r="S578" s="6">
        <f>IF(AND(Q578&lt;&gt;"",R578&lt;&gt;""),Q578*R578,"")</f>
        <v/>
      </c>
      <c r="T578" s="6">
        <f>IF(S578="",P578,S578)</f>
        <v/>
      </c>
      <c r="U578" s="7" t="n">
        <v>0</v>
      </c>
      <c r="V578" s="6">
        <f>$T578*U578</f>
        <v/>
      </c>
      <c r="W578" s="7" t="n">
        <v>0</v>
      </c>
      <c r="X578" s="6">
        <f>$T578*W578</f>
        <v/>
      </c>
      <c r="Y578" s="7" t="n">
        <v>0</v>
      </c>
      <c r="Z578" s="6">
        <f>$T578*Y578</f>
        <v/>
      </c>
      <c r="AA578" s="7" t="n">
        <v>0</v>
      </c>
      <c r="AB578" s="6">
        <f>$T578*AA578</f>
        <v/>
      </c>
      <c r="AC578" s="7" t="n">
        <v>0</v>
      </c>
      <c r="AD578" s="6">
        <f>$T578*AC578</f>
        <v/>
      </c>
      <c r="AE578" s="7" t="n">
        <v>0</v>
      </c>
      <c r="AF578" s="6">
        <f>$T578*AE578</f>
        <v/>
      </c>
      <c r="AG578" s="7" t="n">
        <v>0</v>
      </c>
      <c r="AH578" s="6">
        <f>$T578*AG578</f>
        <v/>
      </c>
      <c r="AI578" s="7">
        <f>U578+W578+Y578+AA578+AC578+AE578+AG578</f>
        <v/>
      </c>
      <c r="AJ578" s="6">
        <f>V578+X578+Z578+AB578+AD578+AF578+AH578</f>
        <v/>
      </c>
    </row>
    <row r="579" ht="60" customHeight="1" s="35">
      <c r="A579" s="3" t="inlineStr">
        <is>
          <t>IE_NP_TREG06</t>
        </is>
      </c>
      <c r="B579" s="4" t="inlineStr">
        <is>
          <t>1/1</t>
        </is>
      </c>
      <c r="C579" s="3" t="inlineStr">
        <is>
          <t>IMPIANTO ELETTRICO</t>
        </is>
      </c>
      <c r="D579" s="4" t="inlineStr">
        <is>
          <t>SPECIALE</t>
        </is>
      </c>
      <c r="E579" s="4" t="inlineStr">
        <is>
          <t>ELETTRICHE SPECIALI</t>
        </is>
      </c>
      <c r="F579" s="3" t="inlineStr">
        <is>
          <t>3_CME IE RADIOFARMACIA PAVIA - REV02 VARIANTE ESECUTIVA.PDF</t>
        </is>
      </c>
      <c r="G579" s="4" t="inlineStr">
        <is>
          <t>83/83</t>
        </is>
      </c>
      <c r="H579" s="3" t="inlineStr">
        <is>
          <t>40 - IMPIANTISTICO</t>
        </is>
      </c>
      <c r="I579" s="3" t="inlineStr">
        <is>
          <t>RADIOFARMACIA</t>
        </is>
      </c>
      <c r="J579" s="3" t="inlineStr">
        <is>
          <t>IMPIANTO DI TERMOREGOLAZIONE</t>
        </is>
      </c>
      <c r="K579" s="3" t="inlineStr">
        <is>
          <t>FORNITURA E POSA IN OPERA DEI MODULI DI TERMOREGOLAZIONE PER LA GESTIONE DEI FANCOIL DA INSTALLARE ALL'INTERNO DEI QUADRI ELETTRICI DI POTENZA INCLUSA L'INSTALLAZIONE ED IL CABLAGGIO SECONDO LE INDICA</t>
        </is>
      </c>
      <c r="L579" s="3" t="inlineStr">
        <is>
          <t>FORNITURA E POSA IN OPERA DEI MODULI DI TERMOREGOLAZIONE PER LA GESTIONE DEI FANCOIL DA INSTALLARE ALL'INTERNO DEI QUADRI ELETTRICI DI POTENZA INCLUSA L'INSTALLAZIONE ED IL CABLAGGIO SECONDO LE INDICAZIONI DEL FORNITORE DELLE APPARECCHIATURE. DETTAGLIO DELLE APPARECCHIATURE:  PXC001-E.D PXC001E-D CONTROLL. IP,MODBUS, KNX, MBUS CONTROLLORE LIBERAMENTE PROGRAMMABILE PXC001.E-D COMUNICANTE IN BACNET/IP PER L'INTEGRAZIONE DI APPARECCHIATURE TERZE PARTI MODBUS, KNX, MBUS (O ALTRI PROTOCOLLI). DOTATO DI INTERFACCE RS232,RS485 E KONNEX È IN GRADO DI INTEGRARE FINO A 2000 PUNTI KONNEX O 250 PUNTI MODBUS O 250 PUNTI MBUS SENZA MODULI OPZIONALI. ALIMENTAZIONE: 24 VCA. 1 N 125/22 ALIMENTATORE N 125/22 640MA ALIMENTATORE CON BOBINA INTEGRATA. TENSIONE D’INGRESSO AC 120…230 V, 50…60 HZ, 220 V DC. TENSIONE D’USCITA: DC 29 V. CORRENTE D’USCITA: 640 MA. USCITA SUPPLEMENTARE DC 29 V NON FILTRATA, DA UNA COPPIA DI MORSETTI AGGIUNTIVI. L’APPARECCHIO PUÒ ESSERE PARALLELATO SENZA RISPETTARE LA DITANZA MINIMA NORMALMENTE RICHIESTA. COLLEGAMENTO AL BUS MEDIANTE STRISCIA DATI O MORSETTO BUS SENZA VITI. MONTAGGIO SU GUIDA DIN. GRADO DI PROTEZIONE IP20. DIMENSIONI: (IN UM, 1 UM = 18 MM): 4. 1</t>
        </is>
      </c>
      <c r="M579" s="4" t="inlineStr">
        <is>
          <t>A CORPO</t>
        </is>
      </c>
      <c r="N579" s="5" t="n">
        <v>1</v>
      </c>
      <c r="O579" s="6" t="n">
        <v>0</v>
      </c>
      <c r="P579" s="6" t="n">
        <v>0</v>
      </c>
      <c r="Q579" s="5" t="n"/>
      <c r="R579" s="6" t="n"/>
      <c r="S579" s="6">
        <f>IF(AND(Q579&lt;&gt;"",R579&lt;&gt;""),Q579*R579,"")</f>
        <v/>
      </c>
      <c r="T579" s="6">
        <f>IF(S579="",P579,S579)</f>
        <v/>
      </c>
      <c r="U579" s="7" t="n">
        <v>0</v>
      </c>
      <c r="V579" s="6">
        <f>$T579*U579</f>
        <v/>
      </c>
      <c r="W579" s="7" t="n">
        <v>0</v>
      </c>
      <c r="X579" s="6">
        <f>$T579*W579</f>
        <v/>
      </c>
      <c r="Y579" s="7" t="n">
        <v>0</v>
      </c>
      <c r="Z579" s="6">
        <f>$T579*Y579</f>
        <v/>
      </c>
      <c r="AA579" s="7" t="n">
        <v>0</v>
      </c>
      <c r="AB579" s="6">
        <f>$T579*AA579</f>
        <v/>
      </c>
      <c r="AC579" s="7" t="n">
        <v>0</v>
      </c>
      <c r="AD579" s="6">
        <f>$T579*AC579</f>
        <v/>
      </c>
      <c r="AE579" s="7" t="n">
        <v>0</v>
      </c>
      <c r="AF579" s="6">
        <f>$T579*AE579</f>
        <v/>
      </c>
      <c r="AG579" s="7" t="n">
        <v>0</v>
      </c>
      <c r="AH579" s="6">
        <f>$T579*AG579</f>
        <v/>
      </c>
      <c r="AI579" s="7">
        <f>U579+W579+Y579+AA579+AC579+AE579+AG579</f>
        <v/>
      </c>
      <c r="AJ579" s="6">
        <f>V579+X579+Z579+AB579+AD579+AF579+AH579</f>
        <v/>
      </c>
    </row>
    <row r="580" ht="60" customHeight="1" s="35">
      <c r="A580" s="3" t="inlineStr">
        <is>
          <t>DEIIT251_045065</t>
        </is>
      </c>
      <c r="B580" s="4" t="inlineStr">
        <is>
          <t>2/2</t>
        </is>
      </c>
      <c r="C580" s="3" t="inlineStr">
        <is>
          <t>IMPIANTO ELETTRICO</t>
        </is>
      </c>
      <c r="D580" s="4" t="inlineStr">
        <is>
          <t>SPECIALE</t>
        </is>
      </c>
      <c r="E580" s="4" t="inlineStr">
        <is>
          <t>ELETTRICHE SPECIALI</t>
        </is>
      </c>
      <c r="F580" s="3" t="inlineStr">
        <is>
          <t>3_CME IE RADIOFARMACIA PAVIA - REV02 VARIANTE ESECUTIVA.PDF</t>
        </is>
      </c>
      <c r="G580" s="4" t="inlineStr">
        <is>
          <t>84/84</t>
        </is>
      </c>
      <c r="H580" s="3" t="inlineStr">
        <is>
          <t>40 - IMPIANTISTICO</t>
        </is>
      </c>
      <c r="I580" s="3" t="inlineStr">
        <is>
          <t>RADIOFARMACIA</t>
        </is>
      </c>
      <c r="J580" s="3" t="inlineStr">
        <is>
          <t>IMPIANTO DI TERMOREGOLAZIONE</t>
        </is>
      </c>
      <c r="K580" s="3" t="inlineStr">
        <is>
          <t>COLLEGAMENTO ELETTRICO DEGLI ELEMENTI IN CAMPO DI REGOLAZIONE E DI CONTROLLO, COMPRENSIVO DI CAVI, TUBAZIONI, E CABLAGGIO AI QUADRI DI REGOLAZIONE, È ESCLUSA L'ASSISTENZA MURARIA, VALUTATO PER OGNI PU</t>
        </is>
      </c>
      <c r="L580" s="3" t="inlineStr">
        <is>
          <t>COLLEGAMENTO ELETTRICO DEGLI ELEMENTI IN CAMPO DI REGOLAZIONE E DI CONTROLLO, COMPRENSIVO DI CAVI, TUBAZIONI, E CABLAGGIO AI QUADRI DI REGOLAZIONE, È ESCLUSA L'ASSISTENZA MURARIA, VALUTATO PER OGNI PUNTO DI REGOLAZIONE E CONTROLLO COLLEGATO</t>
        </is>
      </c>
      <c r="M580" s="4" t="inlineStr">
        <is>
          <t>CAD</t>
        </is>
      </c>
      <c r="N580" s="5" t="n">
        <v>175</v>
      </c>
      <c r="O580" s="6" t="n">
        <v>154.16</v>
      </c>
      <c r="P580" s="6" t="n">
        <v>26978</v>
      </c>
      <c r="Q580" s="5" t="n"/>
      <c r="R580" s="6" t="n"/>
      <c r="S580" s="6">
        <f>IF(AND(Q580&lt;&gt;"",R580&lt;&gt;""),Q580*R580,"")</f>
        <v/>
      </c>
      <c r="T580" s="6">
        <f>IF(S580="",P580,S580)</f>
        <v/>
      </c>
      <c r="U580" s="7" t="n">
        <v>0</v>
      </c>
      <c r="V580" s="6">
        <f>$T580*U580</f>
        <v/>
      </c>
      <c r="W580" s="7" t="n">
        <v>0</v>
      </c>
      <c r="X580" s="6">
        <f>$T580*W580</f>
        <v/>
      </c>
      <c r="Y580" s="7" t="n">
        <v>0</v>
      </c>
      <c r="Z580" s="6">
        <f>$T580*Y580</f>
        <v/>
      </c>
      <c r="AA580" s="7" t="n">
        <v>0</v>
      </c>
      <c r="AB580" s="6">
        <f>$T580*AA580</f>
        <v/>
      </c>
      <c r="AC580" s="7" t="n">
        <v>0</v>
      </c>
      <c r="AD580" s="6">
        <f>$T580*AC580</f>
        <v/>
      </c>
      <c r="AE580" s="7" t="n">
        <v>0</v>
      </c>
      <c r="AF580" s="6">
        <f>$T580*AE580</f>
        <v/>
      </c>
      <c r="AG580" s="7" t="n">
        <v>0</v>
      </c>
      <c r="AH580" s="6">
        <f>$T580*AG580</f>
        <v/>
      </c>
      <c r="AI580" s="7">
        <f>U580+W580+Y580+AA580+AC580+AE580+AG580</f>
        <v/>
      </c>
      <c r="AJ580" s="6">
        <f>V580+X580+Z580+AB580+AD580+AF580+AH580</f>
        <v/>
      </c>
    </row>
    <row r="581" ht="60" customHeight="1" s="35">
      <c r="A581" s="3" t="inlineStr">
        <is>
          <t>LOM252.OC.EEA.PA01.G8239.ZA001.0000</t>
        </is>
      </c>
      <c r="B581" s="4" t="inlineStr">
        <is>
          <t>2/2</t>
        </is>
      </c>
      <c r="C581" s="3" t="inlineStr">
        <is>
          <t>IMPIANTO ELETTRICO</t>
        </is>
      </c>
      <c r="D581" s="4" t="inlineStr">
        <is>
          <t>SPECIALE</t>
        </is>
      </c>
      <c r="E581" s="4" t="inlineStr">
        <is>
          <t>ELETTRICHE SPECIALI</t>
        </is>
      </c>
      <c r="F581" s="3" t="inlineStr">
        <is>
          <t>3_CME IE RADIOFARMACIA PAVIA - REV02 VARIANTE ESECUTIVA.PDF</t>
        </is>
      </c>
      <c r="G581" s="4" t="inlineStr">
        <is>
          <t>85/85</t>
        </is>
      </c>
      <c r="H581" s="3" t="inlineStr">
        <is>
          <t>40 - IMPIANTISTICO</t>
        </is>
      </c>
      <c r="I581" s="3" t="inlineStr">
        <is>
          <t>RADIOFARMACIA</t>
        </is>
      </c>
      <c r="J581" s="3" t="inlineStr">
        <is>
          <t>CABLAGGIO STRUTTURATO</t>
        </is>
      </c>
      <c r="K581" s="3" t="inlineStr">
        <is>
          <t xml:space="preserve">OPERA: PREDISPOSIZIONE PER DERIVAZIONE D'IMPIANTO; IMPIEGO: DERIVAZIONE D'IMPIANTO DA INCASSO. INCLUSO: SCATOLA DA INCASSO; QUOTA PARTE DELLA SCATOLA DI DERIVAZIONE. </t>
        </is>
      </c>
      <c r="L581" s="3" t="inlineStr">
        <is>
          <t>OPERA: PREDISPOSIZIONE PER DERIVAZIONE D'IMPIANTO; IMPIEGO: DERIVAZIONE D'IMPIANTO DA INCASSO. INCLUSO: SCATOLA DA INCASSO; QUOTA PARTE DELLA SCATOLA DI DERIVAZIONE. 
LAVORO: INSTALLAZIONE IN OPERA. INCLUSO: CHIUSURA AL RUSTICO CON MALTA CEMENTIZIA; ASSISTENZA PER IL TRASPORTO DEI MATERIALI AL PIANO. 
SPECIFICHE TECNICHE: PER IMPIANTI DI SEGNALAZIONE O DI COMUNICAZIONE; REALIZZATO CON TUBO PROTETTIVO FLESSIBILE DI PLASTICA POLIVINILCLORURO (PVC) AD ALTA RESISTENZA ALLO SCHIACCIAMENTO. OP PREDISPOSIZIONE PER DERIVAZIONE D'IMPIANTO; IMPIEGO: DERIVAZIONE D'IMPIANTO DA INCASSO. INCLUSO: SCATOLA DA INCASSO; QUOTA PARTE DELLA SCATOLA DI DERIVAZIONE. 
SPECIFICHE TECNICHE: PER IMPIANTI DI SEGNALAZIONE O DI COMUNICAZIONE; REALIZZATO CON TUBO PROTETTIVO FLESSIBILE DI PLASTICA POLIVINILCLORURO (PVC) AD ALTA RESISTENZA ALLO SCHIACCIAMENTO. 
RM PREDISPOSIZIONE PER DERIVAZIONE D'IMPIANTO; IMPIEGO: DERIVAZIONE D'IMPIANTO DA INCASSO. INCLUSO: SCATOLA DA INCASSO; QUOTA PARTE DELLA SCATOLA DI DERIVAZIONE 
SPECIFICHE TECNICHE: PER IMPIANTI DI SEGNALAZIONE O DI COMUNICAZIONE; REALIZZATO CON TUBO PROTETTIVO FLESSIBILE DI PLASTICA POLIVINILCLORURO (PVC) AD ALTA RESISTENZA ALLO SCHIACCIAMENTO 
LV INSTALLAZIONE IN OPERA. INCLUSO: CHIUSURA AL RUSTICO CON MALTA CEMENTIZIA; ASSISTENZA PER IL TRASPORTO DEI MATERIALI AL PIANO.</t>
        </is>
      </c>
      <c r="M581" s="4" t="inlineStr">
        <is>
          <t>CAD</t>
        </is>
      </c>
      <c r="N581" s="5" t="n">
        <v>66</v>
      </c>
      <c r="O581" s="6" t="n">
        <v>26.69</v>
      </c>
      <c r="P581" s="6" t="n">
        <v>1761.54</v>
      </c>
      <c r="Q581" s="5" t="n"/>
      <c r="R581" s="6" t="n"/>
      <c r="S581" s="6">
        <f>IF(AND(Q581&lt;&gt;"",R581&lt;&gt;""),Q581*R581,"")</f>
        <v/>
      </c>
      <c r="T581" s="6">
        <f>IF(S581="",P581,S581)</f>
        <v/>
      </c>
      <c r="U581" s="7" t="n">
        <v>0</v>
      </c>
      <c r="V581" s="6">
        <f>$T581*U581</f>
        <v/>
      </c>
      <c r="W581" s="7" t="n">
        <v>0</v>
      </c>
      <c r="X581" s="6">
        <f>$T581*W581</f>
        <v/>
      </c>
      <c r="Y581" s="7" t="n">
        <v>0</v>
      </c>
      <c r="Z581" s="6">
        <f>$T581*Y581</f>
        <v/>
      </c>
      <c r="AA581" s="7" t="n">
        <v>0</v>
      </c>
      <c r="AB581" s="6">
        <f>$T581*AA581</f>
        <v/>
      </c>
      <c r="AC581" s="7" t="n">
        <v>0</v>
      </c>
      <c r="AD581" s="6">
        <f>$T581*AC581</f>
        <v/>
      </c>
      <c r="AE581" s="7" t="n">
        <v>0</v>
      </c>
      <c r="AF581" s="6">
        <f>$T581*AE581</f>
        <v/>
      </c>
      <c r="AG581" s="7" t="n">
        <v>0</v>
      </c>
      <c r="AH581" s="6">
        <f>$T581*AG581</f>
        <v/>
      </c>
      <c r="AI581" s="7">
        <f>U581+W581+Y581+AA581+AC581+AE581+AG581</f>
        <v/>
      </c>
      <c r="AJ581" s="6">
        <f>V581+X581+Z581+AB581+AD581+AF581+AH581</f>
        <v/>
      </c>
    </row>
    <row r="582" ht="60" customHeight="1" s="35">
      <c r="A582" s="3" t="inlineStr">
        <is>
          <t>LOM252.OC.EEA.PA01.G8239.ZA001.0005</t>
        </is>
      </c>
      <c r="B582" s="4" t="inlineStr">
        <is>
          <t>2/2</t>
        </is>
      </c>
      <c r="C582" s="3" t="inlineStr">
        <is>
          <t>IMPIANTO ELETTRICO</t>
        </is>
      </c>
      <c r="D582" s="4" t="inlineStr">
        <is>
          <t>SPECIALE</t>
        </is>
      </c>
      <c r="E582" s="4" t="inlineStr">
        <is>
          <t>ELETTRICHE SPECIALI</t>
        </is>
      </c>
      <c r="F582" s="3" t="inlineStr">
        <is>
          <t>3_CME IE RADIOFARMACIA PAVIA - REV02 VARIANTE ESECUTIVA.PDF</t>
        </is>
      </c>
      <c r="G582" s="4" t="inlineStr">
        <is>
          <t>86/86</t>
        </is>
      </c>
      <c r="H582" s="3" t="inlineStr">
        <is>
          <t>40 - IMPIANTISTICO</t>
        </is>
      </c>
      <c r="I582" s="3" t="inlineStr">
        <is>
          <t>RADIOFARMACIA</t>
        </is>
      </c>
      <c r="J582" s="3" t="inlineStr">
        <is>
          <t>CABLAGGIO STRUTTURATO</t>
        </is>
      </c>
      <c r="K582" s="3" t="inlineStr">
        <is>
          <t xml:space="preserve">OPERA: PREDISPOSIZIONE PER DERIVAZIONE D'IMPIANTO; IMPIEGO: DERIVAZIONE D'IMPIANTO A VISTA A PARETE/A SOFFITTO. INCLUSO: SCATOLA A VISTA. </t>
        </is>
      </c>
      <c r="L582" s="3" t="inlineStr">
        <is>
          <t>OPERA: PREDISPOSIZIONE PER DERIVAZIONE D'IMPIANTO; IMPIEGO: DERIVAZIONE D'IMPIANTO A VISTA A PARETE/A SOFFITTO. INCLUSO: SCATOLA A VISTA. 
LAVORO: INSTALLAZIONE IN OPERA. INCLUSO: ASSISTENZA PER IL TRASPORTO DEI MATERIALI AL PIANO. 
SPECIFICHE TECNICHE: PER IMPIANTI DI SEGNALAZIONE O DI COMUNICAZIONE; GRADO DI PROTEZIONE IP44; REALIZZATO CON TUBO PROTETTIVO RIGIDO DI PLASTICA POLIVINILCLORURO (PVC) AUTOESTINGUENTE. OP PREDISPOSIZIONE PER DERIVAZIONE D'IMPIANTO; IMPIEGO: DERIVAZIONE D'IMPIANTO A VISTA A PARETE/A SOFFITTO. INCLUSO: SCATOLA A VISTA. 
SPECIFICHE TECNICHE: PER IMPIANTI DI SEGNALAZIONE O DI COMUNICAZIONE; GRADO DI PROTEZIONE IP44; REALIZZATO CON TUBO PROTETTIVO RIGIDO DI PLASTICA POLIVINILCLORURO (PVC) AUTOESTINGUENTE. 
RM PREDISPOSIZIONE PER DERIVAZIONE D'IMPIANTO; IMPIEGO: DERIVAZIONE D'IMPIANTO A VISTA A PARETE/A SOFFITTO. INCLUSO: SCATOLA A VISTA 
SPECIFICHE TECNICHE: PER IMPIANTI DI SEGNALAZIONE O DI COMUNICAZIONE; GRADO DI PROTEZIONE IP44; REALIZZATO CON TUBO PROTETTIVO RIGIDO DI PLASTICA POLIVINILCLORURO (PVC) AUTOESTINGUENTE 
LV INSTALLAZIONE IN OPERA. INCLUSO: ASSISTENZA PER IL TRASPORTO DEI MATERIALI AL PIANO.</t>
        </is>
      </c>
      <c r="M582" s="4" t="inlineStr">
        <is>
          <t>CAD</t>
        </is>
      </c>
      <c r="N582" s="5" t="n">
        <v>4</v>
      </c>
      <c r="O582" s="6" t="n">
        <v>42.69</v>
      </c>
      <c r="P582" s="6" t="n">
        <v>170.76</v>
      </c>
      <c r="Q582" s="5" t="n"/>
      <c r="R582" s="6" t="n"/>
      <c r="S582" s="6">
        <f>IF(AND(Q582&lt;&gt;"",R582&lt;&gt;""),Q582*R582,"")</f>
        <v/>
      </c>
      <c r="T582" s="6">
        <f>IF(S582="",P582,S582)</f>
        <v/>
      </c>
      <c r="U582" s="7" t="n">
        <v>0</v>
      </c>
      <c r="V582" s="6">
        <f>$T582*U582</f>
        <v/>
      </c>
      <c r="W582" s="7" t="n">
        <v>0</v>
      </c>
      <c r="X582" s="6">
        <f>$T582*W582</f>
        <v/>
      </c>
      <c r="Y582" s="7" t="n">
        <v>0</v>
      </c>
      <c r="Z582" s="6">
        <f>$T582*Y582</f>
        <v/>
      </c>
      <c r="AA582" s="7" t="n">
        <v>0</v>
      </c>
      <c r="AB582" s="6">
        <f>$T582*AA582</f>
        <v/>
      </c>
      <c r="AC582" s="7" t="n">
        <v>0</v>
      </c>
      <c r="AD582" s="6">
        <f>$T582*AC582</f>
        <v/>
      </c>
      <c r="AE582" s="7" t="n">
        <v>0</v>
      </c>
      <c r="AF582" s="6">
        <f>$T582*AE582</f>
        <v/>
      </c>
      <c r="AG582" s="7" t="n">
        <v>0</v>
      </c>
      <c r="AH582" s="6">
        <f>$T582*AG582</f>
        <v/>
      </c>
      <c r="AI582" s="7">
        <f>U582+W582+Y582+AA582+AC582+AE582+AG582</f>
        <v/>
      </c>
      <c r="AJ582" s="6">
        <f>V582+X582+Z582+AB582+AD582+AF582+AH582</f>
        <v/>
      </c>
    </row>
    <row r="583" ht="42" customHeight="1" s="35">
      <c r="A583" s="3" t="inlineStr">
        <is>
          <t>LOM252.OC.EEA.PA02.G7427.ZA001.2250</t>
        </is>
      </c>
      <c r="B583" s="4" t="inlineStr">
        <is>
          <t>2/2</t>
        </is>
      </c>
      <c r="C583" s="3" t="inlineStr">
        <is>
          <t>IMPIANTO ELETTRICO</t>
        </is>
      </c>
      <c r="D583" s="4" t="inlineStr">
        <is>
          <t>SPECIALE</t>
        </is>
      </c>
      <c r="E583" s="4" t="inlineStr">
        <is>
          <t>ELETTRICHE SPECIALI</t>
        </is>
      </c>
      <c r="F583" s="3" t="inlineStr">
        <is>
          <t>3_CME IE RADIOFARMACIA PAVIA - REV02 VARIANTE ESECUTIVA.PDF</t>
        </is>
      </c>
      <c r="G583" s="4" t="inlineStr">
        <is>
          <t>87/87</t>
        </is>
      </c>
      <c r="H583" s="3" t="inlineStr">
        <is>
          <t>40 - IMPIANTISTICO</t>
        </is>
      </c>
      <c r="I583" s="3" t="inlineStr">
        <is>
          <t>RADIOFARMACIA</t>
        </is>
      </c>
      <c r="J583" s="3" t="inlineStr">
        <is>
          <t>CABLAGGIO STRUTTURATO</t>
        </is>
      </c>
      <c r="K583" s="3" t="inlineStr">
        <is>
          <t xml:space="preserve">OPERA: SCATOLA, PORTA APPARECCHI; GEOMETRIA: 3 POSTI. </t>
        </is>
      </c>
      <c r="L583" s="3" t="inlineStr">
        <is>
          <t>OPERA: SCATOLA, PORTA APPARECCHI; GEOMETRIA: 3 POSTI. 
LAVORO: POSA. OP SCATOLA, PORTA APPARECCHI; GEOMETRIA: 3 POSTI. 
RM SCATOLA PORTA APPARECCHI; GEOMETRIA: 3 POSTI 
LV POSA.</t>
        </is>
      </c>
      <c r="M583" s="4" t="inlineStr">
        <is>
          <t>CAD</t>
        </is>
      </c>
      <c r="N583" s="5" t="n">
        <v>66</v>
      </c>
      <c r="O583" s="6" t="n">
        <v>16.3</v>
      </c>
      <c r="P583" s="6" t="n">
        <v>1075.8</v>
      </c>
      <c r="Q583" s="5" t="n"/>
      <c r="R583" s="6" t="n"/>
      <c r="S583" s="6">
        <f>IF(AND(Q583&lt;&gt;"",R583&lt;&gt;""),Q583*R583,"")</f>
        <v/>
      </c>
      <c r="T583" s="6">
        <f>IF(S583="",P583,S583)</f>
        <v/>
      </c>
      <c r="U583" s="7" t="n">
        <v>0</v>
      </c>
      <c r="V583" s="6">
        <f>$T583*U583</f>
        <v/>
      </c>
      <c r="W583" s="7" t="n">
        <v>0</v>
      </c>
      <c r="X583" s="6">
        <f>$T583*W583</f>
        <v/>
      </c>
      <c r="Y583" s="7" t="n">
        <v>0</v>
      </c>
      <c r="Z583" s="6">
        <f>$T583*Y583</f>
        <v/>
      </c>
      <c r="AA583" s="7" t="n">
        <v>0</v>
      </c>
      <c r="AB583" s="6">
        <f>$T583*AA583</f>
        <v/>
      </c>
      <c r="AC583" s="7" t="n">
        <v>0</v>
      </c>
      <c r="AD583" s="6">
        <f>$T583*AC583</f>
        <v/>
      </c>
      <c r="AE583" s="7" t="n">
        <v>0</v>
      </c>
      <c r="AF583" s="6">
        <f>$T583*AE583</f>
        <v/>
      </c>
      <c r="AG583" s="7" t="n">
        <v>0</v>
      </c>
      <c r="AH583" s="6">
        <f>$T583*AG583</f>
        <v/>
      </c>
      <c r="AI583" s="7">
        <f>U583+W583+Y583+AA583+AC583+AE583+AG583</f>
        <v/>
      </c>
      <c r="AJ583" s="6">
        <f>V583+X583+Z583+AB583+AD583+AF583+AH583</f>
        <v/>
      </c>
    </row>
    <row r="584" ht="60" customHeight="1" s="35">
      <c r="A584" s="3" t="inlineStr">
        <is>
          <t>LOM252.OC.EEA.PA02.G8231.ZA001.1260</t>
        </is>
      </c>
      <c r="B584" s="4" t="inlineStr">
        <is>
          <t>2/2</t>
        </is>
      </c>
      <c r="C584" s="3" t="inlineStr">
        <is>
          <t>IMPIANTO ELETTRICO</t>
        </is>
      </c>
      <c r="D584" s="4" t="inlineStr">
        <is>
          <t>SPECIALE</t>
        </is>
      </c>
      <c r="E584" s="4" t="inlineStr">
        <is>
          <t>ELETTRICHE SPECIALI</t>
        </is>
      </c>
      <c r="F584" s="3" t="inlineStr">
        <is>
          <t>3_CME IE RADIOFARMACIA PAVIA - REV02 VARIANTE ESECUTIVA.PDF</t>
        </is>
      </c>
      <c r="G584" s="4" t="inlineStr">
        <is>
          <t>88/88</t>
        </is>
      </c>
      <c r="H584" s="3" t="inlineStr">
        <is>
          <t>40 - IMPIANTISTICO</t>
        </is>
      </c>
      <c r="I584" s="3" t="inlineStr">
        <is>
          <t>RADIOFARMACIA</t>
        </is>
      </c>
      <c r="J584" s="3" t="inlineStr">
        <is>
          <t>CABLAGGIO STRUTTURATO</t>
        </is>
      </c>
      <c r="K584" s="3" t="inlineStr">
        <is>
          <t xml:space="preserve">OPERA: PRESA, UTENTE. INCLUSO: COPERCHIO. </t>
        </is>
      </c>
      <c r="L584" s="3" t="inlineStr">
        <is>
          <t>OPERA: PRESA, UTENTE. INCLUSO: COPERCHIO. 
LAVORO: POSA. 
SPECIFICHE TECNICHE: PRESA UTENTE RJ45 UTP NON SCHERMATA, CABLAGGIO UNIVERSALE T568A/B, SERIE CIVILE PER MONTAGGIO SU SUPPORTO DI PLASTICA E PLACCA IN TECNOPOLIMERO, CATEGORIA 6. OP PRESA, UTENTE. INCLUSO: COPERCHIO. 
SPECIFICHE TECNICHE: PRESA UTENTE RJ45 UTP NON SCHERMATA, CABLAGGIO UNIVERSALE T568A/B, SERIE CIVILE PER MONTAGGIO SU SUPPORTO DI PLASTICA E PLACCA IN TECNOPOLIMERO, CATEGORIA 6. 
RM PRESA UTENTE. INCLUSO: COPERCHIO 
SPECIFICHE TECNICHE: PRESA UTENTE RJ45 UTP NON SCHERMATA, CABLAGGIO UNIVERSALE T568A/B, SERIE CIVILE PER MONTAGGIO SU SUPPORTO DI PLASTICA E PLACCA IN TECNOPOLIMERO, CATEGORIA 6 
LV POSA.
[DIMENSIONI: 66,00 2,000]</t>
        </is>
      </c>
      <c r="M584" s="4" t="inlineStr">
        <is>
          <t>CAD</t>
        </is>
      </c>
      <c r="N584" s="5" t="n">
        <v>136</v>
      </c>
      <c r="O584" s="6" t="n">
        <v>38.55</v>
      </c>
      <c r="P584" s="6" t="n">
        <v>5242.8</v>
      </c>
      <c r="Q584" s="5" t="n"/>
      <c r="R584" s="6" t="n"/>
      <c r="S584" s="6">
        <f>IF(AND(Q584&lt;&gt;"",R584&lt;&gt;""),Q584*R584,"")</f>
        <v/>
      </c>
      <c r="T584" s="6">
        <f>IF(S584="",P584,S584)</f>
        <v/>
      </c>
      <c r="U584" s="7" t="n">
        <v>0</v>
      </c>
      <c r="V584" s="6">
        <f>$T584*U584</f>
        <v/>
      </c>
      <c r="W584" s="7" t="n">
        <v>0</v>
      </c>
      <c r="X584" s="6">
        <f>$T584*W584</f>
        <v/>
      </c>
      <c r="Y584" s="7" t="n">
        <v>0</v>
      </c>
      <c r="Z584" s="6">
        <f>$T584*Y584</f>
        <v/>
      </c>
      <c r="AA584" s="7" t="n">
        <v>0</v>
      </c>
      <c r="AB584" s="6">
        <f>$T584*AA584</f>
        <v/>
      </c>
      <c r="AC584" s="7" t="n">
        <v>0</v>
      </c>
      <c r="AD584" s="6">
        <f>$T584*AC584</f>
        <v/>
      </c>
      <c r="AE584" s="7" t="n">
        <v>0</v>
      </c>
      <c r="AF584" s="6">
        <f>$T584*AE584</f>
        <v/>
      </c>
      <c r="AG584" s="7" t="n">
        <v>0</v>
      </c>
      <c r="AH584" s="6">
        <f>$T584*AG584</f>
        <v/>
      </c>
      <c r="AI584" s="7">
        <f>U584+W584+Y584+AA584+AC584+AE584+AG584</f>
        <v/>
      </c>
      <c r="AJ584" s="6">
        <f>V584+X584+Z584+AB584+AD584+AF584+AH584</f>
        <v/>
      </c>
    </row>
    <row r="585" ht="60" customHeight="1" s="35">
      <c r="A585" s="3" t="inlineStr">
        <is>
          <t>LOM252.OC.EEA.PA02.H7455.SC000.0260</t>
        </is>
      </c>
      <c r="B585" s="4" t="inlineStr">
        <is>
          <t>2/2</t>
        </is>
      </c>
      <c r="C585" s="3" t="inlineStr">
        <is>
          <t>IMPIANTO ELETTRICO</t>
        </is>
      </c>
      <c r="D585" s="4" t="inlineStr">
        <is>
          <t>SPECIALE</t>
        </is>
      </c>
      <c r="E585" s="4" t="inlineStr">
        <is>
          <t>ELETTRICHE SPECIALI</t>
        </is>
      </c>
      <c r="F585" s="3" t="inlineStr">
        <is>
          <t>3_CME IE RADIOFARMACIA PAVIA - REV02 VARIANTE ESECUTIVA.PDF</t>
        </is>
      </c>
      <c r="G585" s="4" t="inlineStr">
        <is>
          <t>89/89</t>
        </is>
      </c>
      <c r="H585" s="3" t="inlineStr">
        <is>
          <t>40 - IMPIANTISTICO</t>
        </is>
      </c>
      <c r="I585" s="3" t="inlineStr">
        <is>
          <t>RADIOFARMACIA</t>
        </is>
      </c>
      <c r="J585" s="3" t="inlineStr">
        <is>
          <t>CABLAGGIO STRUTTURATO</t>
        </is>
      </c>
      <c r="K585" s="3" t="inlineStr">
        <is>
          <t xml:space="preserve">OPERA: CAVO, UTP DI LEGA RAME GENERICO; GEOMETRIA: 4 COPPIE | TWISTATO | NON SCHERMATO. </t>
        </is>
      </c>
      <c r="L585" s="3" t="inlineStr">
        <is>
          <t>OPERA: CAVO, UTP DI LEGA RAME GENERICO; GEOMETRIA: 4 COPPIE | TWISTATO | NON SCHERMATO. 
LAVORO: POSA. OP CAVO, UTP DI LEGA RAME GENERICO; GEOMETRIA: 4 COPPIE | TWISTATO | NON SCHERMATO. 
RM CAVO UTP DI LEGA RAME GENERICO; GEOMETRIA: 4 COPPIE | TWISTATO | NON SCHERMATO. COMPONENTE: CONDUTTORE, . INCLUSO: GUAINA LSZH 
LV POSA.
[DIMENSIONI: 66,00 40,00 | 4,00 40,00]</t>
        </is>
      </c>
      <c r="M585" s="4" t="inlineStr">
        <is>
          <t>M</t>
        </is>
      </c>
      <c r="N585" s="5" t="n">
        <v>2800</v>
      </c>
      <c r="O585" s="6" t="n">
        <v>3.15</v>
      </c>
      <c r="P585" s="6" t="n">
        <v>8820</v>
      </c>
      <c r="Q585" s="5" t="n"/>
      <c r="R585" s="6" t="n"/>
      <c r="S585" s="6">
        <f>IF(AND(Q585&lt;&gt;"",R585&lt;&gt;""),Q585*R585,"")</f>
        <v/>
      </c>
      <c r="T585" s="6">
        <f>IF(S585="",P585,S585)</f>
        <v/>
      </c>
      <c r="U585" s="7" t="n">
        <v>0</v>
      </c>
      <c r="V585" s="6">
        <f>$T585*U585</f>
        <v/>
      </c>
      <c r="W585" s="7" t="n">
        <v>0.4</v>
      </c>
      <c r="X585" s="6">
        <f>$T585*W585</f>
        <v/>
      </c>
      <c r="Y585" s="7" t="n">
        <v>0</v>
      </c>
      <c r="Z585" s="6">
        <f>$T585*Y585</f>
        <v/>
      </c>
      <c r="AA585" s="7" t="n">
        <v>0</v>
      </c>
      <c r="AB585" s="6">
        <f>$T585*AA585</f>
        <v/>
      </c>
      <c r="AC585" s="7" t="n">
        <v>0</v>
      </c>
      <c r="AD585" s="6">
        <f>$T585*AC585</f>
        <v/>
      </c>
      <c r="AE585" s="7" t="n">
        <v>0</v>
      </c>
      <c r="AF585" s="6">
        <f>$T585*AE585</f>
        <v/>
      </c>
      <c r="AG585" s="7" t="n">
        <v>0</v>
      </c>
      <c r="AH585" s="6">
        <f>$T585*AG585</f>
        <v/>
      </c>
      <c r="AI585" s="7">
        <f>U585+W585+Y585+AA585+AC585+AE585+AG585</f>
        <v/>
      </c>
      <c r="AJ585" s="6">
        <f>V585+X585+Z585+AB585+AD585+AF585+AH585</f>
        <v/>
      </c>
    </row>
    <row r="586" ht="60" customHeight="1" s="35">
      <c r="A586" s="3" t="inlineStr">
        <is>
          <t>LOM252.OC.EEA.PA01.G8235.ZA001.1095</t>
        </is>
      </c>
      <c r="B586" s="4" t="inlineStr">
        <is>
          <t>3/3</t>
        </is>
      </c>
      <c r="C586" s="3" t="inlineStr">
        <is>
          <t>IMPIANTO ELETTRICO</t>
        </is>
      </c>
      <c r="D586" s="4" t="inlineStr">
        <is>
          <t>SPECIALE</t>
        </is>
      </c>
      <c r="E586" s="4" t="inlineStr">
        <is>
          <t>ELETTRICHE SPECIALI</t>
        </is>
      </c>
      <c r="F586" s="3" t="inlineStr">
        <is>
          <t>3_CME IE RADIOFARMACIA PAVIA - REV02 VARIANTE ESECUTIVA.PDF</t>
        </is>
      </c>
      <c r="G586" s="4" t="inlineStr">
        <is>
          <t>90/90</t>
        </is>
      </c>
      <c r="H586" s="3" t="inlineStr">
        <is>
          <t>40 - IMPIANTISTICO</t>
        </is>
      </c>
      <c r="I586" s="3" t="inlineStr">
        <is>
          <t>RADIOFARMACIA</t>
        </is>
      </c>
      <c r="J586" s="3" t="inlineStr">
        <is>
          <t>IMPIANTO DI RIVELAZIONE FUMI</t>
        </is>
      </c>
      <c r="K586" s="3" t="inlineStr">
        <is>
          <t>OPERA: DERIVAZIONE D'IMPIANTO PRESA; FUNZIONE: ATTACCO APPARECCHIATURE DI SEGNALAZIONE INCENDIO; IMPIEGO: DERIVAZIONE D'IMPIANTO DA INCASSO. INCLUSO: LINEA DI ALIMENTAZIONE E SEGNALAZIONE; TUBO PROTET</t>
        </is>
      </c>
      <c r="L586" s="3" t="inlineStr">
        <is>
          <t>OPERA: DERIVAZIONE D'IMPIANTO PRESA; FUNZIONE: ATTACCO APPARECCHIATURE DI SEGNALAZIONE INCENDIO; IMPIEGO: DERIVAZIONE D'IMPIANTO DA INCASSO. INCLUSO: LINEA DI ALIMENTAZIONE E SEGNALAZIONE; TUBO PROTETTIVO; CONDUTTORI DI ALIMENTAZIONE E DI TERRA; SCATOLE DA INCASSO; FRUTTI COMPONIBILI; PLACCHE; SUPPORTI; PRESE TELEFONICHE/DATI O CITOFONICHE; RELÈ DI SEGNALAZIONE; CATENA DI SEGNALAZIONE A GUIDA DI LUCE O A NUMERAZIONE CENTRALE (RELÈ SERIE; SUONERIA; RELÈ SEGNALE; LAMPADA SEGNALE INTERNA E/O ESTERNA; PULSANTE ANNULLO). ESCLUSO: ALIMENTATORI; CITOFONI; ALTOPARLANTI; RIVELATORI DI FUMO; CENTRALINO DI CONTROLLO. 
LAVORO: INSTALLAZIONE IN OPERA. INCLUSO: LINEA DI COLLEGAMENTO ALLO SPECIFICO PUNTO DI ALIMENTAZIONE; ASSISTENZA PER IL TRASPORTO DEI MATERIALI AL PIANO. 
SPECIFICHE TECNICHE: PER IMPIANTI DI SEGNALAZIONE O DI COMUNICAZIONE; REALIZZATO CON TUBO PROTETTIVO RIGIDO DI PLASTICA POLIVINILCLORURO (PVC) AUTOESTINGUENTE; CONDUTTORI DI ALIMENTAZIONE E DI TERRA DI LEGA RAME GENERICO RICOTTO ISOLATO CONFORMI AI REQUISITI PREVISTI DALLA NORMATIVA EUROPEA REGOLAMENTO UE 305/2011 - PRODOTTI DA COSTRUZIONE CPR; TIPOLOGIA CONDUTTORI E SEZIONE ADEGUATI ALL'UTILIZZO. OP DERIVAZIONE D'IMPIANTO PRESA; FUNZIONE: ATTACCO APPARECCHIATURE DI SEGNALAZIONE INCENDIO; IMPIEGO: DERIVAZIONE D'IMPIANTO DA INCASSO. INCLUSO: LINEA DI ALIMENTAZIONE E SEGNALAZIONE; TUBO PROTETTIVO; CONDUTTORI DI ALIMENTAZIONE E DI TERRA; SCATOLE DA INCASSO; FRUTTI COMPONIBILI; PLACCHE; SUPPORTI; PRESE TELEFONICHE/DATI O CITOFONICHE; RELÈ DI SEGNALAZIONE; CATENA DI SEGNALAZIONE A GUIDA DI LUCE O A NUMERAZIONE CENTRALE (RELÈ SERIE; SUONERIA; RELÈ SEGNALE; LAMPADA SEGNALE INTERNA E/O ESTERNA; PULSANTE ANNULLO). ESCLUSO: ALIMENTATORI; CITOFONI; ALTOPARLANTI; RIVELATORI DI FUMO; CENTRALINO DI CONTROLLO. 
SPECIFICHE TECNICHE: PER IMPIANTI DI SEGNALAZIONE O DI COMUNICAZIONE; REALIZZATO CON TUBO PROTETTIVO RIGIDO DI PLASTICA POLIVINILCLORURO (PVC) AUTOESTINGUENTE; CONDUTTORI DI ALIMENTAZIONE E DI TERRA DI LEGA RAME GENERICO RICOTTO ISOLATO CONFORMI AI REQUISITI PREVISTI DALLA NORMATIVA EUROPEA REGOLAMENTO UE 305/2011 - PRODOTTI DA COSTRUZIONE CPR; TIPOLOGIA CONDUTTORI E SEZIONE ADEGUATI ALL'UTILIZZO. 
RM DERIVAZIONE D'IMPIANTO PRESA; FUNZIONE: ATTACCO APPARECCHIATURE DI SEGNALAZIONE INCENDIO; IMPIEGO: DERIVAZIONE D'IMPIANTO DA INCASSO. INCLUSO: LINEA DI ALIMENTAZIONE E SEGNALAZIONE; TUBO PROTETTIVO; CONDUTTORI DI ALIMENTAZIONE E DI TERRA; SCATOLE DA INCASSO; FRUTTI COMPONIBILI; PLACCHE; SUPPORTI; PRESE TELEFONICHE/DATI O CITOFONICHE; RELÈ DI SEGNALAZIONE; CATENA DI SEGNALAZIONE A GUIDA DI LUCE O A NUMERAZIONE CENTRALE (RELÈ SERIE; SUONERIA; RELÈ SEGNALE; LAMPADA SEGNALE INTERNA E/O ESTERNA; PULSANTE ANNULLO). ESCLUSO: ALIMENTATORI; CITOFONI; ALTOPARLANTI; RIVELATORI DI FUMO; CENTRALINO DI CONTROLLO 
SPECIFICHE TECNICHE: PER IMPIANTI DI SEGNALAZIONE O DI COMUNICAZIONE; REALIZZATO CON TUBO PROTETTIVO RIGIDO DI PLASTICA POLIVINILCLORURO (PVC) AUTOESTINGUENTE; CONDUTTORI DI ALIMENTAZIONE E DI TERRA DI LEGA RAME GENERICO RICOTTO ISOLATO CONFORMI AI REQUISITI PREVISTI DALLA NORMATIVA EUROPEA REGOLAMENTO UE 305/2011 - PRODOTTI DA COSTRUZIONE CPR; TIPOLOGIA CONDUTTORI E SEZIONE ADEGUATI ALL'UTILIZZO 
LV INSTALLAZIONE IN OPERA. INCLUSO: LINEA DI COLLEGAMENTO ALLO SPECIFICO PUNTO DI ALIMENTAZIONE; ASSISTENZA PER IL TRASPORTO DEI MATERIALI AL PIANO.</t>
        </is>
      </c>
      <c r="M586" s="4" t="inlineStr">
        <is>
          <t>CAD</t>
        </is>
      </c>
      <c r="N586" s="5" t="n">
        <v>104</v>
      </c>
      <c r="O586" s="6" t="n">
        <v>34.39</v>
      </c>
      <c r="P586" s="6" t="n">
        <v>3576.56</v>
      </c>
      <c r="Q586" s="5" t="n"/>
      <c r="R586" s="6" t="n"/>
      <c r="S586" s="6">
        <f>IF(AND(Q586&lt;&gt;"",R586&lt;&gt;""),Q586*R586,"")</f>
        <v/>
      </c>
      <c r="T586" s="6">
        <f>IF(S586="",P586,S586)</f>
        <v/>
      </c>
      <c r="U586" s="7" t="n">
        <v>0</v>
      </c>
      <c r="V586" s="6">
        <f>$T586*U586</f>
        <v/>
      </c>
      <c r="W586" s="7" t="n">
        <v>0</v>
      </c>
      <c r="X586" s="6">
        <f>$T586*W586</f>
        <v/>
      </c>
      <c r="Y586" s="7" t="n">
        <v>0</v>
      </c>
      <c r="Z586" s="6">
        <f>$T586*Y586</f>
        <v/>
      </c>
      <c r="AA586" s="7" t="n">
        <v>0</v>
      </c>
      <c r="AB586" s="6">
        <f>$T586*AA586</f>
        <v/>
      </c>
      <c r="AC586" s="7" t="n">
        <v>0</v>
      </c>
      <c r="AD586" s="6">
        <f>$T586*AC586</f>
        <v/>
      </c>
      <c r="AE586" s="7" t="n">
        <v>0</v>
      </c>
      <c r="AF586" s="6">
        <f>$T586*AE586</f>
        <v/>
      </c>
      <c r="AG586" s="7" t="n">
        <v>0</v>
      </c>
      <c r="AH586" s="6">
        <f>$T586*AG586</f>
        <v/>
      </c>
      <c r="AI586" s="7">
        <f>U586+W586+Y586+AA586+AC586+AE586+AG586</f>
        <v/>
      </c>
      <c r="AJ586" s="6">
        <f>V586+X586+Z586+AB586+AD586+AF586+AH586</f>
        <v/>
      </c>
    </row>
    <row r="587" ht="60" customHeight="1" s="35">
      <c r="A587" s="3" t="inlineStr">
        <is>
          <t>LOM252.OC.EEA.PA02.L8225.ZA001.1750</t>
        </is>
      </c>
      <c r="B587" s="4" t="inlineStr">
        <is>
          <t>3/3</t>
        </is>
      </c>
      <c r="C587" s="3" t="inlineStr">
        <is>
          <t>IMPIANTO ELETTRICO</t>
        </is>
      </c>
      <c r="D587" s="4" t="inlineStr">
        <is>
          <t>SPECIALE</t>
        </is>
      </c>
      <c r="E587" s="4" t="inlineStr">
        <is>
          <t>ELETTRICHE SPECIALI</t>
        </is>
      </c>
      <c r="F587" s="3" t="inlineStr">
        <is>
          <t>3_CME IE RADIOFARMACIA PAVIA - REV02 VARIANTE ESECUTIVA.PDF</t>
        </is>
      </c>
      <c r="G587" s="4" t="inlineStr">
        <is>
          <t>91/91</t>
        </is>
      </c>
      <c r="H587" s="3" t="inlineStr">
        <is>
          <t>40 - IMPIANTISTICO</t>
        </is>
      </c>
      <c r="I587" s="3" t="inlineStr">
        <is>
          <t>RADIOFARMACIA</t>
        </is>
      </c>
      <c r="J587" s="3" t="inlineStr">
        <is>
          <t>IMPIANTO DI RIVELAZIONE FUMI</t>
        </is>
      </c>
      <c r="K587" s="3" t="inlineStr">
        <is>
          <t xml:space="preserve">OPERA: RIVEVLATORE, OTTICO; IMPIEGO: CENTRALI ANALOGICHE. </t>
        </is>
      </c>
      <c r="L587" s="3" t="inlineStr">
        <is>
          <t>OPERA: RIVEVLATORE, OTTICO; IMPIEGO: CENTRALI ANALOGICHE. 
LAVORO: POSA. 
SPECIFICHE TECNICHE: SENSORE OTTICO DI FUMO AD EFFETTO TYNDALL DI TIPO ANALOGICO/INDIRIZZATO, DOTATO DI 2 LED PER LA SEGNALAZIONE DELLE CONDIZIONI DI ALLARME OLTRE AD UNA USCITA ELETTRONICA PER IL COLLEGAMENTO DI UNA SEGNALAZIONE REMOTA A BASSO ASSORBIMENTO, IL SENSORE DISPONE DI CAMERA OTTICA RIMOVIBILE E SOSTITUIBILE LOCALMENTE SENZA L'AUSILIO DI ATTREZZATURE PARTICOLARI E SENZA NECESSITÀ DI RICALIBRATURA, CON DICHIARAZIONE DOP.. OP RIVEVLATORE, OTTICO; IMPIEGO: CENTRALI ANALOGICHE. 
SPECIFICHE TECNICHE: SENSORE OTTICO DI FUMO AD EFFETTO TYNDALL DI TIPO ANALOGICO/INDIRIZZATO, DOTATO DI 2 LED PER LA SEGNALAZIONE DELLE CONDIZIONI DI ALLARME OLTRE AD UNA USCITA ELETTRONICA PER IL COLLEGAMENTO DI UNA SEGNALAZIONE REMOTA A BASSO ASSORBIMENTO, IL SENSORE DISPONE DI CAMERA OTTICA RIMOVIBILE E SOSTITUIBILE LOCALMENTE SENZA L'AUSILIO DI ATTREZZATURE PARTICOLARI E SENZA NECESSITÀ DI RICALIBRATURA, CON DICHIARAZIONE DOP.. 
RM RIVELATORE OTTICO; IMPIEGO: CENTRALI ANALOGICHE 
SPECIFICHE TECNICHE: SENSORE OTTICO DI FUMO AD EFFETTO TYNDALL DI TIPO ANALOGICO/INDIRIZZATO, DOTATO DI 2 LED PER LA SEGNALAZIONE DELLE CONDIZIONI DI ALLARME OLTRE AD UNA USCITA ELETTRONICA PER IL COLLEGAMENTO DI UNA SEGNALAZIONE REMOTA A BASSO ASSORBIMENTO, IL SENSORE DISPONE DI CAMERA OTTICA RIMOVIBILE E SOSTITUIBILE LOCALMENTE SENZA L'AUSILIO DI ATTREZZATURE PARTICOLARI E SENZA NECESSITÀ DI RICALIBRATURA, CON DICHIARAZIONE DOP. 
LV POSA.
[DIMENSIONI: 61,00 | 29,00]</t>
        </is>
      </c>
      <c r="M587" s="4" t="inlineStr">
        <is>
          <t>CAD</t>
        </is>
      </c>
      <c r="N587" s="5" t="n">
        <v>90</v>
      </c>
      <c r="O587" s="6" t="n">
        <v>92.5</v>
      </c>
      <c r="P587" s="6" t="n">
        <v>8325</v>
      </c>
      <c r="Q587" s="5" t="n"/>
      <c r="R587" s="6" t="n"/>
      <c r="S587" s="6">
        <f>IF(AND(Q587&lt;&gt;"",R587&lt;&gt;""),Q587*R587,"")</f>
        <v/>
      </c>
      <c r="T587" s="6">
        <f>IF(S587="",P587,S587)</f>
        <v/>
      </c>
      <c r="U587" s="7" t="n">
        <v>0</v>
      </c>
      <c r="V587" s="6">
        <f>$T587*U587</f>
        <v/>
      </c>
      <c r="W587" s="7" t="n">
        <v>0</v>
      </c>
      <c r="X587" s="6">
        <f>$T587*W587</f>
        <v/>
      </c>
      <c r="Y587" s="7" t="n">
        <v>0</v>
      </c>
      <c r="Z587" s="6">
        <f>$T587*Y587</f>
        <v/>
      </c>
      <c r="AA587" s="7" t="n">
        <v>0</v>
      </c>
      <c r="AB587" s="6">
        <f>$T587*AA587</f>
        <v/>
      </c>
      <c r="AC587" s="7" t="n">
        <v>0</v>
      </c>
      <c r="AD587" s="6">
        <f>$T587*AC587</f>
        <v/>
      </c>
      <c r="AE587" s="7" t="n">
        <v>0</v>
      </c>
      <c r="AF587" s="6">
        <f>$T587*AE587</f>
        <v/>
      </c>
      <c r="AG587" s="7" t="n">
        <v>0</v>
      </c>
      <c r="AH587" s="6">
        <f>$T587*AG587</f>
        <v/>
      </c>
      <c r="AI587" s="7">
        <f>U587+W587+Y587+AA587+AC587+AE587+AG587</f>
        <v/>
      </c>
      <c r="AJ587" s="6">
        <f>V587+X587+Z587+AB587+AD587+AF587+AH587</f>
        <v/>
      </c>
    </row>
    <row r="588" ht="60" customHeight="1" s="35">
      <c r="A588" s="3" t="inlineStr">
        <is>
          <t>LOM252.OC.EEA.PA02.H8212.ZA001.0520.B</t>
        </is>
      </c>
      <c r="B588" s="4" t="inlineStr">
        <is>
          <t>1/1</t>
        </is>
      </c>
      <c r="C588" s="3" t="inlineStr">
        <is>
          <t>IMPIANTO ELETTRICO</t>
        </is>
      </c>
      <c r="D588" s="4" t="inlineStr">
        <is>
          <t>SPECIALE</t>
        </is>
      </c>
      <c r="E588" s="4" t="inlineStr">
        <is>
          <t>ELETTRICHE SPECIALI</t>
        </is>
      </c>
      <c r="F588" s="3" t="inlineStr">
        <is>
          <t>3_CME IE RADIOFARMACIA PAVIA - REV02 VARIANTE ESECUTIVA.PDF</t>
        </is>
      </c>
      <c r="G588" s="4" t="inlineStr">
        <is>
          <t>92/92</t>
        </is>
      </c>
      <c r="H588" s="3" t="inlineStr">
        <is>
          <t>40 - IMPIANTISTICO</t>
        </is>
      </c>
      <c r="I588" s="3" t="inlineStr">
        <is>
          <t>RADIOFARMACIA</t>
        </is>
      </c>
      <c r="J588" s="3" t="inlineStr">
        <is>
          <t>IMPIANTO DI RIVELAZIONE FUMI</t>
        </is>
      </c>
      <c r="K588" s="3" t="inlineStr">
        <is>
          <t xml:space="preserve">OPERA: SEGNALATORE OTTICO; FUNZIONE: RIPETITORE DI ALLARME; IMPIEGO: IMPIANTI DI RIVELAZIONE INCENDIO. </t>
        </is>
      </c>
      <c r="L588" s="3" t="inlineStr">
        <is>
          <t>OPERA: SEGNALATORE OTTICO; FUNZIONE: RIPETITORE DI ALLARME; IMPIEGO: IMPIANTI DI RIVELAZIONE INCENDIO. 
LAVORO: POSA. 
SPECIFICHE TECNICHE: UTILIZZABILI CON SISTEMI CONVENZIONALI O ANALOGICI. OP SEGNALATORE OTTICO; FUNZIONE: RIPETITORE DI ALLARME; IMPIEGO: IMPIANTI DI RIVELAZIONE INCENDIO. 
SPECIFICHE TECNICHE: UTILIZZABILI CON SISTEMI CONVENZIONALI O ANALOGICI. 
RM SEGNALATORE OTTICO; FUNZIONE: RIPETITORE DI ALLARME; IMPIEGO: IMPIANTI DI RIVELAZIONE INCENDIO 
SPECIFICHE TECNICHE: UTILIZZABILI CON SISTEMI CONVENZIONALI O ANALOGICI 
LV POSA.</t>
        </is>
      </c>
      <c r="M588" s="4" t="inlineStr">
        <is>
          <t>CAD</t>
        </is>
      </c>
      <c r="N588" s="5" t="n">
        <v>41</v>
      </c>
      <c r="O588" s="6" t="n">
        <v>29.15</v>
      </c>
      <c r="P588" s="6" t="n">
        <v>1195.15</v>
      </c>
      <c r="Q588" s="5" t="n"/>
      <c r="R588" s="6" t="n"/>
      <c r="S588" s="6">
        <f>IF(AND(Q588&lt;&gt;"",R588&lt;&gt;""),Q588*R588,"")</f>
        <v/>
      </c>
      <c r="T588" s="6">
        <f>IF(S588="",P588,S588)</f>
        <v/>
      </c>
      <c r="U588" s="7" t="n">
        <v>0</v>
      </c>
      <c r="V588" s="6">
        <f>$T588*U588</f>
        <v/>
      </c>
      <c r="W588" s="7" t="n">
        <v>0</v>
      </c>
      <c r="X588" s="6">
        <f>$T588*W588</f>
        <v/>
      </c>
      <c r="Y588" s="7" t="n">
        <v>0</v>
      </c>
      <c r="Z588" s="6">
        <f>$T588*Y588</f>
        <v/>
      </c>
      <c r="AA588" s="7" t="n">
        <v>0</v>
      </c>
      <c r="AB588" s="6">
        <f>$T588*AA588</f>
        <v/>
      </c>
      <c r="AC588" s="7" t="n">
        <v>0</v>
      </c>
      <c r="AD588" s="6">
        <f>$T588*AC588</f>
        <v/>
      </c>
      <c r="AE588" s="7" t="n">
        <v>0</v>
      </c>
      <c r="AF588" s="6">
        <f>$T588*AE588</f>
        <v/>
      </c>
      <c r="AG588" s="7" t="n">
        <v>0</v>
      </c>
      <c r="AH588" s="6">
        <f>$T588*AG588</f>
        <v/>
      </c>
      <c r="AI588" s="7">
        <f>U588+W588+Y588+AA588+AC588+AE588+AG588</f>
        <v/>
      </c>
      <c r="AJ588" s="6">
        <f>V588+X588+Z588+AB588+AD588+AF588+AH588</f>
        <v/>
      </c>
    </row>
    <row r="589" ht="60" customHeight="1" s="35">
      <c r="A589" s="3" t="inlineStr">
        <is>
          <t>LOM252.OC.EEA.PA01.L8250.ZA001.0250</t>
        </is>
      </c>
      <c r="B589" s="4" t="inlineStr">
        <is>
          <t>3/3</t>
        </is>
      </c>
      <c r="C589" s="3" t="inlineStr">
        <is>
          <t>IMPIANTO ELETTRICO</t>
        </is>
      </c>
      <c r="D589" s="4" t="inlineStr">
        <is>
          <t>SPECIALE</t>
        </is>
      </c>
      <c r="E589" s="4" t="inlineStr">
        <is>
          <t>ELETTRICHE SPECIALI</t>
        </is>
      </c>
      <c r="F589" s="3" t="inlineStr">
        <is>
          <t>3_CME IE RADIOFARMACIA PAVIA - REV02 VARIANTE ESECUTIVA.PDF</t>
        </is>
      </c>
      <c r="G589" s="4" t="inlineStr">
        <is>
          <t>93/93</t>
        </is>
      </c>
      <c r="H589" s="3" t="inlineStr">
        <is>
          <t>40 - IMPIANTISTICO</t>
        </is>
      </c>
      <c r="I589" s="3" t="inlineStr">
        <is>
          <t>RADIOFARMACIA</t>
        </is>
      </c>
      <c r="J589" s="3" t="inlineStr">
        <is>
          <t>IMPIANTO DI RIVELAZIONE FUMI</t>
        </is>
      </c>
      <c r="K589" s="3" t="inlineStr">
        <is>
          <t>OPERA: PULSANTE, MANUALE INDIRIZZABILE; GEOMETRIA: A ROTTURA VETRO; TENSIONE DI ALIMENTAZIONE [VCC] = 15 ÷ 28 | CORRENTE NOMINALE A RIPOSO [ΜA] = 200 | CORRENTE NOMINALE IN ALLARME [ΜA] = 5 | TEMPERAT</t>
        </is>
      </c>
      <c r="L589" s="3" t="inlineStr">
        <is>
          <t>OPERA: PULSANTE, MANUALE INDIRIZZABILE; GEOMETRIA: A ROTTURA VETRO; TENSIONE DI ALIMENTAZIONE [VCC] = 15 ÷ 28 | CORRENTE NOMINALE A RIPOSO [ΜA] = 200 | CORRENTE NOMINALE IN ALLARME [ΜA] = 5 | TEMPERATURA DI FUNZIONAMENTO [°C] = 0 ÷ 50 | UMIDTÀ RELATIVA [%] = 95. INCLUSO: DOPPIO ISOLATORE PER PROTEZIONE DELLA LINEA DI COMUNICAZIONE, CHIAVE DI TEST. 
LAVORO: INSTALLAZIONE. 
SPECIFICHE TECNICHE: PULSANTE INDIRIZZATO DA INTERNO, CERTIFICATO CPR, GRADO DI PROTEZIONE IP24D, LA CORRENTE IN ALLARME È DA CONSIDERARSI CON LED ATTIVO. OP PULSANTE, MANUALE INDIRIZZABILE; GEOMETRIA: A ROTTURA VETRO; TENSIONE DI ALIMENTAZIONE [VCC] = 15 ÷ 28 | CORRENTE NOMINALE A RIPOSO [ΜA] = 200 | CORRENTE NOMINALE IN ALLARME [ΜA] = 5 | TEMPERATURA DI FUNZIONAMENTO [°C] = 0 ÷ 50 | UMIDTÀ RELATIVA [%] = 95. INCLUSO: DOPPIO ISOLATORE PER PROTEZIONE DELLA LINEA DI COMUNICAZIONE, CHIAVE DI TEST. 
SPECIFICHE TECNICHE: PULSANTE INDIRIZZATO DA INTERNO, CERTIFICATO CPR, GRADO DI PROTEZIONE IP24D, LA CORRENTE IN ALLARME È DA CONSIDERARSI CON LED ATTIVO. 
RM PULSANTE MANUALE INDIRIZZABILE; GEOMETRIA: A ROTTURA VETRO; TENSIONE DI ALIMENTAZIONE [VCC] = 15 ÷ 28 | CORRENTE NOMINALE A RIPOSO [ΜA] = 200 | CORRENTE NOMINALE IN ALLARME [ΜA] = 5 | TEMPERATURA DI FUNZIONAMENTO [°C] = 0 ÷ 50 | UMIDTÀ RELATIVA [%] = 95. COMPONENTE: LED, . INCLUSO: DOPPIO ISOLATORE PER PROTEZIONE DELLA LINEA DI COMUNICAZIONE, CHIAVE DI TEST 
SPECIFICHE TECNICHE: PULSANTE INDIRIZZATO DA INTERNO, CERTIFICATO CPR, GRADO DI PROTEZIONE IP24D, LA CORRENTE IN ALLARME È DA CONSIDERARSI CON LED ATTIVO 
LV INSTALLAZIONE.</t>
        </is>
      </c>
      <c r="M589" s="4" t="inlineStr">
        <is>
          <t>CAD</t>
        </is>
      </c>
      <c r="N589" s="5" t="n">
        <v>6</v>
      </c>
      <c r="O589" s="6" t="n">
        <v>96.05</v>
      </c>
      <c r="P589" s="6" t="n">
        <v>576.3</v>
      </c>
      <c r="Q589" s="5" t="n"/>
      <c r="R589" s="6" t="n"/>
      <c r="S589" s="6">
        <f>IF(AND(Q589&lt;&gt;"",R589&lt;&gt;""),Q589*R589,"")</f>
        <v/>
      </c>
      <c r="T589" s="6">
        <f>IF(S589="",P589,S589)</f>
        <v/>
      </c>
      <c r="U589" s="7" t="n">
        <v>0</v>
      </c>
      <c r="V589" s="6">
        <f>$T589*U589</f>
        <v/>
      </c>
      <c r="W589" s="7" t="n">
        <v>0</v>
      </c>
      <c r="X589" s="6">
        <f>$T589*W589</f>
        <v/>
      </c>
      <c r="Y589" s="7" t="n">
        <v>0</v>
      </c>
      <c r="Z589" s="6">
        <f>$T589*Y589</f>
        <v/>
      </c>
      <c r="AA589" s="7" t="n">
        <v>0</v>
      </c>
      <c r="AB589" s="6">
        <f>$T589*AA589</f>
        <v/>
      </c>
      <c r="AC589" s="7" t="n">
        <v>0</v>
      </c>
      <c r="AD589" s="6">
        <f>$T589*AC589</f>
        <v/>
      </c>
      <c r="AE589" s="7" t="n">
        <v>0</v>
      </c>
      <c r="AF589" s="6">
        <f>$T589*AE589</f>
        <v/>
      </c>
      <c r="AG589" s="7" t="n">
        <v>0</v>
      </c>
      <c r="AH589" s="6">
        <f>$T589*AG589</f>
        <v/>
      </c>
      <c r="AI589" s="7">
        <f>U589+W589+Y589+AA589+AC589+AE589+AG589</f>
        <v/>
      </c>
      <c r="AJ589" s="6">
        <f>V589+X589+Z589+AB589+AD589+AF589+AH589</f>
        <v/>
      </c>
    </row>
    <row r="590" ht="60" customHeight="1" s="35">
      <c r="A590" s="3" t="inlineStr">
        <is>
          <t>LOM252.OC.EEA.PA04.L4200.ZA000.0500</t>
        </is>
      </c>
      <c r="B590" s="4" t="inlineStr">
        <is>
          <t>1/1</t>
        </is>
      </c>
      <c r="C590" s="3" t="inlineStr">
        <is>
          <t>IMPIANTO ELETTRICO</t>
        </is>
      </c>
      <c r="D590" s="4" t="inlineStr">
        <is>
          <t>SPECIALE</t>
        </is>
      </c>
      <c r="E590" s="4" t="inlineStr">
        <is>
          <t>ELETTRICHE SPECIALI</t>
        </is>
      </c>
      <c r="F590" s="3" t="inlineStr">
        <is>
          <t>3_CME IE RADIOFARMACIA PAVIA - REV02 VARIANTE ESECUTIVA.PDF</t>
        </is>
      </c>
      <c r="G590" s="4" t="inlineStr">
        <is>
          <t>94/94</t>
        </is>
      </c>
      <c r="H590" s="3" t="inlineStr">
        <is>
          <t>40 - IMPIANTISTICO</t>
        </is>
      </c>
      <c r="I590" s="3" t="inlineStr">
        <is>
          <t>RADIOFARMACIA</t>
        </is>
      </c>
      <c r="J590" s="3" t="inlineStr">
        <is>
          <t>IMPIANTO DI RIVELAZIONE FUMI</t>
        </is>
      </c>
      <c r="K590" s="3" t="inlineStr">
        <is>
          <t xml:space="preserve">OPERA: SEGNALATORE ACUSTICO, SIRENA DI MATERIALE GENERICO; IMPIEGO: IMPIANTI DI RIVELAZIONE INCENDIO. </t>
        </is>
      </c>
      <c r="L590" s="3" t="inlineStr">
        <is>
          <t>OPERA: SEGNALATORE ACUSTICO, SIRENA DI MATERIALE GENERICO; IMPIEGO: IMPIANTI DI RIVELAZIONE INCENDIO. 
LAVORO: FORMAZIONE. 
SPECIFICHE TECNICHE: SIRENA ELETTRONICA INDIRIZZABILE, ALIMENTATA DA LOOP O CON ALIMENTAZIONE ESTERNA. OP SEGNALATORE ACUSTICO, SIRENA DI MATERIALE GENERICO; IMPIEGO: IMPIANTI DI RIVELAZIONE INCENDIO. 
SPECIFICHE TECNICHE: SIRENA ELETTRONICA INDIRIZZABILE, ALIMENTATA DA LOOP O CON ALIMENTAZIONE ESTERNA. 
RM SEGNALATORE ACUSTICO SIRENA DI MATERIALE GENERICO; IMPIEGO: IMPIANTI DI RIVELAZIONE INCENDIO 
SPECIFICHE TECNICHE: SIRENA ELETTRONICA INDIRIZZABILE, ALIMENTATA DA LOOP O CON ALIMENTAZIONE ESTERNA 
LV FORMAZIONE.</t>
        </is>
      </c>
      <c r="M590" s="4" t="inlineStr">
        <is>
          <t>CAD</t>
        </is>
      </c>
      <c r="N590" s="5" t="n">
        <v>1</v>
      </c>
      <c r="O590" s="6" t="n">
        <v>183.81</v>
      </c>
      <c r="P590" s="6" t="n">
        <v>183.81</v>
      </c>
      <c r="Q590" s="5" t="n"/>
      <c r="R590" s="6" t="n"/>
      <c r="S590" s="6">
        <f>IF(AND(Q590&lt;&gt;"",R590&lt;&gt;""),Q590*R590,"")</f>
        <v/>
      </c>
      <c r="T590" s="6">
        <f>IF(S590="",P590,S590)</f>
        <v/>
      </c>
      <c r="U590" s="7" t="n">
        <v>0</v>
      </c>
      <c r="V590" s="6">
        <f>$T590*U590</f>
        <v/>
      </c>
      <c r="W590" s="7" t="n">
        <v>0</v>
      </c>
      <c r="X590" s="6">
        <f>$T590*W590</f>
        <v/>
      </c>
      <c r="Y590" s="7" t="n">
        <v>0</v>
      </c>
      <c r="Z590" s="6">
        <f>$T590*Y590</f>
        <v/>
      </c>
      <c r="AA590" s="7" t="n">
        <v>0</v>
      </c>
      <c r="AB590" s="6">
        <f>$T590*AA590</f>
        <v/>
      </c>
      <c r="AC590" s="7" t="n">
        <v>0</v>
      </c>
      <c r="AD590" s="6">
        <f>$T590*AC590</f>
        <v/>
      </c>
      <c r="AE590" s="7" t="n">
        <v>0</v>
      </c>
      <c r="AF590" s="6">
        <f>$T590*AE590</f>
        <v/>
      </c>
      <c r="AG590" s="7" t="n">
        <v>0</v>
      </c>
      <c r="AH590" s="6">
        <f>$T590*AG590</f>
        <v/>
      </c>
      <c r="AI590" s="7">
        <f>U590+W590+Y590+AA590+AC590+AE590+AG590</f>
        <v/>
      </c>
      <c r="AJ590" s="6">
        <f>V590+X590+Z590+AB590+AD590+AF590+AH590</f>
        <v/>
      </c>
    </row>
    <row r="591" ht="60" customHeight="1" s="35">
      <c r="A591" s="3" t="inlineStr">
        <is>
          <t>LOM252.OC.EEA.PA04.L4200.ZA000.0515</t>
        </is>
      </c>
      <c r="B591" s="4" t="inlineStr">
        <is>
          <t>3/3</t>
        </is>
      </c>
      <c r="C591" s="3" t="inlineStr">
        <is>
          <t>IMPIANTO ELETTRICO</t>
        </is>
      </c>
      <c r="D591" s="4" t="inlineStr">
        <is>
          <t>SPECIALE</t>
        </is>
      </c>
      <c r="E591" s="4" t="inlineStr">
        <is>
          <t>ELETTRICHE SPECIALI</t>
        </is>
      </c>
      <c r="F591" s="3" t="inlineStr">
        <is>
          <t>3_CME IE RADIOFARMACIA PAVIA - REV02 VARIANTE ESECUTIVA.PDF</t>
        </is>
      </c>
      <c r="G591" s="4" t="inlineStr">
        <is>
          <t>95/95</t>
        </is>
      </c>
      <c r="H591" s="3" t="inlineStr">
        <is>
          <t>40 - IMPIANTISTICO</t>
        </is>
      </c>
      <c r="I591" s="3" t="inlineStr">
        <is>
          <t>RADIOFARMACIA</t>
        </is>
      </c>
      <c r="J591" s="3" t="inlineStr">
        <is>
          <t>IMPIANTO DI RIVELAZIONE FUMI</t>
        </is>
      </c>
      <c r="K591" s="3" t="inlineStr">
        <is>
          <t>OPERA: SEGNALATORE ACUSTICO, SIRENA DI MATERIALE GENERICO; FUNZIONE: SEGNALATORE OTTICO; IMPIEGO: IMPIANTI DI RIVELAZIONE INCENDIO | AMBIENTI INTERNI; TENSIONE DI ALIMENTAZIONE CC [V] = 17 ÷ 60. INCLU</t>
        </is>
      </c>
      <c r="L591" s="3" t="inlineStr">
        <is>
          <t>OPERA: SEGNALATORE ACUSTICO, SIRENA DI MATERIALE GENERICO; FUNZIONE: SEGNALATORE OTTICO; IMPIEGO: IMPIANTI DI RIVELAZIONE INCENDIO | AMBIENTI INTERNI; TENSIONE DI ALIMENTAZIONE CC [V] = 17 ÷ 60. INCLUSO:  TRIMMER PER LA REGOLAZIONE DEL VOLUME, DISPOSITIVO DI BLOCCAGGIO, LAMPEGGIANTE E BASE A BASSO PROFILO. 
LAVORO: FORMAZIONE. 
SPECIFICHE TECNICHE: SIRENA DI TIPO PIEZO-ELETTRONICA MULTITONO, ATTIVAZIONE REMOTA SELEZIONABILE SU 2 TONI, PROTEZIONE IP21. SIRENA E LAMPEGGIANTE CON COMANDO SEPARATO. OP SEGNALATORE ACUSTICO, SIRENA DI MATERIALE GENERICO; FUNZIONE: SEGNALATORE OTTICO; IMPIEGO: IMPIANTI DI RIVELAZIONE INCENDIO | AMBIENTI INTERNI; TENSIONE DI ALIMENTAZIONE CC [V] = 17 ÷ 60. INCLUSO:  TRIMMER PER LA REGOLAZIONE DEL VOLUME, DISPOSITIVO DI BLOCCAGGIO, LAMPEGGIANTE E BASE A BASSO PROFILO. 
SPECIFICHE TECNICHE: SIRENA DI TIPO PIEZO-ELETTRONICA MULTITONO, ATTIVAZIONE REMOTA SELEZIONABILE SU 2 TONI, PROTEZIONE IP21. SIRENA E LAMPEGGIANTE CON COMANDO SEPARATO. 
RM SEGNALATORE ACUSTICO SIRENA DI MATERIALE GENERICO; FUNZIONE: SEGNALATORE OTTICO; IMPIEGO: IMPIANTI DI RIVELAZIONE INCENDIO | AMBIENTI INTERNI; TENSIONE DI ALIMENTAZIONE CC [V] = 17 ÷ 60. INCLUSO:  TRIMMER PER LA REGOLAZIONE DEL VOLUME, DISPOSITIVO DI BLOCCAGGIO, LAMPEGGIANTE E BASE A BASSO PROFILO 
SPECIFICHE TECNICHE: SIRENA DI TIPO PIEZO-ELETTRONICA MULTITONO, ATTIVAZIONE REMOTA SELEZIONABILE SU 2 TONI, PROTEZIONE IP21. SIRENA E LAMPEGGIANTE CON COMANDO SEPARATO 
LV FORMAZIONE.</t>
        </is>
      </c>
      <c r="M591" s="4" t="inlineStr">
        <is>
          <t>CAD</t>
        </is>
      </c>
      <c r="N591" s="5" t="n">
        <v>6</v>
      </c>
      <c r="O591" s="6" t="n">
        <v>183.81</v>
      </c>
      <c r="P591" s="6" t="n">
        <v>1102.86</v>
      </c>
      <c r="Q591" s="5" t="n"/>
      <c r="R591" s="6" t="n"/>
      <c r="S591" s="6">
        <f>IF(AND(Q591&lt;&gt;"",R591&lt;&gt;""),Q591*R591,"")</f>
        <v/>
      </c>
      <c r="T591" s="6">
        <f>IF(S591="",P591,S591)</f>
        <v/>
      </c>
      <c r="U591" s="7" t="n">
        <v>0</v>
      </c>
      <c r="V591" s="6">
        <f>$T591*U591</f>
        <v/>
      </c>
      <c r="W591" s="7" t="n">
        <v>0</v>
      </c>
      <c r="X591" s="6">
        <f>$T591*W591</f>
        <v/>
      </c>
      <c r="Y591" s="7" t="n">
        <v>0</v>
      </c>
      <c r="Z591" s="6">
        <f>$T591*Y591</f>
        <v/>
      </c>
      <c r="AA591" s="7" t="n">
        <v>0</v>
      </c>
      <c r="AB591" s="6">
        <f>$T591*AA591</f>
        <v/>
      </c>
      <c r="AC591" s="7" t="n">
        <v>0</v>
      </c>
      <c r="AD591" s="6">
        <f>$T591*AC591</f>
        <v/>
      </c>
      <c r="AE591" s="7" t="n">
        <v>0</v>
      </c>
      <c r="AF591" s="6">
        <f>$T591*AE591</f>
        <v/>
      </c>
      <c r="AG591" s="7" t="n">
        <v>0</v>
      </c>
      <c r="AH591" s="6">
        <f>$T591*AG591</f>
        <v/>
      </c>
      <c r="AI591" s="7">
        <f>U591+W591+Y591+AA591+AC591+AE591+AG591</f>
        <v/>
      </c>
      <c r="AJ591" s="6">
        <f>V591+X591+Z591+AB591+AD591+AF591+AH591</f>
        <v/>
      </c>
    </row>
    <row r="592" ht="60" customHeight="1" s="35">
      <c r="A592" s="3" t="inlineStr">
        <is>
          <t>LOM252.OC.EEA.PA02.L7415.ZA001.0755</t>
        </is>
      </c>
      <c r="B592" s="4" t="inlineStr">
        <is>
          <t>1/1</t>
        </is>
      </c>
      <c r="C592" s="3" t="inlineStr">
        <is>
          <t>IMPIANTO ELETTRICO</t>
        </is>
      </c>
      <c r="D592" s="4" t="inlineStr">
        <is>
          <t>SPECIALE</t>
        </is>
      </c>
      <c r="E592" s="4" t="inlineStr">
        <is>
          <t>ELETTRICHE SPECIALI</t>
        </is>
      </c>
      <c r="F592" s="3" t="inlineStr">
        <is>
          <t>3_CME IE RADIOFARMACIA PAVIA - REV02 VARIANTE ESECUTIVA.PDF</t>
        </is>
      </c>
      <c r="G592" s="4" t="inlineStr">
        <is>
          <t>96/96</t>
        </is>
      </c>
      <c r="H592" s="3" t="inlineStr">
        <is>
          <t>40 - IMPIANTISTICO</t>
        </is>
      </c>
      <c r="I592" s="3" t="inlineStr">
        <is>
          <t>RADIOFARMACIA</t>
        </is>
      </c>
      <c r="J592" s="3" t="inlineStr">
        <is>
          <t>IMPIANTO DI RIVELAZIONE FUMI</t>
        </is>
      </c>
      <c r="K592" s="3" t="inlineStr">
        <is>
          <t xml:space="preserve">OPERA: CENTRALE DI RIVELAZIONE, INCENDIO ANALOGICO/INDIRIZZATA. INCLUSO: 2 LOOP. </t>
        </is>
      </c>
      <c r="L592" s="3" t="inlineStr">
        <is>
          <t>OPERA: CENTRALE DI RIVELAZIONE, INCENDIO ANALOGICO/INDIRIZZATA. INCLUSO: 2 LOOP. 
LAVORO: POSA. 
SPECIFICHE TECNICHE: CENTRALE A INTELLIGENZA DISTRIBUITA TRAMITE BOX-REMOTI AVENTI CIASCUNO CAPACITÀ MASSIMA DI 2-4 LOOPS COLLEGATI SU DI UNA LINEA BUS AD ANELLO CHIUSO; OGNI LOOP PUÒ SUPPORTARE FINO A 159 RIVELATORI E 159 MODULI DI INGRESSO/USCITA PER LINEA; LINEA BUS CON CAPACITÀ DI COLLEGAMENTO FINO A 7 DISPLAY, PER LA GESTIONE E LA SUPERVISIONE DELL'INTERO SISTEMA INSTALLABILI SIA SUL CAMPO CHE SUI SINGOLI BOX. OP CENTRALE DI RIVELAZIONE, INCENDIO ANALOGICO/INDIRIZZATA. INCLUSO: 2 LOOP. 
SPECIFICHE TECNICHE: CENTRALE A INTELLIGENZA DISTRIBUITA TRAMITE BOX-REMOTI AVENTI CIASCUNO CAPACITÀ MASSIMA DI 2-4 LOOPS COLLEGATI SU DI UNA LINEA BUS AD ANELLO CHIUSO; OGNI LOOP PUÒ SUPPORTARE FINO A 159 RIVELATORI E 159 MODULI DI INGRESSO/USCITA PER LINEA; LINEA BUS CON CAPACITÀ DI COLLEGAMENTO FINO A 7 DISPLAY, PER LA GESTIONE E LA SUPERVISIONE DELL'INTERO SISTEMA INSTALLABILI SIA SUL CAMPO CHE SUI SINGOLI BOX. 
RM CENTRALE DI RIVELAZIONE INCENDIO ANALOGICO/INDIRIZZATA. COMPONENTE: DISPLAY TOUCHSCREEN, . INCLUSO: 2 LOOP 
SPECIFICHE TECNICHE: CENTRALE A INTELLIGENZA DISTRIBUITA TRAMITE BOX-REMOTI AVENTI CIASCUNO CAPACITÀ MASSIMA DI 2-4 LOOPS COLLEGATI SU DI UNA LINEA BUS AD ANELLO CHIUSO; OGNI LOOP PUÒ SUPPORTARE FINO A 159 RIVELATORI E 159 MODULI DI INGRESSO/USCITA PER LINEA; LINEA BUS CON CAPACITÀ DI COLLEGAMENTO FINO A 7 DISPLAY, PER LA GESTIONE E LA SUPERVISIONE DELL'INTERO SISTEMA INSTALLABILI SIA SUL CAMPO CHE SUI SINGOLI BOX 
LV POSA.</t>
        </is>
      </c>
      <c r="M592" s="4" t="inlineStr">
        <is>
          <t>CAD</t>
        </is>
      </c>
      <c r="N592" s="5" t="n">
        <v>1</v>
      </c>
      <c r="O592" s="6" t="n">
        <v>2371.72</v>
      </c>
      <c r="P592" s="6" t="n">
        <v>2371.72</v>
      </c>
      <c r="Q592" s="5" t="n"/>
      <c r="R592" s="6" t="n"/>
      <c r="S592" s="6">
        <f>IF(AND(Q592&lt;&gt;"",R592&lt;&gt;""),Q592*R592,"")</f>
        <v/>
      </c>
      <c r="T592" s="6">
        <f>IF(S592="",P592,S592)</f>
        <v/>
      </c>
      <c r="U592" s="7" t="n">
        <v>0</v>
      </c>
      <c r="V592" s="6">
        <f>$T592*U592</f>
        <v/>
      </c>
      <c r="W592" s="7" t="n">
        <v>0</v>
      </c>
      <c r="X592" s="6">
        <f>$T592*W592</f>
        <v/>
      </c>
      <c r="Y592" s="7" t="n">
        <v>0</v>
      </c>
      <c r="Z592" s="6">
        <f>$T592*Y592</f>
        <v/>
      </c>
      <c r="AA592" s="7" t="n">
        <v>0</v>
      </c>
      <c r="AB592" s="6">
        <f>$T592*AA592</f>
        <v/>
      </c>
      <c r="AC592" s="7" t="n">
        <v>0</v>
      </c>
      <c r="AD592" s="6">
        <f>$T592*AC592</f>
        <v/>
      </c>
      <c r="AE592" s="7" t="n">
        <v>0</v>
      </c>
      <c r="AF592" s="6">
        <f>$T592*AE592</f>
        <v/>
      </c>
      <c r="AG592" s="7" t="n">
        <v>0</v>
      </c>
      <c r="AH592" s="6">
        <f>$T592*AG592</f>
        <v/>
      </c>
      <c r="AI592" s="7">
        <f>U592+W592+Y592+AA592+AC592+AE592+AG592</f>
        <v/>
      </c>
      <c r="AJ592" s="6">
        <f>V592+X592+Z592+AB592+AD592+AF592+AH592</f>
        <v/>
      </c>
    </row>
    <row r="593" ht="60" customHeight="1" s="35">
      <c r="A593" s="3" t="inlineStr">
        <is>
          <t>LOM252.OC.EEA.PA02.G9764.ZA001.0280</t>
        </is>
      </c>
      <c r="B593" s="4" t="inlineStr">
        <is>
          <t>1/1</t>
        </is>
      </c>
      <c r="C593" s="3" t="inlineStr">
        <is>
          <t>IMPIANTO ELETTRICO</t>
        </is>
      </c>
      <c r="D593" s="4" t="inlineStr">
        <is>
          <t>SPECIALE</t>
        </is>
      </c>
      <c r="E593" s="4" t="inlineStr">
        <is>
          <t>ELETTRICHE SPECIALI</t>
        </is>
      </c>
      <c r="F593" s="3" t="inlineStr">
        <is>
          <t>3_CME IE RADIOFARMACIA PAVIA - REV02 VARIANTE ESECUTIVA.PDF</t>
        </is>
      </c>
      <c r="G593" s="4" t="inlineStr">
        <is>
          <t>97/97</t>
        </is>
      </c>
      <c r="H593" s="3" t="inlineStr">
        <is>
          <t>40 - IMPIANTISTICO</t>
        </is>
      </c>
      <c r="I593" s="3" t="inlineStr">
        <is>
          <t>RADIOFARMACIA</t>
        </is>
      </c>
      <c r="J593" s="3" t="inlineStr">
        <is>
          <t>IMPIANTO DI RIVELAZIONE FUMI</t>
        </is>
      </c>
      <c r="K593" s="3" t="inlineStr">
        <is>
          <t xml:space="preserve">OPERA: PANNELLO; FUNZIONE: RIPETIZIONE LOCALE/GLOBALE; IMPIEGO: CENTRALE DI RIVELAZIONE ANTINCENDIO ANALOGICA. INCLUSO: DISPLAY GRAFICO, JOG DIAL DI NAVIGAZIONE, TASTI PER SELEZIONARE LE FUNZIONI. </t>
        </is>
      </c>
      <c r="L593" s="3" t="inlineStr">
        <is>
          <t>OPERA: PANNELLO; FUNZIONE: RIPETIZIONE LOCALE/GLOBALE; IMPIEGO: CENTRALE DI RIVELAZIONE ANTINCENDIO ANALOGICA. INCLUSO: DISPLAY GRAFICO, JOG DIAL DI NAVIGAZIONE, TASTI PER SELEZIONARE LE FUNZIONI. 
LAVORO: POSA. 
SPECIFICHE TECNICHE: DOTATO DI USCITE RS232, USCITE USB, 1 USCITA STANDARD 10/100 BASE T PER CONNESSIONE LOCALE SU LAN O REMOTA WAN TRAMITE RETE ETHERNET, POSSIBILITÀ DI COLLEGAMENTO SU RETE LOCALE E DEDICATA RS485 DI 32 ELEMENTI INDIRIZZATI QUALI CENTRALI E PANNELLI DI RIPETIZIONE GLOBALI. LA PROGRAMMAZIONE È EFFETTUATA TRAMITE PROGRAMMA SPECIFICO CON PC COLLEGATO LOCALMENTE TRAMITE INGRESSI USB O DA REMOTO TRAMITE CONNESSIONE TCP/IP. OP PANNELLO; FUNZIONE: RIPETIZIONE LOCALE/GLOBALE; IMPIEGO: CENTRALE DI RIVELAZIONE ANTINCENDIO ANALOGICA. INCLUSO: DISPLAY GRAFICO, JOG DIAL DI NAVIGAZIONE, TASTI PER SELEZIONARE LE FUNZIONI. 
SPECIFICHE TECNICHE: DOTATO DI USCITE RS232, USCITE USB, 1 USCITA STANDARD 10/100 BASE T PER CONNESSIONE LOCALE SU LAN O REMOTA WAN TRAMITE RETE ETHERNET, POSSIBILITÀ DI COLLEGAMENTO SU RETE LOCALE E DEDICATA RS485 DI 32 ELEMENTI INDIRIZZATI QUALI CENTRALI E PANNELLI DI RIPETIZIONE GLOBALI. LA PROGRAMMAZIONE È EFFETTUATA TRAMITE PROGRAMMA SPECIFICO CON PC COLLEGATO LOCALMENTE TRAMITE INGRESSI USB O DA REMOTO TRAMITE CONNESSIONE TCP/IP. 
RM PANNELLO; FUNZIONE: RIPETIZIONE LOCALE/GLOBALE; IMPIEGO: CENTRALE DI RIVELAZIONE ANTINCENDIO ANALOGICA. INCLUSO: DISPLAY GRAFICO, JOG DIAL DI NAVIGAZIONE, TASTI PER SELEZIONARE LE FUNZIONI 
SPECIFICHE TECNICHE: DOTATO DI USCITE RS232, USCITE USB, 1 USCITA STANDARD 10/100 BASE T PER CONNESSIONE LOCALE SU LAN O REMOTA WAN TRAMITE RETE ETHERNET, POSSIBILITÀ DI COLLEGAMENTO SU RETE LOCALE E DEDICATA RS485 DI 32 ELEMENTI INDIRIZZATI QUALI CENTRALI E PANNELLI DI RIPETIZIONE GLOBALI. LA PROGRAMMAZIONE È EFFETTUATA TRAMITE PROGRAMMA SPECIFICO CON PC COLLEGATO LOCALMENTE TRAMITE INGRESSI USB O DA REMOTO TRAMITE CONNESSIONE TCP/IP 
LV POSA.</t>
        </is>
      </c>
      <c r="M593" s="4" t="inlineStr">
        <is>
          <t>CAD</t>
        </is>
      </c>
      <c r="N593" s="5" t="n">
        <v>1</v>
      </c>
      <c r="O593" s="6" t="n">
        <v>943.95</v>
      </c>
      <c r="P593" s="6" t="n">
        <v>943.95</v>
      </c>
      <c r="Q593" s="5" t="n"/>
      <c r="R593" s="6" t="n"/>
      <c r="S593" s="6">
        <f>IF(AND(Q593&lt;&gt;"",R593&lt;&gt;""),Q593*R593,"")</f>
        <v/>
      </c>
      <c r="T593" s="6">
        <f>IF(S593="",P593,S593)</f>
        <v/>
      </c>
      <c r="U593" s="7" t="n">
        <v>0</v>
      </c>
      <c r="V593" s="6">
        <f>$T593*U593</f>
        <v/>
      </c>
      <c r="W593" s="7" t="n">
        <v>0</v>
      </c>
      <c r="X593" s="6">
        <f>$T593*W593</f>
        <v/>
      </c>
      <c r="Y593" s="7" t="n">
        <v>0</v>
      </c>
      <c r="Z593" s="6">
        <f>$T593*Y593</f>
        <v/>
      </c>
      <c r="AA593" s="7" t="n">
        <v>0</v>
      </c>
      <c r="AB593" s="6">
        <f>$T593*AA593</f>
        <v/>
      </c>
      <c r="AC593" s="7" t="n">
        <v>0</v>
      </c>
      <c r="AD593" s="6">
        <f>$T593*AC593</f>
        <v/>
      </c>
      <c r="AE593" s="7" t="n">
        <v>0</v>
      </c>
      <c r="AF593" s="6">
        <f>$T593*AE593</f>
        <v/>
      </c>
      <c r="AG593" s="7" t="n">
        <v>0</v>
      </c>
      <c r="AH593" s="6">
        <f>$T593*AG593</f>
        <v/>
      </c>
      <c r="AI593" s="7">
        <f>U593+W593+Y593+AA593+AC593+AE593+AG593</f>
        <v/>
      </c>
      <c r="AJ593" s="6">
        <f>V593+X593+Z593+AB593+AD593+AF593+AH593</f>
        <v/>
      </c>
    </row>
    <row r="594" ht="60" customHeight="1" s="35">
      <c r="A594" s="3" t="inlineStr">
        <is>
          <t>LOM252.OC.EEA.PA02.L7430.ZA001.0020</t>
        </is>
      </c>
      <c r="B594" s="4" t="inlineStr">
        <is>
          <t>4/4</t>
        </is>
      </c>
      <c r="C594" s="3" t="inlineStr">
        <is>
          <t>IMPIANTO ELETTRICO</t>
        </is>
      </c>
      <c r="D594" s="4" t="inlineStr">
        <is>
          <t>SPECIALE</t>
        </is>
      </c>
      <c r="E594" s="4" t="inlineStr">
        <is>
          <t>ELETTRICHE SPECIALI</t>
        </is>
      </c>
      <c r="F594" s="3" t="inlineStr">
        <is>
          <t>3_CME IE RADIOFARMACIA PAVIA - REV02 VARIANTE ESECUTIVA.PDF</t>
        </is>
      </c>
      <c r="G594" s="4" t="inlineStr">
        <is>
          <t>98/98</t>
        </is>
      </c>
      <c r="H594" s="3" t="inlineStr">
        <is>
          <t>40 - IMPIANTISTICO</t>
        </is>
      </c>
      <c r="I594" s="3" t="inlineStr">
        <is>
          <t>RADIOFARMACIA</t>
        </is>
      </c>
      <c r="J594" s="3" t="inlineStr">
        <is>
          <t>IMPIANTO DI RIVELAZIONE FUMI</t>
        </is>
      </c>
      <c r="K594" s="3" t="inlineStr">
        <is>
          <t xml:space="preserve">OPERA: CAVO; GEOMETRIA: TWISTATO | SCHERMATO | ROSSO; SEZIONE NOMINALE [MM²] = 2X1,5. </t>
        </is>
      </c>
      <c r="L594" s="3" t="inlineStr">
        <is>
          <t>OPERA: CAVO; GEOMETRIA: TWISTATO | SCHERMATO | ROSSO; SEZIONE NOMINALE [MM²] = 2X1,5. 
LAVORO: POSA. OP CAVO; GEOMETRIA: TWISTATO | SCHERMATO | ROSSO; SEZIONE NOMINALE [MM²] = 2X1,5. 
RM CAVO; GEOMETRIA: TWISTATO | SCHERMATO | ROSSO; FORNITURA: IN OPERA; SEZIONE NOMINALE [MM²] = 2X1,5 
SPECIFICHE TECNICHE: CAVO ANTINCENDIO DI GRADO 3 
LV POSA.
[DIMENSIONI: 600,00 | 400,00]</t>
        </is>
      </c>
      <c r="M594" s="4" t="inlineStr">
        <is>
          <t>M</t>
        </is>
      </c>
      <c r="N594" s="5" t="n">
        <v>1000</v>
      </c>
      <c r="O594" s="6" t="n">
        <v>3.5</v>
      </c>
      <c r="P594" s="6" t="n">
        <v>3500</v>
      </c>
      <c r="Q594" s="5" t="n"/>
      <c r="R594" s="6" t="n"/>
      <c r="S594" s="6">
        <f>IF(AND(Q594&lt;&gt;"",R594&lt;&gt;""),Q594*R594,"")</f>
        <v/>
      </c>
      <c r="T594" s="6">
        <f>IF(S594="",P594,S594)</f>
        <v/>
      </c>
      <c r="U594" s="7" t="n">
        <v>0</v>
      </c>
      <c r="V594" s="6">
        <f>$T594*U594</f>
        <v/>
      </c>
      <c r="W594" s="7" t="n">
        <v>0.3</v>
      </c>
      <c r="X594" s="6">
        <f>$T594*W594</f>
        <v/>
      </c>
      <c r="Y594" s="7" t="n">
        <v>0</v>
      </c>
      <c r="Z594" s="6">
        <f>$T594*Y594</f>
        <v/>
      </c>
      <c r="AA594" s="7" t="n">
        <v>0</v>
      </c>
      <c r="AB594" s="6">
        <f>$T594*AA594</f>
        <v/>
      </c>
      <c r="AC594" s="7" t="n">
        <v>0</v>
      </c>
      <c r="AD594" s="6">
        <f>$T594*AC594</f>
        <v/>
      </c>
      <c r="AE594" s="7" t="n">
        <v>0</v>
      </c>
      <c r="AF594" s="6">
        <f>$T594*AE594</f>
        <v/>
      </c>
      <c r="AG594" s="7" t="n">
        <v>0</v>
      </c>
      <c r="AH594" s="6">
        <f>$T594*AG594</f>
        <v/>
      </c>
      <c r="AI594" s="7">
        <f>U594+W594+Y594+AA594+AC594+AE594+AG594</f>
        <v/>
      </c>
      <c r="AJ594" s="6">
        <f>V594+X594+Z594+AB594+AD594+AF594+AH594</f>
        <v/>
      </c>
    </row>
    <row r="595" ht="60" customHeight="1" s="35">
      <c r="A595" s="3" t="inlineStr">
        <is>
          <t>DEIELE251_115015B</t>
        </is>
      </c>
      <c r="B595" s="4" t="inlineStr">
        <is>
          <t>1/2</t>
        </is>
      </c>
      <c r="C595" s="3" t="inlineStr">
        <is>
          <t>IMPIANTO ELETTRICO</t>
        </is>
      </c>
      <c r="D595" s="4" t="inlineStr">
        <is>
          <t>SPECIALE</t>
        </is>
      </c>
      <c r="E595" s="4" t="inlineStr">
        <is>
          <t>ELETTRICHE SPECIALI</t>
        </is>
      </c>
      <c r="F595" s="3" t="inlineStr">
        <is>
          <t>3_CME IE RADIOFARMACIA PAVIA - REV02 VARIANTE ESECUTIVA.PDF</t>
        </is>
      </c>
      <c r="G595" s="4" t="inlineStr">
        <is>
          <t>2/2</t>
        </is>
      </c>
      <c r="H595" s="3" t="inlineStr">
        <is>
          <t>50 - INSTALLAZIONE</t>
        </is>
      </c>
      <c r="I595" s="3" t="inlineStr">
        <is>
          <t>CABINA DI CONSEGNA MT</t>
        </is>
      </c>
      <c r="J595" s="3" t="inlineStr">
        <is>
          <t>QUADRI ELETTRICI MT</t>
        </is>
      </c>
      <c r="K595" s="3" t="inlineStr">
        <is>
          <t>SCOMPARTO MODULARE MT ARRIVO LINEA E RISALITA SBARRE CON PROTEZIONE ARCO INTERNO SUI TRE LATI IAC AFL FINO A 12,5 KA PER 1S, ADATTO AD ESSERE AMPLIATO CON ALTRE UNITÀ FUNZIONALI SU ENTRAMBI I LATI; CO</t>
        </is>
      </c>
      <c r="L595" s="3" t="inlineStr">
        <is>
          <t>SCOMPARTO MODULARE MT ARRIVO LINEA E RISALITA SBARRE CON PROTEZIONE ARCO INTERNO SUI TRE LATI IAC AFL FINO A 12,5 KA PER 1S, ADATTO AD ESSERE AMPLIATO CON ALTRE UNITÀ FUNZIONALI SU ENTRAMBI I LATI; COSTRUZIONE E COLLAUDO CONFORME SECONDO LE NORMATIVE VIGENTI; INVOLUCRO CON GRADO PROTEZIONE ESTERNO IP 3X E RESISTENZA ALL'IMPATTO MECCANICO IK 08, IN LAMIERA DI ACCIAIO ZINCATA A CALDO, VERNICIATA ALLE POLVERI EPOSSIDICHE CON STRUTTURA PORTANTE IN LAMIERA D'ACCIAIO DI SPESSORE NON INFERIORE A 20/10; COMPLETA DI BLOCCHI A CHIAVE PER APERTURA/CHIUSURA, INTERBLOCCHI MECCANICI (IN ALTERNATIVA PROCEDURA GUIDATA CON L'UTILIZZO DI APPOSITI ATTREZZI), INDICATORI PRESENZA TENSIONE CON DERIVATORI CAPACITIVI, RESISTENZA ANTICONDENSA CON POTENZA 50 W A 230 V, REGOLATA DA TERMOSTATO E PROTETTA DA INTERRUTTORE, SINOTTICO, SUPPORTI TERMINALI; LE STAFFE ANCORAGGIO CAVI E LO SCHEMA ELETTRICO; SEZIONE CAVI IN INGRESSO FINO A 300 MMQ; TENSIONE NOMINALE 24 KV, TENSIONE DI ESERCIZIO FINO 24 KV, TENSIONE DI PROVA 1 MINUTO 50 KV, TENSIONE DI TENUTA AD IMPULSO 1.2/50 MICRONS 125 KV, CORRENTE NOMINALE SBARRE ED APPARECCHIATURA 630 A - 800 A, CORRENTE DI CORTO CIRCUITO PER UN SECONDO 12,5 - 16 KA, CORRENTE NOMINALE DI PICCO 31,5 - 40 KA; TENSIONE NOMINALE DEGLI AUSILIARI ELETTRICI 230 V 50 HZ; CLASSIFICAZIONE CONTINUITÀ DI ESERCIZIO LSC1; DIMENSIONI INDICATIVE LARGHEZZA 400 MM, ALTEZZA (VANO BT ESCLUSO) 1.600 MM, PROFONDITÀ 1.000 MM: UNITÀ ARRIVO LINEA E RISALITA SBARRE 630 A - 16 KA</t>
        </is>
      </c>
      <c r="M595" s="4" t="inlineStr">
        <is>
          <t>CAD</t>
        </is>
      </c>
      <c r="N595" s="5" t="n">
        <v>1</v>
      </c>
      <c r="O595" s="6" t="n">
        <v>0</v>
      </c>
      <c r="P595" s="6" t="n">
        <v>0</v>
      </c>
      <c r="Q595" s="5" t="n"/>
      <c r="R595" s="6" t="n"/>
      <c r="S595" s="6">
        <f>IF(AND(Q595&lt;&gt;"",R595&lt;&gt;""),Q595*R595,"")</f>
        <v/>
      </c>
      <c r="T595" s="6">
        <f>IF(S595="",P595,S595)</f>
        <v/>
      </c>
      <c r="U595" s="7" t="n">
        <v>0</v>
      </c>
      <c r="V595" s="6">
        <f>$T595*U595</f>
        <v/>
      </c>
      <c r="W595" s="7" t="n">
        <v>0</v>
      </c>
      <c r="X595" s="6">
        <f>$T595*W595</f>
        <v/>
      </c>
      <c r="Y595" s="7" t="n">
        <v>0</v>
      </c>
      <c r="Z595" s="6">
        <f>$T595*Y595</f>
        <v/>
      </c>
      <c r="AA595" s="7" t="n">
        <v>0</v>
      </c>
      <c r="AB595" s="6">
        <f>$T595*AA595</f>
        <v/>
      </c>
      <c r="AC595" s="7" t="n">
        <v>0</v>
      </c>
      <c r="AD595" s="6">
        <f>$T595*AC595</f>
        <v/>
      </c>
      <c r="AE595" s="7" t="n">
        <v>0</v>
      </c>
      <c r="AF595" s="6">
        <f>$T595*AE595</f>
        <v/>
      </c>
      <c r="AG595" s="7" t="n">
        <v>0</v>
      </c>
      <c r="AH595" s="6">
        <f>$T595*AG595</f>
        <v/>
      </c>
      <c r="AI595" s="7">
        <f>U595+W595+Y595+AA595+AC595+AE595+AG595</f>
        <v/>
      </c>
      <c r="AJ595" s="6">
        <f>V595+X595+Z595+AB595+AD595+AF595+AH595</f>
        <v/>
      </c>
    </row>
    <row r="596" ht="60" customHeight="1" s="35">
      <c r="A596" s="3" t="inlineStr">
        <is>
          <t>DEIELE251_115021D</t>
        </is>
      </c>
      <c r="B596" s="4" t="inlineStr">
        <is>
          <t>1/2</t>
        </is>
      </c>
      <c r="C596" s="3" t="inlineStr">
        <is>
          <t>IMPIANTO ELETTRICO</t>
        </is>
      </c>
      <c r="D596" s="4" t="inlineStr">
        <is>
          <t>SPECIALE</t>
        </is>
      </c>
      <c r="E596" s="4" t="inlineStr">
        <is>
          <t>ELETTRICHE SPECIALI</t>
        </is>
      </c>
      <c r="F596" s="3" t="inlineStr">
        <is>
          <t>3_CME IE RADIOFARMACIA PAVIA - REV02 VARIANTE ESECUTIVA.PDF</t>
        </is>
      </c>
      <c r="G596" s="4" t="inlineStr">
        <is>
          <t>3/3</t>
        </is>
      </c>
      <c r="H596" s="3" t="inlineStr">
        <is>
          <t>50 - INSTALLAZIONE</t>
        </is>
      </c>
      <c r="I596" s="3" t="inlineStr">
        <is>
          <t>CABINA DI CONSEGNA MT</t>
        </is>
      </c>
      <c r="J596" s="3" t="inlineStr">
        <is>
          <t>QUADRI ELETTRICI MT</t>
        </is>
      </c>
      <c r="K596" s="3" t="inlineStr">
        <is>
          <t>SCOMPARTO MODULARE MT PER PROTEZIONE CON INTERRUTTORE PER PARTENZA LINEA, UNITÀ FUNZIONALE DI PROTEZIONE CON INTERRUTTORE IN SF6 E SEZIONATORE DI MESSA A TERRA, TA OMOPOLARE E RELÈ DI PROTEZIONE, ALIM</t>
        </is>
      </c>
      <c r="L596" s="3" t="inlineStr">
        <is>
          <t>SCOMPARTO MODULARE MT PER PROTEZIONE CON INTERRUTTORE PER PARTENZA LINEA, UNITÀ FUNZIONALE DI PROTEZIONE CON INTERRUTTORE IN SF6 E SEZIONATORE DI MESSA A TERRA, TA OMOPOLARE E RELÈ DI PROTEZIONE, ALIMENTAZIONE IN SBARRA ED USCITA CAVI MT NELLA PARTE INFERIORE; PROTEZIONE ARCO INTERNO SUI TRE LATI IAC AFL FINO A 12,5 KA PER 1S, ADATTO AD ESSERE AMPLIATO CON ALTRE UNITÀ FUNZIONALI SU ENTRAMBI I LATI; COSTRUZIONE E COLLAUDO CONFORMI ALLE NORME CEI EN 62271-200, CEI EN 60068-3-3 PER RESISTENZA AL RISCHIO SISMICO FINO A CLASSE 2; INVOLUCRO CON GRADO PROTEZIONE ESTERNO IP 3X E RESISTENZA ALL'IMPATTO MECCANICO IK 08, IN LAMIERA DI ACCIAIO ZINCATA A CALDO, VERNICIATA ALLE POLVERI EPOSSIDICHE CON STRUTTURA PORTANTE IN LAMIERA D'ACCIAIO DI SPESSORE NON INFERIORE A 20/10; INTERRUTTORE ISOLATO IN SF6 CON POLO IN PRESSIONE DEL TIPO "SIGILLATO A VITA", CLASSIFICAZIONE INTERRUTTORE SECONDO CEI EN 62271-100 M2, E2, C2, BLOCCO CHIAVE SU INTERRUTTORE, CHIAVE LIBERA IN POSIZIONE D'APERTO, BLOCCO A CHIAVE SU SEZIONATORE DI TERRA CHIAVE LIBERA IN POSIZIONE DI CHIUSO, COMPLETA DI INTERBLOCCHI MECCANICI E A CHIAVE PER IMPEDIRE ERRATE MANOVRE, SGANCIATORE DI APERTURA A LANCIO DI CORRENTE, COMANDO MANUALE, CONTATTI AUSILIARI, CONTAMANOVRE, SEZIONATORE ROTATIVO A TRE POSIZIONI (CHIUSO, APERTO E MESSO A TERRA), CON OBLÒ PER LA VISIBILITÀ DIRETTA DEL SEZIONAMENTO, ISOLATO IN SF6 DEL TIPO "SISTEMA A PRESSIONE SIGILLATO A VITA", BLOCCHI A CHIAVE SU SEZIONATORE CHIAVE LIBERA IN POSIZIONE DI APERTO E CHIUSO, BLOCCHI A CHIAVE SU SEZIONATORE DI TERRA CHIAVE LIBERA IN POSIZIONE DI APERTO E CHIUSO, SEZIONATORE DI MESSA A TERRA A VALLE DELL'INTERRUTTORE ISOLATO IN ARIA, 3 TRASFORMATORI AMPEROMETRICI TOROIDALI MULTI-RANGE FINO A 630 A O A BARRA PASSANTE CON ISOLAMENTO IN RESINA EPOSSIDICA, 1 TRASFORMATORE AMPEROMETRICO TOROIDALE OMOPOLARE, 1 RELÈ PER PROTEZIONE E MISURA, SU APPOSITO PANNELLO B.T. FORNITO DI DISPLAY LCD GRAFICO, CON PROTEZIONI I&gt;, I&gt;&gt;, I&gt;&gt;&gt;, IO&gt;, IO&gt;&gt; E MISURA DELLE CORRENTI DI FASE I1, I2, I3 RMS, CORRENTE RESIDUA IO, VALORI MEDI E MASSIMI, MEMORIZZAZIONE DEI VALORI DELLE CORRENTI DI FASE ED OMOPOLARE PRIMA DI UN INTERVENTO SU GUASTO ELETTRICO, RELÈ DI PROTEZIONE CON FUNZIONE DI SISTEMA DI PROTEZIONE GENERALE (SPG) CONFORME NORMA CONFORME SECONDO LE NORMATIVE VIGENTI, SUPERVISIONE PROTEZIONE TRAMITE COLLEGAMENTO MODBUS; SEZIONE CAVI MT ISOLATI IN GOMMA DI SEZIONE MASSIMA 240 MMQ; INDICATORI PRESENZA TENSIONE CON DERIVATORI CAPACITIVI, SINOTTICO, RESISTENZA ANTICONDENSA CON POTENZA 50 W A 230 V, REGOLATA DA TERMOSTATO E PROTETTA DA INTERRUTTORE, CONTATTI AUSILIARI, SGANCIATORE DI APERTURA A LANCIO DI CORRENTE, CONTAMANOVRE, TENSIONE NOMINALE 24 KV, TENSIONE DI ESERCIZIO FINO A 24 KV, TENSIONE DI PROVA 1 MINUTO 50 KV, TENSIONE DI TENUTA AD IMPULSO 1.2/50 MICRONS 125 KV; CORRENTE DI CORTO CIRCUITO PER UN SECONDO 12,5 - 16 KA, CORRENTE NOMINALE DI PICCO 31,5 - 40 KA, TENSIONE NOMINALE DEGLI AUSILIARI ELETTRICI 230 V 50 HZ, CLASSIFICAZIONE CONTINUITÀ DI ESERCIZIO LSC2A PI, DIMENSIONI INDICATIVE LARGHEZZA 750 MM, ALTEZZA (VANO BT ESCLUSO) 1.600 MM, PROFONDITÀ 1.300 MM: UNITÀ INTERRUTTORE PARTENZA LINEA 630 A - 16 KA CON PROTEZIONI DI FASE E DI TERRA (FUNZIONI 50-51-51N-67N)</t>
        </is>
      </c>
      <c r="M596" s="4" t="inlineStr">
        <is>
          <t>CAD</t>
        </is>
      </c>
      <c r="N596" s="5" t="n">
        <v>1</v>
      </c>
      <c r="O596" s="6" t="n">
        <v>0</v>
      </c>
      <c r="P596" s="6" t="n">
        <v>0</v>
      </c>
      <c r="Q596" s="5" t="n"/>
      <c r="R596" s="6" t="n"/>
      <c r="S596" s="6">
        <f>IF(AND(Q596&lt;&gt;"",R596&lt;&gt;""),Q596*R596,"")</f>
        <v/>
      </c>
      <c r="T596" s="6">
        <f>IF(S596="",P596,S596)</f>
        <v/>
      </c>
      <c r="U596" s="7" t="n">
        <v>0</v>
      </c>
      <c r="V596" s="6">
        <f>$T596*U596</f>
        <v/>
      </c>
      <c r="W596" s="7" t="n">
        <v>0</v>
      </c>
      <c r="X596" s="6">
        <f>$T596*W596</f>
        <v/>
      </c>
      <c r="Y596" s="7" t="n">
        <v>0</v>
      </c>
      <c r="Z596" s="6">
        <f>$T596*Y596</f>
        <v/>
      </c>
      <c r="AA596" s="7" t="n">
        <v>0</v>
      </c>
      <c r="AB596" s="6">
        <f>$T596*AA596</f>
        <v/>
      </c>
      <c r="AC596" s="7" t="n">
        <v>0</v>
      </c>
      <c r="AD596" s="6">
        <f>$T596*AC596</f>
        <v/>
      </c>
      <c r="AE596" s="7" t="n">
        <v>0</v>
      </c>
      <c r="AF596" s="6">
        <f>$T596*AE596</f>
        <v/>
      </c>
      <c r="AG596" s="7" t="n">
        <v>0</v>
      </c>
      <c r="AH596" s="6">
        <f>$T596*AG596</f>
        <v/>
      </c>
      <c r="AI596" s="7">
        <f>U596+W596+Y596+AA596+AC596+AE596+AG596</f>
        <v/>
      </c>
      <c r="AJ596" s="6">
        <f>V596+X596+Z596+AB596+AD596+AF596+AH596</f>
        <v/>
      </c>
    </row>
    <row r="597" ht="60" customHeight="1" s="35">
      <c r="A597" s="3" t="inlineStr">
        <is>
          <t>IE_NP_QCONS</t>
        </is>
      </c>
      <c r="B597" s="4" t="inlineStr">
        <is>
          <t>1/1</t>
        </is>
      </c>
      <c r="C597" s="3" t="inlineStr">
        <is>
          <t>IMPIANTO ELETTRICO</t>
        </is>
      </c>
      <c r="D597" s="4" t="inlineStr">
        <is>
          <t>SPECIALE</t>
        </is>
      </c>
      <c r="E597" s="4" t="inlineStr">
        <is>
          <t>ELETTRICHE SPECIALI</t>
        </is>
      </c>
      <c r="F597" s="3" t="inlineStr">
        <is>
          <t>3_CME IE RADIOFARMACIA PAVIA - REV02 VARIANTE ESECUTIVA.PDF</t>
        </is>
      </c>
      <c r="G597" s="4" t="inlineStr">
        <is>
          <t>4/4</t>
        </is>
      </c>
      <c r="H597" s="3" t="inlineStr">
        <is>
          <t>50 - INSTALLAZIONE</t>
        </is>
      </c>
      <c r="I597" s="3" t="inlineStr">
        <is>
          <t>CABINA DI CONSEGNA MT</t>
        </is>
      </c>
      <c r="J597" s="3" t="inlineStr">
        <is>
          <t>QUADRI ELETTRICI BT E UPS</t>
        </is>
      </c>
      <c r="K597" s="3" t="inlineStr">
        <is>
          <t>FORNITURA E POSA IN OPERA DI QUADRO ELETTRICO CABINA DI CONSEGNA MT COSTITUITO DA ARMADIO METALLICO DA PARETE/PAVIMENTO, CON GRADO DI PROTEZIONE IP66 (SECONDO IEC 60529), COLORE RAL 7035,  STRUTTURA M</t>
        </is>
      </c>
      <c r="L597" s="3" t="inlineStr">
        <is>
          <t>FORNITURA E POSA IN OPERA DI QUADRO ELETTRICO CABINA DI CONSEGNA MT COSTITUITO DA ARMADIO METALLICO DA PARETE/PAVIMENTO, CON GRADO DI PROTEZIONE IP66 (SECONDO IEC 60529), COLORE RAL 7035,  STRUTTURA MONOBLOCCO AUTOESTINGUENTE (CLASSIFICAZIONE HB40) CON PORTA TRASPARENTE E CONTROPORTA; TENUTA AGLI IMPATTI MECCANICI FINO A IK10 (SECONDO IEC 62262); STABILE AI RAGGI ULTRAVIOLETTI (TENUTA A +150°C); NON CONTIENE ALOGENI. L'OPERA S'INTENDE COMPRENSIVA DI CANALI PORTA CAVI PER CABLAGGIO, MORSETTERIA CON MORSETTI DI VARIA SEZIONE, CORREDATA DI SUPPORTO, SEPARATORI, NUMERI DI IDENTIFICAZIONE, ACCESSORI DI IDENTIFICAZIONE DEI CONDUTTORI INTERNI E DEI CIRCUITI, SBARRA DI TERRA, SISTEMA DI SBARRE IN RAME NUDO DI ADEGUATA SEZIONE CORREDATO DI RELATIVI SUPPORTI INFERIORI ED INTERMEDI, CONDUTTORI DI CABLAGGIO TIPO FS17 E DI OGNI ONERE ANNESSO E CONNESSO PER RENDERLA PERFETTAMENTE FUNZIONANTE E REALIZZATA IN CONFORMITÀ ALLA NORMA CEI EN 61439-1 E CEI EN 61439-2. AL TERMINE DEI LAVORI L'INSTALLATORE DOVRÀ RILASCIARE DICHIARAZIONE DI CONFORMITÀ DEL QUADRO ELETTRICO ALLA NORMA CEI EN 61439-1 E CEI EN 61439-2 COMPLETA DI TUTTI I SUOI ALLEGATI OBBLIGATORI. SARÀ INOLTRE FORNITO IL CALCOLO DELLE SOVRATEMPERATURE. IL QUADRO CONTERRÀ MONTATE E CABLATE LE APPARECCHIATURE COME RIPORTATO SULLO SCHEMA ELETTRICO ALLEGATO.</t>
        </is>
      </c>
      <c r="M597" s="4" t="inlineStr">
        <is>
          <t>A CORPO</t>
        </is>
      </c>
      <c r="N597" s="5" t="n">
        <v>1</v>
      </c>
      <c r="O597" s="6" t="n">
        <v>33067.1</v>
      </c>
      <c r="P597" s="6" t="n">
        <v>33067.1</v>
      </c>
      <c r="Q597" s="5" t="n"/>
      <c r="R597" s="6" t="n"/>
      <c r="S597" s="6">
        <f>IF(AND(Q597&lt;&gt;"",R597&lt;&gt;""),Q597*R597,"")</f>
        <v/>
      </c>
      <c r="T597" s="6">
        <f>IF(S597="",P597,S597)</f>
        <v/>
      </c>
      <c r="U597" s="7" t="n">
        <v>0.4</v>
      </c>
      <c r="V597" s="6">
        <f>$T597*U597</f>
        <v/>
      </c>
      <c r="W597" s="7" t="n">
        <v>0.2</v>
      </c>
      <c r="X597" s="6">
        <f>$T597*W597</f>
        <v/>
      </c>
      <c r="Y597" s="7" t="n">
        <v>0</v>
      </c>
      <c r="Z597" s="6">
        <f>$T597*Y597</f>
        <v/>
      </c>
      <c r="AA597" s="7" t="n">
        <v>0</v>
      </c>
      <c r="AB597" s="6">
        <f>$T597*AA597</f>
        <v/>
      </c>
      <c r="AC597" s="7" t="n">
        <v>0</v>
      </c>
      <c r="AD597" s="6">
        <f>$T597*AC597</f>
        <v/>
      </c>
      <c r="AE597" s="7" t="n">
        <v>0</v>
      </c>
      <c r="AF597" s="6">
        <f>$T597*AE597</f>
        <v/>
      </c>
      <c r="AG597" s="7" t="n">
        <v>0</v>
      </c>
      <c r="AH597" s="6">
        <f>$T597*AG597</f>
        <v/>
      </c>
      <c r="AI597" s="7">
        <f>U597+W597+Y597+AA597+AC597+AE597+AG597</f>
        <v/>
      </c>
      <c r="AJ597" s="6">
        <f>V597+X597+Z597+AB597+AD597+AF597+AH597</f>
        <v/>
      </c>
    </row>
    <row r="598" ht="60" customHeight="1" s="35">
      <c r="A598" s="3" t="inlineStr">
        <is>
          <t>LOM252.OC.EEA.PA01.G6010.ZA001.0300</t>
        </is>
      </c>
      <c r="B598" s="4" t="inlineStr">
        <is>
          <t>1/2</t>
        </is>
      </c>
      <c r="C598" s="3" t="inlineStr">
        <is>
          <t>IMPIANTO ELETTRICO</t>
        </is>
      </c>
      <c r="D598" s="4" t="inlineStr">
        <is>
          <t>SPECIALE</t>
        </is>
      </c>
      <c r="E598" s="4" t="inlineStr">
        <is>
          <t>ELETTRICHE SPECIALI</t>
        </is>
      </c>
      <c r="F598" s="3" t="inlineStr">
        <is>
          <t>3_CME IE RADIOFARMACIA PAVIA - REV02 VARIANTE ESECUTIVA.PDF</t>
        </is>
      </c>
      <c r="G598" s="4" t="inlineStr">
        <is>
          <t>5/5</t>
        </is>
      </c>
      <c r="H598" s="3" t="inlineStr">
        <is>
          <t>50 - INSTALLAZIONE</t>
        </is>
      </c>
      <c r="I598" s="3" t="inlineStr">
        <is>
          <t>CABINA DI CONSEGNA MT</t>
        </is>
      </c>
      <c r="J598" s="3" t="inlineStr">
        <is>
          <t>QUADRI ELETTRICI BT E UPS</t>
        </is>
      </c>
      <c r="K598" s="3" t="inlineStr">
        <is>
          <t>OPERA: GRUPPO DI CONTINUITÀ; POTENZA NOMINALE [VA] = 3300 | POTENZA ATTIVA [W] = 2300 | AUTONOMIA [MIN] = 6 | TENSIONE DI ALIMENTAZIONE [V] = 220 ÷ 240 | FREQUENZA [HZ] = 50 ÷ 60 | VARIAZIONE FREQUENZ</t>
        </is>
      </c>
      <c r="L598" s="3" t="inlineStr">
        <is>
          <t>OPERA: GRUPPO DI CONTINUITÀ; POTENZA NOMINALE [VA] = 3300 | POTENZA ATTIVA [W] = 2300 | AUTONOMIA [MIN] = 6 | TENSIONE DI ALIMENTAZIONE [V] = 220 ÷ 240 | FREQUENZA [HZ] = 50 ÷ 60 | VARIAZIONE FREQUENZA [%] = ±5 | TENSIONE IN USCITA [V] = 220 ÷ 240 | TOLLERANZA TENSIONE IN USCITA [%] = ±2 | RENDIMENTO MINIMO [%] = 89. INCLUSO: PORTA DI COMUNICAZIONE RS232, CONTATTI DI SEGNALAZIONE, ADAPTER. 
LAVORO: INSTALLAZIONE. 
SPECIFICHE TECNICHE: GESTIONE E CONTROLLO A MICROPROCESSORE, TECNOLOGIA DOPPIA CONVERSIONE PER GARANTIRE LA TENSIONE IN USCITA COMPLETAMENTE IMMUNE DALLE PERTURBAZIONI DI RETE (VFI - VOLTAGE AND FREQUENCY INDIPENDENT - ON-LINE), TEST BATTERIA AUTOMATICO E PERIODICO, FREQUENZA D'ONDA SINUSOIDALE [HZ] = 50 ÷ 60 SELEZIONABILE CON TOLLERANZA [%] = ±1,5, IN GRADO DI SOPPORTARE SOVRACCARICHI DEL 150% PER ALMENO 4 SECONDI, SISTEMA CON TEMPO D'INTERVENTO TIPICO [MS] = 0 (NO BREAK), RIDOTTA RUMOROSITÀ A 1 M [DB] &lt; 40. OP GRUPPO DI CONTINUITÀ; POTENZA NOMINALE [VA] = 3300 | POTENZA ATTIVA [W] = 2300 | AUTONOMIA [MIN] = 6 | TENSIONE DI ALIMENTAZIONE [V] = 220 ÷ 240 | FREQUENZA [HZ] = 50 ÷ 60 | VARIAZIONE FREQUENZA [%] = ±5 | TENSIONE IN USCITA [V] = 220 ÷ 240 | TOLLERANZA TENSIONE IN USCITA [%] = ±2 | RENDIMENTO MINIMO [%] = 89. INCLUSO: PORTA DI COMUNICAZIONE RS232, CONTATTI DI SEGNALAZIONE, ADAPTER. 
SPECIFICHE TECNICHE: GESTIONE E CONTROLLO A MICROPROCESSORE, TECNOLOGIA DOPPIA CONVERSIONE PER GARANTIRE LA TENSIONE IN USCITA COMPLETAMENTE IMMUNE DALLE PERTURBAZIONI DI RETE (VFI - VOLTAGE AND FREQUENCY INDIPENDENT - ON-LINE), TEST BATTERIA AUTOMATICO E PERIODICO, FREQUENZA D'ONDA SINUSOIDALE [HZ] = 50 ÷ 60 SELEZIONABILE CON TOLLERANZA [%] = ±1,5, IN GRADO DI SOPPORTARE SOVRACCARICHI DEL 150% PER ALMENO 4 SECONDI, SISTEMA CON TEMPO D'INTERVENTO TIPICO [MS] = 0 (NO BREAK), RIDOTTA RUMOROSITÀ A 1 M [DB] &lt; 40. 
RM GRUPPO DI CONTINUITÀ; POTENZA NOMINALE [VA] = 3300 | POTENZA ATTIVA [W] = 2300 | AUTONOMIA [MIN] = 6 | TENSIONE DI ALIMENTAZIONE [V] = 220 ÷ 240 | FREQUENZA [HZ] = 50 ÷ 60 | VARIAZIONE FREQUENZA [%] = ±5 | TENSIONE IN USCITA [V] = 220 ÷ 240 | TOLLERANZA TENSIONE IN USCITA [%] = ±2 | RENDIMENTO MINIMO [%] = 89 | TEMPERATURA D'ESERCIZIO [°C] = 0 ÷ 40. COMPONENTI: BATTERIA ERMETICA, SOFTWARE, DISPOSITIVO DI PROTEZIONE, PRESA IEC, PRESA IEC. INCLUSO: PORTA DI COMUNICAZIONE RS232, CONTATTI DI SEGNALAZIONE, ADAPTER 
SPECIFICHE TECNICHE: GESTIONE E CONTROLLO A MICROPROCESSORE, TECNOLOGIA DOPPIA CONVERSIONE PER GARANTIRE LA TENSIONE IN USCITA COMPLETAMENTE IMMUNE DALLE PERTURBAZIONI DI RETE (VFI - VOLTAGE AND FREQUENCY INDIPENDENT - ON-LINE), TEST BATTERIA AUTOMATICO E PERIODICO, FREQUENZA D'ONDA SINUSOIDALE [HZ] = 50 ÷ 60 SELEZIONABILE CON TOLLERANZA [%] = ±1,5, IN GRADO DI SOPPORTARE SOVRACCARICHI DEL 150% PER ALMENO 4 SECONDI, SISTEMA CON TEMPO D'INTERVENTO TIPICO [MS] = 0 (NO BREAK), RIDOTTA RUMOROSITÀ A 1 M [DB] &lt; 40 
LV INSTALLAZIONE.</t>
        </is>
      </c>
      <c r="M598" s="4" t="inlineStr">
        <is>
          <t>CAD</t>
        </is>
      </c>
      <c r="N598" s="5" t="n">
        <v>1</v>
      </c>
      <c r="O598" s="6" t="n">
        <v>1315.6</v>
      </c>
      <c r="P598" s="6" t="n">
        <v>1315.6</v>
      </c>
      <c r="Q598" s="5" t="n"/>
      <c r="R598" s="6" t="n"/>
      <c r="S598" s="6">
        <f>IF(AND(Q598&lt;&gt;"",R598&lt;&gt;""),Q598*R598,"")</f>
        <v/>
      </c>
      <c r="T598" s="6">
        <f>IF(S598="",P598,S598)</f>
        <v/>
      </c>
      <c r="U598" s="7" t="n">
        <v>0.4</v>
      </c>
      <c r="V598" s="6">
        <f>$T598*U598</f>
        <v/>
      </c>
      <c r="W598" s="7" t="n">
        <v>0.2</v>
      </c>
      <c r="X598" s="6">
        <f>$T598*W598</f>
        <v/>
      </c>
      <c r="Y598" s="7" t="n">
        <v>0</v>
      </c>
      <c r="Z598" s="6">
        <f>$T598*Y598</f>
        <v/>
      </c>
      <c r="AA598" s="7" t="n">
        <v>0</v>
      </c>
      <c r="AB598" s="6">
        <f>$T598*AA598</f>
        <v/>
      </c>
      <c r="AC598" s="7" t="n">
        <v>0</v>
      </c>
      <c r="AD598" s="6">
        <f>$T598*AC598</f>
        <v/>
      </c>
      <c r="AE598" s="7" t="n">
        <v>0</v>
      </c>
      <c r="AF598" s="6">
        <f>$T598*AE598</f>
        <v/>
      </c>
      <c r="AG598" s="7" t="n">
        <v>0</v>
      </c>
      <c r="AH598" s="6">
        <f>$T598*AG598</f>
        <v/>
      </c>
      <c r="AI598" s="7">
        <f>U598+W598+Y598+AA598+AC598+AE598+AG598</f>
        <v/>
      </c>
      <c r="AJ598" s="6">
        <f>V598+X598+Z598+AB598+AD598+AF598+AH598</f>
        <v/>
      </c>
    </row>
    <row r="599" ht="60" customHeight="1" s="35">
      <c r="A599" s="3" t="inlineStr">
        <is>
          <t>DEIELE251_115015B</t>
        </is>
      </c>
      <c r="B599" s="4" t="inlineStr">
        <is>
          <t>2/2</t>
        </is>
      </c>
      <c r="C599" s="3" t="inlineStr">
        <is>
          <t>IMPIANTO ELETTRICO</t>
        </is>
      </c>
      <c r="D599" s="4" t="inlineStr">
        <is>
          <t>SPECIALE</t>
        </is>
      </c>
      <c r="E599" s="4" t="inlineStr">
        <is>
          <t>ELETTRICHE SPECIALI</t>
        </is>
      </c>
      <c r="F599" s="3" t="inlineStr">
        <is>
          <t>3_CME IE RADIOFARMACIA PAVIA - REV02 VARIANTE ESECUTIVA.PDF</t>
        </is>
      </c>
      <c r="G599" s="4" t="inlineStr">
        <is>
          <t>7/7</t>
        </is>
      </c>
      <c r="H599" s="3" t="inlineStr">
        <is>
          <t>50 - INSTALLAZIONE</t>
        </is>
      </c>
      <c r="I599" s="3" t="inlineStr">
        <is>
          <t>CABINA DI TRASFORMAZIONE MT/BT</t>
        </is>
      </c>
      <c r="J599" s="3" t="inlineStr">
        <is>
          <t>QUADRI ELETTRICI MT</t>
        </is>
      </c>
      <c r="K599" s="3" t="inlineStr">
        <is>
          <t>SCOMPARTO MODULARE MT ARRIVO LINEA E RISALITA SBARRE CON PROTEZIONE ARCO INTERNO SUI TRE LATI IAC AFL FINO A 12,5 KA PER 1S, ADATTO AD ESSERE AMPLIATO CON ALTRE UNITÀ FUNZIONALI SU ENTRAMBI I LATI; CO</t>
        </is>
      </c>
      <c r="L599" s="3" t="inlineStr">
        <is>
          <t>SCOMPARTO MODULARE MT ARRIVO LINEA E RISALITA SBARRE CON PROTEZIONE ARCO INTERNO SUI TRE LATI IAC AFL FINO A 12,5 KA PER 1S, ADATTO AD ESSERE AMPLIATO CON ALTRE UNITÀ FUNZIONALI SU ENTRAMBI I LATI; COSTRUZIONE E COLLAUDO CONFORME SECONDO LE NORMATIVE VIGENTI; INVOLUCRO CON GRADO PROTEZIONE ESTERNO IP 3X E RESISTENZA ALL'IMPATTO MECCANICO IK 08, IN LAMIERA DI ACCIAIO ZINCATA A CALDO, VERNICIATA ALLE POLVERI EPOSSIDICHE CON STRUTTURA PORTANTE IN LAMIERA D'ACCIAIO DI SPESSORE NON INFERIORE A 20/10; COMPLETA DI BLOCCHI A CHIAVE PER APERTURA/CHIUSURA, INTERBLOCCHI MECCANICI (IN ALTERNATIVA PROCEDURA GUIDATA CON L'UTILIZZO DI APPOSITI ATTREZZI), INDICATORI PRESENZA TENSIONE CON DERIVATORI CAPACITIVI, RESISTENZA ANTICONDENSA CON POTENZA 50 W A 230 V, REGOLATA DA TERMOSTATO E PROTETTA DA INTERRUTTORE, SINOTTICO, SUPPORTI TERMINALI; LE STAFFE ANCORAGGIO CAVI E LO SCHEMA ELETTRICO; SEZIONE CAVI IN INGRESSO FINO A 300 MMQ; TENSIONE NOMINALE 24 KV, TENSIONE DI ESERCIZIO FINO 24 KV, TENSIONE DI PROVA 1 MINUTO 50 KV, TENSIONE DI TENUTA AD IMPULSO 1.2/50 MICRONS 125 KV, CORRENTE NOMINALE SBARRE ED APPARECCHIATURA 630 A - 800 A, CORRENTE DI CORTO CIRCUITO PER UN SECONDO 12,5 - 16 KA, CORRENTE NOMINALE DI PICCO 31,5 - 40 KA; TENSIONE NOMINALE DEGLI AUSILIARI ELETTRICI 230 V 50 HZ; CLASSIFICAZIONE CONTINUITÀ DI ESERCIZIO LSC1; DIMENSIONI INDICATIVE LARGHEZZA 400 MM, ALTEZZA (VANO BT ESCLUSO) 1.600 MM, PROFONDITÀ 1.000 MM: UNITÀ ARRIVO LINEA E RISALITA SBARRE 630 A - 16 KA</t>
        </is>
      </c>
      <c r="M599" s="4" t="inlineStr">
        <is>
          <t>CAD</t>
        </is>
      </c>
      <c r="N599" s="5" t="n">
        <v>1</v>
      </c>
      <c r="O599" s="6" t="n">
        <v>13708.56</v>
      </c>
      <c r="P599" s="6" t="n">
        <v>13708.56</v>
      </c>
      <c r="Q599" s="5" t="n"/>
      <c r="R599" s="6" t="n"/>
      <c r="S599" s="6">
        <f>IF(AND(Q599&lt;&gt;"",R599&lt;&gt;""),Q599*R599,"")</f>
        <v/>
      </c>
      <c r="T599" s="6">
        <f>IF(S599="",P599,S599)</f>
        <v/>
      </c>
      <c r="U599" s="7" t="n">
        <v>0.3</v>
      </c>
      <c r="V599" s="6">
        <f>$T599*U599</f>
        <v/>
      </c>
      <c r="W599" s="7" t="n">
        <v>0.3</v>
      </c>
      <c r="X599" s="6">
        <f>$T599*W599</f>
        <v/>
      </c>
      <c r="Y599" s="7" t="n">
        <v>0</v>
      </c>
      <c r="Z599" s="6">
        <f>$T599*Y599</f>
        <v/>
      </c>
      <c r="AA599" s="7" t="n">
        <v>0</v>
      </c>
      <c r="AB599" s="6">
        <f>$T599*AA599</f>
        <v/>
      </c>
      <c r="AC599" s="7" t="n">
        <v>0</v>
      </c>
      <c r="AD599" s="6">
        <f>$T599*AC599</f>
        <v/>
      </c>
      <c r="AE599" s="7" t="n">
        <v>0</v>
      </c>
      <c r="AF599" s="6">
        <f>$T599*AE599</f>
        <v/>
      </c>
      <c r="AG599" s="7" t="n">
        <v>0</v>
      </c>
      <c r="AH599" s="6">
        <f>$T599*AG599</f>
        <v/>
      </c>
      <c r="AI599" s="7">
        <f>U599+W599+Y599+AA599+AC599+AE599+AG599</f>
        <v/>
      </c>
      <c r="AJ599" s="6">
        <f>V599+X599+Z599+AB599+AD599+AF599+AH599</f>
        <v/>
      </c>
    </row>
    <row r="600" ht="60" customHeight="1" s="35">
      <c r="A600" s="3" t="inlineStr">
        <is>
          <t>DEIELE251_115028B</t>
        </is>
      </c>
      <c r="B600" s="4" t="inlineStr">
        <is>
          <t>1/1</t>
        </is>
      </c>
      <c r="C600" s="3" t="inlineStr">
        <is>
          <t>IMPIANTO ELETTRICO</t>
        </is>
      </c>
      <c r="D600" s="4" t="inlineStr">
        <is>
          <t>SPECIALE</t>
        </is>
      </c>
      <c r="E600" s="4" t="inlineStr">
        <is>
          <t>ELETTRICHE SPECIALI</t>
        </is>
      </c>
      <c r="F600" s="3" t="inlineStr">
        <is>
          <t>3_CME IE RADIOFARMACIA PAVIA - REV02 VARIANTE ESECUTIVA.PDF</t>
        </is>
      </c>
      <c r="G600" s="4" t="inlineStr">
        <is>
          <t>8/8</t>
        </is>
      </c>
      <c r="H600" s="3" t="inlineStr">
        <is>
          <t>50 - INSTALLAZIONE</t>
        </is>
      </c>
      <c r="I600" s="3" t="inlineStr">
        <is>
          <t>CABINA DI TRASFORMAZIONE MT/BT</t>
        </is>
      </c>
      <c r="J600" s="3" t="inlineStr">
        <is>
          <t>QUADRI ELETTRICI MT</t>
        </is>
      </c>
      <c r="K600" s="3" t="inlineStr">
        <is>
          <t>SCOMPARTO MODULARE MT PER MISURE TENSIONE DI SBARRA, CON SEZIONATORE E SEZIONATORE DI MESSA A TERRA IN SF6, TV, FUSIBILI MT, COSTRUZIONE E COLLAUDO CONFORMI ALLE NORME CEI EN 62271-200, CEI EN 62271-1</t>
        </is>
      </c>
      <c r="L600" s="3" t="inlineStr">
        <is>
          <t>SCOMPARTO MODULARE MT PER MISURE TENSIONE DI SBARRA, CON SEZIONATORE E SEZIONATORE DI MESSA A TERRA IN SF6, TV, FUSIBILI MT, COSTRUZIONE E COLLAUDO CONFORMI ALLE NORME CEI EN 62271-200, CEI EN 62271-100, E ALLA NORMA CEI EN 60068-3-3 PER RESISTENZA AL RISCHIO SISMICO FINO A CLASSE 2, GRADO PROTEZIONE INVOLUCRO ESTERNO IP 3X E RESISTENZA ALL'IMPATTO MECCANICO IK 08, IN LAMIERA ZINCATA A CALDO, VERNICIATA ALLE POLVERI EPOSSIDICHE CON STRUTTURA PORTANTE IN LAMIERA D'ACCIAIO DI SPESSORE NON INFERIORE A 20/10, PROTEZIONE ARCO INTERNO SUI TRE LATI IAC AFL FINO A 12,5 KA PER 1S, ADATTA AD ESSERE AMPLIATA CON ALTRE UNITÀ FUNZIONALI SU ENTRAMBI I LATI; SEZIONATORE ROTATIVO A TRE POSIZIONI (CHIUSO, APERTO E MESSO A TERRA), CON OBLÒ PER LA VISIBILITÀ DIRETTA DEL SEZIONAMENTO, ISOLATO IN SF6 DEL TIPO "SISTEMA A PRESSIONE SIGILLATO A VITA", BLOCCO A CHIAVE SUL SEZIONATORE DI MESSA A TERRA CHIAVE LIBERA IN POSIZIONE DI CHIUSO, CONTATTI AUSILIARI, CONTATTO DI SEGNALAZIONE FUSIONE FUSIBILE, TRASFORMATORI VOLTMETRICI CON ISOLAMENTO IN RESINA EPOSSIDICA E RESISTENZA ANTIFERRORISONANZA CABLATA (RAPPORTO DA DEFINIRSI), 3 FUSIBILI MT 24 KV 6,3 A, COMPLETO DI INTERBLOCCHI MECCANICI E A CHIAVE PER IMPEDIRE MANOVRE ERRATE, SINOTTICO, RESISTENZA ANTICONDENSA CON POTENZA 50 W A 230 V, REGOLATA DA TERMOSTATO E PROTETTA DA INTERRUTTORE; TENSIONE NOMINALE 24 KV , TENSIONE DI ESERCIZIO FINO A 24 KV, TENSIONE DI PROVA 1 MINUTO 50 KV, TENSIONE DI TENUTA AD IMPULSO 1.2/50 MICRONS 125 KV; CORRENTE DI CORTO CIRCUITO PER UN SECONDO 12,5 - 16 KA, CORRENTE NOMINALE DI PICCO 31,5 - 40 KA, TENSIONE NOMINALE DEGLI AUSILIARI ELETTRICI 230 V 50 HZ, CLASSIFICAZIONE CONTINUITÀ DI ESERCIZIO LSC2A PI, DIMENSIONI INDICATIVE LARGHEZZA 400 MM, ALTEZZA (VANO BT ESCLUSO) 1.600 MM, PROFONDITÀ 1.000 MM: UNITÀ MISURE DI SBARRA 3 TV CON COLLEGAMENTO FASE-TERRA, IN 630 A 16 KA</t>
        </is>
      </c>
      <c r="M600" s="4" t="inlineStr">
        <is>
          <t>CAD</t>
        </is>
      </c>
      <c r="N600" s="5" t="n">
        <v>1</v>
      </c>
      <c r="O600" s="6" t="n">
        <v>6937.29</v>
      </c>
      <c r="P600" s="6" t="n">
        <v>6937.29</v>
      </c>
      <c r="Q600" s="5" t="n"/>
      <c r="R600" s="6" t="n"/>
      <c r="S600" s="6">
        <f>IF(AND(Q600&lt;&gt;"",R600&lt;&gt;""),Q600*R600,"")</f>
        <v/>
      </c>
      <c r="T600" s="6">
        <f>IF(S600="",P600,S600)</f>
        <v/>
      </c>
      <c r="U600" s="7" t="n">
        <v>0.3</v>
      </c>
      <c r="V600" s="6">
        <f>$T600*U600</f>
        <v/>
      </c>
      <c r="W600" s="7" t="n">
        <v>0.3</v>
      </c>
      <c r="X600" s="6">
        <f>$T600*W600</f>
        <v/>
      </c>
      <c r="Y600" s="7" t="n">
        <v>0</v>
      </c>
      <c r="Z600" s="6">
        <f>$T600*Y600</f>
        <v/>
      </c>
      <c r="AA600" s="7" t="n">
        <v>0</v>
      </c>
      <c r="AB600" s="6">
        <f>$T600*AA600</f>
        <v/>
      </c>
      <c r="AC600" s="7" t="n">
        <v>0</v>
      </c>
      <c r="AD600" s="6">
        <f>$T600*AC600</f>
        <v/>
      </c>
      <c r="AE600" s="7" t="n">
        <v>0</v>
      </c>
      <c r="AF600" s="6">
        <f>$T600*AE600</f>
        <v/>
      </c>
      <c r="AG600" s="7" t="n">
        <v>0</v>
      </c>
      <c r="AH600" s="6">
        <f>$T600*AG600</f>
        <v/>
      </c>
      <c r="AI600" s="7">
        <f>U600+W600+Y600+AA600+AC600+AE600+AG600</f>
        <v/>
      </c>
      <c r="AJ600" s="6">
        <f>V600+X600+Z600+AB600+AD600+AF600+AH600</f>
        <v/>
      </c>
    </row>
    <row r="601" ht="60" customHeight="1" s="35">
      <c r="A601" s="3" t="inlineStr">
        <is>
          <t>DEIELE251_115021D</t>
        </is>
      </c>
      <c r="B601" s="4" t="inlineStr">
        <is>
          <t>2/2</t>
        </is>
      </c>
      <c r="C601" s="3" t="inlineStr">
        <is>
          <t>IMPIANTO ELETTRICO</t>
        </is>
      </c>
      <c r="D601" s="4" t="inlineStr">
        <is>
          <t>SPECIALE</t>
        </is>
      </c>
      <c r="E601" s="4" t="inlineStr">
        <is>
          <t>ELETTRICHE SPECIALI</t>
        </is>
      </c>
      <c r="F601" s="3" t="inlineStr">
        <is>
          <t>3_CME IE RADIOFARMACIA PAVIA - REV02 VARIANTE ESECUTIVA.PDF</t>
        </is>
      </c>
      <c r="G601" s="4" t="inlineStr">
        <is>
          <t>9/9</t>
        </is>
      </c>
      <c r="H601" s="3" t="inlineStr">
        <is>
          <t>50 - INSTALLAZIONE</t>
        </is>
      </c>
      <c r="I601" s="3" t="inlineStr">
        <is>
          <t>CABINA DI TRASFORMAZIONE MT/BT</t>
        </is>
      </c>
      <c r="J601" s="3" t="inlineStr">
        <is>
          <t>QUADRI ELETTRICI MT</t>
        </is>
      </c>
      <c r="K601" s="3" t="inlineStr">
        <is>
          <t>SCOMPARTO MODULARE MT PER PROTEZIONE CON INTERRUTTORE PER PARTENZA LINEA, UNITÀ FUNZIONALE DI PROTEZIONE CON INTERRUTTORE IN SF6 E SEZIONATORE DI MESSA A TERRA, TA OMOPOLARE E RELÈ DI PROTEZIONE, ALIM</t>
        </is>
      </c>
      <c r="L601" s="3" t="inlineStr">
        <is>
          <t>SCOMPARTO MODULARE MT PER PROTEZIONE CON INTERRUTTORE PER PARTENZA LINEA, UNITÀ FUNZIONALE DI PROTEZIONE CON INTERRUTTORE IN SF6 E SEZIONATORE DI MESSA A TERRA, TA OMOPOLARE E RELÈ DI PROTEZIONE, ALIMENTAZIONE IN SBARRA ED USCITA CAVI MT NELLA PARTE INFERIORE; PROTEZIONE ARCO INTERNO SUI TRE LATI IAC AFL FINO A 12,5 KA PER 1S, ADATTO AD ESSERE AMPLIATO CON ALTRE UNITÀ FUNZIONALI SU ENTRAMBI I LATI; COSTRUZIONE E COLLAUDO CONFORMI ALLE NORME CEI EN 62271-200, CEI EN 60068-3-3 PER RESISTENZA AL RISCHIO SISMICO FINO A CLASSE 2; INVOLUCRO CON GRADO PROTEZIONE ESTERNO IP 3X E RESISTENZA ALL'IMPATTO MECCANICO IK 08, IN LAMIERA DI ACCIAIO ZINCATA A CALDO, VERNICIATA ALLE POLVERI EPOSSIDICHE CON STRUTTURA PORTANTE IN LAMIERA D'ACCIAIO DI SPESSORE NON INFERIORE A 20/10; INTERRUTTORE ISOLATO IN SF6 CON POLO IN PRESSIONE DEL TIPO "SIGILLATO A VITA", CLASSIFICAZIONE INTERRUTTORE SECONDO CEI EN 62271-100 M2, E2, C2, BLOCCO CHIAVE SU INTERRUTTORE, CHIAVE LIBERA IN POSIZIONE D'APERTO, BLOCCO A CHIAVE SU SEZIONATORE DI TERRA CHIAVE LIBERA IN POSIZIONE DI CHIUSO, COMPLETA DI INTERBLOCCHI MECCANICI E A CHIAVE PER IMPEDIRE ERRATE MANOVRE, SGANCIATORE DI APERTURA A LANCIO DI CORRENTE, COMANDO MANUALE, CONTATTI AUSILIARI, CONTAMANOVRE, SEZIONATORE ROTATIVO A TRE POSIZIONI (CHIUSO, APERTO E MESSO A TERRA), CON OBLÒ PER LA VISIBILITÀ DIRETTA DEL SEZIONAMENTO, ISOLATO IN SF6 DEL TIPO "SISTEMA A PRESSIONE SIGILLATO A VITA", BLOCCHI A CHIAVE SU SEZIONATORE CHIAVE LIBERA IN POSIZIONE DI APERTO E CHIUSO, BLOCCHI A CHIAVE SU SEZIONATORE DI TERRA CHIAVE LIBERA IN POSIZIONE DI APERTO E CHIUSO, SEZIONATORE DI MESSA A TERRA A VALLE DELL'INTERRUTTORE ISOLATO IN ARIA, 3 TRASFORMATORI AMPEROMETRICI TOROIDALI MULTI-RANGE FINO A 630 A O A BARRA PASSANTE CON ISOLAMENTO IN RESINA EPOSSIDICA, 1 TRASFORMATORE AMPEROMETRICO TOROIDALE OMOPOLARE, 1 RELÈ PER PROTEZIONE E MISURA, SU APPOSITO PANNELLO B.T. FORNITO DI DISPLAY LCD GRAFICO, CON PROTEZIONI I&gt;, I&gt;&gt;, I&gt;&gt;&gt;, IO&gt;, IO&gt;&gt; E MISURA DELLE CORRENTI DI FASE I1, I2, I3 RMS, CORRENTE RESIDUA IO, VALORI MEDI E MASSIMI, MEMORIZZAZIONE DEI VALORI DELLE CORRENTI DI FASE ED OMOPOLARE PRIMA DI UN INTERVENTO SU GUASTO ELETTRICO, RELÈ DI PROTEZIONE CON FUNZIONE DI SISTEMA DI PROTEZIONE GENERALE (SPG) CONFORME NORMA CONFORME SECONDO LE NORMATIVE VIGENTI, SUPERVISIONE PROTEZIONE TRAMITE COLLEGAMENTO MODBUS; SEZIONE CAVI MT ISOLATI IN GOMMA DI SEZIONE MASSIMA 240 MMQ; INDICATORI PRESENZA TENSIONE CON DERIVATORI CAPACITIVI, SINOTTICO, RESISTENZA ANTICONDENSA CON POTENZA 50 W A 230 V, REGOLATA DA TERMOSTATO E PROTETTA DA INTERRUTTORE, CONTATTI AUSILIARI, SGANCIATORE DI APERTURA A LANCIO DI CORRENTE, CONTAMANOVRE, TENSIONE NOMINALE 24 KV, TENSIONE DI ESERCIZIO FINO A 24 KV, TENSIONE DI PROVA 1 MINUTO 50 KV, TENSIONE DI TENUTA AD IMPULSO 1.2/50 MICRONS 125 KV; CORRENTE DI CORTO CIRCUITO PER UN SECONDO 12,5 - 16 KA, CORRENTE NOMINALE DI PICCO 31,5 - 40 KA, TENSIONE NOMINALE DEGLI AUSILIARI ELETTRICI 230 V 50 HZ, CLASSIFICAZIONE CONTINUITÀ DI ESERCIZIO LSC2A PI, DIMENSIONI INDICATIVE LARGHEZZA 750 MM, ALTEZZA (VANO BT ESCLUSO) 1.600 MM, PROFONDITÀ 1.300 MM: UNITÀ INTERRUTTORE PARTENZA LINEA 630 A - 16 KA CON PROTEZIONI DI FASE E DI TERRA (FUNZIONI 50-51-51N-67N)</t>
        </is>
      </c>
      <c r="M601" s="4" t="inlineStr">
        <is>
          <t>CAD</t>
        </is>
      </c>
      <c r="N601" s="5" t="n">
        <v>1</v>
      </c>
      <c r="O601" s="6" t="n">
        <v>13708.56</v>
      </c>
      <c r="P601" s="6" t="n">
        <v>13708.56</v>
      </c>
      <c r="Q601" s="5" t="n"/>
      <c r="R601" s="6" t="n"/>
      <c r="S601" s="6">
        <f>IF(AND(Q601&lt;&gt;"",R601&lt;&gt;""),Q601*R601,"")</f>
        <v/>
      </c>
      <c r="T601" s="6">
        <f>IF(S601="",P601,S601)</f>
        <v/>
      </c>
      <c r="U601" s="7" t="n">
        <v>0.3</v>
      </c>
      <c r="V601" s="6">
        <f>$T601*U601</f>
        <v/>
      </c>
      <c r="W601" s="7" t="n">
        <v>0.3</v>
      </c>
      <c r="X601" s="6">
        <f>$T601*W601</f>
        <v/>
      </c>
      <c r="Y601" s="7" t="n">
        <v>0</v>
      </c>
      <c r="Z601" s="6">
        <f>$T601*Y601</f>
        <v/>
      </c>
      <c r="AA601" s="7" t="n">
        <v>0</v>
      </c>
      <c r="AB601" s="6">
        <f>$T601*AA601</f>
        <v/>
      </c>
      <c r="AC601" s="7" t="n">
        <v>0</v>
      </c>
      <c r="AD601" s="6">
        <f>$T601*AC601</f>
        <v/>
      </c>
      <c r="AE601" s="7" t="n">
        <v>0</v>
      </c>
      <c r="AF601" s="6">
        <f>$T601*AE601</f>
        <v/>
      </c>
      <c r="AG601" s="7" t="n">
        <v>0</v>
      </c>
      <c r="AH601" s="6">
        <f>$T601*AG601</f>
        <v/>
      </c>
      <c r="AI601" s="7">
        <f>U601+W601+Y601+AA601+AC601+AE601+AG601</f>
        <v/>
      </c>
      <c r="AJ601" s="6">
        <f>V601+X601+Z601+AB601+AD601+AF601+AH601</f>
        <v/>
      </c>
    </row>
    <row r="602" ht="54" customHeight="1" s="35">
      <c r="A602" s="3" t="inlineStr">
        <is>
          <t>DEIELE251_115004I</t>
        </is>
      </c>
      <c r="B602" s="4" t="inlineStr">
        <is>
          <t>1/1</t>
        </is>
      </c>
      <c r="C602" s="3" t="inlineStr">
        <is>
          <t>IMPIANTO ELETTRICO</t>
        </is>
      </c>
      <c r="D602" s="4" t="inlineStr">
        <is>
          <t>SPECIALE</t>
        </is>
      </c>
      <c r="E602" s="4" t="inlineStr">
        <is>
          <t>ELETTRICHE SPECIALI</t>
        </is>
      </c>
      <c r="F602" s="3" t="inlineStr">
        <is>
          <t>3_CME IE RADIOFARMACIA PAVIA - REV02 VARIANTE ESECUTIVA.PDF</t>
        </is>
      </c>
      <c r="G602" s="4" t="inlineStr">
        <is>
          <t>10/10</t>
        </is>
      </c>
      <c r="H602" s="3" t="inlineStr">
        <is>
          <t>50 - INSTALLAZIONE</t>
        </is>
      </c>
      <c r="I602" s="3" t="inlineStr">
        <is>
          <t>CABINA DI TRASFORMAZIONE MT/BT</t>
        </is>
      </c>
      <c r="J602" s="3" t="inlineStr">
        <is>
          <t>QUADRI ELETTRICI MT</t>
        </is>
      </c>
      <c r="K602" s="3" t="inlineStr">
        <is>
          <t>TRASFORMATORE TRIFASE IN RESINA, CLASSE F TENSIONE SECONDARIA 400/230 V, MORSETTI DI REGOLAZIONE ± 2 X 2,5%, ESECUZIONE CONFORME SECONDO LE NORMATIVE VIGENTI: TENSIONE PRIMARIA 17.5 KV: POTENZA 630 KV</t>
        </is>
      </c>
      <c r="L602" s="3" t="inlineStr">
        <is>
          <t>TRASFORMATORE TRIFASE IN RESINA, CLASSE F TENSIONE SECONDARIA 400/230 V, MORSETTI DI REGOLAZIONE ± 2 X 2,5%, ESECUZIONE CONFORME SECONDO LE NORMATIVE VIGENTI: TENSIONE PRIMARIA 17.5 KV: POTENZA 630 KVA</t>
        </is>
      </c>
      <c r="M602" s="4" t="inlineStr">
        <is>
          <t>CAD</t>
        </is>
      </c>
      <c r="N602" s="5" t="n">
        <v>1</v>
      </c>
      <c r="O602" s="6" t="n">
        <v>20159.65</v>
      </c>
      <c r="P602" s="6" t="n">
        <v>20159.65</v>
      </c>
      <c r="Q602" s="5" t="n"/>
      <c r="R602" s="6" t="n"/>
      <c r="S602" s="6">
        <f>IF(AND(Q602&lt;&gt;"",R602&lt;&gt;""),Q602*R602,"")</f>
        <v/>
      </c>
      <c r="T602" s="6">
        <f>IF(S602="",P602,S602)</f>
        <v/>
      </c>
      <c r="U602" s="7" t="n">
        <v>0.6</v>
      </c>
      <c r="V602" s="6">
        <f>$T602*U602</f>
        <v/>
      </c>
      <c r="W602" s="7" t="n">
        <v>0</v>
      </c>
      <c r="X602" s="6">
        <f>$T602*W602</f>
        <v/>
      </c>
      <c r="Y602" s="7" t="n">
        <v>0</v>
      </c>
      <c r="Z602" s="6">
        <f>$T602*Y602</f>
        <v/>
      </c>
      <c r="AA602" s="7" t="n">
        <v>0</v>
      </c>
      <c r="AB602" s="6">
        <f>$T602*AA602</f>
        <v/>
      </c>
      <c r="AC602" s="7" t="n">
        <v>0</v>
      </c>
      <c r="AD602" s="6">
        <f>$T602*AC602</f>
        <v/>
      </c>
      <c r="AE602" s="7" t="n">
        <v>0</v>
      </c>
      <c r="AF602" s="6">
        <f>$T602*AE602</f>
        <v/>
      </c>
      <c r="AG602" s="7" t="n">
        <v>0</v>
      </c>
      <c r="AH602" s="6">
        <f>$T602*AG602</f>
        <v/>
      </c>
      <c r="AI602" s="7">
        <f>U602+W602+Y602+AA602+AC602+AE602+AG602</f>
        <v/>
      </c>
      <c r="AJ602" s="6">
        <f>V602+X602+Z602+AB602+AD602+AF602+AH602</f>
        <v/>
      </c>
    </row>
    <row r="603" ht="30" customHeight="1" s="35">
      <c r="A603" s="3" t="inlineStr">
        <is>
          <t>DEIELE251_115006D</t>
        </is>
      </c>
      <c r="B603" s="4" t="inlineStr">
        <is>
          <t>1/1</t>
        </is>
      </c>
      <c r="C603" s="3" t="inlineStr">
        <is>
          <t>IMPIANTO ELETTRICO</t>
        </is>
      </c>
      <c r="D603" s="4" t="inlineStr">
        <is>
          <t>SPECIALE</t>
        </is>
      </c>
      <c r="E603" s="4" t="inlineStr">
        <is>
          <t>ELETTRICHE SPECIALI</t>
        </is>
      </c>
      <c r="F603" s="3" t="inlineStr">
        <is>
          <t>3_CME IE RADIOFARMACIA PAVIA - REV02 VARIANTE ESECUTIVA.PDF</t>
        </is>
      </c>
      <c r="G603" s="4" t="inlineStr">
        <is>
          <t>11/11</t>
        </is>
      </c>
      <c r="H603" s="3" t="inlineStr">
        <is>
          <t>50 - INSTALLAZIONE</t>
        </is>
      </c>
      <c r="I603" s="3" t="inlineStr">
        <is>
          <t>CABINA DI TRASFORMAZIONE MT/BT</t>
        </is>
      </c>
      <c r="J603" s="3" t="inlineStr">
        <is>
          <t>QUADRI ELETTRICI MT</t>
        </is>
      </c>
      <c r="K603" s="3" t="inlineStr">
        <is>
          <t>ACCESSORI PER TRASFORMATORI: CENTRALINA TERMOMETRICA DIGITALE CON ESCLUSIONE DELLE RESISTENZE</t>
        </is>
      </c>
      <c r="L603" s="3" t="inlineStr">
        <is>
          <t>ACCESSORI PER TRASFORMATORI: CENTRALINA TERMOMETRICA DIGITALE CON ESCLUSIONE DELLE RESISTENZE</t>
        </is>
      </c>
      <c r="M603" s="4" t="inlineStr">
        <is>
          <t>CAD</t>
        </is>
      </c>
      <c r="N603" s="5" t="n">
        <v>1</v>
      </c>
      <c r="O603" s="6" t="n">
        <v>219.38</v>
      </c>
      <c r="P603" s="6" t="n">
        <v>219.38</v>
      </c>
      <c r="Q603" s="5" t="n"/>
      <c r="R603" s="6" t="n"/>
      <c r="S603" s="6">
        <f>IF(AND(Q603&lt;&gt;"",R603&lt;&gt;""),Q603*R603,"")</f>
        <v/>
      </c>
      <c r="T603" s="6">
        <f>IF(S603="",P603,S603)</f>
        <v/>
      </c>
      <c r="U603" s="7" t="n">
        <v>0.6</v>
      </c>
      <c r="V603" s="6">
        <f>$T603*U603</f>
        <v/>
      </c>
      <c r="W603" s="7" t="n">
        <v>0</v>
      </c>
      <c r="X603" s="6">
        <f>$T603*W603</f>
        <v/>
      </c>
      <c r="Y603" s="7" t="n">
        <v>0</v>
      </c>
      <c r="Z603" s="6">
        <f>$T603*Y603</f>
        <v/>
      </c>
      <c r="AA603" s="7" t="n">
        <v>0</v>
      </c>
      <c r="AB603" s="6">
        <f>$T603*AA603</f>
        <v/>
      </c>
      <c r="AC603" s="7" t="n">
        <v>0</v>
      </c>
      <c r="AD603" s="6">
        <f>$T603*AC603</f>
        <v/>
      </c>
      <c r="AE603" s="7" t="n">
        <v>0</v>
      </c>
      <c r="AF603" s="6">
        <f>$T603*AE603</f>
        <v/>
      </c>
      <c r="AG603" s="7" t="n">
        <v>0</v>
      </c>
      <c r="AH603" s="6">
        <f>$T603*AG603</f>
        <v/>
      </c>
      <c r="AI603" s="7">
        <f>U603+W603+Y603+AA603+AC603+AE603+AG603</f>
        <v/>
      </c>
      <c r="AJ603" s="6">
        <f>V603+X603+Z603+AB603+AD603+AF603+AH603</f>
        <v/>
      </c>
    </row>
    <row r="604" ht="30" customHeight="1" s="35">
      <c r="A604" s="3" t="inlineStr">
        <is>
          <t>DEIELE251_115006E</t>
        </is>
      </c>
      <c r="B604" s="4" t="inlineStr">
        <is>
          <t>1/1</t>
        </is>
      </c>
      <c r="C604" s="3" t="inlineStr">
        <is>
          <t>IMPIANTO ELETTRICO</t>
        </is>
      </c>
      <c r="D604" s="4" t="inlineStr">
        <is>
          <t>SPECIALE</t>
        </is>
      </c>
      <c r="E604" s="4" t="inlineStr">
        <is>
          <t>ELETTRICHE SPECIALI</t>
        </is>
      </c>
      <c r="F604" s="3" t="inlineStr">
        <is>
          <t>3_CME IE RADIOFARMACIA PAVIA - REV02 VARIANTE ESECUTIVA.PDF</t>
        </is>
      </c>
      <c r="G604" s="4" t="inlineStr">
        <is>
          <t>12/12</t>
        </is>
      </c>
      <c r="H604" s="3" t="inlineStr">
        <is>
          <t>50 - INSTALLAZIONE</t>
        </is>
      </c>
      <c r="I604" s="3" t="inlineStr">
        <is>
          <t>CABINA DI TRASFORMAZIONE MT/BT</t>
        </is>
      </c>
      <c r="J604" s="3" t="inlineStr">
        <is>
          <t>QUADRI ELETTRICI MT</t>
        </is>
      </c>
      <c r="K604" s="3" t="inlineStr">
        <is>
          <t>ACCESSORI PER TRASFORMATORI: TERNA DI TERMORESISTENZE DA 100 OHM</t>
        </is>
      </c>
      <c r="L604" s="3" t="inlineStr">
        <is>
          <t>ACCESSORI PER TRASFORMATORI: TERNA DI TERMORESISTENZE DA 100 OHM</t>
        </is>
      </c>
      <c r="M604" s="4" t="inlineStr">
        <is>
          <t>CAD</t>
        </is>
      </c>
      <c r="N604" s="5" t="n">
        <v>1</v>
      </c>
      <c r="O604" s="6" t="n">
        <v>278.68</v>
      </c>
      <c r="P604" s="6" t="n">
        <v>278.68</v>
      </c>
      <c r="Q604" s="5" t="n"/>
      <c r="R604" s="6" t="n"/>
      <c r="S604" s="6">
        <f>IF(AND(Q604&lt;&gt;"",R604&lt;&gt;""),Q604*R604,"")</f>
        <v/>
      </c>
      <c r="T604" s="17">
        <f>IF(S604="",P604,S604)</f>
        <v/>
      </c>
      <c r="U604" s="7" t="n">
        <v>0.6</v>
      </c>
      <c r="V604" s="6">
        <f>$T604*U604</f>
        <v/>
      </c>
      <c r="W604" s="7" t="n">
        <v>0</v>
      </c>
      <c r="X604" s="6">
        <f>$T604*W604</f>
        <v/>
      </c>
      <c r="Y604" s="7" t="n">
        <v>0</v>
      </c>
      <c r="Z604" s="6">
        <f>$T604*Y604</f>
        <v/>
      </c>
      <c r="AA604" s="7" t="n">
        <v>0</v>
      </c>
      <c r="AB604" s="6">
        <f>$T604*AA604</f>
        <v/>
      </c>
      <c r="AC604" s="7" t="n">
        <v>0</v>
      </c>
      <c r="AD604" s="6">
        <f>$T604*AC604</f>
        <v/>
      </c>
      <c r="AE604" s="7" t="n">
        <v>0</v>
      </c>
      <c r="AF604" s="6">
        <f>$T604*AE604</f>
        <v/>
      </c>
      <c r="AG604" s="7" t="n">
        <v>0</v>
      </c>
      <c r="AH604" s="6">
        <f>$T604*AG604</f>
        <v/>
      </c>
      <c r="AI604" s="7">
        <f>U604+W604+Y604+AA604+AC604+AE604+AG604</f>
        <v/>
      </c>
      <c r="AJ604" s="6">
        <f>V604+X604+Z604+AB604+AD604+AF604+AH604</f>
        <v/>
      </c>
    </row>
    <row r="605" ht="60" customHeight="1" s="35">
      <c r="A605" s="3" t="inlineStr">
        <is>
          <t>IE_NP_BOXTRAFO</t>
        </is>
      </c>
      <c r="B605" s="4" t="inlineStr">
        <is>
          <t>1/1</t>
        </is>
      </c>
      <c r="C605" s="3" t="inlineStr">
        <is>
          <t>IMPIANTO ELETTRICO</t>
        </is>
      </c>
      <c r="D605" s="4" t="inlineStr">
        <is>
          <t>SPECIALE</t>
        </is>
      </c>
      <c r="E605" s="4" t="inlineStr">
        <is>
          <t>ELETTRICHE SPECIALI</t>
        </is>
      </c>
      <c r="F605" s="3" t="inlineStr">
        <is>
          <t>3_CME IE RADIOFARMACIA PAVIA - REV02 VARIANTE ESECUTIVA.PDF</t>
        </is>
      </c>
      <c r="G605" s="4" t="inlineStr">
        <is>
          <t>13/13</t>
        </is>
      </c>
      <c r="H605" s="3" t="inlineStr">
        <is>
          <t>50 - INSTALLAZIONE</t>
        </is>
      </c>
      <c r="I605" s="3" t="inlineStr">
        <is>
          <t>CABINA DI TRASFORMAZIONE MT/BT</t>
        </is>
      </c>
      <c r="J605" s="3" t="inlineStr">
        <is>
          <t>QUADRI ELETTRICI MT</t>
        </is>
      </c>
      <c r="K605" s="3" t="inlineStr">
        <is>
          <t>FORNITURA E POSA IN OPERA DI INVOLUCRO DI CONTENIMENTO PER TRASFORMATORE MT/BT 15 KV, GRADO DI PROTEZIONE IP23, COSTITUITO DA PROFILATI IN ACCIAIO E LAMIERE LUCIDE VERNICIATE DOPO OPPORTUNO TRATTAMENT</t>
        </is>
      </c>
      <c r="L605" s="3" t="inlineStr">
        <is>
          <t>FORNITURA E POSA IN OPERA DI INVOLUCRO DI CONTENIMENTO PER TRASFORMATORE MT/BT 15 KV, GRADO DI PROTEZIONE IP23, COSTITUITO DA PROFILATI IN ACCIAIO E LAMIERE LUCIDE VERNICIATE DOPO OPPORTUNO TRATTAMENTO ANTIRUGGINE, PER TRASFORMATORI DELLE SEGUENTI TAGLIE: - DA 315 KVA A 1250 KVA</t>
        </is>
      </c>
      <c r="M605" s="4" t="inlineStr">
        <is>
          <t>A CORPO</t>
        </is>
      </c>
      <c r="N605" s="5" t="n">
        <v>1</v>
      </c>
      <c r="O605" s="6" t="n">
        <v>2383.58</v>
      </c>
      <c r="P605" s="6" t="n">
        <v>2383.58</v>
      </c>
      <c r="Q605" s="5" t="n"/>
      <c r="R605" s="6" t="n"/>
      <c r="S605" s="6">
        <f>IF(AND(Q605&lt;&gt;"",R605&lt;&gt;""),Q605*R605,"")</f>
        <v/>
      </c>
      <c r="T605" s="6">
        <f>IF(S605="",P605,S605)</f>
        <v/>
      </c>
      <c r="U605" s="7" t="n">
        <v>0.6</v>
      </c>
      <c r="V605" s="6">
        <f>$T605*U605</f>
        <v/>
      </c>
      <c r="W605" s="7" t="n">
        <v>0</v>
      </c>
      <c r="X605" s="6">
        <f>$T605*W605</f>
        <v/>
      </c>
      <c r="Y605" s="7" t="n">
        <v>0</v>
      </c>
      <c r="Z605" s="6">
        <f>$T605*Y605</f>
        <v/>
      </c>
      <c r="AA605" s="7" t="n">
        <v>0</v>
      </c>
      <c r="AB605" s="6">
        <f>$T605*AA605</f>
        <v/>
      </c>
      <c r="AC605" s="7" t="n">
        <v>0</v>
      </c>
      <c r="AD605" s="6">
        <f>$T605*AC605</f>
        <v/>
      </c>
      <c r="AE605" s="7" t="n">
        <v>0</v>
      </c>
      <c r="AF605" s="6">
        <f>$T605*AE605</f>
        <v/>
      </c>
      <c r="AG605" s="7" t="n">
        <v>0</v>
      </c>
      <c r="AH605" s="6">
        <f>$T605*AG605</f>
        <v/>
      </c>
      <c r="AI605" s="7">
        <f>U605+W605+Y605+AA605+AC605+AE605+AG605</f>
        <v/>
      </c>
      <c r="AJ605" s="6">
        <f>V605+X605+Z605+AB605+AD605+AF605+AH605</f>
        <v/>
      </c>
    </row>
    <row r="606" ht="60" customHeight="1" s="35">
      <c r="A606" s="3" t="inlineStr">
        <is>
          <t>IE_NP_QGBT</t>
        </is>
      </c>
      <c r="B606" s="4" t="inlineStr">
        <is>
          <t>1/1</t>
        </is>
      </c>
      <c r="C606" s="3" t="inlineStr">
        <is>
          <t>IMPIANTO ELETTRICO</t>
        </is>
      </c>
      <c r="D606" s="4" t="inlineStr">
        <is>
          <t>SPECIALE</t>
        </is>
      </c>
      <c r="E606" s="4" t="inlineStr">
        <is>
          <t>ELETTRICHE SPECIALI</t>
        </is>
      </c>
      <c r="F606" s="3" t="inlineStr">
        <is>
          <t>3_CME IE RADIOFARMACIA PAVIA - REV02 VARIANTE ESECUTIVA.PDF</t>
        </is>
      </c>
      <c r="G606" s="4" t="inlineStr">
        <is>
          <t>19/19</t>
        </is>
      </c>
      <c r="H606" s="3" t="inlineStr">
        <is>
          <t>50 - INSTALLAZIONE</t>
        </is>
      </c>
      <c r="I606" s="3" t="inlineStr">
        <is>
          <t>CABINA BT</t>
        </is>
      </c>
      <c r="J606" s="3" t="inlineStr">
        <is>
          <t>QUADRI ELETTRICI BT E UPS</t>
        </is>
      </c>
      <c r="K606" s="3" t="inlineStr">
        <is>
          <t>FORNITURA E POSA IN OPERA DI QUADRO ELETTRICO GENERALE DI BASSA TENSIONE QGBT COSTITUITO DA ARMADIO METALLICO DA PAVIMENTO, CON GRADO DI PROTEZIONE IP42 (SECONDO IEC 60529), COLORE RAL 7035,  STRUTTUR</t>
        </is>
      </c>
      <c r="L606" s="3" t="inlineStr">
        <is>
          <t>FORNITURA E POSA IN OPERA DI QUADRO ELETTRICO GENERALE DI BASSA TENSIONE QGBT COSTITUITO DA ARMADIO METALLICO DA PAVIMENTO, CON GRADO DI PROTEZIONE IP42 (SECONDO IEC 60529), COLORE RAL 7035,  STRUTTURA MONOBLOCCO AUTOESTINGUENTE (CLASSIFICAZIONE HB40) CON PORTA TRASPARENTE E CONTROPORTA; TENUTA AGLI IMPATTI MECCANICI FINO A IK10 (SECONDO IEC 62262); STABILE AI RAGGI ULTRAVIOLETTI (TENUTA A +150°C); NON CONTIENE ALOGENI. L'OPERA S'INTENDE COMPRENSIVA DI CANALI PORTA CAVI PER CABLAGGIO, MORSETTERIA CON MORSETTI DI VARIA SEZIONE, CORREDATA DI SUPPORTO, SEPARATORI, NUMERI DI IDENTIFICAZIONE, ACCESSORI DI IDENTIFICAZIONE DEI CONDUTTORI INTERNI E DEI CIRCUITI , MONTAGGIO E CABLAGGIO APPARECCHIATURE MODBUS-KNX-CENTRALINE DI REGOLAZIONE, SBARRA DI TERRA, SISTEMA DI SBARRE IN RAME NUDO DI ADEGUATA SEZIONE CORREDATO DI RELATIVI SUPPORTI INFERIORI ED INTERMEDI, CONDUTTORI DI CABLAGGIO TIPO FS17 E DI OGNI ONERE ANNESSO E CONNESSO PER RENDERLA PERFETTAMENTE FUNZIONANTE E REALIZZATA IN CONFORMITÀ ALLA NORMA CEI EN 61439-1 E CEI EN 61439-2. AL TERMINE DEI LAVORI L'INSTALLATORE DOVRÀ RILASCIARE DICHIARAZIONE DI CONFORMITÀ DEL QUADRO ELETTRICO ALLA NORMA CEI EN 61439-1 E CEI EN 61439-2 COMPLETA DI TUTTI I SUOI ALLEGATI OBBLIGATORI. SARÀ INOLTRE FORNITO IL CALCOLO DELLE SOVRATEMPERATURE. IL QUADRO CONTERRÀ MONTATE E CABLATE LE APPARECCHIATURE COME RIPORTATO SULLO SCHEMA ELETTRICO ALLEGATO.</t>
        </is>
      </c>
      <c r="M606" s="4" t="inlineStr">
        <is>
          <t>A CORPO</t>
        </is>
      </c>
      <c r="N606" s="5" t="n">
        <v>1</v>
      </c>
      <c r="O606" s="6" t="n">
        <v>35220.09</v>
      </c>
      <c r="P606" s="6" t="n">
        <v>35220.09</v>
      </c>
      <c r="Q606" s="5" t="n"/>
      <c r="R606" s="6" t="n"/>
      <c r="S606" s="6">
        <f>IF(AND(Q606&lt;&gt;"",R606&lt;&gt;""),Q606*R606,"")</f>
        <v/>
      </c>
      <c r="T606" s="6">
        <f>IF(S606="",P606,S606)</f>
        <v/>
      </c>
      <c r="U606" s="7" t="n">
        <v>0.5</v>
      </c>
      <c r="V606" s="6">
        <f>$T606*U606</f>
        <v/>
      </c>
      <c r="W606" s="7" t="n">
        <v>0.1</v>
      </c>
      <c r="X606" s="6">
        <f>$T606*W606</f>
        <v/>
      </c>
      <c r="Y606" s="7" t="n">
        <v>0</v>
      </c>
      <c r="Z606" s="6">
        <f>$T606*Y606</f>
        <v/>
      </c>
      <c r="AA606" s="7" t="n">
        <v>0</v>
      </c>
      <c r="AB606" s="6">
        <f>$T606*AA606</f>
        <v/>
      </c>
      <c r="AC606" s="7" t="n">
        <v>0</v>
      </c>
      <c r="AD606" s="6">
        <f>$T606*AC606</f>
        <v/>
      </c>
      <c r="AE606" s="7" t="n">
        <v>0</v>
      </c>
      <c r="AF606" s="6">
        <f>$T606*AE606</f>
        <v/>
      </c>
      <c r="AG606" s="7" t="n">
        <v>0</v>
      </c>
      <c r="AH606" s="6">
        <f>$T606*AG606</f>
        <v/>
      </c>
      <c r="AI606" s="7">
        <f>U606+W606+Y606+AA606+AC606+AE606+AG606</f>
        <v/>
      </c>
      <c r="AJ606" s="6">
        <f>V606+X606+Z606+AB606+AD606+AF606+AH606</f>
        <v/>
      </c>
    </row>
    <row r="607" ht="60" customHeight="1" s="35">
      <c r="A607" s="3" t="inlineStr">
        <is>
          <t>LOM252.OC.EEA.PA01.G6010.ZA001.0300</t>
        </is>
      </c>
      <c r="B607" s="4" t="inlineStr">
        <is>
          <t>2/2</t>
        </is>
      </c>
      <c r="C607" s="3" t="inlineStr">
        <is>
          <t>IMPIANTO ELETTRICO</t>
        </is>
      </c>
      <c r="D607" s="4" t="inlineStr">
        <is>
          <t>SPECIALE</t>
        </is>
      </c>
      <c r="E607" s="4" t="inlineStr">
        <is>
          <t>ELETTRICHE SPECIALI</t>
        </is>
      </c>
      <c r="F607" s="3" t="inlineStr">
        <is>
          <t>3_CME IE RADIOFARMACIA PAVIA - REV02 VARIANTE ESECUTIVA.PDF</t>
        </is>
      </c>
      <c r="G607" s="4" t="inlineStr">
        <is>
          <t>20/20</t>
        </is>
      </c>
      <c r="H607" s="3" t="inlineStr">
        <is>
          <t>50 - INSTALLAZIONE</t>
        </is>
      </c>
      <c r="I607" s="3" t="inlineStr">
        <is>
          <t>CABINA BT</t>
        </is>
      </c>
      <c r="J607" s="3" t="inlineStr">
        <is>
          <t>QUADRI ELETTRICI BT E UPS</t>
        </is>
      </c>
      <c r="K607" s="3" t="inlineStr">
        <is>
          <t>OPERA: GRUPPO DI CONTINUITÀ; POTENZA NOMINALE [VA] = 3300 | POTENZA ATTIVA [W] = 2300 | AUTONOMIA [MIN] = 6 | TENSIONE DI ALIMENTAZIONE [V] = 220 ÷ 240 | FREQUENZA [HZ] = 50 ÷ 60 | VARIAZIONE FREQUENZ</t>
        </is>
      </c>
      <c r="L607" s="3" t="inlineStr">
        <is>
          <t>OPERA: GRUPPO DI CONTINUITÀ; POTENZA NOMINALE [VA] = 3300 | POTENZA ATTIVA [W] = 2300 | AUTONOMIA [MIN] = 6 | TENSIONE DI ALIMENTAZIONE [V] = 220 ÷ 240 | FREQUENZA [HZ] = 50 ÷ 60 | VARIAZIONE FREQUENZA [%] = ±5 | TENSIONE IN USCITA [V] = 220 ÷ 240 | TOLLERANZA TENSIONE IN USCITA [%] = ±2 | RENDIMENTO MINIMO [%] = 89. INCLUSO: PORTA DI COMUNICAZIONE RS232, CONTATTI DI SEGNALAZIONE, ADAPTER. 
LAVORO: INSTALLAZIONE. 
SPECIFICHE TECNICHE: GESTIONE E CONTROLLO A MICROPROCESSORE, TECNOLOGIA DOPPIA CONVERSIONE PER GARANTIRE LA TENSIONE IN USCITA COMPLETAMENTE IMMUNE DALLE PERTURBAZIONI DI RETE (VFI - VOLTAGE AND FREQUENCY INDIPENDENT - ON-LINE), TEST BATTERIA AUTOMATICO E PERIODICO, FREQUENZA D'ONDA SINUSOIDALE [HZ] = 50 ÷ 60 SELEZIONABILE CON TOLLERANZA [%] = ±1,5, IN GRADO DI SOPPORTARE SOVRACCARICHI DEL 150% PER ALMENO 4 SECONDI, SISTEMA CON TEMPO D'INTERVENTO TIPICO [MS] = 0 (NO BREAK), RIDOTTA RUMOROSITÀ A 1 M [DB] &lt; 40. OP GRUPPO DI CONTINUITÀ; POTENZA NOMINALE [VA] = 3300 | POTENZA ATTIVA [W] = 2300 | AUTONOMIA [MIN] = 6 | TENSIONE DI ALIMENTAZIONE [V] = 220 ÷ 240 | FREQUENZA [HZ] = 50 ÷ 60 | VARIAZIONE FREQUENZA [%] = ±5 | TENSIONE IN USCITA [V] = 220 ÷ 240 | TOLLERANZA TENSIONE IN USCITA [%] = ±2 | RENDIMENTO MINIMO [%] = 89. INCLUSO: PORTA DI COMUNICAZIONE RS232, CONTATTI DI SEGNALAZIONE, ADAPTER. 
SPECIFICHE TECNICHE: GESTIONE E CONTROLLO A MICROPROCESSORE, TECNOLOGIA DOPPIA CONVERSIONE PER GARANTIRE LA TENSIONE IN USCITA COMPLETAMENTE IMMUNE DALLE PERTURBAZIONI DI RETE (VFI - VOLTAGE AND FREQUENCY INDIPENDENT - ON-LINE), TEST BATTERIA AUTOMATICO E PERIODICO, FREQUENZA D'ONDA SINUSOIDALE [HZ] = 50 ÷ 60 SELEZIONABILE CON TOLLERANZA [%] = ±1,5, IN GRADO DI SOPPORTARE SOVRACCARICHI DEL 150% PER ALMENO 4 SECONDI, SISTEMA CON TEMPO D'INTERVENTO TIPICO [MS] = 0 (NO BREAK), RIDOTTA RUMOROSITÀ A 1 M [DB] &lt; 40. 
RM GRUPPO DI CONTINUITÀ; POTENZA NOMINALE [VA] = 3300 | POTENZA ATTIVA [W] = 2300 | AUTONOMIA [MIN] = 6 | TENSIONE DI ALIMENTAZIONE [V] = 220 ÷ 240 | FREQUENZA [HZ] = 50 ÷ 60 | VARIAZIONE FREQUENZA [%] = ±5 | TENSIONE IN USCITA [V] = 220 ÷ 240 | TOLLERANZA TENSIONE IN USCITA [%] = ±2 | RENDIMENTO MINIMO [%] = 89 | TEMPERATURA D'ESERCIZIO [°C] = 0 ÷ 40. COMPONENTI: BATTERIA ERMETICA, SOFTWARE, DISPOSITIVO DI PROTEZIONE, PRESA IEC, PRESA IEC. INCLUSO: PORTA DI COMUNICAZIONE RS232, CONTATTI DI SEGNALAZIONE, ADAPTER 
SPECIFICHE TECNICHE: GESTIONE E CONTROLLO A MICROPROCESSORE, TECNOLOGIA DOPPIA CONVERSIONE PER GARANTIRE LA TENSIONE IN USCITA COMPLETAMENTE IMMUNE DALLE PERTURBAZIONI DI RETE (VFI - VOLTAGE AND FREQUENCY INDIPENDENT - ON-LINE), TEST BATTERIA AUTOMATICO E PERIODICO, FREQUENZA D'ONDA SINUSOIDALE [HZ] = 50 ÷ 60 SELEZIONABILE CON TOLLERANZA [%] = ±1,5, IN GRADO DI SOPPORTARE SOVRACCARICHI DEL 150% PER ALMENO 4 SECONDI, SISTEMA CON TEMPO D'INTERVENTO TIPICO [MS] = 0 (NO BREAK), RIDOTTA RUMOROSITÀ A 1 M [DB] &lt; 40 
LV INSTALLAZIONE.</t>
        </is>
      </c>
      <c r="M607" s="4" t="inlineStr">
        <is>
          <t>CAD</t>
        </is>
      </c>
      <c r="N607" s="5" t="n">
        <v>1</v>
      </c>
      <c r="O607" s="6" t="n">
        <v>1233.3</v>
      </c>
      <c r="P607" s="6" t="n">
        <v>1233.3</v>
      </c>
      <c r="Q607" s="5" t="n"/>
      <c r="R607" s="6" t="n"/>
      <c r="S607" s="6">
        <f>IF(AND(Q607&lt;&gt;"",R607&lt;&gt;""),Q607*R607,"")</f>
        <v/>
      </c>
      <c r="T607" s="6">
        <f>IF(S607="",P607,S607)</f>
        <v/>
      </c>
      <c r="U607" s="7" t="n">
        <v>0.5</v>
      </c>
      <c r="V607" s="6">
        <f>$T607*U607</f>
        <v/>
      </c>
      <c r="W607" s="7" t="n">
        <v>0.1</v>
      </c>
      <c r="X607" s="6">
        <f>$T607*W607</f>
        <v/>
      </c>
      <c r="Y607" s="7" t="n">
        <v>0</v>
      </c>
      <c r="Z607" s="6">
        <f>$T607*Y607</f>
        <v/>
      </c>
      <c r="AA607" s="7" t="n">
        <v>0</v>
      </c>
      <c r="AB607" s="6">
        <f>$T607*AA607</f>
        <v/>
      </c>
      <c r="AC607" s="7" t="n">
        <v>0</v>
      </c>
      <c r="AD607" s="6">
        <f>$T607*AC607</f>
        <v/>
      </c>
      <c r="AE607" s="7" t="n">
        <v>0</v>
      </c>
      <c r="AF607" s="6">
        <f>$T607*AE607</f>
        <v/>
      </c>
      <c r="AG607" s="7" t="n">
        <v>0</v>
      </c>
      <c r="AH607" s="6">
        <f>$T607*AG607</f>
        <v/>
      </c>
      <c r="AI607" s="7">
        <f>U607+W607+Y607+AA607+AC607+AE607+AG607</f>
        <v/>
      </c>
      <c r="AJ607" s="6">
        <f>V607+X607+Z607+AB607+AD607+AF607+AH607</f>
        <v/>
      </c>
    </row>
    <row r="608" ht="60" customHeight="1" s="35">
      <c r="A608" s="3" t="inlineStr">
        <is>
          <t>IE_NP_UPS</t>
        </is>
      </c>
      <c r="B608" s="4" t="inlineStr">
        <is>
          <t>1/1</t>
        </is>
      </c>
      <c r="C608" s="3" t="inlineStr">
        <is>
          <t>IMPIANTO ELETTRICO</t>
        </is>
      </c>
      <c r="D608" s="4" t="inlineStr">
        <is>
          <t>SPECIALE</t>
        </is>
      </c>
      <c r="E608" s="4" t="inlineStr">
        <is>
          <t>ELETTRICHE SPECIALI</t>
        </is>
      </c>
      <c r="F608" s="3" t="inlineStr">
        <is>
          <t>3_CME IE RADIOFARMACIA PAVIA - REV02 VARIANTE ESECUTIVA.PDF</t>
        </is>
      </c>
      <c r="G608" s="4" t="inlineStr">
        <is>
          <t>21/21</t>
        </is>
      </c>
      <c r="H608" s="3" t="inlineStr">
        <is>
          <t>50 - INSTALLAZIONE</t>
        </is>
      </c>
      <c r="I608" s="3" t="inlineStr">
        <is>
          <t>CABINA BT</t>
        </is>
      </c>
      <c r="J608" s="3" t="inlineStr">
        <is>
          <t>QUADRI ELETTRICI BT E UPS</t>
        </is>
      </c>
      <c r="K608" s="3" t="inlineStr">
        <is>
          <t>GRUPPO STATICO DI CONTINUITÀ MODULARE TRIFASE/TRIFASE ON-LINE A DOPPIA CONVERSIONE AD ALTO RENDIMENTO COMPOSTO DA: INVOLUCRO PREDISPOSTO PER ALLOGGIAMENTO DEI MODULI, MODULI DI POTENZA 50KVA, BYPASS S</t>
        </is>
      </c>
      <c r="L608" s="3" t="inlineStr">
        <is>
          <t>GRUPPO STATICO DI CONTINUITÀ MODULARE TRIFASE/TRIFASE ON-LINE A DOPPIA CONVERSIONE AD ALTO RENDIMENTO COMPOSTO DA: INVOLUCRO PREDISPOSTO PER ALLOGGIAMENTO DEI MODULI, MODULI DI POTENZA 50KVA, BYPASS STATICO IBRIDO E BYPASS MANUALE DI MANUTENZIONE DI PIENA POTENZA E AVENTE LE SEGUENTI CARATTERISTICHE: TENSIONE DI INGRESSO NOMINALE RADDRIZZATORE: 400 V TRIFASE CON NEUTRO (-15/+20%). FREQUENZA NOMINALE INGRESSO 50/60HZ (± 10%). TENSIONE DI INGRESSO NOMINALE BYPASS: 400 V TRIFASE CON NEUTRO (± 15%). FATTORE DI POTENZA IN INGRESSO &gt; 0,99 AL 100% DELLA POTENZA NOMINALE, THDI A MONTE &lt; 3% ALLA PN. POTENZA ATTIVA NOMINALE A PF1 (KVA=KW). PRESTAZIONI VERIFICATE DA UN ORGANISMO INDIPENDENTE ACCREDITATO. TENSIONE DI USCITA NOMINALE SELEZIONABILE: 380/400/415 V TRIFASE CON NEUTRO. THDU IN USCITA SU CARICO LINEARE: &lt; 1% . THDU IN USCITA SU CARICO NON LINEARE CONFORME A VFI-SS-111. SOVRACCARICO DA INVERTER AMMESSO: 150% PER 1 MIN E 125% PER 10 MIN. FREQUENZA DI USCITA: 50 HZ / 60 HZ +/-0,1%. RENDIMENTO IN MODALITÀ ON-LINE (DOPPIA CONVERSIONE) PARI A 96,5%. RENDIMENTO IN MODALITÀ ECO-MODE PARI A 99,3%. EFFICIENZA VERIFICATA E CERTIFICATA DA UN ORGANISMO INDIPENDENTE ACCREDITATO. POSSIBILITÀ DI ALIMENTAZIONE DA GRUPPO ELETTROGENO CON AVVIAMENTO A RAMPA (POWER WALK-IN) CONFIGURABILE IN TEMPO E AMPIEZZA. I MODULI DI POTENZA CON MTBF MAGGIORE DI 1.000.000 ORE IN CONFORMITÀ CON LA NORMA IEC/EN62830 CALCOLATO E VERIFICATO DA UN ORGANISMO INDIPENDENTE ACCREDITATO. MODULO DI POTENZA IN UN INVOLUCRO MECCANICAMENTE SEGREGATO ED INDIPENDENTE CONTENENTE: RADDRIZZATORE, INVERTER, CONTROLLORE, ALIMENTAZIONE, CARICABATTERIA E SEGNALAZIONE LUMINOSA DI STATO PER GARANTIRE LA COMPLETA AUTOSUFFICIENZA DEI MODULI. MODULI CON ESTRAIBILITÀ A CALDO CON IL SISTEMA IN MODALITÀ “ON-LINE DOPPIA CONVERSIONE” SENZA RICHIEDERE LO SPEGNIMENTO MANUALE DEL MODULO, LA COMMUTAZIONE IN MODALITÀ DI BYPASS O PASSAGGIO SU BYPASS MANUALE. MODULI IN GRADO DI AGGIORNARE IL FIRMWARE SENZA ALCUN INTERVENTO DELL’ OPERATORE E SENZA PERTURBARE LO STATO DELL’ UPS IN CASO DI INSERIMENTO A CALDO IN UN SISTEMA IN ESERCIZIO. CIRCUITO DI RILEVAZIONE DEL RITORNO DI ENERGIA VERSO RETE (BACKFEED) E SEGNALE DI COMANDO PER BOBINA ESTERNA INCLUSO. COMPONENTE DI BYPASS STATICO DI SISTEMA ESTRAIBILE A CALDO CON IL SISTEMA FUNZIONANTE IN MODALITÀ “ON-LINE DOPPIA CONVERSIONE” SENZA RICHIEDERE LO SPEGNIMENTO DEL SISTEMA O LA COMMUTAZIONE SU BYPASS MANUALE. UPS IN GRADO DI FUNZIONARE CON I SEGUENTI TIPI DI ACCUMULATORI: AL PIOMBO ERMETICO (VRLA) / PIOMBO A VASO APERTO / NICD / IONI DI LITIO. L'INTERFACCIA UTENTE DELL'UPS DEVE ESSERE COSTITUITA DA UN DISPLAY GRAFICO A COLORI TOUCH-SCREEN. UPS COMPLETO DI SCHEDA CONTATTI AUSILIARI LIBERI DA POTENZIALE CON PORTA DI COMUNICAZIONE SERIALE RS485 OPTOISOLATA (ADC) E CONTATTO DI SPEGNIMENTO E.P.O. SOLUZIONE COMPLETA DI SCHEDA DI COMUNICAZIONE ETHERNET IOT READY (NETVISION) CON COLLEGAMENTO ETHERNET CON I SEGUENTI PROTOCOLLI DI COMUNICAZIONE: SNMP V1 / V3, MODBUS SU TCP/IP, HTTP, SMTP, PROFIBUS, PROFINET. SCHEDA IN GRADO DI COLLEGARE L’ UPS AD UN CLOUD REMOTO PER GESTIONE NOTIFICHE TRAMITE APP (SOLIVE) PER DISPOSITIVI MOBILI. GRADO DI PROTEZIONE IP 20; COLORE RAL7016. CONFORMITÀ ALLE NORME EN62040-1, EN62040-2, EN62040-3. IL COSTRUTTORE DELLE APPARECCHIATURE DEVE ESSERE CERTIFICATO ISO9001 E ISO14001 E DEVE POTER FORNIRE UN CERTIFICATO DI ORIGINE DICHIARANTE CHE L'UPS È STATO PROGETTATO, PRODOTTO E TESTATO ALL'INTERNO DELLA COMUNITÀ EUROPEA. DIMENSIONI INDICATIVE UPS (LXPXH): 600X890X1990 MM. PRIMA ACCENSIONE DELLA MACCHINA DA PARTE DI TECNICO SPECIALIZZATO DEL COSTRUTTORE. L'OPERA S'INTENDE COMPRENSIVA DI OGNI ONERE ANNESSO E CONNESSO PER RENDERLA PERFETTAMENTE FUNZIONANTE E REALIZZATA A REGOLA D'ARTE.  UPS CON MODULI DI POTENZA PER 250 KVA TIPO SOCOMEC MODULYS XM 300KVA O EQUIVALENTE; AUTONOMIA 13 MIN. CON CARICO APPLICATO PARI A 200 KW - SISTEMA RIDONDANTE N+1 (200KW + 50KW DI RIDONDANZA)  INCLUSO ARMADIO BATTERIE MONOLITICO AVENTE LE SEGUENTI CARATTERISTICHE: ARMADIO CON GRADO DI PROTEZIONE IP 20 ADATTO AD ALLOGGIARE BATTERIE AGM-VRLA CON VITA ATTESA 10 ANNI (TIPOLOGIA LONG LIFE (LL) SECONDO EUROBAT). IDONEO ALL' INSTALLAZIONE INDOOR IN AMBIENTI PRIVO DI POLVERI CONDUTTORI, INFIAMMABILI, ESPLOSIVI O CORROSIVI E CON LIVELLO DI INQUINAMENTO INFERIORE AL GRADO 2 SECONDO NORMA IEC 60664-1. L'ARMADIO BATTERIE DEVE ESSERE COMPATIBILE CON UPS EQUIPAGGIATI CON CARICA BATTERIE CON FUNZIONAMENTO A 3 FILI CON NEUTRO CENTRALE (A+/N/A-). ARMADIO COMPLETO DI PROTEZIONE (SEZIONATORE A FUSIBILI O INTERRUTTORE MAGNETOTERMICO) E COMPLETO DEGLI ACCESSORI PER LA CONNESSIONE TRA MONOBLOCCHI E PROTEZIONE. MASSIMA POTENZA IN SCARICA 125KW/ARMADIO. ALMENO UN ARMADIO OGNI 5 MODULI DI POTENZA. COLLEGAMENTO CAVI DAL BASSO FRONTALMENTE. GRADO DI PROTEZIONE IP 20; COLORE RAL7012.SOLUZIONE IN SINGOLO ARMADIO CON BATTERIE PRE-ASSEMBLATE PRIMA DELL' INVIO. CAVI DI CONNESSIONE CON L' UPS FORNITI DI SERIE PER INSTALLAZIONE AFFIANCATA.DIMENSIONI INDICATIVE ARMADIO BATTERIE (LXPXH): 810X890X1990 MM. PRIMA ACCENSIONE DELLA MACCHINA DA PARTE DI TECNICO SPECIALIZZATO DEL COSTRUTTORE. L'OPERA S'INTENDE COMPRENSIVA DI OGNI ONERE ANNESSO E CONNESSO PER RENDERLA PERFETTAMENTE FUNZIONANTE E REALIZZATA A REGOLA D'ARTE.  ARMADIO BATTERIE TIPO SOCOMEC O EQUIVALENTE. N.2 ARMADI BATTERIE</t>
        </is>
      </c>
      <c r="M608" s="4" t="inlineStr">
        <is>
          <t>A CORPO</t>
        </is>
      </c>
      <c r="N608" s="5" t="n">
        <v>1</v>
      </c>
      <c r="O608" s="6" t="n">
        <v>65696.73</v>
      </c>
      <c r="P608" s="6" t="n">
        <v>65696.73</v>
      </c>
      <c r="Q608" s="5" t="n"/>
      <c r="R608" s="6" t="n"/>
      <c r="S608" s="6">
        <f>IF(AND(Q608&lt;&gt;"",R608&lt;&gt;""),Q608*R608,"")</f>
        <v/>
      </c>
      <c r="T608" s="6">
        <f>IF(S608="",P608,S608)</f>
        <v/>
      </c>
      <c r="U608" s="7" t="n">
        <v>0.5</v>
      </c>
      <c r="V608" s="6">
        <f>$T608*U608</f>
        <v/>
      </c>
      <c r="W608" s="7" t="n">
        <v>0.1</v>
      </c>
      <c r="X608" s="6">
        <f>$T608*W608</f>
        <v/>
      </c>
      <c r="Y608" s="7" t="n">
        <v>0</v>
      </c>
      <c r="Z608" s="6">
        <f>$T608*Y608</f>
        <v/>
      </c>
      <c r="AA608" s="7" t="n">
        <v>0</v>
      </c>
      <c r="AB608" s="6">
        <f>$T608*AA608</f>
        <v/>
      </c>
      <c r="AC608" s="7" t="n">
        <v>0</v>
      </c>
      <c r="AD608" s="6">
        <f>$T608*AC608</f>
        <v/>
      </c>
      <c r="AE608" s="7" t="n">
        <v>0</v>
      </c>
      <c r="AF608" s="6">
        <f>$T608*AE608</f>
        <v/>
      </c>
      <c r="AG608" s="7" t="n">
        <v>0</v>
      </c>
      <c r="AH608" s="6">
        <f>$T608*AG608</f>
        <v/>
      </c>
      <c r="AI608" s="7">
        <f>U608+W608+Y608+AA608+AC608+AE608+AG608</f>
        <v/>
      </c>
      <c r="AJ608" s="6">
        <f>V608+X608+Z608+AB608+AD608+AF608+AH608</f>
        <v/>
      </c>
    </row>
    <row r="609">
      <c r="U609" s="19" t="n"/>
    </row>
  </sheetData>
  <autoFilter ref="A2:AJ608">
    <filterColumn colId="20" hiddenButton="0" showButton="0"/>
    <filterColumn colId="22" hiddenButton="0" showButton="0"/>
    <filterColumn colId="24" hiddenButton="0" showButton="0"/>
    <filterColumn colId="26" hiddenButton="0" showButton="0"/>
    <filterColumn colId="28" hiddenButton="0" showButton="0"/>
    <filterColumn colId="30" hiddenButton="0" showButton="0"/>
    <filterColumn colId="32" hiddenButton="0" showButton="0"/>
    <filterColumn colId="34" hiddenButton="0" showButton="0"/>
  </autoFilter>
  <mergeCells count="29">
    <mergeCell ref="M2:M3"/>
    <mergeCell ref="B2:B3"/>
    <mergeCell ref="N2:N3"/>
    <mergeCell ref="D2:D3"/>
    <mergeCell ref="F2:F3"/>
    <mergeCell ref="P2:P3"/>
    <mergeCell ref="H2:H3"/>
    <mergeCell ref="A1:T1"/>
    <mergeCell ref="U2:V2"/>
    <mergeCell ref="Y2:Z2"/>
    <mergeCell ref="AE2:AF2"/>
    <mergeCell ref="AG2:AH2"/>
    <mergeCell ref="A2:A3"/>
    <mergeCell ref="T2:T3"/>
    <mergeCell ref="C2:C3"/>
    <mergeCell ref="E2:E3"/>
    <mergeCell ref="K2:K3"/>
    <mergeCell ref="O2:O3"/>
    <mergeCell ref="Q2:Q3"/>
    <mergeCell ref="R2:R3"/>
    <mergeCell ref="J2:J3"/>
    <mergeCell ref="L2:L3"/>
    <mergeCell ref="W2:X2"/>
    <mergeCell ref="AA2:AB2"/>
    <mergeCell ref="AC2:AD2"/>
    <mergeCell ref="AI2:AJ2"/>
    <mergeCell ref="G2:G3"/>
    <mergeCell ref="S2:S3"/>
    <mergeCell ref="I2:I3"/>
  </mergeCells>
  <conditionalFormatting sqref="Q4:S608">
    <cfRule type="expression" priority="2" dxfId="1">
      <formula>AND(Q4&lt;&gt;"",Q4&gt;N4)</formula>
    </cfRule>
    <cfRule type="expression" priority="3" dxfId="0">
      <formula>AND(Q4&lt;&gt;"",Q4&lt;N4)</formula>
    </cfRule>
  </conditionalFormatting>
  <pageMargins left="0.75" right="0.75" top="1" bottom="1" header="0.511811023622047" footer="0.511811023622047"/>
  <pageSetup orientation="portrait" paperSize="9" horizontalDpi="300" verticalDpi="300"/>
</worksheet>
</file>

<file path=xl/worksheets/sheet2.xml><?xml version="1.0" encoding="utf-8"?>
<worksheet xmlns="http://schemas.openxmlformats.org/spreadsheetml/2006/main">
  <sheetPr>
    <outlinePr summaryBelow="1" summaryRight="1"/>
    <pageSetUpPr/>
  </sheetPr>
  <dimension ref="B2:AD126"/>
  <sheetViews>
    <sheetView showGridLines="0" view="pageBreakPreview" zoomScale="87" zoomScaleNormal="100" workbookViewId="0">
      <pane xSplit="6" ySplit="4" topLeftCell="G47" activePane="bottomRight" state="frozen"/>
      <selection pane="topRight" activeCell="G1" sqref="G1"/>
      <selection pane="bottomLeft" activeCell="A4" sqref="A4"/>
      <selection pane="bottomRight" activeCell="D1" sqref="D1"/>
    </sheetView>
  </sheetViews>
  <sheetFormatPr baseColWidth="10" defaultColWidth="8.6640625" defaultRowHeight="71" customHeight="1"/>
  <cols>
    <col width="8.6640625" customWidth="1" style="39" min="1" max="1"/>
    <col width="7" customWidth="1" style="39" min="2" max="2"/>
    <col width="22" customWidth="1" style="39" min="3" max="3"/>
    <col width="36" customWidth="1" style="39" min="4" max="4"/>
    <col width="16" customWidth="1" style="39" min="5" max="5"/>
    <col width="7" customWidth="1" style="39" min="6" max="6"/>
    <col width="9" customWidth="1" style="39" min="7" max="7"/>
    <col width="11" customWidth="1" style="39" min="8" max="8"/>
    <col width="13" customWidth="1" style="39" min="9" max="9"/>
    <col hidden="1" width="9" customWidth="1" style="39" min="10" max="10"/>
    <col hidden="1" width="11" customWidth="1" style="39" min="11" max="11"/>
    <col hidden="1" width="13" customWidth="1" style="39" min="12" max="12"/>
    <col width="13" customWidth="1" style="39" min="13" max="13"/>
    <col width="8.6640625" customWidth="1" style="39" min="14" max="14"/>
    <col width="6" customWidth="1" style="39" min="15" max="15"/>
    <col width="12" customWidth="1" style="39" min="16" max="16"/>
    <col width="6" customWidth="1" style="39" min="17" max="17"/>
    <col width="12" customWidth="1" style="39" min="18" max="18"/>
    <col width="6" customWidth="1" style="39" min="19" max="19"/>
    <col width="12" customWidth="1" style="39" min="20" max="20"/>
    <col width="6" customWidth="1" style="39" min="21" max="21"/>
    <col width="12" customWidth="1" style="39" min="22" max="22"/>
    <col width="6" customWidth="1" style="39" min="23" max="23"/>
    <col width="12" customWidth="1" style="39" min="24" max="24"/>
    <col width="6" customWidth="1" style="39" min="25" max="25"/>
    <col width="12" customWidth="1" style="39" min="26" max="26"/>
    <col width="6" customWidth="1" style="39" min="27" max="27"/>
    <col width="12" customWidth="1" style="39" min="28" max="28"/>
    <col width="7" customWidth="1" style="39" min="29" max="29"/>
    <col width="13" customWidth="1" style="39" min="30" max="30"/>
    <col width="8.6640625" customWidth="1" style="39" min="31" max="16384"/>
  </cols>
  <sheetData>
    <row r="2" ht="71" customHeight="1" s="35">
      <c r="B2" s="27" t="inlineStr">
        <is>
          <t>DETTAGLIO SAL — OPERE EDILI</t>
        </is>
      </c>
      <c r="C2" s="44" t="n"/>
      <c r="D2" s="44" t="n"/>
      <c r="E2" s="44" t="n"/>
      <c r="F2" s="44" t="n"/>
      <c r="G2" s="44" t="n"/>
      <c r="H2" s="44" t="n"/>
      <c r="I2" s="44" t="n"/>
      <c r="J2" s="44" t="n"/>
      <c r="K2" s="44" t="n"/>
      <c r="L2" s="20" t="n"/>
      <c r="M2" s="22" t="n"/>
    </row>
    <row r="3" ht="71" customHeight="1" s="35">
      <c r="B3" s="26" t="inlineStr">
        <is>
          <t>Nr.Ord.</t>
        </is>
      </c>
      <c r="C3" s="26" t="inlineStr">
        <is>
          <t>TARIFFA</t>
        </is>
      </c>
      <c r="D3" s="26" t="inlineStr">
        <is>
          <t>DESIGNAZIONE</t>
        </is>
      </c>
      <c r="E3" s="26" t="inlineStr">
        <is>
          <t>STEP</t>
        </is>
      </c>
      <c r="F3" s="26" t="inlineStr">
        <is>
          <t>U.M.</t>
        </is>
      </c>
      <c r="G3" s="26" t="inlineStr">
        <is>
          <t>Q.tà PREV</t>
        </is>
      </c>
      <c r="H3" s="26" t="inlineStr">
        <is>
          <t>VAL.UNIT PREV</t>
        </is>
      </c>
      <c r="I3" s="26" t="inlineStr">
        <is>
          <t>TOTALE PREV</t>
        </is>
      </c>
      <c r="J3" s="26" t="inlineStr">
        <is>
          <t>Q.tà CONS</t>
        </is>
      </c>
      <c r="K3" s="26" t="inlineStr">
        <is>
          <t>VAL.UNIT CONS</t>
        </is>
      </c>
      <c r="L3" s="26" t="inlineStr">
        <is>
          <t>TOTALE CONS</t>
        </is>
      </c>
      <c r="M3" s="26" t="inlineStr">
        <is>
          <t>VALORE PER SAL</t>
        </is>
      </c>
      <c r="O3" s="28" t="inlineStr">
        <is>
          <t>SAL 01 APRILE</t>
        </is>
      </c>
      <c r="P3" s="20" t="n"/>
      <c r="Q3" s="26" t="inlineStr">
        <is>
          <t>SAL 02 MAGGIO</t>
        </is>
      </c>
      <c r="R3" s="20" t="n"/>
      <c r="S3" s="26" t="inlineStr">
        <is>
          <t>SAL 03 GIUGNO</t>
        </is>
      </c>
      <c r="T3" s="20" t="n"/>
      <c r="U3" s="26" t="inlineStr">
        <is>
          <t>SAL 04 LUGLIO</t>
        </is>
      </c>
      <c r="V3" s="20" t="n"/>
      <c r="W3" s="26" t="inlineStr">
        <is>
          <t>SAL 05 AGOSTO</t>
        </is>
      </c>
      <c r="X3" s="20" t="n"/>
      <c r="Y3" s="26" t="inlineStr">
        <is>
          <t>SAL 06 SETTEMBRE</t>
        </is>
      </c>
      <c r="Z3" s="20" t="n"/>
      <c r="AA3" s="26" t="inlineStr">
        <is>
          <t>SAL 07 OTTOBRE</t>
        </is>
      </c>
      <c r="AB3" s="20" t="n"/>
      <c r="AC3" s="26" t="inlineStr">
        <is>
          <t>TOTALE COMPL.</t>
        </is>
      </c>
      <c r="AD3" s="20" t="n"/>
    </row>
    <row r="4" ht="71" customHeight="1" s="35">
      <c r="O4" s="12" t="inlineStr">
        <is>
          <t>%</t>
        </is>
      </c>
      <c r="P4" s="36" t="inlineStr">
        <is>
          <t>TOTALE</t>
        </is>
      </c>
      <c r="Q4" s="12" t="inlineStr">
        <is>
          <t>%</t>
        </is>
      </c>
      <c r="R4" s="12" t="inlineStr">
        <is>
          <t>TOTALE</t>
        </is>
      </c>
      <c r="S4" s="12" t="inlineStr">
        <is>
          <t>%</t>
        </is>
      </c>
      <c r="T4" s="12" t="inlineStr">
        <is>
          <t>TOTALE</t>
        </is>
      </c>
      <c r="U4" s="12" t="inlineStr">
        <is>
          <t>%</t>
        </is>
      </c>
      <c r="V4" s="12" t="inlineStr">
        <is>
          <t>TOTALE</t>
        </is>
      </c>
      <c r="W4" s="12" t="inlineStr">
        <is>
          <t>%</t>
        </is>
      </c>
      <c r="X4" s="12" t="inlineStr">
        <is>
          <t>TOTALE</t>
        </is>
      </c>
      <c r="Y4" s="12" t="inlineStr">
        <is>
          <t>%</t>
        </is>
      </c>
      <c r="Z4" s="12" t="inlineStr">
        <is>
          <t>TOTALE</t>
        </is>
      </c>
      <c r="AA4" s="12" t="inlineStr">
        <is>
          <t>%</t>
        </is>
      </c>
      <c r="AB4" s="12" t="inlineStr">
        <is>
          <t>TOTALE</t>
        </is>
      </c>
      <c r="AC4" s="12" t="inlineStr">
        <is>
          <t>%</t>
        </is>
      </c>
      <c r="AD4" s="12" t="inlineStr">
        <is>
          <t>TOTALE</t>
        </is>
      </c>
    </row>
    <row r="5" ht="71" customHeight="1" s="35">
      <c r="B5" s="4">
        <f>LAVORAZIONI!G4</f>
        <v/>
      </c>
      <c r="C5" s="3">
        <f>LAVORAZIONI!A4</f>
        <v/>
      </c>
      <c r="D5" s="3">
        <f>LAVORAZIONI!K4</f>
        <v/>
      </c>
      <c r="E5" s="4">
        <f>LAVORAZIONI!H4</f>
        <v/>
      </c>
      <c r="F5" s="4">
        <f>LAVORAZIONI!M4</f>
        <v/>
      </c>
      <c r="G5" s="5">
        <f>LAVORAZIONI!N4</f>
        <v/>
      </c>
      <c r="H5" s="6">
        <f>LAVORAZIONI!O4</f>
        <v/>
      </c>
      <c r="I5" s="13">
        <f>LAVORAZIONI!P4</f>
        <v/>
      </c>
      <c r="J5" s="5">
        <f>IF(LAVORAZIONI!Q4="","",LAVORAZIONI!Q4)</f>
        <v/>
      </c>
      <c r="K5" s="6">
        <f>IF(LAVORAZIONI!R4="","",LAVORAZIONI!R4)</f>
        <v/>
      </c>
      <c r="L5" s="13">
        <f>IF(LAVORAZIONI!S4="","",LAVORAZIONI!S4)</f>
        <v/>
      </c>
      <c r="M5" s="13">
        <f>LAVORAZIONI!T4</f>
        <v/>
      </c>
      <c r="O5" s="7">
        <f>LAVORAZIONI!U4</f>
        <v/>
      </c>
      <c r="P5" s="37">
        <f>LAVORAZIONI!V4</f>
        <v/>
      </c>
      <c r="Q5" s="7">
        <f>LAVORAZIONI!W4</f>
        <v/>
      </c>
      <c r="R5" s="6">
        <f>LAVORAZIONI!X4</f>
        <v/>
      </c>
      <c r="S5" s="7">
        <f>LAVORAZIONI!Y4</f>
        <v/>
      </c>
      <c r="T5" s="6">
        <f>LAVORAZIONI!Z4</f>
        <v/>
      </c>
      <c r="U5" s="7">
        <f>LAVORAZIONI!AA4</f>
        <v/>
      </c>
      <c r="V5" s="6">
        <f>LAVORAZIONI!AB4</f>
        <v/>
      </c>
      <c r="W5" s="7">
        <f>LAVORAZIONI!AC4</f>
        <v/>
      </c>
      <c r="X5" s="6">
        <f>LAVORAZIONI!AD4</f>
        <v/>
      </c>
      <c r="Y5" s="7">
        <f>LAVORAZIONI!AE4</f>
        <v/>
      </c>
      <c r="Z5" s="6">
        <f>LAVORAZIONI!AF4</f>
        <v/>
      </c>
      <c r="AA5" s="7">
        <f>LAVORAZIONI!AG4</f>
        <v/>
      </c>
      <c r="AB5" s="6">
        <f>LAVORAZIONI!AH4</f>
        <v/>
      </c>
      <c r="AC5" s="7">
        <f>LAVORAZIONI!AI4</f>
        <v/>
      </c>
      <c r="AD5" s="13">
        <f>LAVORAZIONI!AJ4</f>
        <v/>
      </c>
    </row>
    <row r="6" ht="71" customHeight="1" s="35">
      <c r="B6" s="4">
        <f>LAVORAZIONI!G5</f>
        <v/>
      </c>
      <c r="C6" s="3">
        <f>LAVORAZIONI!A5</f>
        <v/>
      </c>
      <c r="D6" s="3">
        <f>LAVORAZIONI!K5</f>
        <v/>
      </c>
      <c r="E6" s="4">
        <f>LAVORAZIONI!H5</f>
        <v/>
      </c>
      <c r="F6" s="4">
        <f>LAVORAZIONI!M5</f>
        <v/>
      </c>
      <c r="G6" s="5">
        <f>LAVORAZIONI!N5</f>
        <v/>
      </c>
      <c r="H6" s="6">
        <f>LAVORAZIONI!O5</f>
        <v/>
      </c>
      <c r="I6" s="13">
        <f>LAVORAZIONI!P5</f>
        <v/>
      </c>
      <c r="J6" s="5">
        <f>IF(LAVORAZIONI!Q5="","",LAVORAZIONI!Q5)</f>
        <v/>
      </c>
      <c r="K6" s="6">
        <f>IF(LAVORAZIONI!R5="","",LAVORAZIONI!R5)</f>
        <v/>
      </c>
      <c r="L6" s="13">
        <f>IF(LAVORAZIONI!S5="","",LAVORAZIONI!S5)</f>
        <v/>
      </c>
      <c r="M6" s="13">
        <f>LAVORAZIONI!T5</f>
        <v/>
      </c>
      <c r="O6" s="7">
        <f>LAVORAZIONI!U5</f>
        <v/>
      </c>
      <c r="P6" s="37">
        <f>LAVORAZIONI!V5</f>
        <v/>
      </c>
      <c r="Q6" s="7">
        <f>LAVORAZIONI!W5</f>
        <v/>
      </c>
      <c r="R6" s="6">
        <f>LAVORAZIONI!X5</f>
        <v/>
      </c>
      <c r="S6" s="7">
        <f>LAVORAZIONI!Y5</f>
        <v/>
      </c>
      <c r="T6" s="6">
        <f>LAVORAZIONI!Z5</f>
        <v/>
      </c>
      <c r="U6" s="7">
        <f>LAVORAZIONI!AA5</f>
        <v/>
      </c>
      <c r="V6" s="6">
        <f>LAVORAZIONI!AB5</f>
        <v/>
      </c>
      <c r="W6" s="7">
        <f>LAVORAZIONI!AC5</f>
        <v/>
      </c>
      <c r="X6" s="6">
        <f>LAVORAZIONI!AD5</f>
        <v/>
      </c>
      <c r="Y6" s="7">
        <f>LAVORAZIONI!AE5</f>
        <v/>
      </c>
      <c r="Z6" s="6">
        <f>LAVORAZIONI!AF5</f>
        <v/>
      </c>
      <c r="AA6" s="7">
        <f>LAVORAZIONI!AG5</f>
        <v/>
      </c>
      <c r="AB6" s="6">
        <f>LAVORAZIONI!AH5</f>
        <v/>
      </c>
      <c r="AC6" s="7">
        <f>LAVORAZIONI!AI5</f>
        <v/>
      </c>
      <c r="AD6" s="13">
        <f>LAVORAZIONI!AJ5</f>
        <v/>
      </c>
    </row>
    <row r="7" ht="71" customHeight="1" s="35">
      <c r="B7" s="4">
        <f>LAVORAZIONI!G6</f>
        <v/>
      </c>
      <c r="C7" s="3">
        <f>LAVORAZIONI!A6</f>
        <v/>
      </c>
      <c r="D7" s="3">
        <f>LAVORAZIONI!K6</f>
        <v/>
      </c>
      <c r="E7" s="4">
        <f>LAVORAZIONI!H6</f>
        <v/>
      </c>
      <c r="F7" s="4">
        <f>LAVORAZIONI!M6</f>
        <v/>
      </c>
      <c r="G7" s="5">
        <f>LAVORAZIONI!N6</f>
        <v/>
      </c>
      <c r="H7" s="6">
        <f>LAVORAZIONI!O6</f>
        <v/>
      </c>
      <c r="I7" s="13">
        <f>LAVORAZIONI!P6</f>
        <v/>
      </c>
      <c r="J7" s="5">
        <f>IF(LAVORAZIONI!Q6="","",LAVORAZIONI!Q6)</f>
        <v/>
      </c>
      <c r="K7" s="6">
        <f>IF(LAVORAZIONI!R6="","",LAVORAZIONI!R6)</f>
        <v/>
      </c>
      <c r="L7" s="13">
        <f>IF(LAVORAZIONI!S6="","",LAVORAZIONI!S6)</f>
        <v/>
      </c>
      <c r="M7" s="13">
        <f>LAVORAZIONI!T6</f>
        <v/>
      </c>
      <c r="O7" s="7">
        <f>LAVORAZIONI!U6</f>
        <v/>
      </c>
      <c r="P7" s="37">
        <f>LAVORAZIONI!V6</f>
        <v/>
      </c>
      <c r="Q7" s="7">
        <f>LAVORAZIONI!W6</f>
        <v/>
      </c>
      <c r="R7" s="6">
        <f>LAVORAZIONI!X6</f>
        <v/>
      </c>
      <c r="S7" s="7">
        <f>LAVORAZIONI!Y6</f>
        <v/>
      </c>
      <c r="T7" s="6">
        <f>LAVORAZIONI!Z6</f>
        <v/>
      </c>
      <c r="U7" s="7">
        <f>LAVORAZIONI!AA6</f>
        <v/>
      </c>
      <c r="V7" s="6">
        <f>LAVORAZIONI!AB6</f>
        <v/>
      </c>
      <c r="W7" s="7">
        <f>LAVORAZIONI!AC6</f>
        <v/>
      </c>
      <c r="X7" s="6">
        <f>LAVORAZIONI!AD6</f>
        <v/>
      </c>
      <c r="Y7" s="7">
        <f>LAVORAZIONI!AE6</f>
        <v/>
      </c>
      <c r="Z7" s="6">
        <f>LAVORAZIONI!AF6</f>
        <v/>
      </c>
      <c r="AA7" s="7">
        <f>LAVORAZIONI!AG6</f>
        <v/>
      </c>
      <c r="AB7" s="6">
        <f>LAVORAZIONI!AH6</f>
        <v/>
      </c>
      <c r="AC7" s="7">
        <f>LAVORAZIONI!AI6</f>
        <v/>
      </c>
      <c r="AD7" s="13">
        <f>LAVORAZIONI!AJ6</f>
        <v/>
      </c>
    </row>
    <row r="8" ht="71" customHeight="1" s="35">
      <c r="B8" s="4">
        <f>LAVORAZIONI!G7</f>
        <v/>
      </c>
      <c r="C8" s="3">
        <f>LAVORAZIONI!A7</f>
        <v/>
      </c>
      <c r="D8" s="3">
        <f>LAVORAZIONI!K7</f>
        <v/>
      </c>
      <c r="E8" s="4">
        <f>LAVORAZIONI!H7</f>
        <v/>
      </c>
      <c r="F8" s="4">
        <f>LAVORAZIONI!M7</f>
        <v/>
      </c>
      <c r="G8" s="5">
        <f>LAVORAZIONI!N7</f>
        <v/>
      </c>
      <c r="H8" s="6">
        <f>LAVORAZIONI!O7</f>
        <v/>
      </c>
      <c r="I8" s="13">
        <f>LAVORAZIONI!P7</f>
        <v/>
      </c>
      <c r="J8" s="5">
        <f>IF(LAVORAZIONI!Q7="","",LAVORAZIONI!Q7)</f>
        <v/>
      </c>
      <c r="K8" s="6">
        <f>IF(LAVORAZIONI!R7="","",LAVORAZIONI!R7)</f>
        <v/>
      </c>
      <c r="L8" s="13">
        <f>IF(LAVORAZIONI!S7="","",LAVORAZIONI!S7)</f>
        <v/>
      </c>
      <c r="M8" s="13">
        <f>LAVORAZIONI!T7</f>
        <v/>
      </c>
      <c r="O8" s="7">
        <f>LAVORAZIONI!U7</f>
        <v/>
      </c>
      <c r="P8" s="37">
        <f>LAVORAZIONI!V7</f>
        <v/>
      </c>
      <c r="Q8" s="7">
        <f>LAVORAZIONI!W7</f>
        <v/>
      </c>
      <c r="R8" s="6">
        <f>LAVORAZIONI!X7</f>
        <v/>
      </c>
      <c r="S8" s="7">
        <f>LAVORAZIONI!Y7</f>
        <v/>
      </c>
      <c r="T8" s="6">
        <f>LAVORAZIONI!Z7</f>
        <v/>
      </c>
      <c r="U8" s="7">
        <f>LAVORAZIONI!AA7</f>
        <v/>
      </c>
      <c r="V8" s="6">
        <f>LAVORAZIONI!AB7</f>
        <v/>
      </c>
      <c r="W8" s="7">
        <f>LAVORAZIONI!AC7</f>
        <v/>
      </c>
      <c r="X8" s="6">
        <f>LAVORAZIONI!AD7</f>
        <v/>
      </c>
      <c r="Y8" s="7">
        <f>LAVORAZIONI!AE7</f>
        <v/>
      </c>
      <c r="Z8" s="6">
        <f>LAVORAZIONI!AF7</f>
        <v/>
      </c>
      <c r="AA8" s="7">
        <f>LAVORAZIONI!AG7</f>
        <v/>
      </c>
      <c r="AB8" s="6">
        <f>LAVORAZIONI!AH7</f>
        <v/>
      </c>
      <c r="AC8" s="7">
        <f>LAVORAZIONI!AI7</f>
        <v/>
      </c>
      <c r="AD8" s="13">
        <f>LAVORAZIONI!AJ7</f>
        <v/>
      </c>
    </row>
    <row r="9" ht="71" customHeight="1" s="35">
      <c r="B9" s="4">
        <f>LAVORAZIONI!G8</f>
        <v/>
      </c>
      <c r="C9" s="3">
        <f>LAVORAZIONI!A8</f>
        <v/>
      </c>
      <c r="D9" s="3">
        <f>LAVORAZIONI!K8</f>
        <v/>
      </c>
      <c r="E9" s="4">
        <f>LAVORAZIONI!H8</f>
        <v/>
      </c>
      <c r="F9" s="4">
        <f>LAVORAZIONI!M8</f>
        <v/>
      </c>
      <c r="G9" s="5">
        <f>LAVORAZIONI!N8</f>
        <v/>
      </c>
      <c r="H9" s="6">
        <f>LAVORAZIONI!O8</f>
        <v/>
      </c>
      <c r="I9" s="13">
        <f>LAVORAZIONI!P8</f>
        <v/>
      </c>
      <c r="J9" s="5">
        <f>IF(LAVORAZIONI!Q8="","",LAVORAZIONI!Q8)</f>
        <v/>
      </c>
      <c r="K9" s="6">
        <f>IF(LAVORAZIONI!R8="","",LAVORAZIONI!R8)</f>
        <v/>
      </c>
      <c r="L9" s="13">
        <f>IF(LAVORAZIONI!S8="","",LAVORAZIONI!S8)</f>
        <v/>
      </c>
      <c r="M9" s="13">
        <f>LAVORAZIONI!T8</f>
        <v/>
      </c>
      <c r="O9" s="7">
        <f>LAVORAZIONI!U8</f>
        <v/>
      </c>
      <c r="P9" s="37">
        <f>LAVORAZIONI!V8</f>
        <v/>
      </c>
      <c r="Q9" s="7">
        <f>LAVORAZIONI!W8</f>
        <v/>
      </c>
      <c r="R9" s="6">
        <f>LAVORAZIONI!X8</f>
        <v/>
      </c>
      <c r="S9" s="7">
        <f>LAVORAZIONI!Y8</f>
        <v/>
      </c>
      <c r="T9" s="6">
        <f>LAVORAZIONI!Z8</f>
        <v/>
      </c>
      <c r="U9" s="7">
        <f>LAVORAZIONI!AA8</f>
        <v/>
      </c>
      <c r="V9" s="6">
        <f>LAVORAZIONI!AB8</f>
        <v/>
      </c>
      <c r="W9" s="7">
        <f>LAVORAZIONI!AC8</f>
        <v/>
      </c>
      <c r="X9" s="6">
        <f>LAVORAZIONI!AD8</f>
        <v/>
      </c>
      <c r="Y9" s="7">
        <f>LAVORAZIONI!AE8</f>
        <v/>
      </c>
      <c r="Z9" s="6">
        <f>LAVORAZIONI!AF8</f>
        <v/>
      </c>
      <c r="AA9" s="7">
        <f>LAVORAZIONI!AG8</f>
        <v/>
      </c>
      <c r="AB9" s="6">
        <f>LAVORAZIONI!AH8</f>
        <v/>
      </c>
      <c r="AC9" s="7">
        <f>LAVORAZIONI!AI8</f>
        <v/>
      </c>
      <c r="AD9" s="13">
        <f>LAVORAZIONI!AJ8</f>
        <v/>
      </c>
    </row>
    <row r="10" ht="71" customHeight="1" s="35">
      <c r="B10" s="4">
        <f>LAVORAZIONI!G9</f>
        <v/>
      </c>
      <c r="C10" s="3">
        <f>LAVORAZIONI!A9</f>
        <v/>
      </c>
      <c r="D10" s="3">
        <f>LAVORAZIONI!K9</f>
        <v/>
      </c>
      <c r="E10" s="4">
        <f>LAVORAZIONI!H9</f>
        <v/>
      </c>
      <c r="F10" s="4">
        <f>LAVORAZIONI!M9</f>
        <v/>
      </c>
      <c r="G10" s="5">
        <f>LAVORAZIONI!N9</f>
        <v/>
      </c>
      <c r="H10" s="6">
        <f>LAVORAZIONI!O9</f>
        <v/>
      </c>
      <c r="I10" s="13">
        <f>LAVORAZIONI!P9</f>
        <v/>
      </c>
      <c r="J10" s="5">
        <f>IF(LAVORAZIONI!Q9="","",LAVORAZIONI!Q9)</f>
        <v/>
      </c>
      <c r="K10" s="6">
        <f>IF(LAVORAZIONI!R9="","",LAVORAZIONI!R9)</f>
        <v/>
      </c>
      <c r="L10" s="13">
        <f>IF(LAVORAZIONI!S9="","",LAVORAZIONI!S9)</f>
        <v/>
      </c>
      <c r="M10" s="13">
        <f>LAVORAZIONI!T9</f>
        <v/>
      </c>
      <c r="O10" s="7">
        <f>LAVORAZIONI!U9</f>
        <v/>
      </c>
      <c r="P10" s="37">
        <f>LAVORAZIONI!V9</f>
        <v/>
      </c>
      <c r="Q10" s="7">
        <f>LAVORAZIONI!W9</f>
        <v/>
      </c>
      <c r="R10" s="6">
        <f>LAVORAZIONI!X9</f>
        <v/>
      </c>
      <c r="S10" s="7">
        <f>LAVORAZIONI!Y9</f>
        <v/>
      </c>
      <c r="T10" s="6">
        <f>LAVORAZIONI!Z9</f>
        <v/>
      </c>
      <c r="U10" s="7">
        <f>LAVORAZIONI!AA9</f>
        <v/>
      </c>
      <c r="V10" s="6">
        <f>LAVORAZIONI!AB9</f>
        <v/>
      </c>
      <c r="W10" s="7">
        <f>LAVORAZIONI!AC9</f>
        <v/>
      </c>
      <c r="X10" s="6">
        <f>LAVORAZIONI!AD9</f>
        <v/>
      </c>
      <c r="Y10" s="7">
        <f>LAVORAZIONI!AE9</f>
        <v/>
      </c>
      <c r="Z10" s="6">
        <f>LAVORAZIONI!AF9</f>
        <v/>
      </c>
      <c r="AA10" s="7">
        <f>LAVORAZIONI!AG9</f>
        <v/>
      </c>
      <c r="AB10" s="6">
        <f>LAVORAZIONI!AH9</f>
        <v/>
      </c>
      <c r="AC10" s="7">
        <f>LAVORAZIONI!AI9</f>
        <v/>
      </c>
      <c r="AD10" s="13">
        <f>LAVORAZIONI!AJ9</f>
        <v/>
      </c>
    </row>
    <row r="11" ht="71" customHeight="1" s="35">
      <c r="B11" s="4">
        <f>LAVORAZIONI!G10</f>
        <v/>
      </c>
      <c r="C11" s="3">
        <f>LAVORAZIONI!A10</f>
        <v/>
      </c>
      <c r="D11" s="3">
        <f>LAVORAZIONI!K10</f>
        <v/>
      </c>
      <c r="E11" s="4">
        <f>LAVORAZIONI!H10</f>
        <v/>
      </c>
      <c r="F11" s="4">
        <f>LAVORAZIONI!M10</f>
        <v/>
      </c>
      <c r="G11" s="5">
        <f>LAVORAZIONI!N10</f>
        <v/>
      </c>
      <c r="H11" s="6">
        <f>LAVORAZIONI!O10</f>
        <v/>
      </c>
      <c r="I11" s="13">
        <f>LAVORAZIONI!P10</f>
        <v/>
      </c>
      <c r="J11" s="5">
        <f>IF(LAVORAZIONI!Q10="","",LAVORAZIONI!Q10)</f>
        <v/>
      </c>
      <c r="K11" s="6">
        <f>IF(LAVORAZIONI!R10="","",LAVORAZIONI!R10)</f>
        <v/>
      </c>
      <c r="L11" s="13">
        <f>IF(LAVORAZIONI!S10="","",LAVORAZIONI!S10)</f>
        <v/>
      </c>
      <c r="M11" s="13">
        <f>LAVORAZIONI!T10</f>
        <v/>
      </c>
      <c r="O11" s="7">
        <f>LAVORAZIONI!U10</f>
        <v/>
      </c>
      <c r="P11" s="37">
        <f>LAVORAZIONI!V10</f>
        <v/>
      </c>
      <c r="Q11" s="7">
        <f>LAVORAZIONI!W10</f>
        <v/>
      </c>
      <c r="R11" s="6">
        <f>LAVORAZIONI!X10</f>
        <v/>
      </c>
      <c r="S11" s="7">
        <f>LAVORAZIONI!Y10</f>
        <v/>
      </c>
      <c r="T11" s="6">
        <f>LAVORAZIONI!Z10</f>
        <v/>
      </c>
      <c r="U11" s="7">
        <f>LAVORAZIONI!AA10</f>
        <v/>
      </c>
      <c r="V11" s="6">
        <f>LAVORAZIONI!AB10</f>
        <v/>
      </c>
      <c r="W11" s="7">
        <f>LAVORAZIONI!AC10</f>
        <v/>
      </c>
      <c r="X11" s="6">
        <f>LAVORAZIONI!AD10</f>
        <v/>
      </c>
      <c r="Y11" s="7">
        <f>LAVORAZIONI!AE10</f>
        <v/>
      </c>
      <c r="Z11" s="6">
        <f>LAVORAZIONI!AF10</f>
        <v/>
      </c>
      <c r="AA11" s="7">
        <f>LAVORAZIONI!AG10</f>
        <v/>
      </c>
      <c r="AB11" s="6">
        <f>LAVORAZIONI!AH10</f>
        <v/>
      </c>
      <c r="AC11" s="7">
        <f>LAVORAZIONI!AI10</f>
        <v/>
      </c>
      <c r="AD11" s="13">
        <f>LAVORAZIONI!AJ10</f>
        <v/>
      </c>
    </row>
    <row r="12" ht="71" customHeight="1" s="35">
      <c r="B12" s="4">
        <f>LAVORAZIONI!G11</f>
        <v/>
      </c>
      <c r="C12" s="3">
        <f>LAVORAZIONI!A11</f>
        <v/>
      </c>
      <c r="D12" s="3">
        <f>LAVORAZIONI!K11</f>
        <v/>
      </c>
      <c r="E12" s="4">
        <f>LAVORAZIONI!H11</f>
        <v/>
      </c>
      <c r="F12" s="4">
        <f>LAVORAZIONI!M11</f>
        <v/>
      </c>
      <c r="G12" s="5">
        <f>LAVORAZIONI!N11</f>
        <v/>
      </c>
      <c r="H12" s="6">
        <f>LAVORAZIONI!O11</f>
        <v/>
      </c>
      <c r="I12" s="13">
        <f>LAVORAZIONI!P11</f>
        <v/>
      </c>
      <c r="J12" s="5">
        <f>IF(LAVORAZIONI!Q11="","",LAVORAZIONI!Q11)</f>
        <v/>
      </c>
      <c r="K12" s="6">
        <f>IF(LAVORAZIONI!R11="","",LAVORAZIONI!R11)</f>
        <v/>
      </c>
      <c r="L12" s="13">
        <f>IF(LAVORAZIONI!S11="","",LAVORAZIONI!S11)</f>
        <v/>
      </c>
      <c r="M12" s="13">
        <f>LAVORAZIONI!T11</f>
        <v/>
      </c>
      <c r="O12" s="7">
        <f>LAVORAZIONI!U11</f>
        <v/>
      </c>
      <c r="P12" s="37">
        <f>LAVORAZIONI!V11</f>
        <v/>
      </c>
      <c r="Q12" s="7">
        <f>LAVORAZIONI!W11</f>
        <v/>
      </c>
      <c r="R12" s="6">
        <f>LAVORAZIONI!X11</f>
        <v/>
      </c>
      <c r="S12" s="7">
        <f>LAVORAZIONI!Y11</f>
        <v/>
      </c>
      <c r="T12" s="6">
        <f>LAVORAZIONI!Z11</f>
        <v/>
      </c>
      <c r="U12" s="7">
        <f>LAVORAZIONI!AA11</f>
        <v/>
      </c>
      <c r="V12" s="6">
        <f>LAVORAZIONI!AB11</f>
        <v/>
      </c>
      <c r="W12" s="7">
        <f>LAVORAZIONI!AC11</f>
        <v/>
      </c>
      <c r="X12" s="6">
        <f>LAVORAZIONI!AD11</f>
        <v/>
      </c>
      <c r="Y12" s="7">
        <f>LAVORAZIONI!AE11</f>
        <v/>
      </c>
      <c r="Z12" s="6">
        <f>LAVORAZIONI!AF11</f>
        <v/>
      </c>
      <c r="AA12" s="7">
        <f>LAVORAZIONI!AG11</f>
        <v/>
      </c>
      <c r="AB12" s="6">
        <f>LAVORAZIONI!AH11</f>
        <v/>
      </c>
      <c r="AC12" s="7">
        <f>LAVORAZIONI!AI11</f>
        <v/>
      </c>
      <c r="AD12" s="13">
        <f>LAVORAZIONI!AJ11</f>
        <v/>
      </c>
    </row>
    <row r="13" ht="71" customHeight="1" s="35">
      <c r="B13" s="4">
        <f>LAVORAZIONI!G12</f>
        <v/>
      </c>
      <c r="C13" s="3">
        <f>LAVORAZIONI!A12</f>
        <v/>
      </c>
      <c r="D13" s="3">
        <f>LAVORAZIONI!K12</f>
        <v/>
      </c>
      <c r="E13" s="4">
        <f>LAVORAZIONI!H12</f>
        <v/>
      </c>
      <c r="F13" s="4">
        <f>LAVORAZIONI!M12</f>
        <v/>
      </c>
      <c r="G13" s="5">
        <f>LAVORAZIONI!N12</f>
        <v/>
      </c>
      <c r="H13" s="6">
        <f>LAVORAZIONI!O12</f>
        <v/>
      </c>
      <c r="I13" s="13">
        <f>LAVORAZIONI!P12</f>
        <v/>
      </c>
      <c r="J13" s="5">
        <f>IF(LAVORAZIONI!Q12="","",LAVORAZIONI!Q12)</f>
        <v/>
      </c>
      <c r="K13" s="6">
        <f>IF(LAVORAZIONI!R12="","",LAVORAZIONI!R12)</f>
        <v/>
      </c>
      <c r="L13" s="13">
        <f>IF(LAVORAZIONI!S12="","",LAVORAZIONI!S12)</f>
        <v/>
      </c>
      <c r="M13" s="13">
        <f>LAVORAZIONI!T12</f>
        <v/>
      </c>
      <c r="O13" s="7">
        <f>LAVORAZIONI!U12</f>
        <v/>
      </c>
      <c r="P13" s="37">
        <f>LAVORAZIONI!V12</f>
        <v/>
      </c>
      <c r="Q13" s="7">
        <f>LAVORAZIONI!W12</f>
        <v/>
      </c>
      <c r="R13" s="6">
        <f>LAVORAZIONI!X12</f>
        <v/>
      </c>
      <c r="S13" s="7">
        <f>LAVORAZIONI!Y12</f>
        <v/>
      </c>
      <c r="T13" s="6">
        <f>LAVORAZIONI!Z12</f>
        <v/>
      </c>
      <c r="U13" s="7">
        <f>LAVORAZIONI!AA12</f>
        <v/>
      </c>
      <c r="V13" s="6">
        <f>LAVORAZIONI!AB12</f>
        <v/>
      </c>
      <c r="W13" s="7">
        <f>LAVORAZIONI!AC12</f>
        <v/>
      </c>
      <c r="X13" s="6">
        <f>LAVORAZIONI!AD12</f>
        <v/>
      </c>
      <c r="Y13" s="7">
        <f>LAVORAZIONI!AE12</f>
        <v/>
      </c>
      <c r="Z13" s="6">
        <f>LAVORAZIONI!AF12</f>
        <v/>
      </c>
      <c r="AA13" s="7">
        <f>LAVORAZIONI!AG12</f>
        <v/>
      </c>
      <c r="AB13" s="6">
        <f>LAVORAZIONI!AH12</f>
        <v/>
      </c>
      <c r="AC13" s="7">
        <f>LAVORAZIONI!AI12</f>
        <v/>
      </c>
      <c r="AD13" s="13">
        <f>LAVORAZIONI!AJ12</f>
        <v/>
      </c>
    </row>
    <row r="14" ht="71" customHeight="1" s="35">
      <c r="B14" s="4">
        <f>LAVORAZIONI!G13</f>
        <v/>
      </c>
      <c r="C14" s="3">
        <f>LAVORAZIONI!A13</f>
        <v/>
      </c>
      <c r="D14" s="3">
        <f>LAVORAZIONI!K13</f>
        <v/>
      </c>
      <c r="E14" s="4">
        <f>LAVORAZIONI!H13</f>
        <v/>
      </c>
      <c r="F14" s="4">
        <f>LAVORAZIONI!M13</f>
        <v/>
      </c>
      <c r="G14" s="5">
        <f>LAVORAZIONI!N13</f>
        <v/>
      </c>
      <c r="H14" s="6">
        <f>LAVORAZIONI!O13</f>
        <v/>
      </c>
      <c r="I14" s="13">
        <f>LAVORAZIONI!P13</f>
        <v/>
      </c>
      <c r="J14" s="5">
        <f>IF(LAVORAZIONI!Q13="","",LAVORAZIONI!Q13)</f>
        <v/>
      </c>
      <c r="K14" s="6">
        <f>IF(LAVORAZIONI!R13="","",LAVORAZIONI!R13)</f>
        <v/>
      </c>
      <c r="L14" s="13">
        <f>IF(LAVORAZIONI!S13="","",LAVORAZIONI!S13)</f>
        <v/>
      </c>
      <c r="M14" s="13">
        <f>LAVORAZIONI!T13</f>
        <v/>
      </c>
      <c r="O14" s="7">
        <f>LAVORAZIONI!U13</f>
        <v/>
      </c>
      <c r="P14" s="37">
        <f>LAVORAZIONI!V13</f>
        <v/>
      </c>
      <c r="Q14" s="7">
        <f>LAVORAZIONI!W13</f>
        <v/>
      </c>
      <c r="R14" s="6">
        <f>LAVORAZIONI!X13</f>
        <v/>
      </c>
      <c r="S14" s="7">
        <f>LAVORAZIONI!Y13</f>
        <v/>
      </c>
      <c r="T14" s="6">
        <f>LAVORAZIONI!Z13</f>
        <v/>
      </c>
      <c r="U14" s="7">
        <f>LAVORAZIONI!AA13</f>
        <v/>
      </c>
      <c r="V14" s="6">
        <f>LAVORAZIONI!AB13</f>
        <v/>
      </c>
      <c r="W14" s="7">
        <f>LAVORAZIONI!AC13</f>
        <v/>
      </c>
      <c r="X14" s="6">
        <f>LAVORAZIONI!AD13</f>
        <v/>
      </c>
      <c r="Y14" s="7">
        <f>LAVORAZIONI!AE13</f>
        <v/>
      </c>
      <c r="Z14" s="6">
        <f>LAVORAZIONI!AF13</f>
        <v/>
      </c>
      <c r="AA14" s="7">
        <f>LAVORAZIONI!AG13</f>
        <v/>
      </c>
      <c r="AB14" s="6">
        <f>LAVORAZIONI!AH13</f>
        <v/>
      </c>
      <c r="AC14" s="7">
        <f>LAVORAZIONI!AI13</f>
        <v/>
      </c>
      <c r="AD14" s="13">
        <f>LAVORAZIONI!AJ13</f>
        <v/>
      </c>
    </row>
    <row r="15" ht="71" customHeight="1" s="35">
      <c r="B15" s="4">
        <f>LAVORAZIONI!G14</f>
        <v/>
      </c>
      <c r="C15" s="3">
        <f>LAVORAZIONI!A14</f>
        <v/>
      </c>
      <c r="D15" s="3">
        <f>LAVORAZIONI!K14</f>
        <v/>
      </c>
      <c r="E15" s="4">
        <f>LAVORAZIONI!H14</f>
        <v/>
      </c>
      <c r="F15" s="4">
        <f>LAVORAZIONI!M14</f>
        <v/>
      </c>
      <c r="G15" s="5">
        <f>LAVORAZIONI!N14</f>
        <v/>
      </c>
      <c r="H15" s="6">
        <f>LAVORAZIONI!O14</f>
        <v/>
      </c>
      <c r="I15" s="13">
        <f>LAVORAZIONI!P14</f>
        <v/>
      </c>
      <c r="J15" s="5">
        <f>IF(LAVORAZIONI!Q14="","",LAVORAZIONI!Q14)</f>
        <v/>
      </c>
      <c r="K15" s="6">
        <f>IF(LAVORAZIONI!R14="","",LAVORAZIONI!R14)</f>
        <v/>
      </c>
      <c r="L15" s="13">
        <f>IF(LAVORAZIONI!S14="","",LAVORAZIONI!S14)</f>
        <v/>
      </c>
      <c r="M15" s="13">
        <f>LAVORAZIONI!T14</f>
        <v/>
      </c>
      <c r="O15" s="7">
        <f>LAVORAZIONI!U14</f>
        <v/>
      </c>
      <c r="P15" s="37">
        <f>LAVORAZIONI!V14</f>
        <v/>
      </c>
      <c r="Q15" s="7">
        <f>LAVORAZIONI!W14</f>
        <v/>
      </c>
      <c r="R15" s="6">
        <f>LAVORAZIONI!X14</f>
        <v/>
      </c>
      <c r="S15" s="7">
        <f>LAVORAZIONI!Y14</f>
        <v/>
      </c>
      <c r="T15" s="6">
        <f>LAVORAZIONI!Z14</f>
        <v/>
      </c>
      <c r="U15" s="7">
        <f>LAVORAZIONI!AA14</f>
        <v/>
      </c>
      <c r="V15" s="6">
        <f>LAVORAZIONI!AB14</f>
        <v/>
      </c>
      <c r="W15" s="7">
        <f>LAVORAZIONI!AC14</f>
        <v/>
      </c>
      <c r="X15" s="6">
        <f>LAVORAZIONI!AD14</f>
        <v/>
      </c>
      <c r="Y15" s="7">
        <f>LAVORAZIONI!AE14</f>
        <v/>
      </c>
      <c r="Z15" s="6">
        <f>LAVORAZIONI!AF14</f>
        <v/>
      </c>
      <c r="AA15" s="7">
        <f>LAVORAZIONI!AG14</f>
        <v/>
      </c>
      <c r="AB15" s="6">
        <f>LAVORAZIONI!AH14</f>
        <v/>
      </c>
      <c r="AC15" s="7">
        <f>LAVORAZIONI!AI14</f>
        <v/>
      </c>
      <c r="AD15" s="13">
        <f>LAVORAZIONI!AJ14</f>
        <v/>
      </c>
    </row>
    <row r="16" ht="71" customHeight="1" s="35">
      <c r="B16" s="4">
        <f>LAVORAZIONI!G15</f>
        <v/>
      </c>
      <c r="C16" s="3">
        <f>LAVORAZIONI!A15</f>
        <v/>
      </c>
      <c r="D16" s="3">
        <f>LAVORAZIONI!K15</f>
        <v/>
      </c>
      <c r="E16" s="4">
        <f>LAVORAZIONI!H15</f>
        <v/>
      </c>
      <c r="F16" s="4">
        <f>LAVORAZIONI!M15</f>
        <v/>
      </c>
      <c r="G16" s="5">
        <f>LAVORAZIONI!N15</f>
        <v/>
      </c>
      <c r="H16" s="6">
        <f>LAVORAZIONI!O15</f>
        <v/>
      </c>
      <c r="I16" s="13">
        <f>LAVORAZIONI!P15</f>
        <v/>
      </c>
      <c r="J16" s="5">
        <f>IF(LAVORAZIONI!Q15="","",LAVORAZIONI!Q15)</f>
        <v/>
      </c>
      <c r="K16" s="6">
        <f>IF(LAVORAZIONI!R15="","",LAVORAZIONI!R15)</f>
        <v/>
      </c>
      <c r="L16" s="13">
        <f>IF(LAVORAZIONI!S15="","",LAVORAZIONI!S15)</f>
        <v/>
      </c>
      <c r="M16" s="13">
        <f>LAVORAZIONI!T15</f>
        <v/>
      </c>
      <c r="O16" s="7">
        <f>LAVORAZIONI!U15</f>
        <v/>
      </c>
      <c r="P16" s="37">
        <f>LAVORAZIONI!V15</f>
        <v/>
      </c>
      <c r="Q16" s="7">
        <f>LAVORAZIONI!W15</f>
        <v/>
      </c>
      <c r="R16" s="6">
        <f>LAVORAZIONI!X15</f>
        <v/>
      </c>
      <c r="S16" s="7">
        <f>LAVORAZIONI!Y15</f>
        <v/>
      </c>
      <c r="T16" s="6">
        <f>LAVORAZIONI!Z15</f>
        <v/>
      </c>
      <c r="U16" s="7">
        <f>LAVORAZIONI!AA15</f>
        <v/>
      </c>
      <c r="V16" s="6">
        <f>LAVORAZIONI!AB15</f>
        <v/>
      </c>
      <c r="W16" s="7">
        <f>LAVORAZIONI!AC15</f>
        <v/>
      </c>
      <c r="X16" s="6">
        <f>LAVORAZIONI!AD15</f>
        <v/>
      </c>
      <c r="Y16" s="7">
        <f>LAVORAZIONI!AE15</f>
        <v/>
      </c>
      <c r="Z16" s="6">
        <f>LAVORAZIONI!AF15</f>
        <v/>
      </c>
      <c r="AA16" s="7">
        <f>LAVORAZIONI!AG15</f>
        <v/>
      </c>
      <c r="AB16" s="6">
        <f>LAVORAZIONI!AH15</f>
        <v/>
      </c>
      <c r="AC16" s="7">
        <f>LAVORAZIONI!AI15</f>
        <v/>
      </c>
      <c r="AD16" s="13">
        <f>LAVORAZIONI!AJ15</f>
        <v/>
      </c>
    </row>
    <row r="17" ht="71" customHeight="1" s="35">
      <c r="B17" s="4">
        <f>LAVORAZIONI!G16</f>
        <v/>
      </c>
      <c r="C17" s="3">
        <f>LAVORAZIONI!A16</f>
        <v/>
      </c>
      <c r="D17" s="3">
        <f>LAVORAZIONI!K16</f>
        <v/>
      </c>
      <c r="E17" s="4">
        <f>LAVORAZIONI!H16</f>
        <v/>
      </c>
      <c r="F17" s="4">
        <f>LAVORAZIONI!M16</f>
        <v/>
      </c>
      <c r="G17" s="5">
        <f>LAVORAZIONI!N16</f>
        <v/>
      </c>
      <c r="H17" s="6">
        <f>LAVORAZIONI!O16</f>
        <v/>
      </c>
      <c r="I17" s="13">
        <f>LAVORAZIONI!P16</f>
        <v/>
      </c>
      <c r="J17" s="5">
        <f>IF(LAVORAZIONI!Q16="","",LAVORAZIONI!Q16)</f>
        <v/>
      </c>
      <c r="K17" s="6">
        <f>IF(LAVORAZIONI!R16="","",LAVORAZIONI!R16)</f>
        <v/>
      </c>
      <c r="L17" s="13">
        <f>IF(LAVORAZIONI!S16="","",LAVORAZIONI!S16)</f>
        <v/>
      </c>
      <c r="M17" s="13">
        <f>LAVORAZIONI!T16</f>
        <v/>
      </c>
      <c r="O17" s="7">
        <f>LAVORAZIONI!U16</f>
        <v/>
      </c>
      <c r="P17" s="37">
        <f>LAVORAZIONI!V16</f>
        <v/>
      </c>
      <c r="Q17" s="7">
        <f>LAVORAZIONI!W16</f>
        <v/>
      </c>
      <c r="R17" s="6">
        <f>LAVORAZIONI!X16</f>
        <v/>
      </c>
      <c r="S17" s="7">
        <f>LAVORAZIONI!Y16</f>
        <v/>
      </c>
      <c r="T17" s="6">
        <f>LAVORAZIONI!Z16</f>
        <v/>
      </c>
      <c r="U17" s="7">
        <f>LAVORAZIONI!AA16</f>
        <v/>
      </c>
      <c r="V17" s="6">
        <f>LAVORAZIONI!AB16</f>
        <v/>
      </c>
      <c r="W17" s="7">
        <f>LAVORAZIONI!AC16</f>
        <v/>
      </c>
      <c r="X17" s="6">
        <f>LAVORAZIONI!AD16</f>
        <v/>
      </c>
      <c r="Y17" s="7">
        <f>LAVORAZIONI!AE16</f>
        <v/>
      </c>
      <c r="Z17" s="6">
        <f>LAVORAZIONI!AF16</f>
        <v/>
      </c>
      <c r="AA17" s="7">
        <f>LAVORAZIONI!AG16</f>
        <v/>
      </c>
      <c r="AB17" s="6">
        <f>LAVORAZIONI!AH16</f>
        <v/>
      </c>
      <c r="AC17" s="7">
        <f>LAVORAZIONI!AI16</f>
        <v/>
      </c>
      <c r="AD17" s="13">
        <f>LAVORAZIONI!AJ16</f>
        <v/>
      </c>
    </row>
    <row r="18" ht="71" customHeight="1" s="35">
      <c r="B18" s="4">
        <f>LAVORAZIONI!G17</f>
        <v/>
      </c>
      <c r="C18" s="3">
        <f>LAVORAZIONI!A17</f>
        <v/>
      </c>
      <c r="D18" s="3">
        <f>LAVORAZIONI!K17</f>
        <v/>
      </c>
      <c r="E18" s="4">
        <f>LAVORAZIONI!H17</f>
        <v/>
      </c>
      <c r="F18" s="4">
        <f>LAVORAZIONI!M17</f>
        <v/>
      </c>
      <c r="G18" s="5">
        <f>LAVORAZIONI!N17</f>
        <v/>
      </c>
      <c r="H18" s="6">
        <f>LAVORAZIONI!O17</f>
        <v/>
      </c>
      <c r="I18" s="13">
        <f>LAVORAZIONI!P17</f>
        <v/>
      </c>
      <c r="J18" s="5">
        <f>IF(LAVORAZIONI!Q17="","",LAVORAZIONI!Q17)</f>
        <v/>
      </c>
      <c r="K18" s="6">
        <f>IF(LAVORAZIONI!R17="","",LAVORAZIONI!R17)</f>
        <v/>
      </c>
      <c r="L18" s="13">
        <f>IF(LAVORAZIONI!S17="","",LAVORAZIONI!S17)</f>
        <v/>
      </c>
      <c r="M18" s="13">
        <f>LAVORAZIONI!T17</f>
        <v/>
      </c>
      <c r="O18" s="7">
        <f>LAVORAZIONI!U17</f>
        <v/>
      </c>
      <c r="P18" s="37">
        <f>LAVORAZIONI!V17</f>
        <v/>
      </c>
      <c r="Q18" s="7">
        <f>LAVORAZIONI!W17</f>
        <v/>
      </c>
      <c r="R18" s="6">
        <f>LAVORAZIONI!X17</f>
        <v/>
      </c>
      <c r="S18" s="7">
        <f>LAVORAZIONI!Y17</f>
        <v/>
      </c>
      <c r="T18" s="6">
        <f>LAVORAZIONI!Z17</f>
        <v/>
      </c>
      <c r="U18" s="7">
        <f>LAVORAZIONI!AA17</f>
        <v/>
      </c>
      <c r="V18" s="6">
        <f>LAVORAZIONI!AB17</f>
        <v/>
      </c>
      <c r="W18" s="7">
        <f>LAVORAZIONI!AC17</f>
        <v/>
      </c>
      <c r="X18" s="6">
        <f>LAVORAZIONI!AD17</f>
        <v/>
      </c>
      <c r="Y18" s="7">
        <f>LAVORAZIONI!AE17</f>
        <v/>
      </c>
      <c r="Z18" s="6">
        <f>LAVORAZIONI!AF17</f>
        <v/>
      </c>
      <c r="AA18" s="7">
        <f>LAVORAZIONI!AG17</f>
        <v/>
      </c>
      <c r="AB18" s="6">
        <f>LAVORAZIONI!AH17</f>
        <v/>
      </c>
      <c r="AC18" s="7">
        <f>LAVORAZIONI!AI17</f>
        <v/>
      </c>
      <c r="AD18" s="13">
        <f>LAVORAZIONI!AJ17</f>
        <v/>
      </c>
    </row>
    <row r="19" ht="71" customHeight="1" s="35">
      <c r="B19" s="4">
        <f>LAVORAZIONI!G18</f>
        <v/>
      </c>
      <c r="C19" s="3">
        <f>LAVORAZIONI!A18</f>
        <v/>
      </c>
      <c r="D19" s="3">
        <f>LAVORAZIONI!K18</f>
        <v/>
      </c>
      <c r="E19" s="4">
        <f>LAVORAZIONI!H18</f>
        <v/>
      </c>
      <c r="F19" s="4">
        <f>LAVORAZIONI!M18</f>
        <v/>
      </c>
      <c r="G19" s="5">
        <f>LAVORAZIONI!N18</f>
        <v/>
      </c>
      <c r="H19" s="6">
        <f>LAVORAZIONI!O18</f>
        <v/>
      </c>
      <c r="I19" s="13">
        <f>LAVORAZIONI!P18</f>
        <v/>
      </c>
      <c r="J19" s="5">
        <f>IF(LAVORAZIONI!Q18="","",LAVORAZIONI!Q18)</f>
        <v/>
      </c>
      <c r="K19" s="6">
        <f>IF(LAVORAZIONI!R18="","",LAVORAZIONI!R18)</f>
        <v/>
      </c>
      <c r="L19" s="13">
        <f>IF(LAVORAZIONI!S18="","",LAVORAZIONI!S18)</f>
        <v/>
      </c>
      <c r="M19" s="13">
        <f>LAVORAZIONI!T18</f>
        <v/>
      </c>
      <c r="O19" s="7">
        <f>LAVORAZIONI!U18</f>
        <v/>
      </c>
      <c r="P19" s="37">
        <f>LAVORAZIONI!V18</f>
        <v/>
      </c>
      <c r="Q19" s="7">
        <f>LAVORAZIONI!W18</f>
        <v/>
      </c>
      <c r="R19" s="6">
        <f>LAVORAZIONI!X18</f>
        <v/>
      </c>
      <c r="S19" s="7">
        <f>LAVORAZIONI!Y18</f>
        <v/>
      </c>
      <c r="T19" s="6">
        <f>LAVORAZIONI!Z18</f>
        <v/>
      </c>
      <c r="U19" s="7">
        <f>LAVORAZIONI!AA18</f>
        <v/>
      </c>
      <c r="V19" s="6">
        <f>LAVORAZIONI!AB18</f>
        <v/>
      </c>
      <c r="W19" s="7">
        <f>LAVORAZIONI!AC18</f>
        <v/>
      </c>
      <c r="X19" s="6">
        <f>LAVORAZIONI!AD18</f>
        <v/>
      </c>
      <c r="Y19" s="7">
        <f>LAVORAZIONI!AE18</f>
        <v/>
      </c>
      <c r="Z19" s="6">
        <f>LAVORAZIONI!AF18</f>
        <v/>
      </c>
      <c r="AA19" s="7">
        <f>LAVORAZIONI!AG18</f>
        <v/>
      </c>
      <c r="AB19" s="6">
        <f>LAVORAZIONI!AH18</f>
        <v/>
      </c>
      <c r="AC19" s="7">
        <f>LAVORAZIONI!AI18</f>
        <v/>
      </c>
      <c r="AD19" s="13">
        <f>LAVORAZIONI!AJ18</f>
        <v/>
      </c>
    </row>
    <row r="20" ht="71" customHeight="1" s="35">
      <c r="B20" s="4">
        <f>LAVORAZIONI!G19</f>
        <v/>
      </c>
      <c r="C20" s="3">
        <f>LAVORAZIONI!A19</f>
        <v/>
      </c>
      <c r="D20" s="3">
        <f>LAVORAZIONI!K19</f>
        <v/>
      </c>
      <c r="E20" s="4">
        <f>LAVORAZIONI!H19</f>
        <v/>
      </c>
      <c r="F20" s="4">
        <f>LAVORAZIONI!M19</f>
        <v/>
      </c>
      <c r="G20" s="5">
        <f>LAVORAZIONI!N19</f>
        <v/>
      </c>
      <c r="H20" s="6">
        <f>LAVORAZIONI!O19</f>
        <v/>
      </c>
      <c r="I20" s="13">
        <f>LAVORAZIONI!P19</f>
        <v/>
      </c>
      <c r="J20" s="5">
        <f>IF(LAVORAZIONI!Q19="","",LAVORAZIONI!Q19)</f>
        <v/>
      </c>
      <c r="K20" s="6">
        <f>IF(LAVORAZIONI!R19="","",LAVORAZIONI!R19)</f>
        <v/>
      </c>
      <c r="L20" s="13">
        <f>IF(LAVORAZIONI!S19="","",LAVORAZIONI!S19)</f>
        <v/>
      </c>
      <c r="M20" s="13">
        <f>LAVORAZIONI!T19</f>
        <v/>
      </c>
      <c r="O20" s="7">
        <f>LAVORAZIONI!U19</f>
        <v/>
      </c>
      <c r="P20" s="37">
        <f>LAVORAZIONI!V19</f>
        <v/>
      </c>
      <c r="Q20" s="7">
        <f>LAVORAZIONI!W19</f>
        <v/>
      </c>
      <c r="R20" s="6">
        <f>LAVORAZIONI!X19</f>
        <v/>
      </c>
      <c r="S20" s="7">
        <f>LAVORAZIONI!Y19</f>
        <v/>
      </c>
      <c r="T20" s="6">
        <f>LAVORAZIONI!Z19</f>
        <v/>
      </c>
      <c r="U20" s="7">
        <f>LAVORAZIONI!AA19</f>
        <v/>
      </c>
      <c r="V20" s="6">
        <f>LAVORAZIONI!AB19</f>
        <v/>
      </c>
      <c r="W20" s="7">
        <f>LAVORAZIONI!AC19</f>
        <v/>
      </c>
      <c r="X20" s="6">
        <f>LAVORAZIONI!AD19</f>
        <v/>
      </c>
      <c r="Y20" s="7">
        <f>LAVORAZIONI!AE19</f>
        <v/>
      </c>
      <c r="Z20" s="6">
        <f>LAVORAZIONI!AF19</f>
        <v/>
      </c>
      <c r="AA20" s="7">
        <f>LAVORAZIONI!AG19</f>
        <v/>
      </c>
      <c r="AB20" s="6">
        <f>LAVORAZIONI!AH19</f>
        <v/>
      </c>
      <c r="AC20" s="7">
        <f>LAVORAZIONI!AI19</f>
        <v/>
      </c>
      <c r="AD20" s="13">
        <f>LAVORAZIONI!AJ19</f>
        <v/>
      </c>
    </row>
    <row r="21" ht="71" customHeight="1" s="35">
      <c r="B21" s="4">
        <f>LAVORAZIONI!G20</f>
        <v/>
      </c>
      <c r="C21" s="3">
        <f>LAVORAZIONI!A20</f>
        <v/>
      </c>
      <c r="D21" s="3">
        <f>LAVORAZIONI!K20</f>
        <v/>
      </c>
      <c r="E21" s="4">
        <f>LAVORAZIONI!H20</f>
        <v/>
      </c>
      <c r="F21" s="4">
        <f>LAVORAZIONI!M20</f>
        <v/>
      </c>
      <c r="G21" s="5">
        <f>LAVORAZIONI!N20</f>
        <v/>
      </c>
      <c r="H21" s="6">
        <f>LAVORAZIONI!O20</f>
        <v/>
      </c>
      <c r="I21" s="13">
        <f>LAVORAZIONI!P20</f>
        <v/>
      </c>
      <c r="J21" s="5">
        <f>IF(LAVORAZIONI!Q20="","",LAVORAZIONI!Q20)</f>
        <v/>
      </c>
      <c r="K21" s="6">
        <f>IF(LAVORAZIONI!R20="","",LAVORAZIONI!R20)</f>
        <v/>
      </c>
      <c r="L21" s="13">
        <f>IF(LAVORAZIONI!S20="","",LAVORAZIONI!S20)</f>
        <v/>
      </c>
      <c r="M21" s="13">
        <f>LAVORAZIONI!T20</f>
        <v/>
      </c>
      <c r="O21" s="7">
        <f>LAVORAZIONI!U20</f>
        <v/>
      </c>
      <c r="P21" s="37">
        <f>LAVORAZIONI!V20</f>
        <v/>
      </c>
      <c r="Q21" s="7">
        <f>LAVORAZIONI!W20</f>
        <v/>
      </c>
      <c r="R21" s="6">
        <f>LAVORAZIONI!X20</f>
        <v/>
      </c>
      <c r="S21" s="7">
        <f>LAVORAZIONI!Y20</f>
        <v/>
      </c>
      <c r="T21" s="6">
        <f>LAVORAZIONI!Z20</f>
        <v/>
      </c>
      <c r="U21" s="7">
        <f>LAVORAZIONI!AA20</f>
        <v/>
      </c>
      <c r="V21" s="6">
        <f>LAVORAZIONI!AB20</f>
        <v/>
      </c>
      <c r="W21" s="7">
        <f>LAVORAZIONI!AC20</f>
        <v/>
      </c>
      <c r="X21" s="6">
        <f>LAVORAZIONI!AD20</f>
        <v/>
      </c>
      <c r="Y21" s="7">
        <f>LAVORAZIONI!AE20</f>
        <v/>
      </c>
      <c r="Z21" s="6">
        <f>LAVORAZIONI!AF20</f>
        <v/>
      </c>
      <c r="AA21" s="7">
        <f>LAVORAZIONI!AG20</f>
        <v/>
      </c>
      <c r="AB21" s="6">
        <f>LAVORAZIONI!AH20</f>
        <v/>
      </c>
      <c r="AC21" s="7">
        <f>LAVORAZIONI!AI20</f>
        <v/>
      </c>
      <c r="AD21" s="13">
        <f>LAVORAZIONI!AJ20</f>
        <v/>
      </c>
    </row>
    <row r="22" ht="71" customHeight="1" s="35">
      <c r="B22" s="4">
        <f>LAVORAZIONI!G21</f>
        <v/>
      </c>
      <c r="C22" s="3">
        <f>LAVORAZIONI!A21</f>
        <v/>
      </c>
      <c r="D22" s="3">
        <f>LAVORAZIONI!K21</f>
        <v/>
      </c>
      <c r="E22" s="4">
        <f>LAVORAZIONI!H21</f>
        <v/>
      </c>
      <c r="F22" s="4">
        <f>LAVORAZIONI!M21</f>
        <v/>
      </c>
      <c r="G22" s="5">
        <f>LAVORAZIONI!N21</f>
        <v/>
      </c>
      <c r="H22" s="6">
        <f>LAVORAZIONI!O21</f>
        <v/>
      </c>
      <c r="I22" s="13">
        <f>LAVORAZIONI!P21</f>
        <v/>
      </c>
      <c r="J22" s="5">
        <f>IF(LAVORAZIONI!Q21="","",LAVORAZIONI!Q21)</f>
        <v/>
      </c>
      <c r="K22" s="6">
        <f>IF(LAVORAZIONI!R21="","",LAVORAZIONI!R21)</f>
        <v/>
      </c>
      <c r="L22" s="13">
        <f>IF(LAVORAZIONI!S21="","",LAVORAZIONI!S21)</f>
        <v/>
      </c>
      <c r="M22" s="13">
        <f>LAVORAZIONI!T21</f>
        <v/>
      </c>
      <c r="O22" s="7">
        <f>LAVORAZIONI!U21</f>
        <v/>
      </c>
      <c r="P22" s="37">
        <f>LAVORAZIONI!V21</f>
        <v/>
      </c>
      <c r="Q22" s="7">
        <f>LAVORAZIONI!W21</f>
        <v/>
      </c>
      <c r="R22" s="6">
        <f>LAVORAZIONI!X21</f>
        <v/>
      </c>
      <c r="S22" s="7">
        <f>LAVORAZIONI!Y21</f>
        <v/>
      </c>
      <c r="T22" s="6">
        <f>LAVORAZIONI!Z21</f>
        <v/>
      </c>
      <c r="U22" s="7">
        <f>LAVORAZIONI!AA21</f>
        <v/>
      </c>
      <c r="V22" s="6">
        <f>LAVORAZIONI!AB21</f>
        <v/>
      </c>
      <c r="W22" s="7">
        <f>LAVORAZIONI!AC21</f>
        <v/>
      </c>
      <c r="X22" s="6">
        <f>LAVORAZIONI!AD21</f>
        <v/>
      </c>
      <c r="Y22" s="7">
        <f>LAVORAZIONI!AE21</f>
        <v/>
      </c>
      <c r="Z22" s="6">
        <f>LAVORAZIONI!AF21</f>
        <v/>
      </c>
      <c r="AA22" s="7">
        <f>LAVORAZIONI!AG21</f>
        <v/>
      </c>
      <c r="AB22" s="6">
        <f>LAVORAZIONI!AH21</f>
        <v/>
      </c>
      <c r="AC22" s="7">
        <f>LAVORAZIONI!AI21</f>
        <v/>
      </c>
      <c r="AD22" s="13">
        <f>LAVORAZIONI!AJ21</f>
        <v/>
      </c>
    </row>
    <row r="23" ht="71" customHeight="1" s="35">
      <c r="B23" s="4">
        <f>LAVORAZIONI!G22</f>
        <v/>
      </c>
      <c r="C23" s="3">
        <f>LAVORAZIONI!A22</f>
        <v/>
      </c>
      <c r="D23" s="3">
        <f>LAVORAZIONI!K22</f>
        <v/>
      </c>
      <c r="E23" s="4">
        <f>LAVORAZIONI!H22</f>
        <v/>
      </c>
      <c r="F23" s="4">
        <f>LAVORAZIONI!M22</f>
        <v/>
      </c>
      <c r="G23" s="5">
        <f>LAVORAZIONI!N22</f>
        <v/>
      </c>
      <c r="H23" s="6">
        <f>LAVORAZIONI!O22</f>
        <v/>
      </c>
      <c r="I23" s="13">
        <f>LAVORAZIONI!P22</f>
        <v/>
      </c>
      <c r="J23" s="5">
        <f>IF(LAVORAZIONI!Q22="","",LAVORAZIONI!Q22)</f>
        <v/>
      </c>
      <c r="K23" s="6">
        <f>IF(LAVORAZIONI!R22="","",LAVORAZIONI!R22)</f>
        <v/>
      </c>
      <c r="L23" s="13">
        <f>IF(LAVORAZIONI!S22="","",LAVORAZIONI!S22)</f>
        <v/>
      </c>
      <c r="M23" s="13">
        <f>LAVORAZIONI!T22</f>
        <v/>
      </c>
      <c r="O23" s="7">
        <f>LAVORAZIONI!U22</f>
        <v/>
      </c>
      <c r="P23" s="37">
        <f>LAVORAZIONI!V22</f>
        <v/>
      </c>
      <c r="Q23" s="7">
        <f>LAVORAZIONI!W22</f>
        <v/>
      </c>
      <c r="R23" s="6">
        <f>LAVORAZIONI!X22</f>
        <v/>
      </c>
      <c r="S23" s="7">
        <f>LAVORAZIONI!Y22</f>
        <v/>
      </c>
      <c r="T23" s="6">
        <f>LAVORAZIONI!Z22</f>
        <v/>
      </c>
      <c r="U23" s="7">
        <f>LAVORAZIONI!AA22</f>
        <v/>
      </c>
      <c r="V23" s="6">
        <f>LAVORAZIONI!AB22</f>
        <v/>
      </c>
      <c r="W23" s="7">
        <f>LAVORAZIONI!AC22</f>
        <v/>
      </c>
      <c r="X23" s="6">
        <f>LAVORAZIONI!AD22</f>
        <v/>
      </c>
      <c r="Y23" s="7">
        <f>LAVORAZIONI!AE22</f>
        <v/>
      </c>
      <c r="Z23" s="6">
        <f>LAVORAZIONI!AF22</f>
        <v/>
      </c>
      <c r="AA23" s="7">
        <f>LAVORAZIONI!AG22</f>
        <v/>
      </c>
      <c r="AB23" s="6">
        <f>LAVORAZIONI!AH22</f>
        <v/>
      </c>
      <c r="AC23" s="7">
        <f>LAVORAZIONI!AI22</f>
        <v/>
      </c>
      <c r="AD23" s="13">
        <f>LAVORAZIONI!AJ22</f>
        <v/>
      </c>
    </row>
    <row r="24" ht="71" customHeight="1" s="35">
      <c r="B24" s="4">
        <f>LAVORAZIONI!G23</f>
        <v/>
      </c>
      <c r="C24" s="3">
        <f>LAVORAZIONI!A23</f>
        <v/>
      </c>
      <c r="D24" s="3">
        <f>LAVORAZIONI!K23</f>
        <v/>
      </c>
      <c r="E24" s="4">
        <f>LAVORAZIONI!H23</f>
        <v/>
      </c>
      <c r="F24" s="4">
        <f>LAVORAZIONI!M23</f>
        <v/>
      </c>
      <c r="G24" s="5">
        <f>LAVORAZIONI!N23</f>
        <v/>
      </c>
      <c r="H24" s="6">
        <f>LAVORAZIONI!O23</f>
        <v/>
      </c>
      <c r="I24" s="13">
        <f>LAVORAZIONI!P23</f>
        <v/>
      </c>
      <c r="J24" s="5">
        <f>IF(LAVORAZIONI!Q23="","",LAVORAZIONI!Q23)</f>
        <v/>
      </c>
      <c r="K24" s="6">
        <f>IF(LAVORAZIONI!R23="","",LAVORAZIONI!R23)</f>
        <v/>
      </c>
      <c r="L24" s="13">
        <f>IF(LAVORAZIONI!S23="","",LAVORAZIONI!S23)</f>
        <v/>
      </c>
      <c r="M24" s="13">
        <f>LAVORAZIONI!T23</f>
        <v/>
      </c>
      <c r="O24" s="7">
        <f>LAVORAZIONI!U23</f>
        <v/>
      </c>
      <c r="P24" s="37">
        <f>LAVORAZIONI!V23</f>
        <v/>
      </c>
      <c r="Q24" s="7">
        <f>LAVORAZIONI!W23</f>
        <v/>
      </c>
      <c r="R24" s="6">
        <f>LAVORAZIONI!X23</f>
        <v/>
      </c>
      <c r="S24" s="7">
        <f>LAVORAZIONI!Y23</f>
        <v/>
      </c>
      <c r="T24" s="6">
        <f>LAVORAZIONI!Z23</f>
        <v/>
      </c>
      <c r="U24" s="7">
        <f>LAVORAZIONI!AA23</f>
        <v/>
      </c>
      <c r="V24" s="6">
        <f>LAVORAZIONI!AB23</f>
        <v/>
      </c>
      <c r="W24" s="7">
        <f>LAVORAZIONI!AC23</f>
        <v/>
      </c>
      <c r="X24" s="6">
        <f>LAVORAZIONI!AD23</f>
        <v/>
      </c>
      <c r="Y24" s="7">
        <f>LAVORAZIONI!AE23</f>
        <v/>
      </c>
      <c r="Z24" s="6">
        <f>LAVORAZIONI!AF23</f>
        <v/>
      </c>
      <c r="AA24" s="7">
        <f>LAVORAZIONI!AG23</f>
        <v/>
      </c>
      <c r="AB24" s="6">
        <f>LAVORAZIONI!AH23</f>
        <v/>
      </c>
      <c r="AC24" s="7">
        <f>LAVORAZIONI!AI23</f>
        <v/>
      </c>
      <c r="AD24" s="13">
        <f>LAVORAZIONI!AJ23</f>
        <v/>
      </c>
    </row>
    <row r="25" ht="71" customHeight="1" s="35">
      <c r="B25" s="4">
        <f>LAVORAZIONI!G24</f>
        <v/>
      </c>
      <c r="C25" s="3">
        <f>LAVORAZIONI!A24</f>
        <v/>
      </c>
      <c r="D25" s="3">
        <f>LAVORAZIONI!K24</f>
        <v/>
      </c>
      <c r="E25" s="4">
        <f>LAVORAZIONI!H24</f>
        <v/>
      </c>
      <c r="F25" s="4">
        <f>LAVORAZIONI!M24</f>
        <v/>
      </c>
      <c r="G25" s="5">
        <f>LAVORAZIONI!N24</f>
        <v/>
      </c>
      <c r="H25" s="6">
        <f>LAVORAZIONI!O24</f>
        <v/>
      </c>
      <c r="I25" s="13">
        <f>LAVORAZIONI!P24</f>
        <v/>
      </c>
      <c r="J25" s="5">
        <f>IF(LAVORAZIONI!Q24="","",LAVORAZIONI!Q24)</f>
        <v/>
      </c>
      <c r="K25" s="6">
        <f>IF(LAVORAZIONI!R24="","",LAVORAZIONI!R24)</f>
        <v/>
      </c>
      <c r="L25" s="13">
        <f>IF(LAVORAZIONI!S24="","",LAVORAZIONI!S24)</f>
        <v/>
      </c>
      <c r="M25" s="13">
        <f>LAVORAZIONI!T24</f>
        <v/>
      </c>
      <c r="O25" s="7">
        <f>LAVORAZIONI!U24</f>
        <v/>
      </c>
      <c r="P25" s="37">
        <f>LAVORAZIONI!V24</f>
        <v/>
      </c>
      <c r="Q25" s="7">
        <f>LAVORAZIONI!W24</f>
        <v/>
      </c>
      <c r="R25" s="6">
        <f>LAVORAZIONI!X24</f>
        <v/>
      </c>
      <c r="S25" s="7">
        <f>LAVORAZIONI!Y24</f>
        <v/>
      </c>
      <c r="T25" s="6">
        <f>LAVORAZIONI!Z24</f>
        <v/>
      </c>
      <c r="U25" s="7">
        <f>LAVORAZIONI!AA24</f>
        <v/>
      </c>
      <c r="V25" s="6">
        <f>LAVORAZIONI!AB24</f>
        <v/>
      </c>
      <c r="W25" s="7">
        <f>LAVORAZIONI!AC24</f>
        <v/>
      </c>
      <c r="X25" s="6">
        <f>LAVORAZIONI!AD24</f>
        <v/>
      </c>
      <c r="Y25" s="7">
        <f>LAVORAZIONI!AE24</f>
        <v/>
      </c>
      <c r="Z25" s="6">
        <f>LAVORAZIONI!AF24</f>
        <v/>
      </c>
      <c r="AA25" s="7">
        <f>LAVORAZIONI!AG24</f>
        <v/>
      </c>
      <c r="AB25" s="6">
        <f>LAVORAZIONI!AH24</f>
        <v/>
      </c>
      <c r="AC25" s="7">
        <f>LAVORAZIONI!AI24</f>
        <v/>
      </c>
      <c r="AD25" s="13">
        <f>LAVORAZIONI!AJ24</f>
        <v/>
      </c>
    </row>
    <row r="26" ht="71" customHeight="1" s="35">
      <c r="B26" s="4">
        <f>LAVORAZIONI!G25</f>
        <v/>
      </c>
      <c r="C26" s="3">
        <f>LAVORAZIONI!A25</f>
        <v/>
      </c>
      <c r="D26" s="3">
        <f>LAVORAZIONI!K25</f>
        <v/>
      </c>
      <c r="E26" s="4">
        <f>LAVORAZIONI!H25</f>
        <v/>
      </c>
      <c r="F26" s="4">
        <f>LAVORAZIONI!M25</f>
        <v/>
      </c>
      <c r="G26" s="5">
        <f>LAVORAZIONI!N25</f>
        <v/>
      </c>
      <c r="H26" s="6">
        <f>LAVORAZIONI!O25</f>
        <v/>
      </c>
      <c r="I26" s="13">
        <f>LAVORAZIONI!P25</f>
        <v/>
      </c>
      <c r="J26" s="5">
        <f>IF(LAVORAZIONI!Q25="","",LAVORAZIONI!Q25)</f>
        <v/>
      </c>
      <c r="K26" s="6">
        <f>IF(LAVORAZIONI!R25="","",LAVORAZIONI!R25)</f>
        <v/>
      </c>
      <c r="L26" s="13">
        <f>IF(LAVORAZIONI!S25="","",LAVORAZIONI!S25)</f>
        <v/>
      </c>
      <c r="M26" s="13">
        <f>LAVORAZIONI!T25</f>
        <v/>
      </c>
      <c r="O26" s="7">
        <f>LAVORAZIONI!U25</f>
        <v/>
      </c>
      <c r="P26" s="37">
        <f>LAVORAZIONI!V25</f>
        <v/>
      </c>
      <c r="Q26" s="7">
        <f>LAVORAZIONI!W25</f>
        <v/>
      </c>
      <c r="R26" s="6">
        <f>LAVORAZIONI!X25</f>
        <v/>
      </c>
      <c r="S26" s="7">
        <f>LAVORAZIONI!Y25</f>
        <v/>
      </c>
      <c r="T26" s="6">
        <f>LAVORAZIONI!Z25</f>
        <v/>
      </c>
      <c r="U26" s="7">
        <f>LAVORAZIONI!AA25</f>
        <v/>
      </c>
      <c r="V26" s="6">
        <f>LAVORAZIONI!AB25</f>
        <v/>
      </c>
      <c r="W26" s="7">
        <f>LAVORAZIONI!AC25</f>
        <v/>
      </c>
      <c r="X26" s="6">
        <f>LAVORAZIONI!AD25</f>
        <v/>
      </c>
      <c r="Y26" s="7">
        <f>LAVORAZIONI!AE25</f>
        <v/>
      </c>
      <c r="Z26" s="6">
        <f>LAVORAZIONI!AF25</f>
        <v/>
      </c>
      <c r="AA26" s="7">
        <f>LAVORAZIONI!AG25</f>
        <v/>
      </c>
      <c r="AB26" s="6">
        <f>LAVORAZIONI!AH25</f>
        <v/>
      </c>
      <c r="AC26" s="7">
        <f>LAVORAZIONI!AI25</f>
        <v/>
      </c>
      <c r="AD26" s="13">
        <f>LAVORAZIONI!AJ25</f>
        <v/>
      </c>
    </row>
    <row r="27" ht="71" customHeight="1" s="35">
      <c r="B27" s="4">
        <f>LAVORAZIONI!G26</f>
        <v/>
      </c>
      <c r="C27" s="3">
        <f>LAVORAZIONI!A26</f>
        <v/>
      </c>
      <c r="D27" s="3">
        <f>LAVORAZIONI!K26</f>
        <v/>
      </c>
      <c r="E27" s="4">
        <f>LAVORAZIONI!H26</f>
        <v/>
      </c>
      <c r="F27" s="4">
        <f>LAVORAZIONI!M26</f>
        <v/>
      </c>
      <c r="G27" s="5">
        <f>LAVORAZIONI!N26</f>
        <v/>
      </c>
      <c r="H27" s="6">
        <f>LAVORAZIONI!O26</f>
        <v/>
      </c>
      <c r="I27" s="13">
        <f>LAVORAZIONI!P26</f>
        <v/>
      </c>
      <c r="J27" s="5">
        <f>IF(LAVORAZIONI!Q26="","",LAVORAZIONI!Q26)</f>
        <v/>
      </c>
      <c r="K27" s="6">
        <f>IF(LAVORAZIONI!R26="","",LAVORAZIONI!R26)</f>
        <v/>
      </c>
      <c r="L27" s="13">
        <f>IF(LAVORAZIONI!S26="","",LAVORAZIONI!S26)</f>
        <v/>
      </c>
      <c r="M27" s="13">
        <f>LAVORAZIONI!T26</f>
        <v/>
      </c>
      <c r="O27" s="7">
        <f>LAVORAZIONI!U26</f>
        <v/>
      </c>
      <c r="P27" s="37">
        <f>LAVORAZIONI!V26</f>
        <v/>
      </c>
      <c r="Q27" s="7">
        <f>LAVORAZIONI!W26</f>
        <v/>
      </c>
      <c r="R27" s="6">
        <f>LAVORAZIONI!X26</f>
        <v/>
      </c>
      <c r="S27" s="7">
        <f>LAVORAZIONI!Y26</f>
        <v/>
      </c>
      <c r="T27" s="6">
        <f>LAVORAZIONI!Z26</f>
        <v/>
      </c>
      <c r="U27" s="7">
        <f>LAVORAZIONI!AA26</f>
        <v/>
      </c>
      <c r="V27" s="6">
        <f>LAVORAZIONI!AB26</f>
        <v/>
      </c>
      <c r="W27" s="7">
        <f>LAVORAZIONI!AC26</f>
        <v/>
      </c>
      <c r="X27" s="6">
        <f>LAVORAZIONI!AD26</f>
        <v/>
      </c>
      <c r="Y27" s="7">
        <f>LAVORAZIONI!AE26</f>
        <v/>
      </c>
      <c r="Z27" s="6">
        <f>LAVORAZIONI!AF26</f>
        <v/>
      </c>
      <c r="AA27" s="7">
        <f>LAVORAZIONI!AG26</f>
        <v/>
      </c>
      <c r="AB27" s="6">
        <f>LAVORAZIONI!AH26</f>
        <v/>
      </c>
      <c r="AC27" s="7">
        <f>LAVORAZIONI!AI26</f>
        <v/>
      </c>
      <c r="AD27" s="13">
        <f>LAVORAZIONI!AJ26</f>
        <v/>
      </c>
    </row>
    <row r="28" ht="71" customHeight="1" s="35">
      <c r="B28" s="4">
        <f>LAVORAZIONI!G27</f>
        <v/>
      </c>
      <c r="C28" s="3">
        <f>LAVORAZIONI!A27</f>
        <v/>
      </c>
      <c r="D28" s="3">
        <f>LAVORAZIONI!K27</f>
        <v/>
      </c>
      <c r="E28" s="4">
        <f>LAVORAZIONI!H27</f>
        <v/>
      </c>
      <c r="F28" s="4">
        <f>LAVORAZIONI!M27</f>
        <v/>
      </c>
      <c r="G28" s="5">
        <f>LAVORAZIONI!N27</f>
        <v/>
      </c>
      <c r="H28" s="6">
        <f>LAVORAZIONI!O27</f>
        <v/>
      </c>
      <c r="I28" s="13">
        <f>LAVORAZIONI!P27</f>
        <v/>
      </c>
      <c r="J28" s="5">
        <f>IF(LAVORAZIONI!Q27="","",LAVORAZIONI!Q27)</f>
        <v/>
      </c>
      <c r="K28" s="6">
        <f>IF(LAVORAZIONI!R27="","",LAVORAZIONI!R27)</f>
        <v/>
      </c>
      <c r="L28" s="13">
        <f>IF(LAVORAZIONI!S27="","",LAVORAZIONI!S27)</f>
        <v/>
      </c>
      <c r="M28" s="13">
        <f>LAVORAZIONI!T27</f>
        <v/>
      </c>
      <c r="O28" s="7">
        <f>LAVORAZIONI!U27</f>
        <v/>
      </c>
      <c r="P28" s="37">
        <f>LAVORAZIONI!V27</f>
        <v/>
      </c>
      <c r="Q28" s="7">
        <f>LAVORAZIONI!W27</f>
        <v/>
      </c>
      <c r="R28" s="6">
        <f>LAVORAZIONI!X27</f>
        <v/>
      </c>
      <c r="S28" s="7">
        <f>LAVORAZIONI!Y27</f>
        <v/>
      </c>
      <c r="T28" s="6">
        <f>LAVORAZIONI!Z27</f>
        <v/>
      </c>
      <c r="U28" s="7">
        <f>LAVORAZIONI!AA27</f>
        <v/>
      </c>
      <c r="V28" s="6">
        <f>LAVORAZIONI!AB27</f>
        <v/>
      </c>
      <c r="W28" s="7">
        <f>LAVORAZIONI!AC27</f>
        <v/>
      </c>
      <c r="X28" s="6">
        <f>LAVORAZIONI!AD27</f>
        <v/>
      </c>
      <c r="Y28" s="7">
        <f>LAVORAZIONI!AE27</f>
        <v/>
      </c>
      <c r="Z28" s="6">
        <f>LAVORAZIONI!AF27</f>
        <v/>
      </c>
      <c r="AA28" s="7">
        <f>LAVORAZIONI!AG27</f>
        <v/>
      </c>
      <c r="AB28" s="6">
        <f>LAVORAZIONI!AH27</f>
        <v/>
      </c>
      <c r="AC28" s="7">
        <f>LAVORAZIONI!AI27</f>
        <v/>
      </c>
      <c r="AD28" s="13">
        <f>LAVORAZIONI!AJ27</f>
        <v/>
      </c>
    </row>
    <row r="29" ht="71" customHeight="1" s="35">
      <c r="B29" s="4">
        <f>LAVORAZIONI!G28</f>
        <v/>
      </c>
      <c r="C29" s="3">
        <f>LAVORAZIONI!A28</f>
        <v/>
      </c>
      <c r="D29" s="3">
        <f>LAVORAZIONI!K28</f>
        <v/>
      </c>
      <c r="E29" s="4">
        <f>LAVORAZIONI!H28</f>
        <v/>
      </c>
      <c r="F29" s="4">
        <f>LAVORAZIONI!M28</f>
        <v/>
      </c>
      <c r="G29" s="5">
        <f>LAVORAZIONI!N28</f>
        <v/>
      </c>
      <c r="H29" s="6">
        <f>LAVORAZIONI!O28</f>
        <v/>
      </c>
      <c r="I29" s="13">
        <f>LAVORAZIONI!P28</f>
        <v/>
      </c>
      <c r="J29" s="5">
        <f>IF(LAVORAZIONI!Q28="","",LAVORAZIONI!Q28)</f>
        <v/>
      </c>
      <c r="K29" s="6">
        <f>IF(LAVORAZIONI!R28="","",LAVORAZIONI!R28)</f>
        <v/>
      </c>
      <c r="L29" s="13">
        <f>IF(LAVORAZIONI!S28="","",LAVORAZIONI!S28)</f>
        <v/>
      </c>
      <c r="M29" s="13">
        <f>LAVORAZIONI!T28</f>
        <v/>
      </c>
      <c r="O29" s="7">
        <f>LAVORAZIONI!U28</f>
        <v/>
      </c>
      <c r="P29" s="37">
        <f>LAVORAZIONI!V28</f>
        <v/>
      </c>
      <c r="Q29" s="7">
        <f>LAVORAZIONI!W28</f>
        <v/>
      </c>
      <c r="R29" s="6">
        <f>LAVORAZIONI!X28</f>
        <v/>
      </c>
      <c r="S29" s="7">
        <f>LAVORAZIONI!Y28</f>
        <v/>
      </c>
      <c r="T29" s="6">
        <f>LAVORAZIONI!Z28</f>
        <v/>
      </c>
      <c r="U29" s="7">
        <f>LAVORAZIONI!AA28</f>
        <v/>
      </c>
      <c r="V29" s="6">
        <f>LAVORAZIONI!AB28</f>
        <v/>
      </c>
      <c r="W29" s="7">
        <f>LAVORAZIONI!AC28</f>
        <v/>
      </c>
      <c r="X29" s="6">
        <f>LAVORAZIONI!AD28</f>
        <v/>
      </c>
      <c r="Y29" s="7">
        <f>LAVORAZIONI!AE28</f>
        <v/>
      </c>
      <c r="Z29" s="6">
        <f>LAVORAZIONI!AF28</f>
        <v/>
      </c>
      <c r="AA29" s="7">
        <f>LAVORAZIONI!AG28</f>
        <v/>
      </c>
      <c r="AB29" s="6">
        <f>LAVORAZIONI!AH28</f>
        <v/>
      </c>
      <c r="AC29" s="7">
        <f>LAVORAZIONI!AI28</f>
        <v/>
      </c>
      <c r="AD29" s="13">
        <f>LAVORAZIONI!AJ28</f>
        <v/>
      </c>
    </row>
    <row r="30" ht="71" customHeight="1" s="35">
      <c r="B30" s="4">
        <f>LAVORAZIONI!G29</f>
        <v/>
      </c>
      <c r="C30" s="3">
        <f>LAVORAZIONI!A29</f>
        <v/>
      </c>
      <c r="D30" s="3">
        <f>LAVORAZIONI!K29</f>
        <v/>
      </c>
      <c r="E30" s="4">
        <f>LAVORAZIONI!H29</f>
        <v/>
      </c>
      <c r="F30" s="4">
        <f>LAVORAZIONI!M29</f>
        <v/>
      </c>
      <c r="G30" s="5">
        <f>LAVORAZIONI!N29</f>
        <v/>
      </c>
      <c r="H30" s="6">
        <f>LAVORAZIONI!O29</f>
        <v/>
      </c>
      <c r="I30" s="13">
        <f>LAVORAZIONI!P29</f>
        <v/>
      </c>
      <c r="J30" s="5">
        <f>IF(LAVORAZIONI!Q29="","",LAVORAZIONI!Q29)</f>
        <v/>
      </c>
      <c r="K30" s="6">
        <f>IF(LAVORAZIONI!R29="","",LAVORAZIONI!R29)</f>
        <v/>
      </c>
      <c r="L30" s="13">
        <f>IF(LAVORAZIONI!S29="","",LAVORAZIONI!S29)</f>
        <v/>
      </c>
      <c r="M30" s="13">
        <f>LAVORAZIONI!T29</f>
        <v/>
      </c>
      <c r="O30" s="7">
        <f>LAVORAZIONI!U29</f>
        <v/>
      </c>
      <c r="P30" s="37">
        <f>LAVORAZIONI!V29</f>
        <v/>
      </c>
      <c r="Q30" s="7">
        <f>LAVORAZIONI!W29</f>
        <v/>
      </c>
      <c r="R30" s="6">
        <f>LAVORAZIONI!X29</f>
        <v/>
      </c>
      <c r="S30" s="7">
        <f>LAVORAZIONI!Y29</f>
        <v/>
      </c>
      <c r="T30" s="6">
        <f>LAVORAZIONI!Z29</f>
        <v/>
      </c>
      <c r="U30" s="7">
        <f>LAVORAZIONI!AA29</f>
        <v/>
      </c>
      <c r="V30" s="6">
        <f>LAVORAZIONI!AB29</f>
        <v/>
      </c>
      <c r="W30" s="7">
        <f>LAVORAZIONI!AC29</f>
        <v/>
      </c>
      <c r="X30" s="6">
        <f>LAVORAZIONI!AD29</f>
        <v/>
      </c>
      <c r="Y30" s="7">
        <f>LAVORAZIONI!AE29</f>
        <v/>
      </c>
      <c r="Z30" s="6">
        <f>LAVORAZIONI!AF29</f>
        <v/>
      </c>
      <c r="AA30" s="7">
        <f>LAVORAZIONI!AG29</f>
        <v/>
      </c>
      <c r="AB30" s="6">
        <f>LAVORAZIONI!AH29</f>
        <v/>
      </c>
      <c r="AC30" s="7">
        <f>LAVORAZIONI!AI29</f>
        <v/>
      </c>
      <c r="AD30" s="13">
        <f>LAVORAZIONI!AJ29</f>
        <v/>
      </c>
    </row>
    <row r="31" ht="71" customHeight="1" s="35">
      <c r="B31" s="4">
        <f>LAVORAZIONI!G30</f>
        <v/>
      </c>
      <c r="C31" s="3">
        <f>LAVORAZIONI!A30</f>
        <v/>
      </c>
      <c r="D31" s="3">
        <f>LAVORAZIONI!K30</f>
        <v/>
      </c>
      <c r="E31" s="4">
        <f>LAVORAZIONI!H30</f>
        <v/>
      </c>
      <c r="F31" s="4">
        <f>LAVORAZIONI!M30</f>
        <v/>
      </c>
      <c r="G31" s="5">
        <f>LAVORAZIONI!N30</f>
        <v/>
      </c>
      <c r="H31" s="6">
        <f>LAVORAZIONI!O30</f>
        <v/>
      </c>
      <c r="I31" s="13">
        <f>LAVORAZIONI!P30</f>
        <v/>
      </c>
      <c r="J31" s="5">
        <f>IF(LAVORAZIONI!Q30="","",LAVORAZIONI!Q30)</f>
        <v/>
      </c>
      <c r="K31" s="6">
        <f>IF(LAVORAZIONI!R30="","",LAVORAZIONI!R30)</f>
        <v/>
      </c>
      <c r="L31" s="13">
        <f>IF(LAVORAZIONI!S30="","",LAVORAZIONI!S30)</f>
        <v/>
      </c>
      <c r="M31" s="13">
        <f>LAVORAZIONI!T30</f>
        <v/>
      </c>
      <c r="O31" s="7">
        <f>LAVORAZIONI!U30</f>
        <v/>
      </c>
      <c r="P31" s="37">
        <f>LAVORAZIONI!V30</f>
        <v/>
      </c>
      <c r="Q31" s="7">
        <f>LAVORAZIONI!W30</f>
        <v/>
      </c>
      <c r="R31" s="6">
        <f>LAVORAZIONI!X30</f>
        <v/>
      </c>
      <c r="S31" s="7">
        <f>LAVORAZIONI!Y30</f>
        <v/>
      </c>
      <c r="T31" s="6">
        <f>LAVORAZIONI!Z30</f>
        <v/>
      </c>
      <c r="U31" s="7">
        <f>LAVORAZIONI!AA30</f>
        <v/>
      </c>
      <c r="V31" s="6">
        <f>LAVORAZIONI!AB30</f>
        <v/>
      </c>
      <c r="W31" s="7">
        <f>LAVORAZIONI!AC30</f>
        <v/>
      </c>
      <c r="X31" s="6">
        <f>LAVORAZIONI!AD30</f>
        <v/>
      </c>
      <c r="Y31" s="7">
        <f>LAVORAZIONI!AE30</f>
        <v/>
      </c>
      <c r="Z31" s="6">
        <f>LAVORAZIONI!AF30</f>
        <v/>
      </c>
      <c r="AA31" s="7">
        <f>LAVORAZIONI!AG30</f>
        <v/>
      </c>
      <c r="AB31" s="6">
        <f>LAVORAZIONI!AH30</f>
        <v/>
      </c>
      <c r="AC31" s="7">
        <f>LAVORAZIONI!AI30</f>
        <v/>
      </c>
      <c r="AD31" s="13">
        <f>LAVORAZIONI!AJ30</f>
        <v/>
      </c>
    </row>
    <row r="32" ht="71" customHeight="1" s="35">
      <c r="B32" s="4">
        <f>LAVORAZIONI!G31</f>
        <v/>
      </c>
      <c r="C32" s="3">
        <f>LAVORAZIONI!A31</f>
        <v/>
      </c>
      <c r="D32" s="3">
        <f>LAVORAZIONI!K31</f>
        <v/>
      </c>
      <c r="E32" s="4">
        <f>LAVORAZIONI!H31</f>
        <v/>
      </c>
      <c r="F32" s="4">
        <f>LAVORAZIONI!M31</f>
        <v/>
      </c>
      <c r="G32" s="5">
        <f>LAVORAZIONI!N31</f>
        <v/>
      </c>
      <c r="H32" s="6">
        <f>LAVORAZIONI!O31</f>
        <v/>
      </c>
      <c r="I32" s="13">
        <f>LAVORAZIONI!P31</f>
        <v/>
      </c>
      <c r="J32" s="5">
        <f>IF(LAVORAZIONI!Q31="","",LAVORAZIONI!Q31)</f>
        <v/>
      </c>
      <c r="K32" s="6">
        <f>IF(LAVORAZIONI!R31="","",LAVORAZIONI!R31)</f>
        <v/>
      </c>
      <c r="L32" s="13">
        <f>IF(LAVORAZIONI!S31="","",LAVORAZIONI!S31)</f>
        <v/>
      </c>
      <c r="M32" s="13">
        <f>LAVORAZIONI!T31</f>
        <v/>
      </c>
      <c r="O32" s="7">
        <f>LAVORAZIONI!U31</f>
        <v/>
      </c>
      <c r="P32" s="37">
        <f>LAVORAZIONI!V31</f>
        <v/>
      </c>
      <c r="Q32" s="7">
        <f>LAVORAZIONI!W31</f>
        <v/>
      </c>
      <c r="R32" s="6">
        <f>LAVORAZIONI!X31</f>
        <v/>
      </c>
      <c r="S32" s="7">
        <f>LAVORAZIONI!Y31</f>
        <v/>
      </c>
      <c r="T32" s="6">
        <f>LAVORAZIONI!Z31</f>
        <v/>
      </c>
      <c r="U32" s="7">
        <f>LAVORAZIONI!AA31</f>
        <v/>
      </c>
      <c r="V32" s="6">
        <f>LAVORAZIONI!AB31</f>
        <v/>
      </c>
      <c r="W32" s="7">
        <f>LAVORAZIONI!AC31</f>
        <v/>
      </c>
      <c r="X32" s="6">
        <f>LAVORAZIONI!AD31</f>
        <v/>
      </c>
      <c r="Y32" s="7">
        <f>LAVORAZIONI!AE31</f>
        <v/>
      </c>
      <c r="Z32" s="6">
        <f>LAVORAZIONI!AF31</f>
        <v/>
      </c>
      <c r="AA32" s="7">
        <f>LAVORAZIONI!AG31</f>
        <v/>
      </c>
      <c r="AB32" s="6">
        <f>LAVORAZIONI!AH31</f>
        <v/>
      </c>
      <c r="AC32" s="7">
        <f>LAVORAZIONI!AI31</f>
        <v/>
      </c>
      <c r="AD32" s="13">
        <f>LAVORAZIONI!AJ31</f>
        <v/>
      </c>
    </row>
    <row r="33" ht="71" customHeight="1" s="35">
      <c r="B33" s="4">
        <f>LAVORAZIONI!G32</f>
        <v/>
      </c>
      <c r="C33" s="3">
        <f>LAVORAZIONI!A32</f>
        <v/>
      </c>
      <c r="D33" s="3">
        <f>LAVORAZIONI!K32</f>
        <v/>
      </c>
      <c r="E33" s="4">
        <f>LAVORAZIONI!H32</f>
        <v/>
      </c>
      <c r="F33" s="4">
        <f>LAVORAZIONI!M32</f>
        <v/>
      </c>
      <c r="G33" s="5">
        <f>LAVORAZIONI!N32</f>
        <v/>
      </c>
      <c r="H33" s="6">
        <f>LAVORAZIONI!O32</f>
        <v/>
      </c>
      <c r="I33" s="13">
        <f>LAVORAZIONI!P32</f>
        <v/>
      </c>
      <c r="J33" s="5">
        <f>IF(LAVORAZIONI!Q32="","",LAVORAZIONI!Q32)</f>
        <v/>
      </c>
      <c r="K33" s="6">
        <f>IF(LAVORAZIONI!R32="","",LAVORAZIONI!R32)</f>
        <v/>
      </c>
      <c r="L33" s="13">
        <f>IF(LAVORAZIONI!S32="","",LAVORAZIONI!S32)</f>
        <v/>
      </c>
      <c r="M33" s="13">
        <f>LAVORAZIONI!T32</f>
        <v/>
      </c>
      <c r="O33" s="7">
        <f>LAVORAZIONI!U32</f>
        <v/>
      </c>
      <c r="P33" s="37">
        <f>LAVORAZIONI!V32</f>
        <v/>
      </c>
      <c r="Q33" s="7">
        <f>LAVORAZIONI!W32</f>
        <v/>
      </c>
      <c r="R33" s="6">
        <f>LAVORAZIONI!X32</f>
        <v/>
      </c>
      <c r="S33" s="7">
        <f>LAVORAZIONI!Y32</f>
        <v/>
      </c>
      <c r="T33" s="6">
        <f>LAVORAZIONI!Z32</f>
        <v/>
      </c>
      <c r="U33" s="7">
        <f>LAVORAZIONI!AA32</f>
        <v/>
      </c>
      <c r="V33" s="6">
        <f>LAVORAZIONI!AB32</f>
        <v/>
      </c>
      <c r="W33" s="7">
        <f>LAVORAZIONI!AC32</f>
        <v/>
      </c>
      <c r="X33" s="6">
        <f>LAVORAZIONI!AD32</f>
        <v/>
      </c>
      <c r="Y33" s="7">
        <f>LAVORAZIONI!AE32</f>
        <v/>
      </c>
      <c r="Z33" s="6">
        <f>LAVORAZIONI!AF32</f>
        <v/>
      </c>
      <c r="AA33" s="7">
        <f>LAVORAZIONI!AG32</f>
        <v/>
      </c>
      <c r="AB33" s="6">
        <f>LAVORAZIONI!AH32</f>
        <v/>
      </c>
      <c r="AC33" s="7">
        <f>LAVORAZIONI!AI32</f>
        <v/>
      </c>
      <c r="AD33" s="13">
        <f>LAVORAZIONI!AJ32</f>
        <v/>
      </c>
    </row>
    <row r="34" ht="71" customHeight="1" s="35">
      <c r="B34" s="4">
        <f>LAVORAZIONI!G33</f>
        <v/>
      </c>
      <c r="C34" s="3">
        <f>LAVORAZIONI!A33</f>
        <v/>
      </c>
      <c r="D34" s="3">
        <f>LAVORAZIONI!K33</f>
        <v/>
      </c>
      <c r="E34" s="4">
        <f>LAVORAZIONI!H33</f>
        <v/>
      </c>
      <c r="F34" s="4">
        <f>LAVORAZIONI!M33</f>
        <v/>
      </c>
      <c r="G34" s="5">
        <f>LAVORAZIONI!N33</f>
        <v/>
      </c>
      <c r="H34" s="6">
        <f>LAVORAZIONI!O33</f>
        <v/>
      </c>
      <c r="I34" s="13">
        <f>LAVORAZIONI!P33</f>
        <v/>
      </c>
      <c r="J34" s="5">
        <f>IF(LAVORAZIONI!Q33="","",LAVORAZIONI!Q33)</f>
        <v/>
      </c>
      <c r="K34" s="6">
        <f>IF(LAVORAZIONI!R33="","",LAVORAZIONI!R33)</f>
        <v/>
      </c>
      <c r="L34" s="13">
        <f>IF(LAVORAZIONI!S33="","",LAVORAZIONI!S33)</f>
        <v/>
      </c>
      <c r="M34" s="13">
        <f>LAVORAZIONI!T33</f>
        <v/>
      </c>
      <c r="O34" s="7">
        <f>LAVORAZIONI!U33</f>
        <v/>
      </c>
      <c r="P34" s="37">
        <f>LAVORAZIONI!V33</f>
        <v/>
      </c>
      <c r="Q34" s="7">
        <f>LAVORAZIONI!W33</f>
        <v/>
      </c>
      <c r="R34" s="6">
        <f>LAVORAZIONI!X33</f>
        <v/>
      </c>
      <c r="S34" s="7">
        <f>LAVORAZIONI!Y33</f>
        <v/>
      </c>
      <c r="T34" s="6">
        <f>LAVORAZIONI!Z33</f>
        <v/>
      </c>
      <c r="U34" s="7">
        <f>LAVORAZIONI!AA33</f>
        <v/>
      </c>
      <c r="V34" s="6">
        <f>LAVORAZIONI!AB33</f>
        <v/>
      </c>
      <c r="W34" s="7">
        <f>LAVORAZIONI!AC33</f>
        <v/>
      </c>
      <c r="X34" s="6">
        <f>LAVORAZIONI!AD33</f>
        <v/>
      </c>
      <c r="Y34" s="7">
        <f>LAVORAZIONI!AE33</f>
        <v/>
      </c>
      <c r="Z34" s="6">
        <f>LAVORAZIONI!AF33</f>
        <v/>
      </c>
      <c r="AA34" s="7">
        <f>LAVORAZIONI!AG33</f>
        <v/>
      </c>
      <c r="AB34" s="6">
        <f>LAVORAZIONI!AH33</f>
        <v/>
      </c>
      <c r="AC34" s="7">
        <f>LAVORAZIONI!AI33</f>
        <v/>
      </c>
      <c r="AD34" s="13">
        <f>LAVORAZIONI!AJ33</f>
        <v/>
      </c>
    </row>
    <row r="35" ht="71" customHeight="1" s="35">
      <c r="B35" s="4">
        <f>LAVORAZIONI!G34</f>
        <v/>
      </c>
      <c r="C35" s="3">
        <f>LAVORAZIONI!A34</f>
        <v/>
      </c>
      <c r="D35" s="3">
        <f>LAVORAZIONI!K34</f>
        <v/>
      </c>
      <c r="E35" s="4">
        <f>LAVORAZIONI!H34</f>
        <v/>
      </c>
      <c r="F35" s="4">
        <f>LAVORAZIONI!M34</f>
        <v/>
      </c>
      <c r="G35" s="5">
        <f>LAVORAZIONI!N34</f>
        <v/>
      </c>
      <c r="H35" s="6">
        <f>LAVORAZIONI!O34</f>
        <v/>
      </c>
      <c r="I35" s="13">
        <f>LAVORAZIONI!P34</f>
        <v/>
      </c>
      <c r="J35" s="5">
        <f>IF(LAVORAZIONI!Q34="","",LAVORAZIONI!Q34)</f>
        <v/>
      </c>
      <c r="K35" s="6">
        <f>IF(LAVORAZIONI!R34="","",LAVORAZIONI!R34)</f>
        <v/>
      </c>
      <c r="L35" s="13">
        <f>IF(LAVORAZIONI!S34="","",LAVORAZIONI!S34)</f>
        <v/>
      </c>
      <c r="M35" s="13">
        <f>LAVORAZIONI!T34</f>
        <v/>
      </c>
      <c r="O35" s="7">
        <f>LAVORAZIONI!U34</f>
        <v/>
      </c>
      <c r="P35" s="37">
        <f>LAVORAZIONI!V34</f>
        <v/>
      </c>
      <c r="Q35" s="7">
        <f>LAVORAZIONI!W34</f>
        <v/>
      </c>
      <c r="R35" s="6">
        <f>LAVORAZIONI!X34</f>
        <v/>
      </c>
      <c r="S35" s="7">
        <f>LAVORAZIONI!Y34</f>
        <v/>
      </c>
      <c r="T35" s="6">
        <f>LAVORAZIONI!Z34</f>
        <v/>
      </c>
      <c r="U35" s="7">
        <f>LAVORAZIONI!AA34</f>
        <v/>
      </c>
      <c r="V35" s="6">
        <f>LAVORAZIONI!AB34</f>
        <v/>
      </c>
      <c r="W35" s="7">
        <f>LAVORAZIONI!AC34</f>
        <v/>
      </c>
      <c r="X35" s="6">
        <f>LAVORAZIONI!AD34</f>
        <v/>
      </c>
      <c r="Y35" s="7">
        <f>LAVORAZIONI!AE34</f>
        <v/>
      </c>
      <c r="Z35" s="6">
        <f>LAVORAZIONI!AF34</f>
        <v/>
      </c>
      <c r="AA35" s="7">
        <f>LAVORAZIONI!AG34</f>
        <v/>
      </c>
      <c r="AB35" s="6">
        <f>LAVORAZIONI!AH34</f>
        <v/>
      </c>
      <c r="AC35" s="7">
        <f>LAVORAZIONI!AI34</f>
        <v/>
      </c>
      <c r="AD35" s="13">
        <f>LAVORAZIONI!AJ34</f>
        <v/>
      </c>
    </row>
    <row r="36" ht="71" customHeight="1" s="35">
      <c r="B36" s="4">
        <f>LAVORAZIONI!G35</f>
        <v/>
      </c>
      <c r="C36" s="3">
        <f>LAVORAZIONI!A35</f>
        <v/>
      </c>
      <c r="D36" s="3">
        <f>LAVORAZIONI!K35</f>
        <v/>
      </c>
      <c r="E36" s="4">
        <f>LAVORAZIONI!H35</f>
        <v/>
      </c>
      <c r="F36" s="4">
        <f>LAVORAZIONI!M35</f>
        <v/>
      </c>
      <c r="G36" s="5">
        <f>LAVORAZIONI!N35</f>
        <v/>
      </c>
      <c r="H36" s="6">
        <f>LAVORAZIONI!O35</f>
        <v/>
      </c>
      <c r="I36" s="13">
        <f>LAVORAZIONI!P35</f>
        <v/>
      </c>
      <c r="J36" s="5">
        <f>IF(LAVORAZIONI!Q35="","",LAVORAZIONI!Q35)</f>
        <v/>
      </c>
      <c r="K36" s="6">
        <f>IF(LAVORAZIONI!R35="","",LAVORAZIONI!R35)</f>
        <v/>
      </c>
      <c r="L36" s="13">
        <f>IF(LAVORAZIONI!S35="","",LAVORAZIONI!S35)</f>
        <v/>
      </c>
      <c r="M36" s="13">
        <f>LAVORAZIONI!T35</f>
        <v/>
      </c>
      <c r="O36" s="7">
        <f>LAVORAZIONI!U35</f>
        <v/>
      </c>
      <c r="P36" s="37">
        <f>LAVORAZIONI!V35</f>
        <v/>
      </c>
      <c r="Q36" s="7">
        <f>LAVORAZIONI!W35</f>
        <v/>
      </c>
      <c r="R36" s="6">
        <f>LAVORAZIONI!X35</f>
        <v/>
      </c>
      <c r="S36" s="7">
        <f>LAVORAZIONI!Y35</f>
        <v/>
      </c>
      <c r="T36" s="6">
        <f>LAVORAZIONI!Z35</f>
        <v/>
      </c>
      <c r="U36" s="7">
        <f>LAVORAZIONI!AA35</f>
        <v/>
      </c>
      <c r="V36" s="6">
        <f>LAVORAZIONI!AB35</f>
        <v/>
      </c>
      <c r="W36" s="7">
        <f>LAVORAZIONI!AC35</f>
        <v/>
      </c>
      <c r="X36" s="6">
        <f>LAVORAZIONI!AD35</f>
        <v/>
      </c>
      <c r="Y36" s="7">
        <f>LAVORAZIONI!AE35</f>
        <v/>
      </c>
      <c r="Z36" s="6">
        <f>LAVORAZIONI!AF35</f>
        <v/>
      </c>
      <c r="AA36" s="7">
        <f>LAVORAZIONI!AG35</f>
        <v/>
      </c>
      <c r="AB36" s="6">
        <f>LAVORAZIONI!AH35</f>
        <v/>
      </c>
      <c r="AC36" s="7">
        <f>LAVORAZIONI!AI35</f>
        <v/>
      </c>
      <c r="AD36" s="13">
        <f>LAVORAZIONI!AJ35</f>
        <v/>
      </c>
    </row>
    <row r="37" ht="71" customHeight="1" s="35">
      <c r="B37" s="4">
        <f>LAVORAZIONI!G36</f>
        <v/>
      </c>
      <c r="C37" s="3">
        <f>LAVORAZIONI!A36</f>
        <v/>
      </c>
      <c r="D37" s="3">
        <f>LAVORAZIONI!K36</f>
        <v/>
      </c>
      <c r="E37" s="4">
        <f>LAVORAZIONI!H36</f>
        <v/>
      </c>
      <c r="F37" s="4">
        <f>LAVORAZIONI!M36</f>
        <v/>
      </c>
      <c r="G37" s="5">
        <f>LAVORAZIONI!N36</f>
        <v/>
      </c>
      <c r="H37" s="6">
        <f>LAVORAZIONI!O36</f>
        <v/>
      </c>
      <c r="I37" s="13">
        <f>LAVORAZIONI!P36</f>
        <v/>
      </c>
      <c r="J37" s="5">
        <f>IF(LAVORAZIONI!Q36="","",LAVORAZIONI!Q36)</f>
        <v/>
      </c>
      <c r="K37" s="6">
        <f>IF(LAVORAZIONI!R36="","",LAVORAZIONI!R36)</f>
        <v/>
      </c>
      <c r="L37" s="13">
        <f>IF(LAVORAZIONI!S36="","",LAVORAZIONI!S36)</f>
        <v/>
      </c>
      <c r="M37" s="13">
        <f>LAVORAZIONI!T36</f>
        <v/>
      </c>
      <c r="O37" s="7">
        <f>LAVORAZIONI!U36</f>
        <v/>
      </c>
      <c r="P37" s="37">
        <f>LAVORAZIONI!V36</f>
        <v/>
      </c>
      <c r="Q37" s="7">
        <f>LAVORAZIONI!W36</f>
        <v/>
      </c>
      <c r="R37" s="6">
        <f>LAVORAZIONI!X36</f>
        <v/>
      </c>
      <c r="S37" s="7">
        <f>LAVORAZIONI!Y36</f>
        <v/>
      </c>
      <c r="T37" s="6">
        <f>LAVORAZIONI!Z36</f>
        <v/>
      </c>
      <c r="U37" s="7">
        <f>LAVORAZIONI!AA36</f>
        <v/>
      </c>
      <c r="V37" s="6">
        <f>LAVORAZIONI!AB36</f>
        <v/>
      </c>
      <c r="W37" s="7">
        <f>LAVORAZIONI!AC36</f>
        <v/>
      </c>
      <c r="X37" s="6">
        <f>LAVORAZIONI!AD36</f>
        <v/>
      </c>
      <c r="Y37" s="7">
        <f>LAVORAZIONI!AE36</f>
        <v/>
      </c>
      <c r="Z37" s="6">
        <f>LAVORAZIONI!AF36</f>
        <v/>
      </c>
      <c r="AA37" s="7">
        <f>LAVORAZIONI!AG36</f>
        <v/>
      </c>
      <c r="AB37" s="6">
        <f>LAVORAZIONI!AH36</f>
        <v/>
      </c>
      <c r="AC37" s="7">
        <f>LAVORAZIONI!AI36</f>
        <v/>
      </c>
      <c r="AD37" s="13">
        <f>LAVORAZIONI!AJ36</f>
        <v/>
      </c>
    </row>
    <row r="38" ht="71" customHeight="1" s="35">
      <c r="B38" s="4">
        <f>LAVORAZIONI!G37</f>
        <v/>
      </c>
      <c r="C38" s="3">
        <f>LAVORAZIONI!A37</f>
        <v/>
      </c>
      <c r="D38" s="3">
        <f>LAVORAZIONI!K37</f>
        <v/>
      </c>
      <c r="E38" s="4">
        <f>LAVORAZIONI!H37</f>
        <v/>
      </c>
      <c r="F38" s="4">
        <f>LAVORAZIONI!M37</f>
        <v/>
      </c>
      <c r="G38" s="5">
        <f>LAVORAZIONI!N37</f>
        <v/>
      </c>
      <c r="H38" s="6">
        <f>LAVORAZIONI!O37</f>
        <v/>
      </c>
      <c r="I38" s="13">
        <f>LAVORAZIONI!P37</f>
        <v/>
      </c>
      <c r="J38" s="5">
        <f>IF(LAVORAZIONI!Q37="","",LAVORAZIONI!Q37)</f>
        <v/>
      </c>
      <c r="K38" s="6">
        <f>IF(LAVORAZIONI!R37="","",LAVORAZIONI!R37)</f>
        <v/>
      </c>
      <c r="L38" s="13">
        <f>IF(LAVORAZIONI!S37="","",LAVORAZIONI!S37)</f>
        <v/>
      </c>
      <c r="M38" s="13">
        <f>LAVORAZIONI!T37</f>
        <v/>
      </c>
      <c r="O38" s="7">
        <f>LAVORAZIONI!U37</f>
        <v/>
      </c>
      <c r="P38" s="37">
        <f>LAVORAZIONI!V37</f>
        <v/>
      </c>
      <c r="Q38" s="7">
        <f>LAVORAZIONI!W37</f>
        <v/>
      </c>
      <c r="R38" s="6">
        <f>LAVORAZIONI!X37</f>
        <v/>
      </c>
      <c r="S38" s="7">
        <f>LAVORAZIONI!Y37</f>
        <v/>
      </c>
      <c r="T38" s="6">
        <f>LAVORAZIONI!Z37</f>
        <v/>
      </c>
      <c r="U38" s="7">
        <f>LAVORAZIONI!AA37</f>
        <v/>
      </c>
      <c r="V38" s="6">
        <f>LAVORAZIONI!AB37</f>
        <v/>
      </c>
      <c r="W38" s="7">
        <f>LAVORAZIONI!AC37</f>
        <v/>
      </c>
      <c r="X38" s="6">
        <f>LAVORAZIONI!AD37</f>
        <v/>
      </c>
      <c r="Y38" s="7">
        <f>LAVORAZIONI!AE37</f>
        <v/>
      </c>
      <c r="Z38" s="6">
        <f>LAVORAZIONI!AF37</f>
        <v/>
      </c>
      <c r="AA38" s="7">
        <f>LAVORAZIONI!AG37</f>
        <v/>
      </c>
      <c r="AB38" s="6">
        <f>LAVORAZIONI!AH37</f>
        <v/>
      </c>
      <c r="AC38" s="7">
        <f>LAVORAZIONI!AI37</f>
        <v/>
      </c>
      <c r="AD38" s="13">
        <f>LAVORAZIONI!AJ37</f>
        <v/>
      </c>
    </row>
    <row r="39" ht="71" customHeight="1" s="35">
      <c r="B39" s="4">
        <f>LAVORAZIONI!G38</f>
        <v/>
      </c>
      <c r="C39" s="3">
        <f>LAVORAZIONI!A38</f>
        <v/>
      </c>
      <c r="D39" s="3">
        <f>LAVORAZIONI!K38</f>
        <v/>
      </c>
      <c r="E39" s="4">
        <f>LAVORAZIONI!H38</f>
        <v/>
      </c>
      <c r="F39" s="4">
        <f>LAVORAZIONI!M38</f>
        <v/>
      </c>
      <c r="G39" s="5">
        <f>LAVORAZIONI!N38</f>
        <v/>
      </c>
      <c r="H39" s="6">
        <f>LAVORAZIONI!O38</f>
        <v/>
      </c>
      <c r="I39" s="13">
        <f>LAVORAZIONI!P38</f>
        <v/>
      </c>
      <c r="J39" s="5">
        <f>IF(LAVORAZIONI!Q38="","",LAVORAZIONI!Q38)</f>
        <v/>
      </c>
      <c r="K39" s="6">
        <f>IF(LAVORAZIONI!R38="","",LAVORAZIONI!R38)</f>
        <v/>
      </c>
      <c r="L39" s="13">
        <f>IF(LAVORAZIONI!S38="","",LAVORAZIONI!S38)</f>
        <v/>
      </c>
      <c r="M39" s="13">
        <f>LAVORAZIONI!T38</f>
        <v/>
      </c>
      <c r="O39" s="7">
        <f>LAVORAZIONI!U38</f>
        <v/>
      </c>
      <c r="P39" s="37">
        <f>LAVORAZIONI!V38</f>
        <v/>
      </c>
      <c r="Q39" s="7">
        <f>LAVORAZIONI!W38</f>
        <v/>
      </c>
      <c r="R39" s="6">
        <f>LAVORAZIONI!X38</f>
        <v/>
      </c>
      <c r="S39" s="7">
        <f>LAVORAZIONI!Y38</f>
        <v/>
      </c>
      <c r="T39" s="6">
        <f>LAVORAZIONI!Z38</f>
        <v/>
      </c>
      <c r="U39" s="7">
        <f>LAVORAZIONI!AA38</f>
        <v/>
      </c>
      <c r="V39" s="6">
        <f>LAVORAZIONI!AB38</f>
        <v/>
      </c>
      <c r="W39" s="7">
        <f>LAVORAZIONI!AC38</f>
        <v/>
      </c>
      <c r="X39" s="6">
        <f>LAVORAZIONI!AD38</f>
        <v/>
      </c>
      <c r="Y39" s="7">
        <f>LAVORAZIONI!AE38</f>
        <v/>
      </c>
      <c r="Z39" s="6">
        <f>LAVORAZIONI!AF38</f>
        <v/>
      </c>
      <c r="AA39" s="7">
        <f>LAVORAZIONI!AG38</f>
        <v/>
      </c>
      <c r="AB39" s="6">
        <f>LAVORAZIONI!AH38</f>
        <v/>
      </c>
      <c r="AC39" s="7">
        <f>LAVORAZIONI!AI38</f>
        <v/>
      </c>
      <c r="AD39" s="13">
        <f>LAVORAZIONI!AJ38</f>
        <v/>
      </c>
    </row>
    <row r="40" ht="71" customHeight="1" s="35">
      <c r="B40" s="4">
        <f>LAVORAZIONI!G39</f>
        <v/>
      </c>
      <c r="C40" s="3">
        <f>LAVORAZIONI!A39</f>
        <v/>
      </c>
      <c r="D40" s="3">
        <f>LAVORAZIONI!K39</f>
        <v/>
      </c>
      <c r="E40" s="4">
        <f>LAVORAZIONI!H39</f>
        <v/>
      </c>
      <c r="F40" s="4">
        <f>LAVORAZIONI!M39</f>
        <v/>
      </c>
      <c r="G40" s="5">
        <f>LAVORAZIONI!N39</f>
        <v/>
      </c>
      <c r="H40" s="6">
        <f>LAVORAZIONI!O39</f>
        <v/>
      </c>
      <c r="I40" s="13">
        <f>LAVORAZIONI!P39</f>
        <v/>
      </c>
      <c r="J40" s="5">
        <f>IF(LAVORAZIONI!Q39="","",LAVORAZIONI!Q39)</f>
        <v/>
      </c>
      <c r="K40" s="6">
        <f>IF(LAVORAZIONI!R39="","",LAVORAZIONI!R39)</f>
        <v/>
      </c>
      <c r="L40" s="13">
        <f>IF(LAVORAZIONI!S39="","",LAVORAZIONI!S39)</f>
        <v/>
      </c>
      <c r="M40" s="13">
        <f>LAVORAZIONI!T39</f>
        <v/>
      </c>
      <c r="O40" s="7">
        <f>LAVORAZIONI!U39</f>
        <v/>
      </c>
      <c r="P40" s="37">
        <f>LAVORAZIONI!V39</f>
        <v/>
      </c>
      <c r="Q40" s="7">
        <f>LAVORAZIONI!W39</f>
        <v/>
      </c>
      <c r="R40" s="6">
        <f>LAVORAZIONI!X39</f>
        <v/>
      </c>
      <c r="S40" s="7">
        <f>LAVORAZIONI!Y39</f>
        <v/>
      </c>
      <c r="T40" s="6">
        <f>LAVORAZIONI!Z39</f>
        <v/>
      </c>
      <c r="U40" s="7">
        <f>LAVORAZIONI!AA39</f>
        <v/>
      </c>
      <c r="V40" s="6">
        <f>LAVORAZIONI!AB39</f>
        <v/>
      </c>
      <c r="W40" s="7">
        <f>LAVORAZIONI!AC39</f>
        <v/>
      </c>
      <c r="X40" s="6">
        <f>LAVORAZIONI!AD39</f>
        <v/>
      </c>
      <c r="Y40" s="7">
        <f>LAVORAZIONI!AE39</f>
        <v/>
      </c>
      <c r="Z40" s="6">
        <f>LAVORAZIONI!AF39</f>
        <v/>
      </c>
      <c r="AA40" s="7">
        <f>LAVORAZIONI!AG39</f>
        <v/>
      </c>
      <c r="AB40" s="6">
        <f>LAVORAZIONI!AH39</f>
        <v/>
      </c>
      <c r="AC40" s="7">
        <f>LAVORAZIONI!AI39</f>
        <v/>
      </c>
      <c r="AD40" s="13">
        <f>LAVORAZIONI!AJ39</f>
        <v/>
      </c>
    </row>
    <row r="41" ht="71" customHeight="1" s="35">
      <c r="B41" s="4">
        <f>LAVORAZIONI!G40</f>
        <v/>
      </c>
      <c r="C41" s="3">
        <f>LAVORAZIONI!A40</f>
        <v/>
      </c>
      <c r="D41" s="3">
        <f>LAVORAZIONI!K40</f>
        <v/>
      </c>
      <c r="E41" s="4">
        <f>LAVORAZIONI!H40</f>
        <v/>
      </c>
      <c r="F41" s="4">
        <f>LAVORAZIONI!M40</f>
        <v/>
      </c>
      <c r="G41" s="5">
        <f>LAVORAZIONI!N40</f>
        <v/>
      </c>
      <c r="H41" s="6">
        <f>LAVORAZIONI!O40</f>
        <v/>
      </c>
      <c r="I41" s="13">
        <f>LAVORAZIONI!P40</f>
        <v/>
      </c>
      <c r="J41" s="5">
        <f>IF(LAVORAZIONI!Q40="","",LAVORAZIONI!Q40)</f>
        <v/>
      </c>
      <c r="K41" s="6">
        <f>IF(LAVORAZIONI!R40="","",LAVORAZIONI!R40)</f>
        <v/>
      </c>
      <c r="L41" s="13">
        <f>IF(LAVORAZIONI!S40="","",LAVORAZIONI!S40)</f>
        <v/>
      </c>
      <c r="M41" s="13">
        <f>LAVORAZIONI!T40</f>
        <v/>
      </c>
      <c r="O41" s="7">
        <f>LAVORAZIONI!U40</f>
        <v/>
      </c>
      <c r="P41" s="37">
        <f>LAVORAZIONI!V40</f>
        <v/>
      </c>
      <c r="Q41" s="7">
        <f>LAVORAZIONI!W40</f>
        <v/>
      </c>
      <c r="R41" s="6">
        <f>LAVORAZIONI!X40</f>
        <v/>
      </c>
      <c r="S41" s="7">
        <f>LAVORAZIONI!Y40</f>
        <v/>
      </c>
      <c r="T41" s="6">
        <f>LAVORAZIONI!Z40</f>
        <v/>
      </c>
      <c r="U41" s="7">
        <f>LAVORAZIONI!AA40</f>
        <v/>
      </c>
      <c r="V41" s="6">
        <f>LAVORAZIONI!AB40</f>
        <v/>
      </c>
      <c r="W41" s="7">
        <f>LAVORAZIONI!AC40</f>
        <v/>
      </c>
      <c r="X41" s="6">
        <f>LAVORAZIONI!AD40</f>
        <v/>
      </c>
      <c r="Y41" s="7">
        <f>LAVORAZIONI!AE40</f>
        <v/>
      </c>
      <c r="Z41" s="6">
        <f>LAVORAZIONI!AF40</f>
        <v/>
      </c>
      <c r="AA41" s="7">
        <f>LAVORAZIONI!AG40</f>
        <v/>
      </c>
      <c r="AB41" s="6">
        <f>LAVORAZIONI!AH40</f>
        <v/>
      </c>
      <c r="AC41" s="7">
        <f>LAVORAZIONI!AI40</f>
        <v/>
      </c>
      <c r="AD41" s="13">
        <f>LAVORAZIONI!AJ40</f>
        <v/>
      </c>
    </row>
    <row r="42" ht="71" customHeight="1" s="35">
      <c r="B42" s="4">
        <f>LAVORAZIONI!G41</f>
        <v/>
      </c>
      <c r="C42" s="3">
        <f>LAVORAZIONI!A41</f>
        <v/>
      </c>
      <c r="D42" s="3">
        <f>LAVORAZIONI!K41</f>
        <v/>
      </c>
      <c r="E42" s="4">
        <f>LAVORAZIONI!H41</f>
        <v/>
      </c>
      <c r="F42" s="4">
        <f>LAVORAZIONI!M41</f>
        <v/>
      </c>
      <c r="G42" s="5">
        <f>LAVORAZIONI!N41</f>
        <v/>
      </c>
      <c r="H42" s="6">
        <f>LAVORAZIONI!O41</f>
        <v/>
      </c>
      <c r="I42" s="13">
        <f>LAVORAZIONI!P41</f>
        <v/>
      </c>
      <c r="J42" s="5">
        <f>IF(LAVORAZIONI!Q41="","",LAVORAZIONI!Q41)</f>
        <v/>
      </c>
      <c r="K42" s="6">
        <f>IF(LAVORAZIONI!R41="","",LAVORAZIONI!R41)</f>
        <v/>
      </c>
      <c r="L42" s="13">
        <f>IF(LAVORAZIONI!S41="","",LAVORAZIONI!S41)</f>
        <v/>
      </c>
      <c r="M42" s="13">
        <f>LAVORAZIONI!T41</f>
        <v/>
      </c>
      <c r="O42" s="7">
        <f>LAVORAZIONI!U41</f>
        <v/>
      </c>
      <c r="P42" s="37">
        <f>LAVORAZIONI!V41</f>
        <v/>
      </c>
      <c r="Q42" s="7">
        <f>LAVORAZIONI!W41</f>
        <v/>
      </c>
      <c r="R42" s="6">
        <f>LAVORAZIONI!X41</f>
        <v/>
      </c>
      <c r="S42" s="7">
        <f>LAVORAZIONI!Y41</f>
        <v/>
      </c>
      <c r="T42" s="6">
        <f>LAVORAZIONI!Z41</f>
        <v/>
      </c>
      <c r="U42" s="7">
        <f>LAVORAZIONI!AA41</f>
        <v/>
      </c>
      <c r="V42" s="6">
        <f>LAVORAZIONI!AB41</f>
        <v/>
      </c>
      <c r="W42" s="7">
        <f>LAVORAZIONI!AC41</f>
        <v/>
      </c>
      <c r="X42" s="6">
        <f>LAVORAZIONI!AD41</f>
        <v/>
      </c>
      <c r="Y42" s="7">
        <f>LAVORAZIONI!AE41</f>
        <v/>
      </c>
      <c r="Z42" s="6">
        <f>LAVORAZIONI!AF41</f>
        <v/>
      </c>
      <c r="AA42" s="7">
        <f>LAVORAZIONI!AG41</f>
        <v/>
      </c>
      <c r="AB42" s="6">
        <f>LAVORAZIONI!AH41</f>
        <v/>
      </c>
      <c r="AC42" s="7">
        <f>LAVORAZIONI!AI41</f>
        <v/>
      </c>
      <c r="AD42" s="13">
        <f>LAVORAZIONI!AJ41</f>
        <v/>
      </c>
    </row>
    <row r="43" ht="71" customHeight="1" s="35">
      <c r="B43" s="4">
        <f>LAVORAZIONI!G42</f>
        <v/>
      </c>
      <c r="C43" s="3">
        <f>LAVORAZIONI!A42</f>
        <v/>
      </c>
      <c r="D43" s="3">
        <f>LAVORAZIONI!K42</f>
        <v/>
      </c>
      <c r="E43" s="4">
        <f>LAVORAZIONI!H42</f>
        <v/>
      </c>
      <c r="F43" s="4">
        <f>LAVORAZIONI!M42</f>
        <v/>
      </c>
      <c r="G43" s="5">
        <f>LAVORAZIONI!N42</f>
        <v/>
      </c>
      <c r="H43" s="6">
        <f>LAVORAZIONI!O42</f>
        <v/>
      </c>
      <c r="I43" s="13">
        <f>LAVORAZIONI!P42</f>
        <v/>
      </c>
      <c r="J43" s="5">
        <f>IF(LAVORAZIONI!Q42="","",LAVORAZIONI!Q42)</f>
        <v/>
      </c>
      <c r="K43" s="6">
        <f>IF(LAVORAZIONI!R42="","",LAVORAZIONI!R42)</f>
        <v/>
      </c>
      <c r="L43" s="13">
        <f>IF(LAVORAZIONI!S42="","",LAVORAZIONI!S42)</f>
        <v/>
      </c>
      <c r="M43" s="13">
        <f>LAVORAZIONI!T42</f>
        <v/>
      </c>
      <c r="O43" s="7">
        <f>LAVORAZIONI!U42</f>
        <v/>
      </c>
      <c r="P43" s="37">
        <f>LAVORAZIONI!V42</f>
        <v/>
      </c>
      <c r="Q43" s="7">
        <f>LAVORAZIONI!W42</f>
        <v/>
      </c>
      <c r="R43" s="6">
        <f>LAVORAZIONI!X42</f>
        <v/>
      </c>
      <c r="S43" s="7">
        <f>LAVORAZIONI!Y42</f>
        <v/>
      </c>
      <c r="T43" s="6">
        <f>LAVORAZIONI!Z42</f>
        <v/>
      </c>
      <c r="U43" s="7">
        <f>LAVORAZIONI!AA42</f>
        <v/>
      </c>
      <c r="V43" s="6">
        <f>LAVORAZIONI!AB42</f>
        <v/>
      </c>
      <c r="W43" s="7">
        <f>LAVORAZIONI!AC42</f>
        <v/>
      </c>
      <c r="X43" s="6">
        <f>LAVORAZIONI!AD42</f>
        <v/>
      </c>
      <c r="Y43" s="7">
        <f>LAVORAZIONI!AE42</f>
        <v/>
      </c>
      <c r="Z43" s="6">
        <f>LAVORAZIONI!AF42</f>
        <v/>
      </c>
      <c r="AA43" s="7">
        <f>LAVORAZIONI!AG42</f>
        <v/>
      </c>
      <c r="AB43" s="6">
        <f>LAVORAZIONI!AH42</f>
        <v/>
      </c>
      <c r="AC43" s="7">
        <f>LAVORAZIONI!AI42</f>
        <v/>
      </c>
      <c r="AD43" s="13">
        <f>LAVORAZIONI!AJ42</f>
        <v/>
      </c>
    </row>
    <row r="44" ht="71" customHeight="1" s="35">
      <c r="B44" s="4">
        <f>LAVORAZIONI!G43</f>
        <v/>
      </c>
      <c r="C44" s="3">
        <f>LAVORAZIONI!A43</f>
        <v/>
      </c>
      <c r="D44" s="3">
        <f>LAVORAZIONI!K43</f>
        <v/>
      </c>
      <c r="E44" s="4">
        <f>LAVORAZIONI!H43</f>
        <v/>
      </c>
      <c r="F44" s="4">
        <f>LAVORAZIONI!M43</f>
        <v/>
      </c>
      <c r="G44" s="5">
        <f>LAVORAZIONI!N43</f>
        <v/>
      </c>
      <c r="H44" s="6">
        <f>LAVORAZIONI!O43</f>
        <v/>
      </c>
      <c r="I44" s="13">
        <f>LAVORAZIONI!P43</f>
        <v/>
      </c>
      <c r="J44" s="5">
        <f>IF(LAVORAZIONI!Q43="","",LAVORAZIONI!Q43)</f>
        <v/>
      </c>
      <c r="K44" s="6">
        <f>IF(LAVORAZIONI!R43="","",LAVORAZIONI!R43)</f>
        <v/>
      </c>
      <c r="L44" s="13">
        <f>IF(LAVORAZIONI!S43="","",LAVORAZIONI!S43)</f>
        <v/>
      </c>
      <c r="M44" s="13">
        <f>LAVORAZIONI!T43</f>
        <v/>
      </c>
      <c r="O44" s="7">
        <f>LAVORAZIONI!U43</f>
        <v/>
      </c>
      <c r="P44" s="37">
        <f>LAVORAZIONI!V43</f>
        <v/>
      </c>
      <c r="Q44" s="7">
        <f>LAVORAZIONI!W43</f>
        <v/>
      </c>
      <c r="R44" s="6">
        <f>LAVORAZIONI!X43</f>
        <v/>
      </c>
      <c r="S44" s="7">
        <f>LAVORAZIONI!Y43</f>
        <v/>
      </c>
      <c r="T44" s="6">
        <f>LAVORAZIONI!Z43</f>
        <v/>
      </c>
      <c r="U44" s="7">
        <f>LAVORAZIONI!AA43</f>
        <v/>
      </c>
      <c r="V44" s="6">
        <f>LAVORAZIONI!AB43</f>
        <v/>
      </c>
      <c r="W44" s="7">
        <f>LAVORAZIONI!AC43</f>
        <v/>
      </c>
      <c r="X44" s="6">
        <f>LAVORAZIONI!AD43</f>
        <v/>
      </c>
      <c r="Y44" s="7">
        <f>LAVORAZIONI!AE43</f>
        <v/>
      </c>
      <c r="Z44" s="6">
        <f>LAVORAZIONI!AF43</f>
        <v/>
      </c>
      <c r="AA44" s="7">
        <f>LAVORAZIONI!AG43</f>
        <v/>
      </c>
      <c r="AB44" s="6">
        <f>LAVORAZIONI!AH43</f>
        <v/>
      </c>
      <c r="AC44" s="7">
        <f>LAVORAZIONI!AI43</f>
        <v/>
      </c>
      <c r="AD44" s="13">
        <f>LAVORAZIONI!AJ43</f>
        <v/>
      </c>
    </row>
    <row r="45" ht="71" customHeight="1" s="35">
      <c r="B45" s="4">
        <f>LAVORAZIONI!G44</f>
        <v/>
      </c>
      <c r="C45" s="3">
        <f>LAVORAZIONI!A44</f>
        <v/>
      </c>
      <c r="D45" s="3">
        <f>LAVORAZIONI!K44</f>
        <v/>
      </c>
      <c r="E45" s="4">
        <f>LAVORAZIONI!H44</f>
        <v/>
      </c>
      <c r="F45" s="4">
        <f>LAVORAZIONI!M44</f>
        <v/>
      </c>
      <c r="G45" s="5">
        <f>LAVORAZIONI!N44</f>
        <v/>
      </c>
      <c r="H45" s="6">
        <f>LAVORAZIONI!O44</f>
        <v/>
      </c>
      <c r="I45" s="13">
        <f>LAVORAZIONI!P44</f>
        <v/>
      </c>
      <c r="J45" s="5">
        <f>IF(LAVORAZIONI!Q44="","",LAVORAZIONI!Q44)</f>
        <v/>
      </c>
      <c r="K45" s="6">
        <f>IF(LAVORAZIONI!R44="","",LAVORAZIONI!R44)</f>
        <v/>
      </c>
      <c r="L45" s="13">
        <f>IF(LAVORAZIONI!S44="","",LAVORAZIONI!S44)</f>
        <v/>
      </c>
      <c r="M45" s="13">
        <f>LAVORAZIONI!T44</f>
        <v/>
      </c>
      <c r="O45" s="7">
        <f>LAVORAZIONI!U44</f>
        <v/>
      </c>
      <c r="P45" s="37">
        <f>LAVORAZIONI!V44</f>
        <v/>
      </c>
      <c r="Q45" s="7">
        <f>LAVORAZIONI!W44</f>
        <v/>
      </c>
      <c r="R45" s="6">
        <f>LAVORAZIONI!X44</f>
        <v/>
      </c>
      <c r="S45" s="7">
        <f>LAVORAZIONI!Y44</f>
        <v/>
      </c>
      <c r="T45" s="6">
        <f>LAVORAZIONI!Z44</f>
        <v/>
      </c>
      <c r="U45" s="7">
        <f>LAVORAZIONI!AA44</f>
        <v/>
      </c>
      <c r="V45" s="6">
        <f>LAVORAZIONI!AB44</f>
        <v/>
      </c>
      <c r="W45" s="7">
        <f>LAVORAZIONI!AC44</f>
        <v/>
      </c>
      <c r="X45" s="6">
        <f>LAVORAZIONI!AD44</f>
        <v/>
      </c>
      <c r="Y45" s="7">
        <f>LAVORAZIONI!AE44</f>
        <v/>
      </c>
      <c r="Z45" s="6">
        <f>LAVORAZIONI!AF44</f>
        <v/>
      </c>
      <c r="AA45" s="7">
        <f>LAVORAZIONI!AG44</f>
        <v/>
      </c>
      <c r="AB45" s="6">
        <f>LAVORAZIONI!AH44</f>
        <v/>
      </c>
      <c r="AC45" s="7">
        <f>LAVORAZIONI!AI44</f>
        <v/>
      </c>
      <c r="AD45" s="13">
        <f>LAVORAZIONI!AJ44</f>
        <v/>
      </c>
    </row>
    <row r="46" ht="71" customHeight="1" s="35">
      <c r="B46" s="4">
        <f>LAVORAZIONI!G45</f>
        <v/>
      </c>
      <c r="C46" s="3">
        <f>LAVORAZIONI!A45</f>
        <v/>
      </c>
      <c r="D46" s="3">
        <f>LAVORAZIONI!K45</f>
        <v/>
      </c>
      <c r="E46" s="4">
        <f>LAVORAZIONI!H45</f>
        <v/>
      </c>
      <c r="F46" s="4">
        <f>LAVORAZIONI!M45</f>
        <v/>
      </c>
      <c r="G46" s="5">
        <f>LAVORAZIONI!N45</f>
        <v/>
      </c>
      <c r="H46" s="6">
        <f>LAVORAZIONI!O45</f>
        <v/>
      </c>
      <c r="I46" s="13">
        <f>LAVORAZIONI!P45</f>
        <v/>
      </c>
      <c r="J46" s="5">
        <f>IF(LAVORAZIONI!Q45="","",LAVORAZIONI!Q45)</f>
        <v/>
      </c>
      <c r="K46" s="6">
        <f>IF(LAVORAZIONI!R45="","",LAVORAZIONI!R45)</f>
        <v/>
      </c>
      <c r="L46" s="13">
        <f>IF(LAVORAZIONI!S45="","",LAVORAZIONI!S45)</f>
        <v/>
      </c>
      <c r="M46" s="13">
        <f>LAVORAZIONI!T45</f>
        <v/>
      </c>
      <c r="O46" s="7">
        <f>LAVORAZIONI!U45</f>
        <v/>
      </c>
      <c r="P46" s="37">
        <f>LAVORAZIONI!V45</f>
        <v/>
      </c>
      <c r="Q46" s="7">
        <f>LAVORAZIONI!W45</f>
        <v/>
      </c>
      <c r="R46" s="6">
        <f>LAVORAZIONI!X45</f>
        <v/>
      </c>
      <c r="S46" s="7">
        <f>LAVORAZIONI!Y45</f>
        <v/>
      </c>
      <c r="T46" s="6">
        <f>LAVORAZIONI!Z45</f>
        <v/>
      </c>
      <c r="U46" s="7">
        <f>LAVORAZIONI!AA45</f>
        <v/>
      </c>
      <c r="V46" s="6">
        <f>LAVORAZIONI!AB45</f>
        <v/>
      </c>
      <c r="W46" s="7">
        <f>LAVORAZIONI!AC45</f>
        <v/>
      </c>
      <c r="X46" s="6">
        <f>LAVORAZIONI!AD45</f>
        <v/>
      </c>
      <c r="Y46" s="7">
        <f>LAVORAZIONI!AE45</f>
        <v/>
      </c>
      <c r="Z46" s="6">
        <f>LAVORAZIONI!AF45</f>
        <v/>
      </c>
      <c r="AA46" s="7">
        <f>LAVORAZIONI!AG45</f>
        <v/>
      </c>
      <c r="AB46" s="6">
        <f>LAVORAZIONI!AH45</f>
        <v/>
      </c>
      <c r="AC46" s="7">
        <f>LAVORAZIONI!AI45</f>
        <v/>
      </c>
      <c r="AD46" s="13">
        <f>LAVORAZIONI!AJ45</f>
        <v/>
      </c>
    </row>
    <row r="47" ht="71" customHeight="1" s="35">
      <c r="B47" s="4">
        <f>LAVORAZIONI!G46</f>
        <v/>
      </c>
      <c r="C47" s="3">
        <f>LAVORAZIONI!A46</f>
        <v/>
      </c>
      <c r="D47" s="3">
        <f>LAVORAZIONI!K46</f>
        <v/>
      </c>
      <c r="E47" s="4">
        <f>LAVORAZIONI!H46</f>
        <v/>
      </c>
      <c r="F47" s="4">
        <f>LAVORAZIONI!M46</f>
        <v/>
      </c>
      <c r="G47" s="5">
        <f>LAVORAZIONI!N46</f>
        <v/>
      </c>
      <c r="H47" s="6">
        <f>LAVORAZIONI!O46</f>
        <v/>
      </c>
      <c r="I47" s="13">
        <f>LAVORAZIONI!P46</f>
        <v/>
      </c>
      <c r="J47" s="5">
        <f>IF(LAVORAZIONI!Q46="","",LAVORAZIONI!Q46)</f>
        <v/>
      </c>
      <c r="K47" s="6">
        <f>IF(LAVORAZIONI!R46="","",LAVORAZIONI!R46)</f>
        <v/>
      </c>
      <c r="L47" s="13">
        <f>IF(LAVORAZIONI!S46="","",LAVORAZIONI!S46)</f>
        <v/>
      </c>
      <c r="M47" s="13">
        <f>LAVORAZIONI!T46</f>
        <v/>
      </c>
      <c r="O47" s="7">
        <f>LAVORAZIONI!U46</f>
        <v/>
      </c>
      <c r="P47" s="37">
        <f>LAVORAZIONI!V46</f>
        <v/>
      </c>
      <c r="Q47" s="7">
        <f>LAVORAZIONI!W46</f>
        <v/>
      </c>
      <c r="R47" s="6">
        <f>LAVORAZIONI!X46</f>
        <v/>
      </c>
      <c r="S47" s="7">
        <f>LAVORAZIONI!Y46</f>
        <v/>
      </c>
      <c r="T47" s="6">
        <f>LAVORAZIONI!Z46</f>
        <v/>
      </c>
      <c r="U47" s="7">
        <f>LAVORAZIONI!AA46</f>
        <v/>
      </c>
      <c r="V47" s="6">
        <f>LAVORAZIONI!AB46</f>
        <v/>
      </c>
      <c r="W47" s="7">
        <f>LAVORAZIONI!AC46</f>
        <v/>
      </c>
      <c r="X47" s="6">
        <f>LAVORAZIONI!AD46</f>
        <v/>
      </c>
      <c r="Y47" s="7">
        <f>LAVORAZIONI!AE46</f>
        <v/>
      </c>
      <c r="Z47" s="6">
        <f>LAVORAZIONI!AF46</f>
        <v/>
      </c>
      <c r="AA47" s="7">
        <f>LAVORAZIONI!AG46</f>
        <v/>
      </c>
      <c r="AB47" s="6">
        <f>LAVORAZIONI!AH46</f>
        <v/>
      </c>
      <c r="AC47" s="7">
        <f>LAVORAZIONI!AI46</f>
        <v/>
      </c>
      <c r="AD47" s="13">
        <f>LAVORAZIONI!AJ46</f>
        <v/>
      </c>
    </row>
    <row r="48" ht="71" customHeight="1" s="35">
      <c r="B48" s="4">
        <f>LAVORAZIONI!G47</f>
        <v/>
      </c>
      <c r="C48" s="3">
        <f>LAVORAZIONI!A47</f>
        <v/>
      </c>
      <c r="D48" s="3">
        <f>LAVORAZIONI!K47</f>
        <v/>
      </c>
      <c r="E48" s="4">
        <f>LAVORAZIONI!H47</f>
        <v/>
      </c>
      <c r="F48" s="4">
        <f>LAVORAZIONI!M47</f>
        <v/>
      </c>
      <c r="G48" s="5">
        <f>LAVORAZIONI!N47</f>
        <v/>
      </c>
      <c r="H48" s="6">
        <f>LAVORAZIONI!O47</f>
        <v/>
      </c>
      <c r="I48" s="13">
        <f>LAVORAZIONI!P47</f>
        <v/>
      </c>
      <c r="J48" s="5">
        <f>IF(LAVORAZIONI!Q47="","",LAVORAZIONI!Q47)</f>
        <v/>
      </c>
      <c r="K48" s="6">
        <f>IF(LAVORAZIONI!R47="","",LAVORAZIONI!R47)</f>
        <v/>
      </c>
      <c r="L48" s="13">
        <f>IF(LAVORAZIONI!S47="","",LAVORAZIONI!S47)</f>
        <v/>
      </c>
      <c r="M48" s="13">
        <f>LAVORAZIONI!T47</f>
        <v/>
      </c>
      <c r="O48" s="7">
        <f>LAVORAZIONI!U47</f>
        <v/>
      </c>
      <c r="P48" s="37">
        <f>LAVORAZIONI!V47</f>
        <v/>
      </c>
      <c r="Q48" s="7">
        <f>LAVORAZIONI!W47</f>
        <v/>
      </c>
      <c r="R48" s="6">
        <f>LAVORAZIONI!X47</f>
        <v/>
      </c>
      <c r="S48" s="7">
        <f>LAVORAZIONI!Y47</f>
        <v/>
      </c>
      <c r="T48" s="6">
        <f>LAVORAZIONI!Z47</f>
        <v/>
      </c>
      <c r="U48" s="7">
        <f>LAVORAZIONI!AA47</f>
        <v/>
      </c>
      <c r="V48" s="6">
        <f>LAVORAZIONI!AB47</f>
        <v/>
      </c>
      <c r="W48" s="7">
        <f>LAVORAZIONI!AC47</f>
        <v/>
      </c>
      <c r="X48" s="6">
        <f>LAVORAZIONI!AD47</f>
        <v/>
      </c>
      <c r="Y48" s="7">
        <f>LAVORAZIONI!AE47</f>
        <v/>
      </c>
      <c r="Z48" s="6">
        <f>LAVORAZIONI!AF47</f>
        <v/>
      </c>
      <c r="AA48" s="7">
        <f>LAVORAZIONI!AG47</f>
        <v/>
      </c>
      <c r="AB48" s="6">
        <f>LAVORAZIONI!AH47</f>
        <v/>
      </c>
      <c r="AC48" s="7">
        <f>LAVORAZIONI!AI47</f>
        <v/>
      </c>
      <c r="AD48" s="13">
        <f>LAVORAZIONI!AJ47</f>
        <v/>
      </c>
    </row>
    <row r="49" ht="71" customHeight="1" s="35">
      <c r="B49" s="4">
        <f>LAVORAZIONI!G48</f>
        <v/>
      </c>
      <c r="C49" s="3">
        <f>LAVORAZIONI!A48</f>
        <v/>
      </c>
      <c r="D49" s="3">
        <f>LAVORAZIONI!K48</f>
        <v/>
      </c>
      <c r="E49" s="4">
        <f>LAVORAZIONI!H48</f>
        <v/>
      </c>
      <c r="F49" s="4">
        <f>LAVORAZIONI!M48</f>
        <v/>
      </c>
      <c r="G49" s="5">
        <f>LAVORAZIONI!N48</f>
        <v/>
      </c>
      <c r="H49" s="6">
        <f>LAVORAZIONI!O48</f>
        <v/>
      </c>
      <c r="I49" s="13">
        <f>LAVORAZIONI!P48</f>
        <v/>
      </c>
      <c r="J49" s="5">
        <f>IF(LAVORAZIONI!Q48="","",LAVORAZIONI!Q48)</f>
        <v/>
      </c>
      <c r="K49" s="6">
        <f>IF(LAVORAZIONI!R48="","",LAVORAZIONI!R48)</f>
        <v/>
      </c>
      <c r="L49" s="13">
        <f>IF(LAVORAZIONI!S48="","",LAVORAZIONI!S48)</f>
        <v/>
      </c>
      <c r="M49" s="13">
        <f>LAVORAZIONI!T48</f>
        <v/>
      </c>
      <c r="O49" s="7">
        <f>LAVORAZIONI!U48</f>
        <v/>
      </c>
      <c r="P49" s="37">
        <f>LAVORAZIONI!V48</f>
        <v/>
      </c>
      <c r="Q49" s="7">
        <f>LAVORAZIONI!W48</f>
        <v/>
      </c>
      <c r="R49" s="6">
        <f>LAVORAZIONI!X48</f>
        <v/>
      </c>
      <c r="S49" s="7">
        <f>LAVORAZIONI!Y48</f>
        <v/>
      </c>
      <c r="T49" s="6">
        <f>LAVORAZIONI!Z48</f>
        <v/>
      </c>
      <c r="U49" s="7">
        <f>LAVORAZIONI!AA48</f>
        <v/>
      </c>
      <c r="V49" s="6">
        <f>LAVORAZIONI!AB48</f>
        <v/>
      </c>
      <c r="W49" s="7">
        <f>LAVORAZIONI!AC48</f>
        <v/>
      </c>
      <c r="X49" s="6">
        <f>LAVORAZIONI!AD48</f>
        <v/>
      </c>
      <c r="Y49" s="7">
        <f>LAVORAZIONI!AE48</f>
        <v/>
      </c>
      <c r="Z49" s="6">
        <f>LAVORAZIONI!AF48</f>
        <v/>
      </c>
      <c r="AA49" s="7">
        <f>LAVORAZIONI!AG48</f>
        <v/>
      </c>
      <c r="AB49" s="6">
        <f>LAVORAZIONI!AH48</f>
        <v/>
      </c>
      <c r="AC49" s="7">
        <f>LAVORAZIONI!AI48</f>
        <v/>
      </c>
      <c r="AD49" s="13">
        <f>LAVORAZIONI!AJ48</f>
        <v/>
      </c>
    </row>
    <row r="50" ht="71" customHeight="1" s="35">
      <c r="B50" s="4">
        <f>LAVORAZIONI!G49</f>
        <v/>
      </c>
      <c r="C50" s="3">
        <f>LAVORAZIONI!A49</f>
        <v/>
      </c>
      <c r="D50" s="3">
        <f>LAVORAZIONI!K49</f>
        <v/>
      </c>
      <c r="E50" s="4">
        <f>LAVORAZIONI!H49</f>
        <v/>
      </c>
      <c r="F50" s="4">
        <f>LAVORAZIONI!M49</f>
        <v/>
      </c>
      <c r="G50" s="5">
        <f>LAVORAZIONI!N49</f>
        <v/>
      </c>
      <c r="H50" s="6">
        <f>LAVORAZIONI!O49</f>
        <v/>
      </c>
      <c r="I50" s="13">
        <f>LAVORAZIONI!P49</f>
        <v/>
      </c>
      <c r="J50" s="5">
        <f>IF(LAVORAZIONI!Q49="","",LAVORAZIONI!Q49)</f>
        <v/>
      </c>
      <c r="K50" s="6">
        <f>IF(LAVORAZIONI!R49="","",LAVORAZIONI!R49)</f>
        <v/>
      </c>
      <c r="L50" s="13">
        <f>IF(LAVORAZIONI!S49="","",LAVORAZIONI!S49)</f>
        <v/>
      </c>
      <c r="M50" s="13">
        <f>LAVORAZIONI!T49</f>
        <v/>
      </c>
      <c r="O50" s="7">
        <f>LAVORAZIONI!U49</f>
        <v/>
      </c>
      <c r="P50" s="37">
        <f>LAVORAZIONI!V49</f>
        <v/>
      </c>
      <c r="Q50" s="7">
        <f>LAVORAZIONI!W49</f>
        <v/>
      </c>
      <c r="R50" s="6">
        <f>LAVORAZIONI!X49</f>
        <v/>
      </c>
      <c r="S50" s="7">
        <f>LAVORAZIONI!Y49</f>
        <v/>
      </c>
      <c r="T50" s="6">
        <f>LAVORAZIONI!Z49</f>
        <v/>
      </c>
      <c r="U50" s="7">
        <f>LAVORAZIONI!AA49</f>
        <v/>
      </c>
      <c r="V50" s="6">
        <f>LAVORAZIONI!AB49</f>
        <v/>
      </c>
      <c r="W50" s="7">
        <f>LAVORAZIONI!AC49</f>
        <v/>
      </c>
      <c r="X50" s="6">
        <f>LAVORAZIONI!AD49</f>
        <v/>
      </c>
      <c r="Y50" s="7">
        <f>LAVORAZIONI!AE49</f>
        <v/>
      </c>
      <c r="Z50" s="6">
        <f>LAVORAZIONI!AF49</f>
        <v/>
      </c>
      <c r="AA50" s="7">
        <f>LAVORAZIONI!AG49</f>
        <v/>
      </c>
      <c r="AB50" s="6">
        <f>LAVORAZIONI!AH49</f>
        <v/>
      </c>
      <c r="AC50" s="7">
        <f>LAVORAZIONI!AI49</f>
        <v/>
      </c>
      <c r="AD50" s="13">
        <f>LAVORAZIONI!AJ49</f>
        <v/>
      </c>
    </row>
    <row r="51" ht="71" customHeight="1" s="35">
      <c r="B51" s="4">
        <f>LAVORAZIONI!G50</f>
        <v/>
      </c>
      <c r="C51" s="3">
        <f>LAVORAZIONI!A50</f>
        <v/>
      </c>
      <c r="D51" s="3">
        <f>LAVORAZIONI!K50</f>
        <v/>
      </c>
      <c r="E51" s="4">
        <f>LAVORAZIONI!H50</f>
        <v/>
      </c>
      <c r="F51" s="4">
        <f>LAVORAZIONI!M50</f>
        <v/>
      </c>
      <c r="G51" s="5">
        <f>LAVORAZIONI!N50</f>
        <v/>
      </c>
      <c r="H51" s="6">
        <f>LAVORAZIONI!O50</f>
        <v/>
      </c>
      <c r="I51" s="13">
        <f>LAVORAZIONI!P50</f>
        <v/>
      </c>
      <c r="J51" s="5">
        <f>IF(LAVORAZIONI!Q50="","",LAVORAZIONI!Q50)</f>
        <v/>
      </c>
      <c r="K51" s="6">
        <f>IF(LAVORAZIONI!R50="","",LAVORAZIONI!R50)</f>
        <v/>
      </c>
      <c r="L51" s="13">
        <f>IF(LAVORAZIONI!S50="","",LAVORAZIONI!S50)</f>
        <v/>
      </c>
      <c r="M51" s="13">
        <f>LAVORAZIONI!T50</f>
        <v/>
      </c>
      <c r="O51" s="7">
        <f>LAVORAZIONI!U50</f>
        <v/>
      </c>
      <c r="P51" s="37">
        <f>LAVORAZIONI!V50</f>
        <v/>
      </c>
      <c r="Q51" s="7">
        <f>LAVORAZIONI!W50</f>
        <v/>
      </c>
      <c r="R51" s="6">
        <f>LAVORAZIONI!X50</f>
        <v/>
      </c>
      <c r="S51" s="7">
        <f>LAVORAZIONI!Y50</f>
        <v/>
      </c>
      <c r="T51" s="6">
        <f>LAVORAZIONI!Z50</f>
        <v/>
      </c>
      <c r="U51" s="7">
        <f>LAVORAZIONI!AA50</f>
        <v/>
      </c>
      <c r="V51" s="6">
        <f>LAVORAZIONI!AB50</f>
        <v/>
      </c>
      <c r="W51" s="7">
        <f>LAVORAZIONI!AC50</f>
        <v/>
      </c>
      <c r="X51" s="6">
        <f>LAVORAZIONI!AD50</f>
        <v/>
      </c>
      <c r="Y51" s="7">
        <f>LAVORAZIONI!AE50</f>
        <v/>
      </c>
      <c r="Z51" s="6">
        <f>LAVORAZIONI!AF50</f>
        <v/>
      </c>
      <c r="AA51" s="7">
        <f>LAVORAZIONI!AG50</f>
        <v/>
      </c>
      <c r="AB51" s="6">
        <f>LAVORAZIONI!AH50</f>
        <v/>
      </c>
      <c r="AC51" s="7">
        <f>LAVORAZIONI!AI50</f>
        <v/>
      </c>
      <c r="AD51" s="13">
        <f>LAVORAZIONI!AJ50</f>
        <v/>
      </c>
    </row>
    <row r="52" ht="71" customHeight="1" s="35">
      <c r="B52" s="4">
        <f>LAVORAZIONI!G51</f>
        <v/>
      </c>
      <c r="C52" s="3">
        <f>LAVORAZIONI!A51</f>
        <v/>
      </c>
      <c r="D52" s="3">
        <f>LAVORAZIONI!K51</f>
        <v/>
      </c>
      <c r="E52" s="4">
        <f>LAVORAZIONI!H51</f>
        <v/>
      </c>
      <c r="F52" s="4">
        <f>LAVORAZIONI!M51</f>
        <v/>
      </c>
      <c r="G52" s="5">
        <f>LAVORAZIONI!N51</f>
        <v/>
      </c>
      <c r="H52" s="6">
        <f>LAVORAZIONI!O51</f>
        <v/>
      </c>
      <c r="I52" s="13">
        <f>LAVORAZIONI!P51</f>
        <v/>
      </c>
      <c r="J52" s="5">
        <f>IF(LAVORAZIONI!Q51="","",LAVORAZIONI!Q51)</f>
        <v/>
      </c>
      <c r="K52" s="6">
        <f>IF(LAVORAZIONI!R51="","",LAVORAZIONI!R51)</f>
        <v/>
      </c>
      <c r="L52" s="13">
        <f>IF(LAVORAZIONI!S51="","",LAVORAZIONI!S51)</f>
        <v/>
      </c>
      <c r="M52" s="13">
        <f>LAVORAZIONI!T51</f>
        <v/>
      </c>
      <c r="O52" s="7">
        <f>LAVORAZIONI!U51</f>
        <v/>
      </c>
      <c r="P52" s="37">
        <f>LAVORAZIONI!V51</f>
        <v/>
      </c>
      <c r="Q52" s="7">
        <f>LAVORAZIONI!W51</f>
        <v/>
      </c>
      <c r="R52" s="6">
        <f>LAVORAZIONI!X51</f>
        <v/>
      </c>
      <c r="S52" s="7">
        <f>LAVORAZIONI!Y51</f>
        <v/>
      </c>
      <c r="T52" s="6">
        <f>LAVORAZIONI!Z51</f>
        <v/>
      </c>
      <c r="U52" s="7">
        <f>LAVORAZIONI!AA51</f>
        <v/>
      </c>
      <c r="V52" s="6">
        <f>LAVORAZIONI!AB51</f>
        <v/>
      </c>
      <c r="W52" s="7">
        <f>LAVORAZIONI!AC51</f>
        <v/>
      </c>
      <c r="X52" s="6">
        <f>LAVORAZIONI!AD51</f>
        <v/>
      </c>
      <c r="Y52" s="7">
        <f>LAVORAZIONI!AE51</f>
        <v/>
      </c>
      <c r="Z52" s="6">
        <f>LAVORAZIONI!AF51</f>
        <v/>
      </c>
      <c r="AA52" s="7">
        <f>LAVORAZIONI!AG51</f>
        <v/>
      </c>
      <c r="AB52" s="6">
        <f>LAVORAZIONI!AH51</f>
        <v/>
      </c>
      <c r="AC52" s="7">
        <f>LAVORAZIONI!AI51</f>
        <v/>
      </c>
      <c r="AD52" s="13">
        <f>LAVORAZIONI!AJ51</f>
        <v/>
      </c>
    </row>
    <row r="53" ht="71" customHeight="1" s="35">
      <c r="B53" s="4">
        <f>LAVORAZIONI!G52</f>
        <v/>
      </c>
      <c r="C53" s="3">
        <f>LAVORAZIONI!A52</f>
        <v/>
      </c>
      <c r="D53" s="3">
        <f>LAVORAZIONI!K52</f>
        <v/>
      </c>
      <c r="E53" s="4">
        <f>LAVORAZIONI!H52</f>
        <v/>
      </c>
      <c r="F53" s="4">
        <f>LAVORAZIONI!M52</f>
        <v/>
      </c>
      <c r="G53" s="5">
        <f>LAVORAZIONI!N52</f>
        <v/>
      </c>
      <c r="H53" s="6">
        <f>LAVORAZIONI!O52</f>
        <v/>
      </c>
      <c r="I53" s="13">
        <f>LAVORAZIONI!P52</f>
        <v/>
      </c>
      <c r="J53" s="5">
        <f>IF(LAVORAZIONI!Q52="","",LAVORAZIONI!Q52)</f>
        <v/>
      </c>
      <c r="K53" s="6">
        <f>IF(LAVORAZIONI!R52="","",LAVORAZIONI!R52)</f>
        <v/>
      </c>
      <c r="L53" s="13">
        <f>IF(LAVORAZIONI!S52="","",LAVORAZIONI!S52)</f>
        <v/>
      </c>
      <c r="M53" s="13">
        <f>LAVORAZIONI!T52</f>
        <v/>
      </c>
      <c r="O53" s="7">
        <f>LAVORAZIONI!U52</f>
        <v/>
      </c>
      <c r="P53" s="37">
        <f>LAVORAZIONI!V52</f>
        <v/>
      </c>
      <c r="Q53" s="7">
        <f>LAVORAZIONI!W52</f>
        <v/>
      </c>
      <c r="R53" s="6">
        <f>LAVORAZIONI!X52</f>
        <v/>
      </c>
      <c r="S53" s="7">
        <f>LAVORAZIONI!Y52</f>
        <v/>
      </c>
      <c r="T53" s="6">
        <f>LAVORAZIONI!Z52</f>
        <v/>
      </c>
      <c r="U53" s="7">
        <f>LAVORAZIONI!AA52</f>
        <v/>
      </c>
      <c r="V53" s="6">
        <f>LAVORAZIONI!AB52</f>
        <v/>
      </c>
      <c r="W53" s="7">
        <f>LAVORAZIONI!AC52</f>
        <v/>
      </c>
      <c r="X53" s="6">
        <f>LAVORAZIONI!AD52</f>
        <v/>
      </c>
      <c r="Y53" s="7">
        <f>LAVORAZIONI!AE52</f>
        <v/>
      </c>
      <c r="Z53" s="6">
        <f>LAVORAZIONI!AF52</f>
        <v/>
      </c>
      <c r="AA53" s="7">
        <f>LAVORAZIONI!AG52</f>
        <v/>
      </c>
      <c r="AB53" s="6">
        <f>LAVORAZIONI!AH52</f>
        <v/>
      </c>
      <c r="AC53" s="7">
        <f>LAVORAZIONI!AI52</f>
        <v/>
      </c>
      <c r="AD53" s="13">
        <f>LAVORAZIONI!AJ52</f>
        <v/>
      </c>
    </row>
    <row r="54" ht="71" customHeight="1" s="35">
      <c r="B54" s="4">
        <f>LAVORAZIONI!G53</f>
        <v/>
      </c>
      <c r="C54" s="3">
        <f>LAVORAZIONI!A53</f>
        <v/>
      </c>
      <c r="D54" s="3">
        <f>LAVORAZIONI!K53</f>
        <v/>
      </c>
      <c r="E54" s="4">
        <f>LAVORAZIONI!H53</f>
        <v/>
      </c>
      <c r="F54" s="4">
        <f>LAVORAZIONI!M53</f>
        <v/>
      </c>
      <c r="G54" s="5">
        <f>LAVORAZIONI!N53</f>
        <v/>
      </c>
      <c r="H54" s="6">
        <f>LAVORAZIONI!O53</f>
        <v/>
      </c>
      <c r="I54" s="13">
        <f>LAVORAZIONI!P53</f>
        <v/>
      </c>
      <c r="J54" s="5">
        <f>IF(LAVORAZIONI!Q53="","",LAVORAZIONI!Q53)</f>
        <v/>
      </c>
      <c r="K54" s="6">
        <f>IF(LAVORAZIONI!R53="","",LAVORAZIONI!R53)</f>
        <v/>
      </c>
      <c r="L54" s="13">
        <f>IF(LAVORAZIONI!S53="","",LAVORAZIONI!S53)</f>
        <v/>
      </c>
      <c r="M54" s="13">
        <f>LAVORAZIONI!T53</f>
        <v/>
      </c>
      <c r="O54" s="7">
        <f>LAVORAZIONI!U53</f>
        <v/>
      </c>
      <c r="P54" s="37">
        <f>LAVORAZIONI!V53</f>
        <v/>
      </c>
      <c r="Q54" s="7">
        <f>LAVORAZIONI!W53</f>
        <v/>
      </c>
      <c r="R54" s="6">
        <f>LAVORAZIONI!X53</f>
        <v/>
      </c>
      <c r="S54" s="7">
        <f>LAVORAZIONI!Y53</f>
        <v/>
      </c>
      <c r="T54" s="6">
        <f>LAVORAZIONI!Z53</f>
        <v/>
      </c>
      <c r="U54" s="7">
        <f>LAVORAZIONI!AA53</f>
        <v/>
      </c>
      <c r="V54" s="6">
        <f>LAVORAZIONI!AB53</f>
        <v/>
      </c>
      <c r="W54" s="7">
        <f>LAVORAZIONI!AC53</f>
        <v/>
      </c>
      <c r="X54" s="6">
        <f>LAVORAZIONI!AD53</f>
        <v/>
      </c>
      <c r="Y54" s="7">
        <f>LAVORAZIONI!AE53</f>
        <v/>
      </c>
      <c r="Z54" s="6">
        <f>LAVORAZIONI!AF53</f>
        <v/>
      </c>
      <c r="AA54" s="7">
        <f>LAVORAZIONI!AG53</f>
        <v/>
      </c>
      <c r="AB54" s="6">
        <f>LAVORAZIONI!AH53</f>
        <v/>
      </c>
      <c r="AC54" s="7">
        <f>LAVORAZIONI!AI53</f>
        <v/>
      </c>
      <c r="AD54" s="13">
        <f>LAVORAZIONI!AJ53</f>
        <v/>
      </c>
    </row>
    <row r="55" ht="71" customHeight="1" s="35">
      <c r="B55" s="4">
        <f>LAVORAZIONI!G54</f>
        <v/>
      </c>
      <c r="C55" s="3">
        <f>LAVORAZIONI!A54</f>
        <v/>
      </c>
      <c r="D55" s="3">
        <f>LAVORAZIONI!K54</f>
        <v/>
      </c>
      <c r="E55" s="4">
        <f>LAVORAZIONI!H54</f>
        <v/>
      </c>
      <c r="F55" s="4">
        <f>LAVORAZIONI!M54</f>
        <v/>
      </c>
      <c r="G55" s="5">
        <f>LAVORAZIONI!N54</f>
        <v/>
      </c>
      <c r="H55" s="6">
        <f>LAVORAZIONI!O54</f>
        <v/>
      </c>
      <c r="I55" s="13">
        <f>LAVORAZIONI!P54</f>
        <v/>
      </c>
      <c r="J55" s="5">
        <f>IF(LAVORAZIONI!Q54="","",LAVORAZIONI!Q54)</f>
        <v/>
      </c>
      <c r="K55" s="6">
        <f>IF(LAVORAZIONI!R54="","",LAVORAZIONI!R54)</f>
        <v/>
      </c>
      <c r="L55" s="13">
        <f>IF(LAVORAZIONI!S54="","",LAVORAZIONI!S54)</f>
        <v/>
      </c>
      <c r="M55" s="13">
        <f>LAVORAZIONI!T54</f>
        <v/>
      </c>
      <c r="O55" s="7">
        <f>LAVORAZIONI!U54</f>
        <v/>
      </c>
      <c r="P55" s="37">
        <f>LAVORAZIONI!V54</f>
        <v/>
      </c>
      <c r="Q55" s="7">
        <f>LAVORAZIONI!W54</f>
        <v/>
      </c>
      <c r="R55" s="6">
        <f>LAVORAZIONI!X54</f>
        <v/>
      </c>
      <c r="S55" s="7">
        <f>LAVORAZIONI!Y54</f>
        <v/>
      </c>
      <c r="T55" s="6">
        <f>LAVORAZIONI!Z54</f>
        <v/>
      </c>
      <c r="U55" s="7">
        <f>LAVORAZIONI!AA54</f>
        <v/>
      </c>
      <c r="V55" s="6">
        <f>LAVORAZIONI!AB54</f>
        <v/>
      </c>
      <c r="W55" s="7">
        <f>LAVORAZIONI!AC54</f>
        <v/>
      </c>
      <c r="X55" s="6">
        <f>LAVORAZIONI!AD54</f>
        <v/>
      </c>
      <c r="Y55" s="7">
        <f>LAVORAZIONI!AE54</f>
        <v/>
      </c>
      <c r="Z55" s="6">
        <f>LAVORAZIONI!AF54</f>
        <v/>
      </c>
      <c r="AA55" s="7">
        <f>LAVORAZIONI!AG54</f>
        <v/>
      </c>
      <c r="AB55" s="6">
        <f>LAVORAZIONI!AH54</f>
        <v/>
      </c>
      <c r="AC55" s="7">
        <f>LAVORAZIONI!AI54</f>
        <v/>
      </c>
      <c r="AD55" s="13">
        <f>LAVORAZIONI!AJ54</f>
        <v/>
      </c>
    </row>
    <row r="56" ht="71" customHeight="1" s="35">
      <c r="B56" s="4">
        <f>LAVORAZIONI!G55</f>
        <v/>
      </c>
      <c r="C56" s="3">
        <f>LAVORAZIONI!A55</f>
        <v/>
      </c>
      <c r="D56" s="3">
        <f>LAVORAZIONI!K55</f>
        <v/>
      </c>
      <c r="E56" s="4">
        <f>LAVORAZIONI!H55</f>
        <v/>
      </c>
      <c r="F56" s="4">
        <f>LAVORAZIONI!M55</f>
        <v/>
      </c>
      <c r="G56" s="5">
        <f>LAVORAZIONI!N55</f>
        <v/>
      </c>
      <c r="H56" s="6">
        <f>LAVORAZIONI!O55</f>
        <v/>
      </c>
      <c r="I56" s="13">
        <f>LAVORAZIONI!P55</f>
        <v/>
      </c>
      <c r="J56" s="5">
        <f>IF(LAVORAZIONI!Q55="","",LAVORAZIONI!Q55)</f>
        <v/>
      </c>
      <c r="K56" s="6">
        <f>IF(LAVORAZIONI!R55="","",LAVORAZIONI!R55)</f>
        <v/>
      </c>
      <c r="L56" s="13">
        <f>IF(LAVORAZIONI!S55="","",LAVORAZIONI!S55)</f>
        <v/>
      </c>
      <c r="M56" s="13">
        <f>LAVORAZIONI!T55</f>
        <v/>
      </c>
      <c r="O56" s="7">
        <f>LAVORAZIONI!U55</f>
        <v/>
      </c>
      <c r="P56" s="37">
        <f>LAVORAZIONI!V55</f>
        <v/>
      </c>
      <c r="Q56" s="7">
        <f>LAVORAZIONI!W55</f>
        <v/>
      </c>
      <c r="R56" s="6">
        <f>LAVORAZIONI!X55</f>
        <v/>
      </c>
      <c r="S56" s="7">
        <f>LAVORAZIONI!Y55</f>
        <v/>
      </c>
      <c r="T56" s="6">
        <f>LAVORAZIONI!Z55</f>
        <v/>
      </c>
      <c r="U56" s="7">
        <f>LAVORAZIONI!AA55</f>
        <v/>
      </c>
      <c r="V56" s="6">
        <f>LAVORAZIONI!AB55</f>
        <v/>
      </c>
      <c r="W56" s="7">
        <f>LAVORAZIONI!AC55</f>
        <v/>
      </c>
      <c r="X56" s="6">
        <f>LAVORAZIONI!AD55</f>
        <v/>
      </c>
      <c r="Y56" s="7">
        <f>LAVORAZIONI!AE55</f>
        <v/>
      </c>
      <c r="Z56" s="6">
        <f>LAVORAZIONI!AF55</f>
        <v/>
      </c>
      <c r="AA56" s="7">
        <f>LAVORAZIONI!AG55</f>
        <v/>
      </c>
      <c r="AB56" s="6">
        <f>LAVORAZIONI!AH55</f>
        <v/>
      </c>
      <c r="AC56" s="7">
        <f>LAVORAZIONI!AI55</f>
        <v/>
      </c>
      <c r="AD56" s="13">
        <f>LAVORAZIONI!AJ55</f>
        <v/>
      </c>
    </row>
    <row r="57" ht="71" customHeight="1" s="35">
      <c r="B57" s="4">
        <f>LAVORAZIONI!G56</f>
        <v/>
      </c>
      <c r="C57" s="3">
        <f>LAVORAZIONI!A56</f>
        <v/>
      </c>
      <c r="D57" s="3">
        <f>LAVORAZIONI!K56</f>
        <v/>
      </c>
      <c r="E57" s="4">
        <f>LAVORAZIONI!H56</f>
        <v/>
      </c>
      <c r="F57" s="4">
        <f>LAVORAZIONI!M56</f>
        <v/>
      </c>
      <c r="G57" s="5">
        <f>LAVORAZIONI!N56</f>
        <v/>
      </c>
      <c r="H57" s="6">
        <f>LAVORAZIONI!O56</f>
        <v/>
      </c>
      <c r="I57" s="13">
        <f>LAVORAZIONI!P56</f>
        <v/>
      </c>
      <c r="J57" s="5">
        <f>IF(LAVORAZIONI!Q56="","",LAVORAZIONI!Q56)</f>
        <v/>
      </c>
      <c r="K57" s="6">
        <f>IF(LAVORAZIONI!R56="","",LAVORAZIONI!R56)</f>
        <v/>
      </c>
      <c r="L57" s="13">
        <f>IF(LAVORAZIONI!S56="","",LAVORAZIONI!S56)</f>
        <v/>
      </c>
      <c r="M57" s="13">
        <f>LAVORAZIONI!T56</f>
        <v/>
      </c>
      <c r="O57" s="7">
        <f>LAVORAZIONI!U56</f>
        <v/>
      </c>
      <c r="P57" s="37">
        <f>LAVORAZIONI!V56</f>
        <v/>
      </c>
      <c r="Q57" s="7">
        <f>LAVORAZIONI!W56</f>
        <v/>
      </c>
      <c r="R57" s="6">
        <f>LAVORAZIONI!X56</f>
        <v/>
      </c>
      <c r="S57" s="7">
        <f>LAVORAZIONI!Y56</f>
        <v/>
      </c>
      <c r="T57" s="6">
        <f>LAVORAZIONI!Z56</f>
        <v/>
      </c>
      <c r="U57" s="7">
        <f>LAVORAZIONI!AA56</f>
        <v/>
      </c>
      <c r="V57" s="6">
        <f>LAVORAZIONI!AB56</f>
        <v/>
      </c>
      <c r="W57" s="7">
        <f>LAVORAZIONI!AC56</f>
        <v/>
      </c>
      <c r="X57" s="6">
        <f>LAVORAZIONI!AD56</f>
        <v/>
      </c>
      <c r="Y57" s="7">
        <f>LAVORAZIONI!AE56</f>
        <v/>
      </c>
      <c r="Z57" s="6">
        <f>LAVORAZIONI!AF56</f>
        <v/>
      </c>
      <c r="AA57" s="7">
        <f>LAVORAZIONI!AG56</f>
        <v/>
      </c>
      <c r="AB57" s="6">
        <f>LAVORAZIONI!AH56</f>
        <v/>
      </c>
      <c r="AC57" s="7">
        <f>LAVORAZIONI!AI56</f>
        <v/>
      </c>
      <c r="AD57" s="13">
        <f>LAVORAZIONI!AJ56</f>
        <v/>
      </c>
    </row>
    <row r="58" ht="71" customHeight="1" s="35">
      <c r="B58" s="4">
        <f>LAVORAZIONI!G57</f>
        <v/>
      </c>
      <c r="C58" s="3">
        <f>LAVORAZIONI!A57</f>
        <v/>
      </c>
      <c r="D58" s="3">
        <f>LAVORAZIONI!K57</f>
        <v/>
      </c>
      <c r="E58" s="4">
        <f>LAVORAZIONI!H57</f>
        <v/>
      </c>
      <c r="F58" s="4">
        <f>LAVORAZIONI!M57</f>
        <v/>
      </c>
      <c r="G58" s="5">
        <f>LAVORAZIONI!N57</f>
        <v/>
      </c>
      <c r="H58" s="6">
        <f>LAVORAZIONI!O57</f>
        <v/>
      </c>
      <c r="I58" s="13">
        <f>LAVORAZIONI!P57</f>
        <v/>
      </c>
      <c r="J58" s="5">
        <f>IF(LAVORAZIONI!Q57="","",LAVORAZIONI!Q57)</f>
        <v/>
      </c>
      <c r="K58" s="6">
        <f>IF(LAVORAZIONI!R57="","",LAVORAZIONI!R57)</f>
        <v/>
      </c>
      <c r="L58" s="13">
        <f>IF(LAVORAZIONI!S57="","",LAVORAZIONI!S57)</f>
        <v/>
      </c>
      <c r="M58" s="13">
        <f>LAVORAZIONI!T57</f>
        <v/>
      </c>
      <c r="O58" s="7">
        <f>LAVORAZIONI!U57</f>
        <v/>
      </c>
      <c r="P58" s="37">
        <f>LAVORAZIONI!V57</f>
        <v/>
      </c>
      <c r="Q58" s="7">
        <f>LAVORAZIONI!W57</f>
        <v/>
      </c>
      <c r="R58" s="6">
        <f>LAVORAZIONI!X57</f>
        <v/>
      </c>
      <c r="S58" s="7">
        <f>LAVORAZIONI!Y57</f>
        <v/>
      </c>
      <c r="T58" s="6">
        <f>LAVORAZIONI!Z57</f>
        <v/>
      </c>
      <c r="U58" s="7">
        <f>LAVORAZIONI!AA57</f>
        <v/>
      </c>
      <c r="V58" s="6">
        <f>LAVORAZIONI!AB57</f>
        <v/>
      </c>
      <c r="W58" s="7">
        <f>LAVORAZIONI!AC57</f>
        <v/>
      </c>
      <c r="X58" s="6">
        <f>LAVORAZIONI!AD57</f>
        <v/>
      </c>
      <c r="Y58" s="7">
        <f>LAVORAZIONI!AE57</f>
        <v/>
      </c>
      <c r="Z58" s="6">
        <f>LAVORAZIONI!AF57</f>
        <v/>
      </c>
      <c r="AA58" s="7">
        <f>LAVORAZIONI!AG57</f>
        <v/>
      </c>
      <c r="AB58" s="6">
        <f>LAVORAZIONI!AH57</f>
        <v/>
      </c>
      <c r="AC58" s="7">
        <f>LAVORAZIONI!AI57</f>
        <v/>
      </c>
      <c r="AD58" s="13">
        <f>LAVORAZIONI!AJ57</f>
        <v/>
      </c>
    </row>
    <row r="59" ht="71" customHeight="1" s="35">
      <c r="B59" s="4">
        <f>LAVORAZIONI!G58</f>
        <v/>
      </c>
      <c r="C59" s="3">
        <f>LAVORAZIONI!A58</f>
        <v/>
      </c>
      <c r="D59" s="3">
        <f>LAVORAZIONI!K58</f>
        <v/>
      </c>
      <c r="E59" s="4">
        <f>LAVORAZIONI!H58</f>
        <v/>
      </c>
      <c r="F59" s="4">
        <f>LAVORAZIONI!M58</f>
        <v/>
      </c>
      <c r="G59" s="5">
        <f>LAVORAZIONI!N58</f>
        <v/>
      </c>
      <c r="H59" s="6">
        <f>LAVORAZIONI!O58</f>
        <v/>
      </c>
      <c r="I59" s="13">
        <f>LAVORAZIONI!P58</f>
        <v/>
      </c>
      <c r="J59" s="5">
        <f>IF(LAVORAZIONI!Q58="","",LAVORAZIONI!Q58)</f>
        <v/>
      </c>
      <c r="K59" s="6">
        <f>IF(LAVORAZIONI!R58="","",LAVORAZIONI!R58)</f>
        <v/>
      </c>
      <c r="L59" s="13">
        <f>IF(LAVORAZIONI!S58="","",LAVORAZIONI!S58)</f>
        <v/>
      </c>
      <c r="M59" s="13">
        <f>LAVORAZIONI!T58</f>
        <v/>
      </c>
      <c r="O59" s="7">
        <f>LAVORAZIONI!U58</f>
        <v/>
      </c>
      <c r="P59" s="37">
        <f>LAVORAZIONI!V58</f>
        <v/>
      </c>
      <c r="Q59" s="7">
        <f>LAVORAZIONI!W58</f>
        <v/>
      </c>
      <c r="R59" s="6">
        <f>LAVORAZIONI!X58</f>
        <v/>
      </c>
      <c r="S59" s="7">
        <f>LAVORAZIONI!Y58</f>
        <v/>
      </c>
      <c r="T59" s="6">
        <f>LAVORAZIONI!Z58</f>
        <v/>
      </c>
      <c r="U59" s="7">
        <f>LAVORAZIONI!AA58</f>
        <v/>
      </c>
      <c r="V59" s="6">
        <f>LAVORAZIONI!AB58</f>
        <v/>
      </c>
      <c r="W59" s="7">
        <f>LAVORAZIONI!AC58</f>
        <v/>
      </c>
      <c r="X59" s="6">
        <f>LAVORAZIONI!AD58</f>
        <v/>
      </c>
      <c r="Y59" s="7">
        <f>LAVORAZIONI!AE58</f>
        <v/>
      </c>
      <c r="Z59" s="6">
        <f>LAVORAZIONI!AF58</f>
        <v/>
      </c>
      <c r="AA59" s="7">
        <f>LAVORAZIONI!AG58</f>
        <v/>
      </c>
      <c r="AB59" s="6">
        <f>LAVORAZIONI!AH58</f>
        <v/>
      </c>
      <c r="AC59" s="7">
        <f>LAVORAZIONI!AI58</f>
        <v/>
      </c>
      <c r="AD59" s="13">
        <f>LAVORAZIONI!AJ58</f>
        <v/>
      </c>
    </row>
    <row r="60" ht="71" customHeight="1" s="35">
      <c r="B60" s="4">
        <f>LAVORAZIONI!G59</f>
        <v/>
      </c>
      <c r="C60" s="3">
        <f>LAVORAZIONI!A59</f>
        <v/>
      </c>
      <c r="D60" s="3">
        <f>LAVORAZIONI!K59</f>
        <v/>
      </c>
      <c r="E60" s="4">
        <f>LAVORAZIONI!H59</f>
        <v/>
      </c>
      <c r="F60" s="4">
        <f>LAVORAZIONI!M59</f>
        <v/>
      </c>
      <c r="G60" s="5">
        <f>LAVORAZIONI!N59</f>
        <v/>
      </c>
      <c r="H60" s="6">
        <f>LAVORAZIONI!O59</f>
        <v/>
      </c>
      <c r="I60" s="13">
        <f>LAVORAZIONI!P59</f>
        <v/>
      </c>
      <c r="J60" s="5">
        <f>IF(LAVORAZIONI!Q59="","",LAVORAZIONI!Q59)</f>
        <v/>
      </c>
      <c r="K60" s="6">
        <f>IF(LAVORAZIONI!R59="","",LAVORAZIONI!R59)</f>
        <v/>
      </c>
      <c r="L60" s="13">
        <f>IF(LAVORAZIONI!S59="","",LAVORAZIONI!S59)</f>
        <v/>
      </c>
      <c r="M60" s="13">
        <f>LAVORAZIONI!T59</f>
        <v/>
      </c>
      <c r="O60" s="7">
        <f>LAVORAZIONI!U59</f>
        <v/>
      </c>
      <c r="P60" s="37">
        <f>LAVORAZIONI!V59</f>
        <v/>
      </c>
      <c r="Q60" s="7">
        <f>LAVORAZIONI!W59</f>
        <v/>
      </c>
      <c r="R60" s="6">
        <f>LAVORAZIONI!X59</f>
        <v/>
      </c>
      <c r="S60" s="7">
        <f>LAVORAZIONI!Y59</f>
        <v/>
      </c>
      <c r="T60" s="6">
        <f>LAVORAZIONI!Z59</f>
        <v/>
      </c>
      <c r="U60" s="7">
        <f>LAVORAZIONI!AA59</f>
        <v/>
      </c>
      <c r="V60" s="6">
        <f>LAVORAZIONI!AB59</f>
        <v/>
      </c>
      <c r="W60" s="7">
        <f>LAVORAZIONI!AC59</f>
        <v/>
      </c>
      <c r="X60" s="6">
        <f>LAVORAZIONI!AD59</f>
        <v/>
      </c>
      <c r="Y60" s="7">
        <f>LAVORAZIONI!AE59</f>
        <v/>
      </c>
      <c r="Z60" s="6">
        <f>LAVORAZIONI!AF59</f>
        <v/>
      </c>
      <c r="AA60" s="7">
        <f>LAVORAZIONI!AG59</f>
        <v/>
      </c>
      <c r="AB60" s="6">
        <f>LAVORAZIONI!AH59</f>
        <v/>
      </c>
      <c r="AC60" s="7">
        <f>LAVORAZIONI!AI59</f>
        <v/>
      </c>
      <c r="AD60" s="13">
        <f>LAVORAZIONI!AJ59</f>
        <v/>
      </c>
    </row>
    <row r="61" ht="71" customHeight="1" s="35">
      <c r="B61" s="4">
        <f>LAVORAZIONI!G60</f>
        <v/>
      </c>
      <c r="C61" s="3">
        <f>LAVORAZIONI!A60</f>
        <v/>
      </c>
      <c r="D61" s="3">
        <f>LAVORAZIONI!K60</f>
        <v/>
      </c>
      <c r="E61" s="4">
        <f>LAVORAZIONI!H60</f>
        <v/>
      </c>
      <c r="F61" s="4">
        <f>LAVORAZIONI!M60</f>
        <v/>
      </c>
      <c r="G61" s="5">
        <f>LAVORAZIONI!N60</f>
        <v/>
      </c>
      <c r="H61" s="6">
        <f>LAVORAZIONI!O60</f>
        <v/>
      </c>
      <c r="I61" s="13">
        <f>LAVORAZIONI!P60</f>
        <v/>
      </c>
      <c r="J61" s="5">
        <f>IF(LAVORAZIONI!Q60="","",LAVORAZIONI!Q60)</f>
        <v/>
      </c>
      <c r="K61" s="6">
        <f>IF(LAVORAZIONI!R60="","",LAVORAZIONI!R60)</f>
        <v/>
      </c>
      <c r="L61" s="13">
        <f>IF(LAVORAZIONI!S60="","",LAVORAZIONI!S60)</f>
        <v/>
      </c>
      <c r="M61" s="13">
        <f>LAVORAZIONI!T60</f>
        <v/>
      </c>
      <c r="O61" s="7">
        <f>LAVORAZIONI!U60</f>
        <v/>
      </c>
      <c r="P61" s="37">
        <f>LAVORAZIONI!V60</f>
        <v/>
      </c>
      <c r="Q61" s="7">
        <f>LAVORAZIONI!W60</f>
        <v/>
      </c>
      <c r="R61" s="6">
        <f>LAVORAZIONI!X60</f>
        <v/>
      </c>
      <c r="S61" s="7">
        <f>LAVORAZIONI!Y60</f>
        <v/>
      </c>
      <c r="T61" s="6">
        <f>LAVORAZIONI!Z60</f>
        <v/>
      </c>
      <c r="U61" s="7">
        <f>LAVORAZIONI!AA60</f>
        <v/>
      </c>
      <c r="V61" s="6">
        <f>LAVORAZIONI!AB60</f>
        <v/>
      </c>
      <c r="W61" s="7">
        <f>LAVORAZIONI!AC60</f>
        <v/>
      </c>
      <c r="X61" s="6">
        <f>LAVORAZIONI!AD60</f>
        <v/>
      </c>
      <c r="Y61" s="7">
        <f>LAVORAZIONI!AE60</f>
        <v/>
      </c>
      <c r="Z61" s="6">
        <f>LAVORAZIONI!AF60</f>
        <v/>
      </c>
      <c r="AA61" s="7">
        <f>LAVORAZIONI!AG60</f>
        <v/>
      </c>
      <c r="AB61" s="6">
        <f>LAVORAZIONI!AH60</f>
        <v/>
      </c>
      <c r="AC61" s="7">
        <f>LAVORAZIONI!AI60</f>
        <v/>
      </c>
      <c r="AD61" s="13">
        <f>LAVORAZIONI!AJ60</f>
        <v/>
      </c>
    </row>
    <row r="62" ht="71" customHeight="1" s="35">
      <c r="B62" s="4">
        <f>LAVORAZIONI!G61</f>
        <v/>
      </c>
      <c r="C62" s="3">
        <f>LAVORAZIONI!A61</f>
        <v/>
      </c>
      <c r="D62" s="3">
        <f>LAVORAZIONI!K61</f>
        <v/>
      </c>
      <c r="E62" s="4">
        <f>LAVORAZIONI!H61</f>
        <v/>
      </c>
      <c r="F62" s="4">
        <f>LAVORAZIONI!M61</f>
        <v/>
      </c>
      <c r="G62" s="5">
        <f>LAVORAZIONI!N61</f>
        <v/>
      </c>
      <c r="H62" s="6">
        <f>LAVORAZIONI!O61</f>
        <v/>
      </c>
      <c r="I62" s="13">
        <f>LAVORAZIONI!P61</f>
        <v/>
      </c>
      <c r="J62" s="5">
        <f>IF(LAVORAZIONI!Q61="","",LAVORAZIONI!Q61)</f>
        <v/>
      </c>
      <c r="K62" s="6">
        <f>IF(LAVORAZIONI!R61="","",LAVORAZIONI!R61)</f>
        <v/>
      </c>
      <c r="L62" s="13">
        <f>IF(LAVORAZIONI!S61="","",LAVORAZIONI!S61)</f>
        <v/>
      </c>
      <c r="M62" s="13">
        <f>LAVORAZIONI!T61</f>
        <v/>
      </c>
      <c r="O62" s="7">
        <f>LAVORAZIONI!U61</f>
        <v/>
      </c>
      <c r="P62" s="37">
        <f>LAVORAZIONI!V61</f>
        <v/>
      </c>
      <c r="Q62" s="7">
        <f>LAVORAZIONI!W61</f>
        <v/>
      </c>
      <c r="R62" s="6">
        <f>LAVORAZIONI!X61</f>
        <v/>
      </c>
      <c r="S62" s="7">
        <f>LAVORAZIONI!Y61</f>
        <v/>
      </c>
      <c r="T62" s="6">
        <f>LAVORAZIONI!Z61</f>
        <v/>
      </c>
      <c r="U62" s="7">
        <f>LAVORAZIONI!AA61</f>
        <v/>
      </c>
      <c r="V62" s="6">
        <f>LAVORAZIONI!AB61</f>
        <v/>
      </c>
      <c r="W62" s="7">
        <f>LAVORAZIONI!AC61</f>
        <v/>
      </c>
      <c r="X62" s="6">
        <f>LAVORAZIONI!AD61</f>
        <v/>
      </c>
      <c r="Y62" s="7">
        <f>LAVORAZIONI!AE61</f>
        <v/>
      </c>
      <c r="Z62" s="6">
        <f>LAVORAZIONI!AF61</f>
        <v/>
      </c>
      <c r="AA62" s="7">
        <f>LAVORAZIONI!AG61</f>
        <v/>
      </c>
      <c r="AB62" s="6">
        <f>LAVORAZIONI!AH61</f>
        <v/>
      </c>
      <c r="AC62" s="7">
        <f>LAVORAZIONI!AI61</f>
        <v/>
      </c>
      <c r="AD62" s="13">
        <f>LAVORAZIONI!AJ61</f>
        <v/>
      </c>
    </row>
    <row r="63" ht="71" customHeight="1" s="35">
      <c r="B63" s="4">
        <f>LAVORAZIONI!G62</f>
        <v/>
      </c>
      <c r="C63" s="3">
        <f>LAVORAZIONI!A62</f>
        <v/>
      </c>
      <c r="D63" s="3">
        <f>LAVORAZIONI!K62</f>
        <v/>
      </c>
      <c r="E63" s="4">
        <f>LAVORAZIONI!H62</f>
        <v/>
      </c>
      <c r="F63" s="4">
        <f>LAVORAZIONI!M62</f>
        <v/>
      </c>
      <c r="G63" s="5">
        <f>LAVORAZIONI!N62</f>
        <v/>
      </c>
      <c r="H63" s="6">
        <f>LAVORAZIONI!O62</f>
        <v/>
      </c>
      <c r="I63" s="13">
        <f>LAVORAZIONI!P62</f>
        <v/>
      </c>
      <c r="J63" s="5">
        <f>IF(LAVORAZIONI!Q62="","",LAVORAZIONI!Q62)</f>
        <v/>
      </c>
      <c r="K63" s="6">
        <f>IF(LAVORAZIONI!R62="","",LAVORAZIONI!R62)</f>
        <v/>
      </c>
      <c r="L63" s="13">
        <f>IF(LAVORAZIONI!S62="","",LAVORAZIONI!S62)</f>
        <v/>
      </c>
      <c r="M63" s="13">
        <f>LAVORAZIONI!T62</f>
        <v/>
      </c>
      <c r="O63" s="7">
        <f>LAVORAZIONI!U62</f>
        <v/>
      </c>
      <c r="P63" s="37">
        <f>LAVORAZIONI!V62</f>
        <v/>
      </c>
      <c r="Q63" s="7">
        <f>LAVORAZIONI!W62</f>
        <v/>
      </c>
      <c r="R63" s="6">
        <f>LAVORAZIONI!X62</f>
        <v/>
      </c>
      <c r="S63" s="7">
        <f>LAVORAZIONI!Y62</f>
        <v/>
      </c>
      <c r="T63" s="6">
        <f>LAVORAZIONI!Z62</f>
        <v/>
      </c>
      <c r="U63" s="7">
        <f>LAVORAZIONI!AA62</f>
        <v/>
      </c>
      <c r="V63" s="6">
        <f>LAVORAZIONI!AB62</f>
        <v/>
      </c>
      <c r="W63" s="7">
        <f>LAVORAZIONI!AC62</f>
        <v/>
      </c>
      <c r="X63" s="6">
        <f>LAVORAZIONI!AD62</f>
        <v/>
      </c>
      <c r="Y63" s="7">
        <f>LAVORAZIONI!AE62</f>
        <v/>
      </c>
      <c r="Z63" s="6">
        <f>LAVORAZIONI!AF62</f>
        <v/>
      </c>
      <c r="AA63" s="7">
        <f>LAVORAZIONI!AG62</f>
        <v/>
      </c>
      <c r="AB63" s="6">
        <f>LAVORAZIONI!AH62</f>
        <v/>
      </c>
      <c r="AC63" s="7">
        <f>LAVORAZIONI!AI62</f>
        <v/>
      </c>
      <c r="AD63" s="13">
        <f>LAVORAZIONI!AJ62</f>
        <v/>
      </c>
    </row>
    <row r="64" ht="71" customHeight="1" s="35">
      <c r="B64" s="4">
        <f>LAVORAZIONI!G63</f>
        <v/>
      </c>
      <c r="C64" s="3">
        <f>LAVORAZIONI!A63</f>
        <v/>
      </c>
      <c r="D64" s="3">
        <f>LAVORAZIONI!K63</f>
        <v/>
      </c>
      <c r="E64" s="4">
        <f>LAVORAZIONI!H63</f>
        <v/>
      </c>
      <c r="F64" s="4">
        <f>LAVORAZIONI!M63</f>
        <v/>
      </c>
      <c r="G64" s="5">
        <f>LAVORAZIONI!N63</f>
        <v/>
      </c>
      <c r="H64" s="6">
        <f>LAVORAZIONI!O63</f>
        <v/>
      </c>
      <c r="I64" s="13">
        <f>LAVORAZIONI!P63</f>
        <v/>
      </c>
      <c r="J64" s="5">
        <f>IF(LAVORAZIONI!Q63="","",LAVORAZIONI!Q63)</f>
        <v/>
      </c>
      <c r="K64" s="6">
        <f>IF(LAVORAZIONI!R63="","",LAVORAZIONI!R63)</f>
        <v/>
      </c>
      <c r="L64" s="13">
        <f>IF(LAVORAZIONI!S63="","",LAVORAZIONI!S63)</f>
        <v/>
      </c>
      <c r="M64" s="13">
        <f>LAVORAZIONI!T63</f>
        <v/>
      </c>
      <c r="O64" s="7">
        <f>LAVORAZIONI!U63</f>
        <v/>
      </c>
      <c r="P64" s="37">
        <f>LAVORAZIONI!V63</f>
        <v/>
      </c>
      <c r="Q64" s="7">
        <f>LAVORAZIONI!W63</f>
        <v/>
      </c>
      <c r="R64" s="6">
        <f>LAVORAZIONI!X63</f>
        <v/>
      </c>
      <c r="S64" s="7">
        <f>LAVORAZIONI!Y63</f>
        <v/>
      </c>
      <c r="T64" s="6">
        <f>LAVORAZIONI!Z63</f>
        <v/>
      </c>
      <c r="U64" s="7">
        <f>LAVORAZIONI!AA63</f>
        <v/>
      </c>
      <c r="V64" s="6">
        <f>LAVORAZIONI!AB63</f>
        <v/>
      </c>
      <c r="W64" s="7">
        <f>LAVORAZIONI!AC63</f>
        <v/>
      </c>
      <c r="X64" s="6">
        <f>LAVORAZIONI!AD63</f>
        <v/>
      </c>
      <c r="Y64" s="7">
        <f>LAVORAZIONI!AE63</f>
        <v/>
      </c>
      <c r="Z64" s="6">
        <f>LAVORAZIONI!AF63</f>
        <v/>
      </c>
      <c r="AA64" s="7">
        <f>LAVORAZIONI!AG63</f>
        <v/>
      </c>
      <c r="AB64" s="6">
        <f>LAVORAZIONI!AH63</f>
        <v/>
      </c>
      <c r="AC64" s="7">
        <f>LAVORAZIONI!AI63</f>
        <v/>
      </c>
      <c r="AD64" s="13">
        <f>LAVORAZIONI!AJ63</f>
        <v/>
      </c>
    </row>
    <row r="65" ht="71" customHeight="1" s="35">
      <c r="B65" s="4">
        <f>LAVORAZIONI!G64</f>
        <v/>
      </c>
      <c r="C65" s="3">
        <f>LAVORAZIONI!A64</f>
        <v/>
      </c>
      <c r="D65" s="3">
        <f>LAVORAZIONI!K64</f>
        <v/>
      </c>
      <c r="E65" s="4">
        <f>LAVORAZIONI!H64</f>
        <v/>
      </c>
      <c r="F65" s="4">
        <f>LAVORAZIONI!M64</f>
        <v/>
      </c>
      <c r="G65" s="5">
        <f>LAVORAZIONI!N64</f>
        <v/>
      </c>
      <c r="H65" s="6">
        <f>LAVORAZIONI!O64</f>
        <v/>
      </c>
      <c r="I65" s="13">
        <f>LAVORAZIONI!P64</f>
        <v/>
      </c>
      <c r="J65" s="5">
        <f>IF(LAVORAZIONI!Q64="","",LAVORAZIONI!Q64)</f>
        <v/>
      </c>
      <c r="K65" s="6">
        <f>IF(LAVORAZIONI!R64="","",LAVORAZIONI!R64)</f>
        <v/>
      </c>
      <c r="L65" s="13">
        <f>IF(LAVORAZIONI!S64="","",LAVORAZIONI!S64)</f>
        <v/>
      </c>
      <c r="M65" s="13">
        <f>LAVORAZIONI!T64</f>
        <v/>
      </c>
      <c r="O65" s="7">
        <f>LAVORAZIONI!U64</f>
        <v/>
      </c>
      <c r="P65" s="37">
        <f>LAVORAZIONI!V64</f>
        <v/>
      </c>
      <c r="Q65" s="7">
        <f>LAVORAZIONI!W64</f>
        <v/>
      </c>
      <c r="R65" s="6">
        <f>LAVORAZIONI!X64</f>
        <v/>
      </c>
      <c r="S65" s="7">
        <f>LAVORAZIONI!Y64</f>
        <v/>
      </c>
      <c r="T65" s="6">
        <f>LAVORAZIONI!Z64</f>
        <v/>
      </c>
      <c r="U65" s="7">
        <f>LAVORAZIONI!AA64</f>
        <v/>
      </c>
      <c r="V65" s="6">
        <f>LAVORAZIONI!AB64</f>
        <v/>
      </c>
      <c r="W65" s="7">
        <f>LAVORAZIONI!AC64</f>
        <v/>
      </c>
      <c r="X65" s="6">
        <f>LAVORAZIONI!AD64</f>
        <v/>
      </c>
      <c r="Y65" s="7">
        <f>LAVORAZIONI!AE64</f>
        <v/>
      </c>
      <c r="Z65" s="6">
        <f>LAVORAZIONI!AF64</f>
        <v/>
      </c>
      <c r="AA65" s="7">
        <f>LAVORAZIONI!AG64</f>
        <v/>
      </c>
      <c r="AB65" s="6">
        <f>LAVORAZIONI!AH64</f>
        <v/>
      </c>
      <c r="AC65" s="7">
        <f>LAVORAZIONI!AI64</f>
        <v/>
      </c>
      <c r="AD65" s="13">
        <f>LAVORAZIONI!AJ64</f>
        <v/>
      </c>
    </row>
    <row r="66" ht="71" customHeight="1" s="35">
      <c r="B66" s="4">
        <f>LAVORAZIONI!G65</f>
        <v/>
      </c>
      <c r="C66" s="3">
        <f>LAVORAZIONI!A65</f>
        <v/>
      </c>
      <c r="D66" s="3">
        <f>LAVORAZIONI!K65</f>
        <v/>
      </c>
      <c r="E66" s="4">
        <f>LAVORAZIONI!H65</f>
        <v/>
      </c>
      <c r="F66" s="4">
        <f>LAVORAZIONI!M65</f>
        <v/>
      </c>
      <c r="G66" s="5">
        <f>LAVORAZIONI!N65</f>
        <v/>
      </c>
      <c r="H66" s="6">
        <f>LAVORAZIONI!O65</f>
        <v/>
      </c>
      <c r="I66" s="13">
        <f>LAVORAZIONI!P65</f>
        <v/>
      </c>
      <c r="J66" s="5">
        <f>IF(LAVORAZIONI!Q65="","",LAVORAZIONI!Q65)</f>
        <v/>
      </c>
      <c r="K66" s="6">
        <f>IF(LAVORAZIONI!R65="","",LAVORAZIONI!R65)</f>
        <v/>
      </c>
      <c r="L66" s="13">
        <f>IF(LAVORAZIONI!S65="","",LAVORAZIONI!S65)</f>
        <v/>
      </c>
      <c r="M66" s="13">
        <f>LAVORAZIONI!T65</f>
        <v/>
      </c>
      <c r="O66" s="7">
        <f>LAVORAZIONI!U65</f>
        <v/>
      </c>
      <c r="P66" s="37">
        <f>LAVORAZIONI!V65</f>
        <v/>
      </c>
      <c r="Q66" s="7">
        <f>LAVORAZIONI!W65</f>
        <v/>
      </c>
      <c r="R66" s="6">
        <f>LAVORAZIONI!X65</f>
        <v/>
      </c>
      <c r="S66" s="7">
        <f>LAVORAZIONI!Y65</f>
        <v/>
      </c>
      <c r="T66" s="6">
        <f>LAVORAZIONI!Z65</f>
        <v/>
      </c>
      <c r="U66" s="7">
        <f>LAVORAZIONI!AA65</f>
        <v/>
      </c>
      <c r="V66" s="6">
        <f>LAVORAZIONI!AB65</f>
        <v/>
      </c>
      <c r="W66" s="7">
        <f>LAVORAZIONI!AC65</f>
        <v/>
      </c>
      <c r="X66" s="6">
        <f>LAVORAZIONI!AD65</f>
        <v/>
      </c>
      <c r="Y66" s="7">
        <f>LAVORAZIONI!AE65</f>
        <v/>
      </c>
      <c r="Z66" s="6">
        <f>LAVORAZIONI!AF65</f>
        <v/>
      </c>
      <c r="AA66" s="7">
        <f>LAVORAZIONI!AG65</f>
        <v/>
      </c>
      <c r="AB66" s="6">
        <f>LAVORAZIONI!AH65</f>
        <v/>
      </c>
      <c r="AC66" s="7">
        <f>LAVORAZIONI!AI65</f>
        <v/>
      </c>
      <c r="AD66" s="13">
        <f>LAVORAZIONI!AJ65</f>
        <v/>
      </c>
    </row>
    <row r="67" ht="71" customHeight="1" s="35">
      <c r="B67" s="4">
        <f>LAVORAZIONI!G66</f>
        <v/>
      </c>
      <c r="C67" s="3">
        <f>LAVORAZIONI!A66</f>
        <v/>
      </c>
      <c r="D67" s="3">
        <f>LAVORAZIONI!K66</f>
        <v/>
      </c>
      <c r="E67" s="4">
        <f>LAVORAZIONI!H66</f>
        <v/>
      </c>
      <c r="F67" s="4">
        <f>LAVORAZIONI!M66</f>
        <v/>
      </c>
      <c r="G67" s="5">
        <f>LAVORAZIONI!N66</f>
        <v/>
      </c>
      <c r="H67" s="6">
        <f>LAVORAZIONI!O66</f>
        <v/>
      </c>
      <c r="I67" s="13">
        <f>LAVORAZIONI!P66</f>
        <v/>
      </c>
      <c r="J67" s="5">
        <f>IF(LAVORAZIONI!Q66="","",LAVORAZIONI!Q66)</f>
        <v/>
      </c>
      <c r="K67" s="6">
        <f>IF(LAVORAZIONI!R66="","",LAVORAZIONI!R66)</f>
        <v/>
      </c>
      <c r="L67" s="13">
        <f>IF(LAVORAZIONI!S66="","",LAVORAZIONI!S66)</f>
        <v/>
      </c>
      <c r="M67" s="13">
        <f>LAVORAZIONI!T66</f>
        <v/>
      </c>
      <c r="O67" s="7">
        <f>LAVORAZIONI!U66</f>
        <v/>
      </c>
      <c r="P67" s="37">
        <f>LAVORAZIONI!V66</f>
        <v/>
      </c>
      <c r="Q67" s="7">
        <f>LAVORAZIONI!W66</f>
        <v/>
      </c>
      <c r="R67" s="6">
        <f>LAVORAZIONI!X66</f>
        <v/>
      </c>
      <c r="S67" s="7">
        <f>LAVORAZIONI!Y66</f>
        <v/>
      </c>
      <c r="T67" s="6">
        <f>LAVORAZIONI!Z66</f>
        <v/>
      </c>
      <c r="U67" s="7">
        <f>LAVORAZIONI!AA66</f>
        <v/>
      </c>
      <c r="V67" s="6">
        <f>LAVORAZIONI!AB66</f>
        <v/>
      </c>
      <c r="W67" s="7">
        <f>LAVORAZIONI!AC66</f>
        <v/>
      </c>
      <c r="X67" s="6">
        <f>LAVORAZIONI!AD66</f>
        <v/>
      </c>
      <c r="Y67" s="7">
        <f>LAVORAZIONI!AE66</f>
        <v/>
      </c>
      <c r="Z67" s="6">
        <f>LAVORAZIONI!AF66</f>
        <v/>
      </c>
      <c r="AA67" s="7">
        <f>LAVORAZIONI!AG66</f>
        <v/>
      </c>
      <c r="AB67" s="6">
        <f>LAVORAZIONI!AH66</f>
        <v/>
      </c>
      <c r="AC67" s="7">
        <f>LAVORAZIONI!AI66</f>
        <v/>
      </c>
      <c r="AD67" s="13">
        <f>LAVORAZIONI!AJ66</f>
        <v/>
      </c>
    </row>
    <row r="68" ht="71" customHeight="1" s="35">
      <c r="B68" s="4">
        <f>LAVORAZIONI!G67</f>
        <v/>
      </c>
      <c r="C68" s="3">
        <f>LAVORAZIONI!A67</f>
        <v/>
      </c>
      <c r="D68" s="3">
        <f>LAVORAZIONI!K67</f>
        <v/>
      </c>
      <c r="E68" s="4">
        <f>LAVORAZIONI!H67</f>
        <v/>
      </c>
      <c r="F68" s="4">
        <f>LAVORAZIONI!M67</f>
        <v/>
      </c>
      <c r="G68" s="5">
        <f>LAVORAZIONI!N67</f>
        <v/>
      </c>
      <c r="H68" s="6">
        <f>LAVORAZIONI!O67</f>
        <v/>
      </c>
      <c r="I68" s="13">
        <f>LAVORAZIONI!P67</f>
        <v/>
      </c>
      <c r="J68" s="5">
        <f>IF(LAVORAZIONI!Q67="","",LAVORAZIONI!Q67)</f>
        <v/>
      </c>
      <c r="K68" s="6">
        <f>IF(LAVORAZIONI!R67="","",LAVORAZIONI!R67)</f>
        <v/>
      </c>
      <c r="L68" s="13">
        <f>IF(LAVORAZIONI!S67="","",LAVORAZIONI!S67)</f>
        <v/>
      </c>
      <c r="M68" s="13">
        <f>LAVORAZIONI!T67</f>
        <v/>
      </c>
      <c r="O68" s="7">
        <f>LAVORAZIONI!U67</f>
        <v/>
      </c>
      <c r="P68" s="37">
        <f>LAVORAZIONI!V67</f>
        <v/>
      </c>
      <c r="Q68" s="7">
        <f>LAVORAZIONI!W67</f>
        <v/>
      </c>
      <c r="R68" s="6">
        <f>LAVORAZIONI!X67</f>
        <v/>
      </c>
      <c r="S68" s="7">
        <f>LAVORAZIONI!Y67</f>
        <v/>
      </c>
      <c r="T68" s="6">
        <f>LAVORAZIONI!Z67</f>
        <v/>
      </c>
      <c r="U68" s="7">
        <f>LAVORAZIONI!AA67</f>
        <v/>
      </c>
      <c r="V68" s="6">
        <f>LAVORAZIONI!AB67</f>
        <v/>
      </c>
      <c r="W68" s="7">
        <f>LAVORAZIONI!AC67</f>
        <v/>
      </c>
      <c r="X68" s="6">
        <f>LAVORAZIONI!AD67</f>
        <v/>
      </c>
      <c r="Y68" s="7">
        <f>LAVORAZIONI!AE67</f>
        <v/>
      </c>
      <c r="Z68" s="6">
        <f>LAVORAZIONI!AF67</f>
        <v/>
      </c>
      <c r="AA68" s="7">
        <f>LAVORAZIONI!AG67</f>
        <v/>
      </c>
      <c r="AB68" s="6">
        <f>LAVORAZIONI!AH67</f>
        <v/>
      </c>
      <c r="AC68" s="7">
        <f>LAVORAZIONI!AI67</f>
        <v/>
      </c>
      <c r="AD68" s="13">
        <f>LAVORAZIONI!AJ67</f>
        <v/>
      </c>
    </row>
    <row r="69" ht="71" customHeight="1" s="35">
      <c r="B69" s="4">
        <f>LAVORAZIONI!G68</f>
        <v/>
      </c>
      <c r="C69" s="3">
        <f>LAVORAZIONI!A68</f>
        <v/>
      </c>
      <c r="D69" s="3">
        <f>LAVORAZIONI!K68</f>
        <v/>
      </c>
      <c r="E69" s="4">
        <f>LAVORAZIONI!H68</f>
        <v/>
      </c>
      <c r="F69" s="4">
        <f>LAVORAZIONI!M68</f>
        <v/>
      </c>
      <c r="G69" s="5">
        <f>LAVORAZIONI!N68</f>
        <v/>
      </c>
      <c r="H69" s="6">
        <f>LAVORAZIONI!O68</f>
        <v/>
      </c>
      <c r="I69" s="13">
        <f>LAVORAZIONI!P68</f>
        <v/>
      </c>
      <c r="J69" s="5">
        <f>IF(LAVORAZIONI!Q68="","",LAVORAZIONI!Q68)</f>
        <v/>
      </c>
      <c r="K69" s="6">
        <f>IF(LAVORAZIONI!R68="","",LAVORAZIONI!R68)</f>
        <v/>
      </c>
      <c r="L69" s="13">
        <f>IF(LAVORAZIONI!S68="","",LAVORAZIONI!S68)</f>
        <v/>
      </c>
      <c r="M69" s="13">
        <f>LAVORAZIONI!T68</f>
        <v/>
      </c>
      <c r="O69" s="7">
        <f>LAVORAZIONI!U68</f>
        <v/>
      </c>
      <c r="P69" s="37">
        <f>LAVORAZIONI!V68</f>
        <v/>
      </c>
      <c r="Q69" s="7">
        <f>LAVORAZIONI!W68</f>
        <v/>
      </c>
      <c r="R69" s="6">
        <f>LAVORAZIONI!X68</f>
        <v/>
      </c>
      <c r="S69" s="7">
        <f>LAVORAZIONI!Y68</f>
        <v/>
      </c>
      <c r="T69" s="6">
        <f>LAVORAZIONI!Z68</f>
        <v/>
      </c>
      <c r="U69" s="7">
        <f>LAVORAZIONI!AA68</f>
        <v/>
      </c>
      <c r="V69" s="6">
        <f>LAVORAZIONI!AB68</f>
        <v/>
      </c>
      <c r="W69" s="7">
        <f>LAVORAZIONI!AC68</f>
        <v/>
      </c>
      <c r="X69" s="6">
        <f>LAVORAZIONI!AD68</f>
        <v/>
      </c>
      <c r="Y69" s="7">
        <f>LAVORAZIONI!AE68</f>
        <v/>
      </c>
      <c r="Z69" s="6">
        <f>LAVORAZIONI!AF68</f>
        <v/>
      </c>
      <c r="AA69" s="7">
        <f>LAVORAZIONI!AG68</f>
        <v/>
      </c>
      <c r="AB69" s="6">
        <f>LAVORAZIONI!AH68</f>
        <v/>
      </c>
      <c r="AC69" s="7">
        <f>LAVORAZIONI!AI68</f>
        <v/>
      </c>
      <c r="AD69" s="13">
        <f>LAVORAZIONI!AJ68</f>
        <v/>
      </c>
    </row>
    <row r="70" ht="71" customHeight="1" s="35">
      <c r="B70" s="4">
        <f>LAVORAZIONI!G69</f>
        <v/>
      </c>
      <c r="C70" s="3">
        <f>LAVORAZIONI!A69</f>
        <v/>
      </c>
      <c r="D70" s="3">
        <f>LAVORAZIONI!K69</f>
        <v/>
      </c>
      <c r="E70" s="4">
        <f>LAVORAZIONI!H69</f>
        <v/>
      </c>
      <c r="F70" s="4">
        <f>LAVORAZIONI!M69</f>
        <v/>
      </c>
      <c r="G70" s="5">
        <f>LAVORAZIONI!N69</f>
        <v/>
      </c>
      <c r="H70" s="6">
        <f>LAVORAZIONI!O69</f>
        <v/>
      </c>
      <c r="I70" s="13">
        <f>LAVORAZIONI!P69</f>
        <v/>
      </c>
      <c r="J70" s="5">
        <f>IF(LAVORAZIONI!Q69="","",LAVORAZIONI!Q69)</f>
        <v/>
      </c>
      <c r="K70" s="6">
        <f>IF(LAVORAZIONI!R69="","",LAVORAZIONI!R69)</f>
        <v/>
      </c>
      <c r="L70" s="13">
        <f>IF(LAVORAZIONI!S69="","",LAVORAZIONI!S69)</f>
        <v/>
      </c>
      <c r="M70" s="13">
        <f>LAVORAZIONI!T69</f>
        <v/>
      </c>
      <c r="O70" s="7">
        <f>LAVORAZIONI!U69</f>
        <v/>
      </c>
      <c r="P70" s="37">
        <f>LAVORAZIONI!V69</f>
        <v/>
      </c>
      <c r="Q70" s="7">
        <f>LAVORAZIONI!W69</f>
        <v/>
      </c>
      <c r="R70" s="6">
        <f>LAVORAZIONI!X69</f>
        <v/>
      </c>
      <c r="S70" s="7">
        <f>LAVORAZIONI!Y69</f>
        <v/>
      </c>
      <c r="T70" s="6">
        <f>LAVORAZIONI!Z69</f>
        <v/>
      </c>
      <c r="U70" s="7">
        <f>LAVORAZIONI!AA69</f>
        <v/>
      </c>
      <c r="V70" s="6">
        <f>LAVORAZIONI!AB69</f>
        <v/>
      </c>
      <c r="W70" s="7">
        <f>LAVORAZIONI!AC69</f>
        <v/>
      </c>
      <c r="X70" s="6">
        <f>LAVORAZIONI!AD69</f>
        <v/>
      </c>
      <c r="Y70" s="7">
        <f>LAVORAZIONI!AE69</f>
        <v/>
      </c>
      <c r="Z70" s="6">
        <f>LAVORAZIONI!AF69</f>
        <v/>
      </c>
      <c r="AA70" s="7">
        <f>LAVORAZIONI!AG69</f>
        <v/>
      </c>
      <c r="AB70" s="6">
        <f>LAVORAZIONI!AH69</f>
        <v/>
      </c>
      <c r="AC70" s="7">
        <f>LAVORAZIONI!AI69</f>
        <v/>
      </c>
      <c r="AD70" s="13">
        <f>LAVORAZIONI!AJ69</f>
        <v/>
      </c>
    </row>
    <row r="71" ht="71" customHeight="1" s="35">
      <c r="B71" s="4">
        <f>LAVORAZIONI!G70</f>
        <v/>
      </c>
      <c r="C71" s="3">
        <f>LAVORAZIONI!A70</f>
        <v/>
      </c>
      <c r="D71" s="3">
        <f>LAVORAZIONI!K70</f>
        <v/>
      </c>
      <c r="E71" s="4">
        <f>LAVORAZIONI!H70</f>
        <v/>
      </c>
      <c r="F71" s="4">
        <f>LAVORAZIONI!M70</f>
        <v/>
      </c>
      <c r="G71" s="5">
        <f>LAVORAZIONI!N70</f>
        <v/>
      </c>
      <c r="H71" s="6">
        <f>LAVORAZIONI!O70</f>
        <v/>
      </c>
      <c r="I71" s="13">
        <f>LAVORAZIONI!P70</f>
        <v/>
      </c>
      <c r="J71" s="5">
        <f>IF(LAVORAZIONI!Q70="","",LAVORAZIONI!Q70)</f>
        <v/>
      </c>
      <c r="K71" s="6">
        <f>IF(LAVORAZIONI!R70="","",LAVORAZIONI!R70)</f>
        <v/>
      </c>
      <c r="L71" s="13">
        <f>IF(LAVORAZIONI!S70="","",LAVORAZIONI!S70)</f>
        <v/>
      </c>
      <c r="M71" s="13">
        <f>LAVORAZIONI!T70</f>
        <v/>
      </c>
      <c r="O71" s="7">
        <f>LAVORAZIONI!U70</f>
        <v/>
      </c>
      <c r="P71" s="37">
        <f>LAVORAZIONI!V70</f>
        <v/>
      </c>
      <c r="Q71" s="7">
        <f>LAVORAZIONI!W70</f>
        <v/>
      </c>
      <c r="R71" s="6">
        <f>LAVORAZIONI!X70</f>
        <v/>
      </c>
      <c r="S71" s="7">
        <f>LAVORAZIONI!Y70</f>
        <v/>
      </c>
      <c r="T71" s="6">
        <f>LAVORAZIONI!Z70</f>
        <v/>
      </c>
      <c r="U71" s="7">
        <f>LAVORAZIONI!AA70</f>
        <v/>
      </c>
      <c r="V71" s="6">
        <f>LAVORAZIONI!AB70</f>
        <v/>
      </c>
      <c r="W71" s="7">
        <f>LAVORAZIONI!AC70</f>
        <v/>
      </c>
      <c r="X71" s="6">
        <f>LAVORAZIONI!AD70</f>
        <v/>
      </c>
      <c r="Y71" s="7">
        <f>LAVORAZIONI!AE70</f>
        <v/>
      </c>
      <c r="Z71" s="6">
        <f>LAVORAZIONI!AF70</f>
        <v/>
      </c>
      <c r="AA71" s="7">
        <f>LAVORAZIONI!AG70</f>
        <v/>
      </c>
      <c r="AB71" s="6">
        <f>LAVORAZIONI!AH70</f>
        <v/>
      </c>
      <c r="AC71" s="7">
        <f>LAVORAZIONI!AI70</f>
        <v/>
      </c>
      <c r="AD71" s="13">
        <f>LAVORAZIONI!AJ70</f>
        <v/>
      </c>
    </row>
    <row r="72" ht="71" customHeight="1" s="35">
      <c r="B72" s="4">
        <f>LAVORAZIONI!G71</f>
        <v/>
      </c>
      <c r="C72" s="3">
        <f>LAVORAZIONI!A71</f>
        <v/>
      </c>
      <c r="D72" s="3">
        <f>LAVORAZIONI!K71</f>
        <v/>
      </c>
      <c r="E72" s="4">
        <f>LAVORAZIONI!H71</f>
        <v/>
      </c>
      <c r="F72" s="4">
        <f>LAVORAZIONI!M71</f>
        <v/>
      </c>
      <c r="G72" s="5">
        <f>LAVORAZIONI!N71</f>
        <v/>
      </c>
      <c r="H72" s="6">
        <f>LAVORAZIONI!O71</f>
        <v/>
      </c>
      <c r="I72" s="13">
        <f>LAVORAZIONI!P71</f>
        <v/>
      </c>
      <c r="J72" s="5">
        <f>IF(LAVORAZIONI!Q71="","",LAVORAZIONI!Q71)</f>
        <v/>
      </c>
      <c r="K72" s="6">
        <f>IF(LAVORAZIONI!R71="","",LAVORAZIONI!R71)</f>
        <v/>
      </c>
      <c r="L72" s="13">
        <f>IF(LAVORAZIONI!S71="","",LAVORAZIONI!S71)</f>
        <v/>
      </c>
      <c r="M72" s="13">
        <f>LAVORAZIONI!T71</f>
        <v/>
      </c>
      <c r="O72" s="7">
        <f>LAVORAZIONI!U71</f>
        <v/>
      </c>
      <c r="P72" s="37">
        <f>LAVORAZIONI!V71</f>
        <v/>
      </c>
      <c r="Q72" s="7">
        <f>LAVORAZIONI!W71</f>
        <v/>
      </c>
      <c r="R72" s="6">
        <f>LAVORAZIONI!X71</f>
        <v/>
      </c>
      <c r="S72" s="7">
        <f>LAVORAZIONI!Y71</f>
        <v/>
      </c>
      <c r="T72" s="6">
        <f>LAVORAZIONI!Z71</f>
        <v/>
      </c>
      <c r="U72" s="7">
        <f>LAVORAZIONI!AA71</f>
        <v/>
      </c>
      <c r="V72" s="6">
        <f>LAVORAZIONI!AB71</f>
        <v/>
      </c>
      <c r="W72" s="7">
        <f>LAVORAZIONI!AC71</f>
        <v/>
      </c>
      <c r="X72" s="6">
        <f>LAVORAZIONI!AD71</f>
        <v/>
      </c>
      <c r="Y72" s="7">
        <f>LAVORAZIONI!AE71</f>
        <v/>
      </c>
      <c r="Z72" s="6">
        <f>LAVORAZIONI!AF71</f>
        <v/>
      </c>
      <c r="AA72" s="7">
        <f>LAVORAZIONI!AG71</f>
        <v/>
      </c>
      <c r="AB72" s="6">
        <f>LAVORAZIONI!AH71</f>
        <v/>
      </c>
      <c r="AC72" s="7">
        <f>LAVORAZIONI!AI71</f>
        <v/>
      </c>
      <c r="AD72" s="13">
        <f>LAVORAZIONI!AJ71</f>
        <v/>
      </c>
    </row>
    <row r="73" ht="71" customHeight="1" s="35">
      <c r="B73" s="4">
        <f>LAVORAZIONI!G72</f>
        <v/>
      </c>
      <c r="C73" s="3">
        <f>LAVORAZIONI!A72</f>
        <v/>
      </c>
      <c r="D73" s="3">
        <f>LAVORAZIONI!K72</f>
        <v/>
      </c>
      <c r="E73" s="4">
        <f>LAVORAZIONI!H72</f>
        <v/>
      </c>
      <c r="F73" s="4">
        <f>LAVORAZIONI!M72</f>
        <v/>
      </c>
      <c r="G73" s="5">
        <f>LAVORAZIONI!N72</f>
        <v/>
      </c>
      <c r="H73" s="6">
        <f>LAVORAZIONI!O72</f>
        <v/>
      </c>
      <c r="I73" s="13">
        <f>LAVORAZIONI!P72</f>
        <v/>
      </c>
      <c r="J73" s="5">
        <f>IF(LAVORAZIONI!Q72="","",LAVORAZIONI!Q72)</f>
        <v/>
      </c>
      <c r="K73" s="6">
        <f>IF(LAVORAZIONI!R72="","",LAVORAZIONI!R72)</f>
        <v/>
      </c>
      <c r="L73" s="13">
        <f>IF(LAVORAZIONI!S72="","",LAVORAZIONI!S72)</f>
        <v/>
      </c>
      <c r="M73" s="13">
        <f>LAVORAZIONI!T72</f>
        <v/>
      </c>
      <c r="O73" s="7">
        <f>LAVORAZIONI!U72</f>
        <v/>
      </c>
      <c r="P73" s="37">
        <f>LAVORAZIONI!V72</f>
        <v/>
      </c>
      <c r="Q73" s="7">
        <f>LAVORAZIONI!W72</f>
        <v/>
      </c>
      <c r="R73" s="6">
        <f>LAVORAZIONI!X72</f>
        <v/>
      </c>
      <c r="S73" s="7">
        <f>LAVORAZIONI!Y72</f>
        <v/>
      </c>
      <c r="T73" s="6">
        <f>LAVORAZIONI!Z72</f>
        <v/>
      </c>
      <c r="U73" s="7">
        <f>LAVORAZIONI!AA72</f>
        <v/>
      </c>
      <c r="V73" s="6">
        <f>LAVORAZIONI!AB72</f>
        <v/>
      </c>
      <c r="W73" s="7">
        <f>LAVORAZIONI!AC72</f>
        <v/>
      </c>
      <c r="X73" s="6">
        <f>LAVORAZIONI!AD72</f>
        <v/>
      </c>
      <c r="Y73" s="7">
        <f>LAVORAZIONI!AE72</f>
        <v/>
      </c>
      <c r="Z73" s="6">
        <f>LAVORAZIONI!AF72</f>
        <v/>
      </c>
      <c r="AA73" s="7">
        <f>LAVORAZIONI!AG72</f>
        <v/>
      </c>
      <c r="AB73" s="6">
        <f>LAVORAZIONI!AH72</f>
        <v/>
      </c>
      <c r="AC73" s="7">
        <f>LAVORAZIONI!AI72</f>
        <v/>
      </c>
      <c r="AD73" s="13">
        <f>LAVORAZIONI!AJ72</f>
        <v/>
      </c>
    </row>
    <row r="74" ht="71" customHeight="1" s="35">
      <c r="B74" s="4">
        <f>LAVORAZIONI!G73</f>
        <v/>
      </c>
      <c r="C74" s="3">
        <f>LAVORAZIONI!A73</f>
        <v/>
      </c>
      <c r="D74" s="3">
        <f>LAVORAZIONI!K73</f>
        <v/>
      </c>
      <c r="E74" s="4">
        <f>LAVORAZIONI!H73</f>
        <v/>
      </c>
      <c r="F74" s="4">
        <f>LAVORAZIONI!M73</f>
        <v/>
      </c>
      <c r="G74" s="5">
        <f>LAVORAZIONI!N73</f>
        <v/>
      </c>
      <c r="H74" s="6">
        <f>LAVORAZIONI!O73</f>
        <v/>
      </c>
      <c r="I74" s="13">
        <f>LAVORAZIONI!P73</f>
        <v/>
      </c>
      <c r="J74" s="5">
        <f>IF(LAVORAZIONI!Q73="","",LAVORAZIONI!Q73)</f>
        <v/>
      </c>
      <c r="K74" s="6">
        <f>IF(LAVORAZIONI!R73="","",LAVORAZIONI!R73)</f>
        <v/>
      </c>
      <c r="L74" s="13">
        <f>IF(LAVORAZIONI!S73="","",LAVORAZIONI!S73)</f>
        <v/>
      </c>
      <c r="M74" s="13">
        <f>LAVORAZIONI!T73</f>
        <v/>
      </c>
      <c r="O74" s="7">
        <f>LAVORAZIONI!U73</f>
        <v/>
      </c>
      <c r="P74" s="37">
        <f>LAVORAZIONI!V73</f>
        <v/>
      </c>
      <c r="Q74" s="7">
        <f>LAVORAZIONI!W73</f>
        <v/>
      </c>
      <c r="R74" s="6">
        <f>LAVORAZIONI!X73</f>
        <v/>
      </c>
      <c r="S74" s="7">
        <f>LAVORAZIONI!Y73</f>
        <v/>
      </c>
      <c r="T74" s="6">
        <f>LAVORAZIONI!Z73</f>
        <v/>
      </c>
      <c r="U74" s="7">
        <f>LAVORAZIONI!AA73</f>
        <v/>
      </c>
      <c r="V74" s="6">
        <f>LAVORAZIONI!AB73</f>
        <v/>
      </c>
      <c r="W74" s="7">
        <f>LAVORAZIONI!AC73</f>
        <v/>
      </c>
      <c r="X74" s="6">
        <f>LAVORAZIONI!AD73</f>
        <v/>
      </c>
      <c r="Y74" s="7">
        <f>LAVORAZIONI!AE73</f>
        <v/>
      </c>
      <c r="Z74" s="6">
        <f>LAVORAZIONI!AF73</f>
        <v/>
      </c>
      <c r="AA74" s="7">
        <f>LAVORAZIONI!AG73</f>
        <v/>
      </c>
      <c r="AB74" s="6">
        <f>LAVORAZIONI!AH73</f>
        <v/>
      </c>
      <c r="AC74" s="7">
        <f>LAVORAZIONI!AI73</f>
        <v/>
      </c>
      <c r="AD74" s="13">
        <f>LAVORAZIONI!AJ73</f>
        <v/>
      </c>
    </row>
    <row r="75" ht="71" customHeight="1" s="35">
      <c r="B75" s="4">
        <f>LAVORAZIONI!G74</f>
        <v/>
      </c>
      <c r="C75" s="3">
        <f>LAVORAZIONI!A74</f>
        <v/>
      </c>
      <c r="D75" s="3">
        <f>LAVORAZIONI!K74</f>
        <v/>
      </c>
      <c r="E75" s="4">
        <f>LAVORAZIONI!H74</f>
        <v/>
      </c>
      <c r="F75" s="4">
        <f>LAVORAZIONI!M74</f>
        <v/>
      </c>
      <c r="G75" s="5">
        <f>LAVORAZIONI!N74</f>
        <v/>
      </c>
      <c r="H75" s="6">
        <f>LAVORAZIONI!O74</f>
        <v/>
      </c>
      <c r="I75" s="13">
        <f>LAVORAZIONI!P74</f>
        <v/>
      </c>
      <c r="J75" s="5">
        <f>IF(LAVORAZIONI!Q74="","",LAVORAZIONI!Q74)</f>
        <v/>
      </c>
      <c r="K75" s="6">
        <f>IF(LAVORAZIONI!R74="","",LAVORAZIONI!R74)</f>
        <v/>
      </c>
      <c r="L75" s="13">
        <f>IF(LAVORAZIONI!S74="","",LAVORAZIONI!S74)</f>
        <v/>
      </c>
      <c r="M75" s="13">
        <f>LAVORAZIONI!T74</f>
        <v/>
      </c>
      <c r="O75" s="7">
        <f>LAVORAZIONI!U74</f>
        <v/>
      </c>
      <c r="P75" s="37">
        <f>LAVORAZIONI!V74</f>
        <v/>
      </c>
      <c r="Q75" s="7">
        <f>LAVORAZIONI!W74</f>
        <v/>
      </c>
      <c r="R75" s="6">
        <f>LAVORAZIONI!X74</f>
        <v/>
      </c>
      <c r="S75" s="7">
        <f>LAVORAZIONI!Y74</f>
        <v/>
      </c>
      <c r="T75" s="6">
        <f>LAVORAZIONI!Z74</f>
        <v/>
      </c>
      <c r="U75" s="7">
        <f>LAVORAZIONI!AA74</f>
        <v/>
      </c>
      <c r="V75" s="6">
        <f>LAVORAZIONI!AB74</f>
        <v/>
      </c>
      <c r="W75" s="7">
        <f>LAVORAZIONI!AC74</f>
        <v/>
      </c>
      <c r="X75" s="6">
        <f>LAVORAZIONI!AD74</f>
        <v/>
      </c>
      <c r="Y75" s="7">
        <f>LAVORAZIONI!AE74</f>
        <v/>
      </c>
      <c r="Z75" s="6">
        <f>LAVORAZIONI!AF74</f>
        <v/>
      </c>
      <c r="AA75" s="7">
        <f>LAVORAZIONI!AG74</f>
        <v/>
      </c>
      <c r="AB75" s="6">
        <f>LAVORAZIONI!AH74</f>
        <v/>
      </c>
      <c r="AC75" s="7">
        <f>LAVORAZIONI!AI74</f>
        <v/>
      </c>
      <c r="AD75" s="13">
        <f>LAVORAZIONI!AJ74</f>
        <v/>
      </c>
    </row>
    <row r="76" ht="71" customHeight="1" s="35">
      <c r="B76" s="4">
        <f>LAVORAZIONI!G75</f>
        <v/>
      </c>
      <c r="C76" s="3">
        <f>LAVORAZIONI!A75</f>
        <v/>
      </c>
      <c r="D76" s="3">
        <f>LAVORAZIONI!K75</f>
        <v/>
      </c>
      <c r="E76" s="4">
        <f>LAVORAZIONI!H75</f>
        <v/>
      </c>
      <c r="F76" s="4">
        <f>LAVORAZIONI!M75</f>
        <v/>
      </c>
      <c r="G76" s="5">
        <f>LAVORAZIONI!N75</f>
        <v/>
      </c>
      <c r="H76" s="6">
        <f>LAVORAZIONI!O75</f>
        <v/>
      </c>
      <c r="I76" s="13">
        <f>LAVORAZIONI!P75</f>
        <v/>
      </c>
      <c r="J76" s="5">
        <f>IF(LAVORAZIONI!Q75="","",LAVORAZIONI!Q75)</f>
        <v/>
      </c>
      <c r="K76" s="6">
        <f>IF(LAVORAZIONI!R75="","",LAVORAZIONI!R75)</f>
        <v/>
      </c>
      <c r="L76" s="13">
        <f>IF(LAVORAZIONI!S75="","",LAVORAZIONI!S75)</f>
        <v/>
      </c>
      <c r="M76" s="13">
        <f>LAVORAZIONI!T75</f>
        <v/>
      </c>
      <c r="O76" s="7">
        <f>LAVORAZIONI!U75</f>
        <v/>
      </c>
      <c r="P76" s="37">
        <f>LAVORAZIONI!V75</f>
        <v/>
      </c>
      <c r="Q76" s="7">
        <f>LAVORAZIONI!W75</f>
        <v/>
      </c>
      <c r="R76" s="6">
        <f>LAVORAZIONI!X75</f>
        <v/>
      </c>
      <c r="S76" s="7">
        <f>LAVORAZIONI!Y75</f>
        <v/>
      </c>
      <c r="T76" s="6">
        <f>LAVORAZIONI!Z75</f>
        <v/>
      </c>
      <c r="U76" s="7">
        <f>LAVORAZIONI!AA75</f>
        <v/>
      </c>
      <c r="V76" s="6">
        <f>LAVORAZIONI!AB75</f>
        <v/>
      </c>
      <c r="W76" s="7">
        <f>LAVORAZIONI!AC75</f>
        <v/>
      </c>
      <c r="X76" s="6">
        <f>LAVORAZIONI!AD75</f>
        <v/>
      </c>
      <c r="Y76" s="7">
        <f>LAVORAZIONI!AE75</f>
        <v/>
      </c>
      <c r="Z76" s="6">
        <f>LAVORAZIONI!AF75</f>
        <v/>
      </c>
      <c r="AA76" s="7">
        <f>LAVORAZIONI!AG75</f>
        <v/>
      </c>
      <c r="AB76" s="6">
        <f>LAVORAZIONI!AH75</f>
        <v/>
      </c>
      <c r="AC76" s="7">
        <f>LAVORAZIONI!AI75</f>
        <v/>
      </c>
      <c r="AD76" s="13">
        <f>LAVORAZIONI!AJ75</f>
        <v/>
      </c>
    </row>
    <row r="77" ht="71" customHeight="1" s="35">
      <c r="B77" s="4">
        <f>LAVORAZIONI!G76</f>
        <v/>
      </c>
      <c r="C77" s="3">
        <f>LAVORAZIONI!A76</f>
        <v/>
      </c>
      <c r="D77" s="3">
        <f>LAVORAZIONI!K76</f>
        <v/>
      </c>
      <c r="E77" s="4">
        <f>LAVORAZIONI!H76</f>
        <v/>
      </c>
      <c r="F77" s="4">
        <f>LAVORAZIONI!M76</f>
        <v/>
      </c>
      <c r="G77" s="5">
        <f>LAVORAZIONI!N76</f>
        <v/>
      </c>
      <c r="H77" s="6">
        <f>LAVORAZIONI!O76</f>
        <v/>
      </c>
      <c r="I77" s="13">
        <f>LAVORAZIONI!P76</f>
        <v/>
      </c>
      <c r="J77" s="5">
        <f>IF(LAVORAZIONI!Q76="","",LAVORAZIONI!Q76)</f>
        <v/>
      </c>
      <c r="K77" s="6">
        <f>IF(LAVORAZIONI!R76="","",LAVORAZIONI!R76)</f>
        <v/>
      </c>
      <c r="L77" s="13">
        <f>IF(LAVORAZIONI!S76="","",LAVORAZIONI!S76)</f>
        <v/>
      </c>
      <c r="M77" s="13">
        <f>LAVORAZIONI!T76</f>
        <v/>
      </c>
      <c r="O77" s="7">
        <f>LAVORAZIONI!U76</f>
        <v/>
      </c>
      <c r="P77" s="37">
        <f>LAVORAZIONI!V76</f>
        <v/>
      </c>
      <c r="Q77" s="7">
        <f>LAVORAZIONI!W76</f>
        <v/>
      </c>
      <c r="R77" s="6">
        <f>LAVORAZIONI!X76</f>
        <v/>
      </c>
      <c r="S77" s="7">
        <f>LAVORAZIONI!Y76</f>
        <v/>
      </c>
      <c r="T77" s="6">
        <f>LAVORAZIONI!Z76</f>
        <v/>
      </c>
      <c r="U77" s="7">
        <f>LAVORAZIONI!AA76</f>
        <v/>
      </c>
      <c r="V77" s="6">
        <f>LAVORAZIONI!AB76</f>
        <v/>
      </c>
      <c r="W77" s="7">
        <f>LAVORAZIONI!AC76</f>
        <v/>
      </c>
      <c r="X77" s="6">
        <f>LAVORAZIONI!AD76</f>
        <v/>
      </c>
      <c r="Y77" s="7">
        <f>LAVORAZIONI!AE76</f>
        <v/>
      </c>
      <c r="Z77" s="6">
        <f>LAVORAZIONI!AF76</f>
        <v/>
      </c>
      <c r="AA77" s="7">
        <f>LAVORAZIONI!AG76</f>
        <v/>
      </c>
      <c r="AB77" s="6">
        <f>LAVORAZIONI!AH76</f>
        <v/>
      </c>
      <c r="AC77" s="7">
        <f>LAVORAZIONI!AI76</f>
        <v/>
      </c>
      <c r="AD77" s="13">
        <f>LAVORAZIONI!AJ76</f>
        <v/>
      </c>
    </row>
    <row r="78" ht="71" customHeight="1" s="35">
      <c r="B78" s="4">
        <f>LAVORAZIONI!G77</f>
        <v/>
      </c>
      <c r="C78" s="3">
        <f>LAVORAZIONI!A77</f>
        <v/>
      </c>
      <c r="D78" s="3">
        <f>LAVORAZIONI!K77</f>
        <v/>
      </c>
      <c r="E78" s="4">
        <f>LAVORAZIONI!H77</f>
        <v/>
      </c>
      <c r="F78" s="4">
        <f>LAVORAZIONI!M77</f>
        <v/>
      </c>
      <c r="G78" s="5">
        <f>LAVORAZIONI!N77</f>
        <v/>
      </c>
      <c r="H78" s="6">
        <f>LAVORAZIONI!O77</f>
        <v/>
      </c>
      <c r="I78" s="13">
        <f>LAVORAZIONI!P77</f>
        <v/>
      </c>
      <c r="J78" s="5">
        <f>IF(LAVORAZIONI!Q77="","",LAVORAZIONI!Q77)</f>
        <v/>
      </c>
      <c r="K78" s="6">
        <f>IF(LAVORAZIONI!R77="","",LAVORAZIONI!R77)</f>
        <v/>
      </c>
      <c r="L78" s="13">
        <f>IF(LAVORAZIONI!S77="","",LAVORAZIONI!S77)</f>
        <v/>
      </c>
      <c r="M78" s="13">
        <f>LAVORAZIONI!T77</f>
        <v/>
      </c>
      <c r="O78" s="7">
        <f>LAVORAZIONI!U77</f>
        <v/>
      </c>
      <c r="P78" s="37">
        <f>LAVORAZIONI!V77</f>
        <v/>
      </c>
      <c r="Q78" s="7">
        <f>LAVORAZIONI!W77</f>
        <v/>
      </c>
      <c r="R78" s="6">
        <f>LAVORAZIONI!X77</f>
        <v/>
      </c>
      <c r="S78" s="7">
        <f>LAVORAZIONI!Y77</f>
        <v/>
      </c>
      <c r="T78" s="6">
        <f>LAVORAZIONI!Z77</f>
        <v/>
      </c>
      <c r="U78" s="7">
        <f>LAVORAZIONI!AA77</f>
        <v/>
      </c>
      <c r="V78" s="6">
        <f>LAVORAZIONI!AB77</f>
        <v/>
      </c>
      <c r="W78" s="7">
        <f>LAVORAZIONI!AC77</f>
        <v/>
      </c>
      <c r="X78" s="6">
        <f>LAVORAZIONI!AD77</f>
        <v/>
      </c>
      <c r="Y78" s="7">
        <f>LAVORAZIONI!AE77</f>
        <v/>
      </c>
      <c r="Z78" s="6">
        <f>LAVORAZIONI!AF77</f>
        <v/>
      </c>
      <c r="AA78" s="7">
        <f>LAVORAZIONI!AG77</f>
        <v/>
      </c>
      <c r="AB78" s="6">
        <f>LAVORAZIONI!AH77</f>
        <v/>
      </c>
      <c r="AC78" s="7">
        <f>LAVORAZIONI!AI77</f>
        <v/>
      </c>
      <c r="AD78" s="13">
        <f>LAVORAZIONI!AJ77</f>
        <v/>
      </c>
    </row>
    <row r="79" ht="71" customHeight="1" s="35">
      <c r="B79" s="4">
        <f>LAVORAZIONI!G78</f>
        <v/>
      </c>
      <c r="C79" s="3">
        <f>LAVORAZIONI!A78</f>
        <v/>
      </c>
      <c r="D79" s="3">
        <f>LAVORAZIONI!K78</f>
        <v/>
      </c>
      <c r="E79" s="4">
        <f>LAVORAZIONI!H78</f>
        <v/>
      </c>
      <c r="F79" s="4">
        <f>LAVORAZIONI!M78</f>
        <v/>
      </c>
      <c r="G79" s="5">
        <f>LAVORAZIONI!N78</f>
        <v/>
      </c>
      <c r="H79" s="6">
        <f>LAVORAZIONI!O78</f>
        <v/>
      </c>
      <c r="I79" s="13">
        <f>LAVORAZIONI!P78</f>
        <v/>
      </c>
      <c r="J79" s="5">
        <f>IF(LAVORAZIONI!Q78="","",LAVORAZIONI!Q78)</f>
        <v/>
      </c>
      <c r="K79" s="6">
        <f>IF(LAVORAZIONI!R78="","",LAVORAZIONI!R78)</f>
        <v/>
      </c>
      <c r="L79" s="13">
        <f>IF(LAVORAZIONI!S78="","",LAVORAZIONI!S78)</f>
        <v/>
      </c>
      <c r="M79" s="13">
        <f>LAVORAZIONI!T78</f>
        <v/>
      </c>
      <c r="O79" s="7">
        <f>LAVORAZIONI!U78</f>
        <v/>
      </c>
      <c r="P79" s="37">
        <f>LAVORAZIONI!V78</f>
        <v/>
      </c>
      <c r="Q79" s="7">
        <f>LAVORAZIONI!W78</f>
        <v/>
      </c>
      <c r="R79" s="6">
        <f>LAVORAZIONI!X78</f>
        <v/>
      </c>
      <c r="S79" s="7">
        <f>LAVORAZIONI!Y78</f>
        <v/>
      </c>
      <c r="T79" s="6">
        <f>LAVORAZIONI!Z78</f>
        <v/>
      </c>
      <c r="U79" s="7">
        <f>LAVORAZIONI!AA78</f>
        <v/>
      </c>
      <c r="V79" s="6">
        <f>LAVORAZIONI!AB78</f>
        <v/>
      </c>
      <c r="W79" s="7">
        <f>LAVORAZIONI!AC78</f>
        <v/>
      </c>
      <c r="X79" s="6">
        <f>LAVORAZIONI!AD78</f>
        <v/>
      </c>
      <c r="Y79" s="7">
        <f>LAVORAZIONI!AE78</f>
        <v/>
      </c>
      <c r="Z79" s="6">
        <f>LAVORAZIONI!AF78</f>
        <v/>
      </c>
      <c r="AA79" s="7">
        <f>LAVORAZIONI!AG78</f>
        <v/>
      </c>
      <c r="AB79" s="6">
        <f>LAVORAZIONI!AH78</f>
        <v/>
      </c>
      <c r="AC79" s="7">
        <f>LAVORAZIONI!AI78</f>
        <v/>
      </c>
      <c r="AD79" s="13">
        <f>LAVORAZIONI!AJ78</f>
        <v/>
      </c>
    </row>
    <row r="80" ht="71" customHeight="1" s="35">
      <c r="B80" s="4">
        <f>LAVORAZIONI!G79</f>
        <v/>
      </c>
      <c r="C80" s="3">
        <f>LAVORAZIONI!A79</f>
        <v/>
      </c>
      <c r="D80" s="3">
        <f>LAVORAZIONI!K79</f>
        <v/>
      </c>
      <c r="E80" s="4">
        <f>LAVORAZIONI!H79</f>
        <v/>
      </c>
      <c r="F80" s="4">
        <f>LAVORAZIONI!M79</f>
        <v/>
      </c>
      <c r="G80" s="5">
        <f>LAVORAZIONI!N79</f>
        <v/>
      </c>
      <c r="H80" s="6">
        <f>LAVORAZIONI!O79</f>
        <v/>
      </c>
      <c r="I80" s="13">
        <f>LAVORAZIONI!P79</f>
        <v/>
      </c>
      <c r="J80" s="5">
        <f>IF(LAVORAZIONI!Q79="","",LAVORAZIONI!Q79)</f>
        <v/>
      </c>
      <c r="K80" s="6">
        <f>IF(LAVORAZIONI!R79="","",LAVORAZIONI!R79)</f>
        <v/>
      </c>
      <c r="L80" s="13">
        <f>IF(LAVORAZIONI!S79="","",LAVORAZIONI!S79)</f>
        <v/>
      </c>
      <c r="M80" s="13">
        <f>LAVORAZIONI!T79</f>
        <v/>
      </c>
      <c r="O80" s="7">
        <f>LAVORAZIONI!U79</f>
        <v/>
      </c>
      <c r="P80" s="37">
        <f>LAVORAZIONI!V79</f>
        <v/>
      </c>
      <c r="Q80" s="7">
        <f>LAVORAZIONI!W79</f>
        <v/>
      </c>
      <c r="R80" s="6">
        <f>LAVORAZIONI!X79</f>
        <v/>
      </c>
      <c r="S80" s="7">
        <f>LAVORAZIONI!Y79</f>
        <v/>
      </c>
      <c r="T80" s="6">
        <f>LAVORAZIONI!Z79</f>
        <v/>
      </c>
      <c r="U80" s="7">
        <f>LAVORAZIONI!AA79</f>
        <v/>
      </c>
      <c r="V80" s="6">
        <f>LAVORAZIONI!AB79</f>
        <v/>
      </c>
      <c r="W80" s="7">
        <f>LAVORAZIONI!AC79</f>
        <v/>
      </c>
      <c r="X80" s="6">
        <f>LAVORAZIONI!AD79</f>
        <v/>
      </c>
      <c r="Y80" s="7">
        <f>LAVORAZIONI!AE79</f>
        <v/>
      </c>
      <c r="Z80" s="6">
        <f>LAVORAZIONI!AF79</f>
        <v/>
      </c>
      <c r="AA80" s="7">
        <f>LAVORAZIONI!AG79</f>
        <v/>
      </c>
      <c r="AB80" s="6">
        <f>LAVORAZIONI!AH79</f>
        <v/>
      </c>
      <c r="AC80" s="7">
        <f>LAVORAZIONI!AI79</f>
        <v/>
      </c>
      <c r="AD80" s="13">
        <f>LAVORAZIONI!AJ79</f>
        <v/>
      </c>
    </row>
    <row r="81" ht="71" customHeight="1" s="35">
      <c r="B81" s="4">
        <f>LAVORAZIONI!G80</f>
        <v/>
      </c>
      <c r="C81" s="3">
        <f>LAVORAZIONI!A80</f>
        <v/>
      </c>
      <c r="D81" s="3">
        <f>LAVORAZIONI!K80</f>
        <v/>
      </c>
      <c r="E81" s="4">
        <f>LAVORAZIONI!H80</f>
        <v/>
      </c>
      <c r="F81" s="4">
        <f>LAVORAZIONI!M80</f>
        <v/>
      </c>
      <c r="G81" s="5">
        <f>LAVORAZIONI!N80</f>
        <v/>
      </c>
      <c r="H81" s="6">
        <f>LAVORAZIONI!O80</f>
        <v/>
      </c>
      <c r="I81" s="13">
        <f>LAVORAZIONI!P80</f>
        <v/>
      </c>
      <c r="J81" s="5">
        <f>IF(LAVORAZIONI!Q80="","",LAVORAZIONI!Q80)</f>
        <v/>
      </c>
      <c r="K81" s="6">
        <f>IF(LAVORAZIONI!R80="","",LAVORAZIONI!R80)</f>
        <v/>
      </c>
      <c r="L81" s="13">
        <f>IF(LAVORAZIONI!S80="","",LAVORAZIONI!S80)</f>
        <v/>
      </c>
      <c r="M81" s="13">
        <f>LAVORAZIONI!T80</f>
        <v/>
      </c>
      <c r="O81" s="7">
        <f>LAVORAZIONI!U80</f>
        <v/>
      </c>
      <c r="P81" s="37">
        <f>LAVORAZIONI!V80</f>
        <v/>
      </c>
      <c r="Q81" s="7">
        <f>LAVORAZIONI!W80</f>
        <v/>
      </c>
      <c r="R81" s="6">
        <f>LAVORAZIONI!X80</f>
        <v/>
      </c>
      <c r="S81" s="7">
        <f>LAVORAZIONI!Y80</f>
        <v/>
      </c>
      <c r="T81" s="6">
        <f>LAVORAZIONI!Z80</f>
        <v/>
      </c>
      <c r="U81" s="7">
        <f>LAVORAZIONI!AA80</f>
        <v/>
      </c>
      <c r="V81" s="6">
        <f>LAVORAZIONI!AB80</f>
        <v/>
      </c>
      <c r="W81" s="7">
        <f>LAVORAZIONI!AC80</f>
        <v/>
      </c>
      <c r="X81" s="6">
        <f>LAVORAZIONI!AD80</f>
        <v/>
      </c>
      <c r="Y81" s="7">
        <f>LAVORAZIONI!AE80</f>
        <v/>
      </c>
      <c r="Z81" s="6">
        <f>LAVORAZIONI!AF80</f>
        <v/>
      </c>
      <c r="AA81" s="7">
        <f>LAVORAZIONI!AG80</f>
        <v/>
      </c>
      <c r="AB81" s="6">
        <f>LAVORAZIONI!AH80</f>
        <v/>
      </c>
      <c r="AC81" s="7">
        <f>LAVORAZIONI!AI80</f>
        <v/>
      </c>
      <c r="AD81" s="13">
        <f>LAVORAZIONI!AJ80</f>
        <v/>
      </c>
    </row>
    <row r="82" ht="71" customHeight="1" s="35">
      <c r="B82" s="4">
        <f>LAVORAZIONI!G81</f>
        <v/>
      </c>
      <c r="C82" s="3">
        <f>LAVORAZIONI!A81</f>
        <v/>
      </c>
      <c r="D82" s="3">
        <f>LAVORAZIONI!K81</f>
        <v/>
      </c>
      <c r="E82" s="4">
        <f>LAVORAZIONI!H81</f>
        <v/>
      </c>
      <c r="F82" s="4">
        <f>LAVORAZIONI!M81</f>
        <v/>
      </c>
      <c r="G82" s="5">
        <f>LAVORAZIONI!N81</f>
        <v/>
      </c>
      <c r="H82" s="6">
        <f>LAVORAZIONI!O81</f>
        <v/>
      </c>
      <c r="I82" s="13">
        <f>LAVORAZIONI!P81</f>
        <v/>
      </c>
      <c r="J82" s="5">
        <f>IF(LAVORAZIONI!Q81="","",LAVORAZIONI!Q81)</f>
        <v/>
      </c>
      <c r="K82" s="6">
        <f>IF(LAVORAZIONI!R81="","",LAVORAZIONI!R81)</f>
        <v/>
      </c>
      <c r="L82" s="13">
        <f>IF(LAVORAZIONI!S81="","",LAVORAZIONI!S81)</f>
        <v/>
      </c>
      <c r="M82" s="13">
        <f>LAVORAZIONI!T81</f>
        <v/>
      </c>
      <c r="O82" s="7">
        <f>LAVORAZIONI!U81</f>
        <v/>
      </c>
      <c r="P82" s="37">
        <f>LAVORAZIONI!V81</f>
        <v/>
      </c>
      <c r="Q82" s="7">
        <f>LAVORAZIONI!W81</f>
        <v/>
      </c>
      <c r="R82" s="6">
        <f>LAVORAZIONI!X81</f>
        <v/>
      </c>
      <c r="S82" s="7">
        <f>LAVORAZIONI!Y81</f>
        <v/>
      </c>
      <c r="T82" s="6">
        <f>LAVORAZIONI!Z81</f>
        <v/>
      </c>
      <c r="U82" s="7">
        <f>LAVORAZIONI!AA81</f>
        <v/>
      </c>
      <c r="V82" s="6">
        <f>LAVORAZIONI!AB81</f>
        <v/>
      </c>
      <c r="W82" s="7">
        <f>LAVORAZIONI!AC81</f>
        <v/>
      </c>
      <c r="X82" s="6">
        <f>LAVORAZIONI!AD81</f>
        <v/>
      </c>
      <c r="Y82" s="7">
        <f>LAVORAZIONI!AE81</f>
        <v/>
      </c>
      <c r="Z82" s="6">
        <f>LAVORAZIONI!AF81</f>
        <v/>
      </c>
      <c r="AA82" s="7">
        <f>LAVORAZIONI!AG81</f>
        <v/>
      </c>
      <c r="AB82" s="6">
        <f>LAVORAZIONI!AH81</f>
        <v/>
      </c>
      <c r="AC82" s="7">
        <f>LAVORAZIONI!AI81</f>
        <v/>
      </c>
      <c r="AD82" s="13">
        <f>LAVORAZIONI!AJ81</f>
        <v/>
      </c>
    </row>
    <row r="83" ht="71" customHeight="1" s="35">
      <c r="B83" s="4">
        <f>LAVORAZIONI!G82</f>
        <v/>
      </c>
      <c r="C83" s="3">
        <f>LAVORAZIONI!A82</f>
        <v/>
      </c>
      <c r="D83" s="3">
        <f>LAVORAZIONI!K82</f>
        <v/>
      </c>
      <c r="E83" s="4">
        <f>LAVORAZIONI!H82</f>
        <v/>
      </c>
      <c r="F83" s="4">
        <f>LAVORAZIONI!M82</f>
        <v/>
      </c>
      <c r="G83" s="5">
        <f>LAVORAZIONI!N82</f>
        <v/>
      </c>
      <c r="H83" s="6">
        <f>LAVORAZIONI!O82</f>
        <v/>
      </c>
      <c r="I83" s="13">
        <f>LAVORAZIONI!P82</f>
        <v/>
      </c>
      <c r="J83" s="5">
        <f>IF(LAVORAZIONI!Q82="","",LAVORAZIONI!Q82)</f>
        <v/>
      </c>
      <c r="K83" s="6">
        <f>IF(LAVORAZIONI!R82="","",LAVORAZIONI!R82)</f>
        <v/>
      </c>
      <c r="L83" s="13">
        <f>IF(LAVORAZIONI!S82="","",LAVORAZIONI!S82)</f>
        <v/>
      </c>
      <c r="M83" s="13">
        <f>LAVORAZIONI!T82</f>
        <v/>
      </c>
      <c r="O83" s="7">
        <f>LAVORAZIONI!U82</f>
        <v/>
      </c>
      <c r="P83" s="37">
        <f>LAVORAZIONI!V82</f>
        <v/>
      </c>
      <c r="Q83" s="7">
        <f>LAVORAZIONI!W82</f>
        <v/>
      </c>
      <c r="R83" s="6">
        <f>LAVORAZIONI!X82</f>
        <v/>
      </c>
      <c r="S83" s="7">
        <f>LAVORAZIONI!Y82</f>
        <v/>
      </c>
      <c r="T83" s="6">
        <f>LAVORAZIONI!Z82</f>
        <v/>
      </c>
      <c r="U83" s="7">
        <f>LAVORAZIONI!AA82</f>
        <v/>
      </c>
      <c r="V83" s="6">
        <f>LAVORAZIONI!AB82</f>
        <v/>
      </c>
      <c r="W83" s="7">
        <f>LAVORAZIONI!AC82</f>
        <v/>
      </c>
      <c r="X83" s="6">
        <f>LAVORAZIONI!AD82</f>
        <v/>
      </c>
      <c r="Y83" s="7">
        <f>LAVORAZIONI!AE82</f>
        <v/>
      </c>
      <c r="Z83" s="6">
        <f>LAVORAZIONI!AF82</f>
        <v/>
      </c>
      <c r="AA83" s="7">
        <f>LAVORAZIONI!AG82</f>
        <v/>
      </c>
      <c r="AB83" s="6">
        <f>LAVORAZIONI!AH82</f>
        <v/>
      </c>
      <c r="AC83" s="7">
        <f>LAVORAZIONI!AI82</f>
        <v/>
      </c>
      <c r="AD83" s="13">
        <f>LAVORAZIONI!AJ82</f>
        <v/>
      </c>
    </row>
    <row r="84" ht="71" customHeight="1" s="35">
      <c r="B84" s="4">
        <f>LAVORAZIONI!G83</f>
        <v/>
      </c>
      <c r="C84" s="3">
        <f>LAVORAZIONI!A83</f>
        <v/>
      </c>
      <c r="D84" s="3">
        <f>LAVORAZIONI!K83</f>
        <v/>
      </c>
      <c r="E84" s="4">
        <f>LAVORAZIONI!H83</f>
        <v/>
      </c>
      <c r="F84" s="4">
        <f>LAVORAZIONI!M83</f>
        <v/>
      </c>
      <c r="G84" s="5">
        <f>LAVORAZIONI!N83</f>
        <v/>
      </c>
      <c r="H84" s="6">
        <f>LAVORAZIONI!O83</f>
        <v/>
      </c>
      <c r="I84" s="13">
        <f>LAVORAZIONI!P83</f>
        <v/>
      </c>
      <c r="J84" s="5">
        <f>IF(LAVORAZIONI!Q83="","",LAVORAZIONI!Q83)</f>
        <v/>
      </c>
      <c r="K84" s="6">
        <f>IF(LAVORAZIONI!R83="","",LAVORAZIONI!R83)</f>
        <v/>
      </c>
      <c r="L84" s="13">
        <f>IF(LAVORAZIONI!S83="","",LAVORAZIONI!S83)</f>
        <v/>
      </c>
      <c r="M84" s="13">
        <f>LAVORAZIONI!T83</f>
        <v/>
      </c>
      <c r="O84" s="7">
        <f>LAVORAZIONI!U83</f>
        <v/>
      </c>
      <c r="P84" s="37">
        <f>LAVORAZIONI!V83</f>
        <v/>
      </c>
      <c r="Q84" s="7">
        <f>LAVORAZIONI!W83</f>
        <v/>
      </c>
      <c r="R84" s="6">
        <f>LAVORAZIONI!X83</f>
        <v/>
      </c>
      <c r="S84" s="7">
        <f>LAVORAZIONI!Y83</f>
        <v/>
      </c>
      <c r="T84" s="6">
        <f>LAVORAZIONI!Z83</f>
        <v/>
      </c>
      <c r="U84" s="7">
        <f>LAVORAZIONI!AA83</f>
        <v/>
      </c>
      <c r="V84" s="6">
        <f>LAVORAZIONI!AB83</f>
        <v/>
      </c>
      <c r="W84" s="7">
        <f>LAVORAZIONI!AC83</f>
        <v/>
      </c>
      <c r="X84" s="6">
        <f>LAVORAZIONI!AD83</f>
        <v/>
      </c>
      <c r="Y84" s="7">
        <f>LAVORAZIONI!AE83</f>
        <v/>
      </c>
      <c r="Z84" s="6">
        <f>LAVORAZIONI!AF83</f>
        <v/>
      </c>
      <c r="AA84" s="7">
        <f>LAVORAZIONI!AG83</f>
        <v/>
      </c>
      <c r="AB84" s="6">
        <f>LAVORAZIONI!AH83</f>
        <v/>
      </c>
      <c r="AC84" s="7">
        <f>LAVORAZIONI!AI83</f>
        <v/>
      </c>
      <c r="AD84" s="13">
        <f>LAVORAZIONI!AJ83</f>
        <v/>
      </c>
    </row>
    <row r="85" ht="71" customHeight="1" s="35">
      <c r="B85" s="4">
        <f>LAVORAZIONI!G84</f>
        <v/>
      </c>
      <c r="C85" s="3">
        <f>LAVORAZIONI!A84</f>
        <v/>
      </c>
      <c r="D85" s="3">
        <f>LAVORAZIONI!K84</f>
        <v/>
      </c>
      <c r="E85" s="4">
        <f>LAVORAZIONI!H84</f>
        <v/>
      </c>
      <c r="F85" s="4">
        <f>LAVORAZIONI!M84</f>
        <v/>
      </c>
      <c r="G85" s="5">
        <f>LAVORAZIONI!N84</f>
        <v/>
      </c>
      <c r="H85" s="6">
        <f>LAVORAZIONI!O84</f>
        <v/>
      </c>
      <c r="I85" s="13">
        <f>LAVORAZIONI!P84</f>
        <v/>
      </c>
      <c r="J85" s="5">
        <f>IF(LAVORAZIONI!Q84="","",LAVORAZIONI!Q84)</f>
        <v/>
      </c>
      <c r="K85" s="6">
        <f>IF(LAVORAZIONI!R84="","",LAVORAZIONI!R84)</f>
        <v/>
      </c>
      <c r="L85" s="13">
        <f>IF(LAVORAZIONI!S84="","",LAVORAZIONI!S84)</f>
        <v/>
      </c>
      <c r="M85" s="13">
        <f>LAVORAZIONI!T84</f>
        <v/>
      </c>
      <c r="O85" s="7">
        <f>LAVORAZIONI!U84</f>
        <v/>
      </c>
      <c r="P85" s="37">
        <f>LAVORAZIONI!V84</f>
        <v/>
      </c>
      <c r="Q85" s="7">
        <f>LAVORAZIONI!W84</f>
        <v/>
      </c>
      <c r="R85" s="6">
        <f>LAVORAZIONI!X84</f>
        <v/>
      </c>
      <c r="S85" s="7">
        <f>LAVORAZIONI!Y84</f>
        <v/>
      </c>
      <c r="T85" s="6">
        <f>LAVORAZIONI!Z84</f>
        <v/>
      </c>
      <c r="U85" s="7">
        <f>LAVORAZIONI!AA84</f>
        <v/>
      </c>
      <c r="V85" s="6">
        <f>LAVORAZIONI!AB84</f>
        <v/>
      </c>
      <c r="W85" s="7">
        <f>LAVORAZIONI!AC84</f>
        <v/>
      </c>
      <c r="X85" s="6">
        <f>LAVORAZIONI!AD84</f>
        <v/>
      </c>
      <c r="Y85" s="7">
        <f>LAVORAZIONI!AE84</f>
        <v/>
      </c>
      <c r="Z85" s="6">
        <f>LAVORAZIONI!AF84</f>
        <v/>
      </c>
      <c r="AA85" s="7">
        <f>LAVORAZIONI!AG84</f>
        <v/>
      </c>
      <c r="AB85" s="6">
        <f>LAVORAZIONI!AH84</f>
        <v/>
      </c>
      <c r="AC85" s="7">
        <f>LAVORAZIONI!AI84</f>
        <v/>
      </c>
      <c r="AD85" s="13">
        <f>LAVORAZIONI!AJ84</f>
        <v/>
      </c>
    </row>
    <row r="86" ht="71" customHeight="1" s="35">
      <c r="B86" s="4">
        <f>LAVORAZIONI!G85</f>
        <v/>
      </c>
      <c r="C86" s="3">
        <f>LAVORAZIONI!A85</f>
        <v/>
      </c>
      <c r="D86" s="3">
        <f>LAVORAZIONI!K85</f>
        <v/>
      </c>
      <c r="E86" s="4">
        <f>LAVORAZIONI!H85</f>
        <v/>
      </c>
      <c r="F86" s="4">
        <f>LAVORAZIONI!M85</f>
        <v/>
      </c>
      <c r="G86" s="5">
        <f>LAVORAZIONI!N85</f>
        <v/>
      </c>
      <c r="H86" s="6">
        <f>LAVORAZIONI!O85</f>
        <v/>
      </c>
      <c r="I86" s="13">
        <f>LAVORAZIONI!P85</f>
        <v/>
      </c>
      <c r="J86" s="5">
        <f>IF(LAVORAZIONI!Q85="","",LAVORAZIONI!Q85)</f>
        <v/>
      </c>
      <c r="K86" s="6">
        <f>IF(LAVORAZIONI!R85="","",LAVORAZIONI!R85)</f>
        <v/>
      </c>
      <c r="L86" s="13">
        <f>IF(LAVORAZIONI!S85="","",LAVORAZIONI!S85)</f>
        <v/>
      </c>
      <c r="M86" s="13">
        <f>LAVORAZIONI!T85</f>
        <v/>
      </c>
      <c r="O86" s="7">
        <f>LAVORAZIONI!U85</f>
        <v/>
      </c>
      <c r="P86" s="37">
        <f>LAVORAZIONI!V85</f>
        <v/>
      </c>
      <c r="Q86" s="7">
        <f>LAVORAZIONI!W85</f>
        <v/>
      </c>
      <c r="R86" s="6">
        <f>LAVORAZIONI!X85</f>
        <v/>
      </c>
      <c r="S86" s="7">
        <f>LAVORAZIONI!Y85</f>
        <v/>
      </c>
      <c r="T86" s="6">
        <f>LAVORAZIONI!Z85</f>
        <v/>
      </c>
      <c r="U86" s="7">
        <f>LAVORAZIONI!AA85</f>
        <v/>
      </c>
      <c r="V86" s="6">
        <f>LAVORAZIONI!AB85</f>
        <v/>
      </c>
      <c r="W86" s="7">
        <f>LAVORAZIONI!AC85</f>
        <v/>
      </c>
      <c r="X86" s="6">
        <f>LAVORAZIONI!AD85</f>
        <v/>
      </c>
      <c r="Y86" s="7">
        <f>LAVORAZIONI!AE85</f>
        <v/>
      </c>
      <c r="Z86" s="6">
        <f>LAVORAZIONI!AF85</f>
        <v/>
      </c>
      <c r="AA86" s="7">
        <f>LAVORAZIONI!AG85</f>
        <v/>
      </c>
      <c r="AB86" s="6">
        <f>LAVORAZIONI!AH85</f>
        <v/>
      </c>
      <c r="AC86" s="7">
        <f>LAVORAZIONI!AI85</f>
        <v/>
      </c>
      <c r="AD86" s="13">
        <f>LAVORAZIONI!AJ85</f>
        <v/>
      </c>
    </row>
    <row r="87" ht="71" customHeight="1" s="35">
      <c r="B87" s="4">
        <f>LAVORAZIONI!G86</f>
        <v/>
      </c>
      <c r="C87" s="3">
        <f>LAVORAZIONI!A86</f>
        <v/>
      </c>
      <c r="D87" s="3">
        <f>LAVORAZIONI!K86</f>
        <v/>
      </c>
      <c r="E87" s="4">
        <f>LAVORAZIONI!H86</f>
        <v/>
      </c>
      <c r="F87" s="4">
        <f>LAVORAZIONI!M86</f>
        <v/>
      </c>
      <c r="G87" s="5">
        <f>LAVORAZIONI!N86</f>
        <v/>
      </c>
      <c r="H87" s="6">
        <f>LAVORAZIONI!O86</f>
        <v/>
      </c>
      <c r="I87" s="13">
        <f>LAVORAZIONI!P86</f>
        <v/>
      </c>
      <c r="J87" s="5">
        <f>IF(LAVORAZIONI!Q86="","",LAVORAZIONI!Q86)</f>
        <v/>
      </c>
      <c r="K87" s="6">
        <f>IF(LAVORAZIONI!R86="","",LAVORAZIONI!R86)</f>
        <v/>
      </c>
      <c r="L87" s="13">
        <f>IF(LAVORAZIONI!S86="","",LAVORAZIONI!S86)</f>
        <v/>
      </c>
      <c r="M87" s="13">
        <f>LAVORAZIONI!T86</f>
        <v/>
      </c>
      <c r="O87" s="7">
        <f>LAVORAZIONI!U86</f>
        <v/>
      </c>
      <c r="P87" s="37">
        <f>LAVORAZIONI!V86</f>
        <v/>
      </c>
      <c r="Q87" s="7">
        <f>LAVORAZIONI!W86</f>
        <v/>
      </c>
      <c r="R87" s="6">
        <f>LAVORAZIONI!X86</f>
        <v/>
      </c>
      <c r="S87" s="7">
        <f>LAVORAZIONI!Y86</f>
        <v/>
      </c>
      <c r="T87" s="6">
        <f>LAVORAZIONI!Z86</f>
        <v/>
      </c>
      <c r="U87" s="7">
        <f>LAVORAZIONI!AA86</f>
        <v/>
      </c>
      <c r="V87" s="6">
        <f>LAVORAZIONI!AB86</f>
        <v/>
      </c>
      <c r="W87" s="7">
        <f>LAVORAZIONI!AC86</f>
        <v/>
      </c>
      <c r="X87" s="6">
        <f>LAVORAZIONI!AD86</f>
        <v/>
      </c>
      <c r="Y87" s="7">
        <f>LAVORAZIONI!AE86</f>
        <v/>
      </c>
      <c r="Z87" s="6">
        <f>LAVORAZIONI!AF86</f>
        <v/>
      </c>
      <c r="AA87" s="7">
        <f>LAVORAZIONI!AG86</f>
        <v/>
      </c>
      <c r="AB87" s="6">
        <f>LAVORAZIONI!AH86</f>
        <v/>
      </c>
      <c r="AC87" s="7">
        <f>LAVORAZIONI!AI86</f>
        <v/>
      </c>
      <c r="AD87" s="13">
        <f>LAVORAZIONI!AJ86</f>
        <v/>
      </c>
    </row>
    <row r="88" ht="71" customHeight="1" s="35">
      <c r="B88" s="4">
        <f>LAVORAZIONI!G87</f>
        <v/>
      </c>
      <c r="C88" s="3">
        <f>LAVORAZIONI!A87</f>
        <v/>
      </c>
      <c r="D88" s="3">
        <f>LAVORAZIONI!K87</f>
        <v/>
      </c>
      <c r="E88" s="4">
        <f>LAVORAZIONI!H87</f>
        <v/>
      </c>
      <c r="F88" s="4">
        <f>LAVORAZIONI!M87</f>
        <v/>
      </c>
      <c r="G88" s="5">
        <f>LAVORAZIONI!N87</f>
        <v/>
      </c>
      <c r="H88" s="6">
        <f>LAVORAZIONI!O87</f>
        <v/>
      </c>
      <c r="I88" s="13">
        <f>LAVORAZIONI!P87</f>
        <v/>
      </c>
      <c r="J88" s="5">
        <f>IF(LAVORAZIONI!Q87="","",LAVORAZIONI!Q87)</f>
        <v/>
      </c>
      <c r="K88" s="6">
        <f>IF(LAVORAZIONI!R87="","",LAVORAZIONI!R87)</f>
        <v/>
      </c>
      <c r="L88" s="13">
        <f>IF(LAVORAZIONI!S87="","",LAVORAZIONI!S87)</f>
        <v/>
      </c>
      <c r="M88" s="13">
        <f>LAVORAZIONI!T87</f>
        <v/>
      </c>
      <c r="O88" s="7">
        <f>LAVORAZIONI!U87</f>
        <v/>
      </c>
      <c r="P88" s="37">
        <f>LAVORAZIONI!V87</f>
        <v/>
      </c>
      <c r="Q88" s="7">
        <f>LAVORAZIONI!W87</f>
        <v/>
      </c>
      <c r="R88" s="6">
        <f>LAVORAZIONI!X87</f>
        <v/>
      </c>
      <c r="S88" s="7">
        <f>LAVORAZIONI!Y87</f>
        <v/>
      </c>
      <c r="T88" s="6">
        <f>LAVORAZIONI!Z87</f>
        <v/>
      </c>
      <c r="U88" s="7">
        <f>LAVORAZIONI!AA87</f>
        <v/>
      </c>
      <c r="V88" s="6">
        <f>LAVORAZIONI!AB87</f>
        <v/>
      </c>
      <c r="W88" s="7">
        <f>LAVORAZIONI!AC87</f>
        <v/>
      </c>
      <c r="X88" s="6">
        <f>LAVORAZIONI!AD87</f>
        <v/>
      </c>
      <c r="Y88" s="7">
        <f>LAVORAZIONI!AE87</f>
        <v/>
      </c>
      <c r="Z88" s="6">
        <f>LAVORAZIONI!AF87</f>
        <v/>
      </c>
      <c r="AA88" s="7">
        <f>LAVORAZIONI!AG87</f>
        <v/>
      </c>
      <c r="AB88" s="6">
        <f>LAVORAZIONI!AH87</f>
        <v/>
      </c>
      <c r="AC88" s="7">
        <f>LAVORAZIONI!AI87</f>
        <v/>
      </c>
      <c r="AD88" s="13">
        <f>LAVORAZIONI!AJ87</f>
        <v/>
      </c>
    </row>
    <row r="89" ht="71" customHeight="1" s="35">
      <c r="B89" s="4">
        <f>LAVORAZIONI!G88</f>
        <v/>
      </c>
      <c r="C89" s="3">
        <f>LAVORAZIONI!A88</f>
        <v/>
      </c>
      <c r="D89" s="3">
        <f>LAVORAZIONI!K88</f>
        <v/>
      </c>
      <c r="E89" s="4">
        <f>LAVORAZIONI!H88</f>
        <v/>
      </c>
      <c r="F89" s="4">
        <f>LAVORAZIONI!M88</f>
        <v/>
      </c>
      <c r="G89" s="5">
        <f>LAVORAZIONI!N88</f>
        <v/>
      </c>
      <c r="H89" s="6">
        <f>LAVORAZIONI!O88</f>
        <v/>
      </c>
      <c r="I89" s="13">
        <f>LAVORAZIONI!P88</f>
        <v/>
      </c>
      <c r="J89" s="5">
        <f>IF(LAVORAZIONI!Q88="","",LAVORAZIONI!Q88)</f>
        <v/>
      </c>
      <c r="K89" s="6">
        <f>IF(LAVORAZIONI!R88="","",LAVORAZIONI!R88)</f>
        <v/>
      </c>
      <c r="L89" s="13">
        <f>IF(LAVORAZIONI!S88="","",LAVORAZIONI!S88)</f>
        <v/>
      </c>
      <c r="M89" s="13">
        <f>LAVORAZIONI!T88</f>
        <v/>
      </c>
      <c r="O89" s="7">
        <f>LAVORAZIONI!U88</f>
        <v/>
      </c>
      <c r="P89" s="37">
        <f>LAVORAZIONI!V88</f>
        <v/>
      </c>
      <c r="Q89" s="7">
        <f>LAVORAZIONI!W88</f>
        <v/>
      </c>
      <c r="R89" s="6">
        <f>LAVORAZIONI!X88</f>
        <v/>
      </c>
      <c r="S89" s="7">
        <f>LAVORAZIONI!Y88</f>
        <v/>
      </c>
      <c r="T89" s="6">
        <f>LAVORAZIONI!Z88</f>
        <v/>
      </c>
      <c r="U89" s="7">
        <f>LAVORAZIONI!AA88</f>
        <v/>
      </c>
      <c r="V89" s="6">
        <f>LAVORAZIONI!AB88</f>
        <v/>
      </c>
      <c r="W89" s="7">
        <f>LAVORAZIONI!AC88</f>
        <v/>
      </c>
      <c r="X89" s="6">
        <f>LAVORAZIONI!AD88</f>
        <v/>
      </c>
      <c r="Y89" s="7">
        <f>LAVORAZIONI!AE88</f>
        <v/>
      </c>
      <c r="Z89" s="6">
        <f>LAVORAZIONI!AF88</f>
        <v/>
      </c>
      <c r="AA89" s="7">
        <f>LAVORAZIONI!AG88</f>
        <v/>
      </c>
      <c r="AB89" s="6">
        <f>LAVORAZIONI!AH88</f>
        <v/>
      </c>
      <c r="AC89" s="7">
        <f>LAVORAZIONI!AI88</f>
        <v/>
      </c>
      <c r="AD89" s="13">
        <f>LAVORAZIONI!AJ88</f>
        <v/>
      </c>
    </row>
    <row r="90" ht="71" customHeight="1" s="35">
      <c r="B90" s="4">
        <f>LAVORAZIONI!G89</f>
        <v/>
      </c>
      <c r="C90" s="3">
        <f>LAVORAZIONI!A89</f>
        <v/>
      </c>
      <c r="D90" s="3">
        <f>LAVORAZIONI!K89</f>
        <v/>
      </c>
      <c r="E90" s="4">
        <f>LAVORAZIONI!H89</f>
        <v/>
      </c>
      <c r="F90" s="4">
        <f>LAVORAZIONI!M89</f>
        <v/>
      </c>
      <c r="G90" s="5">
        <f>LAVORAZIONI!N89</f>
        <v/>
      </c>
      <c r="H90" s="6">
        <f>LAVORAZIONI!O89</f>
        <v/>
      </c>
      <c r="I90" s="13">
        <f>LAVORAZIONI!P89</f>
        <v/>
      </c>
      <c r="J90" s="5">
        <f>IF(LAVORAZIONI!Q89="","",LAVORAZIONI!Q89)</f>
        <v/>
      </c>
      <c r="K90" s="6">
        <f>IF(LAVORAZIONI!R89="","",LAVORAZIONI!R89)</f>
        <v/>
      </c>
      <c r="L90" s="13">
        <f>IF(LAVORAZIONI!S89="","",LAVORAZIONI!S89)</f>
        <v/>
      </c>
      <c r="M90" s="13">
        <f>LAVORAZIONI!T89</f>
        <v/>
      </c>
      <c r="O90" s="7">
        <f>LAVORAZIONI!U89</f>
        <v/>
      </c>
      <c r="P90" s="37">
        <f>LAVORAZIONI!V89</f>
        <v/>
      </c>
      <c r="Q90" s="7">
        <f>LAVORAZIONI!W89</f>
        <v/>
      </c>
      <c r="R90" s="6">
        <f>LAVORAZIONI!X89</f>
        <v/>
      </c>
      <c r="S90" s="7">
        <f>LAVORAZIONI!Y89</f>
        <v/>
      </c>
      <c r="T90" s="6">
        <f>LAVORAZIONI!Z89</f>
        <v/>
      </c>
      <c r="U90" s="7">
        <f>LAVORAZIONI!AA89</f>
        <v/>
      </c>
      <c r="V90" s="6">
        <f>LAVORAZIONI!AB89</f>
        <v/>
      </c>
      <c r="W90" s="7">
        <f>LAVORAZIONI!AC89</f>
        <v/>
      </c>
      <c r="X90" s="6">
        <f>LAVORAZIONI!AD89</f>
        <v/>
      </c>
      <c r="Y90" s="7">
        <f>LAVORAZIONI!AE89</f>
        <v/>
      </c>
      <c r="Z90" s="6">
        <f>LAVORAZIONI!AF89</f>
        <v/>
      </c>
      <c r="AA90" s="7">
        <f>LAVORAZIONI!AG89</f>
        <v/>
      </c>
      <c r="AB90" s="6">
        <f>LAVORAZIONI!AH89</f>
        <v/>
      </c>
      <c r="AC90" s="7">
        <f>LAVORAZIONI!AI89</f>
        <v/>
      </c>
      <c r="AD90" s="13">
        <f>LAVORAZIONI!AJ89</f>
        <v/>
      </c>
    </row>
    <row r="91" ht="71" customHeight="1" s="35">
      <c r="B91" s="4">
        <f>LAVORAZIONI!G90</f>
        <v/>
      </c>
      <c r="C91" s="3">
        <f>LAVORAZIONI!A90</f>
        <v/>
      </c>
      <c r="D91" s="3">
        <f>LAVORAZIONI!K90</f>
        <v/>
      </c>
      <c r="E91" s="4">
        <f>LAVORAZIONI!H90</f>
        <v/>
      </c>
      <c r="F91" s="4">
        <f>LAVORAZIONI!M90</f>
        <v/>
      </c>
      <c r="G91" s="5">
        <f>LAVORAZIONI!N90</f>
        <v/>
      </c>
      <c r="H91" s="6">
        <f>LAVORAZIONI!O90</f>
        <v/>
      </c>
      <c r="I91" s="13">
        <f>LAVORAZIONI!P90</f>
        <v/>
      </c>
      <c r="J91" s="5">
        <f>IF(LAVORAZIONI!Q90="","",LAVORAZIONI!Q90)</f>
        <v/>
      </c>
      <c r="K91" s="6">
        <f>IF(LAVORAZIONI!R90="","",LAVORAZIONI!R90)</f>
        <v/>
      </c>
      <c r="L91" s="13">
        <f>IF(LAVORAZIONI!S90="","",LAVORAZIONI!S90)</f>
        <v/>
      </c>
      <c r="M91" s="13">
        <f>LAVORAZIONI!T90</f>
        <v/>
      </c>
      <c r="O91" s="7">
        <f>LAVORAZIONI!U90</f>
        <v/>
      </c>
      <c r="P91" s="37">
        <f>LAVORAZIONI!V90</f>
        <v/>
      </c>
      <c r="Q91" s="7">
        <f>LAVORAZIONI!W90</f>
        <v/>
      </c>
      <c r="R91" s="6">
        <f>LAVORAZIONI!X90</f>
        <v/>
      </c>
      <c r="S91" s="7">
        <f>LAVORAZIONI!Y90</f>
        <v/>
      </c>
      <c r="T91" s="6">
        <f>LAVORAZIONI!Z90</f>
        <v/>
      </c>
      <c r="U91" s="7">
        <f>LAVORAZIONI!AA90</f>
        <v/>
      </c>
      <c r="V91" s="6">
        <f>LAVORAZIONI!AB90</f>
        <v/>
      </c>
      <c r="W91" s="7">
        <f>LAVORAZIONI!AC90</f>
        <v/>
      </c>
      <c r="X91" s="6">
        <f>LAVORAZIONI!AD90</f>
        <v/>
      </c>
      <c r="Y91" s="7">
        <f>LAVORAZIONI!AE90</f>
        <v/>
      </c>
      <c r="Z91" s="6">
        <f>LAVORAZIONI!AF90</f>
        <v/>
      </c>
      <c r="AA91" s="7">
        <f>LAVORAZIONI!AG90</f>
        <v/>
      </c>
      <c r="AB91" s="6">
        <f>LAVORAZIONI!AH90</f>
        <v/>
      </c>
      <c r="AC91" s="7">
        <f>LAVORAZIONI!AI90</f>
        <v/>
      </c>
      <c r="AD91" s="13">
        <f>LAVORAZIONI!AJ90</f>
        <v/>
      </c>
    </row>
    <row r="92" ht="71" customHeight="1" s="35">
      <c r="B92" s="4">
        <f>LAVORAZIONI!G91</f>
        <v/>
      </c>
      <c r="C92" s="3">
        <f>LAVORAZIONI!A91</f>
        <v/>
      </c>
      <c r="D92" s="3">
        <f>LAVORAZIONI!K91</f>
        <v/>
      </c>
      <c r="E92" s="4">
        <f>LAVORAZIONI!H91</f>
        <v/>
      </c>
      <c r="F92" s="4">
        <f>LAVORAZIONI!M91</f>
        <v/>
      </c>
      <c r="G92" s="5">
        <f>LAVORAZIONI!N91</f>
        <v/>
      </c>
      <c r="H92" s="6">
        <f>LAVORAZIONI!O91</f>
        <v/>
      </c>
      <c r="I92" s="13">
        <f>LAVORAZIONI!P91</f>
        <v/>
      </c>
      <c r="J92" s="5">
        <f>IF(LAVORAZIONI!Q91="","",LAVORAZIONI!Q91)</f>
        <v/>
      </c>
      <c r="K92" s="6">
        <f>IF(LAVORAZIONI!R91="","",LAVORAZIONI!R91)</f>
        <v/>
      </c>
      <c r="L92" s="13">
        <f>IF(LAVORAZIONI!S91="","",LAVORAZIONI!S91)</f>
        <v/>
      </c>
      <c r="M92" s="13">
        <f>LAVORAZIONI!T91</f>
        <v/>
      </c>
      <c r="O92" s="7">
        <f>LAVORAZIONI!U91</f>
        <v/>
      </c>
      <c r="P92" s="37">
        <f>LAVORAZIONI!V91</f>
        <v/>
      </c>
      <c r="Q92" s="7">
        <f>LAVORAZIONI!W91</f>
        <v/>
      </c>
      <c r="R92" s="6">
        <f>LAVORAZIONI!X91</f>
        <v/>
      </c>
      <c r="S92" s="7">
        <f>LAVORAZIONI!Y91</f>
        <v/>
      </c>
      <c r="T92" s="6">
        <f>LAVORAZIONI!Z91</f>
        <v/>
      </c>
      <c r="U92" s="7">
        <f>LAVORAZIONI!AA91</f>
        <v/>
      </c>
      <c r="V92" s="6">
        <f>LAVORAZIONI!AB91</f>
        <v/>
      </c>
      <c r="W92" s="7">
        <f>LAVORAZIONI!AC91</f>
        <v/>
      </c>
      <c r="X92" s="6">
        <f>LAVORAZIONI!AD91</f>
        <v/>
      </c>
      <c r="Y92" s="7">
        <f>LAVORAZIONI!AE91</f>
        <v/>
      </c>
      <c r="Z92" s="6">
        <f>LAVORAZIONI!AF91</f>
        <v/>
      </c>
      <c r="AA92" s="7">
        <f>LAVORAZIONI!AG91</f>
        <v/>
      </c>
      <c r="AB92" s="6">
        <f>LAVORAZIONI!AH91</f>
        <v/>
      </c>
      <c r="AC92" s="7">
        <f>LAVORAZIONI!AI91</f>
        <v/>
      </c>
      <c r="AD92" s="13">
        <f>LAVORAZIONI!AJ91</f>
        <v/>
      </c>
    </row>
    <row r="93" ht="71" customHeight="1" s="35">
      <c r="B93" s="4">
        <f>LAVORAZIONI!G92</f>
        <v/>
      </c>
      <c r="C93" s="3">
        <f>LAVORAZIONI!A92</f>
        <v/>
      </c>
      <c r="D93" s="3">
        <f>LAVORAZIONI!K92</f>
        <v/>
      </c>
      <c r="E93" s="4">
        <f>LAVORAZIONI!H92</f>
        <v/>
      </c>
      <c r="F93" s="4">
        <f>LAVORAZIONI!M92</f>
        <v/>
      </c>
      <c r="G93" s="5">
        <f>LAVORAZIONI!N92</f>
        <v/>
      </c>
      <c r="H93" s="6">
        <f>LAVORAZIONI!O92</f>
        <v/>
      </c>
      <c r="I93" s="13">
        <f>LAVORAZIONI!P92</f>
        <v/>
      </c>
      <c r="J93" s="5">
        <f>IF(LAVORAZIONI!Q92="","",LAVORAZIONI!Q92)</f>
        <v/>
      </c>
      <c r="K93" s="6">
        <f>IF(LAVORAZIONI!R92="","",LAVORAZIONI!R92)</f>
        <v/>
      </c>
      <c r="L93" s="13">
        <f>IF(LAVORAZIONI!S92="","",LAVORAZIONI!S92)</f>
        <v/>
      </c>
      <c r="M93" s="13">
        <f>LAVORAZIONI!T92</f>
        <v/>
      </c>
      <c r="O93" s="7">
        <f>LAVORAZIONI!U92</f>
        <v/>
      </c>
      <c r="P93" s="37">
        <f>LAVORAZIONI!V92</f>
        <v/>
      </c>
      <c r="Q93" s="7">
        <f>LAVORAZIONI!W92</f>
        <v/>
      </c>
      <c r="R93" s="6">
        <f>LAVORAZIONI!X92</f>
        <v/>
      </c>
      <c r="S93" s="7">
        <f>LAVORAZIONI!Y92</f>
        <v/>
      </c>
      <c r="T93" s="6">
        <f>LAVORAZIONI!Z92</f>
        <v/>
      </c>
      <c r="U93" s="7">
        <f>LAVORAZIONI!AA92</f>
        <v/>
      </c>
      <c r="V93" s="6">
        <f>LAVORAZIONI!AB92</f>
        <v/>
      </c>
      <c r="W93" s="7">
        <f>LAVORAZIONI!AC92</f>
        <v/>
      </c>
      <c r="X93" s="6">
        <f>LAVORAZIONI!AD92</f>
        <v/>
      </c>
      <c r="Y93" s="7">
        <f>LAVORAZIONI!AE92</f>
        <v/>
      </c>
      <c r="Z93" s="6">
        <f>LAVORAZIONI!AF92</f>
        <v/>
      </c>
      <c r="AA93" s="7">
        <f>LAVORAZIONI!AG92</f>
        <v/>
      </c>
      <c r="AB93" s="6">
        <f>LAVORAZIONI!AH92</f>
        <v/>
      </c>
      <c r="AC93" s="7">
        <f>LAVORAZIONI!AI92</f>
        <v/>
      </c>
      <c r="AD93" s="13">
        <f>LAVORAZIONI!AJ92</f>
        <v/>
      </c>
    </row>
    <row r="94" ht="71" customHeight="1" s="35">
      <c r="B94" s="4">
        <f>LAVORAZIONI!G93</f>
        <v/>
      </c>
      <c r="C94" s="3">
        <f>LAVORAZIONI!A93</f>
        <v/>
      </c>
      <c r="D94" s="3">
        <f>LAVORAZIONI!K93</f>
        <v/>
      </c>
      <c r="E94" s="4">
        <f>LAVORAZIONI!H93</f>
        <v/>
      </c>
      <c r="F94" s="4">
        <f>LAVORAZIONI!M93</f>
        <v/>
      </c>
      <c r="G94" s="5">
        <f>LAVORAZIONI!N93</f>
        <v/>
      </c>
      <c r="H94" s="6">
        <f>LAVORAZIONI!O93</f>
        <v/>
      </c>
      <c r="I94" s="13">
        <f>LAVORAZIONI!P93</f>
        <v/>
      </c>
      <c r="J94" s="5">
        <f>IF(LAVORAZIONI!Q93="","",LAVORAZIONI!Q93)</f>
        <v/>
      </c>
      <c r="K94" s="6">
        <f>IF(LAVORAZIONI!R93="","",LAVORAZIONI!R93)</f>
        <v/>
      </c>
      <c r="L94" s="13">
        <f>IF(LAVORAZIONI!S93="","",LAVORAZIONI!S93)</f>
        <v/>
      </c>
      <c r="M94" s="13">
        <f>LAVORAZIONI!T93</f>
        <v/>
      </c>
      <c r="O94" s="7">
        <f>LAVORAZIONI!U93</f>
        <v/>
      </c>
      <c r="P94" s="37">
        <f>LAVORAZIONI!V93</f>
        <v/>
      </c>
      <c r="Q94" s="7">
        <f>LAVORAZIONI!W93</f>
        <v/>
      </c>
      <c r="R94" s="6">
        <f>LAVORAZIONI!X93</f>
        <v/>
      </c>
      <c r="S94" s="7">
        <f>LAVORAZIONI!Y93</f>
        <v/>
      </c>
      <c r="T94" s="6">
        <f>LAVORAZIONI!Z93</f>
        <v/>
      </c>
      <c r="U94" s="7">
        <f>LAVORAZIONI!AA93</f>
        <v/>
      </c>
      <c r="V94" s="6">
        <f>LAVORAZIONI!AB93</f>
        <v/>
      </c>
      <c r="W94" s="7">
        <f>LAVORAZIONI!AC93</f>
        <v/>
      </c>
      <c r="X94" s="6">
        <f>LAVORAZIONI!AD93</f>
        <v/>
      </c>
      <c r="Y94" s="7">
        <f>LAVORAZIONI!AE93</f>
        <v/>
      </c>
      <c r="Z94" s="6">
        <f>LAVORAZIONI!AF93</f>
        <v/>
      </c>
      <c r="AA94" s="7">
        <f>LAVORAZIONI!AG93</f>
        <v/>
      </c>
      <c r="AB94" s="6">
        <f>LAVORAZIONI!AH93</f>
        <v/>
      </c>
      <c r="AC94" s="7">
        <f>LAVORAZIONI!AI93</f>
        <v/>
      </c>
      <c r="AD94" s="13">
        <f>LAVORAZIONI!AJ93</f>
        <v/>
      </c>
    </row>
    <row r="95" ht="71" customHeight="1" s="35">
      <c r="B95" s="4">
        <f>LAVORAZIONI!G94</f>
        <v/>
      </c>
      <c r="C95" s="3">
        <f>LAVORAZIONI!A94</f>
        <v/>
      </c>
      <c r="D95" s="3">
        <f>LAVORAZIONI!K94</f>
        <v/>
      </c>
      <c r="E95" s="4">
        <f>LAVORAZIONI!H94</f>
        <v/>
      </c>
      <c r="F95" s="4">
        <f>LAVORAZIONI!M94</f>
        <v/>
      </c>
      <c r="G95" s="5">
        <f>LAVORAZIONI!N94</f>
        <v/>
      </c>
      <c r="H95" s="6">
        <f>LAVORAZIONI!O94</f>
        <v/>
      </c>
      <c r="I95" s="13">
        <f>LAVORAZIONI!P94</f>
        <v/>
      </c>
      <c r="J95" s="5">
        <f>IF(LAVORAZIONI!Q94="","",LAVORAZIONI!Q94)</f>
        <v/>
      </c>
      <c r="K95" s="6">
        <f>IF(LAVORAZIONI!R94="","",LAVORAZIONI!R94)</f>
        <v/>
      </c>
      <c r="L95" s="13">
        <f>IF(LAVORAZIONI!S94="","",LAVORAZIONI!S94)</f>
        <v/>
      </c>
      <c r="M95" s="13">
        <f>LAVORAZIONI!T94</f>
        <v/>
      </c>
      <c r="O95" s="7">
        <f>LAVORAZIONI!U94</f>
        <v/>
      </c>
      <c r="P95" s="37">
        <f>LAVORAZIONI!V94</f>
        <v/>
      </c>
      <c r="Q95" s="7">
        <f>LAVORAZIONI!W94</f>
        <v/>
      </c>
      <c r="R95" s="6">
        <f>LAVORAZIONI!X94</f>
        <v/>
      </c>
      <c r="S95" s="7">
        <f>LAVORAZIONI!Y94</f>
        <v/>
      </c>
      <c r="T95" s="6">
        <f>LAVORAZIONI!Z94</f>
        <v/>
      </c>
      <c r="U95" s="7">
        <f>LAVORAZIONI!AA94</f>
        <v/>
      </c>
      <c r="V95" s="6">
        <f>LAVORAZIONI!AB94</f>
        <v/>
      </c>
      <c r="W95" s="7">
        <f>LAVORAZIONI!AC94</f>
        <v/>
      </c>
      <c r="X95" s="6">
        <f>LAVORAZIONI!AD94</f>
        <v/>
      </c>
      <c r="Y95" s="7">
        <f>LAVORAZIONI!AE94</f>
        <v/>
      </c>
      <c r="Z95" s="6">
        <f>LAVORAZIONI!AF94</f>
        <v/>
      </c>
      <c r="AA95" s="7">
        <f>LAVORAZIONI!AG94</f>
        <v/>
      </c>
      <c r="AB95" s="6">
        <f>LAVORAZIONI!AH94</f>
        <v/>
      </c>
      <c r="AC95" s="7">
        <f>LAVORAZIONI!AI94</f>
        <v/>
      </c>
      <c r="AD95" s="13">
        <f>LAVORAZIONI!AJ94</f>
        <v/>
      </c>
    </row>
    <row r="96" ht="71" customHeight="1" s="35">
      <c r="B96" s="4">
        <f>LAVORAZIONI!G95</f>
        <v/>
      </c>
      <c r="C96" s="3">
        <f>LAVORAZIONI!A95</f>
        <v/>
      </c>
      <c r="D96" s="3">
        <f>LAVORAZIONI!K95</f>
        <v/>
      </c>
      <c r="E96" s="4">
        <f>LAVORAZIONI!H95</f>
        <v/>
      </c>
      <c r="F96" s="4">
        <f>LAVORAZIONI!M95</f>
        <v/>
      </c>
      <c r="G96" s="5">
        <f>LAVORAZIONI!N95</f>
        <v/>
      </c>
      <c r="H96" s="6">
        <f>LAVORAZIONI!O95</f>
        <v/>
      </c>
      <c r="I96" s="13">
        <f>LAVORAZIONI!P95</f>
        <v/>
      </c>
      <c r="J96" s="5">
        <f>IF(LAVORAZIONI!Q95="","",LAVORAZIONI!Q95)</f>
        <v/>
      </c>
      <c r="K96" s="6">
        <f>IF(LAVORAZIONI!R95="","",LAVORAZIONI!R95)</f>
        <v/>
      </c>
      <c r="L96" s="13">
        <f>IF(LAVORAZIONI!S95="","",LAVORAZIONI!S95)</f>
        <v/>
      </c>
      <c r="M96" s="13">
        <f>LAVORAZIONI!T95</f>
        <v/>
      </c>
      <c r="O96" s="7">
        <f>LAVORAZIONI!U95</f>
        <v/>
      </c>
      <c r="P96" s="37">
        <f>LAVORAZIONI!V95</f>
        <v/>
      </c>
      <c r="Q96" s="7">
        <f>LAVORAZIONI!W95</f>
        <v/>
      </c>
      <c r="R96" s="6">
        <f>LAVORAZIONI!X95</f>
        <v/>
      </c>
      <c r="S96" s="7">
        <f>LAVORAZIONI!Y95</f>
        <v/>
      </c>
      <c r="T96" s="6">
        <f>LAVORAZIONI!Z95</f>
        <v/>
      </c>
      <c r="U96" s="7">
        <f>LAVORAZIONI!AA95</f>
        <v/>
      </c>
      <c r="V96" s="6">
        <f>LAVORAZIONI!AB95</f>
        <v/>
      </c>
      <c r="W96" s="7">
        <f>LAVORAZIONI!AC95</f>
        <v/>
      </c>
      <c r="X96" s="6">
        <f>LAVORAZIONI!AD95</f>
        <v/>
      </c>
      <c r="Y96" s="7">
        <f>LAVORAZIONI!AE95</f>
        <v/>
      </c>
      <c r="Z96" s="6">
        <f>LAVORAZIONI!AF95</f>
        <v/>
      </c>
      <c r="AA96" s="7">
        <f>LAVORAZIONI!AG95</f>
        <v/>
      </c>
      <c r="AB96" s="6">
        <f>LAVORAZIONI!AH95</f>
        <v/>
      </c>
      <c r="AC96" s="7">
        <f>LAVORAZIONI!AI95</f>
        <v/>
      </c>
      <c r="AD96" s="13">
        <f>LAVORAZIONI!AJ95</f>
        <v/>
      </c>
    </row>
    <row r="97" ht="71" customHeight="1" s="35">
      <c r="B97" s="4">
        <f>LAVORAZIONI!G96</f>
        <v/>
      </c>
      <c r="C97" s="3">
        <f>LAVORAZIONI!A96</f>
        <v/>
      </c>
      <c r="D97" s="3">
        <f>LAVORAZIONI!K96</f>
        <v/>
      </c>
      <c r="E97" s="4">
        <f>LAVORAZIONI!H96</f>
        <v/>
      </c>
      <c r="F97" s="4">
        <f>LAVORAZIONI!M96</f>
        <v/>
      </c>
      <c r="G97" s="5">
        <f>LAVORAZIONI!N96</f>
        <v/>
      </c>
      <c r="H97" s="6">
        <f>LAVORAZIONI!O96</f>
        <v/>
      </c>
      <c r="I97" s="13">
        <f>LAVORAZIONI!P96</f>
        <v/>
      </c>
      <c r="J97" s="5">
        <f>IF(LAVORAZIONI!Q96="","",LAVORAZIONI!Q96)</f>
        <v/>
      </c>
      <c r="K97" s="6">
        <f>IF(LAVORAZIONI!R96="","",LAVORAZIONI!R96)</f>
        <v/>
      </c>
      <c r="L97" s="13">
        <f>IF(LAVORAZIONI!S96="","",LAVORAZIONI!S96)</f>
        <v/>
      </c>
      <c r="M97" s="13">
        <f>LAVORAZIONI!T96</f>
        <v/>
      </c>
      <c r="O97" s="7">
        <f>LAVORAZIONI!U96</f>
        <v/>
      </c>
      <c r="P97" s="37">
        <f>LAVORAZIONI!V96</f>
        <v/>
      </c>
      <c r="Q97" s="7">
        <f>LAVORAZIONI!W96</f>
        <v/>
      </c>
      <c r="R97" s="6">
        <f>LAVORAZIONI!X96</f>
        <v/>
      </c>
      <c r="S97" s="7">
        <f>LAVORAZIONI!Y96</f>
        <v/>
      </c>
      <c r="T97" s="6">
        <f>LAVORAZIONI!Z96</f>
        <v/>
      </c>
      <c r="U97" s="7">
        <f>LAVORAZIONI!AA96</f>
        <v/>
      </c>
      <c r="V97" s="6">
        <f>LAVORAZIONI!AB96</f>
        <v/>
      </c>
      <c r="W97" s="7">
        <f>LAVORAZIONI!AC96</f>
        <v/>
      </c>
      <c r="X97" s="6">
        <f>LAVORAZIONI!AD96</f>
        <v/>
      </c>
      <c r="Y97" s="7">
        <f>LAVORAZIONI!AE96</f>
        <v/>
      </c>
      <c r="Z97" s="6">
        <f>LAVORAZIONI!AF96</f>
        <v/>
      </c>
      <c r="AA97" s="7">
        <f>LAVORAZIONI!AG96</f>
        <v/>
      </c>
      <c r="AB97" s="6">
        <f>LAVORAZIONI!AH96</f>
        <v/>
      </c>
      <c r="AC97" s="7">
        <f>LAVORAZIONI!AI96</f>
        <v/>
      </c>
      <c r="AD97" s="13">
        <f>LAVORAZIONI!AJ96</f>
        <v/>
      </c>
    </row>
    <row r="98" ht="71" customHeight="1" s="35">
      <c r="B98" s="4">
        <f>LAVORAZIONI!G97</f>
        <v/>
      </c>
      <c r="C98" s="3">
        <f>LAVORAZIONI!A97</f>
        <v/>
      </c>
      <c r="D98" s="3">
        <f>LAVORAZIONI!K97</f>
        <v/>
      </c>
      <c r="E98" s="4">
        <f>LAVORAZIONI!H97</f>
        <v/>
      </c>
      <c r="F98" s="4">
        <f>LAVORAZIONI!M97</f>
        <v/>
      </c>
      <c r="G98" s="5">
        <f>LAVORAZIONI!N97</f>
        <v/>
      </c>
      <c r="H98" s="6">
        <f>LAVORAZIONI!O97</f>
        <v/>
      </c>
      <c r="I98" s="13">
        <f>LAVORAZIONI!P97</f>
        <v/>
      </c>
      <c r="J98" s="5">
        <f>IF(LAVORAZIONI!Q97="","",LAVORAZIONI!Q97)</f>
        <v/>
      </c>
      <c r="K98" s="6">
        <f>IF(LAVORAZIONI!R97="","",LAVORAZIONI!R97)</f>
        <v/>
      </c>
      <c r="L98" s="13">
        <f>IF(LAVORAZIONI!S97="","",LAVORAZIONI!S97)</f>
        <v/>
      </c>
      <c r="M98" s="13">
        <f>LAVORAZIONI!T97</f>
        <v/>
      </c>
      <c r="O98" s="7">
        <f>LAVORAZIONI!U97</f>
        <v/>
      </c>
      <c r="P98" s="37">
        <f>LAVORAZIONI!V97</f>
        <v/>
      </c>
      <c r="Q98" s="7">
        <f>LAVORAZIONI!W97</f>
        <v/>
      </c>
      <c r="R98" s="6">
        <f>LAVORAZIONI!X97</f>
        <v/>
      </c>
      <c r="S98" s="7">
        <f>LAVORAZIONI!Y97</f>
        <v/>
      </c>
      <c r="T98" s="6">
        <f>LAVORAZIONI!Z97</f>
        <v/>
      </c>
      <c r="U98" s="7">
        <f>LAVORAZIONI!AA97</f>
        <v/>
      </c>
      <c r="V98" s="6">
        <f>LAVORAZIONI!AB97</f>
        <v/>
      </c>
      <c r="W98" s="7">
        <f>LAVORAZIONI!AC97</f>
        <v/>
      </c>
      <c r="X98" s="6">
        <f>LAVORAZIONI!AD97</f>
        <v/>
      </c>
      <c r="Y98" s="7">
        <f>LAVORAZIONI!AE97</f>
        <v/>
      </c>
      <c r="Z98" s="6">
        <f>LAVORAZIONI!AF97</f>
        <v/>
      </c>
      <c r="AA98" s="7">
        <f>LAVORAZIONI!AG97</f>
        <v/>
      </c>
      <c r="AB98" s="6">
        <f>LAVORAZIONI!AH97</f>
        <v/>
      </c>
      <c r="AC98" s="7">
        <f>LAVORAZIONI!AI97</f>
        <v/>
      </c>
      <c r="AD98" s="13">
        <f>LAVORAZIONI!AJ97</f>
        <v/>
      </c>
    </row>
    <row r="99" ht="71" customHeight="1" s="35">
      <c r="B99" s="4">
        <f>LAVORAZIONI!G98</f>
        <v/>
      </c>
      <c r="C99" s="3">
        <f>LAVORAZIONI!A98</f>
        <v/>
      </c>
      <c r="D99" s="3">
        <f>LAVORAZIONI!K98</f>
        <v/>
      </c>
      <c r="E99" s="4">
        <f>LAVORAZIONI!H98</f>
        <v/>
      </c>
      <c r="F99" s="4">
        <f>LAVORAZIONI!M98</f>
        <v/>
      </c>
      <c r="G99" s="5">
        <f>LAVORAZIONI!N98</f>
        <v/>
      </c>
      <c r="H99" s="6">
        <f>LAVORAZIONI!O98</f>
        <v/>
      </c>
      <c r="I99" s="13">
        <f>LAVORAZIONI!P98</f>
        <v/>
      </c>
      <c r="J99" s="5">
        <f>IF(LAVORAZIONI!Q98="","",LAVORAZIONI!Q98)</f>
        <v/>
      </c>
      <c r="K99" s="6">
        <f>IF(LAVORAZIONI!R98="","",LAVORAZIONI!R98)</f>
        <v/>
      </c>
      <c r="L99" s="13">
        <f>IF(LAVORAZIONI!S98="","",LAVORAZIONI!S98)</f>
        <v/>
      </c>
      <c r="M99" s="13">
        <f>LAVORAZIONI!T98</f>
        <v/>
      </c>
      <c r="O99" s="7">
        <f>LAVORAZIONI!U98</f>
        <v/>
      </c>
      <c r="P99" s="37">
        <f>LAVORAZIONI!V98</f>
        <v/>
      </c>
      <c r="Q99" s="7">
        <f>LAVORAZIONI!W98</f>
        <v/>
      </c>
      <c r="R99" s="6">
        <f>LAVORAZIONI!X98</f>
        <v/>
      </c>
      <c r="S99" s="7">
        <f>LAVORAZIONI!Y98</f>
        <v/>
      </c>
      <c r="T99" s="6">
        <f>LAVORAZIONI!Z98</f>
        <v/>
      </c>
      <c r="U99" s="7">
        <f>LAVORAZIONI!AA98</f>
        <v/>
      </c>
      <c r="V99" s="6">
        <f>LAVORAZIONI!AB98</f>
        <v/>
      </c>
      <c r="W99" s="7">
        <f>LAVORAZIONI!AC98</f>
        <v/>
      </c>
      <c r="X99" s="6">
        <f>LAVORAZIONI!AD98</f>
        <v/>
      </c>
      <c r="Y99" s="7">
        <f>LAVORAZIONI!AE98</f>
        <v/>
      </c>
      <c r="Z99" s="6">
        <f>LAVORAZIONI!AF98</f>
        <v/>
      </c>
      <c r="AA99" s="7">
        <f>LAVORAZIONI!AG98</f>
        <v/>
      </c>
      <c r="AB99" s="6">
        <f>LAVORAZIONI!AH98</f>
        <v/>
      </c>
      <c r="AC99" s="7">
        <f>LAVORAZIONI!AI98</f>
        <v/>
      </c>
      <c r="AD99" s="13">
        <f>LAVORAZIONI!AJ98</f>
        <v/>
      </c>
    </row>
    <row r="100" ht="71" customHeight="1" s="35">
      <c r="B100" s="4">
        <f>LAVORAZIONI!G99</f>
        <v/>
      </c>
      <c r="C100" s="3">
        <f>LAVORAZIONI!A99</f>
        <v/>
      </c>
      <c r="D100" s="3">
        <f>LAVORAZIONI!K99</f>
        <v/>
      </c>
      <c r="E100" s="4">
        <f>LAVORAZIONI!H99</f>
        <v/>
      </c>
      <c r="F100" s="4">
        <f>LAVORAZIONI!M99</f>
        <v/>
      </c>
      <c r="G100" s="5">
        <f>LAVORAZIONI!N99</f>
        <v/>
      </c>
      <c r="H100" s="6">
        <f>LAVORAZIONI!O99</f>
        <v/>
      </c>
      <c r="I100" s="13">
        <f>LAVORAZIONI!P99</f>
        <v/>
      </c>
      <c r="J100" s="5">
        <f>IF(LAVORAZIONI!Q99="","",LAVORAZIONI!Q99)</f>
        <v/>
      </c>
      <c r="K100" s="6">
        <f>IF(LAVORAZIONI!R99="","",LAVORAZIONI!R99)</f>
        <v/>
      </c>
      <c r="L100" s="13">
        <f>IF(LAVORAZIONI!S99="","",LAVORAZIONI!S99)</f>
        <v/>
      </c>
      <c r="M100" s="13">
        <f>LAVORAZIONI!T99</f>
        <v/>
      </c>
      <c r="O100" s="7">
        <f>LAVORAZIONI!U99</f>
        <v/>
      </c>
      <c r="P100" s="37">
        <f>LAVORAZIONI!V99</f>
        <v/>
      </c>
      <c r="Q100" s="7">
        <f>LAVORAZIONI!W99</f>
        <v/>
      </c>
      <c r="R100" s="6">
        <f>LAVORAZIONI!X99</f>
        <v/>
      </c>
      <c r="S100" s="7">
        <f>LAVORAZIONI!Y99</f>
        <v/>
      </c>
      <c r="T100" s="6">
        <f>LAVORAZIONI!Z99</f>
        <v/>
      </c>
      <c r="U100" s="7">
        <f>LAVORAZIONI!AA99</f>
        <v/>
      </c>
      <c r="V100" s="6">
        <f>LAVORAZIONI!AB99</f>
        <v/>
      </c>
      <c r="W100" s="7">
        <f>LAVORAZIONI!AC99</f>
        <v/>
      </c>
      <c r="X100" s="6">
        <f>LAVORAZIONI!AD99</f>
        <v/>
      </c>
      <c r="Y100" s="7">
        <f>LAVORAZIONI!AE99</f>
        <v/>
      </c>
      <c r="Z100" s="6">
        <f>LAVORAZIONI!AF99</f>
        <v/>
      </c>
      <c r="AA100" s="7">
        <f>LAVORAZIONI!AG99</f>
        <v/>
      </c>
      <c r="AB100" s="6">
        <f>LAVORAZIONI!AH99</f>
        <v/>
      </c>
      <c r="AC100" s="7">
        <f>LAVORAZIONI!AI99</f>
        <v/>
      </c>
      <c r="AD100" s="13">
        <f>LAVORAZIONI!AJ99</f>
        <v/>
      </c>
    </row>
    <row r="101" ht="71" customHeight="1" s="35">
      <c r="B101" s="4">
        <f>LAVORAZIONI!G100</f>
        <v/>
      </c>
      <c r="C101" s="3">
        <f>LAVORAZIONI!A100</f>
        <v/>
      </c>
      <c r="D101" s="3">
        <f>LAVORAZIONI!K100</f>
        <v/>
      </c>
      <c r="E101" s="4">
        <f>LAVORAZIONI!H100</f>
        <v/>
      </c>
      <c r="F101" s="4">
        <f>LAVORAZIONI!M100</f>
        <v/>
      </c>
      <c r="G101" s="5">
        <f>LAVORAZIONI!N100</f>
        <v/>
      </c>
      <c r="H101" s="6">
        <f>LAVORAZIONI!O100</f>
        <v/>
      </c>
      <c r="I101" s="13">
        <f>LAVORAZIONI!P100</f>
        <v/>
      </c>
      <c r="J101" s="5">
        <f>IF(LAVORAZIONI!Q100="","",LAVORAZIONI!Q100)</f>
        <v/>
      </c>
      <c r="K101" s="6">
        <f>IF(LAVORAZIONI!R100="","",LAVORAZIONI!R100)</f>
        <v/>
      </c>
      <c r="L101" s="13">
        <f>IF(LAVORAZIONI!S100="","",LAVORAZIONI!S100)</f>
        <v/>
      </c>
      <c r="M101" s="13">
        <f>LAVORAZIONI!T100</f>
        <v/>
      </c>
      <c r="O101" s="7">
        <f>LAVORAZIONI!U100</f>
        <v/>
      </c>
      <c r="P101" s="37">
        <f>LAVORAZIONI!V100</f>
        <v/>
      </c>
      <c r="Q101" s="7">
        <f>LAVORAZIONI!W100</f>
        <v/>
      </c>
      <c r="R101" s="6">
        <f>LAVORAZIONI!X100</f>
        <v/>
      </c>
      <c r="S101" s="7">
        <f>LAVORAZIONI!Y100</f>
        <v/>
      </c>
      <c r="T101" s="6">
        <f>LAVORAZIONI!Z100</f>
        <v/>
      </c>
      <c r="U101" s="7">
        <f>LAVORAZIONI!AA100</f>
        <v/>
      </c>
      <c r="V101" s="6">
        <f>LAVORAZIONI!AB100</f>
        <v/>
      </c>
      <c r="W101" s="7">
        <f>LAVORAZIONI!AC100</f>
        <v/>
      </c>
      <c r="X101" s="6">
        <f>LAVORAZIONI!AD100</f>
        <v/>
      </c>
      <c r="Y101" s="7">
        <f>LAVORAZIONI!AE100</f>
        <v/>
      </c>
      <c r="Z101" s="6">
        <f>LAVORAZIONI!AF100</f>
        <v/>
      </c>
      <c r="AA101" s="7">
        <f>LAVORAZIONI!AG100</f>
        <v/>
      </c>
      <c r="AB101" s="6">
        <f>LAVORAZIONI!AH100</f>
        <v/>
      </c>
      <c r="AC101" s="7">
        <f>LAVORAZIONI!AI100</f>
        <v/>
      </c>
      <c r="AD101" s="13">
        <f>LAVORAZIONI!AJ100</f>
        <v/>
      </c>
    </row>
    <row r="102" ht="71" customHeight="1" s="35">
      <c r="B102" s="4">
        <f>LAVORAZIONI!G101</f>
        <v/>
      </c>
      <c r="C102" s="3">
        <f>LAVORAZIONI!A101</f>
        <v/>
      </c>
      <c r="D102" s="3">
        <f>LAVORAZIONI!K101</f>
        <v/>
      </c>
      <c r="E102" s="4">
        <f>LAVORAZIONI!H101</f>
        <v/>
      </c>
      <c r="F102" s="4">
        <f>LAVORAZIONI!M101</f>
        <v/>
      </c>
      <c r="G102" s="5">
        <f>LAVORAZIONI!N101</f>
        <v/>
      </c>
      <c r="H102" s="6">
        <f>LAVORAZIONI!O101</f>
        <v/>
      </c>
      <c r="I102" s="13">
        <f>LAVORAZIONI!P101</f>
        <v/>
      </c>
      <c r="J102" s="5">
        <f>IF(LAVORAZIONI!Q101="","",LAVORAZIONI!Q101)</f>
        <v/>
      </c>
      <c r="K102" s="6">
        <f>IF(LAVORAZIONI!R101="","",LAVORAZIONI!R101)</f>
        <v/>
      </c>
      <c r="L102" s="13">
        <f>IF(LAVORAZIONI!S101="","",LAVORAZIONI!S101)</f>
        <v/>
      </c>
      <c r="M102" s="13">
        <f>LAVORAZIONI!T101</f>
        <v/>
      </c>
      <c r="O102" s="7">
        <f>LAVORAZIONI!U101</f>
        <v/>
      </c>
      <c r="P102" s="37">
        <f>LAVORAZIONI!V101</f>
        <v/>
      </c>
      <c r="Q102" s="7">
        <f>LAVORAZIONI!W101</f>
        <v/>
      </c>
      <c r="R102" s="6">
        <f>LAVORAZIONI!X101</f>
        <v/>
      </c>
      <c r="S102" s="7">
        <f>LAVORAZIONI!Y101</f>
        <v/>
      </c>
      <c r="T102" s="6">
        <f>LAVORAZIONI!Z101</f>
        <v/>
      </c>
      <c r="U102" s="7">
        <f>LAVORAZIONI!AA101</f>
        <v/>
      </c>
      <c r="V102" s="6">
        <f>LAVORAZIONI!AB101</f>
        <v/>
      </c>
      <c r="W102" s="7">
        <f>LAVORAZIONI!AC101</f>
        <v/>
      </c>
      <c r="X102" s="6">
        <f>LAVORAZIONI!AD101</f>
        <v/>
      </c>
      <c r="Y102" s="7">
        <f>LAVORAZIONI!AE101</f>
        <v/>
      </c>
      <c r="Z102" s="6">
        <f>LAVORAZIONI!AF101</f>
        <v/>
      </c>
      <c r="AA102" s="7">
        <f>LAVORAZIONI!AG101</f>
        <v/>
      </c>
      <c r="AB102" s="6">
        <f>LAVORAZIONI!AH101</f>
        <v/>
      </c>
      <c r="AC102" s="7">
        <f>LAVORAZIONI!AI101</f>
        <v/>
      </c>
      <c r="AD102" s="13">
        <f>LAVORAZIONI!AJ101</f>
        <v/>
      </c>
    </row>
    <row r="103" ht="71" customHeight="1" s="35">
      <c r="B103" s="4">
        <f>LAVORAZIONI!G102</f>
        <v/>
      </c>
      <c r="C103" s="3">
        <f>LAVORAZIONI!A102</f>
        <v/>
      </c>
      <c r="D103" s="3">
        <f>LAVORAZIONI!K102</f>
        <v/>
      </c>
      <c r="E103" s="4">
        <f>LAVORAZIONI!H102</f>
        <v/>
      </c>
      <c r="F103" s="4">
        <f>LAVORAZIONI!M102</f>
        <v/>
      </c>
      <c r="G103" s="5">
        <f>LAVORAZIONI!N102</f>
        <v/>
      </c>
      <c r="H103" s="6">
        <f>LAVORAZIONI!O102</f>
        <v/>
      </c>
      <c r="I103" s="13">
        <f>LAVORAZIONI!P102</f>
        <v/>
      </c>
      <c r="J103" s="5">
        <f>IF(LAVORAZIONI!Q102="","",LAVORAZIONI!Q102)</f>
        <v/>
      </c>
      <c r="K103" s="6">
        <f>IF(LAVORAZIONI!R102="","",LAVORAZIONI!R102)</f>
        <v/>
      </c>
      <c r="L103" s="13">
        <f>IF(LAVORAZIONI!S102="","",LAVORAZIONI!S102)</f>
        <v/>
      </c>
      <c r="M103" s="13">
        <f>LAVORAZIONI!T102</f>
        <v/>
      </c>
      <c r="O103" s="7">
        <f>LAVORAZIONI!U102</f>
        <v/>
      </c>
      <c r="P103" s="37">
        <f>LAVORAZIONI!V102</f>
        <v/>
      </c>
      <c r="Q103" s="7">
        <f>LAVORAZIONI!W102</f>
        <v/>
      </c>
      <c r="R103" s="6">
        <f>LAVORAZIONI!X102</f>
        <v/>
      </c>
      <c r="S103" s="7">
        <f>LAVORAZIONI!Y102</f>
        <v/>
      </c>
      <c r="T103" s="6">
        <f>LAVORAZIONI!Z102</f>
        <v/>
      </c>
      <c r="U103" s="7">
        <f>LAVORAZIONI!AA102</f>
        <v/>
      </c>
      <c r="V103" s="6">
        <f>LAVORAZIONI!AB102</f>
        <v/>
      </c>
      <c r="W103" s="7">
        <f>LAVORAZIONI!AC102</f>
        <v/>
      </c>
      <c r="X103" s="6">
        <f>LAVORAZIONI!AD102</f>
        <v/>
      </c>
      <c r="Y103" s="7">
        <f>LAVORAZIONI!AE102</f>
        <v/>
      </c>
      <c r="Z103" s="6">
        <f>LAVORAZIONI!AF102</f>
        <v/>
      </c>
      <c r="AA103" s="7">
        <f>LAVORAZIONI!AG102</f>
        <v/>
      </c>
      <c r="AB103" s="6">
        <f>LAVORAZIONI!AH102</f>
        <v/>
      </c>
      <c r="AC103" s="7">
        <f>LAVORAZIONI!AI102</f>
        <v/>
      </c>
      <c r="AD103" s="13">
        <f>LAVORAZIONI!AJ102</f>
        <v/>
      </c>
    </row>
    <row r="104" ht="71" customHeight="1" s="35">
      <c r="B104" s="4">
        <f>LAVORAZIONI!G103</f>
        <v/>
      </c>
      <c r="C104" s="3">
        <f>LAVORAZIONI!A103</f>
        <v/>
      </c>
      <c r="D104" s="3">
        <f>LAVORAZIONI!K103</f>
        <v/>
      </c>
      <c r="E104" s="4">
        <f>LAVORAZIONI!H103</f>
        <v/>
      </c>
      <c r="F104" s="4">
        <f>LAVORAZIONI!M103</f>
        <v/>
      </c>
      <c r="G104" s="5">
        <f>LAVORAZIONI!N103</f>
        <v/>
      </c>
      <c r="H104" s="6">
        <f>LAVORAZIONI!O103</f>
        <v/>
      </c>
      <c r="I104" s="13">
        <f>LAVORAZIONI!P103</f>
        <v/>
      </c>
      <c r="J104" s="5">
        <f>IF(LAVORAZIONI!Q103="","",LAVORAZIONI!Q103)</f>
        <v/>
      </c>
      <c r="K104" s="6">
        <f>IF(LAVORAZIONI!R103="","",LAVORAZIONI!R103)</f>
        <v/>
      </c>
      <c r="L104" s="13">
        <f>IF(LAVORAZIONI!S103="","",LAVORAZIONI!S103)</f>
        <v/>
      </c>
      <c r="M104" s="13">
        <f>LAVORAZIONI!T103</f>
        <v/>
      </c>
      <c r="O104" s="7">
        <f>LAVORAZIONI!U103</f>
        <v/>
      </c>
      <c r="P104" s="37">
        <f>LAVORAZIONI!V103</f>
        <v/>
      </c>
      <c r="Q104" s="7">
        <f>LAVORAZIONI!W103</f>
        <v/>
      </c>
      <c r="R104" s="6">
        <f>LAVORAZIONI!X103</f>
        <v/>
      </c>
      <c r="S104" s="7">
        <f>LAVORAZIONI!Y103</f>
        <v/>
      </c>
      <c r="T104" s="6">
        <f>LAVORAZIONI!Z103</f>
        <v/>
      </c>
      <c r="U104" s="7">
        <f>LAVORAZIONI!AA103</f>
        <v/>
      </c>
      <c r="V104" s="6">
        <f>LAVORAZIONI!AB103</f>
        <v/>
      </c>
      <c r="W104" s="7">
        <f>LAVORAZIONI!AC103</f>
        <v/>
      </c>
      <c r="X104" s="6">
        <f>LAVORAZIONI!AD103</f>
        <v/>
      </c>
      <c r="Y104" s="7">
        <f>LAVORAZIONI!AE103</f>
        <v/>
      </c>
      <c r="Z104" s="6">
        <f>LAVORAZIONI!AF103</f>
        <v/>
      </c>
      <c r="AA104" s="7">
        <f>LAVORAZIONI!AG103</f>
        <v/>
      </c>
      <c r="AB104" s="6">
        <f>LAVORAZIONI!AH103</f>
        <v/>
      </c>
      <c r="AC104" s="7">
        <f>LAVORAZIONI!AI103</f>
        <v/>
      </c>
      <c r="AD104" s="13">
        <f>LAVORAZIONI!AJ103</f>
        <v/>
      </c>
    </row>
    <row r="105" ht="71" customHeight="1" s="35">
      <c r="B105" s="4">
        <f>LAVORAZIONI!G104</f>
        <v/>
      </c>
      <c r="C105" s="3">
        <f>LAVORAZIONI!A104</f>
        <v/>
      </c>
      <c r="D105" s="3">
        <f>LAVORAZIONI!K104</f>
        <v/>
      </c>
      <c r="E105" s="4">
        <f>LAVORAZIONI!H104</f>
        <v/>
      </c>
      <c r="F105" s="4">
        <f>LAVORAZIONI!M104</f>
        <v/>
      </c>
      <c r="G105" s="5">
        <f>LAVORAZIONI!N104</f>
        <v/>
      </c>
      <c r="H105" s="6">
        <f>LAVORAZIONI!O104</f>
        <v/>
      </c>
      <c r="I105" s="13">
        <f>LAVORAZIONI!P104</f>
        <v/>
      </c>
      <c r="J105" s="5">
        <f>IF(LAVORAZIONI!Q104="","",LAVORAZIONI!Q104)</f>
        <v/>
      </c>
      <c r="K105" s="6">
        <f>IF(LAVORAZIONI!R104="","",LAVORAZIONI!R104)</f>
        <v/>
      </c>
      <c r="L105" s="13">
        <f>IF(LAVORAZIONI!S104="","",LAVORAZIONI!S104)</f>
        <v/>
      </c>
      <c r="M105" s="13">
        <f>LAVORAZIONI!T104</f>
        <v/>
      </c>
      <c r="O105" s="7">
        <f>LAVORAZIONI!U104</f>
        <v/>
      </c>
      <c r="P105" s="37">
        <f>LAVORAZIONI!V104</f>
        <v/>
      </c>
      <c r="Q105" s="7">
        <f>LAVORAZIONI!W104</f>
        <v/>
      </c>
      <c r="R105" s="6">
        <f>LAVORAZIONI!X104</f>
        <v/>
      </c>
      <c r="S105" s="7">
        <f>LAVORAZIONI!Y104</f>
        <v/>
      </c>
      <c r="T105" s="6">
        <f>LAVORAZIONI!Z104</f>
        <v/>
      </c>
      <c r="U105" s="7">
        <f>LAVORAZIONI!AA104</f>
        <v/>
      </c>
      <c r="V105" s="6">
        <f>LAVORAZIONI!AB104</f>
        <v/>
      </c>
      <c r="W105" s="7">
        <f>LAVORAZIONI!AC104</f>
        <v/>
      </c>
      <c r="X105" s="6">
        <f>LAVORAZIONI!AD104</f>
        <v/>
      </c>
      <c r="Y105" s="7">
        <f>LAVORAZIONI!AE104</f>
        <v/>
      </c>
      <c r="Z105" s="6">
        <f>LAVORAZIONI!AF104</f>
        <v/>
      </c>
      <c r="AA105" s="7">
        <f>LAVORAZIONI!AG104</f>
        <v/>
      </c>
      <c r="AB105" s="6">
        <f>LAVORAZIONI!AH104</f>
        <v/>
      </c>
      <c r="AC105" s="7">
        <f>LAVORAZIONI!AI104</f>
        <v/>
      </c>
      <c r="AD105" s="13">
        <f>LAVORAZIONI!AJ104</f>
        <v/>
      </c>
    </row>
    <row r="106" ht="71" customHeight="1" s="35">
      <c r="B106" s="4">
        <f>LAVORAZIONI!G105</f>
        <v/>
      </c>
      <c r="C106" s="3">
        <f>LAVORAZIONI!A105</f>
        <v/>
      </c>
      <c r="D106" s="3">
        <f>LAVORAZIONI!K105</f>
        <v/>
      </c>
      <c r="E106" s="4">
        <f>LAVORAZIONI!H105</f>
        <v/>
      </c>
      <c r="F106" s="4">
        <f>LAVORAZIONI!M105</f>
        <v/>
      </c>
      <c r="G106" s="5">
        <f>LAVORAZIONI!N105</f>
        <v/>
      </c>
      <c r="H106" s="6">
        <f>LAVORAZIONI!O105</f>
        <v/>
      </c>
      <c r="I106" s="13">
        <f>LAVORAZIONI!P105</f>
        <v/>
      </c>
      <c r="J106" s="5">
        <f>IF(LAVORAZIONI!Q105="","",LAVORAZIONI!Q105)</f>
        <v/>
      </c>
      <c r="K106" s="6">
        <f>IF(LAVORAZIONI!R105="","",LAVORAZIONI!R105)</f>
        <v/>
      </c>
      <c r="L106" s="13">
        <f>IF(LAVORAZIONI!S105="","",LAVORAZIONI!S105)</f>
        <v/>
      </c>
      <c r="M106" s="13">
        <f>LAVORAZIONI!T105</f>
        <v/>
      </c>
      <c r="O106" s="7">
        <f>LAVORAZIONI!U105</f>
        <v/>
      </c>
      <c r="P106" s="37">
        <f>LAVORAZIONI!V105</f>
        <v/>
      </c>
      <c r="Q106" s="7">
        <f>LAVORAZIONI!W105</f>
        <v/>
      </c>
      <c r="R106" s="6">
        <f>LAVORAZIONI!X105</f>
        <v/>
      </c>
      <c r="S106" s="7">
        <f>LAVORAZIONI!Y105</f>
        <v/>
      </c>
      <c r="T106" s="6">
        <f>LAVORAZIONI!Z105</f>
        <v/>
      </c>
      <c r="U106" s="7">
        <f>LAVORAZIONI!AA105</f>
        <v/>
      </c>
      <c r="V106" s="6">
        <f>LAVORAZIONI!AB105</f>
        <v/>
      </c>
      <c r="W106" s="7">
        <f>LAVORAZIONI!AC105</f>
        <v/>
      </c>
      <c r="X106" s="6">
        <f>LAVORAZIONI!AD105</f>
        <v/>
      </c>
      <c r="Y106" s="7">
        <f>LAVORAZIONI!AE105</f>
        <v/>
      </c>
      <c r="Z106" s="6">
        <f>LAVORAZIONI!AF105</f>
        <v/>
      </c>
      <c r="AA106" s="7">
        <f>LAVORAZIONI!AG105</f>
        <v/>
      </c>
      <c r="AB106" s="6">
        <f>LAVORAZIONI!AH105</f>
        <v/>
      </c>
      <c r="AC106" s="7">
        <f>LAVORAZIONI!AI105</f>
        <v/>
      </c>
      <c r="AD106" s="13">
        <f>LAVORAZIONI!AJ105</f>
        <v/>
      </c>
    </row>
    <row r="107" ht="71" customHeight="1" s="35">
      <c r="B107" s="4">
        <f>LAVORAZIONI!G106</f>
        <v/>
      </c>
      <c r="C107" s="3">
        <f>LAVORAZIONI!A106</f>
        <v/>
      </c>
      <c r="D107" s="3">
        <f>LAVORAZIONI!K106</f>
        <v/>
      </c>
      <c r="E107" s="4">
        <f>LAVORAZIONI!H106</f>
        <v/>
      </c>
      <c r="F107" s="4">
        <f>LAVORAZIONI!M106</f>
        <v/>
      </c>
      <c r="G107" s="5">
        <f>LAVORAZIONI!N106</f>
        <v/>
      </c>
      <c r="H107" s="6">
        <f>LAVORAZIONI!O106</f>
        <v/>
      </c>
      <c r="I107" s="13">
        <f>LAVORAZIONI!P106</f>
        <v/>
      </c>
      <c r="J107" s="5">
        <f>IF(LAVORAZIONI!Q106="","",LAVORAZIONI!Q106)</f>
        <v/>
      </c>
      <c r="K107" s="6">
        <f>IF(LAVORAZIONI!R106="","",LAVORAZIONI!R106)</f>
        <v/>
      </c>
      <c r="L107" s="13">
        <f>IF(LAVORAZIONI!S106="","",LAVORAZIONI!S106)</f>
        <v/>
      </c>
      <c r="M107" s="13">
        <f>LAVORAZIONI!T106</f>
        <v/>
      </c>
      <c r="O107" s="7">
        <f>LAVORAZIONI!U106</f>
        <v/>
      </c>
      <c r="P107" s="37">
        <f>LAVORAZIONI!V106</f>
        <v/>
      </c>
      <c r="Q107" s="7">
        <f>LAVORAZIONI!W106</f>
        <v/>
      </c>
      <c r="R107" s="6">
        <f>LAVORAZIONI!X106</f>
        <v/>
      </c>
      <c r="S107" s="7">
        <f>LAVORAZIONI!Y106</f>
        <v/>
      </c>
      <c r="T107" s="6">
        <f>LAVORAZIONI!Z106</f>
        <v/>
      </c>
      <c r="U107" s="7">
        <f>LAVORAZIONI!AA106</f>
        <v/>
      </c>
      <c r="V107" s="6">
        <f>LAVORAZIONI!AB106</f>
        <v/>
      </c>
      <c r="W107" s="7">
        <f>LAVORAZIONI!AC106</f>
        <v/>
      </c>
      <c r="X107" s="6">
        <f>LAVORAZIONI!AD106</f>
        <v/>
      </c>
      <c r="Y107" s="7">
        <f>LAVORAZIONI!AE106</f>
        <v/>
      </c>
      <c r="Z107" s="6">
        <f>LAVORAZIONI!AF106</f>
        <v/>
      </c>
      <c r="AA107" s="7">
        <f>LAVORAZIONI!AG106</f>
        <v/>
      </c>
      <c r="AB107" s="6">
        <f>LAVORAZIONI!AH106</f>
        <v/>
      </c>
      <c r="AC107" s="7">
        <f>LAVORAZIONI!AI106</f>
        <v/>
      </c>
      <c r="AD107" s="13">
        <f>LAVORAZIONI!AJ106</f>
        <v/>
      </c>
    </row>
    <row r="108" ht="71" customHeight="1" s="35">
      <c r="B108" s="4">
        <f>LAVORAZIONI!G107</f>
        <v/>
      </c>
      <c r="C108" s="3">
        <f>LAVORAZIONI!A107</f>
        <v/>
      </c>
      <c r="D108" s="3">
        <f>LAVORAZIONI!K107</f>
        <v/>
      </c>
      <c r="E108" s="4">
        <f>LAVORAZIONI!H107</f>
        <v/>
      </c>
      <c r="F108" s="4">
        <f>LAVORAZIONI!M107</f>
        <v/>
      </c>
      <c r="G108" s="5">
        <f>LAVORAZIONI!N107</f>
        <v/>
      </c>
      <c r="H108" s="6">
        <f>LAVORAZIONI!O107</f>
        <v/>
      </c>
      <c r="I108" s="13">
        <f>LAVORAZIONI!P107</f>
        <v/>
      </c>
      <c r="J108" s="5">
        <f>IF(LAVORAZIONI!Q107="","",LAVORAZIONI!Q107)</f>
        <v/>
      </c>
      <c r="K108" s="6">
        <f>IF(LAVORAZIONI!R107="","",LAVORAZIONI!R107)</f>
        <v/>
      </c>
      <c r="L108" s="13">
        <f>IF(LAVORAZIONI!S107="","",LAVORAZIONI!S107)</f>
        <v/>
      </c>
      <c r="M108" s="13">
        <f>LAVORAZIONI!T107</f>
        <v/>
      </c>
      <c r="O108" s="7">
        <f>LAVORAZIONI!U107</f>
        <v/>
      </c>
      <c r="P108" s="37">
        <f>LAVORAZIONI!V107</f>
        <v/>
      </c>
      <c r="Q108" s="7">
        <f>LAVORAZIONI!W107</f>
        <v/>
      </c>
      <c r="R108" s="6">
        <f>LAVORAZIONI!X107</f>
        <v/>
      </c>
      <c r="S108" s="7">
        <f>LAVORAZIONI!Y107</f>
        <v/>
      </c>
      <c r="T108" s="6">
        <f>LAVORAZIONI!Z107</f>
        <v/>
      </c>
      <c r="U108" s="7">
        <f>LAVORAZIONI!AA107</f>
        <v/>
      </c>
      <c r="V108" s="6">
        <f>LAVORAZIONI!AB107</f>
        <v/>
      </c>
      <c r="W108" s="7">
        <f>LAVORAZIONI!AC107</f>
        <v/>
      </c>
      <c r="X108" s="6">
        <f>LAVORAZIONI!AD107</f>
        <v/>
      </c>
      <c r="Y108" s="7">
        <f>LAVORAZIONI!AE107</f>
        <v/>
      </c>
      <c r="Z108" s="6">
        <f>LAVORAZIONI!AF107</f>
        <v/>
      </c>
      <c r="AA108" s="7">
        <f>LAVORAZIONI!AG107</f>
        <v/>
      </c>
      <c r="AB108" s="6">
        <f>LAVORAZIONI!AH107</f>
        <v/>
      </c>
      <c r="AC108" s="7">
        <f>LAVORAZIONI!AI107</f>
        <v/>
      </c>
      <c r="AD108" s="13">
        <f>LAVORAZIONI!AJ107</f>
        <v/>
      </c>
    </row>
    <row r="109" ht="71" customHeight="1" s="35">
      <c r="B109" s="4">
        <f>LAVORAZIONI!G108</f>
        <v/>
      </c>
      <c r="C109" s="3">
        <f>LAVORAZIONI!A108</f>
        <v/>
      </c>
      <c r="D109" s="3">
        <f>LAVORAZIONI!K108</f>
        <v/>
      </c>
      <c r="E109" s="4">
        <f>LAVORAZIONI!H108</f>
        <v/>
      </c>
      <c r="F109" s="4">
        <f>LAVORAZIONI!M108</f>
        <v/>
      </c>
      <c r="G109" s="5">
        <f>LAVORAZIONI!N108</f>
        <v/>
      </c>
      <c r="H109" s="6">
        <f>LAVORAZIONI!O108</f>
        <v/>
      </c>
      <c r="I109" s="13">
        <f>LAVORAZIONI!P108</f>
        <v/>
      </c>
      <c r="J109" s="5">
        <f>IF(LAVORAZIONI!Q108="","",LAVORAZIONI!Q108)</f>
        <v/>
      </c>
      <c r="K109" s="6">
        <f>IF(LAVORAZIONI!R108="","",LAVORAZIONI!R108)</f>
        <v/>
      </c>
      <c r="L109" s="13">
        <f>IF(LAVORAZIONI!S108="","",LAVORAZIONI!S108)</f>
        <v/>
      </c>
      <c r="M109" s="13">
        <f>LAVORAZIONI!T108</f>
        <v/>
      </c>
      <c r="O109" s="7">
        <f>LAVORAZIONI!U108</f>
        <v/>
      </c>
      <c r="P109" s="37">
        <f>LAVORAZIONI!V108</f>
        <v/>
      </c>
      <c r="Q109" s="7">
        <f>LAVORAZIONI!W108</f>
        <v/>
      </c>
      <c r="R109" s="6">
        <f>LAVORAZIONI!X108</f>
        <v/>
      </c>
      <c r="S109" s="7">
        <f>LAVORAZIONI!Y108</f>
        <v/>
      </c>
      <c r="T109" s="6">
        <f>LAVORAZIONI!Z108</f>
        <v/>
      </c>
      <c r="U109" s="7">
        <f>LAVORAZIONI!AA108</f>
        <v/>
      </c>
      <c r="V109" s="6">
        <f>LAVORAZIONI!AB108</f>
        <v/>
      </c>
      <c r="W109" s="7">
        <f>LAVORAZIONI!AC108</f>
        <v/>
      </c>
      <c r="X109" s="6">
        <f>LAVORAZIONI!AD108</f>
        <v/>
      </c>
      <c r="Y109" s="7">
        <f>LAVORAZIONI!AE108</f>
        <v/>
      </c>
      <c r="Z109" s="6">
        <f>LAVORAZIONI!AF108</f>
        <v/>
      </c>
      <c r="AA109" s="7">
        <f>LAVORAZIONI!AG108</f>
        <v/>
      </c>
      <c r="AB109" s="6">
        <f>LAVORAZIONI!AH108</f>
        <v/>
      </c>
      <c r="AC109" s="7">
        <f>LAVORAZIONI!AI108</f>
        <v/>
      </c>
      <c r="AD109" s="13">
        <f>LAVORAZIONI!AJ108</f>
        <v/>
      </c>
    </row>
    <row r="110" ht="71" customHeight="1" s="35">
      <c r="B110" s="4">
        <f>LAVORAZIONI!G109</f>
        <v/>
      </c>
      <c r="C110" s="3">
        <f>LAVORAZIONI!A109</f>
        <v/>
      </c>
      <c r="D110" s="3">
        <f>LAVORAZIONI!K109</f>
        <v/>
      </c>
      <c r="E110" s="4">
        <f>LAVORAZIONI!H109</f>
        <v/>
      </c>
      <c r="F110" s="4">
        <f>LAVORAZIONI!M109</f>
        <v/>
      </c>
      <c r="G110" s="5">
        <f>LAVORAZIONI!N109</f>
        <v/>
      </c>
      <c r="H110" s="6">
        <f>LAVORAZIONI!O109</f>
        <v/>
      </c>
      <c r="I110" s="13">
        <f>LAVORAZIONI!P109</f>
        <v/>
      </c>
      <c r="J110" s="5">
        <f>IF(LAVORAZIONI!Q109="","",LAVORAZIONI!Q109)</f>
        <v/>
      </c>
      <c r="K110" s="6">
        <f>IF(LAVORAZIONI!R109="","",LAVORAZIONI!R109)</f>
        <v/>
      </c>
      <c r="L110" s="13">
        <f>IF(LAVORAZIONI!S109="","",LAVORAZIONI!S109)</f>
        <v/>
      </c>
      <c r="M110" s="13">
        <f>LAVORAZIONI!T109</f>
        <v/>
      </c>
      <c r="O110" s="7">
        <f>LAVORAZIONI!U109</f>
        <v/>
      </c>
      <c r="P110" s="37">
        <f>LAVORAZIONI!V109</f>
        <v/>
      </c>
      <c r="Q110" s="7">
        <f>LAVORAZIONI!W109</f>
        <v/>
      </c>
      <c r="R110" s="6">
        <f>LAVORAZIONI!X109</f>
        <v/>
      </c>
      <c r="S110" s="7">
        <f>LAVORAZIONI!Y109</f>
        <v/>
      </c>
      <c r="T110" s="6">
        <f>LAVORAZIONI!Z109</f>
        <v/>
      </c>
      <c r="U110" s="7">
        <f>LAVORAZIONI!AA109</f>
        <v/>
      </c>
      <c r="V110" s="6">
        <f>LAVORAZIONI!AB109</f>
        <v/>
      </c>
      <c r="W110" s="7">
        <f>LAVORAZIONI!AC109</f>
        <v/>
      </c>
      <c r="X110" s="6">
        <f>LAVORAZIONI!AD109</f>
        <v/>
      </c>
      <c r="Y110" s="7">
        <f>LAVORAZIONI!AE109</f>
        <v/>
      </c>
      <c r="Z110" s="6">
        <f>LAVORAZIONI!AF109</f>
        <v/>
      </c>
      <c r="AA110" s="7">
        <f>LAVORAZIONI!AG109</f>
        <v/>
      </c>
      <c r="AB110" s="6">
        <f>LAVORAZIONI!AH109</f>
        <v/>
      </c>
      <c r="AC110" s="7">
        <f>LAVORAZIONI!AI109</f>
        <v/>
      </c>
      <c r="AD110" s="13">
        <f>LAVORAZIONI!AJ109</f>
        <v/>
      </c>
    </row>
    <row r="111" ht="71" customHeight="1" s="35">
      <c r="B111" s="4">
        <f>LAVORAZIONI!G110</f>
        <v/>
      </c>
      <c r="C111" s="3">
        <f>LAVORAZIONI!A110</f>
        <v/>
      </c>
      <c r="D111" s="3">
        <f>LAVORAZIONI!K110</f>
        <v/>
      </c>
      <c r="E111" s="4">
        <f>LAVORAZIONI!H110</f>
        <v/>
      </c>
      <c r="F111" s="4">
        <f>LAVORAZIONI!M110</f>
        <v/>
      </c>
      <c r="G111" s="5">
        <f>LAVORAZIONI!N110</f>
        <v/>
      </c>
      <c r="H111" s="6">
        <f>LAVORAZIONI!O110</f>
        <v/>
      </c>
      <c r="I111" s="13">
        <f>LAVORAZIONI!P110</f>
        <v/>
      </c>
      <c r="J111" s="5">
        <f>IF(LAVORAZIONI!Q110="","",LAVORAZIONI!Q110)</f>
        <v/>
      </c>
      <c r="K111" s="6">
        <f>IF(LAVORAZIONI!R110="","",LAVORAZIONI!R110)</f>
        <v/>
      </c>
      <c r="L111" s="13">
        <f>IF(LAVORAZIONI!S110="","",LAVORAZIONI!S110)</f>
        <v/>
      </c>
      <c r="M111" s="13">
        <f>LAVORAZIONI!T110</f>
        <v/>
      </c>
      <c r="O111" s="7">
        <f>LAVORAZIONI!U110</f>
        <v/>
      </c>
      <c r="P111" s="37">
        <f>LAVORAZIONI!V110</f>
        <v/>
      </c>
      <c r="Q111" s="7">
        <f>LAVORAZIONI!W110</f>
        <v/>
      </c>
      <c r="R111" s="6">
        <f>LAVORAZIONI!X110</f>
        <v/>
      </c>
      <c r="S111" s="7">
        <f>LAVORAZIONI!Y110</f>
        <v/>
      </c>
      <c r="T111" s="6">
        <f>LAVORAZIONI!Z110</f>
        <v/>
      </c>
      <c r="U111" s="7">
        <f>LAVORAZIONI!AA110</f>
        <v/>
      </c>
      <c r="V111" s="6">
        <f>LAVORAZIONI!AB110</f>
        <v/>
      </c>
      <c r="W111" s="7">
        <f>LAVORAZIONI!AC110</f>
        <v/>
      </c>
      <c r="X111" s="6">
        <f>LAVORAZIONI!AD110</f>
        <v/>
      </c>
      <c r="Y111" s="7">
        <f>LAVORAZIONI!AE110</f>
        <v/>
      </c>
      <c r="Z111" s="6">
        <f>LAVORAZIONI!AF110</f>
        <v/>
      </c>
      <c r="AA111" s="7">
        <f>LAVORAZIONI!AG110</f>
        <v/>
      </c>
      <c r="AB111" s="6">
        <f>LAVORAZIONI!AH110</f>
        <v/>
      </c>
      <c r="AC111" s="7">
        <f>LAVORAZIONI!AI110</f>
        <v/>
      </c>
      <c r="AD111" s="13">
        <f>LAVORAZIONI!AJ110</f>
        <v/>
      </c>
    </row>
    <row r="112" ht="71" customHeight="1" s="35">
      <c r="B112" s="4">
        <f>LAVORAZIONI!G111</f>
        <v/>
      </c>
      <c r="C112" s="3">
        <f>LAVORAZIONI!A111</f>
        <v/>
      </c>
      <c r="D112" s="3">
        <f>LAVORAZIONI!K111</f>
        <v/>
      </c>
      <c r="E112" s="4">
        <f>LAVORAZIONI!H111</f>
        <v/>
      </c>
      <c r="F112" s="4">
        <f>LAVORAZIONI!M111</f>
        <v/>
      </c>
      <c r="G112" s="5">
        <f>LAVORAZIONI!N111</f>
        <v/>
      </c>
      <c r="H112" s="6">
        <f>LAVORAZIONI!O111</f>
        <v/>
      </c>
      <c r="I112" s="13">
        <f>LAVORAZIONI!P111</f>
        <v/>
      </c>
      <c r="J112" s="5">
        <f>IF(LAVORAZIONI!Q111="","",LAVORAZIONI!Q111)</f>
        <v/>
      </c>
      <c r="K112" s="6">
        <f>IF(LAVORAZIONI!R111="","",LAVORAZIONI!R111)</f>
        <v/>
      </c>
      <c r="L112" s="13">
        <f>IF(LAVORAZIONI!S111="","",LAVORAZIONI!S111)</f>
        <v/>
      </c>
      <c r="M112" s="13">
        <f>LAVORAZIONI!T111</f>
        <v/>
      </c>
      <c r="O112" s="7">
        <f>LAVORAZIONI!U111</f>
        <v/>
      </c>
      <c r="P112" s="37">
        <f>LAVORAZIONI!V111</f>
        <v/>
      </c>
      <c r="Q112" s="7">
        <f>LAVORAZIONI!W111</f>
        <v/>
      </c>
      <c r="R112" s="6">
        <f>LAVORAZIONI!X111</f>
        <v/>
      </c>
      <c r="S112" s="7">
        <f>LAVORAZIONI!Y111</f>
        <v/>
      </c>
      <c r="T112" s="6">
        <f>LAVORAZIONI!Z111</f>
        <v/>
      </c>
      <c r="U112" s="7">
        <f>LAVORAZIONI!AA111</f>
        <v/>
      </c>
      <c r="V112" s="6">
        <f>LAVORAZIONI!AB111</f>
        <v/>
      </c>
      <c r="W112" s="7">
        <f>LAVORAZIONI!AC111</f>
        <v/>
      </c>
      <c r="X112" s="6">
        <f>LAVORAZIONI!AD111</f>
        <v/>
      </c>
      <c r="Y112" s="7">
        <f>LAVORAZIONI!AE111</f>
        <v/>
      </c>
      <c r="Z112" s="6">
        <f>LAVORAZIONI!AF111</f>
        <v/>
      </c>
      <c r="AA112" s="7">
        <f>LAVORAZIONI!AG111</f>
        <v/>
      </c>
      <c r="AB112" s="6">
        <f>LAVORAZIONI!AH111</f>
        <v/>
      </c>
      <c r="AC112" s="7">
        <f>LAVORAZIONI!AI111</f>
        <v/>
      </c>
      <c r="AD112" s="13">
        <f>LAVORAZIONI!AJ111</f>
        <v/>
      </c>
    </row>
    <row r="113" ht="71" customHeight="1" s="35">
      <c r="B113" s="4">
        <f>LAVORAZIONI!G112</f>
        <v/>
      </c>
      <c r="C113" s="3">
        <f>LAVORAZIONI!A112</f>
        <v/>
      </c>
      <c r="D113" s="3">
        <f>LAVORAZIONI!K112</f>
        <v/>
      </c>
      <c r="E113" s="4">
        <f>LAVORAZIONI!H112</f>
        <v/>
      </c>
      <c r="F113" s="4">
        <f>LAVORAZIONI!M112</f>
        <v/>
      </c>
      <c r="G113" s="5">
        <f>LAVORAZIONI!N112</f>
        <v/>
      </c>
      <c r="H113" s="6">
        <f>LAVORAZIONI!O112</f>
        <v/>
      </c>
      <c r="I113" s="13">
        <f>LAVORAZIONI!P112</f>
        <v/>
      </c>
      <c r="J113" s="5">
        <f>IF(LAVORAZIONI!Q112="","",LAVORAZIONI!Q112)</f>
        <v/>
      </c>
      <c r="K113" s="6">
        <f>IF(LAVORAZIONI!R112="","",LAVORAZIONI!R112)</f>
        <v/>
      </c>
      <c r="L113" s="13">
        <f>IF(LAVORAZIONI!S112="","",LAVORAZIONI!S112)</f>
        <v/>
      </c>
      <c r="M113" s="13">
        <f>LAVORAZIONI!T112</f>
        <v/>
      </c>
      <c r="O113" s="7">
        <f>LAVORAZIONI!U112</f>
        <v/>
      </c>
      <c r="P113" s="37">
        <f>LAVORAZIONI!V112</f>
        <v/>
      </c>
      <c r="Q113" s="7">
        <f>LAVORAZIONI!W112</f>
        <v/>
      </c>
      <c r="R113" s="6">
        <f>LAVORAZIONI!X112</f>
        <v/>
      </c>
      <c r="S113" s="7">
        <f>LAVORAZIONI!Y112</f>
        <v/>
      </c>
      <c r="T113" s="6">
        <f>LAVORAZIONI!Z112</f>
        <v/>
      </c>
      <c r="U113" s="7">
        <f>LAVORAZIONI!AA112</f>
        <v/>
      </c>
      <c r="V113" s="6">
        <f>LAVORAZIONI!AB112</f>
        <v/>
      </c>
      <c r="W113" s="7">
        <f>LAVORAZIONI!AC112</f>
        <v/>
      </c>
      <c r="X113" s="6">
        <f>LAVORAZIONI!AD112</f>
        <v/>
      </c>
      <c r="Y113" s="7">
        <f>LAVORAZIONI!AE112</f>
        <v/>
      </c>
      <c r="Z113" s="6">
        <f>LAVORAZIONI!AF112</f>
        <v/>
      </c>
      <c r="AA113" s="7">
        <f>LAVORAZIONI!AG112</f>
        <v/>
      </c>
      <c r="AB113" s="6">
        <f>LAVORAZIONI!AH112</f>
        <v/>
      </c>
      <c r="AC113" s="7">
        <f>LAVORAZIONI!AI112</f>
        <v/>
      </c>
      <c r="AD113" s="13">
        <f>LAVORAZIONI!AJ112</f>
        <v/>
      </c>
    </row>
    <row r="114" ht="71" customHeight="1" s="35">
      <c r="B114" s="4">
        <f>LAVORAZIONI!G113</f>
        <v/>
      </c>
      <c r="C114" s="3">
        <f>LAVORAZIONI!A113</f>
        <v/>
      </c>
      <c r="D114" s="3">
        <f>LAVORAZIONI!K113</f>
        <v/>
      </c>
      <c r="E114" s="4">
        <f>LAVORAZIONI!H113</f>
        <v/>
      </c>
      <c r="F114" s="4">
        <f>LAVORAZIONI!M113</f>
        <v/>
      </c>
      <c r="G114" s="5">
        <f>LAVORAZIONI!N113</f>
        <v/>
      </c>
      <c r="H114" s="6">
        <f>LAVORAZIONI!O113</f>
        <v/>
      </c>
      <c r="I114" s="13">
        <f>LAVORAZIONI!P113</f>
        <v/>
      </c>
      <c r="J114" s="5">
        <f>IF(LAVORAZIONI!Q113="","",LAVORAZIONI!Q113)</f>
        <v/>
      </c>
      <c r="K114" s="6">
        <f>IF(LAVORAZIONI!R113="","",LAVORAZIONI!R113)</f>
        <v/>
      </c>
      <c r="L114" s="13">
        <f>IF(LAVORAZIONI!S113="","",LAVORAZIONI!S113)</f>
        <v/>
      </c>
      <c r="M114" s="13">
        <f>LAVORAZIONI!T113</f>
        <v/>
      </c>
      <c r="O114" s="7">
        <f>LAVORAZIONI!U113</f>
        <v/>
      </c>
      <c r="P114" s="37">
        <f>LAVORAZIONI!V113</f>
        <v/>
      </c>
      <c r="Q114" s="7">
        <f>LAVORAZIONI!W113</f>
        <v/>
      </c>
      <c r="R114" s="6">
        <f>LAVORAZIONI!X113</f>
        <v/>
      </c>
      <c r="S114" s="7">
        <f>LAVORAZIONI!Y113</f>
        <v/>
      </c>
      <c r="T114" s="6">
        <f>LAVORAZIONI!Z113</f>
        <v/>
      </c>
      <c r="U114" s="7">
        <f>LAVORAZIONI!AA113</f>
        <v/>
      </c>
      <c r="V114" s="6">
        <f>LAVORAZIONI!AB113</f>
        <v/>
      </c>
      <c r="W114" s="7">
        <f>LAVORAZIONI!AC113</f>
        <v/>
      </c>
      <c r="X114" s="6">
        <f>LAVORAZIONI!AD113</f>
        <v/>
      </c>
      <c r="Y114" s="7">
        <f>LAVORAZIONI!AE113</f>
        <v/>
      </c>
      <c r="Z114" s="6">
        <f>LAVORAZIONI!AF113</f>
        <v/>
      </c>
      <c r="AA114" s="7">
        <f>LAVORAZIONI!AG113</f>
        <v/>
      </c>
      <c r="AB114" s="6">
        <f>LAVORAZIONI!AH113</f>
        <v/>
      </c>
      <c r="AC114" s="7">
        <f>LAVORAZIONI!AI113</f>
        <v/>
      </c>
      <c r="AD114" s="13">
        <f>LAVORAZIONI!AJ113</f>
        <v/>
      </c>
    </row>
    <row r="115" ht="71" customHeight="1" s="35">
      <c r="B115" s="4">
        <f>LAVORAZIONI!G114</f>
        <v/>
      </c>
      <c r="C115" s="3">
        <f>LAVORAZIONI!A114</f>
        <v/>
      </c>
      <c r="D115" s="3">
        <f>LAVORAZIONI!K114</f>
        <v/>
      </c>
      <c r="E115" s="4">
        <f>LAVORAZIONI!H114</f>
        <v/>
      </c>
      <c r="F115" s="4">
        <f>LAVORAZIONI!M114</f>
        <v/>
      </c>
      <c r="G115" s="5">
        <f>LAVORAZIONI!N114</f>
        <v/>
      </c>
      <c r="H115" s="6">
        <f>LAVORAZIONI!O114</f>
        <v/>
      </c>
      <c r="I115" s="13">
        <f>LAVORAZIONI!P114</f>
        <v/>
      </c>
      <c r="J115" s="5">
        <f>IF(LAVORAZIONI!Q114="","",LAVORAZIONI!Q114)</f>
        <v/>
      </c>
      <c r="K115" s="6">
        <f>IF(LAVORAZIONI!R114="","",LAVORAZIONI!R114)</f>
        <v/>
      </c>
      <c r="L115" s="13">
        <f>IF(LAVORAZIONI!S114="","",LAVORAZIONI!S114)</f>
        <v/>
      </c>
      <c r="M115" s="13">
        <f>LAVORAZIONI!T114</f>
        <v/>
      </c>
      <c r="O115" s="7">
        <f>LAVORAZIONI!U114</f>
        <v/>
      </c>
      <c r="P115" s="37">
        <f>LAVORAZIONI!V114</f>
        <v/>
      </c>
      <c r="Q115" s="7">
        <f>LAVORAZIONI!W114</f>
        <v/>
      </c>
      <c r="R115" s="6">
        <f>LAVORAZIONI!X114</f>
        <v/>
      </c>
      <c r="S115" s="7">
        <f>LAVORAZIONI!Y114</f>
        <v/>
      </c>
      <c r="T115" s="6">
        <f>LAVORAZIONI!Z114</f>
        <v/>
      </c>
      <c r="U115" s="7">
        <f>LAVORAZIONI!AA114</f>
        <v/>
      </c>
      <c r="V115" s="6">
        <f>LAVORAZIONI!AB114</f>
        <v/>
      </c>
      <c r="W115" s="7">
        <f>LAVORAZIONI!AC114</f>
        <v/>
      </c>
      <c r="X115" s="6">
        <f>LAVORAZIONI!AD114</f>
        <v/>
      </c>
      <c r="Y115" s="7">
        <f>LAVORAZIONI!AE114</f>
        <v/>
      </c>
      <c r="Z115" s="6">
        <f>LAVORAZIONI!AF114</f>
        <v/>
      </c>
      <c r="AA115" s="7">
        <f>LAVORAZIONI!AG114</f>
        <v/>
      </c>
      <c r="AB115" s="6">
        <f>LAVORAZIONI!AH114</f>
        <v/>
      </c>
      <c r="AC115" s="7">
        <f>LAVORAZIONI!AI114</f>
        <v/>
      </c>
      <c r="AD115" s="13">
        <f>LAVORAZIONI!AJ114</f>
        <v/>
      </c>
    </row>
    <row r="116" ht="71" customHeight="1" s="35">
      <c r="B116" s="4">
        <f>LAVORAZIONI!G115</f>
        <v/>
      </c>
      <c r="C116" s="3">
        <f>LAVORAZIONI!A115</f>
        <v/>
      </c>
      <c r="D116" s="3">
        <f>LAVORAZIONI!K115</f>
        <v/>
      </c>
      <c r="E116" s="4">
        <f>LAVORAZIONI!H115</f>
        <v/>
      </c>
      <c r="F116" s="4">
        <f>LAVORAZIONI!M115</f>
        <v/>
      </c>
      <c r="G116" s="5">
        <f>LAVORAZIONI!N115</f>
        <v/>
      </c>
      <c r="H116" s="6">
        <f>LAVORAZIONI!O115</f>
        <v/>
      </c>
      <c r="I116" s="13">
        <f>LAVORAZIONI!P115</f>
        <v/>
      </c>
      <c r="J116" s="5">
        <f>IF(LAVORAZIONI!Q115="","",LAVORAZIONI!Q115)</f>
        <v/>
      </c>
      <c r="K116" s="6">
        <f>IF(LAVORAZIONI!R115="","",LAVORAZIONI!R115)</f>
        <v/>
      </c>
      <c r="L116" s="13">
        <f>IF(LAVORAZIONI!S115="","",LAVORAZIONI!S115)</f>
        <v/>
      </c>
      <c r="M116" s="13">
        <f>LAVORAZIONI!T115</f>
        <v/>
      </c>
      <c r="O116" s="7">
        <f>LAVORAZIONI!U115</f>
        <v/>
      </c>
      <c r="P116" s="37">
        <f>LAVORAZIONI!V115</f>
        <v/>
      </c>
      <c r="Q116" s="7">
        <f>LAVORAZIONI!W115</f>
        <v/>
      </c>
      <c r="R116" s="6">
        <f>LAVORAZIONI!X115</f>
        <v/>
      </c>
      <c r="S116" s="7">
        <f>LAVORAZIONI!Y115</f>
        <v/>
      </c>
      <c r="T116" s="6">
        <f>LAVORAZIONI!Z115</f>
        <v/>
      </c>
      <c r="U116" s="7">
        <f>LAVORAZIONI!AA115</f>
        <v/>
      </c>
      <c r="V116" s="6">
        <f>LAVORAZIONI!AB115</f>
        <v/>
      </c>
      <c r="W116" s="7">
        <f>LAVORAZIONI!AC115</f>
        <v/>
      </c>
      <c r="X116" s="6">
        <f>LAVORAZIONI!AD115</f>
        <v/>
      </c>
      <c r="Y116" s="7">
        <f>LAVORAZIONI!AE115</f>
        <v/>
      </c>
      <c r="Z116" s="6">
        <f>LAVORAZIONI!AF115</f>
        <v/>
      </c>
      <c r="AA116" s="7">
        <f>LAVORAZIONI!AG115</f>
        <v/>
      </c>
      <c r="AB116" s="6">
        <f>LAVORAZIONI!AH115</f>
        <v/>
      </c>
      <c r="AC116" s="7">
        <f>LAVORAZIONI!AI115</f>
        <v/>
      </c>
      <c r="AD116" s="13">
        <f>LAVORAZIONI!AJ115</f>
        <v/>
      </c>
    </row>
    <row r="117" ht="71" customHeight="1" s="35">
      <c r="B117" s="4">
        <f>LAVORAZIONI!G116</f>
        <v/>
      </c>
      <c r="C117" s="3">
        <f>LAVORAZIONI!A116</f>
        <v/>
      </c>
      <c r="D117" s="3">
        <f>LAVORAZIONI!K116</f>
        <v/>
      </c>
      <c r="E117" s="4">
        <f>LAVORAZIONI!H116</f>
        <v/>
      </c>
      <c r="F117" s="4">
        <f>LAVORAZIONI!M116</f>
        <v/>
      </c>
      <c r="G117" s="5">
        <f>LAVORAZIONI!N116</f>
        <v/>
      </c>
      <c r="H117" s="6">
        <f>LAVORAZIONI!O116</f>
        <v/>
      </c>
      <c r="I117" s="13">
        <f>LAVORAZIONI!P116</f>
        <v/>
      </c>
      <c r="J117" s="5">
        <f>IF(LAVORAZIONI!Q116="","",LAVORAZIONI!Q116)</f>
        <v/>
      </c>
      <c r="K117" s="6">
        <f>IF(LAVORAZIONI!R116="","",LAVORAZIONI!R116)</f>
        <v/>
      </c>
      <c r="L117" s="13">
        <f>IF(LAVORAZIONI!S116="","",LAVORAZIONI!S116)</f>
        <v/>
      </c>
      <c r="M117" s="13">
        <f>LAVORAZIONI!T116</f>
        <v/>
      </c>
      <c r="O117" s="7">
        <f>LAVORAZIONI!U116</f>
        <v/>
      </c>
      <c r="P117" s="37">
        <f>LAVORAZIONI!V116</f>
        <v/>
      </c>
      <c r="Q117" s="7">
        <f>LAVORAZIONI!W116</f>
        <v/>
      </c>
      <c r="R117" s="6">
        <f>LAVORAZIONI!X116</f>
        <v/>
      </c>
      <c r="S117" s="7">
        <f>LAVORAZIONI!Y116</f>
        <v/>
      </c>
      <c r="T117" s="6">
        <f>LAVORAZIONI!Z116</f>
        <v/>
      </c>
      <c r="U117" s="7">
        <f>LAVORAZIONI!AA116</f>
        <v/>
      </c>
      <c r="V117" s="6">
        <f>LAVORAZIONI!AB116</f>
        <v/>
      </c>
      <c r="W117" s="7">
        <f>LAVORAZIONI!AC116</f>
        <v/>
      </c>
      <c r="X117" s="6">
        <f>LAVORAZIONI!AD116</f>
        <v/>
      </c>
      <c r="Y117" s="7">
        <f>LAVORAZIONI!AE116</f>
        <v/>
      </c>
      <c r="Z117" s="6">
        <f>LAVORAZIONI!AF116</f>
        <v/>
      </c>
      <c r="AA117" s="7">
        <f>LAVORAZIONI!AG116</f>
        <v/>
      </c>
      <c r="AB117" s="6">
        <f>LAVORAZIONI!AH116</f>
        <v/>
      </c>
      <c r="AC117" s="7">
        <f>LAVORAZIONI!AI116</f>
        <v/>
      </c>
      <c r="AD117" s="13">
        <f>LAVORAZIONI!AJ116</f>
        <v/>
      </c>
    </row>
    <row r="118" ht="71" customHeight="1" s="35">
      <c r="B118" s="4">
        <f>LAVORAZIONI!G117</f>
        <v/>
      </c>
      <c r="C118" s="3">
        <f>LAVORAZIONI!A117</f>
        <v/>
      </c>
      <c r="D118" s="3">
        <f>LAVORAZIONI!K117</f>
        <v/>
      </c>
      <c r="E118" s="4">
        <f>LAVORAZIONI!H117</f>
        <v/>
      </c>
      <c r="F118" s="4">
        <f>LAVORAZIONI!M117</f>
        <v/>
      </c>
      <c r="G118" s="5">
        <f>LAVORAZIONI!N117</f>
        <v/>
      </c>
      <c r="H118" s="6">
        <f>LAVORAZIONI!O117</f>
        <v/>
      </c>
      <c r="I118" s="13">
        <f>LAVORAZIONI!P117</f>
        <v/>
      </c>
      <c r="J118" s="5">
        <f>IF(LAVORAZIONI!Q117="","",LAVORAZIONI!Q117)</f>
        <v/>
      </c>
      <c r="K118" s="6">
        <f>IF(LAVORAZIONI!R117="","",LAVORAZIONI!R117)</f>
        <v/>
      </c>
      <c r="L118" s="13">
        <f>IF(LAVORAZIONI!S117="","",LAVORAZIONI!S117)</f>
        <v/>
      </c>
      <c r="M118" s="13">
        <f>LAVORAZIONI!T117</f>
        <v/>
      </c>
      <c r="O118" s="7">
        <f>LAVORAZIONI!U117</f>
        <v/>
      </c>
      <c r="P118" s="37">
        <f>LAVORAZIONI!V117</f>
        <v/>
      </c>
      <c r="Q118" s="7">
        <f>LAVORAZIONI!W117</f>
        <v/>
      </c>
      <c r="R118" s="6">
        <f>LAVORAZIONI!X117</f>
        <v/>
      </c>
      <c r="S118" s="7">
        <f>LAVORAZIONI!Y117</f>
        <v/>
      </c>
      <c r="T118" s="6">
        <f>LAVORAZIONI!Z117</f>
        <v/>
      </c>
      <c r="U118" s="7">
        <f>LAVORAZIONI!AA117</f>
        <v/>
      </c>
      <c r="V118" s="6">
        <f>LAVORAZIONI!AB117</f>
        <v/>
      </c>
      <c r="W118" s="7">
        <f>LAVORAZIONI!AC117</f>
        <v/>
      </c>
      <c r="X118" s="6">
        <f>LAVORAZIONI!AD117</f>
        <v/>
      </c>
      <c r="Y118" s="7">
        <f>LAVORAZIONI!AE117</f>
        <v/>
      </c>
      <c r="Z118" s="6">
        <f>LAVORAZIONI!AF117</f>
        <v/>
      </c>
      <c r="AA118" s="7">
        <f>LAVORAZIONI!AG117</f>
        <v/>
      </c>
      <c r="AB118" s="6">
        <f>LAVORAZIONI!AH117</f>
        <v/>
      </c>
      <c r="AC118" s="7">
        <f>LAVORAZIONI!AI117</f>
        <v/>
      </c>
      <c r="AD118" s="13">
        <f>LAVORAZIONI!AJ117</f>
        <v/>
      </c>
    </row>
    <row r="119" ht="71" customHeight="1" s="35">
      <c r="B119" s="4">
        <f>LAVORAZIONI!G118</f>
        <v/>
      </c>
      <c r="C119" s="3">
        <f>LAVORAZIONI!A118</f>
        <v/>
      </c>
      <c r="D119" s="3">
        <f>LAVORAZIONI!K118</f>
        <v/>
      </c>
      <c r="E119" s="4">
        <f>LAVORAZIONI!H118</f>
        <v/>
      </c>
      <c r="F119" s="4">
        <f>LAVORAZIONI!M118</f>
        <v/>
      </c>
      <c r="G119" s="5">
        <f>LAVORAZIONI!N118</f>
        <v/>
      </c>
      <c r="H119" s="6">
        <f>LAVORAZIONI!O118</f>
        <v/>
      </c>
      <c r="I119" s="13">
        <f>LAVORAZIONI!P118</f>
        <v/>
      </c>
      <c r="J119" s="5">
        <f>IF(LAVORAZIONI!Q118="","",LAVORAZIONI!Q118)</f>
        <v/>
      </c>
      <c r="K119" s="6">
        <f>IF(LAVORAZIONI!R118="","",LAVORAZIONI!R118)</f>
        <v/>
      </c>
      <c r="L119" s="13">
        <f>IF(LAVORAZIONI!S118="","",LAVORAZIONI!S118)</f>
        <v/>
      </c>
      <c r="M119" s="13">
        <f>LAVORAZIONI!T118</f>
        <v/>
      </c>
      <c r="O119" s="7">
        <f>LAVORAZIONI!U118</f>
        <v/>
      </c>
      <c r="P119" s="37">
        <f>LAVORAZIONI!V118</f>
        <v/>
      </c>
      <c r="Q119" s="7">
        <f>LAVORAZIONI!W118</f>
        <v/>
      </c>
      <c r="R119" s="6">
        <f>LAVORAZIONI!X118</f>
        <v/>
      </c>
      <c r="S119" s="7">
        <f>LAVORAZIONI!Y118</f>
        <v/>
      </c>
      <c r="T119" s="6">
        <f>LAVORAZIONI!Z118</f>
        <v/>
      </c>
      <c r="U119" s="7">
        <f>LAVORAZIONI!AA118</f>
        <v/>
      </c>
      <c r="V119" s="6">
        <f>LAVORAZIONI!AB118</f>
        <v/>
      </c>
      <c r="W119" s="7">
        <f>LAVORAZIONI!AC118</f>
        <v/>
      </c>
      <c r="X119" s="6">
        <f>LAVORAZIONI!AD118</f>
        <v/>
      </c>
      <c r="Y119" s="7">
        <f>LAVORAZIONI!AE118</f>
        <v/>
      </c>
      <c r="Z119" s="6">
        <f>LAVORAZIONI!AF118</f>
        <v/>
      </c>
      <c r="AA119" s="7">
        <f>LAVORAZIONI!AG118</f>
        <v/>
      </c>
      <c r="AB119" s="6">
        <f>LAVORAZIONI!AH118</f>
        <v/>
      </c>
      <c r="AC119" s="7">
        <f>LAVORAZIONI!AI118</f>
        <v/>
      </c>
      <c r="AD119" s="13">
        <f>LAVORAZIONI!AJ118</f>
        <v/>
      </c>
    </row>
    <row r="120" ht="71" customHeight="1" s="35">
      <c r="B120" s="4">
        <f>LAVORAZIONI!G119</f>
        <v/>
      </c>
      <c r="C120" s="3">
        <f>LAVORAZIONI!A119</f>
        <v/>
      </c>
      <c r="D120" s="3">
        <f>LAVORAZIONI!K119</f>
        <v/>
      </c>
      <c r="E120" s="4">
        <f>LAVORAZIONI!H119</f>
        <v/>
      </c>
      <c r="F120" s="4">
        <f>LAVORAZIONI!M119</f>
        <v/>
      </c>
      <c r="G120" s="5">
        <f>LAVORAZIONI!N119</f>
        <v/>
      </c>
      <c r="H120" s="6">
        <f>LAVORAZIONI!O119</f>
        <v/>
      </c>
      <c r="I120" s="13">
        <f>LAVORAZIONI!P119</f>
        <v/>
      </c>
      <c r="J120" s="5">
        <f>IF(LAVORAZIONI!Q119="","",LAVORAZIONI!Q119)</f>
        <v/>
      </c>
      <c r="K120" s="6">
        <f>IF(LAVORAZIONI!R119="","",LAVORAZIONI!R119)</f>
        <v/>
      </c>
      <c r="L120" s="13">
        <f>IF(LAVORAZIONI!S119="","",LAVORAZIONI!S119)</f>
        <v/>
      </c>
      <c r="M120" s="13">
        <f>LAVORAZIONI!T119</f>
        <v/>
      </c>
      <c r="O120" s="7">
        <f>LAVORAZIONI!U119</f>
        <v/>
      </c>
      <c r="P120" s="37">
        <f>LAVORAZIONI!V119</f>
        <v/>
      </c>
      <c r="Q120" s="7">
        <f>LAVORAZIONI!W119</f>
        <v/>
      </c>
      <c r="R120" s="6">
        <f>LAVORAZIONI!X119</f>
        <v/>
      </c>
      <c r="S120" s="7">
        <f>LAVORAZIONI!Y119</f>
        <v/>
      </c>
      <c r="T120" s="6">
        <f>LAVORAZIONI!Z119</f>
        <v/>
      </c>
      <c r="U120" s="7">
        <f>LAVORAZIONI!AA119</f>
        <v/>
      </c>
      <c r="V120" s="6">
        <f>LAVORAZIONI!AB119</f>
        <v/>
      </c>
      <c r="W120" s="7">
        <f>LAVORAZIONI!AC119</f>
        <v/>
      </c>
      <c r="X120" s="6">
        <f>LAVORAZIONI!AD119</f>
        <v/>
      </c>
      <c r="Y120" s="7">
        <f>LAVORAZIONI!AE119</f>
        <v/>
      </c>
      <c r="Z120" s="6">
        <f>LAVORAZIONI!AF119</f>
        <v/>
      </c>
      <c r="AA120" s="7">
        <f>LAVORAZIONI!AG119</f>
        <v/>
      </c>
      <c r="AB120" s="6">
        <f>LAVORAZIONI!AH119</f>
        <v/>
      </c>
      <c r="AC120" s="7">
        <f>LAVORAZIONI!AI119</f>
        <v/>
      </c>
      <c r="AD120" s="13">
        <f>LAVORAZIONI!AJ119</f>
        <v/>
      </c>
    </row>
    <row r="121" ht="71" customHeight="1" s="35">
      <c r="B121" s="4">
        <f>LAVORAZIONI!G120</f>
        <v/>
      </c>
      <c r="C121" s="3">
        <f>LAVORAZIONI!A120</f>
        <v/>
      </c>
      <c r="D121" s="3">
        <f>LAVORAZIONI!K120</f>
        <v/>
      </c>
      <c r="E121" s="4">
        <f>LAVORAZIONI!H120</f>
        <v/>
      </c>
      <c r="F121" s="4">
        <f>LAVORAZIONI!M120</f>
        <v/>
      </c>
      <c r="G121" s="5">
        <f>LAVORAZIONI!N120</f>
        <v/>
      </c>
      <c r="H121" s="6">
        <f>LAVORAZIONI!O120</f>
        <v/>
      </c>
      <c r="I121" s="13">
        <f>LAVORAZIONI!P120</f>
        <v/>
      </c>
      <c r="J121" s="5">
        <f>IF(LAVORAZIONI!Q120="","",LAVORAZIONI!Q120)</f>
        <v/>
      </c>
      <c r="K121" s="6">
        <f>IF(LAVORAZIONI!R120="","",LAVORAZIONI!R120)</f>
        <v/>
      </c>
      <c r="L121" s="13">
        <f>IF(LAVORAZIONI!S120="","",LAVORAZIONI!S120)</f>
        <v/>
      </c>
      <c r="M121" s="13">
        <f>LAVORAZIONI!T120</f>
        <v/>
      </c>
      <c r="O121" s="7">
        <f>LAVORAZIONI!U120</f>
        <v/>
      </c>
      <c r="P121" s="37">
        <f>LAVORAZIONI!V120</f>
        <v/>
      </c>
      <c r="Q121" s="7">
        <f>LAVORAZIONI!W120</f>
        <v/>
      </c>
      <c r="R121" s="6">
        <f>LAVORAZIONI!X120</f>
        <v/>
      </c>
      <c r="S121" s="7">
        <f>LAVORAZIONI!Y120</f>
        <v/>
      </c>
      <c r="T121" s="6">
        <f>LAVORAZIONI!Z120</f>
        <v/>
      </c>
      <c r="U121" s="7">
        <f>LAVORAZIONI!AA120</f>
        <v/>
      </c>
      <c r="V121" s="6">
        <f>LAVORAZIONI!AB120</f>
        <v/>
      </c>
      <c r="W121" s="7">
        <f>LAVORAZIONI!AC120</f>
        <v/>
      </c>
      <c r="X121" s="6">
        <f>LAVORAZIONI!AD120</f>
        <v/>
      </c>
      <c r="Y121" s="7">
        <f>LAVORAZIONI!AE120</f>
        <v/>
      </c>
      <c r="Z121" s="6">
        <f>LAVORAZIONI!AF120</f>
        <v/>
      </c>
      <c r="AA121" s="7">
        <f>LAVORAZIONI!AG120</f>
        <v/>
      </c>
      <c r="AB121" s="6">
        <f>LAVORAZIONI!AH120</f>
        <v/>
      </c>
      <c r="AC121" s="7">
        <f>LAVORAZIONI!AI120</f>
        <v/>
      </c>
      <c r="AD121" s="13">
        <f>LAVORAZIONI!AJ120</f>
        <v/>
      </c>
    </row>
    <row r="122" ht="71" customHeight="1" s="35">
      <c r="B122" s="4">
        <f>LAVORAZIONI!G121</f>
        <v/>
      </c>
      <c r="C122" s="3">
        <f>LAVORAZIONI!A121</f>
        <v/>
      </c>
      <c r="D122" s="3">
        <f>LAVORAZIONI!K121</f>
        <v/>
      </c>
      <c r="E122" s="4">
        <f>LAVORAZIONI!H121</f>
        <v/>
      </c>
      <c r="F122" s="4">
        <f>LAVORAZIONI!M121</f>
        <v/>
      </c>
      <c r="G122" s="5">
        <f>LAVORAZIONI!N121</f>
        <v/>
      </c>
      <c r="H122" s="6">
        <f>LAVORAZIONI!O121</f>
        <v/>
      </c>
      <c r="I122" s="13">
        <f>LAVORAZIONI!P121</f>
        <v/>
      </c>
      <c r="J122" s="5">
        <f>IF(LAVORAZIONI!Q121="","",LAVORAZIONI!Q121)</f>
        <v/>
      </c>
      <c r="K122" s="6">
        <f>IF(LAVORAZIONI!R121="","",LAVORAZIONI!R121)</f>
        <v/>
      </c>
      <c r="L122" s="13">
        <f>IF(LAVORAZIONI!S121="","",LAVORAZIONI!S121)</f>
        <v/>
      </c>
      <c r="M122" s="13">
        <f>LAVORAZIONI!T121</f>
        <v/>
      </c>
      <c r="O122" s="7">
        <f>LAVORAZIONI!U121</f>
        <v/>
      </c>
      <c r="P122" s="37">
        <f>LAVORAZIONI!V121</f>
        <v/>
      </c>
      <c r="Q122" s="7">
        <f>LAVORAZIONI!W121</f>
        <v/>
      </c>
      <c r="R122" s="6">
        <f>LAVORAZIONI!X121</f>
        <v/>
      </c>
      <c r="S122" s="7">
        <f>LAVORAZIONI!Y121</f>
        <v/>
      </c>
      <c r="T122" s="6">
        <f>LAVORAZIONI!Z121</f>
        <v/>
      </c>
      <c r="U122" s="7">
        <f>LAVORAZIONI!AA121</f>
        <v/>
      </c>
      <c r="V122" s="6">
        <f>LAVORAZIONI!AB121</f>
        <v/>
      </c>
      <c r="W122" s="7">
        <f>LAVORAZIONI!AC121</f>
        <v/>
      </c>
      <c r="X122" s="6">
        <f>LAVORAZIONI!AD121</f>
        <v/>
      </c>
      <c r="Y122" s="7">
        <f>LAVORAZIONI!AE121</f>
        <v/>
      </c>
      <c r="Z122" s="6">
        <f>LAVORAZIONI!AF121</f>
        <v/>
      </c>
      <c r="AA122" s="7">
        <f>LAVORAZIONI!AG121</f>
        <v/>
      </c>
      <c r="AB122" s="6">
        <f>LAVORAZIONI!AH121</f>
        <v/>
      </c>
      <c r="AC122" s="7">
        <f>LAVORAZIONI!AI121</f>
        <v/>
      </c>
      <c r="AD122" s="13">
        <f>LAVORAZIONI!AJ121</f>
        <v/>
      </c>
    </row>
    <row r="123" ht="71" customHeight="1" s="35">
      <c r="B123" s="4">
        <f>LAVORAZIONI!G122</f>
        <v/>
      </c>
      <c r="C123" s="3">
        <f>LAVORAZIONI!A122</f>
        <v/>
      </c>
      <c r="D123" s="3">
        <f>LAVORAZIONI!K122</f>
        <v/>
      </c>
      <c r="E123" s="4">
        <f>LAVORAZIONI!H122</f>
        <v/>
      </c>
      <c r="F123" s="4">
        <f>LAVORAZIONI!M122</f>
        <v/>
      </c>
      <c r="G123" s="5">
        <f>LAVORAZIONI!N122</f>
        <v/>
      </c>
      <c r="H123" s="6">
        <f>LAVORAZIONI!O122</f>
        <v/>
      </c>
      <c r="I123" s="13">
        <f>LAVORAZIONI!P122</f>
        <v/>
      </c>
      <c r="J123" s="5">
        <f>IF(LAVORAZIONI!Q122="","",LAVORAZIONI!Q122)</f>
        <v/>
      </c>
      <c r="K123" s="6">
        <f>IF(LAVORAZIONI!R122="","",LAVORAZIONI!R122)</f>
        <v/>
      </c>
      <c r="L123" s="13">
        <f>IF(LAVORAZIONI!S122="","",LAVORAZIONI!S122)</f>
        <v/>
      </c>
      <c r="M123" s="13">
        <f>LAVORAZIONI!T122</f>
        <v/>
      </c>
      <c r="O123" s="7">
        <f>LAVORAZIONI!U122</f>
        <v/>
      </c>
      <c r="P123" s="37">
        <f>LAVORAZIONI!V122</f>
        <v/>
      </c>
      <c r="Q123" s="7">
        <f>LAVORAZIONI!W122</f>
        <v/>
      </c>
      <c r="R123" s="6">
        <f>LAVORAZIONI!X122</f>
        <v/>
      </c>
      <c r="S123" s="7">
        <f>LAVORAZIONI!Y122</f>
        <v/>
      </c>
      <c r="T123" s="6">
        <f>LAVORAZIONI!Z122</f>
        <v/>
      </c>
      <c r="U123" s="7">
        <f>LAVORAZIONI!AA122</f>
        <v/>
      </c>
      <c r="V123" s="6">
        <f>LAVORAZIONI!AB122</f>
        <v/>
      </c>
      <c r="W123" s="7">
        <f>LAVORAZIONI!AC122</f>
        <v/>
      </c>
      <c r="X123" s="6">
        <f>LAVORAZIONI!AD122</f>
        <v/>
      </c>
      <c r="Y123" s="7">
        <f>LAVORAZIONI!AE122</f>
        <v/>
      </c>
      <c r="Z123" s="6">
        <f>LAVORAZIONI!AF122</f>
        <v/>
      </c>
      <c r="AA123" s="7">
        <f>LAVORAZIONI!AG122</f>
        <v/>
      </c>
      <c r="AB123" s="6">
        <f>LAVORAZIONI!AH122</f>
        <v/>
      </c>
      <c r="AC123" s="7">
        <f>LAVORAZIONI!AI122</f>
        <v/>
      </c>
      <c r="AD123" s="13">
        <f>LAVORAZIONI!AJ122</f>
        <v/>
      </c>
    </row>
    <row r="124" ht="71" customHeight="1" s="35">
      <c r="B124" s="4">
        <f>LAVORAZIONI!G123</f>
        <v/>
      </c>
      <c r="C124" s="3">
        <f>LAVORAZIONI!A123</f>
        <v/>
      </c>
      <c r="D124" s="3">
        <f>LAVORAZIONI!K123</f>
        <v/>
      </c>
      <c r="E124" s="4">
        <f>LAVORAZIONI!H123</f>
        <v/>
      </c>
      <c r="F124" s="4">
        <f>LAVORAZIONI!M123</f>
        <v/>
      </c>
      <c r="G124" s="5">
        <f>LAVORAZIONI!N123</f>
        <v/>
      </c>
      <c r="H124" s="6">
        <f>LAVORAZIONI!O123</f>
        <v/>
      </c>
      <c r="I124" s="13">
        <f>LAVORAZIONI!P123</f>
        <v/>
      </c>
      <c r="J124" s="5">
        <f>IF(LAVORAZIONI!Q123="","",LAVORAZIONI!Q123)</f>
        <v/>
      </c>
      <c r="K124" s="6">
        <f>IF(LAVORAZIONI!R123="","",LAVORAZIONI!R123)</f>
        <v/>
      </c>
      <c r="L124" s="13">
        <f>IF(LAVORAZIONI!S123="","",LAVORAZIONI!S123)</f>
        <v/>
      </c>
      <c r="M124" s="13">
        <f>LAVORAZIONI!T123</f>
        <v/>
      </c>
      <c r="O124" s="7">
        <f>LAVORAZIONI!U123</f>
        <v/>
      </c>
      <c r="P124" s="37">
        <f>LAVORAZIONI!V123</f>
        <v/>
      </c>
      <c r="Q124" s="7">
        <f>LAVORAZIONI!W123</f>
        <v/>
      </c>
      <c r="R124" s="6">
        <f>LAVORAZIONI!X123</f>
        <v/>
      </c>
      <c r="S124" s="7">
        <f>LAVORAZIONI!Y123</f>
        <v/>
      </c>
      <c r="T124" s="6">
        <f>LAVORAZIONI!Z123</f>
        <v/>
      </c>
      <c r="U124" s="7">
        <f>LAVORAZIONI!AA123</f>
        <v/>
      </c>
      <c r="V124" s="6">
        <f>LAVORAZIONI!AB123</f>
        <v/>
      </c>
      <c r="W124" s="7">
        <f>LAVORAZIONI!AC123</f>
        <v/>
      </c>
      <c r="X124" s="6">
        <f>LAVORAZIONI!AD123</f>
        <v/>
      </c>
      <c r="Y124" s="7">
        <f>LAVORAZIONI!AE123</f>
        <v/>
      </c>
      <c r="Z124" s="6">
        <f>LAVORAZIONI!AF123</f>
        <v/>
      </c>
      <c r="AA124" s="7">
        <f>LAVORAZIONI!AG123</f>
        <v/>
      </c>
      <c r="AB124" s="6">
        <f>LAVORAZIONI!AH123</f>
        <v/>
      </c>
      <c r="AC124" s="7">
        <f>LAVORAZIONI!AI123</f>
        <v/>
      </c>
      <c r="AD124" s="13">
        <f>LAVORAZIONI!AJ123</f>
        <v/>
      </c>
    </row>
    <row r="125" ht="71" customHeight="1" s="35">
      <c r="B125" s="4">
        <f>LAVORAZIONI!G124</f>
        <v/>
      </c>
      <c r="C125" s="3">
        <f>LAVORAZIONI!A124</f>
        <v/>
      </c>
      <c r="D125" s="3">
        <f>LAVORAZIONI!K124</f>
        <v/>
      </c>
      <c r="E125" s="4">
        <f>LAVORAZIONI!H124</f>
        <v/>
      </c>
      <c r="F125" s="4">
        <f>LAVORAZIONI!M124</f>
        <v/>
      </c>
      <c r="G125" s="5">
        <f>LAVORAZIONI!N124</f>
        <v/>
      </c>
      <c r="H125" s="6">
        <f>LAVORAZIONI!O124</f>
        <v/>
      </c>
      <c r="I125" s="13">
        <f>LAVORAZIONI!P124</f>
        <v/>
      </c>
      <c r="J125" s="5">
        <f>IF(LAVORAZIONI!Q124="","",LAVORAZIONI!Q124)</f>
        <v/>
      </c>
      <c r="K125" s="6">
        <f>IF(LAVORAZIONI!R124="","",LAVORAZIONI!R124)</f>
        <v/>
      </c>
      <c r="L125" s="13">
        <f>IF(LAVORAZIONI!S124="","",LAVORAZIONI!S124)</f>
        <v/>
      </c>
      <c r="M125" s="13">
        <f>LAVORAZIONI!T124</f>
        <v/>
      </c>
      <c r="O125" s="7">
        <f>LAVORAZIONI!U124</f>
        <v/>
      </c>
      <c r="P125" s="37">
        <f>LAVORAZIONI!V124</f>
        <v/>
      </c>
      <c r="Q125" s="7">
        <f>LAVORAZIONI!W124</f>
        <v/>
      </c>
      <c r="R125" s="6">
        <f>LAVORAZIONI!X124</f>
        <v/>
      </c>
      <c r="S125" s="7">
        <f>LAVORAZIONI!Y124</f>
        <v/>
      </c>
      <c r="T125" s="6">
        <f>LAVORAZIONI!Z124</f>
        <v/>
      </c>
      <c r="U125" s="7">
        <f>LAVORAZIONI!AA124</f>
        <v/>
      </c>
      <c r="V125" s="6">
        <f>LAVORAZIONI!AB124</f>
        <v/>
      </c>
      <c r="W125" s="7">
        <f>LAVORAZIONI!AC124</f>
        <v/>
      </c>
      <c r="X125" s="6">
        <f>LAVORAZIONI!AD124</f>
        <v/>
      </c>
      <c r="Y125" s="7">
        <f>LAVORAZIONI!AE124</f>
        <v/>
      </c>
      <c r="Z125" s="6">
        <f>LAVORAZIONI!AF124</f>
        <v/>
      </c>
      <c r="AA125" s="7">
        <f>LAVORAZIONI!AG124</f>
        <v/>
      </c>
      <c r="AB125" s="6">
        <f>LAVORAZIONI!AH124</f>
        <v/>
      </c>
      <c r="AC125" s="7">
        <f>LAVORAZIONI!AI124</f>
        <v/>
      </c>
      <c r="AD125" s="13">
        <f>LAVORAZIONI!AJ124</f>
        <v/>
      </c>
    </row>
    <row r="126" ht="36" customHeight="1" s="35">
      <c r="D126" s="14" t="inlineStr">
        <is>
          <t>TOTALE EDILI</t>
        </is>
      </c>
      <c r="I126" s="10">
        <f>SUM(I5:I125)</f>
        <v/>
      </c>
      <c r="L126" s="10">
        <f>SUM(L5:L125)</f>
        <v/>
      </c>
      <c r="M126" s="10">
        <f>SUM(M5:M125)</f>
        <v/>
      </c>
      <c r="P126" s="38">
        <f>SUM(P5:P125)</f>
        <v/>
      </c>
      <c r="R126" s="10">
        <f>SUM(R5:R125)</f>
        <v/>
      </c>
      <c r="T126" s="10">
        <f>SUM(T5:T125)</f>
        <v/>
      </c>
      <c r="V126" s="10">
        <f>SUM(V5:V125)</f>
        <v/>
      </c>
      <c r="X126" s="10">
        <f>SUM(X5:X125)</f>
        <v/>
      </c>
      <c r="Z126" s="10">
        <f>SUM(Z5:Z125)</f>
        <v/>
      </c>
      <c r="AB126" s="10">
        <f>SUM(AB5:AB125)</f>
        <v/>
      </c>
      <c r="AD126" s="10">
        <f>SUM(AD5:AD125)</f>
        <v/>
      </c>
    </row>
  </sheetData>
  <autoFilter ref="B2:M3">
    <filterColumn colId="0" hiddenButton="0" showButton="0"/>
    <filterColumn colId="1" hiddenButton="0" showButton="0"/>
    <filterColumn colId="2" hiddenButton="0" showButton="0"/>
    <filterColumn colId="3" hiddenButton="0" showButton="0"/>
    <filterColumn colId="4" hiddenButton="0" showButton="0"/>
    <filterColumn colId="5" hiddenButton="0" showButton="0"/>
    <filterColumn colId="6" hiddenButton="0" showButton="0"/>
    <filterColumn colId="7" hiddenButton="0" showButton="0"/>
    <filterColumn colId="8" hiddenButton="0" showButton="0"/>
    <filterColumn colId="9" hiddenButton="0" showButton="0"/>
  </autoFilter>
  <mergeCells count="9">
    <mergeCell ref="AC3:AD3"/>
    <mergeCell ref="AA3:AB3"/>
    <mergeCell ref="O3:P3"/>
    <mergeCell ref="Q3:R3"/>
    <mergeCell ref="U3:V3"/>
    <mergeCell ref="Y3:Z3"/>
    <mergeCell ref="B2:L2"/>
    <mergeCell ref="W3:X3"/>
    <mergeCell ref="S3:T3"/>
  </mergeCells>
  <printOptions horizontalCentered="1" verticalCentered="1"/>
  <pageMargins left="0.75" right="0.75" top="1" bottom="1" header="0.511811023622047" footer="0.511811023622047"/>
  <pageSetup orientation="landscape" paperSize="9" scale="76" horizontalDpi="300" verticalDpi="300"/>
  <headerFooter>
    <oddHeader>&amp;C&amp;K000000SAL APRILE 26 - OPERE EDILI </oddHeader>
    <oddFooter>&amp;L&amp;C&amp;R</oddFooter>
    <evenHeader/>
    <evenFooter/>
    <firstHeader/>
    <firstFooter/>
  </headerFooter>
</worksheet>
</file>

<file path=xl/worksheets/sheet3.xml><?xml version="1.0" encoding="utf-8"?>
<worksheet xmlns="http://schemas.openxmlformats.org/spreadsheetml/2006/main">
  <sheetPr>
    <outlinePr summaryBelow="1" summaryRight="1"/>
    <pageSetUpPr/>
  </sheetPr>
  <dimension ref="B1:AD51"/>
  <sheetViews>
    <sheetView zoomScaleNormal="100" workbookViewId="0">
      <pane xSplit="6" ySplit="3" topLeftCell="L39" activePane="bottomRight" state="frozen"/>
      <selection pane="topRight" activeCell="G1" sqref="G1"/>
      <selection pane="bottomLeft" activeCell="A4" sqref="A4"/>
      <selection pane="bottomRight" activeCell="P1" sqref="P1:P1048576"/>
    </sheetView>
  </sheetViews>
  <sheetFormatPr baseColWidth="10" defaultColWidth="8.6640625" defaultRowHeight="35" customHeight="1"/>
  <cols>
    <col width="7" customWidth="1" style="35" min="2" max="2"/>
    <col width="22" customWidth="1" style="35" min="3" max="3"/>
    <col width="36" customWidth="1" style="35" min="4" max="4"/>
    <col width="16" customWidth="1" style="35" min="5" max="5"/>
    <col width="7" customWidth="1" style="35" min="6" max="6"/>
    <col width="9" customWidth="1" style="35" min="7" max="7"/>
    <col width="11" customWidth="1" style="35" min="8" max="8"/>
    <col width="13" customWidth="1" style="35" min="9" max="9"/>
    <col width="9" customWidth="1" style="35" min="10" max="10"/>
    <col width="11" customWidth="1" style="35" min="11" max="11"/>
    <col width="13" customWidth="1" style="35" min="12" max="13"/>
    <col width="6" customWidth="1" style="35" min="15" max="15"/>
    <col width="12" customWidth="1" style="35" min="16" max="16"/>
    <col width="6" customWidth="1" style="35" min="17" max="17"/>
    <col width="12" customWidth="1" style="35" min="18" max="18"/>
    <col width="6" customWidth="1" style="35" min="19" max="19"/>
    <col width="12" customWidth="1" style="35" min="20" max="20"/>
    <col width="6" customWidth="1" style="35" min="21" max="21"/>
    <col width="12" customWidth="1" style="35" min="22" max="22"/>
    <col width="6" customWidth="1" style="35" min="23" max="23"/>
    <col width="12" customWidth="1" style="35" min="24" max="24"/>
    <col width="6" customWidth="1" style="35" min="25" max="25"/>
    <col width="12" customWidth="1" style="35" min="26" max="26"/>
    <col width="6" customWidth="1" style="35" min="27" max="27"/>
    <col width="12" customWidth="1" style="35" min="28" max="28"/>
    <col width="7" customWidth="1" style="35" min="29" max="29"/>
    <col width="13" customWidth="1" style="35" min="30" max="30"/>
  </cols>
  <sheetData>
    <row r="1" ht="35" customHeight="1" s="35">
      <c r="B1" s="27" t="inlineStr">
        <is>
          <t>DETTAGLIO SAL — EDILI SPECIALI</t>
        </is>
      </c>
      <c r="C1" s="44" t="n"/>
      <c r="D1" s="44" t="n"/>
      <c r="E1" s="44" t="n"/>
      <c r="F1" s="44" t="n"/>
      <c r="G1" s="44" t="n"/>
      <c r="H1" s="44" t="n"/>
      <c r="I1" s="44" t="n"/>
      <c r="J1" s="44" t="n"/>
      <c r="K1" s="44" t="n"/>
      <c r="L1" s="20" t="n"/>
    </row>
    <row r="2" ht="35" customHeight="1" s="35">
      <c r="B2" s="26" t="inlineStr">
        <is>
          <t>Nr.Ord.</t>
        </is>
      </c>
      <c r="C2" s="26" t="inlineStr">
        <is>
          <t>TARIFFA</t>
        </is>
      </c>
      <c r="D2" s="26" t="inlineStr">
        <is>
          <t>DESIGNAZIONE</t>
        </is>
      </c>
      <c r="E2" s="26" t="inlineStr">
        <is>
          <t>STEP</t>
        </is>
      </c>
      <c r="F2" s="26" t="inlineStr">
        <is>
          <t>U.M.</t>
        </is>
      </c>
      <c r="G2" s="26" t="inlineStr">
        <is>
          <t>Q.tà PREV</t>
        </is>
      </c>
      <c r="H2" s="26" t="inlineStr">
        <is>
          <t>VAL.UNIT PREV</t>
        </is>
      </c>
      <c r="I2" s="26" t="inlineStr">
        <is>
          <t>TOTALE PREV</t>
        </is>
      </c>
      <c r="J2" s="26" t="inlineStr">
        <is>
          <t>Q.tà CONS</t>
        </is>
      </c>
      <c r="K2" s="26" t="inlineStr">
        <is>
          <t>VAL.UNIT CONS</t>
        </is>
      </c>
      <c r="L2" s="26" t="inlineStr">
        <is>
          <t>TOTALE CONS</t>
        </is>
      </c>
      <c r="M2" s="26" t="inlineStr">
        <is>
          <t>VALORE PER SAL</t>
        </is>
      </c>
      <c r="O2" s="28" t="inlineStr">
        <is>
          <t>SAL 01 APRILE</t>
        </is>
      </c>
      <c r="P2" s="20" t="n"/>
      <c r="Q2" s="26" t="inlineStr">
        <is>
          <t>SAL 02 MAGGIO</t>
        </is>
      </c>
      <c r="R2" s="20" t="n"/>
      <c r="S2" s="26" t="inlineStr">
        <is>
          <t>SAL 03 GIUGNO</t>
        </is>
      </c>
      <c r="T2" s="20" t="n"/>
      <c r="U2" s="26" t="inlineStr">
        <is>
          <t>SAL 04 LUGLIO</t>
        </is>
      </c>
      <c r="V2" s="20" t="n"/>
      <c r="W2" s="26" t="inlineStr">
        <is>
          <t>SAL 05 AGOSTO</t>
        </is>
      </c>
      <c r="X2" s="20" t="n"/>
      <c r="Y2" s="26" t="inlineStr">
        <is>
          <t>SAL 06 SETTEMBRE</t>
        </is>
      </c>
      <c r="Z2" s="20" t="n"/>
      <c r="AA2" s="26" t="inlineStr">
        <is>
          <t>SAL 07 OTTOBRE</t>
        </is>
      </c>
      <c r="AB2" s="20" t="n"/>
      <c r="AC2" s="26" t="inlineStr">
        <is>
          <t>TOTALE COMPL.</t>
        </is>
      </c>
      <c r="AD2" s="20" t="n"/>
    </row>
    <row r="3" ht="35" customHeight="1" s="35">
      <c r="O3" s="12" t="inlineStr">
        <is>
          <t>%</t>
        </is>
      </c>
      <c r="P3" s="36" t="inlineStr">
        <is>
          <t>TOTALE</t>
        </is>
      </c>
      <c r="Q3" s="12" t="inlineStr">
        <is>
          <t>%</t>
        </is>
      </c>
      <c r="R3" s="12" t="inlineStr">
        <is>
          <t>TOTALE</t>
        </is>
      </c>
      <c r="S3" s="12" t="inlineStr">
        <is>
          <t>%</t>
        </is>
      </c>
      <c r="T3" s="12" t="inlineStr">
        <is>
          <t>TOTALE</t>
        </is>
      </c>
      <c r="U3" s="12" t="inlineStr">
        <is>
          <t>%</t>
        </is>
      </c>
      <c r="V3" s="12" t="inlineStr">
        <is>
          <t>TOTALE</t>
        </is>
      </c>
      <c r="W3" s="12" t="inlineStr">
        <is>
          <t>%</t>
        </is>
      </c>
      <c r="X3" s="12" t="inlineStr">
        <is>
          <t>TOTALE</t>
        </is>
      </c>
      <c r="Y3" s="12" t="inlineStr">
        <is>
          <t>%</t>
        </is>
      </c>
      <c r="Z3" s="12" t="inlineStr">
        <is>
          <t>TOTALE</t>
        </is>
      </c>
      <c r="AA3" s="12" t="inlineStr">
        <is>
          <t>%</t>
        </is>
      </c>
      <c r="AB3" s="12" t="inlineStr">
        <is>
          <t>TOTALE</t>
        </is>
      </c>
      <c r="AC3" s="12" t="inlineStr">
        <is>
          <t>%</t>
        </is>
      </c>
      <c r="AD3" s="12" t="inlineStr">
        <is>
          <t>TOTALE</t>
        </is>
      </c>
    </row>
    <row r="4" ht="35" customHeight="1" s="35">
      <c r="B4" s="4">
        <f>LAVORAZIONI!G125</f>
        <v/>
      </c>
      <c r="C4" s="3">
        <f>LAVORAZIONI!A125</f>
        <v/>
      </c>
      <c r="D4" s="3">
        <f>LAVORAZIONI!K125</f>
        <v/>
      </c>
      <c r="E4" s="4">
        <f>LAVORAZIONI!H125</f>
        <v/>
      </c>
      <c r="F4" s="4">
        <f>LAVORAZIONI!M125</f>
        <v/>
      </c>
      <c r="G4" s="5">
        <f>LAVORAZIONI!N125</f>
        <v/>
      </c>
      <c r="H4" s="6">
        <f>LAVORAZIONI!O125</f>
        <v/>
      </c>
      <c r="I4" s="13">
        <f>LAVORAZIONI!P125</f>
        <v/>
      </c>
      <c r="J4" s="5">
        <f>IF(LAVORAZIONI!Q125="","",LAVORAZIONI!Q125)</f>
        <v/>
      </c>
      <c r="K4" s="6">
        <f>IF(LAVORAZIONI!R125="","",LAVORAZIONI!R125)</f>
        <v/>
      </c>
      <c r="L4" s="13">
        <f>IF(LAVORAZIONI!S125="","",LAVORAZIONI!S125)</f>
        <v/>
      </c>
      <c r="M4" s="13">
        <f>LAVORAZIONI!T125</f>
        <v/>
      </c>
      <c r="O4" s="7">
        <f>LAVORAZIONI!U125</f>
        <v/>
      </c>
      <c r="P4" s="37">
        <f>LAVORAZIONI!V125</f>
        <v/>
      </c>
      <c r="Q4" s="7">
        <f>LAVORAZIONI!W125</f>
        <v/>
      </c>
      <c r="R4" s="6">
        <f>LAVORAZIONI!X125</f>
        <v/>
      </c>
      <c r="S4" s="7">
        <f>LAVORAZIONI!Y125</f>
        <v/>
      </c>
      <c r="T4" s="6">
        <f>LAVORAZIONI!Z125</f>
        <v/>
      </c>
      <c r="U4" s="7">
        <f>LAVORAZIONI!AA125</f>
        <v/>
      </c>
      <c r="V4" s="6">
        <f>LAVORAZIONI!AB125</f>
        <v/>
      </c>
      <c r="W4" s="7">
        <f>LAVORAZIONI!AC125</f>
        <v/>
      </c>
      <c r="X4" s="6">
        <f>LAVORAZIONI!AD125</f>
        <v/>
      </c>
      <c r="Y4" s="7">
        <f>LAVORAZIONI!AE125</f>
        <v/>
      </c>
      <c r="Z4" s="6">
        <f>LAVORAZIONI!AF125</f>
        <v/>
      </c>
      <c r="AA4" s="7">
        <f>LAVORAZIONI!AG125</f>
        <v/>
      </c>
      <c r="AB4" s="6">
        <f>LAVORAZIONI!AH125</f>
        <v/>
      </c>
      <c r="AC4" s="7">
        <f>LAVORAZIONI!AI125</f>
        <v/>
      </c>
      <c r="AD4" s="13">
        <f>LAVORAZIONI!AJ125</f>
        <v/>
      </c>
    </row>
    <row r="5" ht="35" customHeight="1" s="35">
      <c r="B5" s="4">
        <f>LAVORAZIONI!G126</f>
        <v/>
      </c>
      <c r="C5" s="3">
        <f>LAVORAZIONI!A126</f>
        <v/>
      </c>
      <c r="D5" s="3">
        <f>LAVORAZIONI!K126</f>
        <v/>
      </c>
      <c r="E5" s="4">
        <f>LAVORAZIONI!H126</f>
        <v/>
      </c>
      <c r="F5" s="4">
        <f>LAVORAZIONI!M126</f>
        <v/>
      </c>
      <c r="G5" s="5">
        <f>LAVORAZIONI!N126</f>
        <v/>
      </c>
      <c r="H5" s="6">
        <f>LAVORAZIONI!O126</f>
        <v/>
      </c>
      <c r="I5" s="13">
        <f>LAVORAZIONI!P126</f>
        <v/>
      </c>
      <c r="J5" s="5">
        <f>IF(LAVORAZIONI!Q126="","",LAVORAZIONI!Q126)</f>
        <v/>
      </c>
      <c r="K5" s="6">
        <f>IF(LAVORAZIONI!R126="","",LAVORAZIONI!R126)</f>
        <v/>
      </c>
      <c r="L5" s="13">
        <f>IF(LAVORAZIONI!S126="","",LAVORAZIONI!S126)</f>
        <v/>
      </c>
      <c r="M5" s="13">
        <f>LAVORAZIONI!T126</f>
        <v/>
      </c>
      <c r="O5" s="7">
        <f>LAVORAZIONI!U126</f>
        <v/>
      </c>
      <c r="P5" s="37">
        <f>LAVORAZIONI!V126</f>
        <v/>
      </c>
      <c r="Q5" s="7">
        <f>LAVORAZIONI!W126</f>
        <v/>
      </c>
      <c r="R5" s="6">
        <f>LAVORAZIONI!X126</f>
        <v/>
      </c>
      <c r="S5" s="7">
        <f>LAVORAZIONI!Y126</f>
        <v/>
      </c>
      <c r="T5" s="6">
        <f>LAVORAZIONI!Z126</f>
        <v/>
      </c>
      <c r="U5" s="7">
        <f>LAVORAZIONI!AA126</f>
        <v/>
      </c>
      <c r="V5" s="6">
        <f>LAVORAZIONI!AB126</f>
        <v/>
      </c>
      <c r="W5" s="7">
        <f>LAVORAZIONI!AC126</f>
        <v/>
      </c>
      <c r="X5" s="6">
        <f>LAVORAZIONI!AD126</f>
        <v/>
      </c>
      <c r="Y5" s="7">
        <f>LAVORAZIONI!AE126</f>
        <v/>
      </c>
      <c r="Z5" s="6">
        <f>LAVORAZIONI!AF126</f>
        <v/>
      </c>
      <c r="AA5" s="7">
        <f>LAVORAZIONI!AG126</f>
        <v/>
      </c>
      <c r="AB5" s="6">
        <f>LAVORAZIONI!AH126</f>
        <v/>
      </c>
      <c r="AC5" s="7">
        <f>LAVORAZIONI!AI126</f>
        <v/>
      </c>
      <c r="AD5" s="13">
        <f>LAVORAZIONI!AJ126</f>
        <v/>
      </c>
    </row>
    <row r="6" ht="35" customHeight="1" s="35">
      <c r="B6" s="4">
        <f>LAVORAZIONI!G127</f>
        <v/>
      </c>
      <c r="C6" s="3">
        <f>LAVORAZIONI!A127</f>
        <v/>
      </c>
      <c r="D6" s="3">
        <f>LAVORAZIONI!K127</f>
        <v/>
      </c>
      <c r="E6" s="4">
        <f>LAVORAZIONI!H127</f>
        <v/>
      </c>
      <c r="F6" s="4">
        <f>LAVORAZIONI!M127</f>
        <v/>
      </c>
      <c r="G6" s="5">
        <f>LAVORAZIONI!N127</f>
        <v/>
      </c>
      <c r="H6" s="6">
        <f>LAVORAZIONI!O127</f>
        <v/>
      </c>
      <c r="I6" s="13">
        <f>LAVORAZIONI!P127</f>
        <v/>
      </c>
      <c r="J6" s="5">
        <f>IF(LAVORAZIONI!Q127="","",LAVORAZIONI!Q127)</f>
        <v/>
      </c>
      <c r="K6" s="6">
        <f>IF(LAVORAZIONI!R127="","",LAVORAZIONI!R127)</f>
        <v/>
      </c>
      <c r="L6" s="13">
        <f>IF(LAVORAZIONI!S127="","",LAVORAZIONI!S127)</f>
        <v/>
      </c>
      <c r="M6" s="13">
        <f>LAVORAZIONI!T127</f>
        <v/>
      </c>
      <c r="O6" s="7">
        <f>LAVORAZIONI!U127</f>
        <v/>
      </c>
      <c r="P6" s="37">
        <f>LAVORAZIONI!V127</f>
        <v/>
      </c>
      <c r="Q6" s="7">
        <f>LAVORAZIONI!W127</f>
        <v/>
      </c>
      <c r="R6" s="6">
        <f>LAVORAZIONI!X127</f>
        <v/>
      </c>
      <c r="S6" s="7">
        <f>LAVORAZIONI!Y127</f>
        <v/>
      </c>
      <c r="T6" s="6">
        <f>LAVORAZIONI!Z127</f>
        <v/>
      </c>
      <c r="U6" s="7">
        <f>LAVORAZIONI!AA127</f>
        <v/>
      </c>
      <c r="V6" s="6">
        <f>LAVORAZIONI!AB127</f>
        <v/>
      </c>
      <c r="W6" s="7">
        <f>LAVORAZIONI!AC127</f>
        <v/>
      </c>
      <c r="X6" s="6">
        <f>LAVORAZIONI!AD127</f>
        <v/>
      </c>
      <c r="Y6" s="7">
        <f>LAVORAZIONI!AE127</f>
        <v/>
      </c>
      <c r="Z6" s="6">
        <f>LAVORAZIONI!AF127</f>
        <v/>
      </c>
      <c r="AA6" s="7">
        <f>LAVORAZIONI!AG127</f>
        <v/>
      </c>
      <c r="AB6" s="6">
        <f>LAVORAZIONI!AH127</f>
        <v/>
      </c>
      <c r="AC6" s="7">
        <f>LAVORAZIONI!AI127</f>
        <v/>
      </c>
      <c r="AD6" s="13">
        <f>LAVORAZIONI!AJ127</f>
        <v/>
      </c>
    </row>
    <row r="7" ht="35" customHeight="1" s="35">
      <c r="B7" s="4">
        <f>LAVORAZIONI!G128</f>
        <v/>
      </c>
      <c r="C7" s="3">
        <f>LAVORAZIONI!A128</f>
        <v/>
      </c>
      <c r="D7" s="3">
        <f>LAVORAZIONI!K128</f>
        <v/>
      </c>
      <c r="E7" s="4">
        <f>LAVORAZIONI!H128</f>
        <v/>
      </c>
      <c r="F7" s="4">
        <f>LAVORAZIONI!M128</f>
        <v/>
      </c>
      <c r="G7" s="5">
        <f>LAVORAZIONI!N128</f>
        <v/>
      </c>
      <c r="H7" s="6">
        <f>LAVORAZIONI!O128</f>
        <v/>
      </c>
      <c r="I7" s="13">
        <f>LAVORAZIONI!P128</f>
        <v/>
      </c>
      <c r="J7" s="5">
        <f>IF(LAVORAZIONI!Q128="","",LAVORAZIONI!Q128)</f>
        <v/>
      </c>
      <c r="K7" s="6">
        <f>IF(LAVORAZIONI!R128="","",LAVORAZIONI!R128)</f>
        <v/>
      </c>
      <c r="L7" s="13">
        <f>IF(LAVORAZIONI!S128="","",LAVORAZIONI!S128)</f>
        <v/>
      </c>
      <c r="M7" s="13">
        <f>LAVORAZIONI!T128</f>
        <v/>
      </c>
      <c r="O7" s="7">
        <f>LAVORAZIONI!U128</f>
        <v/>
      </c>
      <c r="P7" s="37">
        <f>LAVORAZIONI!V128</f>
        <v/>
      </c>
      <c r="Q7" s="7">
        <f>LAVORAZIONI!W128</f>
        <v/>
      </c>
      <c r="R7" s="6">
        <f>LAVORAZIONI!X128</f>
        <v/>
      </c>
      <c r="S7" s="7">
        <f>LAVORAZIONI!Y128</f>
        <v/>
      </c>
      <c r="T7" s="6">
        <f>LAVORAZIONI!Z128</f>
        <v/>
      </c>
      <c r="U7" s="7">
        <f>LAVORAZIONI!AA128</f>
        <v/>
      </c>
      <c r="V7" s="6">
        <f>LAVORAZIONI!AB128</f>
        <v/>
      </c>
      <c r="W7" s="7">
        <f>LAVORAZIONI!AC128</f>
        <v/>
      </c>
      <c r="X7" s="6">
        <f>LAVORAZIONI!AD128</f>
        <v/>
      </c>
      <c r="Y7" s="7">
        <f>LAVORAZIONI!AE128</f>
        <v/>
      </c>
      <c r="Z7" s="6">
        <f>LAVORAZIONI!AF128</f>
        <v/>
      </c>
      <c r="AA7" s="7">
        <f>LAVORAZIONI!AG128</f>
        <v/>
      </c>
      <c r="AB7" s="6">
        <f>LAVORAZIONI!AH128</f>
        <v/>
      </c>
      <c r="AC7" s="7">
        <f>LAVORAZIONI!AI128</f>
        <v/>
      </c>
      <c r="AD7" s="13">
        <f>LAVORAZIONI!AJ128</f>
        <v/>
      </c>
    </row>
    <row r="8" ht="35" customHeight="1" s="35">
      <c r="B8" s="4">
        <f>LAVORAZIONI!G129</f>
        <v/>
      </c>
      <c r="C8" s="3">
        <f>LAVORAZIONI!A129</f>
        <v/>
      </c>
      <c r="D8" s="3">
        <f>LAVORAZIONI!K129</f>
        <v/>
      </c>
      <c r="E8" s="4">
        <f>LAVORAZIONI!H129</f>
        <v/>
      </c>
      <c r="F8" s="4">
        <f>LAVORAZIONI!M129</f>
        <v/>
      </c>
      <c r="G8" s="5">
        <f>LAVORAZIONI!N129</f>
        <v/>
      </c>
      <c r="H8" s="6">
        <f>LAVORAZIONI!O129</f>
        <v/>
      </c>
      <c r="I8" s="13">
        <f>LAVORAZIONI!P129</f>
        <v/>
      </c>
      <c r="J8" s="5">
        <f>IF(LAVORAZIONI!Q129="","",LAVORAZIONI!Q129)</f>
        <v/>
      </c>
      <c r="K8" s="6">
        <f>IF(LAVORAZIONI!R129="","",LAVORAZIONI!R129)</f>
        <v/>
      </c>
      <c r="L8" s="13">
        <f>IF(LAVORAZIONI!S129="","",LAVORAZIONI!S129)</f>
        <v/>
      </c>
      <c r="M8" s="13">
        <f>LAVORAZIONI!T129</f>
        <v/>
      </c>
      <c r="O8" s="7">
        <f>LAVORAZIONI!U129</f>
        <v/>
      </c>
      <c r="P8" s="37">
        <f>LAVORAZIONI!V129</f>
        <v/>
      </c>
      <c r="Q8" s="7">
        <f>LAVORAZIONI!W129</f>
        <v/>
      </c>
      <c r="R8" s="6">
        <f>LAVORAZIONI!X129</f>
        <v/>
      </c>
      <c r="S8" s="7">
        <f>LAVORAZIONI!Y129</f>
        <v/>
      </c>
      <c r="T8" s="6">
        <f>LAVORAZIONI!Z129</f>
        <v/>
      </c>
      <c r="U8" s="7">
        <f>LAVORAZIONI!AA129</f>
        <v/>
      </c>
      <c r="V8" s="6">
        <f>LAVORAZIONI!AB129</f>
        <v/>
      </c>
      <c r="W8" s="7">
        <f>LAVORAZIONI!AC129</f>
        <v/>
      </c>
      <c r="X8" s="6">
        <f>LAVORAZIONI!AD129</f>
        <v/>
      </c>
      <c r="Y8" s="7">
        <f>LAVORAZIONI!AE129</f>
        <v/>
      </c>
      <c r="Z8" s="6">
        <f>LAVORAZIONI!AF129</f>
        <v/>
      </c>
      <c r="AA8" s="7">
        <f>LAVORAZIONI!AG129</f>
        <v/>
      </c>
      <c r="AB8" s="6">
        <f>LAVORAZIONI!AH129</f>
        <v/>
      </c>
      <c r="AC8" s="7">
        <f>LAVORAZIONI!AI129</f>
        <v/>
      </c>
      <c r="AD8" s="13">
        <f>LAVORAZIONI!AJ129</f>
        <v/>
      </c>
    </row>
    <row r="9" ht="35" customHeight="1" s="35">
      <c r="B9" s="4">
        <f>LAVORAZIONI!G130</f>
        <v/>
      </c>
      <c r="C9" s="3">
        <f>LAVORAZIONI!A130</f>
        <v/>
      </c>
      <c r="D9" s="3">
        <f>LAVORAZIONI!K130</f>
        <v/>
      </c>
      <c r="E9" s="4">
        <f>LAVORAZIONI!H130</f>
        <v/>
      </c>
      <c r="F9" s="4">
        <f>LAVORAZIONI!M130</f>
        <v/>
      </c>
      <c r="G9" s="5">
        <f>LAVORAZIONI!N130</f>
        <v/>
      </c>
      <c r="H9" s="6">
        <f>LAVORAZIONI!O130</f>
        <v/>
      </c>
      <c r="I9" s="13">
        <f>LAVORAZIONI!P130</f>
        <v/>
      </c>
      <c r="J9" s="5">
        <f>IF(LAVORAZIONI!Q130="","",LAVORAZIONI!Q130)</f>
        <v/>
      </c>
      <c r="K9" s="6">
        <f>IF(LAVORAZIONI!R130="","",LAVORAZIONI!R130)</f>
        <v/>
      </c>
      <c r="L9" s="13">
        <f>IF(LAVORAZIONI!S130="","",LAVORAZIONI!S130)</f>
        <v/>
      </c>
      <c r="M9" s="13">
        <f>LAVORAZIONI!T130</f>
        <v/>
      </c>
      <c r="O9" s="7">
        <f>LAVORAZIONI!U130</f>
        <v/>
      </c>
      <c r="P9" s="37">
        <f>LAVORAZIONI!V130</f>
        <v/>
      </c>
      <c r="Q9" s="7">
        <f>LAVORAZIONI!W130</f>
        <v/>
      </c>
      <c r="R9" s="6">
        <f>LAVORAZIONI!X130</f>
        <v/>
      </c>
      <c r="S9" s="7">
        <f>LAVORAZIONI!Y130</f>
        <v/>
      </c>
      <c r="T9" s="6">
        <f>LAVORAZIONI!Z130</f>
        <v/>
      </c>
      <c r="U9" s="7">
        <f>LAVORAZIONI!AA130</f>
        <v/>
      </c>
      <c r="V9" s="6">
        <f>LAVORAZIONI!AB130</f>
        <v/>
      </c>
      <c r="W9" s="7">
        <f>LAVORAZIONI!AC130</f>
        <v/>
      </c>
      <c r="X9" s="6">
        <f>LAVORAZIONI!AD130</f>
        <v/>
      </c>
      <c r="Y9" s="7">
        <f>LAVORAZIONI!AE130</f>
        <v/>
      </c>
      <c r="Z9" s="6">
        <f>LAVORAZIONI!AF130</f>
        <v/>
      </c>
      <c r="AA9" s="7">
        <f>LAVORAZIONI!AG130</f>
        <v/>
      </c>
      <c r="AB9" s="6">
        <f>LAVORAZIONI!AH130</f>
        <v/>
      </c>
      <c r="AC9" s="7">
        <f>LAVORAZIONI!AI130</f>
        <v/>
      </c>
      <c r="AD9" s="13">
        <f>LAVORAZIONI!AJ130</f>
        <v/>
      </c>
    </row>
    <row r="10" ht="35" customHeight="1" s="35">
      <c r="B10" s="4">
        <f>LAVORAZIONI!G131</f>
        <v/>
      </c>
      <c r="C10" s="3">
        <f>LAVORAZIONI!A131</f>
        <v/>
      </c>
      <c r="D10" s="3">
        <f>LAVORAZIONI!K131</f>
        <v/>
      </c>
      <c r="E10" s="4">
        <f>LAVORAZIONI!H131</f>
        <v/>
      </c>
      <c r="F10" s="4">
        <f>LAVORAZIONI!M131</f>
        <v/>
      </c>
      <c r="G10" s="5">
        <f>LAVORAZIONI!N131</f>
        <v/>
      </c>
      <c r="H10" s="6">
        <f>LAVORAZIONI!O131</f>
        <v/>
      </c>
      <c r="I10" s="13">
        <f>LAVORAZIONI!P131</f>
        <v/>
      </c>
      <c r="J10" s="5">
        <f>IF(LAVORAZIONI!Q131="","",LAVORAZIONI!Q131)</f>
        <v/>
      </c>
      <c r="K10" s="6">
        <f>IF(LAVORAZIONI!R131="","",LAVORAZIONI!R131)</f>
        <v/>
      </c>
      <c r="L10" s="13">
        <f>IF(LAVORAZIONI!S131="","",LAVORAZIONI!S131)</f>
        <v/>
      </c>
      <c r="M10" s="13">
        <f>LAVORAZIONI!T131</f>
        <v/>
      </c>
      <c r="O10" s="7">
        <f>LAVORAZIONI!U131</f>
        <v/>
      </c>
      <c r="P10" s="37">
        <f>LAVORAZIONI!V131</f>
        <v/>
      </c>
      <c r="Q10" s="7">
        <f>LAVORAZIONI!W131</f>
        <v/>
      </c>
      <c r="R10" s="6">
        <f>LAVORAZIONI!X131</f>
        <v/>
      </c>
      <c r="S10" s="7">
        <f>LAVORAZIONI!Y131</f>
        <v/>
      </c>
      <c r="T10" s="6">
        <f>LAVORAZIONI!Z131</f>
        <v/>
      </c>
      <c r="U10" s="7">
        <f>LAVORAZIONI!AA131</f>
        <v/>
      </c>
      <c r="V10" s="6">
        <f>LAVORAZIONI!AB131</f>
        <v/>
      </c>
      <c r="W10" s="7">
        <f>LAVORAZIONI!AC131</f>
        <v/>
      </c>
      <c r="X10" s="6">
        <f>LAVORAZIONI!AD131</f>
        <v/>
      </c>
      <c r="Y10" s="7">
        <f>LAVORAZIONI!AE131</f>
        <v/>
      </c>
      <c r="Z10" s="6">
        <f>LAVORAZIONI!AF131</f>
        <v/>
      </c>
      <c r="AA10" s="7">
        <f>LAVORAZIONI!AG131</f>
        <v/>
      </c>
      <c r="AB10" s="6">
        <f>LAVORAZIONI!AH131</f>
        <v/>
      </c>
      <c r="AC10" s="7">
        <f>LAVORAZIONI!AI131</f>
        <v/>
      </c>
      <c r="AD10" s="13">
        <f>LAVORAZIONI!AJ131</f>
        <v/>
      </c>
    </row>
    <row r="11" ht="35" customHeight="1" s="35">
      <c r="B11" s="4">
        <f>LAVORAZIONI!G132</f>
        <v/>
      </c>
      <c r="C11" s="3">
        <f>LAVORAZIONI!A132</f>
        <v/>
      </c>
      <c r="D11" s="3">
        <f>LAVORAZIONI!K132</f>
        <v/>
      </c>
      <c r="E11" s="4">
        <f>LAVORAZIONI!H132</f>
        <v/>
      </c>
      <c r="F11" s="4">
        <f>LAVORAZIONI!M132</f>
        <v/>
      </c>
      <c r="G11" s="5">
        <f>LAVORAZIONI!N132</f>
        <v/>
      </c>
      <c r="H11" s="6">
        <f>LAVORAZIONI!O132</f>
        <v/>
      </c>
      <c r="I11" s="13">
        <f>LAVORAZIONI!P132</f>
        <v/>
      </c>
      <c r="J11" s="5">
        <f>IF(LAVORAZIONI!Q132="","",LAVORAZIONI!Q132)</f>
        <v/>
      </c>
      <c r="K11" s="6">
        <f>IF(LAVORAZIONI!R132="","",LAVORAZIONI!R132)</f>
        <v/>
      </c>
      <c r="L11" s="13">
        <f>IF(LAVORAZIONI!S132="","",LAVORAZIONI!S132)</f>
        <v/>
      </c>
      <c r="M11" s="13">
        <f>LAVORAZIONI!T132</f>
        <v/>
      </c>
      <c r="O11" s="7">
        <f>LAVORAZIONI!U132</f>
        <v/>
      </c>
      <c r="P11" s="37">
        <f>LAVORAZIONI!V132</f>
        <v/>
      </c>
      <c r="Q11" s="7">
        <f>LAVORAZIONI!W132</f>
        <v/>
      </c>
      <c r="R11" s="6">
        <f>LAVORAZIONI!X132</f>
        <v/>
      </c>
      <c r="S11" s="7">
        <f>LAVORAZIONI!Y132</f>
        <v/>
      </c>
      <c r="T11" s="6">
        <f>LAVORAZIONI!Z132</f>
        <v/>
      </c>
      <c r="U11" s="7">
        <f>LAVORAZIONI!AA132</f>
        <v/>
      </c>
      <c r="V11" s="6">
        <f>LAVORAZIONI!AB132</f>
        <v/>
      </c>
      <c r="W11" s="7">
        <f>LAVORAZIONI!AC132</f>
        <v/>
      </c>
      <c r="X11" s="6">
        <f>LAVORAZIONI!AD132</f>
        <v/>
      </c>
      <c r="Y11" s="7">
        <f>LAVORAZIONI!AE132</f>
        <v/>
      </c>
      <c r="Z11" s="6">
        <f>LAVORAZIONI!AF132</f>
        <v/>
      </c>
      <c r="AA11" s="7">
        <f>LAVORAZIONI!AG132</f>
        <v/>
      </c>
      <c r="AB11" s="6">
        <f>LAVORAZIONI!AH132</f>
        <v/>
      </c>
      <c r="AC11" s="7">
        <f>LAVORAZIONI!AI132</f>
        <v/>
      </c>
      <c r="AD11" s="13">
        <f>LAVORAZIONI!AJ132</f>
        <v/>
      </c>
    </row>
    <row r="12" ht="35" customHeight="1" s="35">
      <c r="B12" s="4">
        <f>LAVORAZIONI!G133</f>
        <v/>
      </c>
      <c r="C12" s="3">
        <f>LAVORAZIONI!A133</f>
        <v/>
      </c>
      <c r="D12" s="3">
        <f>LAVORAZIONI!K133</f>
        <v/>
      </c>
      <c r="E12" s="4">
        <f>LAVORAZIONI!H133</f>
        <v/>
      </c>
      <c r="F12" s="4">
        <f>LAVORAZIONI!M133</f>
        <v/>
      </c>
      <c r="G12" s="5">
        <f>LAVORAZIONI!N133</f>
        <v/>
      </c>
      <c r="H12" s="6">
        <f>LAVORAZIONI!O133</f>
        <v/>
      </c>
      <c r="I12" s="13">
        <f>LAVORAZIONI!P133</f>
        <v/>
      </c>
      <c r="J12" s="5">
        <f>IF(LAVORAZIONI!Q133="","",LAVORAZIONI!Q133)</f>
        <v/>
      </c>
      <c r="K12" s="6">
        <f>IF(LAVORAZIONI!R133="","",LAVORAZIONI!R133)</f>
        <v/>
      </c>
      <c r="L12" s="13">
        <f>IF(LAVORAZIONI!S133="","",LAVORAZIONI!S133)</f>
        <v/>
      </c>
      <c r="M12" s="13">
        <f>LAVORAZIONI!T133</f>
        <v/>
      </c>
      <c r="O12" s="7">
        <f>LAVORAZIONI!U133</f>
        <v/>
      </c>
      <c r="P12" s="37">
        <f>LAVORAZIONI!V133</f>
        <v/>
      </c>
      <c r="Q12" s="7">
        <f>LAVORAZIONI!W133</f>
        <v/>
      </c>
      <c r="R12" s="6">
        <f>LAVORAZIONI!X133</f>
        <v/>
      </c>
      <c r="S12" s="7">
        <f>LAVORAZIONI!Y133</f>
        <v/>
      </c>
      <c r="T12" s="6">
        <f>LAVORAZIONI!Z133</f>
        <v/>
      </c>
      <c r="U12" s="7">
        <f>LAVORAZIONI!AA133</f>
        <v/>
      </c>
      <c r="V12" s="6">
        <f>LAVORAZIONI!AB133</f>
        <v/>
      </c>
      <c r="W12" s="7">
        <f>LAVORAZIONI!AC133</f>
        <v/>
      </c>
      <c r="X12" s="6">
        <f>LAVORAZIONI!AD133</f>
        <v/>
      </c>
      <c r="Y12" s="7">
        <f>LAVORAZIONI!AE133</f>
        <v/>
      </c>
      <c r="Z12" s="6">
        <f>LAVORAZIONI!AF133</f>
        <v/>
      </c>
      <c r="AA12" s="7">
        <f>LAVORAZIONI!AG133</f>
        <v/>
      </c>
      <c r="AB12" s="6">
        <f>LAVORAZIONI!AH133</f>
        <v/>
      </c>
      <c r="AC12" s="7">
        <f>LAVORAZIONI!AI133</f>
        <v/>
      </c>
      <c r="AD12" s="13">
        <f>LAVORAZIONI!AJ133</f>
        <v/>
      </c>
    </row>
    <row r="13" ht="35" customHeight="1" s="35">
      <c r="B13" s="4">
        <f>LAVORAZIONI!G134</f>
        <v/>
      </c>
      <c r="C13" s="3">
        <f>LAVORAZIONI!A134</f>
        <v/>
      </c>
      <c r="D13" s="3">
        <f>LAVORAZIONI!K134</f>
        <v/>
      </c>
      <c r="E13" s="4">
        <f>LAVORAZIONI!H134</f>
        <v/>
      </c>
      <c r="F13" s="4">
        <f>LAVORAZIONI!M134</f>
        <v/>
      </c>
      <c r="G13" s="5">
        <f>LAVORAZIONI!N134</f>
        <v/>
      </c>
      <c r="H13" s="6">
        <f>LAVORAZIONI!O134</f>
        <v/>
      </c>
      <c r="I13" s="13">
        <f>LAVORAZIONI!P134</f>
        <v/>
      </c>
      <c r="J13" s="5">
        <f>IF(LAVORAZIONI!Q134="","",LAVORAZIONI!Q134)</f>
        <v/>
      </c>
      <c r="K13" s="6">
        <f>IF(LAVORAZIONI!R134="","",LAVORAZIONI!R134)</f>
        <v/>
      </c>
      <c r="L13" s="13">
        <f>IF(LAVORAZIONI!S134="","",LAVORAZIONI!S134)</f>
        <v/>
      </c>
      <c r="M13" s="13">
        <f>LAVORAZIONI!T134</f>
        <v/>
      </c>
      <c r="O13" s="7">
        <f>LAVORAZIONI!U134</f>
        <v/>
      </c>
      <c r="P13" s="37">
        <f>LAVORAZIONI!V134</f>
        <v/>
      </c>
      <c r="Q13" s="7">
        <f>LAVORAZIONI!W134</f>
        <v/>
      </c>
      <c r="R13" s="6">
        <f>LAVORAZIONI!X134</f>
        <v/>
      </c>
      <c r="S13" s="7">
        <f>LAVORAZIONI!Y134</f>
        <v/>
      </c>
      <c r="T13" s="6">
        <f>LAVORAZIONI!Z134</f>
        <v/>
      </c>
      <c r="U13" s="7">
        <f>LAVORAZIONI!AA134</f>
        <v/>
      </c>
      <c r="V13" s="6">
        <f>LAVORAZIONI!AB134</f>
        <v/>
      </c>
      <c r="W13" s="7">
        <f>LAVORAZIONI!AC134</f>
        <v/>
      </c>
      <c r="X13" s="6">
        <f>LAVORAZIONI!AD134</f>
        <v/>
      </c>
      <c r="Y13" s="7">
        <f>LAVORAZIONI!AE134</f>
        <v/>
      </c>
      <c r="Z13" s="6">
        <f>LAVORAZIONI!AF134</f>
        <v/>
      </c>
      <c r="AA13" s="7">
        <f>LAVORAZIONI!AG134</f>
        <v/>
      </c>
      <c r="AB13" s="6">
        <f>LAVORAZIONI!AH134</f>
        <v/>
      </c>
      <c r="AC13" s="7">
        <f>LAVORAZIONI!AI134</f>
        <v/>
      </c>
      <c r="AD13" s="13">
        <f>LAVORAZIONI!AJ134</f>
        <v/>
      </c>
    </row>
    <row r="14" ht="35" customHeight="1" s="35">
      <c r="B14" s="4">
        <f>LAVORAZIONI!G135</f>
        <v/>
      </c>
      <c r="C14" s="3">
        <f>LAVORAZIONI!A135</f>
        <v/>
      </c>
      <c r="D14" s="3">
        <f>LAVORAZIONI!K135</f>
        <v/>
      </c>
      <c r="E14" s="4">
        <f>LAVORAZIONI!H135</f>
        <v/>
      </c>
      <c r="F14" s="4">
        <f>LAVORAZIONI!M135</f>
        <v/>
      </c>
      <c r="G14" s="5">
        <f>LAVORAZIONI!N135</f>
        <v/>
      </c>
      <c r="H14" s="6">
        <f>LAVORAZIONI!O135</f>
        <v/>
      </c>
      <c r="I14" s="13">
        <f>LAVORAZIONI!P135</f>
        <v/>
      </c>
      <c r="J14" s="5">
        <f>IF(LAVORAZIONI!Q135="","",LAVORAZIONI!Q135)</f>
        <v/>
      </c>
      <c r="K14" s="6">
        <f>IF(LAVORAZIONI!R135="","",LAVORAZIONI!R135)</f>
        <v/>
      </c>
      <c r="L14" s="13">
        <f>IF(LAVORAZIONI!S135="","",LAVORAZIONI!S135)</f>
        <v/>
      </c>
      <c r="M14" s="13">
        <f>LAVORAZIONI!T135</f>
        <v/>
      </c>
      <c r="O14" s="7">
        <f>LAVORAZIONI!U135</f>
        <v/>
      </c>
      <c r="P14" s="37">
        <f>LAVORAZIONI!V135</f>
        <v/>
      </c>
      <c r="Q14" s="7">
        <f>LAVORAZIONI!W135</f>
        <v/>
      </c>
      <c r="R14" s="6">
        <f>LAVORAZIONI!X135</f>
        <v/>
      </c>
      <c r="S14" s="7">
        <f>LAVORAZIONI!Y135</f>
        <v/>
      </c>
      <c r="T14" s="6">
        <f>LAVORAZIONI!Z135</f>
        <v/>
      </c>
      <c r="U14" s="7">
        <f>LAVORAZIONI!AA135</f>
        <v/>
      </c>
      <c r="V14" s="6">
        <f>LAVORAZIONI!AB135</f>
        <v/>
      </c>
      <c r="W14" s="7">
        <f>LAVORAZIONI!AC135</f>
        <v/>
      </c>
      <c r="X14" s="6">
        <f>LAVORAZIONI!AD135</f>
        <v/>
      </c>
      <c r="Y14" s="7">
        <f>LAVORAZIONI!AE135</f>
        <v/>
      </c>
      <c r="Z14" s="6">
        <f>LAVORAZIONI!AF135</f>
        <v/>
      </c>
      <c r="AA14" s="7">
        <f>LAVORAZIONI!AG135</f>
        <v/>
      </c>
      <c r="AB14" s="6">
        <f>LAVORAZIONI!AH135</f>
        <v/>
      </c>
      <c r="AC14" s="7">
        <f>LAVORAZIONI!AI135</f>
        <v/>
      </c>
      <c r="AD14" s="13">
        <f>LAVORAZIONI!AJ135</f>
        <v/>
      </c>
    </row>
    <row r="15" ht="35" customHeight="1" s="35">
      <c r="B15" s="4">
        <f>LAVORAZIONI!G136</f>
        <v/>
      </c>
      <c r="C15" s="3">
        <f>LAVORAZIONI!A136</f>
        <v/>
      </c>
      <c r="D15" s="3">
        <f>LAVORAZIONI!K136</f>
        <v/>
      </c>
      <c r="E15" s="4">
        <f>LAVORAZIONI!H136</f>
        <v/>
      </c>
      <c r="F15" s="4">
        <f>LAVORAZIONI!M136</f>
        <v/>
      </c>
      <c r="G15" s="5">
        <f>LAVORAZIONI!N136</f>
        <v/>
      </c>
      <c r="H15" s="6">
        <f>LAVORAZIONI!O136</f>
        <v/>
      </c>
      <c r="I15" s="13">
        <f>LAVORAZIONI!P136</f>
        <v/>
      </c>
      <c r="J15" s="5">
        <f>IF(LAVORAZIONI!Q136="","",LAVORAZIONI!Q136)</f>
        <v/>
      </c>
      <c r="K15" s="6">
        <f>IF(LAVORAZIONI!R136="","",LAVORAZIONI!R136)</f>
        <v/>
      </c>
      <c r="L15" s="13">
        <f>IF(LAVORAZIONI!S136="","",LAVORAZIONI!S136)</f>
        <v/>
      </c>
      <c r="M15" s="13">
        <f>LAVORAZIONI!T136</f>
        <v/>
      </c>
      <c r="O15" s="7">
        <f>LAVORAZIONI!U136</f>
        <v/>
      </c>
      <c r="P15" s="37">
        <f>LAVORAZIONI!V136</f>
        <v/>
      </c>
      <c r="Q15" s="7">
        <f>LAVORAZIONI!W136</f>
        <v/>
      </c>
      <c r="R15" s="6">
        <f>LAVORAZIONI!X136</f>
        <v/>
      </c>
      <c r="S15" s="7">
        <f>LAVORAZIONI!Y136</f>
        <v/>
      </c>
      <c r="T15" s="6">
        <f>LAVORAZIONI!Z136</f>
        <v/>
      </c>
      <c r="U15" s="7">
        <f>LAVORAZIONI!AA136</f>
        <v/>
      </c>
      <c r="V15" s="6">
        <f>LAVORAZIONI!AB136</f>
        <v/>
      </c>
      <c r="W15" s="7">
        <f>LAVORAZIONI!AC136</f>
        <v/>
      </c>
      <c r="X15" s="6">
        <f>LAVORAZIONI!AD136</f>
        <v/>
      </c>
      <c r="Y15" s="7">
        <f>LAVORAZIONI!AE136</f>
        <v/>
      </c>
      <c r="Z15" s="6">
        <f>LAVORAZIONI!AF136</f>
        <v/>
      </c>
      <c r="AA15" s="7">
        <f>LAVORAZIONI!AG136</f>
        <v/>
      </c>
      <c r="AB15" s="6">
        <f>LAVORAZIONI!AH136</f>
        <v/>
      </c>
      <c r="AC15" s="7">
        <f>LAVORAZIONI!AI136</f>
        <v/>
      </c>
      <c r="AD15" s="13">
        <f>LAVORAZIONI!AJ136</f>
        <v/>
      </c>
    </row>
    <row r="16" ht="35" customHeight="1" s="35">
      <c r="B16" s="4">
        <f>LAVORAZIONI!G137</f>
        <v/>
      </c>
      <c r="C16" s="3">
        <f>LAVORAZIONI!A137</f>
        <v/>
      </c>
      <c r="D16" s="3">
        <f>LAVORAZIONI!K137</f>
        <v/>
      </c>
      <c r="E16" s="4">
        <f>LAVORAZIONI!H137</f>
        <v/>
      </c>
      <c r="F16" s="4">
        <f>LAVORAZIONI!M137</f>
        <v/>
      </c>
      <c r="G16" s="5">
        <f>LAVORAZIONI!N137</f>
        <v/>
      </c>
      <c r="H16" s="6">
        <f>LAVORAZIONI!O137</f>
        <v/>
      </c>
      <c r="I16" s="13">
        <f>LAVORAZIONI!P137</f>
        <v/>
      </c>
      <c r="J16" s="5">
        <f>IF(LAVORAZIONI!Q137="","",LAVORAZIONI!Q137)</f>
        <v/>
      </c>
      <c r="K16" s="6">
        <f>IF(LAVORAZIONI!R137="","",LAVORAZIONI!R137)</f>
        <v/>
      </c>
      <c r="L16" s="13">
        <f>IF(LAVORAZIONI!S137="","",LAVORAZIONI!S137)</f>
        <v/>
      </c>
      <c r="M16" s="13">
        <f>LAVORAZIONI!T137</f>
        <v/>
      </c>
      <c r="O16" s="7">
        <f>LAVORAZIONI!U137</f>
        <v/>
      </c>
      <c r="P16" s="37">
        <f>LAVORAZIONI!V137</f>
        <v/>
      </c>
      <c r="Q16" s="7">
        <f>LAVORAZIONI!W137</f>
        <v/>
      </c>
      <c r="R16" s="6">
        <f>LAVORAZIONI!X137</f>
        <v/>
      </c>
      <c r="S16" s="7">
        <f>LAVORAZIONI!Y137</f>
        <v/>
      </c>
      <c r="T16" s="6">
        <f>LAVORAZIONI!Z137</f>
        <v/>
      </c>
      <c r="U16" s="7">
        <f>LAVORAZIONI!AA137</f>
        <v/>
      </c>
      <c r="V16" s="6">
        <f>LAVORAZIONI!AB137</f>
        <v/>
      </c>
      <c r="W16" s="7">
        <f>LAVORAZIONI!AC137</f>
        <v/>
      </c>
      <c r="X16" s="6">
        <f>LAVORAZIONI!AD137</f>
        <v/>
      </c>
      <c r="Y16" s="7">
        <f>LAVORAZIONI!AE137</f>
        <v/>
      </c>
      <c r="Z16" s="6">
        <f>LAVORAZIONI!AF137</f>
        <v/>
      </c>
      <c r="AA16" s="7">
        <f>LAVORAZIONI!AG137</f>
        <v/>
      </c>
      <c r="AB16" s="6">
        <f>LAVORAZIONI!AH137</f>
        <v/>
      </c>
      <c r="AC16" s="7">
        <f>LAVORAZIONI!AI137</f>
        <v/>
      </c>
      <c r="AD16" s="13">
        <f>LAVORAZIONI!AJ137</f>
        <v/>
      </c>
    </row>
    <row r="17" ht="35" customHeight="1" s="35">
      <c r="B17" s="4">
        <f>LAVORAZIONI!G138</f>
        <v/>
      </c>
      <c r="C17" s="3">
        <f>LAVORAZIONI!A138</f>
        <v/>
      </c>
      <c r="D17" s="3">
        <f>LAVORAZIONI!K138</f>
        <v/>
      </c>
      <c r="E17" s="4">
        <f>LAVORAZIONI!H138</f>
        <v/>
      </c>
      <c r="F17" s="4">
        <f>LAVORAZIONI!M138</f>
        <v/>
      </c>
      <c r="G17" s="5">
        <f>LAVORAZIONI!N138</f>
        <v/>
      </c>
      <c r="H17" s="6">
        <f>LAVORAZIONI!O138</f>
        <v/>
      </c>
      <c r="I17" s="13">
        <f>LAVORAZIONI!P138</f>
        <v/>
      </c>
      <c r="J17" s="5">
        <f>IF(LAVORAZIONI!Q138="","",LAVORAZIONI!Q138)</f>
        <v/>
      </c>
      <c r="K17" s="6">
        <f>IF(LAVORAZIONI!R138="","",LAVORAZIONI!R138)</f>
        <v/>
      </c>
      <c r="L17" s="13">
        <f>IF(LAVORAZIONI!S138="","",LAVORAZIONI!S138)</f>
        <v/>
      </c>
      <c r="M17" s="13">
        <f>LAVORAZIONI!T138</f>
        <v/>
      </c>
      <c r="O17" s="7">
        <f>LAVORAZIONI!U138</f>
        <v/>
      </c>
      <c r="P17" s="37">
        <f>LAVORAZIONI!V138</f>
        <v/>
      </c>
      <c r="Q17" s="7">
        <f>LAVORAZIONI!W138</f>
        <v/>
      </c>
      <c r="R17" s="6">
        <f>LAVORAZIONI!X138</f>
        <v/>
      </c>
      <c r="S17" s="7">
        <f>LAVORAZIONI!Y138</f>
        <v/>
      </c>
      <c r="T17" s="6">
        <f>LAVORAZIONI!Z138</f>
        <v/>
      </c>
      <c r="U17" s="7">
        <f>LAVORAZIONI!AA138</f>
        <v/>
      </c>
      <c r="V17" s="6">
        <f>LAVORAZIONI!AB138</f>
        <v/>
      </c>
      <c r="W17" s="7">
        <f>LAVORAZIONI!AC138</f>
        <v/>
      </c>
      <c r="X17" s="6">
        <f>LAVORAZIONI!AD138</f>
        <v/>
      </c>
      <c r="Y17" s="7">
        <f>LAVORAZIONI!AE138</f>
        <v/>
      </c>
      <c r="Z17" s="6">
        <f>LAVORAZIONI!AF138</f>
        <v/>
      </c>
      <c r="AA17" s="7">
        <f>LAVORAZIONI!AG138</f>
        <v/>
      </c>
      <c r="AB17" s="6">
        <f>LAVORAZIONI!AH138</f>
        <v/>
      </c>
      <c r="AC17" s="7">
        <f>LAVORAZIONI!AI138</f>
        <v/>
      </c>
      <c r="AD17" s="13">
        <f>LAVORAZIONI!AJ138</f>
        <v/>
      </c>
    </row>
    <row r="18" ht="35" customHeight="1" s="35">
      <c r="B18" s="4">
        <f>LAVORAZIONI!G139</f>
        <v/>
      </c>
      <c r="C18" s="3">
        <f>LAVORAZIONI!A139</f>
        <v/>
      </c>
      <c r="D18" s="3">
        <f>LAVORAZIONI!K139</f>
        <v/>
      </c>
      <c r="E18" s="4">
        <f>LAVORAZIONI!H139</f>
        <v/>
      </c>
      <c r="F18" s="4">
        <f>LAVORAZIONI!M139</f>
        <v/>
      </c>
      <c r="G18" s="5">
        <f>LAVORAZIONI!N139</f>
        <v/>
      </c>
      <c r="H18" s="6">
        <f>LAVORAZIONI!O139</f>
        <v/>
      </c>
      <c r="I18" s="13">
        <f>LAVORAZIONI!P139</f>
        <v/>
      </c>
      <c r="J18" s="5">
        <f>IF(LAVORAZIONI!Q139="","",LAVORAZIONI!Q139)</f>
        <v/>
      </c>
      <c r="K18" s="6">
        <f>IF(LAVORAZIONI!R139="","",LAVORAZIONI!R139)</f>
        <v/>
      </c>
      <c r="L18" s="13">
        <f>IF(LAVORAZIONI!S139="","",LAVORAZIONI!S139)</f>
        <v/>
      </c>
      <c r="M18" s="13">
        <f>LAVORAZIONI!T139</f>
        <v/>
      </c>
      <c r="O18" s="7">
        <f>LAVORAZIONI!U139</f>
        <v/>
      </c>
      <c r="P18" s="37">
        <f>LAVORAZIONI!V139</f>
        <v/>
      </c>
      <c r="Q18" s="7">
        <f>LAVORAZIONI!W139</f>
        <v/>
      </c>
      <c r="R18" s="6">
        <f>LAVORAZIONI!X139</f>
        <v/>
      </c>
      <c r="S18" s="7">
        <f>LAVORAZIONI!Y139</f>
        <v/>
      </c>
      <c r="T18" s="6">
        <f>LAVORAZIONI!Z139</f>
        <v/>
      </c>
      <c r="U18" s="7">
        <f>LAVORAZIONI!AA139</f>
        <v/>
      </c>
      <c r="V18" s="6">
        <f>LAVORAZIONI!AB139</f>
        <v/>
      </c>
      <c r="W18" s="7">
        <f>LAVORAZIONI!AC139</f>
        <v/>
      </c>
      <c r="X18" s="6">
        <f>LAVORAZIONI!AD139</f>
        <v/>
      </c>
      <c r="Y18" s="7">
        <f>LAVORAZIONI!AE139</f>
        <v/>
      </c>
      <c r="Z18" s="6">
        <f>LAVORAZIONI!AF139</f>
        <v/>
      </c>
      <c r="AA18" s="7">
        <f>LAVORAZIONI!AG139</f>
        <v/>
      </c>
      <c r="AB18" s="6">
        <f>LAVORAZIONI!AH139</f>
        <v/>
      </c>
      <c r="AC18" s="7">
        <f>LAVORAZIONI!AI139</f>
        <v/>
      </c>
      <c r="AD18" s="13">
        <f>LAVORAZIONI!AJ139</f>
        <v/>
      </c>
    </row>
    <row r="19" ht="35" customHeight="1" s="35">
      <c r="B19" s="4">
        <f>LAVORAZIONI!G140</f>
        <v/>
      </c>
      <c r="C19" s="3">
        <f>LAVORAZIONI!A140</f>
        <v/>
      </c>
      <c r="D19" s="3">
        <f>LAVORAZIONI!K140</f>
        <v/>
      </c>
      <c r="E19" s="4">
        <f>LAVORAZIONI!H140</f>
        <v/>
      </c>
      <c r="F19" s="4">
        <f>LAVORAZIONI!M140</f>
        <v/>
      </c>
      <c r="G19" s="5">
        <f>LAVORAZIONI!N140</f>
        <v/>
      </c>
      <c r="H19" s="6">
        <f>LAVORAZIONI!O140</f>
        <v/>
      </c>
      <c r="I19" s="13">
        <f>LAVORAZIONI!P140</f>
        <v/>
      </c>
      <c r="J19" s="5">
        <f>IF(LAVORAZIONI!Q140="","",LAVORAZIONI!Q140)</f>
        <v/>
      </c>
      <c r="K19" s="6">
        <f>IF(LAVORAZIONI!R140="","",LAVORAZIONI!R140)</f>
        <v/>
      </c>
      <c r="L19" s="13">
        <f>IF(LAVORAZIONI!S140="","",LAVORAZIONI!S140)</f>
        <v/>
      </c>
      <c r="M19" s="13">
        <f>LAVORAZIONI!T140</f>
        <v/>
      </c>
      <c r="O19" s="7">
        <f>LAVORAZIONI!U140</f>
        <v/>
      </c>
      <c r="P19" s="37">
        <f>LAVORAZIONI!V140</f>
        <v/>
      </c>
      <c r="Q19" s="7">
        <f>LAVORAZIONI!W140</f>
        <v/>
      </c>
      <c r="R19" s="6">
        <f>LAVORAZIONI!X140</f>
        <v/>
      </c>
      <c r="S19" s="7">
        <f>LAVORAZIONI!Y140</f>
        <v/>
      </c>
      <c r="T19" s="6">
        <f>LAVORAZIONI!Z140</f>
        <v/>
      </c>
      <c r="U19" s="7">
        <f>LAVORAZIONI!AA140</f>
        <v/>
      </c>
      <c r="V19" s="6">
        <f>LAVORAZIONI!AB140</f>
        <v/>
      </c>
      <c r="W19" s="7">
        <f>LAVORAZIONI!AC140</f>
        <v/>
      </c>
      <c r="X19" s="6">
        <f>LAVORAZIONI!AD140</f>
        <v/>
      </c>
      <c r="Y19" s="7">
        <f>LAVORAZIONI!AE140</f>
        <v/>
      </c>
      <c r="Z19" s="6">
        <f>LAVORAZIONI!AF140</f>
        <v/>
      </c>
      <c r="AA19" s="7">
        <f>LAVORAZIONI!AG140</f>
        <v/>
      </c>
      <c r="AB19" s="6">
        <f>LAVORAZIONI!AH140</f>
        <v/>
      </c>
      <c r="AC19" s="7">
        <f>LAVORAZIONI!AI140</f>
        <v/>
      </c>
      <c r="AD19" s="13">
        <f>LAVORAZIONI!AJ140</f>
        <v/>
      </c>
    </row>
    <row r="20" ht="35" customHeight="1" s="35">
      <c r="B20" s="4">
        <f>LAVORAZIONI!G141</f>
        <v/>
      </c>
      <c r="C20" s="3">
        <f>LAVORAZIONI!A141</f>
        <v/>
      </c>
      <c r="D20" s="3">
        <f>LAVORAZIONI!K141</f>
        <v/>
      </c>
      <c r="E20" s="4">
        <f>LAVORAZIONI!H141</f>
        <v/>
      </c>
      <c r="F20" s="4">
        <f>LAVORAZIONI!M141</f>
        <v/>
      </c>
      <c r="G20" s="5">
        <f>LAVORAZIONI!N141</f>
        <v/>
      </c>
      <c r="H20" s="6">
        <f>LAVORAZIONI!O141</f>
        <v/>
      </c>
      <c r="I20" s="13">
        <f>LAVORAZIONI!P141</f>
        <v/>
      </c>
      <c r="J20" s="5">
        <f>IF(LAVORAZIONI!Q141="","",LAVORAZIONI!Q141)</f>
        <v/>
      </c>
      <c r="K20" s="6">
        <f>IF(LAVORAZIONI!R141="","",LAVORAZIONI!R141)</f>
        <v/>
      </c>
      <c r="L20" s="13">
        <f>IF(LAVORAZIONI!S141="","",LAVORAZIONI!S141)</f>
        <v/>
      </c>
      <c r="M20" s="13">
        <f>LAVORAZIONI!T141</f>
        <v/>
      </c>
      <c r="O20" s="7">
        <f>LAVORAZIONI!U141</f>
        <v/>
      </c>
      <c r="P20" s="37">
        <f>LAVORAZIONI!V141</f>
        <v/>
      </c>
      <c r="Q20" s="7">
        <f>LAVORAZIONI!W141</f>
        <v/>
      </c>
      <c r="R20" s="6">
        <f>LAVORAZIONI!X141</f>
        <v/>
      </c>
      <c r="S20" s="7">
        <f>LAVORAZIONI!Y141</f>
        <v/>
      </c>
      <c r="T20" s="6">
        <f>LAVORAZIONI!Z141</f>
        <v/>
      </c>
      <c r="U20" s="7">
        <f>LAVORAZIONI!AA141</f>
        <v/>
      </c>
      <c r="V20" s="6">
        <f>LAVORAZIONI!AB141</f>
        <v/>
      </c>
      <c r="W20" s="7">
        <f>LAVORAZIONI!AC141</f>
        <v/>
      </c>
      <c r="X20" s="6">
        <f>LAVORAZIONI!AD141</f>
        <v/>
      </c>
      <c r="Y20" s="7">
        <f>LAVORAZIONI!AE141</f>
        <v/>
      </c>
      <c r="Z20" s="6">
        <f>LAVORAZIONI!AF141</f>
        <v/>
      </c>
      <c r="AA20" s="7">
        <f>LAVORAZIONI!AG141</f>
        <v/>
      </c>
      <c r="AB20" s="6">
        <f>LAVORAZIONI!AH141</f>
        <v/>
      </c>
      <c r="AC20" s="7">
        <f>LAVORAZIONI!AI141</f>
        <v/>
      </c>
      <c r="AD20" s="13">
        <f>LAVORAZIONI!AJ141</f>
        <v/>
      </c>
    </row>
    <row r="21" ht="35" customHeight="1" s="35">
      <c r="B21" s="4">
        <f>LAVORAZIONI!G142</f>
        <v/>
      </c>
      <c r="C21" s="3">
        <f>LAVORAZIONI!A142</f>
        <v/>
      </c>
      <c r="D21" s="3">
        <f>LAVORAZIONI!K142</f>
        <v/>
      </c>
      <c r="E21" s="4">
        <f>LAVORAZIONI!H142</f>
        <v/>
      </c>
      <c r="F21" s="4">
        <f>LAVORAZIONI!M142</f>
        <v/>
      </c>
      <c r="G21" s="5">
        <f>LAVORAZIONI!N142</f>
        <v/>
      </c>
      <c r="H21" s="6">
        <f>LAVORAZIONI!O142</f>
        <v/>
      </c>
      <c r="I21" s="13">
        <f>LAVORAZIONI!P142</f>
        <v/>
      </c>
      <c r="J21" s="5">
        <f>IF(LAVORAZIONI!Q142="","",LAVORAZIONI!Q142)</f>
        <v/>
      </c>
      <c r="K21" s="6">
        <f>IF(LAVORAZIONI!R142="","",LAVORAZIONI!R142)</f>
        <v/>
      </c>
      <c r="L21" s="13">
        <f>IF(LAVORAZIONI!S142="","",LAVORAZIONI!S142)</f>
        <v/>
      </c>
      <c r="M21" s="13">
        <f>LAVORAZIONI!T142</f>
        <v/>
      </c>
      <c r="O21" s="7">
        <f>LAVORAZIONI!U142</f>
        <v/>
      </c>
      <c r="P21" s="37">
        <f>LAVORAZIONI!V142</f>
        <v/>
      </c>
      <c r="Q21" s="7">
        <f>LAVORAZIONI!W142</f>
        <v/>
      </c>
      <c r="R21" s="6">
        <f>LAVORAZIONI!X142</f>
        <v/>
      </c>
      <c r="S21" s="7">
        <f>LAVORAZIONI!Y142</f>
        <v/>
      </c>
      <c r="T21" s="6">
        <f>LAVORAZIONI!Z142</f>
        <v/>
      </c>
      <c r="U21" s="7">
        <f>LAVORAZIONI!AA142</f>
        <v/>
      </c>
      <c r="V21" s="6">
        <f>LAVORAZIONI!AB142</f>
        <v/>
      </c>
      <c r="W21" s="7">
        <f>LAVORAZIONI!AC142</f>
        <v/>
      </c>
      <c r="X21" s="6">
        <f>LAVORAZIONI!AD142</f>
        <v/>
      </c>
      <c r="Y21" s="7">
        <f>LAVORAZIONI!AE142</f>
        <v/>
      </c>
      <c r="Z21" s="6">
        <f>LAVORAZIONI!AF142</f>
        <v/>
      </c>
      <c r="AA21" s="7">
        <f>LAVORAZIONI!AG142</f>
        <v/>
      </c>
      <c r="AB21" s="6">
        <f>LAVORAZIONI!AH142</f>
        <v/>
      </c>
      <c r="AC21" s="7">
        <f>LAVORAZIONI!AI142</f>
        <v/>
      </c>
      <c r="AD21" s="13">
        <f>LAVORAZIONI!AJ142</f>
        <v/>
      </c>
    </row>
    <row r="22" ht="35" customHeight="1" s="35">
      <c r="B22" s="4">
        <f>LAVORAZIONI!G143</f>
        <v/>
      </c>
      <c r="C22" s="3">
        <f>LAVORAZIONI!A143</f>
        <v/>
      </c>
      <c r="D22" s="3">
        <f>LAVORAZIONI!K143</f>
        <v/>
      </c>
      <c r="E22" s="4">
        <f>LAVORAZIONI!H143</f>
        <v/>
      </c>
      <c r="F22" s="4">
        <f>LAVORAZIONI!M143</f>
        <v/>
      </c>
      <c r="G22" s="5">
        <f>LAVORAZIONI!N143</f>
        <v/>
      </c>
      <c r="H22" s="6">
        <f>LAVORAZIONI!O143</f>
        <v/>
      </c>
      <c r="I22" s="13">
        <f>LAVORAZIONI!P143</f>
        <v/>
      </c>
      <c r="J22" s="5">
        <f>IF(LAVORAZIONI!Q143="","",LAVORAZIONI!Q143)</f>
        <v/>
      </c>
      <c r="K22" s="6">
        <f>IF(LAVORAZIONI!R143="","",LAVORAZIONI!R143)</f>
        <v/>
      </c>
      <c r="L22" s="13">
        <f>IF(LAVORAZIONI!S143="","",LAVORAZIONI!S143)</f>
        <v/>
      </c>
      <c r="M22" s="13">
        <f>LAVORAZIONI!T143</f>
        <v/>
      </c>
      <c r="O22" s="7">
        <f>LAVORAZIONI!U143</f>
        <v/>
      </c>
      <c r="P22" s="37">
        <f>LAVORAZIONI!V143</f>
        <v/>
      </c>
      <c r="Q22" s="7">
        <f>LAVORAZIONI!W143</f>
        <v/>
      </c>
      <c r="R22" s="6">
        <f>LAVORAZIONI!X143</f>
        <v/>
      </c>
      <c r="S22" s="7">
        <f>LAVORAZIONI!Y143</f>
        <v/>
      </c>
      <c r="T22" s="6">
        <f>LAVORAZIONI!Z143</f>
        <v/>
      </c>
      <c r="U22" s="7">
        <f>LAVORAZIONI!AA143</f>
        <v/>
      </c>
      <c r="V22" s="6">
        <f>LAVORAZIONI!AB143</f>
        <v/>
      </c>
      <c r="W22" s="7">
        <f>LAVORAZIONI!AC143</f>
        <v/>
      </c>
      <c r="X22" s="6">
        <f>LAVORAZIONI!AD143</f>
        <v/>
      </c>
      <c r="Y22" s="7">
        <f>LAVORAZIONI!AE143</f>
        <v/>
      </c>
      <c r="Z22" s="6">
        <f>LAVORAZIONI!AF143</f>
        <v/>
      </c>
      <c r="AA22" s="7">
        <f>LAVORAZIONI!AG143</f>
        <v/>
      </c>
      <c r="AB22" s="6">
        <f>LAVORAZIONI!AH143</f>
        <v/>
      </c>
      <c r="AC22" s="7">
        <f>LAVORAZIONI!AI143</f>
        <v/>
      </c>
      <c r="AD22" s="13">
        <f>LAVORAZIONI!AJ143</f>
        <v/>
      </c>
    </row>
    <row r="23" ht="35" customHeight="1" s="35">
      <c r="B23" s="4">
        <f>LAVORAZIONI!G144</f>
        <v/>
      </c>
      <c r="C23" s="3">
        <f>LAVORAZIONI!A144</f>
        <v/>
      </c>
      <c r="D23" s="3">
        <f>LAVORAZIONI!K144</f>
        <v/>
      </c>
      <c r="E23" s="4">
        <f>LAVORAZIONI!H144</f>
        <v/>
      </c>
      <c r="F23" s="4">
        <f>LAVORAZIONI!M144</f>
        <v/>
      </c>
      <c r="G23" s="5">
        <f>LAVORAZIONI!N144</f>
        <v/>
      </c>
      <c r="H23" s="6">
        <f>LAVORAZIONI!O144</f>
        <v/>
      </c>
      <c r="I23" s="13">
        <f>LAVORAZIONI!P144</f>
        <v/>
      </c>
      <c r="J23" s="5">
        <f>IF(LAVORAZIONI!Q144="","",LAVORAZIONI!Q144)</f>
        <v/>
      </c>
      <c r="K23" s="6">
        <f>IF(LAVORAZIONI!R144="","",LAVORAZIONI!R144)</f>
        <v/>
      </c>
      <c r="L23" s="13">
        <f>IF(LAVORAZIONI!S144="","",LAVORAZIONI!S144)</f>
        <v/>
      </c>
      <c r="M23" s="13">
        <f>LAVORAZIONI!T144</f>
        <v/>
      </c>
      <c r="O23" s="7">
        <f>LAVORAZIONI!U144</f>
        <v/>
      </c>
      <c r="P23" s="37">
        <f>LAVORAZIONI!V144</f>
        <v/>
      </c>
      <c r="Q23" s="7">
        <f>LAVORAZIONI!W144</f>
        <v/>
      </c>
      <c r="R23" s="6">
        <f>LAVORAZIONI!X144</f>
        <v/>
      </c>
      <c r="S23" s="7">
        <f>LAVORAZIONI!Y144</f>
        <v/>
      </c>
      <c r="T23" s="6">
        <f>LAVORAZIONI!Z144</f>
        <v/>
      </c>
      <c r="U23" s="7">
        <f>LAVORAZIONI!AA144</f>
        <v/>
      </c>
      <c r="V23" s="6">
        <f>LAVORAZIONI!AB144</f>
        <v/>
      </c>
      <c r="W23" s="7">
        <f>LAVORAZIONI!AC144</f>
        <v/>
      </c>
      <c r="X23" s="6">
        <f>LAVORAZIONI!AD144</f>
        <v/>
      </c>
      <c r="Y23" s="7">
        <f>LAVORAZIONI!AE144</f>
        <v/>
      </c>
      <c r="Z23" s="6">
        <f>LAVORAZIONI!AF144</f>
        <v/>
      </c>
      <c r="AA23" s="7">
        <f>LAVORAZIONI!AG144</f>
        <v/>
      </c>
      <c r="AB23" s="6">
        <f>LAVORAZIONI!AH144</f>
        <v/>
      </c>
      <c r="AC23" s="7">
        <f>LAVORAZIONI!AI144</f>
        <v/>
      </c>
      <c r="AD23" s="13">
        <f>LAVORAZIONI!AJ144</f>
        <v/>
      </c>
    </row>
    <row r="24" ht="35" customHeight="1" s="35">
      <c r="B24" s="4">
        <f>LAVORAZIONI!G145</f>
        <v/>
      </c>
      <c r="C24" s="3">
        <f>LAVORAZIONI!A145</f>
        <v/>
      </c>
      <c r="D24" s="3">
        <f>LAVORAZIONI!K145</f>
        <v/>
      </c>
      <c r="E24" s="4">
        <f>LAVORAZIONI!H145</f>
        <v/>
      </c>
      <c r="F24" s="4">
        <f>LAVORAZIONI!M145</f>
        <v/>
      </c>
      <c r="G24" s="5">
        <f>LAVORAZIONI!N145</f>
        <v/>
      </c>
      <c r="H24" s="6">
        <f>LAVORAZIONI!O145</f>
        <v/>
      </c>
      <c r="I24" s="13">
        <f>LAVORAZIONI!P145</f>
        <v/>
      </c>
      <c r="J24" s="5">
        <f>IF(LAVORAZIONI!Q145="","",LAVORAZIONI!Q145)</f>
        <v/>
      </c>
      <c r="K24" s="6">
        <f>IF(LAVORAZIONI!R145="","",LAVORAZIONI!R145)</f>
        <v/>
      </c>
      <c r="L24" s="13">
        <f>IF(LAVORAZIONI!S145="","",LAVORAZIONI!S145)</f>
        <v/>
      </c>
      <c r="M24" s="13">
        <f>LAVORAZIONI!T145</f>
        <v/>
      </c>
      <c r="O24" s="7">
        <f>LAVORAZIONI!U145</f>
        <v/>
      </c>
      <c r="P24" s="37">
        <f>LAVORAZIONI!V145</f>
        <v/>
      </c>
      <c r="Q24" s="7">
        <f>LAVORAZIONI!W145</f>
        <v/>
      </c>
      <c r="R24" s="6">
        <f>LAVORAZIONI!X145</f>
        <v/>
      </c>
      <c r="S24" s="7">
        <f>LAVORAZIONI!Y145</f>
        <v/>
      </c>
      <c r="T24" s="6">
        <f>LAVORAZIONI!Z145</f>
        <v/>
      </c>
      <c r="U24" s="7">
        <f>LAVORAZIONI!AA145</f>
        <v/>
      </c>
      <c r="V24" s="6">
        <f>LAVORAZIONI!AB145</f>
        <v/>
      </c>
      <c r="W24" s="7">
        <f>LAVORAZIONI!AC145</f>
        <v/>
      </c>
      <c r="X24" s="6">
        <f>LAVORAZIONI!AD145</f>
        <v/>
      </c>
      <c r="Y24" s="7">
        <f>LAVORAZIONI!AE145</f>
        <v/>
      </c>
      <c r="Z24" s="6">
        <f>LAVORAZIONI!AF145</f>
        <v/>
      </c>
      <c r="AA24" s="7">
        <f>LAVORAZIONI!AG145</f>
        <v/>
      </c>
      <c r="AB24" s="6">
        <f>LAVORAZIONI!AH145</f>
        <v/>
      </c>
      <c r="AC24" s="7">
        <f>LAVORAZIONI!AI145</f>
        <v/>
      </c>
      <c r="AD24" s="13">
        <f>LAVORAZIONI!AJ145</f>
        <v/>
      </c>
    </row>
    <row r="25" ht="35" customHeight="1" s="35">
      <c r="B25" s="4">
        <f>LAVORAZIONI!G146</f>
        <v/>
      </c>
      <c r="C25" s="3">
        <f>LAVORAZIONI!A146</f>
        <v/>
      </c>
      <c r="D25" s="3">
        <f>LAVORAZIONI!K146</f>
        <v/>
      </c>
      <c r="E25" s="4">
        <f>LAVORAZIONI!H146</f>
        <v/>
      </c>
      <c r="F25" s="4">
        <f>LAVORAZIONI!M146</f>
        <v/>
      </c>
      <c r="G25" s="5">
        <f>LAVORAZIONI!N146</f>
        <v/>
      </c>
      <c r="H25" s="6">
        <f>LAVORAZIONI!O146</f>
        <v/>
      </c>
      <c r="I25" s="13">
        <f>LAVORAZIONI!P146</f>
        <v/>
      </c>
      <c r="J25" s="5">
        <f>IF(LAVORAZIONI!Q146="","",LAVORAZIONI!Q146)</f>
        <v/>
      </c>
      <c r="K25" s="6">
        <f>IF(LAVORAZIONI!R146="","",LAVORAZIONI!R146)</f>
        <v/>
      </c>
      <c r="L25" s="13">
        <f>IF(LAVORAZIONI!S146="","",LAVORAZIONI!S146)</f>
        <v/>
      </c>
      <c r="M25" s="13">
        <f>LAVORAZIONI!T146</f>
        <v/>
      </c>
      <c r="O25" s="7">
        <f>LAVORAZIONI!U146</f>
        <v/>
      </c>
      <c r="P25" s="37">
        <f>LAVORAZIONI!V146</f>
        <v/>
      </c>
      <c r="Q25" s="7">
        <f>LAVORAZIONI!W146</f>
        <v/>
      </c>
      <c r="R25" s="6">
        <f>LAVORAZIONI!X146</f>
        <v/>
      </c>
      <c r="S25" s="7">
        <f>LAVORAZIONI!Y146</f>
        <v/>
      </c>
      <c r="T25" s="6">
        <f>LAVORAZIONI!Z146</f>
        <v/>
      </c>
      <c r="U25" s="7">
        <f>LAVORAZIONI!AA146</f>
        <v/>
      </c>
      <c r="V25" s="6">
        <f>LAVORAZIONI!AB146</f>
        <v/>
      </c>
      <c r="W25" s="7">
        <f>LAVORAZIONI!AC146</f>
        <v/>
      </c>
      <c r="X25" s="6">
        <f>LAVORAZIONI!AD146</f>
        <v/>
      </c>
      <c r="Y25" s="7">
        <f>LAVORAZIONI!AE146</f>
        <v/>
      </c>
      <c r="Z25" s="6">
        <f>LAVORAZIONI!AF146</f>
        <v/>
      </c>
      <c r="AA25" s="7">
        <f>LAVORAZIONI!AG146</f>
        <v/>
      </c>
      <c r="AB25" s="6">
        <f>LAVORAZIONI!AH146</f>
        <v/>
      </c>
      <c r="AC25" s="7">
        <f>LAVORAZIONI!AI146</f>
        <v/>
      </c>
      <c r="AD25" s="13">
        <f>LAVORAZIONI!AJ146</f>
        <v/>
      </c>
    </row>
    <row r="26" ht="35" customHeight="1" s="35">
      <c r="B26" s="4">
        <f>LAVORAZIONI!G147</f>
        <v/>
      </c>
      <c r="C26" s="3">
        <f>LAVORAZIONI!A147</f>
        <v/>
      </c>
      <c r="D26" s="3">
        <f>LAVORAZIONI!K147</f>
        <v/>
      </c>
      <c r="E26" s="4">
        <f>LAVORAZIONI!H147</f>
        <v/>
      </c>
      <c r="F26" s="4">
        <f>LAVORAZIONI!M147</f>
        <v/>
      </c>
      <c r="G26" s="5">
        <f>LAVORAZIONI!N147</f>
        <v/>
      </c>
      <c r="H26" s="6">
        <f>LAVORAZIONI!O147</f>
        <v/>
      </c>
      <c r="I26" s="13">
        <f>LAVORAZIONI!P147</f>
        <v/>
      </c>
      <c r="J26" s="5">
        <f>IF(LAVORAZIONI!Q147="","",LAVORAZIONI!Q147)</f>
        <v/>
      </c>
      <c r="K26" s="6">
        <f>IF(LAVORAZIONI!R147="","",LAVORAZIONI!R147)</f>
        <v/>
      </c>
      <c r="L26" s="13">
        <f>IF(LAVORAZIONI!S147="","",LAVORAZIONI!S147)</f>
        <v/>
      </c>
      <c r="M26" s="13">
        <f>LAVORAZIONI!T147</f>
        <v/>
      </c>
      <c r="O26" s="7">
        <f>LAVORAZIONI!U147</f>
        <v/>
      </c>
      <c r="P26" s="37">
        <f>LAVORAZIONI!V147</f>
        <v/>
      </c>
      <c r="Q26" s="7">
        <f>LAVORAZIONI!W147</f>
        <v/>
      </c>
      <c r="R26" s="6">
        <f>LAVORAZIONI!X147</f>
        <v/>
      </c>
      <c r="S26" s="7">
        <f>LAVORAZIONI!Y147</f>
        <v/>
      </c>
      <c r="T26" s="6">
        <f>LAVORAZIONI!Z147</f>
        <v/>
      </c>
      <c r="U26" s="7">
        <f>LAVORAZIONI!AA147</f>
        <v/>
      </c>
      <c r="V26" s="6">
        <f>LAVORAZIONI!AB147</f>
        <v/>
      </c>
      <c r="W26" s="7">
        <f>LAVORAZIONI!AC147</f>
        <v/>
      </c>
      <c r="X26" s="6">
        <f>LAVORAZIONI!AD147</f>
        <v/>
      </c>
      <c r="Y26" s="7">
        <f>LAVORAZIONI!AE147</f>
        <v/>
      </c>
      <c r="Z26" s="6">
        <f>LAVORAZIONI!AF147</f>
        <v/>
      </c>
      <c r="AA26" s="7">
        <f>LAVORAZIONI!AG147</f>
        <v/>
      </c>
      <c r="AB26" s="6">
        <f>LAVORAZIONI!AH147</f>
        <v/>
      </c>
      <c r="AC26" s="7">
        <f>LAVORAZIONI!AI147</f>
        <v/>
      </c>
      <c r="AD26" s="13">
        <f>LAVORAZIONI!AJ147</f>
        <v/>
      </c>
    </row>
    <row r="27" ht="35" customHeight="1" s="35">
      <c r="B27" s="4">
        <f>LAVORAZIONI!G148</f>
        <v/>
      </c>
      <c r="C27" s="3">
        <f>LAVORAZIONI!A148</f>
        <v/>
      </c>
      <c r="D27" s="3">
        <f>LAVORAZIONI!K148</f>
        <v/>
      </c>
      <c r="E27" s="4">
        <f>LAVORAZIONI!H148</f>
        <v/>
      </c>
      <c r="F27" s="4">
        <f>LAVORAZIONI!M148</f>
        <v/>
      </c>
      <c r="G27" s="5">
        <f>LAVORAZIONI!N148</f>
        <v/>
      </c>
      <c r="H27" s="6">
        <f>LAVORAZIONI!O148</f>
        <v/>
      </c>
      <c r="I27" s="13">
        <f>LAVORAZIONI!P148</f>
        <v/>
      </c>
      <c r="J27" s="5">
        <f>IF(LAVORAZIONI!Q148="","",LAVORAZIONI!Q148)</f>
        <v/>
      </c>
      <c r="K27" s="6">
        <f>IF(LAVORAZIONI!R148="","",LAVORAZIONI!R148)</f>
        <v/>
      </c>
      <c r="L27" s="13">
        <f>IF(LAVORAZIONI!S148="","",LAVORAZIONI!S148)</f>
        <v/>
      </c>
      <c r="M27" s="13">
        <f>LAVORAZIONI!T148</f>
        <v/>
      </c>
      <c r="O27" s="7">
        <f>LAVORAZIONI!U148</f>
        <v/>
      </c>
      <c r="P27" s="37">
        <f>LAVORAZIONI!V148</f>
        <v/>
      </c>
      <c r="Q27" s="7">
        <f>LAVORAZIONI!W148</f>
        <v/>
      </c>
      <c r="R27" s="6">
        <f>LAVORAZIONI!X148</f>
        <v/>
      </c>
      <c r="S27" s="7">
        <f>LAVORAZIONI!Y148</f>
        <v/>
      </c>
      <c r="T27" s="6">
        <f>LAVORAZIONI!Z148</f>
        <v/>
      </c>
      <c r="U27" s="7">
        <f>LAVORAZIONI!AA148</f>
        <v/>
      </c>
      <c r="V27" s="6">
        <f>LAVORAZIONI!AB148</f>
        <v/>
      </c>
      <c r="W27" s="7">
        <f>LAVORAZIONI!AC148</f>
        <v/>
      </c>
      <c r="X27" s="6">
        <f>LAVORAZIONI!AD148</f>
        <v/>
      </c>
      <c r="Y27" s="7">
        <f>LAVORAZIONI!AE148</f>
        <v/>
      </c>
      <c r="Z27" s="6">
        <f>LAVORAZIONI!AF148</f>
        <v/>
      </c>
      <c r="AA27" s="7">
        <f>LAVORAZIONI!AG148</f>
        <v/>
      </c>
      <c r="AB27" s="6">
        <f>LAVORAZIONI!AH148</f>
        <v/>
      </c>
      <c r="AC27" s="7">
        <f>LAVORAZIONI!AI148</f>
        <v/>
      </c>
      <c r="AD27" s="13">
        <f>LAVORAZIONI!AJ148</f>
        <v/>
      </c>
    </row>
    <row r="28" ht="35" customHeight="1" s="35">
      <c r="B28" s="4">
        <f>LAVORAZIONI!G149</f>
        <v/>
      </c>
      <c r="C28" s="3">
        <f>LAVORAZIONI!A149</f>
        <v/>
      </c>
      <c r="D28" s="3">
        <f>LAVORAZIONI!K149</f>
        <v/>
      </c>
      <c r="E28" s="4">
        <f>LAVORAZIONI!H149</f>
        <v/>
      </c>
      <c r="F28" s="4">
        <f>LAVORAZIONI!M149</f>
        <v/>
      </c>
      <c r="G28" s="5">
        <f>LAVORAZIONI!N149</f>
        <v/>
      </c>
      <c r="H28" s="6">
        <f>LAVORAZIONI!O149</f>
        <v/>
      </c>
      <c r="I28" s="13">
        <f>LAVORAZIONI!P149</f>
        <v/>
      </c>
      <c r="J28" s="5">
        <f>IF(LAVORAZIONI!Q149="","",LAVORAZIONI!Q149)</f>
        <v/>
      </c>
      <c r="K28" s="6">
        <f>IF(LAVORAZIONI!R149="","",LAVORAZIONI!R149)</f>
        <v/>
      </c>
      <c r="L28" s="13">
        <f>IF(LAVORAZIONI!S149="","",LAVORAZIONI!S149)</f>
        <v/>
      </c>
      <c r="M28" s="13">
        <f>LAVORAZIONI!T149</f>
        <v/>
      </c>
      <c r="O28" s="7">
        <f>LAVORAZIONI!U149</f>
        <v/>
      </c>
      <c r="P28" s="37">
        <f>LAVORAZIONI!V149</f>
        <v/>
      </c>
      <c r="Q28" s="7">
        <f>LAVORAZIONI!W149</f>
        <v/>
      </c>
      <c r="R28" s="6">
        <f>LAVORAZIONI!X149</f>
        <v/>
      </c>
      <c r="S28" s="7">
        <f>LAVORAZIONI!Y149</f>
        <v/>
      </c>
      <c r="T28" s="6">
        <f>LAVORAZIONI!Z149</f>
        <v/>
      </c>
      <c r="U28" s="7">
        <f>LAVORAZIONI!AA149</f>
        <v/>
      </c>
      <c r="V28" s="6">
        <f>LAVORAZIONI!AB149</f>
        <v/>
      </c>
      <c r="W28" s="7">
        <f>LAVORAZIONI!AC149</f>
        <v/>
      </c>
      <c r="X28" s="6">
        <f>LAVORAZIONI!AD149</f>
        <v/>
      </c>
      <c r="Y28" s="7">
        <f>LAVORAZIONI!AE149</f>
        <v/>
      </c>
      <c r="Z28" s="6">
        <f>LAVORAZIONI!AF149</f>
        <v/>
      </c>
      <c r="AA28" s="7">
        <f>LAVORAZIONI!AG149</f>
        <v/>
      </c>
      <c r="AB28" s="6">
        <f>LAVORAZIONI!AH149</f>
        <v/>
      </c>
      <c r="AC28" s="7">
        <f>LAVORAZIONI!AI149</f>
        <v/>
      </c>
      <c r="AD28" s="13">
        <f>LAVORAZIONI!AJ149</f>
        <v/>
      </c>
    </row>
    <row r="29" ht="35" customHeight="1" s="35">
      <c r="B29" s="4">
        <f>LAVORAZIONI!G150</f>
        <v/>
      </c>
      <c r="C29" s="3">
        <f>LAVORAZIONI!A150</f>
        <v/>
      </c>
      <c r="D29" s="3">
        <f>LAVORAZIONI!K150</f>
        <v/>
      </c>
      <c r="E29" s="4">
        <f>LAVORAZIONI!H150</f>
        <v/>
      </c>
      <c r="F29" s="4">
        <f>LAVORAZIONI!M150</f>
        <v/>
      </c>
      <c r="G29" s="5">
        <f>LAVORAZIONI!N150</f>
        <v/>
      </c>
      <c r="H29" s="6">
        <f>LAVORAZIONI!O150</f>
        <v/>
      </c>
      <c r="I29" s="13">
        <f>LAVORAZIONI!P150</f>
        <v/>
      </c>
      <c r="J29" s="5">
        <f>IF(LAVORAZIONI!Q150="","",LAVORAZIONI!Q150)</f>
        <v/>
      </c>
      <c r="K29" s="6">
        <f>IF(LAVORAZIONI!R150="","",LAVORAZIONI!R150)</f>
        <v/>
      </c>
      <c r="L29" s="13">
        <f>IF(LAVORAZIONI!S150="","",LAVORAZIONI!S150)</f>
        <v/>
      </c>
      <c r="M29" s="13">
        <f>LAVORAZIONI!T150</f>
        <v/>
      </c>
      <c r="O29" s="7">
        <f>LAVORAZIONI!U150</f>
        <v/>
      </c>
      <c r="P29" s="37">
        <f>LAVORAZIONI!V150</f>
        <v/>
      </c>
      <c r="Q29" s="7">
        <f>LAVORAZIONI!W150</f>
        <v/>
      </c>
      <c r="R29" s="6">
        <f>LAVORAZIONI!X150</f>
        <v/>
      </c>
      <c r="S29" s="7">
        <f>LAVORAZIONI!Y150</f>
        <v/>
      </c>
      <c r="T29" s="6">
        <f>LAVORAZIONI!Z150</f>
        <v/>
      </c>
      <c r="U29" s="7">
        <f>LAVORAZIONI!AA150</f>
        <v/>
      </c>
      <c r="V29" s="6">
        <f>LAVORAZIONI!AB150</f>
        <v/>
      </c>
      <c r="W29" s="7">
        <f>LAVORAZIONI!AC150</f>
        <v/>
      </c>
      <c r="X29" s="6">
        <f>LAVORAZIONI!AD150</f>
        <v/>
      </c>
      <c r="Y29" s="7">
        <f>LAVORAZIONI!AE150</f>
        <v/>
      </c>
      <c r="Z29" s="6">
        <f>LAVORAZIONI!AF150</f>
        <v/>
      </c>
      <c r="AA29" s="7">
        <f>LAVORAZIONI!AG150</f>
        <v/>
      </c>
      <c r="AB29" s="6">
        <f>LAVORAZIONI!AH150</f>
        <v/>
      </c>
      <c r="AC29" s="7">
        <f>LAVORAZIONI!AI150</f>
        <v/>
      </c>
      <c r="AD29" s="13">
        <f>LAVORAZIONI!AJ150</f>
        <v/>
      </c>
    </row>
    <row r="30" ht="35" customHeight="1" s="35">
      <c r="B30" s="4">
        <f>LAVORAZIONI!G151</f>
        <v/>
      </c>
      <c r="C30" s="3">
        <f>LAVORAZIONI!A151</f>
        <v/>
      </c>
      <c r="D30" s="3">
        <f>LAVORAZIONI!K151</f>
        <v/>
      </c>
      <c r="E30" s="4">
        <f>LAVORAZIONI!H151</f>
        <v/>
      </c>
      <c r="F30" s="4">
        <f>LAVORAZIONI!M151</f>
        <v/>
      </c>
      <c r="G30" s="5">
        <f>LAVORAZIONI!N151</f>
        <v/>
      </c>
      <c r="H30" s="6">
        <f>LAVORAZIONI!O151</f>
        <v/>
      </c>
      <c r="I30" s="13">
        <f>LAVORAZIONI!P151</f>
        <v/>
      </c>
      <c r="J30" s="5">
        <f>IF(LAVORAZIONI!Q151="","",LAVORAZIONI!Q151)</f>
        <v/>
      </c>
      <c r="K30" s="6">
        <f>IF(LAVORAZIONI!R151="","",LAVORAZIONI!R151)</f>
        <v/>
      </c>
      <c r="L30" s="13">
        <f>IF(LAVORAZIONI!S151="","",LAVORAZIONI!S151)</f>
        <v/>
      </c>
      <c r="M30" s="13">
        <f>LAVORAZIONI!T151</f>
        <v/>
      </c>
      <c r="O30" s="7">
        <f>LAVORAZIONI!U151</f>
        <v/>
      </c>
      <c r="P30" s="37">
        <f>LAVORAZIONI!V151</f>
        <v/>
      </c>
      <c r="Q30" s="7">
        <f>LAVORAZIONI!W151</f>
        <v/>
      </c>
      <c r="R30" s="6">
        <f>LAVORAZIONI!X151</f>
        <v/>
      </c>
      <c r="S30" s="7">
        <f>LAVORAZIONI!Y151</f>
        <v/>
      </c>
      <c r="T30" s="6">
        <f>LAVORAZIONI!Z151</f>
        <v/>
      </c>
      <c r="U30" s="7">
        <f>LAVORAZIONI!AA151</f>
        <v/>
      </c>
      <c r="V30" s="6">
        <f>LAVORAZIONI!AB151</f>
        <v/>
      </c>
      <c r="W30" s="7">
        <f>LAVORAZIONI!AC151</f>
        <v/>
      </c>
      <c r="X30" s="6">
        <f>LAVORAZIONI!AD151</f>
        <v/>
      </c>
      <c r="Y30" s="7">
        <f>LAVORAZIONI!AE151</f>
        <v/>
      </c>
      <c r="Z30" s="6">
        <f>LAVORAZIONI!AF151</f>
        <v/>
      </c>
      <c r="AA30" s="7">
        <f>LAVORAZIONI!AG151</f>
        <v/>
      </c>
      <c r="AB30" s="6">
        <f>LAVORAZIONI!AH151</f>
        <v/>
      </c>
      <c r="AC30" s="7">
        <f>LAVORAZIONI!AI151</f>
        <v/>
      </c>
      <c r="AD30" s="13">
        <f>LAVORAZIONI!AJ151</f>
        <v/>
      </c>
    </row>
    <row r="31" ht="35" customHeight="1" s="35">
      <c r="B31" s="4">
        <f>LAVORAZIONI!G152</f>
        <v/>
      </c>
      <c r="C31" s="3">
        <f>LAVORAZIONI!A152</f>
        <v/>
      </c>
      <c r="D31" s="3">
        <f>LAVORAZIONI!K152</f>
        <v/>
      </c>
      <c r="E31" s="4">
        <f>LAVORAZIONI!H152</f>
        <v/>
      </c>
      <c r="F31" s="4">
        <f>LAVORAZIONI!M152</f>
        <v/>
      </c>
      <c r="G31" s="5">
        <f>LAVORAZIONI!N152</f>
        <v/>
      </c>
      <c r="H31" s="6">
        <f>LAVORAZIONI!O152</f>
        <v/>
      </c>
      <c r="I31" s="13">
        <f>LAVORAZIONI!P152</f>
        <v/>
      </c>
      <c r="J31" s="5">
        <f>IF(LAVORAZIONI!Q152="","",LAVORAZIONI!Q152)</f>
        <v/>
      </c>
      <c r="K31" s="6">
        <f>IF(LAVORAZIONI!R152="","",LAVORAZIONI!R152)</f>
        <v/>
      </c>
      <c r="L31" s="13">
        <f>IF(LAVORAZIONI!S152="","",LAVORAZIONI!S152)</f>
        <v/>
      </c>
      <c r="M31" s="13">
        <f>LAVORAZIONI!T152</f>
        <v/>
      </c>
      <c r="O31" s="7">
        <f>LAVORAZIONI!U152</f>
        <v/>
      </c>
      <c r="P31" s="37">
        <f>LAVORAZIONI!V152</f>
        <v/>
      </c>
      <c r="Q31" s="7">
        <f>LAVORAZIONI!W152</f>
        <v/>
      </c>
      <c r="R31" s="6">
        <f>LAVORAZIONI!X152</f>
        <v/>
      </c>
      <c r="S31" s="7">
        <f>LAVORAZIONI!Y152</f>
        <v/>
      </c>
      <c r="T31" s="6">
        <f>LAVORAZIONI!Z152</f>
        <v/>
      </c>
      <c r="U31" s="7">
        <f>LAVORAZIONI!AA152</f>
        <v/>
      </c>
      <c r="V31" s="6">
        <f>LAVORAZIONI!AB152</f>
        <v/>
      </c>
      <c r="W31" s="7">
        <f>LAVORAZIONI!AC152</f>
        <v/>
      </c>
      <c r="X31" s="6">
        <f>LAVORAZIONI!AD152</f>
        <v/>
      </c>
      <c r="Y31" s="7">
        <f>LAVORAZIONI!AE152</f>
        <v/>
      </c>
      <c r="Z31" s="6">
        <f>LAVORAZIONI!AF152</f>
        <v/>
      </c>
      <c r="AA31" s="7">
        <f>LAVORAZIONI!AG152</f>
        <v/>
      </c>
      <c r="AB31" s="6">
        <f>LAVORAZIONI!AH152</f>
        <v/>
      </c>
      <c r="AC31" s="7">
        <f>LAVORAZIONI!AI152</f>
        <v/>
      </c>
      <c r="AD31" s="13">
        <f>LAVORAZIONI!AJ152</f>
        <v/>
      </c>
    </row>
    <row r="32" ht="35" customHeight="1" s="35">
      <c r="B32" s="4">
        <f>LAVORAZIONI!G153</f>
        <v/>
      </c>
      <c r="C32" s="3">
        <f>LAVORAZIONI!A153</f>
        <v/>
      </c>
      <c r="D32" s="3">
        <f>LAVORAZIONI!K153</f>
        <v/>
      </c>
      <c r="E32" s="4">
        <f>LAVORAZIONI!H153</f>
        <v/>
      </c>
      <c r="F32" s="4">
        <f>LAVORAZIONI!M153</f>
        <v/>
      </c>
      <c r="G32" s="5">
        <f>LAVORAZIONI!N153</f>
        <v/>
      </c>
      <c r="H32" s="6">
        <f>LAVORAZIONI!O153</f>
        <v/>
      </c>
      <c r="I32" s="13">
        <f>LAVORAZIONI!P153</f>
        <v/>
      </c>
      <c r="J32" s="5">
        <f>IF(LAVORAZIONI!Q153="","",LAVORAZIONI!Q153)</f>
        <v/>
      </c>
      <c r="K32" s="6">
        <f>IF(LAVORAZIONI!R153="","",LAVORAZIONI!R153)</f>
        <v/>
      </c>
      <c r="L32" s="13">
        <f>IF(LAVORAZIONI!S153="","",LAVORAZIONI!S153)</f>
        <v/>
      </c>
      <c r="M32" s="13">
        <f>LAVORAZIONI!T153</f>
        <v/>
      </c>
      <c r="O32" s="7">
        <f>LAVORAZIONI!U153</f>
        <v/>
      </c>
      <c r="P32" s="37">
        <f>LAVORAZIONI!V153</f>
        <v/>
      </c>
      <c r="Q32" s="7">
        <f>LAVORAZIONI!W153</f>
        <v/>
      </c>
      <c r="R32" s="6">
        <f>LAVORAZIONI!X153</f>
        <v/>
      </c>
      <c r="S32" s="7">
        <f>LAVORAZIONI!Y153</f>
        <v/>
      </c>
      <c r="T32" s="6">
        <f>LAVORAZIONI!Z153</f>
        <v/>
      </c>
      <c r="U32" s="7">
        <f>LAVORAZIONI!AA153</f>
        <v/>
      </c>
      <c r="V32" s="6">
        <f>LAVORAZIONI!AB153</f>
        <v/>
      </c>
      <c r="W32" s="7">
        <f>LAVORAZIONI!AC153</f>
        <v/>
      </c>
      <c r="X32" s="6">
        <f>LAVORAZIONI!AD153</f>
        <v/>
      </c>
      <c r="Y32" s="7">
        <f>LAVORAZIONI!AE153</f>
        <v/>
      </c>
      <c r="Z32" s="6">
        <f>LAVORAZIONI!AF153</f>
        <v/>
      </c>
      <c r="AA32" s="7">
        <f>LAVORAZIONI!AG153</f>
        <v/>
      </c>
      <c r="AB32" s="6">
        <f>LAVORAZIONI!AH153</f>
        <v/>
      </c>
      <c r="AC32" s="7">
        <f>LAVORAZIONI!AI153</f>
        <v/>
      </c>
      <c r="AD32" s="13">
        <f>LAVORAZIONI!AJ153</f>
        <v/>
      </c>
    </row>
    <row r="33" ht="35" customHeight="1" s="35">
      <c r="B33" s="4">
        <f>LAVORAZIONI!G154</f>
        <v/>
      </c>
      <c r="C33" s="3">
        <f>LAVORAZIONI!A154</f>
        <v/>
      </c>
      <c r="D33" s="3">
        <f>LAVORAZIONI!K154</f>
        <v/>
      </c>
      <c r="E33" s="4">
        <f>LAVORAZIONI!H154</f>
        <v/>
      </c>
      <c r="F33" s="4">
        <f>LAVORAZIONI!M154</f>
        <v/>
      </c>
      <c r="G33" s="5">
        <f>LAVORAZIONI!N154</f>
        <v/>
      </c>
      <c r="H33" s="6">
        <f>LAVORAZIONI!O154</f>
        <v/>
      </c>
      <c r="I33" s="13">
        <f>LAVORAZIONI!P154</f>
        <v/>
      </c>
      <c r="J33" s="5">
        <f>IF(LAVORAZIONI!Q154="","",LAVORAZIONI!Q154)</f>
        <v/>
      </c>
      <c r="K33" s="6">
        <f>IF(LAVORAZIONI!R154="","",LAVORAZIONI!R154)</f>
        <v/>
      </c>
      <c r="L33" s="13">
        <f>IF(LAVORAZIONI!S154="","",LAVORAZIONI!S154)</f>
        <v/>
      </c>
      <c r="M33" s="13">
        <f>LAVORAZIONI!T154</f>
        <v/>
      </c>
      <c r="O33" s="7">
        <f>LAVORAZIONI!U154</f>
        <v/>
      </c>
      <c r="P33" s="37">
        <f>LAVORAZIONI!V154</f>
        <v/>
      </c>
      <c r="Q33" s="7">
        <f>LAVORAZIONI!W154</f>
        <v/>
      </c>
      <c r="R33" s="6">
        <f>LAVORAZIONI!X154</f>
        <v/>
      </c>
      <c r="S33" s="7">
        <f>LAVORAZIONI!Y154</f>
        <v/>
      </c>
      <c r="T33" s="6">
        <f>LAVORAZIONI!Z154</f>
        <v/>
      </c>
      <c r="U33" s="7">
        <f>LAVORAZIONI!AA154</f>
        <v/>
      </c>
      <c r="V33" s="6">
        <f>LAVORAZIONI!AB154</f>
        <v/>
      </c>
      <c r="W33" s="7">
        <f>LAVORAZIONI!AC154</f>
        <v/>
      </c>
      <c r="X33" s="6">
        <f>LAVORAZIONI!AD154</f>
        <v/>
      </c>
      <c r="Y33" s="7">
        <f>LAVORAZIONI!AE154</f>
        <v/>
      </c>
      <c r="Z33" s="6">
        <f>LAVORAZIONI!AF154</f>
        <v/>
      </c>
      <c r="AA33" s="7">
        <f>LAVORAZIONI!AG154</f>
        <v/>
      </c>
      <c r="AB33" s="6">
        <f>LAVORAZIONI!AH154</f>
        <v/>
      </c>
      <c r="AC33" s="7">
        <f>LAVORAZIONI!AI154</f>
        <v/>
      </c>
      <c r="AD33" s="13">
        <f>LAVORAZIONI!AJ154</f>
        <v/>
      </c>
    </row>
    <row r="34" ht="35" customHeight="1" s="35">
      <c r="B34" s="4">
        <f>LAVORAZIONI!G155</f>
        <v/>
      </c>
      <c r="C34" s="3">
        <f>LAVORAZIONI!A155</f>
        <v/>
      </c>
      <c r="D34" s="3">
        <f>LAVORAZIONI!K155</f>
        <v/>
      </c>
      <c r="E34" s="4">
        <f>LAVORAZIONI!H155</f>
        <v/>
      </c>
      <c r="F34" s="4">
        <f>LAVORAZIONI!M155</f>
        <v/>
      </c>
      <c r="G34" s="5">
        <f>LAVORAZIONI!N155</f>
        <v/>
      </c>
      <c r="H34" s="6">
        <f>LAVORAZIONI!O155</f>
        <v/>
      </c>
      <c r="I34" s="13">
        <f>LAVORAZIONI!P155</f>
        <v/>
      </c>
      <c r="J34" s="5">
        <f>IF(LAVORAZIONI!Q155="","",LAVORAZIONI!Q155)</f>
        <v/>
      </c>
      <c r="K34" s="6">
        <f>IF(LAVORAZIONI!R155="","",LAVORAZIONI!R155)</f>
        <v/>
      </c>
      <c r="L34" s="13">
        <f>IF(LAVORAZIONI!S155="","",LAVORAZIONI!S155)</f>
        <v/>
      </c>
      <c r="M34" s="13">
        <f>LAVORAZIONI!T155</f>
        <v/>
      </c>
      <c r="O34" s="7">
        <f>LAVORAZIONI!U155</f>
        <v/>
      </c>
      <c r="P34" s="37">
        <f>LAVORAZIONI!V155</f>
        <v/>
      </c>
      <c r="Q34" s="7">
        <f>LAVORAZIONI!W155</f>
        <v/>
      </c>
      <c r="R34" s="6">
        <f>LAVORAZIONI!X155</f>
        <v/>
      </c>
      <c r="S34" s="7">
        <f>LAVORAZIONI!Y155</f>
        <v/>
      </c>
      <c r="T34" s="6">
        <f>LAVORAZIONI!Z155</f>
        <v/>
      </c>
      <c r="U34" s="7">
        <f>LAVORAZIONI!AA155</f>
        <v/>
      </c>
      <c r="V34" s="6">
        <f>LAVORAZIONI!AB155</f>
        <v/>
      </c>
      <c r="W34" s="7">
        <f>LAVORAZIONI!AC155</f>
        <v/>
      </c>
      <c r="X34" s="6">
        <f>LAVORAZIONI!AD155</f>
        <v/>
      </c>
      <c r="Y34" s="7">
        <f>LAVORAZIONI!AE155</f>
        <v/>
      </c>
      <c r="Z34" s="6">
        <f>LAVORAZIONI!AF155</f>
        <v/>
      </c>
      <c r="AA34" s="7">
        <f>LAVORAZIONI!AG155</f>
        <v/>
      </c>
      <c r="AB34" s="6">
        <f>LAVORAZIONI!AH155</f>
        <v/>
      </c>
      <c r="AC34" s="7">
        <f>LAVORAZIONI!AI155</f>
        <v/>
      </c>
      <c r="AD34" s="13">
        <f>LAVORAZIONI!AJ155</f>
        <v/>
      </c>
    </row>
    <row r="35" ht="35" customHeight="1" s="35">
      <c r="B35" s="4">
        <f>LAVORAZIONI!G156</f>
        <v/>
      </c>
      <c r="C35" s="3">
        <f>LAVORAZIONI!A156</f>
        <v/>
      </c>
      <c r="D35" s="3">
        <f>LAVORAZIONI!K156</f>
        <v/>
      </c>
      <c r="E35" s="4">
        <f>LAVORAZIONI!H156</f>
        <v/>
      </c>
      <c r="F35" s="4">
        <f>LAVORAZIONI!M156</f>
        <v/>
      </c>
      <c r="G35" s="5">
        <f>LAVORAZIONI!N156</f>
        <v/>
      </c>
      <c r="H35" s="6">
        <f>LAVORAZIONI!O156</f>
        <v/>
      </c>
      <c r="I35" s="13">
        <f>LAVORAZIONI!P156</f>
        <v/>
      </c>
      <c r="J35" s="5">
        <f>IF(LAVORAZIONI!Q156="","",LAVORAZIONI!Q156)</f>
        <v/>
      </c>
      <c r="K35" s="6">
        <f>IF(LAVORAZIONI!R156="","",LAVORAZIONI!R156)</f>
        <v/>
      </c>
      <c r="L35" s="13">
        <f>IF(LAVORAZIONI!S156="","",LAVORAZIONI!S156)</f>
        <v/>
      </c>
      <c r="M35" s="13">
        <f>LAVORAZIONI!T156</f>
        <v/>
      </c>
      <c r="O35" s="7">
        <f>LAVORAZIONI!U156</f>
        <v/>
      </c>
      <c r="P35" s="37">
        <f>LAVORAZIONI!V156</f>
        <v/>
      </c>
      <c r="Q35" s="7">
        <f>LAVORAZIONI!W156</f>
        <v/>
      </c>
      <c r="R35" s="6">
        <f>LAVORAZIONI!X156</f>
        <v/>
      </c>
      <c r="S35" s="7">
        <f>LAVORAZIONI!Y156</f>
        <v/>
      </c>
      <c r="T35" s="6">
        <f>LAVORAZIONI!Z156</f>
        <v/>
      </c>
      <c r="U35" s="7">
        <f>LAVORAZIONI!AA156</f>
        <v/>
      </c>
      <c r="V35" s="6">
        <f>LAVORAZIONI!AB156</f>
        <v/>
      </c>
      <c r="W35" s="7">
        <f>LAVORAZIONI!AC156</f>
        <v/>
      </c>
      <c r="X35" s="6">
        <f>LAVORAZIONI!AD156</f>
        <v/>
      </c>
      <c r="Y35" s="7">
        <f>LAVORAZIONI!AE156</f>
        <v/>
      </c>
      <c r="Z35" s="6">
        <f>LAVORAZIONI!AF156</f>
        <v/>
      </c>
      <c r="AA35" s="7">
        <f>LAVORAZIONI!AG156</f>
        <v/>
      </c>
      <c r="AB35" s="6">
        <f>LAVORAZIONI!AH156</f>
        <v/>
      </c>
      <c r="AC35" s="7">
        <f>LAVORAZIONI!AI156</f>
        <v/>
      </c>
      <c r="AD35" s="13">
        <f>LAVORAZIONI!AJ156</f>
        <v/>
      </c>
    </row>
    <row r="36" ht="35" customHeight="1" s="35">
      <c r="B36" s="4">
        <f>LAVORAZIONI!G157</f>
        <v/>
      </c>
      <c r="C36" s="3">
        <f>LAVORAZIONI!A157</f>
        <v/>
      </c>
      <c r="D36" s="3">
        <f>LAVORAZIONI!K157</f>
        <v/>
      </c>
      <c r="E36" s="4">
        <f>LAVORAZIONI!H157</f>
        <v/>
      </c>
      <c r="F36" s="4">
        <f>LAVORAZIONI!M157</f>
        <v/>
      </c>
      <c r="G36" s="5">
        <f>LAVORAZIONI!N157</f>
        <v/>
      </c>
      <c r="H36" s="6">
        <f>LAVORAZIONI!O157</f>
        <v/>
      </c>
      <c r="I36" s="13">
        <f>LAVORAZIONI!P157</f>
        <v/>
      </c>
      <c r="J36" s="5">
        <f>IF(LAVORAZIONI!Q157="","",LAVORAZIONI!Q157)</f>
        <v/>
      </c>
      <c r="K36" s="6">
        <f>IF(LAVORAZIONI!R157="","",LAVORAZIONI!R157)</f>
        <v/>
      </c>
      <c r="L36" s="13">
        <f>IF(LAVORAZIONI!S157="","",LAVORAZIONI!S157)</f>
        <v/>
      </c>
      <c r="M36" s="13">
        <f>LAVORAZIONI!T157</f>
        <v/>
      </c>
      <c r="O36" s="7">
        <f>LAVORAZIONI!U157</f>
        <v/>
      </c>
      <c r="P36" s="37">
        <f>LAVORAZIONI!V157</f>
        <v/>
      </c>
      <c r="Q36" s="7">
        <f>LAVORAZIONI!W157</f>
        <v/>
      </c>
      <c r="R36" s="6">
        <f>LAVORAZIONI!X157</f>
        <v/>
      </c>
      <c r="S36" s="7">
        <f>LAVORAZIONI!Y157</f>
        <v/>
      </c>
      <c r="T36" s="6">
        <f>LAVORAZIONI!Z157</f>
        <v/>
      </c>
      <c r="U36" s="7">
        <f>LAVORAZIONI!AA157</f>
        <v/>
      </c>
      <c r="V36" s="6">
        <f>LAVORAZIONI!AB157</f>
        <v/>
      </c>
      <c r="W36" s="7">
        <f>LAVORAZIONI!AC157</f>
        <v/>
      </c>
      <c r="X36" s="6">
        <f>LAVORAZIONI!AD157</f>
        <v/>
      </c>
      <c r="Y36" s="7">
        <f>LAVORAZIONI!AE157</f>
        <v/>
      </c>
      <c r="Z36" s="6">
        <f>LAVORAZIONI!AF157</f>
        <v/>
      </c>
      <c r="AA36" s="7">
        <f>LAVORAZIONI!AG157</f>
        <v/>
      </c>
      <c r="AB36" s="6">
        <f>LAVORAZIONI!AH157</f>
        <v/>
      </c>
      <c r="AC36" s="7">
        <f>LAVORAZIONI!AI157</f>
        <v/>
      </c>
      <c r="AD36" s="13">
        <f>LAVORAZIONI!AJ157</f>
        <v/>
      </c>
    </row>
    <row r="37" ht="35" customHeight="1" s="35">
      <c r="B37" s="4">
        <f>LAVORAZIONI!G158</f>
        <v/>
      </c>
      <c r="C37" s="3">
        <f>LAVORAZIONI!A158</f>
        <v/>
      </c>
      <c r="D37" s="3">
        <f>LAVORAZIONI!K158</f>
        <v/>
      </c>
      <c r="E37" s="4">
        <f>LAVORAZIONI!H158</f>
        <v/>
      </c>
      <c r="F37" s="4">
        <f>LAVORAZIONI!M158</f>
        <v/>
      </c>
      <c r="G37" s="5">
        <f>LAVORAZIONI!N158</f>
        <v/>
      </c>
      <c r="H37" s="6">
        <f>LAVORAZIONI!O158</f>
        <v/>
      </c>
      <c r="I37" s="13">
        <f>LAVORAZIONI!P158</f>
        <v/>
      </c>
      <c r="J37" s="5">
        <f>IF(LAVORAZIONI!Q158="","",LAVORAZIONI!Q158)</f>
        <v/>
      </c>
      <c r="K37" s="6">
        <f>IF(LAVORAZIONI!R158="","",LAVORAZIONI!R158)</f>
        <v/>
      </c>
      <c r="L37" s="13">
        <f>IF(LAVORAZIONI!S158="","",LAVORAZIONI!S158)</f>
        <v/>
      </c>
      <c r="M37" s="13">
        <f>LAVORAZIONI!T158</f>
        <v/>
      </c>
      <c r="O37" s="7">
        <f>LAVORAZIONI!U158</f>
        <v/>
      </c>
      <c r="P37" s="37">
        <f>LAVORAZIONI!V158</f>
        <v/>
      </c>
      <c r="Q37" s="7">
        <f>LAVORAZIONI!W158</f>
        <v/>
      </c>
      <c r="R37" s="6">
        <f>LAVORAZIONI!X158</f>
        <v/>
      </c>
      <c r="S37" s="7">
        <f>LAVORAZIONI!Y158</f>
        <v/>
      </c>
      <c r="T37" s="6">
        <f>LAVORAZIONI!Z158</f>
        <v/>
      </c>
      <c r="U37" s="7">
        <f>LAVORAZIONI!AA158</f>
        <v/>
      </c>
      <c r="V37" s="6">
        <f>LAVORAZIONI!AB158</f>
        <v/>
      </c>
      <c r="W37" s="7">
        <f>LAVORAZIONI!AC158</f>
        <v/>
      </c>
      <c r="X37" s="6">
        <f>LAVORAZIONI!AD158</f>
        <v/>
      </c>
      <c r="Y37" s="7">
        <f>LAVORAZIONI!AE158</f>
        <v/>
      </c>
      <c r="Z37" s="6">
        <f>LAVORAZIONI!AF158</f>
        <v/>
      </c>
      <c r="AA37" s="7">
        <f>LAVORAZIONI!AG158</f>
        <v/>
      </c>
      <c r="AB37" s="6">
        <f>LAVORAZIONI!AH158</f>
        <v/>
      </c>
      <c r="AC37" s="7">
        <f>LAVORAZIONI!AI158</f>
        <v/>
      </c>
      <c r="AD37" s="13">
        <f>LAVORAZIONI!AJ158</f>
        <v/>
      </c>
    </row>
    <row r="38" ht="35" customHeight="1" s="35">
      <c r="B38" s="4">
        <f>LAVORAZIONI!G159</f>
        <v/>
      </c>
      <c r="C38" s="3">
        <f>LAVORAZIONI!A159</f>
        <v/>
      </c>
      <c r="D38" s="3">
        <f>LAVORAZIONI!K159</f>
        <v/>
      </c>
      <c r="E38" s="4">
        <f>LAVORAZIONI!H159</f>
        <v/>
      </c>
      <c r="F38" s="4">
        <f>LAVORAZIONI!M159</f>
        <v/>
      </c>
      <c r="G38" s="5">
        <f>LAVORAZIONI!N159</f>
        <v/>
      </c>
      <c r="H38" s="6">
        <f>LAVORAZIONI!O159</f>
        <v/>
      </c>
      <c r="I38" s="13">
        <f>LAVORAZIONI!P159</f>
        <v/>
      </c>
      <c r="J38" s="5">
        <f>IF(LAVORAZIONI!Q159="","",LAVORAZIONI!Q159)</f>
        <v/>
      </c>
      <c r="K38" s="6">
        <f>IF(LAVORAZIONI!R159="","",LAVORAZIONI!R159)</f>
        <v/>
      </c>
      <c r="L38" s="13">
        <f>IF(LAVORAZIONI!S159="","",LAVORAZIONI!S159)</f>
        <v/>
      </c>
      <c r="M38" s="13">
        <f>LAVORAZIONI!T159</f>
        <v/>
      </c>
      <c r="O38" s="7">
        <f>LAVORAZIONI!U159</f>
        <v/>
      </c>
      <c r="P38" s="37">
        <f>LAVORAZIONI!V159</f>
        <v/>
      </c>
      <c r="Q38" s="7">
        <f>LAVORAZIONI!W159</f>
        <v/>
      </c>
      <c r="R38" s="6">
        <f>LAVORAZIONI!X159</f>
        <v/>
      </c>
      <c r="S38" s="7">
        <f>LAVORAZIONI!Y159</f>
        <v/>
      </c>
      <c r="T38" s="6">
        <f>LAVORAZIONI!Z159</f>
        <v/>
      </c>
      <c r="U38" s="7">
        <f>LAVORAZIONI!AA159</f>
        <v/>
      </c>
      <c r="V38" s="6">
        <f>LAVORAZIONI!AB159</f>
        <v/>
      </c>
      <c r="W38" s="7">
        <f>LAVORAZIONI!AC159</f>
        <v/>
      </c>
      <c r="X38" s="6">
        <f>LAVORAZIONI!AD159</f>
        <v/>
      </c>
      <c r="Y38" s="7">
        <f>LAVORAZIONI!AE159</f>
        <v/>
      </c>
      <c r="Z38" s="6">
        <f>LAVORAZIONI!AF159</f>
        <v/>
      </c>
      <c r="AA38" s="7">
        <f>LAVORAZIONI!AG159</f>
        <v/>
      </c>
      <c r="AB38" s="6">
        <f>LAVORAZIONI!AH159</f>
        <v/>
      </c>
      <c r="AC38" s="7">
        <f>LAVORAZIONI!AI159</f>
        <v/>
      </c>
      <c r="AD38" s="13">
        <f>LAVORAZIONI!AJ159</f>
        <v/>
      </c>
    </row>
    <row r="39" ht="35" customHeight="1" s="35">
      <c r="B39" s="4">
        <f>LAVORAZIONI!G160</f>
        <v/>
      </c>
      <c r="C39" s="3">
        <f>LAVORAZIONI!A160</f>
        <v/>
      </c>
      <c r="D39" s="3">
        <f>LAVORAZIONI!K160</f>
        <v/>
      </c>
      <c r="E39" s="4">
        <f>LAVORAZIONI!H160</f>
        <v/>
      </c>
      <c r="F39" s="4">
        <f>LAVORAZIONI!M160</f>
        <v/>
      </c>
      <c r="G39" s="5">
        <f>LAVORAZIONI!N160</f>
        <v/>
      </c>
      <c r="H39" s="6">
        <f>LAVORAZIONI!O160</f>
        <v/>
      </c>
      <c r="I39" s="13">
        <f>LAVORAZIONI!P160</f>
        <v/>
      </c>
      <c r="J39" s="5">
        <f>IF(LAVORAZIONI!Q160="","",LAVORAZIONI!Q160)</f>
        <v/>
      </c>
      <c r="K39" s="6">
        <f>IF(LAVORAZIONI!R160="","",LAVORAZIONI!R160)</f>
        <v/>
      </c>
      <c r="L39" s="13">
        <f>IF(LAVORAZIONI!S160="","",LAVORAZIONI!S160)</f>
        <v/>
      </c>
      <c r="M39" s="13">
        <f>LAVORAZIONI!T160</f>
        <v/>
      </c>
      <c r="O39" s="7">
        <f>LAVORAZIONI!U160</f>
        <v/>
      </c>
      <c r="P39" s="37">
        <f>LAVORAZIONI!V160</f>
        <v/>
      </c>
      <c r="Q39" s="7">
        <f>LAVORAZIONI!W160</f>
        <v/>
      </c>
      <c r="R39" s="6">
        <f>LAVORAZIONI!X160</f>
        <v/>
      </c>
      <c r="S39" s="7">
        <f>LAVORAZIONI!Y160</f>
        <v/>
      </c>
      <c r="T39" s="6">
        <f>LAVORAZIONI!Z160</f>
        <v/>
      </c>
      <c r="U39" s="7">
        <f>LAVORAZIONI!AA160</f>
        <v/>
      </c>
      <c r="V39" s="6">
        <f>LAVORAZIONI!AB160</f>
        <v/>
      </c>
      <c r="W39" s="7">
        <f>LAVORAZIONI!AC160</f>
        <v/>
      </c>
      <c r="X39" s="6">
        <f>LAVORAZIONI!AD160</f>
        <v/>
      </c>
      <c r="Y39" s="7">
        <f>LAVORAZIONI!AE160</f>
        <v/>
      </c>
      <c r="Z39" s="6">
        <f>LAVORAZIONI!AF160</f>
        <v/>
      </c>
      <c r="AA39" s="7">
        <f>LAVORAZIONI!AG160</f>
        <v/>
      </c>
      <c r="AB39" s="6">
        <f>LAVORAZIONI!AH160</f>
        <v/>
      </c>
      <c r="AC39" s="7">
        <f>LAVORAZIONI!AI160</f>
        <v/>
      </c>
      <c r="AD39" s="13">
        <f>LAVORAZIONI!AJ160</f>
        <v/>
      </c>
    </row>
    <row r="40" ht="35" customHeight="1" s="35">
      <c r="B40" s="4">
        <f>LAVORAZIONI!G161</f>
        <v/>
      </c>
      <c r="C40" s="3">
        <f>LAVORAZIONI!A161</f>
        <v/>
      </c>
      <c r="D40" s="3">
        <f>LAVORAZIONI!K161</f>
        <v/>
      </c>
      <c r="E40" s="4">
        <f>LAVORAZIONI!H161</f>
        <v/>
      </c>
      <c r="F40" s="4">
        <f>LAVORAZIONI!M161</f>
        <v/>
      </c>
      <c r="G40" s="5">
        <f>LAVORAZIONI!N161</f>
        <v/>
      </c>
      <c r="H40" s="6">
        <f>LAVORAZIONI!O161</f>
        <v/>
      </c>
      <c r="I40" s="13">
        <f>LAVORAZIONI!P161</f>
        <v/>
      </c>
      <c r="J40" s="5">
        <f>IF(LAVORAZIONI!Q161="","",LAVORAZIONI!Q161)</f>
        <v/>
      </c>
      <c r="K40" s="6">
        <f>IF(LAVORAZIONI!R161="","",LAVORAZIONI!R161)</f>
        <v/>
      </c>
      <c r="L40" s="13">
        <f>IF(LAVORAZIONI!S161="","",LAVORAZIONI!S161)</f>
        <v/>
      </c>
      <c r="M40" s="13">
        <f>LAVORAZIONI!T161</f>
        <v/>
      </c>
      <c r="O40" s="7">
        <f>LAVORAZIONI!U161</f>
        <v/>
      </c>
      <c r="P40" s="37">
        <f>LAVORAZIONI!V161</f>
        <v/>
      </c>
      <c r="Q40" s="7">
        <f>LAVORAZIONI!W161</f>
        <v/>
      </c>
      <c r="R40" s="6">
        <f>LAVORAZIONI!X161</f>
        <v/>
      </c>
      <c r="S40" s="7">
        <f>LAVORAZIONI!Y161</f>
        <v/>
      </c>
      <c r="T40" s="6">
        <f>LAVORAZIONI!Z161</f>
        <v/>
      </c>
      <c r="U40" s="7">
        <f>LAVORAZIONI!AA161</f>
        <v/>
      </c>
      <c r="V40" s="6">
        <f>LAVORAZIONI!AB161</f>
        <v/>
      </c>
      <c r="W40" s="7">
        <f>LAVORAZIONI!AC161</f>
        <v/>
      </c>
      <c r="X40" s="6">
        <f>LAVORAZIONI!AD161</f>
        <v/>
      </c>
      <c r="Y40" s="7">
        <f>LAVORAZIONI!AE161</f>
        <v/>
      </c>
      <c r="Z40" s="6">
        <f>LAVORAZIONI!AF161</f>
        <v/>
      </c>
      <c r="AA40" s="7">
        <f>LAVORAZIONI!AG161</f>
        <v/>
      </c>
      <c r="AB40" s="6">
        <f>LAVORAZIONI!AH161</f>
        <v/>
      </c>
      <c r="AC40" s="7">
        <f>LAVORAZIONI!AI161</f>
        <v/>
      </c>
      <c r="AD40" s="13">
        <f>LAVORAZIONI!AJ161</f>
        <v/>
      </c>
    </row>
    <row r="41" ht="35" customHeight="1" s="35">
      <c r="B41" s="4">
        <f>LAVORAZIONI!G162</f>
        <v/>
      </c>
      <c r="C41" s="3">
        <f>LAVORAZIONI!A162</f>
        <v/>
      </c>
      <c r="D41" s="3">
        <f>LAVORAZIONI!K162</f>
        <v/>
      </c>
      <c r="E41" s="4">
        <f>LAVORAZIONI!H162</f>
        <v/>
      </c>
      <c r="F41" s="4">
        <f>LAVORAZIONI!M162</f>
        <v/>
      </c>
      <c r="G41" s="5">
        <f>LAVORAZIONI!N162</f>
        <v/>
      </c>
      <c r="H41" s="6">
        <f>LAVORAZIONI!O162</f>
        <v/>
      </c>
      <c r="I41" s="13">
        <f>LAVORAZIONI!P162</f>
        <v/>
      </c>
      <c r="J41" s="5">
        <f>IF(LAVORAZIONI!Q162="","",LAVORAZIONI!Q162)</f>
        <v/>
      </c>
      <c r="K41" s="6">
        <f>IF(LAVORAZIONI!R162="","",LAVORAZIONI!R162)</f>
        <v/>
      </c>
      <c r="L41" s="13">
        <f>IF(LAVORAZIONI!S162="","",LAVORAZIONI!S162)</f>
        <v/>
      </c>
      <c r="M41" s="13">
        <f>LAVORAZIONI!T162</f>
        <v/>
      </c>
      <c r="O41" s="7">
        <f>LAVORAZIONI!U162</f>
        <v/>
      </c>
      <c r="P41" s="37">
        <f>LAVORAZIONI!V162</f>
        <v/>
      </c>
      <c r="Q41" s="7">
        <f>LAVORAZIONI!W162</f>
        <v/>
      </c>
      <c r="R41" s="6">
        <f>LAVORAZIONI!X162</f>
        <v/>
      </c>
      <c r="S41" s="7">
        <f>LAVORAZIONI!Y162</f>
        <v/>
      </c>
      <c r="T41" s="6">
        <f>LAVORAZIONI!Z162</f>
        <v/>
      </c>
      <c r="U41" s="7">
        <f>LAVORAZIONI!AA162</f>
        <v/>
      </c>
      <c r="V41" s="6">
        <f>LAVORAZIONI!AB162</f>
        <v/>
      </c>
      <c r="W41" s="7">
        <f>LAVORAZIONI!AC162</f>
        <v/>
      </c>
      <c r="X41" s="6">
        <f>LAVORAZIONI!AD162</f>
        <v/>
      </c>
      <c r="Y41" s="7">
        <f>LAVORAZIONI!AE162</f>
        <v/>
      </c>
      <c r="Z41" s="6">
        <f>LAVORAZIONI!AF162</f>
        <v/>
      </c>
      <c r="AA41" s="7">
        <f>LAVORAZIONI!AG162</f>
        <v/>
      </c>
      <c r="AB41" s="6">
        <f>LAVORAZIONI!AH162</f>
        <v/>
      </c>
      <c r="AC41" s="7">
        <f>LAVORAZIONI!AI162</f>
        <v/>
      </c>
      <c r="AD41" s="13">
        <f>LAVORAZIONI!AJ162</f>
        <v/>
      </c>
    </row>
    <row r="42" ht="35" customHeight="1" s="35">
      <c r="B42" s="4">
        <f>LAVORAZIONI!G163</f>
        <v/>
      </c>
      <c r="C42" s="3">
        <f>LAVORAZIONI!A163</f>
        <v/>
      </c>
      <c r="D42" s="3">
        <f>LAVORAZIONI!K163</f>
        <v/>
      </c>
      <c r="E42" s="4">
        <f>LAVORAZIONI!H163</f>
        <v/>
      </c>
      <c r="F42" s="4">
        <f>LAVORAZIONI!M163</f>
        <v/>
      </c>
      <c r="G42" s="5">
        <f>LAVORAZIONI!N163</f>
        <v/>
      </c>
      <c r="H42" s="6">
        <f>LAVORAZIONI!O163</f>
        <v/>
      </c>
      <c r="I42" s="13">
        <f>LAVORAZIONI!P163</f>
        <v/>
      </c>
      <c r="J42" s="5">
        <f>IF(LAVORAZIONI!Q163="","",LAVORAZIONI!Q163)</f>
        <v/>
      </c>
      <c r="K42" s="6">
        <f>IF(LAVORAZIONI!R163="","",LAVORAZIONI!R163)</f>
        <v/>
      </c>
      <c r="L42" s="13">
        <f>IF(LAVORAZIONI!S163="","",LAVORAZIONI!S163)</f>
        <v/>
      </c>
      <c r="M42" s="13">
        <f>LAVORAZIONI!T163</f>
        <v/>
      </c>
      <c r="O42" s="7">
        <f>LAVORAZIONI!U163</f>
        <v/>
      </c>
      <c r="P42" s="37">
        <f>LAVORAZIONI!V163</f>
        <v/>
      </c>
      <c r="Q42" s="7">
        <f>LAVORAZIONI!W163</f>
        <v/>
      </c>
      <c r="R42" s="6">
        <f>LAVORAZIONI!X163</f>
        <v/>
      </c>
      <c r="S42" s="7">
        <f>LAVORAZIONI!Y163</f>
        <v/>
      </c>
      <c r="T42" s="6">
        <f>LAVORAZIONI!Z163</f>
        <v/>
      </c>
      <c r="U42" s="7">
        <f>LAVORAZIONI!AA163</f>
        <v/>
      </c>
      <c r="V42" s="6">
        <f>LAVORAZIONI!AB163</f>
        <v/>
      </c>
      <c r="W42" s="7">
        <f>LAVORAZIONI!AC163</f>
        <v/>
      </c>
      <c r="X42" s="6">
        <f>LAVORAZIONI!AD163</f>
        <v/>
      </c>
      <c r="Y42" s="7">
        <f>LAVORAZIONI!AE163</f>
        <v/>
      </c>
      <c r="Z42" s="6">
        <f>LAVORAZIONI!AF163</f>
        <v/>
      </c>
      <c r="AA42" s="7">
        <f>LAVORAZIONI!AG163</f>
        <v/>
      </c>
      <c r="AB42" s="6">
        <f>LAVORAZIONI!AH163</f>
        <v/>
      </c>
      <c r="AC42" s="7">
        <f>LAVORAZIONI!AI163</f>
        <v/>
      </c>
      <c r="AD42" s="13">
        <f>LAVORAZIONI!AJ163</f>
        <v/>
      </c>
    </row>
    <row r="43" ht="35" customHeight="1" s="35">
      <c r="B43" s="4">
        <f>LAVORAZIONI!G164</f>
        <v/>
      </c>
      <c r="C43" s="3">
        <f>LAVORAZIONI!A164</f>
        <v/>
      </c>
      <c r="D43" s="3">
        <f>LAVORAZIONI!K164</f>
        <v/>
      </c>
      <c r="E43" s="4">
        <f>LAVORAZIONI!H164</f>
        <v/>
      </c>
      <c r="F43" s="4">
        <f>LAVORAZIONI!M164</f>
        <v/>
      </c>
      <c r="G43" s="5">
        <f>LAVORAZIONI!N164</f>
        <v/>
      </c>
      <c r="H43" s="6">
        <f>LAVORAZIONI!O164</f>
        <v/>
      </c>
      <c r="I43" s="13">
        <f>LAVORAZIONI!P164</f>
        <v/>
      </c>
      <c r="J43" s="5">
        <f>IF(LAVORAZIONI!Q164="","",LAVORAZIONI!Q164)</f>
        <v/>
      </c>
      <c r="K43" s="6">
        <f>IF(LAVORAZIONI!R164="","",LAVORAZIONI!R164)</f>
        <v/>
      </c>
      <c r="L43" s="13">
        <f>IF(LAVORAZIONI!S164="","",LAVORAZIONI!S164)</f>
        <v/>
      </c>
      <c r="M43" s="13">
        <f>LAVORAZIONI!T164</f>
        <v/>
      </c>
      <c r="O43" s="7">
        <f>LAVORAZIONI!U164</f>
        <v/>
      </c>
      <c r="P43" s="37">
        <f>LAVORAZIONI!V164</f>
        <v/>
      </c>
      <c r="Q43" s="7">
        <f>LAVORAZIONI!W164</f>
        <v/>
      </c>
      <c r="R43" s="6">
        <f>LAVORAZIONI!X164</f>
        <v/>
      </c>
      <c r="S43" s="7">
        <f>LAVORAZIONI!Y164</f>
        <v/>
      </c>
      <c r="T43" s="6">
        <f>LAVORAZIONI!Z164</f>
        <v/>
      </c>
      <c r="U43" s="7">
        <f>LAVORAZIONI!AA164</f>
        <v/>
      </c>
      <c r="V43" s="6">
        <f>LAVORAZIONI!AB164</f>
        <v/>
      </c>
      <c r="W43" s="7">
        <f>LAVORAZIONI!AC164</f>
        <v/>
      </c>
      <c r="X43" s="6">
        <f>LAVORAZIONI!AD164</f>
        <v/>
      </c>
      <c r="Y43" s="7">
        <f>LAVORAZIONI!AE164</f>
        <v/>
      </c>
      <c r="Z43" s="6">
        <f>LAVORAZIONI!AF164</f>
        <v/>
      </c>
      <c r="AA43" s="7">
        <f>LAVORAZIONI!AG164</f>
        <v/>
      </c>
      <c r="AB43" s="6">
        <f>LAVORAZIONI!AH164</f>
        <v/>
      </c>
      <c r="AC43" s="7">
        <f>LAVORAZIONI!AI164</f>
        <v/>
      </c>
      <c r="AD43" s="13">
        <f>LAVORAZIONI!AJ164</f>
        <v/>
      </c>
    </row>
    <row r="44" ht="35" customHeight="1" s="35">
      <c r="B44" s="4">
        <f>LAVORAZIONI!G165</f>
        <v/>
      </c>
      <c r="C44" s="3">
        <f>LAVORAZIONI!A165</f>
        <v/>
      </c>
      <c r="D44" s="3">
        <f>LAVORAZIONI!K165</f>
        <v/>
      </c>
      <c r="E44" s="4">
        <f>LAVORAZIONI!H165</f>
        <v/>
      </c>
      <c r="F44" s="4">
        <f>LAVORAZIONI!M165</f>
        <v/>
      </c>
      <c r="G44" s="5">
        <f>LAVORAZIONI!N165</f>
        <v/>
      </c>
      <c r="H44" s="6">
        <f>LAVORAZIONI!O165</f>
        <v/>
      </c>
      <c r="I44" s="13">
        <f>LAVORAZIONI!P165</f>
        <v/>
      </c>
      <c r="J44" s="5">
        <f>IF(LAVORAZIONI!Q165="","",LAVORAZIONI!Q165)</f>
        <v/>
      </c>
      <c r="K44" s="6">
        <f>IF(LAVORAZIONI!R165="","",LAVORAZIONI!R165)</f>
        <v/>
      </c>
      <c r="L44" s="13">
        <f>IF(LAVORAZIONI!S165="","",LAVORAZIONI!S165)</f>
        <v/>
      </c>
      <c r="M44" s="13">
        <f>LAVORAZIONI!T165</f>
        <v/>
      </c>
      <c r="O44" s="7">
        <f>LAVORAZIONI!U165</f>
        <v/>
      </c>
      <c r="P44" s="37">
        <f>LAVORAZIONI!V165</f>
        <v/>
      </c>
      <c r="Q44" s="7">
        <f>LAVORAZIONI!W165</f>
        <v/>
      </c>
      <c r="R44" s="6">
        <f>LAVORAZIONI!X165</f>
        <v/>
      </c>
      <c r="S44" s="7">
        <f>LAVORAZIONI!Y165</f>
        <v/>
      </c>
      <c r="T44" s="6">
        <f>LAVORAZIONI!Z165</f>
        <v/>
      </c>
      <c r="U44" s="7">
        <f>LAVORAZIONI!AA165</f>
        <v/>
      </c>
      <c r="V44" s="6">
        <f>LAVORAZIONI!AB165</f>
        <v/>
      </c>
      <c r="W44" s="7">
        <f>LAVORAZIONI!AC165</f>
        <v/>
      </c>
      <c r="X44" s="6">
        <f>LAVORAZIONI!AD165</f>
        <v/>
      </c>
      <c r="Y44" s="7">
        <f>LAVORAZIONI!AE165</f>
        <v/>
      </c>
      <c r="Z44" s="6">
        <f>LAVORAZIONI!AF165</f>
        <v/>
      </c>
      <c r="AA44" s="7">
        <f>LAVORAZIONI!AG165</f>
        <v/>
      </c>
      <c r="AB44" s="6">
        <f>LAVORAZIONI!AH165</f>
        <v/>
      </c>
      <c r="AC44" s="7">
        <f>LAVORAZIONI!AI165</f>
        <v/>
      </c>
      <c r="AD44" s="13">
        <f>LAVORAZIONI!AJ165</f>
        <v/>
      </c>
    </row>
    <row r="45" ht="35" customHeight="1" s="35">
      <c r="B45" s="4">
        <f>LAVORAZIONI!G166</f>
        <v/>
      </c>
      <c r="C45" s="3">
        <f>LAVORAZIONI!A166</f>
        <v/>
      </c>
      <c r="D45" s="3">
        <f>LAVORAZIONI!K166</f>
        <v/>
      </c>
      <c r="E45" s="4">
        <f>LAVORAZIONI!H166</f>
        <v/>
      </c>
      <c r="F45" s="4">
        <f>LAVORAZIONI!M166</f>
        <v/>
      </c>
      <c r="G45" s="5">
        <f>LAVORAZIONI!N166</f>
        <v/>
      </c>
      <c r="H45" s="6">
        <f>LAVORAZIONI!O166</f>
        <v/>
      </c>
      <c r="I45" s="13">
        <f>LAVORAZIONI!P166</f>
        <v/>
      </c>
      <c r="J45" s="5">
        <f>IF(LAVORAZIONI!Q166="","",LAVORAZIONI!Q166)</f>
        <v/>
      </c>
      <c r="K45" s="6">
        <f>IF(LAVORAZIONI!R166="","",LAVORAZIONI!R166)</f>
        <v/>
      </c>
      <c r="L45" s="13">
        <f>IF(LAVORAZIONI!S166="","",LAVORAZIONI!S166)</f>
        <v/>
      </c>
      <c r="M45" s="13">
        <f>LAVORAZIONI!T166</f>
        <v/>
      </c>
      <c r="O45" s="7">
        <f>LAVORAZIONI!U166</f>
        <v/>
      </c>
      <c r="P45" s="37">
        <f>LAVORAZIONI!V166</f>
        <v/>
      </c>
      <c r="Q45" s="7">
        <f>LAVORAZIONI!W166</f>
        <v/>
      </c>
      <c r="R45" s="6">
        <f>LAVORAZIONI!X166</f>
        <v/>
      </c>
      <c r="S45" s="7">
        <f>LAVORAZIONI!Y166</f>
        <v/>
      </c>
      <c r="T45" s="6">
        <f>LAVORAZIONI!Z166</f>
        <v/>
      </c>
      <c r="U45" s="7">
        <f>LAVORAZIONI!AA166</f>
        <v/>
      </c>
      <c r="V45" s="6">
        <f>LAVORAZIONI!AB166</f>
        <v/>
      </c>
      <c r="W45" s="7">
        <f>LAVORAZIONI!AC166</f>
        <v/>
      </c>
      <c r="X45" s="6">
        <f>LAVORAZIONI!AD166</f>
        <v/>
      </c>
      <c r="Y45" s="7">
        <f>LAVORAZIONI!AE166</f>
        <v/>
      </c>
      <c r="Z45" s="6">
        <f>LAVORAZIONI!AF166</f>
        <v/>
      </c>
      <c r="AA45" s="7">
        <f>LAVORAZIONI!AG166</f>
        <v/>
      </c>
      <c r="AB45" s="6">
        <f>LAVORAZIONI!AH166</f>
        <v/>
      </c>
      <c r="AC45" s="7">
        <f>LAVORAZIONI!AI166</f>
        <v/>
      </c>
      <c r="AD45" s="13">
        <f>LAVORAZIONI!AJ166</f>
        <v/>
      </c>
    </row>
    <row r="46" ht="35" customHeight="1" s="35">
      <c r="B46" s="4">
        <f>LAVORAZIONI!G167</f>
        <v/>
      </c>
      <c r="C46" s="3">
        <f>LAVORAZIONI!A167</f>
        <v/>
      </c>
      <c r="D46" s="3">
        <f>LAVORAZIONI!K167</f>
        <v/>
      </c>
      <c r="E46" s="4">
        <f>LAVORAZIONI!H167</f>
        <v/>
      </c>
      <c r="F46" s="4">
        <f>LAVORAZIONI!M167</f>
        <v/>
      </c>
      <c r="G46" s="5">
        <f>LAVORAZIONI!N167</f>
        <v/>
      </c>
      <c r="H46" s="6">
        <f>LAVORAZIONI!O167</f>
        <v/>
      </c>
      <c r="I46" s="13">
        <f>LAVORAZIONI!P167</f>
        <v/>
      </c>
      <c r="J46" s="5">
        <f>IF(LAVORAZIONI!Q167="","",LAVORAZIONI!Q167)</f>
        <v/>
      </c>
      <c r="K46" s="6">
        <f>IF(LAVORAZIONI!R167="","",LAVORAZIONI!R167)</f>
        <v/>
      </c>
      <c r="L46" s="13">
        <f>IF(LAVORAZIONI!S167="","",LAVORAZIONI!S167)</f>
        <v/>
      </c>
      <c r="M46" s="13">
        <f>LAVORAZIONI!T167</f>
        <v/>
      </c>
      <c r="O46" s="7">
        <f>LAVORAZIONI!U167</f>
        <v/>
      </c>
      <c r="P46" s="37">
        <f>LAVORAZIONI!V167</f>
        <v/>
      </c>
      <c r="Q46" s="7">
        <f>LAVORAZIONI!W167</f>
        <v/>
      </c>
      <c r="R46" s="6">
        <f>LAVORAZIONI!X167</f>
        <v/>
      </c>
      <c r="S46" s="7">
        <f>LAVORAZIONI!Y167</f>
        <v/>
      </c>
      <c r="T46" s="6">
        <f>LAVORAZIONI!Z167</f>
        <v/>
      </c>
      <c r="U46" s="7">
        <f>LAVORAZIONI!AA167</f>
        <v/>
      </c>
      <c r="V46" s="6">
        <f>LAVORAZIONI!AB167</f>
        <v/>
      </c>
      <c r="W46" s="7">
        <f>LAVORAZIONI!AC167</f>
        <v/>
      </c>
      <c r="X46" s="6">
        <f>LAVORAZIONI!AD167</f>
        <v/>
      </c>
      <c r="Y46" s="7">
        <f>LAVORAZIONI!AE167</f>
        <v/>
      </c>
      <c r="Z46" s="6">
        <f>LAVORAZIONI!AF167</f>
        <v/>
      </c>
      <c r="AA46" s="7">
        <f>LAVORAZIONI!AG167</f>
        <v/>
      </c>
      <c r="AB46" s="6">
        <f>LAVORAZIONI!AH167</f>
        <v/>
      </c>
      <c r="AC46" s="7">
        <f>LAVORAZIONI!AI167</f>
        <v/>
      </c>
      <c r="AD46" s="13">
        <f>LAVORAZIONI!AJ167</f>
        <v/>
      </c>
    </row>
    <row r="47" ht="35" customHeight="1" s="35">
      <c r="B47" s="4">
        <f>LAVORAZIONI!G168</f>
        <v/>
      </c>
      <c r="C47" s="3">
        <f>LAVORAZIONI!A168</f>
        <v/>
      </c>
      <c r="D47" s="3">
        <f>LAVORAZIONI!K168</f>
        <v/>
      </c>
      <c r="E47" s="4">
        <f>LAVORAZIONI!H168</f>
        <v/>
      </c>
      <c r="F47" s="4">
        <f>LAVORAZIONI!M168</f>
        <v/>
      </c>
      <c r="G47" s="5">
        <f>LAVORAZIONI!N168</f>
        <v/>
      </c>
      <c r="H47" s="6">
        <f>LAVORAZIONI!O168</f>
        <v/>
      </c>
      <c r="I47" s="13">
        <f>LAVORAZIONI!P168</f>
        <v/>
      </c>
      <c r="J47" s="5">
        <f>IF(LAVORAZIONI!Q168="","",LAVORAZIONI!Q168)</f>
        <v/>
      </c>
      <c r="K47" s="6">
        <f>IF(LAVORAZIONI!R168="","",LAVORAZIONI!R168)</f>
        <v/>
      </c>
      <c r="L47" s="13">
        <f>IF(LAVORAZIONI!S168="","",LAVORAZIONI!S168)</f>
        <v/>
      </c>
      <c r="M47" s="13">
        <f>LAVORAZIONI!T168</f>
        <v/>
      </c>
      <c r="O47" s="7">
        <f>LAVORAZIONI!U168</f>
        <v/>
      </c>
      <c r="P47" s="37">
        <f>LAVORAZIONI!V168</f>
        <v/>
      </c>
      <c r="Q47" s="7">
        <f>LAVORAZIONI!W168</f>
        <v/>
      </c>
      <c r="R47" s="6">
        <f>LAVORAZIONI!X168</f>
        <v/>
      </c>
      <c r="S47" s="7">
        <f>LAVORAZIONI!Y168</f>
        <v/>
      </c>
      <c r="T47" s="6">
        <f>LAVORAZIONI!Z168</f>
        <v/>
      </c>
      <c r="U47" s="7">
        <f>LAVORAZIONI!AA168</f>
        <v/>
      </c>
      <c r="V47" s="6">
        <f>LAVORAZIONI!AB168</f>
        <v/>
      </c>
      <c r="W47" s="7">
        <f>LAVORAZIONI!AC168</f>
        <v/>
      </c>
      <c r="X47" s="6">
        <f>LAVORAZIONI!AD168</f>
        <v/>
      </c>
      <c r="Y47" s="7">
        <f>LAVORAZIONI!AE168</f>
        <v/>
      </c>
      <c r="Z47" s="6">
        <f>LAVORAZIONI!AF168</f>
        <v/>
      </c>
      <c r="AA47" s="7">
        <f>LAVORAZIONI!AG168</f>
        <v/>
      </c>
      <c r="AB47" s="6">
        <f>LAVORAZIONI!AH168</f>
        <v/>
      </c>
      <c r="AC47" s="7">
        <f>LAVORAZIONI!AI168</f>
        <v/>
      </c>
      <c r="AD47" s="13">
        <f>LAVORAZIONI!AJ168</f>
        <v/>
      </c>
    </row>
    <row r="48" ht="35" customHeight="1" s="35">
      <c r="B48" s="4">
        <f>LAVORAZIONI!G169</f>
        <v/>
      </c>
      <c r="C48" s="3">
        <f>LAVORAZIONI!A169</f>
        <v/>
      </c>
      <c r="D48" s="3">
        <f>LAVORAZIONI!K169</f>
        <v/>
      </c>
      <c r="E48" s="4">
        <f>LAVORAZIONI!H169</f>
        <v/>
      </c>
      <c r="F48" s="4">
        <f>LAVORAZIONI!M169</f>
        <v/>
      </c>
      <c r="G48" s="5">
        <f>LAVORAZIONI!N169</f>
        <v/>
      </c>
      <c r="H48" s="6">
        <f>LAVORAZIONI!O169</f>
        <v/>
      </c>
      <c r="I48" s="13">
        <f>LAVORAZIONI!P169</f>
        <v/>
      </c>
      <c r="J48" s="5">
        <f>IF(LAVORAZIONI!Q169="","",LAVORAZIONI!Q169)</f>
        <v/>
      </c>
      <c r="K48" s="6">
        <f>IF(LAVORAZIONI!R169="","",LAVORAZIONI!R169)</f>
        <v/>
      </c>
      <c r="L48" s="13">
        <f>IF(LAVORAZIONI!S169="","",LAVORAZIONI!S169)</f>
        <v/>
      </c>
      <c r="M48" s="13">
        <f>LAVORAZIONI!T169</f>
        <v/>
      </c>
      <c r="O48" s="7">
        <f>LAVORAZIONI!U169</f>
        <v/>
      </c>
      <c r="P48" s="37">
        <f>LAVORAZIONI!V169</f>
        <v/>
      </c>
      <c r="Q48" s="7">
        <f>LAVORAZIONI!W169</f>
        <v/>
      </c>
      <c r="R48" s="6">
        <f>LAVORAZIONI!X169</f>
        <v/>
      </c>
      <c r="S48" s="7">
        <f>LAVORAZIONI!Y169</f>
        <v/>
      </c>
      <c r="T48" s="6">
        <f>LAVORAZIONI!Z169</f>
        <v/>
      </c>
      <c r="U48" s="7">
        <f>LAVORAZIONI!AA169</f>
        <v/>
      </c>
      <c r="V48" s="6">
        <f>LAVORAZIONI!AB169</f>
        <v/>
      </c>
      <c r="W48" s="7">
        <f>LAVORAZIONI!AC169</f>
        <v/>
      </c>
      <c r="X48" s="6">
        <f>LAVORAZIONI!AD169</f>
        <v/>
      </c>
      <c r="Y48" s="7">
        <f>LAVORAZIONI!AE169</f>
        <v/>
      </c>
      <c r="Z48" s="6">
        <f>LAVORAZIONI!AF169</f>
        <v/>
      </c>
      <c r="AA48" s="7">
        <f>LAVORAZIONI!AG169</f>
        <v/>
      </c>
      <c r="AB48" s="6">
        <f>LAVORAZIONI!AH169</f>
        <v/>
      </c>
      <c r="AC48" s="7">
        <f>LAVORAZIONI!AI169</f>
        <v/>
      </c>
      <c r="AD48" s="13">
        <f>LAVORAZIONI!AJ169</f>
        <v/>
      </c>
    </row>
    <row r="49" ht="35" customHeight="1" s="35">
      <c r="B49" s="4">
        <f>LAVORAZIONI!G170</f>
        <v/>
      </c>
      <c r="C49" s="3">
        <f>LAVORAZIONI!A170</f>
        <v/>
      </c>
      <c r="D49" s="3">
        <f>LAVORAZIONI!K170</f>
        <v/>
      </c>
      <c r="E49" s="4">
        <f>LAVORAZIONI!H170</f>
        <v/>
      </c>
      <c r="F49" s="4">
        <f>LAVORAZIONI!M170</f>
        <v/>
      </c>
      <c r="G49" s="5">
        <f>LAVORAZIONI!N170</f>
        <v/>
      </c>
      <c r="H49" s="6">
        <f>LAVORAZIONI!O170</f>
        <v/>
      </c>
      <c r="I49" s="13">
        <f>LAVORAZIONI!P170</f>
        <v/>
      </c>
      <c r="J49" s="5">
        <f>IF(LAVORAZIONI!Q170="","",LAVORAZIONI!Q170)</f>
        <v/>
      </c>
      <c r="K49" s="6">
        <f>IF(LAVORAZIONI!R170="","",LAVORAZIONI!R170)</f>
        <v/>
      </c>
      <c r="L49" s="13">
        <f>IF(LAVORAZIONI!S170="","",LAVORAZIONI!S170)</f>
        <v/>
      </c>
      <c r="M49" s="13">
        <f>LAVORAZIONI!T170</f>
        <v/>
      </c>
      <c r="O49" s="7">
        <f>LAVORAZIONI!U170</f>
        <v/>
      </c>
      <c r="P49" s="37">
        <f>LAVORAZIONI!V170</f>
        <v/>
      </c>
      <c r="Q49" s="7">
        <f>LAVORAZIONI!W170</f>
        <v/>
      </c>
      <c r="R49" s="6">
        <f>LAVORAZIONI!X170</f>
        <v/>
      </c>
      <c r="S49" s="7">
        <f>LAVORAZIONI!Y170</f>
        <v/>
      </c>
      <c r="T49" s="6">
        <f>LAVORAZIONI!Z170</f>
        <v/>
      </c>
      <c r="U49" s="7">
        <f>LAVORAZIONI!AA170</f>
        <v/>
      </c>
      <c r="V49" s="6">
        <f>LAVORAZIONI!AB170</f>
        <v/>
      </c>
      <c r="W49" s="7">
        <f>LAVORAZIONI!AC170</f>
        <v/>
      </c>
      <c r="X49" s="6">
        <f>LAVORAZIONI!AD170</f>
        <v/>
      </c>
      <c r="Y49" s="7">
        <f>LAVORAZIONI!AE170</f>
        <v/>
      </c>
      <c r="Z49" s="6">
        <f>LAVORAZIONI!AF170</f>
        <v/>
      </c>
      <c r="AA49" s="7">
        <f>LAVORAZIONI!AG170</f>
        <v/>
      </c>
      <c r="AB49" s="6">
        <f>LAVORAZIONI!AH170</f>
        <v/>
      </c>
      <c r="AC49" s="7">
        <f>LAVORAZIONI!AI170</f>
        <v/>
      </c>
      <c r="AD49" s="13">
        <f>LAVORAZIONI!AJ170</f>
        <v/>
      </c>
    </row>
    <row r="50" ht="35" customHeight="1" s="35">
      <c r="B50" s="4">
        <f>LAVORAZIONI!G171</f>
        <v/>
      </c>
      <c r="C50" s="3">
        <f>LAVORAZIONI!A171</f>
        <v/>
      </c>
      <c r="D50" s="3">
        <f>LAVORAZIONI!K171</f>
        <v/>
      </c>
      <c r="E50" s="4">
        <f>LAVORAZIONI!H171</f>
        <v/>
      </c>
      <c r="F50" s="4">
        <f>LAVORAZIONI!M171</f>
        <v/>
      </c>
      <c r="G50" s="5">
        <f>LAVORAZIONI!N171</f>
        <v/>
      </c>
      <c r="H50" s="6">
        <f>LAVORAZIONI!O171</f>
        <v/>
      </c>
      <c r="I50" s="13">
        <f>LAVORAZIONI!P171</f>
        <v/>
      </c>
      <c r="J50" s="5">
        <f>IF(LAVORAZIONI!Q171="","",LAVORAZIONI!Q171)</f>
        <v/>
      </c>
      <c r="K50" s="6">
        <f>IF(LAVORAZIONI!R171="","",LAVORAZIONI!R171)</f>
        <v/>
      </c>
      <c r="L50" s="13">
        <f>IF(LAVORAZIONI!S171="","",LAVORAZIONI!S171)</f>
        <v/>
      </c>
      <c r="M50" s="13">
        <f>LAVORAZIONI!T171</f>
        <v/>
      </c>
      <c r="O50" s="7">
        <f>LAVORAZIONI!U171</f>
        <v/>
      </c>
      <c r="P50" s="37">
        <f>LAVORAZIONI!V171</f>
        <v/>
      </c>
      <c r="Q50" s="7">
        <f>LAVORAZIONI!W171</f>
        <v/>
      </c>
      <c r="R50" s="6">
        <f>LAVORAZIONI!X171</f>
        <v/>
      </c>
      <c r="S50" s="7">
        <f>LAVORAZIONI!Y171</f>
        <v/>
      </c>
      <c r="T50" s="6">
        <f>LAVORAZIONI!Z171</f>
        <v/>
      </c>
      <c r="U50" s="7">
        <f>LAVORAZIONI!AA171</f>
        <v/>
      </c>
      <c r="V50" s="6">
        <f>LAVORAZIONI!AB171</f>
        <v/>
      </c>
      <c r="W50" s="7">
        <f>LAVORAZIONI!AC171</f>
        <v/>
      </c>
      <c r="X50" s="6">
        <f>LAVORAZIONI!AD171</f>
        <v/>
      </c>
      <c r="Y50" s="7">
        <f>LAVORAZIONI!AE171</f>
        <v/>
      </c>
      <c r="Z50" s="6">
        <f>LAVORAZIONI!AF171</f>
        <v/>
      </c>
      <c r="AA50" s="7">
        <f>LAVORAZIONI!AG171</f>
        <v/>
      </c>
      <c r="AB50" s="6">
        <f>LAVORAZIONI!AH171</f>
        <v/>
      </c>
      <c r="AC50" s="7">
        <f>LAVORAZIONI!AI171</f>
        <v/>
      </c>
      <c r="AD50" s="13">
        <f>LAVORAZIONI!AJ171</f>
        <v/>
      </c>
    </row>
    <row r="51" ht="35" customHeight="1" s="35">
      <c r="D51" s="14" t="inlineStr">
        <is>
          <t>TOTALE EDILI SPECIALI</t>
        </is>
      </c>
      <c r="I51" s="10">
        <f>SUM(I4:I50)</f>
        <v/>
      </c>
      <c r="L51" s="10">
        <f>SUM(L4:L50)</f>
        <v/>
      </c>
      <c r="M51" s="10">
        <f>SUM(M4:M50)</f>
        <v/>
      </c>
      <c r="P51" s="38">
        <f>SUM(P4:P50)</f>
        <v/>
      </c>
      <c r="R51" s="10">
        <f>SUM(R4:R50)</f>
        <v/>
      </c>
      <c r="T51" s="10">
        <f>SUM(T4:T50)</f>
        <v/>
      </c>
      <c r="V51" s="10">
        <f>SUM(V4:V50)</f>
        <v/>
      </c>
      <c r="X51" s="10">
        <f>SUM(X4:X50)</f>
        <v/>
      </c>
      <c r="Z51" s="10">
        <f>SUM(Z4:Z50)</f>
        <v/>
      </c>
      <c r="AB51" s="10">
        <f>SUM(AB4:AB50)</f>
        <v/>
      </c>
      <c r="AD51" s="10">
        <f>SUM(AD4:AD50)</f>
        <v/>
      </c>
    </row>
  </sheetData>
  <mergeCells count="9">
    <mergeCell ref="O2:P2"/>
    <mergeCell ref="S2:T2"/>
    <mergeCell ref="Q2:R2"/>
    <mergeCell ref="W2:X2"/>
    <mergeCell ref="U2:V2"/>
    <mergeCell ref="AA2:AB2"/>
    <mergeCell ref="Y2:Z2"/>
    <mergeCell ref="AC2:AD2"/>
    <mergeCell ref="B1:L1"/>
  </mergeCells>
  <pageMargins left="0.75" right="0.75" top="1" bottom="1" header="0.511811023622047" footer="0.511811023622047"/>
  <pageSetup orientation="portrait" paperSize="9" horizontalDpi="300" verticalDpi="300"/>
</worksheet>
</file>

<file path=xl/worksheets/sheet4.xml><?xml version="1.0" encoding="utf-8"?>
<worksheet xmlns="http://schemas.openxmlformats.org/spreadsheetml/2006/main">
  <sheetPr>
    <outlinePr summaryBelow="1" summaryRight="1"/>
    <pageSetUpPr/>
  </sheetPr>
  <dimension ref="B1:AD89"/>
  <sheetViews>
    <sheetView showGridLines="0" zoomScaleNormal="100" workbookViewId="0">
      <pane xSplit="6" ySplit="3" topLeftCell="G80" activePane="bottomRight" state="frozen"/>
      <selection pane="topRight" activeCell="G1" sqref="G1"/>
      <selection pane="bottomLeft" activeCell="A4" sqref="A4"/>
      <selection pane="bottomRight" activeCell="M1" sqref="M1"/>
    </sheetView>
  </sheetViews>
  <sheetFormatPr baseColWidth="10" defaultColWidth="8.6640625" defaultRowHeight="75" customHeight="1"/>
  <cols>
    <col width="7" customWidth="1" style="35" min="2" max="2"/>
    <col width="22" customWidth="1" style="35" min="3" max="3"/>
    <col width="36" customWidth="1" style="35" min="4" max="4"/>
    <col width="16" customWidth="1" style="35" min="5" max="5"/>
    <col width="7" customWidth="1" style="35" min="6" max="6"/>
    <col width="9" customWidth="1" style="35" min="7" max="7"/>
    <col width="11" customWidth="1" style="35" min="8" max="8"/>
    <col width="13" customWidth="1" style="35" min="9" max="9"/>
    <col hidden="1" width="9" customWidth="1" style="35" min="10" max="10"/>
    <col hidden="1" width="11" customWidth="1" style="35" min="11" max="11"/>
    <col hidden="1" width="13" customWidth="1" style="35" min="12" max="12"/>
    <col width="13" customWidth="1" style="35" min="13" max="13"/>
    <col width="6" customWidth="1" style="35" min="15" max="15"/>
    <col width="12" customWidth="1" style="35" min="16" max="16"/>
    <col width="6" customWidth="1" style="35" min="17" max="17"/>
    <col width="12" customWidth="1" style="35" min="18" max="18"/>
    <col width="6" customWidth="1" style="35" min="19" max="19"/>
    <col width="12" customWidth="1" style="35" min="20" max="20"/>
    <col width="6" customWidth="1" style="35" min="21" max="21"/>
    <col width="12" customWidth="1" style="35" min="22" max="22"/>
    <col width="6" customWidth="1" style="35" min="23" max="23"/>
    <col width="12" customWidth="1" style="35" min="24" max="24"/>
    <col width="6" customWidth="1" style="35" min="25" max="25"/>
    <col width="12" customWidth="1" style="35" min="26" max="26"/>
    <col width="6" customWidth="1" style="35" min="27" max="27"/>
    <col width="12" customWidth="1" style="35" min="28" max="28"/>
    <col width="7" customWidth="1" style="35" min="29" max="29"/>
    <col width="13" customWidth="1" style="35" min="30" max="30"/>
  </cols>
  <sheetData>
    <row r="1" ht="75" customHeight="1" s="35">
      <c r="B1" s="27" t="inlineStr">
        <is>
          <t>DETTAGLIO SAL — OPERE MECCANICHE</t>
        </is>
      </c>
      <c r="C1" s="44" t="n"/>
      <c r="D1" s="44" t="n"/>
      <c r="E1" s="44" t="n"/>
      <c r="F1" s="44" t="n"/>
      <c r="G1" s="44" t="n"/>
      <c r="H1" s="44" t="n"/>
      <c r="I1" s="44" t="n"/>
      <c r="J1" s="44" t="n"/>
      <c r="K1" s="44" t="n"/>
      <c r="L1" s="20" t="n"/>
    </row>
    <row r="2" ht="53" customHeight="1" s="35">
      <c r="B2" s="26" t="inlineStr">
        <is>
          <t>Nr.Ord.</t>
        </is>
      </c>
      <c r="C2" s="26" t="inlineStr">
        <is>
          <t>TARIFFA</t>
        </is>
      </c>
      <c r="D2" s="26" t="inlineStr">
        <is>
          <t>DESIGNAZIONE</t>
        </is>
      </c>
      <c r="E2" s="26" t="inlineStr">
        <is>
          <t>STEP</t>
        </is>
      </c>
      <c r="F2" s="26" t="inlineStr">
        <is>
          <t>U.M.</t>
        </is>
      </c>
      <c r="G2" s="26" t="inlineStr">
        <is>
          <t>Q.tà PREV</t>
        </is>
      </c>
      <c r="H2" s="26" t="inlineStr">
        <is>
          <t>VAL.UNIT PREV</t>
        </is>
      </c>
      <c r="I2" s="26" t="inlineStr">
        <is>
          <t>TOTALE PREV</t>
        </is>
      </c>
      <c r="J2" s="26" t="inlineStr">
        <is>
          <t>Q.tà CONS</t>
        </is>
      </c>
      <c r="K2" s="26" t="inlineStr">
        <is>
          <t>VAL.UNIT CONS</t>
        </is>
      </c>
      <c r="L2" s="26" t="inlineStr">
        <is>
          <t>TOTALE CONS</t>
        </is>
      </c>
      <c r="M2" s="26" t="inlineStr">
        <is>
          <t>VALORE PER SAL</t>
        </is>
      </c>
      <c r="O2" s="28" t="inlineStr">
        <is>
          <t>SAL 01 APRILE</t>
        </is>
      </c>
      <c r="P2" s="20" t="n"/>
      <c r="Q2" s="26" t="inlineStr">
        <is>
          <t>SAL 02 MAGGIO</t>
        </is>
      </c>
      <c r="R2" s="20" t="n"/>
      <c r="S2" s="26" t="inlineStr">
        <is>
          <t>SAL 03 GIUGNO</t>
        </is>
      </c>
      <c r="T2" s="20" t="n"/>
      <c r="U2" s="26" t="inlineStr">
        <is>
          <t>SAL 04 LUGLIO</t>
        </is>
      </c>
      <c r="V2" s="20" t="n"/>
      <c r="W2" s="26" t="inlineStr">
        <is>
          <t>SAL 05 AGOSTO</t>
        </is>
      </c>
      <c r="X2" s="20" t="n"/>
      <c r="Y2" s="26" t="inlineStr">
        <is>
          <t>SAL 06 SETTEMBRE</t>
        </is>
      </c>
      <c r="Z2" s="20" t="n"/>
      <c r="AA2" s="26" t="inlineStr">
        <is>
          <t>SAL 07 OTTOBRE</t>
        </is>
      </c>
      <c r="AB2" s="20" t="n"/>
      <c r="AC2" s="26" t="inlineStr">
        <is>
          <t>TOTALE COMPL.</t>
        </is>
      </c>
      <c r="AD2" s="20" t="n"/>
    </row>
    <row r="3" ht="39" customHeight="1" s="35">
      <c r="O3" s="12" t="inlineStr">
        <is>
          <t>%</t>
        </is>
      </c>
      <c r="P3" s="36" t="inlineStr">
        <is>
          <t>TOTALE</t>
        </is>
      </c>
      <c r="Q3" s="12" t="inlineStr">
        <is>
          <t>%</t>
        </is>
      </c>
      <c r="R3" s="12" t="inlineStr">
        <is>
          <t>TOTALE</t>
        </is>
      </c>
      <c r="S3" s="12" t="inlineStr">
        <is>
          <t>%</t>
        </is>
      </c>
      <c r="T3" s="12" t="inlineStr">
        <is>
          <t>TOTALE</t>
        </is>
      </c>
      <c r="U3" s="12" t="inlineStr">
        <is>
          <t>%</t>
        </is>
      </c>
      <c r="V3" s="12" t="inlineStr">
        <is>
          <t>TOTALE</t>
        </is>
      </c>
      <c r="W3" s="12" t="inlineStr">
        <is>
          <t>%</t>
        </is>
      </c>
      <c r="X3" s="12" t="inlineStr">
        <is>
          <t>TOTALE</t>
        </is>
      </c>
      <c r="Y3" s="12" t="inlineStr">
        <is>
          <t>%</t>
        </is>
      </c>
      <c r="Z3" s="12" t="inlineStr">
        <is>
          <t>TOTALE</t>
        </is>
      </c>
      <c r="AA3" s="12" t="inlineStr">
        <is>
          <t>%</t>
        </is>
      </c>
      <c r="AB3" s="12" t="inlineStr">
        <is>
          <t>TOTALE</t>
        </is>
      </c>
      <c r="AC3" s="12" t="inlineStr">
        <is>
          <t>%</t>
        </is>
      </c>
      <c r="AD3" s="12" t="inlineStr">
        <is>
          <t>TOTALE</t>
        </is>
      </c>
    </row>
    <row r="4" ht="75" customHeight="1" s="35">
      <c r="B4" s="4">
        <f>LAVORAZIONI!G172</f>
        <v/>
      </c>
      <c r="C4" s="3">
        <f>LAVORAZIONI!A172</f>
        <v/>
      </c>
      <c r="D4" s="3">
        <f>LAVORAZIONI!K172</f>
        <v/>
      </c>
      <c r="E4" s="4">
        <f>LAVORAZIONI!H172</f>
        <v/>
      </c>
      <c r="F4" s="4">
        <f>LAVORAZIONI!M172</f>
        <v/>
      </c>
      <c r="G4" s="5">
        <f>LAVORAZIONI!N172</f>
        <v/>
      </c>
      <c r="H4" s="6">
        <f>LAVORAZIONI!O172</f>
        <v/>
      </c>
      <c r="I4" s="13">
        <f>LAVORAZIONI!P172</f>
        <v/>
      </c>
      <c r="J4" s="5">
        <f>IF(LAVORAZIONI!Q172="","",LAVORAZIONI!Q172)</f>
        <v/>
      </c>
      <c r="K4" s="6">
        <f>IF(LAVORAZIONI!R172="","",LAVORAZIONI!R172)</f>
        <v/>
      </c>
      <c r="L4" s="13">
        <f>IF(LAVORAZIONI!S172="","",LAVORAZIONI!S172)</f>
        <v/>
      </c>
      <c r="M4" s="13">
        <f>LAVORAZIONI!T172</f>
        <v/>
      </c>
      <c r="O4" s="7">
        <f>LAVORAZIONI!U172</f>
        <v/>
      </c>
      <c r="P4" s="37">
        <f>LAVORAZIONI!V172</f>
        <v/>
      </c>
      <c r="Q4" s="7">
        <f>LAVORAZIONI!W172</f>
        <v/>
      </c>
      <c r="R4" s="6">
        <f>LAVORAZIONI!X172</f>
        <v/>
      </c>
      <c r="S4" s="7">
        <f>LAVORAZIONI!Y172</f>
        <v/>
      </c>
      <c r="T4" s="6">
        <f>LAVORAZIONI!Z172</f>
        <v/>
      </c>
      <c r="U4" s="7">
        <f>LAVORAZIONI!AA172</f>
        <v/>
      </c>
      <c r="V4" s="6">
        <f>LAVORAZIONI!AB172</f>
        <v/>
      </c>
      <c r="W4" s="7">
        <f>LAVORAZIONI!AC172</f>
        <v/>
      </c>
      <c r="X4" s="6">
        <f>LAVORAZIONI!AD172</f>
        <v/>
      </c>
      <c r="Y4" s="7">
        <f>LAVORAZIONI!AE172</f>
        <v/>
      </c>
      <c r="Z4" s="6">
        <f>LAVORAZIONI!AF172</f>
        <v/>
      </c>
      <c r="AA4" s="7">
        <f>LAVORAZIONI!AG172</f>
        <v/>
      </c>
      <c r="AB4" s="6">
        <f>LAVORAZIONI!AH172</f>
        <v/>
      </c>
      <c r="AC4" s="7">
        <f>LAVORAZIONI!AI172</f>
        <v/>
      </c>
      <c r="AD4" s="13">
        <f>LAVORAZIONI!AJ172</f>
        <v/>
      </c>
    </row>
    <row r="5" ht="75" customHeight="1" s="35">
      <c r="B5" s="4">
        <f>LAVORAZIONI!G173</f>
        <v/>
      </c>
      <c r="C5" s="3">
        <f>LAVORAZIONI!A173</f>
        <v/>
      </c>
      <c r="D5" s="3">
        <f>LAVORAZIONI!K173</f>
        <v/>
      </c>
      <c r="E5" s="4">
        <f>LAVORAZIONI!H173</f>
        <v/>
      </c>
      <c r="F5" s="4">
        <f>LAVORAZIONI!M173</f>
        <v/>
      </c>
      <c r="G5" s="5">
        <f>LAVORAZIONI!N173</f>
        <v/>
      </c>
      <c r="H5" s="6">
        <f>LAVORAZIONI!O173</f>
        <v/>
      </c>
      <c r="I5" s="13">
        <f>LAVORAZIONI!P173</f>
        <v/>
      </c>
      <c r="J5" s="5">
        <f>IF(LAVORAZIONI!Q173="","",LAVORAZIONI!Q173)</f>
        <v/>
      </c>
      <c r="K5" s="6">
        <f>IF(LAVORAZIONI!R173="","",LAVORAZIONI!R173)</f>
        <v/>
      </c>
      <c r="L5" s="13">
        <f>IF(LAVORAZIONI!S173="","",LAVORAZIONI!S173)</f>
        <v/>
      </c>
      <c r="M5" s="13">
        <f>LAVORAZIONI!T173</f>
        <v/>
      </c>
      <c r="O5" s="7">
        <f>LAVORAZIONI!U173</f>
        <v/>
      </c>
      <c r="P5" s="37">
        <f>LAVORAZIONI!V173</f>
        <v/>
      </c>
      <c r="Q5" s="7">
        <f>LAVORAZIONI!W173</f>
        <v/>
      </c>
      <c r="R5" s="6">
        <f>LAVORAZIONI!X173</f>
        <v/>
      </c>
      <c r="S5" s="7">
        <f>LAVORAZIONI!Y173</f>
        <v/>
      </c>
      <c r="T5" s="6">
        <f>LAVORAZIONI!Z173</f>
        <v/>
      </c>
      <c r="U5" s="7">
        <f>LAVORAZIONI!AA173</f>
        <v/>
      </c>
      <c r="V5" s="6">
        <f>LAVORAZIONI!AB173</f>
        <v/>
      </c>
      <c r="W5" s="7">
        <f>LAVORAZIONI!AC173</f>
        <v/>
      </c>
      <c r="X5" s="6">
        <f>LAVORAZIONI!AD173</f>
        <v/>
      </c>
      <c r="Y5" s="7">
        <f>LAVORAZIONI!AE173</f>
        <v/>
      </c>
      <c r="Z5" s="6">
        <f>LAVORAZIONI!AF173</f>
        <v/>
      </c>
      <c r="AA5" s="7">
        <f>LAVORAZIONI!AG173</f>
        <v/>
      </c>
      <c r="AB5" s="6">
        <f>LAVORAZIONI!AH173</f>
        <v/>
      </c>
      <c r="AC5" s="7">
        <f>LAVORAZIONI!AI173</f>
        <v/>
      </c>
      <c r="AD5" s="13">
        <f>LAVORAZIONI!AJ173</f>
        <v/>
      </c>
    </row>
    <row r="6" ht="75" customHeight="1" s="35">
      <c r="B6" s="4">
        <f>LAVORAZIONI!G174</f>
        <v/>
      </c>
      <c r="C6" s="3">
        <f>LAVORAZIONI!A174</f>
        <v/>
      </c>
      <c r="D6" s="3">
        <f>LAVORAZIONI!K174</f>
        <v/>
      </c>
      <c r="E6" s="4">
        <f>LAVORAZIONI!H174</f>
        <v/>
      </c>
      <c r="F6" s="4">
        <f>LAVORAZIONI!M174</f>
        <v/>
      </c>
      <c r="G6" s="5">
        <f>LAVORAZIONI!N174</f>
        <v/>
      </c>
      <c r="H6" s="6">
        <f>LAVORAZIONI!O174</f>
        <v/>
      </c>
      <c r="I6" s="13">
        <f>LAVORAZIONI!P174</f>
        <v/>
      </c>
      <c r="J6" s="5">
        <f>IF(LAVORAZIONI!Q174="","",LAVORAZIONI!Q174)</f>
        <v/>
      </c>
      <c r="K6" s="6">
        <f>IF(LAVORAZIONI!R174="","",LAVORAZIONI!R174)</f>
        <v/>
      </c>
      <c r="L6" s="13">
        <f>IF(LAVORAZIONI!S174="","",LAVORAZIONI!S174)</f>
        <v/>
      </c>
      <c r="M6" s="13">
        <f>LAVORAZIONI!T174</f>
        <v/>
      </c>
      <c r="O6" s="7">
        <f>LAVORAZIONI!U174</f>
        <v/>
      </c>
      <c r="P6" s="37">
        <f>LAVORAZIONI!V174</f>
        <v/>
      </c>
      <c r="Q6" s="7">
        <f>LAVORAZIONI!W174</f>
        <v/>
      </c>
      <c r="R6" s="6">
        <f>LAVORAZIONI!X174</f>
        <v/>
      </c>
      <c r="S6" s="7">
        <f>LAVORAZIONI!Y174</f>
        <v/>
      </c>
      <c r="T6" s="6">
        <f>LAVORAZIONI!Z174</f>
        <v/>
      </c>
      <c r="U6" s="7">
        <f>LAVORAZIONI!AA174</f>
        <v/>
      </c>
      <c r="V6" s="6">
        <f>LAVORAZIONI!AB174</f>
        <v/>
      </c>
      <c r="W6" s="7">
        <f>LAVORAZIONI!AC174</f>
        <v/>
      </c>
      <c r="X6" s="6">
        <f>LAVORAZIONI!AD174</f>
        <v/>
      </c>
      <c r="Y6" s="7">
        <f>LAVORAZIONI!AE174</f>
        <v/>
      </c>
      <c r="Z6" s="6">
        <f>LAVORAZIONI!AF174</f>
        <v/>
      </c>
      <c r="AA6" s="7">
        <f>LAVORAZIONI!AG174</f>
        <v/>
      </c>
      <c r="AB6" s="6">
        <f>LAVORAZIONI!AH174</f>
        <v/>
      </c>
      <c r="AC6" s="7">
        <f>LAVORAZIONI!AI174</f>
        <v/>
      </c>
      <c r="AD6" s="13">
        <f>LAVORAZIONI!AJ174</f>
        <v/>
      </c>
    </row>
    <row r="7" ht="75" customHeight="1" s="35">
      <c r="B7" s="4">
        <f>LAVORAZIONI!G175</f>
        <v/>
      </c>
      <c r="C7" s="3">
        <f>LAVORAZIONI!A175</f>
        <v/>
      </c>
      <c r="D7" s="3">
        <f>LAVORAZIONI!K175</f>
        <v/>
      </c>
      <c r="E7" s="4">
        <f>LAVORAZIONI!H175</f>
        <v/>
      </c>
      <c r="F7" s="4">
        <f>LAVORAZIONI!M175</f>
        <v/>
      </c>
      <c r="G7" s="5">
        <f>LAVORAZIONI!N175</f>
        <v/>
      </c>
      <c r="H7" s="6">
        <f>LAVORAZIONI!O175</f>
        <v/>
      </c>
      <c r="I7" s="13">
        <f>LAVORAZIONI!P175</f>
        <v/>
      </c>
      <c r="J7" s="5">
        <f>IF(LAVORAZIONI!Q175="","",LAVORAZIONI!Q175)</f>
        <v/>
      </c>
      <c r="K7" s="6">
        <f>IF(LAVORAZIONI!R175="","",LAVORAZIONI!R175)</f>
        <v/>
      </c>
      <c r="L7" s="13">
        <f>IF(LAVORAZIONI!S175="","",LAVORAZIONI!S175)</f>
        <v/>
      </c>
      <c r="M7" s="13">
        <f>LAVORAZIONI!T175</f>
        <v/>
      </c>
      <c r="O7" s="7">
        <f>LAVORAZIONI!U175</f>
        <v/>
      </c>
      <c r="P7" s="37">
        <f>LAVORAZIONI!V175</f>
        <v/>
      </c>
      <c r="Q7" s="7">
        <f>LAVORAZIONI!W175</f>
        <v/>
      </c>
      <c r="R7" s="6">
        <f>LAVORAZIONI!X175</f>
        <v/>
      </c>
      <c r="S7" s="7">
        <f>LAVORAZIONI!Y175</f>
        <v/>
      </c>
      <c r="T7" s="6">
        <f>LAVORAZIONI!Z175</f>
        <v/>
      </c>
      <c r="U7" s="7">
        <f>LAVORAZIONI!AA175</f>
        <v/>
      </c>
      <c r="V7" s="6">
        <f>LAVORAZIONI!AB175</f>
        <v/>
      </c>
      <c r="W7" s="7">
        <f>LAVORAZIONI!AC175</f>
        <v/>
      </c>
      <c r="X7" s="6">
        <f>LAVORAZIONI!AD175</f>
        <v/>
      </c>
      <c r="Y7" s="7">
        <f>LAVORAZIONI!AE175</f>
        <v/>
      </c>
      <c r="Z7" s="6">
        <f>LAVORAZIONI!AF175</f>
        <v/>
      </c>
      <c r="AA7" s="7">
        <f>LAVORAZIONI!AG175</f>
        <v/>
      </c>
      <c r="AB7" s="6">
        <f>LAVORAZIONI!AH175</f>
        <v/>
      </c>
      <c r="AC7" s="7">
        <f>LAVORAZIONI!AI175</f>
        <v/>
      </c>
      <c r="AD7" s="13">
        <f>LAVORAZIONI!AJ175</f>
        <v/>
      </c>
    </row>
    <row r="8" ht="75" customHeight="1" s="35">
      <c r="B8" s="4">
        <f>LAVORAZIONI!G176</f>
        <v/>
      </c>
      <c r="C8" s="3">
        <f>LAVORAZIONI!A176</f>
        <v/>
      </c>
      <c r="D8" s="3">
        <f>LAVORAZIONI!K176</f>
        <v/>
      </c>
      <c r="E8" s="4">
        <f>LAVORAZIONI!H176</f>
        <v/>
      </c>
      <c r="F8" s="4">
        <f>LAVORAZIONI!M176</f>
        <v/>
      </c>
      <c r="G8" s="5">
        <f>LAVORAZIONI!N176</f>
        <v/>
      </c>
      <c r="H8" s="6">
        <f>LAVORAZIONI!O176</f>
        <v/>
      </c>
      <c r="I8" s="13">
        <f>LAVORAZIONI!P176</f>
        <v/>
      </c>
      <c r="J8" s="5">
        <f>IF(LAVORAZIONI!Q176="","",LAVORAZIONI!Q176)</f>
        <v/>
      </c>
      <c r="K8" s="6">
        <f>IF(LAVORAZIONI!R176="","",LAVORAZIONI!R176)</f>
        <v/>
      </c>
      <c r="L8" s="13">
        <f>IF(LAVORAZIONI!S176="","",LAVORAZIONI!S176)</f>
        <v/>
      </c>
      <c r="M8" s="13">
        <f>LAVORAZIONI!T176</f>
        <v/>
      </c>
      <c r="O8" s="7">
        <f>LAVORAZIONI!U176</f>
        <v/>
      </c>
      <c r="P8" s="37">
        <f>LAVORAZIONI!V176</f>
        <v/>
      </c>
      <c r="Q8" s="7">
        <f>LAVORAZIONI!W176</f>
        <v/>
      </c>
      <c r="R8" s="6">
        <f>LAVORAZIONI!X176</f>
        <v/>
      </c>
      <c r="S8" s="7">
        <f>LAVORAZIONI!Y176</f>
        <v/>
      </c>
      <c r="T8" s="6">
        <f>LAVORAZIONI!Z176</f>
        <v/>
      </c>
      <c r="U8" s="7">
        <f>LAVORAZIONI!AA176</f>
        <v/>
      </c>
      <c r="V8" s="6">
        <f>LAVORAZIONI!AB176</f>
        <v/>
      </c>
      <c r="W8" s="7">
        <f>LAVORAZIONI!AC176</f>
        <v/>
      </c>
      <c r="X8" s="6">
        <f>LAVORAZIONI!AD176</f>
        <v/>
      </c>
      <c r="Y8" s="7">
        <f>LAVORAZIONI!AE176</f>
        <v/>
      </c>
      <c r="Z8" s="6">
        <f>LAVORAZIONI!AF176</f>
        <v/>
      </c>
      <c r="AA8" s="7">
        <f>LAVORAZIONI!AG176</f>
        <v/>
      </c>
      <c r="AB8" s="6">
        <f>LAVORAZIONI!AH176</f>
        <v/>
      </c>
      <c r="AC8" s="7">
        <f>LAVORAZIONI!AI176</f>
        <v/>
      </c>
      <c r="AD8" s="13">
        <f>LAVORAZIONI!AJ176</f>
        <v/>
      </c>
    </row>
    <row r="9" ht="75" customHeight="1" s="35">
      <c r="B9" s="4">
        <f>LAVORAZIONI!G177</f>
        <v/>
      </c>
      <c r="C9" s="3">
        <f>LAVORAZIONI!A177</f>
        <v/>
      </c>
      <c r="D9" s="3">
        <f>LAVORAZIONI!K177</f>
        <v/>
      </c>
      <c r="E9" s="4">
        <f>LAVORAZIONI!H177</f>
        <v/>
      </c>
      <c r="F9" s="4">
        <f>LAVORAZIONI!M177</f>
        <v/>
      </c>
      <c r="G9" s="5">
        <f>LAVORAZIONI!N177</f>
        <v/>
      </c>
      <c r="H9" s="6">
        <f>LAVORAZIONI!O177</f>
        <v/>
      </c>
      <c r="I9" s="13">
        <f>LAVORAZIONI!P177</f>
        <v/>
      </c>
      <c r="J9" s="5">
        <f>IF(LAVORAZIONI!Q177="","",LAVORAZIONI!Q177)</f>
        <v/>
      </c>
      <c r="K9" s="6">
        <f>IF(LAVORAZIONI!R177="","",LAVORAZIONI!R177)</f>
        <v/>
      </c>
      <c r="L9" s="13">
        <f>IF(LAVORAZIONI!S177="","",LAVORAZIONI!S177)</f>
        <v/>
      </c>
      <c r="M9" s="13">
        <f>LAVORAZIONI!T177</f>
        <v/>
      </c>
      <c r="O9" s="7">
        <f>LAVORAZIONI!U177</f>
        <v/>
      </c>
      <c r="P9" s="37">
        <f>LAVORAZIONI!V177</f>
        <v/>
      </c>
      <c r="Q9" s="7">
        <f>LAVORAZIONI!W177</f>
        <v/>
      </c>
      <c r="R9" s="6">
        <f>LAVORAZIONI!X177</f>
        <v/>
      </c>
      <c r="S9" s="7">
        <f>LAVORAZIONI!Y177</f>
        <v/>
      </c>
      <c r="T9" s="6">
        <f>LAVORAZIONI!Z177</f>
        <v/>
      </c>
      <c r="U9" s="7">
        <f>LAVORAZIONI!AA177</f>
        <v/>
      </c>
      <c r="V9" s="6">
        <f>LAVORAZIONI!AB177</f>
        <v/>
      </c>
      <c r="W9" s="7">
        <f>LAVORAZIONI!AC177</f>
        <v/>
      </c>
      <c r="X9" s="6">
        <f>LAVORAZIONI!AD177</f>
        <v/>
      </c>
      <c r="Y9" s="7">
        <f>LAVORAZIONI!AE177</f>
        <v/>
      </c>
      <c r="Z9" s="6">
        <f>LAVORAZIONI!AF177</f>
        <v/>
      </c>
      <c r="AA9" s="7">
        <f>LAVORAZIONI!AG177</f>
        <v/>
      </c>
      <c r="AB9" s="6">
        <f>LAVORAZIONI!AH177</f>
        <v/>
      </c>
      <c r="AC9" s="7">
        <f>LAVORAZIONI!AI177</f>
        <v/>
      </c>
      <c r="AD9" s="13">
        <f>LAVORAZIONI!AJ177</f>
        <v/>
      </c>
    </row>
    <row r="10" ht="75" customHeight="1" s="35">
      <c r="B10" s="4">
        <f>LAVORAZIONI!G178</f>
        <v/>
      </c>
      <c r="C10" s="3">
        <f>LAVORAZIONI!A178</f>
        <v/>
      </c>
      <c r="D10" s="3">
        <f>LAVORAZIONI!K178</f>
        <v/>
      </c>
      <c r="E10" s="4">
        <f>LAVORAZIONI!H178</f>
        <v/>
      </c>
      <c r="F10" s="4">
        <f>LAVORAZIONI!M178</f>
        <v/>
      </c>
      <c r="G10" s="5">
        <f>LAVORAZIONI!N178</f>
        <v/>
      </c>
      <c r="H10" s="6">
        <f>LAVORAZIONI!O178</f>
        <v/>
      </c>
      <c r="I10" s="13">
        <f>LAVORAZIONI!P178</f>
        <v/>
      </c>
      <c r="J10" s="5">
        <f>IF(LAVORAZIONI!Q178="","",LAVORAZIONI!Q178)</f>
        <v/>
      </c>
      <c r="K10" s="6">
        <f>IF(LAVORAZIONI!R178="","",LAVORAZIONI!R178)</f>
        <v/>
      </c>
      <c r="L10" s="13">
        <f>IF(LAVORAZIONI!S178="","",LAVORAZIONI!S178)</f>
        <v/>
      </c>
      <c r="M10" s="13">
        <f>LAVORAZIONI!T178</f>
        <v/>
      </c>
      <c r="O10" s="7">
        <f>LAVORAZIONI!U178</f>
        <v/>
      </c>
      <c r="P10" s="37">
        <f>LAVORAZIONI!V178</f>
        <v/>
      </c>
      <c r="Q10" s="7">
        <f>LAVORAZIONI!W178</f>
        <v/>
      </c>
      <c r="R10" s="6">
        <f>LAVORAZIONI!X178</f>
        <v/>
      </c>
      <c r="S10" s="7">
        <f>LAVORAZIONI!Y178</f>
        <v/>
      </c>
      <c r="T10" s="6">
        <f>LAVORAZIONI!Z178</f>
        <v/>
      </c>
      <c r="U10" s="7">
        <f>LAVORAZIONI!AA178</f>
        <v/>
      </c>
      <c r="V10" s="6">
        <f>LAVORAZIONI!AB178</f>
        <v/>
      </c>
      <c r="W10" s="7">
        <f>LAVORAZIONI!AC178</f>
        <v/>
      </c>
      <c r="X10" s="6">
        <f>LAVORAZIONI!AD178</f>
        <v/>
      </c>
      <c r="Y10" s="7">
        <f>LAVORAZIONI!AE178</f>
        <v/>
      </c>
      <c r="Z10" s="6">
        <f>LAVORAZIONI!AF178</f>
        <v/>
      </c>
      <c r="AA10" s="7">
        <f>LAVORAZIONI!AG178</f>
        <v/>
      </c>
      <c r="AB10" s="6">
        <f>LAVORAZIONI!AH178</f>
        <v/>
      </c>
      <c r="AC10" s="7">
        <f>LAVORAZIONI!AI178</f>
        <v/>
      </c>
      <c r="AD10" s="13">
        <f>LAVORAZIONI!AJ178</f>
        <v/>
      </c>
    </row>
    <row r="11" ht="75" customHeight="1" s="35">
      <c r="B11" s="4">
        <f>LAVORAZIONI!G179</f>
        <v/>
      </c>
      <c r="C11" s="3">
        <f>LAVORAZIONI!A179</f>
        <v/>
      </c>
      <c r="D11" s="3">
        <f>LAVORAZIONI!K179</f>
        <v/>
      </c>
      <c r="E11" s="4">
        <f>LAVORAZIONI!H179</f>
        <v/>
      </c>
      <c r="F11" s="4">
        <f>LAVORAZIONI!M179</f>
        <v/>
      </c>
      <c r="G11" s="5">
        <f>LAVORAZIONI!N179</f>
        <v/>
      </c>
      <c r="H11" s="6">
        <f>LAVORAZIONI!O179</f>
        <v/>
      </c>
      <c r="I11" s="13">
        <f>LAVORAZIONI!P179</f>
        <v/>
      </c>
      <c r="J11" s="5">
        <f>IF(LAVORAZIONI!Q179="","",LAVORAZIONI!Q179)</f>
        <v/>
      </c>
      <c r="K11" s="6">
        <f>IF(LAVORAZIONI!R179="","",LAVORAZIONI!R179)</f>
        <v/>
      </c>
      <c r="L11" s="13">
        <f>IF(LAVORAZIONI!S179="","",LAVORAZIONI!S179)</f>
        <v/>
      </c>
      <c r="M11" s="13">
        <f>LAVORAZIONI!T179</f>
        <v/>
      </c>
      <c r="O11" s="7">
        <f>LAVORAZIONI!U179</f>
        <v/>
      </c>
      <c r="P11" s="37">
        <f>LAVORAZIONI!V179</f>
        <v/>
      </c>
      <c r="Q11" s="7">
        <f>LAVORAZIONI!W179</f>
        <v/>
      </c>
      <c r="R11" s="6">
        <f>LAVORAZIONI!X179</f>
        <v/>
      </c>
      <c r="S11" s="7">
        <f>LAVORAZIONI!Y179</f>
        <v/>
      </c>
      <c r="T11" s="6">
        <f>LAVORAZIONI!Z179</f>
        <v/>
      </c>
      <c r="U11" s="7">
        <f>LAVORAZIONI!AA179</f>
        <v/>
      </c>
      <c r="V11" s="6">
        <f>LAVORAZIONI!AB179</f>
        <v/>
      </c>
      <c r="W11" s="7">
        <f>LAVORAZIONI!AC179</f>
        <v/>
      </c>
      <c r="X11" s="6">
        <f>LAVORAZIONI!AD179</f>
        <v/>
      </c>
      <c r="Y11" s="7">
        <f>LAVORAZIONI!AE179</f>
        <v/>
      </c>
      <c r="Z11" s="6">
        <f>LAVORAZIONI!AF179</f>
        <v/>
      </c>
      <c r="AA11" s="7">
        <f>LAVORAZIONI!AG179</f>
        <v/>
      </c>
      <c r="AB11" s="6">
        <f>LAVORAZIONI!AH179</f>
        <v/>
      </c>
      <c r="AC11" s="7">
        <f>LAVORAZIONI!AI179</f>
        <v/>
      </c>
      <c r="AD11" s="13">
        <f>LAVORAZIONI!AJ179</f>
        <v/>
      </c>
    </row>
    <row r="12" ht="75" customHeight="1" s="35">
      <c r="B12" s="4">
        <f>LAVORAZIONI!G180</f>
        <v/>
      </c>
      <c r="C12" s="3">
        <f>LAVORAZIONI!A180</f>
        <v/>
      </c>
      <c r="D12" s="3">
        <f>LAVORAZIONI!K180</f>
        <v/>
      </c>
      <c r="E12" s="4">
        <f>LAVORAZIONI!H180</f>
        <v/>
      </c>
      <c r="F12" s="4">
        <f>LAVORAZIONI!M180</f>
        <v/>
      </c>
      <c r="G12" s="5">
        <f>LAVORAZIONI!N180</f>
        <v/>
      </c>
      <c r="H12" s="6">
        <f>LAVORAZIONI!O180</f>
        <v/>
      </c>
      <c r="I12" s="13">
        <f>LAVORAZIONI!P180</f>
        <v/>
      </c>
      <c r="J12" s="5">
        <f>IF(LAVORAZIONI!Q180="","",LAVORAZIONI!Q180)</f>
        <v/>
      </c>
      <c r="K12" s="6">
        <f>IF(LAVORAZIONI!R180="","",LAVORAZIONI!R180)</f>
        <v/>
      </c>
      <c r="L12" s="13">
        <f>IF(LAVORAZIONI!S180="","",LAVORAZIONI!S180)</f>
        <v/>
      </c>
      <c r="M12" s="13">
        <f>LAVORAZIONI!T180</f>
        <v/>
      </c>
      <c r="O12" s="7">
        <f>LAVORAZIONI!U180</f>
        <v/>
      </c>
      <c r="P12" s="37">
        <f>LAVORAZIONI!V180</f>
        <v/>
      </c>
      <c r="Q12" s="7">
        <f>LAVORAZIONI!W180</f>
        <v/>
      </c>
      <c r="R12" s="6">
        <f>LAVORAZIONI!X180</f>
        <v/>
      </c>
      <c r="S12" s="7">
        <f>LAVORAZIONI!Y180</f>
        <v/>
      </c>
      <c r="T12" s="6">
        <f>LAVORAZIONI!Z180</f>
        <v/>
      </c>
      <c r="U12" s="7">
        <f>LAVORAZIONI!AA180</f>
        <v/>
      </c>
      <c r="V12" s="6">
        <f>LAVORAZIONI!AB180</f>
        <v/>
      </c>
      <c r="W12" s="7">
        <f>LAVORAZIONI!AC180</f>
        <v/>
      </c>
      <c r="X12" s="6">
        <f>LAVORAZIONI!AD180</f>
        <v/>
      </c>
      <c r="Y12" s="7">
        <f>LAVORAZIONI!AE180</f>
        <v/>
      </c>
      <c r="Z12" s="6">
        <f>LAVORAZIONI!AF180</f>
        <v/>
      </c>
      <c r="AA12" s="7">
        <f>LAVORAZIONI!AG180</f>
        <v/>
      </c>
      <c r="AB12" s="6">
        <f>LAVORAZIONI!AH180</f>
        <v/>
      </c>
      <c r="AC12" s="7">
        <f>LAVORAZIONI!AI180</f>
        <v/>
      </c>
      <c r="AD12" s="13">
        <f>LAVORAZIONI!AJ180</f>
        <v/>
      </c>
    </row>
    <row r="13" ht="75" customHeight="1" s="35">
      <c r="B13" s="4">
        <f>LAVORAZIONI!G181</f>
        <v/>
      </c>
      <c r="C13" s="3">
        <f>LAVORAZIONI!A181</f>
        <v/>
      </c>
      <c r="D13" s="3">
        <f>LAVORAZIONI!K181</f>
        <v/>
      </c>
      <c r="E13" s="4">
        <f>LAVORAZIONI!H181</f>
        <v/>
      </c>
      <c r="F13" s="4">
        <f>LAVORAZIONI!M181</f>
        <v/>
      </c>
      <c r="G13" s="5">
        <f>LAVORAZIONI!N181</f>
        <v/>
      </c>
      <c r="H13" s="6">
        <f>LAVORAZIONI!O181</f>
        <v/>
      </c>
      <c r="I13" s="13">
        <f>LAVORAZIONI!P181</f>
        <v/>
      </c>
      <c r="J13" s="5">
        <f>IF(LAVORAZIONI!Q181="","",LAVORAZIONI!Q181)</f>
        <v/>
      </c>
      <c r="K13" s="6">
        <f>IF(LAVORAZIONI!R181="","",LAVORAZIONI!R181)</f>
        <v/>
      </c>
      <c r="L13" s="13">
        <f>IF(LAVORAZIONI!S181="","",LAVORAZIONI!S181)</f>
        <v/>
      </c>
      <c r="M13" s="13">
        <f>LAVORAZIONI!T181</f>
        <v/>
      </c>
      <c r="O13" s="7">
        <f>LAVORAZIONI!U181</f>
        <v/>
      </c>
      <c r="P13" s="37">
        <f>LAVORAZIONI!V181</f>
        <v/>
      </c>
      <c r="Q13" s="7">
        <f>LAVORAZIONI!W181</f>
        <v/>
      </c>
      <c r="R13" s="6">
        <f>LAVORAZIONI!X181</f>
        <v/>
      </c>
      <c r="S13" s="7">
        <f>LAVORAZIONI!Y181</f>
        <v/>
      </c>
      <c r="T13" s="6">
        <f>LAVORAZIONI!Z181</f>
        <v/>
      </c>
      <c r="U13" s="7">
        <f>LAVORAZIONI!AA181</f>
        <v/>
      </c>
      <c r="V13" s="6">
        <f>LAVORAZIONI!AB181</f>
        <v/>
      </c>
      <c r="W13" s="7">
        <f>LAVORAZIONI!AC181</f>
        <v/>
      </c>
      <c r="X13" s="6">
        <f>LAVORAZIONI!AD181</f>
        <v/>
      </c>
      <c r="Y13" s="7">
        <f>LAVORAZIONI!AE181</f>
        <v/>
      </c>
      <c r="Z13" s="6">
        <f>LAVORAZIONI!AF181</f>
        <v/>
      </c>
      <c r="AA13" s="7">
        <f>LAVORAZIONI!AG181</f>
        <v/>
      </c>
      <c r="AB13" s="6">
        <f>LAVORAZIONI!AH181</f>
        <v/>
      </c>
      <c r="AC13" s="7">
        <f>LAVORAZIONI!AI181</f>
        <v/>
      </c>
      <c r="AD13" s="13">
        <f>LAVORAZIONI!AJ181</f>
        <v/>
      </c>
    </row>
    <row r="14" ht="75" customHeight="1" s="35">
      <c r="B14" s="4">
        <f>LAVORAZIONI!G182</f>
        <v/>
      </c>
      <c r="C14" s="3">
        <f>LAVORAZIONI!A182</f>
        <v/>
      </c>
      <c r="D14" s="3">
        <f>LAVORAZIONI!K182</f>
        <v/>
      </c>
      <c r="E14" s="4">
        <f>LAVORAZIONI!H182</f>
        <v/>
      </c>
      <c r="F14" s="4">
        <f>LAVORAZIONI!M182</f>
        <v/>
      </c>
      <c r="G14" s="5">
        <f>LAVORAZIONI!N182</f>
        <v/>
      </c>
      <c r="H14" s="6">
        <f>LAVORAZIONI!O182</f>
        <v/>
      </c>
      <c r="I14" s="13">
        <f>LAVORAZIONI!P182</f>
        <v/>
      </c>
      <c r="J14" s="5">
        <f>IF(LAVORAZIONI!Q182="","",LAVORAZIONI!Q182)</f>
        <v/>
      </c>
      <c r="K14" s="6">
        <f>IF(LAVORAZIONI!R182="","",LAVORAZIONI!R182)</f>
        <v/>
      </c>
      <c r="L14" s="13">
        <f>IF(LAVORAZIONI!S182="","",LAVORAZIONI!S182)</f>
        <v/>
      </c>
      <c r="M14" s="13">
        <f>LAVORAZIONI!T182</f>
        <v/>
      </c>
      <c r="O14" s="7">
        <f>LAVORAZIONI!U182</f>
        <v/>
      </c>
      <c r="P14" s="37">
        <f>LAVORAZIONI!V182</f>
        <v/>
      </c>
      <c r="Q14" s="7">
        <f>LAVORAZIONI!W182</f>
        <v/>
      </c>
      <c r="R14" s="6">
        <f>LAVORAZIONI!X182</f>
        <v/>
      </c>
      <c r="S14" s="7">
        <f>LAVORAZIONI!Y182</f>
        <v/>
      </c>
      <c r="T14" s="6">
        <f>LAVORAZIONI!Z182</f>
        <v/>
      </c>
      <c r="U14" s="7">
        <f>LAVORAZIONI!AA182</f>
        <v/>
      </c>
      <c r="V14" s="6">
        <f>LAVORAZIONI!AB182</f>
        <v/>
      </c>
      <c r="W14" s="7">
        <f>LAVORAZIONI!AC182</f>
        <v/>
      </c>
      <c r="X14" s="6">
        <f>LAVORAZIONI!AD182</f>
        <v/>
      </c>
      <c r="Y14" s="7">
        <f>LAVORAZIONI!AE182</f>
        <v/>
      </c>
      <c r="Z14" s="6">
        <f>LAVORAZIONI!AF182</f>
        <v/>
      </c>
      <c r="AA14" s="7">
        <f>LAVORAZIONI!AG182</f>
        <v/>
      </c>
      <c r="AB14" s="6">
        <f>LAVORAZIONI!AH182</f>
        <v/>
      </c>
      <c r="AC14" s="7">
        <f>LAVORAZIONI!AI182</f>
        <v/>
      </c>
      <c r="AD14" s="13">
        <f>LAVORAZIONI!AJ182</f>
        <v/>
      </c>
    </row>
    <row r="15" ht="75" customHeight="1" s="35">
      <c r="B15" s="4">
        <f>LAVORAZIONI!G183</f>
        <v/>
      </c>
      <c r="C15" s="3">
        <f>LAVORAZIONI!A183</f>
        <v/>
      </c>
      <c r="D15" s="3">
        <f>LAVORAZIONI!K183</f>
        <v/>
      </c>
      <c r="E15" s="4">
        <f>LAVORAZIONI!H183</f>
        <v/>
      </c>
      <c r="F15" s="4">
        <f>LAVORAZIONI!M183</f>
        <v/>
      </c>
      <c r="G15" s="5">
        <f>LAVORAZIONI!N183</f>
        <v/>
      </c>
      <c r="H15" s="6">
        <f>LAVORAZIONI!O183</f>
        <v/>
      </c>
      <c r="I15" s="13">
        <f>LAVORAZIONI!P183</f>
        <v/>
      </c>
      <c r="J15" s="5">
        <f>IF(LAVORAZIONI!Q183="","",LAVORAZIONI!Q183)</f>
        <v/>
      </c>
      <c r="K15" s="6">
        <f>IF(LAVORAZIONI!R183="","",LAVORAZIONI!R183)</f>
        <v/>
      </c>
      <c r="L15" s="13">
        <f>IF(LAVORAZIONI!S183="","",LAVORAZIONI!S183)</f>
        <v/>
      </c>
      <c r="M15" s="13">
        <f>LAVORAZIONI!T183</f>
        <v/>
      </c>
      <c r="O15" s="7">
        <f>LAVORAZIONI!U183</f>
        <v/>
      </c>
      <c r="P15" s="37">
        <f>LAVORAZIONI!V183</f>
        <v/>
      </c>
      <c r="Q15" s="7">
        <f>LAVORAZIONI!W183</f>
        <v/>
      </c>
      <c r="R15" s="6">
        <f>LAVORAZIONI!X183</f>
        <v/>
      </c>
      <c r="S15" s="7">
        <f>LAVORAZIONI!Y183</f>
        <v/>
      </c>
      <c r="T15" s="6">
        <f>LAVORAZIONI!Z183</f>
        <v/>
      </c>
      <c r="U15" s="7">
        <f>LAVORAZIONI!AA183</f>
        <v/>
      </c>
      <c r="V15" s="6">
        <f>LAVORAZIONI!AB183</f>
        <v/>
      </c>
      <c r="W15" s="7">
        <f>LAVORAZIONI!AC183</f>
        <v/>
      </c>
      <c r="X15" s="6">
        <f>LAVORAZIONI!AD183</f>
        <v/>
      </c>
      <c r="Y15" s="7">
        <f>LAVORAZIONI!AE183</f>
        <v/>
      </c>
      <c r="Z15" s="6">
        <f>LAVORAZIONI!AF183</f>
        <v/>
      </c>
      <c r="AA15" s="7">
        <f>LAVORAZIONI!AG183</f>
        <v/>
      </c>
      <c r="AB15" s="6">
        <f>LAVORAZIONI!AH183</f>
        <v/>
      </c>
      <c r="AC15" s="7">
        <f>LAVORAZIONI!AI183</f>
        <v/>
      </c>
      <c r="AD15" s="13">
        <f>LAVORAZIONI!AJ183</f>
        <v/>
      </c>
    </row>
    <row r="16" ht="75" customHeight="1" s="35">
      <c r="B16" s="4">
        <f>LAVORAZIONI!G184</f>
        <v/>
      </c>
      <c r="C16" s="3">
        <f>LAVORAZIONI!A184</f>
        <v/>
      </c>
      <c r="D16" s="3">
        <f>LAVORAZIONI!K184</f>
        <v/>
      </c>
      <c r="E16" s="4">
        <f>LAVORAZIONI!H184</f>
        <v/>
      </c>
      <c r="F16" s="4">
        <f>LAVORAZIONI!M184</f>
        <v/>
      </c>
      <c r="G16" s="5">
        <f>LAVORAZIONI!N184</f>
        <v/>
      </c>
      <c r="H16" s="6">
        <f>LAVORAZIONI!O184</f>
        <v/>
      </c>
      <c r="I16" s="13">
        <f>LAVORAZIONI!P184</f>
        <v/>
      </c>
      <c r="J16" s="5">
        <f>IF(LAVORAZIONI!Q184="","",LAVORAZIONI!Q184)</f>
        <v/>
      </c>
      <c r="K16" s="6">
        <f>IF(LAVORAZIONI!R184="","",LAVORAZIONI!R184)</f>
        <v/>
      </c>
      <c r="L16" s="13">
        <f>IF(LAVORAZIONI!S184="","",LAVORAZIONI!S184)</f>
        <v/>
      </c>
      <c r="M16" s="13">
        <f>LAVORAZIONI!T184</f>
        <v/>
      </c>
      <c r="O16" s="7">
        <f>LAVORAZIONI!U184</f>
        <v/>
      </c>
      <c r="P16" s="37">
        <f>LAVORAZIONI!V184</f>
        <v/>
      </c>
      <c r="Q16" s="7">
        <f>LAVORAZIONI!W184</f>
        <v/>
      </c>
      <c r="R16" s="6">
        <f>LAVORAZIONI!X184</f>
        <v/>
      </c>
      <c r="S16" s="7">
        <f>LAVORAZIONI!Y184</f>
        <v/>
      </c>
      <c r="T16" s="6">
        <f>LAVORAZIONI!Z184</f>
        <v/>
      </c>
      <c r="U16" s="7">
        <f>LAVORAZIONI!AA184</f>
        <v/>
      </c>
      <c r="V16" s="6">
        <f>LAVORAZIONI!AB184</f>
        <v/>
      </c>
      <c r="W16" s="7">
        <f>LAVORAZIONI!AC184</f>
        <v/>
      </c>
      <c r="X16" s="6">
        <f>LAVORAZIONI!AD184</f>
        <v/>
      </c>
      <c r="Y16" s="7">
        <f>LAVORAZIONI!AE184</f>
        <v/>
      </c>
      <c r="Z16" s="6">
        <f>LAVORAZIONI!AF184</f>
        <v/>
      </c>
      <c r="AA16" s="7">
        <f>LAVORAZIONI!AG184</f>
        <v/>
      </c>
      <c r="AB16" s="6">
        <f>LAVORAZIONI!AH184</f>
        <v/>
      </c>
      <c r="AC16" s="7">
        <f>LAVORAZIONI!AI184</f>
        <v/>
      </c>
      <c r="AD16" s="13">
        <f>LAVORAZIONI!AJ184</f>
        <v/>
      </c>
    </row>
    <row r="17" ht="75" customHeight="1" s="35">
      <c r="B17" s="4">
        <f>LAVORAZIONI!G185</f>
        <v/>
      </c>
      <c r="C17" s="3">
        <f>LAVORAZIONI!A185</f>
        <v/>
      </c>
      <c r="D17" s="3">
        <f>LAVORAZIONI!K185</f>
        <v/>
      </c>
      <c r="E17" s="4">
        <f>LAVORAZIONI!H185</f>
        <v/>
      </c>
      <c r="F17" s="4">
        <f>LAVORAZIONI!M185</f>
        <v/>
      </c>
      <c r="G17" s="5">
        <f>LAVORAZIONI!N185</f>
        <v/>
      </c>
      <c r="H17" s="6">
        <f>LAVORAZIONI!O185</f>
        <v/>
      </c>
      <c r="I17" s="13">
        <f>LAVORAZIONI!P185</f>
        <v/>
      </c>
      <c r="J17" s="5">
        <f>IF(LAVORAZIONI!Q185="","",LAVORAZIONI!Q185)</f>
        <v/>
      </c>
      <c r="K17" s="6">
        <f>IF(LAVORAZIONI!R185="","",LAVORAZIONI!R185)</f>
        <v/>
      </c>
      <c r="L17" s="13">
        <f>IF(LAVORAZIONI!S185="","",LAVORAZIONI!S185)</f>
        <v/>
      </c>
      <c r="M17" s="13">
        <f>LAVORAZIONI!T185</f>
        <v/>
      </c>
      <c r="O17" s="7">
        <f>LAVORAZIONI!U185</f>
        <v/>
      </c>
      <c r="P17" s="37">
        <f>LAVORAZIONI!V185</f>
        <v/>
      </c>
      <c r="Q17" s="7">
        <f>LAVORAZIONI!W185</f>
        <v/>
      </c>
      <c r="R17" s="6">
        <f>LAVORAZIONI!X185</f>
        <v/>
      </c>
      <c r="S17" s="7">
        <f>LAVORAZIONI!Y185</f>
        <v/>
      </c>
      <c r="T17" s="6">
        <f>LAVORAZIONI!Z185</f>
        <v/>
      </c>
      <c r="U17" s="7">
        <f>LAVORAZIONI!AA185</f>
        <v/>
      </c>
      <c r="V17" s="6">
        <f>LAVORAZIONI!AB185</f>
        <v/>
      </c>
      <c r="W17" s="7">
        <f>LAVORAZIONI!AC185</f>
        <v/>
      </c>
      <c r="X17" s="6">
        <f>LAVORAZIONI!AD185</f>
        <v/>
      </c>
      <c r="Y17" s="7">
        <f>LAVORAZIONI!AE185</f>
        <v/>
      </c>
      <c r="Z17" s="6">
        <f>LAVORAZIONI!AF185</f>
        <v/>
      </c>
      <c r="AA17" s="7">
        <f>LAVORAZIONI!AG185</f>
        <v/>
      </c>
      <c r="AB17" s="6">
        <f>LAVORAZIONI!AH185</f>
        <v/>
      </c>
      <c r="AC17" s="7">
        <f>LAVORAZIONI!AI185</f>
        <v/>
      </c>
      <c r="AD17" s="13">
        <f>LAVORAZIONI!AJ185</f>
        <v/>
      </c>
    </row>
    <row r="18" ht="75" customHeight="1" s="35">
      <c r="B18" s="4">
        <f>LAVORAZIONI!G186</f>
        <v/>
      </c>
      <c r="C18" s="3">
        <f>LAVORAZIONI!A186</f>
        <v/>
      </c>
      <c r="D18" s="3">
        <f>LAVORAZIONI!K186</f>
        <v/>
      </c>
      <c r="E18" s="4">
        <f>LAVORAZIONI!H186</f>
        <v/>
      </c>
      <c r="F18" s="4">
        <f>LAVORAZIONI!M186</f>
        <v/>
      </c>
      <c r="G18" s="5">
        <f>LAVORAZIONI!N186</f>
        <v/>
      </c>
      <c r="H18" s="6">
        <f>LAVORAZIONI!O186</f>
        <v/>
      </c>
      <c r="I18" s="13">
        <f>LAVORAZIONI!P186</f>
        <v/>
      </c>
      <c r="J18" s="5">
        <f>IF(LAVORAZIONI!Q186="","",LAVORAZIONI!Q186)</f>
        <v/>
      </c>
      <c r="K18" s="6">
        <f>IF(LAVORAZIONI!R186="","",LAVORAZIONI!R186)</f>
        <v/>
      </c>
      <c r="L18" s="13">
        <f>IF(LAVORAZIONI!S186="","",LAVORAZIONI!S186)</f>
        <v/>
      </c>
      <c r="M18" s="13">
        <f>LAVORAZIONI!T186</f>
        <v/>
      </c>
      <c r="O18" s="7">
        <f>LAVORAZIONI!U186</f>
        <v/>
      </c>
      <c r="P18" s="37">
        <f>LAVORAZIONI!V186</f>
        <v/>
      </c>
      <c r="Q18" s="7">
        <f>LAVORAZIONI!W186</f>
        <v/>
      </c>
      <c r="R18" s="6">
        <f>LAVORAZIONI!X186</f>
        <v/>
      </c>
      <c r="S18" s="7">
        <f>LAVORAZIONI!Y186</f>
        <v/>
      </c>
      <c r="T18" s="6">
        <f>LAVORAZIONI!Z186</f>
        <v/>
      </c>
      <c r="U18" s="7">
        <f>LAVORAZIONI!AA186</f>
        <v/>
      </c>
      <c r="V18" s="6">
        <f>LAVORAZIONI!AB186</f>
        <v/>
      </c>
      <c r="W18" s="7">
        <f>LAVORAZIONI!AC186</f>
        <v/>
      </c>
      <c r="X18" s="6">
        <f>LAVORAZIONI!AD186</f>
        <v/>
      </c>
      <c r="Y18" s="7">
        <f>LAVORAZIONI!AE186</f>
        <v/>
      </c>
      <c r="Z18" s="6">
        <f>LAVORAZIONI!AF186</f>
        <v/>
      </c>
      <c r="AA18" s="7">
        <f>LAVORAZIONI!AG186</f>
        <v/>
      </c>
      <c r="AB18" s="6">
        <f>LAVORAZIONI!AH186</f>
        <v/>
      </c>
      <c r="AC18" s="7">
        <f>LAVORAZIONI!AI186</f>
        <v/>
      </c>
      <c r="AD18" s="13">
        <f>LAVORAZIONI!AJ186</f>
        <v/>
      </c>
    </row>
    <row r="19" ht="75" customHeight="1" s="35">
      <c r="B19" s="4">
        <f>LAVORAZIONI!G187</f>
        <v/>
      </c>
      <c r="C19" s="3">
        <f>LAVORAZIONI!A187</f>
        <v/>
      </c>
      <c r="D19" s="3">
        <f>LAVORAZIONI!K187</f>
        <v/>
      </c>
      <c r="E19" s="4">
        <f>LAVORAZIONI!H187</f>
        <v/>
      </c>
      <c r="F19" s="4">
        <f>LAVORAZIONI!M187</f>
        <v/>
      </c>
      <c r="G19" s="5">
        <f>LAVORAZIONI!N187</f>
        <v/>
      </c>
      <c r="H19" s="6">
        <f>LAVORAZIONI!O187</f>
        <v/>
      </c>
      <c r="I19" s="13">
        <f>LAVORAZIONI!P187</f>
        <v/>
      </c>
      <c r="J19" s="5">
        <f>IF(LAVORAZIONI!Q187="","",LAVORAZIONI!Q187)</f>
        <v/>
      </c>
      <c r="K19" s="6">
        <f>IF(LAVORAZIONI!R187="","",LAVORAZIONI!R187)</f>
        <v/>
      </c>
      <c r="L19" s="13">
        <f>IF(LAVORAZIONI!S187="","",LAVORAZIONI!S187)</f>
        <v/>
      </c>
      <c r="M19" s="13">
        <f>LAVORAZIONI!T187</f>
        <v/>
      </c>
      <c r="O19" s="7">
        <f>LAVORAZIONI!U187</f>
        <v/>
      </c>
      <c r="P19" s="37">
        <f>LAVORAZIONI!V187</f>
        <v/>
      </c>
      <c r="Q19" s="7">
        <f>LAVORAZIONI!W187</f>
        <v/>
      </c>
      <c r="R19" s="6">
        <f>LAVORAZIONI!X187</f>
        <v/>
      </c>
      <c r="S19" s="7">
        <f>LAVORAZIONI!Y187</f>
        <v/>
      </c>
      <c r="T19" s="6">
        <f>LAVORAZIONI!Z187</f>
        <v/>
      </c>
      <c r="U19" s="7">
        <f>LAVORAZIONI!AA187</f>
        <v/>
      </c>
      <c r="V19" s="6">
        <f>LAVORAZIONI!AB187</f>
        <v/>
      </c>
      <c r="W19" s="7">
        <f>LAVORAZIONI!AC187</f>
        <v/>
      </c>
      <c r="X19" s="6">
        <f>LAVORAZIONI!AD187</f>
        <v/>
      </c>
      <c r="Y19" s="7">
        <f>LAVORAZIONI!AE187</f>
        <v/>
      </c>
      <c r="Z19" s="6">
        <f>LAVORAZIONI!AF187</f>
        <v/>
      </c>
      <c r="AA19" s="7">
        <f>LAVORAZIONI!AG187</f>
        <v/>
      </c>
      <c r="AB19" s="6">
        <f>LAVORAZIONI!AH187</f>
        <v/>
      </c>
      <c r="AC19" s="7">
        <f>LAVORAZIONI!AI187</f>
        <v/>
      </c>
      <c r="AD19" s="13">
        <f>LAVORAZIONI!AJ187</f>
        <v/>
      </c>
    </row>
    <row r="20" ht="75" customHeight="1" s="35">
      <c r="B20" s="4">
        <f>LAVORAZIONI!G188</f>
        <v/>
      </c>
      <c r="C20" s="3">
        <f>LAVORAZIONI!A188</f>
        <v/>
      </c>
      <c r="D20" s="3">
        <f>LAVORAZIONI!K188</f>
        <v/>
      </c>
      <c r="E20" s="4">
        <f>LAVORAZIONI!H188</f>
        <v/>
      </c>
      <c r="F20" s="4">
        <f>LAVORAZIONI!M188</f>
        <v/>
      </c>
      <c r="G20" s="5">
        <f>LAVORAZIONI!N188</f>
        <v/>
      </c>
      <c r="H20" s="6">
        <f>LAVORAZIONI!O188</f>
        <v/>
      </c>
      <c r="I20" s="13">
        <f>LAVORAZIONI!P188</f>
        <v/>
      </c>
      <c r="J20" s="5">
        <f>IF(LAVORAZIONI!Q188="","",LAVORAZIONI!Q188)</f>
        <v/>
      </c>
      <c r="K20" s="6">
        <f>IF(LAVORAZIONI!R188="","",LAVORAZIONI!R188)</f>
        <v/>
      </c>
      <c r="L20" s="13">
        <f>IF(LAVORAZIONI!S188="","",LAVORAZIONI!S188)</f>
        <v/>
      </c>
      <c r="M20" s="13">
        <f>LAVORAZIONI!T188</f>
        <v/>
      </c>
      <c r="O20" s="7">
        <f>LAVORAZIONI!U188</f>
        <v/>
      </c>
      <c r="P20" s="37">
        <f>LAVORAZIONI!V188</f>
        <v/>
      </c>
      <c r="Q20" s="7">
        <f>LAVORAZIONI!W188</f>
        <v/>
      </c>
      <c r="R20" s="6">
        <f>LAVORAZIONI!X188</f>
        <v/>
      </c>
      <c r="S20" s="7">
        <f>LAVORAZIONI!Y188</f>
        <v/>
      </c>
      <c r="T20" s="6">
        <f>LAVORAZIONI!Z188</f>
        <v/>
      </c>
      <c r="U20" s="7">
        <f>LAVORAZIONI!AA188</f>
        <v/>
      </c>
      <c r="V20" s="6">
        <f>LAVORAZIONI!AB188</f>
        <v/>
      </c>
      <c r="W20" s="7">
        <f>LAVORAZIONI!AC188</f>
        <v/>
      </c>
      <c r="X20" s="6">
        <f>LAVORAZIONI!AD188</f>
        <v/>
      </c>
      <c r="Y20" s="7">
        <f>LAVORAZIONI!AE188</f>
        <v/>
      </c>
      <c r="Z20" s="6">
        <f>LAVORAZIONI!AF188</f>
        <v/>
      </c>
      <c r="AA20" s="7">
        <f>LAVORAZIONI!AG188</f>
        <v/>
      </c>
      <c r="AB20" s="6">
        <f>LAVORAZIONI!AH188</f>
        <v/>
      </c>
      <c r="AC20" s="7">
        <f>LAVORAZIONI!AI188</f>
        <v/>
      </c>
      <c r="AD20" s="13">
        <f>LAVORAZIONI!AJ188</f>
        <v/>
      </c>
    </row>
    <row r="21" ht="75" customHeight="1" s="35">
      <c r="B21" s="4">
        <f>LAVORAZIONI!G189</f>
        <v/>
      </c>
      <c r="C21" s="3">
        <f>LAVORAZIONI!A189</f>
        <v/>
      </c>
      <c r="D21" s="3">
        <f>LAVORAZIONI!K189</f>
        <v/>
      </c>
      <c r="E21" s="4">
        <f>LAVORAZIONI!H189</f>
        <v/>
      </c>
      <c r="F21" s="4">
        <f>LAVORAZIONI!M189</f>
        <v/>
      </c>
      <c r="G21" s="5">
        <f>LAVORAZIONI!N189</f>
        <v/>
      </c>
      <c r="H21" s="6">
        <f>LAVORAZIONI!O189</f>
        <v/>
      </c>
      <c r="I21" s="13">
        <f>LAVORAZIONI!P189</f>
        <v/>
      </c>
      <c r="J21" s="5">
        <f>IF(LAVORAZIONI!Q189="","",LAVORAZIONI!Q189)</f>
        <v/>
      </c>
      <c r="K21" s="6">
        <f>IF(LAVORAZIONI!R189="","",LAVORAZIONI!R189)</f>
        <v/>
      </c>
      <c r="L21" s="13">
        <f>IF(LAVORAZIONI!S189="","",LAVORAZIONI!S189)</f>
        <v/>
      </c>
      <c r="M21" s="13">
        <f>LAVORAZIONI!T189</f>
        <v/>
      </c>
      <c r="O21" s="7">
        <f>LAVORAZIONI!U189</f>
        <v/>
      </c>
      <c r="P21" s="37">
        <f>LAVORAZIONI!V189</f>
        <v/>
      </c>
      <c r="Q21" s="7">
        <f>LAVORAZIONI!W189</f>
        <v/>
      </c>
      <c r="R21" s="6">
        <f>LAVORAZIONI!X189</f>
        <v/>
      </c>
      <c r="S21" s="7">
        <f>LAVORAZIONI!Y189</f>
        <v/>
      </c>
      <c r="T21" s="6">
        <f>LAVORAZIONI!Z189</f>
        <v/>
      </c>
      <c r="U21" s="7">
        <f>LAVORAZIONI!AA189</f>
        <v/>
      </c>
      <c r="V21" s="6">
        <f>LAVORAZIONI!AB189</f>
        <v/>
      </c>
      <c r="W21" s="7">
        <f>LAVORAZIONI!AC189</f>
        <v/>
      </c>
      <c r="X21" s="6">
        <f>LAVORAZIONI!AD189</f>
        <v/>
      </c>
      <c r="Y21" s="7">
        <f>LAVORAZIONI!AE189</f>
        <v/>
      </c>
      <c r="Z21" s="6">
        <f>LAVORAZIONI!AF189</f>
        <v/>
      </c>
      <c r="AA21" s="7">
        <f>LAVORAZIONI!AG189</f>
        <v/>
      </c>
      <c r="AB21" s="6">
        <f>LAVORAZIONI!AH189</f>
        <v/>
      </c>
      <c r="AC21" s="7">
        <f>LAVORAZIONI!AI189</f>
        <v/>
      </c>
      <c r="AD21" s="13">
        <f>LAVORAZIONI!AJ189</f>
        <v/>
      </c>
    </row>
    <row r="22" ht="75" customHeight="1" s="35">
      <c r="B22" s="4">
        <f>LAVORAZIONI!G190</f>
        <v/>
      </c>
      <c r="C22" s="3">
        <f>LAVORAZIONI!A190</f>
        <v/>
      </c>
      <c r="D22" s="3">
        <f>LAVORAZIONI!K190</f>
        <v/>
      </c>
      <c r="E22" s="4">
        <f>LAVORAZIONI!H190</f>
        <v/>
      </c>
      <c r="F22" s="4">
        <f>LAVORAZIONI!M190</f>
        <v/>
      </c>
      <c r="G22" s="5">
        <f>LAVORAZIONI!N190</f>
        <v/>
      </c>
      <c r="H22" s="6">
        <f>LAVORAZIONI!O190</f>
        <v/>
      </c>
      <c r="I22" s="13">
        <f>LAVORAZIONI!P190</f>
        <v/>
      </c>
      <c r="J22" s="5">
        <f>IF(LAVORAZIONI!Q190="","",LAVORAZIONI!Q190)</f>
        <v/>
      </c>
      <c r="K22" s="6">
        <f>IF(LAVORAZIONI!R190="","",LAVORAZIONI!R190)</f>
        <v/>
      </c>
      <c r="L22" s="13">
        <f>IF(LAVORAZIONI!S190="","",LAVORAZIONI!S190)</f>
        <v/>
      </c>
      <c r="M22" s="13">
        <f>LAVORAZIONI!T190</f>
        <v/>
      </c>
      <c r="O22" s="7">
        <f>LAVORAZIONI!U190</f>
        <v/>
      </c>
      <c r="P22" s="37">
        <f>LAVORAZIONI!V190</f>
        <v/>
      </c>
      <c r="Q22" s="7">
        <f>LAVORAZIONI!W190</f>
        <v/>
      </c>
      <c r="R22" s="6">
        <f>LAVORAZIONI!X190</f>
        <v/>
      </c>
      <c r="S22" s="7">
        <f>LAVORAZIONI!Y190</f>
        <v/>
      </c>
      <c r="T22" s="6">
        <f>LAVORAZIONI!Z190</f>
        <v/>
      </c>
      <c r="U22" s="7">
        <f>LAVORAZIONI!AA190</f>
        <v/>
      </c>
      <c r="V22" s="6">
        <f>LAVORAZIONI!AB190</f>
        <v/>
      </c>
      <c r="W22" s="7">
        <f>LAVORAZIONI!AC190</f>
        <v/>
      </c>
      <c r="X22" s="6">
        <f>LAVORAZIONI!AD190</f>
        <v/>
      </c>
      <c r="Y22" s="7">
        <f>LAVORAZIONI!AE190</f>
        <v/>
      </c>
      <c r="Z22" s="6">
        <f>LAVORAZIONI!AF190</f>
        <v/>
      </c>
      <c r="AA22" s="7">
        <f>LAVORAZIONI!AG190</f>
        <v/>
      </c>
      <c r="AB22" s="6">
        <f>LAVORAZIONI!AH190</f>
        <v/>
      </c>
      <c r="AC22" s="7">
        <f>LAVORAZIONI!AI190</f>
        <v/>
      </c>
      <c r="AD22" s="13">
        <f>LAVORAZIONI!AJ190</f>
        <v/>
      </c>
    </row>
    <row r="23" ht="75" customHeight="1" s="35">
      <c r="B23" s="4">
        <f>LAVORAZIONI!G191</f>
        <v/>
      </c>
      <c r="C23" s="3">
        <f>LAVORAZIONI!A191</f>
        <v/>
      </c>
      <c r="D23" s="3">
        <f>LAVORAZIONI!K191</f>
        <v/>
      </c>
      <c r="E23" s="4">
        <f>LAVORAZIONI!H191</f>
        <v/>
      </c>
      <c r="F23" s="4">
        <f>LAVORAZIONI!M191</f>
        <v/>
      </c>
      <c r="G23" s="5">
        <f>LAVORAZIONI!N191</f>
        <v/>
      </c>
      <c r="H23" s="6">
        <f>LAVORAZIONI!O191</f>
        <v/>
      </c>
      <c r="I23" s="13">
        <f>LAVORAZIONI!P191</f>
        <v/>
      </c>
      <c r="J23" s="5">
        <f>IF(LAVORAZIONI!Q191="","",LAVORAZIONI!Q191)</f>
        <v/>
      </c>
      <c r="K23" s="6">
        <f>IF(LAVORAZIONI!R191="","",LAVORAZIONI!R191)</f>
        <v/>
      </c>
      <c r="L23" s="13">
        <f>IF(LAVORAZIONI!S191="","",LAVORAZIONI!S191)</f>
        <v/>
      </c>
      <c r="M23" s="13">
        <f>LAVORAZIONI!T191</f>
        <v/>
      </c>
      <c r="O23" s="7">
        <f>LAVORAZIONI!U191</f>
        <v/>
      </c>
      <c r="P23" s="37">
        <f>LAVORAZIONI!V191</f>
        <v/>
      </c>
      <c r="Q23" s="7">
        <f>LAVORAZIONI!W191</f>
        <v/>
      </c>
      <c r="R23" s="6">
        <f>LAVORAZIONI!X191</f>
        <v/>
      </c>
      <c r="S23" s="7">
        <f>LAVORAZIONI!Y191</f>
        <v/>
      </c>
      <c r="T23" s="6">
        <f>LAVORAZIONI!Z191</f>
        <v/>
      </c>
      <c r="U23" s="7">
        <f>LAVORAZIONI!AA191</f>
        <v/>
      </c>
      <c r="V23" s="6">
        <f>LAVORAZIONI!AB191</f>
        <v/>
      </c>
      <c r="W23" s="7">
        <f>LAVORAZIONI!AC191</f>
        <v/>
      </c>
      <c r="X23" s="6">
        <f>LAVORAZIONI!AD191</f>
        <v/>
      </c>
      <c r="Y23" s="7">
        <f>LAVORAZIONI!AE191</f>
        <v/>
      </c>
      <c r="Z23" s="6">
        <f>LAVORAZIONI!AF191</f>
        <v/>
      </c>
      <c r="AA23" s="7">
        <f>LAVORAZIONI!AG191</f>
        <v/>
      </c>
      <c r="AB23" s="6">
        <f>LAVORAZIONI!AH191</f>
        <v/>
      </c>
      <c r="AC23" s="7">
        <f>LAVORAZIONI!AI191</f>
        <v/>
      </c>
      <c r="AD23" s="13">
        <f>LAVORAZIONI!AJ191</f>
        <v/>
      </c>
    </row>
    <row r="24" ht="75" customHeight="1" s="35">
      <c r="B24" s="4">
        <f>LAVORAZIONI!G192</f>
        <v/>
      </c>
      <c r="C24" s="3">
        <f>LAVORAZIONI!A192</f>
        <v/>
      </c>
      <c r="D24" s="3">
        <f>LAVORAZIONI!K192</f>
        <v/>
      </c>
      <c r="E24" s="4">
        <f>LAVORAZIONI!H192</f>
        <v/>
      </c>
      <c r="F24" s="4">
        <f>LAVORAZIONI!M192</f>
        <v/>
      </c>
      <c r="G24" s="5">
        <f>LAVORAZIONI!N192</f>
        <v/>
      </c>
      <c r="H24" s="6">
        <f>LAVORAZIONI!O192</f>
        <v/>
      </c>
      <c r="I24" s="13">
        <f>LAVORAZIONI!P192</f>
        <v/>
      </c>
      <c r="J24" s="5">
        <f>IF(LAVORAZIONI!Q192="","",LAVORAZIONI!Q192)</f>
        <v/>
      </c>
      <c r="K24" s="6">
        <f>IF(LAVORAZIONI!R192="","",LAVORAZIONI!R192)</f>
        <v/>
      </c>
      <c r="L24" s="13">
        <f>IF(LAVORAZIONI!S192="","",LAVORAZIONI!S192)</f>
        <v/>
      </c>
      <c r="M24" s="13">
        <f>LAVORAZIONI!T192</f>
        <v/>
      </c>
      <c r="O24" s="7">
        <f>LAVORAZIONI!U192</f>
        <v/>
      </c>
      <c r="P24" s="37">
        <f>LAVORAZIONI!V192</f>
        <v/>
      </c>
      <c r="Q24" s="7">
        <f>LAVORAZIONI!W192</f>
        <v/>
      </c>
      <c r="R24" s="6">
        <f>LAVORAZIONI!X192</f>
        <v/>
      </c>
      <c r="S24" s="7">
        <f>LAVORAZIONI!Y192</f>
        <v/>
      </c>
      <c r="T24" s="6">
        <f>LAVORAZIONI!Z192</f>
        <v/>
      </c>
      <c r="U24" s="7">
        <f>LAVORAZIONI!AA192</f>
        <v/>
      </c>
      <c r="V24" s="6">
        <f>LAVORAZIONI!AB192</f>
        <v/>
      </c>
      <c r="W24" s="7">
        <f>LAVORAZIONI!AC192</f>
        <v/>
      </c>
      <c r="X24" s="6">
        <f>LAVORAZIONI!AD192</f>
        <v/>
      </c>
      <c r="Y24" s="7">
        <f>LAVORAZIONI!AE192</f>
        <v/>
      </c>
      <c r="Z24" s="6">
        <f>LAVORAZIONI!AF192</f>
        <v/>
      </c>
      <c r="AA24" s="7">
        <f>LAVORAZIONI!AG192</f>
        <v/>
      </c>
      <c r="AB24" s="6">
        <f>LAVORAZIONI!AH192</f>
        <v/>
      </c>
      <c r="AC24" s="7">
        <f>LAVORAZIONI!AI192</f>
        <v/>
      </c>
      <c r="AD24" s="13">
        <f>LAVORAZIONI!AJ192</f>
        <v/>
      </c>
    </row>
    <row r="25" ht="75" customHeight="1" s="35">
      <c r="B25" s="4">
        <f>LAVORAZIONI!G193</f>
        <v/>
      </c>
      <c r="C25" s="3">
        <f>LAVORAZIONI!A193</f>
        <v/>
      </c>
      <c r="D25" s="3">
        <f>LAVORAZIONI!K193</f>
        <v/>
      </c>
      <c r="E25" s="4">
        <f>LAVORAZIONI!H193</f>
        <v/>
      </c>
      <c r="F25" s="4">
        <f>LAVORAZIONI!M193</f>
        <v/>
      </c>
      <c r="G25" s="5">
        <f>LAVORAZIONI!N193</f>
        <v/>
      </c>
      <c r="H25" s="6">
        <f>LAVORAZIONI!O193</f>
        <v/>
      </c>
      <c r="I25" s="13">
        <f>LAVORAZIONI!P193</f>
        <v/>
      </c>
      <c r="J25" s="5">
        <f>IF(LAVORAZIONI!Q193="","",LAVORAZIONI!Q193)</f>
        <v/>
      </c>
      <c r="K25" s="6">
        <f>IF(LAVORAZIONI!R193="","",LAVORAZIONI!R193)</f>
        <v/>
      </c>
      <c r="L25" s="13">
        <f>IF(LAVORAZIONI!S193="","",LAVORAZIONI!S193)</f>
        <v/>
      </c>
      <c r="M25" s="13">
        <f>LAVORAZIONI!T193</f>
        <v/>
      </c>
      <c r="O25" s="7">
        <f>LAVORAZIONI!U193</f>
        <v/>
      </c>
      <c r="P25" s="37">
        <f>LAVORAZIONI!V193</f>
        <v/>
      </c>
      <c r="Q25" s="7">
        <f>LAVORAZIONI!W193</f>
        <v/>
      </c>
      <c r="R25" s="6">
        <f>LAVORAZIONI!X193</f>
        <v/>
      </c>
      <c r="S25" s="7">
        <f>LAVORAZIONI!Y193</f>
        <v/>
      </c>
      <c r="T25" s="6">
        <f>LAVORAZIONI!Z193</f>
        <v/>
      </c>
      <c r="U25" s="7">
        <f>LAVORAZIONI!AA193</f>
        <v/>
      </c>
      <c r="V25" s="6">
        <f>LAVORAZIONI!AB193</f>
        <v/>
      </c>
      <c r="W25" s="7">
        <f>LAVORAZIONI!AC193</f>
        <v/>
      </c>
      <c r="X25" s="6">
        <f>LAVORAZIONI!AD193</f>
        <v/>
      </c>
      <c r="Y25" s="7">
        <f>LAVORAZIONI!AE193</f>
        <v/>
      </c>
      <c r="Z25" s="6">
        <f>LAVORAZIONI!AF193</f>
        <v/>
      </c>
      <c r="AA25" s="7">
        <f>LAVORAZIONI!AG193</f>
        <v/>
      </c>
      <c r="AB25" s="6">
        <f>LAVORAZIONI!AH193</f>
        <v/>
      </c>
      <c r="AC25" s="7">
        <f>LAVORAZIONI!AI193</f>
        <v/>
      </c>
      <c r="AD25" s="13">
        <f>LAVORAZIONI!AJ193</f>
        <v/>
      </c>
    </row>
    <row r="26" ht="75" customHeight="1" s="35">
      <c r="B26" s="4">
        <f>LAVORAZIONI!G194</f>
        <v/>
      </c>
      <c r="C26" s="3">
        <f>LAVORAZIONI!A194</f>
        <v/>
      </c>
      <c r="D26" s="3">
        <f>LAVORAZIONI!K194</f>
        <v/>
      </c>
      <c r="E26" s="4">
        <f>LAVORAZIONI!H194</f>
        <v/>
      </c>
      <c r="F26" s="4">
        <f>LAVORAZIONI!M194</f>
        <v/>
      </c>
      <c r="G26" s="5">
        <f>LAVORAZIONI!N194</f>
        <v/>
      </c>
      <c r="H26" s="6">
        <f>LAVORAZIONI!O194</f>
        <v/>
      </c>
      <c r="I26" s="13">
        <f>LAVORAZIONI!P194</f>
        <v/>
      </c>
      <c r="J26" s="5">
        <f>IF(LAVORAZIONI!Q194="","",LAVORAZIONI!Q194)</f>
        <v/>
      </c>
      <c r="K26" s="6">
        <f>IF(LAVORAZIONI!R194="","",LAVORAZIONI!R194)</f>
        <v/>
      </c>
      <c r="L26" s="13">
        <f>IF(LAVORAZIONI!S194="","",LAVORAZIONI!S194)</f>
        <v/>
      </c>
      <c r="M26" s="13">
        <f>LAVORAZIONI!T194</f>
        <v/>
      </c>
      <c r="O26" s="7">
        <f>LAVORAZIONI!U194</f>
        <v/>
      </c>
      <c r="P26" s="37">
        <f>LAVORAZIONI!V194</f>
        <v/>
      </c>
      <c r="Q26" s="7">
        <f>LAVORAZIONI!W194</f>
        <v/>
      </c>
      <c r="R26" s="6">
        <f>LAVORAZIONI!X194</f>
        <v/>
      </c>
      <c r="S26" s="7">
        <f>LAVORAZIONI!Y194</f>
        <v/>
      </c>
      <c r="T26" s="6">
        <f>LAVORAZIONI!Z194</f>
        <v/>
      </c>
      <c r="U26" s="7">
        <f>LAVORAZIONI!AA194</f>
        <v/>
      </c>
      <c r="V26" s="6">
        <f>LAVORAZIONI!AB194</f>
        <v/>
      </c>
      <c r="W26" s="7">
        <f>LAVORAZIONI!AC194</f>
        <v/>
      </c>
      <c r="X26" s="6">
        <f>LAVORAZIONI!AD194</f>
        <v/>
      </c>
      <c r="Y26" s="7">
        <f>LAVORAZIONI!AE194</f>
        <v/>
      </c>
      <c r="Z26" s="6">
        <f>LAVORAZIONI!AF194</f>
        <v/>
      </c>
      <c r="AA26" s="7">
        <f>LAVORAZIONI!AG194</f>
        <v/>
      </c>
      <c r="AB26" s="6">
        <f>LAVORAZIONI!AH194</f>
        <v/>
      </c>
      <c r="AC26" s="7">
        <f>LAVORAZIONI!AI194</f>
        <v/>
      </c>
      <c r="AD26" s="13">
        <f>LAVORAZIONI!AJ194</f>
        <v/>
      </c>
    </row>
    <row r="27" ht="75" customHeight="1" s="35">
      <c r="B27" s="4">
        <f>LAVORAZIONI!G195</f>
        <v/>
      </c>
      <c r="C27" s="3">
        <f>LAVORAZIONI!A195</f>
        <v/>
      </c>
      <c r="D27" s="3">
        <f>LAVORAZIONI!K195</f>
        <v/>
      </c>
      <c r="E27" s="4">
        <f>LAVORAZIONI!H195</f>
        <v/>
      </c>
      <c r="F27" s="4">
        <f>LAVORAZIONI!M195</f>
        <v/>
      </c>
      <c r="G27" s="5">
        <f>LAVORAZIONI!N195</f>
        <v/>
      </c>
      <c r="H27" s="6">
        <f>LAVORAZIONI!O195</f>
        <v/>
      </c>
      <c r="I27" s="13">
        <f>LAVORAZIONI!P195</f>
        <v/>
      </c>
      <c r="J27" s="5">
        <f>IF(LAVORAZIONI!Q195="","",LAVORAZIONI!Q195)</f>
        <v/>
      </c>
      <c r="K27" s="6">
        <f>IF(LAVORAZIONI!R195="","",LAVORAZIONI!R195)</f>
        <v/>
      </c>
      <c r="L27" s="13">
        <f>IF(LAVORAZIONI!S195="","",LAVORAZIONI!S195)</f>
        <v/>
      </c>
      <c r="M27" s="13">
        <f>LAVORAZIONI!T195</f>
        <v/>
      </c>
      <c r="O27" s="7">
        <f>LAVORAZIONI!U195</f>
        <v/>
      </c>
      <c r="P27" s="37">
        <f>LAVORAZIONI!V195</f>
        <v/>
      </c>
      <c r="Q27" s="7">
        <f>LAVORAZIONI!W195</f>
        <v/>
      </c>
      <c r="R27" s="6">
        <f>LAVORAZIONI!X195</f>
        <v/>
      </c>
      <c r="S27" s="7">
        <f>LAVORAZIONI!Y195</f>
        <v/>
      </c>
      <c r="T27" s="6">
        <f>LAVORAZIONI!Z195</f>
        <v/>
      </c>
      <c r="U27" s="7">
        <f>LAVORAZIONI!AA195</f>
        <v/>
      </c>
      <c r="V27" s="6">
        <f>LAVORAZIONI!AB195</f>
        <v/>
      </c>
      <c r="W27" s="7">
        <f>LAVORAZIONI!AC195</f>
        <v/>
      </c>
      <c r="X27" s="6">
        <f>LAVORAZIONI!AD195</f>
        <v/>
      </c>
      <c r="Y27" s="7">
        <f>LAVORAZIONI!AE195</f>
        <v/>
      </c>
      <c r="Z27" s="6">
        <f>LAVORAZIONI!AF195</f>
        <v/>
      </c>
      <c r="AA27" s="7">
        <f>LAVORAZIONI!AG195</f>
        <v/>
      </c>
      <c r="AB27" s="6">
        <f>LAVORAZIONI!AH195</f>
        <v/>
      </c>
      <c r="AC27" s="7">
        <f>LAVORAZIONI!AI195</f>
        <v/>
      </c>
      <c r="AD27" s="13">
        <f>LAVORAZIONI!AJ195</f>
        <v/>
      </c>
    </row>
    <row r="28" ht="75" customHeight="1" s="35">
      <c r="B28" s="4">
        <f>LAVORAZIONI!G196</f>
        <v/>
      </c>
      <c r="C28" s="3">
        <f>LAVORAZIONI!A196</f>
        <v/>
      </c>
      <c r="D28" s="3">
        <f>LAVORAZIONI!K196</f>
        <v/>
      </c>
      <c r="E28" s="4">
        <f>LAVORAZIONI!H196</f>
        <v/>
      </c>
      <c r="F28" s="4">
        <f>LAVORAZIONI!M196</f>
        <v/>
      </c>
      <c r="G28" s="5">
        <f>LAVORAZIONI!N196</f>
        <v/>
      </c>
      <c r="H28" s="6">
        <f>LAVORAZIONI!O196</f>
        <v/>
      </c>
      <c r="I28" s="13">
        <f>LAVORAZIONI!P196</f>
        <v/>
      </c>
      <c r="J28" s="5">
        <f>IF(LAVORAZIONI!Q196="","",LAVORAZIONI!Q196)</f>
        <v/>
      </c>
      <c r="K28" s="6">
        <f>IF(LAVORAZIONI!R196="","",LAVORAZIONI!R196)</f>
        <v/>
      </c>
      <c r="L28" s="13">
        <f>IF(LAVORAZIONI!S196="","",LAVORAZIONI!S196)</f>
        <v/>
      </c>
      <c r="M28" s="13">
        <f>LAVORAZIONI!T196</f>
        <v/>
      </c>
      <c r="O28" s="7">
        <f>LAVORAZIONI!U196</f>
        <v/>
      </c>
      <c r="P28" s="37">
        <f>LAVORAZIONI!V196</f>
        <v/>
      </c>
      <c r="Q28" s="7">
        <f>LAVORAZIONI!W196</f>
        <v/>
      </c>
      <c r="R28" s="6">
        <f>LAVORAZIONI!X196</f>
        <v/>
      </c>
      <c r="S28" s="7">
        <f>LAVORAZIONI!Y196</f>
        <v/>
      </c>
      <c r="T28" s="6">
        <f>LAVORAZIONI!Z196</f>
        <v/>
      </c>
      <c r="U28" s="7">
        <f>LAVORAZIONI!AA196</f>
        <v/>
      </c>
      <c r="V28" s="6">
        <f>LAVORAZIONI!AB196</f>
        <v/>
      </c>
      <c r="W28" s="7">
        <f>LAVORAZIONI!AC196</f>
        <v/>
      </c>
      <c r="X28" s="6">
        <f>LAVORAZIONI!AD196</f>
        <v/>
      </c>
      <c r="Y28" s="7">
        <f>LAVORAZIONI!AE196</f>
        <v/>
      </c>
      <c r="Z28" s="6">
        <f>LAVORAZIONI!AF196</f>
        <v/>
      </c>
      <c r="AA28" s="7">
        <f>LAVORAZIONI!AG196</f>
        <v/>
      </c>
      <c r="AB28" s="6">
        <f>LAVORAZIONI!AH196</f>
        <v/>
      </c>
      <c r="AC28" s="7">
        <f>LAVORAZIONI!AI196</f>
        <v/>
      </c>
      <c r="AD28" s="13">
        <f>LAVORAZIONI!AJ196</f>
        <v/>
      </c>
    </row>
    <row r="29" ht="75" customHeight="1" s="35">
      <c r="B29" s="4">
        <f>LAVORAZIONI!G197</f>
        <v/>
      </c>
      <c r="C29" s="3">
        <f>LAVORAZIONI!A197</f>
        <v/>
      </c>
      <c r="D29" s="3">
        <f>LAVORAZIONI!K197</f>
        <v/>
      </c>
      <c r="E29" s="4">
        <f>LAVORAZIONI!H197</f>
        <v/>
      </c>
      <c r="F29" s="4">
        <f>LAVORAZIONI!M197</f>
        <v/>
      </c>
      <c r="G29" s="5">
        <f>LAVORAZIONI!N197</f>
        <v/>
      </c>
      <c r="H29" s="6">
        <f>LAVORAZIONI!O197</f>
        <v/>
      </c>
      <c r="I29" s="13">
        <f>LAVORAZIONI!P197</f>
        <v/>
      </c>
      <c r="J29" s="5">
        <f>IF(LAVORAZIONI!Q197="","",LAVORAZIONI!Q197)</f>
        <v/>
      </c>
      <c r="K29" s="6">
        <f>IF(LAVORAZIONI!R197="","",LAVORAZIONI!R197)</f>
        <v/>
      </c>
      <c r="L29" s="13">
        <f>IF(LAVORAZIONI!S197="","",LAVORAZIONI!S197)</f>
        <v/>
      </c>
      <c r="M29" s="13">
        <f>LAVORAZIONI!T197</f>
        <v/>
      </c>
      <c r="O29" s="7">
        <f>LAVORAZIONI!U197</f>
        <v/>
      </c>
      <c r="P29" s="37">
        <f>LAVORAZIONI!V197</f>
        <v/>
      </c>
      <c r="Q29" s="7">
        <f>LAVORAZIONI!W197</f>
        <v/>
      </c>
      <c r="R29" s="6">
        <f>LAVORAZIONI!X197</f>
        <v/>
      </c>
      <c r="S29" s="7">
        <f>LAVORAZIONI!Y197</f>
        <v/>
      </c>
      <c r="T29" s="6">
        <f>LAVORAZIONI!Z197</f>
        <v/>
      </c>
      <c r="U29" s="7">
        <f>LAVORAZIONI!AA197</f>
        <v/>
      </c>
      <c r="V29" s="6">
        <f>LAVORAZIONI!AB197</f>
        <v/>
      </c>
      <c r="W29" s="7">
        <f>LAVORAZIONI!AC197</f>
        <v/>
      </c>
      <c r="X29" s="6">
        <f>LAVORAZIONI!AD197</f>
        <v/>
      </c>
      <c r="Y29" s="7">
        <f>LAVORAZIONI!AE197</f>
        <v/>
      </c>
      <c r="Z29" s="6">
        <f>LAVORAZIONI!AF197</f>
        <v/>
      </c>
      <c r="AA29" s="7">
        <f>LAVORAZIONI!AG197</f>
        <v/>
      </c>
      <c r="AB29" s="6">
        <f>LAVORAZIONI!AH197</f>
        <v/>
      </c>
      <c r="AC29" s="7">
        <f>LAVORAZIONI!AI197</f>
        <v/>
      </c>
      <c r="AD29" s="13">
        <f>LAVORAZIONI!AJ197</f>
        <v/>
      </c>
    </row>
    <row r="30" ht="75" customHeight="1" s="35">
      <c r="B30" s="4">
        <f>LAVORAZIONI!G198</f>
        <v/>
      </c>
      <c r="C30" s="3">
        <f>LAVORAZIONI!A198</f>
        <v/>
      </c>
      <c r="D30" s="3">
        <f>LAVORAZIONI!K198</f>
        <v/>
      </c>
      <c r="E30" s="4">
        <f>LAVORAZIONI!H198</f>
        <v/>
      </c>
      <c r="F30" s="4">
        <f>LAVORAZIONI!M198</f>
        <v/>
      </c>
      <c r="G30" s="5">
        <f>LAVORAZIONI!N198</f>
        <v/>
      </c>
      <c r="H30" s="6">
        <f>LAVORAZIONI!O198</f>
        <v/>
      </c>
      <c r="I30" s="13">
        <f>LAVORAZIONI!P198</f>
        <v/>
      </c>
      <c r="J30" s="5">
        <f>IF(LAVORAZIONI!Q198="","",LAVORAZIONI!Q198)</f>
        <v/>
      </c>
      <c r="K30" s="6">
        <f>IF(LAVORAZIONI!R198="","",LAVORAZIONI!R198)</f>
        <v/>
      </c>
      <c r="L30" s="13">
        <f>IF(LAVORAZIONI!S198="","",LAVORAZIONI!S198)</f>
        <v/>
      </c>
      <c r="M30" s="13">
        <f>LAVORAZIONI!T198</f>
        <v/>
      </c>
      <c r="O30" s="7">
        <f>LAVORAZIONI!U198</f>
        <v/>
      </c>
      <c r="P30" s="37">
        <f>LAVORAZIONI!V198</f>
        <v/>
      </c>
      <c r="Q30" s="7">
        <f>LAVORAZIONI!W198</f>
        <v/>
      </c>
      <c r="R30" s="6">
        <f>LAVORAZIONI!X198</f>
        <v/>
      </c>
      <c r="S30" s="7">
        <f>LAVORAZIONI!Y198</f>
        <v/>
      </c>
      <c r="T30" s="6">
        <f>LAVORAZIONI!Z198</f>
        <v/>
      </c>
      <c r="U30" s="7">
        <f>LAVORAZIONI!AA198</f>
        <v/>
      </c>
      <c r="V30" s="6">
        <f>LAVORAZIONI!AB198</f>
        <v/>
      </c>
      <c r="W30" s="7">
        <f>LAVORAZIONI!AC198</f>
        <v/>
      </c>
      <c r="X30" s="6">
        <f>LAVORAZIONI!AD198</f>
        <v/>
      </c>
      <c r="Y30" s="7">
        <f>LAVORAZIONI!AE198</f>
        <v/>
      </c>
      <c r="Z30" s="6">
        <f>LAVORAZIONI!AF198</f>
        <v/>
      </c>
      <c r="AA30" s="7">
        <f>LAVORAZIONI!AG198</f>
        <v/>
      </c>
      <c r="AB30" s="6">
        <f>LAVORAZIONI!AH198</f>
        <v/>
      </c>
      <c r="AC30" s="7">
        <f>LAVORAZIONI!AI198</f>
        <v/>
      </c>
      <c r="AD30" s="13">
        <f>LAVORAZIONI!AJ198</f>
        <v/>
      </c>
    </row>
    <row r="31" ht="75" customHeight="1" s="35">
      <c r="B31" s="4">
        <f>LAVORAZIONI!G199</f>
        <v/>
      </c>
      <c r="C31" s="3">
        <f>LAVORAZIONI!A199</f>
        <v/>
      </c>
      <c r="D31" s="3">
        <f>LAVORAZIONI!K199</f>
        <v/>
      </c>
      <c r="E31" s="4">
        <f>LAVORAZIONI!H199</f>
        <v/>
      </c>
      <c r="F31" s="4">
        <f>LAVORAZIONI!M199</f>
        <v/>
      </c>
      <c r="G31" s="5">
        <f>LAVORAZIONI!N199</f>
        <v/>
      </c>
      <c r="H31" s="6">
        <f>LAVORAZIONI!O199</f>
        <v/>
      </c>
      <c r="I31" s="13">
        <f>LAVORAZIONI!P199</f>
        <v/>
      </c>
      <c r="J31" s="5">
        <f>IF(LAVORAZIONI!Q199="","",LAVORAZIONI!Q199)</f>
        <v/>
      </c>
      <c r="K31" s="6">
        <f>IF(LAVORAZIONI!R199="","",LAVORAZIONI!R199)</f>
        <v/>
      </c>
      <c r="L31" s="13">
        <f>IF(LAVORAZIONI!S199="","",LAVORAZIONI!S199)</f>
        <v/>
      </c>
      <c r="M31" s="13">
        <f>LAVORAZIONI!T199</f>
        <v/>
      </c>
      <c r="O31" s="7">
        <f>LAVORAZIONI!U199</f>
        <v/>
      </c>
      <c r="P31" s="37">
        <f>LAVORAZIONI!V199</f>
        <v/>
      </c>
      <c r="Q31" s="7">
        <f>LAVORAZIONI!W199</f>
        <v/>
      </c>
      <c r="R31" s="6">
        <f>LAVORAZIONI!X199</f>
        <v/>
      </c>
      <c r="S31" s="7">
        <f>LAVORAZIONI!Y199</f>
        <v/>
      </c>
      <c r="T31" s="6">
        <f>LAVORAZIONI!Z199</f>
        <v/>
      </c>
      <c r="U31" s="7">
        <f>LAVORAZIONI!AA199</f>
        <v/>
      </c>
      <c r="V31" s="6">
        <f>LAVORAZIONI!AB199</f>
        <v/>
      </c>
      <c r="W31" s="7">
        <f>LAVORAZIONI!AC199</f>
        <v/>
      </c>
      <c r="X31" s="6">
        <f>LAVORAZIONI!AD199</f>
        <v/>
      </c>
      <c r="Y31" s="7">
        <f>LAVORAZIONI!AE199</f>
        <v/>
      </c>
      <c r="Z31" s="6">
        <f>LAVORAZIONI!AF199</f>
        <v/>
      </c>
      <c r="AA31" s="7">
        <f>LAVORAZIONI!AG199</f>
        <v/>
      </c>
      <c r="AB31" s="6">
        <f>LAVORAZIONI!AH199</f>
        <v/>
      </c>
      <c r="AC31" s="7">
        <f>LAVORAZIONI!AI199</f>
        <v/>
      </c>
      <c r="AD31" s="13">
        <f>LAVORAZIONI!AJ199</f>
        <v/>
      </c>
    </row>
    <row r="32" ht="75" customHeight="1" s="35">
      <c r="B32" s="4">
        <f>LAVORAZIONI!G200</f>
        <v/>
      </c>
      <c r="C32" s="3">
        <f>LAVORAZIONI!A200</f>
        <v/>
      </c>
      <c r="D32" s="3">
        <f>LAVORAZIONI!K200</f>
        <v/>
      </c>
      <c r="E32" s="4">
        <f>LAVORAZIONI!H200</f>
        <v/>
      </c>
      <c r="F32" s="4">
        <f>LAVORAZIONI!M200</f>
        <v/>
      </c>
      <c r="G32" s="5">
        <f>LAVORAZIONI!N200</f>
        <v/>
      </c>
      <c r="H32" s="6">
        <f>LAVORAZIONI!O200</f>
        <v/>
      </c>
      <c r="I32" s="13">
        <f>LAVORAZIONI!P200</f>
        <v/>
      </c>
      <c r="J32" s="5">
        <f>IF(LAVORAZIONI!Q200="","",LAVORAZIONI!Q200)</f>
        <v/>
      </c>
      <c r="K32" s="6">
        <f>IF(LAVORAZIONI!R200="","",LAVORAZIONI!R200)</f>
        <v/>
      </c>
      <c r="L32" s="13">
        <f>IF(LAVORAZIONI!S200="","",LAVORAZIONI!S200)</f>
        <v/>
      </c>
      <c r="M32" s="13">
        <f>LAVORAZIONI!T200</f>
        <v/>
      </c>
      <c r="O32" s="7">
        <f>LAVORAZIONI!U200</f>
        <v/>
      </c>
      <c r="P32" s="37">
        <f>LAVORAZIONI!V200</f>
        <v/>
      </c>
      <c r="Q32" s="7">
        <f>LAVORAZIONI!W200</f>
        <v/>
      </c>
      <c r="R32" s="6">
        <f>LAVORAZIONI!X200</f>
        <v/>
      </c>
      <c r="S32" s="7">
        <f>LAVORAZIONI!Y200</f>
        <v/>
      </c>
      <c r="T32" s="6">
        <f>LAVORAZIONI!Z200</f>
        <v/>
      </c>
      <c r="U32" s="7">
        <f>LAVORAZIONI!AA200</f>
        <v/>
      </c>
      <c r="V32" s="6">
        <f>LAVORAZIONI!AB200</f>
        <v/>
      </c>
      <c r="W32" s="7">
        <f>LAVORAZIONI!AC200</f>
        <v/>
      </c>
      <c r="X32" s="6">
        <f>LAVORAZIONI!AD200</f>
        <v/>
      </c>
      <c r="Y32" s="7">
        <f>LAVORAZIONI!AE200</f>
        <v/>
      </c>
      <c r="Z32" s="6">
        <f>LAVORAZIONI!AF200</f>
        <v/>
      </c>
      <c r="AA32" s="7">
        <f>LAVORAZIONI!AG200</f>
        <v/>
      </c>
      <c r="AB32" s="6">
        <f>LAVORAZIONI!AH200</f>
        <v/>
      </c>
      <c r="AC32" s="7">
        <f>LAVORAZIONI!AI200</f>
        <v/>
      </c>
      <c r="AD32" s="13">
        <f>LAVORAZIONI!AJ200</f>
        <v/>
      </c>
    </row>
    <row r="33" ht="75" customHeight="1" s="35">
      <c r="B33" s="4">
        <f>LAVORAZIONI!G201</f>
        <v/>
      </c>
      <c r="C33" s="3">
        <f>LAVORAZIONI!A201</f>
        <v/>
      </c>
      <c r="D33" s="3">
        <f>LAVORAZIONI!K201</f>
        <v/>
      </c>
      <c r="E33" s="4">
        <f>LAVORAZIONI!H201</f>
        <v/>
      </c>
      <c r="F33" s="4">
        <f>LAVORAZIONI!M201</f>
        <v/>
      </c>
      <c r="G33" s="5">
        <f>LAVORAZIONI!N201</f>
        <v/>
      </c>
      <c r="H33" s="6">
        <f>LAVORAZIONI!O201</f>
        <v/>
      </c>
      <c r="I33" s="13">
        <f>LAVORAZIONI!P201</f>
        <v/>
      </c>
      <c r="J33" s="5">
        <f>IF(LAVORAZIONI!Q201="","",LAVORAZIONI!Q201)</f>
        <v/>
      </c>
      <c r="K33" s="6">
        <f>IF(LAVORAZIONI!R201="","",LAVORAZIONI!R201)</f>
        <v/>
      </c>
      <c r="L33" s="13">
        <f>IF(LAVORAZIONI!S201="","",LAVORAZIONI!S201)</f>
        <v/>
      </c>
      <c r="M33" s="13">
        <f>LAVORAZIONI!T201</f>
        <v/>
      </c>
      <c r="O33" s="7">
        <f>LAVORAZIONI!U201</f>
        <v/>
      </c>
      <c r="P33" s="37">
        <f>LAVORAZIONI!V201</f>
        <v/>
      </c>
      <c r="Q33" s="7">
        <f>LAVORAZIONI!W201</f>
        <v/>
      </c>
      <c r="R33" s="6">
        <f>LAVORAZIONI!X201</f>
        <v/>
      </c>
      <c r="S33" s="7">
        <f>LAVORAZIONI!Y201</f>
        <v/>
      </c>
      <c r="T33" s="6">
        <f>LAVORAZIONI!Z201</f>
        <v/>
      </c>
      <c r="U33" s="7">
        <f>LAVORAZIONI!AA201</f>
        <v/>
      </c>
      <c r="V33" s="6">
        <f>LAVORAZIONI!AB201</f>
        <v/>
      </c>
      <c r="W33" s="7">
        <f>LAVORAZIONI!AC201</f>
        <v/>
      </c>
      <c r="X33" s="6">
        <f>LAVORAZIONI!AD201</f>
        <v/>
      </c>
      <c r="Y33" s="7">
        <f>LAVORAZIONI!AE201</f>
        <v/>
      </c>
      <c r="Z33" s="6">
        <f>LAVORAZIONI!AF201</f>
        <v/>
      </c>
      <c r="AA33" s="7">
        <f>LAVORAZIONI!AG201</f>
        <v/>
      </c>
      <c r="AB33" s="6">
        <f>LAVORAZIONI!AH201</f>
        <v/>
      </c>
      <c r="AC33" s="7">
        <f>LAVORAZIONI!AI201</f>
        <v/>
      </c>
      <c r="AD33" s="13">
        <f>LAVORAZIONI!AJ201</f>
        <v/>
      </c>
    </row>
    <row r="34" ht="75" customHeight="1" s="35">
      <c r="B34" s="4">
        <f>LAVORAZIONI!G202</f>
        <v/>
      </c>
      <c r="C34" s="3">
        <f>LAVORAZIONI!A202</f>
        <v/>
      </c>
      <c r="D34" s="3">
        <f>LAVORAZIONI!K202</f>
        <v/>
      </c>
      <c r="E34" s="4">
        <f>LAVORAZIONI!H202</f>
        <v/>
      </c>
      <c r="F34" s="4">
        <f>LAVORAZIONI!M202</f>
        <v/>
      </c>
      <c r="G34" s="5">
        <f>LAVORAZIONI!N202</f>
        <v/>
      </c>
      <c r="H34" s="6">
        <f>LAVORAZIONI!O202</f>
        <v/>
      </c>
      <c r="I34" s="13">
        <f>LAVORAZIONI!P202</f>
        <v/>
      </c>
      <c r="J34" s="5">
        <f>IF(LAVORAZIONI!Q202="","",LAVORAZIONI!Q202)</f>
        <v/>
      </c>
      <c r="K34" s="6">
        <f>IF(LAVORAZIONI!R202="","",LAVORAZIONI!R202)</f>
        <v/>
      </c>
      <c r="L34" s="13">
        <f>IF(LAVORAZIONI!S202="","",LAVORAZIONI!S202)</f>
        <v/>
      </c>
      <c r="M34" s="13">
        <f>LAVORAZIONI!T202</f>
        <v/>
      </c>
      <c r="O34" s="7">
        <f>LAVORAZIONI!U202</f>
        <v/>
      </c>
      <c r="P34" s="37">
        <f>LAVORAZIONI!V202</f>
        <v/>
      </c>
      <c r="Q34" s="7">
        <f>LAVORAZIONI!W202</f>
        <v/>
      </c>
      <c r="R34" s="6">
        <f>LAVORAZIONI!X202</f>
        <v/>
      </c>
      <c r="S34" s="7">
        <f>LAVORAZIONI!Y202</f>
        <v/>
      </c>
      <c r="T34" s="6">
        <f>LAVORAZIONI!Z202</f>
        <v/>
      </c>
      <c r="U34" s="7">
        <f>LAVORAZIONI!AA202</f>
        <v/>
      </c>
      <c r="V34" s="6">
        <f>LAVORAZIONI!AB202</f>
        <v/>
      </c>
      <c r="W34" s="7">
        <f>LAVORAZIONI!AC202</f>
        <v/>
      </c>
      <c r="X34" s="6">
        <f>LAVORAZIONI!AD202</f>
        <v/>
      </c>
      <c r="Y34" s="7">
        <f>LAVORAZIONI!AE202</f>
        <v/>
      </c>
      <c r="Z34" s="6">
        <f>LAVORAZIONI!AF202</f>
        <v/>
      </c>
      <c r="AA34" s="7">
        <f>LAVORAZIONI!AG202</f>
        <v/>
      </c>
      <c r="AB34" s="6">
        <f>LAVORAZIONI!AH202</f>
        <v/>
      </c>
      <c r="AC34" s="7">
        <f>LAVORAZIONI!AI202</f>
        <v/>
      </c>
      <c r="AD34" s="13">
        <f>LAVORAZIONI!AJ202</f>
        <v/>
      </c>
    </row>
    <row r="35" ht="75" customHeight="1" s="35">
      <c r="B35" s="4">
        <f>LAVORAZIONI!G203</f>
        <v/>
      </c>
      <c r="C35" s="3">
        <f>LAVORAZIONI!A203</f>
        <v/>
      </c>
      <c r="D35" s="3">
        <f>LAVORAZIONI!K203</f>
        <v/>
      </c>
      <c r="E35" s="4">
        <f>LAVORAZIONI!H203</f>
        <v/>
      </c>
      <c r="F35" s="4">
        <f>LAVORAZIONI!M203</f>
        <v/>
      </c>
      <c r="G35" s="5">
        <f>LAVORAZIONI!N203</f>
        <v/>
      </c>
      <c r="H35" s="6">
        <f>LAVORAZIONI!O203</f>
        <v/>
      </c>
      <c r="I35" s="13">
        <f>LAVORAZIONI!P203</f>
        <v/>
      </c>
      <c r="J35" s="5">
        <f>IF(LAVORAZIONI!Q203="","",LAVORAZIONI!Q203)</f>
        <v/>
      </c>
      <c r="K35" s="6">
        <f>IF(LAVORAZIONI!R203="","",LAVORAZIONI!R203)</f>
        <v/>
      </c>
      <c r="L35" s="13">
        <f>IF(LAVORAZIONI!S203="","",LAVORAZIONI!S203)</f>
        <v/>
      </c>
      <c r="M35" s="13">
        <f>LAVORAZIONI!T203</f>
        <v/>
      </c>
      <c r="O35" s="7">
        <f>LAVORAZIONI!U203</f>
        <v/>
      </c>
      <c r="P35" s="37">
        <f>LAVORAZIONI!V203</f>
        <v/>
      </c>
      <c r="Q35" s="7">
        <f>LAVORAZIONI!W203</f>
        <v/>
      </c>
      <c r="R35" s="6">
        <f>LAVORAZIONI!X203</f>
        <v/>
      </c>
      <c r="S35" s="7">
        <f>LAVORAZIONI!Y203</f>
        <v/>
      </c>
      <c r="T35" s="6">
        <f>LAVORAZIONI!Z203</f>
        <v/>
      </c>
      <c r="U35" s="7">
        <f>LAVORAZIONI!AA203</f>
        <v/>
      </c>
      <c r="V35" s="6">
        <f>LAVORAZIONI!AB203</f>
        <v/>
      </c>
      <c r="W35" s="7">
        <f>LAVORAZIONI!AC203</f>
        <v/>
      </c>
      <c r="X35" s="6">
        <f>LAVORAZIONI!AD203</f>
        <v/>
      </c>
      <c r="Y35" s="7">
        <f>LAVORAZIONI!AE203</f>
        <v/>
      </c>
      <c r="Z35" s="6">
        <f>LAVORAZIONI!AF203</f>
        <v/>
      </c>
      <c r="AA35" s="7">
        <f>LAVORAZIONI!AG203</f>
        <v/>
      </c>
      <c r="AB35" s="6">
        <f>LAVORAZIONI!AH203</f>
        <v/>
      </c>
      <c r="AC35" s="7">
        <f>LAVORAZIONI!AI203</f>
        <v/>
      </c>
      <c r="AD35" s="13">
        <f>LAVORAZIONI!AJ203</f>
        <v/>
      </c>
    </row>
    <row r="36" ht="75" customHeight="1" s="35">
      <c r="B36" s="4">
        <f>LAVORAZIONI!G204</f>
        <v/>
      </c>
      <c r="C36" s="3">
        <f>LAVORAZIONI!A204</f>
        <v/>
      </c>
      <c r="D36" s="3">
        <f>LAVORAZIONI!K204</f>
        <v/>
      </c>
      <c r="E36" s="4">
        <f>LAVORAZIONI!H204</f>
        <v/>
      </c>
      <c r="F36" s="4">
        <f>LAVORAZIONI!M204</f>
        <v/>
      </c>
      <c r="G36" s="5">
        <f>LAVORAZIONI!N204</f>
        <v/>
      </c>
      <c r="H36" s="6">
        <f>LAVORAZIONI!O204</f>
        <v/>
      </c>
      <c r="I36" s="13">
        <f>LAVORAZIONI!P204</f>
        <v/>
      </c>
      <c r="J36" s="5">
        <f>IF(LAVORAZIONI!Q204="","",LAVORAZIONI!Q204)</f>
        <v/>
      </c>
      <c r="K36" s="6">
        <f>IF(LAVORAZIONI!R204="","",LAVORAZIONI!R204)</f>
        <v/>
      </c>
      <c r="L36" s="13">
        <f>IF(LAVORAZIONI!S204="","",LAVORAZIONI!S204)</f>
        <v/>
      </c>
      <c r="M36" s="13">
        <f>LAVORAZIONI!T204</f>
        <v/>
      </c>
      <c r="O36" s="7">
        <f>LAVORAZIONI!U204</f>
        <v/>
      </c>
      <c r="P36" s="37">
        <f>LAVORAZIONI!V204</f>
        <v/>
      </c>
      <c r="Q36" s="7">
        <f>LAVORAZIONI!W204</f>
        <v/>
      </c>
      <c r="R36" s="6">
        <f>LAVORAZIONI!X204</f>
        <v/>
      </c>
      <c r="S36" s="7">
        <f>LAVORAZIONI!Y204</f>
        <v/>
      </c>
      <c r="T36" s="6">
        <f>LAVORAZIONI!Z204</f>
        <v/>
      </c>
      <c r="U36" s="7">
        <f>LAVORAZIONI!AA204</f>
        <v/>
      </c>
      <c r="V36" s="6">
        <f>LAVORAZIONI!AB204</f>
        <v/>
      </c>
      <c r="W36" s="7">
        <f>LAVORAZIONI!AC204</f>
        <v/>
      </c>
      <c r="X36" s="6">
        <f>LAVORAZIONI!AD204</f>
        <v/>
      </c>
      <c r="Y36" s="7">
        <f>LAVORAZIONI!AE204</f>
        <v/>
      </c>
      <c r="Z36" s="6">
        <f>LAVORAZIONI!AF204</f>
        <v/>
      </c>
      <c r="AA36" s="7">
        <f>LAVORAZIONI!AG204</f>
        <v/>
      </c>
      <c r="AB36" s="6">
        <f>LAVORAZIONI!AH204</f>
        <v/>
      </c>
      <c r="AC36" s="7">
        <f>LAVORAZIONI!AI204</f>
        <v/>
      </c>
      <c r="AD36" s="13">
        <f>LAVORAZIONI!AJ204</f>
        <v/>
      </c>
    </row>
    <row r="37" ht="75" customHeight="1" s="35">
      <c r="B37" s="4">
        <f>LAVORAZIONI!G205</f>
        <v/>
      </c>
      <c r="C37" s="3">
        <f>LAVORAZIONI!A205</f>
        <v/>
      </c>
      <c r="D37" s="3">
        <f>LAVORAZIONI!K205</f>
        <v/>
      </c>
      <c r="E37" s="4">
        <f>LAVORAZIONI!H205</f>
        <v/>
      </c>
      <c r="F37" s="4">
        <f>LAVORAZIONI!M205</f>
        <v/>
      </c>
      <c r="G37" s="5">
        <f>LAVORAZIONI!N205</f>
        <v/>
      </c>
      <c r="H37" s="6">
        <f>LAVORAZIONI!O205</f>
        <v/>
      </c>
      <c r="I37" s="13">
        <f>LAVORAZIONI!P205</f>
        <v/>
      </c>
      <c r="J37" s="5">
        <f>IF(LAVORAZIONI!Q205="","",LAVORAZIONI!Q205)</f>
        <v/>
      </c>
      <c r="K37" s="6">
        <f>IF(LAVORAZIONI!R205="","",LAVORAZIONI!R205)</f>
        <v/>
      </c>
      <c r="L37" s="13">
        <f>IF(LAVORAZIONI!S205="","",LAVORAZIONI!S205)</f>
        <v/>
      </c>
      <c r="M37" s="13">
        <f>LAVORAZIONI!T205</f>
        <v/>
      </c>
      <c r="O37" s="7">
        <f>LAVORAZIONI!U205</f>
        <v/>
      </c>
      <c r="P37" s="37">
        <f>LAVORAZIONI!V205</f>
        <v/>
      </c>
      <c r="Q37" s="7">
        <f>LAVORAZIONI!W205</f>
        <v/>
      </c>
      <c r="R37" s="6">
        <f>LAVORAZIONI!X205</f>
        <v/>
      </c>
      <c r="S37" s="7">
        <f>LAVORAZIONI!Y205</f>
        <v/>
      </c>
      <c r="T37" s="6">
        <f>LAVORAZIONI!Z205</f>
        <v/>
      </c>
      <c r="U37" s="7">
        <f>LAVORAZIONI!AA205</f>
        <v/>
      </c>
      <c r="V37" s="6">
        <f>LAVORAZIONI!AB205</f>
        <v/>
      </c>
      <c r="W37" s="7">
        <f>LAVORAZIONI!AC205</f>
        <v/>
      </c>
      <c r="X37" s="6">
        <f>LAVORAZIONI!AD205</f>
        <v/>
      </c>
      <c r="Y37" s="7">
        <f>LAVORAZIONI!AE205</f>
        <v/>
      </c>
      <c r="Z37" s="6">
        <f>LAVORAZIONI!AF205</f>
        <v/>
      </c>
      <c r="AA37" s="7">
        <f>LAVORAZIONI!AG205</f>
        <v/>
      </c>
      <c r="AB37" s="6">
        <f>LAVORAZIONI!AH205</f>
        <v/>
      </c>
      <c r="AC37" s="7">
        <f>LAVORAZIONI!AI205</f>
        <v/>
      </c>
      <c r="AD37" s="13">
        <f>LAVORAZIONI!AJ205</f>
        <v/>
      </c>
    </row>
    <row r="38" ht="75" customHeight="1" s="35">
      <c r="B38" s="4">
        <f>LAVORAZIONI!G206</f>
        <v/>
      </c>
      <c r="C38" s="3">
        <f>LAVORAZIONI!A206</f>
        <v/>
      </c>
      <c r="D38" s="3">
        <f>LAVORAZIONI!K206</f>
        <v/>
      </c>
      <c r="E38" s="4">
        <f>LAVORAZIONI!H206</f>
        <v/>
      </c>
      <c r="F38" s="4">
        <f>LAVORAZIONI!M206</f>
        <v/>
      </c>
      <c r="G38" s="5">
        <f>LAVORAZIONI!N206</f>
        <v/>
      </c>
      <c r="H38" s="6">
        <f>LAVORAZIONI!O206</f>
        <v/>
      </c>
      <c r="I38" s="13">
        <f>LAVORAZIONI!P206</f>
        <v/>
      </c>
      <c r="J38" s="5">
        <f>IF(LAVORAZIONI!Q206="","",LAVORAZIONI!Q206)</f>
        <v/>
      </c>
      <c r="K38" s="6">
        <f>IF(LAVORAZIONI!R206="","",LAVORAZIONI!R206)</f>
        <v/>
      </c>
      <c r="L38" s="13">
        <f>IF(LAVORAZIONI!S206="","",LAVORAZIONI!S206)</f>
        <v/>
      </c>
      <c r="M38" s="13">
        <f>LAVORAZIONI!T206</f>
        <v/>
      </c>
      <c r="O38" s="7">
        <f>LAVORAZIONI!U206</f>
        <v/>
      </c>
      <c r="P38" s="37">
        <f>LAVORAZIONI!V206</f>
        <v/>
      </c>
      <c r="Q38" s="7">
        <f>LAVORAZIONI!W206</f>
        <v/>
      </c>
      <c r="R38" s="6">
        <f>LAVORAZIONI!X206</f>
        <v/>
      </c>
      <c r="S38" s="7">
        <f>LAVORAZIONI!Y206</f>
        <v/>
      </c>
      <c r="T38" s="6">
        <f>LAVORAZIONI!Z206</f>
        <v/>
      </c>
      <c r="U38" s="7">
        <f>LAVORAZIONI!AA206</f>
        <v/>
      </c>
      <c r="V38" s="6">
        <f>LAVORAZIONI!AB206</f>
        <v/>
      </c>
      <c r="W38" s="7">
        <f>LAVORAZIONI!AC206</f>
        <v/>
      </c>
      <c r="X38" s="6">
        <f>LAVORAZIONI!AD206</f>
        <v/>
      </c>
      <c r="Y38" s="7">
        <f>LAVORAZIONI!AE206</f>
        <v/>
      </c>
      <c r="Z38" s="6">
        <f>LAVORAZIONI!AF206</f>
        <v/>
      </c>
      <c r="AA38" s="7">
        <f>LAVORAZIONI!AG206</f>
        <v/>
      </c>
      <c r="AB38" s="6">
        <f>LAVORAZIONI!AH206</f>
        <v/>
      </c>
      <c r="AC38" s="7">
        <f>LAVORAZIONI!AI206</f>
        <v/>
      </c>
      <c r="AD38" s="13">
        <f>LAVORAZIONI!AJ206</f>
        <v/>
      </c>
    </row>
    <row r="39" ht="75" customHeight="1" s="35">
      <c r="B39" s="4">
        <f>LAVORAZIONI!G207</f>
        <v/>
      </c>
      <c r="C39" s="3">
        <f>LAVORAZIONI!A207</f>
        <v/>
      </c>
      <c r="D39" s="3">
        <f>LAVORAZIONI!K207</f>
        <v/>
      </c>
      <c r="E39" s="4">
        <f>LAVORAZIONI!H207</f>
        <v/>
      </c>
      <c r="F39" s="4">
        <f>LAVORAZIONI!M207</f>
        <v/>
      </c>
      <c r="G39" s="5">
        <f>LAVORAZIONI!N207</f>
        <v/>
      </c>
      <c r="H39" s="6">
        <f>LAVORAZIONI!O207</f>
        <v/>
      </c>
      <c r="I39" s="13">
        <f>LAVORAZIONI!P207</f>
        <v/>
      </c>
      <c r="J39" s="5">
        <f>IF(LAVORAZIONI!Q207="","",LAVORAZIONI!Q207)</f>
        <v/>
      </c>
      <c r="K39" s="6">
        <f>IF(LAVORAZIONI!R207="","",LAVORAZIONI!R207)</f>
        <v/>
      </c>
      <c r="L39" s="13">
        <f>IF(LAVORAZIONI!S207="","",LAVORAZIONI!S207)</f>
        <v/>
      </c>
      <c r="M39" s="13">
        <f>LAVORAZIONI!T207</f>
        <v/>
      </c>
      <c r="O39" s="7">
        <f>LAVORAZIONI!U207</f>
        <v/>
      </c>
      <c r="P39" s="37">
        <f>LAVORAZIONI!V207</f>
        <v/>
      </c>
      <c r="Q39" s="7">
        <f>LAVORAZIONI!W207</f>
        <v/>
      </c>
      <c r="R39" s="6">
        <f>LAVORAZIONI!X207</f>
        <v/>
      </c>
      <c r="S39" s="7">
        <f>LAVORAZIONI!Y207</f>
        <v/>
      </c>
      <c r="T39" s="6">
        <f>LAVORAZIONI!Z207</f>
        <v/>
      </c>
      <c r="U39" s="7">
        <f>LAVORAZIONI!AA207</f>
        <v/>
      </c>
      <c r="V39" s="6">
        <f>LAVORAZIONI!AB207</f>
        <v/>
      </c>
      <c r="W39" s="7">
        <f>LAVORAZIONI!AC207</f>
        <v/>
      </c>
      <c r="X39" s="6">
        <f>LAVORAZIONI!AD207</f>
        <v/>
      </c>
      <c r="Y39" s="7">
        <f>LAVORAZIONI!AE207</f>
        <v/>
      </c>
      <c r="Z39" s="6">
        <f>LAVORAZIONI!AF207</f>
        <v/>
      </c>
      <c r="AA39" s="7">
        <f>LAVORAZIONI!AG207</f>
        <v/>
      </c>
      <c r="AB39" s="6">
        <f>LAVORAZIONI!AH207</f>
        <v/>
      </c>
      <c r="AC39" s="7">
        <f>LAVORAZIONI!AI207</f>
        <v/>
      </c>
      <c r="AD39" s="13">
        <f>LAVORAZIONI!AJ207</f>
        <v/>
      </c>
    </row>
    <row r="40" ht="75" customHeight="1" s="35">
      <c r="B40" s="4">
        <f>LAVORAZIONI!G208</f>
        <v/>
      </c>
      <c r="C40" s="3">
        <f>LAVORAZIONI!A208</f>
        <v/>
      </c>
      <c r="D40" s="3">
        <f>LAVORAZIONI!K208</f>
        <v/>
      </c>
      <c r="E40" s="4">
        <f>LAVORAZIONI!H208</f>
        <v/>
      </c>
      <c r="F40" s="4">
        <f>LAVORAZIONI!M208</f>
        <v/>
      </c>
      <c r="G40" s="5">
        <f>LAVORAZIONI!N208</f>
        <v/>
      </c>
      <c r="H40" s="6">
        <f>LAVORAZIONI!O208</f>
        <v/>
      </c>
      <c r="I40" s="13">
        <f>LAVORAZIONI!P208</f>
        <v/>
      </c>
      <c r="J40" s="5">
        <f>IF(LAVORAZIONI!Q208="","",LAVORAZIONI!Q208)</f>
        <v/>
      </c>
      <c r="K40" s="6">
        <f>IF(LAVORAZIONI!R208="","",LAVORAZIONI!R208)</f>
        <v/>
      </c>
      <c r="L40" s="13">
        <f>IF(LAVORAZIONI!S208="","",LAVORAZIONI!S208)</f>
        <v/>
      </c>
      <c r="M40" s="13">
        <f>LAVORAZIONI!T208</f>
        <v/>
      </c>
      <c r="O40" s="7">
        <f>LAVORAZIONI!U208</f>
        <v/>
      </c>
      <c r="P40" s="37">
        <f>LAVORAZIONI!V208</f>
        <v/>
      </c>
      <c r="Q40" s="7">
        <f>LAVORAZIONI!W208</f>
        <v/>
      </c>
      <c r="R40" s="6">
        <f>LAVORAZIONI!X208</f>
        <v/>
      </c>
      <c r="S40" s="7">
        <f>LAVORAZIONI!Y208</f>
        <v/>
      </c>
      <c r="T40" s="6">
        <f>LAVORAZIONI!Z208</f>
        <v/>
      </c>
      <c r="U40" s="7">
        <f>LAVORAZIONI!AA208</f>
        <v/>
      </c>
      <c r="V40" s="6">
        <f>LAVORAZIONI!AB208</f>
        <v/>
      </c>
      <c r="W40" s="7">
        <f>LAVORAZIONI!AC208</f>
        <v/>
      </c>
      <c r="X40" s="6">
        <f>LAVORAZIONI!AD208</f>
        <v/>
      </c>
      <c r="Y40" s="7">
        <f>LAVORAZIONI!AE208</f>
        <v/>
      </c>
      <c r="Z40" s="6">
        <f>LAVORAZIONI!AF208</f>
        <v/>
      </c>
      <c r="AA40" s="7">
        <f>LAVORAZIONI!AG208</f>
        <v/>
      </c>
      <c r="AB40" s="6">
        <f>LAVORAZIONI!AH208</f>
        <v/>
      </c>
      <c r="AC40" s="7">
        <f>LAVORAZIONI!AI208</f>
        <v/>
      </c>
      <c r="AD40" s="13">
        <f>LAVORAZIONI!AJ208</f>
        <v/>
      </c>
    </row>
    <row r="41" ht="75" customHeight="1" s="35">
      <c r="B41" s="4">
        <f>LAVORAZIONI!G209</f>
        <v/>
      </c>
      <c r="C41" s="3">
        <f>LAVORAZIONI!A209</f>
        <v/>
      </c>
      <c r="D41" s="3">
        <f>LAVORAZIONI!K209</f>
        <v/>
      </c>
      <c r="E41" s="4">
        <f>LAVORAZIONI!H209</f>
        <v/>
      </c>
      <c r="F41" s="4">
        <f>LAVORAZIONI!M209</f>
        <v/>
      </c>
      <c r="G41" s="5">
        <f>LAVORAZIONI!N209</f>
        <v/>
      </c>
      <c r="H41" s="6">
        <f>LAVORAZIONI!O209</f>
        <v/>
      </c>
      <c r="I41" s="13">
        <f>LAVORAZIONI!P209</f>
        <v/>
      </c>
      <c r="J41" s="5">
        <f>IF(LAVORAZIONI!Q209="","",LAVORAZIONI!Q209)</f>
        <v/>
      </c>
      <c r="K41" s="6">
        <f>IF(LAVORAZIONI!R209="","",LAVORAZIONI!R209)</f>
        <v/>
      </c>
      <c r="L41" s="13">
        <f>IF(LAVORAZIONI!S209="","",LAVORAZIONI!S209)</f>
        <v/>
      </c>
      <c r="M41" s="13">
        <f>LAVORAZIONI!T209</f>
        <v/>
      </c>
      <c r="O41" s="7">
        <f>LAVORAZIONI!U209</f>
        <v/>
      </c>
      <c r="P41" s="37">
        <f>LAVORAZIONI!V209</f>
        <v/>
      </c>
      <c r="Q41" s="7">
        <f>LAVORAZIONI!W209</f>
        <v/>
      </c>
      <c r="R41" s="6">
        <f>LAVORAZIONI!X209</f>
        <v/>
      </c>
      <c r="S41" s="7">
        <f>LAVORAZIONI!Y209</f>
        <v/>
      </c>
      <c r="T41" s="6">
        <f>LAVORAZIONI!Z209</f>
        <v/>
      </c>
      <c r="U41" s="7">
        <f>LAVORAZIONI!AA209</f>
        <v/>
      </c>
      <c r="V41" s="6">
        <f>LAVORAZIONI!AB209</f>
        <v/>
      </c>
      <c r="W41" s="7">
        <f>LAVORAZIONI!AC209</f>
        <v/>
      </c>
      <c r="X41" s="6">
        <f>LAVORAZIONI!AD209</f>
        <v/>
      </c>
      <c r="Y41" s="7">
        <f>LAVORAZIONI!AE209</f>
        <v/>
      </c>
      <c r="Z41" s="6">
        <f>LAVORAZIONI!AF209</f>
        <v/>
      </c>
      <c r="AA41" s="7">
        <f>LAVORAZIONI!AG209</f>
        <v/>
      </c>
      <c r="AB41" s="6">
        <f>LAVORAZIONI!AH209</f>
        <v/>
      </c>
      <c r="AC41" s="7">
        <f>LAVORAZIONI!AI209</f>
        <v/>
      </c>
      <c r="AD41" s="13">
        <f>LAVORAZIONI!AJ209</f>
        <v/>
      </c>
    </row>
    <row r="42" ht="75" customHeight="1" s="35">
      <c r="B42" s="4">
        <f>LAVORAZIONI!G210</f>
        <v/>
      </c>
      <c r="C42" s="3">
        <f>LAVORAZIONI!A210</f>
        <v/>
      </c>
      <c r="D42" s="3">
        <f>LAVORAZIONI!K210</f>
        <v/>
      </c>
      <c r="E42" s="4">
        <f>LAVORAZIONI!H210</f>
        <v/>
      </c>
      <c r="F42" s="4">
        <f>LAVORAZIONI!M210</f>
        <v/>
      </c>
      <c r="G42" s="5">
        <f>LAVORAZIONI!N210</f>
        <v/>
      </c>
      <c r="H42" s="6">
        <f>LAVORAZIONI!O210</f>
        <v/>
      </c>
      <c r="I42" s="13">
        <f>LAVORAZIONI!P210</f>
        <v/>
      </c>
      <c r="J42" s="5">
        <f>IF(LAVORAZIONI!Q210="","",LAVORAZIONI!Q210)</f>
        <v/>
      </c>
      <c r="K42" s="6">
        <f>IF(LAVORAZIONI!R210="","",LAVORAZIONI!R210)</f>
        <v/>
      </c>
      <c r="L42" s="13">
        <f>IF(LAVORAZIONI!S210="","",LAVORAZIONI!S210)</f>
        <v/>
      </c>
      <c r="M42" s="13">
        <f>LAVORAZIONI!T210</f>
        <v/>
      </c>
      <c r="O42" s="7">
        <f>LAVORAZIONI!U210</f>
        <v/>
      </c>
      <c r="P42" s="37">
        <f>LAVORAZIONI!V210</f>
        <v/>
      </c>
      <c r="Q42" s="7">
        <f>LAVORAZIONI!W210</f>
        <v/>
      </c>
      <c r="R42" s="6">
        <f>LAVORAZIONI!X210</f>
        <v/>
      </c>
      <c r="S42" s="7">
        <f>LAVORAZIONI!Y210</f>
        <v/>
      </c>
      <c r="T42" s="6">
        <f>LAVORAZIONI!Z210</f>
        <v/>
      </c>
      <c r="U42" s="7">
        <f>LAVORAZIONI!AA210</f>
        <v/>
      </c>
      <c r="V42" s="6">
        <f>LAVORAZIONI!AB210</f>
        <v/>
      </c>
      <c r="W42" s="7">
        <f>LAVORAZIONI!AC210</f>
        <v/>
      </c>
      <c r="X42" s="6">
        <f>LAVORAZIONI!AD210</f>
        <v/>
      </c>
      <c r="Y42" s="7">
        <f>LAVORAZIONI!AE210</f>
        <v/>
      </c>
      <c r="Z42" s="6">
        <f>LAVORAZIONI!AF210</f>
        <v/>
      </c>
      <c r="AA42" s="7">
        <f>LAVORAZIONI!AG210</f>
        <v/>
      </c>
      <c r="AB42" s="6">
        <f>LAVORAZIONI!AH210</f>
        <v/>
      </c>
      <c r="AC42" s="7">
        <f>LAVORAZIONI!AI210</f>
        <v/>
      </c>
      <c r="AD42" s="13">
        <f>LAVORAZIONI!AJ210</f>
        <v/>
      </c>
    </row>
    <row r="43" ht="75" customHeight="1" s="35">
      <c r="B43" s="4">
        <f>LAVORAZIONI!G211</f>
        <v/>
      </c>
      <c r="C43" s="3">
        <f>LAVORAZIONI!A211</f>
        <v/>
      </c>
      <c r="D43" s="3">
        <f>LAVORAZIONI!K211</f>
        <v/>
      </c>
      <c r="E43" s="4">
        <f>LAVORAZIONI!H211</f>
        <v/>
      </c>
      <c r="F43" s="4">
        <f>LAVORAZIONI!M211</f>
        <v/>
      </c>
      <c r="G43" s="5">
        <f>LAVORAZIONI!N211</f>
        <v/>
      </c>
      <c r="H43" s="6">
        <f>LAVORAZIONI!O211</f>
        <v/>
      </c>
      <c r="I43" s="13">
        <f>LAVORAZIONI!P211</f>
        <v/>
      </c>
      <c r="J43" s="5">
        <f>IF(LAVORAZIONI!Q211="","",LAVORAZIONI!Q211)</f>
        <v/>
      </c>
      <c r="K43" s="6">
        <f>IF(LAVORAZIONI!R211="","",LAVORAZIONI!R211)</f>
        <v/>
      </c>
      <c r="L43" s="13">
        <f>IF(LAVORAZIONI!S211="","",LAVORAZIONI!S211)</f>
        <v/>
      </c>
      <c r="M43" s="13">
        <f>LAVORAZIONI!T211</f>
        <v/>
      </c>
      <c r="O43" s="7">
        <f>LAVORAZIONI!U211</f>
        <v/>
      </c>
      <c r="P43" s="37">
        <f>LAVORAZIONI!V211</f>
        <v/>
      </c>
      <c r="Q43" s="7">
        <f>LAVORAZIONI!W211</f>
        <v/>
      </c>
      <c r="R43" s="6">
        <f>LAVORAZIONI!X211</f>
        <v/>
      </c>
      <c r="S43" s="7">
        <f>LAVORAZIONI!Y211</f>
        <v/>
      </c>
      <c r="T43" s="6">
        <f>LAVORAZIONI!Z211</f>
        <v/>
      </c>
      <c r="U43" s="7">
        <f>LAVORAZIONI!AA211</f>
        <v/>
      </c>
      <c r="V43" s="6">
        <f>LAVORAZIONI!AB211</f>
        <v/>
      </c>
      <c r="W43" s="7">
        <f>LAVORAZIONI!AC211</f>
        <v/>
      </c>
      <c r="X43" s="6">
        <f>LAVORAZIONI!AD211</f>
        <v/>
      </c>
      <c r="Y43" s="7">
        <f>LAVORAZIONI!AE211</f>
        <v/>
      </c>
      <c r="Z43" s="6">
        <f>LAVORAZIONI!AF211</f>
        <v/>
      </c>
      <c r="AA43" s="7">
        <f>LAVORAZIONI!AG211</f>
        <v/>
      </c>
      <c r="AB43" s="6">
        <f>LAVORAZIONI!AH211</f>
        <v/>
      </c>
      <c r="AC43" s="7">
        <f>LAVORAZIONI!AI211</f>
        <v/>
      </c>
      <c r="AD43" s="13">
        <f>LAVORAZIONI!AJ211</f>
        <v/>
      </c>
    </row>
    <row r="44" ht="75" customHeight="1" s="35">
      <c r="B44" s="4">
        <f>LAVORAZIONI!G212</f>
        <v/>
      </c>
      <c r="C44" s="3">
        <f>LAVORAZIONI!A212</f>
        <v/>
      </c>
      <c r="D44" s="3">
        <f>LAVORAZIONI!K212</f>
        <v/>
      </c>
      <c r="E44" s="4">
        <f>LAVORAZIONI!H212</f>
        <v/>
      </c>
      <c r="F44" s="4">
        <f>LAVORAZIONI!M212</f>
        <v/>
      </c>
      <c r="G44" s="5">
        <f>LAVORAZIONI!N212</f>
        <v/>
      </c>
      <c r="H44" s="6">
        <f>LAVORAZIONI!O212</f>
        <v/>
      </c>
      <c r="I44" s="13">
        <f>LAVORAZIONI!P212</f>
        <v/>
      </c>
      <c r="J44" s="5">
        <f>IF(LAVORAZIONI!Q212="","",LAVORAZIONI!Q212)</f>
        <v/>
      </c>
      <c r="K44" s="6">
        <f>IF(LAVORAZIONI!R212="","",LAVORAZIONI!R212)</f>
        <v/>
      </c>
      <c r="L44" s="13">
        <f>IF(LAVORAZIONI!S212="","",LAVORAZIONI!S212)</f>
        <v/>
      </c>
      <c r="M44" s="13">
        <f>LAVORAZIONI!T212</f>
        <v/>
      </c>
      <c r="O44" s="7">
        <f>LAVORAZIONI!U212</f>
        <v/>
      </c>
      <c r="P44" s="37">
        <f>LAVORAZIONI!V212</f>
        <v/>
      </c>
      <c r="Q44" s="7">
        <f>LAVORAZIONI!W212</f>
        <v/>
      </c>
      <c r="R44" s="6">
        <f>LAVORAZIONI!X212</f>
        <v/>
      </c>
      <c r="S44" s="7">
        <f>LAVORAZIONI!Y212</f>
        <v/>
      </c>
      <c r="T44" s="6">
        <f>LAVORAZIONI!Z212</f>
        <v/>
      </c>
      <c r="U44" s="7">
        <f>LAVORAZIONI!AA212</f>
        <v/>
      </c>
      <c r="V44" s="6">
        <f>LAVORAZIONI!AB212</f>
        <v/>
      </c>
      <c r="W44" s="7">
        <f>LAVORAZIONI!AC212</f>
        <v/>
      </c>
      <c r="X44" s="6">
        <f>LAVORAZIONI!AD212</f>
        <v/>
      </c>
      <c r="Y44" s="7">
        <f>LAVORAZIONI!AE212</f>
        <v/>
      </c>
      <c r="Z44" s="6">
        <f>LAVORAZIONI!AF212</f>
        <v/>
      </c>
      <c r="AA44" s="7">
        <f>LAVORAZIONI!AG212</f>
        <v/>
      </c>
      <c r="AB44" s="6">
        <f>LAVORAZIONI!AH212</f>
        <v/>
      </c>
      <c r="AC44" s="7">
        <f>LAVORAZIONI!AI212</f>
        <v/>
      </c>
      <c r="AD44" s="13">
        <f>LAVORAZIONI!AJ212</f>
        <v/>
      </c>
    </row>
    <row r="45" ht="75" customHeight="1" s="35">
      <c r="B45" s="4">
        <f>LAVORAZIONI!G213</f>
        <v/>
      </c>
      <c r="C45" s="3">
        <f>LAVORAZIONI!A213</f>
        <v/>
      </c>
      <c r="D45" s="3">
        <f>LAVORAZIONI!K213</f>
        <v/>
      </c>
      <c r="E45" s="4">
        <f>LAVORAZIONI!H213</f>
        <v/>
      </c>
      <c r="F45" s="4">
        <f>LAVORAZIONI!M213</f>
        <v/>
      </c>
      <c r="G45" s="5">
        <f>LAVORAZIONI!N213</f>
        <v/>
      </c>
      <c r="H45" s="6">
        <f>LAVORAZIONI!O213</f>
        <v/>
      </c>
      <c r="I45" s="13">
        <f>LAVORAZIONI!P213</f>
        <v/>
      </c>
      <c r="J45" s="5">
        <f>IF(LAVORAZIONI!Q213="","",LAVORAZIONI!Q213)</f>
        <v/>
      </c>
      <c r="K45" s="6">
        <f>IF(LAVORAZIONI!R213="","",LAVORAZIONI!R213)</f>
        <v/>
      </c>
      <c r="L45" s="13">
        <f>IF(LAVORAZIONI!S213="","",LAVORAZIONI!S213)</f>
        <v/>
      </c>
      <c r="M45" s="13">
        <f>LAVORAZIONI!T213</f>
        <v/>
      </c>
      <c r="O45" s="7">
        <f>LAVORAZIONI!U213</f>
        <v/>
      </c>
      <c r="P45" s="37">
        <f>LAVORAZIONI!V213</f>
        <v/>
      </c>
      <c r="Q45" s="7">
        <f>LAVORAZIONI!W213</f>
        <v/>
      </c>
      <c r="R45" s="6">
        <f>LAVORAZIONI!X213</f>
        <v/>
      </c>
      <c r="S45" s="7">
        <f>LAVORAZIONI!Y213</f>
        <v/>
      </c>
      <c r="T45" s="6">
        <f>LAVORAZIONI!Z213</f>
        <v/>
      </c>
      <c r="U45" s="7">
        <f>LAVORAZIONI!AA213</f>
        <v/>
      </c>
      <c r="V45" s="6">
        <f>LAVORAZIONI!AB213</f>
        <v/>
      </c>
      <c r="W45" s="7">
        <f>LAVORAZIONI!AC213</f>
        <v/>
      </c>
      <c r="X45" s="6">
        <f>LAVORAZIONI!AD213</f>
        <v/>
      </c>
      <c r="Y45" s="7">
        <f>LAVORAZIONI!AE213</f>
        <v/>
      </c>
      <c r="Z45" s="6">
        <f>LAVORAZIONI!AF213</f>
        <v/>
      </c>
      <c r="AA45" s="7">
        <f>LAVORAZIONI!AG213</f>
        <v/>
      </c>
      <c r="AB45" s="6">
        <f>LAVORAZIONI!AH213</f>
        <v/>
      </c>
      <c r="AC45" s="7">
        <f>LAVORAZIONI!AI213</f>
        <v/>
      </c>
      <c r="AD45" s="13">
        <f>LAVORAZIONI!AJ213</f>
        <v/>
      </c>
    </row>
    <row r="46" ht="75" customHeight="1" s="35">
      <c r="B46" s="4">
        <f>LAVORAZIONI!G214</f>
        <v/>
      </c>
      <c r="C46" s="3">
        <f>LAVORAZIONI!A214</f>
        <v/>
      </c>
      <c r="D46" s="3">
        <f>LAVORAZIONI!K214</f>
        <v/>
      </c>
      <c r="E46" s="4">
        <f>LAVORAZIONI!H214</f>
        <v/>
      </c>
      <c r="F46" s="4">
        <f>LAVORAZIONI!M214</f>
        <v/>
      </c>
      <c r="G46" s="5">
        <f>LAVORAZIONI!N214</f>
        <v/>
      </c>
      <c r="H46" s="6">
        <f>LAVORAZIONI!O214</f>
        <v/>
      </c>
      <c r="I46" s="13">
        <f>LAVORAZIONI!P214</f>
        <v/>
      </c>
      <c r="J46" s="5">
        <f>IF(LAVORAZIONI!Q214="","",LAVORAZIONI!Q214)</f>
        <v/>
      </c>
      <c r="K46" s="6">
        <f>IF(LAVORAZIONI!R214="","",LAVORAZIONI!R214)</f>
        <v/>
      </c>
      <c r="L46" s="13">
        <f>IF(LAVORAZIONI!S214="","",LAVORAZIONI!S214)</f>
        <v/>
      </c>
      <c r="M46" s="13">
        <f>LAVORAZIONI!T214</f>
        <v/>
      </c>
      <c r="O46" s="7">
        <f>LAVORAZIONI!U214</f>
        <v/>
      </c>
      <c r="P46" s="37">
        <f>LAVORAZIONI!V214</f>
        <v/>
      </c>
      <c r="Q46" s="7">
        <f>LAVORAZIONI!W214</f>
        <v/>
      </c>
      <c r="R46" s="6">
        <f>LAVORAZIONI!X214</f>
        <v/>
      </c>
      <c r="S46" s="7">
        <f>LAVORAZIONI!Y214</f>
        <v/>
      </c>
      <c r="T46" s="6">
        <f>LAVORAZIONI!Z214</f>
        <v/>
      </c>
      <c r="U46" s="7">
        <f>LAVORAZIONI!AA214</f>
        <v/>
      </c>
      <c r="V46" s="6">
        <f>LAVORAZIONI!AB214</f>
        <v/>
      </c>
      <c r="W46" s="7">
        <f>LAVORAZIONI!AC214</f>
        <v/>
      </c>
      <c r="X46" s="6">
        <f>LAVORAZIONI!AD214</f>
        <v/>
      </c>
      <c r="Y46" s="7">
        <f>LAVORAZIONI!AE214</f>
        <v/>
      </c>
      <c r="Z46" s="6">
        <f>LAVORAZIONI!AF214</f>
        <v/>
      </c>
      <c r="AA46" s="7">
        <f>LAVORAZIONI!AG214</f>
        <v/>
      </c>
      <c r="AB46" s="6">
        <f>LAVORAZIONI!AH214</f>
        <v/>
      </c>
      <c r="AC46" s="7">
        <f>LAVORAZIONI!AI214</f>
        <v/>
      </c>
      <c r="AD46" s="13">
        <f>LAVORAZIONI!AJ214</f>
        <v/>
      </c>
    </row>
    <row r="47" ht="75" customHeight="1" s="35">
      <c r="B47" s="4">
        <f>LAVORAZIONI!G215</f>
        <v/>
      </c>
      <c r="C47" s="3">
        <f>LAVORAZIONI!A215</f>
        <v/>
      </c>
      <c r="D47" s="3">
        <f>LAVORAZIONI!K215</f>
        <v/>
      </c>
      <c r="E47" s="4">
        <f>LAVORAZIONI!H215</f>
        <v/>
      </c>
      <c r="F47" s="4">
        <f>LAVORAZIONI!M215</f>
        <v/>
      </c>
      <c r="G47" s="5">
        <f>LAVORAZIONI!N215</f>
        <v/>
      </c>
      <c r="H47" s="6">
        <f>LAVORAZIONI!O215</f>
        <v/>
      </c>
      <c r="I47" s="13">
        <f>LAVORAZIONI!P215</f>
        <v/>
      </c>
      <c r="J47" s="5">
        <f>IF(LAVORAZIONI!Q215="","",LAVORAZIONI!Q215)</f>
        <v/>
      </c>
      <c r="K47" s="6">
        <f>IF(LAVORAZIONI!R215="","",LAVORAZIONI!R215)</f>
        <v/>
      </c>
      <c r="L47" s="13">
        <f>IF(LAVORAZIONI!S215="","",LAVORAZIONI!S215)</f>
        <v/>
      </c>
      <c r="M47" s="13">
        <f>LAVORAZIONI!T215</f>
        <v/>
      </c>
      <c r="O47" s="7">
        <f>LAVORAZIONI!U215</f>
        <v/>
      </c>
      <c r="P47" s="37">
        <f>LAVORAZIONI!V215</f>
        <v/>
      </c>
      <c r="Q47" s="7">
        <f>LAVORAZIONI!W215</f>
        <v/>
      </c>
      <c r="R47" s="6">
        <f>LAVORAZIONI!X215</f>
        <v/>
      </c>
      <c r="S47" s="7">
        <f>LAVORAZIONI!Y215</f>
        <v/>
      </c>
      <c r="T47" s="6">
        <f>LAVORAZIONI!Z215</f>
        <v/>
      </c>
      <c r="U47" s="7">
        <f>LAVORAZIONI!AA215</f>
        <v/>
      </c>
      <c r="V47" s="6">
        <f>LAVORAZIONI!AB215</f>
        <v/>
      </c>
      <c r="W47" s="7">
        <f>LAVORAZIONI!AC215</f>
        <v/>
      </c>
      <c r="X47" s="6">
        <f>LAVORAZIONI!AD215</f>
        <v/>
      </c>
      <c r="Y47" s="7">
        <f>LAVORAZIONI!AE215</f>
        <v/>
      </c>
      <c r="Z47" s="6">
        <f>LAVORAZIONI!AF215</f>
        <v/>
      </c>
      <c r="AA47" s="7">
        <f>LAVORAZIONI!AG215</f>
        <v/>
      </c>
      <c r="AB47" s="6">
        <f>LAVORAZIONI!AH215</f>
        <v/>
      </c>
      <c r="AC47" s="7">
        <f>LAVORAZIONI!AI215</f>
        <v/>
      </c>
      <c r="AD47" s="13">
        <f>LAVORAZIONI!AJ215</f>
        <v/>
      </c>
    </row>
    <row r="48" ht="75" customHeight="1" s="35">
      <c r="B48" s="4">
        <f>LAVORAZIONI!G216</f>
        <v/>
      </c>
      <c r="C48" s="3">
        <f>LAVORAZIONI!A216</f>
        <v/>
      </c>
      <c r="D48" s="3">
        <f>LAVORAZIONI!K216</f>
        <v/>
      </c>
      <c r="E48" s="4">
        <f>LAVORAZIONI!H216</f>
        <v/>
      </c>
      <c r="F48" s="4">
        <f>LAVORAZIONI!M216</f>
        <v/>
      </c>
      <c r="G48" s="5">
        <f>LAVORAZIONI!N216</f>
        <v/>
      </c>
      <c r="H48" s="6">
        <f>LAVORAZIONI!O216</f>
        <v/>
      </c>
      <c r="I48" s="13">
        <f>LAVORAZIONI!P216</f>
        <v/>
      </c>
      <c r="J48" s="5">
        <f>IF(LAVORAZIONI!Q216="","",LAVORAZIONI!Q216)</f>
        <v/>
      </c>
      <c r="K48" s="6">
        <f>IF(LAVORAZIONI!R216="","",LAVORAZIONI!R216)</f>
        <v/>
      </c>
      <c r="L48" s="13">
        <f>IF(LAVORAZIONI!S216="","",LAVORAZIONI!S216)</f>
        <v/>
      </c>
      <c r="M48" s="13">
        <f>LAVORAZIONI!T216</f>
        <v/>
      </c>
      <c r="O48" s="7">
        <f>LAVORAZIONI!U216</f>
        <v/>
      </c>
      <c r="P48" s="37">
        <f>LAVORAZIONI!V216</f>
        <v/>
      </c>
      <c r="Q48" s="7">
        <f>LAVORAZIONI!W216</f>
        <v/>
      </c>
      <c r="R48" s="6">
        <f>LAVORAZIONI!X216</f>
        <v/>
      </c>
      <c r="S48" s="7">
        <f>LAVORAZIONI!Y216</f>
        <v/>
      </c>
      <c r="T48" s="6">
        <f>LAVORAZIONI!Z216</f>
        <v/>
      </c>
      <c r="U48" s="7">
        <f>LAVORAZIONI!AA216</f>
        <v/>
      </c>
      <c r="V48" s="6">
        <f>LAVORAZIONI!AB216</f>
        <v/>
      </c>
      <c r="W48" s="7">
        <f>LAVORAZIONI!AC216</f>
        <v/>
      </c>
      <c r="X48" s="6">
        <f>LAVORAZIONI!AD216</f>
        <v/>
      </c>
      <c r="Y48" s="7">
        <f>LAVORAZIONI!AE216</f>
        <v/>
      </c>
      <c r="Z48" s="6">
        <f>LAVORAZIONI!AF216</f>
        <v/>
      </c>
      <c r="AA48" s="7">
        <f>LAVORAZIONI!AG216</f>
        <v/>
      </c>
      <c r="AB48" s="6">
        <f>LAVORAZIONI!AH216</f>
        <v/>
      </c>
      <c r="AC48" s="7">
        <f>LAVORAZIONI!AI216</f>
        <v/>
      </c>
      <c r="AD48" s="13">
        <f>LAVORAZIONI!AJ216</f>
        <v/>
      </c>
    </row>
    <row r="49" ht="75" customHeight="1" s="35">
      <c r="B49" s="4">
        <f>LAVORAZIONI!G217</f>
        <v/>
      </c>
      <c r="C49" s="3">
        <f>LAVORAZIONI!A217</f>
        <v/>
      </c>
      <c r="D49" s="3">
        <f>LAVORAZIONI!K217</f>
        <v/>
      </c>
      <c r="E49" s="4">
        <f>LAVORAZIONI!H217</f>
        <v/>
      </c>
      <c r="F49" s="4">
        <f>LAVORAZIONI!M217</f>
        <v/>
      </c>
      <c r="G49" s="5">
        <f>LAVORAZIONI!N217</f>
        <v/>
      </c>
      <c r="H49" s="6">
        <f>LAVORAZIONI!O217</f>
        <v/>
      </c>
      <c r="I49" s="13">
        <f>LAVORAZIONI!P217</f>
        <v/>
      </c>
      <c r="J49" s="5">
        <f>IF(LAVORAZIONI!Q217="","",LAVORAZIONI!Q217)</f>
        <v/>
      </c>
      <c r="K49" s="6">
        <f>IF(LAVORAZIONI!R217="","",LAVORAZIONI!R217)</f>
        <v/>
      </c>
      <c r="L49" s="13">
        <f>IF(LAVORAZIONI!S217="","",LAVORAZIONI!S217)</f>
        <v/>
      </c>
      <c r="M49" s="13">
        <f>LAVORAZIONI!T217</f>
        <v/>
      </c>
      <c r="O49" s="7">
        <f>LAVORAZIONI!U217</f>
        <v/>
      </c>
      <c r="P49" s="37">
        <f>LAVORAZIONI!V217</f>
        <v/>
      </c>
      <c r="Q49" s="7">
        <f>LAVORAZIONI!W217</f>
        <v/>
      </c>
      <c r="R49" s="6">
        <f>LAVORAZIONI!X217</f>
        <v/>
      </c>
      <c r="S49" s="7">
        <f>LAVORAZIONI!Y217</f>
        <v/>
      </c>
      <c r="T49" s="6">
        <f>LAVORAZIONI!Z217</f>
        <v/>
      </c>
      <c r="U49" s="7">
        <f>LAVORAZIONI!AA217</f>
        <v/>
      </c>
      <c r="V49" s="6">
        <f>LAVORAZIONI!AB217</f>
        <v/>
      </c>
      <c r="W49" s="7">
        <f>LAVORAZIONI!AC217</f>
        <v/>
      </c>
      <c r="X49" s="6">
        <f>LAVORAZIONI!AD217</f>
        <v/>
      </c>
      <c r="Y49" s="7">
        <f>LAVORAZIONI!AE217</f>
        <v/>
      </c>
      <c r="Z49" s="6">
        <f>LAVORAZIONI!AF217</f>
        <v/>
      </c>
      <c r="AA49" s="7">
        <f>LAVORAZIONI!AG217</f>
        <v/>
      </c>
      <c r="AB49" s="6">
        <f>LAVORAZIONI!AH217</f>
        <v/>
      </c>
      <c r="AC49" s="7">
        <f>LAVORAZIONI!AI217</f>
        <v/>
      </c>
      <c r="AD49" s="13">
        <f>LAVORAZIONI!AJ217</f>
        <v/>
      </c>
    </row>
    <row r="50" ht="75" customHeight="1" s="35">
      <c r="B50" s="4">
        <f>LAVORAZIONI!G218</f>
        <v/>
      </c>
      <c r="C50" s="3">
        <f>LAVORAZIONI!A218</f>
        <v/>
      </c>
      <c r="D50" s="3">
        <f>LAVORAZIONI!K218</f>
        <v/>
      </c>
      <c r="E50" s="4">
        <f>LAVORAZIONI!H218</f>
        <v/>
      </c>
      <c r="F50" s="4">
        <f>LAVORAZIONI!M218</f>
        <v/>
      </c>
      <c r="G50" s="5">
        <f>LAVORAZIONI!N218</f>
        <v/>
      </c>
      <c r="H50" s="6">
        <f>LAVORAZIONI!O218</f>
        <v/>
      </c>
      <c r="I50" s="13">
        <f>LAVORAZIONI!P218</f>
        <v/>
      </c>
      <c r="J50" s="5">
        <f>IF(LAVORAZIONI!Q218="","",LAVORAZIONI!Q218)</f>
        <v/>
      </c>
      <c r="K50" s="6">
        <f>IF(LAVORAZIONI!R218="","",LAVORAZIONI!R218)</f>
        <v/>
      </c>
      <c r="L50" s="13">
        <f>IF(LAVORAZIONI!S218="","",LAVORAZIONI!S218)</f>
        <v/>
      </c>
      <c r="M50" s="13">
        <f>LAVORAZIONI!T218</f>
        <v/>
      </c>
      <c r="O50" s="7">
        <f>LAVORAZIONI!U218</f>
        <v/>
      </c>
      <c r="P50" s="37">
        <f>LAVORAZIONI!V218</f>
        <v/>
      </c>
      <c r="Q50" s="7">
        <f>LAVORAZIONI!W218</f>
        <v/>
      </c>
      <c r="R50" s="6">
        <f>LAVORAZIONI!X218</f>
        <v/>
      </c>
      <c r="S50" s="7">
        <f>LAVORAZIONI!Y218</f>
        <v/>
      </c>
      <c r="T50" s="6">
        <f>LAVORAZIONI!Z218</f>
        <v/>
      </c>
      <c r="U50" s="7">
        <f>LAVORAZIONI!AA218</f>
        <v/>
      </c>
      <c r="V50" s="6">
        <f>LAVORAZIONI!AB218</f>
        <v/>
      </c>
      <c r="W50" s="7">
        <f>LAVORAZIONI!AC218</f>
        <v/>
      </c>
      <c r="X50" s="6">
        <f>LAVORAZIONI!AD218</f>
        <v/>
      </c>
      <c r="Y50" s="7">
        <f>LAVORAZIONI!AE218</f>
        <v/>
      </c>
      <c r="Z50" s="6">
        <f>LAVORAZIONI!AF218</f>
        <v/>
      </c>
      <c r="AA50" s="7">
        <f>LAVORAZIONI!AG218</f>
        <v/>
      </c>
      <c r="AB50" s="6">
        <f>LAVORAZIONI!AH218</f>
        <v/>
      </c>
      <c r="AC50" s="7">
        <f>LAVORAZIONI!AI218</f>
        <v/>
      </c>
      <c r="AD50" s="13">
        <f>LAVORAZIONI!AJ218</f>
        <v/>
      </c>
    </row>
    <row r="51" ht="75" customHeight="1" s="35">
      <c r="B51" s="4">
        <f>LAVORAZIONI!G219</f>
        <v/>
      </c>
      <c r="C51" s="3">
        <f>LAVORAZIONI!A219</f>
        <v/>
      </c>
      <c r="D51" s="3">
        <f>LAVORAZIONI!K219</f>
        <v/>
      </c>
      <c r="E51" s="4">
        <f>LAVORAZIONI!H219</f>
        <v/>
      </c>
      <c r="F51" s="4">
        <f>LAVORAZIONI!M219</f>
        <v/>
      </c>
      <c r="G51" s="5">
        <f>LAVORAZIONI!N219</f>
        <v/>
      </c>
      <c r="H51" s="6">
        <f>LAVORAZIONI!O219</f>
        <v/>
      </c>
      <c r="I51" s="13">
        <f>LAVORAZIONI!P219</f>
        <v/>
      </c>
      <c r="J51" s="5">
        <f>IF(LAVORAZIONI!Q219="","",LAVORAZIONI!Q219)</f>
        <v/>
      </c>
      <c r="K51" s="6">
        <f>IF(LAVORAZIONI!R219="","",LAVORAZIONI!R219)</f>
        <v/>
      </c>
      <c r="L51" s="13">
        <f>IF(LAVORAZIONI!S219="","",LAVORAZIONI!S219)</f>
        <v/>
      </c>
      <c r="M51" s="13">
        <f>LAVORAZIONI!T219</f>
        <v/>
      </c>
      <c r="O51" s="7">
        <f>LAVORAZIONI!U219</f>
        <v/>
      </c>
      <c r="P51" s="37">
        <f>LAVORAZIONI!V219</f>
        <v/>
      </c>
      <c r="Q51" s="7">
        <f>LAVORAZIONI!W219</f>
        <v/>
      </c>
      <c r="R51" s="6">
        <f>LAVORAZIONI!X219</f>
        <v/>
      </c>
      <c r="S51" s="7">
        <f>LAVORAZIONI!Y219</f>
        <v/>
      </c>
      <c r="T51" s="6">
        <f>LAVORAZIONI!Z219</f>
        <v/>
      </c>
      <c r="U51" s="7">
        <f>LAVORAZIONI!AA219</f>
        <v/>
      </c>
      <c r="V51" s="6">
        <f>LAVORAZIONI!AB219</f>
        <v/>
      </c>
      <c r="W51" s="7">
        <f>LAVORAZIONI!AC219</f>
        <v/>
      </c>
      <c r="X51" s="6">
        <f>LAVORAZIONI!AD219</f>
        <v/>
      </c>
      <c r="Y51" s="7">
        <f>LAVORAZIONI!AE219</f>
        <v/>
      </c>
      <c r="Z51" s="6">
        <f>LAVORAZIONI!AF219</f>
        <v/>
      </c>
      <c r="AA51" s="7">
        <f>LAVORAZIONI!AG219</f>
        <v/>
      </c>
      <c r="AB51" s="6">
        <f>LAVORAZIONI!AH219</f>
        <v/>
      </c>
      <c r="AC51" s="7">
        <f>LAVORAZIONI!AI219</f>
        <v/>
      </c>
      <c r="AD51" s="13">
        <f>LAVORAZIONI!AJ219</f>
        <v/>
      </c>
    </row>
    <row r="52" ht="75" customHeight="1" s="35">
      <c r="B52" s="4">
        <f>LAVORAZIONI!G220</f>
        <v/>
      </c>
      <c r="C52" s="3">
        <f>LAVORAZIONI!A220</f>
        <v/>
      </c>
      <c r="D52" s="3">
        <f>LAVORAZIONI!K220</f>
        <v/>
      </c>
      <c r="E52" s="4">
        <f>LAVORAZIONI!H220</f>
        <v/>
      </c>
      <c r="F52" s="4">
        <f>LAVORAZIONI!M220</f>
        <v/>
      </c>
      <c r="G52" s="5">
        <f>LAVORAZIONI!N220</f>
        <v/>
      </c>
      <c r="H52" s="6">
        <f>LAVORAZIONI!O220</f>
        <v/>
      </c>
      <c r="I52" s="13">
        <f>LAVORAZIONI!P220</f>
        <v/>
      </c>
      <c r="J52" s="5">
        <f>IF(LAVORAZIONI!Q220="","",LAVORAZIONI!Q220)</f>
        <v/>
      </c>
      <c r="K52" s="6">
        <f>IF(LAVORAZIONI!R220="","",LAVORAZIONI!R220)</f>
        <v/>
      </c>
      <c r="L52" s="13">
        <f>IF(LAVORAZIONI!S220="","",LAVORAZIONI!S220)</f>
        <v/>
      </c>
      <c r="M52" s="13">
        <f>LAVORAZIONI!T220</f>
        <v/>
      </c>
      <c r="O52" s="7">
        <f>LAVORAZIONI!U220</f>
        <v/>
      </c>
      <c r="P52" s="37">
        <f>LAVORAZIONI!V220</f>
        <v/>
      </c>
      <c r="Q52" s="7">
        <f>LAVORAZIONI!W220</f>
        <v/>
      </c>
      <c r="R52" s="6">
        <f>LAVORAZIONI!X220</f>
        <v/>
      </c>
      <c r="S52" s="7">
        <f>LAVORAZIONI!Y220</f>
        <v/>
      </c>
      <c r="T52" s="6">
        <f>LAVORAZIONI!Z220</f>
        <v/>
      </c>
      <c r="U52" s="7">
        <f>LAVORAZIONI!AA220</f>
        <v/>
      </c>
      <c r="V52" s="6">
        <f>LAVORAZIONI!AB220</f>
        <v/>
      </c>
      <c r="W52" s="7">
        <f>LAVORAZIONI!AC220</f>
        <v/>
      </c>
      <c r="X52" s="6">
        <f>LAVORAZIONI!AD220</f>
        <v/>
      </c>
      <c r="Y52" s="7">
        <f>LAVORAZIONI!AE220</f>
        <v/>
      </c>
      <c r="Z52" s="6">
        <f>LAVORAZIONI!AF220</f>
        <v/>
      </c>
      <c r="AA52" s="7">
        <f>LAVORAZIONI!AG220</f>
        <v/>
      </c>
      <c r="AB52" s="6">
        <f>LAVORAZIONI!AH220</f>
        <v/>
      </c>
      <c r="AC52" s="7">
        <f>LAVORAZIONI!AI220</f>
        <v/>
      </c>
      <c r="AD52" s="13">
        <f>LAVORAZIONI!AJ220</f>
        <v/>
      </c>
    </row>
    <row r="53" ht="75" customHeight="1" s="35">
      <c r="B53" s="4">
        <f>LAVORAZIONI!G221</f>
        <v/>
      </c>
      <c r="C53" s="3">
        <f>LAVORAZIONI!A221</f>
        <v/>
      </c>
      <c r="D53" s="3">
        <f>LAVORAZIONI!K221</f>
        <v/>
      </c>
      <c r="E53" s="4">
        <f>LAVORAZIONI!H221</f>
        <v/>
      </c>
      <c r="F53" s="4">
        <f>LAVORAZIONI!M221</f>
        <v/>
      </c>
      <c r="G53" s="5">
        <f>LAVORAZIONI!N221</f>
        <v/>
      </c>
      <c r="H53" s="6">
        <f>LAVORAZIONI!O221</f>
        <v/>
      </c>
      <c r="I53" s="13">
        <f>LAVORAZIONI!P221</f>
        <v/>
      </c>
      <c r="J53" s="5">
        <f>IF(LAVORAZIONI!Q221="","",LAVORAZIONI!Q221)</f>
        <v/>
      </c>
      <c r="K53" s="6">
        <f>IF(LAVORAZIONI!R221="","",LAVORAZIONI!R221)</f>
        <v/>
      </c>
      <c r="L53" s="13">
        <f>IF(LAVORAZIONI!S221="","",LAVORAZIONI!S221)</f>
        <v/>
      </c>
      <c r="M53" s="13">
        <f>LAVORAZIONI!T221</f>
        <v/>
      </c>
      <c r="O53" s="7">
        <f>LAVORAZIONI!U221</f>
        <v/>
      </c>
      <c r="P53" s="37">
        <f>LAVORAZIONI!V221</f>
        <v/>
      </c>
      <c r="Q53" s="7">
        <f>LAVORAZIONI!W221</f>
        <v/>
      </c>
      <c r="R53" s="6">
        <f>LAVORAZIONI!X221</f>
        <v/>
      </c>
      <c r="S53" s="7">
        <f>LAVORAZIONI!Y221</f>
        <v/>
      </c>
      <c r="T53" s="6">
        <f>LAVORAZIONI!Z221</f>
        <v/>
      </c>
      <c r="U53" s="7">
        <f>LAVORAZIONI!AA221</f>
        <v/>
      </c>
      <c r="V53" s="6">
        <f>LAVORAZIONI!AB221</f>
        <v/>
      </c>
      <c r="W53" s="7">
        <f>LAVORAZIONI!AC221</f>
        <v/>
      </c>
      <c r="X53" s="6">
        <f>LAVORAZIONI!AD221</f>
        <v/>
      </c>
      <c r="Y53" s="7">
        <f>LAVORAZIONI!AE221</f>
        <v/>
      </c>
      <c r="Z53" s="6">
        <f>LAVORAZIONI!AF221</f>
        <v/>
      </c>
      <c r="AA53" s="7">
        <f>LAVORAZIONI!AG221</f>
        <v/>
      </c>
      <c r="AB53" s="6">
        <f>LAVORAZIONI!AH221</f>
        <v/>
      </c>
      <c r="AC53" s="7">
        <f>LAVORAZIONI!AI221</f>
        <v/>
      </c>
      <c r="AD53" s="13">
        <f>LAVORAZIONI!AJ221</f>
        <v/>
      </c>
    </row>
    <row r="54" ht="75" customHeight="1" s="35">
      <c r="B54" s="4">
        <f>LAVORAZIONI!G222</f>
        <v/>
      </c>
      <c r="C54" s="3">
        <f>LAVORAZIONI!A222</f>
        <v/>
      </c>
      <c r="D54" s="3">
        <f>LAVORAZIONI!K222</f>
        <v/>
      </c>
      <c r="E54" s="4">
        <f>LAVORAZIONI!H222</f>
        <v/>
      </c>
      <c r="F54" s="4">
        <f>LAVORAZIONI!M222</f>
        <v/>
      </c>
      <c r="G54" s="5">
        <f>LAVORAZIONI!N222</f>
        <v/>
      </c>
      <c r="H54" s="6">
        <f>LAVORAZIONI!O222</f>
        <v/>
      </c>
      <c r="I54" s="13">
        <f>LAVORAZIONI!P222</f>
        <v/>
      </c>
      <c r="J54" s="5">
        <f>IF(LAVORAZIONI!Q222="","",LAVORAZIONI!Q222)</f>
        <v/>
      </c>
      <c r="K54" s="6">
        <f>IF(LAVORAZIONI!R222="","",LAVORAZIONI!R222)</f>
        <v/>
      </c>
      <c r="L54" s="13">
        <f>IF(LAVORAZIONI!S222="","",LAVORAZIONI!S222)</f>
        <v/>
      </c>
      <c r="M54" s="13">
        <f>LAVORAZIONI!T222</f>
        <v/>
      </c>
      <c r="O54" s="7">
        <f>LAVORAZIONI!U222</f>
        <v/>
      </c>
      <c r="P54" s="37">
        <f>LAVORAZIONI!V222</f>
        <v/>
      </c>
      <c r="Q54" s="7">
        <f>LAVORAZIONI!W222</f>
        <v/>
      </c>
      <c r="R54" s="6">
        <f>LAVORAZIONI!X222</f>
        <v/>
      </c>
      <c r="S54" s="7">
        <f>LAVORAZIONI!Y222</f>
        <v/>
      </c>
      <c r="T54" s="6">
        <f>LAVORAZIONI!Z222</f>
        <v/>
      </c>
      <c r="U54" s="7">
        <f>LAVORAZIONI!AA222</f>
        <v/>
      </c>
      <c r="V54" s="6">
        <f>LAVORAZIONI!AB222</f>
        <v/>
      </c>
      <c r="W54" s="7">
        <f>LAVORAZIONI!AC222</f>
        <v/>
      </c>
      <c r="X54" s="6">
        <f>LAVORAZIONI!AD222</f>
        <v/>
      </c>
      <c r="Y54" s="7">
        <f>LAVORAZIONI!AE222</f>
        <v/>
      </c>
      <c r="Z54" s="6">
        <f>LAVORAZIONI!AF222</f>
        <v/>
      </c>
      <c r="AA54" s="7">
        <f>LAVORAZIONI!AG222</f>
        <v/>
      </c>
      <c r="AB54" s="6">
        <f>LAVORAZIONI!AH222</f>
        <v/>
      </c>
      <c r="AC54" s="7">
        <f>LAVORAZIONI!AI222</f>
        <v/>
      </c>
      <c r="AD54" s="13">
        <f>LAVORAZIONI!AJ222</f>
        <v/>
      </c>
    </row>
    <row r="55" ht="75" customHeight="1" s="35">
      <c r="B55" s="4">
        <f>LAVORAZIONI!G223</f>
        <v/>
      </c>
      <c r="C55" s="3">
        <f>LAVORAZIONI!A223</f>
        <v/>
      </c>
      <c r="D55" s="3">
        <f>LAVORAZIONI!K223</f>
        <v/>
      </c>
      <c r="E55" s="4">
        <f>LAVORAZIONI!H223</f>
        <v/>
      </c>
      <c r="F55" s="4">
        <f>LAVORAZIONI!M223</f>
        <v/>
      </c>
      <c r="G55" s="5">
        <f>LAVORAZIONI!N223</f>
        <v/>
      </c>
      <c r="H55" s="6">
        <f>LAVORAZIONI!O223</f>
        <v/>
      </c>
      <c r="I55" s="13">
        <f>LAVORAZIONI!P223</f>
        <v/>
      </c>
      <c r="J55" s="5">
        <f>IF(LAVORAZIONI!Q223="","",LAVORAZIONI!Q223)</f>
        <v/>
      </c>
      <c r="K55" s="6">
        <f>IF(LAVORAZIONI!R223="","",LAVORAZIONI!R223)</f>
        <v/>
      </c>
      <c r="L55" s="13">
        <f>IF(LAVORAZIONI!S223="","",LAVORAZIONI!S223)</f>
        <v/>
      </c>
      <c r="M55" s="13">
        <f>LAVORAZIONI!T223</f>
        <v/>
      </c>
      <c r="O55" s="7">
        <f>LAVORAZIONI!U223</f>
        <v/>
      </c>
      <c r="P55" s="37">
        <f>LAVORAZIONI!V223</f>
        <v/>
      </c>
      <c r="Q55" s="7">
        <f>LAVORAZIONI!W223</f>
        <v/>
      </c>
      <c r="R55" s="6">
        <f>LAVORAZIONI!X223</f>
        <v/>
      </c>
      <c r="S55" s="7">
        <f>LAVORAZIONI!Y223</f>
        <v/>
      </c>
      <c r="T55" s="6">
        <f>LAVORAZIONI!Z223</f>
        <v/>
      </c>
      <c r="U55" s="7">
        <f>LAVORAZIONI!AA223</f>
        <v/>
      </c>
      <c r="V55" s="6">
        <f>LAVORAZIONI!AB223</f>
        <v/>
      </c>
      <c r="W55" s="7">
        <f>LAVORAZIONI!AC223</f>
        <v/>
      </c>
      <c r="X55" s="6">
        <f>LAVORAZIONI!AD223</f>
        <v/>
      </c>
      <c r="Y55" s="7">
        <f>LAVORAZIONI!AE223</f>
        <v/>
      </c>
      <c r="Z55" s="6">
        <f>LAVORAZIONI!AF223</f>
        <v/>
      </c>
      <c r="AA55" s="7">
        <f>LAVORAZIONI!AG223</f>
        <v/>
      </c>
      <c r="AB55" s="6">
        <f>LAVORAZIONI!AH223</f>
        <v/>
      </c>
      <c r="AC55" s="7">
        <f>LAVORAZIONI!AI223</f>
        <v/>
      </c>
      <c r="AD55" s="13">
        <f>LAVORAZIONI!AJ223</f>
        <v/>
      </c>
    </row>
    <row r="56" ht="75" customHeight="1" s="35">
      <c r="B56" s="4">
        <f>LAVORAZIONI!G224</f>
        <v/>
      </c>
      <c r="C56" s="3">
        <f>LAVORAZIONI!A224</f>
        <v/>
      </c>
      <c r="D56" s="3">
        <f>LAVORAZIONI!K224</f>
        <v/>
      </c>
      <c r="E56" s="4">
        <f>LAVORAZIONI!H224</f>
        <v/>
      </c>
      <c r="F56" s="4">
        <f>LAVORAZIONI!M224</f>
        <v/>
      </c>
      <c r="G56" s="5">
        <f>LAVORAZIONI!N224</f>
        <v/>
      </c>
      <c r="H56" s="6">
        <f>LAVORAZIONI!O224</f>
        <v/>
      </c>
      <c r="I56" s="13">
        <f>LAVORAZIONI!P224</f>
        <v/>
      </c>
      <c r="J56" s="5">
        <f>IF(LAVORAZIONI!Q224="","",LAVORAZIONI!Q224)</f>
        <v/>
      </c>
      <c r="K56" s="6">
        <f>IF(LAVORAZIONI!R224="","",LAVORAZIONI!R224)</f>
        <v/>
      </c>
      <c r="L56" s="13">
        <f>IF(LAVORAZIONI!S224="","",LAVORAZIONI!S224)</f>
        <v/>
      </c>
      <c r="M56" s="13">
        <f>LAVORAZIONI!T224</f>
        <v/>
      </c>
      <c r="O56" s="7">
        <f>LAVORAZIONI!U224</f>
        <v/>
      </c>
      <c r="P56" s="37">
        <f>LAVORAZIONI!V224</f>
        <v/>
      </c>
      <c r="Q56" s="7">
        <f>LAVORAZIONI!W224</f>
        <v/>
      </c>
      <c r="R56" s="6">
        <f>LAVORAZIONI!X224</f>
        <v/>
      </c>
      <c r="S56" s="7">
        <f>LAVORAZIONI!Y224</f>
        <v/>
      </c>
      <c r="T56" s="6">
        <f>LAVORAZIONI!Z224</f>
        <v/>
      </c>
      <c r="U56" s="7">
        <f>LAVORAZIONI!AA224</f>
        <v/>
      </c>
      <c r="V56" s="6">
        <f>LAVORAZIONI!AB224</f>
        <v/>
      </c>
      <c r="W56" s="7">
        <f>LAVORAZIONI!AC224</f>
        <v/>
      </c>
      <c r="X56" s="6">
        <f>LAVORAZIONI!AD224</f>
        <v/>
      </c>
      <c r="Y56" s="7">
        <f>LAVORAZIONI!AE224</f>
        <v/>
      </c>
      <c r="Z56" s="6">
        <f>LAVORAZIONI!AF224</f>
        <v/>
      </c>
      <c r="AA56" s="7">
        <f>LAVORAZIONI!AG224</f>
        <v/>
      </c>
      <c r="AB56" s="6">
        <f>LAVORAZIONI!AH224</f>
        <v/>
      </c>
      <c r="AC56" s="7">
        <f>LAVORAZIONI!AI224</f>
        <v/>
      </c>
      <c r="AD56" s="13">
        <f>LAVORAZIONI!AJ224</f>
        <v/>
      </c>
    </row>
    <row r="57" ht="75" customHeight="1" s="35">
      <c r="B57" s="4">
        <f>LAVORAZIONI!G225</f>
        <v/>
      </c>
      <c r="C57" s="3">
        <f>LAVORAZIONI!A225</f>
        <v/>
      </c>
      <c r="D57" s="3">
        <f>LAVORAZIONI!K225</f>
        <v/>
      </c>
      <c r="E57" s="4">
        <f>LAVORAZIONI!H225</f>
        <v/>
      </c>
      <c r="F57" s="4">
        <f>LAVORAZIONI!M225</f>
        <v/>
      </c>
      <c r="G57" s="5">
        <f>LAVORAZIONI!N225</f>
        <v/>
      </c>
      <c r="H57" s="6">
        <f>LAVORAZIONI!O225</f>
        <v/>
      </c>
      <c r="I57" s="13">
        <f>LAVORAZIONI!P225</f>
        <v/>
      </c>
      <c r="J57" s="5">
        <f>IF(LAVORAZIONI!Q225="","",LAVORAZIONI!Q225)</f>
        <v/>
      </c>
      <c r="K57" s="6">
        <f>IF(LAVORAZIONI!R225="","",LAVORAZIONI!R225)</f>
        <v/>
      </c>
      <c r="L57" s="13">
        <f>IF(LAVORAZIONI!S225="","",LAVORAZIONI!S225)</f>
        <v/>
      </c>
      <c r="M57" s="13">
        <f>LAVORAZIONI!T225</f>
        <v/>
      </c>
      <c r="O57" s="7">
        <f>LAVORAZIONI!U225</f>
        <v/>
      </c>
      <c r="P57" s="37">
        <f>LAVORAZIONI!V225</f>
        <v/>
      </c>
      <c r="Q57" s="7">
        <f>LAVORAZIONI!W225</f>
        <v/>
      </c>
      <c r="R57" s="6">
        <f>LAVORAZIONI!X225</f>
        <v/>
      </c>
      <c r="S57" s="7">
        <f>LAVORAZIONI!Y225</f>
        <v/>
      </c>
      <c r="T57" s="6">
        <f>LAVORAZIONI!Z225</f>
        <v/>
      </c>
      <c r="U57" s="7">
        <f>LAVORAZIONI!AA225</f>
        <v/>
      </c>
      <c r="V57" s="6">
        <f>LAVORAZIONI!AB225</f>
        <v/>
      </c>
      <c r="W57" s="7">
        <f>LAVORAZIONI!AC225</f>
        <v/>
      </c>
      <c r="X57" s="6">
        <f>LAVORAZIONI!AD225</f>
        <v/>
      </c>
      <c r="Y57" s="7">
        <f>LAVORAZIONI!AE225</f>
        <v/>
      </c>
      <c r="Z57" s="6">
        <f>LAVORAZIONI!AF225</f>
        <v/>
      </c>
      <c r="AA57" s="7">
        <f>LAVORAZIONI!AG225</f>
        <v/>
      </c>
      <c r="AB57" s="6">
        <f>LAVORAZIONI!AH225</f>
        <v/>
      </c>
      <c r="AC57" s="7">
        <f>LAVORAZIONI!AI225</f>
        <v/>
      </c>
      <c r="AD57" s="13">
        <f>LAVORAZIONI!AJ225</f>
        <v/>
      </c>
    </row>
    <row r="58" ht="75" customHeight="1" s="35">
      <c r="B58" s="4">
        <f>LAVORAZIONI!G226</f>
        <v/>
      </c>
      <c r="C58" s="3">
        <f>LAVORAZIONI!A226</f>
        <v/>
      </c>
      <c r="D58" s="3">
        <f>LAVORAZIONI!K226</f>
        <v/>
      </c>
      <c r="E58" s="4">
        <f>LAVORAZIONI!H226</f>
        <v/>
      </c>
      <c r="F58" s="4">
        <f>LAVORAZIONI!M226</f>
        <v/>
      </c>
      <c r="G58" s="5">
        <f>LAVORAZIONI!N226</f>
        <v/>
      </c>
      <c r="H58" s="6">
        <f>LAVORAZIONI!O226</f>
        <v/>
      </c>
      <c r="I58" s="13">
        <f>LAVORAZIONI!P226</f>
        <v/>
      </c>
      <c r="J58" s="5">
        <f>IF(LAVORAZIONI!Q226="","",LAVORAZIONI!Q226)</f>
        <v/>
      </c>
      <c r="K58" s="6">
        <f>IF(LAVORAZIONI!R226="","",LAVORAZIONI!R226)</f>
        <v/>
      </c>
      <c r="L58" s="13">
        <f>IF(LAVORAZIONI!S226="","",LAVORAZIONI!S226)</f>
        <v/>
      </c>
      <c r="M58" s="13">
        <f>LAVORAZIONI!T226</f>
        <v/>
      </c>
      <c r="O58" s="7">
        <f>LAVORAZIONI!U226</f>
        <v/>
      </c>
      <c r="P58" s="37">
        <f>LAVORAZIONI!V226</f>
        <v/>
      </c>
      <c r="Q58" s="7">
        <f>LAVORAZIONI!W226</f>
        <v/>
      </c>
      <c r="R58" s="6">
        <f>LAVORAZIONI!X226</f>
        <v/>
      </c>
      <c r="S58" s="7">
        <f>LAVORAZIONI!Y226</f>
        <v/>
      </c>
      <c r="T58" s="6">
        <f>LAVORAZIONI!Z226</f>
        <v/>
      </c>
      <c r="U58" s="7">
        <f>LAVORAZIONI!AA226</f>
        <v/>
      </c>
      <c r="V58" s="6">
        <f>LAVORAZIONI!AB226</f>
        <v/>
      </c>
      <c r="W58" s="7">
        <f>LAVORAZIONI!AC226</f>
        <v/>
      </c>
      <c r="X58" s="6">
        <f>LAVORAZIONI!AD226</f>
        <v/>
      </c>
      <c r="Y58" s="7">
        <f>LAVORAZIONI!AE226</f>
        <v/>
      </c>
      <c r="Z58" s="6">
        <f>LAVORAZIONI!AF226</f>
        <v/>
      </c>
      <c r="AA58" s="7">
        <f>LAVORAZIONI!AG226</f>
        <v/>
      </c>
      <c r="AB58" s="6">
        <f>LAVORAZIONI!AH226</f>
        <v/>
      </c>
      <c r="AC58" s="7">
        <f>LAVORAZIONI!AI226</f>
        <v/>
      </c>
      <c r="AD58" s="13">
        <f>LAVORAZIONI!AJ226</f>
        <v/>
      </c>
    </row>
    <row r="59" ht="75" customHeight="1" s="35">
      <c r="B59" s="4">
        <f>LAVORAZIONI!G227</f>
        <v/>
      </c>
      <c r="C59" s="3">
        <f>LAVORAZIONI!A227</f>
        <v/>
      </c>
      <c r="D59" s="3">
        <f>LAVORAZIONI!K227</f>
        <v/>
      </c>
      <c r="E59" s="4">
        <f>LAVORAZIONI!H227</f>
        <v/>
      </c>
      <c r="F59" s="4">
        <f>LAVORAZIONI!M227</f>
        <v/>
      </c>
      <c r="G59" s="5">
        <f>LAVORAZIONI!N227</f>
        <v/>
      </c>
      <c r="H59" s="6">
        <f>LAVORAZIONI!O227</f>
        <v/>
      </c>
      <c r="I59" s="13">
        <f>LAVORAZIONI!P227</f>
        <v/>
      </c>
      <c r="J59" s="5">
        <f>IF(LAVORAZIONI!Q227="","",LAVORAZIONI!Q227)</f>
        <v/>
      </c>
      <c r="K59" s="6">
        <f>IF(LAVORAZIONI!R227="","",LAVORAZIONI!R227)</f>
        <v/>
      </c>
      <c r="L59" s="13">
        <f>IF(LAVORAZIONI!S227="","",LAVORAZIONI!S227)</f>
        <v/>
      </c>
      <c r="M59" s="13">
        <f>LAVORAZIONI!T227</f>
        <v/>
      </c>
      <c r="O59" s="7">
        <f>LAVORAZIONI!U227</f>
        <v/>
      </c>
      <c r="P59" s="37">
        <f>LAVORAZIONI!V227</f>
        <v/>
      </c>
      <c r="Q59" s="7">
        <f>LAVORAZIONI!W227</f>
        <v/>
      </c>
      <c r="R59" s="6">
        <f>LAVORAZIONI!X227</f>
        <v/>
      </c>
      <c r="S59" s="7">
        <f>LAVORAZIONI!Y227</f>
        <v/>
      </c>
      <c r="T59" s="6">
        <f>LAVORAZIONI!Z227</f>
        <v/>
      </c>
      <c r="U59" s="7">
        <f>LAVORAZIONI!AA227</f>
        <v/>
      </c>
      <c r="V59" s="6">
        <f>LAVORAZIONI!AB227</f>
        <v/>
      </c>
      <c r="W59" s="7">
        <f>LAVORAZIONI!AC227</f>
        <v/>
      </c>
      <c r="X59" s="6">
        <f>LAVORAZIONI!AD227</f>
        <v/>
      </c>
      <c r="Y59" s="7">
        <f>LAVORAZIONI!AE227</f>
        <v/>
      </c>
      <c r="Z59" s="6">
        <f>LAVORAZIONI!AF227</f>
        <v/>
      </c>
      <c r="AA59" s="7">
        <f>LAVORAZIONI!AG227</f>
        <v/>
      </c>
      <c r="AB59" s="6">
        <f>LAVORAZIONI!AH227</f>
        <v/>
      </c>
      <c r="AC59" s="7">
        <f>LAVORAZIONI!AI227</f>
        <v/>
      </c>
      <c r="AD59" s="13">
        <f>LAVORAZIONI!AJ227</f>
        <v/>
      </c>
    </row>
    <row r="60" ht="75" customHeight="1" s="35">
      <c r="B60" s="4">
        <f>LAVORAZIONI!G228</f>
        <v/>
      </c>
      <c r="C60" s="3">
        <f>LAVORAZIONI!A228</f>
        <v/>
      </c>
      <c r="D60" s="3">
        <f>LAVORAZIONI!K228</f>
        <v/>
      </c>
      <c r="E60" s="4">
        <f>LAVORAZIONI!H228</f>
        <v/>
      </c>
      <c r="F60" s="4">
        <f>LAVORAZIONI!M228</f>
        <v/>
      </c>
      <c r="G60" s="5">
        <f>LAVORAZIONI!N228</f>
        <v/>
      </c>
      <c r="H60" s="6">
        <f>LAVORAZIONI!O228</f>
        <v/>
      </c>
      <c r="I60" s="13">
        <f>LAVORAZIONI!P228</f>
        <v/>
      </c>
      <c r="J60" s="5">
        <f>IF(LAVORAZIONI!Q228="","",LAVORAZIONI!Q228)</f>
        <v/>
      </c>
      <c r="K60" s="6">
        <f>IF(LAVORAZIONI!R228="","",LAVORAZIONI!R228)</f>
        <v/>
      </c>
      <c r="L60" s="13">
        <f>IF(LAVORAZIONI!S228="","",LAVORAZIONI!S228)</f>
        <v/>
      </c>
      <c r="M60" s="13">
        <f>LAVORAZIONI!T228</f>
        <v/>
      </c>
      <c r="O60" s="7">
        <f>LAVORAZIONI!U228</f>
        <v/>
      </c>
      <c r="P60" s="37">
        <f>LAVORAZIONI!V228</f>
        <v/>
      </c>
      <c r="Q60" s="7">
        <f>LAVORAZIONI!W228</f>
        <v/>
      </c>
      <c r="R60" s="6">
        <f>LAVORAZIONI!X228</f>
        <v/>
      </c>
      <c r="S60" s="7">
        <f>LAVORAZIONI!Y228</f>
        <v/>
      </c>
      <c r="T60" s="6">
        <f>LAVORAZIONI!Z228</f>
        <v/>
      </c>
      <c r="U60" s="7">
        <f>LAVORAZIONI!AA228</f>
        <v/>
      </c>
      <c r="V60" s="6">
        <f>LAVORAZIONI!AB228</f>
        <v/>
      </c>
      <c r="W60" s="7">
        <f>LAVORAZIONI!AC228</f>
        <v/>
      </c>
      <c r="X60" s="6">
        <f>LAVORAZIONI!AD228</f>
        <v/>
      </c>
      <c r="Y60" s="7">
        <f>LAVORAZIONI!AE228</f>
        <v/>
      </c>
      <c r="Z60" s="6">
        <f>LAVORAZIONI!AF228</f>
        <v/>
      </c>
      <c r="AA60" s="7">
        <f>LAVORAZIONI!AG228</f>
        <v/>
      </c>
      <c r="AB60" s="6">
        <f>LAVORAZIONI!AH228</f>
        <v/>
      </c>
      <c r="AC60" s="7">
        <f>LAVORAZIONI!AI228</f>
        <v/>
      </c>
      <c r="AD60" s="13">
        <f>LAVORAZIONI!AJ228</f>
        <v/>
      </c>
    </row>
    <row r="61" ht="75" customHeight="1" s="35">
      <c r="B61" s="4">
        <f>LAVORAZIONI!G229</f>
        <v/>
      </c>
      <c r="C61" s="3">
        <f>LAVORAZIONI!A229</f>
        <v/>
      </c>
      <c r="D61" s="3">
        <f>LAVORAZIONI!K229</f>
        <v/>
      </c>
      <c r="E61" s="4">
        <f>LAVORAZIONI!H229</f>
        <v/>
      </c>
      <c r="F61" s="4">
        <f>LAVORAZIONI!M229</f>
        <v/>
      </c>
      <c r="G61" s="5">
        <f>LAVORAZIONI!N229</f>
        <v/>
      </c>
      <c r="H61" s="6">
        <f>LAVORAZIONI!O229</f>
        <v/>
      </c>
      <c r="I61" s="13">
        <f>LAVORAZIONI!P229</f>
        <v/>
      </c>
      <c r="J61" s="5">
        <f>IF(LAVORAZIONI!Q229="","",LAVORAZIONI!Q229)</f>
        <v/>
      </c>
      <c r="K61" s="6">
        <f>IF(LAVORAZIONI!R229="","",LAVORAZIONI!R229)</f>
        <v/>
      </c>
      <c r="L61" s="13">
        <f>IF(LAVORAZIONI!S229="","",LAVORAZIONI!S229)</f>
        <v/>
      </c>
      <c r="M61" s="13">
        <f>LAVORAZIONI!T229</f>
        <v/>
      </c>
      <c r="O61" s="7">
        <f>LAVORAZIONI!U229</f>
        <v/>
      </c>
      <c r="P61" s="37">
        <f>LAVORAZIONI!V229</f>
        <v/>
      </c>
      <c r="Q61" s="7">
        <f>LAVORAZIONI!W229</f>
        <v/>
      </c>
      <c r="R61" s="6">
        <f>LAVORAZIONI!X229</f>
        <v/>
      </c>
      <c r="S61" s="7">
        <f>LAVORAZIONI!Y229</f>
        <v/>
      </c>
      <c r="T61" s="6">
        <f>LAVORAZIONI!Z229</f>
        <v/>
      </c>
      <c r="U61" s="7">
        <f>LAVORAZIONI!AA229</f>
        <v/>
      </c>
      <c r="V61" s="6">
        <f>LAVORAZIONI!AB229</f>
        <v/>
      </c>
      <c r="W61" s="7">
        <f>LAVORAZIONI!AC229</f>
        <v/>
      </c>
      <c r="X61" s="6">
        <f>LAVORAZIONI!AD229</f>
        <v/>
      </c>
      <c r="Y61" s="7">
        <f>LAVORAZIONI!AE229</f>
        <v/>
      </c>
      <c r="Z61" s="6">
        <f>LAVORAZIONI!AF229</f>
        <v/>
      </c>
      <c r="AA61" s="7">
        <f>LAVORAZIONI!AG229</f>
        <v/>
      </c>
      <c r="AB61" s="6">
        <f>LAVORAZIONI!AH229</f>
        <v/>
      </c>
      <c r="AC61" s="7">
        <f>LAVORAZIONI!AI229</f>
        <v/>
      </c>
      <c r="AD61" s="13">
        <f>LAVORAZIONI!AJ229</f>
        <v/>
      </c>
    </row>
    <row r="62" ht="75" customHeight="1" s="35">
      <c r="B62" s="4">
        <f>LAVORAZIONI!G230</f>
        <v/>
      </c>
      <c r="C62" s="3">
        <f>LAVORAZIONI!A230</f>
        <v/>
      </c>
      <c r="D62" s="3">
        <f>LAVORAZIONI!K230</f>
        <v/>
      </c>
      <c r="E62" s="4">
        <f>LAVORAZIONI!H230</f>
        <v/>
      </c>
      <c r="F62" s="4">
        <f>LAVORAZIONI!M230</f>
        <v/>
      </c>
      <c r="G62" s="5">
        <f>LAVORAZIONI!N230</f>
        <v/>
      </c>
      <c r="H62" s="6">
        <f>LAVORAZIONI!O230</f>
        <v/>
      </c>
      <c r="I62" s="13">
        <f>LAVORAZIONI!P230</f>
        <v/>
      </c>
      <c r="J62" s="5">
        <f>IF(LAVORAZIONI!Q230="","",LAVORAZIONI!Q230)</f>
        <v/>
      </c>
      <c r="K62" s="6">
        <f>IF(LAVORAZIONI!R230="","",LAVORAZIONI!R230)</f>
        <v/>
      </c>
      <c r="L62" s="13">
        <f>IF(LAVORAZIONI!S230="","",LAVORAZIONI!S230)</f>
        <v/>
      </c>
      <c r="M62" s="13">
        <f>LAVORAZIONI!T230</f>
        <v/>
      </c>
      <c r="O62" s="7">
        <f>LAVORAZIONI!U230</f>
        <v/>
      </c>
      <c r="P62" s="37">
        <f>LAVORAZIONI!V230</f>
        <v/>
      </c>
      <c r="Q62" s="7">
        <f>LAVORAZIONI!W230</f>
        <v/>
      </c>
      <c r="R62" s="6">
        <f>LAVORAZIONI!X230</f>
        <v/>
      </c>
      <c r="S62" s="7">
        <f>LAVORAZIONI!Y230</f>
        <v/>
      </c>
      <c r="T62" s="6">
        <f>LAVORAZIONI!Z230</f>
        <v/>
      </c>
      <c r="U62" s="7">
        <f>LAVORAZIONI!AA230</f>
        <v/>
      </c>
      <c r="V62" s="6">
        <f>LAVORAZIONI!AB230</f>
        <v/>
      </c>
      <c r="W62" s="7">
        <f>LAVORAZIONI!AC230</f>
        <v/>
      </c>
      <c r="X62" s="6">
        <f>LAVORAZIONI!AD230</f>
        <v/>
      </c>
      <c r="Y62" s="7">
        <f>LAVORAZIONI!AE230</f>
        <v/>
      </c>
      <c r="Z62" s="6">
        <f>LAVORAZIONI!AF230</f>
        <v/>
      </c>
      <c r="AA62" s="7">
        <f>LAVORAZIONI!AG230</f>
        <v/>
      </c>
      <c r="AB62" s="6">
        <f>LAVORAZIONI!AH230</f>
        <v/>
      </c>
      <c r="AC62" s="7">
        <f>LAVORAZIONI!AI230</f>
        <v/>
      </c>
      <c r="AD62" s="13">
        <f>LAVORAZIONI!AJ230</f>
        <v/>
      </c>
    </row>
    <row r="63" ht="75" customHeight="1" s="35">
      <c r="B63" s="4">
        <f>LAVORAZIONI!G231</f>
        <v/>
      </c>
      <c r="C63" s="3">
        <f>LAVORAZIONI!A231</f>
        <v/>
      </c>
      <c r="D63" s="3">
        <f>LAVORAZIONI!K231</f>
        <v/>
      </c>
      <c r="E63" s="4">
        <f>LAVORAZIONI!H231</f>
        <v/>
      </c>
      <c r="F63" s="4">
        <f>LAVORAZIONI!M231</f>
        <v/>
      </c>
      <c r="G63" s="5">
        <f>LAVORAZIONI!N231</f>
        <v/>
      </c>
      <c r="H63" s="6">
        <f>LAVORAZIONI!O231</f>
        <v/>
      </c>
      <c r="I63" s="13">
        <f>LAVORAZIONI!P231</f>
        <v/>
      </c>
      <c r="J63" s="5">
        <f>IF(LAVORAZIONI!Q231="","",LAVORAZIONI!Q231)</f>
        <v/>
      </c>
      <c r="K63" s="6">
        <f>IF(LAVORAZIONI!R231="","",LAVORAZIONI!R231)</f>
        <v/>
      </c>
      <c r="L63" s="13">
        <f>IF(LAVORAZIONI!S231="","",LAVORAZIONI!S231)</f>
        <v/>
      </c>
      <c r="M63" s="13">
        <f>LAVORAZIONI!T231</f>
        <v/>
      </c>
      <c r="O63" s="7">
        <f>LAVORAZIONI!U231</f>
        <v/>
      </c>
      <c r="P63" s="37">
        <f>LAVORAZIONI!V231</f>
        <v/>
      </c>
      <c r="Q63" s="7">
        <f>LAVORAZIONI!W231</f>
        <v/>
      </c>
      <c r="R63" s="6">
        <f>LAVORAZIONI!X231</f>
        <v/>
      </c>
      <c r="S63" s="7">
        <f>LAVORAZIONI!Y231</f>
        <v/>
      </c>
      <c r="T63" s="6">
        <f>LAVORAZIONI!Z231</f>
        <v/>
      </c>
      <c r="U63" s="7">
        <f>LAVORAZIONI!AA231</f>
        <v/>
      </c>
      <c r="V63" s="6">
        <f>LAVORAZIONI!AB231</f>
        <v/>
      </c>
      <c r="W63" s="7">
        <f>LAVORAZIONI!AC231</f>
        <v/>
      </c>
      <c r="X63" s="6">
        <f>LAVORAZIONI!AD231</f>
        <v/>
      </c>
      <c r="Y63" s="7">
        <f>LAVORAZIONI!AE231</f>
        <v/>
      </c>
      <c r="Z63" s="6">
        <f>LAVORAZIONI!AF231</f>
        <v/>
      </c>
      <c r="AA63" s="7">
        <f>LAVORAZIONI!AG231</f>
        <v/>
      </c>
      <c r="AB63" s="6">
        <f>LAVORAZIONI!AH231</f>
        <v/>
      </c>
      <c r="AC63" s="7">
        <f>LAVORAZIONI!AI231</f>
        <v/>
      </c>
      <c r="AD63" s="13">
        <f>LAVORAZIONI!AJ231</f>
        <v/>
      </c>
    </row>
    <row r="64" ht="75" customHeight="1" s="35">
      <c r="B64" s="4">
        <f>LAVORAZIONI!G232</f>
        <v/>
      </c>
      <c r="C64" s="3">
        <f>LAVORAZIONI!A232</f>
        <v/>
      </c>
      <c r="D64" s="3">
        <f>LAVORAZIONI!K232</f>
        <v/>
      </c>
      <c r="E64" s="4">
        <f>LAVORAZIONI!H232</f>
        <v/>
      </c>
      <c r="F64" s="4">
        <f>LAVORAZIONI!M232</f>
        <v/>
      </c>
      <c r="G64" s="5">
        <f>LAVORAZIONI!N232</f>
        <v/>
      </c>
      <c r="H64" s="6">
        <f>LAVORAZIONI!O232</f>
        <v/>
      </c>
      <c r="I64" s="13">
        <f>LAVORAZIONI!P232</f>
        <v/>
      </c>
      <c r="J64" s="5">
        <f>IF(LAVORAZIONI!Q232="","",LAVORAZIONI!Q232)</f>
        <v/>
      </c>
      <c r="K64" s="6">
        <f>IF(LAVORAZIONI!R232="","",LAVORAZIONI!R232)</f>
        <v/>
      </c>
      <c r="L64" s="13">
        <f>IF(LAVORAZIONI!S232="","",LAVORAZIONI!S232)</f>
        <v/>
      </c>
      <c r="M64" s="13">
        <f>LAVORAZIONI!T232</f>
        <v/>
      </c>
      <c r="O64" s="7">
        <f>LAVORAZIONI!U232</f>
        <v/>
      </c>
      <c r="P64" s="37">
        <f>LAVORAZIONI!V232</f>
        <v/>
      </c>
      <c r="Q64" s="7">
        <f>LAVORAZIONI!W232</f>
        <v/>
      </c>
      <c r="R64" s="6">
        <f>LAVORAZIONI!X232</f>
        <v/>
      </c>
      <c r="S64" s="7">
        <f>LAVORAZIONI!Y232</f>
        <v/>
      </c>
      <c r="T64" s="6">
        <f>LAVORAZIONI!Z232</f>
        <v/>
      </c>
      <c r="U64" s="7">
        <f>LAVORAZIONI!AA232</f>
        <v/>
      </c>
      <c r="V64" s="6">
        <f>LAVORAZIONI!AB232</f>
        <v/>
      </c>
      <c r="W64" s="7">
        <f>LAVORAZIONI!AC232</f>
        <v/>
      </c>
      <c r="X64" s="6">
        <f>LAVORAZIONI!AD232</f>
        <v/>
      </c>
      <c r="Y64" s="7">
        <f>LAVORAZIONI!AE232</f>
        <v/>
      </c>
      <c r="Z64" s="6">
        <f>LAVORAZIONI!AF232</f>
        <v/>
      </c>
      <c r="AA64" s="7">
        <f>LAVORAZIONI!AG232</f>
        <v/>
      </c>
      <c r="AB64" s="6">
        <f>LAVORAZIONI!AH232</f>
        <v/>
      </c>
      <c r="AC64" s="7">
        <f>LAVORAZIONI!AI232</f>
        <v/>
      </c>
      <c r="AD64" s="13">
        <f>LAVORAZIONI!AJ232</f>
        <v/>
      </c>
    </row>
    <row r="65" ht="75" customHeight="1" s="35">
      <c r="B65" s="4">
        <f>LAVORAZIONI!G233</f>
        <v/>
      </c>
      <c r="C65" s="3">
        <f>LAVORAZIONI!A233</f>
        <v/>
      </c>
      <c r="D65" s="3">
        <f>LAVORAZIONI!K233</f>
        <v/>
      </c>
      <c r="E65" s="4">
        <f>LAVORAZIONI!H233</f>
        <v/>
      </c>
      <c r="F65" s="4">
        <f>LAVORAZIONI!M233</f>
        <v/>
      </c>
      <c r="G65" s="5">
        <f>LAVORAZIONI!N233</f>
        <v/>
      </c>
      <c r="H65" s="6">
        <f>LAVORAZIONI!O233</f>
        <v/>
      </c>
      <c r="I65" s="13">
        <f>LAVORAZIONI!P233</f>
        <v/>
      </c>
      <c r="J65" s="5">
        <f>IF(LAVORAZIONI!Q233="","",LAVORAZIONI!Q233)</f>
        <v/>
      </c>
      <c r="K65" s="6">
        <f>IF(LAVORAZIONI!R233="","",LAVORAZIONI!R233)</f>
        <v/>
      </c>
      <c r="L65" s="13">
        <f>IF(LAVORAZIONI!S233="","",LAVORAZIONI!S233)</f>
        <v/>
      </c>
      <c r="M65" s="13">
        <f>LAVORAZIONI!T233</f>
        <v/>
      </c>
      <c r="O65" s="7">
        <f>LAVORAZIONI!U233</f>
        <v/>
      </c>
      <c r="P65" s="37">
        <f>LAVORAZIONI!V233</f>
        <v/>
      </c>
      <c r="Q65" s="7">
        <f>LAVORAZIONI!W233</f>
        <v/>
      </c>
      <c r="R65" s="6">
        <f>LAVORAZIONI!X233</f>
        <v/>
      </c>
      <c r="S65" s="7">
        <f>LAVORAZIONI!Y233</f>
        <v/>
      </c>
      <c r="T65" s="6">
        <f>LAVORAZIONI!Z233</f>
        <v/>
      </c>
      <c r="U65" s="7">
        <f>LAVORAZIONI!AA233</f>
        <v/>
      </c>
      <c r="V65" s="6">
        <f>LAVORAZIONI!AB233</f>
        <v/>
      </c>
      <c r="W65" s="7">
        <f>LAVORAZIONI!AC233</f>
        <v/>
      </c>
      <c r="X65" s="6">
        <f>LAVORAZIONI!AD233</f>
        <v/>
      </c>
      <c r="Y65" s="7">
        <f>LAVORAZIONI!AE233</f>
        <v/>
      </c>
      <c r="Z65" s="6">
        <f>LAVORAZIONI!AF233</f>
        <v/>
      </c>
      <c r="AA65" s="7">
        <f>LAVORAZIONI!AG233</f>
        <v/>
      </c>
      <c r="AB65" s="6">
        <f>LAVORAZIONI!AH233</f>
        <v/>
      </c>
      <c r="AC65" s="7">
        <f>LAVORAZIONI!AI233</f>
        <v/>
      </c>
      <c r="AD65" s="13">
        <f>LAVORAZIONI!AJ233</f>
        <v/>
      </c>
    </row>
    <row r="66" ht="75" customHeight="1" s="35">
      <c r="B66" s="4">
        <f>LAVORAZIONI!G234</f>
        <v/>
      </c>
      <c r="C66" s="3">
        <f>LAVORAZIONI!A234</f>
        <v/>
      </c>
      <c r="D66" s="3">
        <f>LAVORAZIONI!K234</f>
        <v/>
      </c>
      <c r="E66" s="4">
        <f>LAVORAZIONI!H234</f>
        <v/>
      </c>
      <c r="F66" s="4">
        <f>LAVORAZIONI!M234</f>
        <v/>
      </c>
      <c r="G66" s="5">
        <f>LAVORAZIONI!N234</f>
        <v/>
      </c>
      <c r="H66" s="6">
        <f>LAVORAZIONI!O234</f>
        <v/>
      </c>
      <c r="I66" s="13">
        <f>LAVORAZIONI!P234</f>
        <v/>
      </c>
      <c r="J66" s="5">
        <f>IF(LAVORAZIONI!Q234="","",LAVORAZIONI!Q234)</f>
        <v/>
      </c>
      <c r="K66" s="6">
        <f>IF(LAVORAZIONI!R234="","",LAVORAZIONI!R234)</f>
        <v/>
      </c>
      <c r="L66" s="13">
        <f>IF(LAVORAZIONI!S234="","",LAVORAZIONI!S234)</f>
        <v/>
      </c>
      <c r="M66" s="13">
        <f>LAVORAZIONI!T234</f>
        <v/>
      </c>
      <c r="O66" s="7">
        <f>LAVORAZIONI!U234</f>
        <v/>
      </c>
      <c r="P66" s="37">
        <f>LAVORAZIONI!V234</f>
        <v/>
      </c>
      <c r="Q66" s="7">
        <f>LAVORAZIONI!W234</f>
        <v/>
      </c>
      <c r="R66" s="6">
        <f>LAVORAZIONI!X234</f>
        <v/>
      </c>
      <c r="S66" s="7">
        <f>LAVORAZIONI!Y234</f>
        <v/>
      </c>
      <c r="T66" s="6">
        <f>LAVORAZIONI!Z234</f>
        <v/>
      </c>
      <c r="U66" s="7">
        <f>LAVORAZIONI!AA234</f>
        <v/>
      </c>
      <c r="V66" s="6">
        <f>LAVORAZIONI!AB234</f>
        <v/>
      </c>
      <c r="W66" s="7">
        <f>LAVORAZIONI!AC234</f>
        <v/>
      </c>
      <c r="X66" s="6">
        <f>LAVORAZIONI!AD234</f>
        <v/>
      </c>
      <c r="Y66" s="7">
        <f>LAVORAZIONI!AE234</f>
        <v/>
      </c>
      <c r="Z66" s="6">
        <f>LAVORAZIONI!AF234</f>
        <v/>
      </c>
      <c r="AA66" s="7">
        <f>LAVORAZIONI!AG234</f>
        <v/>
      </c>
      <c r="AB66" s="6">
        <f>LAVORAZIONI!AH234</f>
        <v/>
      </c>
      <c r="AC66" s="7">
        <f>LAVORAZIONI!AI234</f>
        <v/>
      </c>
      <c r="AD66" s="13">
        <f>LAVORAZIONI!AJ234</f>
        <v/>
      </c>
    </row>
    <row r="67" ht="75" customHeight="1" s="35">
      <c r="B67" s="4">
        <f>LAVORAZIONI!G235</f>
        <v/>
      </c>
      <c r="C67" s="3">
        <f>LAVORAZIONI!A235</f>
        <v/>
      </c>
      <c r="D67" s="3">
        <f>LAVORAZIONI!K235</f>
        <v/>
      </c>
      <c r="E67" s="4">
        <f>LAVORAZIONI!H235</f>
        <v/>
      </c>
      <c r="F67" s="4">
        <f>LAVORAZIONI!M235</f>
        <v/>
      </c>
      <c r="G67" s="5">
        <f>LAVORAZIONI!N235</f>
        <v/>
      </c>
      <c r="H67" s="6">
        <f>LAVORAZIONI!O235</f>
        <v/>
      </c>
      <c r="I67" s="13">
        <f>LAVORAZIONI!P235</f>
        <v/>
      </c>
      <c r="J67" s="5">
        <f>IF(LAVORAZIONI!Q235="","",LAVORAZIONI!Q235)</f>
        <v/>
      </c>
      <c r="K67" s="6">
        <f>IF(LAVORAZIONI!R235="","",LAVORAZIONI!R235)</f>
        <v/>
      </c>
      <c r="L67" s="13">
        <f>IF(LAVORAZIONI!S235="","",LAVORAZIONI!S235)</f>
        <v/>
      </c>
      <c r="M67" s="13">
        <f>LAVORAZIONI!T235</f>
        <v/>
      </c>
      <c r="O67" s="7">
        <f>LAVORAZIONI!U235</f>
        <v/>
      </c>
      <c r="P67" s="37">
        <f>LAVORAZIONI!V235</f>
        <v/>
      </c>
      <c r="Q67" s="7">
        <f>LAVORAZIONI!W235</f>
        <v/>
      </c>
      <c r="R67" s="6">
        <f>LAVORAZIONI!X235</f>
        <v/>
      </c>
      <c r="S67" s="7">
        <f>LAVORAZIONI!Y235</f>
        <v/>
      </c>
      <c r="T67" s="6">
        <f>LAVORAZIONI!Z235</f>
        <v/>
      </c>
      <c r="U67" s="7">
        <f>LAVORAZIONI!AA235</f>
        <v/>
      </c>
      <c r="V67" s="6">
        <f>LAVORAZIONI!AB235</f>
        <v/>
      </c>
      <c r="W67" s="7">
        <f>LAVORAZIONI!AC235</f>
        <v/>
      </c>
      <c r="X67" s="6">
        <f>LAVORAZIONI!AD235</f>
        <v/>
      </c>
      <c r="Y67" s="7">
        <f>LAVORAZIONI!AE235</f>
        <v/>
      </c>
      <c r="Z67" s="6">
        <f>LAVORAZIONI!AF235</f>
        <v/>
      </c>
      <c r="AA67" s="7">
        <f>LAVORAZIONI!AG235</f>
        <v/>
      </c>
      <c r="AB67" s="6">
        <f>LAVORAZIONI!AH235</f>
        <v/>
      </c>
      <c r="AC67" s="7">
        <f>LAVORAZIONI!AI235</f>
        <v/>
      </c>
      <c r="AD67" s="13">
        <f>LAVORAZIONI!AJ235</f>
        <v/>
      </c>
    </row>
    <row r="68" ht="75" customHeight="1" s="35">
      <c r="B68" s="4">
        <f>LAVORAZIONI!G236</f>
        <v/>
      </c>
      <c r="C68" s="3">
        <f>LAVORAZIONI!A236</f>
        <v/>
      </c>
      <c r="D68" s="3">
        <f>LAVORAZIONI!K236</f>
        <v/>
      </c>
      <c r="E68" s="4">
        <f>LAVORAZIONI!H236</f>
        <v/>
      </c>
      <c r="F68" s="4">
        <f>LAVORAZIONI!M236</f>
        <v/>
      </c>
      <c r="G68" s="5">
        <f>LAVORAZIONI!N236</f>
        <v/>
      </c>
      <c r="H68" s="6">
        <f>LAVORAZIONI!O236</f>
        <v/>
      </c>
      <c r="I68" s="13">
        <f>LAVORAZIONI!P236</f>
        <v/>
      </c>
      <c r="J68" s="5">
        <f>IF(LAVORAZIONI!Q236="","",LAVORAZIONI!Q236)</f>
        <v/>
      </c>
      <c r="K68" s="6">
        <f>IF(LAVORAZIONI!R236="","",LAVORAZIONI!R236)</f>
        <v/>
      </c>
      <c r="L68" s="13">
        <f>IF(LAVORAZIONI!S236="","",LAVORAZIONI!S236)</f>
        <v/>
      </c>
      <c r="M68" s="13">
        <f>LAVORAZIONI!T236</f>
        <v/>
      </c>
      <c r="O68" s="7">
        <f>LAVORAZIONI!U236</f>
        <v/>
      </c>
      <c r="P68" s="37">
        <f>LAVORAZIONI!V236</f>
        <v/>
      </c>
      <c r="Q68" s="7">
        <f>LAVORAZIONI!W236</f>
        <v/>
      </c>
      <c r="R68" s="6">
        <f>LAVORAZIONI!X236</f>
        <v/>
      </c>
      <c r="S68" s="7">
        <f>LAVORAZIONI!Y236</f>
        <v/>
      </c>
      <c r="T68" s="6">
        <f>LAVORAZIONI!Z236</f>
        <v/>
      </c>
      <c r="U68" s="7">
        <f>LAVORAZIONI!AA236</f>
        <v/>
      </c>
      <c r="V68" s="6">
        <f>LAVORAZIONI!AB236</f>
        <v/>
      </c>
      <c r="W68" s="7">
        <f>LAVORAZIONI!AC236</f>
        <v/>
      </c>
      <c r="X68" s="6">
        <f>LAVORAZIONI!AD236</f>
        <v/>
      </c>
      <c r="Y68" s="7">
        <f>LAVORAZIONI!AE236</f>
        <v/>
      </c>
      <c r="Z68" s="6">
        <f>LAVORAZIONI!AF236</f>
        <v/>
      </c>
      <c r="AA68" s="7">
        <f>LAVORAZIONI!AG236</f>
        <v/>
      </c>
      <c r="AB68" s="6">
        <f>LAVORAZIONI!AH236</f>
        <v/>
      </c>
      <c r="AC68" s="7">
        <f>LAVORAZIONI!AI236</f>
        <v/>
      </c>
      <c r="AD68" s="13">
        <f>LAVORAZIONI!AJ236</f>
        <v/>
      </c>
    </row>
    <row r="69" ht="75" customHeight="1" s="35">
      <c r="B69" s="4">
        <f>LAVORAZIONI!G237</f>
        <v/>
      </c>
      <c r="C69" s="3">
        <f>LAVORAZIONI!A237</f>
        <v/>
      </c>
      <c r="D69" s="3">
        <f>LAVORAZIONI!K237</f>
        <v/>
      </c>
      <c r="E69" s="4">
        <f>LAVORAZIONI!H237</f>
        <v/>
      </c>
      <c r="F69" s="4">
        <f>LAVORAZIONI!M237</f>
        <v/>
      </c>
      <c r="G69" s="5">
        <f>LAVORAZIONI!N237</f>
        <v/>
      </c>
      <c r="H69" s="6">
        <f>LAVORAZIONI!O237</f>
        <v/>
      </c>
      <c r="I69" s="13">
        <f>LAVORAZIONI!P237</f>
        <v/>
      </c>
      <c r="J69" s="5">
        <f>IF(LAVORAZIONI!Q237="","",LAVORAZIONI!Q237)</f>
        <v/>
      </c>
      <c r="K69" s="6">
        <f>IF(LAVORAZIONI!R237="","",LAVORAZIONI!R237)</f>
        <v/>
      </c>
      <c r="L69" s="13">
        <f>IF(LAVORAZIONI!S237="","",LAVORAZIONI!S237)</f>
        <v/>
      </c>
      <c r="M69" s="13">
        <f>LAVORAZIONI!T237</f>
        <v/>
      </c>
      <c r="O69" s="7">
        <f>LAVORAZIONI!U237</f>
        <v/>
      </c>
      <c r="P69" s="37">
        <f>LAVORAZIONI!V237</f>
        <v/>
      </c>
      <c r="Q69" s="7">
        <f>LAVORAZIONI!W237</f>
        <v/>
      </c>
      <c r="R69" s="6">
        <f>LAVORAZIONI!X237</f>
        <v/>
      </c>
      <c r="S69" s="7">
        <f>LAVORAZIONI!Y237</f>
        <v/>
      </c>
      <c r="T69" s="6">
        <f>LAVORAZIONI!Z237</f>
        <v/>
      </c>
      <c r="U69" s="7">
        <f>LAVORAZIONI!AA237</f>
        <v/>
      </c>
      <c r="V69" s="6">
        <f>LAVORAZIONI!AB237</f>
        <v/>
      </c>
      <c r="W69" s="7">
        <f>LAVORAZIONI!AC237</f>
        <v/>
      </c>
      <c r="X69" s="6">
        <f>LAVORAZIONI!AD237</f>
        <v/>
      </c>
      <c r="Y69" s="7">
        <f>LAVORAZIONI!AE237</f>
        <v/>
      </c>
      <c r="Z69" s="6">
        <f>LAVORAZIONI!AF237</f>
        <v/>
      </c>
      <c r="AA69" s="7">
        <f>LAVORAZIONI!AG237</f>
        <v/>
      </c>
      <c r="AB69" s="6">
        <f>LAVORAZIONI!AH237</f>
        <v/>
      </c>
      <c r="AC69" s="7">
        <f>LAVORAZIONI!AI237</f>
        <v/>
      </c>
      <c r="AD69" s="13">
        <f>LAVORAZIONI!AJ237</f>
        <v/>
      </c>
    </row>
    <row r="70" ht="75" customHeight="1" s="35">
      <c r="B70" s="4">
        <f>LAVORAZIONI!G238</f>
        <v/>
      </c>
      <c r="C70" s="3">
        <f>LAVORAZIONI!A238</f>
        <v/>
      </c>
      <c r="D70" s="3">
        <f>LAVORAZIONI!K238</f>
        <v/>
      </c>
      <c r="E70" s="4">
        <f>LAVORAZIONI!H238</f>
        <v/>
      </c>
      <c r="F70" s="4">
        <f>LAVORAZIONI!M238</f>
        <v/>
      </c>
      <c r="G70" s="5">
        <f>LAVORAZIONI!N238</f>
        <v/>
      </c>
      <c r="H70" s="6">
        <f>LAVORAZIONI!O238</f>
        <v/>
      </c>
      <c r="I70" s="13">
        <f>LAVORAZIONI!P238</f>
        <v/>
      </c>
      <c r="J70" s="5">
        <f>IF(LAVORAZIONI!Q238="","",LAVORAZIONI!Q238)</f>
        <v/>
      </c>
      <c r="K70" s="6">
        <f>IF(LAVORAZIONI!R238="","",LAVORAZIONI!R238)</f>
        <v/>
      </c>
      <c r="L70" s="13">
        <f>IF(LAVORAZIONI!S238="","",LAVORAZIONI!S238)</f>
        <v/>
      </c>
      <c r="M70" s="13">
        <f>LAVORAZIONI!T238</f>
        <v/>
      </c>
      <c r="O70" s="7">
        <f>LAVORAZIONI!U238</f>
        <v/>
      </c>
      <c r="P70" s="37">
        <f>LAVORAZIONI!V238</f>
        <v/>
      </c>
      <c r="Q70" s="7">
        <f>LAVORAZIONI!W238</f>
        <v/>
      </c>
      <c r="R70" s="6">
        <f>LAVORAZIONI!X238</f>
        <v/>
      </c>
      <c r="S70" s="7">
        <f>LAVORAZIONI!Y238</f>
        <v/>
      </c>
      <c r="T70" s="6">
        <f>LAVORAZIONI!Z238</f>
        <v/>
      </c>
      <c r="U70" s="7">
        <f>LAVORAZIONI!AA238</f>
        <v/>
      </c>
      <c r="V70" s="6">
        <f>LAVORAZIONI!AB238</f>
        <v/>
      </c>
      <c r="W70" s="7">
        <f>LAVORAZIONI!AC238</f>
        <v/>
      </c>
      <c r="X70" s="6">
        <f>LAVORAZIONI!AD238</f>
        <v/>
      </c>
      <c r="Y70" s="7">
        <f>LAVORAZIONI!AE238</f>
        <v/>
      </c>
      <c r="Z70" s="6">
        <f>LAVORAZIONI!AF238</f>
        <v/>
      </c>
      <c r="AA70" s="7">
        <f>LAVORAZIONI!AG238</f>
        <v/>
      </c>
      <c r="AB70" s="6">
        <f>LAVORAZIONI!AH238</f>
        <v/>
      </c>
      <c r="AC70" s="7">
        <f>LAVORAZIONI!AI238</f>
        <v/>
      </c>
      <c r="AD70" s="13">
        <f>LAVORAZIONI!AJ238</f>
        <v/>
      </c>
    </row>
    <row r="71" ht="75" customHeight="1" s="35">
      <c r="B71" s="4">
        <f>LAVORAZIONI!G239</f>
        <v/>
      </c>
      <c r="C71" s="3">
        <f>LAVORAZIONI!A239</f>
        <v/>
      </c>
      <c r="D71" s="3">
        <f>LAVORAZIONI!K239</f>
        <v/>
      </c>
      <c r="E71" s="4">
        <f>LAVORAZIONI!H239</f>
        <v/>
      </c>
      <c r="F71" s="4">
        <f>LAVORAZIONI!M239</f>
        <v/>
      </c>
      <c r="G71" s="5">
        <f>LAVORAZIONI!N239</f>
        <v/>
      </c>
      <c r="H71" s="6">
        <f>LAVORAZIONI!O239</f>
        <v/>
      </c>
      <c r="I71" s="13">
        <f>LAVORAZIONI!P239</f>
        <v/>
      </c>
      <c r="J71" s="5">
        <f>IF(LAVORAZIONI!Q239="","",LAVORAZIONI!Q239)</f>
        <v/>
      </c>
      <c r="K71" s="6">
        <f>IF(LAVORAZIONI!R239="","",LAVORAZIONI!R239)</f>
        <v/>
      </c>
      <c r="L71" s="13">
        <f>IF(LAVORAZIONI!S239="","",LAVORAZIONI!S239)</f>
        <v/>
      </c>
      <c r="M71" s="13">
        <f>LAVORAZIONI!T239</f>
        <v/>
      </c>
      <c r="O71" s="7">
        <f>LAVORAZIONI!U239</f>
        <v/>
      </c>
      <c r="P71" s="37">
        <f>LAVORAZIONI!V239</f>
        <v/>
      </c>
      <c r="Q71" s="7">
        <f>LAVORAZIONI!W239</f>
        <v/>
      </c>
      <c r="R71" s="6">
        <f>LAVORAZIONI!X239</f>
        <v/>
      </c>
      <c r="S71" s="7">
        <f>LAVORAZIONI!Y239</f>
        <v/>
      </c>
      <c r="T71" s="6">
        <f>LAVORAZIONI!Z239</f>
        <v/>
      </c>
      <c r="U71" s="7">
        <f>LAVORAZIONI!AA239</f>
        <v/>
      </c>
      <c r="V71" s="6">
        <f>LAVORAZIONI!AB239</f>
        <v/>
      </c>
      <c r="W71" s="7">
        <f>LAVORAZIONI!AC239</f>
        <v/>
      </c>
      <c r="X71" s="6">
        <f>LAVORAZIONI!AD239</f>
        <v/>
      </c>
      <c r="Y71" s="7">
        <f>LAVORAZIONI!AE239</f>
        <v/>
      </c>
      <c r="Z71" s="6">
        <f>LAVORAZIONI!AF239</f>
        <v/>
      </c>
      <c r="AA71" s="7">
        <f>LAVORAZIONI!AG239</f>
        <v/>
      </c>
      <c r="AB71" s="6">
        <f>LAVORAZIONI!AH239</f>
        <v/>
      </c>
      <c r="AC71" s="7">
        <f>LAVORAZIONI!AI239</f>
        <v/>
      </c>
      <c r="AD71" s="13">
        <f>LAVORAZIONI!AJ239</f>
        <v/>
      </c>
    </row>
    <row r="72" ht="75" customHeight="1" s="35">
      <c r="B72" s="4">
        <f>LAVORAZIONI!G240</f>
        <v/>
      </c>
      <c r="C72" s="3">
        <f>LAVORAZIONI!A240</f>
        <v/>
      </c>
      <c r="D72" s="3">
        <f>LAVORAZIONI!K240</f>
        <v/>
      </c>
      <c r="E72" s="4">
        <f>LAVORAZIONI!H240</f>
        <v/>
      </c>
      <c r="F72" s="4">
        <f>LAVORAZIONI!M240</f>
        <v/>
      </c>
      <c r="G72" s="5">
        <f>LAVORAZIONI!N240</f>
        <v/>
      </c>
      <c r="H72" s="6">
        <f>LAVORAZIONI!O240</f>
        <v/>
      </c>
      <c r="I72" s="13">
        <f>LAVORAZIONI!P240</f>
        <v/>
      </c>
      <c r="J72" s="5">
        <f>IF(LAVORAZIONI!Q240="","",LAVORAZIONI!Q240)</f>
        <v/>
      </c>
      <c r="K72" s="6">
        <f>IF(LAVORAZIONI!R240="","",LAVORAZIONI!R240)</f>
        <v/>
      </c>
      <c r="L72" s="13">
        <f>IF(LAVORAZIONI!S240="","",LAVORAZIONI!S240)</f>
        <v/>
      </c>
      <c r="M72" s="13">
        <f>LAVORAZIONI!T240</f>
        <v/>
      </c>
      <c r="O72" s="7">
        <f>LAVORAZIONI!U240</f>
        <v/>
      </c>
      <c r="P72" s="37">
        <f>LAVORAZIONI!V240</f>
        <v/>
      </c>
      <c r="Q72" s="7">
        <f>LAVORAZIONI!W240</f>
        <v/>
      </c>
      <c r="R72" s="6">
        <f>LAVORAZIONI!X240</f>
        <v/>
      </c>
      <c r="S72" s="7">
        <f>LAVORAZIONI!Y240</f>
        <v/>
      </c>
      <c r="T72" s="6">
        <f>LAVORAZIONI!Z240</f>
        <v/>
      </c>
      <c r="U72" s="7">
        <f>LAVORAZIONI!AA240</f>
        <v/>
      </c>
      <c r="V72" s="6">
        <f>LAVORAZIONI!AB240</f>
        <v/>
      </c>
      <c r="W72" s="7">
        <f>LAVORAZIONI!AC240</f>
        <v/>
      </c>
      <c r="X72" s="6">
        <f>LAVORAZIONI!AD240</f>
        <v/>
      </c>
      <c r="Y72" s="7">
        <f>LAVORAZIONI!AE240</f>
        <v/>
      </c>
      <c r="Z72" s="6">
        <f>LAVORAZIONI!AF240</f>
        <v/>
      </c>
      <c r="AA72" s="7">
        <f>LAVORAZIONI!AG240</f>
        <v/>
      </c>
      <c r="AB72" s="6">
        <f>LAVORAZIONI!AH240</f>
        <v/>
      </c>
      <c r="AC72" s="7">
        <f>LAVORAZIONI!AI240</f>
        <v/>
      </c>
      <c r="AD72" s="13">
        <f>LAVORAZIONI!AJ240</f>
        <v/>
      </c>
    </row>
    <row r="73" ht="75" customHeight="1" s="35">
      <c r="B73" s="4">
        <f>LAVORAZIONI!G241</f>
        <v/>
      </c>
      <c r="C73" s="3">
        <f>LAVORAZIONI!A241</f>
        <v/>
      </c>
      <c r="D73" s="3">
        <f>LAVORAZIONI!K241</f>
        <v/>
      </c>
      <c r="E73" s="4">
        <f>LAVORAZIONI!H241</f>
        <v/>
      </c>
      <c r="F73" s="4">
        <f>LAVORAZIONI!M241</f>
        <v/>
      </c>
      <c r="G73" s="5">
        <f>LAVORAZIONI!N241</f>
        <v/>
      </c>
      <c r="H73" s="6">
        <f>LAVORAZIONI!O241</f>
        <v/>
      </c>
      <c r="I73" s="13">
        <f>LAVORAZIONI!P241</f>
        <v/>
      </c>
      <c r="J73" s="5">
        <f>IF(LAVORAZIONI!Q241="","",LAVORAZIONI!Q241)</f>
        <v/>
      </c>
      <c r="K73" s="6">
        <f>IF(LAVORAZIONI!R241="","",LAVORAZIONI!R241)</f>
        <v/>
      </c>
      <c r="L73" s="13">
        <f>IF(LAVORAZIONI!S241="","",LAVORAZIONI!S241)</f>
        <v/>
      </c>
      <c r="M73" s="13">
        <f>LAVORAZIONI!T241</f>
        <v/>
      </c>
      <c r="O73" s="7">
        <f>LAVORAZIONI!U241</f>
        <v/>
      </c>
      <c r="P73" s="37">
        <f>LAVORAZIONI!V241</f>
        <v/>
      </c>
      <c r="Q73" s="7">
        <f>LAVORAZIONI!W241</f>
        <v/>
      </c>
      <c r="R73" s="6">
        <f>LAVORAZIONI!X241</f>
        <v/>
      </c>
      <c r="S73" s="7">
        <f>LAVORAZIONI!Y241</f>
        <v/>
      </c>
      <c r="T73" s="6">
        <f>LAVORAZIONI!Z241</f>
        <v/>
      </c>
      <c r="U73" s="7">
        <f>LAVORAZIONI!AA241</f>
        <v/>
      </c>
      <c r="V73" s="6">
        <f>LAVORAZIONI!AB241</f>
        <v/>
      </c>
      <c r="W73" s="7">
        <f>LAVORAZIONI!AC241</f>
        <v/>
      </c>
      <c r="X73" s="6">
        <f>LAVORAZIONI!AD241</f>
        <v/>
      </c>
      <c r="Y73" s="7">
        <f>LAVORAZIONI!AE241</f>
        <v/>
      </c>
      <c r="Z73" s="6">
        <f>LAVORAZIONI!AF241</f>
        <v/>
      </c>
      <c r="AA73" s="7">
        <f>LAVORAZIONI!AG241</f>
        <v/>
      </c>
      <c r="AB73" s="6">
        <f>LAVORAZIONI!AH241</f>
        <v/>
      </c>
      <c r="AC73" s="7">
        <f>LAVORAZIONI!AI241</f>
        <v/>
      </c>
      <c r="AD73" s="13">
        <f>LAVORAZIONI!AJ241</f>
        <v/>
      </c>
    </row>
    <row r="74" ht="75" customHeight="1" s="35">
      <c r="B74" s="4">
        <f>LAVORAZIONI!G242</f>
        <v/>
      </c>
      <c r="C74" s="3">
        <f>LAVORAZIONI!A242</f>
        <v/>
      </c>
      <c r="D74" s="3">
        <f>LAVORAZIONI!K242</f>
        <v/>
      </c>
      <c r="E74" s="4">
        <f>LAVORAZIONI!H242</f>
        <v/>
      </c>
      <c r="F74" s="4">
        <f>LAVORAZIONI!M242</f>
        <v/>
      </c>
      <c r="G74" s="5">
        <f>LAVORAZIONI!N242</f>
        <v/>
      </c>
      <c r="H74" s="6">
        <f>LAVORAZIONI!O242</f>
        <v/>
      </c>
      <c r="I74" s="13">
        <f>LAVORAZIONI!P242</f>
        <v/>
      </c>
      <c r="J74" s="5">
        <f>IF(LAVORAZIONI!Q242="","",LAVORAZIONI!Q242)</f>
        <v/>
      </c>
      <c r="K74" s="6">
        <f>IF(LAVORAZIONI!R242="","",LAVORAZIONI!R242)</f>
        <v/>
      </c>
      <c r="L74" s="13">
        <f>IF(LAVORAZIONI!S242="","",LAVORAZIONI!S242)</f>
        <v/>
      </c>
      <c r="M74" s="13">
        <f>LAVORAZIONI!T242</f>
        <v/>
      </c>
      <c r="O74" s="7">
        <f>LAVORAZIONI!U242</f>
        <v/>
      </c>
      <c r="P74" s="37">
        <f>LAVORAZIONI!V242</f>
        <v/>
      </c>
      <c r="Q74" s="7">
        <f>LAVORAZIONI!W242</f>
        <v/>
      </c>
      <c r="R74" s="6">
        <f>LAVORAZIONI!X242</f>
        <v/>
      </c>
      <c r="S74" s="7">
        <f>LAVORAZIONI!Y242</f>
        <v/>
      </c>
      <c r="T74" s="6">
        <f>LAVORAZIONI!Z242</f>
        <v/>
      </c>
      <c r="U74" s="7">
        <f>LAVORAZIONI!AA242</f>
        <v/>
      </c>
      <c r="V74" s="6">
        <f>LAVORAZIONI!AB242</f>
        <v/>
      </c>
      <c r="W74" s="7">
        <f>LAVORAZIONI!AC242</f>
        <v/>
      </c>
      <c r="X74" s="6">
        <f>LAVORAZIONI!AD242</f>
        <v/>
      </c>
      <c r="Y74" s="7">
        <f>LAVORAZIONI!AE242</f>
        <v/>
      </c>
      <c r="Z74" s="6">
        <f>LAVORAZIONI!AF242</f>
        <v/>
      </c>
      <c r="AA74" s="7">
        <f>LAVORAZIONI!AG242</f>
        <v/>
      </c>
      <c r="AB74" s="6">
        <f>LAVORAZIONI!AH242</f>
        <v/>
      </c>
      <c r="AC74" s="7">
        <f>LAVORAZIONI!AI242</f>
        <v/>
      </c>
      <c r="AD74" s="13">
        <f>LAVORAZIONI!AJ242</f>
        <v/>
      </c>
    </row>
    <row r="75" ht="75" customHeight="1" s="35">
      <c r="B75" s="4">
        <f>LAVORAZIONI!G243</f>
        <v/>
      </c>
      <c r="C75" s="3">
        <f>LAVORAZIONI!A243</f>
        <v/>
      </c>
      <c r="D75" s="3">
        <f>LAVORAZIONI!K243</f>
        <v/>
      </c>
      <c r="E75" s="4">
        <f>LAVORAZIONI!H243</f>
        <v/>
      </c>
      <c r="F75" s="4">
        <f>LAVORAZIONI!M243</f>
        <v/>
      </c>
      <c r="G75" s="5">
        <f>LAVORAZIONI!N243</f>
        <v/>
      </c>
      <c r="H75" s="6">
        <f>LAVORAZIONI!O243</f>
        <v/>
      </c>
      <c r="I75" s="13">
        <f>LAVORAZIONI!P243</f>
        <v/>
      </c>
      <c r="J75" s="5">
        <f>IF(LAVORAZIONI!Q243="","",LAVORAZIONI!Q243)</f>
        <v/>
      </c>
      <c r="K75" s="6">
        <f>IF(LAVORAZIONI!R243="","",LAVORAZIONI!R243)</f>
        <v/>
      </c>
      <c r="L75" s="13">
        <f>IF(LAVORAZIONI!S243="","",LAVORAZIONI!S243)</f>
        <v/>
      </c>
      <c r="M75" s="13">
        <f>LAVORAZIONI!T243</f>
        <v/>
      </c>
      <c r="O75" s="7">
        <f>LAVORAZIONI!U243</f>
        <v/>
      </c>
      <c r="P75" s="37">
        <f>LAVORAZIONI!V243</f>
        <v/>
      </c>
      <c r="Q75" s="7">
        <f>LAVORAZIONI!W243</f>
        <v/>
      </c>
      <c r="R75" s="6">
        <f>LAVORAZIONI!X243</f>
        <v/>
      </c>
      <c r="S75" s="7">
        <f>LAVORAZIONI!Y243</f>
        <v/>
      </c>
      <c r="T75" s="6">
        <f>LAVORAZIONI!Z243</f>
        <v/>
      </c>
      <c r="U75" s="7">
        <f>LAVORAZIONI!AA243</f>
        <v/>
      </c>
      <c r="V75" s="6">
        <f>LAVORAZIONI!AB243</f>
        <v/>
      </c>
      <c r="W75" s="7">
        <f>LAVORAZIONI!AC243</f>
        <v/>
      </c>
      <c r="X75" s="6">
        <f>LAVORAZIONI!AD243</f>
        <v/>
      </c>
      <c r="Y75" s="7">
        <f>LAVORAZIONI!AE243</f>
        <v/>
      </c>
      <c r="Z75" s="6">
        <f>LAVORAZIONI!AF243</f>
        <v/>
      </c>
      <c r="AA75" s="7">
        <f>LAVORAZIONI!AG243</f>
        <v/>
      </c>
      <c r="AB75" s="6">
        <f>LAVORAZIONI!AH243</f>
        <v/>
      </c>
      <c r="AC75" s="7">
        <f>LAVORAZIONI!AI243</f>
        <v/>
      </c>
      <c r="AD75" s="13">
        <f>LAVORAZIONI!AJ243</f>
        <v/>
      </c>
    </row>
    <row r="76" ht="75" customHeight="1" s="35">
      <c r="B76" s="4">
        <f>LAVORAZIONI!G244</f>
        <v/>
      </c>
      <c r="C76" s="3">
        <f>LAVORAZIONI!A244</f>
        <v/>
      </c>
      <c r="D76" s="3">
        <f>LAVORAZIONI!K244</f>
        <v/>
      </c>
      <c r="E76" s="4">
        <f>LAVORAZIONI!H244</f>
        <v/>
      </c>
      <c r="F76" s="4">
        <f>LAVORAZIONI!M244</f>
        <v/>
      </c>
      <c r="G76" s="5">
        <f>LAVORAZIONI!N244</f>
        <v/>
      </c>
      <c r="H76" s="6">
        <f>LAVORAZIONI!O244</f>
        <v/>
      </c>
      <c r="I76" s="13">
        <f>LAVORAZIONI!P244</f>
        <v/>
      </c>
      <c r="J76" s="5">
        <f>IF(LAVORAZIONI!Q244="","",LAVORAZIONI!Q244)</f>
        <v/>
      </c>
      <c r="K76" s="6">
        <f>IF(LAVORAZIONI!R244="","",LAVORAZIONI!R244)</f>
        <v/>
      </c>
      <c r="L76" s="13">
        <f>IF(LAVORAZIONI!S244="","",LAVORAZIONI!S244)</f>
        <v/>
      </c>
      <c r="M76" s="13">
        <f>LAVORAZIONI!T244</f>
        <v/>
      </c>
      <c r="O76" s="7">
        <f>LAVORAZIONI!U244</f>
        <v/>
      </c>
      <c r="P76" s="37">
        <f>LAVORAZIONI!V244</f>
        <v/>
      </c>
      <c r="Q76" s="7">
        <f>LAVORAZIONI!W244</f>
        <v/>
      </c>
      <c r="R76" s="6">
        <f>LAVORAZIONI!X244</f>
        <v/>
      </c>
      <c r="S76" s="7">
        <f>LAVORAZIONI!Y244</f>
        <v/>
      </c>
      <c r="T76" s="6">
        <f>LAVORAZIONI!Z244</f>
        <v/>
      </c>
      <c r="U76" s="7">
        <f>LAVORAZIONI!AA244</f>
        <v/>
      </c>
      <c r="V76" s="6">
        <f>LAVORAZIONI!AB244</f>
        <v/>
      </c>
      <c r="W76" s="7">
        <f>LAVORAZIONI!AC244</f>
        <v/>
      </c>
      <c r="X76" s="6">
        <f>LAVORAZIONI!AD244</f>
        <v/>
      </c>
      <c r="Y76" s="7">
        <f>LAVORAZIONI!AE244</f>
        <v/>
      </c>
      <c r="Z76" s="6">
        <f>LAVORAZIONI!AF244</f>
        <v/>
      </c>
      <c r="AA76" s="7">
        <f>LAVORAZIONI!AG244</f>
        <v/>
      </c>
      <c r="AB76" s="6">
        <f>LAVORAZIONI!AH244</f>
        <v/>
      </c>
      <c r="AC76" s="7">
        <f>LAVORAZIONI!AI244</f>
        <v/>
      </c>
      <c r="AD76" s="13">
        <f>LAVORAZIONI!AJ244</f>
        <v/>
      </c>
    </row>
    <row r="77" ht="75" customHeight="1" s="35">
      <c r="B77" s="4">
        <f>LAVORAZIONI!G245</f>
        <v/>
      </c>
      <c r="C77" s="3">
        <f>LAVORAZIONI!A245</f>
        <v/>
      </c>
      <c r="D77" s="3">
        <f>LAVORAZIONI!K245</f>
        <v/>
      </c>
      <c r="E77" s="4">
        <f>LAVORAZIONI!H245</f>
        <v/>
      </c>
      <c r="F77" s="4">
        <f>LAVORAZIONI!M245</f>
        <v/>
      </c>
      <c r="G77" s="5">
        <f>LAVORAZIONI!N245</f>
        <v/>
      </c>
      <c r="H77" s="6">
        <f>LAVORAZIONI!O245</f>
        <v/>
      </c>
      <c r="I77" s="13">
        <f>LAVORAZIONI!P245</f>
        <v/>
      </c>
      <c r="J77" s="5">
        <f>IF(LAVORAZIONI!Q245="","",LAVORAZIONI!Q245)</f>
        <v/>
      </c>
      <c r="K77" s="6">
        <f>IF(LAVORAZIONI!R245="","",LAVORAZIONI!R245)</f>
        <v/>
      </c>
      <c r="L77" s="13">
        <f>IF(LAVORAZIONI!S245="","",LAVORAZIONI!S245)</f>
        <v/>
      </c>
      <c r="M77" s="13">
        <f>LAVORAZIONI!T245</f>
        <v/>
      </c>
      <c r="O77" s="7">
        <f>LAVORAZIONI!U245</f>
        <v/>
      </c>
      <c r="P77" s="37">
        <f>LAVORAZIONI!V245</f>
        <v/>
      </c>
      <c r="Q77" s="7">
        <f>LAVORAZIONI!W245</f>
        <v/>
      </c>
      <c r="R77" s="6">
        <f>LAVORAZIONI!X245</f>
        <v/>
      </c>
      <c r="S77" s="7">
        <f>LAVORAZIONI!Y245</f>
        <v/>
      </c>
      <c r="T77" s="6">
        <f>LAVORAZIONI!Z245</f>
        <v/>
      </c>
      <c r="U77" s="7">
        <f>LAVORAZIONI!AA245</f>
        <v/>
      </c>
      <c r="V77" s="6">
        <f>LAVORAZIONI!AB245</f>
        <v/>
      </c>
      <c r="W77" s="7">
        <f>LAVORAZIONI!AC245</f>
        <v/>
      </c>
      <c r="X77" s="6">
        <f>LAVORAZIONI!AD245</f>
        <v/>
      </c>
      <c r="Y77" s="7">
        <f>LAVORAZIONI!AE245</f>
        <v/>
      </c>
      <c r="Z77" s="6">
        <f>LAVORAZIONI!AF245</f>
        <v/>
      </c>
      <c r="AA77" s="7">
        <f>LAVORAZIONI!AG245</f>
        <v/>
      </c>
      <c r="AB77" s="6">
        <f>LAVORAZIONI!AH245</f>
        <v/>
      </c>
      <c r="AC77" s="7">
        <f>LAVORAZIONI!AI245</f>
        <v/>
      </c>
      <c r="AD77" s="13">
        <f>LAVORAZIONI!AJ245</f>
        <v/>
      </c>
    </row>
    <row r="78" ht="75" customHeight="1" s="35">
      <c r="B78" s="4">
        <f>LAVORAZIONI!G246</f>
        <v/>
      </c>
      <c r="C78" s="3">
        <f>LAVORAZIONI!A246</f>
        <v/>
      </c>
      <c r="D78" s="3">
        <f>LAVORAZIONI!K246</f>
        <v/>
      </c>
      <c r="E78" s="4">
        <f>LAVORAZIONI!H246</f>
        <v/>
      </c>
      <c r="F78" s="4">
        <f>LAVORAZIONI!M246</f>
        <v/>
      </c>
      <c r="G78" s="5">
        <f>LAVORAZIONI!N246</f>
        <v/>
      </c>
      <c r="H78" s="6">
        <f>LAVORAZIONI!O246</f>
        <v/>
      </c>
      <c r="I78" s="13">
        <f>LAVORAZIONI!P246</f>
        <v/>
      </c>
      <c r="J78" s="5">
        <f>IF(LAVORAZIONI!Q246="","",LAVORAZIONI!Q246)</f>
        <v/>
      </c>
      <c r="K78" s="6">
        <f>IF(LAVORAZIONI!R246="","",LAVORAZIONI!R246)</f>
        <v/>
      </c>
      <c r="L78" s="13">
        <f>IF(LAVORAZIONI!S246="","",LAVORAZIONI!S246)</f>
        <v/>
      </c>
      <c r="M78" s="13">
        <f>LAVORAZIONI!T246</f>
        <v/>
      </c>
      <c r="O78" s="7">
        <f>LAVORAZIONI!U246</f>
        <v/>
      </c>
      <c r="P78" s="37">
        <f>LAVORAZIONI!V246</f>
        <v/>
      </c>
      <c r="Q78" s="7">
        <f>LAVORAZIONI!W246</f>
        <v/>
      </c>
      <c r="R78" s="6">
        <f>LAVORAZIONI!X246</f>
        <v/>
      </c>
      <c r="S78" s="7">
        <f>LAVORAZIONI!Y246</f>
        <v/>
      </c>
      <c r="T78" s="6">
        <f>LAVORAZIONI!Z246</f>
        <v/>
      </c>
      <c r="U78" s="7">
        <f>LAVORAZIONI!AA246</f>
        <v/>
      </c>
      <c r="V78" s="6">
        <f>LAVORAZIONI!AB246</f>
        <v/>
      </c>
      <c r="W78" s="7">
        <f>LAVORAZIONI!AC246</f>
        <v/>
      </c>
      <c r="X78" s="6">
        <f>LAVORAZIONI!AD246</f>
        <v/>
      </c>
      <c r="Y78" s="7">
        <f>LAVORAZIONI!AE246</f>
        <v/>
      </c>
      <c r="Z78" s="6">
        <f>LAVORAZIONI!AF246</f>
        <v/>
      </c>
      <c r="AA78" s="7">
        <f>LAVORAZIONI!AG246</f>
        <v/>
      </c>
      <c r="AB78" s="6">
        <f>LAVORAZIONI!AH246</f>
        <v/>
      </c>
      <c r="AC78" s="7">
        <f>LAVORAZIONI!AI246</f>
        <v/>
      </c>
      <c r="AD78" s="13">
        <f>LAVORAZIONI!AJ246</f>
        <v/>
      </c>
    </row>
    <row r="79" ht="75" customHeight="1" s="35">
      <c r="B79" s="4">
        <f>LAVORAZIONI!G247</f>
        <v/>
      </c>
      <c r="C79" s="3">
        <f>LAVORAZIONI!A247</f>
        <v/>
      </c>
      <c r="D79" s="3">
        <f>LAVORAZIONI!K247</f>
        <v/>
      </c>
      <c r="E79" s="4">
        <f>LAVORAZIONI!H247</f>
        <v/>
      </c>
      <c r="F79" s="4">
        <f>LAVORAZIONI!M247</f>
        <v/>
      </c>
      <c r="G79" s="5">
        <f>LAVORAZIONI!N247</f>
        <v/>
      </c>
      <c r="H79" s="6">
        <f>LAVORAZIONI!O247</f>
        <v/>
      </c>
      <c r="I79" s="13">
        <f>LAVORAZIONI!P247</f>
        <v/>
      </c>
      <c r="J79" s="5">
        <f>IF(LAVORAZIONI!Q247="","",LAVORAZIONI!Q247)</f>
        <v/>
      </c>
      <c r="K79" s="6">
        <f>IF(LAVORAZIONI!R247="","",LAVORAZIONI!R247)</f>
        <v/>
      </c>
      <c r="L79" s="13">
        <f>IF(LAVORAZIONI!S247="","",LAVORAZIONI!S247)</f>
        <v/>
      </c>
      <c r="M79" s="13">
        <f>LAVORAZIONI!T247</f>
        <v/>
      </c>
      <c r="O79" s="7">
        <f>LAVORAZIONI!U247</f>
        <v/>
      </c>
      <c r="P79" s="37">
        <f>LAVORAZIONI!V247</f>
        <v/>
      </c>
      <c r="Q79" s="7">
        <f>LAVORAZIONI!W247</f>
        <v/>
      </c>
      <c r="R79" s="6">
        <f>LAVORAZIONI!X247</f>
        <v/>
      </c>
      <c r="S79" s="7">
        <f>LAVORAZIONI!Y247</f>
        <v/>
      </c>
      <c r="T79" s="6">
        <f>LAVORAZIONI!Z247</f>
        <v/>
      </c>
      <c r="U79" s="7">
        <f>LAVORAZIONI!AA247</f>
        <v/>
      </c>
      <c r="V79" s="6">
        <f>LAVORAZIONI!AB247</f>
        <v/>
      </c>
      <c r="W79" s="7">
        <f>LAVORAZIONI!AC247</f>
        <v/>
      </c>
      <c r="X79" s="6">
        <f>LAVORAZIONI!AD247</f>
        <v/>
      </c>
      <c r="Y79" s="7">
        <f>LAVORAZIONI!AE247</f>
        <v/>
      </c>
      <c r="Z79" s="6">
        <f>LAVORAZIONI!AF247</f>
        <v/>
      </c>
      <c r="AA79" s="7">
        <f>LAVORAZIONI!AG247</f>
        <v/>
      </c>
      <c r="AB79" s="6">
        <f>LAVORAZIONI!AH247</f>
        <v/>
      </c>
      <c r="AC79" s="7">
        <f>LAVORAZIONI!AI247</f>
        <v/>
      </c>
      <c r="AD79" s="13">
        <f>LAVORAZIONI!AJ247</f>
        <v/>
      </c>
    </row>
    <row r="80" ht="75" customHeight="1" s="35">
      <c r="B80" s="4">
        <f>LAVORAZIONI!G248</f>
        <v/>
      </c>
      <c r="C80" s="3">
        <f>LAVORAZIONI!A248</f>
        <v/>
      </c>
      <c r="D80" s="3">
        <f>LAVORAZIONI!K248</f>
        <v/>
      </c>
      <c r="E80" s="4">
        <f>LAVORAZIONI!H248</f>
        <v/>
      </c>
      <c r="F80" s="4">
        <f>LAVORAZIONI!M248</f>
        <v/>
      </c>
      <c r="G80" s="5">
        <f>LAVORAZIONI!N248</f>
        <v/>
      </c>
      <c r="H80" s="6">
        <f>LAVORAZIONI!O248</f>
        <v/>
      </c>
      <c r="I80" s="13">
        <f>LAVORAZIONI!P248</f>
        <v/>
      </c>
      <c r="J80" s="5">
        <f>IF(LAVORAZIONI!Q248="","",LAVORAZIONI!Q248)</f>
        <v/>
      </c>
      <c r="K80" s="6">
        <f>IF(LAVORAZIONI!R248="","",LAVORAZIONI!R248)</f>
        <v/>
      </c>
      <c r="L80" s="13">
        <f>IF(LAVORAZIONI!S248="","",LAVORAZIONI!S248)</f>
        <v/>
      </c>
      <c r="M80" s="13">
        <f>LAVORAZIONI!T248</f>
        <v/>
      </c>
      <c r="O80" s="7">
        <f>LAVORAZIONI!U248</f>
        <v/>
      </c>
      <c r="P80" s="37">
        <f>LAVORAZIONI!V248</f>
        <v/>
      </c>
      <c r="Q80" s="7">
        <f>LAVORAZIONI!W248</f>
        <v/>
      </c>
      <c r="R80" s="6">
        <f>LAVORAZIONI!X248</f>
        <v/>
      </c>
      <c r="S80" s="7">
        <f>LAVORAZIONI!Y248</f>
        <v/>
      </c>
      <c r="T80" s="6">
        <f>LAVORAZIONI!Z248</f>
        <v/>
      </c>
      <c r="U80" s="7">
        <f>LAVORAZIONI!AA248</f>
        <v/>
      </c>
      <c r="V80" s="6">
        <f>LAVORAZIONI!AB248</f>
        <v/>
      </c>
      <c r="W80" s="7">
        <f>LAVORAZIONI!AC248</f>
        <v/>
      </c>
      <c r="X80" s="6">
        <f>LAVORAZIONI!AD248</f>
        <v/>
      </c>
      <c r="Y80" s="7">
        <f>LAVORAZIONI!AE248</f>
        <v/>
      </c>
      <c r="Z80" s="6">
        <f>LAVORAZIONI!AF248</f>
        <v/>
      </c>
      <c r="AA80" s="7">
        <f>LAVORAZIONI!AG248</f>
        <v/>
      </c>
      <c r="AB80" s="6">
        <f>LAVORAZIONI!AH248</f>
        <v/>
      </c>
      <c r="AC80" s="7">
        <f>LAVORAZIONI!AI248</f>
        <v/>
      </c>
      <c r="AD80" s="13">
        <f>LAVORAZIONI!AJ248</f>
        <v/>
      </c>
    </row>
    <row r="81" ht="75" customHeight="1" s="35">
      <c r="B81" s="4">
        <f>LAVORAZIONI!G249</f>
        <v/>
      </c>
      <c r="C81" s="3">
        <f>LAVORAZIONI!A249</f>
        <v/>
      </c>
      <c r="D81" s="3">
        <f>LAVORAZIONI!K249</f>
        <v/>
      </c>
      <c r="E81" s="4">
        <f>LAVORAZIONI!H249</f>
        <v/>
      </c>
      <c r="F81" s="4">
        <f>LAVORAZIONI!M249</f>
        <v/>
      </c>
      <c r="G81" s="5">
        <f>LAVORAZIONI!N249</f>
        <v/>
      </c>
      <c r="H81" s="6">
        <f>LAVORAZIONI!O249</f>
        <v/>
      </c>
      <c r="I81" s="13">
        <f>LAVORAZIONI!P249</f>
        <v/>
      </c>
      <c r="J81" s="5">
        <f>IF(LAVORAZIONI!Q249="","",LAVORAZIONI!Q249)</f>
        <v/>
      </c>
      <c r="K81" s="6">
        <f>IF(LAVORAZIONI!R249="","",LAVORAZIONI!R249)</f>
        <v/>
      </c>
      <c r="L81" s="13">
        <f>IF(LAVORAZIONI!S249="","",LAVORAZIONI!S249)</f>
        <v/>
      </c>
      <c r="M81" s="13">
        <f>LAVORAZIONI!T249</f>
        <v/>
      </c>
      <c r="O81" s="7">
        <f>LAVORAZIONI!U249</f>
        <v/>
      </c>
      <c r="P81" s="37">
        <f>LAVORAZIONI!V249</f>
        <v/>
      </c>
      <c r="Q81" s="7">
        <f>LAVORAZIONI!W249</f>
        <v/>
      </c>
      <c r="R81" s="6">
        <f>LAVORAZIONI!X249</f>
        <v/>
      </c>
      <c r="S81" s="7">
        <f>LAVORAZIONI!Y249</f>
        <v/>
      </c>
      <c r="T81" s="6">
        <f>LAVORAZIONI!Z249</f>
        <v/>
      </c>
      <c r="U81" s="7">
        <f>LAVORAZIONI!AA249</f>
        <v/>
      </c>
      <c r="V81" s="6">
        <f>LAVORAZIONI!AB249</f>
        <v/>
      </c>
      <c r="W81" s="7">
        <f>LAVORAZIONI!AC249</f>
        <v/>
      </c>
      <c r="X81" s="6">
        <f>LAVORAZIONI!AD249</f>
        <v/>
      </c>
      <c r="Y81" s="7">
        <f>LAVORAZIONI!AE249</f>
        <v/>
      </c>
      <c r="Z81" s="6">
        <f>LAVORAZIONI!AF249</f>
        <v/>
      </c>
      <c r="AA81" s="7">
        <f>LAVORAZIONI!AG249</f>
        <v/>
      </c>
      <c r="AB81" s="6">
        <f>LAVORAZIONI!AH249</f>
        <v/>
      </c>
      <c r="AC81" s="7">
        <f>LAVORAZIONI!AI249</f>
        <v/>
      </c>
      <c r="AD81" s="13">
        <f>LAVORAZIONI!AJ249</f>
        <v/>
      </c>
    </row>
    <row r="82" ht="75" customHeight="1" s="35">
      <c r="B82" s="4">
        <f>LAVORAZIONI!G250</f>
        <v/>
      </c>
      <c r="C82" s="3">
        <f>LAVORAZIONI!A250</f>
        <v/>
      </c>
      <c r="D82" s="3">
        <f>LAVORAZIONI!K250</f>
        <v/>
      </c>
      <c r="E82" s="4">
        <f>LAVORAZIONI!H250</f>
        <v/>
      </c>
      <c r="F82" s="4">
        <f>LAVORAZIONI!M250</f>
        <v/>
      </c>
      <c r="G82" s="5">
        <f>LAVORAZIONI!N250</f>
        <v/>
      </c>
      <c r="H82" s="6">
        <f>LAVORAZIONI!O250</f>
        <v/>
      </c>
      <c r="I82" s="13">
        <f>LAVORAZIONI!P250</f>
        <v/>
      </c>
      <c r="J82" s="5">
        <f>IF(LAVORAZIONI!Q250="","",LAVORAZIONI!Q250)</f>
        <v/>
      </c>
      <c r="K82" s="6">
        <f>IF(LAVORAZIONI!R250="","",LAVORAZIONI!R250)</f>
        <v/>
      </c>
      <c r="L82" s="13">
        <f>IF(LAVORAZIONI!S250="","",LAVORAZIONI!S250)</f>
        <v/>
      </c>
      <c r="M82" s="13">
        <f>LAVORAZIONI!T250</f>
        <v/>
      </c>
      <c r="O82" s="7">
        <f>LAVORAZIONI!U250</f>
        <v/>
      </c>
      <c r="P82" s="37">
        <f>LAVORAZIONI!V250</f>
        <v/>
      </c>
      <c r="Q82" s="7">
        <f>LAVORAZIONI!W250</f>
        <v/>
      </c>
      <c r="R82" s="6">
        <f>LAVORAZIONI!X250</f>
        <v/>
      </c>
      <c r="S82" s="7">
        <f>LAVORAZIONI!Y250</f>
        <v/>
      </c>
      <c r="T82" s="6">
        <f>LAVORAZIONI!Z250</f>
        <v/>
      </c>
      <c r="U82" s="7">
        <f>LAVORAZIONI!AA250</f>
        <v/>
      </c>
      <c r="V82" s="6">
        <f>LAVORAZIONI!AB250</f>
        <v/>
      </c>
      <c r="W82" s="7">
        <f>LAVORAZIONI!AC250</f>
        <v/>
      </c>
      <c r="X82" s="6">
        <f>LAVORAZIONI!AD250</f>
        <v/>
      </c>
      <c r="Y82" s="7">
        <f>LAVORAZIONI!AE250</f>
        <v/>
      </c>
      <c r="Z82" s="6">
        <f>LAVORAZIONI!AF250</f>
        <v/>
      </c>
      <c r="AA82" s="7">
        <f>LAVORAZIONI!AG250</f>
        <v/>
      </c>
      <c r="AB82" s="6">
        <f>LAVORAZIONI!AH250</f>
        <v/>
      </c>
      <c r="AC82" s="7">
        <f>LAVORAZIONI!AI250</f>
        <v/>
      </c>
      <c r="AD82" s="13">
        <f>LAVORAZIONI!AJ250</f>
        <v/>
      </c>
    </row>
    <row r="83" ht="75" customHeight="1" s="35">
      <c r="B83" s="4">
        <f>LAVORAZIONI!G251</f>
        <v/>
      </c>
      <c r="C83" s="3">
        <f>LAVORAZIONI!A251</f>
        <v/>
      </c>
      <c r="D83" s="3">
        <f>LAVORAZIONI!K251</f>
        <v/>
      </c>
      <c r="E83" s="4">
        <f>LAVORAZIONI!H251</f>
        <v/>
      </c>
      <c r="F83" s="4">
        <f>LAVORAZIONI!M251</f>
        <v/>
      </c>
      <c r="G83" s="5">
        <f>LAVORAZIONI!N251</f>
        <v/>
      </c>
      <c r="H83" s="6">
        <f>LAVORAZIONI!O251</f>
        <v/>
      </c>
      <c r="I83" s="13">
        <f>LAVORAZIONI!P251</f>
        <v/>
      </c>
      <c r="J83" s="5">
        <f>IF(LAVORAZIONI!Q251="","",LAVORAZIONI!Q251)</f>
        <v/>
      </c>
      <c r="K83" s="6">
        <f>IF(LAVORAZIONI!R251="","",LAVORAZIONI!R251)</f>
        <v/>
      </c>
      <c r="L83" s="13">
        <f>IF(LAVORAZIONI!S251="","",LAVORAZIONI!S251)</f>
        <v/>
      </c>
      <c r="M83" s="13">
        <f>LAVORAZIONI!T251</f>
        <v/>
      </c>
      <c r="O83" s="7">
        <f>LAVORAZIONI!U251</f>
        <v/>
      </c>
      <c r="P83" s="37">
        <f>LAVORAZIONI!V251</f>
        <v/>
      </c>
      <c r="Q83" s="7">
        <f>LAVORAZIONI!W251</f>
        <v/>
      </c>
      <c r="R83" s="6">
        <f>LAVORAZIONI!X251</f>
        <v/>
      </c>
      <c r="S83" s="7">
        <f>LAVORAZIONI!Y251</f>
        <v/>
      </c>
      <c r="T83" s="6">
        <f>LAVORAZIONI!Z251</f>
        <v/>
      </c>
      <c r="U83" s="7">
        <f>LAVORAZIONI!AA251</f>
        <v/>
      </c>
      <c r="V83" s="6">
        <f>LAVORAZIONI!AB251</f>
        <v/>
      </c>
      <c r="W83" s="7">
        <f>LAVORAZIONI!AC251</f>
        <v/>
      </c>
      <c r="X83" s="6">
        <f>LAVORAZIONI!AD251</f>
        <v/>
      </c>
      <c r="Y83" s="7">
        <f>LAVORAZIONI!AE251</f>
        <v/>
      </c>
      <c r="Z83" s="6">
        <f>LAVORAZIONI!AF251</f>
        <v/>
      </c>
      <c r="AA83" s="7">
        <f>LAVORAZIONI!AG251</f>
        <v/>
      </c>
      <c r="AB83" s="6">
        <f>LAVORAZIONI!AH251</f>
        <v/>
      </c>
      <c r="AC83" s="7">
        <f>LAVORAZIONI!AI251</f>
        <v/>
      </c>
      <c r="AD83" s="13">
        <f>LAVORAZIONI!AJ251</f>
        <v/>
      </c>
    </row>
    <row r="84" ht="75" customHeight="1" s="35">
      <c r="B84" s="4">
        <f>LAVORAZIONI!G252</f>
        <v/>
      </c>
      <c r="C84" s="3">
        <f>LAVORAZIONI!A252</f>
        <v/>
      </c>
      <c r="D84" s="3">
        <f>LAVORAZIONI!K252</f>
        <v/>
      </c>
      <c r="E84" s="4">
        <f>LAVORAZIONI!H252</f>
        <v/>
      </c>
      <c r="F84" s="4">
        <f>LAVORAZIONI!M252</f>
        <v/>
      </c>
      <c r="G84" s="5">
        <f>LAVORAZIONI!N252</f>
        <v/>
      </c>
      <c r="H84" s="6">
        <f>LAVORAZIONI!O252</f>
        <v/>
      </c>
      <c r="I84" s="13">
        <f>LAVORAZIONI!P252</f>
        <v/>
      </c>
      <c r="J84" s="5">
        <f>IF(LAVORAZIONI!Q252="","",LAVORAZIONI!Q252)</f>
        <v/>
      </c>
      <c r="K84" s="6">
        <f>IF(LAVORAZIONI!R252="","",LAVORAZIONI!R252)</f>
        <v/>
      </c>
      <c r="L84" s="13">
        <f>IF(LAVORAZIONI!S252="","",LAVORAZIONI!S252)</f>
        <v/>
      </c>
      <c r="M84" s="13">
        <f>LAVORAZIONI!T252</f>
        <v/>
      </c>
      <c r="O84" s="7">
        <f>LAVORAZIONI!U252</f>
        <v/>
      </c>
      <c r="P84" s="37">
        <f>LAVORAZIONI!V252</f>
        <v/>
      </c>
      <c r="Q84" s="7">
        <f>LAVORAZIONI!W252</f>
        <v/>
      </c>
      <c r="R84" s="6">
        <f>LAVORAZIONI!X252</f>
        <v/>
      </c>
      <c r="S84" s="7">
        <f>LAVORAZIONI!Y252</f>
        <v/>
      </c>
      <c r="T84" s="6">
        <f>LAVORAZIONI!Z252</f>
        <v/>
      </c>
      <c r="U84" s="7">
        <f>LAVORAZIONI!AA252</f>
        <v/>
      </c>
      <c r="V84" s="6">
        <f>LAVORAZIONI!AB252</f>
        <v/>
      </c>
      <c r="W84" s="7">
        <f>LAVORAZIONI!AC252</f>
        <v/>
      </c>
      <c r="X84" s="6">
        <f>LAVORAZIONI!AD252</f>
        <v/>
      </c>
      <c r="Y84" s="7">
        <f>LAVORAZIONI!AE252</f>
        <v/>
      </c>
      <c r="Z84" s="6">
        <f>LAVORAZIONI!AF252</f>
        <v/>
      </c>
      <c r="AA84" s="7">
        <f>LAVORAZIONI!AG252</f>
        <v/>
      </c>
      <c r="AB84" s="6">
        <f>LAVORAZIONI!AH252</f>
        <v/>
      </c>
      <c r="AC84" s="7">
        <f>LAVORAZIONI!AI252</f>
        <v/>
      </c>
      <c r="AD84" s="13">
        <f>LAVORAZIONI!AJ252</f>
        <v/>
      </c>
    </row>
    <row r="85" ht="75" customHeight="1" s="35">
      <c r="B85" s="4">
        <f>LAVORAZIONI!G253</f>
        <v/>
      </c>
      <c r="C85" s="3">
        <f>LAVORAZIONI!A253</f>
        <v/>
      </c>
      <c r="D85" s="3">
        <f>LAVORAZIONI!K253</f>
        <v/>
      </c>
      <c r="E85" s="4">
        <f>LAVORAZIONI!H253</f>
        <v/>
      </c>
      <c r="F85" s="4">
        <f>LAVORAZIONI!M253</f>
        <v/>
      </c>
      <c r="G85" s="5">
        <f>LAVORAZIONI!N253</f>
        <v/>
      </c>
      <c r="H85" s="6">
        <f>LAVORAZIONI!O253</f>
        <v/>
      </c>
      <c r="I85" s="13">
        <f>LAVORAZIONI!P253</f>
        <v/>
      </c>
      <c r="J85" s="5">
        <f>IF(LAVORAZIONI!Q253="","",LAVORAZIONI!Q253)</f>
        <v/>
      </c>
      <c r="K85" s="6">
        <f>IF(LAVORAZIONI!R253="","",LAVORAZIONI!R253)</f>
        <v/>
      </c>
      <c r="L85" s="13">
        <f>IF(LAVORAZIONI!S253="","",LAVORAZIONI!S253)</f>
        <v/>
      </c>
      <c r="M85" s="13">
        <f>LAVORAZIONI!T253</f>
        <v/>
      </c>
      <c r="O85" s="7">
        <f>LAVORAZIONI!U253</f>
        <v/>
      </c>
      <c r="P85" s="37">
        <f>LAVORAZIONI!V253</f>
        <v/>
      </c>
      <c r="Q85" s="7">
        <f>LAVORAZIONI!W253</f>
        <v/>
      </c>
      <c r="R85" s="6">
        <f>LAVORAZIONI!X253</f>
        <v/>
      </c>
      <c r="S85" s="7">
        <f>LAVORAZIONI!Y253</f>
        <v/>
      </c>
      <c r="T85" s="6">
        <f>LAVORAZIONI!Z253</f>
        <v/>
      </c>
      <c r="U85" s="7">
        <f>LAVORAZIONI!AA253</f>
        <v/>
      </c>
      <c r="V85" s="6">
        <f>LAVORAZIONI!AB253</f>
        <v/>
      </c>
      <c r="W85" s="7">
        <f>LAVORAZIONI!AC253</f>
        <v/>
      </c>
      <c r="X85" s="6">
        <f>LAVORAZIONI!AD253</f>
        <v/>
      </c>
      <c r="Y85" s="7">
        <f>LAVORAZIONI!AE253</f>
        <v/>
      </c>
      <c r="Z85" s="6">
        <f>LAVORAZIONI!AF253</f>
        <v/>
      </c>
      <c r="AA85" s="7">
        <f>LAVORAZIONI!AG253</f>
        <v/>
      </c>
      <c r="AB85" s="6">
        <f>LAVORAZIONI!AH253</f>
        <v/>
      </c>
      <c r="AC85" s="7">
        <f>LAVORAZIONI!AI253</f>
        <v/>
      </c>
      <c r="AD85" s="13">
        <f>LAVORAZIONI!AJ253</f>
        <v/>
      </c>
    </row>
    <row r="86" ht="75" customHeight="1" s="35">
      <c r="B86" s="4">
        <f>LAVORAZIONI!G254</f>
        <v/>
      </c>
      <c r="C86" s="3">
        <f>LAVORAZIONI!A254</f>
        <v/>
      </c>
      <c r="D86" s="3">
        <f>LAVORAZIONI!K254</f>
        <v/>
      </c>
      <c r="E86" s="4">
        <f>LAVORAZIONI!H254</f>
        <v/>
      </c>
      <c r="F86" s="4">
        <f>LAVORAZIONI!M254</f>
        <v/>
      </c>
      <c r="G86" s="5">
        <f>LAVORAZIONI!N254</f>
        <v/>
      </c>
      <c r="H86" s="6">
        <f>LAVORAZIONI!O254</f>
        <v/>
      </c>
      <c r="I86" s="13">
        <f>LAVORAZIONI!P254</f>
        <v/>
      </c>
      <c r="J86" s="5">
        <f>IF(LAVORAZIONI!Q254="","",LAVORAZIONI!Q254)</f>
        <v/>
      </c>
      <c r="K86" s="6">
        <f>IF(LAVORAZIONI!R254="","",LAVORAZIONI!R254)</f>
        <v/>
      </c>
      <c r="L86" s="13">
        <f>IF(LAVORAZIONI!S254="","",LAVORAZIONI!S254)</f>
        <v/>
      </c>
      <c r="M86" s="13">
        <f>LAVORAZIONI!T254</f>
        <v/>
      </c>
      <c r="O86" s="7">
        <f>LAVORAZIONI!U254</f>
        <v/>
      </c>
      <c r="P86" s="37">
        <f>LAVORAZIONI!V254</f>
        <v/>
      </c>
      <c r="Q86" s="7">
        <f>LAVORAZIONI!W254</f>
        <v/>
      </c>
      <c r="R86" s="6">
        <f>LAVORAZIONI!X254</f>
        <v/>
      </c>
      <c r="S86" s="7">
        <f>LAVORAZIONI!Y254</f>
        <v/>
      </c>
      <c r="T86" s="6">
        <f>LAVORAZIONI!Z254</f>
        <v/>
      </c>
      <c r="U86" s="7">
        <f>LAVORAZIONI!AA254</f>
        <v/>
      </c>
      <c r="V86" s="6">
        <f>LAVORAZIONI!AB254</f>
        <v/>
      </c>
      <c r="W86" s="7">
        <f>LAVORAZIONI!AC254</f>
        <v/>
      </c>
      <c r="X86" s="6">
        <f>LAVORAZIONI!AD254</f>
        <v/>
      </c>
      <c r="Y86" s="7">
        <f>LAVORAZIONI!AE254</f>
        <v/>
      </c>
      <c r="Z86" s="6">
        <f>LAVORAZIONI!AF254</f>
        <v/>
      </c>
      <c r="AA86" s="7">
        <f>LAVORAZIONI!AG254</f>
        <v/>
      </c>
      <c r="AB86" s="6">
        <f>LAVORAZIONI!AH254</f>
        <v/>
      </c>
      <c r="AC86" s="7">
        <f>LAVORAZIONI!AI254</f>
        <v/>
      </c>
      <c r="AD86" s="13">
        <f>LAVORAZIONI!AJ254</f>
        <v/>
      </c>
    </row>
    <row r="87" ht="75" customHeight="1" s="35">
      <c r="B87" s="4">
        <f>LAVORAZIONI!G255</f>
        <v/>
      </c>
      <c r="C87" s="3">
        <f>LAVORAZIONI!A255</f>
        <v/>
      </c>
      <c r="D87" s="3">
        <f>LAVORAZIONI!K255</f>
        <v/>
      </c>
      <c r="E87" s="4">
        <f>LAVORAZIONI!H255</f>
        <v/>
      </c>
      <c r="F87" s="4">
        <f>LAVORAZIONI!M255</f>
        <v/>
      </c>
      <c r="G87" s="5">
        <f>LAVORAZIONI!N255</f>
        <v/>
      </c>
      <c r="H87" s="6">
        <f>LAVORAZIONI!O255</f>
        <v/>
      </c>
      <c r="I87" s="13">
        <f>LAVORAZIONI!P255</f>
        <v/>
      </c>
      <c r="J87" s="5">
        <f>IF(LAVORAZIONI!Q255="","",LAVORAZIONI!Q255)</f>
        <v/>
      </c>
      <c r="K87" s="6">
        <f>IF(LAVORAZIONI!R255="","",LAVORAZIONI!R255)</f>
        <v/>
      </c>
      <c r="L87" s="13">
        <f>IF(LAVORAZIONI!S255="","",LAVORAZIONI!S255)</f>
        <v/>
      </c>
      <c r="M87" s="13">
        <f>LAVORAZIONI!T255</f>
        <v/>
      </c>
      <c r="O87" s="7">
        <f>LAVORAZIONI!U255</f>
        <v/>
      </c>
      <c r="P87" s="37">
        <f>LAVORAZIONI!V255</f>
        <v/>
      </c>
      <c r="Q87" s="7">
        <f>LAVORAZIONI!W255</f>
        <v/>
      </c>
      <c r="R87" s="6">
        <f>LAVORAZIONI!X255</f>
        <v/>
      </c>
      <c r="S87" s="7">
        <f>LAVORAZIONI!Y255</f>
        <v/>
      </c>
      <c r="T87" s="6">
        <f>LAVORAZIONI!Z255</f>
        <v/>
      </c>
      <c r="U87" s="7">
        <f>LAVORAZIONI!AA255</f>
        <v/>
      </c>
      <c r="V87" s="6">
        <f>LAVORAZIONI!AB255</f>
        <v/>
      </c>
      <c r="W87" s="7">
        <f>LAVORAZIONI!AC255</f>
        <v/>
      </c>
      <c r="X87" s="6">
        <f>LAVORAZIONI!AD255</f>
        <v/>
      </c>
      <c r="Y87" s="7">
        <f>LAVORAZIONI!AE255</f>
        <v/>
      </c>
      <c r="Z87" s="6">
        <f>LAVORAZIONI!AF255</f>
        <v/>
      </c>
      <c r="AA87" s="7">
        <f>LAVORAZIONI!AG255</f>
        <v/>
      </c>
      <c r="AB87" s="6">
        <f>LAVORAZIONI!AH255</f>
        <v/>
      </c>
      <c r="AC87" s="7">
        <f>LAVORAZIONI!AI255</f>
        <v/>
      </c>
      <c r="AD87" s="13">
        <f>LAVORAZIONI!AJ255</f>
        <v/>
      </c>
    </row>
    <row r="88" ht="75" customHeight="1" s="35">
      <c r="B88" s="4">
        <f>LAVORAZIONI!G256</f>
        <v/>
      </c>
      <c r="C88" s="3">
        <f>LAVORAZIONI!A256</f>
        <v/>
      </c>
      <c r="D88" s="3">
        <f>LAVORAZIONI!K256</f>
        <v/>
      </c>
      <c r="E88" s="4">
        <f>LAVORAZIONI!H256</f>
        <v/>
      </c>
      <c r="F88" s="4">
        <f>LAVORAZIONI!M256</f>
        <v/>
      </c>
      <c r="G88" s="5">
        <f>LAVORAZIONI!N256</f>
        <v/>
      </c>
      <c r="H88" s="6">
        <f>LAVORAZIONI!O256</f>
        <v/>
      </c>
      <c r="I88" s="13">
        <f>LAVORAZIONI!P256</f>
        <v/>
      </c>
      <c r="J88" s="5">
        <f>IF(LAVORAZIONI!Q256="","",LAVORAZIONI!Q256)</f>
        <v/>
      </c>
      <c r="K88" s="6">
        <f>IF(LAVORAZIONI!R256="","",LAVORAZIONI!R256)</f>
        <v/>
      </c>
      <c r="L88" s="13">
        <f>IF(LAVORAZIONI!S256="","",LAVORAZIONI!S256)</f>
        <v/>
      </c>
      <c r="M88" s="13">
        <f>LAVORAZIONI!T256</f>
        <v/>
      </c>
      <c r="O88" s="7">
        <f>LAVORAZIONI!U256</f>
        <v/>
      </c>
      <c r="P88" s="37">
        <f>LAVORAZIONI!V256</f>
        <v/>
      </c>
      <c r="Q88" s="7">
        <f>LAVORAZIONI!W256</f>
        <v/>
      </c>
      <c r="R88" s="6">
        <f>LAVORAZIONI!X256</f>
        <v/>
      </c>
      <c r="S88" s="7">
        <f>LAVORAZIONI!Y256</f>
        <v/>
      </c>
      <c r="T88" s="6">
        <f>LAVORAZIONI!Z256</f>
        <v/>
      </c>
      <c r="U88" s="7">
        <f>LAVORAZIONI!AA256</f>
        <v/>
      </c>
      <c r="V88" s="6">
        <f>LAVORAZIONI!AB256</f>
        <v/>
      </c>
      <c r="W88" s="7">
        <f>LAVORAZIONI!AC256</f>
        <v/>
      </c>
      <c r="X88" s="6">
        <f>LAVORAZIONI!AD256</f>
        <v/>
      </c>
      <c r="Y88" s="7">
        <f>LAVORAZIONI!AE256</f>
        <v/>
      </c>
      <c r="Z88" s="6">
        <f>LAVORAZIONI!AF256</f>
        <v/>
      </c>
      <c r="AA88" s="7">
        <f>LAVORAZIONI!AG256</f>
        <v/>
      </c>
      <c r="AB88" s="6">
        <f>LAVORAZIONI!AH256</f>
        <v/>
      </c>
      <c r="AC88" s="7">
        <f>LAVORAZIONI!AI256</f>
        <v/>
      </c>
      <c r="AD88" s="13">
        <f>LAVORAZIONI!AJ256</f>
        <v/>
      </c>
    </row>
    <row r="89" ht="39" customHeight="1" s="35">
      <c r="D89" s="14" t="inlineStr">
        <is>
          <t>TOTALE MECCANICHE</t>
        </is>
      </c>
      <c r="I89" s="10">
        <f>SUM(I4:I88)</f>
        <v/>
      </c>
      <c r="L89" s="10">
        <f>SUM(L4:L88)</f>
        <v/>
      </c>
      <c r="M89" s="10">
        <f>SUM(M4:M88)</f>
        <v/>
      </c>
      <c r="P89" s="38">
        <f>SUM(P4:P88)</f>
        <v/>
      </c>
      <c r="R89" s="10">
        <f>SUM(R4:R88)</f>
        <v/>
      </c>
      <c r="T89" s="10">
        <f>SUM(T4:T88)</f>
        <v/>
      </c>
      <c r="V89" s="10">
        <f>SUM(V4:V88)</f>
        <v/>
      </c>
      <c r="X89" s="10">
        <f>SUM(X4:X88)</f>
        <v/>
      </c>
      <c r="Z89" s="10">
        <f>SUM(Z4:Z88)</f>
        <v/>
      </c>
      <c r="AB89" s="10">
        <f>SUM(AB4:AB88)</f>
        <v/>
      </c>
      <c r="AD89" s="10">
        <f>SUM(AD4:AD88)</f>
        <v/>
      </c>
    </row>
  </sheetData>
  <mergeCells count="9">
    <mergeCell ref="O2:P2"/>
    <mergeCell ref="S2:T2"/>
    <mergeCell ref="Q2:R2"/>
    <mergeCell ref="W2:X2"/>
    <mergeCell ref="U2:V2"/>
    <mergeCell ref="AA2:AB2"/>
    <mergeCell ref="Y2:Z2"/>
    <mergeCell ref="AC2:AD2"/>
    <mergeCell ref="B1:L1"/>
  </mergeCells>
  <printOptions horizontalCentered="1" verticalCentered="1"/>
  <pageMargins left="0.75" right="0.75" top="1" bottom="1" header="0.511811023622047" footer="0.511811023622047"/>
  <pageSetup orientation="landscape" paperSize="9" scale="76" horizontalDpi="300" verticalDpi="300"/>
  <headerFooter>
    <oddHeader>&amp;C&amp;K000000SAL APRILE 26 OPERA MECCANICHE </oddHeader>
    <oddFooter>&amp;L&amp;C&amp;R</oddFooter>
    <evenHeader/>
    <evenFooter/>
    <firstHeader/>
    <firstFooter/>
  </headerFooter>
</worksheet>
</file>

<file path=xl/worksheets/sheet5.xml><?xml version="1.0" encoding="utf-8"?>
<worksheet xmlns="http://schemas.openxmlformats.org/spreadsheetml/2006/main">
  <sheetPr>
    <outlinePr summaryBelow="1" summaryRight="1"/>
    <pageSetUpPr/>
  </sheetPr>
  <dimension ref="B2:AD149"/>
  <sheetViews>
    <sheetView showGridLines="0" zoomScaleNormal="100" workbookViewId="0">
      <pane xSplit="6" ySplit="4" topLeftCell="G141" activePane="bottomRight" state="frozen"/>
      <selection pane="topRight" activeCell="G1" sqref="G1"/>
      <selection pane="bottomLeft" activeCell="A4" sqref="A4"/>
      <selection pane="bottomRight" activeCell="B2" sqref="B2:L2"/>
    </sheetView>
  </sheetViews>
  <sheetFormatPr baseColWidth="10" defaultColWidth="8.6640625" defaultRowHeight="64" customHeight="1"/>
  <cols>
    <col width="7" customWidth="1" style="35" min="2" max="2"/>
    <col width="22" customWidth="1" style="35" min="3" max="3"/>
    <col width="36" customWidth="1" style="35" min="4" max="4"/>
    <col width="16" customWidth="1" style="35" min="5" max="5"/>
    <col width="7" customWidth="1" style="35" min="6" max="6"/>
    <col width="9" customWidth="1" style="35" min="7" max="7"/>
    <col width="11" customWidth="1" style="35" min="8" max="8"/>
    <col width="13" customWidth="1" style="35" min="9" max="9"/>
    <col hidden="1" width="9" customWidth="1" style="35" min="10" max="10"/>
    <col hidden="1" width="11" customWidth="1" style="35" min="11" max="11"/>
    <col hidden="1" width="13" customWidth="1" style="35" min="12" max="12"/>
    <col width="13" customWidth="1" style="35" min="13" max="13"/>
    <col width="6" customWidth="1" style="35" min="15" max="15"/>
    <col width="12" customWidth="1" style="35" min="16" max="16"/>
    <col width="6" customWidth="1" style="35" min="17" max="17"/>
    <col width="12" customWidth="1" style="35" min="18" max="18"/>
    <col width="6" customWidth="1" style="35" min="19" max="19"/>
    <col width="12" customWidth="1" style="35" min="20" max="20"/>
    <col width="6" customWidth="1" style="35" min="21" max="21"/>
    <col width="12" customWidth="1" style="35" min="22" max="22"/>
    <col width="6" customWidth="1" style="35" min="23" max="23"/>
    <col width="12" customWidth="1" style="35" min="24" max="24"/>
    <col width="6" customWidth="1" style="35" min="25" max="25"/>
    <col width="12" customWidth="1" style="35" min="26" max="26"/>
    <col width="6" customWidth="1" style="35" min="27" max="27"/>
    <col width="12" customWidth="1" style="35" min="28" max="28"/>
    <col width="7" customWidth="1" style="35" min="29" max="29"/>
    <col width="13" customWidth="1" style="35" min="30" max="30"/>
  </cols>
  <sheetData>
    <row r="2" ht="64" customHeight="1" s="35">
      <c r="B2" s="30" t="inlineStr">
        <is>
          <t>DETTAGLIO SAL — OPERE MECCANICHE SPECIALI A SERVIZIO DELLE APPARECCHIATURE DI LABORATORIO</t>
        </is>
      </c>
      <c r="C2" s="44" t="n"/>
      <c r="D2" s="44" t="n"/>
      <c r="E2" s="44" t="n"/>
      <c r="F2" s="44" t="n"/>
      <c r="G2" s="44" t="n"/>
      <c r="H2" s="44" t="n"/>
      <c r="I2" s="44" t="n"/>
      <c r="J2" s="44" t="n"/>
      <c r="K2" s="44" t="n"/>
      <c r="L2" s="44" t="n"/>
      <c r="M2" s="22" t="n"/>
    </row>
    <row r="3" ht="64" customHeight="1" s="35">
      <c r="B3" s="26" t="inlineStr">
        <is>
          <t>Nr.Ord.</t>
        </is>
      </c>
      <c r="C3" s="26" t="inlineStr">
        <is>
          <t>TARIFFA</t>
        </is>
      </c>
      <c r="D3" s="26" t="inlineStr">
        <is>
          <t>DESIGNAZIONE</t>
        </is>
      </c>
      <c r="E3" s="26" t="inlineStr">
        <is>
          <t>STEP</t>
        </is>
      </c>
      <c r="F3" s="26" t="inlineStr">
        <is>
          <t>U.M.</t>
        </is>
      </c>
      <c r="G3" s="26" t="inlineStr">
        <is>
          <t>Q.tà PREV</t>
        </is>
      </c>
      <c r="H3" s="26" t="inlineStr">
        <is>
          <t>VAL.UNIT PREV</t>
        </is>
      </c>
      <c r="I3" s="26" t="inlineStr">
        <is>
          <t>TOTALE PREV</t>
        </is>
      </c>
      <c r="J3" s="26" t="inlineStr">
        <is>
          <t>Q.tà CONS</t>
        </is>
      </c>
      <c r="K3" s="26" t="inlineStr">
        <is>
          <t>VAL.UNIT CONS</t>
        </is>
      </c>
      <c r="L3" s="26" t="inlineStr">
        <is>
          <t>TOTALE CONS</t>
        </is>
      </c>
      <c r="M3" s="26" t="inlineStr">
        <is>
          <t>VALORE PER SAL</t>
        </is>
      </c>
      <c r="O3" s="28" t="inlineStr">
        <is>
          <t>SAL 01 APRILE</t>
        </is>
      </c>
      <c r="P3" s="20" t="n"/>
      <c r="Q3" s="26" t="inlineStr">
        <is>
          <t>SAL 02 MAGGIO</t>
        </is>
      </c>
      <c r="R3" s="20" t="n"/>
      <c r="S3" s="26" t="inlineStr">
        <is>
          <t>SAL 03 GIUGNO</t>
        </is>
      </c>
      <c r="T3" s="20" t="n"/>
      <c r="U3" s="26" t="inlineStr">
        <is>
          <t>SAL 04 LUGLIO</t>
        </is>
      </c>
      <c r="V3" s="20" t="n"/>
      <c r="W3" s="26" t="inlineStr">
        <is>
          <t>SAL 05 AGOSTO</t>
        </is>
      </c>
      <c r="X3" s="20" t="n"/>
      <c r="Y3" s="26" t="inlineStr">
        <is>
          <t>SAL 06 SETTEMBRE</t>
        </is>
      </c>
      <c r="Z3" s="20" t="n"/>
      <c r="AA3" s="26" t="inlineStr">
        <is>
          <t>SAL 07 OTTOBRE</t>
        </is>
      </c>
      <c r="AB3" s="20" t="n"/>
      <c r="AC3" s="26" t="inlineStr">
        <is>
          <t>TOTALE COMPL.</t>
        </is>
      </c>
      <c r="AD3" s="20" t="n"/>
    </row>
    <row r="4" ht="39" customHeight="1" s="35">
      <c r="O4" s="12" t="inlineStr">
        <is>
          <t>%</t>
        </is>
      </c>
      <c r="P4" s="36" t="inlineStr">
        <is>
          <t>TOTALE</t>
        </is>
      </c>
      <c r="Q4" s="12" t="inlineStr">
        <is>
          <t>%</t>
        </is>
      </c>
      <c r="R4" s="12" t="inlineStr">
        <is>
          <t>TOTALE</t>
        </is>
      </c>
      <c r="S4" s="12" t="inlineStr">
        <is>
          <t>%</t>
        </is>
      </c>
      <c r="T4" s="12" t="inlineStr">
        <is>
          <t>TOTALE</t>
        </is>
      </c>
      <c r="U4" s="12" t="inlineStr">
        <is>
          <t>%</t>
        </is>
      </c>
      <c r="V4" s="12" t="inlineStr">
        <is>
          <t>TOTALE</t>
        </is>
      </c>
      <c r="W4" s="12" t="inlineStr">
        <is>
          <t>%</t>
        </is>
      </c>
      <c r="X4" s="12" t="inlineStr">
        <is>
          <t>TOTALE</t>
        </is>
      </c>
      <c r="Y4" s="12" t="inlineStr">
        <is>
          <t>%</t>
        </is>
      </c>
      <c r="Z4" s="12" t="inlineStr">
        <is>
          <t>TOTALE</t>
        </is>
      </c>
      <c r="AA4" s="12" t="inlineStr">
        <is>
          <t>%</t>
        </is>
      </c>
      <c r="AB4" s="12" t="inlineStr">
        <is>
          <t>TOTALE</t>
        </is>
      </c>
      <c r="AC4" s="12" t="inlineStr">
        <is>
          <t>%</t>
        </is>
      </c>
      <c r="AD4" s="12" t="inlineStr">
        <is>
          <t>TOTALE</t>
        </is>
      </c>
    </row>
    <row r="5" ht="64" customHeight="1" s="35">
      <c r="B5" s="4">
        <f>LAVORAZIONI!G257</f>
        <v/>
      </c>
      <c r="C5" s="3">
        <f>LAVORAZIONI!A257</f>
        <v/>
      </c>
      <c r="D5" s="3">
        <f>LAVORAZIONI!K257</f>
        <v/>
      </c>
      <c r="E5" s="4">
        <f>LAVORAZIONI!H257</f>
        <v/>
      </c>
      <c r="F5" s="4">
        <f>LAVORAZIONI!M257</f>
        <v/>
      </c>
      <c r="G5" s="5">
        <f>LAVORAZIONI!N257</f>
        <v/>
      </c>
      <c r="H5" s="6">
        <f>LAVORAZIONI!O257</f>
        <v/>
      </c>
      <c r="I5" s="13">
        <f>LAVORAZIONI!P257</f>
        <v/>
      </c>
      <c r="J5" s="5">
        <f>IF(LAVORAZIONI!Q257="","",LAVORAZIONI!Q257)</f>
        <v/>
      </c>
      <c r="K5" s="6">
        <f>IF(LAVORAZIONI!R257="","",LAVORAZIONI!R257)</f>
        <v/>
      </c>
      <c r="L5" s="13">
        <f>IF(LAVORAZIONI!S257="","",LAVORAZIONI!S257)</f>
        <v/>
      </c>
      <c r="M5" s="13">
        <f>LAVORAZIONI!T257</f>
        <v/>
      </c>
      <c r="O5" s="7">
        <f>LAVORAZIONI!U257</f>
        <v/>
      </c>
      <c r="P5" s="37">
        <f>LAVORAZIONI!V257</f>
        <v/>
      </c>
      <c r="Q5" s="7">
        <f>LAVORAZIONI!W257</f>
        <v/>
      </c>
      <c r="R5" s="6">
        <f>LAVORAZIONI!X257</f>
        <v/>
      </c>
      <c r="S5" s="7">
        <f>LAVORAZIONI!Y257</f>
        <v/>
      </c>
      <c r="T5" s="6">
        <f>LAVORAZIONI!Z257</f>
        <v/>
      </c>
      <c r="U5" s="7">
        <f>LAVORAZIONI!AA257</f>
        <v/>
      </c>
      <c r="V5" s="6">
        <f>LAVORAZIONI!AB257</f>
        <v/>
      </c>
      <c r="W5" s="7">
        <f>LAVORAZIONI!AC257</f>
        <v/>
      </c>
      <c r="X5" s="6">
        <f>LAVORAZIONI!AD257</f>
        <v/>
      </c>
      <c r="Y5" s="7">
        <f>LAVORAZIONI!AE257</f>
        <v/>
      </c>
      <c r="Z5" s="6">
        <f>LAVORAZIONI!AF257</f>
        <v/>
      </c>
      <c r="AA5" s="7">
        <f>LAVORAZIONI!AG257</f>
        <v/>
      </c>
      <c r="AB5" s="6">
        <f>LAVORAZIONI!AH257</f>
        <v/>
      </c>
      <c r="AC5" s="7">
        <f>LAVORAZIONI!AI257</f>
        <v/>
      </c>
      <c r="AD5" s="13">
        <f>LAVORAZIONI!AJ257</f>
        <v/>
      </c>
    </row>
    <row r="6" ht="64" customHeight="1" s="35">
      <c r="B6" s="4">
        <f>LAVORAZIONI!G258</f>
        <v/>
      </c>
      <c r="C6" s="3">
        <f>LAVORAZIONI!A258</f>
        <v/>
      </c>
      <c r="D6" s="3">
        <f>LAVORAZIONI!K258</f>
        <v/>
      </c>
      <c r="E6" s="4">
        <f>LAVORAZIONI!H258</f>
        <v/>
      </c>
      <c r="F6" s="4">
        <f>LAVORAZIONI!M258</f>
        <v/>
      </c>
      <c r="G6" s="5">
        <f>LAVORAZIONI!N258</f>
        <v/>
      </c>
      <c r="H6" s="6">
        <f>LAVORAZIONI!O258</f>
        <v/>
      </c>
      <c r="I6" s="13">
        <f>LAVORAZIONI!P258</f>
        <v/>
      </c>
      <c r="J6" s="5">
        <f>IF(LAVORAZIONI!Q258="","",LAVORAZIONI!Q258)</f>
        <v/>
      </c>
      <c r="K6" s="6">
        <f>IF(LAVORAZIONI!R258="","",LAVORAZIONI!R258)</f>
        <v/>
      </c>
      <c r="L6" s="13">
        <f>IF(LAVORAZIONI!S258="","",LAVORAZIONI!S258)</f>
        <v/>
      </c>
      <c r="M6" s="13">
        <f>LAVORAZIONI!T258</f>
        <v/>
      </c>
      <c r="O6" s="7">
        <f>LAVORAZIONI!U258</f>
        <v/>
      </c>
      <c r="P6" s="37">
        <f>LAVORAZIONI!V258</f>
        <v/>
      </c>
      <c r="Q6" s="7">
        <f>LAVORAZIONI!W258</f>
        <v/>
      </c>
      <c r="R6" s="6">
        <f>LAVORAZIONI!X258</f>
        <v/>
      </c>
      <c r="S6" s="7">
        <f>LAVORAZIONI!Y258</f>
        <v/>
      </c>
      <c r="T6" s="6">
        <f>LAVORAZIONI!Z258</f>
        <v/>
      </c>
      <c r="U6" s="7">
        <f>LAVORAZIONI!AA258</f>
        <v/>
      </c>
      <c r="V6" s="6">
        <f>LAVORAZIONI!AB258</f>
        <v/>
      </c>
      <c r="W6" s="7">
        <f>LAVORAZIONI!AC258</f>
        <v/>
      </c>
      <c r="X6" s="6">
        <f>LAVORAZIONI!AD258</f>
        <v/>
      </c>
      <c r="Y6" s="7">
        <f>LAVORAZIONI!AE258</f>
        <v/>
      </c>
      <c r="Z6" s="6">
        <f>LAVORAZIONI!AF258</f>
        <v/>
      </c>
      <c r="AA6" s="7">
        <f>LAVORAZIONI!AG258</f>
        <v/>
      </c>
      <c r="AB6" s="6">
        <f>LAVORAZIONI!AH258</f>
        <v/>
      </c>
      <c r="AC6" s="7">
        <f>LAVORAZIONI!AI258</f>
        <v/>
      </c>
      <c r="AD6" s="13">
        <f>LAVORAZIONI!AJ258</f>
        <v/>
      </c>
    </row>
    <row r="7" ht="64" customHeight="1" s="35">
      <c r="B7" s="4">
        <f>LAVORAZIONI!G259</f>
        <v/>
      </c>
      <c r="C7" s="3">
        <f>LAVORAZIONI!A259</f>
        <v/>
      </c>
      <c r="D7" s="3">
        <f>LAVORAZIONI!K259</f>
        <v/>
      </c>
      <c r="E7" s="4">
        <f>LAVORAZIONI!H259</f>
        <v/>
      </c>
      <c r="F7" s="4">
        <f>LAVORAZIONI!M259</f>
        <v/>
      </c>
      <c r="G7" s="5">
        <f>LAVORAZIONI!N259</f>
        <v/>
      </c>
      <c r="H7" s="6">
        <f>LAVORAZIONI!O259</f>
        <v/>
      </c>
      <c r="I7" s="13">
        <f>LAVORAZIONI!P259</f>
        <v/>
      </c>
      <c r="J7" s="5">
        <f>IF(LAVORAZIONI!Q259="","",LAVORAZIONI!Q259)</f>
        <v/>
      </c>
      <c r="K7" s="6">
        <f>IF(LAVORAZIONI!R259="","",LAVORAZIONI!R259)</f>
        <v/>
      </c>
      <c r="L7" s="13">
        <f>IF(LAVORAZIONI!S259="","",LAVORAZIONI!S259)</f>
        <v/>
      </c>
      <c r="M7" s="13">
        <f>LAVORAZIONI!T259</f>
        <v/>
      </c>
      <c r="O7" s="7">
        <f>LAVORAZIONI!U259</f>
        <v/>
      </c>
      <c r="P7" s="37">
        <f>LAVORAZIONI!V259</f>
        <v/>
      </c>
      <c r="Q7" s="7">
        <f>LAVORAZIONI!W259</f>
        <v/>
      </c>
      <c r="R7" s="6">
        <f>LAVORAZIONI!X259</f>
        <v/>
      </c>
      <c r="S7" s="7">
        <f>LAVORAZIONI!Y259</f>
        <v/>
      </c>
      <c r="T7" s="6">
        <f>LAVORAZIONI!Z259</f>
        <v/>
      </c>
      <c r="U7" s="7">
        <f>LAVORAZIONI!AA259</f>
        <v/>
      </c>
      <c r="V7" s="6">
        <f>LAVORAZIONI!AB259</f>
        <v/>
      </c>
      <c r="W7" s="7">
        <f>LAVORAZIONI!AC259</f>
        <v/>
      </c>
      <c r="X7" s="6">
        <f>LAVORAZIONI!AD259</f>
        <v/>
      </c>
      <c r="Y7" s="7">
        <f>LAVORAZIONI!AE259</f>
        <v/>
      </c>
      <c r="Z7" s="6">
        <f>LAVORAZIONI!AF259</f>
        <v/>
      </c>
      <c r="AA7" s="7">
        <f>LAVORAZIONI!AG259</f>
        <v/>
      </c>
      <c r="AB7" s="6">
        <f>LAVORAZIONI!AH259</f>
        <v/>
      </c>
      <c r="AC7" s="7">
        <f>LAVORAZIONI!AI259</f>
        <v/>
      </c>
      <c r="AD7" s="13">
        <f>LAVORAZIONI!AJ259</f>
        <v/>
      </c>
    </row>
    <row r="8" ht="64" customHeight="1" s="35">
      <c r="B8" s="4">
        <f>LAVORAZIONI!G260</f>
        <v/>
      </c>
      <c r="C8" s="3">
        <f>LAVORAZIONI!A260</f>
        <v/>
      </c>
      <c r="D8" s="3">
        <f>LAVORAZIONI!K260</f>
        <v/>
      </c>
      <c r="E8" s="4">
        <f>LAVORAZIONI!H260</f>
        <v/>
      </c>
      <c r="F8" s="4">
        <f>LAVORAZIONI!M260</f>
        <v/>
      </c>
      <c r="G8" s="5">
        <f>LAVORAZIONI!N260</f>
        <v/>
      </c>
      <c r="H8" s="6">
        <f>LAVORAZIONI!O260</f>
        <v/>
      </c>
      <c r="I8" s="13">
        <f>LAVORAZIONI!P260</f>
        <v/>
      </c>
      <c r="J8" s="5">
        <f>IF(LAVORAZIONI!Q260="","",LAVORAZIONI!Q260)</f>
        <v/>
      </c>
      <c r="K8" s="6">
        <f>IF(LAVORAZIONI!R260="","",LAVORAZIONI!R260)</f>
        <v/>
      </c>
      <c r="L8" s="13">
        <f>IF(LAVORAZIONI!S260="","",LAVORAZIONI!S260)</f>
        <v/>
      </c>
      <c r="M8" s="13">
        <f>LAVORAZIONI!T260</f>
        <v/>
      </c>
      <c r="O8" s="7">
        <f>LAVORAZIONI!U260</f>
        <v/>
      </c>
      <c r="P8" s="37">
        <f>LAVORAZIONI!V260</f>
        <v/>
      </c>
      <c r="Q8" s="7">
        <f>LAVORAZIONI!W260</f>
        <v/>
      </c>
      <c r="R8" s="6">
        <f>LAVORAZIONI!X260</f>
        <v/>
      </c>
      <c r="S8" s="7">
        <f>LAVORAZIONI!Y260</f>
        <v/>
      </c>
      <c r="T8" s="6">
        <f>LAVORAZIONI!Z260</f>
        <v/>
      </c>
      <c r="U8" s="7">
        <f>LAVORAZIONI!AA260</f>
        <v/>
      </c>
      <c r="V8" s="6">
        <f>LAVORAZIONI!AB260</f>
        <v/>
      </c>
      <c r="W8" s="7">
        <f>LAVORAZIONI!AC260</f>
        <v/>
      </c>
      <c r="X8" s="6">
        <f>LAVORAZIONI!AD260</f>
        <v/>
      </c>
      <c r="Y8" s="7">
        <f>LAVORAZIONI!AE260</f>
        <v/>
      </c>
      <c r="Z8" s="6">
        <f>LAVORAZIONI!AF260</f>
        <v/>
      </c>
      <c r="AA8" s="7">
        <f>LAVORAZIONI!AG260</f>
        <v/>
      </c>
      <c r="AB8" s="6">
        <f>LAVORAZIONI!AH260</f>
        <v/>
      </c>
      <c r="AC8" s="7">
        <f>LAVORAZIONI!AI260</f>
        <v/>
      </c>
      <c r="AD8" s="13">
        <f>LAVORAZIONI!AJ260</f>
        <v/>
      </c>
    </row>
    <row r="9" ht="64" customHeight="1" s="35">
      <c r="B9" s="4">
        <f>LAVORAZIONI!G261</f>
        <v/>
      </c>
      <c r="C9" s="3">
        <f>LAVORAZIONI!A261</f>
        <v/>
      </c>
      <c r="D9" s="3">
        <f>LAVORAZIONI!K261</f>
        <v/>
      </c>
      <c r="E9" s="4">
        <f>LAVORAZIONI!H261</f>
        <v/>
      </c>
      <c r="F9" s="4">
        <f>LAVORAZIONI!M261</f>
        <v/>
      </c>
      <c r="G9" s="5">
        <f>LAVORAZIONI!N261</f>
        <v/>
      </c>
      <c r="H9" s="6">
        <f>LAVORAZIONI!O261</f>
        <v/>
      </c>
      <c r="I9" s="13">
        <f>LAVORAZIONI!P261</f>
        <v/>
      </c>
      <c r="J9" s="5">
        <f>IF(LAVORAZIONI!Q261="","",LAVORAZIONI!Q261)</f>
        <v/>
      </c>
      <c r="K9" s="6">
        <f>IF(LAVORAZIONI!R261="","",LAVORAZIONI!R261)</f>
        <v/>
      </c>
      <c r="L9" s="13">
        <f>IF(LAVORAZIONI!S261="","",LAVORAZIONI!S261)</f>
        <v/>
      </c>
      <c r="M9" s="13">
        <f>LAVORAZIONI!T261</f>
        <v/>
      </c>
      <c r="O9" s="7">
        <f>LAVORAZIONI!U261</f>
        <v/>
      </c>
      <c r="P9" s="37">
        <f>LAVORAZIONI!V261</f>
        <v/>
      </c>
      <c r="Q9" s="7">
        <f>LAVORAZIONI!W261</f>
        <v/>
      </c>
      <c r="R9" s="6">
        <f>LAVORAZIONI!X261</f>
        <v/>
      </c>
      <c r="S9" s="7">
        <f>LAVORAZIONI!Y261</f>
        <v/>
      </c>
      <c r="T9" s="6">
        <f>LAVORAZIONI!Z261</f>
        <v/>
      </c>
      <c r="U9" s="7">
        <f>LAVORAZIONI!AA261</f>
        <v/>
      </c>
      <c r="V9" s="6">
        <f>LAVORAZIONI!AB261</f>
        <v/>
      </c>
      <c r="W9" s="7">
        <f>LAVORAZIONI!AC261</f>
        <v/>
      </c>
      <c r="X9" s="6">
        <f>LAVORAZIONI!AD261</f>
        <v/>
      </c>
      <c r="Y9" s="7">
        <f>LAVORAZIONI!AE261</f>
        <v/>
      </c>
      <c r="Z9" s="6">
        <f>LAVORAZIONI!AF261</f>
        <v/>
      </c>
      <c r="AA9" s="7">
        <f>LAVORAZIONI!AG261</f>
        <v/>
      </c>
      <c r="AB9" s="6">
        <f>LAVORAZIONI!AH261</f>
        <v/>
      </c>
      <c r="AC9" s="7">
        <f>LAVORAZIONI!AI261</f>
        <v/>
      </c>
      <c r="AD9" s="13">
        <f>LAVORAZIONI!AJ261</f>
        <v/>
      </c>
    </row>
    <row r="10" ht="64" customHeight="1" s="35">
      <c r="B10" s="4">
        <f>LAVORAZIONI!G262</f>
        <v/>
      </c>
      <c r="C10" s="3">
        <f>LAVORAZIONI!A262</f>
        <v/>
      </c>
      <c r="D10" s="3">
        <f>LAVORAZIONI!K262</f>
        <v/>
      </c>
      <c r="E10" s="4">
        <f>LAVORAZIONI!H262</f>
        <v/>
      </c>
      <c r="F10" s="4">
        <f>LAVORAZIONI!M262</f>
        <v/>
      </c>
      <c r="G10" s="5">
        <f>LAVORAZIONI!N262</f>
        <v/>
      </c>
      <c r="H10" s="6">
        <f>LAVORAZIONI!O262</f>
        <v/>
      </c>
      <c r="I10" s="13">
        <f>LAVORAZIONI!P262</f>
        <v/>
      </c>
      <c r="J10" s="5">
        <f>IF(LAVORAZIONI!Q262="","",LAVORAZIONI!Q262)</f>
        <v/>
      </c>
      <c r="K10" s="6">
        <f>IF(LAVORAZIONI!R262="","",LAVORAZIONI!R262)</f>
        <v/>
      </c>
      <c r="L10" s="13">
        <f>IF(LAVORAZIONI!S262="","",LAVORAZIONI!S262)</f>
        <v/>
      </c>
      <c r="M10" s="13">
        <f>LAVORAZIONI!T262</f>
        <v/>
      </c>
      <c r="O10" s="7">
        <f>LAVORAZIONI!U262</f>
        <v/>
      </c>
      <c r="P10" s="37">
        <f>LAVORAZIONI!V262</f>
        <v/>
      </c>
      <c r="Q10" s="7">
        <f>LAVORAZIONI!W262</f>
        <v/>
      </c>
      <c r="R10" s="6">
        <f>LAVORAZIONI!X262</f>
        <v/>
      </c>
      <c r="S10" s="7">
        <f>LAVORAZIONI!Y262</f>
        <v/>
      </c>
      <c r="T10" s="6">
        <f>LAVORAZIONI!Z262</f>
        <v/>
      </c>
      <c r="U10" s="7">
        <f>LAVORAZIONI!AA262</f>
        <v/>
      </c>
      <c r="V10" s="6">
        <f>LAVORAZIONI!AB262</f>
        <v/>
      </c>
      <c r="W10" s="7">
        <f>LAVORAZIONI!AC262</f>
        <v/>
      </c>
      <c r="X10" s="6">
        <f>LAVORAZIONI!AD262</f>
        <v/>
      </c>
      <c r="Y10" s="7">
        <f>LAVORAZIONI!AE262</f>
        <v/>
      </c>
      <c r="Z10" s="6">
        <f>LAVORAZIONI!AF262</f>
        <v/>
      </c>
      <c r="AA10" s="7">
        <f>LAVORAZIONI!AG262</f>
        <v/>
      </c>
      <c r="AB10" s="6">
        <f>LAVORAZIONI!AH262</f>
        <v/>
      </c>
      <c r="AC10" s="7">
        <f>LAVORAZIONI!AI262</f>
        <v/>
      </c>
      <c r="AD10" s="13">
        <f>LAVORAZIONI!AJ262</f>
        <v/>
      </c>
    </row>
    <row r="11" ht="64" customHeight="1" s="35">
      <c r="B11" s="4">
        <f>LAVORAZIONI!G263</f>
        <v/>
      </c>
      <c r="C11" s="3">
        <f>LAVORAZIONI!A263</f>
        <v/>
      </c>
      <c r="D11" s="3">
        <f>LAVORAZIONI!K263</f>
        <v/>
      </c>
      <c r="E11" s="4">
        <f>LAVORAZIONI!H263</f>
        <v/>
      </c>
      <c r="F11" s="4">
        <f>LAVORAZIONI!M263</f>
        <v/>
      </c>
      <c r="G11" s="5">
        <f>LAVORAZIONI!N263</f>
        <v/>
      </c>
      <c r="H11" s="6">
        <f>LAVORAZIONI!O263</f>
        <v/>
      </c>
      <c r="I11" s="13">
        <f>LAVORAZIONI!P263</f>
        <v/>
      </c>
      <c r="J11" s="5">
        <f>IF(LAVORAZIONI!Q263="","",LAVORAZIONI!Q263)</f>
        <v/>
      </c>
      <c r="K11" s="6">
        <f>IF(LAVORAZIONI!R263="","",LAVORAZIONI!R263)</f>
        <v/>
      </c>
      <c r="L11" s="13">
        <f>IF(LAVORAZIONI!S263="","",LAVORAZIONI!S263)</f>
        <v/>
      </c>
      <c r="M11" s="13">
        <f>LAVORAZIONI!T263</f>
        <v/>
      </c>
      <c r="O11" s="7">
        <f>LAVORAZIONI!U263</f>
        <v/>
      </c>
      <c r="P11" s="37">
        <f>LAVORAZIONI!V263</f>
        <v/>
      </c>
      <c r="Q11" s="7">
        <f>LAVORAZIONI!W263</f>
        <v/>
      </c>
      <c r="R11" s="6">
        <f>LAVORAZIONI!X263</f>
        <v/>
      </c>
      <c r="S11" s="7">
        <f>LAVORAZIONI!Y263</f>
        <v/>
      </c>
      <c r="T11" s="6">
        <f>LAVORAZIONI!Z263</f>
        <v/>
      </c>
      <c r="U11" s="7">
        <f>LAVORAZIONI!AA263</f>
        <v/>
      </c>
      <c r="V11" s="6">
        <f>LAVORAZIONI!AB263</f>
        <v/>
      </c>
      <c r="W11" s="7">
        <f>LAVORAZIONI!AC263</f>
        <v/>
      </c>
      <c r="X11" s="6">
        <f>LAVORAZIONI!AD263</f>
        <v/>
      </c>
      <c r="Y11" s="7">
        <f>LAVORAZIONI!AE263</f>
        <v/>
      </c>
      <c r="Z11" s="6">
        <f>LAVORAZIONI!AF263</f>
        <v/>
      </c>
      <c r="AA11" s="7">
        <f>LAVORAZIONI!AG263</f>
        <v/>
      </c>
      <c r="AB11" s="6">
        <f>LAVORAZIONI!AH263</f>
        <v/>
      </c>
      <c r="AC11" s="7">
        <f>LAVORAZIONI!AI263</f>
        <v/>
      </c>
      <c r="AD11" s="13">
        <f>LAVORAZIONI!AJ263</f>
        <v/>
      </c>
    </row>
    <row r="12" ht="64" customHeight="1" s="35">
      <c r="B12" s="4">
        <f>LAVORAZIONI!G264</f>
        <v/>
      </c>
      <c r="C12" s="3">
        <f>LAVORAZIONI!A264</f>
        <v/>
      </c>
      <c r="D12" s="3">
        <f>LAVORAZIONI!K264</f>
        <v/>
      </c>
      <c r="E12" s="4">
        <f>LAVORAZIONI!H264</f>
        <v/>
      </c>
      <c r="F12" s="4">
        <f>LAVORAZIONI!M264</f>
        <v/>
      </c>
      <c r="G12" s="5">
        <f>LAVORAZIONI!N264</f>
        <v/>
      </c>
      <c r="H12" s="6">
        <f>LAVORAZIONI!O264</f>
        <v/>
      </c>
      <c r="I12" s="13">
        <f>LAVORAZIONI!P264</f>
        <v/>
      </c>
      <c r="J12" s="5">
        <f>IF(LAVORAZIONI!Q264="","",LAVORAZIONI!Q264)</f>
        <v/>
      </c>
      <c r="K12" s="6">
        <f>IF(LAVORAZIONI!R264="","",LAVORAZIONI!R264)</f>
        <v/>
      </c>
      <c r="L12" s="13">
        <f>IF(LAVORAZIONI!S264="","",LAVORAZIONI!S264)</f>
        <v/>
      </c>
      <c r="M12" s="13">
        <f>LAVORAZIONI!T264</f>
        <v/>
      </c>
      <c r="O12" s="7">
        <f>LAVORAZIONI!U264</f>
        <v/>
      </c>
      <c r="P12" s="37">
        <f>LAVORAZIONI!V264</f>
        <v/>
      </c>
      <c r="Q12" s="7">
        <f>LAVORAZIONI!W264</f>
        <v/>
      </c>
      <c r="R12" s="6">
        <f>LAVORAZIONI!X264</f>
        <v/>
      </c>
      <c r="S12" s="7">
        <f>LAVORAZIONI!Y264</f>
        <v/>
      </c>
      <c r="T12" s="6">
        <f>LAVORAZIONI!Z264</f>
        <v/>
      </c>
      <c r="U12" s="7">
        <f>LAVORAZIONI!AA264</f>
        <v/>
      </c>
      <c r="V12" s="6">
        <f>LAVORAZIONI!AB264</f>
        <v/>
      </c>
      <c r="W12" s="7">
        <f>LAVORAZIONI!AC264</f>
        <v/>
      </c>
      <c r="X12" s="6">
        <f>LAVORAZIONI!AD264</f>
        <v/>
      </c>
      <c r="Y12" s="7">
        <f>LAVORAZIONI!AE264</f>
        <v/>
      </c>
      <c r="Z12" s="6">
        <f>LAVORAZIONI!AF264</f>
        <v/>
      </c>
      <c r="AA12" s="7">
        <f>LAVORAZIONI!AG264</f>
        <v/>
      </c>
      <c r="AB12" s="6">
        <f>LAVORAZIONI!AH264</f>
        <v/>
      </c>
      <c r="AC12" s="7">
        <f>LAVORAZIONI!AI264</f>
        <v/>
      </c>
      <c r="AD12" s="13">
        <f>LAVORAZIONI!AJ264</f>
        <v/>
      </c>
    </row>
    <row r="13" ht="64" customHeight="1" s="35">
      <c r="B13" s="4">
        <f>LAVORAZIONI!G265</f>
        <v/>
      </c>
      <c r="C13" s="3">
        <f>LAVORAZIONI!A265</f>
        <v/>
      </c>
      <c r="D13" s="3">
        <f>LAVORAZIONI!K265</f>
        <v/>
      </c>
      <c r="E13" s="4">
        <f>LAVORAZIONI!H265</f>
        <v/>
      </c>
      <c r="F13" s="4">
        <f>LAVORAZIONI!M265</f>
        <v/>
      </c>
      <c r="G13" s="5">
        <f>LAVORAZIONI!N265</f>
        <v/>
      </c>
      <c r="H13" s="6">
        <f>LAVORAZIONI!O265</f>
        <v/>
      </c>
      <c r="I13" s="13">
        <f>LAVORAZIONI!P265</f>
        <v/>
      </c>
      <c r="J13" s="5">
        <f>IF(LAVORAZIONI!Q265="","",LAVORAZIONI!Q265)</f>
        <v/>
      </c>
      <c r="K13" s="6">
        <f>IF(LAVORAZIONI!R265="","",LAVORAZIONI!R265)</f>
        <v/>
      </c>
      <c r="L13" s="13">
        <f>IF(LAVORAZIONI!S265="","",LAVORAZIONI!S265)</f>
        <v/>
      </c>
      <c r="M13" s="13">
        <f>LAVORAZIONI!T265</f>
        <v/>
      </c>
      <c r="O13" s="7">
        <f>LAVORAZIONI!U265</f>
        <v/>
      </c>
      <c r="P13" s="37">
        <f>LAVORAZIONI!V265</f>
        <v/>
      </c>
      <c r="Q13" s="7">
        <f>LAVORAZIONI!W265</f>
        <v/>
      </c>
      <c r="R13" s="6">
        <f>LAVORAZIONI!X265</f>
        <v/>
      </c>
      <c r="S13" s="7">
        <f>LAVORAZIONI!Y265</f>
        <v/>
      </c>
      <c r="T13" s="6">
        <f>LAVORAZIONI!Z265</f>
        <v/>
      </c>
      <c r="U13" s="7">
        <f>LAVORAZIONI!AA265</f>
        <v/>
      </c>
      <c r="V13" s="6">
        <f>LAVORAZIONI!AB265</f>
        <v/>
      </c>
      <c r="W13" s="7">
        <f>LAVORAZIONI!AC265</f>
        <v/>
      </c>
      <c r="X13" s="6">
        <f>LAVORAZIONI!AD265</f>
        <v/>
      </c>
      <c r="Y13" s="7">
        <f>LAVORAZIONI!AE265</f>
        <v/>
      </c>
      <c r="Z13" s="6">
        <f>LAVORAZIONI!AF265</f>
        <v/>
      </c>
      <c r="AA13" s="7">
        <f>LAVORAZIONI!AG265</f>
        <v/>
      </c>
      <c r="AB13" s="6">
        <f>LAVORAZIONI!AH265</f>
        <v/>
      </c>
      <c r="AC13" s="7">
        <f>LAVORAZIONI!AI265</f>
        <v/>
      </c>
      <c r="AD13" s="13">
        <f>LAVORAZIONI!AJ265</f>
        <v/>
      </c>
    </row>
    <row r="14" ht="64" customHeight="1" s="35">
      <c r="B14" s="4">
        <f>LAVORAZIONI!G266</f>
        <v/>
      </c>
      <c r="C14" s="3">
        <f>LAVORAZIONI!A266</f>
        <v/>
      </c>
      <c r="D14" s="3">
        <f>LAVORAZIONI!K266</f>
        <v/>
      </c>
      <c r="E14" s="4">
        <f>LAVORAZIONI!H266</f>
        <v/>
      </c>
      <c r="F14" s="4">
        <f>LAVORAZIONI!M266</f>
        <v/>
      </c>
      <c r="G14" s="5">
        <f>LAVORAZIONI!N266</f>
        <v/>
      </c>
      <c r="H14" s="6">
        <f>LAVORAZIONI!O266</f>
        <v/>
      </c>
      <c r="I14" s="13">
        <f>LAVORAZIONI!P266</f>
        <v/>
      </c>
      <c r="J14" s="5">
        <f>IF(LAVORAZIONI!Q266="","",LAVORAZIONI!Q266)</f>
        <v/>
      </c>
      <c r="K14" s="6">
        <f>IF(LAVORAZIONI!R266="","",LAVORAZIONI!R266)</f>
        <v/>
      </c>
      <c r="L14" s="13">
        <f>IF(LAVORAZIONI!S266="","",LAVORAZIONI!S266)</f>
        <v/>
      </c>
      <c r="M14" s="13">
        <f>LAVORAZIONI!T266</f>
        <v/>
      </c>
      <c r="O14" s="7">
        <f>LAVORAZIONI!U266</f>
        <v/>
      </c>
      <c r="P14" s="37">
        <f>LAVORAZIONI!V266</f>
        <v/>
      </c>
      <c r="Q14" s="7">
        <f>LAVORAZIONI!W266</f>
        <v/>
      </c>
      <c r="R14" s="6">
        <f>LAVORAZIONI!X266</f>
        <v/>
      </c>
      <c r="S14" s="7">
        <f>LAVORAZIONI!Y266</f>
        <v/>
      </c>
      <c r="T14" s="6">
        <f>LAVORAZIONI!Z266</f>
        <v/>
      </c>
      <c r="U14" s="7">
        <f>LAVORAZIONI!AA266</f>
        <v/>
      </c>
      <c r="V14" s="6">
        <f>LAVORAZIONI!AB266</f>
        <v/>
      </c>
      <c r="W14" s="7">
        <f>LAVORAZIONI!AC266</f>
        <v/>
      </c>
      <c r="X14" s="6">
        <f>LAVORAZIONI!AD266</f>
        <v/>
      </c>
      <c r="Y14" s="7">
        <f>LAVORAZIONI!AE266</f>
        <v/>
      </c>
      <c r="Z14" s="6">
        <f>LAVORAZIONI!AF266</f>
        <v/>
      </c>
      <c r="AA14" s="7">
        <f>LAVORAZIONI!AG266</f>
        <v/>
      </c>
      <c r="AB14" s="6">
        <f>LAVORAZIONI!AH266</f>
        <v/>
      </c>
      <c r="AC14" s="7">
        <f>LAVORAZIONI!AI266</f>
        <v/>
      </c>
      <c r="AD14" s="13">
        <f>LAVORAZIONI!AJ266</f>
        <v/>
      </c>
    </row>
    <row r="15" ht="64" customHeight="1" s="35">
      <c r="B15" s="4">
        <f>LAVORAZIONI!G267</f>
        <v/>
      </c>
      <c r="C15" s="3">
        <f>LAVORAZIONI!A267</f>
        <v/>
      </c>
      <c r="D15" s="3">
        <f>LAVORAZIONI!K267</f>
        <v/>
      </c>
      <c r="E15" s="4">
        <f>LAVORAZIONI!H267</f>
        <v/>
      </c>
      <c r="F15" s="4">
        <f>LAVORAZIONI!M267</f>
        <v/>
      </c>
      <c r="G15" s="5">
        <f>LAVORAZIONI!N267</f>
        <v/>
      </c>
      <c r="H15" s="6">
        <f>LAVORAZIONI!O267</f>
        <v/>
      </c>
      <c r="I15" s="13">
        <f>LAVORAZIONI!P267</f>
        <v/>
      </c>
      <c r="J15" s="5">
        <f>IF(LAVORAZIONI!Q267="","",LAVORAZIONI!Q267)</f>
        <v/>
      </c>
      <c r="K15" s="6">
        <f>IF(LAVORAZIONI!R267="","",LAVORAZIONI!R267)</f>
        <v/>
      </c>
      <c r="L15" s="13">
        <f>IF(LAVORAZIONI!S267="","",LAVORAZIONI!S267)</f>
        <v/>
      </c>
      <c r="M15" s="13">
        <f>LAVORAZIONI!T267</f>
        <v/>
      </c>
      <c r="O15" s="7">
        <f>LAVORAZIONI!U267</f>
        <v/>
      </c>
      <c r="P15" s="37">
        <f>LAVORAZIONI!V267</f>
        <v/>
      </c>
      <c r="Q15" s="7">
        <f>LAVORAZIONI!W267</f>
        <v/>
      </c>
      <c r="R15" s="6">
        <f>LAVORAZIONI!X267</f>
        <v/>
      </c>
      <c r="S15" s="7">
        <f>LAVORAZIONI!Y267</f>
        <v/>
      </c>
      <c r="T15" s="6">
        <f>LAVORAZIONI!Z267</f>
        <v/>
      </c>
      <c r="U15" s="7">
        <f>LAVORAZIONI!AA267</f>
        <v/>
      </c>
      <c r="V15" s="6">
        <f>LAVORAZIONI!AB267</f>
        <v/>
      </c>
      <c r="W15" s="7">
        <f>LAVORAZIONI!AC267</f>
        <v/>
      </c>
      <c r="X15" s="6">
        <f>LAVORAZIONI!AD267</f>
        <v/>
      </c>
      <c r="Y15" s="7">
        <f>LAVORAZIONI!AE267</f>
        <v/>
      </c>
      <c r="Z15" s="6">
        <f>LAVORAZIONI!AF267</f>
        <v/>
      </c>
      <c r="AA15" s="7">
        <f>LAVORAZIONI!AG267</f>
        <v/>
      </c>
      <c r="AB15" s="6">
        <f>LAVORAZIONI!AH267</f>
        <v/>
      </c>
      <c r="AC15" s="7">
        <f>LAVORAZIONI!AI267</f>
        <v/>
      </c>
      <c r="AD15" s="13">
        <f>LAVORAZIONI!AJ267</f>
        <v/>
      </c>
    </row>
    <row r="16" ht="64" customHeight="1" s="35">
      <c r="B16" s="4">
        <f>LAVORAZIONI!G268</f>
        <v/>
      </c>
      <c r="C16" s="3">
        <f>LAVORAZIONI!A268</f>
        <v/>
      </c>
      <c r="D16" s="3">
        <f>LAVORAZIONI!K268</f>
        <v/>
      </c>
      <c r="E16" s="4">
        <f>LAVORAZIONI!H268</f>
        <v/>
      </c>
      <c r="F16" s="4">
        <f>LAVORAZIONI!M268</f>
        <v/>
      </c>
      <c r="G16" s="5">
        <f>LAVORAZIONI!N268</f>
        <v/>
      </c>
      <c r="H16" s="6">
        <f>LAVORAZIONI!O268</f>
        <v/>
      </c>
      <c r="I16" s="13">
        <f>LAVORAZIONI!P268</f>
        <v/>
      </c>
      <c r="J16" s="5">
        <f>IF(LAVORAZIONI!Q268="","",LAVORAZIONI!Q268)</f>
        <v/>
      </c>
      <c r="K16" s="6">
        <f>IF(LAVORAZIONI!R268="","",LAVORAZIONI!R268)</f>
        <v/>
      </c>
      <c r="L16" s="13">
        <f>IF(LAVORAZIONI!S268="","",LAVORAZIONI!S268)</f>
        <v/>
      </c>
      <c r="M16" s="13">
        <f>LAVORAZIONI!T268</f>
        <v/>
      </c>
      <c r="O16" s="7">
        <f>LAVORAZIONI!U268</f>
        <v/>
      </c>
      <c r="P16" s="37">
        <f>LAVORAZIONI!V268</f>
        <v/>
      </c>
      <c r="Q16" s="7">
        <f>LAVORAZIONI!W268</f>
        <v/>
      </c>
      <c r="R16" s="6">
        <f>LAVORAZIONI!X268</f>
        <v/>
      </c>
      <c r="S16" s="7">
        <f>LAVORAZIONI!Y268</f>
        <v/>
      </c>
      <c r="T16" s="6">
        <f>LAVORAZIONI!Z268</f>
        <v/>
      </c>
      <c r="U16" s="7">
        <f>LAVORAZIONI!AA268</f>
        <v/>
      </c>
      <c r="V16" s="6">
        <f>LAVORAZIONI!AB268</f>
        <v/>
      </c>
      <c r="W16" s="7">
        <f>LAVORAZIONI!AC268</f>
        <v/>
      </c>
      <c r="X16" s="6">
        <f>LAVORAZIONI!AD268</f>
        <v/>
      </c>
      <c r="Y16" s="7">
        <f>LAVORAZIONI!AE268</f>
        <v/>
      </c>
      <c r="Z16" s="6">
        <f>LAVORAZIONI!AF268</f>
        <v/>
      </c>
      <c r="AA16" s="7">
        <f>LAVORAZIONI!AG268</f>
        <v/>
      </c>
      <c r="AB16" s="6">
        <f>LAVORAZIONI!AH268</f>
        <v/>
      </c>
      <c r="AC16" s="7">
        <f>LAVORAZIONI!AI268</f>
        <v/>
      </c>
      <c r="AD16" s="13">
        <f>LAVORAZIONI!AJ268</f>
        <v/>
      </c>
    </row>
    <row r="17" ht="64" customHeight="1" s="35">
      <c r="B17" s="4">
        <f>LAVORAZIONI!G269</f>
        <v/>
      </c>
      <c r="C17" s="3">
        <f>LAVORAZIONI!A269</f>
        <v/>
      </c>
      <c r="D17" s="3">
        <f>LAVORAZIONI!K269</f>
        <v/>
      </c>
      <c r="E17" s="4">
        <f>LAVORAZIONI!H269</f>
        <v/>
      </c>
      <c r="F17" s="4">
        <f>LAVORAZIONI!M269</f>
        <v/>
      </c>
      <c r="G17" s="5">
        <f>LAVORAZIONI!N269</f>
        <v/>
      </c>
      <c r="H17" s="6">
        <f>LAVORAZIONI!O269</f>
        <v/>
      </c>
      <c r="I17" s="13">
        <f>LAVORAZIONI!P269</f>
        <v/>
      </c>
      <c r="J17" s="5">
        <f>IF(LAVORAZIONI!Q269="","",LAVORAZIONI!Q269)</f>
        <v/>
      </c>
      <c r="K17" s="6">
        <f>IF(LAVORAZIONI!R269="","",LAVORAZIONI!R269)</f>
        <v/>
      </c>
      <c r="L17" s="13">
        <f>IF(LAVORAZIONI!S269="","",LAVORAZIONI!S269)</f>
        <v/>
      </c>
      <c r="M17" s="13">
        <f>LAVORAZIONI!T269</f>
        <v/>
      </c>
      <c r="O17" s="7">
        <f>LAVORAZIONI!U269</f>
        <v/>
      </c>
      <c r="P17" s="37">
        <f>LAVORAZIONI!V269</f>
        <v/>
      </c>
      <c r="Q17" s="7">
        <f>LAVORAZIONI!W269</f>
        <v/>
      </c>
      <c r="R17" s="6">
        <f>LAVORAZIONI!X269</f>
        <v/>
      </c>
      <c r="S17" s="7">
        <f>LAVORAZIONI!Y269</f>
        <v/>
      </c>
      <c r="T17" s="6">
        <f>LAVORAZIONI!Z269</f>
        <v/>
      </c>
      <c r="U17" s="7">
        <f>LAVORAZIONI!AA269</f>
        <v/>
      </c>
      <c r="V17" s="6">
        <f>LAVORAZIONI!AB269</f>
        <v/>
      </c>
      <c r="W17" s="7">
        <f>LAVORAZIONI!AC269</f>
        <v/>
      </c>
      <c r="X17" s="6">
        <f>LAVORAZIONI!AD269</f>
        <v/>
      </c>
      <c r="Y17" s="7">
        <f>LAVORAZIONI!AE269</f>
        <v/>
      </c>
      <c r="Z17" s="6">
        <f>LAVORAZIONI!AF269</f>
        <v/>
      </c>
      <c r="AA17" s="7">
        <f>LAVORAZIONI!AG269</f>
        <v/>
      </c>
      <c r="AB17" s="6">
        <f>LAVORAZIONI!AH269</f>
        <v/>
      </c>
      <c r="AC17" s="7">
        <f>LAVORAZIONI!AI269</f>
        <v/>
      </c>
      <c r="AD17" s="13">
        <f>LAVORAZIONI!AJ269</f>
        <v/>
      </c>
    </row>
    <row r="18" ht="64" customHeight="1" s="35">
      <c r="B18" s="4">
        <f>LAVORAZIONI!G270</f>
        <v/>
      </c>
      <c r="C18" s="3">
        <f>LAVORAZIONI!A270</f>
        <v/>
      </c>
      <c r="D18" s="3">
        <f>LAVORAZIONI!K270</f>
        <v/>
      </c>
      <c r="E18" s="4">
        <f>LAVORAZIONI!H270</f>
        <v/>
      </c>
      <c r="F18" s="4">
        <f>LAVORAZIONI!M270</f>
        <v/>
      </c>
      <c r="G18" s="5">
        <f>LAVORAZIONI!N270</f>
        <v/>
      </c>
      <c r="H18" s="6">
        <f>LAVORAZIONI!O270</f>
        <v/>
      </c>
      <c r="I18" s="13">
        <f>LAVORAZIONI!P270</f>
        <v/>
      </c>
      <c r="J18" s="5">
        <f>IF(LAVORAZIONI!Q270="","",LAVORAZIONI!Q270)</f>
        <v/>
      </c>
      <c r="K18" s="6">
        <f>IF(LAVORAZIONI!R270="","",LAVORAZIONI!R270)</f>
        <v/>
      </c>
      <c r="L18" s="13">
        <f>IF(LAVORAZIONI!S270="","",LAVORAZIONI!S270)</f>
        <v/>
      </c>
      <c r="M18" s="13">
        <f>LAVORAZIONI!T270</f>
        <v/>
      </c>
      <c r="O18" s="7">
        <f>LAVORAZIONI!U270</f>
        <v/>
      </c>
      <c r="P18" s="37">
        <f>LAVORAZIONI!V270</f>
        <v/>
      </c>
      <c r="Q18" s="7">
        <f>LAVORAZIONI!W270</f>
        <v/>
      </c>
      <c r="R18" s="6">
        <f>LAVORAZIONI!X270</f>
        <v/>
      </c>
      <c r="S18" s="7">
        <f>LAVORAZIONI!Y270</f>
        <v/>
      </c>
      <c r="T18" s="6">
        <f>LAVORAZIONI!Z270</f>
        <v/>
      </c>
      <c r="U18" s="7">
        <f>LAVORAZIONI!AA270</f>
        <v/>
      </c>
      <c r="V18" s="6">
        <f>LAVORAZIONI!AB270</f>
        <v/>
      </c>
      <c r="W18" s="7">
        <f>LAVORAZIONI!AC270</f>
        <v/>
      </c>
      <c r="X18" s="6">
        <f>LAVORAZIONI!AD270</f>
        <v/>
      </c>
      <c r="Y18" s="7">
        <f>LAVORAZIONI!AE270</f>
        <v/>
      </c>
      <c r="Z18" s="6">
        <f>LAVORAZIONI!AF270</f>
        <v/>
      </c>
      <c r="AA18" s="7">
        <f>LAVORAZIONI!AG270</f>
        <v/>
      </c>
      <c r="AB18" s="6">
        <f>LAVORAZIONI!AH270</f>
        <v/>
      </c>
      <c r="AC18" s="7">
        <f>LAVORAZIONI!AI270</f>
        <v/>
      </c>
      <c r="AD18" s="13">
        <f>LAVORAZIONI!AJ270</f>
        <v/>
      </c>
    </row>
    <row r="19" ht="64" customHeight="1" s="35">
      <c r="B19" s="4">
        <f>LAVORAZIONI!G271</f>
        <v/>
      </c>
      <c r="C19" s="3">
        <f>LAVORAZIONI!A271</f>
        <v/>
      </c>
      <c r="D19" s="3">
        <f>LAVORAZIONI!K271</f>
        <v/>
      </c>
      <c r="E19" s="4">
        <f>LAVORAZIONI!H271</f>
        <v/>
      </c>
      <c r="F19" s="4">
        <f>LAVORAZIONI!M271</f>
        <v/>
      </c>
      <c r="G19" s="5">
        <f>LAVORAZIONI!N271</f>
        <v/>
      </c>
      <c r="H19" s="6">
        <f>LAVORAZIONI!O271</f>
        <v/>
      </c>
      <c r="I19" s="13">
        <f>LAVORAZIONI!P271</f>
        <v/>
      </c>
      <c r="J19" s="5">
        <f>IF(LAVORAZIONI!Q271="","",LAVORAZIONI!Q271)</f>
        <v/>
      </c>
      <c r="K19" s="6">
        <f>IF(LAVORAZIONI!R271="","",LAVORAZIONI!R271)</f>
        <v/>
      </c>
      <c r="L19" s="13">
        <f>IF(LAVORAZIONI!S271="","",LAVORAZIONI!S271)</f>
        <v/>
      </c>
      <c r="M19" s="13">
        <f>LAVORAZIONI!T271</f>
        <v/>
      </c>
      <c r="O19" s="7">
        <f>LAVORAZIONI!U271</f>
        <v/>
      </c>
      <c r="P19" s="37">
        <f>LAVORAZIONI!V271</f>
        <v/>
      </c>
      <c r="Q19" s="7">
        <f>LAVORAZIONI!W271</f>
        <v/>
      </c>
      <c r="R19" s="6">
        <f>LAVORAZIONI!X271</f>
        <v/>
      </c>
      <c r="S19" s="7">
        <f>LAVORAZIONI!Y271</f>
        <v/>
      </c>
      <c r="T19" s="6">
        <f>LAVORAZIONI!Z271</f>
        <v/>
      </c>
      <c r="U19" s="7">
        <f>LAVORAZIONI!AA271</f>
        <v/>
      </c>
      <c r="V19" s="6">
        <f>LAVORAZIONI!AB271</f>
        <v/>
      </c>
      <c r="W19" s="7">
        <f>LAVORAZIONI!AC271</f>
        <v/>
      </c>
      <c r="X19" s="6">
        <f>LAVORAZIONI!AD271</f>
        <v/>
      </c>
      <c r="Y19" s="7">
        <f>LAVORAZIONI!AE271</f>
        <v/>
      </c>
      <c r="Z19" s="6">
        <f>LAVORAZIONI!AF271</f>
        <v/>
      </c>
      <c r="AA19" s="7">
        <f>LAVORAZIONI!AG271</f>
        <v/>
      </c>
      <c r="AB19" s="6">
        <f>LAVORAZIONI!AH271</f>
        <v/>
      </c>
      <c r="AC19" s="7">
        <f>LAVORAZIONI!AI271</f>
        <v/>
      </c>
      <c r="AD19" s="13">
        <f>LAVORAZIONI!AJ271</f>
        <v/>
      </c>
    </row>
    <row r="20" ht="64" customHeight="1" s="35">
      <c r="B20" s="4">
        <f>LAVORAZIONI!G272</f>
        <v/>
      </c>
      <c r="C20" s="3">
        <f>LAVORAZIONI!A272</f>
        <v/>
      </c>
      <c r="D20" s="3">
        <f>LAVORAZIONI!K272</f>
        <v/>
      </c>
      <c r="E20" s="4">
        <f>LAVORAZIONI!H272</f>
        <v/>
      </c>
      <c r="F20" s="4">
        <f>LAVORAZIONI!M272</f>
        <v/>
      </c>
      <c r="G20" s="5">
        <f>LAVORAZIONI!N272</f>
        <v/>
      </c>
      <c r="H20" s="6">
        <f>LAVORAZIONI!O272</f>
        <v/>
      </c>
      <c r="I20" s="13">
        <f>LAVORAZIONI!P272</f>
        <v/>
      </c>
      <c r="J20" s="5">
        <f>IF(LAVORAZIONI!Q272="","",LAVORAZIONI!Q272)</f>
        <v/>
      </c>
      <c r="K20" s="6">
        <f>IF(LAVORAZIONI!R272="","",LAVORAZIONI!R272)</f>
        <v/>
      </c>
      <c r="L20" s="13">
        <f>IF(LAVORAZIONI!S272="","",LAVORAZIONI!S272)</f>
        <v/>
      </c>
      <c r="M20" s="13">
        <f>LAVORAZIONI!T272</f>
        <v/>
      </c>
      <c r="O20" s="7">
        <f>LAVORAZIONI!U272</f>
        <v/>
      </c>
      <c r="P20" s="37">
        <f>LAVORAZIONI!V272</f>
        <v/>
      </c>
      <c r="Q20" s="7">
        <f>LAVORAZIONI!W272</f>
        <v/>
      </c>
      <c r="R20" s="6">
        <f>LAVORAZIONI!X272</f>
        <v/>
      </c>
      <c r="S20" s="7">
        <f>LAVORAZIONI!Y272</f>
        <v/>
      </c>
      <c r="T20" s="6">
        <f>LAVORAZIONI!Z272</f>
        <v/>
      </c>
      <c r="U20" s="7">
        <f>LAVORAZIONI!AA272</f>
        <v/>
      </c>
      <c r="V20" s="6">
        <f>LAVORAZIONI!AB272</f>
        <v/>
      </c>
      <c r="W20" s="7">
        <f>LAVORAZIONI!AC272</f>
        <v/>
      </c>
      <c r="X20" s="6">
        <f>LAVORAZIONI!AD272</f>
        <v/>
      </c>
      <c r="Y20" s="7">
        <f>LAVORAZIONI!AE272</f>
        <v/>
      </c>
      <c r="Z20" s="6">
        <f>LAVORAZIONI!AF272</f>
        <v/>
      </c>
      <c r="AA20" s="7">
        <f>LAVORAZIONI!AG272</f>
        <v/>
      </c>
      <c r="AB20" s="6">
        <f>LAVORAZIONI!AH272</f>
        <v/>
      </c>
      <c r="AC20" s="7">
        <f>LAVORAZIONI!AI272</f>
        <v/>
      </c>
      <c r="AD20" s="13">
        <f>LAVORAZIONI!AJ272</f>
        <v/>
      </c>
    </row>
    <row r="21" ht="64" customHeight="1" s="35">
      <c r="B21" s="4">
        <f>LAVORAZIONI!G273</f>
        <v/>
      </c>
      <c r="C21" s="3">
        <f>LAVORAZIONI!A273</f>
        <v/>
      </c>
      <c r="D21" s="3">
        <f>LAVORAZIONI!K273</f>
        <v/>
      </c>
      <c r="E21" s="4">
        <f>LAVORAZIONI!H273</f>
        <v/>
      </c>
      <c r="F21" s="4">
        <f>LAVORAZIONI!M273</f>
        <v/>
      </c>
      <c r="G21" s="5">
        <f>LAVORAZIONI!N273</f>
        <v/>
      </c>
      <c r="H21" s="6">
        <f>LAVORAZIONI!O273</f>
        <v/>
      </c>
      <c r="I21" s="13">
        <f>LAVORAZIONI!P273</f>
        <v/>
      </c>
      <c r="J21" s="5">
        <f>IF(LAVORAZIONI!Q273="","",LAVORAZIONI!Q273)</f>
        <v/>
      </c>
      <c r="K21" s="6">
        <f>IF(LAVORAZIONI!R273="","",LAVORAZIONI!R273)</f>
        <v/>
      </c>
      <c r="L21" s="13">
        <f>IF(LAVORAZIONI!S273="","",LAVORAZIONI!S273)</f>
        <v/>
      </c>
      <c r="M21" s="13">
        <f>LAVORAZIONI!T273</f>
        <v/>
      </c>
      <c r="O21" s="7">
        <f>LAVORAZIONI!U273</f>
        <v/>
      </c>
      <c r="P21" s="37">
        <f>LAVORAZIONI!V273</f>
        <v/>
      </c>
      <c r="Q21" s="7">
        <f>LAVORAZIONI!W273</f>
        <v/>
      </c>
      <c r="R21" s="6">
        <f>LAVORAZIONI!X273</f>
        <v/>
      </c>
      <c r="S21" s="7">
        <f>LAVORAZIONI!Y273</f>
        <v/>
      </c>
      <c r="T21" s="6">
        <f>LAVORAZIONI!Z273</f>
        <v/>
      </c>
      <c r="U21" s="7">
        <f>LAVORAZIONI!AA273</f>
        <v/>
      </c>
      <c r="V21" s="6">
        <f>LAVORAZIONI!AB273</f>
        <v/>
      </c>
      <c r="W21" s="7">
        <f>LAVORAZIONI!AC273</f>
        <v/>
      </c>
      <c r="X21" s="6">
        <f>LAVORAZIONI!AD273</f>
        <v/>
      </c>
      <c r="Y21" s="7">
        <f>LAVORAZIONI!AE273</f>
        <v/>
      </c>
      <c r="Z21" s="6">
        <f>LAVORAZIONI!AF273</f>
        <v/>
      </c>
      <c r="AA21" s="7">
        <f>LAVORAZIONI!AG273</f>
        <v/>
      </c>
      <c r="AB21" s="6">
        <f>LAVORAZIONI!AH273</f>
        <v/>
      </c>
      <c r="AC21" s="7">
        <f>LAVORAZIONI!AI273</f>
        <v/>
      </c>
      <c r="AD21" s="13">
        <f>LAVORAZIONI!AJ273</f>
        <v/>
      </c>
    </row>
    <row r="22" ht="64" customHeight="1" s="35">
      <c r="B22" s="4">
        <f>LAVORAZIONI!G274</f>
        <v/>
      </c>
      <c r="C22" s="3">
        <f>LAVORAZIONI!A274</f>
        <v/>
      </c>
      <c r="D22" s="3">
        <f>LAVORAZIONI!K274</f>
        <v/>
      </c>
      <c r="E22" s="4">
        <f>LAVORAZIONI!H274</f>
        <v/>
      </c>
      <c r="F22" s="4">
        <f>LAVORAZIONI!M274</f>
        <v/>
      </c>
      <c r="G22" s="5">
        <f>LAVORAZIONI!N274</f>
        <v/>
      </c>
      <c r="H22" s="6">
        <f>LAVORAZIONI!O274</f>
        <v/>
      </c>
      <c r="I22" s="13">
        <f>LAVORAZIONI!P274</f>
        <v/>
      </c>
      <c r="J22" s="5">
        <f>IF(LAVORAZIONI!Q274="","",LAVORAZIONI!Q274)</f>
        <v/>
      </c>
      <c r="K22" s="6">
        <f>IF(LAVORAZIONI!R274="","",LAVORAZIONI!R274)</f>
        <v/>
      </c>
      <c r="L22" s="13">
        <f>IF(LAVORAZIONI!S274="","",LAVORAZIONI!S274)</f>
        <v/>
      </c>
      <c r="M22" s="13">
        <f>LAVORAZIONI!T274</f>
        <v/>
      </c>
      <c r="O22" s="7">
        <f>LAVORAZIONI!U274</f>
        <v/>
      </c>
      <c r="P22" s="37">
        <f>LAVORAZIONI!V274</f>
        <v/>
      </c>
      <c r="Q22" s="7">
        <f>LAVORAZIONI!W274</f>
        <v/>
      </c>
      <c r="R22" s="6">
        <f>LAVORAZIONI!X274</f>
        <v/>
      </c>
      <c r="S22" s="7">
        <f>LAVORAZIONI!Y274</f>
        <v/>
      </c>
      <c r="T22" s="6">
        <f>LAVORAZIONI!Z274</f>
        <v/>
      </c>
      <c r="U22" s="7">
        <f>LAVORAZIONI!AA274</f>
        <v/>
      </c>
      <c r="V22" s="6">
        <f>LAVORAZIONI!AB274</f>
        <v/>
      </c>
      <c r="W22" s="7">
        <f>LAVORAZIONI!AC274</f>
        <v/>
      </c>
      <c r="X22" s="6">
        <f>LAVORAZIONI!AD274</f>
        <v/>
      </c>
      <c r="Y22" s="7">
        <f>LAVORAZIONI!AE274</f>
        <v/>
      </c>
      <c r="Z22" s="6">
        <f>LAVORAZIONI!AF274</f>
        <v/>
      </c>
      <c r="AA22" s="7">
        <f>LAVORAZIONI!AG274</f>
        <v/>
      </c>
      <c r="AB22" s="6">
        <f>LAVORAZIONI!AH274</f>
        <v/>
      </c>
      <c r="AC22" s="7">
        <f>LAVORAZIONI!AI274</f>
        <v/>
      </c>
      <c r="AD22" s="13">
        <f>LAVORAZIONI!AJ274</f>
        <v/>
      </c>
    </row>
    <row r="23" ht="64" customHeight="1" s="35">
      <c r="B23" s="4">
        <f>LAVORAZIONI!G275</f>
        <v/>
      </c>
      <c r="C23" s="3">
        <f>LAVORAZIONI!A275</f>
        <v/>
      </c>
      <c r="D23" s="3">
        <f>LAVORAZIONI!K275</f>
        <v/>
      </c>
      <c r="E23" s="4">
        <f>LAVORAZIONI!H275</f>
        <v/>
      </c>
      <c r="F23" s="4">
        <f>LAVORAZIONI!M275</f>
        <v/>
      </c>
      <c r="G23" s="5">
        <f>LAVORAZIONI!N275</f>
        <v/>
      </c>
      <c r="H23" s="6">
        <f>LAVORAZIONI!O275</f>
        <v/>
      </c>
      <c r="I23" s="13">
        <f>LAVORAZIONI!P275</f>
        <v/>
      </c>
      <c r="J23" s="5">
        <f>IF(LAVORAZIONI!Q275="","",LAVORAZIONI!Q275)</f>
        <v/>
      </c>
      <c r="K23" s="6">
        <f>IF(LAVORAZIONI!R275="","",LAVORAZIONI!R275)</f>
        <v/>
      </c>
      <c r="L23" s="13">
        <f>IF(LAVORAZIONI!S275="","",LAVORAZIONI!S275)</f>
        <v/>
      </c>
      <c r="M23" s="13">
        <f>LAVORAZIONI!T275</f>
        <v/>
      </c>
      <c r="O23" s="7">
        <f>LAVORAZIONI!U275</f>
        <v/>
      </c>
      <c r="P23" s="37">
        <f>LAVORAZIONI!V275</f>
        <v/>
      </c>
      <c r="Q23" s="7">
        <f>LAVORAZIONI!W275</f>
        <v/>
      </c>
      <c r="R23" s="6">
        <f>LAVORAZIONI!X275</f>
        <v/>
      </c>
      <c r="S23" s="7">
        <f>LAVORAZIONI!Y275</f>
        <v/>
      </c>
      <c r="T23" s="6">
        <f>LAVORAZIONI!Z275</f>
        <v/>
      </c>
      <c r="U23" s="7">
        <f>LAVORAZIONI!AA275</f>
        <v/>
      </c>
      <c r="V23" s="6">
        <f>LAVORAZIONI!AB275</f>
        <v/>
      </c>
      <c r="W23" s="7">
        <f>LAVORAZIONI!AC275</f>
        <v/>
      </c>
      <c r="X23" s="6">
        <f>LAVORAZIONI!AD275</f>
        <v/>
      </c>
      <c r="Y23" s="7">
        <f>LAVORAZIONI!AE275</f>
        <v/>
      </c>
      <c r="Z23" s="6">
        <f>LAVORAZIONI!AF275</f>
        <v/>
      </c>
      <c r="AA23" s="7">
        <f>LAVORAZIONI!AG275</f>
        <v/>
      </c>
      <c r="AB23" s="6">
        <f>LAVORAZIONI!AH275</f>
        <v/>
      </c>
      <c r="AC23" s="7">
        <f>LAVORAZIONI!AI275</f>
        <v/>
      </c>
      <c r="AD23" s="13">
        <f>LAVORAZIONI!AJ275</f>
        <v/>
      </c>
    </row>
    <row r="24" ht="64" customHeight="1" s="35">
      <c r="B24" s="4">
        <f>LAVORAZIONI!G276</f>
        <v/>
      </c>
      <c r="C24" s="3">
        <f>LAVORAZIONI!A276</f>
        <v/>
      </c>
      <c r="D24" s="3">
        <f>LAVORAZIONI!K276</f>
        <v/>
      </c>
      <c r="E24" s="4">
        <f>LAVORAZIONI!H276</f>
        <v/>
      </c>
      <c r="F24" s="4">
        <f>LAVORAZIONI!M276</f>
        <v/>
      </c>
      <c r="G24" s="5">
        <f>LAVORAZIONI!N276</f>
        <v/>
      </c>
      <c r="H24" s="6">
        <f>LAVORAZIONI!O276</f>
        <v/>
      </c>
      <c r="I24" s="13">
        <f>LAVORAZIONI!P276</f>
        <v/>
      </c>
      <c r="J24" s="5">
        <f>IF(LAVORAZIONI!Q276="","",LAVORAZIONI!Q276)</f>
        <v/>
      </c>
      <c r="K24" s="6">
        <f>IF(LAVORAZIONI!R276="","",LAVORAZIONI!R276)</f>
        <v/>
      </c>
      <c r="L24" s="13">
        <f>IF(LAVORAZIONI!S276="","",LAVORAZIONI!S276)</f>
        <v/>
      </c>
      <c r="M24" s="13">
        <f>LAVORAZIONI!T276</f>
        <v/>
      </c>
      <c r="O24" s="7">
        <f>LAVORAZIONI!U276</f>
        <v/>
      </c>
      <c r="P24" s="37">
        <f>LAVORAZIONI!V276</f>
        <v/>
      </c>
      <c r="Q24" s="7">
        <f>LAVORAZIONI!W276</f>
        <v/>
      </c>
      <c r="R24" s="6">
        <f>LAVORAZIONI!X276</f>
        <v/>
      </c>
      <c r="S24" s="7">
        <f>LAVORAZIONI!Y276</f>
        <v/>
      </c>
      <c r="T24" s="6">
        <f>LAVORAZIONI!Z276</f>
        <v/>
      </c>
      <c r="U24" s="7">
        <f>LAVORAZIONI!AA276</f>
        <v/>
      </c>
      <c r="V24" s="6">
        <f>LAVORAZIONI!AB276</f>
        <v/>
      </c>
      <c r="W24" s="7">
        <f>LAVORAZIONI!AC276</f>
        <v/>
      </c>
      <c r="X24" s="6">
        <f>LAVORAZIONI!AD276</f>
        <v/>
      </c>
      <c r="Y24" s="7">
        <f>LAVORAZIONI!AE276</f>
        <v/>
      </c>
      <c r="Z24" s="6">
        <f>LAVORAZIONI!AF276</f>
        <v/>
      </c>
      <c r="AA24" s="7">
        <f>LAVORAZIONI!AG276</f>
        <v/>
      </c>
      <c r="AB24" s="6">
        <f>LAVORAZIONI!AH276</f>
        <v/>
      </c>
      <c r="AC24" s="7">
        <f>LAVORAZIONI!AI276</f>
        <v/>
      </c>
      <c r="AD24" s="13">
        <f>LAVORAZIONI!AJ276</f>
        <v/>
      </c>
    </row>
    <row r="25" ht="64" customHeight="1" s="35">
      <c r="B25" s="4">
        <f>LAVORAZIONI!G277</f>
        <v/>
      </c>
      <c r="C25" s="3">
        <f>LAVORAZIONI!A277</f>
        <v/>
      </c>
      <c r="D25" s="3">
        <f>LAVORAZIONI!K277</f>
        <v/>
      </c>
      <c r="E25" s="4">
        <f>LAVORAZIONI!H277</f>
        <v/>
      </c>
      <c r="F25" s="4">
        <f>LAVORAZIONI!M277</f>
        <v/>
      </c>
      <c r="G25" s="5">
        <f>LAVORAZIONI!N277</f>
        <v/>
      </c>
      <c r="H25" s="6">
        <f>LAVORAZIONI!O277</f>
        <v/>
      </c>
      <c r="I25" s="13">
        <f>LAVORAZIONI!P277</f>
        <v/>
      </c>
      <c r="J25" s="5">
        <f>IF(LAVORAZIONI!Q277="","",LAVORAZIONI!Q277)</f>
        <v/>
      </c>
      <c r="K25" s="6">
        <f>IF(LAVORAZIONI!R277="","",LAVORAZIONI!R277)</f>
        <v/>
      </c>
      <c r="L25" s="13">
        <f>IF(LAVORAZIONI!S277="","",LAVORAZIONI!S277)</f>
        <v/>
      </c>
      <c r="M25" s="13">
        <f>LAVORAZIONI!T277</f>
        <v/>
      </c>
      <c r="O25" s="7">
        <f>LAVORAZIONI!U277</f>
        <v/>
      </c>
      <c r="P25" s="37">
        <f>LAVORAZIONI!V277</f>
        <v/>
      </c>
      <c r="Q25" s="7">
        <f>LAVORAZIONI!W277</f>
        <v/>
      </c>
      <c r="R25" s="6">
        <f>LAVORAZIONI!X277</f>
        <v/>
      </c>
      <c r="S25" s="7">
        <f>LAVORAZIONI!Y277</f>
        <v/>
      </c>
      <c r="T25" s="6">
        <f>LAVORAZIONI!Z277</f>
        <v/>
      </c>
      <c r="U25" s="7">
        <f>LAVORAZIONI!AA277</f>
        <v/>
      </c>
      <c r="V25" s="6">
        <f>LAVORAZIONI!AB277</f>
        <v/>
      </c>
      <c r="W25" s="7">
        <f>LAVORAZIONI!AC277</f>
        <v/>
      </c>
      <c r="X25" s="6">
        <f>LAVORAZIONI!AD277</f>
        <v/>
      </c>
      <c r="Y25" s="7">
        <f>LAVORAZIONI!AE277</f>
        <v/>
      </c>
      <c r="Z25" s="6">
        <f>LAVORAZIONI!AF277</f>
        <v/>
      </c>
      <c r="AA25" s="7">
        <f>LAVORAZIONI!AG277</f>
        <v/>
      </c>
      <c r="AB25" s="6">
        <f>LAVORAZIONI!AH277</f>
        <v/>
      </c>
      <c r="AC25" s="7">
        <f>LAVORAZIONI!AI277</f>
        <v/>
      </c>
      <c r="AD25" s="13">
        <f>LAVORAZIONI!AJ277</f>
        <v/>
      </c>
    </row>
    <row r="26" ht="64" customHeight="1" s="35">
      <c r="B26" s="4">
        <f>LAVORAZIONI!G278</f>
        <v/>
      </c>
      <c r="C26" s="3">
        <f>LAVORAZIONI!A278</f>
        <v/>
      </c>
      <c r="D26" s="3">
        <f>LAVORAZIONI!K278</f>
        <v/>
      </c>
      <c r="E26" s="4">
        <f>LAVORAZIONI!H278</f>
        <v/>
      </c>
      <c r="F26" s="4">
        <f>LAVORAZIONI!M278</f>
        <v/>
      </c>
      <c r="G26" s="5">
        <f>LAVORAZIONI!N278</f>
        <v/>
      </c>
      <c r="H26" s="6">
        <f>LAVORAZIONI!O278</f>
        <v/>
      </c>
      <c r="I26" s="13">
        <f>LAVORAZIONI!P278</f>
        <v/>
      </c>
      <c r="J26" s="5">
        <f>IF(LAVORAZIONI!Q278="","",LAVORAZIONI!Q278)</f>
        <v/>
      </c>
      <c r="K26" s="6">
        <f>IF(LAVORAZIONI!R278="","",LAVORAZIONI!R278)</f>
        <v/>
      </c>
      <c r="L26" s="13">
        <f>IF(LAVORAZIONI!S278="","",LAVORAZIONI!S278)</f>
        <v/>
      </c>
      <c r="M26" s="13">
        <f>LAVORAZIONI!T278</f>
        <v/>
      </c>
      <c r="O26" s="7">
        <f>LAVORAZIONI!U278</f>
        <v/>
      </c>
      <c r="P26" s="37">
        <f>LAVORAZIONI!V278</f>
        <v/>
      </c>
      <c r="Q26" s="7">
        <f>LAVORAZIONI!W278</f>
        <v/>
      </c>
      <c r="R26" s="6">
        <f>LAVORAZIONI!X278</f>
        <v/>
      </c>
      <c r="S26" s="7">
        <f>LAVORAZIONI!Y278</f>
        <v/>
      </c>
      <c r="T26" s="6">
        <f>LAVORAZIONI!Z278</f>
        <v/>
      </c>
      <c r="U26" s="7">
        <f>LAVORAZIONI!AA278</f>
        <v/>
      </c>
      <c r="V26" s="6">
        <f>LAVORAZIONI!AB278</f>
        <v/>
      </c>
      <c r="W26" s="7">
        <f>LAVORAZIONI!AC278</f>
        <v/>
      </c>
      <c r="X26" s="6">
        <f>LAVORAZIONI!AD278</f>
        <v/>
      </c>
      <c r="Y26" s="7">
        <f>LAVORAZIONI!AE278</f>
        <v/>
      </c>
      <c r="Z26" s="6">
        <f>LAVORAZIONI!AF278</f>
        <v/>
      </c>
      <c r="AA26" s="7">
        <f>LAVORAZIONI!AG278</f>
        <v/>
      </c>
      <c r="AB26" s="6">
        <f>LAVORAZIONI!AH278</f>
        <v/>
      </c>
      <c r="AC26" s="7">
        <f>LAVORAZIONI!AI278</f>
        <v/>
      </c>
      <c r="AD26" s="13">
        <f>LAVORAZIONI!AJ278</f>
        <v/>
      </c>
    </row>
    <row r="27" ht="64" customHeight="1" s="35">
      <c r="B27" s="4">
        <f>LAVORAZIONI!G279</f>
        <v/>
      </c>
      <c r="C27" s="3">
        <f>LAVORAZIONI!A279</f>
        <v/>
      </c>
      <c r="D27" s="3">
        <f>LAVORAZIONI!K279</f>
        <v/>
      </c>
      <c r="E27" s="4">
        <f>LAVORAZIONI!H279</f>
        <v/>
      </c>
      <c r="F27" s="4">
        <f>LAVORAZIONI!M279</f>
        <v/>
      </c>
      <c r="G27" s="5">
        <f>LAVORAZIONI!N279</f>
        <v/>
      </c>
      <c r="H27" s="6">
        <f>LAVORAZIONI!O279</f>
        <v/>
      </c>
      <c r="I27" s="13">
        <f>LAVORAZIONI!P279</f>
        <v/>
      </c>
      <c r="J27" s="5">
        <f>IF(LAVORAZIONI!Q279="","",LAVORAZIONI!Q279)</f>
        <v/>
      </c>
      <c r="K27" s="6">
        <f>IF(LAVORAZIONI!R279="","",LAVORAZIONI!R279)</f>
        <v/>
      </c>
      <c r="L27" s="13">
        <f>IF(LAVORAZIONI!S279="","",LAVORAZIONI!S279)</f>
        <v/>
      </c>
      <c r="M27" s="13">
        <f>LAVORAZIONI!T279</f>
        <v/>
      </c>
      <c r="O27" s="7">
        <f>LAVORAZIONI!U279</f>
        <v/>
      </c>
      <c r="P27" s="37">
        <f>LAVORAZIONI!V279</f>
        <v/>
      </c>
      <c r="Q27" s="7">
        <f>LAVORAZIONI!W279</f>
        <v/>
      </c>
      <c r="R27" s="6">
        <f>LAVORAZIONI!X279</f>
        <v/>
      </c>
      <c r="S27" s="7">
        <f>LAVORAZIONI!Y279</f>
        <v/>
      </c>
      <c r="T27" s="6">
        <f>LAVORAZIONI!Z279</f>
        <v/>
      </c>
      <c r="U27" s="7">
        <f>LAVORAZIONI!AA279</f>
        <v/>
      </c>
      <c r="V27" s="6">
        <f>LAVORAZIONI!AB279</f>
        <v/>
      </c>
      <c r="W27" s="7">
        <f>LAVORAZIONI!AC279</f>
        <v/>
      </c>
      <c r="X27" s="6">
        <f>LAVORAZIONI!AD279</f>
        <v/>
      </c>
      <c r="Y27" s="7">
        <f>LAVORAZIONI!AE279</f>
        <v/>
      </c>
      <c r="Z27" s="6">
        <f>LAVORAZIONI!AF279</f>
        <v/>
      </c>
      <c r="AA27" s="7">
        <f>LAVORAZIONI!AG279</f>
        <v/>
      </c>
      <c r="AB27" s="6">
        <f>LAVORAZIONI!AH279</f>
        <v/>
      </c>
      <c r="AC27" s="7">
        <f>LAVORAZIONI!AI279</f>
        <v/>
      </c>
      <c r="AD27" s="13">
        <f>LAVORAZIONI!AJ279</f>
        <v/>
      </c>
    </row>
    <row r="28" ht="64" customHeight="1" s="35">
      <c r="B28" s="4">
        <f>LAVORAZIONI!G280</f>
        <v/>
      </c>
      <c r="C28" s="3">
        <f>LAVORAZIONI!A280</f>
        <v/>
      </c>
      <c r="D28" s="3">
        <f>LAVORAZIONI!K280</f>
        <v/>
      </c>
      <c r="E28" s="4">
        <f>LAVORAZIONI!H280</f>
        <v/>
      </c>
      <c r="F28" s="4">
        <f>LAVORAZIONI!M280</f>
        <v/>
      </c>
      <c r="G28" s="5">
        <f>LAVORAZIONI!N280</f>
        <v/>
      </c>
      <c r="H28" s="6">
        <f>LAVORAZIONI!O280</f>
        <v/>
      </c>
      <c r="I28" s="13">
        <f>LAVORAZIONI!P280</f>
        <v/>
      </c>
      <c r="J28" s="5">
        <f>IF(LAVORAZIONI!Q280="","",LAVORAZIONI!Q280)</f>
        <v/>
      </c>
      <c r="K28" s="6">
        <f>IF(LAVORAZIONI!R280="","",LAVORAZIONI!R280)</f>
        <v/>
      </c>
      <c r="L28" s="13">
        <f>IF(LAVORAZIONI!S280="","",LAVORAZIONI!S280)</f>
        <v/>
      </c>
      <c r="M28" s="13">
        <f>LAVORAZIONI!T280</f>
        <v/>
      </c>
      <c r="O28" s="7">
        <f>LAVORAZIONI!U280</f>
        <v/>
      </c>
      <c r="P28" s="37">
        <f>LAVORAZIONI!V280</f>
        <v/>
      </c>
      <c r="Q28" s="7">
        <f>LAVORAZIONI!W280</f>
        <v/>
      </c>
      <c r="R28" s="6">
        <f>LAVORAZIONI!X280</f>
        <v/>
      </c>
      <c r="S28" s="7">
        <f>LAVORAZIONI!Y280</f>
        <v/>
      </c>
      <c r="T28" s="6">
        <f>LAVORAZIONI!Z280</f>
        <v/>
      </c>
      <c r="U28" s="7">
        <f>LAVORAZIONI!AA280</f>
        <v/>
      </c>
      <c r="V28" s="6">
        <f>LAVORAZIONI!AB280</f>
        <v/>
      </c>
      <c r="W28" s="7">
        <f>LAVORAZIONI!AC280</f>
        <v/>
      </c>
      <c r="X28" s="6">
        <f>LAVORAZIONI!AD280</f>
        <v/>
      </c>
      <c r="Y28" s="7">
        <f>LAVORAZIONI!AE280</f>
        <v/>
      </c>
      <c r="Z28" s="6">
        <f>LAVORAZIONI!AF280</f>
        <v/>
      </c>
      <c r="AA28" s="7">
        <f>LAVORAZIONI!AG280</f>
        <v/>
      </c>
      <c r="AB28" s="6">
        <f>LAVORAZIONI!AH280</f>
        <v/>
      </c>
      <c r="AC28" s="7">
        <f>LAVORAZIONI!AI280</f>
        <v/>
      </c>
      <c r="AD28" s="13">
        <f>LAVORAZIONI!AJ280</f>
        <v/>
      </c>
    </row>
    <row r="29" ht="64" customHeight="1" s="35">
      <c r="B29" s="4">
        <f>LAVORAZIONI!G281</f>
        <v/>
      </c>
      <c r="C29" s="3">
        <f>LAVORAZIONI!A281</f>
        <v/>
      </c>
      <c r="D29" s="3">
        <f>LAVORAZIONI!K281</f>
        <v/>
      </c>
      <c r="E29" s="4">
        <f>LAVORAZIONI!H281</f>
        <v/>
      </c>
      <c r="F29" s="4">
        <f>LAVORAZIONI!M281</f>
        <v/>
      </c>
      <c r="G29" s="5">
        <f>LAVORAZIONI!N281</f>
        <v/>
      </c>
      <c r="H29" s="6">
        <f>LAVORAZIONI!O281</f>
        <v/>
      </c>
      <c r="I29" s="13">
        <f>LAVORAZIONI!P281</f>
        <v/>
      </c>
      <c r="J29" s="5">
        <f>IF(LAVORAZIONI!Q281="","",LAVORAZIONI!Q281)</f>
        <v/>
      </c>
      <c r="K29" s="6">
        <f>IF(LAVORAZIONI!R281="","",LAVORAZIONI!R281)</f>
        <v/>
      </c>
      <c r="L29" s="13">
        <f>IF(LAVORAZIONI!S281="","",LAVORAZIONI!S281)</f>
        <v/>
      </c>
      <c r="M29" s="13">
        <f>LAVORAZIONI!T281</f>
        <v/>
      </c>
      <c r="O29" s="7">
        <f>LAVORAZIONI!U281</f>
        <v/>
      </c>
      <c r="P29" s="37">
        <f>LAVORAZIONI!V281</f>
        <v/>
      </c>
      <c r="Q29" s="7">
        <f>LAVORAZIONI!W281</f>
        <v/>
      </c>
      <c r="R29" s="6">
        <f>LAVORAZIONI!X281</f>
        <v/>
      </c>
      <c r="S29" s="7">
        <f>LAVORAZIONI!Y281</f>
        <v/>
      </c>
      <c r="T29" s="6">
        <f>LAVORAZIONI!Z281</f>
        <v/>
      </c>
      <c r="U29" s="7">
        <f>LAVORAZIONI!AA281</f>
        <v/>
      </c>
      <c r="V29" s="6">
        <f>LAVORAZIONI!AB281</f>
        <v/>
      </c>
      <c r="W29" s="7">
        <f>LAVORAZIONI!AC281</f>
        <v/>
      </c>
      <c r="X29" s="6">
        <f>LAVORAZIONI!AD281</f>
        <v/>
      </c>
      <c r="Y29" s="7">
        <f>LAVORAZIONI!AE281</f>
        <v/>
      </c>
      <c r="Z29" s="6">
        <f>LAVORAZIONI!AF281</f>
        <v/>
      </c>
      <c r="AA29" s="7">
        <f>LAVORAZIONI!AG281</f>
        <v/>
      </c>
      <c r="AB29" s="6">
        <f>LAVORAZIONI!AH281</f>
        <v/>
      </c>
      <c r="AC29" s="7">
        <f>LAVORAZIONI!AI281</f>
        <v/>
      </c>
      <c r="AD29" s="13">
        <f>LAVORAZIONI!AJ281</f>
        <v/>
      </c>
    </row>
    <row r="30" ht="64" customHeight="1" s="35">
      <c r="B30" s="4">
        <f>LAVORAZIONI!G282</f>
        <v/>
      </c>
      <c r="C30" s="3">
        <f>LAVORAZIONI!A282</f>
        <v/>
      </c>
      <c r="D30" s="3">
        <f>LAVORAZIONI!K282</f>
        <v/>
      </c>
      <c r="E30" s="4">
        <f>LAVORAZIONI!H282</f>
        <v/>
      </c>
      <c r="F30" s="4">
        <f>LAVORAZIONI!M282</f>
        <v/>
      </c>
      <c r="G30" s="5">
        <f>LAVORAZIONI!N282</f>
        <v/>
      </c>
      <c r="H30" s="6">
        <f>LAVORAZIONI!O282</f>
        <v/>
      </c>
      <c r="I30" s="13">
        <f>LAVORAZIONI!P282</f>
        <v/>
      </c>
      <c r="J30" s="5">
        <f>IF(LAVORAZIONI!Q282="","",LAVORAZIONI!Q282)</f>
        <v/>
      </c>
      <c r="K30" s="6">
        <f>IF(LAVORAZIONI!R282="","",LAVORAZIONI!R282)</f>
        <v/>
      </c>
      <c r="L30" s="13">
        <f>IF(LAVORAZIONI!S282="","",LAVORAZIONI!S282)</f>
        <v/>
      </c>
      <c r="M30" s="13">
        <f>LAVORAZIONI!T282</f>
        <v/>
      </c>
      <c r="O30" s="7">
        <f>LAVORAZIONI!U282</f>
        <v/>
      </c>
      <c r="P30" s="37">
        <f>LAVORAZIONI!V282</f>
        <v/>
      </c>
      <c r="Q30" s="7">
        <f>LAVORAZIONI!W282</f>
        <v/>
      </c>
      <c r="R30" s="6">
        <f>LAVORAZIONI!X282</f>
        <v/>
      </c>
      <c r="S30" s="7">
        <f>LAVORAZIONI!Y282</f>
        <v/>
      </c>
      <c r="T30" s="6">
        <f>LAVORAZIONI!Z282</f>
        <v/>
      </c>
      <c r="U30" s="7">
        <f>LAVORAZIONI!AA282</f>
        <v/>
      </c>
      <c r="V30" s="6">
        <f>LAVORAZIONI!AB282</f>
        <v/>
      </c>
      <c r="W30" s="7">
        <f>LAVORAZIONI!AC282</f>
        <v/>
      </c>
      <c r="X30" s="6">
        <f>LAVORAZIONI!AD282</f>
        <v/>
      </c>
      <c r="Y30" s="7">
        <f>LAVORAZIONI!AE282</f>
        <v/>
      </c>
      <c r="Z30" s="6">
        <f>LAVORAZIONI!AF282</f>
        <v/>
      </c>
      <c r="AA30" s="7">
        <f>LAVORAZIONI!AG282</f>
        <v/>
      </c>
      <c r="AB30" s="6">
        <f>LAVORAZIONI!AH282</f>
        <v/>
      </c>
      <c r="AC30" s="7">
        <f>LAVORAZIONI!AI282</f>
        <v/>
      </c>
      <c r="AD30" s="13">
        <f>LAVORAZIONI!AJ282</f>
        <v/>
      </c>
    </row>
    <row r="31" ht="64" customHeight="1" s="35">
      <c r="B31" s="4">
        <f>LAVORAZIONI!G283</f>
        <v/>
      </c>
      <c r="C31" s="3">
        <f>LAVORAZIONI!A283</f>
        <v/>
      </c>
      <c r="D31" s="3">
        <f>LAVORAZIONI!K283</f>
        <v/>
      </c>
      <c r="E31" s="4">
        <f>LAVORAZIONI!H283</f>
        <v/>
      </c>
      <c r="F31" s="4">
        <f>LAVORAZIONI!M283</f>
        <v/>
      </c>
      <c r="G31" s="5">
        <f>LAVORAZIONI!N283</f>
        <v/>
      </c>
      <c r="H31" s="6">
        <f>LAVORAZIONI!O283</f>
        <v/>
      </c>
      <c r="I31" s="13">
        <f>LAVORAZIONI!P283</f>
        <v/>
      </c>
      <c r="J31" s="5">
        <f>IF(LAVORAZIONI!Q283="","",LAVORAZIONI!Q283)</f>
        <v/>
      </c>
      <c r="K31" s="6">
        <f>IF(LAVORAZIONI!R283="","",LAVORAZIONI!R283)</f>
        <v/>
      </c>
      <c r="L31" s="13">
        <f>IF(LAVORAZIONI!S283="","",LAVORAZIONI!S283)</f>
        <v/>
      </c>
      <c r="M31" s="13">
        <f>LAVORAZIONI!T283</f>
        <v/>
      </c>
      <c r="O31" s="7">
        <f>LAVORAZIONI!U283</f>
        <v/>
      </c>
      <c r="P31" s="37">
        <f>LAVORAZIONI!V283</f>
        <v/>
      </c>
      <c r="Q31" s="7">
        <f>LAVORAZIONI!W283</f>
        <v/>
      </c>
      <c r="R31" s="6">
        <f>LAVORAZIONI!X283</f>
        <v/>
      </c>
      <c r="S31" s="7">
        <f>LAVORAZIONI!Y283</f>
        <v/>
      </c>
      <c r="T31" s="6">
        <f>LAVORAZIONI!Z283</f>
        <v/>
      </c>
      <c r="U31" s="7">
        <f>LAVORAZIONI!AA283</f>
        <v/>
      </c>
      <c r="V31" s="6">
        <f>LAVORAZIONI!AB283</f>
        <v/>
      </c>
      <c r="W31" s="7">
        <f>LAVORAZIONI!AC283</f>
        <v/>
      </c>
      <c r="X31" s="6">
        <f>LAVORAZIONI!AD283</f>
        <v/>
      </c>
      <c r="Y31" s="7">
        <f>LAVORAZIONI!AE283</f>
        <v/>
      </c>
      <c r="Z31" s="6">
        <f>LAVORAZIONI!AF283</f>
        <v/>
      </c>
      <c r="AA31" s="7">
        <f>LAVORAZIONI!AG283</f>
        <v/>
      </c>
      <c r="AB31" s="6">
        <f>LAVORAZIONI!AH283</f>
        <v/>
      </c>
      <c r="AC31" s="7">
        <f>LAVORAZIONI!AI283</f>
        <v/>
      </c>
      <c r="AD31" s="13">
        <f>LAVORAZIONI!AJ283</f>
        <v/>
      </c>
    </row>
    <row r="32" ht="64" customHeight="1" s="35">
      <c r="B32" s="4">
        <f>LAVORAZIONI!G284</f>
        <v/>
      </c>
      <c r="C32" s="3">
        <f>LAVORAZIONI!A284</f>
        <v/>
      </c>
      <c r="D32" s="3">
        <f>LAVORAZIONI!K284</f>
        <v/>
      </c>
      <c r="E32" s="4">
        <f>LAVORAZIONI!H284</f>
        <v/>
      </c>
      <c r="F32" s="4">
        <f>LAVORAZIONI!M284</f>
        <v/>
      </c>
      <c r="G32" s="5">
        <f>LAVORAZIONI!N284</f>
        <v/>
      </c>
      <c r="H32" s="6">
        <f>LAVORAZIONI!O284</f>
        <v/>
      </c>
      <c r="I32" s="13">
        <f>LAVORAZIONI!P284</f>
        <v/>
      </c>
      <c r="J32" s="5">
        <f>IF(LAVORAZIONI!Q284="","",LAVORAZIONI!Q284)</f>
        <v/>
      </c>
      <c r="K32" s="6">
        <f>IF(LAVORAZIONI!R284="","",LAVORAZIONI!R284)</f>
        <v/>
      </c>
      <c r="L32" s="13">
        <f>IF(LAVORAZIONI!S284="","",LAVORAZIONI!S284)</f>
        <v/>
      </c>
      <c r="M32" s="13">
        <f>LAVORAZIONI!T284</f>
        <v/>
      </c>
      <c r="O32" s="7">
        <f>LAVORAZIONI!U284</f>
        <v/>
      </c>
      <c r="P32" s="37">
        <f>LAVORAZIONI!V284</f>
        <v/>
      </c>
      <c r="Q32" s="7">
        <f>LAVORAZIONI!W284</f>
        <v/>
      </c>
      <c r="R32" s="6">
        <f>LAVORAZIONI!X284</f>
        <v/>
      </c>
      <c r="S32" s="7">
        <f>LAVORAZIONI!Y284</f>
        <v/>
      </c>
      <c r="T32" s="6">
        <f>LAVORAZIONI!Z284</f>
        <v/>
      </c>
      <c r="U32" s="7">
        <f>LAVORAZIONI!AA284</f>
        <v/>
      </c>
      <c r="V32" s="6">
        <f>LAVORAZIONI!AB284</f>
        <v/>
      </c>
      <c r="W32" s="7">
        <f>LAVORAZIONI!AC284</f>
        <v/>
      </c>
      <c r="X32" s="6">
        <f>LAVORAZIONI!AD284</f>
        <v/>
      </c>
      <c r="Y32" s="7">
        <f>LAVORAZIONI!AE284</f>
        <v/>
      </c>
      <c r="Z32" s="6">
        <f>LAVORAZIONI!AF284</f>
        <v/>
      </c>
      <c r="AA32" s="7">
        <f>LAVORAZIONI!AG284</f>
        <v/>
      </c>
      <c r="AB32" s="6">
        <f>LAVORAZIONI!AH284</f>
        <v/>
      </c>
      <c r="AC32" s="7">
        <f>LAVORAZIONI!AI284</f>
        <v/>
      </c>
      <c r="AD32" s="13">
        <f>LAVORAZIONI!AJ284</f>
        <v/>
      </c>
    </row>
    <row r="33" ht="64" customHeight="1" s="35">
      <c r="B33" s="4">
        <f>LAVORAZIONI!G285</f>
        <v/>
      </c>
      <c r="C33" s="3">
        <f>LAVORAZIONI!A285</f>
        <v/>
      </c>
      <c r="D33" s="3">
        <f>LAVORAZIONI!K285</f>
        <v/>
      </c>
      <c r="E33" s="4">
        <f>LAVORAZIONI!H285</f>
        <v/>
      </c>
      <c r="F33" s="4">
        <f>LAVORAZIONI!M285</f>
        <v/>
      </c>
      <c r="G33" s="5">
        <f>LAVORAZIONI!N285</f>
        <v/>
      </c>
      <c r="H33" s="6">
        <f>LAVORAZIONI!O285</f>
        <v/>
      </c>
      <c r="I33" s="13">
        <f>LAVORAZIONI!P285</f>
        <v/>
      </c>
      <c r="J33" s="5">
        <f>IF(LAVORAZIONI!Q285="","",LAVORAZIONI!Q285)</f>
        <v/>
      </c>
      <c r="K33" s="6">
        <f>IF(LAVORAZIONI!R285="","",LAVORAZIONI!R285)</f>
        <v/>
      </c>
      <c r="L33" s="13">
        <f>IF(LAVORAZIONI!S285="","",LAVORAZIONI!S285)</f>
        <v/>
      </c>
      <c r="M33" s="13">
        <f>LAVORAZIONI!T285</f>
        <v/>
      </c>
      <c r="O33" s="7">
        <f>LAVORAZIONI!U285</f>
        <v/>
      </c>
      <c r="P33" s="37">
        <f>LAVORAZIONI!V285</f>
        <v/>
      </c>
      <c r="Q33" s="7">
        <f>LAVORAZIONI!W285</f>
        <v/>
      </c>
      <c r="R33" s="6">
        <f>LAVORAZIONI!X285</f>
        <v/>
      </c>
      <c r="S33" s="7">
        <f>LAVORAZIONI!Y285</f>
        <v/>
      </c>
      <c r="T33" s="6">
        <f>LAVORAZIONI!Z285</f>
        <v/>
      </c>
      <c r="U33" s="7">
        <f>LAVORAZIONI!AA285</f>
        <v/>
      </c>
      <c r="V33" s="6">
        <f>LAVORAZIONI!AB285</f>
        <v/>
      </c>
      <c r="W33" s="7">
        <f>LAVORAZIONI!AC285</f>
        <v/>
      </c>
      <c r="X33" s="6">
        <f>LAVORAZIONI!AD285</f>
        <v/>
      </c>
      <c r="Y33" s="7">
        <f>LAVORAZIONI!AE285</f>
        <v/>
      </c>
      <c r="Z33" s="6">
        <f>LAVORAZIONI!AF285</f>
        <v/>
      </c>
      <c r="AA33" s="7">
        <f>LAVORAZIONI!AG285</f>
        <v/>
      </c>
      <c r="AB33" s="6">
        <f>LAVORAZIONI!AH285</f>
        <v/>
      </c>
      <c r="AC33" s="7">
        <f>LAVORAZIONI!AI285</f>
        <v/>
      </c>
      <c r="AD33" s="13">
        <f>LAVORAZIONI!AJ285</f>
        <v/>
      </c>
    </row>
    <row r="34" ht="64" customHeight="1" s="35">
      <c r="B34" s="4">
        <f>LAVORAZIONI!G286</f>
        <v/>
      </c>
      <c r="C34" s="3">
        <f>LAVORAZIONI!A286</f>
        <v/>
      </c>
      <c r="D34" s="3">
        <f>LAVORAZIONI!K286</f>
        <v/>
      </c>
      <c r="E34" s="4">
        <f>LAVORAZIONI!H286</f>
        <v/>
      </c>
      <c r="F34" s="4">
        <f>LAVORAZIONI!M286</f>
        <v/>
      </c>
      <c r="G34" s="5">
        <f>LAVORAZIONI!N286</f>
        <v/>
      </c>
      <c r="H34" s="6">
        <f>LAVORAZIONI!O286</f>
        <v/>
      </c>
      <c r="I34" s="13">
        <f>LAVORAZIONI!P286</f>
        <v/>
      </c>
      <c r="J34" s="5">
        <f>IF(LAVORAZIONI!Q286="","",LAVORAZIONI!Q286)</f>
        <v/>
      </c>
      <c r="K34" s="6">
        <f>IF(LAVORAZIONI!R286="","",LAVORAZIONI!R286)</f>
        <v/>
      </c>
      <c r="L34" s="13">
        <f>IF(LAVORAZIONI!S286="","",LAVORAZIONI!S286)</f>
        <v/>
      </c>
      <c r="M34" s="13">
        <f>LAVORAZIONI!T286</f>
        <v/>
      </c>
      <c r="O34" s="7">
        <f>LAVORAZIONI!U286</f>
        <v/>
      </c>
      <c r="P34" s="37">
        <f>LAVORAZIONI!V286</f>
        <v/>
      </c>
      <c r="Q34" s="7">
        <f>LAVORAZIONI!W286</f>
        <v/>
      </c>
      <c r="R34" s="6">
        <f>LAVORAZIONI!X286</f>
        <v/>
      </c>
      <c r="S34" s="7">
        <f>LAVORAZIONI!Y286</f>
        <v/>
      </c>
      <c r="T34" s="6">
        <f>LAVORAZIONI!Z286</f>
        <v/>
      </c>
      <c r="U34" s="7">
        <f>LAVORAZIONI!AA286</f>
        <v/>
      </c>
      <c r="V34" s="6">
        <f>LAVORAZIONI!AB286</f>
        <v/>
      </c>
      <c r="W34" s="7">
        <f>LAVORAZIONI!AC286</f>
        <v/>
      </c>
      <c r="X34" s="6">
        <f>LAVORAZIONI!AD286</f>
        <v/>
      </c>
      <c r="Y34" s="7">
        <f>LAVORAZIONI!AE286</f>
        <v/>
      </c>
      <c r="Z34" s="6">
        <f>LAVORAZIONI!AF286</f>
        <v/>
      </c>
      <c r="AA34" s="7">
        <f>LAVORAZIONI!AG286</f>
        <v/>
      </c>
      <c r="AB34" s="6">
        <f>LAVORAZIONI!AH286</f>
        <v/>
      </c>
      <c r="AC34" s="7">
        <f>LAVORAZIONI!AI286</f>
        <v/>
      </c>
      <c r="AD34" s="13">
        <f>LAVORAZIONI!AJ286</f>
        <v/>
      </c>
    </row>
    <row r="35" ht="64" customHeight="1" s="35">
      <c r="B35" s="4">
        <f>LAVORAZIONI!G287</f>
        <v/>
      </c>
      <c r="C35" s="3">
        <f>LAVORAZIONI!A287</f>
        <v/>
      </c>
      <c r="D35" s="3">
        <f>LAVORAZIONI!K287</f>
        <v/>
      </c>
      <c r="E35" s="4">
        <f>LAVORAZIONI!H287</f>
        <v/>
      </c>
      <c r="F35" s="4">
        <f>LAVORAZIONI!M287</f>
        <v/>
      </c>
      <c r="G35" s="5">
        <f>LAVORAZIONI!N287</f>
        <v/>
      </c>
      <c r="H35" s="6">
        <f>LAVORAZIONI!O287</f>
        <v/>
      </c>
      <c r="I35" s="13">
        <f>LAVORAZIONI!P287</f>
        <v/>
      </c>
      <c r="J35" s="5">
        <f>IF(LAVORAZIONI!Q287="","",LAVORAZIONI!Q287)</f>
        <v/>
      </c>
      <c r="K35" s="6">
        <f>IF(LAVORAZIONI!R287="","",LAVORAZIONI!R287)</f>
        <v/>
      </c>
      <c r="L35" s="13">
        <f>IF(LAVORAZIONI!S287="","",LAVORAZIONI!S287)</f>
        <v/>
      </c>
      <c r="M35" s="13">
        <f>LAVORAZIONI!T287</f>
        <v/>
      </c>
      <c r="O35" s="7">
        <f>LAVORAZIONI!U287</f>
        <v/>
      </c>
      <c r="P35" s="37">
        <f>LAVORAZIONI!V287</f>
        <v/>
      </c>
      <c r="Q35" s="7">
        <f>LAVORAZIONI!W287</f>
        <v/>
      </c>
      <c r="R35" s="6">
        <f>LAVORAZIONI!X287</f>
        <v/>
      </c>
      <c r="S35" s="7">
        <f>LAVORAZIONI!Y287</f>
        <v/>
      </c>
      <c r="T35" s="6">
        <f>LAVORAZIONI!Z287</f>
        <v/>
      </c>
      <c r="U35" s="7">
        <f>LAVORAZIONI!AA287</f>
        <v/>
      </c>
      <c r="V35" s="6">
        <f>LAVORAZIONI!AB287</f>
        <v/>
      </c>
      <c r="W35" s="7">
        <f>LAVORAZIONI!AC287</f>
        <v/>
      </c>
      <c r="X35" s="6">
        <f>LAVORAZIONI!AD287</f>
        <v/>
      </c>
      <c r="Y35" s="7">
        <f>LAVORAZIONI!AE287</f>
        <v/>
      </c>
      <c r="Z35" s="6">
        <f>LAVORAZIONI!AF287</f>
        <v/>
      </c>
      <c r="AA35" s="7">
        <f>LAVORAZIONI!AG287</f>
        <v/>
      </c>
      <c r="AB35" s="6">
        <f>LAVORAZIONI!AH287</f>
        <v/>
      </c>
      <c r="AC35" s="7">
        <f>LAVORAZIONI!AI287</f>
        <v/>
      </c>
      <c r="AD35" s="13">
        <f>LAVORAZIONI!AJ287</f>
        <v/>
      </c>
    </row>
    <row r="36" ht="64" customHeight="1" s="35">
      <c r="B36" s="4">
        <f>LAVORAZIONI!G288</f>
        <v/>
      </c>
      <c r="C36" s="3">
        <f>LAVORAZIONI!A288</f>
        <v/>
      </c>
      <c r="D36" s="3">
        <f>LAVORAZIONI!K288</f>
        <v/>
      </c>
      <c r="E36" s="4">
        <f>LAVORAZIONI!H288</f>
        <v/>
      </c>
      <c r="F36" s="4">
        <f>LAVORAZIONI!M288</f>
        <v/>
      </c>
      <c r="G36" s="5">
        <f>LAVORAZIONI!N288</f>
        <v/>
      </c>
      <c r="H36" s="6">
        <f>LAVORAZIONI!O288</f>
        <v/>
      </c>
      <c r="I36" s="13">
        <f>LAVORAZIONI!P288</f>
        <v/>
      </c>
      <c r="J36" s="5">
        <f>IF(LAVORAZIONI!Q288="","",LAVORAZIONI!Q288)</f>
        <v/>
      </c>
      <c r="K36" s="6">
        <f>IF(LAVORAZIONI!R288="","",LAVORAZIONI!R288)</f>
        <v/>
      </c>
      <c r="L36" s="13">
        <f>IF(LAVORAZIONI!S288="","",LAVORAZIONI!S288)</f>
        <v/>
      </c>
      <c r="M36" s="13">
        <f>LAVORAZIONI!T288</f>
        <v/>
      </c>
      <c r="O36" s="7">
        <f>LAVORAZIONI!U288</f>
        <v/>
      </c>
      <c r="P36" s="37">
        <f>LAVORAZIONI!V288</f>
        <v/>
      </c>
      <c r="Q36" s="7">
        <f>LAVORAZIONI!W288</f>
        <v/>
      </c>
      <c r="R36" s="6">
        <f>LAVORAZIONI!X288</f>
        <v/>
      </c>
      <c r="S36" s="7">
        <f>LAVORAZIONI!Y288</f>
        <v/>
      </c>
      <c r="T36" s="6">
        <f>LAVORAZIONI!Z288</f>
        <v/>
      </c>
      <c r="U36" s="7">
        <f>LAVORAZIONI!AA288</f>
        <v/>
      </c>
      <c r="V36" s="6">
        <f>LAVORAZIONI!AB288</f>
        <v/>
      </c>
      <c r="W36" s="7">
        <f>LAVORAZIONI!AC288</f>
        <v/>
      </c>
      <c r="X36" s="6">
        <f>LAVORAZIONI!AD288</f>
        <v/>
      </c>
      <c r="Y36" s="7">
        <f>LAVORAZIONI!AE288</f>
        <v/>
      </c>
      <c r="Z36" s="6">
        <f>LAVORAZIONI!AF288</f>
        <v/>
      </c>
      <c r="AA36" s="7">
        <f>LAVORAZIONI!AG288</f>
        <v/>
      </c>
      <c r="AB36" s="6">
        <f>LAVORAZIONI!AH288</f>
        <v/>
      </c>
      <c r="AC36" s="7">
        <f>LAVORAZIONI!AI288</f>
        <v/>
      </c>
      <c r="AD36" s="13">
        <f>LAVORAZIONI!AJ288</f>
        <v/>
      </c>
    </row>
    <row r="37" ht="64" customHeight="1" s="35">
      <c r="B37" s="4">
        <f>LAVORAZIONI!G289</f>
        <v/>
      </c>
      <c r="C37" s="3">
        <f>LAVORAZIONI!A289</f>
        <v/>
      </c>
      <c r="D37" s="3">
        <f>LAVORAZIONI!K289</f>
        <v/>
      </c>
      <c r="E37" s="4">
        <f>LAVORAZIONI!H289</f>
        <v/>
      </c>
      <c r="F37" s="4">
        <f>LAVORAZIONI!M289</f>
        <v/>
      </c>
      <c r="G37" s="5">
        <f>LAVORAZIONI!N289</f>
        <v/>
      </c>
      <c r="H37" s="6">
        <f>LAVORAZIONI!O289</f>
        <v/>
      </c>
      <c r="I37" s="13">
        <f>LAVORAZIONI!P289</f>
        <v/>
      </c>
      <c r="J37" s="5">
        <f>IF(LAVORAZIONI!Q289="","",LAVORAZIONI!Q289)</f>
        <v/>
      </c>
      <c r="K37" s="6">
        <f>IF(LAVORAZIONI!R289="","",LAVORAZIONI!R289)</f>
        <v/>
      </c>
      <c r="L37" s="13">
        <f>IF(LAVORAZIONI!S289="","",LAVORAZIONI!S289)</f>
        <v/>
      </c>
      <c r="M37" s="13">
        <f>LAVORAZIONI!T289</f>
        <v/>
      </c>
      <c r="O37" s="7">
        <f>LAVORAZIONI!U289</f>
        <v/>
      </c>
      <c r="P37" s="37">
        <f>LAVORAZIONI!V289</f>
        <v/>
      </c>
      <c r="Q37" s="7">
        <f>LAVORAZIONI!W289</f>
        <v/>
      </c>
      <c r="R37" s="6">
        <f>LAVORAZIONI!X289</f>
        <v/>
      </c>
      <c r="S37" s="7">
        <f>LAVORAZIONI!Y289</f>
        <v/>
      </c>
      <c r="T37" s="6">
        <f>LAVORAZIONI!Z289</f>
        <v/>
      </c>
      <c r="U37" s="7">
        <f>LAVORAZIONI!AA289</f>
        <v/>
      </c>
      <c r="V37" s="6">
        <f>LAVORAZIONI!AB289</f>
        <v/>
      </c>
      <c r="W37" s="7">
        <f>LAVORAZIONI!AC289</f>
        <v/>
      </c>
      <c r="X37" s="6">
        <f>LAVORAZIONI!AD289</f>
        <v/>
      </c>
      <c r="Y37" s="7">
        <f>LAVORAZIONI!AE289</f>
        <v/>
      </c>
      <c r="Z37" s="6">
        <f>LAVORAZIONI!AF289</f>
        <v/>
      </c>
      <c r="AA37" s="7">
        <f>LAVORAZIONI!AG289</f>
        <v/>
      </c>
      <c r="AB37" s="6">
        <f>LAVORAZIONI!AH289</f>
        <v/>
      </c>
      <c r="AC37" s="7">
        <f>LAVORAZIONI!AI289</f>
        <v/>
      </c>
      <c r="AD37" s="13">
        <f>LAVORAZIONI!AJ289</f>
        <v/>
      </c>
    </row>
    <row r="38" ht="64" customHeight="1" s="35">
      <c r="B38" s="4">
        <f>LAVORAZIONI!G290</f>
        <v/>
      </c>
      <c r="C38" s="3">
        <f>LAVORAZIONI!A290</f>
        <v/>
      </c>
      <c r="D38" s="3">
        <f>LAVORAZIONI!K290</f>
        <v/>
      </c>
      <c r="E38" s="4">
        <f>LAVORAZIONI!H290</f>
        <v/>
      </c>
      <c r="F38" s="4">
        <f>LAVORAZIONI!M290</f>
        <v/>
      </c>
      <c r="G38" s="5">
        <f>LAVORAZIONI!N290</f>
        <v/>
      </c>
      <c r="H38" s="6">
        <f>LAVORAZIONI!O290</f>
        <v/>
      </c>
      <c r="I38" s="13">
        <f>LAVORAZIONI!P290</f>
        <v/>
      </c>
      <c r="J38" s="5">
        <f>IF(LAVORAZIONI!Q290="","",LAVORAZIONI!Q290)</f>
        <v/>
      </c>
      <c r="K38" s="6">
        <f>IF(LAVORAZIONI!R290="","",LAVORAZIONI!R290)</f>
        <v/>
      </c>
      <c r="L38" s="13">
        <f>IF(LAVORAZIONI!S290="","",LAVORAZIONI!S290)</f>
        <v/>
      </c>
      <c r="M38" s="13">
        <f>LAVORAZIONI!T290</f>
        <v/>
      </c>
      <c r="O38" s="7">
        <f>LAVORAZIONI!U290</f>
        <v/>
      </c>
      <c r="P38" s="37">
        <f>LAVORAZIONI!V290</f>
        <v/>
      </c>
      <c r="Q38" s="7">
        <f>LAVORAZIONI!W290</f>
        <v/>
      </c>
      <c r="R38" s="6">
        <f>LAVORAZIONI!X290</f>
        <v/>
      </c>
      <c r="S38" s="7">
        <f>LAVORAZIONI!Y290</f>
        <v/>
      </c>
      <c r="T38" s="6">
        <f>LAVORAZIONI!Z290</f>
        <v/>
      </c>
      <c r="U38" s="7">
        <f>LAVORAZIONI!AA290</f>
        <v/>
      </c>
      <c r="V38" s="6">
        <f>LAVORAZIONI!AB290</f>
        <v/>
      </c>
      <c r="W38" s="7">
        <f>LAVORAZIONI!AC290</f>
        <v/>
      </c>
      <c r="X38" s="6">
        <f>LAVORAZIONI!AD290</f>
        <v/>
      </c>
      <c r="Y38" s="7">
        <f>LAVORAZIONI!AE290</f>
        <v/>
      </c>
      <c r="Z38" s="6">
        <f>LAVORAZIONI!AF290</f>
        <v/>
      </c>
      <c r="AA38" s="7">
        <f>LAVORAZIONI!AG290</f>
        <v/>
      </c>
      <c r="AB38" s="6">
        <f>LAVORAZIONI!AH290</f>
        <v/>
      </c>
      <c r="AC38" s="7">
        <f>LAVORAZIONI!AI290</f>
        <v/>
      </c>
      <c r="AD38" s="13">
        <f>LAVORAZIONI!AJ290</f>
        <v/>
      </c>
    </row>
    <row r="39" ht="64" customHeight="1" s="35">
      <c r="B39" s="4">
        <f>LAVORAZIONI!G291</f>
        <v/>
      </c>
      <c r="C39" s="3">
        <f>LAVORAZIONI!A291</f>
        <v/>
      </c>
      <c r="D39" s="3">
        <f>LAVORAZIONI!K291</f>
        <v/>
      </c>
      <c r="E39" s="4">
        <f>LAVORAZIONI!H291</f>
        <v/>
      </c>
      <c r="F39" s="4">
        <f>LAVORAZIONI!M291</f>
        <v/>
      </c>
      <c r="G39" s="5">
        <f>LAVORAZIONI!N291</f>
        <v/>
      </c>
      <c r="H39" s="6">
        <f>LAVORAZIONI!O291</f>
        <v/>
      </c>
      <c r="I39" s="13">
        <f>LAVORAZIONI!P291</f>
        <v/>
      </c>
      <c r="J39" s="5">
        <f>IF(LAVORAZIONI!Q291="","",LAVORAZIONI!Q291)</f>
        <v/>
      </c>
      <c r="K39" s="6">
        <f>IF(LAVORAZIONI!R291="","",LAVORAZIONI!R291)</f>
        <v/>
      </c>
      <c r="L39" s="13">
        <f>IF(LAVORAZIONI!S291="","",LAVORAZIONI!S291)</f>
        <v/>
      </c>
      <c r="M39" s="13">
        <f>LAVORAZIONI!T291</f>
        <v/>
      </c>
      <c r="O39" s="7">
        <f>LAVORAZIONI!U291</f>
        <v/>
      </c>
      <c r="P39" s="37">
        <f>LAVORAZIONI!V291</f>
        <v/>
      </c>
      <c r="Q39" s="7">
        <f>LAVORAZIONI!W291</f>
        <v/>
      </c>
      <c r="R39" s="6">
        <f>LAVORAZIONI!X291</f>
        <v/>
      </c>
      <c r="S39" s="7">
        <f>LAVORAZIONI!Y291</f>
        <v/>
      </c>
      <c r="T39" s="6">
        <f>LAVORAZIONI!Z291</f>
        <v/>
      </c>
      <c r="U39" s="7">
        <f>LAVORAZIONI!AA291</f>
        <v/>
      </c>
      <c r="V39" s="6">
        <f>LAVORAZIONI!AB291</f>
        <v/>
      </c>
      <c r="W39" s="7">
        <f>LAVORAZIONI!AC291</f>
        <v/>
      </c>
      <c r="X39" s="6">
        <f>LAVORAZIONI!AD291</f>
        <v/>
      </c>
      <c r="Y39" s="7">
        <f>LAVORAZIONI!AE291</f>
        <v/>
      </c>
      <c r="Z39" s="6">
        <f>LAVORAZIONI!AF291</f>
        <v/>
      </c>
      <c r="AA39" s="7">
        <f>LAVORAZIONI!AG291</f>
        <v/>
      </c>
      <c r="AB39" s="6">
        <f>LAVORAZIONI!AH291</f>
        <v/>
      </c>
      <c r="AC39" s="7">
        <f>LAVORAZIONI!AI291</f>
        <v/>
      </c>
      <c r="AD39" s="13">
        <f>LAVORAZIONI!AJ291</f>
        <v/>
      </c>
    </row>
    <row r="40" ht="64" customHeight="1" s="35">
      <c r="B40" s="4">
        <f>LAVORAZIONI!G292</f>
        <v/>
      </c>
      <c r="C40" s="3">
        <f>LAVORAZIONI!A292</f>
        <v/>
      </c>
      <c r="D40" s="3">
        <f>LAVORAZIONI!K292</f>
        <v/>
      </c>
      <c r="E40" s="4">
        <f>LAVORAZIONI!H292</f>
        <v/>
      </c>
      <c r="F40" s="4">
        <f>LAVORAZIONI!M292</f>
        <v/>
      </c>
      <c r="G40" s="5">
        <f>LAVORAZIONI!N292</f>
        <v/>
      </c>
      <c r="H40" s="6">
        <f>LAVORAZIONI!O292</f>
        <v/>
      </c>
      <c r="I40" s="13">
        <f>LAVORAZIONI!P292</f>
        <v/>
      </c>
      <c r="J40" s="5">
        <f>IF(LAVORAZIONI!Q292="","",LAVORAZIONI!Q292)</f>
        <v/>
      </c>
      <c r="K40" s="6">
        <f>IF(LAVORAZIONI!R292="","",LAVORAZIONI!R292)</f>
        <v/>
      </c>
      <c r="L40" s="13">
        <f>IF(LAVORAZIONI!S292="","",LAVORAZIONI!S292)</f>
        <v/>
      </c>
      <c r="M40" s="13">
        <f>LAVORAZIONI!T292</f>
        <v/>
      </c>
      <c r="O40" s="7">
        <f>LAVORAZIONI!U292</f>
        <v/>
      </c>
      <c r="P40" s="37">
        <f>LAVORAZIONI!V292</f>
        <v/>
      </c>
      <c r="Q40" s="7">
        <f>LAVORAZIONI!W292</f>
        <v/>
      </c>
      <c r="R40" s="6">
        <f>LAVORAZIONI!X292</f>
        <v/>
      </c>
      <c r="S40" s="7">
        <f>LAVORAZIONI!Y292</f>
        <v/>
      </c>
      <c r="T40" s="6">
        <f>LAVORAZIONI!Z292</f>
        <v/>
      </c>
      <c r="U40" s="7">
        <f>LAVORAZIONI!AA292</f>
        <v/>
      </c>
      <c r="V40" s="6">
        <f>LAVORAZIONI!AB292</f>
        <v/>
      </c>
      <c r="W40" s="7">
        <f>LAVORAZIONI!AC292</f>
        <v/>
      </c>
      <c r="X40" s="6">
        <f>LAVORAZIONI!AD292</f>
        <v/>
      </c>
      <c r="Y40" s="7">
        <f>LAVORAZIONI!AE292</f>
        <v/>
      </c>
      <c r="Z40" s="6">
        <f>LAVORAZIONI!AF292</f>
        <v/>
      </c>
      <c r="AA40" s="7">
        <f>LAVORAZIONI!AG292</f>
        <v/>
      </c>
      <c r="AB40" s="6">
        <f>LAVORAZIONI!AH292</f>
        <v/>
      </c>
      <c r="AC40" s="7">
        <f>LAVORAZIONI!AI292</f>
        <v/>
      </c>
      <c r="AD40" s="13">
        <f>LAVORAZIONI!AJ292</f>
        <v/>
      </c>
    </row>
    <row r="41" ht="64" customHeight="1" s="35">
      <c r="B41" s="4">
        <f>LAVORAZIONI!G293</f>
        <v/>
      </c>
      <c r="C41" s="3">
        <f>LAVORAZIONI!A293</f>
        <v/>
      </c>
      <c r="D41" s="3">
        <f>LAVORAZIONI!K293</f>
        <v/>
      </c>
      <c r="E41" s="4">
        <f>LAVORAZIONI!H293</f>
        <v/>
      </c>
      <c r="F41" s="4">
        <f>LAVORAZIONI!M293</f>
        <v/>
      </c>
      <c r="G41" s="5">
        <f>LAVORAZIONI!N293</f>
        <v/>
      </c>
      <c r="H41" s="6">
        <f>LAVORAZIONI!O293</f>
        <v/>
      </c>
      <c r="I41" s="13">
        <f>LAVORAZIONI!P293</f>
        <v/>
      </c>
      <c r="J41" s="5">
        <f>IF(LAVORAZIONI!Q293="","",LAVORAZIONI!Q293)</f>
        <v/>
      </c>
      <c r="K41" s="6">
        <f>IF(LAVORAZIONI!R293="","",LAVORAZIONI!R293)</f>
        <v/>
      </c>
      <c r="L41" s="13">
        <f>IF(LAVORAZIONI!S293="","",LAVORAZIONI!S293)</f>
        <v/>
      </c>
      <c r="M41" s="13">
        <f>LAVORAZIONI!T293</f>
        <v/>
      </c>
      <c r="O41" s="7">
        <f>LAVORAZIONI!U293</f>
        <v/>
      </c>
      <c r="P41" s="37">
        <f>LAVORAZIONI!V293</f>
        <v/>
      </c>
      <c r="Q41" s="7">
        <f>LAVORAZIONI!W293</f>
        <v/>
      </c>
      <c r="R41" s="6">
        <f>LAVORAZIONI!X293</f>
        <v/>
      </c>
      <c r="S41" s="7">
        <f>LAVORAZIONI!Y293</f>
        <v/>
      </c>
      <c r="T41" s="6">
        <f>LAVORAZIONI!Z293</f>
        <v/>
      </c>
      <c r="U41" s="7">
        <f>LAVORAZIONI!AA293</f>
        <v/>
      </c>
      <c r="V41" s="6">
        <f>LAVORAZIONI!AB293</f>
        <v/>
      </c>
      <c r="W41" s="7">
        <f>LAVORAZIONI!AC293</f>
        <v/>
      </c>
      <c r="X41" s="6">
        <f>LAVORAZIONI!AD293</f>
        <v/>
      </c>
      <c r="Y41" s="7">
        <f>LAVORAZIONI!AE293</f>
        <v/>
      </c>
      <c r="Z41" s="6">
        <f>LAVORAZIONI!AF293</f>
        <v/>
      </c>
      <c r="AA41" s="7">
        <f>LAVORAZIONI!AG293</f>
        <v/>
      </c>
      <c r="AB41" s="6">
        <f>LAVORAZIONI!AH293</f>
        <v/>
      </c>
      <c r="AC41" s="7">
        <f>LAVORAZIONI!AI293</f>
        <v/>
      </c>
      <c r="AD41" s="13">
        <f>LAVORAZIONI!AJ293</f>
        <v/>
      </c>
    </row>
    <row r="42" ht="64" customHeight="1" s="35">
      <c r="B42" s="4">
        <f>LAVORAZIONI!G294</f>
        <v/>
      </c>
      <c r="C42" s="3">
        <f>LAVORAZIONI!A294</f>
        <v/>
      </c>
      <c r="D42" s="3">
        <f>LAVORAZIONI!K294</f>
        <v/>
      </c>
      <c r="E42" s="4">
        <f>LAVORAZIONI!H294</f>
        <v/>
      </c>
      <c r="F42" s="4">
        <f>LAVORAZIONI!M294</f>
        <v/>
      </c>
      <c r="G42" s="5">
        <f>LAVORAZIONI!N294</f>
        <v/>
      </c>
      <c r="H42" s="6">
        <f>LAVORAZIONI!O294</f>
        <v/>
      </c>
      <c r="I42" s="13">
        <f>LAVORAZIONI!P294</f>
        <v/>
      </c>
      <c r="J42" s="5">
        <f>IF(LAVORAZIONI!Q294="","",LAVORAZIONI!Q294)</f>
        <v/>
      </c>
      <c r="K42" s="6">
        <f>IF(LAVORAZIONI!R294="","",LAVORAZIONI!R294)</f>
        <v/>
      </c>
      <c r="L42" s="13">
        <f>IF(LAVORAZIONI!S294="","",LAVORAZIONI!S294)</f>
        <v/>
      </c>
      <c r="M42" s="13">
        <f>LAVORAZIONI!T294</f>
        <v/>
      </c>
      <c r="O42" s="7">
        <f>LAVORAZIONI!U294</f>
        <v/>
      </c>
      <c r="P42" s="37">
        <f>LAVORAZIONI!V294</f>
        <v/>
      </c>
      <c r="Q42" s="7">
        <f>LAVORAZIONI!W294</f>
        <v/>
      </c>
      <c r="R42" s="6">
        <f>LAVORAZIONI!X294</f>
        <v/>
      </c>
      <c r="S42" s="7">
        <f>LAVORAZIONI!Y294</f>
        <v/>
      </c>
      <c r="T42" s="6">
        <f>LAVORAZIONI!Z294</f>
        <v/>
      </c>
      <c r="U42" s="7">
        <f>LAVORAZIONI!AA294</f>
        <v/>
      </c>
      <c r="V42" s="6">
        <f>LAVORAZIONI!AB294</f>
        <v/>
      </c>
      <c r="W42" s="7">
        <f>LAVORAZIONI!AC294</f>
        <v/>
      </c>
      <c r="X42" s="6">
        <f>LAVORAZIONI!AD294</f>
        <v/>
      </c>
      <c r="Y42" s="7">
        <f>LAVORAZIONI!AE294</f>
        <v/>
      </c>
      <c r="Z42" s="6">
        <f>LAVORAZIONI!AF294</f>
        <v/>
      </c>
      <c r="AA42" s="7">
        <f>LAVORAZIONI!AG294</f>
        <v/>
      </c>
      <c r="AB42" s="6">
        <f>LAVORAZIONI!AH294</f>
        <v/>
      </c>
      <c r="AC42" s="7">
        <f>LAVORAZIONI!AI294</f>
        <v/>
      </c>
      <c r="AD42" s="13">
        <f>LAVORAZIONI!AJ294</f>
        <v/>
      </c>
    </row>
    <row r="43" ht="64" customHeight="1" s="35">
      <c r="B43" s="4">
        <f>LAVORAZIONI!G295</f>
        <v/>
      </c>
      <c r="C43" s="3">
        <f>LAVORAZIONI!A295</f>
        <v/>
      </c>
      <c r="D43" s="3">
        <f>LAVORAZIONI!K295</f>
        <v/>
      </c>
      <c r="E43" s="4">
        <f>LAVORAZIONI!H295</f>
        <v/>
      </c>
      <c r="F43" s="4">
        <f>LAVORAZIONI!M295</f>
        <v/>
      </c>
      <c r="G43" s="5">
        <f>LAVORAZIONI!N295</f>
        <v/>
      </c>
      <c r="H43" s="6">
        <f>LAVORAZIONI!O295</f>
        <v/>
      </c>
      <c r="I43" s="13">
        <f>LAVORAZIONI!P295</f>
        <v/>
      </c>
      <c r="J43" s="5">
        <f>IF(LAVORAZIONI!Q295="","",LAVORAZIONI!Q295)</f>
        <v/>
      </c>
      <c r="K43" s="6">
        <f>IF(LAVORAZIONI!R295="","",LAVORAZIONI!R295)</f>
        <v/>
      </c>
      <c r="L43" s="13">
        <f>IF(LAVORAZIONI!S295="","",LAVORAZIONI!S295)</f>
        <v/>
      </c>
      <c r="M43" s="13">
        <f>LAVORAZIONI!T295</f>
        <v/>
      </c>
      <c r="O43" s="7">
        <f>LAVORAZIONI!U295</f>
        <v/>
      </c>
      <c r="P43" s="37">
        <f>LAVORAZIONI!V295</f>
        <v/>
      </c>
      <c r="Q43" s="7">
        <f>LAVORAZIONI!W295</f>
        <v/>
      </c>
      <c r="R43" s="6">
        <f>LAVORAZIONI!X295</f>
        <v/>
      </c>
      <c r="S43" s="7">
        <f>LAVORAZIONI!Y295</f>
        <v/>
      </c>
      <c r="T43" s="6">
        <f>LAVORAZIONI!Z295</f>
        <v/>
      </c>
      <c r="U43" s="7">
        <f>LAVORAZIONI!AA295</f>
        <v/>
      </c>
      <c r="V43" s="6">
        <f>LAVORAZIONI!AB295</f>
        <v/>
      </c>
      <c r="W43" s="7">
        <f>LAVORAZIONI!AC295</f>
        <v/>
      </c>
      <c r="X43" s="6">
        <f>LAVORAZIONI!AD295</f>
        <v/>
      </c>
      <c r="Y43" s="7">
        <f>LAVORAZIONI!AE295</f>
        <v/>
      </c>
      <c r="Z43" s="6">
        <f>LAVORAZIONI!AF295</f>
        <v/>
      </c>
      <c r="AA43" s="7">
        <f>LAVORAZIONI!AG295</f>
        <v/>
      </c>
      <c r="AB43" s="6">
        <f>LAVORAZIONI!AH295</f>
        <v/>
      </c>
      <c r="AC43" s="7">
        <f>LAVORAZIONI!AI295</f>
        <v/>
      </c>
      <c r="AD43" s="13">
        <f>LAVORAZIONI!AJ295</f>
        <v/>
      </c>
    </row>
    <row r="44" ht="64" customHeight="1" s="35">
      <c r="B44" s="4">
        <f>LAVORAZIONI!G296</f>
        <v/>
      </c>
      <c r="C44" s="3">
        <f>LAVORAZIONI!A296</f>
        <v/>
      </c>
      <c r="D44" s="3">
        <f>LAVORAZIONI!K296</f>
        <v/>
      </c>
      <c r="E44" s="4">
        <f>LAVORAZIONI!H296</f>
        <v/>
      </c>
      <c r="F44" s="4">
        <f>LAVORAZIONI!M296</f>
        <v/>
      </c>
      <c r="G44" s="5">
        <f>LAVORAZIONI!N296</f>
        <v/>
      </c>
      <c r="H44" s="6">
        <f>LAVORAZIONI!O296</f>
        <v/>
      </c>
      <c r="I44" s="13">
        <f>LAVORAZIONI!P296</f>
        <v/>
      </c>
      <c r="J44" s="5">
        <f>IF(LAVORAZIONI!Q296="","",LAVORAZIONI!Q296)</f>
        <v/>
      </c>
      <c r="K44" s="6">
        <f>IF(LAVORAZIONI!R296="","",LAVORAZIONI!R296)</f>
        <v/>
      </c>
      <c r="L44" s="13">
        <f>IF(LAVORAZIONI!S296="","",LAVORAZIONI!S296)</f>
        <v/>
      </c>
      <c r="M44" s="13">
        <f>LAVORAZIONI!T296</f>
        <v/>
      </c>
      <c r="O44" s="7">
        <f>LAVORAZIONI!U296</f>
        <v/>
      </c>
      <c r="P44" s="37">
        <f>LAVORAZIONI!V296</f>
        <v/>
      </c>
      <c r="Q44" s="7">
        <f>LAVORAZIONI!W296</f>
        <v/>
      </c>
      <c r="R44" s="6">
        <f>LAVORAZIONI!X296</f>
        <v/>
      </c>
      <c r="S44" s="7">
        <f>LAVORAZIONI!Y296</f>
        <v/>
      </c>
      <c r="T44" s="6">
        <f>LAVORAZIONI!Z296</f>
        <v/>
      </c>
      <c r="U44" s="7">
        <f>LAVORAZIONI!AA296</f>
        <v/>
      </c>
      <c r="V44" s="6">
        <f>LAVORAZIONI!AB296</f>
        <v/>
      </c>
      <c r="W44" s="7">
        <f>LAVORAZIONI!AC296</f>
        <v/>
      </c>
      <c r="X44" s="6">
        <f>LAVORAZIONI!AD296</f>
        <v/>
      </c>
      <c r="Y44" s="7">
        <f>LAVORAZIONI!AE296</f>
        <v/>
      </c>
      <c r="Z44" s="6">
        <f>LAVORAZIONI!AF296</f>
        <v/>
      </c>
      <c r="AA44" s="7">
        <f>LAVORAZIONI!AG296</f>
        <v/>
      </c>
      <c r="AB44" s="6">
        <f>LAVORAZIONI!AH296</f>
        <v/>
      </c>
      <c r="AC44" s="7">
        <f>LAVORAZIONI!AI296</f>
        <v/>
      </c>
      <c r="AD44" s="13">
        <f>LAVORAZIONI!AJ296</f>
        <v/>
      </c>
    </row>
    <row r="45" ht="64" customHeight="1" s="35">
      <c r="B45" s="4">
        <f>LAVORAZIONI!G297</f>
        <v/>
      </c>
      <c r="C45" s="3">
        <f>LAVORAZIONI!A297</f>
        <v/>
      </c>
      <c r="D45" s="3">
        <f>LAVORAZIONI!K297</f>
        <v/>
      </c>
      <c r="E45" s="4">
        <f>LAVORAZIONI!H297</f>
        <v/>
      </c>
      <c r="F45" s="4">
        <f>LAVORAZIONI!M297</f>
        <v/>
      </c>
      <c r="G45" s="5">
        <f>LAVORAZIONI!N297</f>
        <v/>
      </c>
      <c r="H45" s="6">
        <f>LAVORAZIONI!O297</f>
        <v/>
      </c>
      <c r="I45" s="13">
        <f>LAVORAZIONI!P297</f>
        <v/>
      </c>
      <c r="J45" s="5">
        <f>IF(LAVORAZIONI!Q297="","",LAVORAZIONI!Q297)</f>
        <v/>
      </c>
      <c r="K45" s="6">
        <f>IF(LAVORAZIONI!R297="","",LAVORAZIONI!R297)</f>
        <v/>
      </c>
      <c r="L45" s="13">
        <f>IF(LAVORAZIONI!S297="","",LAVORAZIONI!S297)</f>
        <v/>
      </c>
      <c r="M45" s="13">
        <f>LAVORAZIONI!T297</f>
        <v/>
      </c>
      <c r="O45" s="7">
        <f>LAVORAZIONI!U297</f>
        <v/>
      </c>
      <c r="P45" s="37">
        <f>LAVORAZIONI!V297</f>
        <v/>
      </c>
      <c r="Q45" s="7">
        <f>LAVORAZIONI!W297</f>
        <v/>
      </c>
      <c r="R45" s="6">
        <f>LAVORAZIONI!X297</f>
        <v/>
      </c>
      <c r="S45" s="7">
        <f>LAVORAZIONI!Y297</f>
        <v/>
      </c>
      <c r="T45" s="6">
        <f>LAVORAZIONI!Z297</f>
        <v/>
      </c>
      <c r="U45" s="7">
        <f>LAVORAZIONI!AA297</f>
        <v/>
      </c>
      <c r="V45" s="6">
        <f>LAVORAZIONI!AB297</f>
        <v/>
      </c>
      <c r="W45" s="7">
        <f>LAVORAZIONI!AC297</f>
        <v/>
      </c>
      <c r="X45" s="6">
        <f>LAVORAZIONI!AD297</f>
        <v/>
      </c>
      <c r="Y45" s="7">
        <f>LAVORAZIONI!AE297</f>
        <v/>
      </c>
      <c r="Z45" s="6">
        <f>LAVORAZIONI!AF297</f>
        <v/>
      </c>
      <c r="AA45" s="7">
        <f>LAVORAZIONI!AG297</f>
        <v/>
      </c>
      <c r="AB45" s="6">
        <f>LAVORAZIONI!AH297</f>
        <v/>
      </c>
      <c r="AC45" s="7">
        <f>LAVORAZIONI!AI297</f>
        <v/>
      </c>
      <c r="AD45" s="13">
        <f>LAVORAZIONI!AJ297</f>
        <v/>
      </c>
    </row>
    <row r="46" ht="64" customHeight="1" s="35">
      <c r="B46" s="4">
        <f>LAVORAZIONI!G298</f>
        <v/>
      </c>
      <c r="C46" s="3">
        <f>LAVORAZIONI!A298</f>
        <v/>
      </c>
      <c r="D46" s="3">
        <f>LAVORAZIONI!K298</f>
        <v/>
      </c>
      <c r="E46" s="4">
        <f>LAVORAZIONI!H298</f>
        <v/>
      </c>
      <c r="F46" s="4">
        <f>LAVORAZIONI!M298</f>
        <v/>
      </c>
      <c r="G46" s="5">
        <f>LAVORAZIONI!N298</f>
        <v/>
      </c>
      <c r="H46" s="6">
        <f>LAVORAZIONI!O298</f>
        <v/>
      </c>
      <c r="I46" s="13">
        <f>LAVORAZIONI!P298</f>
        <v/>
      </c>
      <c r="J46" s="5">
        <f>IF(LAVORAZIONI!Q298="","",LAVORAZIONI!Q298)</f>
        <v/>
      </c>
      <c r="K46" s="6">
        <f>IF(LAVORAZIONI!R298="","",LAVORAZIONI!R298)</f>
        <v/>
      </c>
      <c r="L46" s="13">
        <f>IF(LAVORAZIONI!S298="","",LAVORAZIONI!S298)</f>
        <v/>
      </c>
      <c r="M46" s="13">
        <f>LAVORAZIONI!T298</f>
        <v/>
      </c>
      <c r="O46" s="7">
        <f>LAVORAZIONI!U298</f>
        <v/>
      </c>
      <c r="P46" s="37">
        <f>LAVORAZIONI!V298</f>
        <v/>
      </c>
      <c r="Q46" s="7">
        <f>LAVORAZIONI!W298</f>
        <v/>
      </c>
      <c r="R46" s="6">
        <f>LAVORAZIONI!X298</f>
        <v/>
      </c>
      <c r="S46" s="7">
        <f>LAVORAZIONI!Y298</f>
        <v/>
      </c>
      <c r="T46" s="6">
        <f>LAVORAZIONI!Z298</f>
        <v/>
      </c>
      <c r="U46" s="7">
        <f>LAVORAZIONI!AA298</f>
        <v/>
      </c>
      <c r="V46" s="6">
        <f>LAVORAZIONI!AB298</f>
        <v/>
      </c>
      <c r="W46" s="7">
        <f>LAVORAZIONI!AC298</f>
        <v/>
      </c>
      <c r="X46" s="6">
        <f>LAVORAZIONI!AD298</f>
        <v/>
      </c>
      <c r="Y46" s="7">
        <f>LAVORAZIONI!AE298</f>
        <v/>
      </c>
      <c r="Z46" s="6">
        <f>LAVORAZIONI!AF298</f>
        <v/>
      </c>
      <c r="AA46" s="7">
        <f>LAVORAZIONI!AG298</f>
        <v/>
      </c>
      <c r="AB46" s="6">
        <f>LAVORAZIONI!AH298</f>
        <v/>
      </c>
      <c r="AC46" s="7">
        <f>LAVORAZIONI!AI298</f>
        <v/>
      </c>
      <c r="AD46" s="13">
        <f>LAVORAZIONI!AJ298</f>
        <v/>
      </c>
    </row>
    <row r="47" ht="64" customHeight="1" s="35">
      <c r="B47" s="4">
        <f>LAVORAZIONI!G299</f>
        <v/>
      </c>
      <c r="C47" s="3">
        <f>LAVORAZIONI!A299</f>
        <v/>
      </c>
      <c r="D47" s="3">
        <f>LAVORAZIONI!K299</f>
        <v/>
      </c>
      <c r="E47" s="4">
        <f>LAVORAZIONI!H299</f>
        <v/>
      </c>
      <c r="F47" s="4">
        <f>LAVORAZIONI!M299</f>
        <v/>
      </c>
      <c r="G47" s="5">
        <f>LAVORAZIONI!N299</f>
        <v/>
      </c>
      <c r="H47" s="6">
        <f>LAVORAZIONI!O299</f>
        <v/>
      </c>
      <c r="I47" s="13">
        <f>LAVORAZIONI!P299</f>
        <v/>
      </c>
      <c r="J47" s="5">
        <f>IF(LAVORAZIONI!Q299="","",LAVORAZIONI!Q299)</f>
        <v/>
      </c>
      <c r="K47" s="6">
        <f>IF(LAVORAZIONI!R299="","",LAVORAZIONI!R299)</f>
        <v/>
      </c>
      <c r="L47" s="13">
        <f>IF(LAVORAZIONI!S299="","",LAVORAZIONI!S299)</f>
        <v/>
      </c>
      <c r="M47" s="13">
        <f>LAVORAZIONI!T299</f>
        <v/>
      </c>
      <c r="O47" s="7">
        <f>LAVORAZIONI!U299</f>
        <v/>
      </c>
      <c r="P47" s="37">
        <f>LAVORAZIONI!V299</f>
        <v/>
      </c>
      <c r="Q47" s="7">
        <f>LAVORAZIONI!W299</f>
        <v/>
      </c>
      <c r="R47" s="6">
        <f>LAVORAZIONI!X299</f>
        <v/>
      </c>
      <c r="S47" s="7">
        <f>LAVORAZIONI!Y299</f>
        <v/>
      </c>
      <c r="T47" s="6">
        <f>LAVORAZIONI!Z299</f>
        <v/>
      </c>
      <c r="U47" s="7">
        <f>LAVORAZIONI!AA299</f>
        <v/>
      </c>
      <c r="V47" s="6">
        <f>LAVORAZIONI!AB299</f>
        <v/>
      </c>
      <c r="W47" s="7">
        <f>LAVORAZIONI!AC299</f>
        <v/>
      </c>
      <c r="X47" s="6">
        <f>LAVORAZIONI!AD299</f>
        <v/>
      </c>
      <c r="Y47" s="7">
        <f>LAVORAZIONI!AE299</f>
        <v/>
      </c>
      <c r="Z47" s="6">
        <f>LAVORAZIONI!AF299</f>
        <v/>
      </c>
      <c r="AA47" s="7">
        <f>LAVORAZIONI!AG299</f>
        <v/>
      </c>
      <c r="AB47" s="6">
        <f>LAVORAZIONI!AH299</f>
        <v/>
      </c>
      <c r="AC47" s="7">
        <f>LAVORAZIONI!AI299</f>
        <v/>
      </c>
      <c r="AD47" s="13">
        <f>LAVORAZIONI!AJ299</f>
        <v/>
      </c>
    </row>
    <row r="48" ht="64" customHeight="1" s="35">
      <c r="B48" s="4">
        <f>LAVORAZIONI!G300</f>
        <v/>
      </c>
      <c r="C48" s="3">
        <f>LAVORAZIONI!A300</f>
        <v/>
      </c>
      <c r="D48" s="3">
        <f>LAVORAZIONI!K300</f>
        <v/>
      </c>
      <c r="E48" s="4">
        <f>LAVORAZIONI!H300</f>
        <v/>
      </c>
      <c r="F48" s="4">
        <f>LAVORAZIONI!M300</f>
        <v/>
      </c>
      <c r="G48" s="5">
        <f>LAVORAZIONI!N300</f>
        <v/>
      </c>
      <c r="H48" s="6">
        <f>LAVORAZIONI!O300</f>
        <v/>
      </c>
      <c r="I48" s="13">
        <f>LAVORAZIONI!P300</f>
        <v/>
      </c>
      <c r="J48" s="5">
        <f>IF(LAVORAZIONI!Q300="","",LAVORAZIONI!Q300)</f>
        <v/>
      </c>
      <c r="K48" s="6">
        <f>IF(LAVORAZIONI!R300="","",LAVORAZIONI!R300)</f>
        <v/>
      </c>
      <c r="L48" s="13">
        <f>IF(LAVORAZIONI!S300="","",LAVORAZIONI!S300)</f>
        <v/>
      </c>
      <c r="M48" s="13">
        <f>LAVORAZIONI!T300</f>
        <v/>
      </c>
      <c r="O48" s="7">
        <f>LAVORAZIONI!U300</f>
        <v/>
      </c>
      <c r="P48" s="37">
        <f>LAVORAZIONI!V300</f>
        <v/>
      </c>
      <c r="Q48" s="7">
        <f>LAVORAZIONI!W300</f>
        <v/>
      </c>
      <c r="R48" s="6">
        <f>LAVORAZIONI!X300</f>
        <v/>
      </c>
      <c r="S48" s="7">
        <f>LAVORAZIONI!Y300</f>
        <v/>
      </c>
      <c r="T48" s="6">
        <f>LAVORAZIONI!Z300</f>
        <v/>
      </c>
      <c r="U48" s="7">
        <f>LAVORAZIONI!AA300</f>
        <v/>
      </c>
      <c r="V48" s="6">
        <f>LAVORAZIONI!AB300</f>
        <v/>
      </c>
      <c r="W48" s="7">
        <f>LAVORAZIONI!AC300</f>
        <v/>
      </c>
      <c r="X48" s="6">
        <f>LAVORAZIONI!AD300</f>
        <v/>
      </c>
      <c r="Y48" s="7">
        <f>LAVORAZIONI!AE300</f>
        <v/>
      </c>
      <c r="Z48" s="6">
        <f>LAVORAZIONI!AF300</f>
        <v/>
      </c>
      <c r="AA48" s="7">
        <f>LAVORAZIONI!AG300</f>
        <v/>
      </c>
      <c r="AB48" s="6">
        <f>LAVORAZIONI!AH300</f>
        <v/>
      </c>
      <c r="AC48" s="7">
        <f>LAVORAZIONI!AI300</f>
        <v/>
      </c>
      <c r="AD48" s="13">
        <f>LAVORAZIONI!AJ300</f>
        <v/>
      </c>
    </row>
    <row r="49" ht="64" customHeight="1" s="35">
      <c r="B49" s="4">
        <f>LAVORAZIONI!G301</f>
        <v/>
      </c>
      <c r="C49" s="3">
        <f>LAVORAZIONI!A301</f>
        <v/>
      </c>
      <c r="D49" s="3">
        <f>LAVORAZIONI!K301</f>
        <v/>
      </c>
      <c r="E49" s="4">
        <f>LAVORAZIONI!H301</f>
        <v/>
      </c>
      <c r="F49" s="4">
        <f>LAVORAZIONI!M301</f>
        <v/>
      </c>
      <c r="G49" s="5">
        <f>LAVORAZIONI!N301</f>
        <v/>
      </c>
      <c r="H49" s="6">
        <f>LAVORAZIONI!O301</f>
        <v/>
      </c>
      <c r="I49" s="13">
        <f>LAVORAZIONI!P301</f>
        <v/>
      </c>
      <c r="J49" s="5">
        <f>IF(LAVORAZIONI!Q301="","",LAVORAZIONI!Q301)</f>
        <v/>
      </c>
      <c r="K49" s="6">
        <f>IF(LAVORAZIONI!R301="","",LAVORAZIONI!R301)</f>
        <v/>
      </c>
      <c r="L49" s="13">
        <f>IF(LAVORAZIONI!S301="","",LAVORAZIONI!S301)</f>
        <v/>
      </c>
      <c r="M49" s="13">
        <f>LAVORAZIONI!T301</f>
        <v/>
      </c>
      <c r="O49" s="7">
        <f>LAVORAZIONI!U301</f>
        <v/>
      </c>
      <c r="P49" s="37">
        <f>LAVORAZIONI!V301</f>
        <v/>
      </c>
      <c r="Q49" s="7">
        <f>LAVORAZIONI!W301</f>
        <v/>
      </c>
      <c r="R49" s="6">
        <f>LAVORAZIONI!X301</f>
        <v/>
      </c>
      <c r="S49" s="7">
        <f>LAVORAZIONI!Y301</f>
        <v/>
      </c>
      <c r="T49" s="6">
        <f>LAVORAZIONI!Z301</f>
        <v/>
      </c>
      <c r="U49" s="7">
        <f>LAVORAZIONI!AA301</f>
        <v/>
      </c>
      <c r="V49" s="6">
        <f>LAVORAZIONI!AB301</f>
        <v/>
      </c>
      <c r="W49" s="7">
        <f>LAVORAZIONI!AC301</f>
        <v/>
      </c>
      <c r="X49" s="6">
        <f>LAVORAZIONI!AD301</f>
        <v/>
      </c>
      <c r="Y49" s="7">
        <f>LAVORAZIONI!AE301</f>
        <v/>
      </c>
      <c r="Z49" s="6">
        <f>LAVORAZIONI!AF301</f>
        <v/>
      </c>
      <c r="AA49" s="7">
        <f>LAVORAZIONI!AG301</f>
        <v/>
      </c>
      <c r="AB49" s="6">
        <f>LAVORAZIONI!AH301</f>
        <v/>
      </c>
      <c r="AC49" s="7">
        <f>LAVORAZIONI!AI301</f>
        <v/>
      </c>
      <c r="AD49" s="13">
        <f>LAVORAZIONI!AJ301</f>
        <v/>
      </c>
    </row>
    <row r="50" ht="64" customHeight="1" s="35">
      <c r="B50" s="4">
        <f>LAVORAZIONI!G302</f>
        <v/>
      </c>
      <c r="C50" s="3">
        <f>LAVORAZIONI!A302</f>
        <v/>
      </c>
      <c r="D50" s="3">
        <f>LAVORAZIONI!K302</f>
        <v/>
      </c>
      <c r="E50" s="4">
        <f>LAVORAZIONI!H302</f>
        <v/>
      </c>
      <c r="F50" s="4">
        <f>LAVORAZIONI!M302</f>
        <v/>
      </c>
      <c r="G50" s="5">
        <f>LAVORAZIONI!N302</f>
        <v/>
      </c>
      <c r="H50" s="6">
        <f>LAVORAZIONI!O302</f>
        <v/>
      </c>
      <c r="I50" s="13">
        <f>LAVORAZIONI!P302</f>
        <v/>
      </c>
      <c r="J50" s="5">
        <f>IF(LAVORAZIONI!Q302="","",LAVORAZIONI!Q302)</f>
        <v/>
      </c>
      <c r="K50" s="6">
        <f>IF(LAVORAZIONI!R302="","",LAVORAZIONI!R302)</f>
        <v/>
      </c>
      <c r="L50" s="13">
        <f>IF(LAVORAZIONI!S302="","",LAVORAZIONI!S302)</f>
        <v/>
      </c>
      <c r="M50" s="13">
        <f>LAVORAZIONI!T302</f>
        <v/>
      </c>
      <c r="O50" s="7">
        <f>LAVORAZIONI!U302</f>
        <v/>
      </c>
      <c r="P50" s="37">
        <f>LAVORAZIONI!V302</f>
        <v/>
      </c>
      <c r="Q50" s="7">
        <f>LAVORAZIONI!W302</f>
        <v/>
      </c>
      <c r="R50" s="6">
        <f>LAVORAZIONI!X302</f>
        <v/>
      </c>
      <c r="S50" s="7">
        <f>LAVORAZIONI!Y302</f>
        <v/>
      </c>
      <c r="T50" s="6">
        <f>LAVORAZIONI!Z302</f>
        <v/>
      </c>
      <c r="U50" s="7">
        <f>LAVORAZIONI!AA302</f>
        <v/>
      </c>
      <c r="V50" s="6">
        <f>LAVORAZIONI!AB302</f>
        <v/>
      </c>
      <c r="W50" s="7">
        <f>LAVORAZIONI!AC302</f>
        <v/>
      </c>
      <c r="X50" s="6">
        <f>LAVORAZIONI!AD302</f>
        <v/>
      </c>
      <c r="Y50" s="7">
        <f>LAVORAZIONI!AE302</f>
        <v/>
      </c>
      <c r="Z50" s="6">
        <f>LAVORAZIONI!AF302</f>
        <v/>
      </c>
      <c r="AA50" s="7">
        <f>LAVORAZIONI!AG302</f>
        <v/>
      </c>
      <c r="AB50" s="6">
        <f>LAVORAZIONI!AH302</f>
        <v/>
      </c>
      <c r="AC50" s="7">
        <f>LAVORAZIONI!AI302</f>
        <v/>
      </c>
      <c r="AD50" s="13">
        <f>LAVORAZIONI!AJ302</f>
        <v/>
      </c>
    </row>
    <row r="51" ht="64" customHeight="1" s="35">
      <c r="B51" s="4">
        <f>LAVORAZIONI!G303</f>
        <v/>
      </c>
      <c r="C51" s="3">
        <f>LAVORAZIONI!A303</f>
        <v/>
      </c>
      <c r="D51" s="3">
        <f>LAVORAZIONI!K303</f>
        <v/>
      </c>
      <c r="E51" s="4">
        <f>LAVORAZIONI!H303</f>
        <v/>
      </c>
      <c r="F51" s="4">
        <f>LAVORAZIONI!M303</f>
        <v/>
      </c>
      <c r="G51" s="5">
        <f>LAVORAZIONI!N303</f>
        <v/>
      </c>
      <c r="H51" s="6">
        <f>LAVORAZIONI!O303</f>
        <v/>
      </c>
      <c r="I51" s="13">
        <f>LAVORAZIONI!P303</f>
        <v/>
      </c>
      <c r="J51" s="5">
        <f>IF(LAVORAZIONI!Q303="","",LAVORAZIONI!Q303)</f>
        <v/>
      </c>
      <c r="K51" s="6">
        <f>IF(LAVORAZIONI!R303="","",LAVORAZIONI!R303)</f>
        <v/>
      </c>
      <c r="L51" s="13">
        <f>IF(LAVORAZIONI!S303="","",LAVORAZIONI!S303)</f>
        <v/>
      </c>
      <c r="M51" s="13">
        <f>LAVORAZIONI!T303</f>
        <v/>
      </c>
      <c r="O51" s="7">
        <f>LAVORAZIONI!U303</f>
        <v/>
      </c>
      <c r="P51" s="37">
        <f>LAVORAZIONI!V303</f>
        <v/>
      </c>
      <c r="Q51" s="7">
        <f>LAVORAZIONI!W303</f>
        <v/>
      </c>
      <c r="R51" s="6">
        <f>LAVORAZIONI!X303</f>
        <v/>
      </c>
      <c r="S51" s="7">
        <f>LAVORAZIONI!Y303</f>
        <v/>
      </c>
      <c r="T51" s="6">
        <f>LAVORAZIONI!Z303</f>
        <v/>
      </c>
      <c r="U51" s="7">
        <f>LAVORAZIONI!AA303</f>
        <v/>
      </c>
      <c r="V51" s="6">
        <f>LAVORAZIONI!AB303</f>
        <v/>
      </c>
      <c r="W51" s="7">
        <f>LAVORAZIONI!AC303</f>
        <v/>
      </c>
      <c r="X51" s="6">
        <f>LAVORAZIONI!AD303</f>
        <v/>
      </c>
      <c r="Y51" s="7">
        <f>LAVORAZIONI!AE303</f>
        <v/>
      </c>
      <c r="Z51" s="6">
        <f>LAVORAZIONI!AF303</f>
        <v/>
      </c>
      <c r="AA51" s="7">
        <f>LAVORAZIONI!AG303</f>
        <v/>
      </c>
      <c r="AB51" s="6">
        <f>LAVORAZIONI!AH303</f>
        <v/>
      </c>
      <c r="AC51" s="7">
        <f>LAVORAZIONI!AI303</f>
        <v/>
      </c>
      <c r="AD51" s="13">
        <f>LAVORAZIONI!AJ303</f>
        <v/>
      </c>
    </row>
    <row r="52" ht="64" customHeight="1" s="35">
      <c r="B52" s="4">
        <f>LAVORAZIONI!G304</f>
        <v/>
      </c>
      <c r="C52" s="3">
        <f>LAVORAZIONI!A304</f>
        <v/>
      </c>
      <c r="D52" s="3">
        <f>LAVORAZIONI!K304</f>
        <v/>
      </c>
      <c r="E52" s="4">
        <f>LAVORAZIONI!H304</f>
        <v/>
      </c>
      <c r="F52" s="4">
        <f>LAVORAZIONI!M304</f>
        <v/>
      </c>
      <c r="G52" s="5">
        <f>LAVORAZIONI!N304</f>
        <v/>
      </c>
      <c r="H52" s="6">
        <f>LAVORAZIONI!O304</f>
        <v/>
      </c>
      <c r="I52" s="13">
        <f>LAVORAZIONI!P304</f>
        <v/>
      </c>
      <c r="J52" s="5">
        <f>IF(LAVORAZIONI!Q304="","",LAVORAZIONI!Q304)</f>
        <v/>
      </c>
      <c r="K52" s="6">
        <f>IF(LAVORAZIONI!R304="","",LAVORAZIONI!R304)</f>
        <v/>
      </c>
      <c r="L52" s="13">
        <f>IF(LAVORAZIONI!S304="","",LAVORAZIONI!S304)</f>
        <v/>
      </c>
      <c r="M52" s="13">
        <f>LAVORAZIONI!T304</f>
        <v/>
      </c>
      <c r="O52" s="7">
        <f>LAVORAZIONI!U304</f>
        <v/>
      </c>
      <c r="P52" s="37">
        <f>LAVORAZIONI!V304</f>
        <v/>
      </c>
      <c r="Q52" s="7">
        <f>LAVORAZIONI!W304</f>
        <v/>
      </c>
      <c r="R52" s="6">
        <f>LAVORAZIONI!X304</f>
        <v/>
      </c>
      <c r="S52" s="7">
        <f>LAVORAZIONI!Y304</f>
        <v/>
      </c>
      <c r="T52" s="6">
        <f>LAVORAZIONI!Z304</f>
        <v/>
      </c>
      <c r="U52" s="7">
        <f>LAVORAZIONI!AA304</f>
        <v/>
      </c>
      <c r="V52" s="6">
        <f>LAVORAZIONI!AB304</f>
        <v/>
      </c>
      <c r="W52" s="7">
        <f>LAVORAZIONI!AC304</f>
        <v/>
      </c>
      <c r="X52" s="6">
        <f>LAVORAZIONI!AD304</f>
        <v/>
      </c>
      <c r="Y52" s="7">
        <f>LAVORAZIONI!AE304</f>
        <v/>
      </c>
      <c r="Z52" s="6">
        <f>LAVORAZIONI!AF304</f>
        <v/>
      </c>
      <c r="AA52" s="7">
        <f>LAVORAZIONI!AG304</f>
        <v/>
      </c>
      <c r="AB52" s="6">
        <f>LAVORAZIONI!AH304</f>
        <v/>
      </c>
      <c r="AC52" s="7">
        <f>LAVORAZIONI!AI304</f>
        <v/>
      </c>
      <c r="AD52" s="13">
        <f>LAVORAZIONI!AJ304</f>
        <v/>
      </c>
    </row>
    <row r="53" ht="64" customHeight="1" s="35">
      <c r="B53" s="4">
        <f>LAVORAZIONI!G305</f>
        <v/>
      </c>
      <c r="C53" s="3">
        <f>LAVORAZIONI!A305</f>
        <v/>
      </c>
      <c r="D53" s="3">
        <f>LAVORAZIONI!K305</f>
        <v/>
      </c>
      <c r="E53" s="4">
        <f>LAVORAZIONI!H305</f>
        <v/>
      </c>
      <c r="F53" s="4">
        <f>LAVORAZIONI!M305</f>
        <v/>
      </c>
      <c r="G53" s="5">
        <f>LAVORAZIONI!N305</f>
        <v/>
      </c>
      <c r="H53" s="6">
        <f>LAVORAZIONI!O305</f>
        <v/>
      </c>
      <c r="I53" s="13">
        <f>LAVORAZIONI!P305</f>
        <v/>
      </c>
      <c r="J53" s="5">
        <f>IF(LAVORAZIONI!Q305="","",LAVORAZIONI!Q305)</f>
        <v/>
      </c>
      <c r="K53" s="6">
        <f>IF(LAVORAZIONI!R305="","",LAVORAZIONI!R305)</f>
        <v/>
      </c>
      <c r="L53" s="13">
        <f>IF(LAVORAZIONI!S305="","",LAVORAZIONI!S305)</f>
        <v/>
      </c>
      <c r="M53" s="13">
        <f>LAVORAZIONI!T305</f>
        <v/>
      </c>
      <c r="O53" s="7">
        <f>LAVORAZIONI!U305</f>
        <v/>
      </c>
      <c r="P53" s="37">
        <f>LAVORAZIONI!V305</f>
        <v/>
      </c>
      <c r="Q53" s="7">
        <f>LAVORAZIONI!W305</f>
        <v/>
      </c>
      <c r="R53" s="6">
        <f>LAVORAZIONI!X305</f>
        <v/>
      </c>
      <c r="S53" s="7">
        <f>LAVORAZIONI!Y305</f>
        <v/>
      </c>
      <c r="T53" s="6">
        <f>LAVORAZIONI!Z305</f>
        <v/>
      </c>
      <c r="U53" s="7">
        <f>LAVORAZIONI!AA305</f>
        <v/>
      </c>
      <c r="V53" s="6">
        <f>LAVORAZIONI!AB305</f>
        <v/>
      </c>
      <c r="W53" s="7">
        <f>LAVORAZIONI!AC305</f>
        <v/>
      </c>
      <c r="X53" s="6">
        <f>LAVORAZIONI!AD305</f>
        <v/>
      </c>
      <c r="Y53" s="7">
        <f>LAVORAZIONI!AE305</f>
        <v/>
      </c>
      <c r="Z53" s="6">
        <f>LAVORAZIONI!AF305</f>
        <v/>
      </c>
      <c r="AA53" s="7">
        <f>LAVORAZIONI!AG305</f>
        <v/>
      </c>
      <c r="AB53" s="6">
        <f>LAVORAZIONI!AH305</f>
        <v/>
      </c>
      <c r="AC53" s="7">
        <f>LAVORAZIONI!AI305</f>
        <v/>
      </c>
      <c r="AD53" s="13">
        <f>LAVORAZIONI!AJ305</f>
        <v/>
      </c>
    </row>
    <row r="54" ht="64" customHeight="1" s="35">
      <c r="B54" s="4">
        <f>LAVORAZIONI!G306</f>
        <v/>
      </c>
      <c r="C54" s="3">
        <f>LAVORAZIONI!A306</f>
        <v/>
      </c>
      <c r="D54" s="3">
        <f>LAVORAZIONI!K306</f>
        <v/>
      </c>
      <c r="E54" s="4">
        <f>LAVORAZIONI!H306</f>
        <v/>
      </c>
      <c r="F54" s="4">
        <f>LAVORAZIONI!M306</f>
        <v/>
      </c>
      <c r="G54" s="5">
        <f>LAVORAZIONI!N306</f>
        <v/>
      </c>
      <c r="H54" s="6">
        <f>LAVORAZIONI!O306</f>
        <v/>
      </c>
      <c r="I54" s="13">
        <f>LAVORAZIONI!P306</f>
        <v/>
      </c>
      <c r="J54" s="5">
        <f>IF(LAVORAZIONI!Q306="","",LAVORAZIONI!Q306)</f>
        <v/>
      </c>
      <c r="K54" s="6">
        <f>IF(LAVORAZIONI!R306="","",LAVORAZIONI!R306)</f>
        <v/>
      </c>
      <c r="L54" s="13">
        <f>IF(LAVORAZIONI!S306="","",LAVORAZIONI!S306)</f>
        <v/>
      </c>
      <c r="M54" s="13">
        <f>LAVORAZIONI!T306</f>
        <v/>
      </c>
      <c r="O54" s="7">
        <f>LAVORAZIONI!U306</f>
        <v/>
      </c>
      <c r="P54" s="37">
        <f>LAVORAZIONI!V306</f>
        <v/>
      </c>
      <c r="Q54" s="7">
        <f>LAVORAZIONI!W306</f>
        <v/>
      </c>
      <c r="R54" s="6">
        <f>LAVORAZIONI!X306</f>
        <v/>
      </c>
      <c r="S54" s="7">
        <f>LAVORAZIONI!Y306</f>
        <v/>
      </c>
      <c r="T54" s="6">
        <f>LAVORAZIONI!Z306</f>
        <v/>
      </c>
      <c r="U54" s="7">
        <f>LAVORAZIONI!AA306</f>
        <v/>
      </c>
      <c r="V54" s="6">
        <f>LAVORAZIONI!AB306</f>
        <v/>
      </c>
      <c r="W54" s="7">
        <f>LAVORAZIONI!AC306</f>
        <v/>
      </c>
      <c r="X54" s="6">
        <f>LAVORAZIONI!AD306</f>
        <v/>
      </c>
      <c r="Y54" s="7">
        <f>LAVORAZIONI!AE306</f>
        <v/>
      </c>
      <c r="Z54" s="6">
        <f>LAVORAZIONI!AF306</f>
        <v/>
      </c>
      <c r="AA54" s="7">
        <f>LAVORAZIONI!AG306</f>
        <v/>
      </c>
      <c r="AB54" s="6">
        <f>LAVORAZIONI!AH306</f>
        <v/>
      </c>
      <c r="AC54" s="7">
        <f>LAVORAZIONI!AI306</f>
        <v/>
      </c>
      <c r="AD54" s="13">
        <f>LAVORAZIONI!AJ306</f>
        <v/>
      </c>
    </row>
    <row r="55" ht="64" customHeight="1" s="35">
      <c r="B55" s="4">
        <f>LAVORAZIONI!G307</f>
        <v/>
      </c>
      <c r="C55" s="3">
        <f>LAVORAZIONI!A307</f>
        <v/>
      </c>
      <c r="D55" s="3">
        <f>LAVORAZIONI!K307</f>
        <v/>
      </c>
      <c r="E55" s="4">
        <f>LAVORAZIONI!H307</f>
        <v/>
      </c>
      <c r="F55" s="4">
        <f>LAVORAZIONI!M307</f>
        <v/>
      </c>
      <c r="G55" s="5">
        <f>LAVORAZIONI!N307</f>
        <v/>
      </c>
      <c r="H55" s="6">
        <f>LAVORAZIONI!O307</f>
        <v/>
      </c>
      <c r="I55" s="13">
        <f>LAVORAZIONI!P307</f>
        <v/>
      </c>
      <c r="J55" s="5">
        <f>IF(LAVORAZIONI!Q307="","",LAVORAZIONI!Q307)</f>
        <v/>
      </c>
      <c r="K55" s="6">
        <f>IF(LAVORAZIONI!R307="","",LAVORAZIONI!R307)</f>
        <v/>
      </c>
      <c r="L55" s="13">
        <f>IF(LAVORAZIONI!S307="","",LAVORAZIONI!S307)</f>
        <v/>
      </c>
      <c r="M55" s="13">
        <f>LAVORAZIONI!T307</f>
        <v/>
      </c>
      <c r="O55" s="7">
        <f>LAVORAZIONI!U307</f>
        <v/>
      </c>
      <c r="P55" s="37">
        <f>LAVORAZIONI!V307</f>
        <v/>
      </c>
      <c r="Q55" s="7">
        <f>LAVORAZIONI!W307</f>
        <v/>
      </c>
      <c r="R55" s="6">
        <f>LAVORAZIONI!X307</f>
        <v/>
      </c>
      <c r="S55" s="7">
        <f>LAVORAZIONI!Y307</f>
        <v/>
      </c>
      <c r="T55" s="6">
        <f>LAVORAZIONI!Z307</f>
        <v/>
      </c>
      <c r="U55" s="7">
        <f>LAVORAZIONI!AA307</f>
        <v/>
      </c>
      <c r="V55" s="6">
        <f>LAVORAZIONI!AB307</f>
        <v/>
      </c>
      <c r="W55" s="7">
        <f>LAVORAZIONI!AC307</f>
        <v/>
      </c>
      <c r="X55" s="6">
        <f>LAVORAZIONI!AD307</f>
        <v/>
      </c>
      <c r="Y55" s="7">
        <f>LAVORAZIONI!AE307</f>
        <v/>
      </c>
      <c r="Z55" s="6">
        <f>LAVORAZIONI!AF307</f>
        <v/>
      </c>
      <c r="AA55" s="7">
        <f>LAVORAZIONI!AG307</f>
        <v/>
      </c>
      <c r="AB55" s="6">
        <f>LAVORAZIONI!AH307</f>
        <v/>
      </c>
      <c r="AC55" s="7">
        <f>LAVORAZIONI!AI307</f>
        <v/>
      </c>
      <c r="AD55" s="13">
        <f>LAVORAZIONI!AJ307</f>
        <v/>
      </c>
    </row>
    <row r="56" ht="64" customHeight="1" s="35">
      <c r="B56" s="4">
        <f>LAVORAZIONI!G308</f>
        <v/>
      </c>
      <c r="C56" s="3">
        <f>LAVORAZIONI!A308</f>
        <v/>
      </c>
      <c r="D56" s="3">
        <f>LAVORAZIONI!K308</f>
        <v/>
      </c>
      <c r="E56" s="4">
        <f>LAVORAZIONI!H308</f>
        <v/>
      </c>
      <c r="F56" s="4">
        <f>LAVORAZIONI!M308</f>
        <v/>
      </c>
      <c r="G56" s="5">
        <f>LAVORAZIONI!N308</f>
        <v/>
      </c>
      <c r="H56" s="6">
        <f>LAVORAZIONI!O308</f>
        <v/>
      </c>
      <c r="I56" s="13">
        <f>LAVORAZIONI!P308</f>
        <v/>
      </c>
      <c r="J56" s="5">
        <f>IF(LAVORAZIONI!Q308="","",LAVORAZIONI!Q308)</f>
        <v/>
      </c>
      <c r="K56" s="6">
        <f>IF(LAVORAZIONI!R308="","",LAVORAZIONI!R308)</f>
        <v/>
      </c>
      <c r="L56" s="13">
        <f>IF(LAVORAZIONI!S308="","",LAVORAZIONI!S308)</f>
        <v/>
      </c>
      <c r="M56" s="13">
        <f>LAVORAZIONI!T308</f>
        <v/>
      </c>
      <c r="O56" s="7">
        <f>LAVORAZIONI!U308</f>
        <v/>
      </c>
      <c r="P56" s="37">
        <f>LAVORAZIONI!V308</f>
        <v/>
      </c>
      <c r="Q56" s="7">
        <f>LAVORAZIONI!W308</f>
        <v/>
      </c>
      <c r="R56" s="6">
        <f>LAVORAZIONI!X308</f>
        <v/>
      </c>
      <c r="S56" s="7">
        <f>LAVORAZIONI!Y308</f>
        <v/>
      </c>
      <c r="T56" s="6">
        <f>LAVORAZIONI!Z308</f>
        <v/>
      </c>
      <c r="U56" s="7">
        <f>LAVORAZIONI!AA308</f>
        <v/>
      </c>
      <c r="V56" s="6">
        <f>LAVORAZIONI!AB308</f>
        <v/>
      </c>
      <c r="W56" s="7">
        <f>LAVORAZIONI!AC308</f>
        <v/>
      </c>
      <c r="X56" s="6">
        <f>LAVORAZIONI!AD308</f>
        <v/>
      </c>
      <c r="Y56" s="7">
        <f>LAVORAZIONI!AE308</f>
        <v/>
      </c>
      <c r="Z56" s="6">
        <f>LAVORAZIONI!AF308</f>
        <v/>
      </c>
      <c r="AA56" s="7">
        <f>LAVORAZIONI!AG308</f>
        <v/>
      </c>
      <c r="AB56" s="6">
        <f>LAVORAZIONI!AH308</f>
        <v/>
      </c>
      <c r="AC56" s="7">
        <f>LAVORAZIONI!AI308</f>
        <v/>
      </c>
      <c r="AD56" s="13">
        <f>LAVORAZIONI!AJ308</f>
        <v/>
      </c>
    </row>
    <row r="57" ht="64" customHeight="1" s="35">
      <c r="B57" s="4">
        <f>LAVORAZIONI!G309</f>
        <v/>
      </c>
      <c r="C57" s="3">
        <f>LAVORAZIONI!A309</f>
        <v/>
      </c>
      <c r="D57" s="3">
        <f>LAVORAZIONI!K309</f>
        <v/>
      </c>
      <c r="E57" s="4">
        <f>LAVORAZIONI!H309</f>
        <v/>
      </c>
      <c r="F57" s="4">
        <f>LAVORAZIONI!M309</f>
        <v/>
      </c>
      <c r="G57" s="5">
        <f>LAVORAZIONI!N309</f>
        <v/>
      </c>
      <c r="H57" s="6">
        <f>LAVORAZIONI!O309</f>
        <v/>
      </c>
      <c r="I57" s="13">
        <f>LAVORAZIONI!P309</f>
        <v/>
      </c>
      <c r="J57" s="5">
        <f>IF(LAVORAZIONI!Q309="","",LAVORAZIONI!Q309)</f>
        <v/>
      </c>
      <c r="K57" s="6">
        <f>IF(LAVORAZIONI!R309="","",LAVORAZIONI!R309)</f>
        <v/>
      </c>
      <c r="L57" s="13">
        <f>IF(LAVORAZIONI!S309="","",LAVORAZIONI!S309)</f>
        <v/>
      </c>
      <c r="M57" s="13">
        <f>LAVORAZIONI!T309</f>
        <v/>
      </c>
      <c r="O57" s="7">
        <f>LAVORAZIONI!U309</f>
        <v/>
      </c>
      <c r="P57" s="37">
        <f>LAVORAZIONI!V309</f>
        <v/>
      </c>
      <c r="Q57" s="7">
        <f>LAVORAZIONI!W309</f>
        <v/>
      </c>
      <c r="R57" s="6">
        <f>LAVORAZIONI!X309</f>
        <v/>
      </c>
      <c r="S57" s="7">
        <f>LAVORAZIONI!Y309</f>
        <v/>
      </c>
      <c r="T57" s="6">
        <f>LAVORAZIONI!Z309</f>
        <v/>
      </c>
      <c r="U57" s="7">
        <f>LAVORAZIONI!AA309</f>
        <v/>
      </c>
      <c r="V57" s="6">
        <f>LAVORAZIONI!AB309</f>
        <v/>
      </c>
      <c r="W57" s="7">
        <f>LAVORAZIONI!AC309</f>
        <v/>
      </c>
      <c r="X57" s="6">
        <f>LAVORAZIONI!AD309</f>
        <v/>
      </c>
      <c r="Y57" s="7">
        <f>LAVORAZIONI!AE309</f>
        <v/>
      </c>
      <c r="Z57" s="6">
        <f>LAVORAZIONI!AF309</f>
        <v/>
      </c>
      <c r="AA57" s="7">
        <f>LAVORAZIONI!AG309</f>
        <v/>
      </c>
      <c r="AB57" s="6">
        <f>LAVORAZIONI!AH309</f>
        <v/>
      </c>
      <c r="AC57" s="7">
        <f>LAVORAZIONI!AI309</f>
        <v/>
      </c>
      <c r="AD57" s="13">
        <f>LAVORAZIONI!AJ309</f>
        <v/>
      </c>
    </row>
    <row r="58" ht="64" customHeight="1" s="35">
      <c r="B58" s="4">
        <f>LAVORAZIONI!G310</f>
        <v/>
      </c>
      <c r="C58" s="3">
        <f>LAVORAZIONI!A310</f>
        <v/>
      </c>
      <c r="D58" s="3">
        <f>LAVORAZIONI!K310</f>
        <v/>
      </c>
      <c r="E58" s="4">
        <f>LAVORAZIONI!H310</f>
        <v/>
      </c>
      <c r="F58" s="4">
        <f>LAVORAZIONI!M310</f>
        <v/>
      </c>
      <c r="G58" s="5">
        <f>LAVORAZIONI!N310</f>
        <v/>
      </c>
      <c r="H58" s="6">
        <f>LAVORAZIONI!O310</f>
        <v/>
      </c>
      <c r="I58" s="13">
        <f>LAVORAZIONI!P310</f>
        <v/>
      </c>
      <c r="J58" s="5">
        <f>IF(LAVORAZIONI!Q310="","",LAVORAZIONI!Q310)</f>
        <v/>
      </c>
      <c r="K58" s="6">
        <f>IF(LAVORAZIONI!R310="","",LAVORAZIONI!R310)</f>
        <v/>
      </c>
      <c r="L58" s="13">
        <f>IF(LAVORAZIONI!S310="","",LAVORAZIONI!S310)</f>
        <v/>
      </c>
      <c r="M58" s="13">
        <f>LAVORAZIONI!T310</f>
        <v/>
      </c>
      <c r="O58" s="7">
        <f>LAVORAZIONI!U310</f>
        <v/>
      </c>
      <c r="P58" s="37">
        <f>LAVORAZIONI!V310</f>
        <v/>
      </c>
      <c r="Q58" s="7">
        <f>LAVORAZIONI!W310</f>
        <v/>
      </c>
      <c r="R58" s="6">
        <f>LAVORAZIONI!X310</f>
        <v/>
      </c>
      <c r="S58" s="7">
        <f>LAVORAZIONI!Y310</f>
        <v/>
      </c>
      <c r="T58" s="6">
        <f>LAVORAZIONI!Z310</f>
        <v/>
      </c>
      <c r="U58" s="7">
        <f>LAVORAZIONI!AA310</f>
        <v/>
      </c>
      <c r="V58" s="6">
        <f>LAVORAZIONI!AB310</f>
        <v/>
      </c>
      <c r="W58" s="7">
        <f>LAVORAZIONI!AC310</f>
        <v/>
      </c>
      <c r="X58" s="6">
        <f>LAVORAZIONI!AD310</f>
        <v/>
      </c>
      <c r="Y58" s="7">
        <f>LAVORAZIONI!AE310</f>
        <v/>
      </c>
      <c r="Z58" s="6">
        <f>LAVORAZIONI!AF310</f>
        <v/>
      </c>
      <c r="AA58" s="7">
        <f>LAVORAZIONI!AG310</f>
        <v/>
      </c>
      <c r="AB58" s="6">
        <f>LAVORAZIONI!AH310</f>
        <v/>
      </c>
      <c r="AC58" s="7">
        <f>LAVORAZIONI!AI310</f>
        <v/>
      </c>
      <c r="AD58" s="13">
        <f>LAVORAZIONI!AJ310</f>
        <v/>
      </c>
    </row>
    <row r="59" ht="64" customHeight="1" s="35">
      <c r="B59" s="4">
        <f>LAVORAZIONI!G311</f>
        <v/>
      </c>
      <c r="C59" s="3">
        <f>LAVORAZIONI!A311</f>
        <v/>
      </c>
      <c r="D59" s="3">
        <f>LAVORAZIONI!K311</f>
        <v/>
      </c>
      <c r="E59" s="4">
        <f>LAVORAZIONI!H311</f>
        <v/>
      </c>
      <c r="F59" s="4">
        <f>LAVORAZIONI!M311</f>
        <v/>
      </c>
      <c r="G59" s="5">
        <f>LAVORAZIONI!N311</f>
        <v/>
      </c>
      <c r="H59" s="6">
        <f>LAVORAZIONI!O311</f>
        <v/>
      </c>
      <c r="I59" s="13">
        <f>LAVORAZIONI!P311</f>
        <v/>
      </c>
      <c r="J59" s="5">
        <f>IF(LAVORAZIONI!Q311="","",LAVORAZIONI!Q311)</f>
        <v/>
      </c>
      <c r="K59" s="6">
        <f>IF(LAVORAZIONI!R311="","",LAVORAZIONI!R311)</f>
        <v/>
      </c>
      <c r="L59" s="13">
        <f>IF(LAVORAZIONI!S311="","",LAVORAZIONI!S311)</f>
        <v/>
      </c>
      <c r="M59" s="13">
        <f>LAVORAZIONI!T311</f>
        <v/>
      </c>
      <c r="O59" s="7">
        <f>LAVORAZIONI!U311</f>
        <v/>
      </c>
      <c r="P59" s="37">
        <f>LAVORAZIONI!V311</f>
        <v/>
      </c>
      <c r="Q59" s="7">
        <f>LAVORAZIONI!W311</f>
        <v/>
      </c>
      <c r="R59" s="6">
        <f>LAVORAZIONI!X311</f>
        <v/>
      </c>
      <c r="S59" s="7">
        <f>LAVORAZIONI!Y311</f>
        <v/>
      </c>
      <c r="T59" s="6">
        <f>LAVORAZIONI!Z311</f>
        <v/>
      </c>
      <c r="U59" s="7">
        <f>LAVORAZIONI!AA311</f>
        <v/>
      </c>
      <c r="V59" s="6">
        <f>LAVORAZIONI!AB311</f>
        <v/>
      </c>
      <c r="W59" s="7">
        <f>LAVORAZIONI!AC311</f>
        <v/>
      </c>
      <c r="X59" s="6">
        <f>LAVORAZIONI!AD311</f>
        <v/>
      </c>
      <c r="Y59" s="7">
        <f>LAVORAZIONI!AE311</f>
        <v/>
      </c>
      <c r="Z59" s="6">
        <f>LAVORAZIONI!AF311</f>
        <v/>
      </c>
      <c r="AA59" s="7">
        <f>LAVORAZIONI!AG311</f>
        <v/>
      </c>
      <c r="AB59" s="6">
        <f>LAVORAZIONI!AH311</f>
        <v/>
      </c>
      <c r="AC59" s="7">
        <f>LAVORAZIONI!AI311</f>
        <v/>
      </c>
      <c r="AD59" s="13">
        <f>LAVORAZIONI!AJ311</f>
        <v/>
      </c>
    </row>
    <row r="60" ht="64" customHeight="1" s="35">
      <c r="B60" s="4">
        <f>LAVORAZIONI!G312</f>
        <v/>
      </c>
      <c r="C60" s="3">
        <f>LAVORAZIONI!A312</f>
        <v/>
      </c>
      <c r="D60" s="3">
        <f>LAVORAZIONI!K312</f>
        <v/>
      </c>
      <c r="E60" s="4">
        <f>LAVORAZIONI!H312</f>
        <v/>
      </c>
      <c r="F60" s="4">
        <f>LAVORAZIONI!M312</f>
        <v/>
      </c>
      <c r="G60" s="5">
        <f>LAVORAZIONI!N312</f>
        <v/>
      </c>
      <c r="H60" s="6">
        <f>LAVORAZIONI!O312</f>
        <v/>
      </c>
      <c r="I60" s="13">
        <f>LAVORAZIONI!P312</f>
        <v/>
      </c>
      <c r="J60" s="5">
        <f>IF(LAVORAZIONI!Q312="","",LAVORAZIONI!Q312)</f>
        <v/>
      </c>
      <c r="K60" s="6">
        <f>IF(LAVORAZIONI!R312="","",LAVORAZIONI!R312)</f>
        <v/>
      </c>
      <c r="L60" s="13">
        <f>IF(LAVORAZIONI!S312="","",LAVORAZIONI!S312)</f>
        <v/>
      </c>
      <c r="M60" s="13">
        <f>LAVORAZIONI!T312</f>
        <v/>
      </c>
      <c r="O60" s="7">
        <f>LAVORAZIONI!U312</f>
        <v/>
      </c>
      <c r="P60" s="37">
        <f>LAVORAZIONI!V312</f>
        <v/>
      </c>
      <c r="Q60" s="7">
        <f>LAVORAZIONI!W312</f>
        <v/>
      </c>
      <c r="R60" s="6">
        <f>LAVORAZIONI!X312</f>
        <v/>
      </c>
      <c r="S60" s="7">
        <f>LAVORAZIONI!Y312</f>
        <v/>
      </c>
      <c r="T60" s="6">
        <f>LAVORAZIONI!Z312</f>
        <v/>
      </c>
      <c r="U60" s="7">
        <f>LAVORAZIONI!AA312</f>
        <v/>
      </c>
      <c r="V60" s="6">
        <f>LAVORAZIONI!AB312</f>
        <v/>
      </c>
      <c r="W60" s="7">
        <f>LAVORAZIONI!AC312</f>
        <v/>
      </c>
      <c r="X60" s="6">
        <f>LAVORAZIONI!AD312</f>
        <v/>
      </c>
      <c r="Y60" s="7">
        <f>LAVORAZIONI!AE312</f>
        <v/>
      </c>
      <c r="Z60" s="6">
        <f>LAVORAZIONI!AF312</f>
        <v/>
      </c>
      <c r="AA60" s="7">
        <f>LAVORAZIONI!AG312</f>
        <v/>
      </c>
      <c r="AB60" s="6">
        <f>LAVORAZIONI!AH312</f>
        <v/>
      </c>
      <c r="AC60" s="7">
        <f>LAVORAZIONI!AI312</f>
        <v/>
      </c>
      <c r="AD60" s="13">
        <f>LAVORAZIONI!AJ312</f>
        <v/>
      </c>
    </row>
    <row r="61" ht="64" customHeight="1" s="35">
      <c r="B61" s="4">
        <f>LAVORAZIONI!G313</f>
        <v/>
      </c>
      <c r="C61" s="3">
        <f>LAVORAZIONI!A313</f>
        <v/>
      </c>
      <c r="D61" s="3">
        <f>LAVORAZIONI!K313</f>
        <v/>
      </c>
      <c r="E61" s="4">
        <f>LAVORAZIONI!H313</f>
        <v/>
      </c>
      <c r="F61" s="4">
        <f>LAVORAZIONI!M313</f>
        <v/>
      </c>
      <c r="G61" s="5">
        <f>LAVORAZIONI!N313</f>
        <v/>
      </c>
      <c r="H61" s="6">
        <f>LAVORAZIONI!O313</f>
        <v/>
      </c>
      <c r="I61" s="13">
        <f>LAVORAZIONI!P313</f>
        <v/>
      </c>
      <c r="J61" s="5">
        <f>IF(LAVORAZIONI!Q313="","",LAVORAZIONI!Q313)</f>
        <v/>
      </c>
      <c r="K61" s="6">
        <f>IF(LAVORAZIONI!R313="","",LAVORAZIONI!R313)</f>
        <v/>
      </c>
      <c r="L61" s="13">
        <f>IF(LAVORAZIONI!S313="","",LAVORAZIONI!S313)</f>
        <v/>
      </c>
      <c r="M61" s="13">
        <f>LAVORAZIONI!T313</f>
        <v/>
      </c>
      <c r="O61" s="7">
        <f>LAVORAZIONI!U313</f>
        <v/>
      </c>
      <c r="P61" s="37">
        <f>LAVORAZIONI!V313</f>
        <v/>
      </c>
      <c r="Q61" s="7">
        <f>LAVORAZIONI!W313</f>
        <v/>
      </c>
      <c r="R61" s="6">
        <f>LAVORAZIONI!X313</f>
        <v/>
      </c>
      <c r="S61" s="7">
        <f>LAVORAZIONI!Y313</f>
        <v/>
      </c>
      <c r="T61" s="6">
        <f>LAVORAZIONI!Z313</f>
        <v/>
      </c>
      <c r="U61" s="7">
        <f>LAVORAZIONI!AA313</f>
        <v/>
      </c>
      <c r="V61" s="6">
        <f>LAVORAZIONI!AB313</f>
        <v/>
      </c>
      <c r="W61" s="7">
        <f>LAVORAZIONI!AC313</f>
        <v/>
      </c>
      <c r="X61" s="6">
        <f>LAVORAZIONI!AD313</f>
        <v/>
      </c>
      <c r="Y61" s="7">
        <f>LAVORAZIONI!AE313</f>
        <v/>
      </c>
      <c r="Z61" s="6">
        <f>LAVORAZIONI!AF313</f>
        <v/>
      </c>
      <c r="AA61" s="7">
        <f>LAVORAZIONI!AG313</f>
        <v/>
      </c>
      <c r="AB61" s="6">
        <f>LAVORAZIONI!AH313</f>
        <v/>
      </c>
      <c r="AC61" s="7">
        <f>LAVORAZIONI!AI313</f>
        <v/>
      </c>
      <c r="AD61" s="13">
        <f>LAVORAZIONI!AJ313</f>
        <v/>
      </c>
    </row>
    <row r="62" ht="64" customHeight="1" s="35">
      <c r="B62" s="4">
        <f>LAVORAZIONI!G314</f>
        <v/>
      </c>
      <c r="C62" s="3">
        <f>LAVORAZIONI!A314</f>
        <v/>
      </c>
      <c r="D62" s="3">
        <f>LAVORAZIONI!K314</f>
        <v/>
      </c>
      <c r="E62" s="4">
        <f>LAVORAZIONI!H314</f>
        <v/>
      </c>
      <c r="F62" s="4">
        <f>LAVORAZIONI!M314</f>
        <v/>
      </c>
      <c r="G62" s="5">
        <f>LAVORAZIONI!N314</f>
        <v/>
      </c>
      <c r="H62" s="6">
        <f>LAVORAZIONI!O314</f>
        <v/>
      </c>
      <c r="I62" s="13">
        <f>LAVORAZIONI!P314</f>
        <v/>
      </c>
      <c r="J62" s="5">
        <f>IF(LAVORAZIONI!Q314="","",LAVORAZIONI!Q314)</f>
        <v/>
      </c>
      <c r="K62" s="6">
        <f>IF(LAVORAZIONI!R314="","",LAVORAZIONI!R314)</f>
        <v/>
      </c>
      <c r="L62" s="13">
        <f>IF(LAVORAZIONI!S314="","",LAVORAZIONI!S314)</f>
        <v/>
      </c>
      <c r="M62" s="13">
        <f>LAVORAZIONI!T314</f>
        <v/>
      </c>
      <c r="O62" s="7">
        <f>LAVORAZIONI!U314</f>
        <v/>
      </c>
      <c r="P62" s="37">
        <f>LAVORAZIONI!V314</f>
        <v/>
      </c>
      <c r="Q62" s="7">
        <f>LAVORAZIONI!W314</f>
        <v/>
      </c>
      <c r="R62" s="6">
        <f>LAVORAZIONI!X314</f>
        <v/>
      </c>
      <c r="S62" s="7">
        <f>LAVORAZIONI!Y314</f>
        <v/>
      </c>
      <c r="T62" s="6">
        <f>LAVORAZIONI!Z314</f>
        <v/>
      </c>
      <c r="U62" s="7">
        <f>LAVORAZIONI!AA314</f>
        <v/>
      </c>
      <c r="V62" s="6">
        <f>LAVORAZIONI!AB314</f>
        <v/>
      </c>
      <c r="W62" s="7">
        <f>LAVORAZIONI!AC314</f>
        <v/>
      </c>
      <c r="X62" s="6">
        <f>LAVORAZIONI!AD314</f>
        <v/>
      </c>
      <c r="Y62" s="7">
        <f>LAVORAZIONI!AE314</f>
        <v/>
      </c>
      <c r="Z62" s="6">
        <f>LAVORAZIONI!AF314</f>
        <v/>
      </c>
      <c r="AA62" s="7">
        <f>LAVORAZIONI!AG314</f>
        <v/>
      </c>
      <c r="AB62" s="6">
        <f>LAVORAZIONI!AH314</f>
        <v/>
      </c>
      <c r="AC62" s="7">
        <f>LAVORAZIONI!AI314</f>
        <v/>
      </c>
      <c r="AD62" s="13">
        <f>LAVORAZIONI!AJ314</f>
        <v/>
      </c>
    </row>
    <row r="63" ht="64" customHeight="1" s="35">
      <c r="B63" s="4">
        <f>LAVORAZIONI!G315</f>
        <v/>
      </c>
      <c r="C63" s="3">
        <f>LAVORAZIONI!A315</f>
        <v/>
      </c>
      <c r="D63" s="3">
        <f>LAVORAZIONI!K315</f>
        <v/>
      </c>
      <c r="E63" s="4">
        <f>LAVORAZIONI!H315</f>
        <v/>
      </c>
      <c r="F63" s="4">
        <f>LAVORAZIONI!M315</f>
        <v/>
      </c>
      <c r="G63" s="5">
        <f>LAVORAZIONI!N315</f>
        <v/>
      </c>
      <c r="H63" s="6">
        <f>LAVORAZIONI!O315</f>
        <v/>
      </c>
      <c r="I63" s="13">
        <f>LAVORAZIONI!P315</f>
        <v/>
      </c>
      <c r="J63" s="5">
        <f>IF(LAVORAZIONI!Q315="","",LAVORAZIONI!Q315)</f>
        <v/>
      </c>
      <c r="K63" s="6">
        <f>IF(LAVORAZIONI!R315="","",LAVORAZIONI!R315)</f>
        <v/>
      </c>
      <c r="L63" s="13">
        <f>IF(LAVORAZIONI!S315="","",LAVORAZIONI!S315)</f>
        <v/>
      </c>
      <c r="M63" s="13">
        <f>LAVORAZIONI!T315</f>
        <v/>
      </c>
      <c r="O63" s="7">
        <f>LAVORAZIONI!U315</f>
        <v/>
      </c>
      <c r="P63" s="37">
        <f>LAVORAZIONI!V315</f>
        <v/>
      </c>
      <c r="Q63" s="7">
        <f>LAVORAZIONI!W315</f>
        <v/>
      </c>
      <c r="R63" s="6">
        <f>LAVORAZIONI!X315</f>
        <v/>
      </c>
      <c r="S63" s="7">
        <f>LAVORAZIONI!Y315</f>
        <v/>
      </c>
      <c r="T63" s="6">
        <f>LAVORAZIONI!Z315</f>
        <v/>
      </c>
      <c r="U63" s="7">
        <f>LAVORAZIONI!AA315</f>
        <v/>
      </c>
      <c r="V63" s="6">
        <f>LAVORAZIONI!AB315</f>
        <v/>
      </c>
      <c r="W63" s="7">
        <f>LAVORAZIONI!AC315</f>
        <v/>
      </c>
      <c r="X63" s="6">
        <f>LAVORAZIONI!AD315</f>
        <v/>
      </c>
      <c r="Y63" s="7">
        <f>LAVORAZIONI!AE315</f>
        <v/>
      </c>
      <c r="Z63" s="6">
        <f>LAVORAZIONI!AF315</f>
        <v/>
      </c>
      <c r="AA63" s="7">
        <f>LAVORAZIONI!AG315</f>
        <v/>
      </c>
      <c r="AB63" s="6">
        <f>LAVORAZIONI!AH315</f>
        <v/>
      </c>
      <c r="AC63" s="7">
        <f>LAVORAZIONI!AI315</f>
        <v/>
      </c>
      <c r="AD63" s="13">
        <f>LAVORAZIONI!AJ315</f>
        <v/>
      </c>
    </row>
    <row r="64" ht="64" customHeight="1" s="35">
      <c r="B64" s="4">
        <f>LAVORAZIONI!G316</f>
        <v/>
      </c>
      <c r="C64" s="3">
        <f>LAVORAZIONI!A316</f>
        <v/>
      </c>
      <c r="D64" s="3">
        <f>LAVORAZIONI!K316</f>
        <v/>
      </c>
      <c r="E64" s="4">
        <f>LAVORAZIONI!H316</f>
        <v/>
      </c>
      <c r="F64" s="4">
        <f>LAVORAZIONI!M316</f>
        <v/>
      </c>
      <c r="G64" s="5">
        <f>LAVORAZIONI!N316</f>
        <v/>
      </c>
      <c r="H64" s="6">
        <f>LAVORAZIONI!O316</f>
        <v/>
      </c>
      <c r="I64" s="13">
        <f>LAVORAZIONI!P316</f>
        <v/>
      </c>
      <c r="J64" s="5">
        <f>IF(LAVORAZIONI!Q316="","",LAVORAZIONI!Q316)</f>
        <v/>
      </c>
      <c r="K64" s="6">
        <f>IF(LAVORAZIONI!R316="","",LAVORAZIONI!R316)</f>
        <v/>
      </c>
      <c r="L64" s="13">
        <f>IF(LAVORAZIONI!S316="","",LAVORAZIONI!S316)</f>
        <v/>
      </c>
      <c r="M64" s="13">
        <f>LAVORAZIONI!T316</f>
        <v/>
      </c>
      <c r="O64" s="7">
        <f>LAVORAZIONI!U316</f>
        <v/>
      </c>
      <c r="P64" s="37">
        <f>LAVORAZIONI!V316</f>
        <v/>
      </c>
      <c r="Q64" s="7">
        <f>LAVORAZIONI!W316</f>
        <v/>
      </c>
      <c r="R64" s="6">
        <f>LAVORAZIONI!X316</f>
        <v/>
      </c>
      <c r="S64" s="7">
        <f>LAVORAZIONI!Y316</f>
        <v/>
      </c>
      <c r="T64" s="6">
        <f>LAVORAZIONI!Z316</f>
        <v/>
      </c>
      <c r="U64" s="7">
        <f>LAVORAZIONI!AA316</f>
        <v/>
      </c>
      <c r="V64" s="6">
        <f>LAVORAZIONI!AB316</f>
        <v/>
      </c>
      <c r="W64" s="7">
        <f>LAVORAZIONI!AC316</f>
        <v/>
      </c>
      <c r="X64" s="6">
        <f>LAVORAZIONI!AD316</f>
        <v/>
      </c>
      <c r="Y64" s="7">
        <f>LAVORAZIONI!AE316</f>
        <v/>
      </c>
      <c r="Z64" s="6">
        <f>LAVORAZIONI!AF316</f>
        <v/>
      </c>
      <c r="AA64" s="7">
        <f>LAVORAZIONI!AG316</f>
        <v/>
      </c>
      <c r="AB64" s="6">
        <f>LAVORAZIONI!AH316</f>
        <v/>
      </c>
      <c r="AC64" s="7">
        <f>LAVORAZIONI!AI316</f>
        <v/>
      </c>
      <c r="AD64" s="13">
        <f>LAVORAZIONI!AJ316</f>
        <v/>
      </c>
    </row>
    <row r="65" ht="64" customHeight="1" s="35">
      <c r="B65" s="4">
        <f>LAVORAZIONI!G317</f>
        <v/>
      </c>
      <c r="C65" s="3">
        <f>LAVORAZIONI!A317</f>
        <v/>
      </c>
      <c r="D65" s="3">
        <f>LAVORAZIONI!K317</f>
        <v/>
      </c>
      <c r="E65" s="4">
        <f>LAVORAZIONI!H317</f>
        <v/>
      </c>
      <c r="F65" s="4">
        <f>LAVORAZIONI!M317</f>
        <v/>
      </c>
      <c r="G65" s="5">
        <f>LAVORAZIONI!N317</f>
        <v/>
      </c>
      <c r="H65" s="6">
        <f>LAVORAZIONI!O317</f>
        <v/>
      </c>
      <c r="I65" s="13">
        <f>LAVORAZIONI!P317</f>
        <v/>
      </c>
      <c r="J65" s="5">
        <f>IF(LAVORAZIONI!Q317="","",LAVORAZIONI!Q317)</f>
        <v/>
      </c>
      <c r="K65" s="6">
        <f>IF(LAVORAZIONI!R317="","",LAVORAZIONI!R317)</f>
        <v/>
      </c>
      <c r="L65" s="13">
        <f>IF(LAVORAZIONI!S317="","",LAVORAZIONI!S317)</f>
        <v/>
      </c>
      <c r="M65" s="13">
        <f>LAVORAZIONI!T317</f>
        <v/>
      </c>
      <c r="O65" s="7">
        <f>LAVORAZIONI!U317</f>
        <v/>
      </c>
      <c r="P65" s="37">
        <f>LAVORAZIONI!V317</f>
        <v/>
      </c>
      <c r="Q65" s="7">
        <f>LAVORAZIONI!W317</f>
        <v/>
      </c>
      <c r="R65" s="6">
        <f>LAVORAZIONI!X317</f>
        <v/>
      </c>
      <c r="S65" s="7">
        <f>LAVORAZIONI!Y317</f>
        <v/>
      </c>
      <c r="T65" s="6">
        <f>LAVORAZIONI!Z317</f>
        <v/>
      </c>
      <c r="U65" s="7">
        <f>LAVORAZIONI!AA317</f>
        <v/>
      </c>
      <c r="V65" s="6">
        <f>LAVORAZIONI!AB317</f>
        <v/>
      </c>
      <c r="W65" s="7">
        <f>LAVORAZIONI!AC317</f>
        <v/>
      </c>
      <c r="X65" s="6">
        <f>LAVORAZIONI!AD317</f>
        <v/>
      </c>
      <c r="Y65" s="7">
        <f>LAVORAZIONI!AE317</f>
        <v/>
      </c>
      <c r="Z65" s="6">
        <f>LAVORAZIONI!AF317</f>
        <v/>
      </c>
      <c r="AA65" s="7">
        <f>LAVORAZIONI!AG317</f>
        <v/>
      </c>
      <c r="AB65" s="6">
        <f>LAVORAZIONI!AH317</f>
        <v/>
      </c>
      <c r="AC65" s="7">
        <f>LAVORAZIONI!AI317</f>
        <v/>
      </c>
      <c r="AD65" s="13">
        <f>LAVORAZIONI!AJ317</f>
        <v/>
      </c>
    </row>
    <row r="66" ht="64" customHeight="1" s="35">
      <c r="B66" s="4">
        <f>LAVORAZIONI!G318</f>
        <v/>
      </c>
      <c r="C66" s="3">
        <f>LAVORAZIONI!A318</f>
        <v/>
      </c>
      <c r="D66" s="3">
        <f>LAVORAZIONI!K318</f>
        <v/>
      </c>
      <c r="E66" s="4">
        <f>LAVORAZIONI!H318</f>
        <v/>
      </c>
      <c r="F66" s="4">
        <f>LAVORAZIONI!M318</f>
        <v/>
      </c>
      <c r="G66" s="5">
        <f>LAVORAZIONI!N318</f>
        <v/>
      </c>
      <c r="H66" s="6">
        <f>LAVORAZIONI!O318</f>
        <v/>
      </c>
      <c r="I66" s="13">
        <f>LAVORAZIONI!P318</f>
        <v/>
      </c>
      <c r="J66" s="5">
        <f>IF(LAVORAZIONI!Q318="","",LAVORAZIONI!Q318)</f>
        <v/>
      </c>
      <c r="K66" s="6">
        <f>IF(LAVORAZIONI!R318="","",LAVORAZIONI!R318)</f>
        <v/>
      </c>
      <c r="L66" s="13">
        <f>IF(LAVORAZIONI!S318="","",LAVORAZIONI!S318)</f>
        <v/>
      </c>
      <c r="M66" s="13">
        <f>LAVORAZIONI!T318</f>
        <v/>
      </c>
      <c r="O66" s="7">
        <f>LAVORAZIONI!U318</f>
        <v/>
      </c>
      <c r="P66" s="37">
        <f>LAVORAZIONI!V318</f>
        <v/>
      </c>
      <c r="Q66" s="7">
        <f>LAVORAZIONI!W318</f>
        <v/>
      </c>
      <c r="R66" s="6">
        <f>LAVORAZIONI!X318</f>
        <v/>
      </c>
      <c r="S66" s="7">
        <f>LAVORAZIONI!Y318</f>
        <v/>
      </c>
      <c r="T66" s="6">
        <f>LAVORAZIONI!Z318</f>
        <v/>
      </c>
      <c r="U66" s="7">
        <f>LAVORAZIONI!AA318</f>
        <v/>
      </c>
      <c r="V66" s="6">
        <f>LAVORAZIONI!AB318</f>
        <v/>
      </c>
      <c r="W66" s="7">
        <f>LAVORAZIONI!AC318</f>
        <v/>
      </c>
      <c r="X66" s="6">
        <f>LAVORAZIONI!AD318</f>
        <v/>
      </c>
      <c r="Y66" s="7">
        <f>LAVORAZIONI!AE318</f>
        <v/>
      </c>
      <c r="Z66" s="6">
        <f>LAVORAZIONI!AF318</f>
        <v/>
      </c>
      <c r="AA66" s="7">
        <f>LAVORAZIONI!AG318</f>
        <v/>
      </c>
      <c r="AB66" s="6">
        <f>LAVORAZIONI!AH318</f>
        <v/>
      </c>
      <c r="AC66" s="7">
        <f>LAVORAZIONI!AI318</f>
        <v/>
      </c>
      <c r="AD66" s="13">
        <f>LAVORAZIONI!AJ318</f>
        <v/>
      </c>
    </row>
    <row r="67" ht="64" customHeight="1" s="35">
      <c r="B67" s="4">
        <f>LAVORAZIONI!G319</f>
        <v/>
      </c>
      <c r="C67" s="3">
        <f>LAVORAZIONI!A319</f>
        <v/>
      </c>
      <c r="D67" s="3">
        <f>LAVORAZIONI!K319</f>
        <v/>
      </c>
      <c r="E67" s="4">
        <f>LAVORAZIONI!H319</f>
        <v/>
      </c>
      <c r="F67" s="4">
        <f>LAVORAZIONI!M319</f>
        <v/>
      </c>
      <c r="G67" s="5">
        <f>LAVORAZIONI!N319</f>
        <v/>
      </c>
      <c r="H67" s="6">
        <f>LAVORAZIONI!O319</f>
        <v/>
      </c>
      <c r="I67" s="13">
        <f>LAVORAZIONI!P319</f>
        <v/>
      </c>
      <c r="J67" s="5">
        <f>IF(LAVORAZIONI!Q319="","",LAVORAZIONI!Q319)</f>
        <v/>
      </c>
      <c r="K67" s="6">
        <f>IF(LAVORAZIONI!R319="","",LAVORAZIONI!R319)</f>
        <v/>
      </c>
      <c r="L67" s="13">
        <f>IF(LAVORAZIONI!S319="","",LAVORAZIONI!S319)</f>
        <v/>
      </c>
      <c r="M67" s="13">
        <f>LAVORAZIONI!T319</f>
        <v/>
      </c>
      <c r="O67" s="7">
        <f>LAVORAZIONI!U319</f>
        <v/>
      </c>
      <c r="P67" s="37">
        <f>LAVORAZIONI!V319</f>
        <v/>
      </c>
      <c r="Q67" s="7">
        <f>LAVORAZIONI!W319</f>
        <v/>
      </c>
      <c r="R67" s="6">
        <f>LAVORAZIONI!X319</f>
        <v/>
      </c>
      <c r="S67" s="7">
        <f>LAVORAZIONI!Y319</f>
        <v/>
      </c>
      <c r="T67" s="6">
        <f>LAVORAZIONI!Z319</f>
        <v/>
      </c>
      <c r="U67" s="7">
        <f>LAVORAZIONI!AA319</f>
        <v/>
      </c>
      <c r="V67" s="6">
        <f>LAVORAZIONI!AB319</f>
        <v/>
      </c>
      <c r="W67" s="7">
        <f>LAVORAZIONI!AC319</f>
        <v/>
      </c>
      <c r="X67" s="6">
        <f>LAVORAZIONI!AD319</f>
        <v/>
      </c>
      <c r="Y67" s="7">
        <f>LAVORAZIONI!AE319</f>
        <v/>
      </c>
      <c r="Z67" s="6">
        <f>LAVORAZIONI!AF319</f>
        <v/>
      </c>
      <c r="AA67" s="7">
        <f>LAVORAZIONI!AG319</f>
        <v/>
      </c>
      <c r="AB67" s="6">
        <f>LAVORAZIONI!AH319</f>
        <v/>
      </c>
      <c r="AC67" s="7">
        <f>LAVORAZIONI!AI319</f>
        <v/>
      </c>
      <c r="AD67" s="13">
        <f>LAVORAZIONI!AJ319</f>
        <v/>
      </c>
    </row>
    <row r="68" ht="64" customHeight="1" s="35">
      <c r="B68" s="4">
        <f>LAVORAZIONI!G320</f>
        <v/>
      </c>
      <c r="C68" s="3">
        <f>LAVORAZIONI!A320</f>
        <v/>
      </c>
      <c r="D68" s="3">
        <f>LAVORAZIONI!K320</f>
        <v/>
      </c>
      <c r="E68" s="4">
        <f>LAVORAZIONI!H320</f>
        <v/>
      </c>
      <c r="F68" s="4">
        <f>LAVORAZIONI!M320</f>
        <v/>
      </c>
      <c r="G68" s="5">
        <f>LAVORAZIONI!N320</f>
        <v/>
      </c>
      <c r="H68" s="6">
        <f>LAVORAZIONI!O320</f>
        <v/>
      </c>
      <c r="I68" s="13">
        <f>LAVORAZIONI!P320</f>
        <v/>
      </c>
      <c r="J68" s="5">
        <f>IF(LAVORAZIONI!Q320="","",LAVORAZIONI!Q320)</f>
        <v/>
      </c>
      <c r="K68" s="6">
        <f>IF(LAVORAZIONI!R320="","",LAVORAZIONI!R320)</f>
        <v/>
      </c>
      <c r="L68" s="13">
        <f>IF(LAVORAZIONI!S320="","",LAVORAZIONI!S320)</f>
        <v/>
      </c>
      <c r="M68" s="13">
        <f>LAVORAZIONI!T320</f>
        <v/>
      </c>
      <c r="O68" s="7">
        <f>LAVORAZIONI!U320</f>
        <v/>
      </c>
      <c r="P68" s="37">
        <f>LAVORAZIONI!V320</f>
        <v/>
      </c>
      <c r="Q68" s="7">
        <f>LAVORAZIONI!W320</f>
        <v/>
      </c>
      <c r="R68" s="6">
        <f>LAVORAZIONI!X320</f>
        <v/>
      </c>
      <c r="S68" s="7">
        <f>LAVORAZIONI!Y320</f>
        <v/>
      </c>
      <c r="T68" s="6">
        <f>LAVORAZIONI!Z320</f>
        <v/>
      </c>
      <c r="U68" s="7">
        <f>LAVORAZIONI!AA320</f>
        <v/>
      </c>
      <c r="V68" s="6">
        <f>LAVORAZIONI!AB320</f>
        <v/>
      </c>
      <c r="W68" s="7">
        <f>LAVORAZIONI!AC320</f>
        <v/>
      </c>
      <c r="X68" s="6">
        <f>LAVORAZIONI!AD320</f>
        <v/>
      </c>
      <c r="Y68" s="7">
        <f>LAVORAZIONI!AE320</f>
        <v/>
      </c>
      <c r="Z68" s="6">
        <f>LAVORAZIONI!AF320</f>
        <v/>
      </c>
      <c r="AA68" s="7">
        <f>LAVORAZIONI!AG320</f>
        <v/>
      </c>
      <c r="AB68" s="6">
        <f>LAVORAZIONI!AH320</f>
        <v/>
      </c>
      <c r="AC68" s="7">
        <f>LAVORAZIONI!AI320</f>
        <v/>
      </c>
      <c r="AD68" s="13">
        <f>LAVORAZIONI!AJ320</f>
        <v/>
      </c>
    </row>
    <row r="69" ht="64" customHeight="1" s="35">
      <c r="B69" s="4">
        <f>LAVORAZIONI!G321</f>
        <v/>
      </c>
      <c r="C69" s="3">
        <f>LAVORAZIONI!A321</f>
        <v/>
      </c>
      <c r="D69" s="3">
        <f>LAVORAZIONI!K321</f>
        <v/>
      </c>
      <c r="E69" s="4">
        <f>LAVORAZIONI!H321</f>
        <v/>
      </c>
      <c r="F69" s="4">
        <f>LAVORAZIONI!M321</f>
        <v/>
      </c>
      <c r="G69" s="5">
        <f>LAVORAZIONI!N321</f>
        <v/>
      </c>
      <c r="H69" s="6">
        <f>LAVORAZIONI!O321</f>
        <v/>
      </c>
      <c r="I69" s="13">
        <f>LAVORAZIONI!P321</f>
        <v/>
      </c>
      <c r="J69" s="5">
        <f>IF(LAVORAZIONI!Q321="","",LAVORAZIONI!Q321)</f>
        <v/>
      </c>
      <c r="K69" s="6">
        <f>IF(LAVORAZIONI!R321="","",LAVORAZIONI!R321)</f>
        <v/>
      </c>
      <c r="L69" s="13">
        <f>IF(LAVORAZIONI!S321="","",LAVORAZIONI!S321)</f>
        <v/>
      </c>
      <c r="M69" s="13">
        <f>LAVORAZIONI!T321</f>
        <v/>
      </c>
      <c r="O69" s="7">
        <f>LAVORAZIONI!U321</f>
        <v/>
      </c>
      <c r="P69" s="37">
        <f>LAVORAZIONI!V321</f>
        <v/>
      </c>
      <c r="Q69" s="7">
        <f>LAVORAZIONI!W321</f>
        <v/>
      </c>
      <c r="R69" s="6">
        <f>LAVORAZIONI!X321</f>
        <v/>
      </c>
      <c r="S69" s="7">
        <f>LAVORAZIONI!Y321</f>
        <v/>
      </c>
      <c r="T69" s="6">
        <f>LAVORAZIONI!Z321</f>
        <v/>
      </c>
      <c r="U69" s="7">
        <f>LAVORAZIONI!AA321</f>
        <v/>
      </c>
      <c r="V69" s="6">
        <f>LAVORAZIONI!AB321</f>
        <v/>
      </c>
      <c r="W69" s="7">
        <f>LAVORAZIONI!AC321</f>
        <v/>
      </c>
      <c r="X69" s="6">
        <f>LAVORAZIONI!AD321</f>
        <v/>
      </c>
      <c r="Y69" s="7">
        <f>LAVORAZIONI!AE321</f>
        <v/>
      </c>
      <c r="Z69" s="6">
        <f>LAVORAZIONI!AF321</f>
        <v/>
      </c>
      <c r="AA69" s="7">
        <f>LAVORAZIONI!AG321</f>
        <v/>
      </c>
      <c r="AB69" s="6">
        <f>LAVORAZIONI!AH321</f>
        <v/>
      </c>
      <c r="AC69" s="7">
        <f>LAVORAZIONI!AI321</f>
        <v/>
      </c>
      <c r="AD69" s="13">
        <f>LAVORAZIONI!AJ321</f>
        <v/>
      </c>
    </row>
    <row r="70" ht="64" customHeight="1" s="35">
      <c r="B70" s="4">
        <f>LAVORAZIONI!G322</f>
        <v/>
      </c>
      <c r="C70" s="3">
        <f>LAVORAZIONI!A322</f>
        <v/>
      </c>
      <c r="D70" s="3">
        <f>LAVORAZIONI!K322</f>
        <v/>
      </c>
      <c r="E70" s="4">
        <f>LAVORAZIONI!H322</f>
        <v/>
      </c>
      <c r="F70" s="4">
        <f>LAVORAZIONI!M322</f>
        <v/>
      </c>
      <c r="G70" s="5">
        <f>LAVORAZIONI!N322</f>
        <v/>
      </c>
      <c r="H70" s="6">
        <f>LAVORAZIONI!O322</f>
        <v/>
      </c>
      <c r="I70" s="13">
        <f>LAVORAZIONI!P322</f>
        <v/>
      </c>
      <c r="J70" s="5">
        <f>IF(LAVORAZIONI!Q322="","",LAVORAZIONI!Q322)</f>
        <v/>
      </c>
      <c r="K70" s="6">
        <f>IF(LAVORAZIONI!R322="","",LAVORAZIONI!R322)</f>
        <v/>
      </c>
      <c r="L70" s="13">
        <f>IF(LAVORAZIONI!S322="","",LAVORAZIONI!S322)</f>
        <v/>
      </c>
      <c r="M70" s="13">
        <f>LAVORAZIONI!T322</f>
        <v/>
      </c>
      <c r="O70" s="7">
        <f>LAVORAZIONI!U322</f>
        <v/>
      </c>
      <c r="P70" s="37">
        <f>LAVORAZIONI!V322</f>
        <v/>
      </c>
      <c r="Q70" s="7">
        <f>LAVORAZIONI!W322</f>
        <v/>
      </c>
      <c r="R70" s="6">
        <f>LAVORAZIONI!X322</f>
        <v/>
      </c>
      <c r="S70" s="7">
        <f>LAVORAZIONI!Y322</f>
        <v/>
      </c>
      <c r="T70" s="6">
        <f>LAVORAZIONI!Z322</f>
        <v/>
      </c>
      <c r="U70" s="7">
        <f>LAVORAZIONI!AA322</f>
        <v/>
      </c>
      <c r="V70" s="6">
        <f>LAVORAZIONI!AB322</f>
        <v/>
      </c>
      <c r="W70" s="7">
        <f>LAVORAZIONI!AC322</f>
        <v/>
      </c>
      <c r="X70" s="6">
        <f>LAVORAZIONI!AD322</f>
        <v/>
      </c>
      <c r="Y70" s="7">
        <f>LAVORAZIONI!AE322</f>
        <v/>
      </c>
      <c r="Z70" s="6">
        <f>LAVORAZIONI!AF322</f>
        <v/>
      </c>
      <c r="AA70" s="7">
        <f>LAVORAZIONI!AG322</f>
        <v/>
      </c>
      <c r="AB70" s="6">
        <f>LAVORAZIONI!AH322</f>
        <v/>
      </c>
      <c r="AC70" s="7">
        <f>LAVORAZIONI!AI322</f>
        <v/>
      </c>
      <c r="AD70" s="13">
        <f>LAVORAZIONI!AJ322</f>
        <v/>
      </c>
    </row>
    <row r="71" ht="64" customHeight="1" s="35">
      <c r="B71" s="4">
        <f>LAVORAZIONI!G323</f>
        <v/>
      </c>
      <c r="C71" s="3">
        <f>LAVORAZIONI!A323</f>
        <v/>
      </c>
      <c r="D71" s="3">
        <f>LAVORAZIONI!K323</f>
        <v/>
      </c>
      <c r="E71" s="4">
        <f>LAVORAZIONI!H323</f>
        <v/>
      </c>
      <c r="F71" s="4">
        <f>LAVORAZIONI!M323</f>
        <v/>
      </c>
      <c r="G71" s="5">
        <f>LAVORAZIONI!N323</f>
        <v/>
      </c>
      <c r="H71" s="6">
        <f>LAVORAZIONI!O323</f>
        <v/>
      </c>
      <c r="I71" s="13">
        <f>LAVORAZIONI!P323</f>
        <v/>
      </c>
      <c r="J71" s="5">
        <f>IF(LAVORAZIONI!Q323="","",LAVORAZIONI!Q323)</f>
        <v/>
      </c>
      <c r="K71" s="6">
        <f>IF(LAVORAZIONI!R323="","",LAVORAZIONI!R323)</f>
        <v/>
      </c>
      <c r="L71" s="13">
        <f>IF(LAVORAZIONI!S323="","",LAVORAZIONI!S323)</f>
        <v/>
      </c>
      <c r="M71" s="13">
        <f>LAVORAZIONI!T323</f>
        <v/>
      </c>
      <c r="O71" s="7">
        <f>LAVORAZIONI!U323</f>
        <v/>
      </c>
      <c r="P71" s="37">
        <f>LAVORAZIONI!V323</f>
        <v/>
      </c>
      <c r="Q71" s="7">
        <f>LAVORAZIONI!W323</f>
        <v/>
      </c>
      <c r="R71" s="6">
        <f>LAVORAZIONI!X323</f>
        <v/>
      </c>
      <c r="S71" s="7">
        <f>LAVORAZIONI!Y323</f>
        <v/>
      </c>
      <c r="T71" s="6">
        <f>LAVORAZIONI!Z323</f>
        <v/>
      </c>
      <c r="U71" s="7">
        <f>LAVORAZIONI!AA323</f>
        <v/>
      </c>
      <c r="V71" s="6">
        <f>LAVORAZIONI!AB323</f>
        <v/>
      </c>
      <c r="W71" s="7">
        <f>LAVORAZIONI!AC323</f>
        <v/>
      </c>
      <c r="X71" s="6">
        <f>LAVORAZIONI!AD323</f>
        <v/>
      </c>
      <c r="Y71" s="7">
        <f>LAVORAZIONI!AE323</f>
        <v/>
      </c>
      <c r="Z71" s="6">
        <f>LAVORAZIONI!AF323</f>
        <v/>
      </c>
      <c r="AA71" s="7">
        <f>LAVORAZIONI!AG323</f>
        <v/>
      </c>
      <c r="AB71" s="6">
        <f>LAVORAZIONI!AH323</f>
        <v/>
      </c>
      <c r="AC71" s="7">
        <f>LAVORAZIONI!AI323</f>
        <v/>
      </c>
      <c r="AD71" s="13">
        <f>LAVORAZIONI!AJ323</f>
        <v/>
      </c>
    </row>
    <row r="72" ht="64" customHeight="1" s="35">
      <c r="B72" s="4">
        <f>LAVORAZIONI!G324</f>
        <v/>
      </c>
      <c r="C72" s="3">
        <f>LAVORAZIONI!A324</f>
        <v/>
      </c>
      <c r="D72" s="3">
        <f>LAVORAZIONI!K324</f>
        <v/>
      </c>
      <c r="E72" s="4">
        <f>LAVORAZIONI!H324</f>
        <v/>
      </c>
      <c r="F72" s="4">
        <f>LAVORAZIONI!M324</f>
        <v/>
      </c>
      <c r="G72" s="5">
        <f>LAVORAZIONI!N324</f>
        <v/>
      </c>
      <c r="H72" s="6">
        <f>LAVORAZIONI!O324</f>
        <v/>
      </c>
      <c r="I72" s="13">
        <f>LAVORAZIONI!P324</f>
        <v/>
      </c>
      <c r="J72" s="5">
        <f>IF(LAVORAZIONI!Q324="","",LAVORAZIONI!Q324)</f>
        <v/>
      </c>
      <c r="K72" s="6">
        <f>IF(LAVORAZIONI!R324="","",LAVORAZIONI!R324)</f>
        <v/>
      </c>
      <c r="L72" s="13">
        <f>IF(LAVORAZIONI!S324="","",LAVORAZIONI!S324)</f>
        <v/>
      </c>
      <c r="M72" s="13">
        <f>LAVORAZIONI!T324</f>
        <v/>
      </c>
      <c r="O72" s="7">
        <f>LAVORAZIONI!U324</f>
        <v/>
      </c>
      <c r="P72" s="37">
        <f>LAVORAZIONI!V324</f>
        <v/>
      </c>
      <c r="Q72" s="7">
        <f>LAVORAZIONI!W324</f>
        <v/>
      </c>
      <c r="R72" s="6">
        <f>LAVORAZIONI!X324</f>
        <v/>
      </c>
      <c r="S72" s="7">
        <f>LAVORAZIONI!Y324</f>
        <v/>
      </c>
      <c r="T72" s="6">
        <f>LAVORAZIONI!Z324</f>
        <v/>
      </c>
      <c r="U72" s="7">
        <f>LAVORAZIONI!AA324</f>
        <v/>
      </c>
      <c r="V72" s="6">
        <f>LAVORAZIONI!AB324</f>
        <v/>
      </c>
      <c r="W72" s="7">
        <f>LAVORAZIONI!AC324</f>
        <v/>
      </c>
      <c r="X72" s="6">
        <f>LAVORAZIONI!AD324</f>
        <v/>
      </c>
      <c r="Y72" s="7">
        <f>LAVORAZIONI!AE324</f>
        <v/>
      </c>
      <c r="Z72" s="6">
        <f>LAVORAZIONI!AF324</f>
        <v/>
      </c>
      <c r="AA72" s="7">
        <f>LAVORAZIONI!AG324</f>
        <v/>
      </c>
      <c r="AB72" s="6">
        <f>LAVORAZIONI!AH324</f>
        <v/>
      </c>
      <c r="AC72" s="7">
        <f>LAVORAZIONI!AI324</f>
        <v/>
      </c>
      <c r="AD72" s="13">
        <f>LAVORAZIONI!AJ324</f>
        <v/>
      </c>
    </row>
    <row r="73" ht="64" customHeight="1" s="35">
      <c r="B73" s="4">
        <f>LAVORAZIONI!G325</f>
        <v/>
      </c>
      <c r="C73" s="3">
        <f>LAVORAZIONI!A325</f>
        <v/>
      </c>
      <c r="D73" s="3">
        <f>LAVORAZIONI!K325</f>
        <v/>
      </c>
      <c r="E73" s="4">
        <f>LAVORAZIONI!H325</f>
        <v/>
      </c>
      <c r="F73" s="4">
        <f>LAVORAZIONI!M325</f>
        <v/>
      </c>
      <c r="G73" s="5">
        <f>LAVORAZIONI!N325</f>
        <v/>
      </c>
      <c r="H73" s="6">
        <f>LAVORAZIONI!O325</f>
        <v/>
      </c>
      <c r="I73" s="13">
        <f>LAVORAZIONI!P325</f>
        <v/>
      </c>
      <c r="J73" s="5">
        <f>IF(LAVORAZIONI!Q325="","",LAVORAZIONI!Q325)</f>
        <v/>
      </c>
      <c r="K73" s="6">
        <f>IF(LAVORAZIONI!R325="","",LAVORAZIONI!R325)</f>
        <v/>
      </c>
      <c r="L73" s="13">
        <f>IF(LAVORAZIONI!S325="","",LAVORAZIONI!S325)</f>
        <v/>
      </c>
      <c r="M73" s="13">
        <f>LAVORAZIONI!T325</f>
        <v/>
      </c>
      <c r="O73" s="7">
        <f>LAVORAZIONI!U325</f>
        <v/>
      </c>
      <c r="P73" s="37">
        <f>LAVORAZIONI!V325</f>
        <v/>
      </c>
      <c r="Q73" s="7">
        <f>LAVORAZIONI!W325</f>
        <v/>
      </c>
      <c r="R73" s="6">
        <f>LAVORAZIONI!X325</f>
        <v/>
      </c>
      <c r="S73" s="7">
        <f>LAVORAZIONI!Y325</f>
        <v/>
      </c>
      <c r="T73" s="6">
        <f>LAVORAZIONI!Z325</f>
        <v/>
      </c>
      <c r="U73" s="7">
        <f>LAVORAZIONI!AA325</f>
        <v/>
      </c>
      <c r="V73" s="6">
        <f>LAVORAZIONI!AB325</f>
        <v/>
      </c>
      <c r="W73" s="7">
        <f>LAVORAZIONI!AC325</f>
        <v/>
      </c>
      <c r="X73" s="6">
        <f>LAVORAZIONI!AD325</f>
        <v/>
      </c>
      <c r="Y73" s="7">
        <f>LAVORAZIONI!AE325</f>
        <v/>
      </c>
      <c r="Z73" s="6">
        <f>LAVORAZIONI!AF325</f>
        <v/>
      </c>
      <c r="AA73" s="7">
        <f>LAVORAZIONI!AG325</f>
        <v/>
      </c>
      <c r="AB73" s="6">
        <f>LAVORAZIONI!AH325</f>
        <v/>
      </c>
      <c r="AC73" s="7">
        <f>LAVORAZIONI!AI325</f>
        <v/>
      </c>
      <c r="AD73" s="13">
        <f>LAVORAZIONI!AJ325</f>
        <v/>
      </c>
    </row>
    <row r="74" ht="64" customHeight="1" s="35">
      <c r="B74" s="4">
        <f>LAVORAZIONI!G326</f>
        <v/>
      </c>
      <c r="C74" s="3">
        <f>LAVORAZIONI!A326</f>
        <v/>
      </c>
      <c r="D74" s="3">
        <f>LAVORAZIONI!K326</f>
        <v/>
      </c>
      <c r="E74" s="4">
        <f>LAVORAZIONI!H326</f>
        <v/>
      </c>
      <c r="F74" s="4">
        <f>LAVORAZIONI!M326</f>
        <v/>
      </c>
      <c r="G74" s="5">
        <f>LAVORAZIONI!N326</f>
        <v/>
      </c>
      <c r="H74" s="6">
        <f>LAVORAZIONI!O326</f>
        <v/>
      </c>
      <c r="I74" s="13">
        <f>LAVORAZIONI!P326</f>
        <v/>
      </c>
      <c r="J74" s="5">
        <f>IF(LAVORAZIONI!Q326="","",LAVORAZIONI!Q326)</f>
        <v/>
      </c>
      <c r="K74" s="6">
        <f>IF(LAVORAZIONI!R326="","",LAVORAZIONI!R326)</f>
        <v/>
      </c>
      <c r="L74" s="13">
        <f>IF(LAVORAZIONI!S326="","",LAVORAZIONI!S326)</f>
        <v/>
      </c>
      <c r="M74" s="13">
        <f>LAVORAZIONI!T326</f>
        <v/>
      </c>
      <c r="O74" s="7">
        <f>LAVORAZIONI!U326</f>
        <v/>
      </c>
      <c r="P74" s="37">
        <f>LAVORAZIONI!V326</f>
        <v/>
      </c>
      <c r="Q74" s="7">
        <f>LAVORAZIONI!W326</f>
        <v/>
      </c>
      <c r="R74" s="6">
        <f>LAVORAZIONI!X326</f>
        <v/>
      </c>
      <c r="S74" s="7">
        <f>LAVORAZIONI!Y326</f>
        <v/>
      </c>
      <c r="T74" s="6">
        <f>LAVORAZIONI!Z326</f>
        <v/>
      </c>
      <c r="U74" s="7">
        <f>LAVORAZIONI!AA326</f>
        <v/>
      </c>
      <c r="V74" s="6">
        <f>LAVORAZIONI!AB326</f>
        <v/>
      </c>
      <c r="W74" s="7">
        <f>LAVORAZIONI!AC326</f>
        <v/>
      </c>
      <c r="X74" s="6">
        <f>LAVORAZIONI!AD326</f>
        <v/>
      </c>
      <c r="Y74" s="7">
        <f>LAVORAZIONI!AE326</f>
        <v/>
      </c>
      <c r="Z74" s="6">
        <f>LAVORAZIONI!AF326</f>
        <v/>
      </c>
      <c r="AA74" s="7">
        <f>LAVORAZIONI!AG326</f>
        <v/>
      </c>
      <c r="AB74" s="6">
        <f>LAVORAZIONI!AH326</f>
        <v/>
      </c>
      <c r="AC74" s="7">
        <f>LAVORAZIONI!AI326</f>
        <v/>
      </c>
      <c r="AD74" s="13">
        <f>LAVORAZIONI!AJ326</f>
        <v/>
      </c>
    </row>
    <row r="75" ht="64" customHeight="1" s="35">
      <c r="B75" s="4">
        <f>LAVORAZIONI!G327</f>
        <v/>
      </c>
      <c r="C75" s="3">
        <f>LAVORAZIONI!A327</f>
        <v/>
      </c>
      <c r="D75" s="3">
        <f>LAVORAZIONI!K327</f>
        <v/>
      </c>
      <c r="E75" s="4">
        <f>LAVORAZIONI!H327</f>
        <v/>
      </c>
      <c r="F75" s="4">
        <f>LAVORAZIONI!M327</f>
        <v/>
      </c>
      <c r="G75" s="5">
        <f>LAVORAZIONI!N327</f>
        <v/>
      </c>
      <c r="H75" s="6">
        <f>LAVORAZIONI!O327</f>
        <v/>
      </c>
      <c r="I75" s="13">
        <f>LAVORAZIONI!P327</f>
        <v/>
      </c>
      <c r="J75" s="5">
        <f>IF(LAVORAZIONI!Q327="","",LAVORAZIONI!Q327)</f>
        <v/>
      </c>
      <c r="K75" s="6">
        <f>IF(LAVORAZIONI!R327="","",LAVORAZIONI!R327)</f>
        <v/>
      </c>
      <c r="L75" s="13">
        <f>IF(LAVORAZIONI!S327="","",LAVORAZIONI!S327)</f>
        <v/>
      </c>
      <c r="M75" s="13">
        <f>LAVORAZIONI!T327</f>
        <v/>
      </c>
      <c r="O75" s="7">
        <f>LAVORAZIONI!U327</f>
        <v/>
      </c>
      <c r="P75" s="37">
        <f>LAVORAZIONI!V327</f>
        <v/>
      </c>
      <c r="Q75" s="7">
        <f>LAVORAZIONI!W327</f>
        <v/>
      </c>
      <c r="R75" s="6">
        <f>LAVORAZIONI!X327</f>
        <v/>
      </c>
      <c r="S75" s="7">
        <f>LAVORAZIONI!Y327</f>
        <v/>
      </c>
      <c r="T75" s="6">
        <f>LAVORAZIONI!Z327</f>
        <v/>
      </c>
      <c r="U75" s="7">
        <f>LAVORAZIONI!AA327</f>
        <v/>
      </c>
      <c r="V75" s="6">
        <f>LAVORAZIONI!AB327</f>
        <v/>
      </c>
      <c r="W75" s="7">
        <f>LAVORAZIONI!AC327</f>
        <v/>
      </c>
      <c r="X75" s="6">
        <f>LAVORAZIONI!AD327</f>
        <v/>
      </c>
      <c r="Y75" s="7">
        <f>LAVORAZIONI!AE327</f>
        <v/>
      </c>
      <c r="Z75" s="6">
        <f>LAVORAZIONI!AF327</f>
        <v/>
      </c>
      <c r="AA75" s="7">
        <f>LAVORAZIONI!AG327</f>
        <v/>
      </c>
      <c r="AB75" s="6">
        <f>LAVORAZIONI!AH327</f>
        <v/>
      </c>
      <c r="AC75" s="7">
        <f>LAVORAZIONI!AI327</f>
        <v/>
      </c>
      <c r="AD75" s="13">
        <f>LAVORAZIONI!AJ327</f>
        <v/>
      </c>
    </row>
    <row r="76" ht="64" customHeight="1" s="35">
      <c r="B76" s="4">
        <f>LAVORAZIONI!G328</f>
        <v/>
      </c>
      <c r="C76" s="3">
        <f>LAVORAZIONI!A328</f>
        <v/>
      </c>
      <c r="D76" s="3">
        <f>LAVORAZIONI!K328</f>
        <v/>
      </c>
      <c r="E76" s="4">
        <f>LAVORAZIONI!H328</f>
        <v/>
      </c>
      <c r="F76" s="4">
        <f>LAVORAZIONI!M328</f>
        <v/>
      </c>
      <c r="G76" s="5">
        <f>LAVORAZIONI!N328</f>
        <v/>
      </c>
      <c r="H76" s="6">
        <f>LAVORAZIONI!O328</f>
        <v/>
      </c>
      <c r="I76" s="13">
        <f>LAVORAZIONI!P328</f>
        <v/>
      </c>
      <c r="J76" s="5">
        <f>IF(LAVORAZIONI!Q328="","",LAVORAZIONI!Q328)</f>
        <v/>
      </c>
      <c r="K76" s="6">
        <f>IF(LAVORAZIONI!R328="","",LAVORAZIONI!R328)</f>
        <v/>
      </c>
      <c r="L76" s="13">
        <f>IF(LAVORAZIONI!S328="","",LAVORAZIONI!S328)</f>
        <v/>
      </c>
      <c r="M76" s="13">
        <f>LAVORAZIONI!T328</f>
        <v/>
      </c>
      <c r="O76" s="7">
        <f>LAVORAZIONI!U328</f>
        <v/>
      </c>
      <c r="P76" s="37">
        <f>LAVORAZIONI!V328</f>
        <v/>
      </c>
      <c r="Q76" s="7">
        <f>LAVORAZIONI!W328</f>
        <v/>
      </c>
      <c r="R76" s="6">
        <f>LAVORAZIONI!X328</f>
        <v/>
      </c>
      <c r="S76" s="7">
        <f>LAVORAZIONI!Y328</f>
        <v/>
      </c>
      <c r="T76" s="6">
        <f>LAVORAZIONI!Z328</f>
        <v/>
      </c>
      <c r="U76" s="7">
        <f>LAVORAZIONI!AA328</f>
        <v/>
      </c>
      <c r="V76" s="6">
        <f>LAVORAZIONI!AB328</f>
        <v/>
      </c>
      <c r="W76" s="7">
        <f>LAVORAZIONI!AC328</f>
        <v/>
      </c>
      <c r="X76" s="6">
        <f>LAVORAZIONI!AD328</f>
        <v/>
      </c>
      <c r="Y76" s="7">
        <f>LAVORAZIONI!AE328</f>
        <v/>
      </c>
      <c r="Z76" s="6">
        <f>LAVORAZIONI!AF328</f>
        <v/>
      </c>
      <c r="AA76" s="7">
        <f>LAVORAZIONI!AG328</f>
        <v/>
      </c>
      <c r="AB76" s="6">
        <f>LAVORAZIONI!AH328</f>
        <v/>
      </c>
      <c r="AC76" s="7">
        <f>LAVORAZIONI!AI328</f>
        <v/>
      </c>
      <c r="AD76" s="13">
        <f>LAVORAZIONI!AJ328</f>
        <v/>
      </c>
    </row>
    <row r="77" ht="64" customHeight="1" s="35">
      <c r="B77" s="4">
        <f>LAVORAZIONI!G329</f>
        <v/>
      </c>
      <c r="C77" s="3">
        <f>LAVORAZIONI!A329</f>
        <v/>
      </c>
      <c r="D77" s="3">
        <f>LAVORAZIONI!K329</f>
        <v/>
      </c>
      <c r="E77" s="4">
        <f>LAVORAZIONI!H329</f>
        <v/>
      </c>
      <c r="F77" s="4">
        <f>LAVORAZIONI!M329</f>
        <v/>
      </c>
      <c r="G77" s="5">
        <f>LAVORAZIONI!N329</f>
        <v/>
      </c>
      <c r="H77" s="6">
        <f>LAVORAZIONI!O329</f>
        <v/>
      </c>
      <c r="I77" s="13">
        <f>LAVORAZIONI!P329</f>
        <v/>
      </c>
      <c r="J77" s="5">
        <f>IF(LAVORAZIONI!Q329="","",LAVORAZIONI!Q329)</f>
        <v/>
      </c>
      <c r="K77" s="6">
        <f>IF(LAVORAZIONI!R329="","",LAVORAZIONI!R329)</f>
        <v/>
      </c>
      <c r="L77" s="13">
        <f>IF(LAVORAZIONI!S329="","",LAVORAZIONI!S329)</f>
        <v/>
      </c>
      <c r="M77" s="13">
        <f>LAVORAZIONI!T329</f>
        <v/>
      </c>
      <c r="O77" s="7">
        <f>LAVORAZIONI!U329</f>
        <v/>
      </c>
      <c r="P77" s="37">
        <f>LAVORAZIONI!V329</f>
        <v/>
      </c>
      <c r="Q77" s="7">
        <f>LAVORAZIONI!W329</f>
        <v/>
      </c>
      <c r="R77" s="6">
        <f>LAVORAZIONI!X329</f>
        <v/>
      </c>
      <c r="S77" s="7">
        <f>LAVORAZIONI!Y329</f>
        <v/>
      </c>
      <c r="T77" s="6">
        <f>LAVORAZIONI!Z329</f>
        <v/>
      </c>
      <c r="U77" s="7">
        <f>LAVORAZIONI!AA329</f>
        <v/>
      </c>
      <c r="V77" s="6">
        <f>LAVORAZIONI!AB329</f>
        <v/>
      </c>
      <c r="W77" s="7">
        <f>LAVORAZIONI!AC329</f>
        <v/>
      </c>
      <c r="X77" s="6">
        <f>LAVORAZIONI!AD329</f>
        <v/>
      </c>
      <c r="Y77" s="7">
        <f>LAVORAZIONI!AE329</f>
        <v/>
      </c>
      <c r="Z77" s="6">
        <f>LAVORAZIONI!AF329</f>
        <v/>
      </c>
      <c r="AA77" s="7">
        <f>LAVORAZIONI!AG329</f>
        <v/>
      </c>
      <c r="AB77" s="6">
        <f>LAVORAZIONI!AH329</f>
        <v/>
      </c>
      <c r="AC77" s="7">
        <f>LAVORAZIONI!AI329</f>
        <v/>
      </c>
      <c r="AD77" s="13">
        <f>LAVORAZIONI!AJ329</f>
        <v/>
      </c>
    </row>
    <row r="78" ht="64" customHeight="1" s="35">
      <c r="B78" s="4">
        <f>LAVORAZIONI!G330</f>
        <v/>
      </c>
      <c r="C78" s="3">
        <f>LAVORAZIONI!A330</f>
        <v/>
      </c>
      <c r="D78" s="3">
        <f>LAVORAZIONI!K330</f>
        <v/>
      </c>
      <c r="E78" s="4">
        <f>LAVORAZIONI!H330</f>
        <v/>
      </c>
      <c r="F78" s="4">
        <f>LAVORAZIONI!M330</f>
        <v/>
      </c>
      <c r="G78" s="5">
        <f>LAVORAZIONI!N330</f>
        <v/>
      </c>
      <c r="H78" s="6">
        <f>LAVORAZIONI!O330</f>
        <v/>
      </c>
      <c r="I78" s="13">
        <f>LAVORAZIONI!P330</f>
        <v/>
      </c>
      <c r="J78" s="5">
        <f>IF(LAVORAZIONI!Q330="","",LAVORAZIONI!Q330)</f>
        <v/>
      </c>
      <c r="K78" s="6">
        <f>IF(LAVORAZIONI!R330="","",LAVORAZIONI!R330)</f>
        <v/>
      </c>
      <c r="L78" s="13">
        <f>IF(LAVORAZIONI!S330="","",LAVORAZIONI!S330)</f>
        <v/>
      </c>
      <c r="M78" s="13">
        <f>LAVORAZIONI!T330</f>
        <v/>
      </c>
      <c r="O78" s="7">
        <f>LAVORAZIONI!U330</f>
        <v/>
      </c>
      <c r="P78" s="37">
        <f>LAVORAZIONI!V330</f>
        <v/>
      </c>
      <c r="Q78" s="7">
        <f>LAVORAZIONI!W330</f>
        <v/>
      </c>
      <c r="R78" s="6">
        <f>LAVORAZIONI!X330</f>
        <v/>
      </c>
      <c r="S78" s="7">
        <f>LAVORAZIONI!Y330</f>
        <v/>
      </c>
      <c r="T78" s="6">
        <f>LAVORAZIONI!Z330</f>
        <v/>
      </c>
      <c r="U78" s="7">
        <f>LAVORAZIONI!AA330</f>
        <v/>
      </c>
      <c r="V78" s="6">
        <f>LAVORAZIONI!AB330</f>
        <v/>
      </c>
      <c r="W78" s="7">
        <f>LAVORAZIONI!AC330</f>
        <v/>
      </c>
      <c r="X78" s="6">
        <f>LAVORAZIONI!AD330</f>
        <v/>
      </c>
      <c r="Y78" s="7">
        <f>LAVORAZIONI!AE330</f>
        <v/>
      </c>
      <c r="Z78" s="6">
        <f>LAVORAZIONI!AF330</f>
        <v/>
      </c>
      <c r="AA78" s="7">
        <f>LAVORAZIONI!AG330</f>
        <v/>
      </c>
      <c r="AB78" s="6">
        <f>LAVORAZIONI!AH330</f>
        <v/>
      </c>
      <c r="AC78" s="7">
        <f>LAVORAZIONI!AI330</f>
        <v/>
      </c>
      <c r="AD78" s="13">
        <f>LAVORAZIONI!AJ330</f>
        <v/>
      </c>
    </row>
    <row r="79" ht="64" customHeight="1" s="35">
      <c r="B79" s="4">
        <f>LAVORAZIONI!G331</f>
        <v/>
      </c>
      <c r="C79" s="3">
        <f>LAVORAZIONI!A331</f>
        <v/>
      </c>
      <c r="D79" s="3">
        <f>LAVORAZIONI!K331</f>
        <v/>
      </c>
      <c r="E79" s="4">
        <f>LAVORAZIONI!H331</f>
        <v/>
      </c>
      <c r="F79" s="4">
        <f>LAVORAZIONI!M331</f>
        <v/>
      </c>
      <c r="G79" s="5">
        <f>LAVORAZIONI!N331</f>
        <v/>
      </c>
      <c r="H79" s="6">
        <f>LAVORAZIONI!O331</f>
        <v/>
      </c>
      <c r="I79" s="13">
        <f>LAVORAZIONI!P331</f>
        <v/>
      </c>
      <c r="J79" s="5">
        <f>IF(LAVORAZIONI!Q331="","",LAVORAZIONI!Q331)</f>
        <v/>
      </c>
      <c r="K79" s="6">
        <f>IF(LAVORAZIONI!R331="","",LAVORAZIONI!R331)</f>
        <v/>
      </c>
      <c r="L79" s="13">
        <f>IF(LAVORAZIONI!S331="","",LAVORAZIONI!S331)</f>
        <v/>
      </c>
      <c r="M79" s="13">
        <f>LAVORAZIONI!T331</f>
        <v/>
      </c>
      <c r="O79" s="7">
        <f>LAVORAZIONI!U331</f>
        <v/>
      </c>
      <c r="P79" s="37">
        <f>LAVORAZIONI!V331</f>
        <v/>
      </c>
      <c r="Q79" s="7">
        <f>LAVORAZIONI!W331</f>
        <v/>
      </c>
      <c r="R79" s="6">
        <f>LAVORAZIONI!X331</f>
        <v/>
      </c>
      <c r="S79" s="7">
        <f>LAVORAZIONI!Y331</f>
        <v/>
      </c>
      <c r="T79" s="6">
        <f>LAVORAZIONI!Z331</f>
        <v/>
      </c>
      <c r="U79" s="7">
        <f>LAVORAZIONI!AA331</f>
        <v/>
      </c>
      <c r="V79" s="6">
        <f>LAVORAZIONI!AB331</f>
        <v/>
      </c>
      <c r="W79" s="7">
        <f>LAVORAZIONI!AC331</f>
        <v/>
      </c>
      <c r="X79" s="6">
        <f>LAVORAZIONI!AD331</f>
        <v/>
      </c>
      <c r="Y79" s="7">
        <f>LAVORAZIONI!AE331</f>
        <v/>
      </c>
      <c r="Z79" s="6">
        <f>LAVORAZIONI!AF331</f>
        <v/>
      </c>
      <c r="AA79" s="7">
        <f>LAVORAZIONI!AG331</f>
        <v/>
      </c>
      <c r="AB79" s="6">
        <f>LAVORAZIONI!AH331</f>
        <v/>
      </c>
      <c r="AC79" s="7">
        <f>LAVORAZIONI!AI331</f>
        <v/>
      </c>
      <c r="AD79" s="13">
        <f>LAVORAZIONI!AJ331</f>
        <v/>
      </c>
    </row>
    <row r="80" ht="64" customHeight="1" s="35">
      <c r="B80" s="4">
        <f>LAVORAZIONI!G332</f>
        <v/>
      </c>
      <c r="C80" s="3">
        <f>LAVORAZIONI!A332</f>
        <v/>
      </c>
      <c r="D80" s="3">
        <f>LAVORAZIONI!K332</f>
        <v/>
      </c>
      <c r="E80" s="4">
        <f>LAVORAZIONI!H332</f>
        <v/>
      </c>
      <c r="F80" s="4">
        <f>LAVORAZIONI!M332</f>
        <v/>
      </c>
      <c r="G80" s="5">
        <f>LAVORAZIONI!N332</f>
        <v/>
      </c>
      <c r="H80" s="6">
        <f>LAVORAZIONI!O332</f>
        <v/>
      </c>
      <c r="I80" s="13">
        <f>LAVORAZIONI!P332</f>
        <v/>
      </c>
      <c r="J80" s="5">
        <f>IF(LAVORAZIONI!Q332="","",LAVORAZIONI!Q332)</f>
        <v/>
      </c>
      <c r="K80" s="6">
        <f>IF(LAVORAZIONI!R332="","",LAVORAZIONI!R332)</f>
        <v/>
      </c>
      <c r="L80" s="13">
        <f>IF(LAVORAZIONI!S332="","",LAVORAZIONI!S332)</f>
        <v/>
      </c>
      <c r="M80" s="13">
        <f>LAVORAZIONI!T332</f>
        <v/>
      </c>
      <c r="O80" s="7">
        <f>LAVORAZIONI!U332</f>
        <v/>
      </c>
      <c r="P80" s="37">
        <f>LAVORAZIONI!V332</f>
        <v/>
      </c>
      <c r="Q80" s="7">
        <f>LAVORAZIONI!W332</f>
        <v/>
      </c>
      <c r="R80" s="6">
        <f>LAVORAZIONI!X332</f>
        <v/>
      </c>
      <c r="S80" s="7">
        <f>LAVORAZIONI!Y332</f>
        <v/>
      </c>
      <c r="T80" s="6">
        <f>LAVORAZIONI!Z332</f>
        <v/>
      </c>
      <c r="U80" s="7">
        <f>LAVORAZIONI!AA332</f>
        <v/>
      </c>
      <c r="V80" s="6">
        <f>LAVORAZIONI!AB332</f>
        <v/>
      </c>
      <c r="W80" s="7">
        <f>LAVORAZIONI!AC332</f>
        <v/>
      </c>
      <c r="X80" s="6">
        <f>LAVORAZIONI!AD332</f>
        <v/>
      </c>
      <c r="Y80" s="7">
        <f>LAVORAZIONI!AE332</f>
        <v/>
      </c>
      <c r="Z80" s="6">
        <f>LAVORAZIONI!AF332</f>
        <v/>
      </c>
      <c r="AA80" s="7">
        <f>LAVORAZIONI!AG332</f>
        <v/>
      </c>
      <c r="AB80" s="6">
        <f>LAVORAZIONI!AH332</f>
        <v/>
      </c>
      <c r="AC80" s="7">
        <f>LAVORAZIONI!AI332</f>
        <v/>
      </c>
      <c r="AD80" s="13">
        <f>LAVORAZIONI!AJ332</f>
        <v/>
      </c>
    </row>
    <row r="81" ht="64" customHeight="1" s="35">
      <c r="B81" s="4">
        <f>LAVORAZIONI!G333</f>
        <v/>
      </c>
      <c r="C81" s="3">
        <f>LAVORAZIONI!A333</f>
        <v/>
      </c>
      <c r="D81" s="3">
        <f>LAVORAZIONI!K333</f>
        <v/>
      </c>
      <c r="E81" s="4">
        <f>LAVORAZIONI!H333</f>
        <v/>
      </c>
      <c r="F81" s="4">
        <f>LAVORAZIONI!M333</f>
        <v/>
      </c>
      <c r="G81" s="5">
        <f>LAVORAZIONI!N333</f>
        <v/>
      </c>
      <c r="H81" s="6">
        <f>LAVORAZIONI!O333</f>
        <v/>
      </c>
      <c r="I81" s="13">
        <f>LAVORAZIONI!P333</f>
        <v/>
      </c>
      <c r="J81" s="5">
        <f>IF(LAVORAZIONI!Q333="","",LAVORAZIONI!Q333)</f>
        <v/>
      </c>
      <c r="K81" s="6">
        <f>IF(LAVORAZIONI!R333="","",LAVORAZIONI!R333)</f>
        <v/>
      </c>
      <c r="L81" s="13">
        <f>IF(LAVORAZIONI!S333="","",LAVORAZIONI!S333)</f>
        <v/>
      </c>
      <c r="M81" s="13">
        <f>LAVORAZIONI!T333</f>
        <v/>
      </c>
      <c r="O81" s="7">
        <f>LAVORAZIONI!U333</f>
        <v/>
      </c>
      <c r="P81" s="37">
        <f>LAVORAZIONI!V333</f>
        <v/>
      </c>
      <c r="Q81" s="7">
        <f>LAVORAZIONI!W333</f>
        <v/>
      </c>
      <c r="R81" s="6">
        <f>LAVORAZIONI!X333</f>
        <v/>
      </c>
      <c r="S81" s="7">
        <f>LAVORAZIONI!Y333</f>
        <v/>
      </c>
      <c r="T81" s="6">
        <f>LAVORAZIONI!Z333</f>
        <v/>
      </c>
      <c r="U81" s="7">
        <f>LAVORAZIONI!AA333</f>
        <v/>
      </c>
      <c r="V81" s="6">
        <f>LAVORAZIONI!AB333</f>
        <v/>
      </c>
      <c r="W81" s="7">
        <f>LAVORAZIONI!AC333</f>
        <v/>
      </c>
      <c r="X81" s="6">
        <f>LAVORAZIONI!AD333</f>
        <v/>
      </c>
      <c r="Y81" s="7">
        <f>LAVORAZIONI!AE333</f>
        <v/>
      </c>
      <c r="Z81" s="6">
        <f>LAVORAZIONI!AF333</f>
        <v/>
      </c>
      <c r="AA81" s="7">
        <f>LAVORAZIONI!AG333</f>
        <v/>
      </c>
      <c r="AB81" s="6">
        <f>LAVORAZIONI!AH333</f>
        <v/>
      </c>
      <c r="AC81" s="7">
        <f>LAVORAZIONI!AI333</f>
        <v/>
      </c>
      <c r="AD81" s="13">
        <f>LAVORAZIONI!AJ333</f>
        <v/>
      </c>
    </row>
    <row r="82" ht="64" customHeight="1" s="35">
      <c r="B82" s="4">
        <f>LAVORAZIONI!G334</f>
        <v/>
      </c>
      <c r="C82" s="3">
        <f>LAVORAZIONI!A334</f>
        <v/>
      </c>
      <c r="D82" s="3">
        <f>LAVORAZIONI!K334</f>
        <v/>
      </c>
      <c r="E82" s="4">
        <f>LAVORAZIONI!H334</f>
        <v/>
      </c>
      <c r="F82" s="4">
        <f>LAVORAZIONI!M334</f>
        <v/>
      </c>
      <c r="G82" s="5">
        <f>LAVORAZIONI!N334</f>
        <v/>
      </c>
      <c r="H82" s="6">
        <f>LAVORAZIONI!O334</f>
        <v/>
      </c>
      <c r="I82" s="13">
        <f>LAVORAZIONI!P334</f>
        <v/>
      </c>
      <c r="J82" s="5">
        <f>IF(LAVORAZIONI!Q334="","",LAVORAZIONI!Q334)</f>
        <v/>
      </c>
      <c r="K82" s="6">
        <f>IF(LAVORAZIONI!R334="","",LAVORAZIONI!R334)</f>
        <v/>
      </c>
      <c r="L82" s="13">
        <f>IF(LAVORAZIONI!S334="","",LAVORAZIONI!S334)</f>
        <v/>
      </c>
      <c r="M82" s="13">
        <f>LAVORAZIONI!T334</f>
        <v/>
      </c>
      <c r="O82" s="7">
        <f>LAVORAZIONI!U334</f>
        <v/>
      </c>
      <c r="P82" s="37">
        <f>LAVORAZIONI!V334</f>
        <v/>
      </c>
      <c r="Q82" s="7">
        <f>LAVORAZIONI!W334</f>
        <v/>
      </c>
      <c r="R82" s="6">
        <f>LAVORAZIONI!X334</f>
        <v/>
      </c>
      <c r="S82" s="7">
        <f>LAVORAZIONI!Y334</f>
        <v/>
      </c>
      <c r="T82" s="6">
        <f>LAVORAZIONI!Z334</f>
        <v/>
      </c>
      <c r="U82" s="7">
        <f>LAVORAZIONI!AA334</f>
        <v/>
      </c>
      <c r="V82" s="6">
        <f>LAVORAZIONI!AB334</f>
        <v/>
      </c>
      <c r="W82" s="7">
        <f>LAVORAZIONI!AC334</f>
        <v/>
      </c>
      <c r="X82" s="6">
        <f>LAVORAZIONI!AD334</f>
        <v/>
      </c>
      <c r="Y82" s="7">
        <f>LAVORAZIONI!AE334</f>
        <v/>
      </c>
      <c r="Z82" s="6">
        <f>LAVORAZIONI!AF334</f>
        <v/>
      </c>
      <c r="AA82" s="7">
        <f>LAVORAZIONI!AG334</f>
        <v/>
      </c>
      <c r="AB82" s="6">
        <f>LAVORAZIONI!AH334</f>
        <v/>
      </c>
      <c r="AC82" s="7">
        <f>LAVORAZIONI!AI334</f>
        <v/>
      </c>
      <c r="AD82" s="13">
        <f>LAVORAZIONI!AJ334</f>
        <v/>
      </c>
    </row>
    <row r="83" ht="64" customHeight="1" s="35">
      <c r="B83" s="4">
        <f>LAVORAZIONI!G335</f>
        <v/>
      </c>
      <c r="C83" s="3">
        <f>LAVORAZIONI!A335</f>
        <v/>
      </c>
      <c r="D83" s="3">
        <f>LAVORAZIONI!K335</f>
        <v/>
      </c>
      <c r="E83" s="4">
        <f>LAVORAZIONI!H335</f>
        <v/>
      </c>
      <c r="F83" s="4">
        <f>LAVORAZIONI!M335</f>
        <v/>
      </c>
      <c r="G83" s="5">
        <f>LAVORAZIONI!N335</f>
        <v/>
      </c>
      <c r="H83" s="6">
        <f>LAVORAZIONI!O335</f>
        <v/>
      </c>
      <c r="I83" s="13">
        <f>LAVORAZIONI!P335</f>
        <v/>
      </c>
      <c r="J83" s="5">
        <f>IF(LAVORAZIONI!Q335="","",LAVORAZIONI!Q335)</f>
        <v/>
      </c>
      <c r="K83" s="6">
        <f>IF(LAVORAZIONI!R335="","",LAVORAZIONI!R335)</f>
        <v/>
      </c>
      <c r="L83" s="13">
        <f>IF(LAVORAZIONI!S335="","",LAVORAZIONI!S335)</f>
        <v/>
      </c>
      <c r="M83" s="13">
        <f>LAVORAZIONI!T335</f>
        <v/>
      </c>
      <c r="O83" s="7">
        <f>LAVORAZIONI!U335</f>
        <v/>
      </c>
      <c r="P83" s="37">
        <f>LAVORAZIONI!V335</f>
        <v/>
      </c>
      <c r="Q83" s="7">
        <f>LAVORAZIONI!W335</f>
        <v/>
      </c>
      <c r="R83" s="6">
        <f>LAVORAZIONI!X335</f>
        <v/>
      </c>
      <c r="S83" s="7">
        <f>LAVORAZIONI!Y335</f>
        <v/>
      </c>
      <c r="T83" s="6">
        <f>LAVORAZIONI!Z335</f>
        <v/>
      </c>
      <c r="U83" s="7">
        <f>LAVORAZIONI!AA335</f>
        <v/>
      </c>
      <c r="V83" s="6">
        <f>LAVORAZIONI!AB335</f>
        <v/>
      </c>
      <c r="W83" s="7">
        <f>LAVORAZIONI!AC335</f>
        <v/>
      </c>
      <c r="X83" s="6">
        <f>LAVORAZIONI!AD335</f>
        <v/>
      </c>
      <c r="Y83" s="7">
        <f>LAVORAZIONI!AE335</f>
        <v/>
      </c>
      <c r="Z83" s="6">
        <f>LAVORAZIONI!AF335</f>
        <v/>
      </c>
      <c r="AA83" s="7">
        <f>LAVORAZIONI!AG335</f>
        <v/>
      </c>
      <c r="AB83" s="6">
        <f>LAVORAZIONI!AH335</f>
        <v/>
      </c>
      <c r="AC83" s="7">
        <f>LAVORAZIONI!AI335</f>
        <v/>
      </c>
      <c r="AD83" s="13">
        <f>LAVORAZIONI!AJ335</f>
        <v/>
      </c>
    </row>
    <row r="84" ht="64" customHeight="1" s="35">
      <c r="B84" s="4">
        <f>LAVORAZIONI!G336</f>
        <v/>
      </c>
      <c r="C84" s="3">
        <f>LAVORAZIONI!A336</f>
        <v/>
      </c>
      <c r="D84" s="3">
        <f>LAVORAZIONI!K336</f>
        <v/>
      </c>
      <c r="E84" s="4">
        <f>LAVORAZIONI!H336</f>
        <v/>
      </c>
      <c r="F84" s="4">
        <f>LAVORAZIONI!M336</f>
        <v/>
      </c>
      <c r="G84" s="5">
        <f>LAVORAZIONI!N336</f>
        <v/>
      </c>
      <c r="H84" s="6">
        <f>LAVORAZIONI!O336</f>
        <v/>
      </c>
      <c r="I84" s="13">
        <f>LAVORAZIONI!P336</f>
        <v/>
      </c>
      <c r="J84" s="5">
        <f>IF(LAVORAZIONI!Q336="","",LAVORAZIONI!Q336)</f>
        <v/>
      </c>
      <c r="K84" s="6">
        <f>IF(LAVORAZIONI!R336="","",LAVORAZIONI!R336)</f>
        <v/>
      </c>
      <c r="L84" s="13">
        <f>IF(LAVORAZIONI!S336="","",LAVORAZIONI!S336)</f>
        <v/>
      </c>
      <c r="M84" s="13">
        <f>LAVORAZIONI!T336</f>
        <v/>
      </c>
      <c r="O84" s="7">
        <f>LAVORAZIONI!U336</f>
        <v/>
      </c>
      <c r="P84" s="37">
        <f>LAVORAZIONI!V336</f>
        <v/>
      </c>
      <c r="Q84" s="7">
        <f>LAVORAZIONI!W336</f>
        <v/>
      </c>
      <c r="R84" s="6">
        <f>LAVORAZIONI!X336</f>
        <v/>
      </c>
      <c r="S84" s="7">
        <f>LAVORAZIONI!Y336</f>
        <v/>
      </c>
      <c r="T84" s="6">
        <f>LAVORAZIONI!Z336</f>
        <v/>
      </c>
      <c r="U84" s="7">
        <f>LAVORAZIONI!AA336</f>
        <v/>
      </c>
      <c r="V84" s="6">
        <f>LAVORAZIONI!AB336</f>
        <v/>
      </c>
      <c r="W84" s="7">
        <f>LAVORAZIONI!AC336</f>
        <v/>
      </c>
      <c r="X84" s="6">
        <f>LAVORAZIONI!AD336</f>
        <v/>
      </c>
      <c r="Y84" s="7">
        <f>LAVORAZIONI!AE336</f>
        <v/>
      </c>
      <c r="Z84" s="6">
        <f>LAVORAZIONI!AF336</f>
        <v/>
      </c>
      <c r="AA84" s="7">
        <f>LAVORAZIONI!AG336</f>
        <v/>
      </c>
      <c r="AB84" s="6">
        <f>LAVORAZIONI!AH336</f>
        <v/>
      </c>
      <c r="AC84" s="7">
        <f>LAVORAZIONI!AI336</f>
        <v/>
      </c>
      <c r="AD84" s="13">
        <f>LAVORAZIONI!AJ336</f>
        <v/>
      </c>
    </row>
    <row r="85" ht="64" customHeight="1" s="35">
      <c r="B85" s="4">
        <f>LAVORAZIONI!G337</f>
        <v/>
      </c>
      <c r="C85" s="3">
        <f>LAVORAZIONI!A337</f>
        <v/>
      </c>
      <c r="D85" s="3">
        <f>LAVORAZIONI!K337</f>
        <v/>
      </c>
      <c r="E85" s="4">
        <f>LAVORAZIONI!H337</f>
        <v/>
      </c>
      <c r="F85" s="4">
        <f>LAVORAZIONI!M337</f>
        <v/>
      </c>
      <c r="G85" s="5">
        <f>LAVORAZIONI!N337</f>
        <v/>
      </c>
      <c r="H85" s="6">
        <f>LAVORAZIONI!O337</f>
        <v/>
      </c>
      <c r="I85" s="13">
        <f>LAVORAZIONI!P337</f>
        <v/>
      </c>
      <c r="J85" s="5">
        <f>IF(LAVORAZIONI!Q337="","",LAVORAZIONI!Q337)</f>
        <v/>
      </c>
      <c r="K85" s="6">
        <f>IF(LAVORAZIONI!R337="","",LAVORAZIONI!R337)</f>
        <v/>
      </c>
      <c r="L85" s="13">
        <f>IF(LAVORAZIONI!S337="","",LAVORAZIONI!S337)</f>
        <v/>
      </c>
      <c r="M85" s="13">
        <f>LAVORAZIONI!T337</f>
        <v/>
      </c>
      <c r="O85" s="7">
        <f>LAVORAZIONI!U337</f>
        <v/>
      </c>
      <c r="P85" s="37">
        <f>LAVORAZIONI!V337</f>
        <v/>
      </c>
      <c r="Q85" s="7">
        <f>LAVORAZIONI!W337</f>
        <v/>
      </c>
      <c r="R85" s="6">
        <f>LAVORAZIONI!X337</f>
        <v/>
      </c>
      <c r="S85" s="7">
        <f>LAVORAZIONI!Y337</f>
        <v/>
      </c>
      <c r="T85" s="6">
        <f>LAVORAZIONI!Z337</f>
        <v/>
      </c>
      <c r="U85" s="7">
        <f>LAVORAZIONI!AA337</f>
        <v/>
      </c>
      <c r="V85" s="6">
        <f>LAVORAZIONI!AB337</f>
        <v/>
      </c>
      <c r="W85" s="7">
        <f>LAVORAZIONI!AC337</f>
        <v/>
      </c>
      <c r="X85" s="6">
        <f>LAVORAZIONI!AD337</f>
        <v/>
      </c>
      <c r="Y85" s="7">
        <f>LAVORAZIONI!AE337</f>
        <v/>
      </c>
      <c r="Z85" s="6">
        <f>LAVORAZIONI!AF337</f>
        <v/>
      </c>
      <c r="AA85" s="7">
        <f>LAVORAZIONI!AG337</f>
        <v/>
      </c>
      <c r="AB85" s="6">
        <f>LAVORAZIONI!AH337</f>
        <v/>
      </c>
      <c r="AC85" s="7">
        <f>LAVORAZIONI!AI337</f>
        <v/>
      </c>
      <c r="AD85" s="13">
        <f>LAVORAZIONI!AJ337</f>
        <v/>
      </c>
    </row>
    <row r="86" ht="64" customHeight="1" s="35">
      <c r="B86" s="4">
        <f>LAVORAZIONI!G338</f>
        <v/>
      </c>
      <c r="C86" s="3">
        <f>LAVORAZIONI!A338</f>
        <v/>
      </c>
      <c r="D86" s="3">
        <f>LAVORAZIONI!K338</f>
        <v/>
      </c>
      <c r="E86" s="4">
        <f>LAVORAZIONI!H338</f>
        <v/>
      </c>
      <c r="F86" s="4">
        <f>LAVORAZIONI!M338</f>
        <v/>
      </c>
      <c r="G86" s="5">
        <f>LAVORAZIONI!N338</f>
        <v/>
      </c>
      <c r="H86" s="6">
        <f>LAVORAZIONI!O338</f>
        <v/>
      </c>
      <c r="I86" s="13">
        <f>LAVORAZIONI!P338</f>
        <v/>
      </c>
      <c r="J86" s="5">
        <f>IF(LAVORAZIONI!Q338="","",LAVORAZIONI!Q338)</f>
        <v/>
      </c>
      <c r="K86" s="6">
        <f>IF(LAVORAZIONI!R338="","",LAVORAZIONI!R338)</f>
        <v/>
      </c>
      <c r="L86" s="13">
        <f>IF(LAVORAZIONI!S338="","",LAVORAZIONI!S338)</f>
        <v/>
      </c>
      <c r="M86" s="13">
        <f>LAVORAZIONI!T338</f>
        <v/>
      </c>
      <c r="O86" s="7">
        <f>LAVORAZIONI!U338</f>
        <v/>
      </c>
      <c r="P86" s="37">
        <f>LAVORAZIONI!V338</f>
        <v/>
      </c>
      <c r="Q86" s="7">
        <f>LAVORAZIONI!W338</f>
        <v/>
      </c>
      <c r="R86" s="6">
        <f>LAVORAZIONI!X338</f>
        <v/>
      </c>
      <c r="S86" s="7">
        <f>LAVORAZIONI!Y338</f>
        <v/>
      </c>
      <c r="T86" s="6">
        <f>LAVORAZIONI!Z338</f>
        <v/>
      </c>
      <c r="U86" s="7">
        <f>LAVORAZIONI!AA338</f>
        <v/>
      </c>
      <c r="V86" s="6">
        <f>LAVORAZIONI!AB338</f>
        <v/>
      </c>
      <c r="W86" s="7">
        <f>LAVORAZIONI!AC338</f>
        <v/>
      </c>
      <c r="X86" s="6">
        <f>LAVORAZIONI!AD338</f>
        <v/>
      </c>
      <c r="Y86" s="7">
        <f>LAVORAZIONI!AE338</f>
        <v/>
      </c>
      <c r="Z86" s="6">
        <f>LAVORAZIONI!AF338</f>
        <v/>
      </c>
      <c r="AA86" s="7">
        <f>LAVORAZIONI!AG338</f>
        <v/>
      </c>
      <c r="AB86" s="6">
        <f>LAVORAZIONI!AH338</f>
        <v/>
      </c>
      <c r="AC86" s="7">
        <f>LAVORAZIONI!AI338</f>
        <v/>
      </c>
      <c r="AD86" s="13">
        <f>LAVORAZIONI!AJ338</f>
        <v/>
      </c>
    </row>
    <row r="87" ht="64" customHeight="1" s="35">
      <c r="B87" s="4">
        <f>LAVORAZIONI!G339</f>
        <v/>
      </c>
      <c r="C87" s="3">
        <f>LAVORAZIONI!A339</f>
        <v/>
      </c>
      <c r="D87" s="3">
        <f>LAVORAZIONI!K339</f>
        <v/>
      </c>
      <c r="E87" s="4">
        <f>LAVORAZIONI!H339</f>
        <v/>
      </c>
      <c r="F87" s="4">
        <f>LAVORAZIONI!M339</f>
        <v/>
      </c>
      <c r="G87" s="5">
        <f>LAVORAZIONI!N339</f>
        <v/>
      </c>
      <c r="H87" s="6">
        <f>LAVORAZIONI!O339</f>
        <v/>
      </c>
      <c r="I87" s="13">
        <f>LAVORAZIONI!P339</f>
        <v/>
      </c>
      <c r="J87" s="5">
        <f>IF(LAVORAZIONI!Q339="","",LAVORAZIONI!Q339)</f>
        <v/>
      </c>
      <c r="K87" s="6">
        <f>IF(LAVORAZIONI!R339="","",LAVORAZIONI!R339)</f>
        <v/>
      </c>
      <c r="L87" s="13">
        <f>IF(LAVORAZIONI!S339="","",LAVORAZIONI!S339)</f>
        <v/>
      </c>
      <c r="M87" s="13">
        <f>LAVORAZIONI!T339</f>
        <v/>
      </c>
      <c r="O87" s="7">
        <f>LAVORAZIONI!U339</f>
        <v/>
      </c>
      <c r="P87" s="37">
        <f>LAVORAZIONI!V339</f>
        <v/>
      </c>
      <c r="Q87" s="7">
        <f>LAVORAZIONI!W339</f>
        <v/>
      </c>
      <c r="R87" s="6">
        <f>LAVORAZIONI!X339</f>
        <v/>
      </c>
      <c r="S87" s="7">
        <f>LAVORAZIONI!Y339</f>
        <v/>
      </c>
      <c r="T87" s="6">
        <f>LAVORAZIONI!Z339</f>
        <v/>
      </c>
      <c r="U87" s="7">
        <f>LAVORAZIONI!AA339</f>
        <v/>
      </c>
      <c r="V87" s="6">
        <f>LAVORAZIONI!AB339</f>
        <v/>
      </c>
      <c r="W87" s="7">
        <f>LAVORAZIONI!AC339</f>
        <v/>
      </c>
      <c r="X87" s="6">
        <f>LAVORAZIONI!AD339</f>
        <v/>
      </c>
      <c r="Y87" s="7">
        <f>LAVORAZIONI!AE339</f>
        <v/>
      </c>
      <c r="Z87" s="6">
        <f>LAVORAZIONI!AF339</f>
        <v/>
      </c>
      <c r="AA87" s="7">
        <f>LAVORAZIONI!AG339</f>
        <v/>
      </c>
      <c r="AB87" s="6">
        <f>LAVORAZIONI!AH339</f>
        <v/>
      </c>
      <c r="AC87" s="7">
        <f>LAVORAZIONI!AI339</f>
        <v/>
      </c>
      <c r="AD87" s="13">
        <f>LAVORAZIONI!AJ339</f>
        <v/>
      </c>
    </row>
    <row r="88" ht="64" customHeight="1" s="35">
      <c r="B88" s="4">
        <f>LAVORAZIONI!G340</f>
        <v/>
      </c>
      <c r="C88" s="3">
        <f>LAVORAZIONI!A340</f>
        <v/>
      </c>
      <c r="D88" s="3">
        <f>LAVORAZIONI!K340</f>
        <v/>
      </c>
      <c r="E88" s="4">
        <f>LAVORAZIONI!H340</f>
        <v/>
      </c>
      <c r="F88" s="4">
        <f>LAVORAZIONI!M340</f>
        <v/>
      </c>
      <c r="G88" s="5">
        <f>LAVORAZIONI!N340</f>
        <v/>
      </c>
      <c r="H88" s="6">
        <f>LAVORAZIONI!O340</f>
        <v/>
      </c>
      <c r="I88" s="13">
        <f>LAVORAZIONI!P340</f>
        <v/>
      </c>
      <c r="J88" s="5">
        <f>IF(LAVORAZIONI!Q340="","",LAVORAZIONI!Q340)</f>
        <v/>
      </c>
      <c r="K88" s="6">
        <f>IF(LAVORAZIONI!R340="","",LAVORAZIONI!R340)</f>
        <v/>
      </c>
      <c r="L88" s="13">
        <f>IF(LAVORAZIONI!S340="","",LAVORAZIONI!S340)</f>
        <v/>
      </c>
      <c r="M88" s="13">
        <f>LAVORAZIONI!T340</f>
        <v/>
      </c>
      <c r="O88" s="7">
        <f>LAVORAZIONI!U340</f>
        <v/>
      </c>
      <c r="P88" s="37">
        <f>LAVORAZIONI!V340</f>
        <v/>
      </c>
      <c r="Q88" s="7">
        <f>LAVORAZIONI!W340</f>
        <v/>
      </c>
      <c r="R88" s="6">
        <f>LAVORAZIONI!X340</f>
        <v/>
      </c>
      <c r="S88" s="7">
        <f>LAVORAZIONI!Y340</f>
        <v/>
      </c>
      <c r="T88" s="6">
        <f>LAVORAZIONI!Z340</f>
        <v/>
      </c>
      <c r="U88" s="7">
        <f>LAVORAZIONI!AA340</f>
        <v/>
      </c>
      <c r="V88" s="6">
        <f>LAVORAZIONI!AB340</f>
        <v/>
      </c>
      <c r="W88" s="7">
        <f>LAVORAZIONI!AC340</f>
        <v/>
      </c>
      <c r="X88" s="6">
        <f>LAVORAZIONI!AD340</f>
        <v/>
      </c>
      <c r="Y88" s="7">
        <f>LAVORAZIONI!AE340</f>
        <v/>
      </c>
      <c r="Z88" s="6">
        <f>LAVORAZIONI!AF340</f>
        <v/>
      </c>
      <c r="AA88" s="7">
        <f>LAVORAZIONI!AG340</f>
        <v/>
      </c>
      <c r="AB88" s="6">
        <f>LAVORAZIONI!AH340</f>
        <v/>
      </c>
      <c r="AC88" s="7">
        <f>LAVORAZIONI!AI340</f>
        <v/>
      </c>
      <c r="AD88" s="13">
        <f>LAVORAZIONI!AJ340</f>
        <v/>
      </c>
    </row>
    <row r="89" ht="64" customHeight="1" s="35">
      <c r="B89" s="4">
        <f>LAVORAZIONI!G341</f>
        <v/>
      </c>
      <c r="C89" s="3">
        <f>LAVORAZIONI!A341</f>
        <v/>
      </c>
      <c r="D89" s="3">
        <f>LAVORAZIONI!K341</f>
        <v/>
      </c>
      <c r="E89" s="4">
        <f>LAVORAZIONI!H341</f>
        <v/>
      </c>
      <c r="F89" s="4">
        <f>LAVORAZIONI!M341</f>
        <v/>
      </c>
      <c r="G89" s="5">
        <f>LAVORAZIONI!N341</f>
        <v/>
      </c>
      <c r="H89" s="6">
        <f>LAVORAZIONI!O341</f>
        <v/>
      </c>
      <c r="I89" s="13">
        <f>LAVORAZIONI!P341</f>
        <v/>
      </c>
      <c r="J89" s="5">
        <f>IF(LAVORAZIONI!Q341="","",LAVORAZIONI!Q341)</f>
        <v/>
      </c>
      <c r="K89" s="6">
        <f>IF(LAVORAZIONI!R341="","",LAVORAZIONI!R341)</f>
        <v/>
      </c>
      <c r="L89" s="13">
        <f>IF(LAVORAZIONI!S341="","",LAVORAZIONI!S341)</f>
        <v/>
      </c>
      <c r="M89" s="13">
        <f>LAVORAZIONI!T341</f>
        <v/>
      </c>
      <c r="O89" s="7">
        <f>LAVORAZIONI!U341</f>
        <v/>
      </c>
      <c r="P89" s="37">
        <f>LAVORAZIONI!V341</f>
        <v/>
      </c>
      <c r="Q89" s="7">
        <f>LAVORAZIONI!W341</f>
        <v/>
      </c>
      <c r="R89" s="6">
        <f>LAVORAZIONI!X341</f>
        <v/>
      </c>
      <c r="S89" s="7">
        <f>LAVORAZIONI!Y341</f>
        <v/>
      </c>
      <c r="T89" s="6">
        <f>LAVORAZIONI!Z341</f>
        <v/>
      </c>
      <c r="U89" s="7">
        <f>LAVORAZIONI!AA341</f>
        <v/>
      </c>
      <c r="V89" s="6">
        <f>LAVORAZIONI!AB341</f>
        <v/>
      </c>
      <c r="W89" s="7">
        <f>LAVORAZIONI!AC341</f>
        <v/>
      </c>
      <c r="X89" s="6">
        <f>LAVORAZIONI!AD341</f>
        <v/>
      </c>
      <c r="Y89" s="7">
        <f>LAVORAZIONI!AE341</f>
        <v/>
      </c>
      <c r="Z89" s="6">
        <f>LAVORAZIONI!AF341</f>
        <v/>
      </c>
      <c r="AA89" s="7">
        <f>LAVORAZIONI!AG341</f>
        <v/>
      </c>
      <c r="AB89" s="6">
        <f>LAVORAZIONI!AH341</f>
        <v/>
      </c>
      <c r="AC89" s="7">
        <f>LAVORAZIONI!AI341</f>
        <v/>
      </c>
      <c r="AD89" s="13">
        <f>LAVORAZIONI!AJ341</f>
        <v/>
      </c>
    </row>
    <row r="90" ht="64" customHeight="1" s="35">
      <c r="B90" s="4">
        <f>LAVORAZIONI!G342</f>
        <v/>
      </c>
      <c r="C90" s="3">
        <f>LAVORAZIONI!A342</f>
        <v/>
      </c>
      <c r="D90" s="3">
        <f>LAVORAZIONI!K342</f>
        <v/>
      </c>
      <c r="E90" s="4">
        <f>LAVORAZIONI!H342</f>
        <v/>
      </c>
      <c r="F90" s="4">
        <f>LAVORAZIONI!M342</f>
        <v/>
      </c>
      <c r="G90" s="5">
        <f>LAVORAZIONI!N342</f>
        <v/>
      </c>
      <c r="H90" s="6">
        <f>LAVORAZIONI!O342</f>
        <v/>
      </c>
      <c r="I90" s="13">
        <f>LAVORAZIONI!P342</f>
        <v/>
      </c>
      <c r="J90" s="5">
        <f>IF(LAVORAZIONI!Q342="","",LAVORAZIONI!Q342)</f>
        <v/>
      </c>
      <c r="K90" s="6">
        <f>IF(LAVORAZIONI!R342="","",LAVORAZIONI!R342)</f>
        <v/>
      </c>
      <c r="L90" s="13">
        <f>IF(LAVORAZIONI!S342="","",LAVORAZIONI!S342)</f>
        <v/>
      </c>
      <c r="M90" s="13">
        <f>LAVORAZIONI!T342</f>
        <v/>
      </c>
      <c r="O90" s="7">
        <f>LAVORAZIONI!U342</f>
        <v/>
      </c>
      <c r="P90" s="37">
        <f>LAVORAZIONI!V342</f>
        <v/>
      </c>
      <c r="Q90" s="7">
        <f>LAVORAZIONI!W342</f>
        <v/>
      </c>
      <c r="R90" s="6">
        <f>LAVORAZIONI!X342</f>
        <v/>
      </c>
      <c r="S90" s="7">
        <f>LAVORAZIONI!Y342</f>
        <v/>
      </c>
      <c r="T90" s="6">
        <f>LAVORAZIONI!Z342</f>
        <v/>
      </c>
      <c r="U90" s="7">
        <f>LAVORAZIONI!AA342</f>
        <v/>
      </c>
      <c r="V90" s="6">
        <f>LAVORAZIONI!AB342</f>
        <v/>
      </c>
      <c r="W90" s="7">
        <f>LAVORAZIONI!AC342</f>
        <v/>
      </c>
      <c r="X90" s="6">
        <f>LAVORAZIONI!AD342</f>
        <v/>
      </c>
      <c r="Y90" s="7">
        <f>LAVORAZIONI!AE342</f>
        <v/>
      </c>
      <c r="Z90" s="6">
        <f>LAVORAZIONI!AF342</f>
        <v/>
      </c>
      <c r="AA90" s="7">
        <f>LAVORAZIONI!AG342</f>
        <v/>
      </c>
      <c r="AB90" s="6">
        <f>LAVORAZIONI!AH342</f>
        <v/>
      </c>
      <c r="AC90" s="7">
        <f>LAVORAZIONI!AI342</f>
        <v/>
      </c>
      <c r="AD90" s="13">
        <f>LAVORAZIONI!AJ342</f>
        <v/>
      </c>
    </row>
    <row r="91" ht="64" customHeight="1" s="35">
      <c r="B91" s="4">
        <f>LAVORAZIONI!G343</f>
        <v/>
      </c>
      <c r="C91" s="3">
        <f>LAVORAZIONI!A343</f>
        <v/>
      </c>
      <c r="D91" s="3">
        <f>LAVORAZIONI!K343</f>
        <v/>
      </c>
      <c r="E91" s="4">
        <f>LAVORAZIONI!H343</f>
        <v/>
      </c>
      <c r="F91" s="4">
        <f>LAVORAZIONI!M343</f>
        <v/>
      </c>
      <c r="G91" s="5">
        <f>LAVORAZIONI!N343</f>
        <v/>
      </c>
      <c r="H91" s="6">
        <f>LAVORAZIONI!O343</f>
        <v/>
      </c>
      <c r="I91" s="13">
        <f>LAVORAZIONI!P343</f>
        <v/>
      </c>
      <c r="J91" s="5">
        <f>IF(LAVORAZIONI!Q343="","",LAVORAZIONI!Q343)</f>
        <v/>
      </c>
      <c r="K91" s="6">
        <f>IF(LAVORAZIONI!R343="","",LAVORAZIONI!R343)</f>
        <v/>
      </c>
      <c r="L91" s="13">
        <f>IF(LAVORAZIONI!S343="","",LAVORAZIONI!S343)</f>
        <v/>
      </c>
      <c r="M91" s="13">
        <f>LAVORAZIONI!T343</f>
        <v/>
      </c>
      <c r="O91" s="7">
        <f>LAVORAZIONI!U343</f>
        <v/>
      </c>
      <c r="P91" s="37">
        <f>LAVORAZIONI!V343</f>
        <v/>
      </c>
      <c r="Q91" s="7">
        <f>LAVORAZIONI!W343</f>
        <v/>
      </c>
      <c r="R91" s="6">
        <f>LAVORAZIONI!X343</f>
        <v/>
      </c>
      <c r="S91" s="7">
        <f>LAVORAZIONI!Y343</f>
        <v/>
      </c>
      <c r="T91" s="6">
        <f>LAVORAZIONI!Z343</f>
        <v/>
      </c>
      <c r="U91" s="7">
        <f>LAVORAZIONI!AA343</f>
        <v/>
      </c>
      <c r="V91" s="6">
        <f>LAVORAZIONI!AB343</f>
        <v/>
      </c>
      <c r="W91" s="7">
        <f>LAVORAZIONI!AC343</f>
        <v/>
      </c>
      <c r="X91" s="6">
        <f>LAVORAZIONI!AD343</f>
        <v/>
      </c>
      <c r="Y91" s="7">
        <f>LAVORAZIONI!AE343</f>
        <v/>
      </c>
      <c r="Z91" s="6">
        <f>LAVORAZIONI!AF343</f>
        <v/>
      </c>
      <c r="AA91" s="7">
        <f>LAVORAZIONI!AG343</f>
        <v/>
      </c>
      <c r="AB91" s="6">
        <f>LAVORAZIONI!AH343</f>
        <v/>
      </c>
      <c r="AC91" s="7">
        <f>LAVORAZIONI!AI343</f>
        <v/>
      </c>
      <c r="AD91" s="13">
        <f>LAVORAZIONI!AJ343</f>
        <v/>
      </c>
    </row>
    <row r="92" ht="64" customHeight="1" s="35">
      <c r="B92" s="4">
        <f>LAVORAZIONI!G344</f>
        <v/>
      </c>
      <c r="C92" s="3">
        <f>LAVORAZIONI!A344</f>
        <v/>
      </c>
      <c r="D92" s="3">
        <f>LAVORAZIONI!K344</f>
        <v/>
      </c>
      <c r="E92" s="4">
        <f>LAVORAZIONI!H344</f>
        <v/>
      </c>
      <c r="F92" s="4">
        <f>LAVORAZIONI!M344</f>
        <v/>
      </c>
      <c r="G92" s="5">
        <f>LAVORAZIONI!N344</f>
        <v/>
      </c>
      <c r="H92" s="6">
        <f>LAVORAZIONI!O344</f>
        <v/>
      </c>
      <c r="I92" s="13">
        <f>LAVORAZIONI!P344</f>
        <v/>
      </c>
      <c r="J92" s="5">
        <f>IF(LAVORAZIONI!Q344="","",LAVORAZIONI!Q344)</f>
        <v/>
      </c>
      <c r="K92" s="6">
        <f>IF(LAVORAZIONI!R344="","",LAVORAZIONI!R344)</f>
        <v/>
      </c>
      <c r="L92" s="13">
        <f>IF(LAVORAZIONI!S344="","",LAVORAZIONI!S344)</f>
        <v/>
      </c>
      <c r="M92" s="13">
        <f>LAVORAZIONI!T344</f>
        <v/>
      </c>
      <c r="O92" s="7">
        <f>LAVORAZIONI!U344</f>
        <v/>
      </c>
      <c r="P92" s="37">
        <f>LAVORAZIONI!V344</f>
        <v/>
      </c>
      <c r="Q92" s="7">
        <f>LAVORAZIONI!W344</f>
        <v/>
      </c>
      <c r="R92" s="6">
        <f>LAVORAZIONI!X344</f>
        <v/>
      </c>
      <c r="S92" s="7">
        <f>LAVORAZIONI!Y344</f>
        <v/>
      </c>
      <c r="T92" s="6">
        <f>LAVORAZIONI!Z344</f>
        <v/>
      </c>
      <c r="U92" s="7">
        <f>LAVORAZIONI!AA344</f>
        <v/>
      </c>
      <c r="V92" s="6">
        <f>LAVORAZIONI!AB344</f>
        <v/>
      </c>
      <c r="W92" s="7">
        <f>LAVORAZIONI!AC344</f>
        <v/>
      </c>
      <c r="X92" s="6">
        <f>LAVORAZIONI!AD344</f>
        <v/>
      </c>
      <c r="Y92" s="7">
        <f>LAVORAZIONI!AE344</f>
        <v/>
      </c>
      <c r="Z92" s="6">
        <f>LAVORAZIONI!AF344</f>
        <v/>
      </c>
      <c r="AA92" s="7">
        <f>LAVORAZIONI!AG344</f>
        <v/>
      </c>
      <c r="AB92" s="6">
        <f>LAVORAZIONI!AH344</f>
        <v/>
      </c>
      <c r="AC92" s="7">
        <f>LAVORAZIONI!AI344</f>
        <v/>
      </c>
      <c r="AD92" s="13">
        <f>LAVORAZIONI!AJ344</f>
        <v/>
      </c>
    </row>
    <row r="93" ht="64" customHeight="1" s="35">
      <c r="B93" s="4">
        <f>LAVORAZIONI!G345</f>
        <v/>
      </c>
      <c r="C93" s="3">
        <f>LAVORAZIONI!A345</f>
        <v/>
      </c>
      <c r="D93" s="3">
        <f>LAVORAZIONI!K345</f>
        <v/>
      </c>
      <c r="E93" s="4">
        <f>LAVORAZIONI!H345</f>
        <v/>
      </c>
      <c r="F93" s="4">
        <f>LAVORAZIONI!M345</f>
        <v/>
      </c>
      <c r="G93" s="5">
        <f>LAVORAZIONI!N345</f>
        <v/>
      </c>
      <c r="H93" s="6">
        <f>LAVORAZIONI!O345</f>
        <v/>
      </c>
      <c r="I93" s="13">
        <f>LAVORAZIONI!P345</f>
        <v/>
      </c>
      <c r="J93" s="5">
        <f>IF(LAVORAZIONI!Q345="","",LAVORAZIONI!Q345)</f>
        <v/>
      </c>
      <c r="K93" s="6">
        <f>IF(LAVORAZIONI!R345="","",LAVORAZIONI!R345)</f>
        <v/>
      </c>
      <c r="L93" s="13">
        <f>IF(LAVORAZIONI!S345="","",LAVORAZIONI!S345)</f>
        <v/>
      </c>
      <c r="M93" s="13">
        <f>LAVORAZIONI!T345</f>
        <v/>
      </c>
      <c r="O93" s="7">
        <f>LAVORAZIONI!U345</f>
        <v/>
      </c>
      <c r="P93" s="37">
        <f>LAVORAZIONI!V345</f>
        <v/>
      </c>
      <c r="Q93" s="7">
        <f>LAVORAZIONI!W345</f>
        <v/>
      </c>
      <c r="R93" s="6">
        <f>LAVORAZIONI!X345</f>
        <v/>
      </c>
      <c r="S93" s="7">
        <f>LAVORAZIONI!Y345</f>
        <v/>
      </c>
      <c r="T93" s="6">
        <f>LAVORAZIONI!Z345</f>
        <v/>
      </c>
      <c r="U93" s="7">
        <f>LAVORAZIONI!AA345</f>
        <v/>
      </c>
      <c r="V93" s="6">
        <f>LAVORAZIONI!AB345</f>
        <v/>
      </c>
      <c r="W93" s="7">
        <f>LAVORAZIONI!AC345</f>
        <v/>
      </c>
      <c r="X93" s="6">
        <f>LAVORAZIONI!AD345</f>
        <v/>
      </c>
      <c r="Y93" s="7">
        <f>LAVORAZIONI!AE345</f>
        <v/>
      </c>
      <c r="Z93" s="6">
        <f>LAVORAZIONI!AF345</f>
        <v/>
      </c>
      <c r="AA93" s="7">
        <f>LAVORAZIONI!AG345</f>
        <v/>
      </c>
      <c r="AB93" s="6">
        <f>LAVORAZIONI!AH345</f>
        <v/>
      </c>
      <c r="AC93" s="7">
        <f>LAVORAZIONI!AI345</f>
        <v/>
      </c>
      <c r="AD93" s="13">
        <f>LAVORAZIONI!AJ345</f>
        <v/>
      </c>
    </row>
    <row r="94" ht="64" customHeight="1" s="35">
      <c r="B94" s="4">
        <f>LAVORAZIONI!G346</f>
        <v/>
      </c>
      <c r="C94" s="3">
        <f>LAVORAZIONI!A346</f>
        <v/>
      </c>
      <c r="D94" s="3">
        <f>LAVORAZIONI!K346</f>
        <v/>
      </c>
      <c r="E94" s="4">
        <f>LAVORAZIONI!H346</f>
        <v/>
      </c>
      <c r="F94" s="4">
        <f>LAVORAZIONI!M346</f>
        <v/>
      </c>
      <c r="G94" s="5">
        <f>LAVORAZIONI!N346</f>
        <v/>
      </c>
      <c r="H94" s="6">
        <f>LAVORAZIONI!O346</f>
        <v/>
      </c>
      <c r="I94" s="13">
        <f>LAVORAZIONI!P346</f>
        <v/>
      </c>
      <c r="J94" s="5">
        <f>IF(LAVORAZIONI!Q346="","",LAVORAZIONI!Q346)</f>
        <v/>
      </c>
      <c r="K94" s="6">
        <f>IF(LAVORAZIONI!R346="","",LAVORAZIONI!R346)</f>
        <v/>
      </c>
      <c r="L94" s="13">
        <f>IF(LAVORAZIONI!S346="","",LAVORAZIONI!S346)</f>
        <v/>
      </c>
      <c r="M94" s="13">
        <f>LAVORAZIONI!T346</f>
        <v/>
      </c>
      <c r="O94" s="7">
        <f>LAVORAZIONI!U346</f>
        <v/>
      </c>
      <c r="P94" s="37">
        <f>LAVORAZIONI!V346</f>
        <v/>
      </c>
      <c r="Q94" s="7">
        <f>LAVORAZIONI!W346</f>
        <v/>
      </c>
      <c r="R94" s="6">
        <f>LAVORAZIONI!X346</f>
        <v/>
      </c>
      <c r="S94" s="7">
        <f>LAVORAZIONI!Y346</f>
        <v/>
      </c>
      <c r="T94" s="6">
        <f>LAVORAZIONI!Z346</f>
        <v/>
      </c>
      <c r="U94" s="7">
        <f>LAVORAZIONI!AA346</f>
        <v/>
      </c>
      <c r="V94" s="6">
        <f>LAVORAZIONI!AB346</f>
        <v/>
      </c>
      <c r="W94" s="7">
        <f>LAVORAZIONI!AC346</f>
        <v/>
      </c>
      <c r="X94" s="6">
        <f>LAVORAZIONI!AD346</f>
        <v/>
      </c>
      <c r="Y94" s="7">
        <f>LAVORAZIONI!AE346</f>
        <v/>
      </c>
      <c r="Z94" s="6">
        <f>LAVORAZIONI!AF346</f>
        <v/>
      </c>
      <c r="AA94" s="7">
        <f>LAVORAZIONI!AG346</f>
        <v/>
      </c>
      <c r="AB94" s="6">
        <f>LAVORAZIONI!AH346</f>
        <v/>
      </c>
      <c r="AC94" s="7">
        <f>LAVORAZIONI!AI346</f>
        <v/>
      </c>
      <c r="AD94" s="13">
        <f>LAVORAZIONI!AJ346</f>
        <v/>
      </c>
    </row>
    <row r="95" ht="64" customHeight="1" s="35">
      <c r="B95" s="4">
        <f>LAVORAZIONI!G347</f>
        <v/>
      </c>
      <c r="C95" s="3">
        <f>LAVORAZIONI!A347</f>
        <v/>
      </c>
      <c r="D95" s="3">
        <f>LAVORAZIONI!K347</f>
        <v/>
      </c>
      <c r="E95" s="4">
        <f>LAVORAZIONI!H347</f>
        <v/>
      </c>
      <c r="F95" s="4">
        <f>LAVORAZIONI!M347</f>
        <v/>
      </c>
      <c r="G95" s="5">
        <f>LAVORAZIONI!N347</f>
        <v/>
      </c>
      <c r="H95" s="6">
        <f>LAVORAZIONI!O347</f>
        <v/>
      </c>
      <c r="I95" s="13">
        <f>LAVORAZIONI!P347</f>
        <v/>
      </c>
      <c r="J95" s="5">
        <f>IF(LAVORAZIONI!Q347="","",LAVORAZIONI!Q347)</f>
        <v/>
      </c>
      <c r="K95" s="6">
        <f>IF(LAVORAZIONI!R347="","",LAVORAZIONI!R347)</f>
        <v/>
      </c>
      <c r="L95" s="13">
        <f>IF(LAVORAZIONI!S347="","",LAVORAZIONI!S347)</f>
        <v/>
      </c>
      <c r="M95" s="13">
        <f>LAVORAZIONI!T347</f>
        <v/>
      </c>
      <c r="O95" s="7">
        <f>LAVORAZIONI!U347</f>
        <v/>
      </c>
      <c r="P95" s="37">
        <f>LAVORAZIONI!V347</f>
        <v/>
      </c>
      <c r="Q95" s="7">
        <f>LAVORAZIONI!W347</f>
        <v/>
      </c>
      <c r="R95" s="6">
        <f>LAVORAZIONI!X347</f>
        <v/>
      </c>
      <c r="S95" s="7">
        <f>LAVORAZIONI!Y347</f>
        <v/>
      </c>
      <c r="T95" s="6">
        <f>LAVORAZIONI!Z347</f>
        <v/>
      </c>
      <c r="U95" s="7">
        <f>LAVORAZIONI!AA347</f>
        <v/>
      </c>
      <c r="V95" s="6">
        <f>LAVORAZIONI!AB347</f>
        <v/>
      </c>
      <c r="W95" s="7">
        <f>LAVORAZIONI!AC347</f>
        <v/>
      </c>
      <c r="X95" s="6">
        <f>LAVORAZIONI!AD347</f>
        <v/>
      </c>
      <c r="Y95" s="7">
        <f>LAVORAZIONI!AE347</f>
        <v/>
      </c>
      <c r="Z95" s="6">
        <f>LAVORAZIONI!AF347</f>
        <v/>
      </c>
      <c r="AA95" s="7">
        <f>LAVORAZIONI!AG347</f>
        <v/>
      </c>
      <c r="AB95" s="6">
        <f>LAVORAZIONI!AH347</f>
        <v/>
      </c>
      <c r="AC95" s="7">
        <f>LAVORAZIONI!AI347</f>
        <v/>
      </c>
      <c r="AD95" s="13">
        <f>LAVORAZIONI!AJ347</f>
        <v/>
      </c>
    </row>
    <row r="96" ht="64" customHeight="1" s="35">
      <c r="B96" s="4">
        <f>LAVORAZIONI!G348</f>
        <v/>
      </c>
      <c r="C96" s="3">
        <f>LAVORAZIONI!A348</f>
        <v/>
      </c>
      <c r="D96" s="3">
        <f>LAVORAZIONI!K348</f>
        <v/>
      </c>
      <c r="E96" s="4">
        <f>LAVORAZIONI!H348</f>
        <v/>
      </c>
      <c r="F96" s="4">
        <f>LAVORAZIONI!M348</f>
        <v/>
      </c>
      <c r="G96" s="5">
        <f>LAVORAZIONI!N348</f>
        <v/>
      </c>
      <c r="H96" s="6">
        <f>LAVORAZIONI!O348</f>
        <v/>
      </c>
      <c r="I96" s="13">
        <f>LAVORAZIONI!P348</f>
        <v/>
      </c>
      <c r="J96" s="5">
        <f>IF(LAVORAZIONI!Q348="","",LAVORAZIONI!Q348)</f>
        <v/>
      </c>
      <c r="K96" s="6">
        <f>IF(LAVORAZIONI!R348="","",LAVORAZIONI!R348)</f>
        <v/>
      </c>
      <c r="L96" s="13">
        <f>IF(LAVORAZIONI!S348="","",LAVORAZIONI!S348)</f>
        <v/>
      </c>
      <c r="M96" s="13">
        <f>LAVORAZIONI!T348</f>
        <v/>
      </c>
      <c r="O96" s="7">
        <f>LAVORAZIONI!U348</f>
        <v/>
      </c>
      <c r="P96" s="37">
        <f>LAVORAZIONI!V348</f>
        <v/>
      </c>
      <c r="Q96" s="7">
        <f>LAVORAZIONI!W348</f>
        <v/>
      </c>
      <c r="R96" s="6">
        <f>LAVORAZIONI!X348</f>
        <v/>
      </c>
      <c r="S96" s="7">
        <f>LAVORAZIONI!Y348</f>
        <v/>
      </c>
      <c r="T96" s="6">
        <f>LAVORAZIONI!Z348</f>
        <v/>
      </c>
      <c r="U96" s="7">
        <f>LAVORAZIONI!AA348</f>
        <v/>
      </c>
      <c r="V96" s="6">
        <f>LAVORAZIONI!AB348</f>
        <v/>
      </c>
      <c r="W96" s="7">
        <f>LAVORAZIONI!AC348</f>
        <v/>
      </c>
      <c r="X96" s="6">
        <f>LAVORAZIONI!AD348</f>
        <v/>
      </c>
      <c r="Y96" s="7">
        <f>LAVORAZIONI!AE348</f>
        <v/>
      </c>
      <c r="Z96" s="6">
        <f>LAVORAZIONI!AF348</f>
        <v/>
      </c>
      <c r="AA96" s="7">
        <f>LAVORAZIONI!AG348</f>
        <v/>
      </c>
      <c r="AB96" s="6">
        <f>LAVORAZIONI!AH348</f>
        <v/>
      </c>
      <c r="AC96" s="7">
        <f>LAVORAZIONI!AI348</f>
        <v/>
      </c>
      <c r="AD96" s="13">
        <f>LAVORAZIONI!AJ348</f>
        <v/>
      </c>
    </row>
    <row r="97" ht="64" customHeight="1" s="35">
      <c r="B97" s="4">
        <f>LAVORAZIONI!G349</f>
        <v/>
      </c>
      <c r="C97" s="3">
        <f>LAVORAZIONI!A349</f>
        <v/>
      </c>
      <c r="D97" s="3">
        <f>LAVORAZIONI!K349</f>
        <v/>
      </c>
      <c r="E97" s="4">
        <f>LAVORAZIONI!H349</f>
        <v/>
      </c>
      <c r="F97" s="4">
        <f>LAVORAZIONI!M349</f>
        <v/>
      </c>
      <c r="G97" s="5">
        <f>LAVORAZIONI!N349</f>
        <v/>
      </c>
      <c r="H97" s="6">
        <f>LAVORAZIONI!O349</f>
        <v/>
      </c>
      <c r="I97" s="13">
        <f>LAVORAZIONI!P349</f>
        <v/>
      </c>
      <c r="J97" s="5">
        <f>IF(LAVORAZIONI!Q349="","",LAVORAZIONI!Q349)</f>
        <v/>
      </c>
      <c r="K97" s="6">
        <f>IF(LAVORAZIONI!R349="","",LAVORAZIONI!R349)</f>
        <v/>
      </c>
      <c r="L97" s="13">
        <f>IF(LAVORAZIONI!S349="","",LAVORAZIONI!S349)</f>
        <v/>
      </c>
      <c r="M97" s="13">
        <f>LAVORAZIONI!T349</f>
        <v/>
      </c>
      <c r="O97" s="7">
        <f>LAVORAZIONI!U349</f>
        <v/>
      </c>
      <c r="P97" s="37">
        <f>LAVORAZIONI!V349</f>
        <v/>
      </c>
      <c r="Q97" s="7">
        <f>LAVORAZIONI!W349</f>
        <v/>
      </c>
      <c r="R97" s="6">
        <f>LAVORAZIONI!X349</f>
        <v/>
      </c>
      <c r="S97" s="7">
        <f>LAVORAZIONI!Y349</f>
        <v/>
      </c>
      <c r="T97" s="6">
        <f>LAVORAZIONI!Z349</f>
        <v/>
      </c>
      <c r="U97" s="7">
        <f>LAVORAZIONI!AA349</f>
        <v/>
      </c>
      <c r="V97" s="6">
        <f>LAVORAZIONI!AB349</f>
        <v/>
      </c>
      <c r="W97" s="7">
        <f>LAVORAZIONI!AC349</f>
        <v/>
      </c>
      <c r="X97" s="6">
        <f>LAVORAZIONI!AD349</f>
        <v/>
      </c>
      <c r="Y97" s="7">
        <f>LAVORAZIONI!AE349</f>
        <v/>
      </c>
      <c r="Z97" s="6">
        <f>LAVORAZIONI!AF349</f>
        <v/>
      </c>
      <c r="AA97" s="7">
        <f>LAVORAZIONI!AG349</f>
        <v/>
      </c>
      <c r="AB97" s="6">
        <f>LAVORAZIONI!AH349</f>
        <v/>
      </c>
      <c r="AC97" s="7">
        <f>LAVORAZIONI!AI349</f>
        <v/>
      </c>
      <c r="AD97" s="13">
        <f>LAVORAZIONI!AJ349</f>
        <v/>
      </c>
    </row>
    <row r="98" ht="64" customHeight="1" s="35">
      <c r="B98" s="4">
        <f>LAVORAZIONI!G350</f>
        <v/>
      </c>
      <c r="C98" s="3">
        <f>LAVORAZIONI!A350</f>
        <v/>
      </c>
      <c r="D98" s="3">
        <f>LAVORAZIONI!K350</f>
        <v/>
      </c>
      <c r="E98" s="4">
        <f>LAVORAZIONI!H350</f>
        <v/>
      </c>
      <c r="F98" s="4">
        <f>LAVORAZIONI!M350</f>
        <v/>
      </c>
      <c r="G98" s="5">
        <f>LAVORAZIONI!N350</f>
        <v/>
      </c>
      <c r="H98" s="6">
        <f>LAVORAZIONI!O350</f>
        <v/>
      </c>
      <c r="I98" s="13">
        <f>LAVORAZIONI!P350</f>
        <v/>
      </c>
      <c r="J98" s="5">
        <f>IF(LAVORAZIONI!Q350="","",LAVORAZIONI!Q350)</f>
        <v/>
      </c>
      <c r="K98" s="6">
        <f>IF(LAVORAZIONI!R350="","",LAVORAZIONI!R350)</f>
        <v/>
      </c>
      <c r="L98" s="13">
        <f>IF(LAVORAZIONI!S350="","",LAVORAZIONI!S350)</f>
        <v/>
      </c>
      <c r="M98" s="13">
        <f>LAVORAZIONI!T350</f>
        <v/>
      </c>
      <c r="O98" s="7">
        <f>LAVORAZIONI!U350</f>
        <v/>
      </c>
      <c r="P98" s="37">
        <f>LAVORAZIONI!V350</f>
        <v/>
      </c>
      <c r="Q98" s="7">
        <f>LAVORAZIONI!W350</f>
        <v/>
      </c>
      <c r="R98" s="6">
        <f>LAVORAZIONI!X350</f>
        <v/>
      </c>
      <c r="S98" s="7">
        <f>LAVORAZIONI!Y350</f>
        <v/>
      </c>
      <c r="T98" s="6">
        <f>LAVORAZIONI!Z350</f>
        <v/>
      </c>
      <c r="U98" s="7">
        <f>LAVORAZIONI!AA350</f>
        <v/>
      </c>
      <c r="V98" s="6">
        <f>LAVORAZIONI!AB350</f>
        <v/>
      </c>
      <c r="W98" s="7">
        <f>LAVORAZIONI!AC350</f>
        <v/>
      </c>
      <c r="X98" s="6">
        <f>LAVORAZIONI!AD350</f>
        <v/>
      </c>
      <c r="Y98" s="7">
        <f>LAVORAZIONI!AE350</f>
        <v/>
      </c>
      <c r="Z98" s="6">
        <f>LAVORAZIONI!AF350</f>
        <v/>
      </c>
      <c r="AA98" s="7">
        <f>LAVORAZIONI!AG350</f>
        <v/>
      </c>
      <c r="AB98" s="6">
        <f>LAVORAZIONI!AH350</f>
        <v/>
      </c>
      <c r="AC98" s="7">
        <f>LAVORAZIONI!AI350</f>
        <v/>
      </c>
      <c r="AD98" s="13">
        <f>LAVORAZIONI!AJ350</f>
        <v/>
      </c>
    </row>
    <row r="99" ht="64" customHeight="1" s="35">
      <c r="B99" s="4">
        <f>LAVORAZIONI!G351</f>
        <v/>
      </c>
      <c r="C99" s="3">
        <f>LAVORAZIONI!A351</f>
        <v/>
      </c>
      <c r="D99" s="3">
        <f>LAVORAZIONI!K351</f>
        <v/>
      </c>
      <c r="E99" s="4">
        <f>LAVORAZIONI!H351</f>
        <v/>
      </c>
      <c r="F99" s="4">
        <f>LAVORAZIONI!M351</f>
        <v/>
      </c>
      <c r="G99" s="5">
        <f>LAVORAZIONI!N351</f>
        <v/>
      </c>
      <c r="H99" s="6">
        <f>LAVORAZIONI!O351</f>
        <v/>
      </c>
      <c r="I99" s="13">
        <f>LAVORAZIONI!P351</f>
        <v/>
      </c>
      <c r="J99" s="5">
        <f>IF(LAVORAZIONI!Q351="","",LAVORAZIONI!Q351)</f>
        <v/>
      </c>
      <c r="K99" s="6">
        <f>IF(LAVORAZIONI!R351="","",LAVORAZIONI!R351)</f>
        <v/>
      </c>
      <c r="L99" s="13">
        <f>IF(LAVORAZIONI!S351="","",LAVORAZIONI!S351)</f>
        <v/>
      </c>
      <c r="M99" s="13">
        <f>LAVORAZIONI!T351</f>
        <v/>
      </c>
      <c r="O99" s="7">
        <f>LAVORAZIONI!U351</f>
        <v/>
      </c>
      <c r="P99" s="37">
        <f>LAVORAZIONI!V351</f>
        <v/>
      </c>
      <c r="Q99" s="7">
        <f>LAVORAZIONI!W351</f>
        <v/>
      </c>
      <c r="R99" s="6">
        <f>LAVORAZIONI!X351</f>
        <v/>
      </c>
      <c r="S99" s="7">
        <f>LAVORAZIONI!Y351</f>
        <v/>
      </c>
      <c r="T99" s="6">
        <f>LAVORAZIONI!Z351</f>
        <v/>
      </c>
      <c r="U99" s="7">
        <f>LAVORAZIONI!AA351</f>
        <v/>
      </c>
      <c r="V99" s="6">
        <f>LAVORAZIONI!AB351</f>
        <v/>
      </c>
      <c r="W99" s="7">
        <f>LAVORAZIONI!AC351</f>
        <v/>
      </c>
      <c r="X99" s="6">
        <f>LAVORAZIONI!AD351</f>
        <v/>
      </c>
      <c r="Y99" s="7">
        <f>LAVORAZIONI!AE351</f>
        <v/>
      </c>
      <c r="Z99" s="6">
        <f>LAVORAZIONI!AF351</f>
        <v/>
      </c>
      <c r="AA99" s="7">
        <f>LAVORAZIONI!AG351</f>
        <v/>
      </c>
      <c r="AB99" s="6">
        <f>LAVORAZIONI!AH351</f>
        <v/>
      </c>
      <c r="AC99" s="7">
        <f>LAVORAZIONI!AI351</f>
        <v/>
      </c>
      <c r="AD99" s="13">
        <f>LAVORAZIONI!AJ351</f>
        <v/>
      </c>
    </row>
    <row r="100" ht="64" customHeight="1" s="35">
      <c r="B100" s="4">
        <f>LAVORAZIONI!G352</f>
        <v/>
      </c>
      <c r="C100" s="3">
        <f>LAVORAZIONI!A352</f>
        <v/>
      </c>
      <c r="D100" s="3">
        <f>LAVORAZIONI!K352</f>
        <v/>
      </c>
      <c r="E100" s="4">
        <f>LAVORAZIONI!H352</f>
        <v/>
      </c>
      <c r="F100" s="4">
        <f>LAVORAZIONI!M352</f>
        <v/>
      </c>
      <c r="G100" s="5">
        <f>LAVORAZIONI!N352</f>
        <v/>
      </c>
      <c r="H100" s="6">
        <f>LAVORAZIONI!O352</f>
        <v/>
      </c>
      <c r="I100" s="13">
        <f>LAVORAZIONI!P352</f>
        <v/>
      </c>
      <c r="J100" s="5">
        <f>IF(LAVORAZIONI!Q352="","",LAVORAZIONI!Q352)</f>
        <v/>
      </c>
      <c r="K100" s="6">
        <f>IF(LAVORAZIONI!R352="","",LAVORAZIONI!R352)</f>
        <v/>
      </c>
      <c r="L100" s="13">
        <f>IF(LAVORAZIONI!S352="","",LAVORAZIONI!S352)</f>
        <v/>
      </c>
      <c r="M100" s="13">
        <f>LAVORAZIONI!T352</f>
        <v/>
      </c>
      <c r="O100" s="7">
        <f>LAVORAZIONI!U352</f>
        <v/>
      </c>
      <c r="P100" s="37">
        <f>LAVORAZIONI!V352</f>
        <v/>
      </c>
      <c r="Q100" s="7">
        <f>LAVORAZIONI!W352</f>
        <v/>
      </c>
      <c r="R100" s="6">
        <f>LAVORAZIONI!X352</f>
        <v/>
      </c>
      <c r="S100" s="7">
        <f>LAVORAZIONI!Y352</f>
        <v/>
      </c>
      <c r="T100" s="6">
        <f>LAVORAZIONI!Z352</f>
        <v/>
      </c>
      <c r="U100" s="7">
        <f>LAVORAZIONI!AA352</f>
        <v/>
      </c>
      <c r="V100" s="6">
        <f>LAVORAZIONI!AB352</f>
        <v/>
      </c>
      <c r="W100" s="7">
        <f>LAVORAZIONI!AC352</f>
        <v/>
      </c>
      <c r="X100" s="6">
        <f>LAVORAZIONI!AD352</f>
        <v/>
      </c>
      <c r="Y100" s="7">
        <f>LAVORAZIONI!AE352</f>
        <v/>
      </c>
      <c r="Z100" s="6">
        <f>LAVORAZIONI!AF352</f>
        <v/>
      </c>
      <c r="AA100" s="7">
        <f>LAVORAZIONI!AG352</f>
        <v/>
      </c>
      <c r="AB100" s="6">
        <f>LAVORAZIONI!AH352</f>
        <v/>
      </c>
      <c r="AC100" s="7">
        <f>LAVORAZIONI!AI352</f>
        <v/>
      </c>
      <c r="AD100" s="13">
        <f>LAVORAZIONI!AJ352</f>
        <v/>
      </c>
    </row>
    <row r="101" ht="64" customHeight="1" s="35">
      <c r="B101" s="4">
        <f>LAVORAZIONI!G353</f>
        <v/>
      </c>
      <c r="C101" s="3">
        <f>LAVORAZIONI!A353</f>
        <v/>
      </c>
      <c r="D101" s="3">
        <f>LAVORAZIONI!K353</f>
        <v/>
      </c>
      <c r="E101" s="4">
        <f>LAVORAZIONI!H353</f>
        <v/>
      </c>
      <c r="F101" s="4">
        <f>LAVORAZIONI!M353</f>
        <v/>
      </c>
      <c r="G101" s="5">
        <f>LAVORAZIONI!N353</f>
        <v/>
      </c>
      <c r="H101" s="6">
        <f>LAVORAZIONI!O353</f>
        <v/>
      </c>
      <c r="I101" s="13">
        <f>LAVORAZIONI!P353</f>
        <v/>
      </c>
      <c r="J101" s="5">
        <f>IF(LAVORAZIONI!Q353="","",LAVORAZIONI!Q353)</f>
        <v/>
      </c>
      <c r="K101" s="6">
        <f>IF(LAVORAZIONI!R353="","",LAVORAZIONI!R353)</f>
        <v/>
      </c>
      <c r="L101" s="13">
        <f>IF(LAVORAZIONI!S353="","",LAVORAZIONI!S353)</f>
        <v/>
      </c>
      <c r="M101" s="13">
        <f>LAVORAZIONI!T353</f>
        <v/>
      </c>
      <c r="O101" s="7">
        <f>LAVORAZIONI!U353</f>
        <v/>
      </c>
      <c r="P101" s="37">
        <f>LAVORAZIONI!V353</f>
        <v/>
      </c>
      <c r="Q101" s="7">
        <f>LAVORAZIONI!W353</f>
        <v/>
      </c>
      <c r="R101" s="6">
        <f>LAVORAZIONI!X353</f>
        <v/>
      </c>
      <c r="S101" s="7">
        <f>LAVORAZIONI!Y353</f>
        <v/>
      </c>
      <c r="T101" s="6">
        <f>LAVORAZIONI!Z353</f>
        <v/>
      </c>
      <c r="U101" s="7">
        <f>LAVORAZIONI!AA353</f>
        <v/>
      </c>
      <c r="V101" s="6">
        <f>LAVORAZIONI!AB353</f>
        <v/>
      </c>
      <c r="W101" s="7">
        <f>LAVORAZIONI!AC353</f>
        <v/>
      </c>
      <c r="X101" s="6">
        <f>LAVORAZIONI!AD353</f>
        <v/>
      </c>
      <c r="Y101" s="7">
        <f>LAVORAZIONI!AE353</f>
        <v/>
      </c>
      <c r="Z101" s="6">
        <f>LAVORAZIONI!AF353</f>
        <v/>
      </c>
      <c r="AA101" s="7">
        <f>LAVORAZIONI!AG353</f>
        <v/>
      </c>
      <c r="AB101" s="6">
        <f>LAVORAZIONI!AH353</f>
        <v/>
      </c>
      <c r="AC101" s="7">
        <f>LAVORAZIONI!AI353</f>
        <v/>
      </c>
      <c r="AD101" s="13">
        <f>LAVORAZIONI!AJ353</f>
        <v/>
      </c>
    </row>
    <row r="102" ht="64" customHeight="1" s="35">
      <c r="B102" s="4">
        <f>LAVORAZIONI!G354</f>
        <v/>
      </c>
      <c r="C102" s="3">
        <f>LAVORAZIONI!A354</f>
        <v/>
      </c>
      <c r="D102" s="3">
        <f>LAVORAZIONI!K354</f>
        <v/>
      </c>
      <c r="E102" s="4">
        <f>LAVORAZIONI!H354</f>
        <v/>
      </c>
      <c r="F102" s="4">
        <f>LAVORAZIONI!M354</f>
        <v/>
      </c>
      <c r="G102" s="5">
        <f>LAVORAZIONI!N354</f>
        <v/>
      </c>
      <c r="H102" s="6">
        <f>LAVORAZIONI!O354</f>
        <v/>
      </c>
      <c r="I102" s="13">
        <f>LAVORAZIONI!P354</f>
        <v/>
      </c>
      <c r="J102" s="5">
        <f>IF(LAVORAZIONI!Q354="","",LAVORAZIONI!Q354)</f>
        <v/>
      </c>
      <c r="K102" s="6">
        <f>IF(LAVORAZIONI!R354="","",LAVORAZIONI!R354)</f>
        <v/>
      </c>
      <c r="L102" s="13">
        <f>IF(LAVORAZIONI!S354="","",LAVORAZIONI!S354)</f>
        <v/>
      </c>
      <c r="M102" s="13">
        <f>LAVORAZIONI!T354</f>
        <v/>
      </c>
      <c r="O102" s="7">
        <f>LAVORAZIONI!U354</f>
        <v/>
      </c>
      <c r="P102" s="37">
        <f>LAVORAZIONI!V354</f>
        <v/>
      </c>
      <c r="Q102" s="7">
        <f>LAVORAZIONI!W354</f>
        <v/>
      </c>
      <c r="R102" s="6">
        <f>LAVORAZIONI!X354</f>
        <v/>
      </c>
      <c r="S102" s="7">
        <f>LAVORAZIONI!Y354</f>
        <v/>
      </c>
      <c r="T102" s="6">
        <f>LAVORAZIONI!Z354</f>
        <v/>
      </c>
      <c r="U102" s="7">
        <f>LAVORAZIONI!AA354</f>
        <v/>
      </c>
      <c r="V102" s="6">
        <f>LAVORAZIONI!AB354</f>
        <v/>
      </c>
      <c r="W102" s="7">
        <f>LAVORAZIONI!AC354</f>
        <v/>
      </c>
      <c r="X102" s="6">
        <f>LAVORAZIONI!AD354</f>
        <v/>
      </c>
      <c r="Y102" s="7">
        <f>LAVORAZIONI!AE354</f>
        <v/>
      </c>
      <c r="Z102" s="6">
        <f>LAVORAZIONI!AF354</f>
        <v/>
      </c>
      <c r="AA102" s="7">
        <f>LAVORAZIONI!AG354</f>
        <v/>
      </c>
      <c r="AB102" s="6">
        <f>LAVORAZIONI!AH354</f>
        <v/>
      </c>
      <c r="AC102" s="7">
        <f>LAVORAZIONI!AI354</f>
        <v/>
      </c>
      <c r="AD102" s="13">
        <f>LAVORAZIONI!AJ354</f>
        <v/>
      </c>
    </row>
    <row r="103" ht="64" customHeight="1" s="35">
      <c r="B103" s="4">
        <f>LAVORAZIONI!G355</f>
        <v/>
      </c>
      <c r="C103" s="3">
        <f>LAVORAZIONI!A355</f>
        <v/>
      </c>
      <c r="D103" s="3">
        <f>LAVORAZIONI!K355</f>
        <v/>
      </c>
      <c r="E103" s="4">
        <f>LAVORAZIONI!H355</f>
        <v/>
      </c>
      <c r="F103" s="4">
        <f>LAVORAZIONI!M355</f>
        <v/>
      </c>
      <c r="G103" s="5">
        <f>LAVORAZIONI!N355</f>
        <v/>
      </c>
      <c r="H103" s="6">
        <f>LAVORAZIONI!O355</f>
        <v/>
      </c>
      <c r="I103" s="13">
        <f>LAVORAZIONI!P355</f>
        <v/>
      </c>
      <c r="J103" s="5">
        <f>IF(LAVORAZIONI!Q355="","",LAVORAZIONI!Q355)</f>
        <v/>
      </c>
      <c r="K103" s="6">
        <f>IF(LAVORAZIONI!R355="","",LAVORAZIONI!R355)</f>
        <v/>
      </c>
      <c r="L103" s="13">
        <f>IF(LAVORAZIONI!S355="","",LAVORAZIONI!S355)</f>
        <v/>
      </c>
      <c r="M103" s="13">
        <f>LAVORAZIONI!T355</f>
        <v/>
      </c>
      <c r="O103" s="7">
        <f>LAVORAZIONI!U355</f>
        <v/>
      </c>
      <c r="P103" s="37">
        <f>LAVORAZIONI!V355</f>
        <v/>
      </c>
      <c r="Q103" s="7">
        <f>LAVORAZIONI!W355</f>
        <v/>
      </c>
      <c r="R103" s="6">
        <f>LAVORAZIONI!X355</f>
        <v/>
      </c>
      <c r="S103" s="7">
        <f>LAVORAZIONI!Y355</f>
        <v/>
      </c>
      <c r="T103" s="6">
        <f>LAVORAZIONI!Z355</f>
        <v/>
      </c>
      <c r="U103" s="7">
        <f>LAVORAZIONI!AA355</f>
        <v/>
      </c>
      <c r="V103" s="6">
        <f>LAVORAZIONI!AB355</f>
        <v/>
      </c>
      <c r="W103" s="7">
        <f>LAVORAZIONI!AC355</f>
        <v/>
      </c>
      <c r="X103" s="6">
        <f>LAVORAZIONI!AD355</f>
        <v/>
      </c>
      <c r="Y103" s="7">
        <f>LAVORAZIONI!AE355</f>
        <v/>
      </c>
      <c r="Z103" s="6">
        <f>LAVORAZIONI!AF355</f>
        <v/>
      </c>
      <c r="AA103" s="7">
        <f>LAVORAZIONI!AG355</f>
        <v/>
      </c>
      <c r="AB103" s="6">
        <f>LAVORAZIONI!AH355</f>
        <v/>
      </c>
      <c r="AC103" s="7">
        <f>LAVORAZIONI!AI355</f>
        <v/>
      </c>
      <c r="AD103" s="13">
        <f>LAVORAZIONI!AJ355</f>
        <v/>
      </c>
    </row>
    <row r="104" ht="64" customHeight="1" s="35">
      <c r="B104" s="4">
        <f>LAVORAZIONI!G356</f>
        <v/>
      </c>
      <c r="C104" s="3">
        <f>LAVORAZIONI!A356</f>
        <v/>
      </c>
      <c r="D104" s="3">
        <f>LAVORAZIONI!K356</f>
        <v/>
      </c>
      <c r="E104" s="4">
        <f>LAVORAZIONI!H356</f>
        <v/>
      </c>
      <c r="F104" s="4">
        <f>LAVORAZIONI!M356</f>
        <v/>
      </c>
      <c r="G104" s="5">
        <f>LAVORAZIONI!N356</f>
        <v/>
      </c>
      <c r="H104" s="6">
        <f>LAVORAZIONI!O356</f>
        <v/>
      </c>
      <c r="I104" s="13">
        <f>LAVORAZIONI!P356</f>
        <v/>
      </c>
      <c r="J104" s="5">
        <f>IF(LAVORAZIONI!Q356="","",LAVORAZIONI!Q356)</f>
        <v/>
      </c>
      <c r="K104" s="6">
        <f>IF(LAVORAZIONI!R356="","",LAVORAZIONI!R356)</f>
        <v/>
      </c>
      <c r="L104" s="13">
        <f>IF(LAVORAZIONI!S356="","",LAVORAZIONI!S356)</f>
        <v/>
      </c>
      <c r="M104" s="13">
        <f>LAVORAZIONI!T356</f>
        <v/>
      </c>
      <c r="O104" s="7">
        <f>LAVORAZIONI!U356</f>
        <v/>
      </c>
      <c r="P104" s="37">
        <f>LAVORAZIONI!V356</f>
        <v/>
      </c>
      <c r="Q104" s="7">
        <f>LAVORAZIONI!W356</f>
        <v/>
      </c>
      <c r="R104" s="6">
        <f>LAVORAZIONI!X356</f>
        <v/>
      </c>
      <c r="S104" s="7">
        <f>LAVORAZIONI!Y356</f>
        <v/>
      </c>
      <c r="T104" s="6">
        <f>LAVORAZIONI!Z356</f>
        <v/>
      </c>
      <c r="U104" s="7">
        <f>LAVORAZIONI!AA356</f>
        <v/>
      </c>
      <c r="V104" s="6">
        <f>LAVORAZIONI!AB356</f>
        <v/>
      </c>
      <c r="W104" s="7">
        <f>LAVORAZIONI!AC356</f>
        <v/>
      </c>
      <c r="X104" s="6">
        <f>LAVORAZIONI!AD356</f>
        <v/>
      </c>
      <c r="Y104" s="7">
        <f>LAVORAZIONI!AE356</f>
        <v/>
      </c>
      <c r="Z104" s="6">
        <f>LAVORAZIONI!AF356</f>
        <v/>
      </c>
      <c r="AA104" s="7">
        <f>LAVORAZIONI!AG356</f>
        <v/>
      </c>
      <c r="AB104" s="6">
        <f>LAVORAZIONI!AH356</f>
        <v/>
      </c>
      <c r="AC104" s="7">
        <f>LAVORAZIONI!AI356</f>
        <v/>
      </c>
      <c r="AD104" s="13">
        <f>LAVORAZIONI!AJ356</f>
        <v/>
      </c>
    </row>
    <row r="105" ht="64" customHeight="1" s="35">
      <c r="B105" s="4">
        <f>LAVORAZIONI!G357</f>
        <v/>
      </c>
      <c r="C105" s="3">
        <f>LAVORAZIONI!A357</f>
        <v/>
      </c>
      <c r="D105" s="3">
        <f>LAVORAZIONI!K357</f>
        <v/>
      </c>
      <c r="E105" s="4">
        <f>LAVORAZIONI!H357</f>
        <v/>
      </c>
      <c r="F105" s="4">
        <f>LAVORAZIONI!M357</f>
        <v/>
      </c>
      <c r="G105" s="5">
        <f>LAVORAZIONI!N357</f>
        <v/>
      </c>
      <c r="H105" s="6">
        <f>LAVORAZIONI!O357</f>
        <v/>
      </c>
      <c r="I105" s="13">
        <f>LAVORAZIONI!P357</f>
        <v/>
      </c>
      <c r="J105" s="5">
        <f>IF(LAVORAZIONI!Q357="","",LAVORAZIONI!Q357)</f>
        <v/>
      </c>
      <c r="K105" s="6">
        <f>IF(LAVORAZIONI!R357="","",LAVORAZIONI!R357)</f>
        <v/>
      </c>
      <c r="L105" s="13">
        <f>IF(LAVORAZIONI!S357="","",LAVORAZIONI!S357)</f>
        <v/>
      </c>
      <c r="M105" s="13">
        <f>LAVORAZIONI!T357</f>
        <v/>
      </c>
      <c r="O105" s="7">
        <f>LAVORAZIONI!U357</f>
        <v/>
      </c>
      <c r="P105" s="37">
        <f>LAVORAZIONI!V357</f>
        <v/>
      </c>
      <c r="Q105" s="7">
        <f>LAVORAZIONI!W357</f>
        <v/>
      </c>
      <c r="R105" s="6">
        <f>LAVORAZIONI!X357</f>
        <v/>
      </c>
      <c r="S105" s="7">
        <f>LAVORAZIONI!Y357</f>
        <v/>
      </c>
      <c r="T105" s="6">
        <f>LAVORAZIONI!Z357</f>
        <v/>
      </c>
      <c r="U105" s="7">
        <f>LAVORAZIONI!AA357</f>
        <v/>
      </c>
      <c r="V105" s="6">
        <f>LAVORAZIONI!AB357</f>
        <v/>
      </c>
      <c r="W105" s="7">
        <f>LAVORAZIONI!AC357</f>
        <v/>
      </c>
      <c r="X105" s="6">
        <f>LAVORAZIONI!AD357</f>
        <v/>
      </c>
      <c r="Y105" s="7">
        <f>LAVORAZIONI!AE357</f>
        <v/>
      </c>
      <c r="Z105" s="6">
        <f>LAVORAZIONI!AF357</f>
        <v/>
      </c>
      <c r="AA105" s="7">
        <f>LAVORAZIONI!AG357</f>
        <v/>
      </c>
      <c r="AB105" s="6">
        <f>LAVORAZIONI!AH357</f>
        <v/>
      </c>
      <c r="AC105" s="7">
        <f>LAVORAZIONI!AI357</f>
        <v/>
      </c>
      <c r="AD105" s="13">
        <f>LAVORAZIONI!AJ357</f>
        <v/>
      </c>
    </row>
    <row r="106" ht="64" customHeight="1" s="35">
      <c r="B106" s="4">
        <f>LAVORAZIONI!G358</f>
        <v/>
      </c>
      <c r="C106" s="3">
        <f>LAVORAZIONI!A358</f>
        <v/>
      </c>
      <c r="D106" s="3">
        <f>LAVORAZIONI!K358</f>
        <v/>
      </c>
      <c r="E106" s="4">
        <f>LAVORAZIONI!H358</f>
        <v/>
      </c>
      <c r="F106" s="4">
        <f>LAVORAZIONI!M358</f>
        <v/>
      </c>
      <c r="G106" s="5">
        <f>LAVORAZIONI!N358</f>
        <v/>
      </c>
      <c r="H106" s="6">
        <f>LAVORAZIONI!O358</f>
        <v/>
      </c>
      <c r="I106" s="13">
        <f>LAVORAZIONI!P358</f>
        <v/>
      </c>
      <c r="J106" s="5">
        <f>IF(LAVORAZIONI!Q358="","",LAVORAZIONI!Q358)</f>
        <v/>
      </c>
      <c r="K106" s="6">
        <f>IF(LAVORAZIONI!R358="","",LAVORAZIONI!R358)</f>
        <v/>
      </c>
      <c r="L106" s="13">
        <f>IF(LAVORAZIONI!S358="","",LAVORAZIONI!S358)</f>
        <v/>
      </c>
      <c r="M106" s="13">
        <f>LAVORAZIONI!T358</f>
        <v/>
      </c>
      <c r="O106" s="7">
        <f>LAVORAZIONI!U358</f>
        <v/>
      </c>
      <c r="P106" s="37">
        <f>LAVORAZIONI!V358</f>
        <v/>
      </c>
      <c r="Q106" s="7">
        <f>LAVORAZIONI!W358</f>
        <v/>
      </c>
      <c r="R106" s="6">
        <f>LAVORAZIONI!X358</f>
        <v/>
      </c>
      <c r="S106" s="7">
        <f>LAVORAZIONI!Y358</f>
        <v/>
      </c>
      <c r="T106" s="6">
        <f>LAVORAZIONI!Z358</f>
        <v/>
      </c>
      <c r="U106" s="7">
        <f>LAVORAZIONI!AA358</f>
        <v/>
      </c>
      <c r="V106" s="6">
        <f>LAVORAZIONI!AB358</f>
        <v/>
      </c>
      <c r="W106" s="7">
        <f>LAVORAZIONI!AC358</f>
        <v/>
      </c>
      <c r="X106" s="6">
        <f>LAVORAZIONI!AD358</f>
        <v/>
      </c>
      <c r="Y106" s="7">
        <f>LAVORAZIONI!AE358</f>
        <v/>
      </c>
      <c r="Z106" s="6">
        <f>LAVORAZIONI!AF358</f>
        <v/>
      </c>
      <c r="AA106" s="7">
        <f>LAVORAZIONI!AG358</f>
        <v/>
      </c>
      <c r="AB106" s="6">
        <f>LAVORAZIONI!AH358</f>
        <v/>
      </c>
      <c r="AC106" s="7">
        <f>LAVORAZIONI!AI358</f>
        <v/>
      </c>
      <c r="AD106" s="13">
        <f>LAVORAZIONI!AJ358</f>
        <v/>
      </c>
    </row>
    <row r="107" ht="64" customHeight="1" s="35">
      <c r="B107" s="4">
        <f>LAVORAZIONI!G359</f>
        <v/>
      </c>
      <c r="C107" s="3">
        <f>LAVORAZIONI!A359</f>
        <v/>
      </c>
      <c r="D107" s="3">
        <f>LAVORAZIONI!K359</f>
        <v/>
      </c>
      <c r="E107" s="4">
        <f>LAVORAZIONI!H359</f>
        <v/>
      </c>
      <c r="F107" s="4">
        <f>LAVORAZIONI!M359</f>
        <v/>
      </c>
      <c r="G107" s="5">
        <f>LAVORAZIONI!N359</f>
        <v/>
      </c>
      <c r="H107" s="6">
        <f>LAVORAZIONI!O359</f>
        <v/>
      </c>
      <c r="I107" s="13">
        <f>LAVORAZIONI!P359</f>
        <v/>
      </c>
      <c r="J107" s="5">
        <f>IF(LAVORAZIONI!Q359="","",LAVORAZIONI!Q359)</f>
        <v/>
      </c>
      <c r="K107" s="6">
        <f>IF(LAVORAZIONI!R359="","",LAVORAZIONI!R359)</f>
        <v/>
      </c>
      <c r="L107" s="13">
        <f>IF(LAVORAZIONI!S359="","",LAVORAZIONI!S359)</f>
        <v/>
      </c>
      <c r="M107" s="13">
        <f>LAVORAZIONI!T359</f>
        <v/>
      </c>
      <c r="O107" s="7">
        <f>LAVORAZIONI!U359</f>
        <v/>
      </c>
      <c r="P107" s="37">
        <f>LAVORAZIONI!V359</f>
        <v/>
      </c>
      <c r="Q107" s="7">
        <f>LAVORAZIONI!W359</f>
        <v/>
      </c>
      <c r="R107" s="6">
        <f>LAVORAZIONI!X359</f>
        <v/>
      </c>
      <c r="S107" s="7">
        <f>LAVORAZIONI!Y359</f>
        <v/>
      </c>
      <c r="T107" s="6">
        <f>LAVORAZIONI!Z359</f>
        <v/>
      </c>
      <c r="U107" s="7">
        <f>LAVORAZIONI!AA359</f>
        <v/>
      </c>
      <c r="V107" s="6">
        <f>LAVORAZIONI!AB359</f>
        <v/>
      </c>
      <c r="W107" s="7">
        <f>LAVORAZIONI!AC359</f>
        <v/>
      </c>
      <c r="X107" s="6">
        <f>LAVORAZIONI!AD359</f>
        <v/>
      </c>
      <c r="Y107" s="7">
        <f>LAVORAZIONI!AE359</f>
        <v/>
      </c>
      <c r="Z107" s="6">
        <f>LAVORAZIONI!AF359</f>
        <v/>
      </c>
      <c r="AA107" s="7">
        <f>LAVORAZIONI!AG359</f>
        <v/>
      </c>
      <c r="AB107" s="6">
        <f>LAVORAZIONI!AH359</f>
        <v/>
      </c>
      <c r="AC107" s="7">
        <f>LAVORAZIONI!AI359</f>
        <v/>
      </c>
      <c r="AD107" s="13">
        <f>LAVORAZIONI!AJ359</f>
        <v/>
      </c>
    </row>
    <row r="108" ht="64" customHeight="1" s="35">
      <c r="B108" s="4">
        <f>LAVORAZIONI!G360</f>
        <v/>
      </c>
      <c r="C108" s="3">
        <f>LAVORAZIONI!A360</f>
        <v/>
      </c>
      <c r="D108" s="3">
        <f>LAVORAZIONI!K360</f>
        <v/>
      </c>
      <c r="E108" s="4">
        <f>LAVORAZIONI!H360</f>
        <v/>
      </c>
      <c r="F108" s="4">
        <f>LAVORAZIONI!M360</f>
        <v/>
      </c>
      <c r="G108" s="5">
        <f>LAVORAZIONI!N360</f>
        <v/>
      </c>
      <c r="H108" s="6">
        <f>LAVORAZIONI!O360</f>
        <v/>
      </c>
      <c r="I108" s="13">
        <f>LAVORAZIONI!P360</f>
        <v/>
      </c>
      <c r="J108" s="5">
        <f>IF(LAVORAZIONI!Q360="","",LAVORAZIONI!Q360)</f>
        <v/>
      </c>
      <c r="K108" s="6">
        <f>IF(LAVORAZIONI!R360="","",LAVORAZIONI!R360)</f>
        <v/>
      </c>
      <c r="L108" s="13">
        <f>IF(LAVORAZIONI!S360="","",LAVORAZIONI!S360)</f>
        <v/>
      </c>
      <c r="M108" s="13">
        <f>LAVORAZIONI!T360</f>
        <v/>
      </c>
      <c r="O108" s="7">
        <f>LAVORAZIONI!U360</f>
        <v/>
      </c>
      <c r="P108" s="37">
        <f>LAVORAZIONI!V360</f>
        <v/>
      </c>
      <c r="Q108" s="7">
        <f>LAVORAZIONI!W360</f>
        <v/>
      </c>
      <c r="R108" s="6">
        <f>LAVORAZIONI!X360</f>
        <v/>
      </c>
      <c r="S108" s="7">
        <f>LAVORAZIONI!Y360</f>
        <v/>
      </c>
      <c r="T108" s="6">
        <f>LAVORAZIONI!Z360</f>
        <v/>
      </c>
      <c r="U108" s="7">
        <f>LAVORAZIONI!AA360</f>
        <v/>
      </c>
      <c r="V108" s="6">
        <f>LAVORAZIONI!AB360</f>
        <v/>
      </c>
      <c r="W108" s="7">
        <f>LAVORAZIONI!AC360</f>
        <v/>
      </c>
      <c r="X108" s="6">
        <f>LAVORAZIONI!AD360</f>
        <v/>
      </c>
      <c r="Y108" s="7">
        <f>LAVORAZIONI!AE360</f>
        <v/>
      </c>
      <c r="Z108" s="6">
        <f>LAVORAZIONI!AF360</f>
        <v/>
      </c>
      <c r="AA108" s="7">
        <f>LAVORAZIONI!AG360</f>
        <v/>
      </c>
      <c r="AB108" s="6">
        <f>LAVORAZIONI!AH360</f>
        <v/>
      </c>
      <c r="AC108" s="7">
        <f>LAVORAZIONI!AI360</f>
        <v/>
      </c>
      <c r="AD108" s="13">
        <f>LAVORAZIONI!AJ360</f>
        <v/>
      </c>
    </row>
    <row r="109" ht="64" customHeight="1" s="35">
      <c r="B109" s="4">
        <f>LAVORAZIONI!G361</f>
        <v/>
      </c>
      <c r="C109" s="3">
        <f>LAVORAZIONI!A361</f>
        <v/>
      </c>
      <c r="D109" s="3">
        <f>LAVORAZIONI!K361</f>
        <v/>
      </c>
      <c r="E109" s="4">
        <f>LAVORAZIONI!H361</f>
        <v/>
      </c>
      <c r="F109" s="4">
        <f>LAVORAZIONI!M361</f>
        <v/>
      </c>
      <c r="G109" s="5">
        <f>LAVORAZIONI!N361</f>
        <v/>
      </c>
      <c r="H109" s="6">
        <f>LAVORAZIONI!O361</f>
        <v/>
      </c>
      <c r="I109" s="13">
        <f>LAVORAZIONI!P361</f>
        <v/>
      </c>
      <c r="J109" s="5">
        <f>IF(LAVORAZIONI!Q361="","",LAVORAZIONI!Q361)</f>
        <v/>
      </c>
      <c r="K109" s="6">
        <f>IF(LAVORAZIONI!R361="","",LAVORAZIONI!R361)</f>
        <v/>
      </c>
      <c r="L109" s="13">
        <f>IF(LAVORAZIONI!S361="","",LAVORAZIONI!S361)</f>
        <v/>
      </c>
      <c r="M109" s="13">
        <f>LAVORAZIONI!T361</f>
        <v/>
      </c>
      <c r="O109" s="7">
        <f>LAVORAZIONI!U361</f>
        <v/>
      </c>
      <c r="P109" s="37">
        <f>LAVORAZIONI!V361</f>
        <v/>
      </c>
      <c r="Q109" s="7">
        <f>LAVORAZIONI!W361</f>
        <v/>
      </c>
      <c r="R109" s="6">
        <f>LAVORAZIONI!X361</f>
        <v/>
      </c>
      <c r="S109" s="7">
        <f>LAVORAZIONI!Y361</f>
        <v/>
      </c>
      <c r="T109" s="6">
        <f>LAVORAZIONI!Z361</f>
        <v/>
      </c>
      <c r="U109" s="7">
        <f>LAVORAZIONI!AA361</f>
        <v/>
      </c>
      <c r="V109" s="6">
        <f>LAVORAZIONI!AB361</f>
        <v/>
      </c>
      <c r="W109" s="7">
        <f>LAVORAZIONI!AC361</f>
        <v/>
      </c>
      <c r="X109" s="6">
        <f>LAVORAZIONI!AD361</f>
        <v/>
      </c>
      <c r="Y109" s="7">
        <f>LAVORAZIONI!AE361</f>
        <v/>
      </c>
      <c r="Z109" s="6">
        <f>LAVORAZIONI!AF361</f>
        <v/>
      </c>
      <c r="AA109" s="7">
        <f>LAVORAZIONI!AG361</f>
        <v/>
      </c>
      <c r="AB109" s="6">
        <f>LAVORAZIONI!AH361</f>
        <v/>
      </c>
      <c r="AC109" s="7">
        <f>LAVORAZIONI!AI361</f>
        <v/>
      </c>
      <c r="AD109" s="13">
        <f>LAVORAZIONI!AJ361</f>
        <v/>
      </c>
    </row>
    <row r="110" ht="64" customHeight="1" s="35">
      <c r="B110" s="4">
        <f>LAVORAZIONI!G362</f>
        <v/>
      </c>
      <c r="C110" s="3">
        <f>LAVORAZIONI!A362</f>
        <v/>
      </c>
      <c r="D110" s="3">
        <f>LAVORAZIONI!K362</f>
        <v/>
      </c>
      <c r="E110" s="4">
        <f>LAVORAZIONI!H362</f>
        <v/>
      </c>
      <c r="F110" s="4">
        <f>LAVORAZIONI!M362</f>
        <v/>
      </c>
      <c r="G110" s="5">
        <f>LAVORAZIONI!N362</f>
        <v/>
      </c>
      <c r="H110" s="6">
        <f>LAVORAZIONI!O362</f>
        <v/>
      </c>
      <c r="I110" s="13">
        <f>LAVORAZIONI!P362</f>
        <v/>
      </c>
      <c r="J110" s="5">
        <f>IF(LAVORAZIONI!Q362="","",LAVORAZIONI!Q362)</f>
        <v/>
      </c>
      <c r="K110" s="6">
        <f>IF(LAVORAZIONI!R362="","",LAVORAZIONI!R362)</f>
        <v/>
      </c>
      <c r="L110" s="13">
        <f>IF(LAVORAZIONI!S362="","",LAVORAZIONI!S362)</f>
        <v/>
      </c>
      <c r="M110" s="13">
        <f>LAVORAZIONI!T362</f>
        <v/>
      </c>
      <c r="O110" s="7">
        <f>LAVORAZIONI!U362</f>
        <v/>
      </c>
      <c r="P110" s="37">
        <f>LAVORAZIONI!V362</f>
        <v/>
      </c>
      <c r="Q110" s="7">
        <f>LAVORAZIONI!W362</f>
        <v/>
      </c>
      <c r="R110" s="6">
        <f>LAVORAZIONI!X362</f>
        <v/>
      </c>
      <c r="S110" s="7">
        <f>LAVORAZIONI!Y362</f>
        <v/>
      </c>
      <c r="T110" s="6">
        <f>LAVORAZIONI!Z362</f>
        <v/>
      </c>
      <c r="U110" s="7">
        <f>LAVORAZIONI!AA362</f>
        <v/>
      </c>
      <c r="V110" s="6">
        <f>LAVORAZIONI!AB362</f>
        <v/>
      </c>
      <c r="W110" s="7">
        <f>LAVORAZIONI!AC362</f>
        <v/>
      </c>
      <c r="X110" s="6">
        <f>LAVORAZIONI!AD362</f>
        <v/>
      </c>
      <c r="Y110" s="7">
        <f>LAVORAZIONI!AE362</f>
        <v/>
      </c>
      <c r="Z110" s="6">
        <f>LAVORAZIONI!AF362</f>
        <v/>
      </c>
      <c r="AA110" s="7">
        <f>LAVORAZIONI!AG362</f>
        <v/>
      </c>
      <c r="AB110" s="6">
        <f>LAVORAZIONI!AH362</f>
        <v/>
      </c>
      <c r="AC110" s="7">
        <f>LAVORAZIONI!AI362</f>
        <v/>
      </c>
      <c r="AD110" s="13">
        <f>LAVORAZIONI!AJ362</f>
        <v/>
      </c>
    </row>
    <row r="111" ht="64" customHeight="1" s="35">
      <c r="B111" s="4">
        <f>LAVORAZIONI!G363</f>
        <v/>
      </c>
      <c r="C111" s="3">
        <f>LAVORAZIONI!A363</f>
        <v/>
      </c>
      <c r="D111" s="3">
        <f>LAVORAZIONI!K363</f>
        <v/>
      </c>
      <c r="E111" s="4">
        <f>LAVORAZIONI!H363</f>
        <v/>
      </c>
      <c r="F111" s="4">
        <f>LAVORAZIONI!M363</f>
        <v/>
      </c>
      <c r="G111" s="5">
        <f>LAVORAZIONI!N363</f>
        <v/>
      </c>
      <c r="H111" s="6">
        <f>LAVORAZIONI!O363</f>
        <v/>
      </c>
      <c r="I111" s="13">
        <f>LAVORAZIONI!P363</f>
        <v/>
      </c>
      <c r="J111" s="5">
        <f>IF(LAVORAZIONI!Q363="","",LAVORAZIONI!Q363)</f>
        <v/>
      </c>
      <c r="K111" s="6">
        <f>IF(LAVORAZIONI!R363="","",LAVORAZIONI!R363)</f>
        <v/>
      </c>
      <c r="L111" s="13">
        <f>IF(LAVORAZIONI!S363="","",LAVORAZIONI!S363)</f>
        <v/>
      </c>
      <c r="M111" s="13">
        <f>LAVORAZIONI!T363</f>
        <v/>
      </c>
      <c r="O111" s="7">
        <f>LAVORAZIONI!U363</f>
        <v/>
      </c>
      <c r="P111" s="37">
        <f>LAVORAZIONI!V363</f>
        <v/>
      </c>
      <c r="Q111" s="7">
        <f>LAVORAZIONI!W363</f>
        <v/>
      </c>
      <c r="R111" s="6">
        <f>LAVORAZIONI!X363</f>
        <v/>
      </c>
      <c r="S111" s="7">
        <f>LAVORAZIONI!Y363</f>
        <v/>
      </c>
      <c r="T111" s="6">
        <f>LAVORAZIONI!Z363</f>
        <v/>
      </c>
      <c r="U111" s="7">
        <f>LAVORAZIONI!AA363</f>
        <v/>
      </c>
      <c r="V111" s="6">
        <f>LAVORAZIONI!AB363</f>
        <v/>
      </c>
      <c r="W111" s="7">
        <f>LAVORAZIONI!AC363</f>
        <v/>
      </c>
      <c r="X111" s="6">
        <f>LAVORAZIONI!AD363</f>
        <v/>
      </c>
      <c r="Y111" s="7">
        <f>LAVORAZIONI!AE363</f>
        <v/>
      </c>
      <c r="Z111" s="6">
        <f>LAVORAZIONI!AF363</f>
        <v/>
      </c>
      <c r="AA111" s="7">
        <f>LAVORAZIONI!AG363</f>
        <v/>
      </c>
      <c r="AB111" s="6">
        <f>LAVORAZIONI!AH363</f>
        <v/>
      </c>
      <c r="AC111" s="7">
        <f>LAVORAZIONI!AI363</f>
        <v/>
      </c>
      <c r="AD111" s="13">
        <f>LAVORAZIONI!AJ363</f>
        <v/>
      </c>
    </row>
    <row r="112" ht="64" customHeight="1" s="35">
      <c r="B112" s="4">
        <f>LAVORAZIONI!G364</f>
        <v/>
      </c>
      <c r="C112" s="3">
        <f>LAVORAZIONI!A364</f>
        <v/>
      </c>
      <c r="D112" s="3">
        <f>LAVORAZIONI!K364</f>
        <v/>
      </c>
      <c r="E112" s="4">
        <f>LAVORAZIONI!H364</f>
        <v/>
      </c>
      <c r="F112" s="4">
        <f>LAVORAZIONI!M364</f>
        <v/>
      </c>
      <c r="G112" s="5">
        <f>LAVORAZIONI!N364</f>
        <v/>
      </c>
      <c r="H112" s="6">
        <f>LAVORAZIONI!O364</f>
        <v/>
      </c>
      <c r="I112" s="13">
        <f>LAVORAZIONI!P364</f>
        <v/>
      </c>
      <c r="J112" s="5">
        <f>IF(LAVORAZIONI!Q364="","",LAVORAZIONI!Q364)</f>
        <v/>
      </c>
      <c r="K112" s="6">
        <f>IF(LAVORAZIONI!R364="","",LAVORAZIONI!R364)</f>
        <v/>
      </c>
      <c r="L112" s="13">
        <f>IF(LAVORAZIONI!S364="","",LAVORAZIONI!S364)</f>
        <v/>
      </c>
      <c r="M112" s="13">
        <f>LAVORAZIONI!T364</f>
        <v/>
      </c>
      <c r="O112" s="7">
        <f>LAVORAZIONI!U364</f>
        <v/>
      </c>
      <c r="P112" s="37">
        <f>LAVORAZIONI!V364</f>
        <v/>
      </c>
      <c r="Q112" s="7">
        <f>LAVORAZIONI!W364</f>
        <v/>
      </c>
      <c r="R112" s="6">
        <f>LAVORAZIONI!X364</f>
        <v/>
      </c>
      <c r="S112" s="7">
        <f>LAVORAZIONI!Y364</f>
        <v/>
      </c>
      <c r="T112" s="6">
        <f>LAVORAZIONI!Z364</f>
        <v/>
      </c>
      <c r="U112" s="7">
        <f>LAVORAZIONI!AA364</f>
        <v/>
      </c>
      <c r="V112" s="6">
        <f>LAVORAZIONI!AB364</f>
        <v/>
      </c>
      <c r="W112" s="7">
        <f>LAVORAZIONI!AC364</f>
        <v/>
      </c>
      <c r="X112" s="6">
        <f>LAVORAZIONI!AD364</f>
        <v/>
      </c>
      <c r="Y112" s="7">
        <f>LAVORAZIONI!AE364</f>
        <v/>
      </c>
      <c r="Z112" s="6">
        <f>LAVORAZIONI!AF364</f>
        <v/>
      </c>
      <c r="AA112" s="7">
        <f>LAVORAZIONI!AG364</f>
        <v/>
      </c>
      <c r="AB112" s="6">
        <f>LAVORAZIONI!AH364</f>
        <v/>
      </c>
      <c r="AC112" s="7">
        <f>LAVORAZIONI!AI364</f>
        <v/>
      </c>
      <c r="AD112" s="13">
        <f>LAVORAZIONI!AJ364</f>
        <v/>
      </c>
    </row>
    <row r="113" ht="64" customHeight="1" s="35">
      <c r="B113" s="4">
        <f>LAVORAZIONI!G365</f>
        <v/>
      </c>
      <c r="C113" s="3">
        <f>LAVORAZIONI!A365</f>
        <v/>
      </c>
      <c r="D113" s="3">
        <f>LAVORAZIONI!K365</f>
        <v/>
      </c>
      <c r="E113" s="4">
        <f>LAVORAZIONI!H365</f>
        <v/>
      </c>
      <c r="F113" s="4">
        <f>LAVORAZIONI!M365</f>
        <v/>
      </c>
      <c r="G113" s="5">
        <f>LAVORAZIONI!N365</f>
        <v/>
      </c>
      <c r="H113" s="6">
        <f>LAVORAZIONI!O365</f>
        <v/>
      </c>
      <c r="I113" s="13">
        <f>LAVORAZIONI!P365</f>
        <v/>
      </c>
      <c r="J113" s="5">
        <f>IF(LAVORAZIONI!Q365="","",LAVORAZIONI!Q365)</f>
        <v/>
      </c>
      <c r="K113" s="6">
        <f>IF(LAVORAZIONI!R365="","",LAVORAZIONI!R365)</f>
        <v/>
      </c>
      <c r="L113" s="13">
        <f>IF(LAVORAZIONI!S365="","",LAVORAZIONI!S365)</f>
        <v/>
      </c>
      <c r="M113" s="13">
        <f>LAVORAZIONI!T365</f>
        <v/>
      </c>
      <c r="O113" s="7">
        <f>LAVORAZIONI!U365</f>
        <v/>
      </c>
      <c r="P113" s="37">
        <f>LAVORAZIONI!V365</f>
        <v/>
      </c>
      <c r="Q113" s="7">
        <f>LAVORAZIONI!W365</f>
        <v/>
      </c>
      <c r="R113" s="6">
        <f>LAVORAZIONI!X365</f>
        <v/>
      </c>
      <c r="S113" s="7">
        <f>LAVORAZIONI!Y365</f>
        <v/>
      </c>
      <c r="T113" s="6">
        <f>LAVORAZIONI!Z365</f>
        <v/>
      </c>
      <c r="U113" s="7">
        <f>LAVORAZIONI!AA365</f>
        <v/>
      </c>
      <c r="V113" s="6">
        <f>LAVORAZIONI!AB365</f>
        <v/>
      </c>
      <c r="W113" s="7">
        <f>LAVORAZIONI!AC365</f>
        <v/>
      </c>
      <c r="X113" s="6">
        <f>LAVORAZIONI!AD365</f>
        <v/>
      </c>
      <c r="Y113" s="7">
        <f>LAVORAZIONI!AE365</f>
        <v/>
      </c>
      <c r="Z113" s="6">
        <f>LAVORAZIONI!AF365</f>
        <v/>
      </c>
      <c r="AA113" s="7">
        <f>LAVORAZIONI!AG365</f>
        <v/>
      </c>
      <c r="AB113" s="6">
        <f>LAVORAZIONI!AH365</f>
        <v/>
      </c>
      <c r="AC113" s="7">
        <f>LAVORAZIONI!AI365</f>
        <v/>
      </c>
      <c r="AD113" s="13">
        <f>LAVORAZIONI!AJ365</f>
        <v/>
      </c>
    </row>
    <row r="114" ht="64" customHeight="1" s="35">
      <c r="B114" s="4">
        <f>LAVORAZIONI!G366</f>
        <v/>
      </c>
      <c r="C114" s="3">
        <f>LAVORAZIONI!A366</f>
        <v/>
      </c>
      <c r="D114" s="3">
        <f>LAVORAZIONI!K366</f>
        <v/>
      </c>
      <c r="E114" s="4">
        <f>LAVORAZIONI!H366</f>
        <v/>
      </c>
      <c r="F114" s="4">
        <f>LAVORAZIONI!M366</f>
        <v/>
      </c>
      <c r="G114" s="5">
        <f>LAVORAZIONI!N366</f>
        <v/>
      </c>
      <c r="H114" s="6">
        <f>LAVORAZIONI!O366</f>
        <v/>
      </c>
      <c r="I114" s="13">
        <f>LAVORAZIONI!P366</f>
        <v/>
      </c>
      <c r="J114" s="5">
        <f>IF(LAVORAZIONI!Q366="","",LAVORAZIONI!Q366)</f>
        <v/>
      </c>
      <c r="K114" s="6">
        <f>IF(LAVORAZIONI!R366="","",LAVORAZIONI!R366)</f>
        <v/>
      </c>
      <c r="L114" s="13">
        <f>IF(LAVORAZIONI!S366="","",LAVORAZIONI!S366)</f>
        <v/>
      </c>
      <c r="M114" s="13">
        <f>LAVORAZIONI!T366</f>
        <v/>
      </c>
      <c r="O114" s="7">
        <f>LAVORAZIONI!U366</f>
        <v/>
      </c>
      <c r="P114" s="37">
        <f>LAVORAZIONI!V366</f>
        <v/>
      </c>
      <c r="Q114" s="7">
        <f>LAVORAZIONI!W366</f>
        <v/>
      </c>
      <c r="R114" s="6">
        <f>LAVORAZIONI!X366</f>
        <v/>
      </c>
      <c r="S114" s="7">
        <f>LAVORAZIONI!Y366</f>
        <v/>
      </c>
      <c r="T114" s="6">
        <f>LAVORAZIONI!Z366</f>
        <v/>
      </c>
      <c r="U114" s="7">
        <f>LAVORAZIONI!AA366</f>
        <v/>
      </c>
      <c r="V114" s="6">
        <f>LAVORAZIONI!AB366</f>
        <v/>
      </c>
      <c r="W114" s="7">
        <f>LAVORAZIONI!AC366</f>
        <v/>
      </c>
      <c r="X114" s="6">
        <f>LAVORAZIONI!AD366</f>
        <v/>
      </c>
      <c r="Y114" s="7">
        <f>LAVORAZIONI!AE366</f>
        <v/>
      </c>
      <c r="Z114" s="6">
        <f>LAVORAZIONI!AF366</f>
        <v/>
      </c>
      <c r="AA114" s="7">
        <f>LAVORAZIONI!AG366</f>
        <v/>
      </c>
      <c r="AB114" s="6">
        <f>LAVORAZIONI!AH366</f>
        <v/>
      </c>
      <c r="AC114" s="7">
        <f>LAVORAZIONI!AI366</f>
        <v/>
      </c>
      <c r="AD114" s="13">
        <f>LAVORAZIONI!AJ366</f>
        <v/>
      </c>
    </row>
    <row r="115" ht="64" customHeight="1" s="35">
      <c r="B115" s="4">
        <f>LAVORAZIONI!G367</f>
        <v/>
      </c>
      <c r="C115" s="3">
        <f>LAVORAZIONI!A367</f>
        <v/>
      </c>
      <c r="D115" s="3">
        <f>LAVORAZIONI!K367</f>
        <v/>
      </c>
      <c r="E115" s="4">
        <f>LAVORAZIONI!H367</f>
        <v/>
      </c>
      <c r="F115" s="4">
        <f>LAVORAZIONI!M367</f>
        <v/>
      </c>
      <c r="G115" s="5">
        <f>LAVORAZIONI!N367</f>
        <v/>
      </c>
      <c r="H115" s="6">
        <f>LAVORAZIONI!O367</f>
        <v/>
      </c>
      <c r="I115" s="13">
        <f>LAVORAZIONI!P367</f>
        <v/>
      </c>
      <c r="J115" s="5">
        <f>IF(LAVORAZIONI!Q367="","",LAVORAZIONI!Q367)</f>
        <v/>
      </c>
      <c r="K115" s="6">
        <f>IF(LAVORAZIONI!R367="","",LAVORAZIONI!R367)</f>
        <v/>
      </c>
      <c r="L115" s="13">
        <f>IF(LAVORAZIONI!S367="","",LAVORAZIONI!S367)</f>
        <v/>
      </c>
      <c r="M115" s="13">
        <f>LAVORAZIONI!T367</f>
        <v/>
      </c>
      <c r="O115" s="7">
        <f>LAVORAZIONI!U367</f>
        <v/>
      </c>
      <c r="P115" s="37">
        <f>LAVORAZIONI!V367</f>
        <v/>
      </c>
      <c r="Q115" s="7">
        <f>LAVORAZIONI!W367</f>
        <v/>
      </c>
      <c r="R115" s="6">
        <f>LAVORAZIONI!X367</f>
        <v/>
      </c>
      <c r="S115" s="7">
        <f>LAVORAZIONI!Y367</f>
        <v/>
      </c>
      <c r="T115" s="6">
        <f>LAVORAZIONI!Z367</f>
        <v/>
      </c>
      <c r="U115" s="7">
        <f>LAVORAZIONI!AA367</f>
        <v/>
      </c>
      <c r="V115" s="6">
        <f>LAVORAZIONI!AB367</f>
        <v/>
      </c>
      <c r="W115" s="7">
        <f>LAVORAZIONI!AC367</f>
        <v/>
      </c>
      <c r="X115" s="6">
        <f>LAVORAZIONI!AD367</f>
        <v/>
      </c>
      <c r="Y115" s="7">
        <f>LAVORAZIONI!AE367</f>
        <v/>
      </c>
      <c r="Z115" s="6">
        <f>LAVORAZIONI!AF367</f>
        <v/>
      </c>
      <c r="AA115" s="7">
        <f>LAVORAZIONI!AG367</f>
        <v/>
      </c>
      <c r="AB115" s="6">
        <f>LAVORAZIONI!AH367</f>
        <v/>
      </c>
      <c r="AC115" s="7">
        <f>LAVORAZIONI!AI367</f>
        <v/>
      </c>
      <c r="AD115" s="13">
        <f>LAVORAZIONI!AJ367</f>
        <v/>
      </c>
    </row>
    <row r="116" ht="64" customHeight="1" s="35">
      <c r="B116" s="4">
        <f>LAVORAZIONI!G368</f>
        <v/>
      </c>
      <c r="C116" s="3">
        <f>LAVORAZIONI!A368</f>
        <v/>
      </c>
      <c r="D116" s="3">
        <f>LAVORAZIONI!K368</f>
        <v/>
      </c>
      <c r="E116" s="4">
        <f>LAVORAZIONI!H368</f>
        <v/>
      </c>
      <c r="F116" s="4">
        <f>LAVORAZIONI!M368</f>
        <v/>
      </c>
      <c r="G116" s="5">
        <f>LAVORAZIONI!N368</f>
        <v/>
      </c>
      <c r="H116" s="6">
        <f>LAVORAZIONI!O368</f>
        <v/>
      </c>
      <c r="I116" s="13">
        <f>LAVORAZIONI!P368</f>
        <v/>
      </c>
      <c r="J116" s="5">
        <f>IF(LAVORAZIONI!Q368="","",LAVORAZIONI!Q368)</f>
        <v/>
      </c>
      <c r="K116" s="6">
        <f>IF(LAVORAZIONI!R368="","",LAVORAZIONI!R368)</f>
        <v/>
      </c>
      <c r="L116" s="13">
        <f>IF(LAVORAZIONI!S368="","",LAVORAZIONI!S368)</f>
        <v/>
      </c>
      <c r="M116" s="13">
        <f>LAVORAZIONI!T368</f>
        <v/>
      </c>
      <c r="O116" s="7">
        <f>LAVORAZIONI!U368</f>
        <v/>
      </c>
      <c r="P116" s="37">
        <f>LAVORAZIONI!V368</f>
        <v/>
      </c>
      <c r="Q116" s="7">
        <f>LAVORAZIONI!W368</f>
        <v/>
      </c>
      <c r="R116" s="6">
        <f>LAVORAZIONI!X368</f>
        <v/>
      </c>
      <c r="S116" s="7">
        <f>LAVORAZIONI!Y368</f>
        <v/>
      </c>
      <c r="T116" s="6">
        <f>LAVORAZIONI!Z368</f>
        <v/>
      </c>
      <c r="U116" s="7">
        <f>LAVORAZIONI!AA368</f>
        <v/>
      </c>
      <c r="V116" s="6">
        <f>LAVORAZIONI!AB368</f>
        <v/>
      </c>
      <c r="W116" s="7">
        <f>LAVORAZIONI!AC368</f>
        <v/>
      </c>
      <c r="X116" s="6">
        <f>LAVORAZIONI!AD368</f>
        <v/>
      </c>
      <c r="Y116" s="7">
        <f>LAVORAZIONI!AE368</f>
        <v/>
      </c>
      <c r="Z116" s="6">
        <f>LAVORAZIONI!AF368</f>
        <v/>
      </c>
      <c r="AA116" s="7">
        <f>LAVORAZIONI!AG368</f>
        <v/>
      </c>
      <c r="AB116" s="6">
        <f>LAVORAZIONI!AH368</f>
        <v/>
      </c>
      <c r="AC116" s="7">
        <f>LAVORAZIONI!AI368</f>
        <v/>
      </c>
      <c r="AD116" s="13">
        <f>LAVORAZIONI!AJ368</f>
        <v/>
      </c>
    </row>
    <row r="117" ht="64" customHeight="1" s="35">
      <c r="B117" s="4">
        <f>LAVORAZIONI!G369</f>
        <v/>
      </c>
      <c r="C117" s="3">
        <f>LAVORAZIONI!A369</f>
        <v/>
      </c>
      <c r="D117" s="3">
        <f>LAVORAZIONI!K369</f>
        <v/>
      </c>
      <c r="E117" s="4">
        <f>LAVORAZIONI!H369</f>
        <v/>
      </c>
      <c r="F117" s="4">
        <f>LAVORAZIONI!M369</f>
        <v/>
      </c>
      <c r="G117" s="5">
        <f>LAVORAZIONI!N369</f>
        <v/>
      </c>
      <c r="H117" s="6">
        <f>LAVORAZIONI!O369</f>
        <v/>
      </c>
      <c r="I117" s="13">
        <f>LAVORAZIONI!P369</f>
        <v/>
      </c>
      <c r="J117" s="5">
        <f>IF(LAVORAZIONI!Q369="","",LAVORAZIONI!Q369)</f>
        <v/>
      </c>
      <c r="K117" s="6">
        <f>IF(LAVORAZIONI!R369="","",LAVORAZIONI!R369)</f>
        <v/>
      </c>
      <c r="L117" s="13">
        <f>IF(LAVORAZIONI!S369="","",LAVORAZIONI!S369)</f>
        <v/>
      </c>
      <c r="M117" s="13">
        <f>LAVORAZIONI!T369</f>
        <v/>
      </c>
      <c r="O117" s="7">
        <f>LAVORAZIONI!U369</f>
        <v/>
      </c>
      <c r="P117" s="37">
        <f>LAVORAZIONI!V369</f>
        <v/>
      </c>
      <c r="Q117" s="7">
        <f>LAVORAZIONI!W369</f>
        <v/>
      </c>
      <c r="R117" s="6">
        <f>LAVORAZIONI!X369</f>
        <v/>
      </c>
      <c r="S117" s="7">
        <f>LAVORAZIONI!Y369</f>
        <v/>
      </c>
      <c r="T117" s="6">
        <f>LAVORAZIONI!Z369</f>
        <v/>
      </c>
      <c r="U117" s="7">
        <f>LAVORAZIONI!AA369</f>
        <v/>
      </c>
      <c r="V117" s="6">
        <f>LAVORAZIONI!AB369</f>
        <v/>
      </c>
      <c r="W117" s="7">
        <f>LAVORAZIONI!AC369</f>
        <v/>
      </c>
      <c r="X117" s="6">
        <f>LAVORAZIONI!AD369</f>
        <v/>
      </c>
      <c r="Y117" s="7">
        <f>LAVORAZIONI!AE369</f>
        <v/>
      </c>
      <c r="Z117" s="6">
        <f>LAVORAZIONI!AF369</f>
        <v/>
      </c>
      <c r="AA117" s="7">
        <f>LAVORAZIONI!AG369</f>
        <v/>
      </c>
      <c r="AB117" s="6">
        <f>LAVORAZIONI!AH369</f>
        <v/>
      </c>
      <c r="AC117" s="7">
        <f>LAVORAZIONI!AI369</f>
        <v/>
      </c>
      <c r="AD117" s="13">
        <f>LAVORAZIONI!AJ369</f>
        <v/>
      </c>
    </row>
    <row r="118" ht="64" customHeight="1" s="35">
      <c r="B118" s="4">
        <f>LAVORAZIONI!G370</f>
        <v/>
      </c>
      <c r="C118" s="3">
        <f>LAVORAZIONI!A370</f>
        <v/>
      </c>
      <c r="D118" s="3">
        <f>LAVORAZIONI!K370</f>
        <v/>
      </c>
      <c r="E118" s="4">
        <f>LAVORAZIONI!H370</f>
        <v/>
      </c>
      <c r="F118" s="4">
        <f>LAVORAZIONI!M370</f>
        <v/>
      </c>
      <c r="G118" s="5">
        <f>LAVORAZIONI!N370</f>
        <v/>
      </c>
      <c r="H118" s="6">
        <f>LAVORAZIONI!O370</f>
        <v/>
      </c>
      <c r="I118" s="13">
        <f>LAVORAZIONI!P370</f>
        <v/>
      </c>
      <c r="J118" s="5">
        <f>IF(LAVORAZIONI!Q370="","",LAVORAZIONI!Q370)</f>
        <v/>
      </c>
      <c r="K118" s="6">
        <f>IF(LAVORAZIONI!R370="","",LAVORAZIONI!R370)</f>
        <v/>
      </c>
      <c r="L118" s="13">
        <f>IF(LAVORAZIONI!S370="","",LAVORAZIONI!S370)</f>
        <v/>
      </c>
      <c r="M118" s="13">
        <f>LAVORAZIONI!T370</f>
        <v/>
      </c>
      <c r="O118" s="7">
        <f>LAVORAZIONI!U370</f>
        <v/>
      </c>
      <c r="P118" s="37">
        <f>LAVORAZIONI!V370</f>
        <v/>
      </c>
      <c r="Q118" s="7">
        <f>LAVORAZIONI!W370</f>
        <v/>
      </c>
      <c r="R118" s="6">
        <f>LAVORAZIONI!X370</f>
        <v/>
      </c>
      <c r="S118" s="7">
        <f>LAVORAZIONI!Y370</f>
        <v/>
      </c>
      <c r="T118" s="6">
        <f>LAVORAZIONI!Z370</f>
        <v/>
      </c>
      <c r="U118" s="7">
        <f>LAVORAZIONI!AA370</f>
        <v/>
      </c>
      <c r="V118" s="6">
        <f>LAVORAZIONI!AB370</f>
        <v/>
      </c>
      <c r="W118" s="7">
        <f>LAVORAZIONI!AC370</f>
        <v/>
      </c>
      <c r="X118" s="6">
        <f>LAVORAZIONI!AD370</f>
        <v/>
      </c>
      <c r="Y118" s="7">
        <f>LAVORAZIONI!AE370</f>
        <v/>
      </c>
      <c r="Z118" s="6">
        <f>LAVORAZIONI!AF370</f>
        <v/>
      </c>
      <c r="AA118" s="7">
        <f>LAVORAZIONI!AG370</f>
        <v/>
      </c>
      <c r="AB118" s="6">
        <f>LAVORAZIONI!AH370</f>
        <v/>
      </c>
      <c r="AC118" s="7">
        <f>LAVORAZIONI!AI370</f>
        <v/>
      </c>
      <c r="AD118" s="13">
        <f>LAVORAZIONI!AJ370</f>
        <v/>
      </c>
    </row>
    <row r="119" ht="64" customHeight="1" s="35">
      <c r="B119" s="4">
        <f>LAVORAZIONI!G371</f>
        <v/>
      </c>
      <c r="C119" s="3">
        <f>LAVORAZIONI!A371</f>
        <v/>
      </c>
      <c r="D119" s="3">
        <f>LAVORAZIONI!K371</f>
        <v/>
      </c>
      <c r="E119" s="4">
        <f>LAVORAZIONI!H371</f>
        <v/>
      </c>
      <c r="F119" s="4">
        <f>LAVORAZIONI!M371</f>
        <v/>
      </c>
      <c r="G119" s="5">
        <f>LAVORAZIONI!N371</f>
        <v/>
      </c>
      <c r="H119" s="6">
        <f>LAVORAZIONI!O371</f>
        <v/>
      </c>
      <c r="I119" s="13">
        <f>LAVORAZIONI!P371</f>
        <v/>
      </c>
      <c r="J119" s="5">
        <f>IF(LAVORAZIONI!Q371="","",LAVORAZIONI!Q371)</f>
        <v/>
      </c>
      <c r="K119" s="6">
        <f>IF(LAVORAZIONI!R371="","",LAVORAZIONI!R371)</f>
        <v/>
      </c>
      <c r="L119" s="13">
        <f>IF(LAVORAZIONI!S371="","",LAVORAZIONI!S371)</f>
        <v/>
      </c>
      <c r="M119" s="13">
        <f>LAVORAZIONI!T371</f>
        <v/>
      </c>
      <c r="O119" s="7">
        <f>LAVORAZIONI!U371</f>
        <v/>
      </c>
      <c r="P119" s="37">
        <f>LAVORAZIONI!V371</f>
        <v/>
      </c>
      <c r="Q119" s="7">
        <f>LAVORAZIONI!W371</f>
        <v/>
      </c>
      <c r="R119" s="6">
        <f>LAVORAZIONI!X371</f>
        <v/>
      </c>
      <c r="S119" s="7">
        <f>LAVORAZIONI!Y371</f>
        <v/>
      </c>
      <c r="T119" s="6">
        <f>LAVORAZIONI!Z371</f>
        <v/>
      </c>
      <c r="U119" s="7">
        <f>LAVORAZIONI!AA371</f>
        <v/>
      </c>
      <c r="V119" s="6">
        <f>LAVORAZIONI!AB371</f>
        <v/>
      </c>
      <c r="W119" s="7">
        <f>LAVORAZIONI!AC371</f>
        <v/>
      </c>
      <c r="X119" s="6">
        <f>LAVORAZIONI!AD371</f>
        <v/>
      </c>
      <c r="Y119" s="7">
        <f>LAVORAZIONI!AE371</f>
        <v/>
      </c>
      <c r="Z119" s="6">
        <f>LAVORAZIONI!AF371</f>
        <v/>
      </c>
      <c r="AA119" s="7">
        <f>LAVORAZIONI!AG371</f>
        <v/>
      </c>
      <c r="AB119" s="6">
        <f>LAVORAZIONI!AH371</f>
        <v/>
      </c>
      <c r="AC119" s="7">
        <f>LAVORAZIONI!AI371</f>
        <v/>
      </c>
      <c r="AD119" s="13">
        <f>LAVORAZIONI!AJ371</f>
        <v/>
      </c>
    </row>
    <row r="120" ht="64" customHeight="1" s="35">
      <c r="B120" s="4">
        <f>LAVORAZIONI!G372</f>
        <v/>
      </c>
      <c r="C120" s="3">
        <f>LAVORAZIONI!A372</f>
        <v/>
      </c>
      <c r="D120" s="3">
        <f>LAVORAZIONI!K372</f>
        <v/>
      </c>
      <c r="E120" s="4">
        <f>LAVORAZIONI!H372</f>
        <v/>
      </c>
      <c r="F120" s="4">
        <f>LAVORAZIONI!M372</f>
        <v/>
      </c>
      <c r="G120" s="5">
        <f>LAVORAZIONI!N372</f>
        <v/>
      </c>
      <c r="H120" s="6">
        <f>LAVORAZIONI!O372</f>
        <v/>
      </c>
      <c r="I120" s="13">
        <f>LAVORAZIONI!P372</f>
        <v/>
      </c>
      <c r="J120" s="5">
        <f>IF(LAVORAZIONI!Q372="","",LAVORAZIONI!Q372)</f>
        <v/>
      </c>
      <c r="K120" s="6">
        <f>IF(LAVORAZIONI!R372="","",LAVORAZIONI!R372)</f>
        <v/>
      </c>
      <c r="L120" s="13">
        <f>IF(LAVORAZIONI!S372="","",LAVORAZIONI!S372)</f>
        <v/>
      </c>
      <c r="M120" s="13">
        <f>LAVORAZIONI!T372</f>
        <v/>
      </c>
      <c r="O120" s="7">
        <f>LAVORAZIONI!U372</f>
        <v/>
      </c>
      <c r="P120" s="37">
        <f>LAVORAZIONI!V372</f>
        <v/>
      </c>
      <c r="Q120" s="7">
        <f>LAVORAZIONI!W372</f>
        <v/>
      </c>
      <c r="R120" s="6">
        <f>LAVORAZIONI!X372</f>
        <v/>
      </c>
      <c r="S120" s="7">
        <f>LAVORAZIONI!Y372</f>
        <v/>
      </c>
      <c r="T120" s="6">
        <f>LAVORAZIONI!Z372</f>
        <v/>
      </c>
      <c r="U120" s="7">
        <f>LAVORAZIONI!AA372</f>
        <v/>
      </c>
      <c r="V120" s="6">
        <f>LAVORAZIONI!AB372</f>
        <v/>
      </c>
      <c r="W120" s="7">
        <f>LAVORAZIONI!AC372</f>
        <v/>
      </c>
      <c r="X120" s="6">
        <f>LAVORAZIONI!AD372</f>
        <v/>
      </c>
      <c r="Y120" s="7">
        <f>LAVORAZIONI!AE372</f>
        <v/>
      </c>
      <c r="Z120" s="6">
        <f>LAVORAZIONI!AF372</f>
        <v/>
      </c>
      <c r="AA120" s="7">
        <f>LAVORAZIONI!AG372</f>
        <v/>
      </c>
      <c r="AB120" s="6">
        <f>LAVORAZIONI!AH372</f>
        <v/>
      </c>
      <c r="AC120" s="7">
        <f>LAVORAZIONI!AI372</f>
        <v/>
      </c>
      <c r="AD120" s="13">
        <f>LAVORAZIONI!AJ372</f>
        <v/>
      </c>
    </row>
    <row r="121" ht="64" customHeight="1" s="35">
      <c r="B121" s="4">
        <f>LAVORAZIONI!G373</f>
        <v/>
      </c>
      <c r="C121" s="3">
        <f>LAVORAZIONI!A373</f>
        <v/>
      </c>
      <c r="D121" s="3">
        <f>LAVORAZIONI!K373</f>
        <v/>
      </c>
      <c r="E121" s="4">
        <f>LAVORAZIONI!H373</f>
        <v/>
      </c>
      <c r="F121" s="4">
        <f>LAVORAZIONI!M373</f>
        <v/>
      </c>
      <c r="G121" s="5">
        <f>LAVORAZIONI!N373</f>
        <v/>
      </c>
      <c r="H121" s="6">
        <f>LAVORAZIONI!O373</f>
        <v/>
      </c>
      <c r="I121" s="13">
        <f>LAVORAZIONI!P373</f>
        <v/>
      </c>
      <c r="J121" s="5">
        <f>IF(LAVORAZIONI!Q373="","",LAVORAZIONI!Q373)</f>
        <v/>
      </c>
      <c r="K121" s="6">
        <f>IF(LAVORAZIONI!R373="","",LAVORAZIONI!R373)</f>
        <v/>
      </c>
      <c r="L121" s="13">
        <f>IF(LAVORAZIONI!S373="","",LAVORAZIONI!S373)</f>
        <v/>
      </c>
      <c r="M121" s="13">
        <f>LAVORAZIONI!T373</f>
        <v/>
      </c>
      <c r="O121" s="7">
        <f>LAVORAZIONI!U373</f>
        <v/>
      </c>
      <c r="P121" s="37">
        <f>LAVORAZIONI!V373</f>
        <v/>
      </c>
      <c r="Q121" s="7">
        <f>LAVORAZIONI!W373</f>
        <v/>
      </c>
      <c r="R121" s="6">
        <f>LAVORAZIONI!X373</f>
        <v/>
      </c>
      <c r="S121" s="7">
        <f>LAVORAZIONI!Y373</f>
        <v/>
      </c>
      <c r="T121" s="6">
        <f>LAVORAZIONI!Z373</f>
        <v/>
      </c>
      <c r="U121" s="7">
        <f>LAVORAZIONI!AA373</f>
        <v/>
      </c>
      <c r="V121" s="6">
        <f>LAVORAZIONI!AB373</f>
        <v/>
      </c>
      <c r="W121" s="7">
        <f>LAVORAZIONI!AC373</f>
        <v/>
      </c>
      <c r="X121" s="6">
        <f>LAVORAZIONI!AD373</f>
        <v/>
      </c>
      <c r="Y121" s="7">
        <f>LAVORAZIONI!AE373</f>
        <v/>
      </c>
      <c r="Z121" s="6">
        <f>LAVORAZIONI!AF373</f>
        <v/>
      </c>
      <c r="AA121" s="7">
        <f>LAVORAZIONI!AG373</f>
        <v/>
      </c>
      <c r="AB121" s="6">
        <f>LAVORAZIONI!AH373</f>
        <v/>
      </c>
      <c r="AC121" s="7">
        <f>LAVORAZIONI!AI373</f>
        <v/>
      </c>
      <c r="AD121" s="13">
        <f>LAVORAZIONI!AJ373</f>
        <v/>
      </c>
    </row>
    <row r="122" ht="64" customHeight="1" s="35">
      <c r="B122" s="4">
        <f>LAVORAZIONI!G374</f>
        <v/>
      </c>
      <c r="C122" s="3">
        <f>LAVORAZIONI!A374</f>
        <v/>
      </c>
      <c r="D122" s="3">
        <f>LAVORAZIONI!K374</f>
        <v/>
      </c>
      <c r="E122" s="4">
        <f>LAVORAZIONI!H374</f>
        <v/>
      </c>
      <c r="F122" s="4">
        <f>LAVORAZIONI!M374</f>
        <v/>
      </c>
      <c r="G122" s="5">
        <f>LAVORAZIONI!N374</f>
        <v/>
      </c>
      <c r="H122" s="6">
        <f>LAVORAZIONI!O374</f>
        <v/>
      </c>
      <c r="I122" s="13">
        <f>LAVORAZIONI!P374</f>
        <v/>
      </c>
      <c r="J122" s="5">
        <f>IF(LAVORAZIONI!Q374="","",LAVORAZIONI!Q374)</f>
        <v/>
      </c>
      <c r="K122" s="6">
        <f>IF(LAVORAZIONI!R374="","",LAVORAZIONI!R374)</f>
        <v/>
      </c>
      <c r="L122" s="13">
        <f>IF(LAVORAZIONI!S374="","",LAVORAZIONI!S374)</f>
        <v/>
      </c>
      <c r="M122" s="13">
        <f>LAVORAZIONI!T374</f>
        <v/>
      </c>
      <c r="O122" s="7">
        <f>LAVORAZIONI!U374</f>
        <v/>
      </c>
      <c r="P122" s="37">
        <f>LAVORAZIONI!V374</f>
        <v/>
      </c>
      <c r="Q122" s="7">
        <f>LAVORAZIONI!W374</f>
        <v/>
      </c>
      <c r="R122" s="6">
        <f>LAVORAZIONI!X374</f>
        <v/>
      </c>
      <c r="S122" s="7">
        <f>LAVORAZIONI!Y374</f>
        <v/>
      </c>
      <c r="T122" s="6">
        <f>LAVORAZIONI!Z374</f>
        <v/>
      </c>
      <c r="U122" s="7">
        <f>LAVORAZIONI!AA374</f>
        <v/>
      </c>
      <c r="V122" s="6">
        <f>LAVORAZIONI!AB374</f>
        <v/>
      </c>
      <c r="W122" s="7">
        <f>LAVORAZIONI!AC374</f>
        <v/>
      </c>
      <c r="X122" s="6">
        <f>LAVORAZIONI!AD374</f>
        <v/>
      </c>
      <c r="Y122" s="7">
        <f>LAVORAZIONI!AE374</f>
        <v/>
      </c>
      <c r="Z122" s="6">
        <f>LAVORAZIONI!AF374</f>
        <v/>
      </c>
      <c r="AA122" s="7">
        <f>LAVORAZIONI!AG374</f>
        <v/>
      </c>
      <c r="AB122" s="6">
        <f>LAVORAZIONI!AH374</f>
        <v/>
      </c>
      <c r="AC122" s="7">
        <f>LAVORAZIONI!AI374</f>
        <v/>
      </c>
      <c r="AD122" s="13">
        <f>LAVORAZIONI!AJ374</f>
        <v/>
      </c>
    </row>
    <row r="123" ht="64" customHeight="1" s="35">
      <c r="B123" s="4">
        <f>LAVORAZIONI!G375</f>
        <v/>
      </c>
      <c r="C123" s="3">
        <f>LAVORAZIONI!A375</f>
        <v/>
      </c>
      <c r="D123" s="3">
        <f>LAVORAZIONI!K375</f>
        <v/>
      </c>
      <c r="E123" s="4">
        <f>LAVORAZIONI!H375</f>
        <v/>
      </c>
      <c r="F123" s="4">
        <f>LAVORAZIONI!M375</f>
        <v/>
      </c>
      <c r="G123" s="5">
        <f>LAVORAZIONI!N375</f>
        <v/>
      </c>
      <c r="H123" s="6">
        <f>LAVORAZIONI!O375</f>
        <v/>
      </c>
      <c r="I123" s="13">
        <f>LAVORAZIONI!P375</f>
        <v/>
      </c>
      <c r="J123" s="5">
        <f>IF(LAVORAZIONI!Q375="","",LAVORAZIONI!Q375)</f>
        <v/>
      </c>
      <c r="K123" s="6">
        <f>IF(LAVORAZIONI!R375="","",LAVORAZIONI!R375)</f>
        <v/>
      </c>
      <c r="L123" s="13">
        <f>IF(LAVORAZIONI!S375="","",LAVORAZIONI!S375)</f>
        <v/>
      </c>
      <c r="M123" s="13">
        <f>LAVORAZIONI!T375</f>
        <v/>
      </c>
      <c r="O123" s="7">
        <f>LAVORAZIONI!U375</f>
        <v/>
      </c>
      <c r="P123" s="37">
        <f>LAVORAZIONI!V375</f>
        <v/>
      </c>
      <c r="Q123" s="7">
        <f>LAVORAZIONI!W375</f>
        <v/>
      </c>
      <c r="R123" s="6">
        <f>LAVORAZIONI!X375</f>
        <v/>
      </c>
      <c r="S123" s="7">
        <f>LAVORAZIONI!Y375</f>
        <v/>
      </c>
      <c r="T123" s="6">
        <f>LAVORAZIONI!Z375</f>
        <v/>
      </c>
      <c r="U123" s="7">
        <f>LAVORAZIONI!AA375</f>
        <v/>
      </c>
      <c r="V123" s="6">
        <f>LAVORAZIONI!AB375</f>
        <v/>
      </c>
      <c r="W123" s="7">
        <f>LAVORAZIONI!AC375</f>
        <v/>
      </c>
      <c r="X123" s="6">
        <f>LAVORAZIONI!AD375</f>
        <v/>
      </c>
      <c r="Y123" s="7">
        <f>LAVORAZIONI!AE375</f>
        <v/>
      </c>
      <c r="Z123" s="6">
        <f>LAVORAZIONI!AF375</f>
        <v/>
      </c>
      <c r="AA123" s="7">
        <f>LAVORAZIONI!AG375</f>
        <v/>
      </c>
      <c r="AB123" s="6">
        <f>LAVORAZIONI!AH375</f>
        <v/>
      </c>
      <c r="AC123" s="7">
        <f>LAVORAZIONI!AI375</f>
        <v/>
      </c>
      <c r="AD123" s="13">
        <f>LAVORAZIONI!AJ375</f>
        <v/>
      </c>
    </row>
    <row r="124" ht="64" customHeight="1" s="35">
      <c r="B124" s="4">
        <f>LAVORAZIONI!G376</f>
        <v/>
      </c>
      <c r="C124" s="3">
        <f>LAVORAZIONI!A376</f>
        <v/>
      </c>
      <c r="D124" s="3">
        <f>LAVORAZIONI!K376</f>
        <v/>
      </c>
      <c r="E124" s="4">
        <f>LAVORAZIONI!H376</f>
        <v/>
      </c>
      <c r="F124" s="4">
        <f>LAVORAZIONI!M376</f>
        <v/>
      </c>
      <c r="G124" s="5">
        <f>LAVORAZIONI!N376</f>
        <v/>
      </c>
      <c r="H124" s="6">
        <f>LAVORAZIONI!O376</f>
        <v/>
      </c>
      <c r="I124" s="13">
        <f>LAVORAZIONI!P376</f>
        <v/>
      </c>
      <c r="J124" s="5">
        <f>IF(LAVORAZIONI!Q376="","",LAVORAZIONI!Q376)</f>
        <v/>
      </c>
      <c r="K124" s="6">
        <f>IF(LAVORAZIONI!R376="","",LAVORAZIONI!R376)</f>
        <v/>
      </c>
      <c r="L124" s="13">
        <f>IF(LAVORAZIONI!S376="","",LAVORAZIONI!S376)</f>
        <v/>
      </c>
      <c r="M124" s="13">
        <f>LAVORAZIONI!T376</f>
        <v/>
      </c>
      <c r="O124" s="7">
        <f>LAVORAZIONI!U376</f>
        <v/>
      </c>
      <c r="P124" s="37">
        <f>LAVORAZIONI!V376</f>
        <v/>
      </c>
      <c r="Q124" s="7">
        <f>LAVORAZIONI!W376</f>
        <v/>
      </c>
      <c r="R124" s="6">
        <f>LAVORAZIONI!X376</f>
        <v/>
      </c>
      <c r="S124" s="7">
        <f>LAVORAZIONI!Y376</f>
        <v/>
      </c>
      <c r="T124" s="6">
        <f>LAVORAZIONI!Z376</f>
        <v/>
      </c>
      <c r="U124" s="7">
        <f>LAVORAZIONI!AA376</f>
        <v/>
      </c>
      <c r="V124" s="6">
        <f>LAVORAZIONI!AB376</f>
        <v/>
      </c>
      <c r="W124" s="7">
        <f>LAVORAZIONI!AC376</f>
        <v/>
      </c>
      <c r="X124" s="6">
        <f>LAVORAZIONI!AD376</f>
        <v/>
      </c>
      <c r="Y124" s="7">
        <f>LAVORAZIONI!AE376</f>
        <v/>
      </c>
      <c r="Z124" s="6">
        <f>LAVORAZIONI!AF376</f>
        <v/>
      </c>
      <c r="AA124" s="7">
        <f>LAVORAZIONI!AG376</f>
        <v/>
      </c>
      <c r="AB124" s="6">
        <f>LAVORAZIONI!AH376</f>
        <v/>
      </c>
      <c r="AC124" s="7">
        <f>LAVORAZIONI!AI376</f>
        <v/>
      </c>
      <c r="AD124" s="13">
        <f>LAVORAZIONI!AJ376</f>
        <v/>
      </c>
    </row>
    <row r="125" ht="64" customHeight="1" s="35">
      <c r="B125" s="4">
        <f>LAVORAZIONI!G377</f>
        <v/>
      </c>
      <c r="C125" s="3">
        <f>LAVORAZIONI!A377</f>
        <v/>
      </c>
      <c r="D125" s="3">
        <f>LAVORAZIONI!K377</f>
        <v/>
      </c>
      <c r="E125" s="4">
        <f>LAVORAZIONI!H377</f>
        <v/>
      </c>
      <c r="F125" s="4">
        <f>LAVORAZIONI!M377</f>
        <v/>
      </c>
      <c r="G125" s="5">
        <f>LAVORAZIONI!N377</f>
        <v/>
      </c>
      <c r="H125" s="6">
        <f>LAVORAZIONI!O377</f>
        <v/>
      </c>
      <c r="I125" s="13">
        <f>LAVORAZIONI!P377</f>
        <v/>
      </c>
      <c r="J125" s="5">
        <f>IF(LAVORAZIONI!Q377="","",LAVORAZIONI!Q377)</f>
        <v/>
      </c>
      <c r="K125" s="6">
        <f>IF(LAVORAZIONI!R377="","",LAVORAZIONI!R377)</f>
        <v/>
      </c>
      <c r="L125" s="13">
        <f>IF(LAVORAZIONI!S377="","",LAVORAZIONI!S377)</f>
        <v/>
      </c>
      <c r="M125" s="13">
        <f>LAVORAZIONI!T377</f>
        <v/>
      </c>
      <c r="O125" s="7">
        <f>LAVORAZIONI!U377</f>
        <v/>
      </c>
      <c r="P125" s="37">
        <f>LAVORAZIONI!V377</f>
        <v/>
      </c>
      <c r="Q125" s="7">
        <f>LAVORAZIONI!W377</f>
        <v/>
      </c>
      <c r="R125" s="6">
        <f>LAVORAZIONI!X377</f>
        <v/>
      </c>
      <c r="S125" s="7">
        <f>LAVORAZIONI!Y377</f>
        <v/>
      </c>
      <c r="T125" s="6">
        <f>LAVORAZIONI!Z377</f>
        <v/>
      </c>
      <c r="U125" s="7">
        <f>LAVORAZIONI!AA377</f>
        <v/>
      </c>
      <c r="V125" s="6">
        <f>LAVORAZIONI!AB377</f>
        <v/>
      </c>
      <c r="W125" s="7">
        <f>LAVORAZIONI!AC377</f>
        <v/>
      </c>
      <c r="X125" s="6">
        <f>LAVORAZIONI!AD377</f>
        <v/>
      </c>
      <c r="Y125" s="7">
        <f>LAVORAZIONI!AE377</f>
        <v/>
      </c>
      <c r="Z125" s="6">
        <f>LAVORAZIONI!AF377</f>
        <v/>
      </c>
      <c r="AA125" s="7">
        <f>LAVORAZIONI!AG377</f>
        <v/>
      </c>
      <c r="AB125" s="6">
        <f>LAVORAZIONI!AH377</f>
        <v/>
      </c>
      <c r="AC125" s="7">
        <f>LAVORAZIONI!AI377</f>
        <v/>
      </c>
      <c r="AD125" s="13">
        <f>LAVORAZIONI!AJ377</f>
        <v/>
      </c>
    </row>
    <row r="126" ht="64" customHeight="1" s="35">
      <c r="B126" s="4">
        <f>LAVORAZIONI!G378</f>
        <v/>
      </c>
      <c r="C126" s="3">
        <f>LAVORAZIONI!A378</f>
        <v/>
      </c>
      <c r="D126" s="3">
        <f>LAVORAZIONI!K378</f>
        <v/>
      </c>
      <c r="E126" s="4">
        <f>LAVORAZIONI!H378</f>
        <v/>
      </c>
      <c r="F126" s="4">
        <f>LAVORAZIONI!M378</f>
        <v/>
      </c>
      <c r="G126" s="5">
        <f>LAVORAZIONI!N378</f>
        <v/>
      </c>
      <c r="H126" s="6">
        <f>LAVORAZIONI!O378</f>
        <v/>
      </c>
      <c r="I126" s="13">
        <f>LAVORAZIONI!P378</f>
        <v/>
      </c>
      <c r="J126" s="5">
        <f>IF(LAVORAZIONI!Q378="","",LAVORAZIONI!Q378)</f>
        <v/>
      </c>
      <c r="K126" s="6">
        <f>IF(LAVORAZIONI!R378="","",LAVORAZIONI!R378)</f>
        <v/>
      </c>
      <c r="L126" s="13">
        <f>IF(LAVORAZIONI!S378="","",LAVORAZIONI!S378)</f>
        <v/>
      </c>
      <c r="M126" s="13">
        <f>LAVORAZIONI!T378</f>
        <v/>
      </c>
      <c r="O126" s="7">
        <f>LAVORAZIONI!U378</f>
        <v/>
      </c>
      <c r="P126" s="37">
        <f>LAVORAZIONI!V378</f>
        <v/>
      </c>
      <c r="Q126" s="7">
        <f>LAVORAZIONI!W378</f>
        <v/>
      </c>
      <c r="R126" s="6">
        <f>LAVORAZIONI!X378</f>
        <v/>
      </c>
      <c r="S126" s="7">
        <f>LAVORAZIONI!Y378</f>
        <v/>
      </c>
      <c r="T126" s="6">
        <f>LAVORAZIONI!Z378</f>
        <v/>
      </c>
      <c r="U126" s="7">
        <f>LAVORAZIONI!AA378</f>
        <v/>
      </c>
      <c r="V126" s="6">
        <f>LAVORAZIONI!AB378</f>
        <v/>
      </c>
      <c r="W126" s="7">
        <f>LAVORAZIONI!AC378</f>
        <v/>
      </c>
      <c r="X126" s="6">
        <f>LAVORAZIONI!AD378</f>
        <v/>
      </c>
      <c r="Y126" s="7">
        <f>LAVORAZIONI!AE378</f>
        <v/>
      </c>
      <c r="Z126" s="6">
        <f>LAVORAZIONI!AF378</f>
        <v/>
      </c>
      <c r="AA126" s="7">
        <f>LAVORAZIONI!AG378</f>
        <v/>
      </c>
      <c r="AB126" s="6">
        <f>LAVORAZIONI!AH378</f>
        <v/>
      </c>
      <c r="AC126" s="7">
        <f>LAVORAZIONI!AI378</f>
        <v/>
      </c>
      <c r="AD126" s="13">
        <f>LAVORAZIONI!AJ378</f>
        <v/>
      </c>
    </row>
    <row r="127" ht="64" customHeight="1" s="35">
      <c r="B127" s="4">
        <f>LAVORAZIONI!G379</f>
        <v/>
      </c>
      <c r="C127" s="3">
        <f>LAVORAZIONI!A379</f>
        <v/>
      </c>
      <c r="D127" s="3">
        <f>LAVORAZIONI!K379</f>
        <v/>
      </c>
      <c r="E127" s="4">
        <f>LAVORAZIONI!H379</f>
        <v/>
      </c>
      <c r="F127" s="4">
        <f>LAVORAZIONI!M379</f>
        <v/>
      </c>
      <c r="G127" s="5">
        <f>LAVORAZIONI!N379</f>
        <v/>
      </c>
      <c r="H127" s="6">
        <f>LAVORAZIONI!O379</f>
        <v/>
      </c>
      <c r="I127" s="13">
        <f>LAVORAZIONI!P379</f>
        <v/>
      </c>
      <c r="J127" s="5">
        <f>IF(LAVORAZIONI!Q379="","",LAVORAZIONI!Q379)</f>
        <v/>
      </c>
      <c r="K127" s="6">
        <f>IF(LAVORAZIONI!R379="","",LAVORAZIONI!R379)</f>
        <v/>
      </c>
      <c r="L127" s="13">
        <f>IF(LAVORAZIONI!S379="","",LAVORAZIONI!S379)</f>
        <v/>
      </c>
      <c r="M127" s="13">
        <f>LAVORAZIONI!T379</f>
        <v/>
      </c>
      <c r="O127" s="7">
        <f>LAVORAZIONI!U379</f>
        <v/>
      </c>
      <c r="P127" s="37">
        <f>LAVORAZIONI!V379</f>
        <v/>
      </c>
      <c r="Q127" s="7">
        <f>LAVORAZIONI!W379</f>
        <v/>
      </c>
      <c r="R127" s="6">
        <f>LAVORAZIONI!X379</f>
        <v/>
      </c>
      <c r="S127" s="7">
        <f>LAVORAZIONI!Y379</f>
        <v/>
      </c>
      <c r="T127" s="6">
        <f>LAVORAZIONI!Z379</f>
        <v/>
      </c>
      <c r="U127" s="7">
        <f>LAVORAZIONI!AA379</f>
        <v/>
      </c>
      <c r="V127" s="6">
        <f>LAVORAZIONI!AB379</f>
        <v/>
      </c>
      <c r="W127" s="7">
        <f>LAVORAZIONI!AC379</f>
        <v/>
      </c>
      <c r="X127" s="6">
        <f>LAVORAZIONI!AD379</f>
        <v/>
      </c>
      <c r="Y127" s="7">
        <f>LAVORAZIONI!AE379</f>
        <v/>
      </c>
      <c r="Z127" s="6">
        <f>LAVORAZIONI!AF379</f>
        <v/>
      </c>
      <c r="AA127" s="7">
        <f>LAVORAZIONI!AG379</f>
        <v/>
      </c>
      <c r="AB127" s="6">
        <f>LAVORAZIONI!AH379</f>
        <v/>
      </c>
      <c r="AC127" s="7">
        <f>LAVORAZIONI!AI379</f>
        <v/>
      </c>
      <c r="AD127" s="13">
        <f>LAVORAZIONI!AJ379</f>
        <v/>
      </c>
    </row>
    <row r="128" ht="64" customHeight="1" s="35">
      <c r="B128" s="4">
        <f>LAVORAZIONI!G380</f>
        <v/>
      </c>
      <c r="C128" s="3">
        <f>LAVORAZIONI!A380</f>
        <v/>
      </c>
      <c r="D128" s="3">
        <f>LAVORAZIONI!K380</f>
        <v/>
      </c>
      <c r="E128" s="4">
        <f>LAVORAZIONI!H380</f>
        <v/>
      </c>
      <c r="F128" s="4">
        <f>LAVORAZIONI!M380</f>
        <v/>
      </c>
      <c r="G128" s="5">
        <f>LAVORAZIONI!N380</f>
        <v/>
      </c>
      <c r="H128" s="6">
        <f>LAVORAZIONI!O380</f>
        <v/>
      </c>
      <c r="I128" s="13">
        <f>LAVORAZIONI!P380</f>
        <v/>
      </c>
      <c r="J128" s="5">
        <f>IF(LAVORAZIONI!Q380="","",LAVORAZIONI!Q380)</f>
        <v/>
      </c>
      <c r="K128" s="6">
        <f>IF(LAVORAZIONI!R380="","",LAVORAZIONI!R380)</f>
        <v/>
      </c>
      <c r="L128" s="13">
        <f>IF(LAVORAZIONI!S380="","",LAVORAZIONI!S380)</f>
        <v/>
      </c>
      <c r="M128" s="13">
        <f>LAVORAZIONI!T380</f>
        <v/>
      </c>
      <c r="O128" s="7">
        <f>LAVORAZIONI!U380</f>
        <v/>
      </c>
      <c r="P128" s="37">
        <f>LAVORAZIONI!V380</f>
        <v/>
      </c>
      <c r="Q128" s="7">
        <f>LAVORAZIONI!W380</f>
        <v/>
      </c>
      <c r="R128" s="6">
        <f>LAVORAZIONI!X380</f>
        <v/>
      </c>
      <c r="S128" s="7">
        <f>LAVORAZIONI!Y380</f>
        <v/>
      </c>
      <c r="T128" s="6">
        <f>LAVORAZIONI!Z380</f>
        <v/>
      </c>
      <c r="U128" s="7">
        <f>LAVORAZIONI!AA380</f>
        <v/>
      </c>
      <c r="V128" s="6">
        <f>LAVORAZIONI!AB380</f>
        <v/>
      </c>
      <c r="W128" s="7">
        <f>LAVORAZIONI!AC380</f>
        <v/>
      </c>
      <c r="X128" s="6">
        <f>LAVORAZIONI!AD380</f>
        <v/>
      </c>
      <c r="Y128" s="7">
        <f>LAVORAZIONI!AE380</f>
        <v/>
      </c>
      <c r="Z128" s="6">
        <f>LAVORAZIONI!AF380</f>
        <v/>
      </c>
      <c r="AA128" s="7">
        <f>LAVORAZIONI!AG380</f>
        <v/>
      </c>
      <c r="AB128" s="6">
        <f>LAVORAZIONI!AH380</f>
        <v/>
      </c>
      <c r="AC128" s="7">
        <f>LAVORAZIONI!AI380</f>
        <v/>
      </c>
      <c r="AD128" s="13">
        <f>LAVORAZIONI!AJ380</f>
        <v/>
      </c>
    </row>
    <row r="129" ht="64" customHeight="1" s="35">
      <c r="B129" s="4">
        <f>LAVORAZIONI!G381</f>
        <v/>
      </c>
      <c r="C129" s="3">
        <f>LAVORAZIONI!A381</f>
        <v/>
      </c>
      <c r="D129" s="3">
        <f>LAVORAZIONI!K381</f>
        <v/>
      </c>
      <c r="E129" s="4">
        <f>LAVORAZIONI!H381</f>
        <v/>
      </c>
      <c r="F129" s="4">
        <f>LAVORAZIONI!M381</f>
        <v/>
      </c>
      <c r="G129" s="5">
        <f>LAVORAZIONI!N381</f>
        <v/>
      </c>
      <c r="H129" s="6">
        <f>LAVORAZIONI!O381</f>
        <v/>
      </c>
      <c r="I129" s="13">
        <f>LAVORAZIONI!P381</f>
        <v/>
      </c>
      <c r="J129" s="5">
        <f>IF(LAVORAZIONI!Q381="","",LAVORAZIONI!Q381)</f>
        <v/>
      </c>
      <c r="K129" s="6">
        <f>IF(LAVORAZIONI!R381="","",LAVORAZIONI!R381)</f>
        <v/>
      </c>
      <c r="L129" s="13">
        <f>IF(LAVORAZIONI!S381="","",LAVORAZIONI!S381)</f>
        <v/>
      </c>
      <c r="M129" s="13">
        <f>LAVORAZIONI!T381</f>
        <v/>
      </c>
      <c r="O129" s="7">
        <f>LAVORAZIONI!U381</f>
        <v/>
      </c>
      <c r="P129" s="37">
        <f>LAVORAZIONI!V381</f>
        <v/>
      </c>
      <c r="Q129" s="7">
        <f>LAVORAZIONI!W381</f>
        <v/>
      </c>
      <c r="R129" s="6">
        <f>LAVORAZIONI!X381</f>
        <v/>
      </c>
      <c r="S129" s="7">
        <f>LAVORAZIONI!Y381</f>
        <v/>
      </c>
      <c r="T129" s="6">
        <f>LAVORAZIONI!Z381</f>
        <v/>
      </c>
      <c r="U129" s="7">
        <f>LAVORAZIONI!AA381</f>
        <v/>
      </c>
      <c r="V129" s="6">
        <f>LAVORAZIONI!AB381</f>
        <v/>
      </c>
      <c r="W129" s="7">
        <f>LAVORAZIONI!AC381</f>
        <v/>
      </c>
      <c r="X129" s="6">
        <f>LAVORAZIONI!AD381</f>
        <v/>
      </c>
      <c r="Y129" s="7">
        <f>LAVORAZIONI!AE381</f>
        <v/>
      </c>
      <c r="Z129" s="6">
        <f>LAVORAZIONI!AF381</f>
        <v/>
      </c>
      <c r="AA129" s="7">
        <f>LAVORAZIONI!AG381</f>
        <v/>
      </c>
      <c r="AB129" s="6">
        <f>LAVORAZIONI!AH381</f>
        <v/>
      </c>
      <c r="AC129" s="7">
        <f>LAVORAZIONI!AI381</f>
        <v/>
      </c>
      <c r="AD129" s="13">
        <f>LAVORAZIONI!AJ381</f>
        <v/>
      </c>
    </row>
    <row r="130" ht="64" customHeight="1" s="35">
      <c r="B130" s="4">
        <f>LAVORAZIONI!G382</f>
        <v/>
      </c>
      <c r="C130" s="3">
        <f>LAVORAZIONI!A382</f>
        <v/>
      </c>
      <c r="D130" s="3">
        <f>LAVORAZIONI!K382</f>
        <v/>
      </c>
      <c r="E130" s="4">
        <f>LAVORAZIONI!H382</f>
        <v/>
      </c>
      <c r="F130" s="4">
        <f>LAVORAZIONI!M382</f>
        <v/>
      </c>
      <c r="G130" s="5">
        <f>LAVORAZIONI!N382</f>
        <v/>
      </c>
      <c r="H130" s="6">
        <f>LAVORAZIONI!O382</f>
        <v/>
      </c>
      <c r="I130" s="13">
        <f>LAVORAZIONI!P382</f>
        <v/>
      </c>
      <c r="J130" s="5">
        <f>IF(LAVORAZIONI!Q382="","",LAVORAZIONI!Q382)</f>
        <v/>
      </c>
      <c r="K130" s="6">
        <f>IF(LAVORAZIONI!R382="","",LAVORAZIONI!R382)</f>
        <v/>
      </c>
      <c r="L130" s="13">
        <f>IF(LAVORAZIONI!S382="","",LAVORAZIONI!S382)</f>
        <v/>
      </c>
      <c r="M130" s="13">
        <f>LAVORAZIONI!T382</f>
        <v/>
      </c>
      <c r="O130" s="7">
        <f>LAVORAZIONI!U382</f>
        <v/>
      </c>
      <c r="P130" s="37">
        <f>LAVORAZIONI!V382</f>
        <v/>
      </c>
      <c r="Q130" s="7">
        <f>LAVORAZIONI!W382</f>
        <v/>
      </c>
      <c r="R130" s="6">
        <f>LAVORAZIONI!X382</f>
        <v/>
      </c>
      <c r="S130" s="7">
        <f>LAVORAZIONI!Y382</f>
        <v/>
      </c>
      <c r="T130" s="6">
        <f>LAVORAZIONI!Z382</f>
        <v/>
      </c>
      <c r="U130" s="7">
        <f>LAVORAZIONI!AA382</f>
        <v/>
      </c>
      <c r="V130" s="6">
        <f>LAVORAZIONI!AB382</f>
        <v/>
      </c>
      <c r="W130" s="7">
        <f>LAVORAZIONI!AC382</f>
        <v/>
      </c>
      <c r="X130" s="6">
        <f>LAVORAZIONI!AD382</f>
        <v/>
      </c>
      <c r="Y130" s="7">
        <f>LAVORAZIONI!AE382</f>
        <v/>
      </c>
      <c r="Z130" s="6">
        <f>LAVORAZIONI!AF382</f>
        <v/>
      </c>
      <c r="AA130" s="7">
        <f>LAVORAZIONI!AG382</f>
        <v/>
      </c>
      <c r="AB130" s="6">
        <f>LAVORAZIONI!AH382</f>
        <v/>
      </c>
      <c r="AC130" s="7">
        <f>LAVORAZIONI!AI382</f>
        <v/>
      </c>
      <c r="AD130" s="13">
        <f>LAVORAZIONI!AJ382</f>
        <v/>
      </c>
    </row>
    <row r="131" ht="64" customHeight="1" s="35">
      <c r="B131" s="4">
        <f>LAVORAZIONI!G383</f>
        <v/>
      </c>
      <c r="C131" s="3">
        <f>LAVORAZIONI!A383</f>
        <v/>
      </c>
      <c r="D131" s="3">
        <f>LAVORAZIONI!K383</f>
        <v/>
      </c>
      <c r="E131" s="4">
        <f>LAVORAZIONI!H383</f>
        <v/>
      </c>
      <c r="F131" s="4">
        <f>LAVORAZIONI!M383</f>
        <v/>
      </c>
      <c r="G131" s="5">
        <f>LAVORAZIONI!N383</f>
        <v/>
      </c>
      <c r="H131" s="6">
        <f>LAVORAZIONI!O383</f>
        <v/>
      </c>
      <c r="I131" s="13">
        <f>LAVORAZIONI!P383</f>
        <v/>
      </c>
      <c r="J131" s="5">
        <f>IF(LAVORAZIONI!Q383="","",LAVORAZIONI!Q383)</f>
        <v/>
      </c>
      <c r="K131" s="6">
        <f>IF(LAVORAZIONI!R383="","",LAVORAZIONI!R383)</f>
        <v/>
      </c>
      <c r="L131" s="13">
        <f>IF(LAVORAZIONI!S383="","",LAVORAZIONI!S383)</f>
        <v/>
      </c>
      <c r="M131" s="13">
        <f>LAVORAZIONI!T383</f>
        <v/>
      </c>
      <c r="O131" s="7">
        <f>LAVORAZIONI!U383</f>
        <v/>
      </c>
      <c r="P131" s="37">
        <f>LAVORAZIONI!V383</f>
        <v/>
      </c>
      <c r="Q131" s="7">
        <f>LAVORAZIONI!W383</f>
        <v/>
      </c>
      <c r="R131" s="6">
        <f>LAVORAZIONI!X383</f>
        <v/>
      </c>
      <c r="S131" s="7">
        <f>LAVORAZIONI!Y383</f>
        <v/>
      </c>
      <c r="T131" s="6">
        <f>LAVORAZIONI!Z383</f>
        <v/>
      </c>
      <c r="U131" s="7">
        <f>LAVORAZIONI!AA383</f>
        <v/>
      </c>
      <c r="V131" s="6">
        <f>LAVORAZIONI!AB383</f>
        <v/>
      </c>
      <c r="W131" s="7">
        <f>LAVORAZIONI!AC383</f>
        <v/>
      </c>
      <c r="X131" s="6">
        <f>LAVORAZIONI!AD383</f>
        <v/>
      </c>
      <c r="Y131" s="7">
        <f>LAVORAZIONI!AE383</f>
        <v/>
      </c>
      <c r="Z131" s="6">
        <f>LAVORAZIONI!AF383</f>
        <v/>
      </c>
      <c r="AA131" s="7">
        <f>LAVORAZIONI!AG383</f>
        <v/>
      </c>
      <c r="AB131" s="6">
        <f>LAVORAZIONI!AH383</f>
        <v/>
      </c>
      <c r="AC131" s="7">
        <f>LAVORAZIONI!AI383</f>
        <v/>
      </c>
      <c r="AD131" s="13">
        <f>LAVORAZIONI!AJ383</f>
        <v/>
      </c>
    </row>
    <row r="132" ht="64" customHeight="1" s="35">
      <c r="B132" s="4">
        <f>LAVORAZIONI!G384</f>
        <v/>
      </c>
      <c r="C132" s="3">
        <f>LAVORAZIONI!A384</f>
        <v/>
      </c>
      <c r="D132" s="3">
        <f>LAVORAZIONI!K384</f>
        <v/>
      </c>
      <c r="E132" s="4">
        <f>LAVORAZIONI!H384</f>
        <v/>
      </c>
      <c r="F132" s="4">
        <f>LAVORAZIONI!M384</f>
        <v/>
      </c>
      <c r="G132" s="5">
        <f>LAVORAZIONI!N384</f>
        <v/>
      </c>
      <c r="H132" s="6">
        <f>LAVORAZIONI!O384</f>
        <v/>
      </c>
      <c r="I132" s="13">
        <f>LAVORAZIONI!P384</f>
        <v/>
      </c>
      <c r="J132" s="5">
        <f>IF(LAVORAZIONI!Q384="","",LAVORAZIONI!Q384)</f>
        <v/>
      </c>
      <c r="K132" s="6">
        <f>IF(LAVORAZIONI!R384="","",LAVORAZIONI!R384)</f>
        <v/>
      </c>
      <c r="L132" s="13">
        <f>IF(LAVORAZIONI!S384="","",LAVORAZIONI!S384)</f>
        <v/>
      </c>
      <c r="M132" s="13">
        <f>LAVORAZIONI!T384</f>
        <v/>
      </c>
      <c r="O132" s="7">
        <f>LAVORAZIONI!U384</f>
        <v/>
      </c>
      <c r="P132" s="37">
        <f>LAVORAZIONI!V384</f>
        <v/>
      </c>
      <c r="Q132" s="7">
        <f>LAVORAZIONI!W384</f>
        <v/>
      </c>
      <c r="R132" s="6">
        <f>LAVORAZIONI!X384</f>
        <v/>
      </c>
      <c r="S132" s="7">
        <f>LAVORAZIONI!Y384</f>
        <v/>
      </c>
      <c r="T132" s="6">
        <f>LAVORAZIONI!Z384</f>
        <v/>
      </c>
      <c r="U132" s="7">
        <f>LAVORAZIONI!AA384</f>
        <v/>
      </c>
      <c r="V132" s="6">
        <f>LAVORAZIONI!AB384</f>
        <v/>
      </c>
      <c r="W132" s="7">
        <f>LAVORAZIONI!AC384</f>
        <v/>
      </c>
      <c r="X132" s="6">
        <f>LAVORAZIONI!AD384</f>
        <v/>
      </c>
      <c r="Y132" s="7">
        <f>LAVORAZIONI!AE384</f>
        <v/>
      </c>
      <c r="Z132" s="6">
        <f>LAVORAZIONI!AF384</f>
        <v/>
      </c>
      <c r="AA132" s="7">
        <f>LAVORAZIONI!AG384</f>
        <v/>
      </c>
      <c r="AB132" s="6">
        <f>LAVORAZIONI!AH384</f>
        <v/>
      </c>
      <c r="AC132" s="7">
        <f>LAVORAZIONI!AI384</f>
        <v/>
      </c>
      <c r="AD132" s="13">
        <f>LAVORAZIONI!AJ384</f>
        <v/>
      </c>
    </row>
    <row r="133" ht="64" customHeight="1" s="35">
      <c r="B133" s="4">
        <f>LAVORAZIONI!G385</f>
        <v/>
      </c>
      <c r="C133" s="3">
        <f>LAVORAZIONI!A385</f>
        <v/>
      </c>
      <c r="D133" s="3">
        <f>LAVORAZIONI!K385</f>
        <v/>
      </c>
      <c r="E133" s="4">
        <f>LAVORAZIONI!H385</f>
        <v/>
      </c>
      <c r="F133" s="4">
        <f>LAVORAZIONI!M385</f>
        <v/>
      </c>
      <c r="G133" s="5">
        <f>LAVORAZIONI!N385</f>
        <v/>
      </c>
      <c r="H133" s="6">
        <f>LAVORAZIONI!O385</f>
        <v/>
      </c>
      <c r="I133" s="13">
        <f>LAVORAZIONI!P385</f>
        <v/>
      </c>
      <c r="J133" s="5">
        <f>IF(LAVORAZIONI!Q385="","",LAVORAZIONI!Q385)</f>
        <v/>
      </c>
      <c r="K133" s="6">
        <f>IF(LAVORAZIONI!R385="","",LAVORAZIONI!R385)</f>
        <v/>
      </c>
      <c r="L133" s="13">
        <f>IF(LAVORAZIONI!S385="","",LAVORAZIONI!S385)</f>
        <v/>
      </c>
      <c r="M133" s="13">
        <f>LAVORAZIONI!T385</f>
        <v/>
      </c>
      <c r="O133" s="7">
        <f>LAVORAZIONI!U385</f>
        <v/>
      </c>
      <c r="P133" s="37">
        <f>LAVORAZIONI!V385</f>
        <v/>
      </c>
      <c r="Q133" s="7">
        <f>LAVORAZIONI!W385</f>
        <v/>
      </c>
      <c r="R133" s="6">
        <f>LAVORAZIONI!X385</f>
        <v/>
      </c>
      <c r="S133" s="7">
        <f>LAVORAZIONI!Y385</f>
        <v/>
      </c>
      <c r="T133" s="6">
        <f>LAVORAZIONI!Z385</f>
        <v/>
      </c>
      <c r="U133" s="7">
        <f>LAVORAZIONI!AA385</f>
        <v/>
      </c>
      <c r="V133" s="6">
        <f>LAVORAZIONI!AB385</f>
        <v/>
      </c>
      <c r="W133" s="7">
        <f>LAVORAZIONI!AC385</f>
        <v/>
      </c>
      <c r="X133" s="6">
        <f>LAVORAZIONI!AD385</f>
        <v/>
      </c>
      <c r="Y133" s="7">
        <f>LAVORAZIONI!AE385</f>
        <v/>
      </c>
      <c r="Z133" s="6">
        <f>LAVORAZIONI!AF385</f>
        <v/>
      </c>
      <c r="AA133" s="7">
        <f>LAVORAZIONI!AG385</f>
        <v/>
      </c>
      <c r="AB133" s="6">
        <f>LAVORAZIONI!AH385</f>
        <v/>
      </c>
      <c r="AC133" s="7">
        <f>LAVORAZIONI!AI385</f>
        <v/>
      </c>
      <c r="AD133" s="13">
        <f>LAVORAZIONI!AJ385</f>
        <v/>
      </c>
    </row>
    <row r="134" ht="64" customHeight="1" s="35">
      <c r="B134" s="4">
        <f>LAVORAZIONI!G386</f>
        <v/>
      </c>
      <c r="C134" s="3">
        <f>LAVORAZIONI!A386</f>
        <v/>
      </c>
      <c r="D134" s="3">
        <f>LAVORAZIONI!K386</f>
        <v/>
      </c>
      <c r="E134" s="4">
        <f>LAVORAZIONI!H386</f>
        <v/>
      </c>
      <c r="F134" s="4">
        <f>LAVORAZIONI!M386</f>
        <v/>
      </c>
      <c r="G134" s="5">
        <f>LAVORAZIONI!N386</f>
        <v/>
      </c>
      <c r="H134" s="6">
        <f>LAVORAZIONI!O386</f>
        <v/>
      </c>
      <c r="I134" s="13">
        <f>LAVORAZIONI!P386</f>
        <v/>
      </c>
      <c r="J134" s="5">
        <f>IF(LAVORAZIONI!Q386="","",LAVORAZIONI!Q386)</f>
        <v/>
      </c>
      <c r="K134" s="6">
        <f>IF(LAVORAZIONI!R386="","",LAVORAZIONI!R386)</f>
        <v/>
      </c>
      <c r="L134" s="13">
        <f>IF(LAVORAZIONI!S386="","",LAVORAZIONI!S386)</f>
        <v/>
      </c>
      <c r="M134" s="13">
        <f>LAVORAZIONI!T386</f>
        <v/>
      </c>
      <c r="O134" s="7">
        <f>LAVORAZIONI!U386</f>
        <v/>
      </c>
      <c r="P134" s="37">
        <f>LAVORAZIONI!V386</f>
        <v/>
      </c>
      <c r="Q134" s="7">
        <f>LAVORAZIONI!W386</f>
        <v/>
      </c>
      <c r="R134" s="6">
        <f>LAVORAZIONI!X386</f>
        <v/>
      </c>
      <c r="S134" s="7">
        <f>LAVORAZIONI!Y386</f>
        <v/>
      </c>
      <c r="T134" s="6">
        <f>LAVORAZIONI!Z386</f>
        <v/>
      </c>
      <c r="U134" s="7">
        <f>LAVORAZIONI!AA386</f>
        <v/>
      </c>
      <c r="V134" s="6">
        <f>LAVORAZIONI!AB386</f>
        <v/>
      </c>
      <c r="W134" s="7">
        <f>LAVORAZIONI!AC386</f>
        <v/>
      </c>
      <c r="X134" s="6">
        <f>LAVORAZIONI!AD386</f>
        <v/>
      </c>
      <c r="Y134" s="7">
        <f>LAVORAZIONI!AE386</f>
        <v/>
      </c>
      <c r="Z134" s="6">
        <f>LAVORAZIONI!AF386</f>
        <v/>
      </c>
      <c r="AA134" s="7">
        <f>LAVORAZIONI!AG386</f>
        <v/>
      </c>
      <c r="AB134" s="6">
        <f>LAVORAZIONI!AH386</f>
        <v/>
      </c>
      <c r="AC134" s="7">
        <f>LAVORAZIONI!AI386</f>
        <v/>
      </c>
      <c r="AD134" s="13">
        <f>LAVORAZIONI!AJ386</f>
        <v/>
      </c>
    </row>
    <row r="135" ht="64" customHeight="1" s="35">
      <c r="B135" s="4">
        <f>LAVORAZIONI!G387</f>
        <v/>
      </c>
      <c r="C135" s="3">
        <f>LAVORAZIONI!A387</f>
        <v/>
      </c>
      <c r="D135" s="3">
        <f>LAVORAZIONI!K387</f>
        <v/>
      </c>
      <c r="E135" s="4">
        <f>LAVORAZIONI!H387</f>
        <v/>
      </c>
      <c r="F135" s="4">
        <f>LAVORAZIONI!M387</f>
        <v/>
      </c>
      <c r="G135" s="5">
        <f>LAVORAZIONI!N387</f>
        <v/>
      </c>
      <c r="H135" s="6">
        <f>LAVORAZIONI!O387</f>
        <v/>
      </c>
      <c r="I135" s="13">
        <f>LAVORAZIONI!P387</f>
        <v/>
      </c>
      <c r="J135" s="5">
        <f>IF(LAVORAZIONI!Q387="","",LAVORAZIONI!Q387)</f>
        <v/>
      </c>
      <c r="K135" s="6">
        <f>IF(LAVORAZIONI!R387="","",LAVORAZIONI!R387)</f>
        <v/>
      </c>
      <c r="L135" s="13">
        <f>IF(LAVORAZIONI!S387="","",LAVORAZIONI!S387)</f>
        <v/>
      </c>
      <c r="M135" s="13">
        <f>LAVORAZIONI!T387</f>
        <v/>
      </c>
      <c r="O135" s="7">
        <f>LAVORAZIONI!U387</f>
        <v/>
      </c>
      <c r="P135" s="37">
        <f>LAVORAZIONI!V387</f>
        <v/>
      </c>
      <c r="Q135" s="7">
        <f>LAVORAZIONI!W387</f>
        <v/>
      </c>
      <c r="R135" s="6">
        <f>LAVORAZIONI!X387</f>
        <v/>
      </c>
      <c r="S135" s="7">
        <f>LAVORAZIONI!Y387</f>
        <v/>
      </c>
      <c r="T135" s="6">
        <f>LAVORAZIONI!Z387</f>
        <v/>
      </c>
      <c r="U135" s="7">
        <f>LAVORAZIONI!AA387</f>
        <v/>
      </c>
      <c r="V135" s="6">
        <f>LAVORAZIONI!AB387</f>
        <v/>
      </c>
      <c r="W135" s="7">
        <f>LAVORAZIONI!AC387</f>
        <v/>
      </c>
      <c r="X135" s="6">
        <f>LAVORAZIONI!AD387</f>
        <v/>
      </c>
      <c r="Y135" s="7">
        <f>LAVORAZIONI!AE387</f>
        <v/>
      </c>
      <c r="Z135" s="6">
        <f>LAVORAZIONI!AF387</f>
        <v/>
      </c>
      <c r="AA135" s="7">
        <f>LAVORAZIONI!AG387</f>
        <v/>
      </c>
      <c r="AB135" s="6">
        <f>LAVORAZIONI!AH387</f>
        <v/>
      </c>
      <c r="AC135" s="7">
        <f>LAVORAZIONI!AI387</f>
        <v/>
      </c>
      <c r="AD135" s="13">
        <f>LAVORAZIONI!AJ387</f>
        <v/>
      </c>
    </row>
    <row r="136" ht="64" customHeight="1" s="35">
      <c r="B136" s="4">
        <f>LAVORAZIONI!G388</f>
        <v/>
      </c>
      <c r="C136" s="3">
        <f>LAVORAZIONI!A388</f>
        <v/>
      </c>
      <c r="D136" s="3">
        <f>LAVORAZIONI!K388</f>
        <v/>
      </c>
      <c r="E136" s="4">
        <f>LAVORAZIONI!H388</f>
        <v/>
      </c>
      <c r="F136" s="4">
        <f>LAVORAZIONI!M388</f>
        <v/>
      </c>
      <c r="G136" s="5">
        <f>LAVORAZIONI!N388</f>
        <v/>
      </c>
      <c r="H136" s="6">
        <f>LAVORAZIONI!O388</f>
        <v/>
      </c>
      <c r="I136" s="13">
        <f>LAVORAZIONI!P388</f>
        <v/>
      </c>
      <c r="J136" s="5">
        <f>IF(LAVORAZIONI!Q388="","",LAVORAZIONI!Q388)</f>
        <v/>
      </c>
      <c r="K136" s="6">
        <f>IF(LAVORAZIONI!R388="","",LAVORAZIONI!R388)</f>
        <v/>
      </c>
      <c r="L136" s="13">
        <f>IF(LAVORAZIONI!S388="","",LAVORAZIONI!S388)</f>
        <v/>
      </c>
      <c r="M136" s="13">
        <f>LAVORAZIONI!T388</f>
        <v/>
      </c>
      <c r="O136" s="7">
        <f>LAVORAZIONI!U388</f>
        <v/>
      </c>
      <c r="P136" s="37">
        <f>LAVORAZIONI!V388</f>
        <v/>
      </c>
      <c r="Q136" s="7">
        <f>LAVORAZIONI!W388</f>
        <v/>
      </c>
      <c r="R136" s="6">
        <f>LAVORAZIONI!X388</f>
        <v/>
      </c>
      <c r="S136" s="7">
        <f>LAVORAZIONI!Y388</f>
        <v/>
      </c>
      <c r="T136" s="6">
        <f>LAVORAZIONI!Z388</f>
        <v/>
      </c>
      <c r="U136" s="7">
        <f>LAVORAZIONI!AA388</f>
        <v/>
      </c>
      <c r="V136" s="6">
        <f>LAVORAZIONI!AB388</f>
        <v/>
      </c>
      <c r="W136" s="7">
        <f>LAVORAZIONI!AC388</f>
        <v/>
      </c>
      <c r="X136" s="6">
        <f>LAVORAZIONI!AD388</f>
        <v/>
      </c>
      <c r="Y136" s="7">
        <f>LAVORAZIONI!AE388</f>
        <v/>
      </c>
      <c r="Z136" s="6">
        <f>LAVORAZIONI!AF388</f>
        <v/>
      </c>
      <c r="AA136" s="7">
        <f>LAVORAZIONI!AG388</f>
        <v/>
      </c>
      <c r="AB136" s="6">
        <f>LAVORAZIONI!AH388</f>
        <v/>
      </c>
      <c r="AC136" s="7">
        <f>LAVORAZIONI!AI388</f>
        <v/>
      </c>
      <c r="AD136" s="13">
        <f>LAVORAZIONI!AJ388</f>
        <v/>
      </c>
    </row>
    <row r="137" ht="64" customHeight="1" s="35">
      <c r="B137" s="4">
        <f>LAVORAZIONI!G389</f>
        <v/>
      </c>
      <c r="C137" s="3">
        <f>LAVORAZIONI!A389</f>
        <v/>
      </c>
      <c r="D137" s="3">
        <f>LAVORAZIONI!K389</f>
        <v/>
      </c>
      <c r="E137" s="4">
        <f>LAVORAZIONI!H389</f>
        <v/>
      </c>
      <c r="F137" s="4">
        <f>LAVORAZIONI!M389</f>
        <v/>
      </c>
      <c r="G137" s="5">
        <f>LAVORAZIONI!N389</f>
        <v/>
      </c>
      <c r="H137" s="6">
        <f>LAVORAZIONI!O389</f>
        <v/>
      </c>
      <c r="I137" s="13">
        <f>LAVORAZIONI!P389</f>
        <v/>
      </c>
      <c r="J137" s="5">
        <f>IF(LAVORAZIONI!Q389="","",LAVORAZIONI!Q389)</f>
        <v/>
      </c>
      <c r="K137" s="6">
        <f>IF(LAVORAZIONI!R389="","",LAVORAZIONI!R389)</f>
        <v/>
      </c>
      <c r="L137" s="13">
        <f>IF(LAVORAZIONI!S389="","",LAVORAZIONI!S389)</f>
        <v/>
      </c>
      <c r="M137" s="13">
        <f>LAVORAZIONI!T389</f>
        <v/>
      </c>
      <c r="O137" s="7">
        <f>LAVORAZIONI!U389</f>
        <v/>
      </c>
      <c r="P137" s="37">
        <f>LAVORAZIONI!V389</f>
        <v/>
      </c>
      <c r="Q137" s="7">
        <f>LAVORAZIONI!W389</f>
        <v/>
      </c>
      <c r="R137" s="6">
        <f>LAVORAZIONI!X389</f>
        <v/>
      </c>
      <c r="S137" s="7">
        <f>LAVORAZIONI!Y389</f>
        <v/>
      </c>
      <c r="T137" s="6">
        <f>LAVORAZIONI!Z389</f>
        <v/>
      </c>
      <c r="U137" s="7">
        <f>LAVORAZIONI!AA389</f>
        <v/>
      </c>
      <c r="V137" s="6">
        <f>LAVORAZIONI!AB389</f>
        <v/>
      </c>
      <c r="W137" s="7">
        <f>LAVORAZIONI!AC389</f>
        <v/>
      </c>
      <c r="X137" s="6">
        <f>LAVORAZIONI!AD389</f>
        <v/>
      </c>
      <c r="Y137" s="7">
        <f>LAVORAZIONI!AE389</f>
        <v/>
      </c>
      <c r="Z137" s="6">
        <f>LAVORAZIONI!AF389</f>
        <v/>
      </c>
      <c r="AA137" s="7">
        <f>LAVORAZIONI!AG389</f>
        <v/>
      </c>
      <c r="AB137" s="6">
        <f>LAVORAZIONI!AH389</f>
        <v/>
      </c>
      <c r="AC137" s="7">
        <f>LAVORAZIONI!AI389</f>
        <v/>
      </c>
      <c r="AD137" s="13">
        <f>LAVORAZIONI!AJ389</f>
        <v/>
      </c>
    </row>
    <row r="138" ht="64" customHeight="1" s="35">
      <c r="B138" s="4">
        <f>LAVORAZIONI!G390</f>
        <v/>
      </c>
      <c r="C138" s="3">
        <f>LAVORAZIONI!A390</f>
        <v/>
      </c>
      <c r="D138" s="3">
        <f>LAVORAZIONI!K390</f>
        <v/>
      </c>
      <c r="E138" s="4">
        <f>LAVORAZIONI!H390</f>
        <v/>
      </c>
      <c r="F138" s="4">
        <f>LAVORAZIONI!M390</f>
        <v/>
      </c>
      <c r="G138" s="5">
        <f>LAVORAZIONI!N390</f>
        <v/>
      </c>
      <c r="H138" s="6">
        <f>LAVORAZIONI!O390</f>
        <v/>
      </c>
      <c r="I138" s="13">
        <f>LAVORAZIONI!P390</f>
        <v/>
      </c>
      <c r="J138" s="5">
        <f>IF(LAVORAZIONI!Q390="","",LAVORAZIONI!Q390)</f>
        <v/>
      </c>
      <c r="K138" s="6">
        <f>IF(LAVORAZIONI!R390="","",LAVORAZIONI!R390)</f>
        <v/>
      </c>
      <c r="L138" s="13">
        <f>IF(LAVORAZIONI!S390="","",LAVORAZIONI!S390)</f>
        <v/>
      </c>
      <c r="M138" s="13">
        <f>LAVORAZIONI!T390</f>
        <v/>
      </c>
      <c r="O138" s="7">
        <f>LAVORAZIONI!U390</f>
        <v/>
      </c>
      <c r="P138" s="37">
        <f>LAVORAZIONI!V390</f>
        <v/>
      </c>
      <c r="Q138" s="7">
        <f>LAVORAZIONI!W390</f>
        <v/>
      </c>
      <c r="R138" s="6">
        <f>LAVORAZIONI!X390</f>
        <v/>
      </c>
      <c r="S138" s="7">
        <f>LAVORAZIONI!Y390</f>
        <v/>
      </c>
      <c r="T138" s="6">
        <f>LAVORAZIONI!Z390</f>
        <v/>
      </c>
      <c r="U138" s="7">
        <f>LAVORAZIONI!AA390</f>
        <v/>
      </c>
      <c r="V138" s="6">
        <f>LAVORAZIONI!AB390</f>
        <v/>
      </c>
      <c r="W138" s="7">
        <f>LAVORAZIONI!AC390</f>
        <v/>
      </c>
      <c r="X138" s="6">
        <f>LAVORAZIONI!AD390</f>
        <v/>
      </c>
      <c r="Y138" s="7">
        <f>LAVORAZIONI!AE390</f>
        <v/>
      </c>
      <c r="Z138" s="6">
        <f>LAVORAZIONI!AF390</f>
        <v/>
      </c>
      <c r="AA138" s="7">
        <f>LAVORAZIONI!AG390</f>
        <v/>
      </c>
      <c r="AB138" s="6">
        <f>LAVORAZIONI!AH390</f>
        <v/>
      </c>
      <c r="AC138" s="7">
        <f>LAVORAZIONI!AI390</f>
        <v/>
      </c>
      <c r="AD138" s="13">
        <f>LAVORAZIONI!AJ390</f>
        <v/>
      </c>
    </row>
    <row r="139" ht="64" customHeight="1" s="35">
      <c r="B139" s="4">
        <f>LAVORAZIONI!G391</f>
        <v/>
      </c>
      <c r="C139" s="3">
        <f>LAVORAZIONI!A391</f>
        <v/>
      </c>
      <c r="D139" s="3">
        <f>LAVORAZIONI!K391</f>
        <v/>
      </c>
      <c r="E139" s="4">
        <f>LAVORAZIONI!H391</f>
        <v/>
      </c>
      <c r="F139" s="4">
        <f>LAVORAZIONI!M391</f>
        <v/>
      </c>
      <c r="G139" s="5">
        <f>LAVORAZIONI!N391</f>
        <v/>
      </c>
      <c r="H139" s="6">
        <f>LAVORAZIONI!O391</f>
        <v/>
      </c>
      <c r="I139" s="13">
        <f>LAVORAZIONI!P391</f>
        <v/>
      </c>
      <c r="J139" s="5">
        <f>IF(LAVORAZIONI!Q391="","",LAVORAZIONI!Q391)</f>
        <v/>
      </c>
      <c r="K139" s="6">
        <f>IF(LAVORAZIONI!R391="","",LAVORAZIONI!R391)</f>
        <v/>
      </c>
      <c r="L139" s="13">
        <f>IF(LAVORAZIONI!S391="","",LAVORAZIONI!S391)</f>
        <v/>
      </c>
      <c r="M139" s="13">
        <f>LAVORAZIONI!T391</f>
        <v/>
      </c>
      <c r="O139" s="7">
        <f>LAVORAZIONI!U391</f>
        <v/>
      </c>
      <c r="P139" s="37">
        <f>LAVORAZIONI!V391</f>
        <v/>
      </c>
      <c r="Q139" s="7">
        <f>LAVORAZIONI!W391</f>
        <v/>
      </c>
      <c r="R139" s="6">
        <f>LAVORAZIONI!X391</f>
        <v/>
      </c>
      <c r="S139" s="7">
        <f>LAVORAZIONI!Y391</f>
        <v/>
      </c>
      <c r="T139" s="6">
        <f>LAVORAZIONI!Z391</f>
        <v/>
      </c>
      <c r="U139" s="7">
        <f>LAVORAZIONI!AA391</f>
        <v/>
      </c>
      <c r="V139" s="6">
        <f>LAVORAZIONI!AB391</f>
        <v/>
      </c>
      <c r="W139" s="7">
        <f>LAVORAZIONI!AC391</f>
        <v/>
      </c>
      <c r="X139" s="6">
        <f>LAVORAZIONI!AD391</f>
        <v/>
      </c>
      <c r="Y139" s="7">
        <f>LAVORAZIONI!AE391</f>
        <v/>
      </c>
      <c r="Z139" s="6">
        <f>LAVORAZIONI!AF391</f>
        <v/>
      </c>
      <c r="AA139" s="7">
        <f>LAVORAZIONI!AG391</f>
        <v/>
      </c>
      <c r="AB139" s="6">
        <f>LAVORAZIONI!AH391</f>
        <v/>
      </c>
      <c r="AC139" s="7">
        <f>LAVORAZIONI!AI391</f>
        <v/>
      </c>
      <c r="AD139" s="13">
        <f>LAVORAZIONI!AJ391</f>
        <v/>
      </c>
    </row>
    <row r="140" ht="64" customHeight="1" s="35">
      <c r="B140" s="4">
        <f>LAVORAZIONI!G392</f>
        <v/>
      </c>
      <c r="C140" s="3">
        <f>LAVORAZIONI!A392</f>
        <v/>
      </c>
      <c r="D140" s="3">
        <f>LAVORAZIONI!K392</f>
        <v/>
      </c>
      <c r="E140" s="4">
        <f>LAVORAZIONI!H392</f>
        <v/>
      </c>
      <c r="F140" s="4">
        <f>LAVORAZIONI!M392</f>
        <v/>
      </c>
      <c r="G140" s="5">
        <f>LAVORAZIONI!N392</f>
        <v/>
      </c>
      <c r="H140" s="6">
        <f>LAVORAZIONI!O392</f>
        <v/>
      </c>
      <c r="I140" s="13">
        <f>LAVORAZIONI!P392</f>
        <v/>
      </c>
      <c r="J140" s="5">
        <f>IF(LAVORAZIONI!Q392="","",LAVORAZIONI!Q392)</f>
        <v/>
      </c>
      <c r="K140" s="6">
        <f>IF(LAVORAZIONI!R392="","",LAVORAZIONI!R392)</f>
        <v/>
      </c>
      <c r="L140" s="13">
        <f>IF(LAVORAZIONI!S392="","",LAVORAZIONI!S392)</f>
        <v/>
      </c>
      <c r="M140" s="13">
        <f>LAVORAZIONI!T392</f>
        <v/>
      </c>
      <c r="O140" s="7">
        <f>LAVORAZIONI!U392</f>
        <v/>
      </c>
      <c r="P140" s="37">
        <f>LAVORAZIONI!V392</f>
        <v/>
      </c>
      <c r="Q140" s="7">
        <f>LAVORAZIONI!W392</f>
        <v/>
      </c>
      <c r="R140" s="6">
        <f>LAVORAZIONI!X392</f>
        <v/>
      </c>
      <c r="S140" s="7">
        <f>LAVORAZIONI!Y392</f>
        <v/>
      </c>
      <c r="T140" s="6">
        <f>LAVORAZIONI!Z392</f>
        <v/>
      </c>
      <c r="U140" s="7">
        <f>LAVORAZIONI!AA392</f>
        <v/>
      </c>
      <c r="V140" s="6">
        <f>LAVORAZIONI!AB392</f>
        <v/>
      </c>
      <c r="W140" s="7">
        <f>LAVORAZIONI!AC392</f>
        <v/>
      </c>
      <c r="X140" s="6">
        <f>LAVORAZIONI!AD392</f>
        <v/>
      </c>
      <c r="Y140" s="7">
        <f>LAVORAZIONI!AE392</f>
        <v/>
      </c>
      <c r="Z140" s="6">
        <f>LAVORAZIONI!AF392</f>
        <v/>
      </c>
      <c r="AA140" s="7">
        <f>LAVORAZIONI!AG392</f>
        <v/>
      </c>
      <c r="AB140" s="6">
        <f>LAVORAZIONI!AH392</f>
        <v/>
      </c>
      <c r="AC140" s="7">
        <f>LAVORAZIONI!AI392</f>
        <v/>
      </c>
      <c r="AD140" s="13">
        <f>LAVORAZIONI!AJ392</f>
        <v/>
      </c>
    </row>
    <row r="141" ht="64" customHeight="1" s="35">
      <c r="B141" s="4">
        <f>LAVORAZIONI!G393</f>
        <v/>
      </c>
      <c r="C141" s="3">
        <f>LAVORAZIONI!A393</f>
        <v/>
      </c>
      <c r="D141" s="3">
        <f>LAVORAZIONI!K393</f>
        <v/>
      </c>
      <c r="E141" s="4">
        <f>LAVORAZIONI!H393</f>
        <v/>
      </c>
      <c r="F141" s="4">
        <f>LAVORAZIONI!M393</f>
        <v/>
      </c>
      <c r="G141" s="5">
        <f>LAVORAZIONI!N393</f>
        <v/>
      </c>
      <c r="H141" s="6">
        <f>LAVORAZIONI!O393</f>
        <v/>
      </c>
      <c r="I141" s="13">
        <f>LAVORAZIONI!P393</f>
        <v/>
      </c>
      <c r="J141" s="5">
        <f>IF(LAVORAZIONI!Q393="","",LAVORAZIONI!Q393)</f>
        <v/>
      </c>
      <c r="K141" s="6">
        <f>IF(LAVORAZIONI!R393="","",LAVORAZIONI!R393)</f>
        <v/>
      </c>
      <c r="L141" s="13">
        <f>IF(LAVORAZIONI!S393="","",LAVORAZIONI!S393)</f>
        <v/>
      </c>
      <c r="M141" s="13">
        <f>LAVORAZIONI!T393</f>
        <v/>
      </c>
      <c r="O141" s="7">
        <f>LAVORAZIONI!U393</f>
        <v/>
      </c>
      <c r="P141" s="37">
        <f>LAVORAZIONI!V393</f>
        <v/>
      </c>
      <c r="Q141" s="7">
        <f>LAVORAZIONI!W393</f>
        <v/>
      </c>
      <c r="R141" s="6">
        <f>LAVORAZIONI!X393</f>
        <v/>
      </c>
      <c r="S141" s="7">
        <f>LAVORAZIONI!Y393</f>
        <v/>
      </c>
      <c r="T141" s="6">
        <f>LAVORAZIONI!Z393</f>
        <v/>
      </c>
      <c r="U141" s="7">
        <f>LAVORAZIONI!AA393</f>
        <v/>
      </c>
      <c r="V141" s="6">
        <f>LAVORAZIONI!AB393</f>
        <v/>
      </c>
      <c r="W141" s="7">
        <f>LAVORAZIONI!AC393</f>
        <v/>
      </c>
      <c r="X141" s="6">
        <f>LAVORAZIONI!AD393</f>
        <v/>
      </c>
      <c r="Y141" s="7">
        <f>LAVORAZIONI!AE393</f>
        <v/>
      </c>
      <c r="Z141" s="6">
        <f>LAVORAZIONI!AF393</f>
        <v/>
      </c>
      <c r="AA141" s="7">
        <f>LAVORAZIONI!AG393</f>
        <v/>
      </c>
      <c r="AB141" s="6">
        <f>LAVORAZIONI!AH393</f>
        <v/>
      </c>
      <c r="AC141" s="7">
        <f>LAVORAZIONI!AI393</f>
        <v/>
      </c>
      <c r="AD141" s="13">
        <f>LAVORAZIONI!AJ393</f>
        <v/>
      </c>
    </row>
    <row r="142" ht="64" customHeight="1" s="35">
      <c r="B142" s="4">
        <f>LAVORAZIONI!G394</f>
        <v/>
      </c>
      <c r="C142" s="3">
        <f>LAVORAZIONI!A394</f>
        <v/>
      </c>
      <c r="D142" s="3">
        <f>LAVORAZIONI!K394</f>
        <v/>
      </c>
      <c r="E142" s="4">
        <f>LAVORAZIONI!H394</f>
        <v/>
      </c>
      <c r="F142" s="4">
        <f>LAVORAZIONI!M394</f>
        <v/>
      </c>
      <c r="G142" s="5">
        <f>LAVORAZIONI!N394</f>
        <v/>
      </c>
      <c r="H142" s="6">
        <f>LAVORAZIONI!O394</f>
        <v/>
      </c>
      <c r="I142" s="13">
        <f>LAVORAZIONI!P394</f>
        <v/>
      </c>
      <c r="J142" s="5">
        <f>IF(LAVORAZIONI!Q394="","",LAVORAZIONI!Q394)</f>
        <v/>
      </c>
      <c r="K142" s="6">
        <f>IF(LAVORAZIONI!R394="","",LAVORAZIONI!R394)</f>
        <v/>
      </c>
      <c r="L142" s="13">
        <f>IF(LAVORAZIONI!S394="","",LAVORAZIONI!S394)</f>
        <v/>
      </c>
      <c r="M142" s="13">
        <f>LAVORAZIONI!T394</f>
        <v/>
      </c>
      <c r="O142" s="7">
        <f>LAVORAZIONI!U394</f>
        <v/>
      </c>
      <c r="P142" s="37">
        <f>LAVORAZIONI!V394</f>
        <v/>
      </c>
      <c r="Q142" s="7">
        <f>LAVORAZIONI!W394</f>
        <v/>
      </c>
      <c r="R142" s="6">
        <f>LAVORAZIONI!X394</f>
        <v/>
      </c>
      <c r="S142" s="7">
        <f>LAVORAZIONI!Y394</f>
        <v/>
      </c>
      <c r="T142" s="6">
        <f>LAVORAZIONI!Z394</f>
        <v/>
      </c>
      <c r="U142" s="7">
        <f>LAVORAZIONI!AA394</f>
        <v/>
      </c>
      <c r="V142" s="6">
        <f>LAVORAZIONI!AB394</f>
        <v/>
      </c>
      <c r="W142" s="7">
        <f>LAVORAZIONI!AC394</f>
        <v/>
      </c>
      <c r="X142" s="6">
        <f>LAVORAZIONI!AD394</f>
        <v/>
      </c>
      <c r="Y142" s="7">
        <f>LAVORAZIONI!AE394</f>
        <v/>
      </c>
      <c r="Z142" s="6">
        <f>LAVORAZIONI!AF394</f>
        <v/>
      </c>
      <c r="AA142" s="7">
        <f>LAVORAZIONI!AG394</f>
        <v/>
      </c>
      <c r="AB142" s="6">
        <f>LAVORAZIONI!AH394</f>
        <v/>
      </c>
      <c r="AC142" s="7">
        <f>LAVORAZIONI!AI394</f>
        <v/>
      </c>
      <c r="AD142" s="13">
        <f>LAVORAZIONI!AJ394</f>
        <v/>
      </c>
    </row>
    <row r="143" ht="64" customHeight="1" s="35">
      <c r="B143" s="4">
        <f>LAVORAZIONI!G395</f>
        <v/>
      </c>
      <c r="C143" s="3">
        <f>LAVORAZIONI!A395</f>
        <v/>
      </c>
      <c r="D143" s="3">
        <f>LAVORAZIONI!K395</f>
        <v/>
      </c>
      <c r="E143" s="4">
        <f>LAVORAZIONI!H395</f>
        <v/>
      </c>
      <c r="F143" s="4">
        <f>LAVORAZIONI!M395</f>
        <v/>
      </c>
      <c r="G143" s="5">
        <f>LAVORAZIONI!N395</f>
        <v/>
      </c>
      <c r="H143" s="6">
        <f>LAVORAZIONI!O395</f>
        <v/>
      </c>
      <c r="I143" s="13">
        <f>LAVORAZIONI!P395</f>
        <v/>
      </c>
      <c r="J143" s="5">
        <f>IF(LAVORAZIONI!Q395="","",LAVORAZIONI!Q395)</f>
        <v/>
      </c>
      <c r="K143" s="6">
        <f>IF(LAVORAZIONI!R395="","",LAVORAZIONI!R395)</f>
        <v/>
      </c>
      <c r="L143" s="13">
        <f>IF(LAVORAZIONI!S395="","",LAVORAZIONI!S395)</f>
        <v/>
      </c>
      <c r="M143" s="13">
        <f>LAVORAZIONI!T395</f>
        <v/>
      </c>
      <c r="O143" s="7">
        <f>LAVORAZIONI!U395</f>
        <v/>
      </c>
      <c r="P143" s="37">
        <f>LAVORAZIONI!V395</f>
        <v/>
      </c>
      <c r="Q143" s="7">
        <f>LAVORAZIONI!W395</f>
        <v/>
      </c>
      <c r="R143" s="6">
        <f>LAVORAZIONI!X395</f>
        <v/>
      </c>
      <c r="S143" s="7">
        <f>LAVORAZIONI!Y395</f>
        <v/>
      </c>
      <c r="T143" s="6">
        <f>LAVORAZIONI!Z395</f>
        <v/>
      </c>
      <c r="U143" s="7">
        <f>LAVORAZIONI!AA395</f>
        <v/>
      </c>
      <c r="V143" s="6">
        <f>LAVORAZIONI!AB395</f>
        <v/>
      </c>
      <c r="W143" s="7">
        <f>LAVORAZIONI!AC395</f>
        <v/>
      </c>
      <c r="X143" s="6">
        <f>LAVORAZIONI!AD395</f>
        <v/>
      </c>
      <c r="Y143" s="7">
        <f>LAVORAZIONI!AE395</f>
        <v/>
      </c>
      <c r="Z143" s="6">
        <f>LAVORAZIONI!AF395</f>
        <v/>
      </c>
      <c r="AA143" s="7">
        <f>LAVORAZIONI!AG395</f>
        <v/>
      </c>
      <c r="AB143" s="6">
        <f>LAVORAZIONI!AH395</f>
        <v/>
      </c>
      <c r="AC143" s="7">
        <f>LAVORAZIONI!AI395</f>
        <v/>
      </c>
      <c r="AD143" s="13">
        <f>LAVORAZIONI!AJ395</f>
        <v/>
      </c>
    </row>
    <row r="144" ht="64" customHeight="1" s="35">
      <c r="B144" s="4">
        <f>LAVORAZIONI!G396</f>
        <v/>
      </c>
      <c r="C144" s="3">
        <f>LAVORAZIONI!A396</f>
        <v/>
      </c>
      <c r="D144" s="3">
        <f>LAVORAZIONI!K396</f>
        <v/>
      </c>
      <c r="E144" s="4">
        <f>LAVORAZIONI!H396</f>
        <v/>
      </c>
      <c r="F144" s="4">
        <f>LAVORAZIONI!M396</f>
        <v/>
      </c>
      <c r="G144" s="5">
        <f>LAVORAZIONI!N396</f>
        <v/>
      </c>
      <c r="H144" s="6">
        <f>LAVORAZIONI!O396</f>
        <v/>
      </c>
      <c r="I144" s="13">
        <f>LAVORAZIONI!P396</f>
        <v/>
      </c>
      <c r="J144" s="5">
        <f>IF(LAVORAZIONI!Q396="","",LAVORAZIONI!Q396)</f>
        <v/>
      </c>
      <c r="K144" s="6">
        <f>IF(LAVORAZIONI!R396="","",LAVORAZIONI!R396)</f>
        <v/>
      </c>
      <c r="L144" s="13">
        <f>IF(LAVORAZIONI!S396="","",LAVORAZIONI!S396)</f>
        <v/>
      </c>
      <c r="M144" s="13">
        <f>LAVORAZIONI!T396</f>
        <v/>
      </c>
      <c r="O144" s="7">
        <f>LAVORAZIONI!U396</f>
        <v/>
      </c>
      <c r="P144" s="37">
        <f>LAVORAZIONI!V396</f>
        <v/>
      </c>
      <c r="Q144" s="7">
        <f>LAVORAZIONI!W396</f>
        <v/>
      </c>
      <c r="R144" s="6">
        <f>LAVORAZIONI!X396</f>
        <v/>
      </c>
      <c r="S144" s="7">
        <f>LAVORAZIONI!Y396</f>
        <v/>
      </c>
      <c r="T144" s="6">
        <f>LAVORAZIONI!Z396</f>
        <v/>
      </c>
      <c r="U144" s="7">
        <f>LAVORAZIONI!AA396</f>
        <v/>
      </c>
      <c r="V144" s="6">
        <f>LAVORAZIONI!AB396</f>
        <v/>
      </c>
      <c r="W144" s="7">
        <f>LAVORAZIONI!AC396</f>
        <v/>
      </c>
      <c r="X144" s="6">
        <f>LAVORAZIONI!AD396</f>
        <v/>
      </c>
      <c r="Y144" s="7">
        <f>LAVORAZIONI!AE396</f>
        <v/>
      </c>
      <c r="Z144" s="6">
        <f>LAVORAZIONI!AF396</f>
        <v/>
      </c>
      <c r="AA144" s="7">
        <f>LAVORAZIONI!AG396</f>
        <v/>
      </c>
      <c r="AB144" s="6">
        <f>LAVORAZIONI!AH396</f>
        <v/>
      </c>
      <c r="AC144" s="7">
        <f>LAVORAZIONI!AI396</f>
        <v/>
      </c>
      <c r="AD144" s="13">
        <f>LAVORAZIONI!AJ396</f>
        <v/>
      </c>
    </row>
    <row r="145" ht="64" customHeight="1" s="35">
      <c r="B145" s="4">
        <f>LAVORAZIONI!G397</f>
        <v/>
      </c>
      <c r="C145" s="3">
        <f>LAVORAZIONI!A397</f>
        <v/>
      </c>
      <c r="D145" s="3">
        <f>LAVORAZIONI!K397</f>
        <v/>
      </c>
      <c r="E145" s="4">
        <f>LAVORAZIONI!H397</f>
        <v/>
      </c>
      <c r="F145" s="4">
        <f>LAVORAZIONI!M397</f>
        <v/>
      </c>
      <c r="G145" s="5">
        <f>LAVORAZIONI!N397</f>
        <v/>
      </c>
      <c r="H145" s="6">
        <f>LAVORAZIONI!O397</f>
        <v/>
      </c>
      <c r="I145" s="13">
        <f>LAVORAZIONI!P397</f>
        <v/>
      </c>
      <c r="J145" s="5">
        <f>IF(LAVORAZIONI!Q397="","",LAVORAZIONI!Q397)</f>
        <v/>
      </c>
      <c r="K145" s="6">
        <f>IF(LAVORAZIONI!R397="","",LAVORAZIONI!R397)</f>
        <v/>
      </c>
      <c r="L145" s="13">
        <f>IF(LAVORAZIONI!S397="","",LAVORAZIONI!S397)</f>
        <v/>
      </c>
      <c r="M145" s="13">
        <f>LAVORAZIONI!T397</f>
        <v/>
      </c>
      <c r="O145" s="7">
        <f>LAVORAZIONI!U397</f>
        <v/>
      </c>
      <c r="P145" s="37">
        <f>LAVORAZIONI!V397</f>
        <v/>
      </c>
      <c r="Q145" s="7">
        <f>LAVORAZIONI!W397</f>
        <v/>
      </c>
      <c r="R145" s="6">
        <f>LAVORAZIONI!X397</f>
        <v/>
      </c>
      <c r="S145" s="7">
        <f>LAVORAZIONI!Y397</f>
        <v/>
      </c>
      <c r="T145" s="6">
        <f>LAVORAZIONI!Z397</f>
        <v/>
      </c>
      <c r="U145" s="7">
        <f>LAVORAZIONI!AA397</f>
        <v/>
      </c>
      <c r="V145" s="6">
        <f>LAVORAZIONI!AB397</f>
        <v/>
      </c>
      <c r="W145" s="7">
        <f>LAVORAZIONI!AC397</f>
        <v/>
      </c>
      <c r="X145" s="6">
        <f>LAVORAZIONI!AD397</f>
        <v/>
      </c>
      <c r="Y145" s="7">
        <f>LAVORAZIONI!AE397</f>
        <v/>
      </c>
      <c r="Z145" s="6">
        <f>LAVORAZIONI!AF397</f>
        <v/>
      </c>
      <c r="AA145" s="7">
        <f>LAVORAZIONI!AG397</f>
        <v/>
      </c>
      <c r="AB145" s="6">
        <f>LAVORAZIONI!AH397</f>
        <v/>
      </c>
      <c r="AC145" s="7">
        <f>LAVORAZIONI!AI397</f>
        <v/>
      </c>
      <c r="AD145" s="13">
        <f>LAVORAZIONI!AJ397</f>
        <v/>
      </c>
    </row>
    <row r="146" ht="64" customHeight="1" s="35">
      <c r="D146" s="14" t="inlineStr">
        <is>
          <t>TOTALE MECCANICHE SPECIALI</t>
        </is>
      </c>
      <c r="I146" s="10">
        <f>SUM(I5:I145)</f>
        <v/>
      </c>
      <c r="L146" s="10">
        <f>SUM(L5:L145)</f>
        <v/>
      </c>
      <c r="M146" s="10">
        <f>SUM(M5:M145)</f>
        <v/>
      </c>
      <c r="P146" s="38">
        <f>SUM(P5:P145)</f>
        <v/>
      </c>
      <c r="R146" s="10">
        <f>SUM(R5:R145)</f>
        <v/>
      </c>
      <c r="T146" s="10">
        <f>SUM(T5:T145)</f>
        <v/>
      </c>
      <c r="V146" s="10">
        <f>SUM(V5:V145)</f>
        <v/>
      </c>
      <c r="X146" s="10">
        <f>SUM(X5:X145)</f>
        <v/>
      </c>
      <c r="Z146" s="10">
        <f>SUM(Z5:Z145)</f>
        <v/>
      </c>
      <c r="AB146" s="10">
        <f>SUM(AB5:AB145)</f>
        <v/>
      </c>
      <c r="AD146" s="10">
        <f>SUM(AD5:AD145)</f>
        <v/>
      </c>
    </row>
    <row r="149" ht="64" customHeight="1" s="35">
      <c r="P149" s="40" t="n"/>
    </row>
  </sheetData>
  <mergeCells count="9">
    <mergeCell ref="AC3:AD3"/>
    <mergeCell ref="AA3:AB3"/>
    <mergeCell ref="O3:P3"/>
    <mergeCell ref="Q3:R3"/>
    <mergeCell ref="U3:V3"/>
    <mergeCell ref="Y3:Z3"/>
    <mergeCell ref="B2:L2"/>
    <mergeCell ref="W3:X3"/>
    <mergeCell ref="S3:T3"/>
  </mergeCells>
  <pageMargins left="0.75" right="0.75" top="1" bottom="1" header="0.511811023622047" footer="0.511811023622047"/>
  <pageSetup orientation="landscape" paperSize="9" scale="72" horizontalDpi="300" verticalDpi="300"/>
  <headerFooter>
    <oddHeader>&amp;C&amp;"Helvetica Neue,Normale"&amp;16 &amp;K000000SAL APRILE 26 - OPERE MECCANICHE SPECIALI A SERVIZIO DELLE APPARECCHIATURE DI LABORATORIO</oddHeader>
    <oddFooter>&amp;L&amp;C&amp;R</oddFooter>
    <evenHeader/>
    <evenFooter/>
    <firstHeader/>
    <firstFooter/>
  </headerFooter>
  <colBreaks count="1" manualBreakCount="1">
    <brk id="16" min="0" max="1048575" man="1"/>
  </colBreaks>
</worksheet>
</file>

<file path=xl/worksheets/sheet6.xml><?xml version="1.0" encoding="utf-8"?>
<worksheet xmlns="http://schemas.openxmlformats.org/spreadsheetml/2006/main">
  <sheetPr>
    <outlinePr summaryBelow="1" summaryRight="1"/>
    <pageSetUpPr/>
  </sheetPr>
  <dimension ref="B2:AD122"/>
  <sheetViews>
    <sheetView showGridLines="0" zoomScaleNormal="100" workbookViewId="0">
      <pane xSplit="6" ySplit="4" topLeftCell="G107" activePane="bottomRight" state="frozen"/>
      <selection pane="topRight" activeCell="G1" sqref="G1"/>
      <selection pane="bottomLeft" activeCell="A4" sqref="A4"/>
      <selection pane="bottomRight" activeCell="D3" sqref="D3"/>
    </sheetView>
  </sheetViews>
  <sheetFormatPr baseColWidth="10" defaultColWidth="8.6640625" defaultRowHeight="64" customHeight="1"/>
  <cols>
    <col width="7" customWidth="1" style="35" min="2" max="2"/>
    <col width="22" customWidth="1" style="35" min="3" max="3"/>
    <col width="36" customWidth="1" style="35" min="4" max="4"/>
    <col width="16" customWidth="1" style="35" min="5" max="5"/>
    <col width="7" customWidth="1" style="35" min="6" max="6"/>
    <col width="9" customWidth="1" style="35" min="7" max="7"/>
    <col width="11" customWidth="1" style="35" min="8" max="8"/>
    <col width="13" customWidth="1" style="35" min="9" max="9"/>
    <col hidden="1" width="9" customWidth="1" style="35" min="10" max="10"/>
    <col hidden="1" width="11" customWidth="1" style="35" min="11" max="11"/>
    <col hidden="1" width="13" customWidth="1" style="35" min="12" max="12"/>
    <col width="13" customWidth="1" style="35" min="13" max="13"/>
    <col width="6" customWidth="1" style="35" min="15" max="15"/>
    <col width="12" customWidth="1" style="35" min="16" max="16"/>
    <col width="6" customWidth="1" style="35" min="17" max="17"/>
    <col width="12" customWidth="1" style="35" min="18" max="18"/>
    <col width="6" customWidth="1" style="35" min="19" max="19"/>
    <col width="12" customWidth="1" style="35" min="20" max="20"/>
    <col width="6" customWidth="1" style="35" min="21" max="21"/>
    <col width="12" customWidth="1" style="35" min="22" max="22"/>
    <col width="6" customWidth="1" style="35" min="23" max="23"/>
    <col width="12" customWidth="1" style="35" min="24" max="24"/>
    <col width="6" customWidth="1" style="35" min="25" max="25"/>
    <col width="12" customWidth="1" style="35" min="26" max="26"/>
    <col width="6" customWidth="1" style="35" min="27" max="27"/>
    <col width="12" customWidth="1" style="35" min="28" max="28"/>
    <col width="7" customWidth="1" style="35" min="29" max="29"/>
    <col width="13" customWidth="1" style="35" min="30" max="30"/>
  </cols>
  <sheetData>
    <row r="1" ht="33" customHeight="1" s="35"/>
    <row r="2" ht="64" customHeight="1" s="35">
      <c r="B2" s="27" t="inlineStr">
        <is>
          <t>DETTAGLIO SAL — OPERE ELETTRICHE</t>
        </is>
      </c>
      <c r="C2" s="44" t="n"/>
      <c r="D2" s="44" t="n"/>
      <c r="E2" s="44" t="n"/>
      <c r="F2" s="44" t="n"/>
      <c r="G2" s="44" t="n"/>
      <c r="H2" s="44" t="n"/>
      <c r="I2" s="44" t="n"/>
      <c r="J2" s="44" t="n"/>
      <c r="K2" s="44" t="n"/>
      <c r="L2" s="20" t="n"/>
      <c r="M2" s="20" t="n"/>
    </row>
    <row r="3" ht="64" customHeight="1" s="35">
      <c r="B3" s="26" t="inlineStr">
        <is>
          <t>Nr.Ord.</t>
        </is>
      </c>
      <c r="C3" s="26" t="inlineStr">
        <is>
          <t>TARIFFA</t>
        </is>
      </c>
      <c r="D3" s="26" t="inlineStr">
        <is>
          <t>DESIGNAZIONE</t>
        </is>
      </c>
      <c r="E3" s="26" t="inlineStr">
        <is>
          <t>STEP</t>
        </is>
      </c>
      <c r="F3" s="26" t="inlineStr">
        <is>
          <t>U.M.</t>
        </is>
      </c>
      <c r="G3" s="26" t="inlineStr">
        <is>
          <t>Q.tà PREV</t>
        </is>
      </c>
      <c r="H3" s="26" t="inlineStr">
        <is>
          <t>VAL.UNIT PREV</t>
        </is>
      </c>
      <c r="I3" s="26" t="inlineStr">
        <is>
          <t>TOTALE PREV</t>
        </is>
      </c>
      <c r="J3" s="26" t="inlineStr">
        <is>
          <t>Q.tà CONS</t>
        </is>
      </c>
      <c r="K3" s="26" t="inlineStr">
        <is>
          <t>VAL.UNIT CONS</t>
        </is>
      </c>
      <c r="L3" s="26" t="inlineStr">
        <is>
          <t>TOTALE CONS</t>
        </is>
      </c>
      <c r="M3" s="26" t="inlineStr">
        <is>
          <t>VALORE PER SAL</t>
        </is>
      </c>
      <c r="O3" s="28" t="inlineStr">
        <is>
          <t>SAL 01 APRILE</t>
        </is>
      </c>
      <c r="P3" s="20" t="n"/>
      <c r="Q3" s="26" t="inlineStr">
        <is>
          <t>SAL 02 MAGGIO</t>
        </is>
      </c>
      <c r="R3" s="20" t="n"/>
      <c r="S3" s="26" t="inlineStr">
        <is>
          <t>SAL 03 GIUGNO</t>
        </is>
      </c>
      <c r="T3" s="20" t="n"/>
      <c r="U3" s="26" t="inlineStr">
        <is>
          <t>SAL 04 LUGLIO</t>
        </is>
      </c>
      <c r="V3" s="20" t="n"/>
      <c r="W3" s="26" t="inlineStr">
        <is>
          <t>SAL 05 AGOSTO</t>
        </is>
      </c>
      <c r="X3" s="20" t="n"/>
      <c r="Y3" s="26" t="inlineStr">
        <is>
          <t>SAL 06 SETTEMBRE</t>
        </is>
      </c>
      <c r="Z3" s="20" t="n"/>
      <c r="AA3" s="26" t="inlineStr">
        <is>
          <t>SAL 07 OTTOBRE</t>
        </is>
      </c>
      <c r="AB3" s="20" t="n"/>
      <c r="AC3" s="26" t="inlineStr">
        <is>
          <t>TOTALE COMPL.</t>
        </is>
      </c>
      <c r="AD3" s="20" t="n"/>
    </row>
    <row r="4" ht="51" customHeight="1" s="35">
      <c r="O4" s="12" t="inlineStr">
        <is>
          <t>%</t>
        </is>
      </c>
      <c r="P4" s="36" t="inlineStr">
        <is>
          <t>TOTALE</t>
        </is>
      </c>
      <c r="Q4" s="12" t="inlineStr">
        <is>
          <t>%</t>
        </is>
      </c>
      <c r="R4" s="12" t="inlineStr">
        <is>
          <t>TOTALE</t>
        </is>
      </c>
      <c r="S4" s="12" t="inlineStr">
        <is>
          <t>%</t>
        </is>
      </c>
      <c r="T4" s="12" t="inlineStr">
        <is>
          <t>TOTALE</t>
        </is>
      </c>
      <c r="U4" s="12" t="inlineStr">
        <is>
          <t>%</t>
        </is>
      </c>
      <c r="V4" s="12" t="inlineStr">
        <is>
          <t>TOTALE</t>
        </is>
      </c>
      <c r="W4" s="12" t="inlineStr">
        <is>
          <t>%</t>
        </is>
      </c>
      <c r="X4" s="12" t="inlineStr">
        <is>
          <t>TOTALE</t>
        </is>
      </c>
      <c r="Y4" s="12" t="inlineStr">
        <is>
          <t>%</t>
        </is>
      </c>
      <c r="Z4" s="12" t="inlineStr">
        <is>
          <t>TOTALE</t>
        </is>
      </c>
      <c r="AA4" s="12" t="inlineStr">
        <is>
          <t>%</t>
        </is>
      </c>
      <c r="AB4" s="12" t="inlineStr">
        <is>
          <t>TOTALE</t>
        </is>
      </c>
      <c r="AC4" s="12" t="inlineStr">
        <is>
          <t>%</t>
        </is>
      </c>
      <c r="AD4" s="12" t="inlineStr">
        <is>
          <t>TOTALE</t>
        </is>
      </c>
    </row>
    <row r="5" ht="64" customHeight="1" s="35">
      <c r="B5" s="4">
        <f>LAVORAZIONI!G398</f>
        <v/>
      </c>
      <c r="C5" s="3">
        <f>LAVORAZIONI!A398</f>
        <v/>
      </c>
      <c r="D5" s="3">
        <f>LAVORAZIONI!K398</f>
        <v/>
      </c>
      <c r="E5" s="4">
        <f>LAVORAZIONI!H398</f>
        <v/>
      </c>
      <c r="F5" s="4">
        <f>LAVORAZIONI!M398</f>
        <v/>
      </c>
      <c r="G5" s="5">
        <f>LAVORAZIONI!N398</f>
        <v/>
      </c>
      <c r="H5" s="6">
        <f>LAVORAZIONI!O398</f>
        <v/>
      </c>
      <c r="I5" s="13">
        <f>LAVORAZIONI!P398</f>
        <v/>
      </c>
      <c r="J5" s="5">
        <f>IF(LAVORAZIONI!Q398="","",LAVORAZIONI!Q398)</f>
        <v/>
      </c>
      <c r="K5" s="6">
        <f>IF(LAVORAZIONI!R398="","",LAVORAZIONI!R398)</f>
        <v/>
      </c>
      <c r="L5" s="13">
        <f>IF(LAVORAZIONI!S398="","",LAVORAZIONI!S398)</f>
        <v/>
      </c>
      <c r="M5" s="13">
        <f>LAVORAZIONI!T398</f>
        <v/>
      </c>
      <c r="O5" s="7">
        <f>LAVORAZIONI!U398</f>
        <v/>
      </c>
      <c r="P5" s="37">
        <f>LAVORAZIONI!V398</f>
        <v/>
      </c>
      <c r="Q5" s="7">
        <f>LAVORAZIONI!W398</f>
        <v/>
      </c>
      <c r="R5" s="6">
        <f>LAVORAZIONI!X398</f>
        <v/>
      </c>
      <c r="S5" s="7">
        <f>LAVORAZIONI!Y398</f>
        <v/>
      </c>
      <c r="T5" s="6">
        <f>LAVORAZIONI!Z398</f>
        <v/>
      </c>
      <c r="U5" s="7">
        <f>LAVORAZIONI!AA398</f>
        <v/>
      </c>
      <c r="V5" s="6">
        <f>LAVORAZIONI!AB398</f>
        <v/>
      </c>
      <c r="W5" s="7">
        <f>LAVORAZIONI!AC398</f>
        <v/>
      </c>
      <c r="X5" s="6">
        <f>LAVORAZIONI!AD398</f>
        <v/>
      </c>
      <c r="Y5" s="7">
        <f>LAVORAZIONI!AE398</f>
        <v/>
      </c>
      <c r="Z5" s="6">
        <f>LAVORAZIONI!AF398</f>
        <v/>
      </c>
      <c r="AA5" s="7">
        <f>LAVORAZIONI!AG398</f>
        <v/>
      </c>
      <c r="AB5" s="6">
        <f>LAVORAZIONI!AH398</f>
        <v/>
      </c>
      <c r="AC5" s="7">
        <f>LAVORAZIONI!AI398</f>
        <v/>
      </c>
      <c r="AD5" s="13">
        <f>LAVORAZIONI!AJ398</f>
        <v/>
      </c>
    </row>
    <row r="6" ht="64" customHeight="1" s="35">
      <c r="B6" s="4">
        <f>LAVORAZIONI!G399</f>
        <v/>
      </c>
      <c r="C6" s="3">
        <f>LAVORAZIONI!A399</f>
        <v/>
      </c>
      <c r="D6" s="3">
        <f>LAVORAZIONI!K399</f>
        <v/>
      </c>
      <c r="E6" s="4">
        <f>LAVORAZIONI!H399</f>
        <v/>
      </c>
      <c r="F6" s="4">
        <f>LAVORAZIONI!M399</f>
        <v/>
      </c>
      <c r="G6" s="5">
        <f>LAVORAZIONI!N399</f>
        <v/>
      </c>
      <c r="H6" s="6">
        <f>LAVORAZIONI!O399</f>
        <v/>
      </c>
      <c r="I6" s="13">
        <f>LAVORAZIONI!P399</f>
        <v/>
      </c>
      <c r="J6" s="5">
        <f>IF(LAVORAZIONI!Q399="","",LAVORAZIONI!Q399)</f>
        <v/>
      </c>
      <c r="K6" s="6">
        <f>IF(LAVORAZIONI!R399="","",LAVORAZIONI!R399)</f>
        <v/>
      </c>
      <c r="L6" s="13">
        <f>IF(LAVORAZIONI!S399="","",LAVORAZIONI!S399)</f>
        <v/>
      </c>
      <c r="M6" s="13">
        <f>LAVORAZIONI!T399</f>
        <v/>
      </c>
      <c r="O6" s="7">
        <f>LAVORAZIONI!U399</f>
        <v/>
      </c>
      <c r="P6" s="37">
        <f>LAVORAZIONI!V399</f>
        <v/>
      </c>
      <c r="Q6" s="7">
        <f>LAVORAZIONI!W399</f>
        <v/>
      </c>
      <c r="R6" s="6">
        <f>LAVORAZIONI!X399</f>
        <v/>
      </c>
      <c r="S6" s="7">
        <f>LAVORAZIONI!Y399</f>
        <v/>
      </c>
      <c r="T6" s="6">
        <f>LAVORAZIONI!Z399</f>
        <v/>
      </c>
      <c r="U6" s="7">
        <f>LAVORAZIONI!AA399</f>
        <v/>
      </c>
      <c r="V6" s="6">
        <f>LAVORAZIONI!AB399</f>
        <v/>
      </c>
      <c r="W6" s="7">
        <f>LAVORAZIONI!AC399</f>
        <v/>
      </c>
      <c r="X6" s="6">
        <f>LAVORAZIONI!AD399</f>
        <v/>
      </c>
      <c r="Y6" s="7">
        <f>LAVORAZIONI!AE399</f>
        <v/>
      </c>
      <c r="Z6" s="6">
        <f>LAVORAZIONI!AF399</f>
        <v/>
      </c>
      <c r="AA6" s="7">
        <f>LAVORAZIONI!AG399</f>
        <v/>
      </c>
      <c r="AB6" s="6">
        <f>LAVORAZIONI!AH399</f>
        <v/>
      </c>
      <c r="AC6" s="7">
        <f>LAVORAZIONI!AI399</f>
        <v/>
      </c>
      <c r="AD6" s="13">
        <f>LAVORAZIONI!AJ399</f>
        <v/>
      </c>
    </row>
    <row r="7" ht="64" customHeight="1" s="35">
      <c r="B7" s="4">
        <f>LAVORAZIONI!G400</f>
        <v/>
      </c>
      <c r="C7" s="3">
        <f>LAVORAZIONI!A400</f>
        <v/>
      </c>
      <c r="D7" s="3">
        <f>LAVORAZIONI!K400</f>
        <v/>
      </c>
      <c r="E7" s="4">
        <f>LAVORAZIONI!H400</f>
        <v/>
      </c>
      <c r="F7" s="4">
        <f>LAVORAZIONI!M400</f>
        <v/>
      </c>
      <c r="G7" s="5">
        <f>LAVORAZIONI!N400</f>
        <v/>
      </c>
      <c r="H7" s="6">
        <f>LAVORAZIONI!O400</f>
        <v/>
      </c>
      <c r="I7" s="13">
        <f>LAVORAZIONI!P400</f>
        <v/>
      </c>
      <c r="J7" s="5">
        <f>IF(LAVORAZIONI!Q400="","",LAVORAZIONI!Q400)</f>
        <v/>
      </c>
      <c r="K7" s="6">
        <f>IF(LAVORAZIONI!R400="","",LAVORAZIONI!R400)</f>
        <v/>
      </c>
      <c r="L7" s="13">
        <f>IF(LAVORAZIONI!S400="","",LAVORAZIONI!S400)</f>
        <v/>
      </c>
      <c r="M7" s="13">
        <f>LAVORAZIONI!T400</f>
        <v/>
      </c>
      <c r="O7" s="7">
        <f>LAVORAZIONI!U400</f>
        <v/>
      </c>
      <c r="P7" s="37">
        <f>LAVORAZIONI!V400</f>
        <v/>
      </c>
      <c r="Q7" s="7">
        <f>LAVORAZIONI!W400</f>
        <v/>
      </c>
      <c r="R7" s="6">
        <f>LAVORAZIONI!X400</f>
        <v/>
      </c>
      <c r="S7" s="7">
        <f>LAVORAZIONI!Y400</f>
        <v/>
      </c>
      <c r="T7" s="6">
        <f>LAVORAZIONI!Z400</f>
        <v/>
      </c>
      <c r="U7" s="7">
        <f>LAVORAZIONI!AA400</f>
        <v/>
      </c>
      <c r="V7" s="6">
        <f>LAVORAZIONI!AB400</f>
        <v/>
      </c>
      <c r="W7" s="7">
        <f>LAVORAZIONI!AC400</f>
        <v/>
      </c>
      <c r="X7" s="6">
        <f>LAVORAZIONI!AD400</f>
        <v/>
      </c>
      <c r="Y7" s="7">
        <f>LAVORAZIONI!AE400</f>
        <v/>
      </c>
      <c r="Z7" s="6">
        <f>LAVORAZIONI!AF400</f>
        <v/>
      </c>
      <c r="AA7" s="7">
        <f>LAVORAZIONI!AG400</f>
        <v/>
      </c>
      <c r="AB7" s="6">
        <f>LAVORAZIONI!AH400</f>
        <v/>
      </c>
      <c r="AC7" s="7">
        <f>LAVORAZIONI!AI400</f>
        <v/>
      </c>
      <c r="AD7" s="13">
        <f>LAVORAZIONI!AJ400</f>
        <v/>
      </c>
    </row>
    <row r="8" ht="64" customHeight="1" s="35">
      <c r="B8" s="4">
        <f>LAVORAZIONI!G401</f>
        <v/>
      </c>
      <c r="C8" s="3">
        <f>LAVORAZIONI!A401</f>
        <v/>
      </c>
      <c r="D8" s="3">
        <f>LAVORAZIONI!K401</f>
        <v/>
      </c>
      <c r="E8" s="4">
        <f>LAVORAZIONI!H401</f>
        <v/>
      </c>
      <c r="F8" s="4">
        <f>LAVORAZIONI!M401</f>
        <v/>
      </c>
      <c r="G8" s="5">
        <f>LAVORAZIONI!N401</f>
        <v/>
      </c>
      <c r="H8" s="6">
        <f>LAVORAZIONI!O401</f>
        <v/>
      </c>
      <c r="I8" s="13">
        <f>LAVORAZIONI!P401</f>
        <v/>
      </c>
      <c r="J8" s="5">
        <f>IF(LAVORAZIONI!Q401="","",LAVORAZIONI!Q401)</f>
        <v/>
      </c>
      <c r="K8" s="6">
        <f>IF(LAVORAZIONI!R401="","",LAVORAZIONI!R401)</f>
        <v/>
      </c>
      <c r="L8" s="13">
        <f>IF(LAVORAZIONI!S401="","",LAVORAZIONI!S401)</f>
        <v/>
      </c>
      <c r="M8" s="13">
        <f>LAVORAZIONI!T401</f>
        <v/>
      </c>
      <c r="O8" s="7">
        <f>LAVORAZIONI!U401</f>
        <v/>
      </c>
      <c r="P8" s="37">
        <f>LAVORAZIONI!V401</f>
        <v/>
      </c>
      <c r="Q8" s="7">
        <f>LAVORAZIONI!W401</f>
        <v/>
      </c>
      <c r="R8" s="6">
        <f>LAVORAZIONI!X401</f>
        <v/>
      </c>
      <c r="S8" s="7">
        <f>LAVORAZIONI!Y401</f>
        <v/>
      </c>
      <c r="T8" s="6">
        <f>LAVORAZIONI!Z401</f>
        <v/>
      </c>
      <c r="U8" s="7">
        <f>LAVORAZIONI!AA401</f>
        <v/>
      </c>
      <c r="V8" s="6">
        <f>LAVORAZIONI!AB401</f>
        <v/>
      </c>
      <c r="W8" s="7">
        <f>LAVORAZIONI!AC401</f>
        <v/>
      </c>
      <c r="X8" s="6">
        <f>LAVORAZIONI!AD401</f>
        <v/>
      </c>
      <c r="Y8" s="7">
        <f>LAVORAZIONI!AE401</f>
        <v/>
      </c>
      <c r="Z8" s="6">
        <f>LAVORAZIONI!AF401</f>
        <v/>
      </c>
      <c r="AA8" s="7">
        <f>LAVORAZIONI!AG401</f>
        <v/>
      </c>
      <c r="AB8" s="6">
        <f>LAVORAZIONI!AH401</f>
        <v/>
      </c>
      <c r="AC8" s="7">
        <f>LAVORAZIONI!AI401</f>
        <v/>
      </c>
      <c r="AD8" s="13">
        <f>LAVORAZIONI!AJ401</f>
        <v/>
      </c>
    </row>
    <row r="9" ht="64" customHeight="1" s="35">
      <c r="B9" s="4">
        <f>LAVORAZIONI!G402</f>
        <v/>
      </c>
      <c r="C9" s="3">
        <f>LAVORAZIONI!A402</f>
        <v/>
      </c>
      <c r="D9" s="3">
        <f>LAVORAZIONI!K402</f>
        <v/>
      </c>
      <c r="E9" s="4">
        <f>LAVORAZIONI!H402</f>
        <v/>
      </c>
      <c r="F9" s="4">
        <f>LAVORAZIONI!M402</f>
        <v/>
      </c>
      <c r="G9" s="5">
        <f>LAVORAZIONI!N402</f>
        <v/>
      </c>
      <c r="H9" s="6">
        <f>LAVORAZIONI!O402</f>
        <v/>
      </c>
      <c r="I9" s="13">
        <f>LAVORAZIONI!P402</f>
        <v/>
      </c>
      <c r="J9" s="5">
        <f>IF(LAVORAZIONI!Q402="","",LAVORAZIONI!Q402)</f>
        <v/>
      </c>
      <c r="K9" s="6">
        <f>IF(LAVORAZIONI!R402="","",LAVORAZIONI!R402)</f>
        <v/>
      </c>
      <c r="L9" s="13">
        <f>IF(LAVORAZIONI!S402="","",LAVORAZIONI!S402)</f>
        <v/>
      </c>
      <c r="M9" s="13">
        <f>LAVORAZIONI!T402</f>
        <v/>
      </c>
      <c r="O9" s="7">
        <f>LAVORAZIONI!U402</f>
        <v/>
      </c>
      <c r="P9" s="37">
        <f>LAVORAZIONI!V402</f>
        <v/>
      </c>
      <c r="Q9" s="7">
        <f>LAVORAZIONI!W402</f>
        <v/>
      </c>
      <c r="R9" s="6">
        <f>LAVORAZIONI!X402</f>
        <v/>
      </c>
      <c r="S9" s="7">
        <f>LAVORAZIONI!Y402</f>
        <v/>
      </c>
      <c r="T9" s="6">
        <f>LAVORAZIONI!Z402</f>
        <v/>
      </c>
      <c r="U9" s="7">
        <f>LAVORAZIONI!AA402</f>
        <v/>
      </c>
      <c r="V9" s="6">
        <f>LAVORAZIONI!AB402</f>
        <v/>
      </c>
      <c r="W9" s="7">
        <f>LAVORAZIONI!AC402</f>
        <v/>
      </c>
      <c r="X9" s="6">
        <f>LAVORAZIONI!AD402</f>
        <v/>
      </c>
      <c r="Y9" s="7">
        <f>LAVORAZIONI!AE402</f>
        <v/>
      </c>
      <c r="Z9" s="6">
        <f>LAVORAZIONI!AF402</f>
        <v/>
      </c>
      <c r="AA9" s="7">
        <f>LAVORAZIONI!AG402</f>
        <v/>
      </c>
      <c r="AB9" s="6">
        <f>LAVORAZIONI!AH402</f>
        <v/>
      </c>
      <c r="AC9" s="7">
        <f>LAVORAZIONI!AI402</f>
        <v/>
      </c>
      <c r="AD9" s="13">
        <f>LAVORAZIONI!AJ402</f>
        <v/>
      </c>
    </row>
    <row r="10" ht="64" customHeight="1" s="35">
      <c r="B10" s="4">
        <f>LAVORAZIONI!G403</f>
        <v/>
      </c>
      <c r="C10" s="3">
        <f>LAVORAZIONI!A403</f>
        <v/>
      </c>
      <c r="D10" s="3">
        <f>LAVORAZIONI!K403</f>
        <v/>
      </c>
      <c r="E10" s="4">
        <f>LAVORAZIONI!H403</f>
        <v/>
      </c>
      <c r="F10" s="4">
        <f>LAVORAZIONI!M403</f>
        <v/>
      </c>
      <c r="G10" s="5">
        <f>LAVORAZIONI!N403</f>
        <v/>
      </c>
      <c r="H10" s="6">
        <f>LAVORAZIONI!O403</f>
        <v/>
      </c>
      <c r="I10" s="13">
        <f>LAVORAZIONI!P403</f>
        <v/>
      </c>
      <c r="J10" s="5">
        <f>IF(LAVORAZIONI!Q403="","",LAVORAZIONI!Q403)</f>
        <v/>
      </c>
      <c r="K10" s="6">
        <f>IF(LAVORAZIONI!R403="","",LAVORAZIONI!R403)</f>
        <v/>
      </c>
      <c r="L10" s="13">
        <f>IF(LAVORAZIONI!S403="","",LAVORAZIONI!S403)</f>
        <v/>
      </c>
      <c r="M10" s="13">
        <f>LAVORAZIONI!T403</f>
        <v/>
      </c>
      <c r="O10" s="7">
        <f>LAVORAZIONI!U403</f>
        <v/>
      </c>
      <c r="P10" s="37">
        <f>LAVORAZIONI!V403</f>
        <v/>
      </c>
      <c r="Q10" s="7">
        <f>LAVORAZIONI!W403</f>
        <v/>
      </c>
      <c r="R10" s="6">
        <f>LAVORAZIONI!X403</f>
        <v/>
      </c>
      <c r="S10" s="7">
        <f>LAVORAZIONI!Y403</f>
        <v/>
      </c>
      <c r="T10" s="6">
        <f>LAVORAZIONI!Z403</f>
        <v/>
      </c>
      <c r="U10" s="7">
        <f>LAVORAZIONI!AA403</f>
        <v/>
      </c>
      <c r="V10" s="6">
        <f>LAVORAZIONI!AB403</f>
        <v/>
      </c>
      <c r="W10" s="7">
        <f>LAVORAZIONI!AC403</f>
        <v/>
      </c>
      <c r="X10" s="6">
        <f>LAVORAZIONI!AD403</f>
        <v/>
      </c>
      <c r="Y10" s="7">
        <f>LAVORAZIONI!AE403</f>
        <v/>
      </c>
      <c r="Z10" s="6">
        <f>LAVORAZIONI!AF403</f>
        <v/>
      </c>
      <c r="AA10" s="7">
        <f>LAVORAZIONI!AG403</f>
        <v/>
      </c>
      <c r="AB10" s="6">
        <f>LAVORAZIONI!AH403</f>
        <v/>
      </c>
      <c r="AC10" s="7">
        <f>LAVORAZIONI!AI403</f>
        <v/>
      </c>
      <c r="AD10" s="13">
        <f>LAVORAZIONI!AJ403</f>
        <v/>
      </c>
    </row>
    <row r="11" ht="64" customHeight="1" s="35">
      <c r="B11" s="4">
        <f>LAVORAZIONI!G404</f>
        <v/>
      </c>
      <c r="C11" s="3">
        <f>LAVORAZIONI!A404</f>
        <v/>
      </c>
      <c r="D11" s="3">
        <f>LAVORAZIONI!K404</f>
        <v/>
      </c>
      <c r="E11" s="4">
        <f>LAVORAZIONI!H404</f>
        <v/>
      </c>
      <c r="F11" s="4">
        <f>LAVORAZIONI!M404</f>
        <v/>
      </c>
      <c r="G11" s="5">
        <f>LAVORAZIONI!N404</f>
        <v/>
      </c>
      <c r="H11" s="6">
        <f>LAVORAZIONI!O404</f>
        <v/>
      </c>
      <c r="I11" s="13">
        <f>LAVORAZIONI!P404</f>
        <v/>
      </c>
      <c r="J11" s="5">
        <f>IF(LAVORAZIONI!Q404="","",LAVORAZIONI!Q404)</f>
        <v/>
      </c>
      <c r="K11" s="6">
        <f>IF(LAVORAZIONI!R404="","",LAVORAZIONI!R404)</f>
        <v/>
      </c>
      <c r="L11" s="13">
        <f>IF(LAVORAZIONI!S404="","",LAVORAZIONI!S404)</f>
        <v/>
      </c>
      <c r="M11" s="13">
        <f>LAVORAZIONI!T404</f>
        <v/>
      </c>
      <c r="O11" s="7">
        <f>LAVORAZIONI!U404</f>
        <v/>
      </c>
      <c r="P11" s="37">
        <f>LAVORAZIONI!V404</f>
        <v/>
      </c>
      <c r="Q11" s="7">
        <f>LAVORAZIONI!W404</f>
        <v/>
      </c>
      <c r="R11" s="6">
        <f>LAVORAZIONI!X404</f>
        <v/>
      </c>
      <c r="S11" s="7">
        <f>LAVORAZIONI!Y404</f>
        <v/>
      </c>
      <c r="T11" s="6">
        <f>LAVORAZIONI!Z404</f>
        <v/>
      </c>
      <c r="U11" s="7">
        <f>LAVORAZIONI!AA404</f>
        <v/>
      </c>
      <c r="V11" s="6">
        <f>LAVORAZIONI!AB404</f>
        <v/>
      </c>
      <c r="W11" s="7">
        <f>LAVORAZIONI!AC404</f>
        <v/>
      </c>
      <c r="X11" s="6">
        <f>LAVORAZIONI!AD404</f>
        <v/>
      </c>
      <c r="Y11" s="7">
        <f>LAVORAZIONI!AE404</f>
        <v/>
      </c>
      <c r="Z11" s="6">
        <f>LAVORAZIONI!AF404</f>
        <v/>
      </c>
      <c r="AA11" s="7">
        <f>LAVORAZIONI!AG404</f>
        <v/>
      </c>
      <c r="AB11" s="6">
        <f>LAVORAZIONI!AH404</f>
        <v/>
      </c>
      <c r="AC11" s="7">
        <f>LAVORAZIONI!AI404</f>
        <v/>
      </c>
      <c r="AD11" s="13">
        <f>LAVORAZIONI!AJ404</f>
        <v/>
      </c>
    </row>
    <row r="12" ht="64" customHeight="1" s="35">
      <c r="B12" s="4">
        <f>LAVORAZIONI!G405</f>
        <v/>
      </c>
      <c r="C12" s="3">
        <f>LAVORAZIONI!A405</f>
        <v/>
      </c>
      <c r="D12" s="3">
        <f>LAVORAZIONI!K405</f>
        <v/>
      </c>
      <c r="E12" s="4">
        <f>LAVORAZIONI!H405</f>
        <v/>
      </c>
      <c r="F12" s="4">
        <f>LAVORAZIONI!M405</f>
        <v/>
      </c>
      <c r="G12" s="5">
        <f>LAVORAZIONI!N405</f>
        <v/>
      </c>
      <c r="H12" s="6">
        <f>LAVORAZIONI!O405</f>
        <v/>
      </c>
      <c r="I12" s="13">
        <f>LAVORAZIONI!P405</f>
        <v/>
      </c>
      <c r="J12" s="5">
        <f>IF(LAVORAZIONI!Q405="","",LAVORAZIONI!Q405)</f>
        <v/>
      </c>
      <c r="K12" s="6">
        <f>IF(LAVORAZIONI!R405="","",LAVORAZIONI!R405)</f>
        <v/>
      </c>
      <c r="L12" s="13">
        <f>IF(LAVORAZIONI!S405="","",LAVORAZIONI!S405)</f>
        <v/>
      </c>
      <c r="M12" s="13">
        <f>LAVORAZIONI!T405</f>
        <v/>
      </c>
      <c r="O12" s="7">
        <f>LAVORAZIONI!U405</f>
        <v/>
      </c>
      <c r="P12" s="37">
        <f>LAVORAZIONI!V405</f>
        <v/>
      </c>
      <c r="Q12" s="7">
        <f>LAVORAZIONI!W405</f>
        <v/>
      </c>
      <c r="R12" s="6">
        <f>LAVORAZIONI!X405</f>
        <v/>
      </c>
      <c r="S12" s="7">
        <f>LAVORAZIONI!Y405</f>
        <v/>
      </c>
      <c r="T12" s="6">
        <f>LAVORAZIONI!Z405</f>
        <v/>
      </c>
      <c r="U12" s="7">
        <f>LAVORAZIONI!AA405</f>
        <v/>
      </c>
      <c r="V12" s="6">
        <f>LAVORAZIONI!AB405</f>
        <v/>
      </c>
      <c r="W12" s="7">
        <f>LAVORAZIONI!AC405</f>
        <v/>
      </c>
      <c r="X12" s="6">
        <f>LAVORAZIONI!AD405</f>
        <v/>
      </c>
      <c r="Y12" s="7">
        <f>LAVORAZIONI!AE405</f>
        <v/>
      </c>
      <c r="Z12" s="6">
        <f>LAVORAZIONI!AF405</f>
        <v/>
      </c>
      <c r="AA12" s="7">
        <f>LAVORAZIONI!AG405</f>
        <v/>
      </c>
      <c r="AB12" s="6">
        <f>LAVORAZIONI!AH405</f>
        <v/>
      </c>
      <c r="AC12" s="7">
        <f>LAVORAZIONI!AI405</f>
        <v/>
      </c>
      <c r="AD12" s="13">
        <f>LAVORAZIONI!AJ405</f>
        <v/>
      </c>
    </row>
    <row r="13" ht="64" customHeight="1" s="35">
      <c r="B13" s="4">
        <f>LAVORAZIONI!G406</f>
        <v/>
      </c>
      <c r="C13" s="3">
        <f>LAVORAZIONI!A406</f>
        <v/>
      </c>
      <c r="D13" s="3">
        <f>LAVORAZIONI!K406</f>
        <v/>
      </c>
      <c r="E13" s="4">
        <f>LAVORAZIONI!H406</f>
        <v/>
      </c>
      <c r="F13" s="4">
        <f>LAVORAZIONI!M406</f>
        <v/>
      </c>
      <c r="G13" s="5">
        <f>LAVORAZIONI!N406</f>
        <v/>
      </c>
      <c r="H13" s="6">
        <f>LAVORAZIONI!O406</f>
        <v/>
      </c>
      <c r="I13" s="13">
        <f>LAVORAZIONI!P406</f>
        <v/>
      </c>
      <c r="J13" s="5">
        <f>IF(LAVORAZIONI!Q406="","",LAVORAZIONI!Q406)</f>
        <v/>
      </c>
      <c r="K13" s="6">
        <f>IF(LAVORAZIONI!R406="","",LAVORAZIONI!R406)</f>
        <v/>
      </c>
      <c r="L13" s="13">
        <f>IF(LAVORAZIONI!S406="","",LAVORAZIONI!S406)</f>
        <v/>
      </c>
      <c r="M13" s="13">
        <f>LAVORAZIONI!T406</f>
        <v/>
      </c>
      <c r="O13" s="7">
        <f>LAVORAZIONI!U406</f>
        <v/>
      </c>
      <c r="P13" s="37">
        <f>LAVORAZIONI!V406</f>
        <v/>
      </c>
      <c r="Q13" s="7">
        <f>LAVORAZIONI!W406</f>
        <v/>
      </c>
      <c r="R13" s="6">
        <f>LAVORAZIONI!X406</f>
        <v/>
      </c>
      <c r="S13" s="7">
        <f>LAVORAZIONI!Y406</f>
        <v/>
      </c>
      <c r="T13" s="6">
        <f>LAVORAZIONI!Z406</f>
        <v/>
      </c>
      <c r="U13" s="7">
        <f>LAVORAZIONI!AA406</f>
        <v/>
      </c>
      <c r="V13" s="6">
        <f>LAVORAZIONI!AB406</f>
        <v/>
      </c>
      <c r="W13" s="7">
        <f>LAVORAZIONI!AC406</f>
        <v/>
      </c>
      <c r="X13" s="6">
        <f>LAVORAZIONI!AD406</f>
        <v/>
      </c>
      <c r="Y13" s="7">
        <f>LAVORAZIONI!AE406</f>
        <v/>
      </c>
      <c r="Z13" s="6">
        <f>LAVORAZIONI!AF406</f>
        <v/>
      </c>
      <c r="AA13" s="7">
        <f>LAVORAZIONI!AG406</f>
        <v/>
      </c>
      <c r="AB13" s="6">
        <f>LAVORAZIONI!AH406</f>
        <v/>
      </c>
      <c r="AC13" s="7">
        <f>LAVORAZIONI!AI406</f>
        <v/>
      </c>
      <c r="AD13" s="13">
        <f>LAVORAZIONI!AJ406</f>
        <v/>
      </c>
    </row>
    <row r="14" ht="64" customHeight="1" s="35">
      <c r="B14" s="4">
        <f>LAVORAZIONI!G407</f>
        <v/>
      </c>
      <c r="C14" s="3">
        <f>LAVORAZIONI!A407</f>
        <v/>
      </c>
      <c r="D14" s="3">
        <f>LAVORAZIONI!K407</f>
        <v/>
      </c>
      <c r="E14" s="4">
        <f>LAVORAZIONI!H407</f>
        <v/>
      </c>
      <c r="F14" s="4">
        <f>LAVORAZIONI!M407</f>
        <v/>
      </c>
      <c r="G14" s="5">
        <f>LAVORAZIONI!N407</f>
        <v/>
      </c>
      <c r="H14" s="6">
        <f>LAVORAZIONI!O407</f>
        <v/>
      </c>
      <c r="I14" s="13">
        <f>LAVORAZIONI!P407</f>
        <v/>
      </c>
      <c r="J14" s="5">
        <f>IF(LAVORAZIONI!Q407="","",LAVORAZIONI!Q407)</f>
        <v/>
      </c>
      <c r="K14" s="6">
        <f>IF(LAVORAZIONI!R407="","",LAVORAZIONI!R407)</f>
        <v/>
      </c>
      <c r="L14" s="13">
        <f>IF(LAVORAZIONI!S407="","",LAVORAZIONI!S407)</f>
        <v/>
      </c>
      <c r="M14" s="13">
        <f>LAVORAZIONI!T407</f>
        <v/>
      </c>
      <c r="O14" s="7">
        <f>LAVORAZIONI!U407</f>
        <v/>
      </c>
      <c r="P14" s="37">
        <f>LAVORAZIONI!V407</f>
        <v/>
      </c>
      <c r="Q14" s="7">
        <f>LAVORAZIONI!W407</f>
        <v/>
      </c>
      <c r="R14" s="6">
        <f>LAVORAZIONI!X407</f>
        <v/>
      </c>
      <c r="S14" s="7">
        <f>LAVORAZIONI!Y407</f>
        <v/>
      </c>
      <c r="T14" s="6">
        <f>LAVORAZIONI!Z407</f>
        <v/>
      </c>
      <c r="U14" s="7">
        <f>LAVORAZIONI!AA407</f>
        <v/>
      </c>
      <c r="V14" s="6">
        <f>LAVORAZIONI!AB407</f>
        <v/>
      </c>
      <c r="W14" s="7">
        <f>LAVORAZIONI!AC407</f>
        <v/>
      </c>
      <c r="X14" s="6">
        <f>LAVORAZIONI!AD407</f>
        <v/>
      </c>
      <c r="Y14" s="7">
        <f>LAVORAZIONI!AE407</f>
        <v/>
      </c>
      <c r="Z14" s="6">
        <f>LAVORAZIONI!AF407</f>
        <v/>
      </c>
      <c r="AA14" s="7">
        <f>LAVORAZIONI!AG407</f>
        <v/>
      </c>
      <c r="AB14" s="6">
        <f>LAVORAZIONI!AH407</f>
        <v/>
      </c>
      <c r="AC14" s="7">
        <f>LAVORAZIONI!AI407</f>
        <v/>
      </c>
      <c r="AD14" s="13">
        <f>LAVORAZIONI!AJ407</f>
        <v/>
      </c>
    </row>
    <row r="15" ht="64" customHeight="1" s="35">
      <c r="B15" s="4">
        <f>LAVORAZIONI!G408</f>
        <v/>
      </c>
      <c r="C15" s="3">
        <f>LAVORAZIONI!A408</f>
        <v/>
      </c>
      <c r="D15" s="3">
        <f>LAVORAZIONI!K408</f>
        <v/>
      </c>
      <c r="E15" s="4">
        <f>LAVORAZIONI!H408</f>
        <v/>
      </c>
      <c r="F15" s="4">
        <f>LAVORAZIONI!M408</f>
        <v/>
      </c>
      <c r="G15" s="5">
        <f>LAVORAZIONI!N408</f>
        <v/>
      </c>
      <c r="H15" s="6">
        <f>LAVORAZIONI!O408</f>
        <v/>
      </c>
      <c r="I15" s="13">
        <f>LAVORAZIONI!P408</f>
        <v/>
      </c>
      <c r="J15" s="5">
        <f>IF(LAVORAZIONI!Q408="","",LAVORAZIONI!Q408)</f>
        <v/>
      </c>
      <c r="K15" s="6">
        <f>IF(LAVORAZIONI!R408="","",LAVORAZIONI!R408)</f>
        <v/>
      </c>
      <c r="L15" s="13">
        <f>IF(LAVORAZIONI!S408="","",LAVORAZIONI!S408)</f>
        <v/>
      </c>
      <c r="M15" s="13">
        <f>LAVORAZIONI!T408</f>
        <v/>
      </c>
      <c r="O15" s="7">
        <f>LAVORAZIONI!U408</f>
        <v/>
      </c>
      <c r="P15" s="37">
        <f>LAVORAZIONI!V408</f>
        <v/>
      </c>
      <c r="Q15" s="7">
        <f>LAVORAZIONI!W408</f>
        <v/>
      </c>
      <c r="R15" s="6">
        <f>LAVORAZIONI!X408</f>
        <v/>
      </c>
      <c r="S15" s="7">
        <f>LAVORAZIONI!Y408</f>
        <v/>
      </c>
      <c r="T15" s="6">
        <f>LAVORAZIONI!Z408</f>
        <v/>
      </c>
      <c r="U15" s="7">
        <f>LAVORAZIONI!AA408</f>
        <v/>
      </c>
      <c r="V15" s="6">
        <f>LAVORAZIONI!AB408</f>
        <v/>
      </c>
      <c r="W15" s="7">
        <f>LAVORAZIONI!AC408</f>
        <v/>
      </c>
      <c r="X15" s="6">
        <f>LAVORAZIONI!AD408</f>
        <v/>
      </c>
      <c r="Y15" s="7">
        <f>LAVORAZIONI!AE408</f>
        <v/>
      </c>
      <c r="Z15" s="6">
        <f>LAVORAZIONI!AF408</f>
        <v/>
      </c>
      <c r="AA15" s="7">
        <f>LAVORAZIONI!AG408</f>
        <v/>
      </c>
      <c r="AB15" s="6">
        <f>LAVORAZIONI!AH408</f>
        <v/>
      </c>
      <c r="AC15" s="7">
        <f>LAVORAZIONI!AI408</f>
        <v/>
      </c>
      <c r="AD15" s="13">
        <f>LAVORAZIONI!AJ408</f>
        <v/>
      </c>
    </row>
    <row r="16" ht="64" customHeight="1" s="35">
      <c r="B16" s="4">
        <f>LAVORAZIONI!G409</f>
        <v/>
      </c>
      <c r="C16" s="3">
        <f>LAVORAZIONI!A409</f>
        <v/>
      </c>
      <c r="D16" s="3">
        <f>LAVORAZIONI!K409</f>
        <v/>
      </c>
      <c r="E16" s="4">
        <f>LAVORAZIONI!H409</f>
        <v/>
      </c>
      <c r="F16" s="4">
        <f>LAVORAZIONI!M409</f>
        <v/>
      </c>
      <c r="G16" s="5">
        <f>LAVORAZIONI!N409</f>
        <v/>
      </c>
      <c r="H16" s="6">
        <f>LAVORAZIONI!O409</f>
        <v/>
      </c>
      <c r="I16" s="13">
        <f>LAVORAZIONI!P409</f>
        <v/>
      </c>
      <c r="J16" s="5">
        <f>IF(LAVORAZIONI!Q409="","",LAVORAZIONI!Q409)</f>
        <v/>
      </c>
      <c r="K16" s="6">
        <f>IF(LAVORAZIONI!R409="","",LAVORAZIONI!R409)</f>
        <v/>
      </c>
      <c r="L16" s="13">
        <f>IF(LAVORAZIONI!S409="","",LAVORAZIONI!S409)</f>
        <v/>
      </c>
      <c r="M16" s="13">
        <f>LAVORAZIONI!T409</f>
        <v/>
      </c>
      <c r="O16" s="7">
        <f>LAVORAZIONI!U409</f>
        <v/>
      </c>
      <c r="P16" s="37">
        <f>LAVORAZIONI!V409</f>
        <v/>
      </c>
      <c r="Q16" s="7">
        <f>LAVORAZIONI!W409</f>
        <v/>
      </c>
      <c r="R16" s="6">
        <f>LAVORAZIONI!X409</f>
        <v/>
      </c>
      <c r="S16" s="7">
        <f>LAVORAZIONI!Y409</f>
        <v/>
      </c>
      <c r="T16" s="6">
        <f>LAVORAZIONI!Z409</f>
        <v/>
      </c>
      <c r="U16" s="7">
        <f>LAVORAZIONI!AA409</f>
        <v/>
      </c>
      <c r="V16" s="6">
        <f>LAVORAZIONI!AB409</f>
        <v/>
      </c>
      <c r="W16" s="7">
        <f>LAVORAZIONI!AC409</f>
        <v/>
      </c>
      <c r="X16" s="6">
        <f>LAVORAZIONI!AD409</f>
        <v/>
      </c>
      <c r="Y16" s="7">
        <f>LAVORAZIONI!AE409</f>
        <v/>
      </c>
      <c r="Z16" s="6">
        <f>LAVORAZIONI!AF409</f>
        <v/>
      </c>
      <c r="AA16" s="7">
        <f>LAVORAZIONI!AG409</f>
        <v/>
      </c>
      <c r="AB16" s="6">
        <f>LAVORAZIONI!AH409</f>
        <v/>
      </c>
      <c r="AC16" s="7">
        <f>LAVORAZIONI!AI409</f>
        <v/>
      </c>
      <c r="AD16" s="13">
        <f>LAVORAZIONI!AJ409</f>
        <v/>
      </c>
    </row>
    <row r="17" ht="64" customHeight="1" s="35">
      <c r="B17" s="4">
        <f>LAVORAZIONI!G410</f>
        <v/>
      </c>
      <c r="C17" s="3">
        <f>LAVORAZIONI!A410</f>
        <v/>
      </c>
      <c r="D17" s="3">
        <f>LAVORAZIONI!K410</f>
        <v/>
      </c>
      <c r="E17" s="4">
        <f>LAVORAZIONI!H410</f>
        <v/>
      </c>
      <c r="F17" s="4">
        <f>LAVORAZIONI!M410</f>
        <v/>
      </c>
      <c r="G17" s="5">
        <f>LAVORAZIONI!N410</f>
        <v/>
      </c>
      <c r="H17" s="6">
        <f>LAVORAZIONI!O410</f>
        <v/>
      </c>
      <c r="I17" s="13">
        <f>LAVORAZIONI!P410</f>
        <v/>
      </c>
      <c r="J17" s="5">
        <f>IF(LAVORAZIONI!Q410="","",LAVORAZIONI!Q410)</f>
        <v/>
      </c>
      <c r="K17" s="6">
        <f>IF(LAVORAZIONI!R410="","",LAVORAZIONI!R410)</f>
        <v/>
      </c>
      <c r="L17" s="13">
        <f>IF(LAVORAZIONI!S410="","",LAVORAZIONI!S410)</f>
        <v/>
      </c>
      <c r="M17" s="13">
        <f>LAVORAZIONI!T410</f>
        <v/>
      </c>
      <c r="O17" s="7">
        <f>LAVORAZIONI!U410</f>
        <v/>
      </c>
      <c r="P17" s="37">
        <f>LAVORAZIONI!V410</f>
        <v/>
      </c>
      <c r="Q17" s="7">
        <f>LAVORAZIONI!W410</f>
        <v/>
      </c>
      <c r="R17" s="6">
        <f>LAVORAZIONI!X410</f>
        <v/>
      </c>
      <c r="S17" s="7">
        <f>LAVORAZIONI!Y410</f>
        <v/>
      </c>
      <c r="T17" s="6">
        <f>LAVORAZIONI!Z410</f>
        <v/>
      </c>
      <c r="U17" s="7">
        <f>LAVORAZIONI!AA410</f>
        <v/>
      </c>
      <c r="V17" s="6">
        <f>LAVORAZIONI!AB410</f>
        <v/>
      </c>
      <c r="W17" s="7">
        <f>LAVORAZIONI!AC410</f>
        <v/>
      </c>
      <c r="X17" s="6">
        <f>LAVORAZIONI!AD410</f>
        <v/>
      </c>
      <c r="Y17" s="7">
        <f>LAVORAZIONI!AE410</f>
        <v/>
      </c>
      <c r="Z17" s="6">
        <f>LAVORAZIONI!AF410</f>
        <v/>
      </c>
      <c r="AA17" s="7">
        <f>LAVORAZIONI!AG410</f>
        <v/>
      </c>
      <c r="AB17" s="6">
        <f>LAVORAZIONI!AH410</f>
        <v/>
      </c>
      <c r="AC17" s="7">
        <f>LAVORAZIONI!AI410</f>
        <v/>
      </c>
      <c r="AD17" s="13">
        <f>LAVORAZIONI!AJ410</f>
        <v/>
      </c>
    </row>
    <row r="18" ht="64" customHeight="1" s="35">
      <c r="B18" s="4">
        <f>LAVORAZIONI!G411</f>
        <v/>
      </c>
      <c r="C18" s="3">
        <f>LAVORAZIONI!A411</f>
        <v/>
      </c>
      <c r="D18" s="3">
        <f>LAVORAZIONI!K411</f>
        <v/>
      </c>
      <c r="E18" s="4">
        <f>LAVORAZIONI!H411</f>
        <v/>
      </c>
      <c r="F18" s="4">
        <f>LAVORAZIONI!M411</f>
        <v/>
      </c>
      <c r="G18" s="5">
        <f>LAVORAZIONI!N411</f>
        <v/>
      </c>
      <c r="H18" s="6">
        <f>LAVORAZIONI!O411</f>
        <v/>
      </c>
      <c r="I18" s="13">
        <f>LAVORAZIONI!P411</f>
        <v/>
      </c>
      <c r="J18" s="5">
        <f>IF(LAVORAZIONI!Q411="","",LAVORAZIONI!Q411)</f>
        <v/>
      </c>
      <c r="K18" s="6">
        <f>IF(LAVORAZIONI!R411="","",LAVORAZIONI!R411)</f>
        <v/>
      </c>
      <c r="L18" s="13">
        <f>IF(LAVORAZIONI!S411="","",LAVORAZIONI!S411)</f>
        <v/>
      </c>
      <c r="M18" s="13">
        <f>LAVORAZIONI!T411</f>
        <v/>
      </c>
      <c r="O18" s="7">
        <f>LAVORAZIONI!U411</f>
        <v/>
      </c>
      <c r="P18" s="37">
        <f>LAVORAZIONI!V411</f>
        <v/>
      </c>
      <c r="Q18" s="7">
        <f>LAVORAZIONI!W411</f>
        <v/>
      </c>
      <c r="R18" s="6">
        <f>LAVORAZIONI!X411</f>
        <v/>
      </c>
      <c r="S18" s="7">
        <f>LAVORAZIONI!Y411</f>
        <v/>
      </c>
      <c r="T18" s="6">
        <f>LAVORAZIONI!Z411</f>
        <v/>
      </c>
      <c r="U18" s="7">
        <f>LAVORAZIONI!AA411</f>
        <v/>
      </c>
      <c r="V18" s="6">
        <f>LAVORAZIONI!AB411</f>
        <v/>
      </c>
      <c r="W18" s="7">
        <f>LAVORAZIONI!AC411</f>
        <v/>
      </c>
      <c r="X18" s="6">
        <f>LAVORAZIONI!AD411</f>
        <v/>
      </c>
      <c r="Y18" s="7">
        <f>LAVORAZIONI!AE411</f>
        <v/>
      </c>
      <c r="Z18" s="6">
        <f>LAVORAZIONI!AF411</f>
        <v/>
      </c>
      <c r="AA18" s="7">
        <f>LAVORAZIONI!AG411</f>
        <v/>
      </c>
      <c r="AB18" s="6">
        <f>LAVORAZIONI!AH411</f>
        <v/>
      </c>
      <c r="AC18" s="7">
        <f>LAVORAZIONI!AI411</f>
        <v/>
      </c>
      <c r="AD18" s="13">
        <f>LAVORAZIONI!AJ411</f>
        <v/>
      </c>
    </row>
    <row r="19" ht="64" customHeight="1" s="35">
      <c r="B19" s="4">
        <f>LAVORAZIONI!G412</f>
        <v/>
      </c>
      <c r="C19" s="3">
        <f>LAVORAZIONI!A412</f>
        <v/>
      </c>
      <c r="D19" s="3">
        <f>LAVORAZIONI!K412</f>
        <v/>
      </c>
      <c r="E19" s="4">
        <f>LAVORAZIONI!H412</f>
        <v/>
      </c>
      <c r="F19" s="4">
        <f>LAVORAZIONI!M412</f>
        <v/>
      </c>
      <c r="G19" s="5">
        <f>LAVORAZIONI!N412</f>
        <v/>
      </c>
      <c r="H19" s="6">
        <f>LAVORAZIONI!O412</f>
        <v/>
      </c>
      <c r="I19" s="13">
        <f>LAVORAZIONI!P412</f>
        <v/>
      </c>
      <c r="J19" s="5">
        <f>IF(LAVORAZIONI!Q412="","",LAVORAZIONI!Q412)</f>
        <v/>
      </c>
      <c r="K19" s="6">
        <f>IF(LAVORAZIONI!R412="","",LAVORAZIONI!R412)</f>
        <v/>
      </c>
      <c r="L19" s="13">
        <f>IF(LAVORAZIONI!S412="","",LAVORAZIONI!S412)</f>
        <v/>
      </c>
      <c r="M19" s="13">
        <f>LAVORAZIONI!T412</f>
        <v/>
      </c>
      <c r="O19" s="7">
        <f>LAVORAZIONI!U412</f>
        <v/>
      </c>
      <c r="P19" s="37">
        <f>LAVORAZIONI!V412</f>
        <v/>
      </c>
      <c r="Q19" s="7">
        <f>LAVORAZIONI!W412</f>
        <v/>
      </c>
      <c r="R19" s="6">
        <f>LAVORAZIONI!X412</f>
        <v/>
      </c>
      <c r="S19" s="7">
        <f>LAVORAZIONI!Y412</f>
        <v/>
      </c>
      <c r="T19" s="6">
        <f>LAVORAZIONI!Z412</f>
        <v/>
      </c>
      <c r="U19" s="7">
        <f>LAVORAZIONI!AA412</f>
        <v/>
      </c>
      <c r="V19" s="6">
        <f>LAVORAZIONI!AB412</f>
        <v/>
      </c>
      <c r="W19" s="7">
        <f>LAVORAZIONI!AC412</f>
        <v/>
      </c>
      <c r="X19" s="6">
        <f>LAVORAZIONI!AD412</f>
        <v/>
      </c>
      <c r="Y19" s="7">
        <f>LAVORAZIONI!AE412</f>
        <v/>
      </c>
      <c r="Z19" s="6">
        <f>LAVORAZIONI!AF412</f>
        <v/>
      </c>
      <c r="AA19" s="7">
        <f>LAVORAZIONI!AG412</f>
        <v/>
      </c>
      <c r="AB19" s="6">
        <f>LAVORAZIONI!AH412</f>
        <v/>
      </c>
      <c r="AC19" s="7">
        <f>LAVORAZIONI!AI412</f>
        <v/>
      </c>
      <c r="AD19" s="13">
        <f>LAVORAZIONI!AJ412</f>
        <v/>
      </c>
    </row>
    <row r="20" ht="64" customHeight="1" s="35">
      <c r="B20" s="4">
        <f>LAVORAZIONI!G413</f>
        <v/>
      </c>
      <c r="C20" s="3">
        <f>LAVORAZIONI!A413</f>
        <v/>
      </c>
      <c r="D20" s="3">
        <f>LAVORAZIONI!K413</f>
        <v/>
      </c>
      <c r="E20" s="4">
        <f>LAVORAZIONI!H413</f>
        <v/>
      </c>
      <c r="F20" s="4">
        <f>LAVORAZIONI!M413</f>
        <v/>
      </c>
      <c r="G20" s="5">
        <f>LAVORAZIONI!N413</f>
        <v/>
      </c>
      <c r="H20" s="6">
        <f>LAVORAZIONI!O413</f>
        <v/>
      </c>
      <c r="I20" s="13">
        <f>LAVORAZIONI!P413</f>
        <v/>
      </c>
      <c r="J20" s="5">
        <f>IF(LAVORAZIONI!Q413="","",LAVORAZIONI!Q413)</f>
        <v/>
      </c>
      <c r="K20" s="6">
        <f>IF(LAVORAZIONI!R413="","",LAVORAZIONI!R413)</f>
        <v/>
      </c>
      <c r="L20" s="13">
        <f>IF(LAVORAZIONI!S413="","",LAVORAZIONI!S413)</f>
        <v/>
      </c>
      <c r="M20" s="13">
        <f>LAVORAZIONI!T413</f>
        <v/>
      </c>
      <c r="O20" s="7">
        <f>LAVORAZIONI!U413</f>
        <v/>
      </c>
      <c r="P20" s="37">
        <f>LAVORAZIONI!V413</f>
        <v/>
      </c>
      <c r="Q20" s="7">
        <f>LAVORAZIONI!W413</f>
        <v/>
      </c>
      <c r="R20" s="6">
        <f>LAVORAZIONI!X413</f>
        <v/>
      </c>
      <c r="S20" s="7">
        <f>LAVORAZIONI!Y413</f>
        <v/>
      </c>
      <c r="T20" s="6">
        <f>LAVORAZIONI!Z413</f>
        <v/>
      </c>
      <c r="U20" s="7">
        <f>LAVORAZIONI!AA413</f>
        <v/>
      </c>
      <c r="V20" s="6">
        <f>LAVORAZIONI!AB413</f>
        <v/>
      </c>
      <c r="W20" s="7">
        <f>LAVORAZIONI!AC413</f>
        <v/>
      </c>
      <c r="X20" s="6">
        <f>LAVORAZIONI!AD413</f>
        <v/>
      </c>
      <c r="Y20" s="7">
        <f>LAVORAZIONI!AE413</f>
        <v/>
      </c>
      <c r="Z20" s="6">
        <f>LAVORAZIONI!AF413</f>
        <v/>
      </c>
      <c r="AA20" s="7">
        <f>LAVORAZIONI!AG413</f>
        <v/>
      </c>
      <c r="AB20" s="6">
        <f>LAVORAZIONI!AH413</f>
        <v/>
      </c>
      <c r="AC20" s="7">
        <f>LAVORAZIONI!AI413</f>
        <v/>
      </c>
      <c r="AD20" s="13">
        <f>LAVORAZIONI!AJ413</f>
        <v/>
      </c>
    </row>
    <row r="21" ht="64" customHeight="1" s="35">
      <c r="B21" s="4">
        <f>LAVORAZIONI!G414</f>
        <v/>
      </c>
      <c r="C21" s="3">
        <f>LAVORAZIONI!A414</f>
        <v/>
      </c>
      <c r="D21" s="3">
        <f>LAVORAZIONI!K414</f>
        <v/>
      </c>
      <c r="E21" s="4">
        <f>LAVORAZIONI!H414</f>
        <v/>
      </c>
      <c r="F21" s="4">
        <f>LAVORAZIONI!M414</f>
        <v/>
      </c>
      <c r="G21" s="5">
        <f>LAVORAZIONI!N414</f>
        <v/>
      </c>
      <c r="H21" s="6">
        <f>LAVORAZIONI!O414</f>
        <v/>
      </c>
      <c r="I21" s="13">
        <f>LAVORAZIONI!P414</f>
        <v/>
      </c>
      <c r="J21" s="5">
        <f>IF(LAVORAZIONI!Q414="","",LAVORAZIONI!Q414)</f>
        <v/>
      </c>
      <c r="K21" s="6">
        <f>IF(LAVORAZIONI!R414="","",LAVORAZIONI!R414)</f>
        <v/>
      </c>
      <c r="L21" s="13">
        <f>IF(LAVORAZIONI!S414="","",LAVORAZIONI!S414)</f>
        <v/>
      </c>
      <c r="M21" s="13">
        <f>LAVORAZIONI!T414</f>
        <v/>
      </c>
      <c r="O21" s="7">
        <f>LAVORAZIONI!U414</f>
        <v/>
      </c>
      <c r="P21" s="37">
        <f>LAVORAZIONI!V414</f>
        <v/>
      </c>
      <c r="Q21" s="7">
        <f>LAVORAZIONI!W414</f>
        <v/>
      </c>
      <c r="R21" s="6">
        <f>LAVORAZIONI!X414</f>
        <v/>
      </c>
      <c r="S21" s="7">
        <f>LAVORAZIONI!Y414</f>
        <v/>
      </c>
      <c r="T21" s="6">
        <f>LAVORAZIONI!Z414</f>
        <v/>
      </c>
      <c r="U21" s="7">
        <f>LAVORAZIONI!AA414</f>
        <v/>
      </c>
      <c r="V21" s="6">
        <f>LAVORAZIONI!AB414</f>
        <v/>
      </c>
      <c r="W21" s="7">
        <f>LAVORAZIONI!AC414</f>
        <v/>
      </c>
      <c r="X21" s="6">
        <f>LAVORAZIONI!AD414</f>
        <v/>
      </c>
      <c r="Y21" s="7">
        <f>LAVORAZIONI!AE414</f>
        <v/>
      </c>
      <c r="Z21" s="6">
        <f>LAVORAZIONI!AF414</f>
        <v/>
      </c>
      <c r="AA21" s="7">
        <f>LAVORAZIONI!AG414</f>
        <v/>
      </c>
      <c r="AB21" s="6">
        <f>LAVORAZIONI!AH414</f>
        <v/>
      </c>
      <c r="AC21" s="7">
        <f>LAVORAZIONI!AI414</f>
        <v/>
      </c>
      <c r="AD21" s="13">
        <f>LAVORAZIONI!AJ414</f>
        <v/>
      </c>
    </row>
    <row r="22" ht="64" customHeight="1" s="35">
      <c r="B22" s="4">
        <f>LAVORAZIONI!G415</f>
        <v/>
      </c>
      <c r="C22" s="3">
        <f>LAVORAZIONI!A415</f>
        <v/>
      </c>
      <c r="D22" s="3">
        <f>LAVORAZIONI!K415</f>
        <v/>
      </c>
      <c r="E22" s="4">
        <f>LAVORAZIONI!H415</f>
        <v/>
      </c>
      <c r="F22" s="4">
        <f>LAVORAZIONI!M415</f>
        <v/>
      </c>
      <c r="G22" s="5">
        <f>LAVORAZIONI!N415</f>
        <v/>
      </c>
      <c r="H22" s="6">
        <f>LAVORAZIONI!O415</f>
        <v/>
      </c>
      <c r="I22" s="13">
        <f>LAVORAZIONI!P415</f>
        <v/>
      </c>
      <c r="J22" s="5">
        <f>IF(LAVORAZIONI!Q415="","",LAVORAZIONI!Q415)</f>
        <v/>
      </c>
      <c r="K22" s="6">
        <f>IF(LAVORAZIONI!R415="","",LAVORAZIONI!R415)</f>
        <v/>
      </c>
      <c r="L22" s="13">
        <f>IF(LAVORAZIONI!S415="","",LAVORAZIONI!S415)</f>
        <v/>
      </c>
      <c r="M22" s="13">
        <f>LAVORAZIONI!T415</f>
        <v/>
      </c>
      <c r="O22" s="7">
        <f>LAVORAZIONI!U415</f>
        <v/>
      </c>
      <c r="P22" s="37">
        <f>LAVORAZIONI!V415</f>
        <v/>
      </c>
      <c r="Q22" s="7">
        <f>LAVORAZIONI!W415</f>
        <v/>
      </c>
      <c r="R22" s="6">
        <f>LAVORAZIONI!X415</f>
        <v/>
      </c>
      <c r="S22" s="7">
        <f>LAVORAZIONI!Y415</f>
        <v/>
      </c>
      <c r="T22" s="6">
        <f>LAVORAZIONI!Z415</f>
        <v/>
      </c>
      <c r="U22" s="7">
        <f>LAVORAZIONI!AA415</f>
        <v/>
      </c>
      <c r="V22" s="6">
        <f>LAVORAZIONI!AB415</f>
        <v/>
      </c>
      <c r="W22" s="7">
        <f>LAVORAZIONI!AC415</f>
        <v/>
      </c>
      <c r="X22" s="6">
        <f>LAVORAZIONI!AD415</f>
        <v/>
      </c>
      <c r="Y22" s="7">
        <f>LAVORAZIONI!AE415</f>
        <v/>
      </c>
      <c r="Z22" s="6">
        <f>LAVORAZIONI!AF415</f>
        <v/>
      </c>
      <c r="AA22" s="7">
        <f>LAVORAZIONI!AG415</f>
        <v/>
      </c>
      <c r="AB22" s="6">
        <f>LAVORAZIONI!AH415</f>
        <v/>
      </c>
      <c r="AC22" s="7">
        <f>LAVORAZIONI!AI415</f>
        <v/>
      </c>
      <c r="AD22" s="13">
        <f>LAVORAZIONI!AJ415</f>
        <v/>
      </c>
    </row>
    <row r="23" ht="64" customHeight="1" s="35">
      <c r="B23" s="4">
        <f>LAVORAZIONI!G416</f>
        <v/>
      </c>
      <c r="C23" s="3">
        <f>LAVORAZIONI!A416</f>
        <v/>
      </c>
      <c r="D23" s="3">
        <f>LAVORAZIONI!K416</f>
        <v/>
      </c>
      <c r="E23" s="4">
        <f>LAVORAZIONI!H416</f>
        <v/>
      </c>
      <c r="F23" s="4">
        <f>LAVORAZIONI!M416</f>
        <v/>
      </c>
      <c r="G23" s="5">
        <f>LAVORAZIONI!N416</f>
        <v/>
      </c>
      <c r="H23" s="6">
        <f>LAVORAZIONI!O416</f>
        <v/>
      </c>
      <c r="I23" s="13">
        <f>LAVORAZIONI!P416</f>
        <v/>
      </c>
      <c r="J23" s="5">
        <f>IF(LAVORAZIONI!Q416="","",LAVORAZIONI!Q416)</f>
        <v/>
      </c>
      <c r="K23" s="6">
        <f>IF(LAVORAZIONI!R416="","",LAVORAZIONI!R416)</f>
        <v/>
      </c>
      <c r="L23" s="13">
        <f>IF(LAVORAZIONI!S416="","",LAVORAZIONI!S416)</f>
        <v/>
      </c>
      <c r="M23" s="13">
        <f>LAVORAZIONI!T416</f>
        <v/>
      </c>
      <c r="O23" s="7">
        <f>LAVORAZIONI!U416</f>
        <v/>
      </c>
      <c r="P23" s="37">
        <f>LAVORAZIONI!V416</f>
        <v/>
      </c>
      <c r="Q23" s="7">
        <f>LAVORAZIONI!W416</f>
        <v/>
      </c>
      <c r="R23" s="6">
        <f>LAVORAZIONI!X416</f>
        <v/>
      </c>
      <c r="S23" s="7">
        <f>LAVORAZIONI!Y416</f>
        <v/>
      </c>
      <c r="T23" s="6">
        <f>LAVORAZIONI!Z416</f>
        <v/>
      </c>
      <c r="U23" s="7">
        <f>LAVORAZIONI!AA416</f>
        <v/>
      </c>
      <c r="V23" s="6">
        <f>LAVORAZIONI!AB416</f>
        <v/>
      </c>
      <c r="W23" s="7">
        <f>LAVORAZIONI!AC416</f>
        <v/>
      </c>
      <c r="X23" s="6">
        <f>LAVORAZIONI!AD416</f>
        <v/>
      </c>
      <c r="Y23" s="7">
        <f>LAVORAZIONI!AE416</f>
        <v/>
      </c>
      <c r="Z23" s="6">
        <f>LAVORAZIONI!AF416</f>
        <v/>
      </c>
      <c r="AA23" s="7">
        <f>LAVORAZIONI!AG416</f>
        <v/>
      </c>
      <c r="AB23" s="6">
        <f>LAVORAZIONI!AH416</f>
        <v/>
      </c>
      <c r="AC23" s="7">
        <f>LAVORAZIONI!AI416</f>
        <v/>
      </c>
      <c r="AD23" s="13">
        <f>LAVORAZIONI!AJ416</f>
        <v/>
      </c>
    </row>
    <row r="24" ht="64" customHeight="1" s="35">
      <c r="B24" s="4">
        <f>LAVORAZIONI!G417</f>
        <v/>
      </c>
      <c r="C24" s="3">
        <f>LAVORAZIONI!A417</f>
        <v/>
      </c>
      <c r="D24" s="3">
        <f>LAVORAZIONI!K417</f>
        <v/>
      </c>
      <c r="E24" s="4">
        <f>LAVORAZIONI!H417</f>
        <v/>
      </c>
      <c r="F24" s="4">
        <f>LAVORAZIONI!M417</f>
        <v/>
      </c>
      <c r="G24" s="5">
        <f>LAVORAZIONI!N417</f>
        <v/>
      </c>
      <c r="H24" s="6">
        <f>LAVORAZIONI!O417</f>
        <v/>
      </c>
      <c r="I24" s="13">
        <f>LAVORAZIONI!P417</f>
        <v/>
      </c>
      <c r="J24" s="5">
        <f>IF(LAVORAZIONI!Q417="","",LAVORAZIONI!Q417)</f>
        <v/>
      </c>
      <c r="K24" s="6">
        <f>IF(LAVORAZIONI!R417="","",LAVORAZIONI!R417)</f>
        <v/>
      </c>
      <c r="L24" s="13">
        <f>IF(LAVORAZIONI!S417="","",LAVORAZIONI!S417)</f>
        <v/>
      </c>
      <c r="M24" s="13">
        <f>LAVORAZIONI!T417</f>
        <v/>
      </c>
      <c r="O24" s="7">
        <f>LAVORAZIONI!U417</f>
        <v/>
      </c>
      <c r="P24" s="37">
        <f>LAVORAZIONI!V417</f>
        <v/>
      </c>
      <c r="Q24" s="7">
        <f>LAVORAZIONI!W417</f>
        <v/>
      </c>
      <c r="R24" s="6">
        <f>LAVORAZIONI!X417</f>
        <v/>
      </c>
      <c r="S24" s="7">
        <f>LAVORAZIONI!Y417</f>
        <v/>
      </c>
      <c r="T24" s="6">
        <f>LAVORAZIONI!Z417</f>
        <v/>
      </c>
      <c r="U24" s="7">
        <f>LAVORAZIONI!AA417</f>
        <v/>
      </c>
      <c r="V24" s="6">
        <f>LAVORAZIONI!AB417</f>
        <v/>
      </c>
      <c r="W24" s="7">
        <f>LAVORAZIONI!AC417</f>
        <v/>
      </c>
      <c r="X24" s="6">
        <f>LAVORAZIONI!AD417</f>
        <v/>
      </c>
      <c r="Y24" s="7">
        <f>LAVORAZIONI!AE417</f>
        <v/>
      </c>
      <c r="Z24" s="6">
        <f>LAVORAZIONI!AF417</f>
        <v/>
      </c>
      <c r="AA24" s="7">
        <f>LAVORAZIONI!AG417</f>
        <v/>
      </c>
      <c r="AB24" s="6">
        <f>LAVORAZIONI!AH417</f>
        <v/>
      </c>
      <c r="AC24" s="7">
        <f>LAVORAZIONI!AI417</f>
        <v/>
      </c>
      <c r="AD24" s="13">
        <f>LAVORAZIONI!AJ417</f>
        <v/>
      </c>
    </row>
    <row r="25" ht="64" customHeight="1" s="35">
      <c r="B25" s="4">
        <f>LAVORAZIONI!G418</f>
        <v/>
      </c>
      <c r="C25" s="3">
        <f>LAVORAZIONI!A418</f>
        <v/>
      </c>
      <c r="D25" s="3">
        <f>LAVORAZIONI!K418</f>
        <v/>
      </c>
      <c r="E25" s="4">
        <f>LAVORAZIONI!H418</f>
        <v/>
      </c>
      <c r="F25" s="4">
        <f>LAVORAZIONI!M418</f>
        <v/>
      </c>
      <c r="G25" s="5">
        <f>LAVORAZIONI!N418</f>
        <v/>
      </c>
      <c r="H25" s="6">
        <f>LAVORAZIONI!O418</f>
        <v/>
      </c>
      <c r="I25" s="13">
        <f>LAVORAZIONI!P418</f>
        <v/>
      </c>
      <c r="J25" s="5">
        <f>IF(LAVORAZIONI!Q418="","",LAVORAZIONI!Q418)</f>
        <v/>
      </c>
      <c r="K25" s="6">
        <f>IF(LAVORAZIONI!R418="","",LAVORAZIONI!R418)</f>
        <v/>
      </c>
      <c r="L25" s="13">
        <f>IF(LAVORAZIONI!S418="","",LAVORAZIONI!S418)</f>
        <v/>
      </c>
      <c r="M25" s="13">
        <f>LAVORAZIONI!T418</f>
        <v/>
      </c>
      <c r="O25" s="7">
        <f>LAVORAZIONI!U418</f>
        <v/>
      </c>
      <c r="P25" s="37">
        <f>LAVORAZIONI!V418</f>
        <v/>
      </c>
      <c r="Q25" s="7">
        <f>LAVORAZIONI!W418</f>
        <v/>
      </c>
      <c r="R25" s="6">
        <f>LAVORAZIONI!X418</f>
        <v/>
      </c>
      <c r="S25" s="7">
        <f>LAVORAZIONI!Y418</f>
        <v/>
      </c>
      <c r="T25" s="6">
        <f>LAVORAZIONI!Z418</f>
        <v/>
      </c>
      <c r="U25" s="7">
        <f>LAVORAZIONI!AA418</f>
        <v/>
      </c>
      <c r="V25" s="6">
        <f>LAVORAZIONI!AB418</f>
        <v/>
      </c>
      <c r="W25" s="7">
        <f>LAVORAZIONI!AC418</f>
        <v/>
      </c>
      <c r="X25" s="6">
        <f>LAVORAZIONI!AD418</f>
        <v/>
      </c>
      <c r="Y25" s="7">
        <f>LAVORAZIONI!AE418</f>
        <v/>
      </c>
      <c r="Z25" s="6">
        <f>LAVORAZIONI!AF418</f>
        <v/>
      </c>
      <c r="AA25" s="7">
        <f>LAVORAZIONI!AG418</f>
        <v/>
      </c>
      <c r="AB25" s="6">
        <f>LAVORAZIONI!AH418</f>
        <v/>
      </c>
      <c r="AC25" s="7">
        <f>LAVORAZIONI!AI418</f>
        <v/>
      </c>
      <c r="AD25" s="13">
        <f>LAVORAZIONI!AJ418</f>
        <v/>
      </c>
    </row>
    <row r="26" ht="64" customHeight="1" s="35">
      <c r="B26" s="4">
        <f>LAVORAZIONI!G419</f>
        <v/>
      </c>
      <c r="C26" s="3">
        <f>LAVORAZIONI!A419</f>
        <v/>
      </c>
      <c r="D26" s="3">
        <f>LAVORAZIONI!K419</f>
        <v/>
      </c>
      <c r="E26" s="4">
        <f>LAVORAZIONI!H419</f>
        <v/>
      </c>
      <c r="F26" s="4">
        <f>LAVORAZIONI!M419</f>
        <v/>
      </c>
      <c r="G26" s="5">
        <f>LAVORAZIONI!N419</f>
        <v/>
      </c>
      <c r="H26" s="6">
        <f>LAVORAZIONI!O419</f>
        <v/>
      </c>
      <c r="I26" s="13">
        <f>LAVORAZIONI!P419</f>
        <v/>
      </c>
      <c r="J26" s="5">
        <f>IF(LAVORAZIONI!Q419="","",LAVORAZIONI!Q419)</f>
        <v/>
      </c>
      <c r="K26" s="6">
        <f>IF(LAVORAZIONI!R419="","",LAVORAZIONI!R419)</f>
        <v/>
      </c>
      <c r="L26" s="13">
        <f>IF(LAVORAZIONI!S419="","",LAVORAZIONI!S419)</f>
        <v/>
      </c>
      <c r="M26" s="13">
        <f>LAVORAZIONI!T419</f>
        <v/>
      </c>
      <c r="O26" s="7">
        <f>LAVORAZIONI!U419</f>
        <v/>
      </c>
      <c r="P26" s="37">
        <f>LAVORAZIONI!V419</f>
        <v/>
      </c>
      <c r="Q26" s="7">
        <f>LAVORAZIONI!W419</f>
        <v/>
      </c>
      <c r="R26" s="6">
        <f>LAVORAZIONI!X419</f>
        <v/>
      </c>
      <c r="S26" s="7">
        <f>LAVORAZIONI!Y419</f>
        <v/>
      </c>
      <c r="T26" s="6">
        <f>LAVORAZIONI!Z419</f>
        <v/>
      </c>
      <c r="U26" s="7">
        <f>LAVORAZIONI!AA419</f>
        <v/>
      </c>
      <c r="V26" s="6">
        <f>LAVORAZIONI!AB419</f>
        <v/>
      </c>
      <c r="W26" s="7">
        <f>LAVORAZIONI!AC419</f>
        <v/>
      </c>
      <c r="X26" s="6">
        <f>LAVORAZIONI!AD419</f>
        <v/>
      </c>
      <c r="Y26" s="7">
        <f>LAVORAZIONI!AE419</f>
        <v/>
      </c>
      <c r="Z26" s="6">
        <f>LAVORAZIONI!AF419</f>
        <v/>
      </c>
      <c r="AA26" s="7">
        <f>LAVORAZIONI!AG419</f>
        <v/>
      </c>
      <c r="AB26" s="6">
        <f>LAVORAZIONI!AH419</f>
        <v/>
      </c>
      <c r="AC26" s="7">
        <f>LAVORAZIONI!AI419</f>
        <v/>
      </c>
      <c r="AD26" s="13">
        <f>LAVORAZIONI!AJ419</f>
        <v/>
      </c>
    </row>
    <row r="27" ht="64" customHeight="1" s="35">
      <c r="B27" s="4">
        <f>LAVORAZIONI!G420</f>
        <v/>
      </c>
      <c r="C27" s="3">
        <f>LAVORAZIONI!A420</f>
        <v/>
      </c>
      <c r="D27" s="3">
        <f>LAVORAZIONI!K420</f>
        <v/>
      </c>
      <c r="E27" s="4">
        <f>LAVORAZIONI!H420</f>
        <v/>
      </c>
      <c r="F27" s="4">
        <f>LAVORAZIONI!M420</f>
        <v/>
      </c>
      <c r="G27" s="5">
        <f>LAVORAZIONI!N420</f>
        <v/>
      </c>
      <c r="H27" s="6">
        <f>LAVORAZIONI!O420</f>
        <v/>
      </c>
      <c r="I27" s="13">
        <f>LAVORAZIONI!P420</f>
        <v/>
      </c>
      <c r="J27" s="5">
        <f>IF(LAVORAZIONI!Q420="","",LAVORAZIONI!Q420)</f>
        <v/>
      </c>
      <c r="K27" s="6">
        <f>IF(LAVORAZIONI!R420="","",LAVORAZIONI!R420)</f>
        <v/>
      </c>
      <c r="L27" s="13">
        <f>IF(LAVORAZIONI!S420="","",LAVORAZIONI!S420)</f>
        <v/>
      </c>
      <c r="M27" s="13">
        <f>LAVORAZIONI!T420</f>
        <v/>
      </c>
      <c r="O27" s="7">
        <f>LAVORAZIONI!U420</f>
        <v/>
      </c>
      <c r="P27" s="37">
        <f>LAVORAZIONI!V420</f>
        <v/>
      </c>
      <c r="Q27" s="7">
        <f>LAVORAZIONI!W420</f>
        <v/>
      </c>
      <c r="R27" s="6">
        <f>LAVORAZIONI!X420</f>
        <v/>
      </c>
      <c r="S27" s="7">
        <f>LAVORAZIONI!Y420</f>
        <v/>
      </c>
      <c r="T27" s="6">
        <f>LAVORAZIONI!Z420</f>
        <v/>
      </c>
      <c r="U27" s="7">
        <f>LAVORAZIONI!AA420</f>
        <v/>
      </c>
      <c r="V27" s="6">
        <f>LAVORAZIONI!AB420</f>
        <v/>
      </c>
      <c r="W27" s="7">
        <f>LAVORAZIONI!AC420</f>
        <v/>
      </c>
      <c r="X27" s="6">
        <f>LAVORAZIONI!AD420</f>
        <v/>
      </c>
      <c r="Y27" s="7">
        <f>LAVORAZIONI!AE420</f>
        <v/>
      </c>
      <c r="Z27" s="6">
        <f>LAVORAZIONI!AF420</f>
        <v/>
      </c>
      <c r="AA27" s="7">
        <f>LAVORAZIONI!AG420</f>
        <v/>
      </c>
      <c r="AB27" s="6">
        <f>LAVORAZIONI!AH420</f>
        <v/>
      </c>
      <c r="AC27" s="7">
        <f>LAVORAZIONI!AI420</f>
        <v/>
      </c>
      <c r="AD27" s="13">
        <f>LAVORAZIONI!AJ420</f>
        <v/>
      </c>
    </row>
    <row r="28" ht="64" customHeight="1" s="35">
      <c r="B28" s="4">
        <f>LAVORAZIONI!G421</f>
        <v/>
      </c>
      <c r="C28" s="3">
        <f>LAVORAZIONI!A421</f>
        <v/>
      </c>
      <c r="D28" s="3">
        <f>LAVORAZIONI!K421</f>
        <v/>
      </c>
      <c r="E28" s="4">
        <f>LAVORAZIONI!H421</f>
        <v/>
      </c>
      <c r="F28" s="4">
        <f>LAVORAZIONI!M421</f>
        <v/>
      </c>
      <c r="G28" s="5">
        <f>LAVORAZIONI!N421</f>
        <v/>
      </c>
      <c r="H28" s="6">
        <f>LAVORAZIONI!O421</f>
        <v/>
      </c>
      <c r="I28" s="13">
        <f>LAVORAZIONI!P421</f>
        <v/>
      </c>
      <c r="J28" s="5">
        <f>IF(LAVORAZIONI!Q421="","",LAVORAZIONI!Q421)</f>
        <v/>
      </c>
      <c r="K28" s="6">
        <f>IF(LAVORAZIONI!R421="","",LAVORAZIONI!R421)</f>
        <v/>
      </c>
      <c r="L28" s="13">
        <f>IF(LAVORAZIONI!S421="","",LAVORAZIONI!S421)</f>
        <v/>
      </c>
      <c r="M28" s="13">
        <f>LAVORAZIONI!T421</f>
        <v/>
      </c>
      <c r="O28" s="7">
        <f>LAVORAZIONI!U421</f>
        <v/>
      </c>
      <c r="P28" s="37">
        <f>LAVORAZIONI!V421</f>
        <v/>
      </c>
      <c r="Q28" s="7">
        <f>LAVORAZIONI!W421</f>
        <v/>
      </c>
      <c r="R28" s="6">
        <f>LAVORAZIONI!X421</f>
        <v/>
      </c>
      <c r="S28" s="7">
        <f>LAVORAZIONI!Y421</f>
        <v/>
      </c>
      <c r="T28" s="6">
        <f>LAVORAZIONI!Z421</f>
        <v/>
      </c>
      <c r="U28" s="7">
        <f>LAVORAZIONI!AA421</f>
        <v/>
      </c>
      <c r="V28" s="6">
        <f>LAVORAZIONI!AB421</f>
        <v/>
      </c>
      <c r="W28" s="7">
        <f>LAVORAZIONI!AC421</f>
        <v/>
      </c>
      <c r="X28" s="6">
        <f>LAVORAZIONI!AD421</f>
        <v/>
      </c>
      <c r="Y28" s="7">
        <f>LAVORAZIONI!AE421</f>
        <v/>
      </c>
      <c r="Z28" s="6">
        <f>LAVORAZIONI!AF421</f>
        <v/>
      </c>
      <c r="AA28" s="7">
        <f>LAVORAZIONI!AG421</f>
        <v/>
      </c>
      <c r="AB28" s="6">
        <f>LAVORAZIONI!AH421</f>
        <v/>
      </c>
      <c r="AC28" s="7">
        <f>LAVORAZIONI!AI421</f>
        <v/>
      </c>
      <c r="AD28" s="13">
        <f>LAVORAZIONI!AJ421</f>
        <v/>
      </c>
    </row>
    <row r="29" ht="64" customHeight="1" s="35">
      <c r="B29" s="4">
        <f>LAVORAZIONI!G422</f>
        <v/>
      </c>
      <c r="C29" s="3">
        <f>LAVORAZIONI!A422</f>
        <v/>
      </c>
      <c r="D29" s="3">
        <f>LAVORAZIONI!K422</f>
        <v/>
      </c>
      <c r="E29" s="4">
        <f>LAVORAZIONI!H422</f>
        <v/>
      </c>
      <c r="F29" s="4">
        <f>LAVORAZIONI!M422</f>
        <v/>
      </c>
      <c r="G29" s="5">
        <f>LAVORAZIONI!N422</f>
        <v/>
      </c>
      <c r="H29" s="6">
        <f>LAVORAZIONI!O422</f>
        <v/>
      </c>
      <c r="I29" s="13">
        <f>LAVORAZIONI!P422</f>
        <v/>
      </c>
      <c r="J29" s="5">
        <f>IF(LAVORAZIONI!Q422="","",LAVORAZIONI!Q422)</f>
        <v/>
      </c>
      <c r="K29" s="6">
        <f>IF(LAVORAZIONI!R422="","",LAVORAZIONI!R422)</f>
        <v/>
      </c>
      <c r="L29" s="13">
        <f>IF(LAVORAZIONI!S422="","",LAVORAZIONI!S422)</f>
        <v/>
      </c>
      <c r="M29" s="13">
        <f>LAVORAZIONI!T422</f>
        <v/>
      </c>
      <c r="O29" s="7">
        <f>LAVORAZIONI!U422</f>
        <v/>
      </c>
      <c r="P29" s="37">
        <f>LAVORAZIONI!V422</f>
        <v/>
      </c>
      <c r="Q29" s="7">
        <f>LAVORAZIONI!W422</f>
        <v/>
      </c>
      <c r="R29" s="6">
        <f>LAVORAZIONI!X422</f>
        <v/>
      </c>
      <c r="S29" s="7">
        <f>LAVORAZIONI!Y422</f>
        <v/>
      </c>
      <c r="T29" s="6">
        <f>LAVORAZIONI!Z422</f>
        <v/>
      </c>
      <c r="U29" s="7">
        <f>LAVORAZIONI!AA422</f>
        <v/>
      </c>
      <c r="V29" s="6">
        <f>LAVORAZIONI!AB422</f>
        <v/>
      </c>
      <c r="W29" s="7">
        <f>LAVORAZIONI!AC422</f>
        <v/>
      </c>
      <c r="X29" s="6">
        <f>LAVORAZIONI!AD422</f>
        <v/>
      </c>
      <c r="Y29" s="7">
        <f>LAVORAZIONI!AE422</f>
        <v/>
      </c>
      <c r="Z29" s="6">
        <f>LAVORAZIONI!AF422</f>
        <v/>
      </c>
      <c r="AA29" s="7">
        <f>LAVORAZIONI!AG422</f>
        <v/>
      </c>
      <c r="AB29" s="6">
        <f>LAVORAZIONI!AH422</f>
        <v/>
      </c>
      <c r="AC29" s="7">
        <f>LAVORAZIONI!AI422</f>
        <v/>
      </c>
      <c r="AD29" s="13">
        <f>LAVORAZIONI!AJ422</f>
        <v/>
      </c>
    </row>
    <row r="30" ht="64" customHeight="1" s="35">
      <c r="B30" s="4">
        <f>LAVORAZIONI!G423</f>
        <v/>
      </c>
      <c r="C30" s="3">
        <f>LAVORAZIONI!A423</f>
        <v/>
      </c>
      <c r="D30" s="3">
        <f>LAVORAZIONI!K423</f>
        <v/>
      </c>
      <c r="E30" s="4">
        <f>LAVORAZIONI!H423</f>
        <v/>
      </c>
      <c r="F30" s="4">
        <f>LAVORAZIONI!M423</f>
        <v/>
      </c>
      <c r="G30" s="5">
        <f>LAVORAZIONI!N423</f>
        <v/>
      </c>
      <c r="H30" s="6">
        <f>LAVORAZIONI!O423</f>
        <v/>
      </c>
      <c r="I30" s="13">
        <f>LAVORAZIONI!P423</f>
        <v/>
      </c>
      <c r="J30" s="5">
        <f>IF(LAVORAZIONI!Q423="","",LAVORAZIONI!Q423)</f>
        <v/>
      </c>
      <c r="K30" s="6">
        <f>IF(LAVORAZIONI!R423="","",LAVORAZIONI!R423)</f>
        <v/>
      </c>
      <c r="L30" s="13">
        <f>IF(LAVORAZIONI!S423="","",LAVORAZIONI!S423)</f>
        <v/>
      </c>
      <c r="M30" s="13">
        <f>LAVORAZIONI!T423</f>
        <v/>
      </c>
      <c r="O30" s="7">
        <f>LAVORAZIONI!U423</f>
        <v/>
      </c>
      <c r="P30" s="37">
        <f>LAVORAZIONI!V423</f>
        <v/>
      </c>
      <c r="Q30" s="7">
        <f>LAVORAZIONI!W423</f>
        <v/>
      </c>
      <c r="R30" s="6">
        <f>LAVORAZIONI!X423</f>
        <v/>
      </c>
      <c r="S30" s="7">
        <f>LAVORAZIONI!Y423</f>
        <v/>
      </c>
      <c r="T30" s="6">
        <f>LAVORAZIONI!Z423</f>
        <v/>
      </c>
      <c r="U30" s="7">
        <f>LAVORAZIONI!AA423</f>
        <v/>
      </c>
      <c r="V30" s="6">
        <f>LAVORAZIONI!AB423</f>
        <v/>
      </c>
      <c r="W30" s="7">
        <f>LAVORAZIONI!AC423</f>
        <v/>
      </c>
      <c r="X30" s="6">
        <f>LAVORAZIONI!AD423</f>
        <v/>
      </c>
      <c r="Y30" s="7">
        <f>LAVORAZIONI!AE423</f>
        <v/>
      </c>
      <c r="Z30" s="6">
        <f>LAVORAZIONI!AF423</f>
        <v/>
      </c>
      <c r="AA30" s="7">
        <f>LAVORAZIONI!AG423</f>
        <v/>
      </c>
      <c r="AB30" s="6">
        <f>LAVORAZIONI!AH423</f>
        <v/>
      </c>
      <c r="AC30" s="7">
        <f>LAVORAZIONI!AI423</f>
        <v/>
      </c>
      <c r="AD30" s="13">
        <f>LAVORAZIONI!AJ423</f>
        <v/>
      </c>
    </row>
    <row r="31" ht="64" customHeight="1" s="35">
      <c r="B31" s="4">
        <f>LAVORAZIONI!G424</f>
        <v/>
      </c>
      <c r="C31" s="3">
        <f>LAVORAZIONI!A424</f>
        <v/>
      </c>
      <c r="D31" s="3">
        <f>LAVORAZIONI!K424</f>
        <v/>
      </c>
      <c r="E31" s="4">
        <f>LAVORAZIONI!H424</f>
        <v/>
      </c>
      <c r="F31" s="4">
        <f>LAVORAZIONI!M424</f>
        <v/>
      </c>
      <c r="G31" s="5">
        <f>LAVORAZIONI!N424</f>
        <v/>
      </c>
      <c r="H31" s="6">
        <f>LAVORAZIONI!O424</f>
        <v/>
      </c>
      <c r="I31" s="13">
        <f>LAVORAZIONI!P424</f>
        <v/>
      </c>
      <c r="J31" s="5">
        <f>IF(LAVORAZIONI!Q424="","",LAVORAZIONI!Q424)</f>
        <v/>
      </c>
      <c r="K31" s="6">
        <f>IF(LAVORAZIONI!R424="","",LAVORAZIONI!R424)</f>
        <v/>
      </c>
      <c r="L31" s="13">
        <f>IF(LAVORAZIONI!S424="","",LAVORAZIONI!S424)</f>
        <v/>
      </c>
      <c r="M31" s="13">
        <f>LAVORAZIONI!T424</f>
        <v/>
      </c>
      <c r="O31" s="7">
        <f>LAVORAZIONI!U424</f>
        <v/>
      </c>
      <c r="P31" s="37">
        <f>LAVORAZIONI!V424</f>
        <v/>
      </c>
      <c r="Q31" s="7">
        <f>LAVORAZIONI!W424</f>
        <v/>
      </c>
      <c r="R31" s="6">
        <f>LAVORAZIONI!X424</f>
        <v/>
      </c>
      <c r="S31" s="7">
        <f>LAVORAZIONI!Y424</f>
        <v/>
      </c>
      <c r="T31" s="6">
        <f>LAVORAZIONI!Z424</f>
        <v/>
      </c>
      <c r="U31" s="7">
        <f>LAVORAZIONI!AA424</f>
        <v/>
      </c>
      <c r="V31" s="6">
        <f>LAVORAZIONI!AB424</f>
        <v/>
      </c>
      <c r="W31" s="7">
        <f>LAVORAZIONI!AC424</f>
        <v/>
      </c>
      <c r="X31" s="6">
        <f>LAVORAZIONI!AD424</f>
        <v/>
      </c>
      <c r="Y31" s="7">
        <f>LAVORAZIONI!AE424</f>
        <v/>
      </c>
      <c r="Z31" s="6">
        <f>LAVORAZIONI!AF424</f>
        <v/>
      </c>
      <c r="AA31" s="7">
        <f>LAVORAZIONI!AG424</f>
        <v/>
      </c>
      <c r="AB31" s="6">
        <f>LAVORAZIONI!AH424</f>
        <v/>
      </c>
      <c r="AC31" s="7">
        <f>LAVORAZIONI!AI424</f>
        <v/>
      </c>
      <c r="AD31" s="13">
        <f>LAVORAZIONI!AJ424</f>
        <v/>
      </c>
    </row>
    <row r="32" ht="64" customHeight="1" s="35">
      <c r="B32" s="4">
        <f>LAVORAZIONI!G425</f>
        <v/>
      </c>
      <c r="C32" s="3">
        <f>LAVORAZIONI!A425</f>
        <v/>
      </c>
      <c r="D32" s="3">
        <f>LAVORAZIONI!K425</f>
        <v/>
      </c>
      <c r="E32" s="4">
        <f>LAVORAZIONI!H425</f>
        <v/>
      </c>
      <c r="F32" s="4">
        <f>LAVORAZIONI!M425</f>
        <v/>
      </c>
      <c r="G32" s="5">
        <f>LAVORAZIONI!N425</f>
        <v/>
      </c>
      <c r="H32" s="6">
        <f>LAVORAZIONI!O425</f>
        <v/>
      </c>
      <c r="I32" s="13">
        <f>LAVORAZIONI!P425</f>
        <v/>
      </c>
      <c r="J32" s="5">
        <f>IF(LAVORAZIONI!Q425="","",LAVORAZIONI!Q425)</f>
        <v/>
      </c>
      <c r="K32" s="6">
        <f>IF(LAVORAZIONI!R425="","",LAVORAZIONI!R425)</f>
        <v/>
      </c>
      <c r="L32" s="13">
        <f>IF(LAVORAZIONI!S425="","",LAVORAZIONI!S425)</f>
        <v/>
      </c>
      <c r="M32" s="13">
        <f>LAVORAZIONI!T425</f>
        <v/>
      </c>
      <c r="O32" s="7">
        <f>LAVORAZIONI!U425</f>
        <v/>
      </c>
      <c r="P32" s="37">
        <f>LAVORAZIONI!V425</f>
        <v/>
      </c>
      <c r="Q32" s="7">
        <f>LAVORAZIONI!W425</f>
        <v/>
      </c>
      <c r="R32" s="6">
        <f>LAVORAZIONI!X425</f>
        <v/>
      </c>
      <c r="S32" s="7">
        <f>LAVORAZIONI!Y425</f>
        <v/>
      </c>
      <c r="T32" s="6">
        <f>LAVORAZIONI!Z425</f>
        <v/>
      </c>
      <c r="U32" s="7">
        <f>LAVORAZIONI!AA425</f>
        <v/>
      </c>
      <c r="V32" s="6">
        <f>LAVORAZIONI!AB425</f>
        <v/>
      </c>
      <c r="W32" s="7">
        <f>LAVORAZIONI!AC425</f>
        <v/>
      </c>
      <c r="X32" s="6">
        <f>LAVORAZIONI!AD425</f>
        <v/>
      </c>
      <c r="Y32" s="7">
        <f>LAVORAZIONI!AE425</f>
        <v/>
      </c>
      <c r="Z32" s="6">
        <f>LAVORAZIONI!AF425</f>
        <v/>
      </c>
      <c r="AA32" s="7">
        <f>LAVORAZIONI!AG425</f>
        <v/>
      </c>
      <c r="AB32" s="6">
        <f>LAVORAZIONI!AH425</f>
        <v/>
      </c>
      <c r="AC32" s="7">
        <f>LAVORAZIONI!AI425</f>
        <v/>
      </c>
      <c r="AD32" s="13">
        <f>LAVORAZIONI!AJ425</f>
        <v/>
      </c>
    </row>
    <row r="33" ht="64" customHeight="1" s="35">
      <c r="B33" s="4">
        <f>LAVORAZIONI!G426</f>
        <v/>
      </c>
      <c r="C33" s="3">
        <f>LAVORAZIONI!A426</f>
        <v/>
      </c>
      <c r="D33" s="3">
        <f>LAVORAZIONI!K426</f>
        <v/>
      </c>
      <c r="E33" s="4">
        <f>LAVORAZIONI!H426</f>
        <v/>
      </c>
      <c r="F33" s="4">
        <f>LAVORAZIONI!M426</f>
        <v/>
      </c>
      <c r="G33" s="5">
        <f>LAVORAZIONI!N426</f>
        <v/>
      </c>
      <c r="H33" s="6">
        <f>LAVORAZIONI!O426</f>
        <v/>
      </c>
      <c r="I33" s="13">
        <f>LAVORAZIONI!P426</f>
        <v/>
      </c>
      <c r="J33" s="5">
        <f>IF(LAVORAZIONI!Q426="","",LAVORAZIONI!Q426)</f>
        <v/>
      </c>
      <c r="K33" s="6">
        <f>IF(LAVORAZIONI!R426="","",LAVORAZIONI!R426)</f>
        <v/>
      </c>
      <c r="L33" s="13">
        <f>IF(LAVORAZIONI!S426="","",LAVORAZIONI!S426)</f>
        <v/>
      </c>
      <c r="M33" s="13">
        <f>LAVORAZIONI!T426</f>
        <v/>
      </c>
      <c r="O33" s="7">
        <f>LAVORAZIONI!U426</f>
        <v/>
      </c>
      <c r="P33" s="37">
        <f>LAVORAZIONI!V426</f>
        <v/>
      </c>
      <c r="Q33" s="7">
        <f>LAVORAZIONI!W426</f>
        <v/>
      </c>
      <c r="R33" s="6">
        <f>LAVORAZIONI!X426</f>
        <v/>
      </c>
      <c r="S33" s="7">
        <f>LAVORAZIONI!Y426</f>
        <v/>
      </c>
      <c r="T33" s="6">
        <f>LAVORAZIONI!Z426</f>
        <v/>
      </c>
      <c r="U33" s="7">
        <f>LAVORAZIONI!AA426</f>
        <v/>
      </c>
      <c r="V33" s="6">
        <f>LAVORAZIONI!AB426</f>
        <v/>
      </c>
      <c r="W33" s="7">
        <f>LAVORAZIONI!AC426</f>
        <v/>
      </c>
      <c r="X33" s="6">
        <f>LAVORAZIONI!AD426</f>
        <v/>
      </c>
      <c r="Y33" s="7">
        <f>LAVORAZIONI!AE426</f>
        <v/>
      </c>
      <c r="Z33" s="6">
        <f>LAVORAZIONI!AF426</f>
        <v/>
      </c>
      <c r="AA33" s="7">
        <f>LAVORAZIONI!AG426</f>
        <v/>
      </c>
      <c r="AB33" s="6">
        <f>LAVORAZIONI!AH426</f>
        <v/>
      </c>
      <c r="AC33" s="7">
        <f>LAVORAZIONI!AI426</f>
        <v/>
      </c>
      <c r="AD33" s="13">
        <f>LAVORAZIONI!AJ426</f>
        <v/>
      </c>
    </row>
    <row r="34" ht="64" customHeight="1" s="35">
      <c r="B34" s="4">
        <f>LAVORAZIONI!G427</f>
        <v/>
      </c>
      <c r="C34" s="3">
        <f>LAVORAZIONI!A427</f>
        <v/>
      </c>
      <c r="D34" s="3">
        <f>LAVORAZIONI!K427</f>
        <v/>
      </c>
      <c r="E34" s="4">
        <f>LAVORAZIONI!H427</f>
        <v/>
      </c>
      <c r="F34" s="4">
        <f>LAVORAZIONI!M427</f>
        <v/>
      </c>
      <c r="G34" s="5">
        <f>LAVORAZIONI!N427</f>
        <v/>
      </c>
      <c r="H34" s="6">
        <f>LAVORAZIONI!O427</f>
        <v/>
      </c>
      <c r="I34" s="13">
        <f>LAVORAZIONI!P427</f>
        <v/>
      </c>
      <c r="J34" s="5">
        <f>IF(LAVORAZIONI!Q427="","",LAVORAZIONI!Q427)</f>
        <v/>
      </c>
      <c r="K34" s="6">
        <f>IF(LAVORAZIONI!R427="","",LAVORAZIONI!R427)</f>
        <v/>
      </c>
      <c r="L34" s="13">
        <f>IF(LAVORAZIONI!S427="","",LAVORAZIONI!S427)</f>
        <v/>
      </c>
      <c r="M34" s="13">
        <f>LAVORAZIONI!T427</f>
        <v/>
      </c>
      <c r="O34" s="7">
        <f>LAVORAZIONI!U427</f>
        <v/>
      </c>
      <c r="P34" s="37">
        <f>LAVORAZIONI!V427</f>
        <v/>
      </c>
      <c r="Q34" s="7">
        <f>LAVORAZIONI!W427</f>
        <v/>
      </c>
      <c r="R34" s="6">
        <f>LAVORAZIONI!X427</f>
        <v/>
      </c>
      <c r="S34" s="7">
        <f>LAVORAZIONI!Y427</f>
        <v/>
      </c>
      <c r="T34" s="6">
        <f>LAVORAZIONI!Z427</f>
        <v/>
      </c>
      <c r="U34" s="7">
        <f>LAVORAZIONI!AA427</f>
        <v/>
      </c>
      <c r="V34" s="6">
        <f>LAVORAZIONI!AB427</f>
        <v/>
      </c>
      <c r="W34" s="7">
        <f>LAVORAZIONI!AC427</f>
        <v/>
      </c>
      <c r="X34" s="6">
        <f>LAVORAZIONI!AD427</f>
        <v/>
      </c>
      <c r="Y34" s="7">
        <f>LAVORAZIONI!AE427</f>
        <v/>
      </c>
      <c r="Z34" s="6">
        <f>LAVORAZIONI!AF427</f>
        <v/>
      </c>
      <c r="AA34" s="7">
        <f>LAVORAZIONI!AG427</f>
        <v/>
      </c>
      <c r="AB34" s="6">
        <f>LAVORAZIONI!AH427</f>
        <v/>
      </c>
      <c r="AC34" s="7">
        <f>LAVORAZIONI!AI427</f>
        <v/>
      </c>
      <c r="AD34" s="13">
        <f>LAVORAZIONI!AJ427</f>
        <v/>
      </c>
    </row>
    <row r="35" ht="64" customHeight="1" s="35">
      <c r="B35" s="4">
        <f>LAVORAZIONI!G428</f>
        <v/>
      </c>
      <c r="C35" s="3">
        <f>LAVORAZIONI!A428</f>
        <v/>
      </c>
      <c r="D35" s="3">
        <f>LAVORAZIONI!K428</f>
        <v/>
      </c>
      <c r="E35" s="4">
        <f>LAVORAZIONI!H428</f>
        <v/>
      </c>
      <c r="F35" s="4">
        <f>LAVORAZIONI!M428</f>
        <v/>
      </c>
      <c r="G35" s="5">
        <f>LAVORAZIONI!N428</f>
        <v/>
      </c>
      <c r="H35" s="6">
        <f>LAVORAZIONI!O428</f>
        <v/>
      </c>
      <c r="I35" s="13">
        <f>LAVORAZIONI!P428</f>
        <v/>
      </c>
      <c r="J35" s="5">
        <f>IF(LAVORAZIONI!Q428="","",LAVORAZIONI!Q428)</f>
        <v/>
      </c>
      <c r="K35" s="6">
        <f>IF(LAVORAZIONI!R428="","",LAVORAZIONI!R428)</f>
        <v/>
      </c>
      <c r="L35" s="13">
        <f>IF(LAVORAZIONI!S428="","",LAVORAZIONI!S428)</f>
        <v/>
      </c>
      <c r="M35" s="13">
        <f>LAVORAZIONI!T428</f>
        <v/>
      </c>
      <c r="O35" s="7">
        <f>LAVORAZIONI!U428</f>
        <v/>
      </c>
      <c r="P35" s="37">
        <f>LAVORAZIONI!V428</f>
        <v/>
      </c>
      <c r="Q35" s="7">
        <f>LAVORAZIONI!W428</f>
        <v/>
      </c>
      <c r="R35" s="6">
        <f>LAVORAZIONI!X428</f>
        <v/>
      </c>
      <c r="S35" s="7">
        <f>LAVORAZIONI!Y428</f>
        <v/>
      </c>
      <c r="T35" s="6">
        <f>LAVORAZIONI!Z428</f>
        <v/>
      </c>
      <c r="U35" s="7">
        <f>LAVORAZIONI!AA428</f>
        <v/>
      </c>
      <c r="V35" s="6">
        <f>LAVORAZIONI!AB428</f>
        <v/>
      </c>
      <c r="W35" s="7">
        <f>LAVORAZIONI!AC428</f>
        <v/>
      </c>
      <c r="X35" s="6">
        <f>LAVORAZIONI!AD428</f>
        <v/>
      </c>
      <c r="Y35" s="7">
        <f>LAVORAZIONI!AE428</f>
        <v/>
      </c>
      <c r="Z35" s="6">
        <f>LAVORAZIONI!AF428</f>
        <v/>
      </c>
      <c r="AA35" s="7">
        <f>LAVORAZIONI!AG428</f>
        <v/>
      </c>
      <c r="AB35" s="6">
        <f>LAVORAZIONI!AH428</f>
        <v/>
      </c>
      <c r="AC35" s="7">
        <f>LAVORAZIONI!AI428</f>
        <v/>
      </c>
      <c r="AD35" s="13">
        <f>LAVORAZIONI!AJ428</f>
        <v/>
      </c>
    </row>
    <row r="36" ht="64" customHeight="1" s="35">
      <c r="B36" s="4">
        <f>LAVORAZIONI!G429</f>
        <v/>
      </c>
      <c r="C36" s="3">
        <f>LAVORAZIONI!A429</f>
        <v/>
      </c>
      <c r="D36" s="3">
        <f>LAVORAZIONI!K429</f>
        <v/>
      </c>
      <c r="E36" s="4">
        <f>LAVORAZIONI!H429</f>
        <v/>
      </c>
      <c r="F36" s="4">
        <f>LAVORAZIONI!M429</f>
        <v/>
      </c>
      <c r="G36" s="5">
        <f>LAVORAZIONI!N429</f>
        <v/>
      </c>
      <c r="H36" s="6">
        <f>LAVORAZIONI!O429</f>
        <v/>
      </c>
      <c r="I36" s="13">
        <f>LAVORAZIONI!P429</f>
        <v/>
      </c>
      <c r="J36" s="5">
        <f>IF(LAVORAZIONI!Q429="","",LAVORAZIONI!Q429)</f>
        <v/>
      </c>
      <c r="K36" s="6">
        <f>IF(LAVORAZIONI!R429="","",LAVORAZIONI!R429)</f>
        <v/>
      </c>
      <c r="L36" s="13">
        <f>IF(LAVORAZIONI!S429="","",LAVORAZIONI!S429)</f>
        <v/>
      </c>
      <c r="M36" s="13">
        <f>LAVORAZIONI!T429</f>
        <v/>
      </c>
      <c r="O36" s="7">
        <f>LAVORAZIONI!U429</f>
        <v/>
      </c>
      <c r="P36" s="37">
        <f>LAVORAZIONI!V429</f>
        <v/>
      </c>
      <c r="Q36" s="7">
        <f>LAVORAZIONI!W429</f>
        <v/>
      </c>
      <c r="R36" s="6">
        <f>LAVORAZIONI!X429</f>
        <v/>
      </c>
      <c r="S36" s="7">
        <f>LAVORAZIONI!Y429</f>
        <v/>
      </c>
      <c r="T36" s="6">
        <f>LAVORAZIONI!Z429</f>
        <v/>
      </c>
      <c r="U36" s="7">
        <f>LAVORAZIONI!AA429</f>
        <v/>
      </c>
      <c r="V36" s="6">
        <f>LAVORAZIONI!AB429</f>
        <v/>
      </c>
      <c r="W36" s="7">
        <f>LAVORAZIONI!AC429</f>
        <v/>
      </c>
      <c r="X36" s="6">
        <f>LAVORAZIONI!AD429</f>
        <v/>
      </c>
      <c r="Y36" s="7">
        <f>LAVORAZIONI!AE429</f>
        <v/>
      </c>
      <c r="Z36" s="6">
        <f>LAVORAZIONI!AF429</f>
        <v/>
      </c>
      <c r="AA36" s="7">
        <f>LAVORAZIONI!AG429</f>
        <v/>
      </c>
      <c r="AB36" s="6">
        <f>LAVORAZIONI!AH429</f>
        <v/>
      </c>
      <c r="AC36" s="7">
        <f>LAVORAZIONI!AI429</f>
        <v/>
      </c>
      <c r="AD36" s="13">
        <f>LAVORAZIONI!AJ429</f>
        <v/>
      </c>
    </row>
    <row r="37" ht="64" customHeight="1" s="35">
      <c r="B37" s="4">
        <f>LAVORAZIONI!G430</f>
        <v/>
      </c>
      <c r="C37" s="3">
        <f>LAVORAZIONI!A430</f>
        <v/>
      </c>
      <c r="D37" s="3">
        <f>LAVORAZIONI!K430</f>
        <v/>
      </c>
      <c r="E37" s="4">
        <f>LAVORAZIONI!H430</f>
        <v/>
      </c>
      <c r="F37" s="4">
        <f>LAVORAZIONI!M430</f>
        <v/>
      </c>
      <c r="G37" s="5">
        <f>LAVORAZIONI!N430</f>
        <v/>
      </c>
      <c r="H37" s="6">
        <f>LAVORAZIONI!O430</f>
        <v/>
      </c>
      <c r="I37" s="13">
        <f>LAVORAZIONI!P430</f>
        <v/>
      </c>
      <c r="J37" s="5">
        <f>IF(LAVORAZIONI!Q430="","",LAVORAZIONI!Q430)</f>
        <v/>
      </c>
      <c r="K37" s="6">
        <f>IF(LAVORAZIONI!R430="","",LAVORAZIONI!R430)</f>
        <v/>
      </c>
      <c r="L37" s="13">
        <f>IF(LAVORAZIONI!S430="","",LAVORAZIONI!S430)</f>
        <v/>
      </c>
      <c r="M37" s="13">
        <f>LAVORAZIONI!T430</f>
        <v/>
      </c>
      <c r="O37" s="7">
        <f>LAVORAZIONI!U430</f>
        <v/>
      </c>
      <c r="P37" s="37">
        <f>LAVORAZIONI!V430</f>
        <v/>
      </c>
      <c r="Q37" s="7">
        <f>LAVORAZIONI!W430</f>
        <v/>
      </c>
      <c r="R37" s="6">
        <f>LAVORAZIONI!X430</f>
        <v/>
      </c>
      <c r="S37" s="7">
        <f>LAVORAZIONI!Y430</f>
        <v/>
      </c>
      <c r="T37" s="6">
        <f>LAVORAZIONI!Z430</f>
        <v/>
      </c>
      <c r="U37" s="7">
        <f>LAVORAZIONI!AA430</f>
        <v/>
      </c>
      <c r="V37" s="6">
        <f>LAVORAZIONI!AB430</f>
        <v/>
      </c>
      <c r="W37" s="7">
        <f>LAVORAZIONI!AC430</f>
        <v/>
      </c>
      <c r="X37" s="6">
        <f>LAVORAZIONI!AD430</f>
        <v/>
      </c>
      <c r="Y37" s="7">
        <f>LAVORAZIONI!AE430</f>
        <v/>
      </c>
      <c r="Z37" s="6">
        <f>LAVORAZIONI!AF430</f>
        <v/>
      </c>
      <c r="AA37" s="7">
        <f>LAVORAZIONI!AG430</f>
        <v/>
      </c>
      <c r="AB37" s="6">
        <f>LAVORAZIONI!AH430</f>
        <v/>
      </c>
      <c r="AC37" s="7">
        <f>LAVORAZIONI!AI430</f>
        <v/>
      </c>
      <c r="AD37" s="13">
        <f>LAVORAZIONI!AJ430</f>
        <v/>
      </c>
    </row>
    <row r="38" ht="64" customHeight="1" s="35">
      <c r="B38" s="4">
        <f>LAVORAZIONI!G431</f>
        <v/>
      </c>
      <c r="C38" s="3">
        <f>LAVORAZIONI!A431</f>
        <v/>
      </c>
      <c r="D38" s="3">
        <f>LAVORAZIONI!K431</f>
        <v/>
      </c>
      <c r="E38" s="4">
        <f>LAVORAZIONI!H431</f>
        <v/>
      </c>
      <c r="F38" s="4">
        <f>LAVORAZIONI!M431</f>
        <v/>
      </c>
      <c r="G38" s="5">
        <f>LAVORAZIONI!N431</f>
        <v/>
      </c>
      <c r="H38" s="6">
        <f>LAVORAZIONI!O431</f>
        <v/>
      </c>
      <c r="I38" s="13">
        <f>LAVORAZIONI!P431</f>
        <v/>
      </c>
      <c r="J38" s="5">
        <f>IF(LAVORAZIONI!Q431="","",LAVORAZIONI!Q431)</f>
        <v/>
      </c>
      <c r="K38" s="6">
        <f>IF(LAVORAZIONI!R431="","",LAVORAZIONI!R431)</f>
        <v/>
      </c>
      <c r="L38" s="13">
        <f>IF(LAVORAZIONI!S431="","",LAVORAZIONI!S431)</f>
        <v/>
      </c>
      <c r="M38" s="13">
        <f>LAVORAZIONI!T431</f>
        <v/>
      </c>
      <c r="O38" s="7">
        <f>LAVORAZIONI!U431</f>
        <v/>
      </c>
      <c r="P38" s="37">
        <f>LAVORAZIONI!V431</f>
        <v/>
      </c>
      <c r="Q38" s="7">
        <f>LAVORAZIONI!W431</f>
        <v/>
      </c>
      <c r="R38" s="6">
        <f>LAVORAZIONI!X431</f>
        <v/>
      </c>
      <c r="S38" s="7">
        <f>LAVORAZIONI!Y431</f>
        <v/>
      </c>
      <c r="T38" s="6">
        <f>LAVORAZIONI!Z431</f>
        <v/>
      </c>
      <c r="U38" s="7">
        <f>LAVORAZIONI!AA431</f>
        <v/>
      </c>
      <c r="V38" s="6">
        <f>LAVORAZIONI!AB431</f>
        <v/>
      </c>
      <c r="W38" s="7">
        <f>LAVORAZIONI!AC431</f>
        <v/>
      </c>
      <c r="X38" s="6">
        <f>LAVORAZIONI!AD431</f>
        <v/>
      </c>
      <c r="Y38" s="7">
        <f>LAVORAZIONI!AE431</f>
        <v/>
      </c>
      <c r="Z38" s="6">
        <f>LAVORAZIONI!AF431</f>
        <v/>
      </c>
      <c r="AA38" s="7">
        <f>LAVORAZIONI!AG431</f>
        <v/>
      </c>
      <c r="AB38" s="6">
        <f>LAVORAZIONI!AH431</f>
        <v/>
      </c>
      <c r="AC38" s="7">
        <f>LAVORAZIONI!AI431</f>
        <v/>
      </c>
      <c r="AD38" s="13">
        <f>LAVORAZIONI!AJ431</f>
        <v/>
      </c>
    </row>
    <row r="39" ht="64" customHeight="1" s="35">
      <c r="B39" s="4">
        <f>LAVORAZIONI!G432</f>
        <v/>
      </c>
      <c r="C39" s="3">
        <f>LAVORAZIONI!A432</f>
        <v/>
      </c>
      <c r="D39" s="3">
        <f>LAVORAZIONI!K432</f>
        <v/>
      </c>
      <c r="E39" s="4">
        <f>LAVORAZIONI!H432</f>
        <v/>
      </c>
      <c r="F39" s="4">
        <f>LAVORAZIONI!M432</f>
        <v/>
      </c>
      <c r="G39" s="5">
        <f>LAVORAZIONI!N432</f>
        <v/>
      </c>
      <c r="H39" s="6">
        <f>LAVORAZIONI!O432</f>
        <v/>
      </c>
      <c r="I39" s="13">
        <f>LAVORAZIONI!P432</f>
        <v/>
      </c>
      <c r="J39" s="5">
        <f>IF(LAVORAZIONI!Q432="","",LAVORAZIONI!Q432)</f>
        <v/>
      </c>
      <c r="K39" s="6">
        <f>IF(LAVORAZIONI!R432="","",LAVORAZIONI!R432)</f>
        <v/>
      </c>
      <c r="L39" s="13">
        <f>IF(LAVORAZIONI!S432="","",LAVORAZIONI!S432)</f>
        <v/>
      </c>
      <c r="M39" s="13">
        <f>LAVORAZIONI!T432</f>
        <v/>
      </c>
      <c r="O39" s="7">
        <f>LAVORAZIONI!U432</f>
        <v/>
      </c>
      <c r="P39" s="37">
        <f>LAVORAZIONI!V432</f>
        <v/>
      </c>
      <c r="Q39" s="7">
        <f>LAVORAZIONI!W432</f>
        <v/>
      </c>
      <c r="R39" s="6">
        <f>LAVORAZIONI!X432</f>
        <v/>
      </c>
      <c r="S39" s="7">
        <f>LAVORAZIONI!Y432</f>
        <v/>
      </c>
      <c r="T39" s="6">
        <f>LAVORAZIONI!Z432</f>
        <v/>
      </c>
      <c r="U39" s="7">
        <f>LAVORAZIONI!AA432</f>
        <v/>
      </c>
      <c r="V39" s="6">
        <f>LAVORAZIONI!AB432</f>
        <v/>
      </c>
      <c r="W39" s="7">
        <f>LAVORAZIONI!AC432</f>
        <v/>
      </c>
      <c r="X39" s="6">
        <f>LAVORAZIONI!AD432</f>
        <v/>
      </c>
      <c r="Y39" s="7">
        <f>LAVORAZIONI!AE432</f>
        <v/>
      </c>
      <c r="Z39" s="6">
        <f>LAVORAZIONI!AF432</f>
        <v/>
      </c>
      <c r="AA39" s="7">
        <f>LAVORAZIONI!AG432</f>
        <v/>
      </c>
      <c r="AB39" s="6">
        <f>LAVORAZIONI!AH432</f>
        <v/>
      </c>
      <c r="AC39" s="7">
        <f>LAVORAZIONI!AI432</f>
        <v/>
      </c>
      <c r="AD39" s="13">
        <f>LAVORAZIONI!AJ432</f>
        <v/>
      </c>
    </row>
    <row r="40" ht="64" customHeight="1" s="35">
      <c r="B40" s="4">
        <f>LAVORAZIONI!G433</f>
        <v/>
      </c>
      <c r="C40" s="3">
        <f>LAVORAZIONI!A433</f>
        <v/>
      </c>
      <c r="D40" s="3">
        <f>LAVORAZIONI!K433</f>
        <v/>
      </c>
      <c r="E40" s="4">
        <f>LAVORAZIONI!H433</f>
        <v/>
      </c>
      <c r="F40" s="4">
        <f>LAVORAZIONI!M433</f>
        <v/>
      </c>
      <c r="G40" s="5">
        <f>LAVORAZIONI!N433</f>
        <v/>
      </c>
      <c r="H40" s="6">
        <f>LAVORAZIONI!O433</f>
        <v/>
      </c>
      <c r="I40" s="13">
        <f>LAVORAZIONI!P433</f>
        <v/>
      </c>
      <c r="J40" s="5">
        <f>IF(LAVORAZIONI!Q433="","",LAVORAZIONI!Q433)</f>
        <v/>
      </c>
      <c r="K40" s="6">
        <f>IF(LAVORAZIONI!R433="","",LAVORAZIONI!R433)</f>
        <v/>
      </c>
      <c r="L40" s="13">
        <f>IF(LAVORAZIONI!S433="","",LAVORAZIONI!S433)</f>
        <v/>
      </c>
      <c r="M40" s="13">
        <f>LAVORAZIONI!T433</f>
        <v/>
      </c>
      <c r="O40" s="7">
        <f>LAVORAZIONI!U433</f>
        <v/>
      </c>
      <c r="P40" s="37">
        <f>LAVORAZIONI!V433</f>
        <v/>
      </c>
      <c r="Q40" s="7">
        <f>LAVORAZIONI!W433</f>
        <v/>
      </c>
      <c r="R40" s="6">
        <f>LAVORAZIONI!X433</f>
        <v/>
      </c>
      <c r="S40" s="7">
        <f>LAVORAZIONI!Y433</f>
        <v/>
      </c>
      <c r="T40" s="6">
        <f>LAVORAZIONI!Z433</f>
        <v/>
      </c>
      <c r="U40" s="7">
        <f>LAVORAZIONI!AA433</f>
        <v/>
      </c>
      <c r="V40" s="6">
        <f>LAVORAZIONI!AB433</f>
        <v/>
      </c>
      <c r="W40" s="7">
        <f>LAVORAZIONI!AC433</f>
        <v/>
      </c>
      <c r="X40" s="6">
        <f>LAVORAZIONI!AD433</f>
        <v/>
      </c>
      <c r="Y40" s="7">
        <f>LAVORAZIONI!AE433</f>
        <v/>
      </c>
      <c r="Z40" s="6">
        <f>LAVORAZIONI!AF433</f>
        <v/>
      </c>
      <c r="AA40" s="7">
        <f>LAVORAZIONI!AG433</f>
        <v/>
      </c>
      <c r="AB40" s="6">
        <f>LAVORAZIONI!AH433</f>
        <v/>
      </c>
      <c r="AC40" s="7">
        <f>LAVORAZIONI!AI433</f>
        <v/>
      </c>
      <c r="AD40" s="13">
        <f>LAVORAZIONI!AJ433</f>
        <v/>
      </c>
    </row>
    <row r="41" ht="64" customHeight="1" s="35">
      <c r="B41" s="4">
        <f>LAVORAZIONI!G434</f>
        <v/>
      </c>
      <c r="C41" s="3">
        <f>LAVORAZIONI!A434</f>
        <v/>
      </c>
      <c r="D41" s="3">
        <f>LAVORAZIONI!K434</f>
        <v/>
      </c>
      <c r="E41" s="4">
        <f>LAVORAZIONI!H434</f>
        <v/>
      </c>
      <c r="F41" s="4">
        <f>LAVORAZIONI!M434</f>
        <v/>
      </c>
      <c r="G41" s="5">
        <f>LAVORAZIONI!N434</f>
        <v/>
      </c>
      <c r="H41" s="6">
        <f>LAVORAZIONI!O434</f>
        <v/>
      </c>
      <c r="I41" s="13">
        <f>LAVORAZIONI!P434</f>
        <v/>
      </c>
      <c r="J41" s="5">
        <f>IF(LAVORAZIONI!Q434="","",LAVORAZIONI!Q434)</f>
        <v/>
      </c>
      <c r="K41" s="6">
        <f>IF(LAVORAZIONI!R434="","",LAVORAZIONI!R434)</f>
        <v/>
      </c>
      <c r="L41" s="13">
        <f>IF(LAVORAZIONI!S434="","",LAVORAZIONI!S434)</f>
        <v/>
      </c>
      <c r="M41" s="13">
        <f>LAVORAZIONI!T434</f>
        <v/>
      </c>
      <c r="O41" s="7">
        <f>LAVORAZIONI!U434</f>
        <v/>
      </c>
      <c r="P41" s="37">
        <f>LAVORAZIONI!V434</f>
        <v/>
      </c>
      <c r="Q41" s="7">
        <f>LAVORAZIONI!W434</f>
        <v/>
      </c>
      <c r="R41" s="6">
        <f>LAVORAZIONI!X434</f>
        <v/>
      </c>
      <c r="S41" s="7">
        <f>LAVORAZIONI!Y434</f>
        <v/>
      </c>
      <c r="T41" s="6">
        <f>LAVORAZIONI!Z434</f>
        <v/>
      </c>
      <c r="U41" s="7">
        <f>LAVORAZIONI!AA434</f>
        <v/>
      </c>
      <c r="V41" s="6">
        <f>LAVORAZIONI!AB434</f>
        <v/>
      </c>
      <c r="W41" s="7">
        <f>LAVORAZIONI!AC434</f>
        <v/>
      </c>
      <c r="X41" s="6">
        <f>LAVORAZIONI!AD434</f>
        <v/>
      </c>
      <c r="Y41" s="7">
        <f>LAVORAZIONI!AE434</f>
        <v/>
      </c>
      <c r="Z41" s="6">
        <f>LAVORAZIONI!AF434</f>
        <v/>
      </c>
      <c r="AA41" s="7">
        <f>LAVORAZIONI!AG434</f>
        <v/>
      </c>
      <c r="AB41" s="6">
        <f>LAVORAZIONI!AH434</f>
        <v/>
      </c>
      <c r="AC41" s="7">
        <f>LAVORAZIONI!AI434</f>
        <v/>
      </c>
      <c r="AD41" s="13">
        <f>LAVORAZIONI!AJ434</f>
        <v/>
      </c>
    </row>
    <row r="42" ht="64" customHeight="1" s="35">
      <c r="B42" s="4">
        <f>LAVORAZIONI!G435</f>
        <v/>
      </c>
      <c r="C42" s="3">
        <f>LAVORAZIONI!A435</f>
        <v/>
      </c>
      <c r="D42" s="3">
        <f>LAVORAZIONI!K435</f>
        <v/>
      </c>
      <c r="E42" s="4">
        <f>LAVORAZIONI!H435</f>
        <v/>
      </c>
      <c r="F42" s="4">
        <f>LAVORAZIONI!M435</f>
        <v/>
      </c>
      <c r="G42" s="5">
        <f>LAVORAZIONI!N435</f>
        <v/>
      </c>
      <c r="H42" s="6">
        <f>LAVORAZIONI!O435</f>
        <v/>
      </c>
      <c r="I42" s="13">
        <f>LAVORAZIONI!P435</f>
        <v/>
      </c>
      <c r="J42" s="5">
        <f>IF(LAVORAZIONI!Q435="","",LAVORAZIONI!Q435)</f>
        <v/>
      </c>
      <c r="K42" s="6">
        <f>IF(LAVORAZIONI!R435="","",LAVORAZIONI!R435)</f>
        <v/>
      </c>
      <c r="L42" s="13">
        <f>IF(LAVORAZIONI!S435="","",LAVORAZIONI!S435)</f>
        <v/>
      </c>
      <c r="M42" s="13">
        <f>LAVORAZIONI!T435</f>
        <v/>
      </c>
      <c r="O42" s="7">
        <f>LAVORAZIONI!U435</f>
        <v/>
      </c>
      <c r="P42" s="37">
        <f>LAVORAZIONI!V435</f>
        <v/>
      </c>
      <c r="Q42" s="7">
        <f>LAVORAZIONI!W435</f>
        <v/>
      </c>
      <c r="R42" s="6">
        <f>LAVORAZIONI!X435</f>
        <v/>
      </c>
      <c r="S42" s="7">
        <f>LAVORAZIONI!Y435</f>
        <v/>
      </c>
      <c r="T42" s="6">
        <f>LAVORAZIONI!Z435</f>
        <v/>
      </c>
      <c r="U42" s="7">
        <f>LAVORAZIONI!AA435</f>
        <v/>
      </c>
      <c r="V42" s="6">
        <f>LAVORAZIONI!AB435</f>
        <v/>
      </c>
      <c r="W42" s="7">
        <f>LAVORAZIONI!AC435</f>
        <v/>
      </c>
      <c r="X42" s="6">
        <f>LAVORAZIONI!AD435</f>
        <v/>
      </c>
      <c r="Y42" s="7">
        <f>LAVORAZIONI!AE435</f>
        <v/>
      </c>
      <c r="Z42" s="6">
        <f>LAVORAZIONI!AF435</f>
        <v/>
      </c>
      <c r="AA42" s="7">
        <f>LAVORAZIONI!AG435</f>
        <v/>
      </c>
      <c r="AB42" s="6">
        <f>LAVORAZIONI!AH435</f>
        <v/>
      </c>
      <c r="AC42" s="7">
        <f>LAVORAZIONI!AI435</f>
        <v/>
      </c>
      <c r="AD42" s="13">
        <f>LAVORAZIONI!AJ435</f>
        <v/>
      </c>
    </row>
    <row r="43" ht="64" customHeight="1" s="35">
      <c r="B43" s="4">
        <f>LAVORAZIONI!G436</f>
        <v/>
      </c>
      <c r="C43" s="3">
        <f>LAVORAZIONI!A436</f>
        <v/>
      </c>
      <c r="D43" s="3">
        <f>LAVORAZIONI!K436</f>
        <v/>
      </c>
      <c r="E43" s="4">
        <f>LAVORAZIONI!H436</f>
        <v/>
      </c>
      <c r="F43" s="4">
        <f>LAVORAZIONI!M436</f>
        <v/>
      </c>
      <c r="G43" s="5">
        <f>LAVORAZIONI!N436</f>
        <v/>
      </c>
      <c r="H43" s="6">
        <f>LAVORAZIONI!O436</f>
        <v/>
      </c>
      <c r="I43" s="13">
        <f>LAVORAZIONI!P436</f>
        <v/>
      </c>
      <c r="J43" s="5">
        <f>IF(LAVORAZIONI!Q436="","",LAVORAZIONI!Q436)</f>
        <v/>
      </c>
      <c r="K43" s="6">
        <f>IF(LAVORAZIONI!R436="","",LAVORAZIONI!R436)</f>
        <v/>
      </c>
      <c r="L43" s="13">
        <f>IF(LAVORAZIONI!S436="","",LAVORAZIONI!S436)</f>
        <v/>
      </c>
      <c r="M43" s="13">
        <f>LAVORAZIONI!T436</f>
        <v/>
      </c>
      <c r="O43" s="7">
        <f>LAVORAZIONI!U436</f>
        <v/>
      </c>
      <c r="P43" s="37">
        <f>LAVORAZIONI!V436</f>
        <v/>
      </c>
      <c r="Q43" s="7">
        <f>LAVORAZIONI!W436</f>
        <v/>
      </c>
      <c r="R43" s="6">
        <f>LAVORAZIONI!X436</f>
        <v/>
      </c>
      <c r="S43" s="7">
        <f>LAVORAZIONI!Y436</f>
        <v/>
      </c>
      <c r="T43" s="6">
        <f>LAVORAZIONI!Z436</f>
        <v/>
      </c>
      <c r="U43" s="7">
        <f>LAVORAZIONI!AA436</f>
        <v/>
      </c>
      <c r="V43" s="6">
        <f>LAVORAZIONI!AB436</f>
        <v/>
      </c>
      <c r="W43" s="7">
        <f>LAVORAZIONI!AC436</f>
        <v/>
      </c>
      <c r="X43" s="6">
        <f>LAVORAZIONI!AD436</f>
        <v/>
      </c>
      <c r="Y43" s="7">
        <f>LAVORAZIONI!AE436</f>
        <v/>
      </c>
      <c r="Z43" s="6">
        <f>LAVORAZIONI!AF436</f>
        <v/>
      </c>
      <c r="AA43" s="7">
        <f>LAVORAZIONI!AG436</f>
        <v/>
      </c>
      <c r="AB43" s="6">
        <f>LAVORAZIONI!AH436</f>
        <v/>
      </c>
      <c r="AC43" s="7">
        <f>LAVORAZIONI!AI436</f>
        <v/>
      </c>
      <c r="AD43" s="13">
        <f>LAVORAZIONI!AJ436</f>
        <v/>
      </c>
    </row>
    <row r="44" ht="64" customHeight="1" s="35">
      <c r="B44" s="4">
        <f>LAVORAZIONI!G437</f>
        <v/>
      </c>
      <c r="C44" s="3">
        <f>LAVORAZIONI!A437</f>
        <v/>
      </c>
      <c r="D44" s="3">
        <f>LAVORAZIONI!K437</f>
        <v/>
      </c>
      <c r="E44" s="4">
        <f>LAVORAZIONI!H437</f>
        <v/>
      </c>
      <c r="F44" s="4">
        <f>LAVORAZIONI!M437</f>
        <v/>
      </c>
      <c r="G44" s="5">
        <f>LAVORAZIONI!N437</f>
        <v/>
      </c>
      <c r="H44" s="6">
        <f>LAVORAZIONI!O437</f>
        <v/>
      </c>
      <c r="I44" s="13">
        <f>LAVORAZIONI!P437</f>
        <v/>
      </c>
      <c r="J44" s="5">
        <f>IF(LAVORAZIONI!Q437="","",LAVORAZIONI!Q437)</f>
        <v/>
      </c>
      <c r="K44" s="6">
        <f>IF(LAVORAZIONI!R437="","",LAVORAZIONI!R437)</f>
        <v/>
      </c>
      <c r="L44" s="13">
        <f>IF(LAVORAZIONI!S437="","",LAVORAZIONI!S437)</f>
        <v/>
      </c>
      <c r="M44" s="13">
        <f>LAVORAZIONI!T437</f>
        <v/>
      </c>
      <c r="O44" s="7">
        <f>LAVORAZIONI!U437</f>
        <v/>
      </c>
      <c r="P44" s="37">
        <f>LAVORAZIONI!V437</f>
        <v/>
      </c>
      <c r="Q44" s="7">
        <f>LAVORAZIONI!W437</f>
        <v/>
      </c>
      <c r="R44" s="6">
        <f>LAVORAZIONI!X437</f>
        <v/>
      </c>
      <c r="S44" s="7">
        <f>LAVORAZIONI!Y437</f>
        <v/>
      </c>
      <c r="T44" s="6">
        <f>LAVORAZIONI!Z437</f>
        <v/>
      </c>
      <c r="U44" s="7">
        <f>LAVORAZIONI!AA437</f>
        <v/>
      </c>
      <c r="V44" s="6">
        <f>LAVORAZIONI!AB437</f>
        <v/>
      </c>
      <c r="W44" s="7">
        <f>LAVORAZIONI!AC437</f>
        <v/>
      </c>
      <c r="X44" s="6">
        <f>LAVORAZIONI!AD437</f>
        <v/>
      </c>
      <c r="Y44" s="7">
        <f>LAVORAZIONI!AE437</f>
        <v/>
      </c>
      <c r="Z44" s="6">
        <f>LAVORAZIONI!AF437</f>
        <v/>
      </c>
      <c r="AA44" s="7">
        <f>LAVORAZIONI!AG437</f>
        <v/>
      </c>
      <c r="AB44" s="6">
        <f>LAVORAZIONI!AH437</f>
        <v/>
      </c>
      <c r="AC44" s="7">
        <f>LAVORAZIONI!AI437</f>
        <v/>
      </c>
      <c r="AD44" s="13">
        <f>LAVORAZIONI!AJ437</f>
        <v/>
      </c>
    </row>
    <row r="45" ht="64" customHeight="1" s="35">
      <c r="B45" s="4">
        <f>LAVORAZIONI!G438</f>
        <v/>
      </c>
      <c r="C45" s="3">
        <f>LAVORAZIONI!A438</f>
        <v/>
      </c>
      <c r="D45" s="3">
        <f>LAVORAZIONI!K438</f>
        <v/>
      </c>
      <c r="E45" s="4">
        <f>LAVORAZIONI!H438</f>
        <v/>
      </c>
      <c r="F45" s="4">
        <f>LAVORAZIONI!M438</f>
        <v/>
      </c>
      <c r="G45" s="5">
        <f>LAVORAZIONI!N438</f>
        <v/>
      </c>
      <c r="H45" s="6">
        <f>LAVORAZIONI!O438</f>
        <v/>
      </c>
      <c r="I45" s="13">
        <f>LAVORAZIONI!P438</f>
        <v/>
      </c>
      <c r="J45" s="5">
        <f>IF(LAVORAZIONI!Q438="","",LAVORAZIONI!Q438)</f>
        <v/>
      </c>
      <c r="K45" s="6">
        <f>IF(LAVORAZIONI!R438="","",LAVORAZIONI!R438)</f>
        <v/>
      </c>
      <c r="L45" s="13">
        <f>IF(LAVORAZIONI!S438="","",LAVORAZIONI!S438)</f>
        <v/>
      </c>
      <c r="M45" s="13">
        <f>LAVORAZIONI!T438</f>
        <v/>
      </c>
      <c r="O45" s="7">
        <f>LAVORAZIONI!U438</f>
        <v/>
      </c>
      <c r="P45" s="37">
        <f>LAVORAZIONI!V438</f>
        <v/>
      </c>
      <c r="Q45" s="7">
        <f>LAVORAZIONI!W438</f>
        <v/>
      </c>
      <c r="R45" s="6">
        <f>LAVORAZIONI!X438</f>
        <v/>
      </c>
      <c r="S45" s="7">
        <f>LAVORAZIONI!Y438</f>
        <v/>
      </c>
      <c r="T45" s="6">
        <f>LAVORAZIONI!Z438</f>
        <v/>
      </c>
      <c r="U45" s="7">
        <f>LAVORAZIONI!AA438</f>
        <v/>
      </c>
      <c r="V45" s="6">
        <f>LAVORAZIONI!AB438</f>
        <v/>
      </c>
      <c r="W45" s="7">
        <f>LAVORAZIONI!AC438</f>
        <v/>
      </c>
      <c r="X45" s="6">
        <f>LAVORAZIONI!AD438</f>
        <v/>
      </c>
      <c r="Y45" s="7">
        <f>LAVORAZIONI!AE438</f>
        <v/>
      </c>
      <c r="Z45" s="6">
        <f>LAVORAZIONI!AF438</f>
        <v/>
      </c>
      <c r="AA45" s="7">
        <f>LAVORAZIONI!AG438</f>
        <v/>
      </c>
      <c r="AB45" s="6">
        <f>LAVORAZIONI!AH438</f>
        <v/>
      </c>
      <c r="AC45" s="7">
        <f>LAVORAZIONI!AI438</f>
        <v/>
      </c>
      <c r="AD45" s="13">
        <f>LAVORAZIONI!AJ438</f>
        <v/>
      </c>
    </row>
    <row r="46" ht="64" customHeight="1" s="35">
      <c r="B46" s="4">
        <f>LAVORAZIONI!G439</f>
        <v/>
      </c>
      <c r="C46" s="3">
        <f>LAVORAZIONI!A439</f>
        <v/>
      </c>
      <c r="D46" s="3">
        <f>LAVORAZIONI!K439</f>
        <v/>
      </c>
      <c r="E46" s="4">
        <f>LAVORAZIONI!H439</f>
        <v/>
      </c>
      <c r="F46" s="4">
        <f>LAVORAZIONI!M439</f>
        <v/>
      </c>
      <c r="G46" s="5">
        <f>LAVORAZIONI!N439</f>
        <v/>
      </c>
      <c r="H46" s="6">
        <f>LAVORAZIONI!O439</f>
        <v/>
      </c>
      <c r="I46" s="13">
        <f>LAVORAZIONI!P439</f>
        <v/>
      </c>
      <c r="J46" s="5">
        <f>IF(LAVORAZIONI!Q439="","",LAVORAZIONI!Q439)</f>
        <v/>
      </c>
      <c r="K46" s="6">
        <f>IF(LAVORAZIONI!R439="","",LAVORAZIONI!R439)</f>
        <v/>
      </c>
      <c r="L46" s="13">
        <f>IF(LAVORAZIONI!S439="","",LAVORAZIONI!S439)</f>
        <v/>
      </c>
      <c r="M46" s="13">
        <f>LAVORAZIONI!T439</f>
        <v/>
      </c>
      <c r="O46" s="7">
        <f>LAVORAZIONI!U439</f>
        <v/>
      </c>
      <c r="P46" s="37">
        <f>LAVORAZIONI!V439</f>
        <v/>
      </c>
      <c r="Q46" s="7">
        <f>LAVORAZIONI!W439</f>
        <v/>
      </c>
      <c r="R46" s="6">
        <f>LAVORAZIONI!X439</f>
        <v/>
      </c>
      <c r="S46" s="7">
        <f>LAVORAZIONI!Y439</f>
        <v/>
      </c>
      <c r="T46" s="6">
        <f>LAVORAZIONI!Z439</f>
        <v/>
      </c>
      <c r="U46" s="7">
        <f>LAVORAZIONI!AA439</f>
        <v/>
      </c>
      <c r="V46" s="6">
        <f>LAVORAZIONI!AB439</f>
        <v/>
      </c>
      <c r="W46" s="7">
        <f>LAVORAZIONI!AC439</f>
        <v/>
      </c>
      <c r="X46" s="6">
        <f>LAVORAZIONI!AD439</f>
        <v/>
      </c>
      <c r="Y46" s="7">
        <f>LAVORAZIONI!AE439</f>
        <v/>
      </c>
      <c r="Z46" s="6">
        <f>LAVORAZIONI!AF439</f>
        <v/>
      </c>
      <c r="AA46" s="7">
        <f>LAVORAZIONI!AG439</f>
        <v/>
      </c>
      <c r="AB46" s="6">
        <f>LAVORAZIONI!AH439</f>
        <v/>
      </c>
      <c r="AC46" s="7">
        <f>LAVORAZIONI!AI439</f>
        <v/>
      </c>
      <c r="AD46" s="13">
        <f>LAVORAZIONI!AJ439</f>
        <v/>
      </c>
    </row>
    <row r="47" ht="64" customHeight="1" s="35">
      <c r="B47" s="4">
        <f>LAVORAZIONI!G440</f>
        <v/>
      </c>
      <c r="C47" s="3">
        <f>LAVORAZIONI!A440</f>
        <v/>
      </c>
      <c r="D47" s="3">
        <f>LAVORAZIONI!K440</f>
        <v/>
      </c>
      <c r="E47" s="4">
        <f>LAVORAZIONI!H440</f>
        <v/>
      </c>
      <c r="F47" s="4">
        <f>LAVORAZIONI!M440</f>
        <v/>
      </c>
      <c r="G47" s="5">
        <f>LAVORAZIONI!N440</f>
        <v/>
      </c>
      <c r="H47" s="6">
        <f>LAVORAZIONI!O440</f>
        <v/>
      </c>
      <c r="I47" s="13">
        <f>LAVORAZIONI!P440</f>
        <v/>
      </c>
      <c r="J47" s="5">
        <f>IF(LAVORAZIONI!Q440="","",LAVORAZIONI!Q440)</f>
        <v/>
      </c>
      <c r="K47" s="6">
        <f>IF(LAVORAZIONI!R440="","",LAVORAZIONI!R440)</f>
        <v/>
      </c>
      <c r="L47" s="13">
        <f>IF(LAVORAZIONI!S440="","",LAVORAZIONI!S440)</f>
        <v/>
      </c>
      <c r="M47" s="13">
        <f>LAVORAZIONI!T440</f>
        <v/>
      </c>
      <c r="O47" s="7">
        <f>LAVORAZIONI!U440</f>
        <v/>
      </c>
      <c r="P47" s="37">
        <f>LAVORAZIONI!V440</f>
        <v/>
      </c>
      <c r="Q47" s="7">
        <f>LAVORAZIONI!W440</f>
        <v/>
      </c>
      <c r="R47" s="6">
        <f>LAVORAZIONI!X440</f>
        <v/>
      </c>
      <c r="S47" s="7">
        <f>LAVORAZIONI!Y440</f>
        <v/>
      </c>
      <c r="T47" s="6">
        <f>LAVORAZIONI!Z440</f>
        <v/>
      </c>
      <c r="U47" s="7">
        <f>LAVORAZIONI!AA440</f>
        <v/>
      </c>
      <c r="V47" s="6">
        <f>LAVORAZIONI!AB440</f>
        <v/>
      </c>
      <c r="W47" s="7">
        <f>LAVORAZIONI!AC440</f>
        <v/>
      </c>
      <c r="X47" s="6">
        <f>LAVORAZIONI!AD440</f>
        <v/>
      </c>
      <c r="Y47" s="7">
        <f>LAVORAZIONI!AE440</f>
        <v/>
      </c>
      <c r="Z47" s="6">
        <f>LAVORAZIONI!AF440</f>
        <v/>
      </c>
      <c r="AA47" s="7">
        <f>LAVORAZIONI!AG440</f>
        <v/>
      </c>
      <c r="AB47" s="6">
        <f>LAVORAZIONI!AH440</f>
        <v/>
      </c>
      <c r="AC47" s="7">
        <f>LAVORAZIONI!AI440</f>
        <v/>
      </c>
      <c r="AD47" s="13">
        <f>LAVORAZIONI!AJ440</f>
        <v/>
      </c>
    </row>
    <row r="48" ht="64" customHeight="1" s="35">
      <c r="B48" s="4">
        <f>LAVORAZIONI!G441</f>
        <v/>
      </c>
      <c r="C48" s="3">
        <f>LAVORAZIONI!A441</f>
        <v/>
      </c>
      <c r="D48" s="3">
        <f>LAVORAZIONI!K441</f>
        <v/>
      </c>
      <c r="E48" s="4">
        <f>LAVORAZIONI!H441</f>
        <v/>
      </c>
      <c r="F48" s="4">
        <f>LAVORAZIONI!M441</f>
        <v/>
      </c>
      <c r="G48" s="5">
        <f>LAVORAZIONI!N441</f>
        <v/>
      </c>
      <c r="H48" s="6">
        <f>LAVORAZIONI!O441</f>
        <v/>
      </c>
      <c r="I48" s="13">
        <f>LAVORAZIONI!P441</f>
        <v/>
      </c>
      <c r="J48" s="5">
        <f>IF(LAVORAZIONI!Q441="","",LAVORAZIONI!Q441)</f>
        <v/>
      </c>
      <c r="K48" s="6">
        <f>IF(LAVORAZIONI!R441="","",LAVORAZIONI!R441)</f>
        <v/>
      </c>
      <c r="L48" s="13">
        <f>IF(LAVORAZIONI!S441="","",LAVORAZIONI!S441)</f>
        <v/>
      </c>
      <c r="M48" s="13">
        <f>LAVORAZIONI!T441</f>
        <v/>
      </c>
      <c r="O48" s="7">
        <f>LAVORAZIONI!U441</f>
        <v/>
      </c>
      <c r="P48" s="37">
        <f>LAVORAZIONI!V441</f>
        <v/>
      </c>
      <c r="Q48" s="7">
        <f>LAVORAZIONI!W441</f>
        <v/>
      </c>
      <c r="R48" s="6">
        <f>LAVORAZIONI!X441</f>
        <v/>
      </c>
      <c r="S48" s="7">
        <f>LAVORAZIONI!Y441</f>
        <v/>
      </c>
      <c r="T48" s="6">
        <f>LAVORAZIONI!Z441</f>
        <v/>
      </c>
      <c r="U48" s="7">
        <f>LAVORAZIONI!AA441</f>
        <v/>
      </c>
      <c r="V48" s="6">
        <f>LAVORAZIONI!AB441</f>
        <v/>
      </c>
      <c r="W48" s="7">
        <f>LAVORAZIONI!AC441</f>
        <v/>
      </c>
      <c r="X48" s="6">
        <f>LAVORAZIONI!AD441</f>
        <v/>
      </c>
      <c r="Y48" s="7">
        <f>LAVORAZIONI!AE441</f>
        <v/>
      </c>
      <c r="Z48" s="6">
        <f>LAVORAZIONI!AF441</f>
        <v/>
      </c>
      <c r="AA48" s="7">
        <f>LAVORAZIONI!AG441</f>
        <v/>
      </c>
      <c r="AB48" s="6">
        <f>LAVORAZIONI!AH441</f>
        <v/>
      </c>
      <c r="AC48" s="7">
        <f>LAVORAZIONI!AI441</f>
        <v/>
      </c>
      <c r="AD48" s="13">
        <f>LAVORAZIONI!AJ441</f>
        <v/>
      </c>
    </row>
    <row r="49" ht="64" customHeight="1" s="35">
      <c r="B49" s="4">
        <f>LAVORAZIONI!G442</f>
        <v/>
      </c>
      <c r="C49" s="3">
        <f>LAVORAZIONI!A442</f>
        <v/>
      </c>
      <c r="D49" s="3">
        <f>LAVORAZIONI!K442</f>
        <v/>
      </c>
      <c r="E49" s="4">
        <f>LAVORAZIONI!H442</f>
        <v/>
      </c>
      <c r="F49" s="4">
        <f>LAVORAZIONI!M442</f>
        <v/>
      </c>
      <c r="G49" s="5">
        <f>LAVORAZIONI!N442</f>
        <v/>
      </c>
      <c r="H49" s="6">
        <f>LAVORAZIONI!O442</f>
        <v/>
      </c>
      <c r="I49" s="13">
        <f>LAVORAZIONI!P442</f>
        <v/>
      </c>
      <c r="J49" s="5">
        <f>IF(LAVORAZIONI!Q442="","",LAVORAZIONI!Q442)</f>
        <v/>
      </c>
      <c r="K49" s="6">
        <f>IF(LAVORAZIONI!R442="","",LAVORAZIONI!R442)</f>
        <v/>
      </c>
      <c r="L49" s="13">
        <f>IF(LAVORAZIONI!S442="","",LAVORAZIONI!S442)</f>
        <v/>
      </c>
      <c r="M49" s="13">
        <f>LAVORAZIONI!T442</f>
        <v/>
      </c>
      <c r="O49" s="7">
        <f>LAVORAZIONI!U442</f>
        <v/>
      </c>
      <c r="P49" s="37">
        <f>LAVORAZIONI!V442</f>
        <v/>
      </c>
      <c r="Q49" s="7">
        <f>LAVORAZIONI!W442</f>
        <v/>
      </c>
      <c r="R49" s="6">
        <f>LAVORAZIONI!X442</f>
        <v/>
      </c>
      <c r="S49" s="7">
        <f>LAVORAZIONI!Y442</f>
        <v/>
      </c>
      <c r="T49" s="6">
        <f>LAVORAZIONI!Z442</f>
        <v/>
      </c>
      <c r="U49" s="7">
        <f>LAVORAZIONI!AA442</f>
        <v/>
      </c>
      <c r="V49" s="6">
        <f>LAVORAZIONI!AB442</f>
        <v/>
      </c>
      <c r="W49" s="7">
        <f>LAVORAZIONI!AC442</f>
        <v/>
      </c>
      <c r="X49" s="6">
        <f>LAVORAZIONI!AD442</f>
        <v/>
      </c>
      <c r="Y49" s="7">
        <f>LAVORAZIONI!AE442</f>
        <v/>
      </c>
      <c r="Z49" s="6">
        <f>LAVORAZIONI!AF442</f>
        <v/>
      </c>
      <c r="AA49" s="7">
        <f>LAVORAZIONI!AG442</f>
        <v/>
      </c>
      <c r="AB49" s="6">
        <f>LAVORAZIONI!AH442</f>
        <v/>
      </c>
      <c r="AC49" s="7">
        <f>LAVORAZIONI!AI442</f>
        <v/>
      </c>
      <c r="AD49" s="13">
        <f>LAVORAZIONI!AJ442</f>
        <v/>
      </c>
    </row>
    <row r="50" ht="64" customHeight="1" s="35">
      <c r="B50" s="4">
        <f>LAVORAZIONI!G443</f>
        <v/>
      </c>
      <c r="C50" s="3">
        <f>LAVORAZIONI!A443</f>
        <v/>
      </c>
      <c r="D50" s="3">
        <f>LAVORAZIONI!K443</f>
        <v/>
      </c>
      <c r="E50" s="4">
        <f>LAVORAZIONI!H443</f>
        <v/>
      </c>
      <c r="F50" s="4">
        <f>LAVORAZIONI!M443</f>
        <v/>
      </c>
      <c r="G50" s="5">
        <f>LAVORAZIONI!N443</f>
        <v/>
      </c>
      <c r="H50" s="6">
        <f>LAVORAZIONI!O443</f>
        <v/>
      </c>
      <c r="I50" s="13">
        <f>LAVORAZIONI!P443</f>
        <v/>
      </c>
      <c r="J50" s="5">
        <f>IF(LAVORAZIONI!Q443="","",LAVORAZIONI!Q443)</f>
        <v/>
      </c>
      <c r="K50" s="6">
        <f>IF(LAVORAZIONI!R443="","",LAVORAZIONI!R443)</f>
        <v/>
      </c>
      <c r="L50" s="13">
        <f>IF(LAVORAZIONI!S443="","",LAVORAZIONI!S443)</f>
        <v/>
      </c>
      <c r="M50" s="13">
        <f>LAVORAZIONI!T443</f>
        <v/>
      </c>
      <c r="O50" s="7">
        <f>LAVORAZIONI!U443</f>
        <v/>
      </c>
      <c r="P50" s="37">
        <f>LAVORAZIONI!V443</f>
        <v/>
      </c>
      <c r="Q50" s="7">
        <f>LAVORAZIONI!W443</f>
        <v/>
      </c>
      <c r="R50" s="6">
        <f>LAVORAZIONI!X443</f>
        <v/>
      </c>
      <c r="S50" s="7">
        <f>LAVORAZIONI!Y443</f>
        <v/>
      </c>
      <c r="T50" s="6">
        <f>LAVORAZIONI!Z443</f>
        <v/>
      </c>
      <c r="U50" s="7">
        <f>LAVORAZIONI!AA443</f>
        <v/>
      </c>
      <c r="V50" s="6">
        <f>LAVORAZIONI!AB443</f>
        <v/>
      </c>
      <c r="W50" s="7">
        <f>LAVORAZIONI!AC443</f>
        <v/>
      </c>
      <c r="X50" s="6">
        <f>LAVORAZIONI!AD443</f>
        <v/>
      </c>
      <c r="Y50" s="7">
        <f>LAVORAZIONI!AE443</f>
        <v/>
      </c>
      <c r="Z50" s="6">
        <f>LAVORAZIONI!AF443</f>
        <v/>
      </c>
      <c r="AA50" s="7">
        <f>LAVORAZIONI!AG443</f>
        <v/>
      </c>
      <c r="AB50" s="6">
        <f>LAVORAZIONI!AH443</f>
        <v/>
      </c>
      <c r="AC50" s="7">
        <f>LAVORAZIONI!AI443</f>
        <v/>
      </c>
      <c r="AD50" s="13">
        <f>LAVORAZIONI!AJ443</f>
        <v/>
      </c>
    </row>
    <row r="51" ht="64" customHeight="1" s="35">
      <c r="B51" s="4">
        <f>LAVORAZIONI!G444</f>
        <v/>
      </c>
      <c r="C51" s="3">
        <f>LAVORAZIONI!A444</f>
        <v/>
      </c>
      <c r="D51" s="3">
        <f>LAVORAZIONI!K444</f>
        <v/>
      </c>
      <c r="E51" s="4">
        <f>LAVORAZIONI!H444</f>
        <v/>
      </c>
      <c r="F51" s="4">
        <f>LAVORAZIONI!M444</f>
        <v/>
      </c>
      <c r="G51" s="5">
        <f>LAVORAZIONI!N444</f>
        <v/>
      </c>
      <c r="H51" s="6">
        <f>LAVORAZIONI!O444</f>
        <v/>
      </c>
      <c r="I51" s="13">
        <f>LAVORAZIONI!P444</f>
        <v/>
      </c>
      <c r="J51" s="5">
        <f>IF(LAVORAZIONI!Q444="","",LAVORAZIONI!Q444)</f>
        <v/>
      </c>
      <c r="K51" s="6">
        <f>IF(LAVORAZIONI!R444="","",LAVORAZIONI!R444)</f>
        <v/>
      </c>
      <c r="L51" s="13">
        <f>IF(LAVORAZIONI!S444="","",LAVORAZIONI!S444)</f>
        <v/>
      </c>
      <c r="M51" s="13">
        <f>LAVORAZIONI!T444</f>
        <v/>
      </c>
      <c r="O51" s="7">
        <f>LAVORAZIONI!U444</f>
        <v/>
      </c>
      <c r="P51" s="37">
        <f>LAVORAZIONI!V444</f>
        <v/>
      </c>
      <c r="Q51" s="7">
        <f>LAVORAZIONI!W444</f>
        <v/>
      </c>
      <c r="R51" s="6">
        <f>LAVORAZIONI!X444</f>
        <v/>
      </c>
      <c r="S51" s="7">
        <f>LAVORAZIONI!Y444</f>
        <v/>
      </c>
      <c r="T51" s="6">
        <f>LAVORAZIONI!Z444</f>
        <v/>
      </c>
      <c r="U51" s="7">
        <f>LAVORAZIONI!AA444</f>
        <v/>
      </c>
      <c r="V51" s="6">
        <f>LAVORAZIONI!AB444</f>
        <v/>
      </c>
      <c r="W51" s="7">
        <f>LAVORAZIONI!AC444</f>
        <v/>
      </c>
      <c r="X51" s="6">
        <f>LAVORAZIONI!AD444</f>
        <v/>
      </c>
      <c r="Y51" s="7">
        <f>LAVORAZIONI!AE444</f>
        <v/>
      </c>
      <c r="Z51" s="6">
        <f>LAVORAZIONI!AF444</f>
        <v/>
      </c>
      <c r="AA51" s="7">
        <f>LAVORAZIONI!AG444</f>
        <v/>
      </c>
      <c r="AB51" s="6">
        <f>LAVORAZIONI!AH444</f>
        <v/>
      </c>
      <c r="AC51" s="7">
        <f>LAVORAZIONI!AI444</f>
        <v/>
      </c>
      <c r="AD51" s="13">
        <f>LAVORAZIONI!AJ444</f>
        <v/>
      </c>
    </row>
    <row r="52" ht="64" customHeight="1" s="35">
      <c r="B52" s="4">
        <f>LAVORAZIONI!G445</f>
        <v/>
      </c>
      <c r="C52" s="3">
        <f>LAVORAZIONI!A445</f>
        <v/>
      </c>
      <c r="D52" s="3">
        <f>LAVORAZIONI!K445</f>
        <v/>
      </c>
      <c r="E52" s="4">
        <f>LAVORAZIONI!H445</f>
        <v/>
      </c>
      <c r="F52" s="4">
        <f>LAVORAZIONI!M445</f>
        <v/>
      </c>
      <c r="G52" s="5">
        <f>LAVORAZIONI!N445</f>
        <v/>
      </c>
      <c r="H52" s="6">
        <f>LAVORAZIONI!O445</f>
        <v/>
      </c>
      <c r="I52" s="13">
        <f>LAVORAZIONI!P445</f>
        <v/>
      </c>
      <c r="J52" s="5">
        <f>IF(LAVORAZIONI!Q445="","",LAVORAZIONI!Q445)</f>
        <v/>
      </c>
      <c r="K52" s="6">
        <f>IF(LAVORAZIONI!R445="","",LAVORAZIONI!R445)</f>
        <v/>
      </c>
      <c r="L52" s="13">
        <f>IF(LAVORAZIONI!S445="","",LAVORAZIONI!S445)</f>
        <v/>
      </c>
      <c r="M52" s="13">
        <f>LAVORAZIONI!T445</f>
        <v/>
      </c>
      <c r="O52" s="7">
        <f>LAVORAZIONI!U445</f>
        <v/>
      </c>
      <c r="P52" s="37">
        <f>LAVORAZIONI!V445</f>
        <v/>
      </c>
      <c r="Q52" s="7">
        <f>LAVORAZIONI!W445</f>
        <v/>
      </c>
      <c r="R52" s="6">
        <f>LAVORAZIONI!X445</f>
        <v/>
      </c>
      <c r="S52" s="7">
        <f>LAVORAZIONI!Y445</f>
        <v/>
      </c>
      <c r="T52" s="6">
        <f>LAVORAZIONI!Z445</f>
        <v/>
      </c>
      <c r="U52" s="7">
        <f>LAVORAZIONI!AA445</f>
        <v/>
      </c>
      <c r="V52" s="6">
        <f>LAVORAZIONI!AB445</f>
        <v/>
      </c>
      <c r="W52" s="7">
        <f>LAVORAZIONI!AC445</f>
        <v/>
      </c>
      <c r="X52" s="6">
        <f>LAVORAZIONI!AD445</f>
        <v/>
      </c>
      <c r="Y52" s="7">
        <f>LAVORAZIONI!AE445</f>
        <v/>
      </c>
      <c r="Z52" s="6">
        <f>LAVORAZIONI!AF445</f>
        <v/>
      </c>
      <c r="AA52" s="7">
        <f>LAVORAZIONI!AG445</f>
        <v/>
      </c>
      <c r="AB52" s="6">
        <f>LAVORAZIONI!AH445</f>
        <v/>
      </c>
      <c r="AC52" s="7">
        <f>LAVORAZIONI!AI445</f>
        <v/>
      </c>
      <c r="AD52" s="13">
        <f>LAVORAZIONI!AJ445</f>
        <v/>
      </c>
    </row>
    <row r="53" ht="64" customHeight="1" s="35">
      <c r="B53" s="4">
        <f>LAVORAZIONI!G446</f>
        <v/>
      </c>
      <c r="C53" s="3">
        <f>LAVORAZIONI!A446</f>
        <v/>
      </c>
      <c r="D53" s="3">
        <f>LAVORAZIONI!K446</f>
        <v/>
      </c>
      <c r="E53" s="4">
        <f>LAVORAZIONI!H446</f>
        <v/>
      </c>
      <c r="F53" s="4">
        <f>LAVORAZIONI!M446</f>
        <v/>
      </c>
      <c r="G53" s="5">
        <f>LAVORAZIONI!N446</f>
        <v/>
      </c>
      <c r="H53" s="6">
        <f>LAVORAZIONI!O446</f>
        <v/>
      </c>
      <c r="I53" s="13">
        <f>LAVORAZIONI!P446</f>
        <v/>
      </c>
      <c r="J53" s="5">
        <f>IF(LAVORAZIONI!Q446="","",LAVORAZIONI!Q446)</f>
        <v/>
      </c>
      <c r="K53" s="6">
        <f>IF(LAVORAZIONI!R446="","",LAVORAZIONI!R446)</f>
        <v/>
      </c>
      <c r="L53" s="13">
        <f>IF(LAVORAZIONI!S446="","",LAVORAZIONI!S446)</f>
        <v/>
      </c>
      <c r="M53" s="13">
        <f>LAVORAZIONI!T446</f>
        <v/>
      </c>
      <c r="O53" s="7">
        <f>LAVORAZIONI!U446</f>
        <v/>
      </c>
      <c r="P53" s="37">
        <f>LAVORAZIONI!V446</f>
        <v/>
      </c>
      <c r="Q53" s="7">
        <f>LAVORAZIONI!W446</f>
        <v/>
      </c>
      <c r="R53" s="6">
        <f>LAVORAZIONI!X446</f>
        <v/>
      </c>
      <c r="S53" s="7">
        <f>LAVORAZIONI!Y446</f>
        <v/>
      </c>
      <c r="T53" s="6">
        <f>LAVORAZIONI!Z446</f>
        <v/>
      </c>
      <c r="U53" s="7">
        <f>LAVORAZIONI!AA446</f>
        <v/>
      </c>
      <c r="V53" s="6">
        <f>LAVORAZIONI!AB446</f>
        <v/>
      </c>
      <c r="W53" s="7">
        <f>LAVORAZIONI!AC446</f>
        <v/>
      </c>
      <c r="X53" s="6">
        <f>LAVORAZIONI!AD446</f>
        <v/>
      </c>
      <c r="Y53" s="7">
        <f>LAVORAZIONI!AE446</f>
        <v/>
      </c>
      <c r="Z53" s="6">
        <f>LAVORAZIONI!AF446</f>
        <v/>
      </c>
      <c r="AA53" s="7">
        <f>LAVORAZIONI!AG446</f>
        <v/>
      </c>
      <c r="AB53" s="6">
        <f>LAVORAZIONI!AH446</f>
        <v/>
      </c>
      <c r="AC53" s="7">
        <f>LAVORAZIONI!AI446</f>
        <v/>
      </c>
      <c r="AD53" s="13">
        <f>LAVORAZIONI!AJ446</f>
        <v/>
      </c>
    </row>
    <row r="54" ht="64" customHeight="1" s="35">
      <c r="B54" s="4">
        <f>LAVORAZIONI!G447</f>
        <v/>
      </c>
      <c r="C54" s="3">
        <f>LAVORAZIONI!A447</f>
        <v/>
      </c>
      <c r="D54" s="3">
        <f>LAVORAZIONI!K447</f>
        <v/>
      </c>
      <c r="E54" s="4">
        <f>LAVORAZIONI!H447</f>
        <v/>
      </c>
      <c r="F54" s="4">
        <f>LAVORAZIONI!M447</f>
        <v/>
      </c>
      <c r="G54" s="5">
        <f>LAVORAZIONI!N447</f>
        <v/>
      </c>
      <c r="H54" s="6">
        <f>LAVORAZIONI!O447</f>
        <v/>
      </c>
      <c r="I54" s="13">
        <f>LAVORAZIONI!P447</f>
        <v/>
      </c>
      <c r="J54" s="5">
        <f>IF(LAVORAZIONI!Q447="","",LAVORAZIONI!Q447)</f>
        <v/>
      </c>
      <c r="K54" s="6">
        <f>IF(LAVORAZIONI!R447="","",LAVORAZIONI!R447)</f>
        <v/>
      </c>
      <c r="L54" s="13">
        <f>IF(LAVORAZIONI!S447="","",LAVORAZIONI!S447)</f>
        <v/>
      </c>
      <c r="M54" s="13">
        <f>LAVORAZIONI!T447</f>
        <v/>
      </c>
      <c r="O54" s="7">
        <f>LAVORAZIONI!U447</f>
        <v/>
      </c>
      <c r="P54" s="37">
        <f>LAVORAZIONI!V447</f>
        <v/>
      </c>
      <c r="Q54" s="7">
        <f>LAVORAZIONI!W447</f>
        <v/>
      </c>
      <c r="R54" s="6">
        <f>LAVORAZIONI!X447</f>
        <v/>
      </c>
      <c r="S54" s="7">
        <f>LAVORAZIONI!Y447</f>
        <v/>
      </c>
      <c r="T54" s="6">
        <f>LAVORAZIONI!Z447</f>
        <v/>
      </c>
      <c r="U54" s="7">
        <f>LAVORAZIONI!AA447</f>
        <v/>
      </c>
      <c r="V54" s="6">
        <f>LAVORAZIONI!AB447</f>
        <v/>
      </c>
      <c r="W54" s="7">
        <f>LAVORAZIONI!AC447</f>
        <v/>
      </c>
      <c r="X54" s="6">
        <f>LAVORAZIONI!AD447</f>
        <v/>
      </c>
      <c r="Y54" s="7">
        <f>LAVORAZIONI!AE447</f>
        <v/>
      </c>
      <c r="Z54" s="6">
        <f>LAVORAZIONI!AF447</f>
        <v/>
      </c>
      <c r="AA54" s="7">
        <f>LAVORAZIONI!AG447</f>
        <v/>
      </c>
      <c r="AB54" s="6">
        <f>LAVORAZIONI!AH447</f>
        <v/>
      </c>
      <c r="AC54" s="7">
        <f>LAVORAZIONI!AI447</f>
        <v/>
      </c>
      <c r="AD54" s="13">
        <f>LAVORAZIONI!AJ447</f>
        <v/>
      </c>
    </row>
    <row r="55" ht="64" customHeight="1" s="35">
      <c r="B55" s="4">
        <f>LAVORAZIONI!G448</f>
        <v/>
      </c>
      <c r="C55" s="3">
        <f>LAVORAZIONI!A448</f>
        <v/>
      </c>
      <c r="D55" s="3">
        <f>LAVORAZIONI!K448</f>
        <v/>
      </c>
      <c r="E55" s="4">
        <f>LAVORAZIONI!H448</f>
        <v/>
      </c>
      <c r="F55" s="4">
        <f>LAVORAZIONI!M448</f>
        <v/>
      </c>
      <c r="G55" s="5">
        <f>LAVORAZIONI!N448</f>
        <v/>
      </c>
      <c r="H55" s="6">
        <f>LAVORAZIONI!O448</f>
        <v/>
      </c>
      <c r="I55" s="13">
        <f>LAVORAZIONI!P448</f>
        <v/>
      </c>
      <c r="J55" s="5">
        <f>IF(LAVORAZIONI!Q448="","",LAVORAZIONI!Q448)</f>
        <v/>
      </c>
      <c r="K55" s="6">
        <f>IF(LAVORAZIONI!R448="","",LAVORAZIONI!R448)</f>
        <v/>
      </c>
      <c r="L55" s="13">
        <f>IF(LAVORAZIONI!S448="","",LAVORAZIONI!S448)</f>
        <v/>
      </c>
      <c r="M55" s="13">
        <f>LAVORAZIONI!T448</f>
        <v/>
      </c>
      <c r="O55" s="7">
        <f>LAVORAZIONI!U448</f>
        <v/>
      </c>
      <c r="P55" s="37">
        <f>LAVORAZIONI!V448</f>
        <v/>
      </c>
      <c r="Q55" s="7">
        <f>LAVORAZIONI!W448</f>
        <v/>
      </c>
      <c r="R55" s="6">
        <f>LAVORAZIONI!X448</f>
        <v/>
      </c>
      <c r="S55" s="7">
        <f>LAVORAZIONI!Y448</f>
        <v/>
      </c>
      <c r="T55" s="6">
        <f>LAVORAZIONI!Z448</f>
        <v/>
      </c>
      <c r="U55" s="7">
        <f>LAVORAZIONI!AA448</f>
        <v/>
      </c>
      <c r="V55" s="6">
        <f>LAVORAZIONI!AB448</f>
        <v/>
      </c>
      <c r="W55" s="7">
        <f>LAVORAZIONI!AC448</f>
        <v/>
      </c>
      <c r="X55" s="6">
        <f>LAVORAZIONI!AD448</f>
        <v/>
      </c>
      <c r="Y55" s="7">
        <f>LAVORAZIONI!AE448</f>
        <v/>
      </c>
      <c r="Z55" s="6">
        <f>LAVORAZIONI!AF448</f>
        <v/>
      </c>
      <c r="AA55" s="7">
        <f>LAVORAZIONI!AG448</f>
        <v/>
      </c>
      <c r="AB55" s="6">
        <f>LAVORAZIONI!AH448</f>
        <v/>
      </c>
      <c r="AC55" s="7">
        <f>LAVORAZIONI!AI448</f>
        <v/>
      </c>
      <c r="AD55" s="13">
        <f>LAVORAZIONI!AJ448</f>
        <v/>
      </c>
    </row>
    <row r="56" ht="64" customHeight="1" s="35">
      <c r="B56" s="4">
        <f>LAVORAZIONI!G449</f>
        <v/>
      </c>
      <c r="C56" s="3">
        <f>LAVORAZIONI!A449</f>
        <v/>
      </c>
      <c r="D56" s="3">
        <f>LAVORAZIONI!K449</f>
        <v/>
      </c>
      <c r="E56" s="4">
        <f>LAVORAZIONI!H449</f>
        <v/>
      </c>
      <c r="F56" s="4">
        <f>LAVORAZIONI!M449</f>
        <v/>
      </c>
      <c r="G56" s="5">
        <f>LAVORAZIONI!N449</f>
        <v/>
      </c>
      <c r="H56" s="6">
        <f>LAVORAZIONI!O449</f>
        <v/>
      </c>
      <c r="I56" s="13">
        <f>LAVORAZIONI!P449</f>
        <v/>
      </c>
      <c r="J56" s="5">
        <f>IF(LAVORAZIONI!Q449="","",LAVORAZIONI!Q449)</f>
        <v/>
      </c>
      <c r="K56" s="6">
        <f>IF(LAVORAZIONI!R449="","",LAVORAZIONI!R449)</f>
        <v/>
      </c>
      <c r="L56" s="13">
        <f>IF(LAVORAZIONI!S449="","",LAVORAZIONI!S449)</f>
        <v/>
      </c>
      <c r="M56" s="13">
        <f>LAVORAZIONI!T449</f>
        <v/>
      </c>
      <c r="O56" s="7">
        <f>LAVORAZIONI!U449</f>
        <v/>
      </c>
      <c r="P56" s="37">
        <f>LAVORAZIONI!V449</f>
        <v/>
      </c>
      <c r="Q56" s="7">
        <f>LAVORAZIONI!W449</f>
        <v/>
      </c>
      <c r="R56" s="6">
        <f>LAVORAZIONI!X449</f>
        <v/>
      </c>
      <c r="S56" s="7">
        <f>LAVORAZIONI!Y449</f>
        <v/>
      </c>
      <c r="T56" s="6">
        <f>LAVORAZIONI!Z449</f>
        <v/>
      </c>
      <c r="U56" s="7">
        <f>LAVORAZIONI!AA449</f>
        <v/>
      </c>
      <c r="V56" s="6">
        <f>LAVORAZIONI!AB449</f>
        <v/>
      </c>
      <c r="W56" s="7">
        <f>LAVORAZIONI!AC449</f>
        <v/>
      </c>
      <c r="X56" s="6">
        <f>LAVORAZIONI!AD449</f>
        <v/>
      </c>
      <c r="Y56" s="7">
        <f>LAVORAZIONI!AE449</f>
        <v/>
      </c>
      <c r="Z56" s="6">
        <f>LAVORAZIONI!AF449</f>
        <v/>
      </c>
      <c r="AA56" s="7">
        <f>LAVORAZIONI!AG449</f>
        <v/>
      </c>
      <c r="AB56" s="6">
        <f>LAVORAZIONI!AH449</f>
        <v/>
      </c>
      <c r="AC56" s="7">
        <f>LAVORAZIONI!AI449</f>
        <v/>
      </c>
      <c r="AD56" s="13">
        <f>LAVORAZIONI!AJ449</f>
        <v/>
      </c>
    </row>
    <row r="57" ht="64" customHeight="1" s="35">
      <c r="B57" s="4">
        <f>LAVORAZIONI!G450</f>
        <v/>
      </c>
      <c r="C57" s="3">
        <f>LAVORAZIONI!A450</f>
        <v/>
      </c>
      <c r="D57" s="3">
        <f>LAVORAZIONI!K450</f>
        <v/>
      </c>
      <c r="E57" s="4">
        <f>LAVORAZIONI!H450</f>
        <v/>
      </c>
      <c r="F57" s="4">
        <f>LAVORAZIONI!M450</f>
        <v/>
      </c>
      <c r="G57" s="5">
        <f>LAVORAZIONI!N450</f>
        <v/>
      </c>
      <c r="H57" s="6">
        <f>LAVORAZIONI!O450</f>
        <v/>
      </c>
      <c r="I57" s="13">
        <f>LAVORAZIONI!P450</f>
        <v/>
      </c>
      <c r="J57" s="5">
        <f>IF(LAVORAZIONI!Q450="","",LAVORAZIONI!Q450)</f>
        <v/>
      </c>
      <c r="K57" s="6">
        <f>IF(LAVORAZIONI!R450="","",LAVORAZIONI!R450)</f>
        <v/>
      </c>
      <c r="L57" s="13">
        <f>IF(LAVORAZIONI!S450="","",LAVORAZIONI!S450)</f>
        <v/>
      </c>
      <c r="M57" s="13">
        <f>LAVORAZIONI!T450</f>
        <v/>
      </c>
      <c r="O57" s="7">
        <f>LAVORAZIONI!U450</f>
        <v/>
      </c>
      <c r="P57" s="37">
        <f>LAVORAZIONI!V450</f>
        <v/>
      </c>
      <c r="Q57" s="7">
        <f>LAVORAZIONI!W450</f>
        <v/>
      </c>
      <c r="R57" s="6">
        <f>LAVORAZIONI!X450</f>
        <v/>
      </c>
      <c r="S57" s="7">
        <f>LAVORAZIONI!Y450</f>
        <v/>
      </c>
      <c r="T57" s="6">
        <f>LAVORAZIONI!Z450</f>
        <v/>
      </c>
      <c r="U57" s="7">
        <f>LAVORAZIONI!AA450</f>
        <v/>
      </c>
      <c r="V57" s="6">
        <f>LAVORAZIONI!AB450</f>
        <v/>
      </c>
      <c r="W57" s="7">
        <f>LAVORAZIONI!AC450</f>
        <v/>
      </c>
      <c r="X57" s="6">
        <f>LAVORAZIONI!AD450</f>
        <v/>
      </c>
      <c r="Y57" s="7">
        <f>LAVORAZIONI!AE450</f>
        <v/>
      </c>
      <c r="Z57" s="6">
        <f>LAVORAZIONI!AF450</f>
        <v/>
      </c>
      <c r="AA57" s="7">
        <f>LAVORAZIONI!AG450</f>
        <v/>
      </c>
      <c r="AB57" s="6">
        <f>LAVORAZIONI!AH450</f>
        <v/>
      </c>
      <c r="AC57" s="7">
        <f>LAVORAZIONI!AI450</f>
        <v/>
      </c>
      <c r="AD57" s="13">
        <f>LAVORAZIONI!AJ450</f>
        <v/>
      </c>
    </row>
    <row r="58" ht="64" customHeight="1" s="35">
      <c r="B58" s="4">
        <f>LAVORAZIONI!G451</f>
        <v/>
      </c>
      <c r="C58" s="3">
        <f>LAVORAZIONI!A451</f>
        <v/>
      </c>
      <c r="D58" s="3">
        <f>LAVORAZIONI!K451</f>
        <v/>
      </c>
      <c r="E58" s="4">
        <f>LAVORAZIONI!H451</f>
        <v/>
      </c>
      <c r="F58" s="4">
        <f>LAVORAZIONI!M451</f>
        <v/>
      </c>
      <c r="G58" s="5">
        <f>LAVORAZIONI!N451</f>
        <v/>
      </c>
      <c r="H58" s="6">
        <f>LAVORAZIONI!O451</f>
        <v/>
      </c>
      <c r="I58" s="13">
        <f>LAVORAZIONI!P451</f>
        <v/>
      </c>
      <c r="J58" s="5">
        <f>IF(LAVORAZIONI!Q451="","",LAVORAZIONI!Q451)</f>
        <v/>
      </c>
      <c r="K58" s="6">
        <f>IF(LAVORAZIONI!R451="","",LAVORAZIONI!R451)</f>
        <v/>
      </c>
      <c r="L58" s="13">
        <f>IF(LAVORAZIONI!S451="","",LAVORAZIONI!S451)</f>
        <v/>
      </c>
      <c r="M58" s="13">
        <f>LAVORAZIONI!T451</f>
        <v/>
      </c>
      <c r="O58" s="7">
        <f>LAVORAZIONI!U451</f>
        <v/>
      </c>
      <c r="P58" s="37">
        <f>LAVORAZIONI!V451</f>
        <v/>
      </c>
      <c r="Q58" s="7">
        <f>LAVORAZIONI!W451</f>
        <v/>
      </c>
      <c r="R58" s="6">
        <f>LAVORAZIONI!X451</f>
        <v/>
      </c>
      <c r="S58" s="7">
        <f>LAVORAZIONI!Y451</f>
        <v/>
      </c>
      <c r="T58" s="6">
        <f>LAVORAZIONI!Z451</f>
        <v/>
      </c>
      <c r="U58" s="7">
        <f>LAVORAZIONI!AA451</f>
        <v/>
      </c>
      <c r="V58" s="6">
        <f>LAVORAZIONI!AB451</f>
        <v/>
      </c>
      <c r="W58" s="7">
        <f>LAVORAZIONI!AC451</f>
        <v/>
      </c>
      <c r="X58" s="6">
        <f>LAVORAZIONI!AD451</f>
        <v/>
      </c>
      <c r="Y58" s="7">
        <f>LAVORAZIONI!AE451</f>
        <v/>
      </c>
      <c r="Z58" s="6">
        <f>LAVORAZIONI!AF451</f>
        <v/>
      </c>
      <c r="AA58" s="7">
        <f>LAVORAZIONI!AG451</f>
        <v/>
      </c>
      <c r="AB58" s="6">
        <f>LAVORAZIONI!AH451</f>
        <v/>
      </c>
      <c r="AC58" s="7">
        <f>LAVORAZIONI!AI451</f>
        <v/>
      </c>
      <c r="AD58" s="13">
        <f>LAVORAZIONI!AJ451</f>
        <v/>
      </c>
    </row>
    <row r="59" ht="64" customHeight="1" s="35">
      <c r="B59" s="4">
        <f>LAVORAZIONI!G452</f>
        <v/>
      </c>
      <c r="C59" s="3">
        <f>LAVORAZIONI!A452</f>
        <v/>
      </c>
      <c r="D59" s="3">
        <f>LAVORAZIONI!K452</f>
        <v/>
      </c>
      <c r="E59" s="4">
        <f>LAVORAZIONI!H452</f>
        <v/>
      </c>
      <c r="F59" s="4">
        <f>LAVORAZIONI!M452</f>
        <v/>
      </c>
      <c r="G59" s="5">
        <f>LAVORAZIONI!N452</f>
        <v/>
      </c>
      <c r="H59" s="6">
        <f>LAVORAZIONI!O452</f>
        <v/>
      </c>
      <c r="I59" s="13">
        <f>LAVORAZIONI!P452</f>
        <v/>
      </c>
      <c r="J59" s="5">
        <f>IF(LAVORAZIONI!Q452="","",LAVORAZIONI!Q452)</f>
        <v/>
      </c>
      <c r="K59" s="6">
        <f>IF(LAVORAZIONI!R452="","",LAVORAZIONI!R452)</f>
        <v/>
      </c>
      <c r="L59" s="13">
        <f>IF(LAVORAZIONI!S452="","",LAVORAZIONI!S452)</f>
        <v/>
      </c>
      <c r="M59" s="13">
        <f>LAVORAZIONI!T452</f>
        <v/>
      </c>
      <c r="O59" s="7">
        <f>LAVORAZIONI!U452</f>
        <v/>
      </c>
      <c r="P59" s="37">
        <f>LAVORAZIONI!V452</f>
        <v/>
      </c>
      <c r="Q59" s="7">
        <f>LAVORAZIONI!W452</f>
        <v/>
      </c>
      <c r="R59" s="6">
        <f>LAVORAZIONI!X452</f>
        <v/>
      </c>
      <c r="S59" s="7">
        <f>LAVORAZIONI!Y452</f>
        <v/>
      </c>
      <c r="T59" s="6">
        <f>LAVORAZIONI!Z452</f>
        <v/>
      </c>
      <c r="U59" s="7">
        <f>LAVORAZIONI!AA452</f>
        <v/>
      </c>
      <c r="V59" s="6">
        <f>LAVORAZIONI!AB452</f>
        <v/>
      </c>
      <c r="W59" s="7">
        <f>LAVORAZIONI!AC452</f>
        <v/>
      </c>
      <c r="X59" s="6">
        <f>LAVORAZIONI!AD452</f>
        <v/>
      </c>
      <c r="Y59" s="7">
        <f>LAVORAZIONI!AE452</f>
        <v/>
      </c>
      <c r="Z59" s="6">
        <f>LAVORAZIONI!AF452</f>
        <v/>
      </c>
      <c r="AA59" s="7">
        <f>LAVORAZIONI!AG452</f>
        <v/>
      </c>
      <c r="AB59" s="6">
        <f>LAVORAZIONI!AH452</f>
        <v/>
      </c>
      <c r="AC59" s="7">
        <f>LAVORAZIONI!AI452</f>
        <v/>
      </c>
      <c r="AD59" s="13">
        <f>LAVORAZIONI!AJ452</f>
        <v/>
      </c>
    </row>
    <row r="60" ht="64" customHeight="1" s="35">
      <c r="B60" s="4">
        <f>LAVORAZIONI!G453</f>
        <v/>
      </c>
      <c r="C60" s="3">
        <f>LAVORAZIONI!A453</f>
        <v/>
      </c>
      <c r="D60" s="3">
        <f>LAVORAZIONI!K453</f>
        <v/>
      </c>
      <c r="E60" s="4">
        <f>LAVORAZIONI!H453</f>
        <v/>
      </c>
      <c r="F60" s="4">
        <f>LAVORAZIONI!M453</f>
        <v/>
      </c>
      <c r="G60" s="5">
        <f>LAVORAZIONI!N453</f>
        <v/>
      </c>
      <c r="H60" s="6">
        <f>LAVORAZIONI!O453</f>
        <v/>
      </c>
      <c r="I60" s="13">
        <f>LAVORAZIONI!P453</f>
        <v/>
      </c>
      <c r="J60" s="5">
        <f>IF(LAVORAZIONI!Q453="","",LAVORAZIONI!Q453)</f>
        <v/>
      </c>
      <c r="K60" s="6">
        <f>IF(LAVORAZIONI!R453="","",LAVORAZIONI!R453)</f>
        <v/>
      </c>
      <c r="L60" s="13">
        <f>IF(LAVORAZIONI!S453="","",LAVORAZIONI!S453)</f>
        <v/>
      </c>
      <c r="M60" s="13">
        <f>LAVORAZIONI!T453</f>
        <v/>
      </c>
      <c r="O60" s="7">
        <f>LAVORAZIONI!U453</f>
        <v/>
      </c>
      <c r="P60" s="37">
        <f>LAVORAZIONI!V453</f>
        <v/>
      </c>
      <c r="Q60" s="7">
        <f>LAVORAZIONI!W453</f>
        <v/>
      </c>
      <c r="R60" s="6">
        <f>LAVORAZIONI!X453</f>
        <v/>
      </c>
      <c r="S60" s="7">
        <f>LAVORAZIONI!Y453</f>
        <v/>
      </c>
      <c r="T60" s="6">
        <f>LAVORAZIONI!Z453</f>
        <v/>
      </c>
      <c r="U60" s="7">
        <f>LAVORAZIONI!AA453</f>
        <v/>
      </c>
      <c r="V60" s="6">
        <f>LAVORAZIONI!AB453</f>
        <v/>
      </c>
      <c r="W60" s="7">
        <f>LAVORAZIONI!AC453</f>
        <v/>
      </c>
      <c r="X60" s="6">
        <f>LAVORAZIONI!AD453</f>
        <v/>
      </c>
      <c r="Y60" s="7">
        <f>LAVORAZIONI!AE453</f>
        <v/>
      </c>
      <c r="Z60" s="6">
        <f>LAVORAZIONI!AF453</f>
        <v/>
      </c>
      <c r="AA60" s="7">
        <f>LAVORAZIONI!AG453</f>
        <v/>
      </c>
      <c r="AB60" s="6">
        <f>LAVORAZIONI!AH453</f>
        <v/>
      </c>
      <c r="AC60" s="7">
        <f>LAVORAZIONI!AI453</f>
        <v/>
      </c>
      <c r="AD60" s="13">
        <f>LAVORAZIONI!AJ453</f>
        <v/>
      </c>
    </row>
    <row r="61" ht="64" customHeight="1" s="35">
      <c r="B61" s="4">
        <f>LAVORAZIONI!G454</f>
        <v/>
      </c>
      <c r="C61" s="3">
        <f>LAVORAZIONI!A454</f>
        <v/>
      </c>
      <c r="D61" s="3">
        <f>LAVORAZIONI!K454</f>
        <v/>
      </c>
      <c r="E61" s="4">
        <f>LAVORAZIONI!H454</f>
        <v/>
      </c>
      <c r="F61" s="4">
        <f>LAVORAZIONI!M454</f>
        <v/>
      </c>
      <c r="G61" s="5">
        <f>LAVORAZIONI!N454</f>
        <v/>
      </c>
      <c r="H61" s="6">
        <f>LAVORAZIONI!O454</f>
        <v/>
      </c>
      <c r="I61" s="13">
        <f>LAVORAZIONI!P454</f>
        <v/>
      </c>
      <c r="J61" s="5">
        <f>IF(LAVORAZIONI!Q454="","",LAVORAZIONI!Q454)</f>
        <v/>
      </c>
      <c r="K61" s="6">
        <f>IF(LAVORAZIONI!R454="","",LAVORAZIONI!R454)</f>
        <v/>
      </c>
      <c r="L61" s="13">
        <f>IF(LAVORAZIONI!S454="","",LAVORAZIONI!S454)</f>
        <v/>
      </c>
      <c r="M61" s="13">
        <f>LAVORAZIONI!T454</f>
        <v/>
      </c>
      <c r="O61" s="7">
        <f>LAVORAZIONI!U454</f>
        <v/>
      </c>
      <c r="P61" s="37">
        <f>LAVORAZIONI!V454</f>
        <v/>
      </c>
      <c r="Q61" s="7">
        <f>LAVORAZIONI!W454</f>
        <v/>
      </c>
      <c r="R61" s="6">
        <f>LAVORAZIONI!X454</f>
        <v/>
      </c>
      <c r="S61" s="7">
        <f>LAVORAZIONI!Y454</f>
        <v/>
      </c>
      <c r="T61" s="6">
        <f>LAVORAZIONI!Z454</f>
        <v/>
      </c>
      <c r="U61" s="7">
        <f>LAVORAZIONI!AA454</f>
        <v/>
      </c>
      <c r="V61" s="6">
        <f>LAVORAZIONI!AB454</f>
        <v/>
      </c>
      <c r="W61" s="7">
        <f>LAVORAZIONI!AC454</f>
        <v/>
      </c>
      <c r="X61" s="6">
        <f>LAVORAZIONI!AD454</f>
        <v/>
      </c>
      <c r="Y61" s="7">
        <f>LAVORAZIONI!AE454</f>
        <v/>
      </c>
      <c r="Z61" s="6">
        <f>LAVORAZIONI!AF454</f>
        <v/>
      </c>
      <c r="AA61" s="7">
        <f>LAVORAZIONI!AG454</f>
        <v/>
      </c>
      <c r="AB61" s="6">
        <f>LAVORAZIONI!AH454</f>
        <v/>
      </c>
      <c r="AC61" s="7">
        <f>LAVORAZIONI!AI454</f>
        <v/>
      </c>
      <c r="AD61" s="13">
        <f>LAVORAZIONI!AJ454</f>
        <v/>
      </c>
    </row>
    <row r="62" ht="64" customHeight="1" s="35">
      <c r="B62" s="4">
        <f>LAVORAZIONI!G455</f>
        <v/>
      </c>
      <c r="C62" s="3">
        <f>LAVORAZIONI!A455</f>
        <v/>
      </c>
      <c r="D62" s="3">
        <f>LAVORAZIONI!K455</f>
        <v/>
      </c>
      <c r="E62" s="4">
        <f>LAVORAZIONI!H455</f>
        <v/>
      </c>
      <c r="F62" s="4">
        <f>LAVORAZIONI!M455</f>
        <v/>
      </c>
      <c r="G62" s="5">
        <f>LAVORAZIONI!N455</f>
        <v/>
      </c>
      <c r="H62" s="6">
        <f>LAVORAZIONI!O455</f>
        <v/>
      </c>
      <c r="I62" s="13">
        <f>LAVORAZIONI!P455</f>
        <v/>
      </c>
      <c r="J62" s="5">
        <f>IF(LAVORAZIONI!Q455="","",LAVORAZIONI!Q455)</f>
        <v/>
      </c>
      <c r="K62" s="6">
        <f>IF(LAVORAZIONI!R455="","",LAVORAZIONI!R455)</f>
        <v/>
      </c>
      <c r="L62" s="13">
        <f>IF(LAVORAZIONI!S455="","",LAVORAZIONI!S455)</f>
        <v/>
      </c>
      <c r="M62" s="13">
        <f>LAVORAZIONI!T455</f>
        <v/>
      </c>
      <c r="O62" s="7">
        <f>LAVORAZIONI!U455</f>
        <v/>
      </c>
      <c r="P62" s="37">
        <f>LAVORAZIONI!V455</f>
        <v/>
      </c>
      <c r="Q62" s="7">
        <f>LAVORAZIONI!W455</f>
        <v/>
      </c>
      <c r="R62" s="6">
        <f>LAVORAZIONI!X455</f>
        <v/>
      </c>
      <c r="S62" s="7">
        <f>LAVORAZIONI!Y455</f>
        <v/>
      </c>
      <c r="T62" s="6">
        <f>LAVORAZIONI!Z455</f>
        <v/>
      </c>
      <c r="U62" s="7">
        <f>LAVORAZIONI!AA455</f>
        <v/>
      </c>
      <c r="V62" s="6">
        <f>LAVORAZIONI!AB455</f>
        <v/>
      </c>
      <c r="W62" s="7">
        <f>LAVORAZIONI!AC455</f>
        <v/>
      </c>
      <c r="X62" s="6">
        <f>LAVORAZIONI!AD455</f>
        <v/>
      </c>
      <c r="Y62" s="7">
        <f>LAVORAZIONI!AE455</f>
        <v/>
      </c>
      <c r="Z62" s="6">
        <f>LAVORAZIONI!AF455</f>
        <v/>
      </c>
      <c r="AA62" s="7">
        <f>LAVORAZIONI!AG455</f>
        <v/>
      </c>
      <c r="AB62" s="6">
        <f>LAVORAZIONI!AH455</f>
        <v/>
      </c>
      <c r="AC62" s="7">
        <f>LAVORAZIONI!AI455</f>
        <v/>
      </c>
      <c r="AD62" s="13">
        <f>LAVORAZIONI!AJ455</f>
        <v/>
      </c>
    </row>
    <row r="63" ht="64" customHeight="1" s="35">
      <c r="B63" s="4">
        <f>LAVORAZIONI!G456</f>
        <v/>
      </c>
      <c r="C63" s="3">
        <f>LAVORAZIONI!A456</f>
        <v/>
      </c>
      <c r="D63" s="3">
        <f>LAVORAZIONI!K456</f>
        <v/>
      </c>
      <c r="E63" s="4">
        <f>LAVORAZIONI!H456</f>
        <v/>
      </c>
      <c r="F63" s="4">
        <f>LAVORAZIONI!M456</f>
        <v/>
      </c>
      <c r="G63" s="5">
        <f>LAVORAZIONI!N456</f>
        <v/>
      </c>
      <c r="H63" s="6">
        <f>LAVORAZIONI!O456</f>
        <v/>
      </c>
      <c r="I63" s="13">
        <f>LAVORAZIONI!P456</f>
        <v/>
      </c>
      <c r="J63" s="5">
        <f>IF(LAVORAZIONI!Q456="","",LAVORAZIONI!Q456)</f>
        <v/>
      </c>
      <c r="K63" s="6">
        <f>IF(LAVORAZIONI!R456="","",LAVORAZIONI!R456)</f>
        <v/>
      </c>
      <c r="L63" s="13">
        <f>IF(LAVORAZIONI!S456="","",LAVORAZIONI!S456)</f>
        <v/>
      </c>
      <c r="M63" s="13">
        <f>LAVORAZIONI!T456</f>
        <v/>
      </c>
      <c r="O63" s="7">
        <f>LAVORAZIONI!U456</f>
        <v/>
      </c>
      <c r="P63" s="37">
        <f>LAVORAZIONI!V456</f>
        <v/>
      </c>
      <c r="Q63" s="7">
        <f>LAVORAZIONI!W456</f>
        <v/>
      </c>
      <c r="R63" s="6">
        <f>LAVORAZIONI!X456</f>
        <v/>
      </c>
      <c r="S63" s="7">
        <f>LAVORAZIONI!Y456</f>
        <v/>
      </c>
      <c r="T63" s="6">
        <f>LAVORAZIONI!Z456</f>
        <v/>
      </c>
      <c r="U63" s="7">
        <f>LAVORAZIONI!AA456</f>
        <v/>
      </c>
      <c r="V63" s="6">
        <f>LAVORAZIONI!AB456</f>
        <v/>
      </c>
      <c r="W63" s="7">
        <f>LAVORAZIONI!AC456</f>
        <v/>
      </c>
      <c r="X63" s="6">
        <f>LAVORAZIONI!AD456</f>
        <v/>
      </c>
      <c r="Y63" s="7">
        <f>LAVORAZIONI!AE456</f>
        <v/>
      </c>
      <c r="Z63" s="6">
        <f>LAVORAZIONI!AF456</f>
        <v/>
      </c>
      <c r="AA63" s="7">
        <f>LAVORAZIONI!AG456</f>
        <v/>
      </c>
      <c r="AB63" s="6">
        <f>LAVORAZIONI!AH456</f>
        <v/>
      </c>
      <c r="AC63" s="7">
        <f>LAVORAZIONI!AI456</f>
        <v/>
      </c>
      <c r="AD63" s="13">
        <f>LAVORAZIONI!AJ456</f>
        <v/>
      </c>
    </row>
    <row r="64" ht="64" customHeight="1" s="35">
      <c r="B64" s="4">
        <f>LAVORAZIONI!G457</f>
        <v/>
      </c>
      <c r="C64" s="3">
        <f>LAVORAZIONI!A457</f>
        <v/>
      </c>
      <c r="D64" s="3">
        <f>LAVORAZIONI!K457</f>
        <v/>
      </c>
      <c r="E64" s="4">
        <f>LAVORAZIONI!H457</f>
        <v/>
      </c>
      <c r="F64" s="4">
        <f>LAVORAZIONI!M457</f>
        <v/>
      </c>
      <c r="G64" s="5">
        <f>LAVORAZIONI!N457</f>
        <v/>
      </c>
      <c r="H64" s="6">
        <f>LAVORAZIONI!O457</f>
        <v/>
      </c>
      <c r="I64" s="13">
        <f>LAVORAZIONI!P457</f>
        <v/>
      </c>
      <c r="J64" s="5">
        <f>IF(LAVORAZIONI!Q457="","",LAVORAZIONI!Q457)</f>
        <v/>
      </c>
      <c r="K64" s="6">
        <f>IF(LAVORAZIONI!R457="","",LAVORAZIONI!R457)</f>
        <v/>
      </c>
      <c r="L64" s="13">
        <f>IF(LAVORAZIONI!S457="","",LAVORAZIONI!S457)</f>
        <v/>
      </c>
      <c r="M64" s="13">
        <f>LAVORAZIONI!T457</f>
        <v/>
      </c>
      <c r="O64" s="7">
        <f>LAVORAZIONI!U457</f>
        <v/>
      </c>
      <c r="P64" s="37">
        <f>LAVORAZIONI!V457</f>
        <v/>
      </c>
      <c r="Q64" s="7">
        <f>LAVORAZIONI!W457</f>
        <v/>
      </c>
      <c r="R64" s="6">
        <f>LAVORAZIONI!X457</f>
        <v/>
      </c>
      <c r="S64" s="7">
        <f>LAVORAZIONI!Y457</f>
        <v/>
      </c>
      <c r="T64" s="6">
        <f>LAVORAZIONI!Z457</f>
        <v/>
      </c>
      <c r="U64" s="7">
        <f>LAVORAZIONI!AA457</f>
        <v/>
      </c>
      <c r="V64" s="6">
        <f>LAVORAZIONI!AB457</f>
        <v/>
      </c>
      <c r="W64" s="7">
        <f>LAVORAZIONI!AC457</f>
        <v/>
      </c>
      <c r="X64" s="6">
        <f>LAVORAZIONI!AD457</f>
        <v/>
      </c>
      <c r="Y64" s="7">
        <f>LAVORAZIONI!AE457</f>
        <v/>
      </c>
      <c r="Z64" s="6">
        <f>LAVORAZIONI!AF457</f>
        <v/>
      </c>
      <c r="AA64" s="7">
        <f>LAVORAZIONI!AG457</f>
        <v/>
      </c>
      <c r="AB64" s="6">
        <f>LAVORAZIONI!AH457</f>
        <v/>
      </c>
      <c r="AC64" s="7">
        <f>LAVORAZIONI!AI457</f>
        <v/>
      </c>
      <c r="AD64" s="13">
        <f>LAVORAZIONI!AJ457</f>
        <v/>
      </c>
    </row>
    <row r="65" ht="64" customHeight="1" s="35">
      <c r="B65" s="4">
        <f>LAVORAZIONI!G458</f>
        <v/>
      </c>
      <c r="C65" s="3">
        <f>LAVORAZIONI!A458</f>
        <v/>
      </c>
      <c r="D65" s="3">
        <f>LAVORAZIONI!K458</f>
        <v/>
      </c>
      <c r="E65" s="4">
        <f>LAVORAZIONI!H458</f>
        <v/>
      </c>
      <c r="F65" s="4">
        <f>LAVORAZIONI!M458</f>
        <v/>
      </c>
      <c r="G65" s="5">
        <f>LAVORAZIONI!N458</f>
        <v/>
      </c>
      <c r="H65" s="6">
        <f>LAVORAZIONI!O458</f>
        <v/>
      </c>
      <c r="I65" s="13">
        <f>LAVORAZIONI!P458</f>
        <v/>
      </c>
      <c r="J65" s="5">
        <f>IF(LAVORAZIONI!Q458="","",LAVORAZIONI!Q458)</f>
        <v/>
      </c>
      <c r="K65" s="6">
        <f>IF(LAVORAZIONI!R458="","",LAVORAZIONI!R458)</f>
        <v/>
      </c>
      <c r="L65" s="13">
        <f>IF(LAVORAZIONI!S458="","",LAVORAZIONI!S458)</f>
        <v/>
      </c>
      <c r="M65" s="13">
        <f>LAVORAZIONI!T458</f>
        <v/>
      </c>
      <c r="O65" s="7">
        <f>LAVORAZIONI!U458</f>
        <v/>
      </c>
      <c r="P65" s="37">
        <f>LAVORAZIONI!V458</f>
        <v/>
      </c>
      <c r="Q65" s="7">
        <f>LAVORAZIONI!W458</f>
        <v/>
      </c>
      <c r="R65" s="6">
        <f>LAVORAZIONI!X458</f>
        <v/>
      </c>
      <c r="S65" s="7">
        <f>LAVORAZIONI!Y458</f>
        <v/>
      </c>
      <c r="T65" s="6">
        <f>LAVORAZIONI!Z458</f>
        <v/>
      </c>
      <c r="U65" s="7">
        <f>LAVORAZIONI!AA458</f>
        <v/>
      </c>
      <c r="V65" s="6">
        <f>LAVORAZIONI!AB458</f>
        <v/>
      </c>
      <c r="W65" s="7">
        <f>LAVORAZIONI!AC458</f>
        <v/>
      </c>
      <c r="X65" s="6">
        <f>LAVORAZIONI!AD458</f>
        <v/>
      </c>
      <c r="Y65" s="7">
        <f>LAVORAZIONI!AE458</f>
        <v/>
      </c>
      <c r="Z65" s="6">
        <f>LAVORAZIONI!AF458</f>
        <v/>
      </c>
      <c r="AA65" s="7">
        <f>LAVORAZIONI!AG458</f>
        <v/>
      </c>
      <c r="AB65" s="6">
        <f>LAVORAZIONI!AH458</f>
        <v/>
      </c>
      <c r="AC65" s="7">
        <f>LAVORAZIONI!AI458</f>
        <v/>
      </c>
      <c r="AD65" s="13">
        <f>LAVORAZIONI!AJ458</f>
        <v/>
      </c>
    </row>
    <row r="66" ht="64" customHeight="1" s="35">
      <c r="B66" s="4">
        <f>LAVORAZIONI!G459</f>
        <v/>
      </c>
      <c r="C66" s="3">
        <f>LAVORAZIONI!A459</f>
        <v/>
      </c>
      <c r="D66" s="3">
        <f>LAVORAZIONI!K459</f>
        <v/>
      </c>
      <c r="E66" s="4">
        <f>LAVORAZIONI!H459</f>
        <v/>
      </c>
      <c r="F66" s="4">
        <f>LAVORAZIONI!M459</f>
        <v/>
      </c>
      <c r="G66" s="5">
        <f>LAVORAZIONI!N459</f>
        <v/>
      </c>
      <c r="H66" s="6">
        <f>LAVORAZIONI!O459</f>
        <v/>
      </c>
      <c r="I66" s="13">
        <f>LAVORAZIONI!P459</f>
        <v/>
      </c>
      <c r="J66" s="5">
        <f>IF(LAVORAZIONI!Q459="","",LAVORAZIONI!Q459)</f>
        <v/>
      </c>
      <c r="K66" s="6">
        <f>IF(LAVORAZIONI!R459="","",LAVORAZIONI!R459)</f>
        <v/>
      </c>
      <c r="L66" s="13">
        <f>IF(LAVORAZIONI!S459="","",LAVORAZIONI!S459)</f>
        <v/>
      </c>
      <c r="M66" s="13">
        <f>LAVORAZIONI!T459</f>
        <v/>
      </c>
      <c r="O66" s="7">
        <f>LAVORAZIONI!U459</f>
        <v/>
      </c>
      <c r="P66" s="37">
        <f>LAVORAZIONI!V459</f>
        <v/>
      </c>
      <c r="Q66" s="7">
        <f>LAVORAZIONI!W459</f>
        <v/>
      </c>
      <c r="R66" s="6">
        <f>LAVORAZIONI!X459</f>
        <v/>
      </c>
      <c r="S66" s="7">
        <f>LAVORAZIONI!Y459</f>
        <v/>
      </c>
      <c r="T66" s="6">
        <f>LAVORAZIONI!Z459</f>
        <v/>
      </c>
      <c r="U66" s="7">
        <f>LAVORAZIONI!AA459</f>
        <v/>
      </c>
      <c r="V66" s="6">
        <f>LAVORAZIONI!AB459</f>
        <v/>
      </c>
      <c r="W66" s="7">
        <f>LAVORAZIONI!AC459</f>
        <v/>
      </c>
      <c r="X66" s="6">
        <f>LAVORAZIONI!AD459</f>
        <v/>
      </c>
      <c r="Y66" s="7">
        <f>LAVORAZIONI!AE459</f>
        <v/>
      </c>
      <c r="Z66" s="6">
        <f>LAVORAZIONI!AF459</f>
        <v/>
      </c>
      <c r="AA66" s="7">
        <f>LAVORAZIONI!AG459</f>
        <v/>
      </c>
      <c r="AB66" s="6">
        <f>LAVORAZIONI!AH459</f>
        <v/>
      </c>
      <c r="AC66" s="7">
        <f>LAVORAZIONI!AI459</f>
        <v/>
      </c>
      <c r="AD66" s="13">
        <f>LAVORAZIONI!AJ459</f>
        <v/>
      </c>
    </row>
    <row r="67" ht="64" customHeight="1" s="35">
      <c r="B67" s="4">
        <f>LAVORAZIONI!G460</f>
        <v/>
      </c>
      <c r="C67" s="3">
        <f>LAVORAZIONI!A460</f>
        <v/>
      </c>
      <c r="D67" s="3">
        <f>LAVORAZIONI!K460</f>
        <v/>
      </c>
      <c r="E67" s="4">
        <f>LAVORAZIONI!H460</f>
        <v/>
      </c>
      <c r="F67" s="4">
        <f>LAVORAZIONI!M460</f>
        <v/>
      </c>
      <c r="G67" s="5">
        <f>LAVORAZIONI!N460</f>
        <v/>
      </c>
      <c r="H67" s="6">
        <f>LAVORAZIONI!O460</f>
        <v/>
      </c>
      <c r="I67" s="13">
        <f>LAVORAZIONI!P460</f>
        <v/>
      </c>
      <c r="J67" s="5">
        <f>IF(LAVORAZIONI!Q460="","",LAVORAZIONI!Q460)</f>
        <v/>
      </c>
      <c r="K67" s="6">
        <f>IF(LAVORAZIONI!R460="","",LAVORAZIONI!R460)</f>
        <v/>
      </c>
      <c r="L67" s="13">
        <f>IF(LAVORAZIONI!S460="","",LAVORAZIONI!S460)</f>
        <v/>
      </c>
      <c r="M67" s="13">
        <f>LAVORAZIONI!T460</f>
        <v/>
      </c>
      <c r="O67" s="7">
        <f>LAVORAZIONI!U460</f>
        <v/>
      </c>
      <c r="P67" s="37">
        <f>LAVORAZIONI!V460</f>
        <v/>
      </c>
      <c r="Q67" s="7">
        <f>LAVORAZIONI!W460</f>
        <v/>
      </c>
      <c r="R67" s="6">
        <f>LAVORAZIONI!X460</f>
        <v/>
      </c>
      <c r="S67" s="7">
        <f>LAVORAZIONI!Y460</f>
        <v/>
      </c>
      <c r="T67" s="6">
        <f>LAVORAZIONI!Z460</f>
        <v/>
      </c>
      <c r="U67" s="7">
        <f>LAVORAZIONI!AA460</f>
        <v/>
      </c>
      <c r="V67" s="6">
        <f>LAVORAZIONI!AB460</f>
        <v/>
      </c>
      <c r="W67" s="7">
        <f>LAVORAZIONI!AC460</f>
        <v/>
      </c>
      <c r="X67" s="6">
        <f>LAVORAZIONI!AD460</f>
        <v/>
      </c>
      <c r="Y67" s="7">
        <f>LAVORAZIONI!AE460</f>
        <v/>
      </c>
      <c r="Z67" s="6">
        <f>LAVORAZIONI!AF460</f>
        <v/>
      </c>
      <c r="AA67" s="7">
        <f>LAVORAZIONI!AG460</f>
        <v/>
      </c>
      <c r="AB67" s="6">
        <f>LAVORAZIONI!AH460</f>
        <v/>
      </c>
      <c r="AC67" s="7">
        <f>LAVORAZIONI!AI460</f>
        <v/>
      </c>
      <c r="AD67" s="13">
        <f>LAVORAZIONI!AJ460</f>
        <v/>
      </c>
    </row>
    <row r="68" ht="64" customHeight="1" s="35">
      <c r="B68" s="4">
        <f>LAVORAZIONI!G461</f>
        <v/>
      </c>
      <c r="C68" s="3">
        <f>LAVORAZIONI!A461</f>
        <v/>
      </c>
      <c r="D68" s="3">
        <f>LAVORAZIONI!K461</f>
        <v/>
      </c>
      <c r="E68" s="4">
        <f>LAVORAZIONI!H461</f>
        <v/>
      </c>
      <c r="F68" s="4">
        <f>LAVORAZIONI!M461</f>
        <v/>
      </c>
      <c r="G68" s="5">
        <f>LAVORAZIONI!N461</f>
        <v/>
      </c>
      <c r="H68" s="6">
        <f>LAVORAZIONI!O461</f>
        <v/>
      </c>
      <c r="I68" s="13">
        <f>LAVORAZIONI!P461</f>
        <v/>
      </c>
      <c r="J68" s="5">
        <f>IF(LAVORAZIONI!Q461="","",LAVORAZIONI!Q461)</f>
        <v/>
      </c>
      <c r="K68" s="6">
        <f>IF(LAVORAZIONI!R461="","",LAVORAZIONI!R461)</f>
        <v/>
      </c>
      <c r="L68" s="13">
        <f>IF(LAVORAZIONI!S461="","",LAVORAZIONI!S461)</f>
        <v/>
      </c>
      <c r="M68" s="13">
        <f>LAVORAZIONI!T461</f>
        <v/>
      </c>
      <c r="O68" s="7">
        <f>LAVORAZIONI!U461</f>
        <v/>
      </c>
      <c r="P68" s="37">
        <f>LAVORAZIONI!V461</f>
        <v/>
      </c>
      <c r="Q68" s="7">
        <f>LAVORAZIONI!W461</f>
        <v/>
      </c>
      <c r="R68" s="6">
        <f>LAVORAZIONI!X461</f>
        <v/>
      </c>
      <c r="S68" s="7">
        <f>LAVORAZIONI!Y461</f>
        <v/>
      </c>
      <c r="T68" s="6">
        <f>LAVORAZIONI!Z461</f>
        <v/>
      </c>
      <c r="U68" s="7">
        <f>LAVORAZIONI!AA461</f>
        <v/>
      </c>
      <c r="V68" s="6">
        <f>LAVORAZIONI!AB461</f>
        <v/>
      </c>
      <c r="W68" s="7">
        <f>LAVORAZIONI!AC461</f>
        <v/>
      </c>
      <c r="X68" s="6">
        <f>LAVORAZIONI!AD461</f>
        <v/>
      </c>
      <c r="Y68" s="7">
        <f>LAVORAZIONI!AE461</f>
        <v/>
      </c>
      <c r="Z68" s="6">
        <f>LAVORAZIONI!AF461</f>
        <v/>
      </c>
      <c r="AA68" s="7">
        <f>LAVORAZIONI!AG461</f>
        <v/>
      </c>
      <c r="AB68" s="6">
        <f>LAVORAZIONI!AH461</f>
        <v/>
      </c>
      <c r="AC68" s="7">
        <f>LAVORAZIONI!AI461</f>
        <v/>
      </c>
      <c r="AD68" s="13">
        <f>LAVORAZIONI!AJ461</f>
        <v/>
      </c>
    </row>
    <row r="69" ht="64" customHeight="1" s="35">
      <c r="B69" s="4">
        <f>LAVORAZIONI!G462</f>
        <v/>
      </c>
      <c r="C69" s="3">
        <f>LAVORAZIONI!A462</f>
        <v/>
      </c>
      <c r="D69" s="3">
        <f>LAVORAZIONI!K462</f>
        <v/>
      </c>
      <c r="E69" s="4">
        <f>LAVORAZIONI!H462</f>
        <v/>
      </c>
      <c r="F69" s="4">
        <f>LAVORAZIONI!M462</f>
        <v/>
      </c>
      <c r="G69" s="5">
        <f>LAVORAZIONI!N462</f>
        <v/>
      </c>
      <c r="H69" s="6">
        <f>LAVORAZIONI!O462</f>
        <v/>
      </c>
      <c r="I69" s="13">
        <f>LAVORAZIONI!P462</f>
        <v/>
      </c>
      <c r="J69" s="5">
        <f>IF(LAVORAZIONI!Q462="","",LAVORAZIONI!Q462)</f>
        <v/>
      </c>
      <c r="K69" s="6">
        <f>IF(LAVORAZIONI!R462="","",LAVORAZIONI!R462)</f>
        <v/>
      </c>
      <c r="L69" s="13">
        <f>IF(LAVORAZIONI!S462="","",LAVORAZIONI!S462)</f>
        <v/>
      </c>
      <c r="M69" s="13">
        <f>LAVORAZIONI!T462</f>
        <v/>
      </c>
      <c r="O69" s="7">
        <f>LAVORAZIONI!U462</f>
        <v/>
      </c>
      <c r="P69" s="37">
        <f>LAVORAZIONI!V462</f>
        <v/>
      </c>
      <c r="Q69" s="7">
        <f>LAVORAZIONI!W462</f>
        <v/>
      </c>
      <c r="R69" s="6">
        <f>LAVORAZIONI!X462</f>
        <v/>
      </c>
      <c r="S69" s="7">
        <f>LAVORAZIONI!Y462</f>
        <v/>
      </c>
      <c r="T69" s="6">
        <f>LAVORAZIONI!Z462</f>
        <v/>
      </c>
      <c r="U69" s="7">
        <f>LAVORAZIONI!AA462</f>
        <v/>
      </c>
      <c r="V69" s="6">
        <f>LAVORAZIONI!AB462</f>
        <v/>
      </c>
      <c r="W69" s="7">
        <f>LAVORAZIONI!AC462</f>
        <v/>
      </c>
      <c r="X69" s="6">
        <f>LAVORAZIONI!AD462</f>
        <v/>
      </c>
      <c r="Y69" s="7">
        <f>LAVORAZIONI!AE462</f>
        <v/>
      </c>
      <c r="Z69" s="6">
        <f>LAVORAZIONI!AF462</f>
        <v/>
      </c>
      <c r="AA69" s="7">
        <f>LAVORAZIONI!AG462</f>
        <v/>
      </c>
      <c r="AB69" s="6">
        <f>LAVORAZIONI!AH462</f>
        <v/>
      </c>
      <c r="AC69" s="7">
        <f>LAVORAZIONI!AI462</f>
        <v/>
      </c>
      <c r="AD69" s="13">
        <f>LAVORAZIONI!AJ462</f>
        <v/>
      </c>
    </row>
    <row r="70" ht="64" customHeight="1" s="35">
      <c r="B70" s="4">
        <f>LAVORAZIONI!G463</f>
        <v/>
      </c>
      <c r="C70" s="3">
        <f>LAVORAZIONI!A463</f>
        <v/>
      </c>
      <c r="D70" s="3">
        <f>LAVORAZIONI!K463</f>
        <v/>
      </c>
      <c r="E70" s="4">
        <f>LAVORAZIONI!H463</f>
        <v/>
      </c>
      <c r="F70" s="4">
        <f>LAVORAZIONI!M463</f>
        <v/>
      </c>
      <c r="G70" s="5">
        <f>LAVORAZIONI!N463</f>
        <v/>
      </c>
      <c r="H70" s="6">
        <f>LAVORAZIONI!O463</f>
        <v/>
      </c>
      <c r="I70" s="13">
        <f>LAVORAZIONI!P463</f>
        <v/>
      </c>
      <c r="J70" s="5">
        <f>IF(LAVORAZIONI!Q463="","",LAVORAZIONI!Q463)</f>
        <v/>
      </c>
      <c r="K70" s="6">
        <f>IF(LAVORAZIONI!R463="","",LAVORAZIONI!R463)</f>
        <v/>
      </c>
      <c r="L70" s="13">
        <f>IF(LAVORAZIONI!S463="","",LAVORAZIONI!S463)</f>
        <v/>
      </c>
      <c r="M70" s="13">
        <f>LAVORAZIONI!T463</f>
        <v/>
      </c>
      <c r="O70" s="7">
        <f>LAVORAZIONI!U463</f>
        <v/>
      </c>
      <c r="P70" s="37">
        <f>LAVORAZIONI!V463</f>
        <v/>
      </c>
      <c r="Q70" s="7">
        <f>LAVORAZIONI!W463</f>
        <v/>
      </c>
      <c r="R70" s="6">
        <f>LAVORAZIONI!X463</f>
        <v/>
      </c>
      <c r="S70" s="7">
        <f>LAVORAZIONI!Y463</f>
        <v/>
      </c>
      <c r="T70" s="6">
        <f>LAVORAZIONI!Z463</f>
        <v/>
      </c>
      <c r="U70" s="7">
        <f>LAVORAZIONI!AA463</f>
        <v/>
      </c>
      <c r="V70" s="6">
        <f>LAVORAZIONI!AB463</f>
        <v/>
      </c>
      <c r="W70" s="7">
        <f>LAVORAZIONI!AC463</f>
        <v/>
      </c>
      <c r="X70" s="6">
        <f>LAVORAZIONI!AD463</f>
        <v/>
      </c>
      <c r="Y70" s="7">
        <f>LAVORAZIONI!AE463</f>
        <v/>
      </c>
      <c r="Z70" s="6">
        <f>LAVORAZIONI!AF463</f>
        <v/>
      </c>
      <c r="AA70" s="7">
        <f>LAVORAZIONI!AG463</f>
        <v/>
      </c>
      <c r="AB70" s="6">
        <f>LAVORAZIONI!AH463</f>
        <v/>
      </c>
      <c r="AC70" s="7">
        <f>LAVORAZIONI!AI463</f>
        <v/>
      </c>
      <c r="AD70" s="13">
        <f>LAVORAZIONI!AJ463</f>
        <v/>
      </c>
    </row>
    <row r="71" ht="64" customHeight="1" s="35">
      <c r="B71" s="4">
        <f>LAVORAZIONI!G464</f>
        <v/>
      </c>
      <c r="C71" s="3">
        <f>LAVORAZIONI!A464</f>
        <v/>
      </c>
      <c r="D71" s="3">
        <f>LAVORAZIONI!K464</f>
        <v/>
      </c>
      <c r="E71" s="4">
        <f>LAVORAZIONI!H464</f>
        <v/>
      </c>
      <c r="F71" s="4">
        <f>LAVORAZIONI!M464</f>
        <v/>
      </c>
      <c r="G71" s="5">
        <f>LAVORAZIONI!N464</f>
        <v/>
      </c>
      <c r="H71" s="6">
        <f>LAVORAZIONI!O464</f>
        <v/>
      </c>
      <c r="I71" s="13">
        <f>LAVORAZIONI!P464</f>
        <v/>
      </c>
      <c r="J71" s="5">
        <f>IF(LAVORAZIONI!Q464="","",LAVORAZIONI!Q464)</f>
        <v/>
      </c>
      <c r="K71" s="6">
        <f>IF(LAVORAZIONI!R464="","",LAVORAZIONI!R464)</f>
        <v/>
      </c>
      <c r="L71" s="13">
        <f>IF(LAVORAZIONI!S464="","",LAVORAZIONI!S464)</f>
        <v/>
      </c>
      <c r="M71" s="13">
        <f>LAVORAZIONI!T464</f>
        <v/>
      </c>
      <c r="O71" s="7">
        <f>LAVORAZIONI!U464</f>
        <v/>
      </c>
      <c r="P71" s="37">
        <f>LAVORAZIONI!V464</f>
        <v/>
      </c>
      <c r="Q71" s="7">
        <f>LAVORAZIONI!W464</f>
        <v/>
      </c>
      <c r="R71" s="6">
        <f>LAVORAZIONI!X464</f>
        <v/>
      </c>
      <c r="S71" s="7">
        <f>LAVORAZIONI!Y464</f>
        <v/>
      </c>
      <c r="T71" s="6">
        <f>LAVORAZIONI!Z464</f>
        <v/>
      </c>
      <c r="U71" s="7">
        <f>LAVORAZIONI!AA464</f>
        <v/>
      </c>
      <c r="V71" s="6">
        <f>LAVORAZIONI!AB464</f>
        <v/>
      </c>
      <c r="W71" s="7">
        <f>LAVORAZIONI!AC464</f>
        <v/>
      </c>
      <c r="X71" s="6">
        <f>LAVORAZIONI!AD464</f>
        <v/>
      </c>
      <c r="Y71" s="7">
        <f>LAVORAZIONI!AE464</f>
        <v/>
      </c>
      <c r="Z71" s="6">
        <f>LAVORAZIONI!AF464</f>
        <v/>
      </c>
      <c r="AA71" s="7">
        <f>LAVORAZIONI!AG464</f>
        <v/>
      </c>
      <c r="AB71" s="6">
        <f>LAVORAZIONI!AH464</f>
        <v/>
      </c>
      <c r="AC71" s="7">
        <f>LAVORAZIONI!AI464</f>
        <v/>
      </c>
      <c r="AD71" s="13">
        <f>LAVORAZIONI!AJ464</f>
        <v/>
      </c>
    </row>
    <row r="72" ht="64" customHeight="1" s="35">
      <c r="B72" s="4">
        <f>LAVORAZIONI!G465</f>
        <v/>
      </c>
      <c r="C72" s="3">
        <f>LAVORAZIONI!A465</f>
        <v/>
      </c>
      <c r="D72" s="3">
        <f>LAVORAZIONI!K465</f>
        <v/>
      </c>
      <c r="E72" s="4">
        <f>LAVORAZIONI!H465</f>
        <v/>
      </c>
      <c r="F72" s="4">
        <f>LAVORAZIONI!M465</f>
        <v/>
      </c>
      <c r="G72" s="5">
        <f>LAVORAZIONI!N465</f>
        <v/>
      </c>
      <c r="H72" s="6">
        <f>LAVORAZIONI!O465</f>
        <v/>
      </c>
      <c r="I72" s="13">
        <f>LAVORAZIONI!P465</f>
        <v/>
      </c>
      <c r="J72" s="5">
        <f>IF(LAVORAZIONI!Q465="","",LAVORAZIONI!Q465)</f>
        <v/>
      </c>
      <c r="K72" s="6">
        <f>IF(LAVORAZIONI!R465="","",LAVORAZIONI!R465)</f>
        <v/>
      </c>
      <c r="L72" s="13">
        <f>IF(LAVORAZIONI!S465="","",LAVORAZIONI!S465)</f>
        <v/>
      </c>
      <c r="M72" s="13">
        <f>LAVORAZIONI!T465</f>
        <v/>
      </c>
      <c r="O72" s="7">
        <f>LAVORAZIONI!U465</f>
        <v/>
      </c>
      <c r="P72" s="37">
        <f>LAVORAZIONI!V465</f>
        <v/>
      </c>
      <c r="Q72" s="7">
        <f>LAVORAZIONI!W465</f>
        <v/>
      </c>
      <c r="R72" s="6">
        <f>LAVORAZIONI!X465</f>
        <v/>
      </c>
      <c r="S72" s="7">
        <f>LAVORAZIONI!Y465</f>
        <v/>
      </c>
      <c r="T72" s="6">
        <f>LAVORAZIONI!Z465</f>
        <v/>
      </c>
      <c r="U72" s="7">
        <f>LAVORAZIONI!AA465</f>
        <v/>
      </c>
      <c r="V72" s="6">
        <f>LAVORAZIONI!AB465</f>
        <v/>
      </c>
      <c r="W72" s="7">
        <f>LAVORAZIONI!AC465</f>
        <v/>
      </c>
      <c r="X72" s="6">
        <f>LAVORAZIONI!AD465</f>
        <v/>
      </c>
      <c r="Y72" s="7">
        <f>LAVORAZIONI!AE465</f>
        <v/>
      </c>
      <c r="Z72" s="6">
        <f>LAVORAZIONI!AF465</f>
        <v/>
      </c>
      <c r="AA72" s="7">
        <f>LAVORAZIONI!AG465</f>
        <v/>
      </c>
      <c r="AB72" s="6">
        <f>LAVORAZIONI!AH465</f>
        <v/>
      </c>
      <c r="AC72" s="7">
        <f>LAVORAZIONI!AI465</f>
        <v/>
      </c>
      <c r="AD72" s="13">
        <f>LAVORAZIONI!AJ465</f>
        <v/>
      </c>
    </row>
    <row r="73" ht="64" customHeight="1" s="35">
      <c r="B73" s="4">
        <f>LAVORAZIONI!G466</f>
        <v/>
      </c>
      <c r="C73" s="3">
        <f>LAVORAZIONI!A466</f>
        <v/>
      </c>
      <c r="D73" s="3">
        <f>LAVORAZIONI!K466</f>
        <v/>
      </c>
      <c r="E73" s="4">
        <f>LAVORAZIONI!H466</f>
        <v/>
      </c>
      <c r="F73" s="4">
        <f>LAVORAZIONI!M466</f>
        <v/>
      </c>
      <c r="G73" s="5">
        <f>LAVORAZIONI!N466</f>
        <v/>
      </c>
      <c r="H73" s="6">
        <f>LAVORAZIONI!O466</f>
        <v/>
      </c>
      <c r="I73" s="13">
        <f>LAVORAZIONI!P466</f>
        <v/>
      </c>
      <c r="J73" s="5">
        <f>IF(LAVORAZIONI!Q466="","",LAVORAZIONI!Q466)</f>
        <v/>
      </c>
      <c r="K73" s="6">
        <f>IF(LAVORAZIONI!R466="","",LAVORAZIONI!R466)</f>
        <v/>
      </c>
      <c r="L73" s="13">
        <f>IF(LAVORAZIONI!S466="","",LAVORAZIONI!S466)</f>
        <v/>
      </c>
      <c r="M73" s="13">
        <f>LAVORAZIONI!T466</f>
        <v/>
      </c>
      <c r="O73" s="7">
        <f>LAVORAZIONI!U466</f>
        <v/>
      </c>
      <c r="P73" s="37">
        <f>LAVORAZIONI!V466</f>
        <v/>
      </c>
      <c r="Q73" s="7">
        <f>LAVORAZIONI!W466</f>
        <v/>
      </c>
      <c r="R73" s="6">
        <f>LAVORAZIONI!X466</f>
        <v/>
      </c>
      <c r="S73" s="7">
        <f>LAVORAZIONI!Y466</f>
        <v/>
      </c>
      <c r="T73" s="6">
        <f>LAVORAZIONI!Z466</f>
        <v/>
      </c>
      <c r="U73" s="7">
        <f>LAVORAZIONI!AA466</f>
        <v/>
      </c>
      <c r="V73" s="6">
        <f>LAVORAZIONI!AB466</f>
        <v/>
      </c>
      <c r="W73" s="7">
        <f>LAVORAZIONI!AC466</f>
        <v/>
      </c>
      <c r="X73" s="6">
        <f>LAVORAZIONI!AD466</f>
        <v/>
      </c>
      <c r="Y73" s="7">
        <f>LAVORAZIONI!AE466</f>
        <v/>
      </c>
      <c r="Z73" s="6">
        <f>LAVORAZIONI!AF466</f>
        <v/>
      </c>
      <c r="AA73" s="7">
        <f>LAVORAZIONI!AG466</f>
        <v/>
      </c>
      <c r="AB73" s="6">
        <f>LAVORAZIONI!AH466</f>
        <v/>
      </c>
      <c r="AC73" s="7">
        <f>LAVORAZIONI!AI466</f>
        <v/>
      </c>
      <c r="AD73" s="13">
        <f>LAVORAZIONI!AJ466</f>
        <v/>
      </c>
    </row>
    <row r="74" ht="64" customHeight="1" s="35">
      <c r="B74" s="4">
        <f>LAVORAZIONI!G467</f>
        <v/>
      </c>
      <c r="C74" s="3">
        <f>LAVORAZIONI!A467</f>
        <v/>
      </c>
      <c r="D74" s="3">
        <f>LAVORAZIONI!K467</f>
        <v/>
      </c>
      <c r="E74" s="4">
        <f>LAVORAZIONI!H467</f>
        <v/>
      </c>
      <c r="F74" s="4">
        <f>LAVORAZIONI!M467</f>
        <v/>
      </c>
      <c r="G74" s="5">
        <f>LAVORAZIONI!N467</f>
        <v/>
      </c>
      <c r="H74" s="6">
        <f>LAVORAZIONI!O467</f>
        <v/>
      </c>
      <c r="I74" s="13">
        <f>LAVORAZIONI!P467</f>
        <v/>
      </c>
      <c r="J74" s="5">
        <f>IF(LAVORAZIONI!Q467="","",LAVORAZIONI!Q467)</f>
        <v/>
      </c>
      <c r="K74" s="6">
        <f>IF(LAVORAZIONI!R467="","",LAVORAZIONI!R467)</f>
        <v/>
      </c>
      <c r="L74" s="13">
        <f>IF(LAVORAZIONI!S467="","",LAVORAZIONI!S467)</f>
        <v/>
      </c>
      <c r="M74" s="13">
        <f>LAVORAZIONI!T467</f>
        <v/>
      </c>
      <c r="O74" s="7">
        <f>LAVORAZIONI!U467</f>
        <v/>
      </c>
      <c r="P74" s="37">
        <f>LAVORAZIONI!V467</f>
        <v/>
      </c>
      <c r="Q74" s="7">
        <f>LAVORAZIONI!W467</f>
        <v/>
      </c>
      <c r="R74" s="6">
        <f>LAVORAZIONI!X467</f>
        <v/>
      </c>
      <c r="S74" s="7">
        <f>LAVORAZIONI!Y467</f>
        <v/>
      </c>
      <c r="T74" s="6">
        <f>LAVORAZIONI!Z467</f>
        <v/>
      </c>
      <c r="U74" s="7">
        <f>LAVORAZIONI!AA467</f>
        <v/>
      </c>
      <c r="V74" s="6">
        <f>LAVORAZIONI!AB467</f>
        <v/>
      </c>
      <c r="W74" s="7">
        <f>LAVORAZIONI!AC467</f>
        <v/>
      </c>
      <c r="X74" s="6">
        <f>LAVORAZIONI!AD467</f>
        <v/>
      </c>
      <c r="Y74" s="7">
        <f>LAVORAZIONI!AE467</f>
        <v/>
      </c>
      <c r="Z74" s="6">
        <f>LAVORAZIONI!AF467</f>
        <v/>
      </c>
      <c r="AA74" s="7">
        <f>LAVORAZIONI!AG467</f>
        <v/>
      </c>
      <c r="AB74" s="6">
        <f>LAVORAZIONI!AH467</f>
        <v/>
      </c>
      <c r="AC74" s="7">
        <f>LAVORAZIONI!AI467</f>
        <v/>
      </c>
      <c r="AD74" s="13">
        <f>LAVORAZIONI!AJ467</f>
        <v/>
      </c>
    </row>
    <row r="75" ht="64" customHeight="1" s="35">
      <c r="B75" s="4">
        <f>LAVORAZIONI!G468</f>
        <v/>
      </c>
      <c r="C75" s="3">
        <f>LAVORAZIONI!A468</f>
        <v/>
      </c>
      <c r="D75" s="3">
        <f>LAVORAZIONI!K468</f>
        <v/>
      </c>
      <c r="E75" s="4">
        <f>LAVORAZIONI!H468</f>
        <v/>
      </c>
      <c r="F75" s="4">
        <f>LAVORAZIONI!M468</f>
        <v/>
      </c>
      <c r="G75" s="5">
        <f>LAVORAZIONI!N468</f>
        <v/>
      </c>
      <c r="H75" s="6">
        <f>LAVORAZIONI!O468</f>
        <v/>
      </c>
      <c r="I75" s="13">
        <f>LAVORAZIONI!P468</f>
        <v/>
      </c>
      <c r="J75" s="5">
        <f>IF(LAVORAZIONI!Q468="","",LAVORAZIONI!Q468)</f>
        <v/>
      </c>
      <c r="K75" s="6">
        <f>IF(LAVORAZIONI!R468="","",LAVORAZIONI!R468)</f>
        <v/>
      </c>
      <c r="L75" s="13">
        <f>IF(LAVORAZIONI!S468="","",LAVORAZIONI!S468)</f>
        <v/>
      </c>
      <c r="M75" s="13">
        <f>LAVORAZIONI!T468</f>
        <v/>
      </c>
      <c r="O75" s="7">
        <f>LAVORAZIONI!U468</f>
        <v/>
      </c>
      <c r="P75" s="37">
        <f>LAVORAZIONI!V468</f>
        <v/>
      </c>
      <c r="Q75" s="7">
        <f>LAVORAZIONI!W468</f>
        <v/>
      </c>
      <c r="R75" s="6">
        <f>LAVORAZIONI!X468</f>
        <v/>
      </c>
      <c r="S75" s="7">
        <f>LAVORAZIONI!Y468</f>
        <v/>
      </c>
      <c r="T75" s="6">
        <f>LAVORAZIONI!Z468</f>
        <v/>
      </c>
      <c r="U75" s="7">
        <f>LAVORAZIONI!AA468</f>
        <v/>
      </c>
      <c r="V75" s="6">
        <f>LAVORAZIONI!AB468</f>
        <v/>
      </c>
      <c r="W75" s="7">
        <f>LAVORAZIONI!AC468</f>
        <v/>
      </c>
      <c r="X75" s="6">
        <f>LAVORAZIONI!AD468</f>
        <v/>
      </c>
      <c r="Y75" s="7">
        <f>LAVORAZIONI!AE468</f>
        <v/>
      </c>
      <c r="Z75" s="6">
        <f>LAVORAZIONI!AF468</f>
        <v/>
      </c>
      <c r="AA75" s="7">
        <f>LAVORAZIONI!AG468</f>
        <v/>
      </c>
      <c r="AB75" s="6">
        <f>LAVORAZIONI!AH468</f>
        <v/>
      </c>
      <c r="AC75" s="7">
        <f>LAVORAZIONI!AI468</f>
        <v/>
      </c>
      <c r="AD75" s="13">
        <f>LAVORAZIONI!AJ468</f>
        <v/>
      </c>
    </row>
    <row r="76" ht="64" customHeight="1" s="35">
      <c r="B76" s="4">
        <f>LAVORAZIONI!G469</f>
        <v/>
      </c>
      <c r="C76" s="3">
        <f>LAVORAZIONI!A469</f>
        <v/>
      </c>
      <c r="D76" s="3">
        <f>LAVORAZIONI!K469</f>
        <v/>
      </c>
      <c r="E76" s="4">
        <f>LAVORAZIONI!H469</f>
        <v/>
      </c>
      <c r="F76" s="4">
        <f>LAVORAZIONI!M469</f>
        <v/>
      </c>
      <c r="G76" s="5">
        <f>LAVORAZIONI!N469</f>
        <v/>
      </c>
      <c r="H76" s="6">
        <f>LAVORAZIONI!O469</f>
        <v/>
      </c>
      <c r="I76" s="13">
        <f>LAVORAZIONI!P469</f>
        <v/>
      </c>
      <c r="J76" s="5">
        <f>IF(LAVORAZIONI!Q469="","",LAVORAZIONI!Q469)</f>
        <v/>
      </c>
      <c r="K76" s="6">
        <f>IF(LAVORAZIONI!R469="","",LAVORAZIONI!R469)</f>
        <v/>
      </c>
      <c r="L76" s="13">
        <f>IF(LAVORAZIONI!S469="","",LAVORAZIONI!S469)</f>
        <v/>
      </c>
      <c r="M76" s="13">
        <f>LAVORAZIONI!T469</f>
        <v/>
      </c>
      <c r="O76" s="7">
        <f>LAVORAZIONI!U469</f>
        <v/>
      </c>
      <c r="P76" s="37">
        <f>LAVORAZIONI!V469</f>
        <v/>
      </c>
      <c r="Q76" s="7">
        <f>LAVORAZIONI!W469</f>
        <v/>
      </c>
      <c r="R76" s="6">
        <f>LAVORAZIONI!X469</f>
        <v/>
      </c>
      <c r="S76" s="7">
        <f>LAVORAZIONI!Y469</f>
        <v/>
      </c>
      <c r="T76" s="6">
        <f>LAVORAZIONI!Z469</f>
        <v/>
      </c>
      <c r="U76" s="7">
        <f>LAVORAZIONI!AA469</f>
        <v/>
      </c>
      <c r="V76" s="6">
        <f>LAVORAZIONI!AB469</f>
        <v/>
      </c>
      <c r="W76" s="7">
        <f>LAVORAZIONI!AC469</f>
        <v/>
      </c>
      <c r="X76" s="6">
        <f>LAVORAZIONI!AD469</f>
        <v/>
      </c>
      <c r="Y76" s="7">
        <f>LAVORAZIONI!AE469</f>
        <v/>
      </c>
      <c r="Z76" s="6">
        <f>LAVORAZIONI!AF469</f>
        <v/>
      </c>
      <c r="AA76" s="7">
        <f>LAVORAZIONI!AG469</f>
        <v/>
      </c>
      <c r="AB76" s="6">
        <f>LAVORAZIONI!AH469</f>
        <v/>
      </c>
      <c r="AC76" s="7">
        <f>LAVORAZIONI!AI469</f>
        <v/>
      </c>
      <c r="AD76" s="13">
        <f>LAVORAZIONI!AJ469</f>
        <v/>
      </c>
    </row>
    <row r="77" ht="64" customHeight="1" s="35">
      <c r="B77" s="4">
        <f>LAVORAZIONI!G470</f>
        <v/>
      </c>
      <c r="C77" s="3">
        <f>LAVORAZIONI!A470</f>
        <v/>
      </c>
      <c r="D77" s="3">
        <f>LAVORAZIONI!K470</f>
        <v/>
      </c>
      <c r="E77" s="4">
        <f>LAVORAZIONI!H470</f>
        <v/>
      </c>
      <c r="F77" s="4">
        <f>LAVORAZIONI!M470</f>
        <v/>
      </c>
      <c r="G77" s="5">
        <f>LAVORAZIONI!N470</f>
        <v/>
      </c>
      <c r="H77" s="6">
        <f>LAVORAZIONI!O470</f>
        <v/>
      </c>
      <c r="I77" s="13">
        <f>LAVORAZIONI!P470</f>
        <v/>
      </c>
      <c r="J77" s="5">
        <f>IF(LAVORAZIONI!Q470="","",LAVORAZIONI!Q470)</f>
        <v/>
      </c>
      <c r="K77" s="6">
        <f>IF(LAVORAZIONI!R470="","",LAVORAZIONI!R470)</f>
        <v/>
      </c>
      <c r="L77" s="13">
        <f>IF(LAVORAZIONI!S470="","",LAVORAZIONI!S470)</f>
        <v/>
      </c>
      <c r="M77" s="13">
        <f>LAVORAZIONI!T470</f>
        <v/>
      </c>
      <c r="O77" s="7">
        <f>LAVORAZIONI!U470</f>
        <v/>
      </c>
      <c r="P77" s="37">
        <f>LAVORAZIONI!V470</f>
        <v/>
      </c>
      <c r="Q77" s="7">
        <f>LAVORAZIONI!W470</f>
        <v/>
      </c>
      <c r="R77" s="6">
        <f>LAVORAZIONI!X470</f>
        <v/>
      </c>
      <c r="S77" s="7">
        <f>LAVORAZIONI!Y470</f>
        <v/>
      </c>
      <c r="T77" s="6">
        <f>LAVORAZIONI!Z470</f>
        <v/>
      </c>
      <c r="U77" s="7">
        <f>LAVORAZIONI!AA470</f>
        <v/>
      </c>
      <c r="V77" s="6">
        <f>LAVORAZIONI!AB470</f>
        <v/>
      </c>
      <c r="W77" s="7">
        <f>LAVORAZIONI!AC470</f>
        <v/>
      </c>
      <c r="X77" s="6">
        <f>LAVORAZIONI!AD470</f>
        <v/>
      </c>
      <c r="Y77" s="7">
        <f>LAVORAZIONI!AE470</f>
        <v/>
      </c>
      <c r="Z77" s="6">
        <f>LAVORAZIONI!AF470</f>
        <v/>
      </c>
      <c r="AA77" s="7">
        <f>LAVORAZIONI!AG470</f>
        <v/>
      </c>
      <c r="AB77" s="6">
        <f>LAVORAZIONI!AH470</f>
        <v/>
      </c>
      <c r="AC77" s="7">
        <f>LAVORAZIONI!AI470</f>
        <v/>
      </c>
      <c r="AD77" s="13">
        <f>LAVORAZIONI!AJ470</f>
        <v/>
      </c>
    </row>
    <row r="78" ht="64" customHeight="1" s="35">
      <c r="B78" s="4">
        <f>LAVORAZIONI!G471</f>
        <v/>
      </c>
      <c r="C78" s="3">
        <f>LAVORAZIONI!A471</f>
        <v/>
      </c>
      <c r="D78" s="3">
        <f>LAVORAZIONI!K471</f>
        <v/>
      </c>
      <c r="E78" s="4">
        <f>LAVORAZIONI!H471</f>
        <v/>
      </c>
      <c r="F78" s="4">
        <f>LAVORAZIONI!M471</f>
        <v/>
      </c>
      <c r="G78" s="5">
        <f>LAVORAZIONI!N471</f>
        <v/>
      </c>
      <c r="H78" s="6">
        <f>LAVORAZIONI!O471</f>
        <v/>
      </c>
      <c r="I78" s="13">
        <f>LAVORAZIONI!P471</f>
        <v/>
      </c>
      <c r="J78" s="5">
        <f>IF(LAVORAZIONI!Q471="","",LAVORAZIONI!Q471)</f>
        <v/>
      </c>
      <c r="K78" s="6">
        <f>IF(LAVORAZIONI!R471="","",LAVORAZIONI!R471)</f>
        <v/>
      </c>
      <c r="L78" s="13">
        <f>IF(LAVORAZIONI!S471="","",LAVORAZIONI!S471)</f>
        <v/>
      </c>
      <c r="M78" s="13">
        <f>LAVORAZIONI!T471</f>
        <v/>
      </c>
      <c r="O78" s="7">
        <f>LAVORAZIONI!U471</f>
        <v/>
      </c>
      <c r="P78" s="37">
        <f>LAVORAZIONI!V471</f>
        <v/>
      </c>
      <c r="Q78" s="7">
        <f>LAVORAZIONI!W471</f>
        <v/>
      </c>
      <c r="R78" s="6">
        <f>LAVORAZIONI!X471</f>
        <v/>
      </c>
      <c r="S78" s="7">
        <f>LAVORAZIONI!Y471</f>
        <v/>
      </c>
      <c r="T78" s="6">
        <f>LAVORAZIONI!Z471</f>
        <v/>
      </c>
      <c r="U78" s="7">
        <f>LAVORAZIONI!AA471</f>
        <v/>
      </c>
      <c r="V78" s="6">
        <f>LAVORAZIONI!AB471</f>
        <v/>
      </c>
      <c r="W78" s="7">
        <f>LAVORAZIONI!AC471</f>
        <v/>
      </c>
      <c r="X78" s="6">
        <f>LAVORAZIONI!AD471</f>
        <v/>
      </c>
      <c r="Y78" s="7">
        <f>LAVORAZIONI!AE471</f>
        <v/>
      </c>
      <c r="Z78" s="6">
        <f>LAVORAZIONI!AF471</f>
        <v/>
      </c>
      <c r="AA78" s="7">
        <f>LAVORAZIONI!AG471</f>
        <v/>
      </c>
      <c r="AB78" s="6">
        <f>LAVORAZIONI!AH471</f>
        <v/>
      </c>
      <c r="AC78" s="7">
        <f>LAVORAZIONI!AI471</f>
        <v/>
      </c>
      <c r="AD78" s="13">
        <f>LAVORAZIONI!AJ471</f>
        <v/>
      </c>
    </row>
    <row r="79" ht="64" customHeight="1" s="35">
      <c r="B79" s="4">
        <f>LAVORAZIONI!G472</f>
        <v/>
      </c>
      <c r="C79" s="3">
        <f>LAVORAZIONI!A472</f>
        <v/>
      </c>
      <c r="D79" s="3">
        <f>LAVORAZIONI!K472</f>
        <v/>
      </c>
      <c r="E79" s="4">
        <f>LAVORAZIONI!H472</f>
        <v/>
      </c>
      <c r="F79" s="4">
        <f>LAVORAZIONI!M472</f>
        <v/>
      </c>
      <c r="G79" s="5">
        <f>LAVORAZIONI!N472</f>
        <v/>
      </c>
      <c r="H79" s="6">
        <f>LAVORAZIONI!O472</f>
        <v/>
      </c>
      <c r="I79" s="13">
        <f>LAVORAZIONI!P472</f>
        <v/>
      </c>
      <c r="J79" s="5">
        <f>IF(LAVORAZIONI!Q472="","",LAVORAZIONI!Q472)</f>
        <v/>
      </c>
      <c r="K79" s="6">
        <f>IF(LAVORAZIONI!R472="","",LAVORAZIONI!R472)</f>
        <v/>
      </c>
      <c r="L79" s="13">
        <f>IF(LAVORAZIONI!S472="","",LAVORAZIONI!S472)</f>
        <v/>
      </c>
      <c r="M79" s="13">
        <f>LAVORAZIONI!T472</f>
        <v/>
      </c>
      <c r="O79" s="7">
        <f>LAVORAZIONI!U472</f>
        <v/>
      </c>
      <c r="P79" s="37">
        <f>LAVORAZIONI!V472</f>
        <v/>
      </c>
      <c r="Q79" s="7">
        <f>LAVORAZIONI!W472</f>
        <v/>
      </c>
      <c r="R79" s="6">
        <f>LAVORAZIONI!X472</f>
        <v/>
      </c>
      <c r="S79" s="7">
        <f>LAVORAZIONI!Y472</f>
        <v/>
      </c>
      <c r="T79" s="6">
        <f>LAVORAZIONI!Z472</f>
        <v/>
      </c>
      <c r="U79" s="7">
        <f>LAVORAZIONI!AA472</f>
        <v/>
      </c>
      <c r="V79" s="6">
        <f>LAVORAZIONI!AB472</f>
        <v/>
      </c>
      <c r="W79" s="7">
        <f>LAVORAZIONI!AC472</f>
        <v/>
      </c>
      <c r="X79" s="6">
        <f>LAVORAZIONI!AD472</f>
        <v/>
      </c>
      <c r="Y79" s="7">
        <f>LAVORAZIONI!AE472</f>
        <v/>
      </c>
      <c r="Z79" s="6">
        <f>LAVORAZIONI!AF472</f>
        <v/>
      </c>
      <c r="AA79" s="7">
        <f>LAVORAZIONI!AG472</f>
        <v/>
      </c>
      <c r="AB79" s="6">
        <f>LAVORAZIONI!AH472</f>
        <v/>
      </c>
      <c r="AC79" s="7">
        <f>LAVORAZIONI!AI472</f>
        <v/>
      </c>
      <c r="AD79" s="13">
        <f>LAVORAZIONI!AJ472</f>
        <v/>
      </c>
    </row>
    <row r="80" ht="64" customHeight="1" s="35">
      <c r="B80" s="4">
        <f>LAVORAZIONI!G473</f>
        <v/>
      </c>
      <c r="C80" s="3">
        <f>LAVORAZIONI!A473</f>
        <v/>
      </c>
      <c r="D80" s="3">
        <f>LAVORAZIONI!K473</f>
        <v/>
      </c>
      <c r="E80" s="4">
        <f>LAVORAZIONI!H473</f>
        <v/>
      </c>
      <c r="F80" s="4">
        <f>LAVORAZIONI!M473</f>
        <v/>
      </c>
      <c r="G80" s="5">
        <f>LAVORAZIONI!N473</f>
        <v/>
      </c>
      <c r="H80" s="6">
        <f>LAVORAZIONI!O473</f>
        <v/>
      </c>
      <c r="I80" s="13">
        <f>LAVORAZIONI!P473</f>
        <v/>
      </c>
      <c r="J80" s="5">
        <f>IF(LAVORAZIONI!Q473="","",LAVORAZIONI!Q473)</f>
        <v/>
      </c>
      <c r="K80" s="6">
        <f>IF(LAVORAZIONI!R473="","",LAVORAZIONI!R473)</f>
        <v/>
      </c>
      <c r="L80" s="13">
        <f>IF(LAVORAZIONI!S473="","",LAVORAZIONI!S473)</f>
        <v/>
      </c>
      <c r="M80" s="13">
        <f>LAVORAZIONI!T473</f>
        <v/>
      </c>
      <c r="O80" s="7">
        <f>LAVORAZIONI!U473</f>
        <v/>
      </c>
      <c r="P80" s="37">
        <f>LAVORAZIONI!V473</f>
        <v/>
      </c>
      <c r="Q80" s="7">
        <f>LAVORAZIONI!W473</f>
        <v/>
      </c>
      <c r="R80" s="6">
        <f>LAVORAZIONI!X473</f>
        <v/>
      </c>
      <c r="S80" s="7">
        <f>LAVORAZIONI!Y473</f>
        <v/>
      </c>
      <c r="T80" s="6">
        <f>LAVORAZIONI!Z473</f>
        <v/>
      </c>
      <c r="U80" s="7">
        <f>LAVORAZIONI!AA473</f>
        <v/>
      </c>
      <c r="V80" s="6">
        <f>LAVORAZIONI!AB473</f>
        <v/>
      </c>
      <c r="W80" s="7">
        <f>LAVORAZIONI!AC473</f>
        <v/>
      </c>
      <c r="X80" s="6">
        <f>LAVORAZIONI!AD473</f>
        <v/>
      </c>
      <c r="Y80" s="7">
        <f>LAVORAZIONI!AE473</f>
        <v/>
      </c>
      <c r="Z80" s="6">
        <f>LAVORAZIONI!AF473</f>
        <v/>
      </c>
      <c r="AA80" s="7">
        <f>LAVORAZIONI!AG473</f>
        <v/>
      </c>
      <c r="AB80" s="6">
        <f>LAVORAZIONI!AH473</f>
        <v/>
      </c>
      <c r="AC80" s="7">
        <f>LAVORAZIONI!AI473</f>
        <v/>
      </c>
      <c r="AD80" s="13">
        <f>LAVORAZIONI!AJ473</f>
        <v/>
      </c>
    </row>
    <row r="81" ht="64" customHeight="1" s="35">
      <c r="B81" s="4">
        <f>LAVORAZIONI!G474</f>
        <v/>
      </c>
      <c r="C81" s="3">
        <f>LAVORAZIONI!A474</f>
        <v/>
      </c>
      <c r="D81" s="3">
        <f>LAVORAZIONI!K474</f>
        <v/>
      </c>
      <c r="E81" s="4">
        <f>LAVORAZIONI!H474</f>
        <v/>
      </c>
      <c r="F81" s="4">
        <f>LAVORAZIONI!M474</f>
        <v/>
      </c>
      <c r="G81" s="5">
        <f>LAVORAZIONI!N474</f>
        <v/>
      </c>
      <c r="H81" s="6">
        <f>LAVORAZIONI!O474</f>
        <v/>
      </c>
      <c r="I81" s="13">
        <f>LAVORAZIONI!P474</f>
        <v/>
      </c>
      <c r="J81" s="5">
        <f>IF(LAVORAZIONI!Q474="","",LAVORAZIONI!Q474)</f>
        <v/>
      </c>
      <c r="K81" s="6">
        <f>IF(LAVORAZIONI!R474="","",LAVORAZIONI!R474)</f>
        <v/>
      </c>
      <c r="L81" s="13">
        <f>IF(LAVORAZIONI!S474="","",LAVORAZIONI!S474)</f>
        <v/>
      </c>
      <c r="M81" s="13">
        <f>LAVORAZIONI!T474</f>
        <v/>
      </c>
      <c r="O81" s="7">
        <f>LAVORAZIONI!U474</f>
        <v/>
      </c>
      <c r="P81" s="37">
        <f>LAVORAZIONI!V474</f>
        <v/>
      </c>
      <c r="Q81" s="7">
        <f>LAVORAZIONI!W474</f>
        <v/>
      </c>
      <c r="R81" s="6">
        <f>LAVORAZIONI!X474</f>
        <v/>
      </c>
      <c r="S81" s="7">
        <f>LAVORAZIONI!Y474</f>
        <v/>
      </c>
      <c r="T81" s="6">
        <f>LAVORAZIONI!Z474</f>
        <v/>
      </c>
      <c r="U81" s="7">
        <f>LAVORAZIONI!AA474</f>
        <v/>
      </c>
      <c r="V81" s="6">
        <f>LAVORAZIONI!AB474</f>
        <v/>
      </c>
      <c r="W81" s="7">
        <f>LAVORAZIONI!AC474</f>
        <v/>
      </c>
      <c r="X81" s="6">
        <f>LAVORAZIONI!AD474</f>
        <v/>
      </c>
      <c r="Y81" s="7">
        <f>LAVORAZIONI!AE474</f>
        <v/>
      </c>
      <c r="Z81" s="6">
        <f>LAVORAZIONI!AF474</f>
        <v/>
      </c>
      <c r="AA81" s="7">
        <f>LAVORAZIONI!AG474</f>
        <v/>
      </c>
      <c r="AB81" s="6">
        <f>LAVORAZIONI!AH474</f>
        <v/>
      </c>
      <c r="AC81" s="7">
        <f>LAVORAZIONI!AI474</f>
        <v/>
      </c>
      <c r="AD81" s="13">
        <f>LAVORAZIONI!AJ474</f>
        <v/>
      </c>
    </row>
    <row r="82" ht="64" customHeight="1" s="35">
      <c r="B82" s="4">
        <f>LAVORAZIONI!G475</f>
        <v/>
      </c>
      <c r="C82" s="3">
        <f>LAVORAZIONI!A475</f>
        <v/>
      </c>
      <c r="D82" s="3">
        <f>LAVORAZIONI!K475</f>
        <v/>
      </c>
      <c r="E82" s="4">
        <f>LAVORAZIONI!H475</f>
        <v/>
      </c>
      <c r="F82" s="4">
        <f>LAVORAZIONI!M475</f>
        <v/>
      </c>
      <c r="G82" s="5">
        <f>LAVORAZIONI!N475</f>
        <v/>
      </c>
      <c r="H82" s="6">
        <f>LAVORAZIONI!O475</f>
        <v/>
      </c>
      <c r="I82" s="13">
        <f>LAVORAZIONI!P475</f>
        <v/>
      </c>
      <c r="J82" s="5">
        <f>IF(LAVORAZIONI!Q475="","",LAVORAZIONI!Q475)</f>
        <v/>
      </c>
      <c r="K82" s="6">
        <f>IF(LAVORAZIONI!R475="","",LAVORAZIONI!R475)</f>
        <v/>
      </c>
      <c r="L82" s="13">
        <f>IF(LAVORAZIONI!S475="","",LAVORAZIONI!S475)</f>
        <v/>
      </c>
      <c r="M82" s="13">
        <f>LAVORAZIONI!T475</f>
        <v/>
      </c>
      <c r="O82" s="7">
        <f>LAVORAZIONI!U475</f>
        <v/>
      </c>
      <c r="P82" s="37">
        <f>LAVORAZIONI!V475</f>
        <v/>
      </c>
      <c r="Q82" s="7">
        <f>LAVORAZIONI!W475</f>
        <v/>
      </c>
      <c r="R82" s="6">
        <f>LAVORAZIONI!X475</f>
        <v/>
      </c>
      <c r="S82" s="7">
        <f>LAVORAZIONI!Y475</f>
        <v/>
      </c>
      <c r="T82" s="6">
        <f>LAVORAZIONI!Z475</f>
        <v/>
      </c>
      <c r="U82" s="7">
        <f>LAVORAZIONI!AA475</f>
        <v/>
      </c>
      <c r="V82" s="6">
        <f>LAVORAZIONI!AB475</f>
        <v/>
      </c>
      <c r="W82" s="7">
        <f>LAVORAZIONI!AC475</f>
        <v/>
      </c>
      <c r="X82" s="6">
        <f>LAVORAZIONI!AD475</f>
        <v/>
      </c>
      <c r="Y82" s="7">
        <f>LAVORAZIONI!AE475</f>
        <v/>
      </c>
      <c r="Z82" s="6">
        <f>LAVORAZIONI!AF475</f>
        <v/>
      </c>
      <c r="AA82" s="7">
        <f>LAVORAZIONI!AG475</f>
        <v/>
      </c>
      <c r="AB82" s="6">
        <f>LAVORAZIONI!AH475</f>
        <v/>
      </c>
      <c r="AC82" s="7">
        <f>LAVORAZIONI!AI475</f>
        <v/>
      </c>
      <c r="AD82" s="13">
        <f>LAVORAZIONI!AJ475</f>
        <v/>
      </c>
    </row>
    <row r="83" ht="64" customHeight="1" s="35">
      <c r="B83" s="4">
        <f>LAVORAZIONI!G476</f>
        <v/>
      </c>
      <c r="C83" s="3">
        <f>LAVORAZIONI!A476</f>
        <v/>
      </c>
      <c r="D83" s="3">
        <f>LAVORAZIONI!K476</f>
        <v/>
      </c>
      <c r="E83" s="4">
        <f>LAVORAZIONI!H476</f>
        <v/>
      </c>
      <c r="F83" s="4">
        <f>LAVORAZIONI!M476</f>
        <v/>
      </c>
      <c r="G83" s="5">
        <f>LAVORAZIONI!N476</f>
        <v/>
      </c>
      <c r="H83" s="6">
        <f>LAVORAZIONI!O476</f>
        <v/>
      </c>
      <c r="I83" s="13">
        <f>LAVORAZIONI!P476</f>
        <v/>
      </c>
      <c r="J83" s="5">
        <f>IF(LAVORAZIONI!Q476="","",LAVORAZIONI!Q476)</f>
        <v/>
      </c>
      <c r="K83" s="6">
        <f>IF(LAVORAZIONI!R476="","",LAVORAZIONI!R476)</f>
        <v/>
      </c>
      <c r="L83" s="13">
        <f>IF(LAVORAZIONI!S476="","",LAVORAZIONI!S476)</f>
        <v/>
      </c>
      <c r="M83" s="13">
        <f>LAVORAZIONI!T476</f>
        <v/>
      </c>
      <c r="O83" s="7">
        <f>LAVORAZIONI!U476</f>
        <v/>
      </c>
      <c r="P83" s="37">
        <f>LAVORAZIONI!V476</f>
        <v/>
      </c>
      <c r="Q83" s="7">
        <f>LAVORAZIONI!W476</f>
        <v/>
      </c>
      <c r="R83" s="6">
        <f>LAVORAZIONI!X476</f>
        <v/>
      </c>
      <c r="S83" s="7">
        <f>LAVORAZIONI!Y476</f>
        <v/>
      </c>
      <c r="T83" s="6">
        <f>LAVORAZIONI!Z476</f>
        <v/>
      </c>
      <c r="U83" s="7">
        <f>LAVORAZIONI!AA476</f>
        <v/>
      </c>
      <c r="V83" s="6">
        <f>LAVORAZIONI!AB476</f>
        <v/>
      </c>
      <c r="W83" s="7">
        <f>LAVORAZIONI!AC476</f>
        <v/>
      </c>
      <c r="X83" s="6">
        <f>LAVORAZIONI!AD476</f>
        <v/>
      </c>
      <c r="Y83" s="7">
        <f>LAVORAZIONI!AE476</f>
        <v/>
      </c>
      <c r="Z83" s="6">
        <f>LAVORAZIONI!AF476</f>
        <v/>
      </c>
      <c r="AA83" s="7">
        <f>LAVORAZIONI!AG476</f>
        <v/>
      </c>
      <c r="AB83" s="6">
        <f>LAVORAZIONI!AH476</f>
        <v/>
      </c>
      <c r="AC83" s="7">
        <f>LAVORAZIONI!AI476</f>
        <v/>
      </c>
      <c r="AD83" s="13">
        <f>LAVORAZIONI!AJ476</f>
        <v/>
      </c>
    </row>
    <row r="84" ht="64" customHeight="1" s="35">
      <c r="B84" s="4">
        <f>LAVORAZIONI!G477</f>
        <v/>
      </c>
      <c r="C84" s="3">
        <f>LAVORAZIONI!A477</f>
        <v/>
      </c>
      <c r="D84" s="3">
        <f>LAVORAZIONI!K477</f>
        <v/>
      </c>
      <c r="E84" s="4">
        <f>LAVORAZIONI!H477</f>
        <v/>
      </c>
      <c r="F84" s="4">
        <f>LAVORAZIONI!M477</f>
        <v/>
      </c>
      <c r="G84" s="5">
        <f>LAVORAZIONI!N477</f>
        <v/>
      </c>
      <c r="H84" s="6">
        <f>LAVORAZIONI!O477</f>
        <v/>
      </c>
      <c r="I84" s="13">
        <f>LAVORAZIONI!P477</f>
        <v/>
      </c>
      <c r="J84" s="5">
        <f>IF(LAVORAZIONI!Q477="","",LAVORAZIONI!Q477)</f>
        <v/>
      </c>
      <c r="K84" s="6">
        <f>IF(LAVORAZIONI!R477="","",LAVORAZIONI!R477)</f>
        <v/>
      </c>
      <c r="L84" s="13">
        <f>IF(LAVORAZIONI!S477="","",LAVORAZIONI!S477)</f>
        <v/>
      </c>
      <c r="M84" s="13">
        <f>LAVORAZIONI!T477</f>
        <v/>
      </c>
      <c r="O84" s="7">
        <f>LAVORAZIONI!U477</f>
        <v/>
      </c>
      <c r="P84" s="37">
        <f>LAVORAZIONI!V477</f>
        <v/>
      </c>
      <c r="Q84" s="7">
        <f>LAVORAZIONI!W477</f>
        <v/>
      </c>
      <c r="R84" s="6">
        <f>LAVORAZIONI!X477</f>
        <v/>
      </c>
      <c r="S84" s="7">
        <f>LAVORAZIONI!Y477</f>
        <v/>
      </c>
      <c r="T84" s="6">
        <f>LAVORAZIONI!Z477</f>
        <v/>
      </c>
      <c r="U84" s="7">
        <f>LAVORAZIONI!AA477</f>
        <v/>
      </c>
      <c r="V84" s="6">
        <f>LAVORAZIONI!AB477</f>
        <v/>
      </c>
      <c r="W84" s="7">
        <f>LAVORAZIONI!AC477</f>
        <v/>
      </c>
      <c r="X84" s="6">
        <f>LAVORAZIONI!AD477</f>
        <v/>
      </c>
      <c r="Y84" s="7">
        <f>LAVORAZIONI!AE477</f>
        <v/>
      </c>
      <c r="Z84" s="6">
        <f>LAVORAZIONI!AF477</f>
        <v/>
      </c>
      <c r="AA84" s="7">
        <f>LAVORAZIONI!AG477</f>
        <v/>
      </c>
      <c r="AB84" s="6">
        <f>LAVORAZIONI!AH477</f>
        <v/>
      </c>
      <c r="AC84" s="7">
        <f>LAVORAZIONI!AI477</f>
        <v/>
      </c>
      <c r="AD84" s="13">
        <f>LAVORAZIONI!AJ477</f>
        <v/>
      </c>
    </row>
    <row r="85" ht="64" customHeight="1" s="35">
      <c r="B85" s="4">
        <f>LAVORAZIONI!G478</f>
        <v/>
      </c>
      <c r="C85" s="3">
        <f>LAVORAZIONI!A478</f>
        <v/>
      </c>
      <c r="D85" s="3">
        <f>LAVORAZIONI!K478</f>
        <v/>
      </c>
      <c r="E85" s="4">
        <f>LAVORAZIONI!H478</f>
        <v/>
      </c>
      <c r="F85" s="4">
        <f>LAVORAZIONI!M478</f>
        <v/>
      </c>
      <c r="G85" s="5">
        <f>LAVORAZIONI!N478</f>
        <v/>
      </c>
      <c r="H85" s="6">
        <f>LAVORAZIONI!O478</f>
        <v/>
      </c>
      <c r="I85" s="13">
        <f>LAVORAZIONI!P478</f>
        <v/>
      </c>
      <c r="J85" s="5">
        <f>IF(LAVORAZIONI!Q478="","",LAVORAZIONI!Q478)</f>
        <v/>
      </c>
      <c r="K85" s="6">
        <f>IF(LAVORAZIONI!R478="","",LAVORAZIONI!R478)</f>
        <v/>
      </c>
      <c r="L85" s="13">
        <f>IF(LAVORAZIONI!S478="","",LAVORAZIONI!S478)</f>
        <v/>
      </c>
      <c r="M85" s="13">
        <f>LAVORAZIONI!T478</f>
        <v/>
      </c>
      <c r="O85" s="7">
        <f>LAVORAZIONI!U478</f>
        <v/>
      </c>
      <c r="P85" s="37">
        <f>LAVORAZIONI!V478</f>
        <v/>
      </c>
      <c r="Q85" s="7">
        <f>LAVORAZIONI!W478</f>
        <v/>
      </c>
      <c r="R85" s="6">
        <f>LAVORAZIONI!X478</f>
        <v/>
      </c>
      <c r="S85" s="7">
        <f>LAVORAZIONI!Y478</f>
        <v/>
      </c>
      <c r="T85" s="6">
        <f>LAVORAZIONI!Z478</f>
        <v/>
      </c>
      <c r="U85" s="7">
        <f>LAVORAZIONI!AA478</f>
        <v/>
      </c>
      <c r="V85" s="6">
        <f>LAVORAZIONI!AB478</f>
        <v/>
      </c>
      <c r="W85" s="7">
        <f>LAVORAZIONI!AC478</f>
        <v/>
      </c>
      <c r="X85" s="6">
        <f>LAVORAZIONI!AD478</f>
        <v/>
      </c>
      <c r="Y85" s="7">
        <f>LAVORAZIONI!AE478</f>
        <v/>
      </c>
      <c r="Z85" s="6">
        <f>LAVORAZIONI!AF478</f>
        <v/>
      </c>
      <c r="AA85" s="7">
        <f>LAVORAZIONI!AG478</f>
        <v/>
      </c>
      <c r="AB85" s="6">
        <f>LAVORAZIONI!AH478</f>
        <v/>
      </c>
      <c r="AC85" s="7">
        <f>LAVORAZIONI!AI478</f>
        <v/>
      </c>
      <c r="AD85" s="13">
        <f>LAVORAZIONI!AJ478</f>
        <v/>
      </c>
    </row>
    <row r="86" ht="64" customHeight="1" s="35">
      <c r="B86" s="4">
        <f>LAVORAZIONI!G479</f>
        <v/>
      </c>
      <c r="C86" s="3">
        <f>LAVORAZIONI!A479</f>
        <v/>
      </c>
      <c r="D86" s="3">
        <f>LAVORAZIONI!K479</f>
        <v/>
      </c>
      <c r="E86" s="4">
        <f>LAVORAZIONI!H479</f>
        <v/>
      </c>
      <c r="F86" s="4">
        <f>LAVORAZIONI!M479</f>
        <v/>
      </c>
      <c r="G86" s="5">
        <f>LAVORAZIONI!N479</f>
        <v/>
      </c>
      <c r="H86" s="6">
        <f>LAVORAZIONI!O479</f>
        <v/>
      </c>
      <c r="I86" s="13">
        <f>LAVORAZIONI!P479</f>
        <v/>
      </c>
      <c r="J86" s="5">
        <f>IF(LAVORAZIONI!Q479="","",LAVORAZIONI!Q479)</f>
        <v/>
      </c>
      <c r="K86" s="6">
        <f>IF(LAVORAZIONI!R479="","",LAVORAZIONI!R479)</f>
        <v/>
      </c>
      <c r="L86" s="13">
        <f>IF(LAVORAZIONI!S479="","",LAVORAZIONI!S479)</f>
        <v/>
      </c>
      <c r="M86" s="13">
        <f>LAVORAZIONI!T479</f>
        <v/>
      </c>
      <c r="O86" s="7">
        <f>LAVORAZIONI!U479</f>
        <v/>
      </c>
      <c r="P86" s="37">
        <f>LAVORAZIONI!V479</f>
        <v/>
      </c>
      <c r="Q86" s="7">
        <f>LAVORAZIONI!W479</f>
        <v/>
      </c>
      <c r="R86" s="6">
        <f>LAVORAZIONI!X479</f>
        <v/>
      </c>
      <c r="S86" s="7">
        <f>LAVORAZIONI!Y479</f>
        <v/>
      </c>
      <c r="T86" s="6">
        <f>LAVORAZIONI!Z479</f>
        <v/>
      </c>
      <c r="U86" s="7">
        <f>LAVORAZIONI!AA479</f>
        <v/>
      </c>
      <c r="V86" s="6">
        <f>LAVORAZIONI!AB479</f>
        <v/>
      </c>
      <c r="W86" s="7">
        <f>LAVORAZIONI!AC479</f>
        <v/>
      </c>
      <c r="X86" s="6">
        <f>LAVORAZIONI!AD479</f>
        <v/>
      </c>
      <c r="Y86" s="7">
        <f>LAVORAZIONI!AE479</f>
        <v/>
      </c>
      <c r="Z86" s="6">
        <f>LAVORAZIONI!AF479</f>
        <v/>
      </c>
      <c r="AA86" s="7">
        <f>LAVORAZIONI!AG479</f>
        <v/>
      </c>
      <c r="AB86" s="6">
        <f>LAVORAZIONI!AH479</f>
        <v/>
      </c>
      <c r="AC86" s="7">
        <f>LAVORAZIONI!AI479</f>
        <v/>
      </c>
      <c r="AD86" s="13">
        <f>LAVORAZIONI!AJ479</f>
        <v/>
      </c>
    </row>
    <row r="87" ht="64" customHeight="1" s="35">
      <c r="B87" s="4">
        <f>LAVORAZIONI!G480</f>
        <v/>
      </c>
      <c r="C87" s="3">
        <f>LAVORAZIONI!A480</f>
        <v/>
      </c>
      <c r="D87" s="3">
        <f>LAVORAZIONI!K480</f>
        <v/>
      </c>
      <c r="E87" s="4">
        <f>LAVORAZIONI!H480</f>
        <v/>
      </c>
      <c r="F87" s="4">
        <f>LAVORAZIONI!M480</f>
        <v/>
      </c>
      <c r="G87" s="5">
        <f>LAVORAZIONI!N480</f>
        <v/>
      </c>
      <c r="H87" s="6">
        <f>LAVORAZIONI!O480</f>
        <v/>
      </c>
      <c r="I87" s="13">
        <f>LAVORAZIONI!P480</f>
        <v/>
      </c>
      <c r="J87" s="5">
        <f>IF(LAVORAZIONI!Q480="","",LAVORAZIONI!Q480)</f>
        <v/>
      </c>
      <c r="K87" s="6">
        <f>IF(LAVORAZIONI!R480="","",LAVORAZIONI!R480)</f>
        <v/>
      </c>
      <c r="L87" s="13">
        <f>IF(LAVORAZIONI!S480="","",LAVORAZIONI!S480)</f>
        <v/>
      </c>
      <c r="M87" s="13">
        <f>LAVORAZIONI!T480</f>
        <v/>
      </c>
      <c r="O87" s="7">
        <f>LAVORAZIONI!U480</f>
        <v/>
      </c>
      <c r="P87" s="37">
        <f>LAVORAZIONI!V480</f>
        <v/>
      </c>
      <c r="Q87" s="7">
        <f>LAVORAZIONI!W480</f>
        <v/>
      </c>
      <c r="R87" s="6">
        <f>LAVORAZIONI!X480</f>
        <v/>
      </c>
      <c r="S87" s="7">
        <f>LAVORAZIONI!Y480</f>
        <v/>
      </c>
      <c r="T87" s="6">
        <f>LAVORAZIONI!Z480</f>
        <v/>
      </c>
      <c r="U87" s="7">
        <f>LAVORAZIONI!AA480</f>
        <v/>
      </c>
      <c r="V87" s="6">
        <f>LAVORAZIONI!AB480</f>
        <v/>
      </c>
      <c r="W87" s="7">
        <f>LAVORAZIONI!AC480</f>
        <v/>
      </c>
      <c r="X87" s="6">
        <f>LAVORAZIONI!AD480</f>
        <v/>
      </c>
      <c r="Y87" s="7">
        <f>LAVORAZIONI!AE480</f>
        <v/>
      </c>
      <c r="Z87" s="6">
        <f>LAVORAZIONI!AF480</f>
        <v/>
      </c>
      <c r="AA87" s="7">
        <f>LAVORAZIONI!AG480</f>
        <v/>
      </c>
      <c r="AB87" s="6">
        <f>LAVORAZIONI!AH480</f>
        <v/>
      </c>
      <c r="AC87" s="7">
        <f>LAVORAZIONI!AI480</f>
        <v/>
      </c>
      <c r="AD87" s="13">
        <f>LAVORAZIONI!AJ480</f>
        <v/>
      </c>
    </row>
    <row r="88" ht="64" customHeight="1" s="35">
      <c r="B88" s="4">
        <f>LAVORAZIONI!G481</f>
        <v/>
      </c>
      <c r="C88" s="3">
        <f>LAVORAZIONI!A481</f>
        <v/>
      </c>
      <c r="D88" s="3">
        <f>LAVORAZIONI!K481</f>
        <v/>
      </c>
      <c r="E88" s="4">
        <f>LAVORAZIONI!H481</f>
        <v/>
      </c>
      <c r="F88" s="4">
        <f>LAVORAZIONI!M481</f>
        <v/>
      </c>
      <c r="G88" s="5">
        <f>LAVORAZIONI!N481</f>
        <v/>
      </c>
      <c r="H88" s="6">
        <f>LAVORAZIONI!O481</f>
        <v/>
      </c>
      <c r="I88" s="13">
        <f>LAVORAZIONI!P481</f>
        <v/>
      </c>
      <c r="J88" s="5">
        <f>IF(LAVORAZIONI!Q481="","",LAVORAZIONI!Q481)</f>
        <v/>
      </c>
      <c r="K88" s="6">
        <f>IF(LAVORAZIONI!R481="","",LAVORAZIONI!R481)</f>
        <v/>
      </c>
      <c r="L88" s="13">
        <f>IF(LAVORAZIONI!S481="","",LAVORAZIONI!S481)</f>
        <v/>
      </c>
      <c r="M88" s="13">
        <f>LAVORAZIONI!T481</f>
        <v/>
      </c>
      <c r="O88" s="7">
        <f>LAVORAZIONI!U481</f>
        <v/>
      </c>
      <c r="P88" s="37">
        <f>LAVORAZIONI!V481</f>
        <v/>
      </c>
      <c r="Q88" s="7">
        <f>LAVORAZIONI!W481</f>
        <v/>
      </c>
      <c r="R88" s="6">
        <f>LAVORAZIONI!X481</f>
        <v/>
      </c>
      <c r="S88" s="7">
        <f>LAVORAZIONI!Y481</f>
        <v/>
      </c>
      <c r="T88" s="6">
        <f>LAVORAZIONI!Z481</f>
        <v/>
      </c>
      <c r="U88" s="7">
        <f>LAVORAZIONI!AA481</f>
        <v/>
      </c>
      <c r="V88" s="6">
        <f>LAVORAZIONI!AB481</f>
        <v/>
      </c>
      <c r="W88" s="7">
        <f>LAVORAZIONI!AC481</f>
        <v/>
      </c>
      <c r="X88" s="6">
        <f>LAVORAZIONI!AD481</f>
        <v/>
      </c>
      <c r="Y88" s="7">
        <f>LAVORAZIONI!AE481</f>
        <v/>
      </c>
      <c r="Z88" s="6">
        <f>LAVORAZIONI!AF481</f>
        <v/>
      </c>
      <c r="AA88" s="7">
        <f>LAVORAZIONI!AG481</f>
        <v/>
      </c>
      <c r="AB88" s="6">
        <f>LAVORAZIONI!AH481</f>
        <v/>
      </c>
      <c r="AC88" s="7">
        <f>LAVORAZIONI!AI481</f>
        <v/>
      </c>
      <c r="AD88" s="13">
        <f>LAVORAZIONI!AJ481</f>
        <v/>
      </c>
    </row>
    <row r="89" ht="64" customHeight="1" s="35">
      <c r="B89" s="4">
        <f>LAVORAZIONI!G482</f>
        <v/>
      </c>
      <c r="C89" s="3">
        <f>LAVORAZIONI!A482</f>
        <v/>
      </c>
      <c r="D89" s="3">
        <f>LAVORAZIONI!K482</f>
        <v/>
      </c>
      <c r="E89" s="4">
        <f>LAVORAZIONI!H482</f>
        <v/>
      </c>
      <c r="F89" s="4">
        <f>LAVORAZIONI!M482</f>
        <v/>
      </c>
      <c r="G89" s="5">
        <f>LAVORAZIONI!N482</f>
        <v/>
      </c>
      <c r="H89" s="6">
        <f>LAVORAZIONI!O482</f>
        <v/>
      </c>
      <c r="I89" s="13">
        <f>LAVORAZIONI!P482</f>
        <v/>
      </c>
      <c r="J89" s="5">
        <f>IF(LAVORAZIONI!Q482="","",LAVORAZIONI!Q482)</f>
        <v/>
      </c>
      <c r="K89" s="6">
        <f>IF(LAVORAZIONI!R482="","",LAVORAZIONI!R482)</f>
        <v/>
      </c>
      <c r="L89" s="13">
        <f>IF(LAVORAZIONI!S482="","",LAVORAZIONI!S482)</f>
        <v/>
      </c>
      <c r="M89" s="13">
        <f>LAVORAZIONI!T482</f>
        <v/>
      </c>
      <c r="O89" s="7">
        <f>LAVORAZIONI!U482</f>
        <v/>
      </c>
      <c r="P89" s="37">
        <f>LAVORAZIONI!V482</f>
        <v/>
      </c>
      <c r="Q89" s="7">
        <f>LAVORAZIONI!W482</f>
        <v/>
      </c>
      <c r="R89" s="6">
        <f>LAVORAZIONI!X482</f>
        <v/>
      </c>
      <c r="S89" s="7">
        <f>LAVORAZIONI!Y482</f>
        <v/>
      </c>
      <c r="T89" s="6">
        <f>LAVORAZIONI!Z482</f>
        <v/>
      </c>
      <c r="U89" s="7">
        <f>LAVORAZIONI!AA482</f>
        <v/>
      </c>
      <c r="V89" s="6">
        <f>LAVORAZIONI!AB482</f>
        <v/>
      </c>
      <c r="W89" s="7">
        <f>LAVORAZIONI!AC482</f>
        <v/>
      </c>
      <c r="X89" s="6">
        <f>LAVORAZIONI!AD482</f>
        <v/>
      </c>
      <c r="Y89" s="7">
        <f>LAVORAZIONI!AE482</f>
        <v/>
      </c>
      <c r="Z89" s="6">
        <f>LAVORAZIONI!AF482</f>
        <v/>
      </c>
      <c r="AA89" s="7">
        <f>LAVORAZIONI!AG482</f>
        <v/>
      </c>
      <c r="AB89" s="6">
        <f>LAVORAZIONI!AH482</f>
        <v/>
      </c>
      <c r="AC89" s="7">
        <f>LAVORAZIONI!AI482</f>
        <v/>
      </c>
      <c r="AD89" s="13">
        <f>LAVORAZIONI!AJ482</f>
        <v/>
      </c>
    </row>
    <row r="90" ht="64" customHeight="1" s="35">
      <c r="B90" s="4">
        <f>LAVORAZIONI!G483</f>
        <v/>
      </c>
      <c r="C90" s="3">
        <f>LAVORAZIONI!A483</f>
        <v/>
      </c>
      <c r="D90" s="3">
        <f>LAVORAZIONI!K483</f>
        <v/>
      </c>
      <c r="E90" s="4">
        <f>LAVORAZIONI!H483</f>
        <v/>
      </c>
      <c r="F90" s="4">
        <f>LAVORAZIONI!M483</f>
        <v/>
      </c>
      <c r="G90" s="5">
        <f>LAVORAZIONI!N483</f>
        <v/>
      </c>
      <c r="H90" s="6">
        <f>LAVORAZIONI!O483</f>
        <v/>
      </c>
      <c r="I90" s="13">
        <f>LAVORAZIONI!P483</f>
        <v/>
      </c>
      <c r="J90" s="5">
        <f>IF(LAVORAZIONI!Q483="","",LAVORAZIONI!Q483)</f>
        <v/>
      </c>
      <c r="K90" s="6">
        <f>IF(LAVORAZIONI!R483="","",LAVORAZIONI!R483)</f>
        <v/>
      </c>
      <c r="L90" s="13">
        <f>IF(LAVORAZIONI!S483="","",LAVORAZIONI!S483)</f>
        <v/>
      </c>
      <c r="M90" s="13">
        <f>LAVORAZIONI!T483</f>
        <v/>
      </c>
      <c r="O90" s="7">
        <f>LAVORAZIONI!U483</f>
        <v/>
      </c>
      <c r="P90" s="37">
        <f>LAVORAZIONI!V483</f>
        <v/>
      </c>
      <c r="Q90" s="7">
        <f>LAVORAZIONI!W483</f>
        <v/>
      </c>
      <c r="R90" s="6">
        <f>LAVORAZIONI!X483</f>
        <v/>
      </c>
      <c r="S90" s="7">
        <f>LAVORAZIONI!Y483</f>
        <v/>
      </c>
      <c r="T90" s="6">
        <f>LAVORAZIONI!Z483</f>
        <v/>
      </c>
      <c r="U90" s="7">
        <f>LAVORAZIONI!AA483</f>
        <v/>
      </c>
      <c r="V90" s="6">
        <f>LAVORAZIONI!AB483</f>
        <v/>
      </c>
      <c r="W90" s="7">
        <f>LAVORAZIONI!AC483</f>
        <v/>
      </c>
      <c r="X90" s="6">
        <f>LAVORAZIONI!AD483</f>
        <v/>
      </c>
      <c r="Y90" s="7">
        <f>LAVORAZIONI!AE483</f>
        <v/>
      </c>
      <c r="Z90" s="6">
        <f>LAVORAZIONI!AF483</f>
        <v/>
      </c>
      <c r="AA90" s="7">
        <f>LAVORAZIONI!AG483</f>
        <v/>
      </c>
      <c r="AB90" s="6">
        <f>LAVORAZIONI!AH483</f>
        <v/>
      </c>
      <c r="AC90" s="7">
        <f>LAVORAZIONI!AI483</f>
        <v/>
      </c>
      <c r="AD90" s="13">
        <f>LAVORAZIONI!AJ483</f>
        <v/>
      </c>
    </row>
    <row r="91" ht="64" customHeight="1" s="35">
      <c r="B91" s="4">
        <f>LAVORAZIONI!G484</f>
        <v/>
      </c>
      <c r="C91" s="3">
        <f>LAVORAZIONI!A484</f>
        <v/>
      </c>
      <c r="D91" s="3">
        <f>LAVORAZIONI!K484</f>
        <v/>
      </c>
      <c r="E91" s="4">
        <f>LAVORAZIONI!H484</f>
        <v/>
      </c>
      <c r="F91" s="4">
        <f>LAVORAZIONI!M484</f>
        <v/>
      </c>
      <c r="G91" s="5">
        <f>LAVORAZIONI!N484</f>
        <v/>
      </c>
      <c r="H91" s="6">
        <f>LAVORAZIONI!O484</f>
        <v/>
      </c>
      <c r="I91" s="13">
        <f>LAVORAZIONI!P484</f>
        <v/>
      </c>
      <c r="J91" s="5">
        <f>IF(LAVORAZIONI!Q484="","",LAVORAZIONI!Q484)</f>
        <v/>
      </c>
      <c r="K91" s="6">
        <f>IF(LAVORAZIONI!R484="","",LAVORAZIONI!R484)</f>
        <v/>
      </c>
      <c r="L91" s="13">
        <f>IF(LAVORAZIONI!S484="","",LAVORAZIONI!S484)</f>
        <v/>
      </c>
      <c r="M91" s="13">
        <f>LAVORAZIONI!T484</f>
        <v/>
      </c>
      <c r="O91" s="7">
        <f>LAVORAZIONI!U484</f>
        <v/>
      </c>
      <c r="P91" s="37">
        <f>LAVORAZIONI!V484</f>
        <v/>
      </c>
      <c r="Q91" s="7">
        <f>LAVORAZIONI!W484</f>
        <v/>
      </c>
      <c r="R91" s="6">
        <f>LAVORAZIONI!X484</f>
        <v/>
      </c>
      <c r="S91" s="7">
        <f>LAVORAZIONI!Y484</f>
        <v/>
      </c>
      <c r="T91" s="6">
        <f>LAVORAZIONI!Z484</f>
        <v/>
      </c>
      <c r="U91" s="7">
        <f>LAVORAZIONI!AA484</f>
        <v/>
      </c>
      <c r="V91" s="6">
        <f>LAVORAZIONI!AB484</f>
        <v/>
      </c>
      <c r="W91" s="7">
        <f>LAVORAZIONI!AC484</f>
        <v/>
      </c>
      <c r="X91" s="6">
        <f>LAVORAZIONI!AD484</f>
        <v/>
      </c>
      <c r="Y91" s="7">
        <f>LAVORAZIONI!AE484</f>
        <v/>
      </c>
      <c r="Z91" s="6">
        <f>LAVORAZIONI!AF484</f>
        <v/>
      </c>
      <c r="AA91" s="7">
        <f>LAVORAZIONI!AG484</f>
        <v/>
      </c>
      <c r="AB91" s="6">
        <f>LAVORAZIONI!AH484</f>
        <v/>
      </c>
      <c r="AC91" s="7">
        <f>LAVORAZIONI!AI484</f>
        <v/>
      </c>
      <c r="AD91" s="13">
        <f>LAVORAZIONI!AJ484</f>
        <v/>
      </c>
    </row>
    <row r="92" ht="64" customHeight="1" s="35">
      <c r="B92" s="4">
        <f>LAVORAZIONI!G485</f>
        <v/>
      </c>
      <c r="C92" s="3">
        <f>LAVORAZIONI!A485</f>
        <v/>
      </c>
      <c r="D92" s="3">
        <f>LAVORAZIONI!K485</f>
        <v/>
      </c>
      <c r="E92" s="4">
        <f>LAVORAZIONI!H485</f>
        <v/>
      </c>
      <c r="F92" s="4">
        <f>LAVORAZIONI!M485</f>
        <v/>
      </c>
      <c r="G92" s="5">
        <f>LAVORAZIONI!N485</f>
        <v/>
      </c>
      <c r="H92" s="6">
        <f>LAVORAZIONI!O485</f>
        <v/>
      </c>
      <c r="I92" s="13">
        <f>LAVORAZIONI!P485</f>
        <v/>
      </c>
      <c r="J92" s="5">
        <f>IF(LAVORAZIONI!Q485="","",LAVORAZIONI!Q485)</f>
        <v/>
      </c>
      <c r="K92" s="6">
        <f>IF(LAVORAZIONI!R485="","",LAVORAZIONI!R485)</f>
        <v/>
      </c>
      <c r="L92" s="13">
        <f>IF(LAVORAZIONI!S485="","",LAVORAZIONI!S485)</f>
        <v/>
      </c>
      <c r="M92" s="13">
        <f>LAVORAZIONI!T485</f>
        <v/>
      </c>
      <c r="O92" s="7">
        <f>LAVORAZIONI!U485</f>
        <v/>
      </c>
      <c r="P92" s="37">
        <f>LAVORAZIONI!V485</f>
        <v/>
      </c>
      <c r="Q92" s="7">
        <f>LAVORAZIONI!W485</f>
        <v/>
      </c>
      <c r="R92" s="6">
        <f>LAVORAZIONI!X485</f>
        <v/>
      </c>
      <c r="S92" s="7">
        <f>LAVORAZIONI!Y485</f>
        <v/>
      </c>
      <c r="T92" s="6">
        <f>LAVORAZIONI!Z485</f>
        <v/>
      </c>
      <c r="U92" s="7">
        <f>LAVORAZIONI!AA485</f>
        <v/>
      </c>
      <c r="V92" s="6">
        <f>LAVORAZIONI!AB485</f>
        <v/>
      </c>
      <c r="W92" s="7">
        <f>LAVORAZIONI!AC485</f>
        <v/>
      </c>
      <c r="X92" s="6">
        <f>LAVORAZIONI!AD485</f>
        <v/>
      </c>
      <c r="Y92" s="7">
        <f>LAVORAZIONI!AE485</f>
        <v/>
      </c>
      <c r="Z92" s="6">
        <f>LAVORAZIONI!AF485</f>
        <v/>
      </c>
      <c r="AA92" s="7">
        <f>LAVORAZIONI!AG485</f>
        <v/>
      </c>
      <c r="AB92" s="6">
        <f>LAVORAZIONI!AH485</f>
        <v/>
      </c>
      <c r="AC92" s="7">
        <f>LAVORAZIONI!AI485</f>
        <v/>
      </c>
      <c r="AD92" s="13">
        <f>LAVORAZIONI!AJ485</f>
        <v/>
      </c>
    </row>
    <row r="93" ht="64" customHeight="1" s="35">
      <c r="B93" s="4">
        <f>LAVORAZIONI!G486</f>
        <v/>
      </c>
      <c r="C93" s="3">
        <f>LAVORAZIONI!A486</f>
        <v/>
      </c>
      <c r="D93" s="3">
        <f>LAVORAZIONI!K486</f>
        <v/>
      </c>
      <c r="E93" s="4">
        <f>LAVORAZIONI!H486</f>
        <v/>
      </c>
      <c r="F93" s="4">
        <f>LAVORAZIONI!M486</f>
        <v/>
      </c>
      <c r="G93" s="5">
        <f>LAVORAZIONI!N486</f>
        <v/>
      </c>
      <c r="H93" s="6">
        <f>LAVORAZIONI!O486</f>
        <v/>
      </c>
      <c r="I93" s="13">
        <f>LAVORAZIONI!P486</f>
        <v/>
      </c>
      <c r="J93" s="5">
        <f>IF(LAVORAZIONI!Q486="","",LAVORAZIONI!Q486)</f>
        <v/>
      </c>
      <c r="K93" s="6">
        <f>IF(LAVORAZIONI!R486="","",LAVORAZIONI!R486)</f>
        <v/>
      </c>
      <c r="L93" s="13">
        <f>IF(LAVORAZIONI!S486="","",LAVORAZIONI!S486)</f>
        <v/>
      </c>
      <c r="M93" s="13">
        <f>LAVORAZIONI!T486</f>
        <v/>
      </c>
      <c r="O93" s="7">
        <f>LAVORAZIONI!U486</f>
        <v/>
      </c>
      <c r="P93" s="37">
        <f>LAVORAZIONI!V486</f>
        <v/>
      </c>
      <c r="Q93" s="7">
        <f>LAVORAZIONI!W486</f>
        <v/>
      </c>
      <c r="R93" s="6">
        <f>LAVORAZIONI!X486</f>
        <v/>
      </c>
      <c r="S93" s="7">
        <f>LAVORAZIONI!Y486</f>
        <v/>
      </c>
      <c r="T93" s="6">
        <f>LAVORAZIONI!Z486</f>
        <v/>
      </c>
      <c r="U93" s="7">
        <f>LAVORAZIONI!AA486</f>
        <v/>
      </c>
      <c r="V93" s="6">
        <f>LAVORAZIONI!AB486</f>
        <v/>
      </c>
      <c r="W93" s="7">
        <f>LAVORAZIONI!AC486</f>
        <v/>
      </c>
      <c r="X93" s="6">
        <f>LAVORAZIONI!AD486</f>
        <v/>
      </c>
      <c r="Y93" s="7">
        <f>LAVORAZIONI!AE486</f>
        <v/>
      </c>
      <c r="Z93" s="6">
        <f>LAVORAZIONI!AF486</f>
        <v/>
      </c>
      <c r="AA93" s="7">
        <f>LAVORAZIONI!AG486</f>
        <v/>
      </c>
      <c r="AB93" s="6">
        <f>LAVORAZIONI!AH486</f>
        <v/>
      </c>
      <c r="AC93" s="7">
        <f>LAVORAZIONI!AI486</f>
        <v/>
      </c>
      <c r="AD93" s="13">
        <f>LAVORAZIONI!AJ486</f>
        <v/>
      </c>
    </row>
    <row r="94" ht="64" customHeight="1" s="35">
      <c r="B94" s="4">
        <f>LAVORAZIONI!G487</f>
        <v/>
      </c>
      <c r="C94" s="3">
        <f>LAVORAZIONI!A487</f>
        <v/>
      </c>
      <c r="D94" s="3">
        <f>LAVORAZIONI!K487</f>
        <v/>
      </c>
      <c r="E94" s="4">
        <f>LAVORAZIONI!H487</f>
        <v/>
      </c>
      <c r="F94" s="4">
        <f>LAVORAZIONI!M487</f>
        <v/>
      </c>
      <c r="G94" s="5">
        <f>LAVORAZIONI!N487</f>
        <v/>
      </c>
      <c r="H94" s="6">
        <f>LAVORAZIONI!O487</f>
        <v/>
      </c>
      <c r="I94" s="13">
        <f>LAVORAZIONI!P487</f>
        <v/>
      </c>
      <c r="J94" s="5">
        <f>IF(LAVORAZIONI!Q487="","",LAVORAZIONI!Q487)</f>
        <v/>
      </c>
      <c r="K94" s="6">
        <f>IF(LAVORAZIONI!R487="","",LAVORAZIONI!R487)</f>
        <v/>
      </c>
      <c r="L94" s="13">
        <f>IF(LAVORAZIONI!S487="","",LAVORAZIONI!S487)</f>
        <v/>
      </c>
      <c r="M94" s="13">
        <f>LAVORAZIONI!T487</f>
        <v/>
      </c>
      <c r="O94" s="7">
        <f>LAVORAZIONI!U487</f>
        <v/>
      </c>
      <c r="P94" s="37">
        <f>LAVORAZIONI!V487</f>
        <v/>
      </c>
      <c r="Q94" s="7">
        <f>LAVORAZIONI!W487</f>
        <v/>
      </c>
      <c r="R94" s="6">
        <f>LAVORAZIONI!X487</f>
        <v/>
      </c>
      <c r="S94" s="7">
        <f>LAVORAZIONI!Y487</f>
        <v/>
      </c>
      <c r="T94" s="6">
        <f>LAVORAZIONI!Z487</f>
        <v/>
      </c>
      <c r="U94" s="7">
        <f>LAVORAZIONI!AA487</f>
        <v/>
      </c>
      <c r="V94" s="6">
        <f>LAVORAZIONI!AB487</f>
        <v/>
      </c>
      <c r="W94" s="7">
        <f>LAVORAZIONI!AC487</f>
        <v/>
      </c>
      <c r="X94" s="6">
        <f>LAVORAZIONI!AD487</f>
        <v/>
      </c>
      <c r="Y94" s="7">
        <f>LAVORAZIONI!AE487</f>
        <v/>
      </c>
      <c r="Z94" s="6">
        <f>LAVORAZIONI!AF487</f>
        <v/>
      </c>
      <c r="AA94" s="7">
        <f>LAVORAZIONI!AG487</f>
        <v/>
      </c>
      <c r="AB94" s="6">
        <f>LAVORAZIONI!AH487</f>
        <v/>
      </c>
      <c r="AC94" s="7">
        <f>LAVORAZIONI!AI487</f>
        <v/>
      </c>
      <c r="AD94" s="13">
        <f>LAVORAZIONI!AJ487</f>
        <v/>
      </c>
    </row>
    <row r="95" ht="64" customHeight="1" s="35">
      <c r="B95" s="4">
        <f>LAVORAZIONI!G488</f>
        <v/>
      </c>
      <c r="C95" s="3">
        <f>LAVORAZIONI!A488</f>
        <v/>
      </c>
      <c r="D95" s="3">
        <f>LAVORAZIONI!K488</f>
        <v/>
      </c>
      <c r="E95" s="4">
        <f>LAVORAZIONI!H488</f>
        <v/>
      </c>
      <c r="F95" s="4">
        <f>LAVORAZIONI!M488</f>
        <v/>
      </c>
      <c r="G95" s="5">
        <f>LAVORAZIONI!N488</f>
        <v/>
      </c>
      <c r="H95" s="6">
        <f>LAVORAZIONI!O488</f>
        <v/>
      </c>
      <c r="I95" s="13">
        <f>LAVORAZIONI!P488</f>
        <v/>
      </c>
      <c r="J95" s="5">
        <f>IF(LAVORAZIONI!Q488="","",LAVORAZIONI!Q488)</f>
        <v/>
      </c>
      <c r="K95" s="6">
        <f>IF(LAVORAZIONI!R488="","",LAVORAZIONI!R488)</f>
        <v/>
      </c>
      <c r="L95" s="13">
        <f>IF(LAVORAZIONI!S488="","",LAVORAZIONI!S488)</f>
        <v/>
      </c>
      <c r="M95" s="13">
        <f>LAVORAZIONI!T488</f>
        <v/>
      </c>
      <c r="O95" s="7">
        <f>LAVORAZIONI!U488</f>
        <v/>
      </c>
      <c r="P95" s="37">
        <f>LAVORAZIONI!V488</f>
        <v/>
      </c>
      <c r="Q95" s="7">
        <f>LAVORAZIONI!W488</f>
        <v/>
      </c>
      <c r="R95" s="6">
        <f>LAVORAZIONI!X488</f>
        <v/>
      </c>
      <c r="S95" s="7">
        <f>LAVORAZIONI!Y488</f>
        <v/>
      </c>
      <c r="T95" s="6">
        <f>LAVORAZIONI!Z488</f>
        <v/>
      </c>
      <c r="U95" s="7">
        <f>LAVORAZIONI!AA488</f>
        <v/>
      </c>
      <c r="V95" s="6">
        <f>LAVORAZIONI!AB488</f>
        <v/>
      </c>
      <c r="W95" s="7">
        <f>LAVORAZIONI!AC488</f>
        <v/>
      </c>
      <c r="X95" s="6">
        <f>LAVORAZIONI!AD488</f>
        <v/>
      </c>
      <c r="Y95" s="7">
        <f>LAVORAZIONI!AE488</f>
        <v/>
      </c>
      <c r="Z95" s="6">
        <f>LAVORAZIONI!AF488</f>
        <v/>
      </c>
      <c r="AA95" s="7">
        <f>LAVORAZIONI!AG488</f>
        <v/>
      </c>
      <c r="AB95" s="6">
        <f>LAVORAZIONI!AH488</f>
        <v/>
      </c>
      <c r="AC95" s="7">
        <f>LAVORAZIONI!AI488</f>
        <v/>
      </c>
      <c r="AD95" s="13">
        <f>LAVORAZIONI!AJ488</f>
        <v/>
      </c>
    </row>
    <row r="96" ht="64" customHeight="1" s="35">
      <c r="B96" s="4">
        <f>LAVORAZIONI!G489</f>
        <v/>
      </c>
      <c r="C96" s="3">
        <f>LAVORAZIONI!A489</f>
        <v/>
      </c>
      <c r="D96" s="3">
        <f>LAVORAZIONI!K489</f>
        <v/>
      </c>
      <c r="E96" s="4">
        <f>LAVORAZIONI!H489</f>
        <v/>
      </c>
      <c r="F96" s="4">
        <f>LAVORAZIONI!M489</f>
        <v/>
      </c>
      <c r="G96" s="5">
        <f>LAVORAZIONI!N489</f>
        <v/>
      </c>
      <c r="H96" s="6">
        <f>LAVORAZIONI!O489</f>
        <v/>
      </c>
      <c r="I96" s="13">
        <f>LAVORAZIONI!P489</f>
        <v/>
      </c>
      <c r="J96" s="5">
        <f>IF(LAVORAZIONI!Q489="","",LAVORAZIONI!Q489)</f>
        <v/>
      </c>
      <c r="K96" s="6">
        <f>IF(LAVORAZIONI!R489="","",LAVORAZIONI!R489)</f>
        <v/>
      </c>
      <c r="L96" s="13">
        <f>IF(LAVORAZIONI!S489="","",LAVORAZIONI!S489)</f>
        <v/>
      </c>
      <c r="M96" s="13">
        <f>LAVORAZIONI!T489</f>
        <v/>
      </c>
      <c r="O96" s="7">
        <f>LAVORAZIONI!U489</f>
        <v/>
      </c>
      <c r="P96" s="37">
        <f>LAVORAZIONI!V489</f>
        <v/>
      </c>
      <c r="Q96" s="7">
        <f>LAVORAZIONI!W489</f>
        <v/>
      </c>
      <c r="R96" s="6">
        <f>LAVORAZIONI!X489</f>
        <v/>
      </c>
      <c r="S96" s="7">
        <f>LAVORAZIONI!Y489</f>
        <v/>
      </c>
      <c r="T96" s="6">
        <f>LAVORAZIONI!Z489</f>
        <v/>
      </c>
      <c r="U96" s="7">
        <f>LAVORAZIONI!AA489</f>
        <v/>
      </c>
      <c r="V96" s="6">
        <f>LAVORAZIONI!AB489</f>
        <v/>
      </c>
      <c r="W96" s="7">
        <f>LAVORAZIONI!AC489</f>
        <v/>
      </c>
      <c r="X96" s="6">
        <f>LAVORAZIONI!AD489</f>
        <v/>
      </c>
      <c r="Y96" s="7">
        <f>LAVORAZIONI!AE489</f>
        <v/>
      </c>
      <c r="Z96" s="6">
        <f>LAVORAZIONI!AF489</f>
        <v/>
      </c>
      <c r="AA96" s="7">
        <f>LAVORAZIONI!AG489</f>
        <v/>
      </c>
      <c r="AB96" s="6">
        <f>LAVORAZIONI!AH489</f>
        <v/>
      </c>
      <c r="AC96" s="7">
        <f>LAVORAZIONI!AI489</f>
        <v/>
      </c>
      <c r="AD96" s="13">
        <f>LAVORAZIONI!AJ489</f>
        <v/>
      </c>
    </row>
    <row r="97" ht="64" customHeight="1" s="35">
      <c r="B97" s="4">
        <f>LAVORAZIONI!G490</f>
        <v/>
      </c>
      <c r="C97" s="3">
        <f>LAVORAZIONI!A490</f>
        <v/>
      </c>
      <c r="D97" s="3">
        <f>LAVORAZIONI!K490</f>
        <v/>
      </c>
      <c r="E97" s="4">
        <f>LAVORAZIONI!H490</f>
        <v/>
      </c>
      <c r="F97" s="4">
        <f>LAVORAZIONI!M490</f>
        <v/>
      </c>
      <c r="G97" s="5">
        <f>LAVORAZIONI!N490</f>
        <v/>
      </c>
      <c r="H97" s="6">
        <f>LAVORAZIONI!O490</f>
        <v/>
      </c>
      <c r="I97" s="13">
        <f>LAVORAZIONI!P490</f>
        <v/>
      </c>
      <c r="J97" s="5">
        <f>IF(LAVORAZIONI!Q490="","",LAVORAZIONI!Q490)</f>
        <v/>
      </c>
      <c r="K97" s="6">
        <f>IF(LAVORAZIONI!R490="","",LAVORAZIONI!R490)</f>
        <v/>
      </c>
      <c r="L97" s="13">
        <f>IF(LAVORAZIONI!S490="","",LAVORAZIONI!S490)</f>
        <v/>
      </c>
      <c r="M97" s="13">
        <f>LAVORAZIONI!T490</f>
        <v/>
      </c>
      <c r="O97" s="7">
        <f>LAVORAZIONI!U490</f>
        <v/>
      </c>
      <c r="P97" s="37">
        <f>LAVORAZIONI!V490</f>
        <v/>
      </c>
      <c r="Q97" s="7">
        <f>LAVORAZIONI!W490</f>
        <v/>
      </c>
      <c r="R97" s="6">
        <f>LAVORAZIONI!X490</f>
        <v/>
      </c>
      <c r="S97" s="7">
        <f>LAVORAZIONI!Y490</f>
        <v/>
      </c>
      <c r="T97" s="6">
        <f>LAVORAZIONI!Z490</f>
        <v/>
      </c>
      <c r="U97" s="7">
        <f>LAVORAZIONI!AA490</f>
        <v/>
      </c>
      <c r="V97" s="6">
        <f>LAVORAZIONI!AB490</f>
        <v/>
      </c>
      <c r="W97" s="7">
        <f>LAVORAZIONI!AC490</f>
        <v/>
      </c>
      <c r="X97" s="6">
        <f>LAVORAZIONI!AD490</f>
        <v/>
      </c>
      <c r="Y97" s="7">
        <f>LAVORAZIONI!AE490</f>
        <v/>
      </c>
      <c r="Z97" s="6">
        <f>LAVORAZIONI!AF490</f>
        <v/>
      </c>
      <c r="AA97" s="7">
        <f>LAVORAZIONI!AG490</f>
        <v/>
      </c>
      <c r="AB97" s="6">
        <f>LAVORAZIONI!AH490</f>
        <v/>
      </c>
      <c r="AC97" s="7">
        <f>LAVORAZIONI!AI490</f>
        <v/>
      </c>
      <c r="AD97" s="13">
        <f>LAVORAZIONI!AJ490</f>
        <v/>
      </c>
    </row>
    <row r="98" ht="64" customHeight="1" s="35">
      <c r="B98" s="4">
        <f>LAVORAZIONI!G491</f>
        <v/>
      </c>
      <c r="C98" s="3">
        <f>LAVORAZIONI!A491</f>
        <v/>
      </c>
      <c r="D98" s="3">
        <f>LAVORAZIONI!K491</f>
        <v/>
      </c>
      <c r="E98" s="4">
        <f>LAVORAZIONI!H491</f>
        <v/>
      </c>
      <c r="F98" s="4">
        <f>LAVORAZIONI!M491</f>
        <v/>
      </c>
      <c r="G98" s="5">
        <f>LAVORAZIONI!N491</f>
        <v/>
      </c>
      <c r="H98" s="6">
        <f>LAVORAZIONI!O491</f>
        <v/>
      </c>
      <c r="I98" s="13">
        <f>LAVORAZIONI!P491</f>
        <v/>
      </c>
      <c r="J98" s="5">
        <f>IF(LAVORAZIONI!Q491="","",LAVORAZIONI!Q491)</f>
        <v/>
      </c>
      <c r="K98" s="6">
        <f>IF(LAVORAZIONI!R491="","",LAVORAZIONI!R491)</f>
        <v/>
      </c>
      <c r="L98" s="13">
        <f>IF(LAVORAZIONI!S491="","",LAVORAZIONI!S491)</f>
        <v/>
      </c>
      <c r="M98" s="13">
        <f>LAVORAZIONI!T491</f>
        <v/>
      </c>
      <c r="O98" s="7">
        <f>LAVORAZIONI!U491</f>
        <v/>
      </c>
      <c r="P98" s="37">
        <f>LAVORAZIONI!V491</f>
        <v/>
      </c>
      <c r="Q98" s="7">
        <f>LAVORAZIONI!W491</f>
        <v/>
      </c>
      <c r="R98" s="6">
        <f>LAVORAZIONI!X491</f>
        <v/>
      </c>
      <c r="S98" s="7">
        <f>LAVORAZIONI!Y491</f>
        <v/>
      </c>
      <c r="T98" s="6">
        <f>LAVORAZIONI!Z491</f>
        <v/>
      </c>
      <c r="U98" s="7">
        <f>LAVORAZIONI!AA491</f>
        <v/>
      </c>
      <c r="V98" s="6">
        <f>LAVORAZIONI!AB491</f>
        <v/>
      </c>
      <c r="W98" s="7">
        <f>LAVORAZIONI!AC491</f>
        <v/>
      </c>
      <c r="X98" s="6">
        <f>LAVORAZIONI!AD491</f>
        <v/>
      </c>
      <c r="Y98" s="7">
        <f>LAVORAZIONI!AE491</f>
        <v/>
      </c>
      <c r="Z98" s="6">
        <f>LAVORAZIONI!AF491</f>
        <v/>
      </c>
      <c r="AA98" s="7">
        <f>LAVORAZIONI!AG491</f>
        <v/>
      </c>
      <c r="AB98" s="6">
        <f>LAVORAZIONI!AH491</f>
        <v/>
      </c>
      <c r="AC98" s="7">
        <f>LAVORAZIONI!AI491</f>
        <v/>
      </c>
      <c r="AD98" s="13">
        <f>LAVORAZIONI!AJ491</f>
        <v/>
      </c>
    </row>
    <row r="99" ht="64" customHeight="1" s="35">
      <c r="B99" s="4">
        <f>LAVORAZIONI!G492</f>
        <v/>
      </c>
      <c r="C99" s="3">
        <f>LAVORAZIONI!A492</f>
        <v/>
      </c>
      <c r="D99" s="3">
        <f>LAVORAZIONI!K492</f>
        <v/>
      </c>
      <c r="E99" s="4">
        <f>LAVORAZIONI!H492</f>
        <v/>
      </c>
      <c r="F99" s="4">
        <f>LAVORAZIONI!M492</f>
        <v/>
      </c>
      <c r="G99" s="5">
        <f>LAVORAZIONI!N492</f>
        <v/>
      </c>
      <c r="H99" s="6">
        <f>LAVORAZIONI!O492</f>
        <v/>
      </c>
      <c r="I99" s="13">
        <f>LAVORAZIONI!P492</f>
        <v/>
      </c>
      <c r="J99" s="5">
        <f>IF(LAVORAZIONI!Q492="","",LAVORAZIONI!Q492)</f>
        <v/>
      </c>
      <c r="K99" s="6">
        <f>IF(LAVORAZIONI!R492="","",LAVORAZIONI!R492)</f>
        <v/>
      </c>
      <c r="L99" s="13">
        <f>IF(LAVORAZIONI!S492="","",LAVORAZIONI!S492)</f>
        <v/>
      </c>
      <c r="M99" s="13">
        <f>LAVORAZIONI!T492</f>
        <v/>
      </c>
      <c r="O99" s="7">
        <f>LAVORAZIONI!U492</f>
        <v/>
      </c>
      <c r="P99" s="37">
        <f>LAVORAZIONI!V492</f>
        <v/>
      </c>
      <c r="Q99" s="7">
        <f>LAVORAZIONI!W492</f>
        <v/>
      </c>
      <c r="R99" s="6">
        <f>LAVORAZIONI!X492</f>
        <v/>
      </c>
      <c r="S99" s="7">
        <f>LAVORAZIONI!Y492</f>
        <v/>
      </c>
      <c r="T99" s="6">
        <f>LAVORAZIONI!Z492</f>
        <v/>
      </c>
      <c r="U99" s="7">
        <f>LAVORAZIONI!AA492</f>
        <v/>
      </c>
      <c r="V99" s="6">
        <f>LAVORAZIONI!AB492</f>
        <v/>
      </c>
      <c r="W99" s="7">
        <f>LAVORAZIONI!AC492</f>
        <v/>
      </c>
      <c r="X99" s="6">
        <f>LAVORAZIONI!AD492</f>
        <v/>
      </c>
      <c r="Y99" s="7">
        <f>LAVORAZIONI!AE492</f>
        <v/>
      </c>
      <c r="Z99" s="6">
        <f>LAVORAZIONI!AF492</f>
        <v/>
      </c>
      <c r="AA99" s="7">
        <f>LAVORAZIONI!AG492</f>
        <v/>
      </c>
      <c r="AB99" s="6">
        <f>LAVORAZIONI!AH492</f>
        <v/>
      </c>
      <c r="AC99" s="7">
        <f>LAVORAZIONI!AI492</f>
        <v/>
      </c>
      <c r="AD99" s="13">
        <f>LAVORAZIONI!AJ492</f>
        <v/>
      </c>
    </row>
    <row r="100" ht="64" customHeight="1" s="35">
      <c r="B100" s="4">
        <f>LAVORAZIONI!G493</f>
        <v/>
      </c>
      <c r="C100" s="3">
        <f>LAVORAZIONI!A493</f>
        <v/>
      </c>
      <c r="D100" s="3">
        <f>LAVORAZIONI!K493</f>
        <v/>
      </c>
      <c r="E100" s="4">
        <f>LAVORAZIONI!H493</f>
        <v/>
      </c>
      <c r="F100" s="4">
        <f>LAVORAZIONI!M493</f>
        <v/>
      </c>
      <c r="G100" s="5">
        <f>LAVORAZIONI!N493</f>
        <v/>
      </c>
      <c r="H100" s="6">
        <f>LAVORAZIONI!O493</f>
        <v/>
      </c>
      <c r="I100" s="13">
        <f>LAVORAZIONI!P493</f>
        <v/>
      </c>
      <c r="J100" s="5">
        <f>IF(LAVORAZIONI!Q493="","",LAVORAZIONI!Q493)</f>
        <v/>
      </c>
      <c r="K100" s="6">
        <f>IF(LAVORAZIONI!R493="","",LAVORAZIONI!R493)</f>
        <v/>
      </c>
      <c r="L100" s="13">
        <f>IF(LAVORAZIONI!S493="","",LAVORAZIONI!S493)</f>
        <v/>
      </c>
      <c r="M100" s="13">
        <f>LAVORAZIONI!T493</f>
        <v/>
      </c>
      <c r="O100" s="7">
        <f>LAVORAZIONI!U493</f>
        <v/>
      </c>
      <c r="P100" s="37">
        <f>LAVORAZIONI!V493</f>
        <v/>
      </c>
      <c r="Q100" s="7">
        <f>LAVORAZIONI!W493</f>
        <v/>
      </c>
      <c r="R100" s="6">
        <f>LAVORAZIONI!X493</f>
        <v/>
      </c>
      <c r="S100" s="7">
        <f>LAVORAZIONI!Y493</f>
        <v/>
      </c>
      <c r="T100" s="6">
        <f>LAVORAZIONI!Z493</f>
        <v/>
      </c>
      <c r="U100" s="7">
        <f>LAVORAZIONI!AA493</f>
        <v/>
      </c>
      <c r="V100" s="6">
        <f>LAVORAZIONI!AB493</f>
        <v/>
      </c>
      <c r="W100" s="7">
        <f>LAVORAZIONI!AC493</f>
        <v/>
      </c>
      <c r="X100" s="6">
        <f>LAVORAZIONI!AD493</f>
        <v/>
      </c>
      <c r="Y100" s="7">
        <f>LAVORAZIONI!AE493</f>
        <v/>
      </c>
      <c r="Z100" s="6">
        <f>LAVORAZIONI!AF493</f>
        <v/>
      </c>
      <c r="AA100" s="7">
        <f>LAVORAZIONI!AG493</f>
        <v/>
      </c>
      <c r="AB100" s="6">
        <f>LAVORAZIONI!AH493</f>
        <v/>
      </c>
      <c r="AC100" s="7">
        <f>LAVORAZIONI!AI493</f>
        <v/>
      </c>
      <c r="AD100" s="13">
        <f>LAVORAZIONI!AJ493</f>
        <v/>
      </c>
    </row>
    <row r="101" ht="64" customHeight="1" s="35">
      <c r="B101" s="4">
        <f>LAVORAZIONI!G494</f>
        <v/>
      </c>
      <c r="C101" s="3">
        <f>LAVORAZIONI!A494</f>
        <v/>
      </c>
      <c r="D101" s="3">
        <f>LAVORAZIONI!K494</f>
        <v/>
      </c>
      <c r="E101" s="4">
        <f>LAVORAZIONI!H494</f>
        <v/>
      </c>
      <c r="F101" s="4">
        <f>LAVORAZIONI!M494</f>
        <v/>
      </c>
      <c r="G101" s="5">
        <f>LAVORAZIONI!N494</f>
        <v/>
      </c>
      <c r="H101" s="6">
        <f>LAVORAZIONI!O494</f>
        <v/>
      </c>
      <c r="I101" s="13">
        <f>LAVORAZIONI!P494</f>
        <v/>
      </c>
      <c r="J101" s="5">
        <f>IF(LAVORAZIONI!Q494="","",LAVORAZIONI!Q494)</f>
        <v/>
      </c>
      <c r="K101" s="6">
        <f>IF(LAVORAZIONI!R494="","",LAVORAZIONI!R494)</f>
        <v/>
      </c>
      <c r="L101" s="13">
        <f>IF(LAVORAZIONI!S494="","",LAVORAZIONI!S494)</f>
        <v/>
      </c>
      <c r="M101" s="13">
        <f>LAVORAZIONI!T494</f>
        <v/>
      </c>
      <c r="O101" s="7">
        <f>LAVORAZIONI!U494</f>
        <v/>
      </c>
      <c r="P101" s="37">
        <f>LAVORAZIONI!V494</f>
        <v/>
      </c>
      <c r="Q101" s="7">
        <f>LAVORAZIONI!W494</f>
        <v/>
      </c>
      <c r="R101" s="6">
        <f>LAVORAZIONI!X494</f>
        <v/>
      </c>
      <c r="S101" s="7">
        <f>LAVORAZIONI!Y494</f>
        <v/>
      </c>
      <c r="T101" s="6">
        <f>LAVORAZIONI!Z494</f>
        <v/>
      </c>
      <c r="U101" s="7">
        <f>LAVORAZIONI!AA494</f>
        <v/>
      </c>
      <c r="V101" s="6">
        <f>LAVORAZIONI!AB494</f>
        <v/>
      </c>
      <c r="W101" s="7">
        <f>LAVORAZIONI!AC494</f>
        <v/>
      </c>
      <c r="X101" s="6">
        <f>LAVORAZIONI!AD494</f>
        <v/>
      </c>
      <c r="Y101" s="7">
        <f>LAVORAZIONI!AE494</f>
        <v/>
      </c>
      <c r="Z101" s="6">
        <f>LAVORAZIONI!AF494</f>
        <v/>
      </c>
      <c r="AA101" s="7">
        <f>LAVORAZIONI!AG494</f>
        <v/>
      </c>
      <c r="AB101" s="6">
        <f>LAVORAZIONI!AH494</f>
        <v/>
      </c>
      <c r="AC101" s="7">
        <f>LAVORAZIONI!AI494</f>
        <v/>
      </c>
      <c r="AD101" s="13">
        <f>LAVORAZIONI!AJ494</f>
        <v/>
      </c>
    </row>
    <row r="102" ht="64" customHeight="1" s="35">
      <c r="B102" s="4">
        <f>LAVORAZIONI!G495</f>
        <v/>
      </c>
      <c r="C102" s="3">
        <f>LAVORAZIONI!A495</f>
        <v/>
      </c>
      <c r="D102" s="3">
        <f>LAVORAZIONI!K495</f>
        <v/>
      </c>
      <c r="E102" s="4">
        <f>LAVORAZIONI!H495</f>
        <v/>
      </c>
      <c r="F102" s="4">
        <f>LAVORAZIONI!M495</f>
        <v/>
      </c>
      <c r="G102" s="5">
        <f>LAVORAZIONI!N495</f>
        <v/>
      </c>
      <c r="H102" s="6">
        <f>LAVORAZIONI!O495</f>
        <v/>
      </c>
      <c r="I102" s="13">
        <f>LAVORAZIONI!P495</f>
        <v/>
      </c>
      <c r="J102" s="5">
        <f>IF(LAVORAZIONI!Q495="","",LAVORAZIONI!Q495)</f>
        <v/>
      </c>
      <c r="K102" s="6">
        <f>IF(LAVORAZIONI!R495="","",LAVORAZIONI!R495)</f>
        <v/>
      </c>
      <c r="L102" s="13">
        <f>IF(LAVORAZIONI!S495="","",LAVORAZIONI!S495)</f>
        <v/>
      </c>
      <c r="M102" s="13">
        <f>LAVORAZIONI!T495</f>
        <v/>
      </c>
      <c r="O102" s="7">
        <f>LAVORAZIONI!U495</f>
        <v/>
      </c>
      <c r="P102" s="37">
        <f>LAVORAZIONI!V495</f>
        <v/>
      </c>
      <c r="Q102" s="7">
        <f>LAVORAZIONI!W495</f>
        <v/>
      </c>
      <c r="R102" s="6">
        <f>LAVORAZIONI!X495</f>
        <v/>
      </c>
      <c r="S102" s="7">
        <f>LAVORAZIONI!Y495</f>
        <v/>
      </c>
      <c r="T102" s="6">
        <f>LAVORAZIONI!Z495</f>
        <v/>
      </c>
      <c r="U102" s="7">
        <f>LAVORAZIONI!AA495</f>
        <v/>
      </c>
      <c r="V102" s="6">
        <f>LAVORAZIONI!AB495</f>
        <v/>
      </c>
      <c r="W102" s="7">
        <f>LAVORAZIONI!AC495</f>
        <v/>
      </c>
      <c r="X102" s="6">
        <f>LAVORAZIONI!AD495</f>
        <v/>
      </c>
      <c r="Y102" s="7">
        <f>LAVORAZIONI!AE495</f>
        <v/>
      </c>
      <c r="Z102" s="6">
        <f>LAVORAZIONI!AF495</f>
        <v/>
      </c>
      <c r="AA102" s="7">
        <f>LAVORAZIONI!AG495</f>
        <v/>
      </c>
      <c r="AB102" s="6">
        <f>LAVORAZIONI!AH495</f>
        <v/>
      </c>
      <c r="AC102" s="7">
        <f>LAVORAZIONI!AI495</f>
        <v/>
      </c>
      <c r="AD102" s="13">
        <f>LAVORAZIONI!AJ495</f>
        <v/>
      </c>
    </row>
    <row r="103" ht="64" customHeight="1" s="35">
      <c r="B103" s="4">
        <f>LAVORAZIONI!G496</f>
        <v/>
      </c>
      <c r="C103" s="3">
        <f>LAVORAZIONI!A496</f>
        <v/>
      </c>
      <c r="D103" s="3">
        <f>LAVORAZIONI!K496</f>
        <v/>
      </c>
      <c r="E103" s="4">
        <f>LAVORAZIONI!H496</f>
        <v/>
      </c>
      <c r="F103" s="4">
        <f>LAVORAZIONI!M496</f>
        <v/>
      </c>
      <c r="G103" s="5">
        <f>LAVORAZIONI!N496</f>
        <v/>
      </c>
      <c r="H103" s="6">
        <f>LAVORAZIONI!O496</f>
        <v/>
      </c>
      <c r="I103" s="13">
        <f>LAVORAZIONI!P496</f>
        <v/>
      </c>
      <c r="J103" s="5">
        <f>IF(LAVORAZIONI!Q496="","",LAVORAZIONI!Q496)</f>
        <v/>
      </c>
      <c r="K103" s="6">
        <f>IF(LAVORAZIONI!R496="","",LAVORAZIONI!R496)</f>
        <v/>
      </c>
      <c r="L103" s="13">
        <f>IF(LAVORAZIONI!S496="","",LAVORAZIONI!S496)</f>
        <v/>
      </c>
      <c r="M103" s="13">
        <f>LAVORAZIONI!T496</f>
        <v/>
      </c>
      <c r="O103" s="7">
        <f>LAVORAZIONI!U496</f>
        <v/>
      </c>
      <c r="P103" s="37">
        <f>LAVORAZIONI!V496</f>
        <v/>
      </c>
      <c r="Q103" s="7">
        <f>LAVORAZIONI!W496</f>
        <v/>
      </c>
      <c r="R103" s="6">
        <f>LAVORAZIONI!X496</f>
        <v/>
      </c>
      <c r="S103" s="7">
        <f>LAVORAZIONI!Y496</f>
        <v/>
      </c>
      <c r="T103" s="6">
        <f>LAVORAZIONI!Z496</f>
        <v/>
      </c>
      <c r="U103" s="7">
        <f>LAVORAZIONI!AA496</f>
        <v/>
      </c>
      <c r="V103" s="6">
        <f>LAVORAZIONI!AB496</f>
        <v/>
      </c>
      <c r="W103" s="7">
        <f>LAVORAZIONI!AC496</f>
        <v/>
      </c>
      <c r="X103" s="6">
        <f>LAVORAZIONI!AD496</f>
        <v/>
      </c>
      <c r="Y103" s="7">
        <f>LAVORAZIONI!AE496</f>
        <v/>
      </c>
      <c r="Z103" s="6">
        <f>LAVORAZIONI!AF496</f>
        <v/>
      </c>
      <c r="AA103" s="7">
        <f>LAVORAZIONI!AG496</f>
        <v/>
      </c>
      <c r="AB103" s="6">
        <f>LAVORAZIONI!AH496</f>
        <v/>
      </c>
      <c r="AC103" s="7">
        <f>LAVORAZIONI!AI496</f>
        <v/>
      </c>
      <c r="AD103" s="13">
        <f>LAVORAZIONI!AJ496</f>
        <v/>
      </c>
    </row>
    <row r="104" ht="64" customHeight="1" s="35">
      <c r="B104" s="4">
        <f>LAVORAZIONI!G497</f>
        <v/>
      </c>
      <c r="C104" s="3">
        <f>LAVORAZIONI!A497</f>
        <v/>
      </c>
      <c r="D104" s="3">
        <f>LAVORAZIONI!K497</f>
        <v/>
      </c>
      <c r="E104" s="4">
        <f>LAVORAZIONI!H497</f>
        <v/>
      </c>
      <c r="F104" s="4">
        <f>LAVORAZIONI!M497</f>
        <v/>
      </c>
      <c r="G104" s="5">
        <f>LAVORAZIONI!N497</f>
        <v/>
      </c>
      <c r="H104" s="6">
        <f>LAVORAZIONI!O497</f>
        <v/>
      </c>
      <c r="I104" s="13">
        <f>LAVORAZIONI!P497</f>
        <v/>
      </c>
      <c r="J104" s="5">
        <f>IF(LAVORAZIONI!Q497="","",LAVORAZIONI!Q497)</f>
        <v/>
      </c>
      <c r="K104" s="6">
        <f>IF(LAVORAZIONI!R497="","",LAVORAZIONI!R497)</f>
        <v/>
      </c>
      <c r="L104" s="13">
        <f>IF(LAVORAZIONI!S497="","",LAVORAZIONI!S497)</f>
        <v/>
      </c>
      <c r="M104" s="13">
        <f>LAVORAZIONI!T497</f>
        <v/>
      </c>
      <c r="O104" s="7">
        <f>LAVORAZIONI!U497</f>
        <v/>
      </c>
      <c r="P104" s="37">
        <f>LAVORAZIONI!V497</f>
        <v/>
      </c>
      <c r="Q104" s="7">
        <f>LAVORAZIONI!W497</f>
        <v/>
      </c>
      <c r="R104" s="6">
        <f>LAVORAZIONI!X497</f>
        <v/>
      </c>
      <c r="S104" s="7">
        <f>LAVORAZIONI!Y497</f>
        <v/>
      </c>
      <c r="T104" s="6">
        <f>LAVORAZIONI!Z497</f>
        <v/>
      </c>
      <c r="U104" s="7">
        <f>LAVORAZIONI!AA497</f>
        <v/>
      </c>
      <c r="V104" s="6">
        <f>LAVORAZIONI!AB497</f>
        <v/>
      </c>
      <c r="W104" s="7">
        <f>LAVORAZIONI!AC497</f>
        <v/>
      </c>
      <c r="X104" s="6">
        <f>LAVORAZIONI!AD497</f>
        <v/>
      </c>
      <c r="Y104" s="7">
        <f>LAVORAZIONI!AE497</f>
        <v/>
      </c>
      <c r="Z104" s="6">
        <f>LAVORAZIONI!AF497</f>
        <v/>
      </c>
      <c r="AA104" s="7">
        <f>LAVORAZIONI!AG497</f>
        <v/>
      </c>
      <c r="AB104" s="6">
        <f>LAVORAZIONI!AH497</f>
        <v/>
      </c>
      <c r="AC104" s="7">
        <f>LAVORAZIONI!AI497</f>
        <v/>
      </c>
      <c r="AD104" s="13">
        <f>LAVORAZIONI!AJ497</f>
        <v/>
      </c>
    </row>
    <row r="105" ht="64" customHeight="1" s="35">
      <c r="B105" s="4">
        <f>LAVORAZIONI!G498</f>
        <v/>
      </c>
      <c r="C105" s="3">
        <f>LAVORAZIONI!A498</f>
        <v/>
      </c>
      <c r="D105" s="3">
        <f>LAVORAZIONI!K498</f>
        <v/>
      </c>
      <c r="E105" s="4">
        <f>LAVORAZIONI!H498</f>
        <v/>
      </c>
      <c r="F105" s="4">
        <f>LAVORAZIONI!M498</f>
        <v/>
      </c>
      <c r="G105" s="5">
        <f>LAVORAZIONI!N498</f>
        <v/>
      </c>
      <c r="H105" s="6">
        <f>LAVORAZIONI!O498</f>
        <v/>
      </c>
      <c r="I105" s="13">
        <f>LAVORAZIONI!P498</f>
        <v/>
      </c>
      <c r="J105" s="5">
        <f>IF(LAVORAZIONI!Q498="","",LAVORAZIONI!Q498)</f>
        <v/>
      </c>
      <c r="K105" s="6">
        <f>IF(LAVORAZIONI!R498="","",LAVORAZIONI!R498)</f>
        <v/>
      </c>
      <c r="L105" s="13">
        <f>IF(LAVORAZIONI!S498="","",LAVORAZIONI!S498)</f>
        <v/>
      </c>
      <c r="M105" s="13">
        <f>LAVORAZIONI!T498</f>
        <v/>
      </c>
      <c r="O105" s="7">
        <f>LAVORAZIONI!U498</f>
        <v/>
      </c>
      <c r="P105" s="37">
        <f>LAVORAZIONI!V498</f>
        <v/>
      </c>
      <c r="Q105" s="7">
        <f>LAVORAZIONI!W498</f>
        <v/>
      </c>
      <c r="R105" s="6">
        <f>LAVORAZIONI!X498</f>
        <v/>
      </c>
      <c r="S105" s="7">
        <f>LAVORAZIONI!Y498</f>
        <v/>
      </c>
      <c r="T105" s="6">
        <f>LAVORAZIONI!Z498</f>
        <v/>
      </c>
      <c r="U105" s="7">
        <f>LAVORAZIONI!AA498</f>
        <v/>
      </c>
      <c r="V105" s="6">
        <f>LAVORAZIONI!AB498</f>
        <v/>
      </c>
      <c r="W105" s="7">
        <f>LAVORAZIONI!AC498</f>
        <v/>
      </c>
      <c r="X105" s="6">
        <f>LAVORAZIONI!AD498</f>
        <v/>
      </c>
      <c r="Y105" s="7">
        <f>LAVORAZIONI!AE498</f>
        <v/>
      </c>
      <c r="Z105" s="6">
        <f>LAVORAZIONI!AF498</f>
        <v/>
      </c>
      <c r="AA105" s="7">
        <f>LAVORAZIONI!AG498</f>
        <v/>
      </c>
      <c r="AB105" s="6">
        <f>LAVORAZIONI!AH498</f>
        <v/>
      </c>
      <c r="AC105" s="7">
        <f>LAVORAZIONI!AI498</f>
        <v/>
      </c>
      <c r="AD105" s="13">
        <f>LAVORAZIONI!AJ498</f>
        <v/>
      </c>
    </row>
    <row r="106" ht="64" customHeight="1" s="35">
      <c r="B106" s="4">
        <f>LAVORAZIONI!G499</f>
        <v/>
      </c>
      <c r="C106" s="3">
        <f>LAVORAZIONI!A499</f>
        <v/>
      </c>
      <c r="D106" s="3">
        <f>LAVORAZIONI!K499</f>
        <v/>
      </c>
      <c r="E106" s="4">
        <f>LAVORAZIONI!H499</f>
        <v/>
      </c>
      <c r="F106" s="4">
        <f>LAVORAZIONI!M499</f>
        <v/>
      </c>
      <c r="G106" s="5">
        <f>LAVORAZIONI!N499</f>
        <v/>
      </c>
      <c r="H106" s="6">
        <f>LAVORAZIONI!O499</f>
        <v/>
      </c>
      <c r="I106" s="13">
        <f>LAVORAZIONI!P499</f>
        <v/>
      </c>
      <c r="J106" s="5">
        <f>IF(LAVORAZIONI!Q499="","",LAVORAZIONI!Q499)</f>
        <v/>
      </c>
      <c r="K106" s="6">
        <f>IF(LAVORAZIONI!R499="","",LAVORAZIONI!R499)</f>
        <v/>
      </c>
      <c r="L106" s="13">
        <f>IF(LAVORAZIONI!S499="","",LAVORAZIONI!S499)</f>
        <v/>
      </c>
      <c r="M106" s="13">
        <f>LAVORAZIONI!T499</f>
        <v/>
      </c>
      <c r="O106" s="7">
        <f>LAVORAZIONI!U499</f>
        <v/>
      </c>
      <c r="P106" s="37">
        <f>LAVORAZIONI!V499</f>
        <v/>
      </c>
      <c r="Q106" s="7">
        <f>LAVORAZIONI!W499</f>
        <v/>
      </c>
      <c r="R106" s="6">
        <f>LAVORAZIONI!X499</f>
        <v/>
      </c>
      <c r="S106" s="7">
        <f>LAVORAZIONI!Y499</f>
        <v/>
      </c>
      <c r="T106" s="6">
        <f>LAVORAZIONI!Z499</f>
        <v/>
      </c>
      <c r="U106" s="7">
        <f>LAVORAZIONI!AA499</f>
        <v/>
      </c>
      <c r="V106" s="6">
        <f>LAVORAZIONI!AB499</f>
        <v/>
      </c>
      <c r="W106" s="7">
        <f>LAVORAZIONI!AC499</f>
        <v/>
      </c>
      <c r="X106" s="6">
        <f>LAVORAZIONI!AD499</f>
        <v/>
      </c>
      <c r="Y106" s="7">
        <f>LAVORAZIONI!AE499</f>
        <v/>
      </c>
      <c r="Z106" s="6">
        <f>LAVORAZIONI!AF499</f>
        <v/>
      </c>
      <c r="AA106" s="7">
        <f>LAVORAZIONI!AG499</f>
        <v/>
      </c>
      <c r="AB106" s="6">
        <f>LAVORAZIONI!AH499</f>
        <v/>
      </c>
      <c r="AC106" s="7">
        <f>LAVORAZIONI!AI499</f>
        <v/>
      </c>
      <c r="AD106" s="13">
        <f>LAVORAZIONI!AJ499</f>
        <v/>
      </c>
    </row>
    <row r="107" ht="64" customHeight="1" s="35">
      <c r="B107" s="4">
        <f>LAVORAZIONI!G500</f>
        <v/>
      </c>
      <c r="C107" s="3">
        <f>LAVORAZIONI!A500</f>
        <v/>
      </c>
      <c r="D107" s="3">
        <f>LAVORAZIONI!K500</f>
        <v/>
      </c>
      <c r="E107" s="4">
        <f>LAVORAZIONI!H500</f>
        <v/>
      </c>
      <c r="F107" s="4">
        <f>LAVORAZIONI!M500</f>
        <v/>
      </c>
      <c r="G107" s="5">
        <f>LAVORAZIONI!N500</f>
        <v/>
      </c>
      <c r="H107" s="6">
        <f>LAVORAZIONI!O500</f>
        <v/>
      </c>
      <c r="I107" s="13">
        <f>LAVORAZIONI!P500</f>
        <v/>
      </c>
      <c r="J107" s="5">
        <f>IF(LAVORAZIONI!Q500="","",LAVORAZIONI!Q500)</f>
        <v/>
      </c>
      <c r="K107" s="6">
        <f>IF(LAVORAZIONI!R500="","",LAVORAZIONI!R500)</f>
        <v/>
      </c>
      <c r="L107" s="13">
        <f>IF(LAVORAZIONI!S500="","",LAVORAZIONI!S500)</f>
        <v/>
      </c>
      <c r="M107" s="13">
        <f>LAVORAZIONI!T500</f>
        <v/>
      </c>
      <c r="O107" s="7">
        <f>LAVORAZIONI!U500</f>
        <v/>
      </c>
      <c r="P107" s="37">
        <f>LAVORAZIONI!V500</f>
        <v/>
      </c>
      <c r="Q107" s="7">
        <f>LAVORAZIONI!W500</f>
        <v/>
      </c>
      <c r="R107" s="6">
        <f>LAVORAZIONI!X500</f>
        <v/>
      </c>
      <c r="S107" s="7">
        <f>LAVORAZIONI!Y500</f>
        <v/>
      </c>
      <c r="T107" s="6">
        <f>LAVORAZIONI!Z500</f>
        <v/>
      </c>
      <c r="U107" s="7">
        <f>LAVORAZIONI!AA500</f>
        <v/>
      </c>
      <c r="V107" s="6">
        <f>LAVORAZIONI!AB500</f>
        <v/>
      </c>
      <c r="W107" s="7">
        <f>LAVORAZIONI!AC500</f>
        <v/>
      </c>
      <c r="X107" s="6">
        <f>LAVORAZIONI!AD500</f>
        <v/>
      </c>
      <c r="Y107" s="7">
        <f>LAVORAZIONI!AE500</f>
        <v/>
      </c>
      <c r="Z107" s="6">
        <f>LAVORAZIONI!AF500</f>
        <v/>
      </c>
      <c r="AA107" s="7">
        <f>LAVORAZIONI!AG500</f>
        <v/>
      </c>
      <c r="AB107" s="6">
        <f>LAVORAZIONI!AH500</f>
        <v/>
      </c>
      <c r="AC107" s="7">
        <f>LAVORAZIONI!AI500</f>
        <v/>
      </c>
      <c r="AD107" s="13">
        <f>LAVORAZIONI!AJ500</f>
        <v/>
      </c>
    </row>
    <row r="108" ht="64" customHeight="1" s="35">
      <c r="B108" s="4">
        <f>LAVORAZIONI!G501</f>
        <v/>
      </c>
      <c r="C108" s="3">
        <f>LAVORAZIONI!A501</f>
        <v/>
      </c>
      <c r="D108" s="3">
        <f>LAVORAZIONI!K501</f>
        <v/>
      </c>
      <c r="E108" s="4">
        <f>LAVORAZIONI!H501</f>
        <v/>
      </c>
      <c r="F108" s="4">
        <f>LAVORAZIONI!M501</f>
        <v/>
      </c>
      <c r="G108" s="5">
        <f>LAVORAZIONI!N501</f>
        <v/>
      </c>
      <c r="H108" s="6">
        <f>LAVORAZIONI!O501</f>
        <v/>
      </c>
      <c r="I108" s="13">
        <f>LAVORAZIONI!P501</f>
        <v/>
      </c>
      <c r="J108" s="5">
        <f>IF(LAVORAZIONI!Q501="","",LAVORAZIONI!Q501)</f>
        <v/>
      </c>
      <c r="K108" s="6">
        <f>IF(LAVORAZIONI!R501="","",LAVORAZIONI!R501)</f>
        <v/>
      </c>
      <c r="L108" s="13">
        <f>IF(LAVORAZIONI!S501="","",LAVORAZIONI!S501)</f>
        <v/>
      </c>
      <c r="M108" s="13">
        <f>LAVORAZIONI!T501</f>
        <v/>
      </c>
      <c r="O108" s="7">
        <f>LAVORAZIONI!U501</f>
        <v/>
      </c>
      <c r="P108" s="37">
        <f>LAVORAZIONI!V501</f>
        <v/>
      </c>
      <c r="Q108" s="7">
        <f>LAVORAZIONI!W501</f>
        <v/>
      </c>
      <c r="R108" s="6">
        <f>LAVORAZIONI!X501</f>
        <v/>
      </c>
      <c r="S108" s="7">
        <f>LAVORAZIONI!Y501</f>
        <v/>
      </c>
      <c r="T108" s="6">
        <f>LAVORAZIONI!Z501</f>
        <v/>
      </c>
      <c r="U108" s="7">
        <f>LAVORAZIONI!AA501</f>
        <v/>
      </c>
      <c r="V108" s="6">
        <f>LAVORAZIONI!AB501</f>
        <v/>
      </c>
      <c r="W108" s="7">
        <f>LAVORAZIONI!AC501</f>
        <v/>
      </c>
      <c r="X108" s="6">
        <f>LAVORAZIONI!AD501</f>
        <v/>
      </c>
      <c r="Y108" s="7">
        <f>LAVORAZIONI!AE501</f>
        <v/>
      </c>
      <c r="Z108" s="6">
        <f>LAVORAZIONI!AF501</f>
        <v/>
      </c>
      <c r="AA108" s="7">
        <f>LAVORAZIONI!AG501</f>
        <v/>
      </c>
      <c r="AB108" s="6">
        <f>LAVORAZIONI!AH501</f>
        <v/>
      </c>
      <c r="AC108" s="7">
        <f>LAVORAZIONI!AI501</f>
        <v/>
      </c>
      <c r="AD108" s="13">
        <f>LAVORAZIONI!AJ501</f>
        <v/>
      </c>
    </row>
    <row r="109" ht="64" customHeight="1" s="35">
      <c r="B109" s="4">
        <f>LAVORAZIONI!G502</f>
        <v/>
      </c>
      <c r="C109" s="3">
        <f>LAVORAZIONI!A502</f>
        <v/>
      </c>
      <c r="D109" s="3">
        <f>LAVORAZIONI!K502</f>
        <v/>
      </c>
      <c r="E109" s="4">
        <f>LAVORAZIONI!H502</f>
        <v/>
      </c>
      <c r="F109" s="4">
        <f>LAVORAZIONI!M502</f>
        <v/>
      </c>
      <c r="G109" s="5">
        <f>LAVORAZIONI!N502</f>
        <v/>
      </c>
      <c r="H109" s="6">
        <f>LAVORAZIONI!O502</f>
        <v/>
      </c>
      <c r="I109" s="13">
        <f>LAVORAZIONI!P502</f>
        <v/>
      </c>
      <c r="J109" s="5">
        <f>IF(LAVORAZIONI!Q502="","",LAVORAZIONI!Q502)</f>
        <v/>
      </c>
      <c r="K109" s="6">
        <f>IF(LAVORAZIONI!R502="","",LAVORAZIONI!R502)</f>
        <v/>
      </c>
      <c r="L109" s="13">
        <f>IF(LAVORAZIONI!S502="","",LAVORAZIONI!S502)</f>
        <v/>
      </c>
      <c r="M109" s="13">
        <f>LAVORAZIONI!T502</f>
        <v/>
      </c>
      <c r="O109" s="7">
        <f>LAVORAZIONI!U502</f>
        <v/>
      </c>
      <c r="P109" s="37">
        <f>LAVORAZIONI!V502</f>
        <v/>
      </c>
      <c r="Q109" s="7">
        <f>LAVORAZIONI!W502</f>
        <v/>
      </c>
      <c r="R109" s="6">
        <f>LAVORAZIONI!X502</f>
        <v/>
      </c>
      <c r="S109" s="7">
        <f>LAVORAZIONI!Y502</f>
        <v/>
      </c>
      <c r="T109" s="6">
        <f>LAVORAZIONI!Z502</f>
        <v/>
      </c>
      <c r="U109" s="7">
        <f>LAVORAZIONI!AA502</f>
        <v/>
      </c>
      <c r="V109" s="6">
        <f>LAVORAZIONI!AB502</f>
        <v/>
      </c>
      <c r="W109" s="7">
        <f>LAVORAZIONI!AC502</f>
        <v/>
      </c>
      <c r="X109" s="6">
        <f>LAVORAZIONI!AD502</f>
        <v/>
      </c>
      <c r="Y109" s="7">
        <f>LAVORAZIONI!AE502</f>
        <v/>
      </c>
      <c r="Z109" s="6">
        <f>LAVORAZIONI!AF502</f>
        <v/>
      </c>
      <c r="AA109" s="7">
        <f>LAVORAZIONI!AG502</f>
        <v/>
      </c>
      <c r="AB109" s="6">
        <f>LAVORAZIONI!AH502</f>
        <v/>
      </c>
      <c r="AC109" s="7">
        <f>LAVORAZIONI!AI502</f>
        <v/>
      </c>
      <c r="AD109" s="13">
        <f>LAVORAZIONI!AJ502</f>
        <v/>
      </c>
    </row>
    <row r="110" ht="64" customHeight="1" s="35">
      <c r="B110" s="4">
        <f>LAVORAZIONI!G503</f>
        <v/>
      </c>
      <c r="C110" s="3">
        <f>LAVORAZIONI!A503</f>
        <v/>
      </c>
      <c r="D110" s="3">
        <f>LAVORAZIONI!K503</f>
        <v/>
      </c>
      <c r="E110" s="4">
        <f>LAVORAZIONI!H503</f>
        <v/>
      </c>
      <c r="F110" s="4">
        <f>LAVORAZIONI!M503</f>
        <v/>
      </c>
      <c r="G110" s="5">
        <f>LAVORAZIONI!N503</f>
        <v/>
      </c>
      <c r="H110" s="6">
        <f>LAVORAZIONI!O503</f>
        <v/>
      </c>
      <c r="I110" s="13">
        <f>LAVORAZIONI!P503</f>
        <v/>
      </c>
      <c r="J110" s="5">
        <f>IF(LAVORAZIONI!Q503="","",LAVORAZIONI!Q503)</f>
        <v/>
      </c>
      <c r="K110" s="6">
        <f>IF(LAVORAZIONI!R503="","",LAVORAZIONI!R503)</f>
        <v/>
      </c>
      <c r="L110" s="13">
        <f>IF(LAVORAZIONI!S503="","",LAVORAZIONI!S503)</f>
        <v/>
      </c>
      <c r="M110" s="13">
        <f>LAVORAZIONI!T503</f>
        <v/>
      </c>
      <c r="O110" s="7">
        <f>LAVORAZIONI!U503</f>
        <v/>
      </c>
      <c r="P110" s="37">
        <f>LAVORAZIONI!V503</f>
        <v/>
      </c>
      <c r="Q110" s="7">
        <f>LAVORAZIONI!W503</f>
        <v/>
      </c>
      <c r="R110" s="6">
        <f>LAVORAZIONI!X503</f>
        <v/>
      </c>
      <c r="S110" s="7">
        <f>LAVORAZIONI!Y503</f>
        <v/>
      </c>
      <c r="T110" s="6">
        <f>LAVORAZIONI!Z503</f>
        <v/>
      </c>
      <c r="U110" s="7">
        <f>LAVORAZIONI!AA503</f>
        <v/>
      </c>
      <c r="V110" s="6">
        <f>LAVORAZIONI!AB503</f>
        <v/>
      </c>
      <c r="W110" s="7">
        <f>LAVORAZIONI!AC503</f>
        <v/>
      </c>
      <c r="X110" s="6">
        <f>LAVORAZIONI!AD503</f>
        <v/>
      </c>
      <c r="Y110" s="7">
        <f>LAVORAZIONI!AE503</f>
        <v/>
      </c>
      <c r="Z110" s="6">
        <f>LAVORAZIONI!AF503</f>
        <v/>
      </c>
      <c r="AA110" s="7">
        <f>LAVORAZIONI!AG503</f>
        <v/>
      </c>
      <c r="AB110" s="6">
        <f>LAVORAZIONI!AH503</f>
        <v/>
      </c>
      <c r="AC110" s="7">
        <f>LAVORAZIONI!AI503</f>
        <v/>
      </c>
      <c r="AD110" s="13">
        <f>LAVORAZIONI!AJ503</f>
        <v/>
      </c>
    </row>
    <row r="111" ht="64" customHeight="1" s="35">
      <c r="B111" s="4">
        <f>LAVORAZIONI!G504</f>
        <v/>
      </c>
      <c r="C111" s="3">
        <f>LAVORAZIONI!A504</f>
        <v/>
      </c>
      <c r="D111" s="3">
        <f>LAVORAZIONI!K504</f>
        <v/>
      </c>
      <c r="E111" s="4">
        <f>LAVORAZIONI!H504</f>
        <v/>
      </c>
      <c r="F111" s="4">
        <f>LAVORAZIONI!M504</f>
        <v/>
      </c>
      <c r="G111" s="5">
        <f>LAVORAZIONI!N504</f>
        <v/>
      </c>
      <c r="H111" s="6">
        <f>LAVORAZIONI!O504</f>
        <v/>
      </c>
      <c r="I111" s="13">
        <f>LAVORAZIONI!P504</f>
        <v/>
      </c>
      <c r="J111" s="5">
        <f>IF(LAVORAZIONI!Q504="","",LAVORAZIONI!Q504)</f>
        <v/>
      </c>
      <c r="K111" s="6">
        <f>IF(LAVORAZIONI!R504="","",LAVORAZIONI!R504)</f>
        <v/>
      </c>
      <c r="L111" s="13">
        <f>IF(LAVORAZIONI!S504="","",LAVORAZIONI!S504)</f>
        <v/>
      </c>
      <c r="M111" s="13">
        <f>LAVORAZIONI!T504</f>
        <v/>
      </c>
      <c r="O111" s="7">
        <f>LAVORAZIONI!U504</f>
        <v/>
      </c>
      <c r="P111" s="37">
        <f>LAVORAZIONI!V504</f>
        <v/>
      </c>
      <c r="Q111" s="7">
        <f>LAVORAZIONI!W504</f>
        <v/>
      </c>
      <c r="R111" s="6">
        <f>LAVORAZIONI!X504</f>
        <v/>
      </c>
      <c r="S111" s="7">
        <f>LAVORAZIONI!Y504</f>
        <v/>
      </c>
      <c r="T111" s="6">
        <f>LAVORAZIONI!Z504</f>
        <v/>
      </c>
      <c r="U111" s="7">
        <f>LAVORAZIONI!AA504</f>
        <v/>
      </c>
      <c r="V111" s="6">
        <f>LAVORAZIONI!AB504</f>
        <v/>
      </c>
      <c r="W111" s="7">
        <f>LAVORAZIONI!AC504</f>
        <v/>
      </c>
      <c r="X111" s="6">
        <f>LAVORAZIONI!AD504</f>
        <v/>
      </c>
      <c r="Y111" s="7">
        <f>LAVORAZIONI!AE504</f>
        <v/>
      </c>
      <c r="Z111" s="6">
        <f>LAVORAZIONI!AF504</f>
        <v/>
      </c>
      <c r="AA111" s="7">
        <f>LAVORAZIONI!AG504</f>
        <v/>
      </c>
      <c r="AB111" s="6">
        <f>LAVORAZIONI!AH504</f>
        <v/>
      </c>
      <c r="AC111" s="7">
        <f>LAVORAZIONI!AI504</f>
        <v/>
      </c>
      <c r="AD111" s="13">
        <f>LAVORAZIONI!AJ504</f>
        <v/>
      </c>
    </row>
    <row r="112" ht="64" customHeight="1" s="35">
      <c r="B112" s="4">
        <f>LAVORAZIONI!G505</f>
        <v/>
      </c>
      <c r="C112" s="3">
        <f>LAVORAZIONI!A505</f>
        <v/>
      </c>
      <c r="D112" s="3">
        <f>LAVORAZIONI!K505</f>
        <v/>
      </c>
      <c r="E112" s="4">
        <f>LAVORAZIONI!H505</f>
        <v/>
      </c>
      <c r="F112" s="4">
        <f>LAVORAZIONI!M505</f>
        <v/>
      </c>
      <c r="G112" s="5">
        <f>LAVORAZIONI!N505</f>
        <v/>
      </c>
      <c r="H112" s="6">
        <f>LAVORAZIONI!O505</f>
        <v/>
      </c>
      <c r="I112" s="13">
        <f>LAVORAZIONI!P505</f>
        <v/>
      </c>
      <c r="J112" s="5">
        <f>IF(LAVORAZIONI!Q505="","",LAVORAZIONI!Q505)</f>
        <v/>
      </c>
      <c r="K112" s="6">
        <f>IF(LAVORAZIONI!R505="","",LAVORAZIONI!R505)</f>
        <v/>
      </c>
      <c r="L112" s="13">
        <f>IF(LAVORAZIONI!S505="","",LAVORAZIONI!S505)</f>
        <v/>
      </c>
      <c r="M112" s="13">
        <f>LAVORAZIONI!T505</f>
        <v/>
      </c>
      <c r="O112" s="7">
        <f>LAVORAZIONI!U505</f>
        <v/>
      </c>
      <c r="P112" s="37">
        <f>LAVORAZIONI!V505</f>
        <v/>
      </c>
      <c r="Q112" s="7">
        <f>LAVORAZIONI!W505</f>
        <v/>
      </c>
      <c r="R112" s="6">
        <f>LAVORAZIONI!X505</f>
        <v/>
      </c>
      <c r="S112" s="7">
        <f>LAVORAZIONI!Y505</f>
        <v/>
      </c>
      <c r="T112" s="6">
        <f>LAVORAZIONI!Z505</f>
        <v/>
      </c>
      <c r="U112" s="7">
        <f>LAVORAZIONI!AA505</f>
        <v/>
      </c>
      <c r="V112" s="6">
        <f>LAVORAZIONI!AB505</f>
        <v/>
      </c>
      <c r="W112" s="7">
        <f>LAVORAZIONI!AC505</f>
        <v/>
      </c>
      <c r="X112" s="6">
        <f>LAVORAZIONI!AD505</f>
        <v/>
      </c>
      <c r="Y112" s="7">
        <f>LAVORAZIONI!AE505</f>
        <v/>
      </c>
      <c r="Z112" s="6">
        <f>LAVORAZIONI!AF505</f>
        <v/>
      </c>
      <c r="AA112" s="7">
        <f>LAVORAZIONI!AG505</f>
        <v/>
      </c>
      <c r="AB112" s="6">
        <f>LAVORAZIONI!AH505</f>
        <v/>
      </c>
      <c r="AC112" s="7">
        <f>LAVORAZIONI!AI505</f>
        <v/>
      </c>
      <c r="AD112" s="13">
        <f>LAVORAZIONI!AJ505</f>
        <v/>
      </c>
    </row>
    <row r="113" ht="64" customHeight="1" s="35">
      <c r="B113" s="4">
        <f>LAVORAZIONI!G506</f>
        <v/>
      </c>
      <c r="C113" s="3">
        <f>LAVORAZIONI!A506</f>
        <v/>
      </c>
      <c r="D113" s="3">
        <f>LAVORAZIONI!K506</f>
        <v/>
      </c>
      <c r="E113" s="4">
        <f>LAVORAZIONI!H506</f>
        <v/>
      </c>
      <c r="F113" s="4">
        <f>LAVORAZIONI!M506</f>
        <v/>
      </c>
      <c r="G113" s="5">
        <f>LAVORAZIONI!N506</f>
        <v/>
      </c>
      <c r="H113" s="6">
        <f>LAVORAZIONI!O506</f>
        <v/>
      </c>
      <c r="I113" s="13">
        <f>LAVORAZIONI!P506</f>
        <v/>
      </c>
      <c r="J113" s="5">
        <f>IF(LAVORAZIONI!Q506="","",LAVORAZIONI!Q506)</f>
        <v/>
      </c>
      <c r="K113" s="6">
        <f>IF(LAVORAZIONI!R506="","",LAVORAZIONI!R506)</f>
        <v/>
      </c>
      <c r="L113" s="13">
        <f>IF(LAVORAZIONI!S506="","",LAVORAZIONI!S506)</f>
        <v/>
      </c>
      <c r="M113" s="13">
        <f>LAVORAZIONI!T506</f>
        <v/>
      </c>
      <c r="O113" s="7">
        <f>LAVORAZIONI!U506</f>
        <v/>
      </c>
      <c r="P113" s="37">
        <f>LAVORAZIONI!V506</f>
        <v/>
      </c>
      <c r="Q113" s="7">
        <f>LAVORAZIONI!W506</f>
        <v/>
      </c>
      <c r="R113" s="6">
        <f>LAVORAZIONI!X506</f>
        <v/>
      </c>
      <c r="S113" s="7">
        <f>LAVORAZIONI!Y506</f>
        <v/>
      </c>
      <c r="T113" s="6">
        <f>LAVORAZIONI!Z506</f>
        <v/>
      </c>
      <c r="U113" s="7">
        <f>LAVORAZIONI!AA506</f>
        <v/>
      </c>
      <c r="V113" s="6">
        <f>LAVORAZIONI!AB506</f>
        <v/>
      </c>
      <c r="W113" s="7">
        <f>LAVORAZIONI!AC506</f>
        <v/>
      </c>
      <c r="X113" s="6">
        <f>LAVORAZIONI!AD506</f>
        <v/>
      </c>
      <c r="Y113" s="7">
        <f>LAVORAZIONI!AE506</f>
        <v/>
      </c>
      <c r="Z113" s="6">
        <f>LAVORAZIONI!AF506</f>
        <v/>
      </c>
      <c r="AA113" s="7">
        <f>LAVORAZIONI!AG506</f>
        <v/>
      </c>
      <c r="AB113" s="6">
        <f>LAVORAZIONI!AH506</f>
        <v/>
      </c>
      <c r="AC113" s="7">
        <f>LAVORAZIONI!AI506</f>
        <v/>
      </c>
      <c r="AD113" s="13">
        <f>LAVORAZIONI!AJ506</f>
        <v/>
      </c>
    </row>
    <row r="114" ht="64" customHeight="1" s="35">
      <c r="B114" s="4">
        <f>LAVORAZIONI!G507</f>
        <v/>
      </c>
      <c r="C114" s="3">
        <f>LAVORAZIONI!A507</f>
        <v/>
      </c>
      <c r="D114" s="3">
        <f>LAVORAZIONI!K507</f>
        <v/>
      </c>
      <c r="E114" s="4">
        <f>LAVORAZIONI!H507</f>
        <v/>
      </c>
      <c r="F114" s="4">
        <f>LAVORAZIONI!M507</f>
        <v/>
      </c>
      <c r="G114" s="5">
        <f>LAVORAZIONI!N507</f>
        <v/>
      </c>
      <c r="H114" s="6">
        <f>LAVORAZIONI!O507</f>
        <v/>
      </c>
      <c r="I114" s="13">
        <f>LAVORAZIONI!P507</f>
        <v/>
      </c>
      <c r="J114" s="5">
        <f>IF(LAVORAZIONI!Q507="","",LAVORAZIONI!Q507)</f>
        <v/>
      </c>
      <c r="K114" s="6">
        <f>IF(LAVORAZIONI!R507="","",LAVORAZIONI!R507)</f>
        <v/>
      </c>
      <c r="L114" s="13">
        <f>IF(LAVORAZIONI!S507="","",LAVORAZIONI!S507)</f>
        <v/>
      </c>
      <c r="M114" s="13">
        <f>LAVORAZIONI!T507</f>
        <v/>
      </c>
      <c r="O114" s="7">
        <f>LAVORAZIONI!U507</f>
        <v/>
      </c>
      <c r="P114" s="37">
        <f>LAVORAZIONI!V507</f>
        <v/>
      </c>
      <c r="Q114" s="7">
        <f>LAVORAZIONI!W507</f>
        <v/>
      </c>
      <c r="R114" s="6">
        <f>LAVORAZIONI!X507</f>
        <v/>
      </c>
      <c r="S114" s="7">
        <f>LAVORAZIONI!Y507</f>
        <v/>
      </c>
      <c r="T114" s="6">
        <f>LAVORAZIONI!Z507</f>
        <v/>
      </c>
      <c r="U114" s="7">
        <f>LAVORAZIONI!AA507</f>
        <v/>
      </c>
      <c r="V114" s="6">
        <f>LAVORAZIONI!AB507</f>
        <v/>
      </c>
      <c r="W114" s="7">
        <f>LAVORAZIONI!AC507</f>
        <v/>
      </c>
      <c r="X114" s="6">
        <f>LAVORAZIONI!AD507</f>
        <v/>
      </c>
      <c r="Y114" s="7">
        <f>LAVORAZIONI!AE507</f>
        <v/>
      </c>
      <c r="Z114" s="6">
        <f>LAVORAZIONI!AF507</f>
        <v/>
      </c>
      <c r="AA114" s="7">
        <f>LAVORAZIONI!AG507</f>
        <v/>
      </c>
      <c r="AB114" s="6">
        <f>LAVORAZIONI!AH507</f>
        <v/>
      </c>
      <c r="AC114" s="7">
        <f>LAVORAZIONI!AI507</f>
        <v/>
      </c>
      <c r="AD114" s="13">
        <f>LAVORAZIONI!AJ507</f>
        <v/>
      </c>
    </row>
    <row r="115" ht="64" customHeight="1" s="35">
      <c r="B115" s="4">
        <f>LAVORAZIONI!G508</f>
        <v/>
      </c>
      <c r="C115" s="3">
        <f>LAVORAZIONI!A508</f>
        <v/>
      </c>
      <c r="D115" s="3">
        <f>LAVORAZIONI!K508</f>
        <v/>
      </c>
      <c r="E115" s="4">
        <f>LAVORAZIONI!H508</f>
        <v/>
      </c>
      <c r="F115" s="4">
        <f>LAVORAZIONI!M508</f>
        <v/>
      </c>
      <c r="G115" s="5">
        <f>LAVORAZIONI!N508</f>
        <v/>
      </c>
      <c r="H115" s="6">
        <f>LAVORAZIONI!O508</f>
        <v/>
      </c>
      <c r="I115" s="13">
        <f>LAVORAZIONI!P508</f>
        <v/>
      </c>
      <c r="J115" s="5">
        <f>IF(LAVORAZIONI!Q508="","",LAVORAZIONI!Q508)</f>
        <v/>
      </c>
      <c r="K115" s="6">
        <f>IF(LAVORAZIONI!R508="","",LAVORAZIONI!R508)</f>
        <v/>
      </c>
      <c r="L115" s="13">
        <f>IF(LAVORAZIONI!S508="","",LAVORAZIONI!S508)</f>
        <v/>
      </c>
      <c r="M115" s="13">
        <f>LAVORAZIONI!T508</f>
        <v/>
      </c>
      <c r="O115" s="7">
        <f>LAVORAZIONI!U508</f>
        <v/>
      </c>
      <c r="P115" s="37">
        <f>LAVORAZIONI!V508</f>
        <v/>
      </c>
      <c r="Q115" s="7">
        <f>LAVORAZIONI!W508</f>
        <v/>
      </c>
      <c r="R115" s="6">
        <f>LAVORAZIONI!X508</f>
        <v/>
      </c>
      <c r="S115" s="7">
        <f>LAVORAZIONI!Y508</f>
        <v/>
      </c>
      <c r="T115" s="6">
        <f>LAVORAZIONI!Z508</f>
        <v/>
      </c>
      <c r="U115" s="7">
        <f>LAVORAZIONI!AA508</f>
        <v/>
      </c>
      <c r="V115" s="6">
        <f>LAVORAZIONI!AB508</f>
        <v/>
      </c>
      <c r="W115" s="7">
        <f>LAVORAZIONI!AC508</f>
        <v/>
      </c>
      <c r="X115" s="6">
        <f>LAVORAZIONI!AD508</f>
        <v/>
      </c>
      <c r="Y115" s="7">
        <f>LAVORAZIONI!AE508</f>
        <v/>
      </c>
      <c r="Z115" s="6">
        <f>LAVORAZIONI!AF508</f>
        <v/>
      </c>
      <c r="AA115" s="7">
        <f>LAVORAZIONI!AG508</f>
        <v/>
      </c>
      <c r="AB115" s="6">
        <f>LAVORAZIONI!AH508</f>
        <v/>
      </c>
      <c r="AC115" s="7">
        <f>LAVORAZIONI!AI508</f>
        <v/>
      </c>
      <c r="AD115" s="13">
        <f>LAVORAZIONI!AJ508</f>
        <v/>
      </c>
    </row>
    <row r="116" ht="64" customHeight="1" s="35">
      <c r="B116" s="4">
        <f>LAVORAZIONI!G509</f>
        <v/>
      </c>
      <c r="C116" s="3">
        <f>LAVORAZIONI!A509</f>
        <v/>
      </c>
      <c r="D116" s="3">
        <f>LAVORAZIONI!K509</f>
        <v/>
      </c>
      <c r="E116" s="4">
        <f>LAVORAZIONI!H509</f>
        <v/>
      </c>
      <c r="F116" s="4">
        <f>LAVORAZIONI!M509</f>
        <v/>
      </c>
      <c r="G116" s="5">
        <f>LAVORAZIONI!N509</f>
        <v/>
      </c>
      <c r="H116" s="6">
        <f>LAVORAZIONI!O509</f>
        <v/>
      </c>
      <c r="I116" s="13">
        <f>LAVORAZIONI!P509</f>
        <v/>
      </c>
      <c r="J116" s="5">
        <f>IF(LAVORAZIONI!Q509="","",LAVORAZIONI!Q509)</f>
        <v/>
      </c>
      <c r="K116" s="6">
        <f>IF(LAVORAZIONI!R509="","",LAVORAZIONI!R509)</f>
        <v/>
      </c>
      <c r="L116" s="13">
        <f>IF(LAVORAZIONI!S509="","",LAVORAZIONI!S509)</f>
        <v/>
      </c>
      <c r="M116" s="13">
        <f>LAVORAZIONI!T509</f>
        <v/>
      </c>
      <c r="O116" s="7">
        <f>LAVORAZIONI!U509</f>
        <v/>
      </c>
      <c r="P116" s="37">
        <f>LAVORAZIONI!V509</f>
        <v/>
      </c>
      <c r="Q116" s="7">
        <f>LAVORAZIONI!W509</f>
        <v/>
      </c>
      <c r="R116" s="6">
        <f>LAVORAZIONI!X509</f>
        <v/>
      </c>
      <c r="S116" s="7">
        <f>LAVORAZIONI!Y509</f>
        <v/>
      </c>
      <c r="T116" s="6">
        <f>LAVORAZIONI!Z509</f>
        <v/>
      </c>
      <c r="U116" s="7">
        <f>LAVORAZIONI!AA509</f>
        <v/>
      </c>
      <c r="V116" s="6">
        <f>LAVORAZIONI!AB509</f>
        <v/>
      </c>
      <c r="W116" s="7">
        <f>LAVORAZIONI!AC509</f>
        <v/>
      </c>
      <c r="X116" s="6">
        <f>LAVORAZIONI!AD509</f>
        <v/>
      </c>
      <c r="Y116" s="7">
        <f>LAVORAZIONI!AE509</f>
        <v/>
      </c>
      <c r="Z116" s="6">
        <f>LAVORAZIONI!AF509</f>
        <v/>
      </c>
      <c r="AA116" s="7">
        <f>LAVORAZIONI!AG509</f>
        <v/>
      </c>
      <c r="AB116" s="6">
        <f>LAVORAZIONI!AH509</f>
        <v/>
      </c>
      <c r="AC116" s="7">
        <f>LAVORAZIONI!AI509</f>
        <v/>
      </c>
      <c r="AD116" s="13">
        <f>LAVORAZIONI!AJ509</f>
        <v/>
      </c>
    </row>
    <row r="117" ht="64" customHeight="1" s="35">
      <c r="B117" s="4">
        <f>LAVORAZIONI!G510</f>
        <v/>
      </c>
      <c r="C117" s="3">
        <f>LAVORAZIONI!A510</f>
        <v/>
      </c>
      <c r="D117" s="3">
        <f>LAVORAZIONI!K510</f>
        <v/>
      </c>
      <c r="E117" s="4">
        <f>LAVORAZIONI!H510</f>
        <v/>
      </c>
      <c r="F117" s="4">
        <f>LAVORAZIONI!M510</f>
        <v/>
      </c>
      <c r="G117" s="5">
        <f>LAVORAZIONI!N510</f>
        <v/>
      </c>
      <c r="H117" s="6">
        <f>LAVORAZIONI!O510</f>
        <v/>
      </c>
      <c r="I117" s="13">
        <f>LAVORAZIONI!P510</f>
        <v/>
      </c>
      <c r="J117" s="5">
        <f>IF(LAVORAZIONI!Q510="","",LAVORAZIONI!Q510)</f>
        <v/>
      </c>
      <c r="K117" s="6">
        <f>IF(LAVORAZIONI!R510="","",LAVORAZIONI!R510)</f>
        <v/>
      </c>
      <c r="L117" s="13">
        <f>IF(LAVORAZIONI!S510="","",LAVORAZIONI!S510)</f>
        <v/>
      </c>
      <c r="M117" s="13">
        <f>LAVORAZIONI!T510</f>
        <v/>
      </c>
      <c r="O117" s="7">
        <f>LAVORAZIONI!U510</f>
        <v/>
      </c>
      <c r="P117" s="37">
        <f>LAVORAZIONI!V510</f>
        <v/>
      </c>
      <c r="Q117" s="7">
        <f>LAVORAZIONI!W510</f>
        <v/>
      </c>
      <c r="R117" s="6">
        <f>LAVORAZIONI!X510</f>
        <v/>
      </c>
      <c r="S117" s="7">
        <f>LAVORAZIONI!Y510</f>
        <v/>
      </c>
      <c r="T117" s="6">
        <f>LAVORAZIONI!Z510</f>
        <v/>
      </c>
      <c r="U117" s="7">
        <f>LAVORAZIONI!AA510</f>
        <v/>
      </c>
      <c r="V117" s="6">
        <f>LAVORAZIONI!AB510</f>
        <v/>
      </c>
      <c r="W117" s="7">
        <f>LAVORAZIONI!AC510</f>
        <v/>
      </c>
      <c r="X117" s="6">
        <f>LAVORAZIONI!AD510</f>
        <v/>
      </c>
      <c r="Y117" s="7">
        <f>LAVORAZIONI!AE510</f>
        <v/>
      </c>
      <c r="Z117" s="6">
        <f>LAVORAZIONI!AF510</f>
        <v/>
      </c>
      <c r="AA117" s="7">
        <f>LAVORAZIONI!AG510</f>
        <v/>
      </c>
      <c r="AB117" s="6">
        <f>LAVORAZIONI!AH510</f>
        <v/>
      </c>
      <c r="AC117" s="7">
        <f>LAVORAZIONI!AI510</f>
        <v/>
      </c>
      <c r="AD117" s="13">
        <f>LAVORAZIONI!AJ510</f>
        <v/>
      </c>
    </row>
    <row r="118" ht="64" customHeight="1" s="35">
      <c r="D118" s="14" t="inlineStr">
        <is>
          <t>TOTALE ELETTRICHE</t>
        </is>
      </c>
      <c r="I118" s="10">
        <f>SUM(I5:I117)</f>
        <v/>
      </c>
      <c r="L118" s="10">
        <f>SUM(L5:L117)</f>
        <v/>
      </c>
      <c r="M118" s="10">
        <f>SUM(M5:M117)</f>
        <v/>
      </c>
      <c r="P118" s="38">
        <f>SUM(P5:P117)</f>
        <v/>
      </c>
      <c r="R118" s="10">
        <f>SUM(R5:R117)</f>
        <v/>
      </c>
      <c r="T118" s="10">
        <f>SUM(T5:T117)</f>
        <v/>
      </c>
      <c r="V118" s="10">
        <f>SUM(V5:V117)</f>
        <v/>
      </c>
      <c r="X118" s="10">
        <f>SUM(X5:X117)</f>
        <v/>
      </c>
      <c r="Z118" s="10">
        <f>SUM(Z5:Z117)</f>
        <v/>
      </c>
      <c r="AB118" s="10">
        <f>SUM(AB5:AB117)</f>
        <v/>
      </c>
      <c r="AD118" s="10">
        <f>SUM(AD5:AD117)</f>
        <v/>
      </c>
    </row>
    <row r="122" ht="64" customHeight="1" s="35">
      <c r="P122" s="40" t="n"/>
    </row>
  </sheetData>
  <autoFilter ref="B4:AD118"/>
  <mergeCells count="9">
    <mergeCell ref="AC3:AD3"/>
    <mergeCell ref="AA3:AB3"/>
    <mergeCell ref="O3:P3"/>
    <mergeCell ref="Q3:R3"/>
    <mergeCell ref="U3:V3"/>
    <mergeCell ref="Y3:Z3"/>
    <mergeCell ref="B2:L2"/>
    <mergeCell ref="W3:X3"/>
    <mergeCell ref="S3:T3"/>
  </mergeCells>
  <pageMargins left="0.75" right="0.75" top="1" bottom="1" header="0.511811023622047" footer="0.511811023622047"/>
  <pageSetup orientation="landscape" paperSize="9" scale="76" horizontalDpi="300" verticalDpi="300"/>
  <headerFooter>
    <oddHeader>&amp;C&amp;K000000SAL APRILE 26 - OPERE ELETTRICHE CIVILI</oddHeader>
    <oddFooter>&amp;L&amp;C&amp;R</oddFooter>
    <evenHeader/>
    <evenFooter/>
    <firstHeader/>
    <firstFooter/>
  </headerFooter>
</worksheet>
</file>

<file path=xl/worksheets/sheet7.xml><?xml version="1.0" encoding="utf-8"?>
<worksheet xmlns="http://schemas.openxmlformats.org/spreadsheetml/2006/main">
  <sheetPr>
    <outlinePr summaryBelow="1" summaryRight="1"/>
    <pageSetUpPr/>
  </sheetPr>
  <dimension ref="B2:AD107"/>
  <sheetViews>
    <sheetView showGridLines="0" view="pageBreakPreview" zoomScale="60" zoomScaleNormal="100" workbookViewId="0">
      <pane xSplit="6" ySplit="4" topLeftCell="G5" activePane="bottomRight" state="frozen"/>
      <selection pane="topRight" activeCell="G1" sqref="G1"/>
      <selection pane="bottomLeft" activeCell="A4" sqref="A4"/>
      <selection pane="bottomRight" activeCell="D88" sqref="D88"/>
    </sheetView>
  </sheetViews>
  <sheetFormatPr baseColWidth="10" defaultColWidth="8.6640625" defaultRowHeight="56" customHeight="1"/>
  <cols>
    <col width="7" customWidth="1" style="35" min="2" max="2"/>
    <col width="22" customWidth="1" style="35" min="3" max="3"/>
    <col width="104.83203125" customWidth="1" style="35" min="4" max="4"/>
    <col width="16" customWidth="1" style="35" min="5" max="5"/>
    <col width="7" customWidth="1" style="35" min="6" max="6"/>
    <col width="9" customWidth="1" style="35" min="7" max="7"/>
    <col width="11" customWidth="1" style="35" min="8" max="8"/>
    <col width="13" customWidth="1" style="35" min="9" max="9"/>
    <col hidden="1" width="9" customWidth="1" style="35" min="10" max="10"/>
    <col hidden="1" width="11" customWidth="1" style="35" min="11" max="11"/>
    <col hidden="1" width="13" customWidth="1" style="35" min="12" max="12"/>
    <col width="13" customWidth="1" style="35" min="13" max="13"/>
    <col width="6" customWidth="1" style="35" min="15" max="15"/>
    <col width="12" customWidth="1" style="35" min="16" max="16"/>
    <col width="6" customWidth="1" style="35" min="17" max="17"/>
    <col width="12" customWidth="1" style="35" min="18" max="18"/>
    <col width="6" customWidth="1" style="35" min="19" max="19"/>
    <col width="12" customWidth="1" style="35" min="20" max="20"/>
    <col width="6" customWidth="1" style="35" min="21" max="21"/>
    <col width="12" customWidth="1" style="35" min="22" max="22"/>
    <col width="6" customWidth="1" style="35" min="23" max="23"/>
    <col width="12" customWidth="1" style="35" min="24" max="24"/>
    <col width="6" customWidth="1" style="35" min="25" max="25"/>
    <col width="12" customWidth="1" style="35" min="26" max="26"/>
    <col width="6" customWidth="1" style="35" min="27" max="27"/>
    <col width="12" customWidth="1" style="35" min="28" max="28"/>
    <col width="7" customWidth="1" style="35" min="29" max="29"/>
    <col width="13" customWidth="1" style="35" min="30" max="30"/>
  </cols>
  <sheetData>
    <row r="2" ht="56" customHeight="1" s="35">
      <c r="B2" s="30" t="inlineStr">
        <is>
          <t>DETTAGLIO SAL — OPERE ELETTRICHE SPECIALI A SERVIZIO DELLE APPARECCHIATURE DI LABORATORIO</t>
        </is>
      </c>
      <c r="C2" s="44" t="n"/>
      <c r="D2" s="44" t="n"/>
      <c r="E2" s="44" t="n"/>
      <c r="F2" s="44" t="n"/>
      <c r="G2" s="44" t="n"/>
      <c r="H2" s="44" t="n"/>
      <c r="I2" s="44" t="n"/>
      <c r="J2" s="44" t="n"/>
      <c r="K2" s="44" t="n"/>
      <c r="L2" s="44" t="n"/>
      <c r="M2" s="20" t="n"/>
    </row>
    <row r="3" ht="56" customHeight="1" s="35">
      <c r="B3" s="26" t="inlineStr">
        <is>
          <t>Nr.Ord.</t>
        </is>
      </c>
      <c r="C3" s="26" t="inlineStr">
        <is>
          <t>TARIFFA</t>
        </is>
      </c>
      <c r="D3" s="26" t="inlineStr">
        <is>
          <t>DESIGNAZIONE</t>
        </is>
      </c>
      <c r="E3" s="26" t="inlineStr">
        <is>
          <t>STEP</t>
        </is>
      </c>
      <c r="F3" s="26" t="inlineStr">
        <is>
          <t>U.M.</t>
        </is>
      </c>
      <c r="G3" s="26" t="inlineStr">
        <is>
          <t>Q.tà PREV</t>
        </is>
      </c>
      <c r="H3" s="26" t="inlineStr">
        <is>
          <t>VAL.UNIT PREV</t>
        </is>
      </c>
      <c r="I3" s="26" t="inlineStr">
        <is>
          <t>TOTALE PREV</t>
        </is>
      </c>
      <c r="J3" s="26" t="inlineStr">
        <is>
          <t>Q.tà CONS</t>
        </is>
      </c>
      <c r="K3" s="26" t="inlineStr">
        <is>
          <t>VAL.UNIT CONS</t>
        </is>
      </c>
      <c r="L3" s="26" t="inlineStr">
        <is>
          <t>TOTALE CONS</t>
        </is>
      </c>
      <c r="M3" s="26" t="inlineStr">
        <is>
          <t>VALORE PER SAL</t>
        </is>
      </c>
      <c r="O3" s="28" t="inlineStr">
        <is>
          <t>SAL 01 APRILE</t>
        </is>
      </c>
      <c r="P3" s="20" t="n"/>
      <c r="Q3" s="26" t="inlineStr">
        <is>
          <t>SAL 02 MAGGIO</t>
        </is>
      </c>
      <c r="R3" s="20" t="n"/>
      <c r="S3" s="26" t="inlineStr">
        <is>
          <t>SAL 03 GIUGNO</t>
        </is>
      </c>
      <c r="T3" s="20" t="n"/>
      <c r="U3" s="26" t="inlineStr">
        <is>
          <t>SAL 04 LUGLIO</t>
        </is>
      </c>
      <c r="V3" s="20" t="n"/>
      <c r="W3" s="26" t="inlineStr">
        <is>
          <t>SAL 05 AGOSTO</t>
        </is>
      </c>
      <c r="X3" s="20" t="n"/>
      <c r="Y3" s="26" t="inlineStr">
        <is>
          <t>SAL 06 SETTEMBRE</t>
        </is>
      </c>
      <c r="Z3" s="20" t="n"/>
      <c r="AA3" s="26" t="inlineStr">
        <is>
          <t>SAL 07 OTTOBRE</t>
        </is>
      </c>
      <c r="AB3" s="20" t="n"/>
      <c r="AC3" s="26" t="inlineStr">
        <is>
          <t>TOTALE COMPL.</t>
        </is>
      </c>
      <c r="AD3" s="20" t="n"/>
    </row>
    <row r="4" ht="56" customHeight="1" s="35">
      <c r="O4" s="12" t="inlineStr">
        <is>
          <t>%</t>
        </is>
      </c>
      <c r="P4" s="36" t="inlineStr">
        <is>
          <t>TOTALE</t>
        </is>
      </c>
      <c r="Q4" s="12" t="inlineStr">
        <is>
          <t>%</t>
        </is>
      </c>
      <c r="R4" s="12" t="inlineStr">
        <is>
          <t>TOTALE</t>
        </is>
      </c>
      <c r="S4" s="12" t="inlineStr">
        <is>
          <t>%</t>
        </is>
      </c>
      <c r="T4" s="12" t="inlineStr">
        <is>
          <t>TOTALE</t>
        </is>
      </c>
      <c r="U4" s="12" t="inlineStr">
        <is>
          <t>%</t>
        </is>
      </c>
      <c r="V4" s="12" t="inlineStr">
        <is>
          <t>TOTALE</t>
        </is>
      </c>
      <c r="W4" s="12" t="inlineStr">
        <is>
          <t>%</t>
        </is>
      </c>
      <c r="X4" s="12" t="inlineStr">
        <is>
          <t>TOTALE</t>
        </is>
      </c>
      <c r="Y4" s="12" t="inlineStr">
        <is>
          <t>%</t>
        </is>
      </c>
      <c r="Z4" s="12" t="inlineStr">
        <is>
          <t>TOTALE</t>
        </is>
      </c>
      <c r="AA4" s="12" t="inlineStr">
        <is>
          <t>%</t>
        </is>
      </c>
      <c r="AB4" s="12" t="inlineStr">
        <is>
          <t>TOTALE</t>
        </is>
      </c>
      <c r="AC4" s="12" t="inlineStr">
        <is>
          <t>%</t>
        </is>
      </c>
      <c r="AD4" s="12" t="inlineStr">
        <is>
          <t>TOTALE</t>
        </is>
      </c>
    </row>
    <row r="5" ht="56" customHeight="1" s="35">
      <c r="B5" s="4">
        <f>LAVORAZIONI!G511</f>
        <v/>
      </c>
      <c r="C5" s="3">
        <f>LAVORAZIONI!A511</f>
        <v/>
      </c>
      <c r="D5" s="3">
        <f>LAVORAZIONI!K511</f>
        <v/>
      </c>
      <c r="E5" s="4">
        <f>LAVORAZIONI!H511</f>
        <v/>
      </c>
      <c r="F5" s="4">
        <f>LAVORAZIONI!M511</f>
        <v/>
      </c>
      <c r="G5" s="5">
        <f>LAVORAZIONI!N511</f>
        <v/>
      </c>
      <c r="H5" s="6">
        <f>LAVORAZIONI!O511</f>
        <v/>
      </c>
      <c r="I5" s="13">
        <f>LAVORAZIONI!P511</f>
        <v/>
      </c>
      <c r="J5" s="5">
        <f>IF(LAVORAZIONI!Q511="","",LAVORAZIONI!Q511)</f>
        <v/>
      </c>
      <c r="K5" s="6">
        <f>IF(LAVORAZIONI!R511="","",LAVORAZIONI!R511)</f>
        <v/>
      </c>
      <c r="L5" s="13">
        <f>IF(LAVORAZIONI!S511="","",LAVORAZIONI!S511)</f>
        <v/>
      </c>
      <c r="M5" s="13">
        <f>LAVORAZIONI!T511</f>
        <v/>
      </c>
      <c r="O5" s="7">
        <f>LAVORAZIONI!U511</f>
        <v/>
      </c>
      <c r="P5" s="37">
        <f>LAVORAZIONI!V511</f>
        <v/>
      </c>
      <c r="Q5" s="7">
        <f>LAVORAZIONI!W511</f>
        <v/>
      </c>
      <c r="R5" s="6">
        <f>LAVORAZIONI!X511</f>
        <v/>
      </c>
      <c r="S5" s="7">
        <f>LAVORAZIONI!Y511</f>
        <v/>
      </c>
      <c r="T5" s="6">
        <f>LAVORAZIONI!Z511</f>
        <v/>
      </c>
      <c r="U5" s="7">
        <f>LAVORAZIONI!AA511</f>
        <v/>
      </c>
      <c r="V5" s="6">
        <f>LAVORAZIONI!AB511</f>
        <v/>
      </c>
      <c r="W5" s="7">
        <f>LAVORAZIONI!AC511</f>
        <v/>
      </c>
      <c r="X5" s="6">
        <f>LAVORAZIONI!AD511</f>
        <v/>
      </c>
      <c r="Y5" s="7">
        <f>LAVORAZIONI!AE511</f>
        <v/>
      </c>
      <c r="Z5" s="6">
        <f>LAVORAZIONI!AF511</f>
        <v/>
      </c>
      <c r="AA5" s="7">
        <f>LAVORAZIONI!AG511</f>
        <v/>
      </c>
      <c r="AB5" s="6">
        <f>LAVORAZIONI!AH511</f>
        <v/>
      </c>
      <c r="AC5" s="7">
        <f>LAVORAZIONI!AI511</f>
        <v/>
      </c>
      <c r="AD5" s="13">
        <f>LAVORAZIONI!AJ511</f>
        <v/>
      </c>
    </row>
    <row r="6" ht="56" customHeight="1" s="35">
      <c r="B6" s="4">
        <f>LAVORAZIONI!G512</f>
        <v/>
      </c>
      <c r="C6" s="3">
        <f>LAVORAZIONI!A512</f>
        <v/>
      </c>
      <c r="D6" s="3">
        <f>LAVORAZIONI!K512</f>
        <v/>
      </c>
      <c r="E6" s="4">
        <f>LAVORAZIONI!H512</f>
        <v/>
      </c>
      <c r="F6" s="4">
        <f>LAVORAZIONI!M512</f>
        <v/>
      </c>
      <c r="G6" s="5">
        <f>LAVORAZIONI!N512</f>
        <v/>
      </c>
      <c r="H6" s="6">
        <f>LAVORAZIONI!O512</f>
        <v/>
      </c>
      <c r="I6" s="13">
        <f>LAVORAZIONI!P512</f>
        <v/>
      </c>
      <c r="J6" s="5">
        <f>IF(LAVORAZIONI!Q512="","",LAVORAZIONI!Q512)</f>
        <v/>
      </c>
      <c r="K6" s="6">
        <f>IF(LAVORAZIONI!R512="","",LAVORAZIONI!R512)</f>
        <v/>
      </c>
      <c r="L6" s="13">
        <f>IF(LAVORAZIONI!S512="","",LAVORAZIONI!S512)</f>
        <v/>
      </c>
      <c r="M6" s="13">
        <f>LAVORAZIONI!T512</f>
        <v/>
      </c>
      <c r="O6" s="7">
        <f>LAVORAZIONI!U512</f>
        <v/>
      </c>
      <c r="P6" s="37">
        <f>LAVORAZIONI!V512</f>
        <v/>
      </c>
      <c r="Q6" s="7">
        <f>LAVORAZIONI!W512</f>
        <v/>
      </c>
      <c r="R6" s="6">
        <f>LAVORAZIONI!X512</f>
        <v/>
      </c>
      <c r="S6" s="7">
        <f>LAVORAZIONI!Y512</f>
        <v/>
      </c>
      <c r="T6" s="6">
        <f>LAVORAZIONI!Z512</f>
        <v/>
      </c>
      <c r="U6" s="7">
        <f>LAVORAZIONI!AA512</f>
        <v/>
      </c>
      <c r="V6" s="6">
        <f>LAVORAZIONI!AB512</f>
        <v/>
      </c>
      <c r="W6" s="7">
        <f>LAVORAZIONI!AC512</f>
        <v/>
      </c>
      <c r="X6" s="6">
        <f>LAVORAZIONI!AD512</f>
        <v/>
      </c>
      <c r="Y6" s="7">
        <f>LAVORAZIONI!AE512</f>
        <v/>
      </c>
      <c r="Z6" s="6">
        <f>LAVORAZIONI!AF512</f>
        <v/>
      </c>
      <c r="AA6" s="7">
        <f>LAVORAZIONI!AG512</f>
        <v/>
      </c>
      <c r="AB6" s="6">
        <f>LAVORAZIONI!AH512</f>
        <v/>
      </c>
      <c r="AC6" s="7">
        <f>LAVORAZIONI!AI512</f>
        <v/>
      </c>
      <c r="AD6" s="13">
        <f>LAVORAZIONI!AJ512</f>
        <v/>
      </c>
    </row>
    <row r="7" ht="56" customHeight="1" s="35">
      <c r="B7" s="4">
        <f>LAVORAZIONI!G513</f>
        <v/>
      </c>
      <c r="C7" s="3">
        <f>LAVORAZIONI!A513</f>
        <v/>
      </c>
      <c r="D7" s="3">
        <f>LAVORAZIONI!K513</f>
        <v/>
      </c>
      <c r="E7" s="4">
        <f>LAVORAZIONI!H513</f>
        <v/>
      </c>
      <c r="F7" s="4">
        <f>LAVORAZIONI!M513</f>
        <v/>
      </c>
      <c r="G7" s="5">
        <f>LAVORAZIONI!N513</f>
        <v/>
      </c>
      <c r="H7" s="6">
        <f>LAVORAZIONI!O513</f>
        <v/>
      </c>
      <c r="I7" s="13">
        <f>LAVORAZIONI!P513</f>
        <v/>
      </c>
      <c r="J7" s="5">
        <f>IF(LAVORAZIONI!Q513="","",LAVORAZIONI!Q513)</f>
        <v/>
      </c>
      <c r="K7" s="6">
        <f>IF(LAVORAZIONI!R513="","",LAVORAZIONI!R513)</f>
        <v/>
      </c>
      <c r="L7" s="13">
        <f>IF(LAVORAZIONI!S513="","",LAVORAZIONI!S513)</f>
        <v/>
      </c>
      <c r="M7" s="13">
        <f>LAVORAZIONI!T513</f>
        <v/>
      </c>
      <c r="O7" s="7">
        <f>LAVORAZIONI!U513</f>
        <v/>
      </c>
      <c r="P7" s="37">
        <f>LAVORAZIONI!V513</f>
        <v/>
      </c>
      <c r="Q7" s="7">
        <f>LAVORAZIONI!W513</f>
        <v/>
      </c>
      <c r="R7" s="6">
        <f>LAVORAZIONI!X513</f>
        <v/>
      </c>
      <c r="S7" s="7">
        <f>LAVORAZIONI!Y513</f>
        <v/>
      </c>
      <c r="T7" s="6">
        <f>LAVORAZIONI!Z513</f>
        <v/>
      </c>
      <c r="U7" s="7">
        <f>LAVORAZIONI!AA513</f>
        <v/>
      </c>
      <c r="V7" s="6">
        <f>LAVORAZIONI!AB513</f>
        <v/>
      </c>
      <c r="W7" s="7">
        <f>LAVORAZIONI!AC513</f>
        <v/>
      </c>
      <c r="X7" s="6">
        <f>LAVORAZIONI!AD513</f>
        <v/>
      </c>
      <c r="Y7" s="7">
        <f>LAVORAZIONI!AE513</f>
        <v/>
      </c>
      <c r="Z7" s="6">
        <f>LAVORAZIONI!AF513</f>
        <v/>
      </c>
      <c r="AA7" s="7">
        <f>LAVORAZIONI!AG513</f>
        <v/>
      </c>
      <c r="AB7" s="6">
        <f>LAVORAZIONI!AH513</f>
        <v/>
      </c>
      <c r="AC7" s="7">
        <f>LAVORAZIONI!AI513</f>
        <v/>
      </c>
      <c r="AD7" s="13">
        <f>LAVORAZIONI!AJ513</f>
        <v/>
      </c>
    </row>
    <row r="8" ht="56" customHeight="1" s="35">
      <c r="B8" s="4">
        <f>LAVORAZIONI!G514</f>
        <v/>
      </c>
      <c r="C8" s="3">
        <f>LAVORAZIONI!A514</f>
        <v/>
      </c>
      <c r="D8" s="3">
        <f>LAVORAZIONI!K514</f>
        <v/>
      </c>
      <c r="E8" s="4">
        <f>LAVORAZIONI!H514</f>
        <v/>
      </c>
      <c r="F8" s="4">
        <f>LAVORAZIONI!M514</f>
        <v/>
      </c>
      <c r="G8" s="5">
        <f>LAVORAZIONI!N514</f>
        <v/>
      </c>
      <c r="H8" s="6">
        <f>LAVORAZIONI!O514</f>
        <v/>
      </c>
      <c r="I8" s="13">
        <f>LAVORAZIONI!P514</f>
        <v/>
      </c>
      <c r="J8" s="5">
        <f>IF(LAVORAZIONI!Q514="","",LAVORAZIONI!Q514)</f>
        <v/>
      </c>
      <c r="K8" s="6">
        <f>IF(LAVORAZIONI!R514="","",LAVORAZIONI!R514)</f>
        <v/>
      </c>
      <c r="L8" s="13">
        <f>IF(LAVORAZIONI!S514="","",LAVORAZIONI!S514)</f>
        <v/>
      </c>
      <c r="M8" s="13">
        <f>LAVORAZIONI!T514</f>
        <v/>
      </c>
      <c r="O8" s="7">
        <f>LAVORAZIONI!U514</f>
        <v/>
      </c>
      <c r="P8" s="37">
        <f>LAVORAZIONI!V514</f>
        <v/>
      </c>
      <c r="Q8" s="7">
        <f>LAVORAZIONI!W514</f>
        <v/>
      </c>
      <c r="R8" s="6">
        <f>LAVORAZIONI!X514</f>
        <v/>
      </c>
      <c r="S8" s="7">
        <f>LAVORAZIONI!Y514</f>
        <v/>
      </c>
      <c r="T8" s="6">
        <f>LAVORAZIONI!Z514</f>
        <v/>
      </c>
      <c r="U8" s="7">
        <f>LAVORAZIONI!AA514</f>
        <v/>
      </c>
      <c r="V8" s="6">
        <f>LAVORAZIONI!AB514</f>
        <v/>
      </c>
      <c r="W8" s="7">
        <f>LAVORAZIONI!AC514</f>
        <v/>
      </c>
      <c r="X8" s="6">
        <f>LAVORAZIONI!AD514</f>
        <v/>
      </c>
      <c r="Y8" s="7">
        <f>LAVORAZIONI!AE514</f>
        <v/>
      </c>
      <c r="Z8" s="6">
        <f>LAVORAZIONI!AF514</f>
        <v/>
      </c>
      <c r="AA8" s="7">
        <f>LAVORAZIONI!AG514</f>
        <v/>
      </c>
      <c r="AB8" s="6">
        <f>LAVORAZIONI!AH514</f>
        <v/>
      </c>
      <c r="AC8" s="7">
        <f>LAVORAZIONI!AI514</f>
        <v/>
      </c>
      <c r="AD8" s="13">
        <f>LAVORAZIONI!AJ514</f>
        <v/>
      </c>
    </row>
    <row r="9" ht="56" customHeight="1" s="35">
      <c r="B9" s="4">
        <f>LAVORAZIONI!G515</f>
        <v/>
      </c>
      <c r="C9" s="3">
        <f>LAVORAZIONI!A515</f>
        <v/>
      </c>
      <c r="D9" s="3">
        <f>LAVORAZIONI!K515</f>
        <v/>
      </c>
      <c r="E9" s="4">
        <f>LAVORAZIONI!H515</f>
        <v/>
      </c>
      <c r="F9" s="4">
        <f>LAVORAZIONI!M515</f>
        <v/>
      </c>
      <c r="G9" s="5">
        <f>LAVORAZIONI!N515</f>
        <v/>
      </c>
      <c r="H9" s="6">
        <f>LAVORAZIONI!O515</f>
        <v/>
      </c>
      <c r="I9" s="13">
        <f>LAVORAZIONI!P515</f>
        <v/>
      </c>
      <c r="J9" s="5">
        <f>IF(LAVORAZIONI!Q515="","",LAVORAZIONI!Q515)</f>
        <v/>
      </c>
      <c r="K9" s="6">
        <f>IF(LAVORAZIONI!R515="","",LAVORAZIONI!R515)</f>
        <v/>
      </c>
      <c r="L9" s="13">
        <f>IF(LAVORAZIONI!S515="","",LAVORAZIONI!S515)</f>
        <v/>
      </c>
      <c r="M9" s="13">
        <f>LAVORAZIONI!T515</f>
        <v/>
      </c>
      <c r="O9" s="7">
        <f>LAVORAZIONI!U515</f>
        <v/>
      </c>
      <c r="P9" s="37">
        <f>LAVORAZIONI!V515</f>
        <v/>
      </c>
      <c r="Q9" s="7">
        <f>LAVORAZIONI!W515</f>
        <v/>
      </c>
      <c r="R9" s="6">
        <f>LAVORAZIONI!X515</f>
        <v/>
      </c>
      <c r="S9" s="7">
        <f>LAVORAZIONI!Y515</f>
        <v/>
      </c>
      <c r="T9" s="6">
        <f>LAVORAZIONI!Z515</f>
        <v/>
      </c>
      <c r="U9" s="7">
        <f>LAVORAZIONI!AA515</f>
        <v/>
      </c>
      <c r="V9" s="6">
        <f>LAVORAZIONI!AB515</f>
        <v/>
      </c>
      <c r="W9" s="7">
        <f>LAVORAZIONI!AC515</f>
        <v/>
      </c>
      <c r="X9" s="6">
        <f>LAVORAZIONI!AD515</f>
        <v/>
      </c>
      <c r="Y9" s="7">
        <f>LAVORAZIONI!AE515</f>
        <v/>
      </c>
      <c r="Z9" s="6">
        <f>LAVORAZIONI!AF515</f>
        <v/>
      </c>
      <c r="AA9" s="7">
        <f>LAVORAZIONI!AG515</f>
        <v/>
      </c>
      <c r="AB9" s="6">
        <f>LAVORAZIONI!AH515</f>
        <v/>
      </c>
      <c r="AC9" s="7">
        <f>LAVORAZIONI!AI515</f>
        <v/>
      </c>
      <c r="AD9" s="13">
        <f>LAVORAZIONI!AJ515</f>
        <v/>
      </c>
    </row>
    <row r="10" ht="56" customHeight="1" s="35">
      <c r="B10" s="4">
        <f>LAVORAZIONI!G516</f>
        <v/>
      </c>
      <c r="C10" s="3">
        <f>LAVORAZIONI!A516</f>
        <v/>
      </c>
      <c r="D10" s="3">
        <f>LAVORAZIONI!K516</f>
        <v/>
      </c>
      <c r="E10" s="4">
        <f>LAVORAZIONI!H516</f>
        <v/>
      </c>
      <c r="F10" s="4">
        <f>LAVORAZIONI!M516</f>
        <v/>
      </c>
      <c r="G10" s="5">
        <f>LAVORAZIONI!N516</f>
        <v/>
      </c>
      <c r="H10" s="6">
        <f>LAVORAZIONI!O516</f>
        <v/>
      </c>
      <c r="I10" s="13">
        <f>LAVORAZIONI!P516</f>
        <v/>
      </c>
      <c r="J10" s="5">
        <f>IF(LAVORAZIONI!Q516="","",LAVORAZIONI!Q516)</f>
        <v/>
      </c>
      <c r="K10" s="6">
        <f>IF(LAVORAZIONI!R516="","",LAVORAZIONI!R516)</f>
        <v/>
      </c>
      <c r="L10" s="13">
        <f>IF(LAVORAZIONI!S516="","",LAVORAZIONI!S516)</f>
        <v/>
      </c>
      <c r="M10" s="13">
        <f>LAVORAZIONI!T516</f>
        <v/>
      </c>
      <c r="O10" s="7">
        <f>LAVORAZIONI!U516</f>
        <v/>
      </c>
      <c r="P10" s="37">
        <f>LAVORAZIONI!V516</f>
        <v/>
      </c>
      <c r="Q10" s="7">
        <f>LAVORAZIONI!W516</f>
        <v/>
      </c>
      <c r="R10" s="6">
        <f>LAVORAZIONI!X516</f>
        <v/>
      </c>
      <c r="S10" s="7">
        <f>LAVORAZIONI!Y516</f>
        <v/>
      </c>
      <c r="T10" s="6">
        <f>LAVORAZIONI!Z516</f>
        <v/>
      </c>
      <c r="U10" s="7">
        <f>LAVORAZIONI!AA516</f>
        <v/>
      </c>
      <c r="V10" s="6">
        <f>LAVORAZIONI!AB516</f>
        <v/>
      </c>
      <c r="W10" s="7">
        <f>LAVORAZIONI!AC516</f>
        <v/>
      </c>
      <c r="X10" s="6">
        <f>LAVORAZIONI!AD516</f>
        <v/>
      </c>
      <c r="Y10" s="7">
        <f>LAVORAZIONI!AE516</f>
        <v/>
      </c>
      <c r="Z10" s="6">
        <f>LAVORAZIONI!AF516</f>
        <v/>
      </c>
      <c r="AA10" s="7">
        <f>LAVORAZIONI!AG516</f>
        <v/>
      </c>
      <c r="AB10" s="6">
        <f>LAVORAZIONI!AH516</f>
        <v/>
      </c>
      <c r="AC10" s="7">
        <f>LAVORAZIONI!AI516</f>
        <v/>
      </c>
      <c r="AD10" s="13">
        <f>LAVORAZIONI!AJ516</f>
        <v/>
      </c>
    </row>
    <row r="11" ht="56" customHeight="1" s="35">
      <c r="B11" s="4">
        <f>LAVORAZIONI!G517</f>
        <v/>
      </c>
      <c r="C11" s="3">
        <f>LAVORAZIONI!A517</f>
        <v/>
      </c>
      <c r="D11" s="3">
        <f>LAVORAZIONI!K517</f>
        <v/>
      </c>
      <c r="E11" s="4">
        <f>LAVORAZIONI!H517</f>
        <v/>
      </c>
      <c r="F11" s="4">
        <f>LAVORAZIONI!M517</f>
        <v/>
      </c>
      <c r="G11" s="5">
        <f>LAVORAZIONI!N517</f>
        <v/>
      </c>
      <c r="H11" s="6">
        <f>LAVORAZIONI!O517</f>
        <v/>
      </c>
      <c r="I11" s="13">
        <f>LAVORAZIONI!P517</f>
        <v/>
      </c>
      <c r="J11" s="5">
        <f>IF(LAVORAZIONI!Q517="","",LAVORAZIONI!Q517)</f>
        <v/>
      </c>
      <c r="K11" s="6">
        <f>IF(LAVORAZIONI!R517="","",LAVORAZIONI!R517)</f>
        <v/>
      </c>
      <c r="L11" s="13">
        <f>IF(LAVORAZIONI!S517="","",LAVORAZIONI!S517)</f>
        <v/>
      </c>
      <c r="M11" s="13">
        <f>LAVORAZIONI!T517</f>
        <v/>
      </c>
      <c r="O11" s="7">
        <f>LAVORAZIONI!U517</f>
        <v/>
      </c>
      <c r="P11" s="37">
        <f>LAVORAZIONI!V517</f>
        <v/>
      </c>
      <c r="Q11" s="7">
        <f>LAVORAZIONI!W517</f>
        <v/>
      </c>
      <c r="R11" s="6">
        <f>LAVORAZIONI!X517</f>
        <v/>
      </c>
      <c r="S11" s="7">
        <f>LAVORAZIONI!Y517</f>
        <v/>
      </c>
      <c r="T11" s="6">
        <f>LAVORAZIONI!Z517</f>
        <v/>
      </c>
      <c r="U11" s="7">
        <f>LAVORAZIONI!AA517</f>
        <v/>
      </c>
      <c r="V11" s="6">
        <f>LAVORAZIONI!AB517</f>
        <v/>
      </c>
      <c r="W11" s="7">
        <f>LAVORAZIONI!AC517</f>
        <v/>
      </c>
      <c r="X11" s="6">
        <f>LAVORAZIONI!AD517</f>
        <v/>
      </c>
      <c r="Y11" s="7">
        <f>LAVORAZIONI!AE517</f>
        <v/>
      </c>
      <c r="Z11" s="6">
        <f>LAVORAZIONI!AF517</f>
        <v/>
      </c>
      <c r="AA11" s="7">
        <f>LAVORAZIONI!AG517</f>
        <v/>
      </c>
      <c r="AB11" s="6">
        <f>LAVORAZIONI!AH517</f>
        <v/>
      </c>
      <c r="AC11" s="7">
        <f>LAVORAZIONI!AI517</f>
        <v/>
      </c>
      <c r="AD11" s="13">
        <f>LAVORAZIONI!AJ517</f>
        <v/>
      </c>
    </row>
    <row r="12" ht="56" customHeight="1" s="35">
      <c r="B12" s="4">
        <f>LAVORAZIONI!G518</f>
        <v/>
      </c>
      <c r="C12" s="3">
        <f>LAVORAZIONI!A518</f>
        <v/>
      </c>
      <c r="D12" s="3">
        <f>LAVORAZIONI!K518</f>
        <v/>
      </c>
      <c r="E12" s="4">
        <f>LAVORAZIONI!H518</f>
        <v/>
      </c>
      <c r="F12" s="4">
        <f>LAVORAZIONI!M518</f>
        <v/>
      </c>
      <c r="G12" s="5">
        <f>LAVORAZIONI!N518</f>
        <v/>
      </c>
      <c r="H12" s="6">
        <f>LAVORAZIONI!O518</f>
        <v/>
      </c>
      <c r="I12" s="13">
        <f>LAVORAZIONI!P518</f>
        <v/>
      </c>
      <c r="J12" s="5">
        <f>IF(LAVORAZIONI!Q518="","",LAVORAZIONI!Q518)</f>
        <v/>
      </c>
      <c r="K12" s="6">
        <f>IF(LAVORAZIONI!R518="","",LAVORAZIONI!R518)</f>
        <v/>
      </c>
      <c r="L12" s="13">
        <f>IF(LAVORAZIONI!S518="","",LAVORAZIONI!S518)</f>
        <v/>
      </c>
      <c r="M12" s="13">
        <f>LAVORAZIONI!T518</f>
        <v/>
      </c>
      <c r="O12" s="7">
        <f>LAVORAZIONI!U518</f>
        <v/>
      </c>
      <c r="P12" s="37">
        <f>LAVORAZIONI!V518</f>
        <v/>
      </c>
      <c r="Q12" s="7">
        <f>LAVORAZIONI!W518</f>
        <v/>
      </c>
      <c r="R12" s="6">
        <f>LAVORAZIONI!X518</f>
        <v/>
      </c>
      <c r="S12" s="7">
        <f>LAVORAZIONI!Y518</f>
        <v/>
      </c>
      <c r="T12" s="6">
        <f>LAVORAZIONI!Z518</f>
        <v/>
      </c>
      <c r="U12" s="7">
        <f>LAVORAZIONI!AA518</f>
        <v/>
      </c>
      <c r="V12" s="6">
        <f>LAVORAZIONI!AB518</f>
        <v/>
      </c>
      <c r="W12" s="7">
        <f>LAVORAZIONI!AC518</f>
        <v/>
      </c>
      <c r="X12" s="6">
        <f>LAVORAZIONI!AD518</f>
        <v/>
      </c>
      <c r="Y12" s="7">
        <f>LAVORAZIONI!AE518</f>
        <v/>
      </c>
      <c r="Z12" s="6">
        <f>LAVORAZIONI!AF518</f>
        <v/>
      </c>
      <c r="AA12" s="7">
        <f>LAVORAZIONI!AG518</f>
        <v/>
      </c>
      <c r="AB12" s="6">
        <f>LAVORAZIONI!AH518</f>
        <v/>
      </c>
      <c r="AC12" s="7">
        <f>LAVORAZIONI!AI518</f>
        <v/>
      </c>
      <c r="AD12" s="13">
        <f>LAVORAZIONI!AJ518</f>
        <v/>
      </c>
    </row>
    <row r="13" ht="56" customHeight="1" s="35">
      <c r="B13" s="4">
        <f>LAVORAZIONI!G519</f>
        <v/>
      </c>
      <c r="C13" s="3">
        <f>LAVORAZIONI!A519</f>
        <v/>
      </c>
      <c r="D13" s="3">
        <f>LAVORAZIONI!K519</f>
        <v/>
      </c>
      <c r="E13" s="4">
        <f>LAVORAZIONI!H519</f>
        <v/>
      </c>
      <c r="F13" s="4">
        <f>LAVORAZIONI!M519</f>
        <v/>
      </c>
      <c r="G13" s="5">
        <f>LAVORAZIONI!N519</f>
        <v/>
      </c>
      <c r="H13" s="6">
        <f>LAVORAZIONI!O519</f>
        <v/>
      </c>
      <c r="I13" s="13">
        <f>LAVORAZIONI!P519</f>
        <v/>
      </c>
      <c r="J13" s="5">
        <f>IF(LAVORAZIONI!Q519="","",LAVORAZIONI!Q519)</f>
        <v/>
      </c>
      <c r="K13" s="6">
        <f>IF(LAVORAZIONI!R519="","",LAVORAZIONI!R519)</f>
        <v/>
      </c>
      <c r="L13" s="13">
        <f>IF(LAVORAZIONI!S519="","",LAVORAZIONI!S519)</f>
        <v/>
      </c>
      <c r="M13" s="13">
        <f>LAVORAZIONI!T519</f>
        <v/>
      </c>
      <c r="O13" s="7">
        <f>LAVORAZIONI!U519</f>
        <v/>
      </c>
      <c r="P13" s="37">
        <f>LAVORAZIONI!V519</f>
        <v/>
      </c>
      <c r="Q13" s="7">
        <f>LAVORAZIONI!W519</f>
        <v/>
      </c>
      <c r="R13" s="6">
        <f>LAVORAZIONI!X519</f>
        <v/>
      </c>
      <c r="S13" s="7">
        <f>LAVORAZIONI!Y519</f>
        <v/>
      </c>
      <c r="T13" s="6">
        <f>LAVORAZIONI!Z519</f>
        <v/>
      </c>
      <c r="U13" s="7">
        <f>LAVORAZIONI!AA519</f>
        <v/>
      </c>
      <c r="V13" s="6">
        <f>LAVORAZIONI!AB519</f>
        <v/>
      </c>
      <c r="W13" s="7">
        <f>LAVORAZIONI!AC519</f>
        <v/>
      </c>
      <c r="X13" s="6">
        <f>LAVORAZIONI!AD519</f>
        <v/>
      </c>
      <c r="Y13" s="7">
        <f>LAVORAZIONI!AE519</f>
        <v/>
      </c>
      <c r="Z13" s="6">
        <f>LAVORAZIONI!AF519</f>
        <v/>
      </c>
      <c r="AA13" s="7">
        <f>LAVORAZIONI!AG519</f>
        <v/>
      </c>
      <c r="AB13" s="6">
        <f>LAVORAZIONI!AH519</f>
        <v/>
      </c>
      <c r="AC13" s="7">
        <f>LAVORAZIONI!AI519</f>
        <v/>
      </c>
      <c r="AD13" s="13">
        <f>LAVORAZIONI!AJ519</f>
        <v/>
      </c>
    </row>
    <row r="14" ht="56" customHeight="1" s="35">
      <c r="B14" s="4">
        <f>LAVORAZIONI!G520</f>
        <v/>
      </c>
      <c r="C14" s="3">
        <f>LAVORAZIONI!A520</f>
        <v/>
      </c>
      <c r="D14" s="3">
        <f>LAVORAZIONI!K520</f>
        <v/>
      </c>
      <c r="E14" s="4">
        <f>LAVORAZIONI!H520</f>
        <v/>
      </c>
      <c r="F14" s="4">
        <f>LAVORAZIONI!M520</f>
        <v/>
      </c>
      <c r="G14" s="5">
        <f>LAVORAZIONI!N520</f>
        <v/>
      </c>
      <c r="H14" s="6">
        <f>LAVORAZIONI!O520</f>
        <v/>
      </c>
      <c r="I14" s="13">
        <f>LAVORAZIONI!P520</f>
        <v/>
      </c>
      <c r="J14" s="5">
        <f>IF(LAVORAZIONI!Q520="","",LAVORAZIONI!Q520)</f>
        <v/>
      </c>
      <c r="K14" s="6">
        <f>IF(LAVORAZIONI!R520="","",LAVORAZIONI!R520)</f>
        <v/>
      </c>
      <c r="L14" s="13">
        <f>IF(LAVORAZIONI!S520="","",LAVORAZIONI!S520)</f>
        <v/>
      </c>
      <c r="M14" s="13">
        <f>LAVORAZIONI!T520</f>
        <v/>
      </c>
      <c r="O14" s="7">
        <f>LAVORAZIONI!U520</f>
        <v/>
      </c>
      <c r="P14" s="37">
        <f>LAVORAZIONI!V520</f>
        <v/>
      </c>
      <c r="Q14" s="7">
        <f>LAVORAZIONI!W520</f>
        <v/>
      </c>
      <c r="R14" s="6">
        <f>LAVORAZIONI!X520</f>
        <v/>
      </c>
      <c r="S14" s="7">
        <f>LAVORAZIONI!Y520</f>
        <v/>
      </c>
      <c r="T14" s="6">
        <f>LAVORAZIONI!Z520</f>
        <v/>
      </c>
      <c r="U14" s="7">
        <f>LAVORAZIONI!AA520</f>
        <v/>
      </c>
      <c r="V14" s="6">
        <f>LAVORAZIONI!AB520</f>
        <v/>
      </c>
      <c r="W14" s="7">
        <f>LAVORAZIONI!AC520</f>
        <v/>
      </c>
      <c r="X14" s="6">
        <f>LAVORAZIONI!AD520</f>
        <v/>
      </c>
      <c r="Y14" s="7">
        <f>LAVORAZIONI!AE520</f>
        <v/>
      </c>
      <c r="Z14" s="6">
        <f>LAVORAZIONI!AF520</f>
        <v/>
      </c>
      <c r="AA14" s="7">
        <f>LAVORAZIONI!AG520</f>
        <v/>
      </c>
      <c r="AB14" s="6">
        <f>LAVORAZIONI!AH520</f>
        <v/>
      </c>
      <c r="AC14" s="7">
        <f>LAVORAZIONI!AI520</f>
        <v/>
      </c>
      <c r="AD14" s="13">
        <f>LAVORAZIONI!AJ520</f>
        <v/>
      </c>
    </row>
    <row r="15" ht="56" customHeight="1" s="35">
      <c r="B15" s="4">
        <f>LAVORAZIONI!G521</f>
        <v/>
      </c>
      <c r="C15" s="3">
        <f>LAVORAZIONI!A521</f>
        <v/>
      </c>
      <c r="D15" s="3">
        <f>LAVORAZIONI!K521</f>
        <v/>
      </c>
      <c r="E15" s="4">
        <f>LAVORAZIONI!H521</f>
        <v/>
      </c>
      <c r="F15" s="4">
        <f>LAVORAZIONI!M521</f>
        <v/>
      </c>
      <c r="G15" s="5">
        <f>LAVORAZIONI!N521</f>
        <v/>
      </c>
      <c r="H15" s="6">
        <f>LAVORAZIONI!O521</f>
        <v/>
      </c>
      <c r="I15" s="13">
        <f>LAVORAZIONI!P521</f>
        <v/>
      </c>
      <c r="J15" s="5">
        <f>IF(LAVORAZIONI!Q521="","",LAVORAZIONI!Q521)</f>
        <v/>
      </c>
      <c r="K15" s="6">
        <f>IF(LAVORAZIONI!R521="","",LAVORAZIONI!R521)</f>
        <v/>
      </c>
      <c r="L15" s="13">
        <f>IF(LAVORAZIONI!S521="","",LAVORAZIONI!S521)</f>
        <v/>
      </c>
      <c r="M15" s="13">
        <f>LAVORAZIONI!T521</f>
        <v/>
      </c>
      <c r="O15" s="7">
        <f>LAVORAZIONI!U521</f>
        <v/>
      </c>
      <c r="P15" s="37">
        <f>LAVORAZIONI!V521</f>
        <v/>
      </c>
      <c r="Q15" s="7">
        <f>LAVORAZIONI!W521</f>
        <v/>
      </c>
      <c r="R15" s="6">
        <f>LAVORAZIONI!X521</f>
        <v/>
      </c>
      <c r="S15" s="7">
        <f>LAVORAZIONI!Y521</f>
        <v/>
      </c>
      <c r="T15" s="6">
        <f>LAVORAZIONI!Z521</f>
        <v/>
      </c>
      <c r="U15" s="7">
        <f>LAVORAZIONI!AA521</f>
        <v/>
      </c>
      <c r="V15" s="6">
        <f>LAVORAZIONI!AB521</f>
        <v/>
      </c>
      <c r="W15" s="7">
        <f>LAVORAZIONI!AC521</f>
        <v/>
      </c>
      <c r="X15" s="6">
        <f>LAVORAZIONI!AD521</f>
        <v/>
      </c>
      <c r="Y15" s="7">
        <f>LAVORAZIONI!AE521</f>
        <v/>
      </c>
      <c r="Z15" s="6">
        <f>LAVORAZIONI!AF521</f>
        <v/>
      </c>
      <c r="AA15" s="7">
        <f>LAVORAZIONI!AG521</f>
        <v/>
      </c>
      <c r="AB15" s="6">
        <f>LAVORAZIONI!AH521</f>
        <v/>
      </c>
      <c r="AC15" s="7">
        <f>LAVORAZIONI!AI521</f>
        <v/>
      </c>
      <c r="AD15" s="13">
        <f>LAVORAZIONI!AJ521</f>
        <v/>
      </c>
    </row>
    <row r="16" ht="56" customHeight="1" s="35">
      <c r="B16" s="4">
        <f>LAVORAZIONI!G522</f>
        <v/>
      </c>
      <c r="C16" s="3">
        <f>LAVORAZIONI!A522</f>
        <v/>
      </c>
      <c r="D16" s="3">
        <f>LAVORAZIONI!K522</f>
        <v/>
      </c>
      <c r="E16" s="4">
        <f>LAVORAZIONI!H522</f>
        <v/>
      </c>
      <c r="F16" s="4">
        <f>LAVORAZIONI!M522</f>
        <v/>
      </c>
      <c r="G16" s="5">
        <f>LAVORAZIONI!N522</f>
        <v/>
      </c>
      <c r="H16" s="6">
        <f>LAVORAZIONI!O522</f>
        <v/>
      </c>
      <c r="I16" s="13">
        <f>LAVORAZIONI!P522</f>
        <v/>
      </c>
      <c r="J16" s="5">
        <f>IF(LAVORAZIONI!Q522="","",LAVORAZIONI!Q522)</f>
        <v/>
      </c>
      <c r="K16" s="6">
        <f>IF(LAVORAZIONI!R522="","",LAVORAZIONI!R522)</f>
        <v/>
      </c>
      <c r="L16" s="13">
        <f>IF(LAVORAZIONI!S522="","",LAVORAZIONI!S522)</f>
        <v/>
      </c>
      <c r="M16" s="13">
        <f>LAVORAZIONI!T522</f>
        <v/>
      </c>
      <c r="O16" s="7">
        <f>LAVORAZIONI!U522</f>
        <v/>
      </c>
      <c r="P16" s="37">
        <f>LAVORAZIONI!V522</f>
        <v/>
      </c>
      <c r="Q16" s="7">
        <f>LAVORAZIONI!W522</f>
        <v/>
      </c>
      <c r="R16" s="6">
        <f>LAVORAZIONI!X522</f>
        <v/>
      </c>
      <c r="S16" s="7">
        <f>LAVORAZIONI!Y522</f>
        <v/>
      </c>
      <c r="T16" s="6">
        <f>LAVORAZIONI!Z522</f>
        <v/>
      </c>
      <c r="U16" s="7">
        <f>LAVORAZIONI!AA522</f>
        <v/>
      </c>
      <c r="V16" s="6">
        <f>LAVORAZIONI!AB522</f>
        <v/>
      </c>
      <c r="W16" s="7">
        <f>LAVORAZIONI!AC522</f>
        <v/>
      </c>
      <c r="X16" s="6">
        <f>LAVORAZIONI!AD522</f>
        <v/>
      </c>
      <c r="Y16" s="7">
        <f>LAVORAZIONI!AE522</f>
        <v/>
      </c>
      <c r="Z16" s="6">
        <f>LAVORAZIONI!AF522</f>
        <v/>
      </c>
      <c r="AA16" s="7">
        <f>LAVORAZIONI!AG522</f>
        <v/>
      </c>
      <c r="AB16" s="6">
        <f>LAVORAZIONI!AH522</f>
        <v/>
      </c>
      <c r="AC16" s="7">
        <f>LAVORAZIONI!AI522</f>
        <v/>
      </c>
      <c r="AD16" s="13">
        <f>LAVORAZIONI!AJ522</f>
        <v/>
      </c>
    </row>
    <row r="17" ht="56" customHeight="1" s="35">
      <c r="B17" s="4">
        <f>LAVORAZIONI!G523</f>
        <v/>
      </c>
      <c r="C17" s="3">
        <f>LAVORAZIONI!A523</f>
        <v/>
      </c>
      <c r="D17" s="3">
        <f>LAVORAZIONI!K523</f>
        <v/>
      </c>
      <c r="E17" s="4">
        <f>LAVORAZIONI!H523</f>
        <v/>
      </c>
      <c r="F17" s="4">
        <f>LAVORAZIONI!M523</f>
        <v/>
      </c>
      <c r="G17" s="5">
        <f>LAVORAZIONI!N523</f>
        <v/>
      </c>
      <c r="H17" s="6">
        <f>LAVORAZIONI!O523</f>
        <v/>
      </c>
      <c r="I17" s="13">
        <f>LAVORAZIONI!P523</f>
        <v/>
      </c>
      <c r="J17" s="5">
        <f>IF(LAVORAZIONI!Q523="","",LAVORAZIONI!Q523)</f>
        <v/>
      </c>
      <c r="K17" s="6">
        <f>IF(LAVORAZIONI!R523="","",LAVORAZIONI!R523)</f>
        <v/>
      </c>
      <c r="L17" s="13">
        <f>IF(LAVORAZIONI!S523="","",LAVORAZIONI!S523)</f>
        <v/>
      </c>
      <c r="M17" s="13">
        <f>LAVORAZIONI!T523</f>
        <v/>
      </c>
      <c r="O17" s="7">
        <f>LAVORAZIONI!U523</f>
        <v/>
      </c>
      <c r="P17" s="37">
        <f>LAVORAZIONI!V523</f>
        <v/>
      </c>
      <c r="Q17" s="7">
        <f>LAVORAZIONI!W523</f>
        <v/>
      </c>
      <c r="R17" s="6">
        <f>LAVORAZIONI!X523</f>
        <v/>
      </c>
      <c r="S17" s="7">
        <f>LAVORAZIONI!Y523</f>
        <v/>
      </c>
      <c r="T17" s="6">
        <f>LAVORAZIONI!Z523</f>
        <v/>
      </c>
      <c r="U17" s="7">
        <f>LAVORAZIONI!AA523</f>
        <v/>
      </c>
      <c r="V17" s="6">
        <f>LAVORAZIONI!AB523</f>
        <v/>
      </c>
      <c r="W17" s="7">
        <f>LAVORAZIONI!AC523</f>
        <v/>
      </c>
      <c r="X17" s="6">
        <f>LAVORAZIONI!AD523</f>
        <v/>
      </c>
      <c r="Y17" s="7">
        <f>LAVORAZIONI!AE523</f>
        <v/>
      </c>
      <c r="Z17" s="6">
        <f>LAVORAZIONI!AF523</f>
        <v/>
      </c>
      <c r="AA17" s="7">
        <f>LAVORAZIONI!AG523</f>
        <v/>
      </c>
      <c r="AB17" s="6">
        <f>LAVORAZIONI!AH523</f>
        <v/>
      </c>
      <c r="AC17" s="7">
        <f>LAVORAZIONI!AI523</f>
        <v/>
      </c>
      <c r="AD17" s="13">
        <f>LAVORAZIONI!AJ523</f>
        <v/>
      </c>
    </row>
    <row r="18" ht="56" customHeight="1" s="35">
      <c r="B18" s="4">
        <f>LAVORAZIONI!G524</f>
        <v/>
      </c>
      <c r="C18" s="3">
        <f>LAVORAZIONI!A524</f>
        <v/>
      </c>
      <c r="D18" s="3">
        <f>LAVORAZIONI!K524</f>
        <v/>
      </c>
      <c r="E18" s="4">
        <f>LAVORAZIONI!H524</f>
        <v/>
      </c>
      <c r="F18" s="4">
        <f>LAVORAZIONI!M524</f>
        <v/>
      </c>
      <c r="G18" s="5">
        <f>LAVORAZIONI!N524</f>
        <v/>
      </c>
      <c r="H18" s="6">
        <f>LAVORAZIONI!O524</f>
        <v/>
      </c>
      <c r="I18" s="13">
        <f>LAVORAZIONI!P524</f>
        <v/>
      </c>
      <c r="J18" s="5">
        <f>IF(LAVORAZIONI!Q524="","",LAVORAZIONI!Q524)</f>
        <v/>
      </c>
      <c r="K18" s="6">
        <f>IF(LAVORAZIONI!R524="","",LAVORAZIONI!R524)</f>
        <v/>
      </c>
      <c r="L18" s="13">
        <f>IF(LAVORAZIONI!S524="","",LAVORAZIONI!S524)</f>
        <v/>
      </c>
      <c r="M18" s="13">
        <f>LAVORAZIONI!T524</f>
        <v/>
      </c>
      <c r="O18" s="7">
        <f>LAVORAZIONI!U524</f>
        <v/>
      </c>
      <c r="P18" s="37">
        <f>LAVORAZIONI!V524</f>
        <v/>
      </c>
      <c r="Q18" s="7">
        <f>LAVORAZIONI!W524</f>
        <v/>
      </c>
      <c r="R18" s="6">
        <f>LAVORAZIONI!X524</f>
        <v/>
      </c>
      <c r="S18" s="7">
        <f>LAVORAZIONI!Y524</f>
        <v/>
      </c>
      <c r="T18" s="6">
        <f>LAVORAZIONI!Z524</f>
        <v/>
      </c>
      <c r="U18" s="7">
        <f>LAVORAZIONI!AA524</f>
        <v/>
      </c>
      <c r="V18" s="6">
        <f>LAVORAZIONI!AB524</f>
        <v/>
      </c>
      <c r="W18" s="7">
        <f>LAVORAZIONI!AC524</f>
        <v/>
      </c>
      <c r="X18" s="6">
        <f>LAVORAZIONI!AD524</f>
        <v/>
      </c>
      <c r="Y18" s="7">
        <f>LAVORAZIONI!AE524</f>
        <v/>
      </c>
      <c r="Z18" s="6">
        <f>LAVORAZIONI!AF524</f>
        <v/>
      </c>
      <c r="AA18" s="7">
        <f>LAVORAZIONI!AG524</f>
        <v/>
      </c>
      <c r="AB18" s="6">
        <f>LAVORAZIONI!AH524</f>
        <v/>
      </c>
      <c r="AC18" s="7">
        <f>LAVORAZIONI!AI524</f>
        <v/>
      </c>
      <c r="AD18" s="13">
        <f>LAVORAZIONI!AJ524</f>
        <v/>
      </c>
    </row>
    <row r="19" ht="56" customHeight="1" s="35">
      <c r="B19" s="4">
        <f>LAVORAZIONI!G525</f>
        <v/>
      </c>
      <c r="C19" s="3">
        <f>LAVORAZIONI!A525</f>
        <v/>
      </c>
      <c r="D19" s="3">
        <f>LAVORAZIONI!K525</f>
        <v/>
      </c>
      <c r="E19" s="4">
        <f>LAVORAZIONI!H525</f>
        <v/>
      </c>
      <c r="F19" s="4">
        <f>LAVORAZIONI!M525</f>
        <v/>
      </c>
      <c r="G19" s="5">
        <f>LAVORAZIONI!N525</f>
        <v/>
      </c>
      <c r="H19" s="6">
        <f>LAVORAZIONI!O525</f>
        <v/>
      </c>
      <c r="I19" s="13">
        <f>LAVORAZIONI!P525</f>
        <v/>
      </c>
      <c r="J19" s="5">
        <f>IF(LAVORAZIONI!Q525="","",LAVORAZIONI!Q525)</f>
        <v/>
      </c>
      <c r="K19" s="6">
        <f>IF(LAVORAZIONI!R525="","",LAVORAZIONI!R525)</f>
        <v/>
      </c>
      <c r="L19" s="13">
        <f>IF(LAVORAZIONI!S525="","",LAVORAZIONI!S525)</f>
        <v/>
      </c>
      <c r="M19" s="13">
        <f>LAVORAZIONI!T525</f>
        <v/>
      </c>
      <c r="O19" s="7">
        <f>LAVORAZIONI!U525</f>
        <v/>
      </c>
      <c r="P19" s="37">
        <f>LAVORAZIONI!V525</f>
        <v/>
      </c>
      <c r="Q19" s="7">
        <f>LAVORAZIONI!W525</f>
        <v/>
      </c>
      <c r="R19" s="6">
        <f>LAVORAZIONI!X525</f>
        <v/>
      </c>
      <c r="S19" s="7">
        <f>LAVORAZIONI!Y525</f>
        <v/>
      </c>
      <c r="T19" s="6">
        <f>LAVORAZIONI!Z525</f>
        <v/>
      </c>
      <c r="U19" s="7">
        <f>LAVORAZIONI!AA525</f>
        <v/>
      </c>
      <c r="V19" s="6">
        <f>LAVORAZIONI!AB525</f>
        <v/>
      </c>
      <c r="W19" s="7">
        <f>LAVORAZIONI!AC525</f>
        <v/>
      </c>
      <c r="X19" s="6">
        <f>LAVORAZIONI!AD525</f>
        <v/>
      </c>
      <c r="Y19" s="7">
        <f>LAVORAZIONI!AE525</f>
        <v/>
      </c>
      <c r="Z19" s="6">
        <f>LAVORAZIONI!AF525</f>
        <v/>
      </c>
      <c r="AA19" s="7">
        <f>LAVORAZIONI!AG525</f>
        <v/>
      </c>
      <c r="AB19" s="6">
        <f>LAVORAZIONI!AH525</f>
        <v/>
      </c>
      <c r="AC19" s="7">
        <f>LAVORAZIONI!AI525</f>
        <v/>
      </c>
      <c r="AD19" s="13">
        <f>LAVORAZIONI!AJ525</f>
        <v/>
      </c>
    </row>
    <row r="20" ht="56" customHeight="1" s="35">
      <c r="B20" s="4">
        <f>LAVORAZIONI!G526</f>
        <v/>
      </c>
      <c r="C20" s="3">
        <f>LAVORAZIONI!A526</f>
        <v/>
      </c>
      <c r="D20" s="3">
        <f>LAVORAZIONI!K526</f>
        <v/>
      </c>
      <c r="E20" s="4">
        <f>LAVORAZIONI!H526</f>
        <v/>
      </c>
      <c r="F20" s="4">
        <f>LAVORAZIONI!M526</f>
        <v/>
      </c>
      <c r="G20" s="5">
        <f>LAVORAZIONI!N526</f>
        <v/>
      </c>
      <c r="H20" s="6">
        <f>LAVORAZIONI!O526</f>
        <v/>
      </c>
      <c r="I20" s="13">
        <f>LAVORAZIONI!P526</f>
        <v/>
      </c>
      <c r="J20" s="5">
        <f>IF(LAVORAZIONI!Q526="","",LAVORAZIONI!Q526)</f>
        <v/>
      </c>
      <c r="K20" s="6">
        <f>IF(LAVORAZIONI!R526="","",LAVORAZIONI!R526)</f>
        <v/>
      </c>
      <c r="L20" s="13">
        <f>IF(LAVORAZIONI!S526="","",LAVORAZIONI!S526)</f>
        <v/>
      </c>
      <c r="M20" s="13">
        <f>LAVORAZIONI!T526</f>
        <v/>
      </c>
      <c r="O20" s="7">
        <f>LAVORAZIONI!U526</f>
        <v/>
      </c>
      <c r="P20" s="37">
        <f>LAVORAZIONI!V526</f>
        <v/>
      </c>
      <c r="Q20" s="7">
        <f>LAVORAZIONI!W526</f>
        <v/>
      </c>
      <c r="R20" s="6">
        <f>LAVORAZIONI!X526</f>
        <v/>
      </c>
      <c r="S20" s="7">
        <f>LAVORAZIONI!Y526</f>
        <v/>
      </c>
      <c r="T20" s="6">
        <f>LAVORAZIONI!Z526</f>
        <v/>
      </c>
      <c r="U20" s="7">
        <f>LAVORAZIONI!AA526</f>
        <v/>
      </c>
      <c r="V20" s="6">
        <f>LAVORAZIONI!AB526</f>
        <v/>
      </c>
      <c r="W20" s="7">
        <f>LAVORAZIONI!AC526</f>
        <v/>
      </c>
      <c r="X20" s="6">
        <f>LAVORAZIONI!AD526</f>
        <v/>
      </c>
      <c r="Y20" s="7">
        <f>LAVORAZIONI!AE526</f>
        <v/>
      </c>
      <c r="Z20" s="6">
        <f>LAVORAZIONI!AF526</f>
        <v/>
      </c>
      <c r="AA20" s="7">
        <f>LAVORAZIONI!AG526</f>
        <v/>
      </c>
      <c r="AB20" s="6">
        <f>LAVORAZIONI!AH526</f>
        <v/>
      </c>
      <c r="AC20" s="7">
        <f>LAVORAZIONI!AI526</f>
        <v/>
      </c>
      <c r="AD20" s="13">
        <f>LAVORAZIONI!AJ526</f>
        <v/>
      </c>
    </row>
    <row r="21" ht="56" customHeight="1" s="35">
      <c r="B21" s="4">
        <f>LAVORAZIONI!G527</f>
        <v/>
      </c>
      <c r="C21" s="3">
        <f>LAVORAZIONI!A527</f>
        <v/>
      </c>
      <c r="D21" s="3">
        <f>LAVORAZIONI!K527</f>
        <v/>
      </c>
      <c r="E21" s="4">
        <f>LAVORAZIONI!H527</f>
        <v/>
      </c>
      <c r="F21" s="4">
        <f>LAVORAZIONI!M527</f>
        <v/>
      </c>
      <c r="G21" s="5">
        <f>LAVORAZIONI!N527</f>
        <v/>
      </c>
      <c r="H21" s="6">
        <f>LAVORAZIONI!O527</f>
        <v/>
      </c>
      <c r="I21" s="13">
        <f>LAVORAZIONI!P527</f>
        <v/>
      </c>
      <c r="J21" s="5">
        <f>IF(LAVORAZIONI!Q527="","",LAVORAZIONI!Q527)</f>
        <v/>
      </c>
      <c r="K21" s="6">
        <f>IF(LAVORAZIONI!R527="","",LAVORAZIONI!R527)</f>
        <v/>
      </c>
      <c r="L21" s="13">
        <f>IF(LAVORAZIONI!S527="","",LAVORAZIONI!S527)</f>
        <v/>
      </c>
      <c r="M21" s="13">
        <f>LAVORAZIONI!T527</f>
        <v/>
      </c>
      <c r="O21" s="7">
        <f>LAVORAZIONI!U527</f>
        <v/>
      </c>
      <c r="P21" s="37">
        <f>LAVORAZIONI!V527</f>
        <v/>
      </c>
      <c r="Q21" s="7">
        <f>LAVORAZIONI!W527</f>
        <v/>
      </c>
      <c r="R21" s="6">
        <f>LAVORAZIONI!X527</f>
        <v/>
      </c>
      <c r="S21" s="7">
        <f>LAVORAZIONI!Y527</f>
        <v/>
      </c>
      <c r="T21" s="6">
        <f>LAVORAZIONI!Z527</f>
        <v/>
      </c>
      <c r="U21" s="7">
        <f>LAVORAZIONI!AA527</f>
        <v/>
      </c>
      <c r="V21" s="6">
        <f>LAVORAZIONI!AB527</f>
        <v/>
      </c>
      <c r="W21" s="7">
        <f>LAVORAZIONI!AC527</f>
        <v/>
      </c>
      <c r="X21" s="6">
        <f>LAVORAZIONI!AD527</f>
        <v/>
      </c>
      <c r="Y21" s="7">
        <f>LAVORAZIONI!AE527</f>
        <v/>
      </c>
      <c r="Z21" s="6">
        <f>LAVORAZIONI!AF527</f>
        <v/>
      </c>
      <c r="AA21" s="7">
        <f>LAVORAZIONI!AG527</f>
        <v/>
      </c>
      <c r="AB21" s="6">
        <f>LAVORAZIONI!AH527</f>
        <v/>
      </c>
      <c r="AC21" s="7">
        <f>LAVORAZIONI!AI527</f>
        <v/>
      </c>
      <c r="AD21" s="13">
        <f>LAVORAZIONI!AJ527</f>
        <v/>
      </c>
    </row>
    <row r="22" ht="56" customHeight="1" s="35">
      <c r="B22" s="4">
        <f>LAVORAZIONI!G528</f>
        <v/>
      </c>
      <c r="C22" s="3">
        <f>LAVORAZIONI!A528</f>
        <v/>
      </c>
      <c r="D22" s="3">
        <f>LAVORAZIONI!K528</f>
        <v/>
      </c>
      <c r="E22" s="4">
        <f>LAVORAZIONI!H528</f>
        <v/>
      </c>
      <c r="F22" s="4">
        <f>LAVORAZIONI!M528</f>
        <v/>
      </c>
      <c r="G22" s="5">
        <f>LAVORAZIONI!N528</f>
        <v/>
      </c>
      <c r="H22" s="6">
        <f>LAVORAZIONI!O528</f>
        <v/>
      </c>
      <c r="I22" s="13">
        <f>LAVORAZIONI!P528</f>
        <v/>
      </c>
      <c r="J22" s="5">
        <f>IF(LAVORAZIONI!Q528="","",LAVORAZIONI!Q528)</f>
        <v/>
      </c>
      <c r="K22" s="6">
        <f>IF(LAVORAZIONI!R528="","",LAVORAZIONI!R528)</f>
        <v/>
      </c>
      <c r="L22" s="13">
        <f>IF(LAVORAZIONI!S528="","",LAVORAZIONI!S528)</f>
        <v/>
      </c>
      <c r="M22" s="13">
        <f>LAVORAZIONI!T528</f>
        <v/>
      </c>
      <c r="O22" s="7">
        <f>LAVORAZIONI!U528</f>
        <v/>
      </c>
      <c r="P22" s="37">
        <f>LAVORAZIONI!V528</f>
        <v/>
      </c>
      <c r="Q22" s="7">
        <f>LAVORAZIONI!W528</f>
        <v/>
      </c>
      <c r="R22" s="6">
        <f>LAVORAZIONI!X528</f>
        <v/>
      </c>
      <c r="S22" s="7">
        <f>LAVORAZIONI!Y528</f>
        <v/>
      </c>
      <c r="T22" s="6">
        <f>LAVORAZIONI!Z528</f>
        <v/>
      </c>
      <c r="U22" s="7">
        <f>LAVORAZIONI!AA528</f>
        <v/>
      </c>
      <c r="V22" s="6">
        <f>LAVORAZIONI!AB528</f>
        <v/>
      </c>
      <c r="W22" s="7">
        <f>LAVORAZIONI!AC528</f>
        <v/>
      </c>
      <c r="X22" s="6">
        <f>LAVORAZIONI!AD528</f>
        <v/>
      </c>
      <c r="Y22" s="7">
        <f>LAVORAZIONI!AE528</f>
        <v/>
      </c>
      <c r="Z22" s="6">
        <f>LAVORAZIONI!AF528</f>
        <v/>
      </c>
      <c r="AA22" s="7">
        <f>LAVORAZIONI!AG528</f>
        <v/>
      </c>
      <c r="AB22" s="6">
        <f>LAVORAZIONI!AH528</f>
        <v/>
      </c>
      <c r="AC22" s="7">
        <f>LAVORAZIONI!AI528</f>
        <v/>
      </c>
      <c r="AD22" s="13">
        <f>LAVORAZIONI!AJ528</f>
        <v/>
      </c>
    </row>
    <row r="23" ht="56" customHeight="1" s="35">
      <c r="B23" s="4">
        <f>LAVORAZIONI!G529</f>
        <v/>
      </c>
      <c r="C23" s="3">
        <f>LAVORAZIONI!A529</f>
        <v/>
      </c>
      <c r="D23" s="3">
        <f>LAVORAZIONI!K529</f>
        <v/>
      </c>
      <c r="E23" s="4">
        <f>LAVORAZIONI!H529</f>
        <v/>
      </c>
      <c r="F23" s="4">
        <f>LAVORAZIONI!M529</f>
        <v/>
      </c>
      <c r="G23" s="5">
        <f>LAVORAZIONI!N529</f>
        <v/>
      </c>
      <c r="H23" s="6">
        <f>LAVORAZIONI!O529</f>
        <v/>
      </c>
      <c r="I23" s="13">
        <f>LAVORAZIONI!P529</f>
        <v/>
      </c>
      <c r="J23" s="5">
        <f>IF(LAVORAZIONI!Q529="","",LAVORAZIONI!Q529)</f>
        <v/>
      </c>
      <c r="K23" s="6">
        <f>IF(LAVORAZIONI!R529="","",LAVORAZIONI!R529)</f>
        <v/>
      </c>
      <c r="L23" s="13">
        <f>IF(LAVORAZIONI!S529="","",LAVORAZIONI!S529)</f>
        <v/>
      </c>
      <c r="M23" s="13">
        <f>LAVORAZIONI!T529</f>
        <v/>
      </c>
      <c r="O23" s="7">
        <f>LAVORAZIONI!U529</f>
        <v/>
      </c>
      <c r="P23" s="37">
        <f>LAVORAZIONI!V529</f>
        <v/>
      </c>
      <c r="Q23" s="7">
        <f>LAVORAZIONI!W529</f>
        <v/>
      </c>
      <c r="R23" s="6">
        <f>LAVORAZIONI!X529</f>
        <v/>
      </c>
      <c r="S23" s="7">
        <f>LAVORAZIONI!Y529</f>
        <v/>
      </c>
      <c r="T23" s="6">
        <f>LAVORAZIONI!Z529</f>
        <v/>
      </c>
      <c r="U23" s="7">
        <f>LAVORAZIONI!AA529</f>
        <v/>
      </c>
      <c r="V23" s="6">
        <f>LAVORAZIONI!AB529</f>
        <v/>
      </c>
      <c r="W23" s="7">
        <f>LAVORAZIONI!AC529</f>
        <v/>
      </c>
      <c r="X23" s="6">
        <f>LAVORAZIONI!AD529</f>
        <v/>
      </c>
      <c r="Y23" s="7">
        <f>LAVORAZIONI!AE529</f>
        <v/>
      </c>
      <c r="Z23" s="6">
        <f>LAVORAZIONI!AF529</f>
        <v/>
      </c>
      <c r="AA23" s="7">
        <f>LAVORAZIONI!AG529</f>
        <v/>
      </c>
      <c r="AB23" s="6">
        <f>LAVORAZIONI!AH529</f>
        <v/>
      </c>
      <c r="AC23" s="7">
        <f>LAVORAZIONI!AI529</f>
        <v/>
      </c>
      <c r="AD23" s="13">
        <f>LAVORAZIONI!AJ529</f>
        <v/>
      </c>
    </row>
    <row r="24" ht="56" customHeight="1" s="35">
      <c r="B24" s="4">
        <f>LAVORAZIONI!G530</f>
        <v/>
      </c>
      <c r="C24" s="3">
        <f>LAVORAZIONI!A530</f>
        <v/>
      </c>
      <c r="D24" s="3">
        <f>LAVORAZIONI!K530</f>
        <v/>
      </c>
      <c r="E24" s="4">
        <f>LAVORAZIONI!H530</f>
        <v/>
      </c>
      <c r="F24" s="4">
        <f>LAVORAZIONI!M530</f>
        <v/>
      </c>
      <c r="G24" s="5">
        <f>LAVORAZIONI!N530</f>
        <v/>
      </c>
      <c r="H24" s="6">
        <f>LAVORAZIONI!O530</f>
        <v/>
      </c>
      <c r="I24" s="13">
        <f>LAVORAZIONI!P530</f>
        <v/>
      </c>
      <c r="J24" s="5">
        <f>IF(LAVORAZIONI!Q530="","",LAVORAZIONI!Q530)</f>
        <v/>
      </c>
      <c r="K24" s="6">
        <f>IF(LAVORAZIONI!R530="","",LAVORAZIONI!R530)</f>
        <v/>
      </c>
      <c r="L24" s="13">
        <f>IF(LAVORAZIONI!S530="","",LAVORAZIONI!S530)</f>
        <v/>
      </c>
      <c r="M24" s="13">
        <f>LAVORAZIONI!T530</f>
        <v/>
      </c>
      <c r="O24" s="7">
        <f>LAVORAZIONI!U530</f>
        <v/>
      </c>
      <c r="P24" s="37">
        <f>LAVORAZIONI!V530</f>
        <v/>
      </c>
      <c r="Q24" s="7">
        <f>LAVORAZIONI!W530</f>
        <v/>
      </c>
      <c r="R24" s="6">
        <f>LAVORAZIONI!X530</f>
        <v/>
      </c>
      <c r="S24" s="7">
        <f>LAVORAZIONI!Y530</f>
        <v/>
      </c>
      <c r="T24" s="6">
        <f>LAVORAZIONI!Z530</f>
        <v/>
      </c>
      <c r="U24" s="7">
        <f>LAVORAZIONI!AA530</f>
        <v/>
      </c>
      <c r="V24" s="6">
        <f>LAVORAZIONI!AB530</f>
        <v/>
      </c>
      <c r="W24" s="7">
        <f>LAVORAZIONI!AC530</f>
        <v/>
      </c>
      <c r="X24" s="6">
        <f>LAVORAZIONI!AD530</f>
        <v/>
      </c>
      <c r="Y24" s="7">
        <f>LAVORAZIONI!AE530</f>
        <v/>
      </c>
      <c r="Z24" s="6">
        <f>LAVORAZIONI!AF530</f>
        <v/>
      </c>
      <c r="AA24" s="7">
        <f>LAVORAZIONI!AG530</f>
        <v/>
      </c>
      <c r="AB24" s="6">
        <f>LAVORAZIONI!AH530</f>
        <v/>
      </c>
      <c r="AC24" s="7">
        <f>LAVORAZIONI!AI530</f>
        <v/>
      </c>
      <c r="AD24" s="13">
        <f>LAVORAZIONI!AJ530</f>
        <v/>
      </c>
    </row>
    <row r="25" ht="56" customHeight="1" s="35">
      <c r="B25" s="4">
        <f>LAVORAZIONI!G531</f>
        <v/>
      </c>
      <c r="C25" s="3">
        <f>LAVORAZIONI!A531</f>
        <v/>
      </c>
      <c r="D25" s="3">
        <f>LAVORAZIONI!K531</f>
        <v/>
      </c>
      <c r="E25" s="4">
        <f>LAVORAZIONI!H531</f>
        <v/>
      </c>
      <c r="F25" s="4">
        <f>LAVORAZIONI!M531</f>
        <v/>
      </c>
      <c r="G25" s="5">
        <f>LAVORAZIONI!N531</f>
        <v/>
      </c>
      <c r="H25" s="6">
        <f>LAVORAZIONI!O531</f>
        <v/>
      </c>
      <c r="I25" s="13">
        <f>LAVORAZIONI!P531</f>
        <v/>
      </c>
      <c r="J25" s="5">
        <f>IF(LAVORAZIONI!Q531="","",LAVORAZIONI!Q531)</f>
        <v/>
      </c>
      <c r="K25" s="6">
        <f>IF(LAVORAZIONI!R531="","",LAVORAZIONI!R531)</f>
        <v/>
      </c>
      <c r="L25" s="13">
        <f>IF(LAVORAZIONI!S531="","",LAVORAZIONI!S531)</f>
        <v/>
      </c>
      <c r="M25" s="13">
        <f>LAVORAZIONI!T531</f>
        <v/>
      </c>
      <c r="O25" s="7">
        <f>LAVORAZIONI!U531</f>
        <v/>
      </c>
      <c r="P25" s="37">
        <f>LAVORAZIONI!V531</f>
        <v/>
      </c>
      <c r="Q25" s="7">
        <f>LAVORAZIONI!W531</f>
        <v/>
      </c>
      <c r="R25" s="6">
        <f>LAVORAZIONI!X531</f>
        <v/>
      </c>
      <c r="S25" s="7">
        <f>LAVORAZIONI!Y531</f>
        <v/>
      </c>
      <c r="T25" s="6">
        <f>LAVORAZIONI!Z531</f>
        <v/>
      </c>
      <c r="U25" s="7">
        <f>LAVORAZIONI!AA531</f>
        <v/>
      </c>
      <c r="V25" s="6">
        <f>LAVORAZIONI!AB531</f>
        <v/>
      </c>
      <c r="W25" s="7">
        <f>LAVORAZIONI!AC531</f>
        <v/>
      </c>
      <c r="X25" s="6">
        <f>LAVORAZIONI!AD531</f>
        <v/>
      </c>
      <c r="Y25" s="7">
        <f>LAVORAZIONI!AE531</f>
        <v/>
      </c>
      <c r="Z25" s="6">
        <f>LAVORAZIONI!AF531</f>
        <v/>
      </c>
      <c r="AA25" s="7">
        <f>LAVORAZIONI!AG531</f>
        <v/>
      </c>
      <c r="AB25" s="6">
        <f>LAVORAZIONI!AH531</f>
        <v/>
      </c>
      <c r="AC25" s="7">
        <f>LAVORAZIONI!AI531</f>
        <v/>
      </c>
      <c r="AD25" s="13">
        <f>LAVORAZIONI!AJ531</f>
        <v/>
      </c>
    </row>
    <row r="26" ht="56" customHeight="1" s="35">
      <c r="B26" s="4">
        <f>LAVORAZIONI!G532</f>
        <v/>
      </c>
      <c r="C26" s="3">
        <f>LAVORAZIONI!A532</f>
        <v/>
      </c>
      <c r="D26" s="3">
        <f>LAVORAZIONI!K532</f>
        <v/>
      </c>
      <c r="E26" s="4">
        <f>LAVORAZIONI!H532</f>
        <v/>
      </c>
      <c r="F26" s="4">
        <f>LAVORAZIONI!M532</f>
        <v/>
      </c>
      <c r="G26" s="5">
        <f>LAVORAZIONI!N532</f>
        <v/>
      </c>
      <c r="H26" s="6">
        <f>LAVORAZIONI!O532</f>
        <v/>
      </c>
      <c r="I26" s="13">
        <f>LAVORAZIONI!P532</f>
        <v/>
      </c>
      <c r="J26" s="5">
        <f>IF(LAVORAZIONI!Q532="","",LAVORAZIONI!Q532)</f>
        <v/>
      </c>
      <c r="K26" s="6">
        <f>IF(LAVORAZIONI!R532="","",LAVORAZIONI!R532)</f>
        <v/>
      </c>
      <c r="L26" s="13">
        <f>IF(LAVORAZIONI!S532="","",LAVORAZIONI!S532)</f>
        <v/>
      </c>
      <c r="M26" s="13">
        <f>LAVORAZIONI!T532</f>
        <v/>
      </c>
      <c r="O26" s="7">
        <f>LAVORAZIONI!U532</f>
        <v/>
      </c>
      <c r="P26" s="37">
        <f>LAVORAZIONI!V532</f>
        <v/>
      </c>
      <c r="Q26" s="7">
        <f>LAVORAZIONI!W532</f>
        <v/>
      </c>
      <c r="R26" s="6">
        <f>LAVORAZIONI!X532</f>
        <v/>
      </c>
      <c r="S26" s="7">
        <f>LAVORAZIONI!Y532</f>
        <v/>
      </c>
      <c r="T26" s="6">
        <f>LAVORAZIONI!Z532</f>
        <v/>
      </c>
      <c r="U26" s="7">
        <f>LAVORAZIONI!AA532</f>
        <v/>
      </c>
      <c r="V26" s="6">
        <f>LAVORAZIONI!AB532</f>
        <v/>
      </c>
      <c r="W26" s="7">
        <f>LAVORAZIONI!AC532</f>
        <v/>
      </c>
      <c r="X26" s="6">
        <f>LAVORAZIONI!AD532</f>
        <v/>
      </c>
      <c r="Y26" s="7">
        <f>LAVORAZIONI!AE532</f>
        <v/>
      </c>
      <c r="Z26" s="6">
        <f>LAVORAZIONI!AF532</f>
        <v/>
      </c>
      <c r="AA26" s="7">
        <f>LAVORAZIONI!AG532</f>
        <v/>
      </c>
      <c r="AB26" s="6">
        <f>LAVORAZIONI!AH532</f>
        <v/>
      </c>
      <c r="AC26" s="7">
        <f>LAVORAZIONI!AI532</f>
        <v/>
      </c>
      <c r="AD26" s="13">
        <f>LAVORAZIONI!AJ532</f>
        <v/>
      </c>
    </row>
    <row r="27" ht="56" customHeight="1" s="35">
      <c r="B27" s="4">
        <f>LAVORAZIONI!G533</f>
        <v/>
      </c>
      <c r="C27" s="3">
        <f>LAVORAZIONI!A533</f>
        <v/>
      </c>
      <c r="D27" s="3">
        <f>LAVORAZIONI!K533</f>
        <v/>
      </c>
      <c r="E27" s="4">
        <f>LAVORAZIONI!H533</f>
        <v/>
      </c>
      <c r="F27" s="4">
        <f>LAVORAZIONI!M533</f>
        <v/>
      </c>
      <c r="G27" s="5">
        <f>LAVORAZIONI!N533</f>
        <v/>
      </c>
      <c r="H27" s="6">
        <f>LAVORAZIONI!O533</f>
        <v/>
      </c>
      <c r="I27" s="13">
        <f>LAVORAZIONI!P533</f>
        <v/>
      </c>
      <c r="J27" s="5">
        <f>IF(LAVORAZIONI!Q533="","",LAVORAZIONI!Q533)</f>
        <v/>
      </c>
      <c r="K27" s="6">
        <f>IF(LAVORAZIONI!R533="","",LAVORAZIONI!R533)</f>
        <v/>
      </c>
      <c r="L27" s="13">
        <f>IF(LAVORAZIONI!S533="","",LAVORAZIONI!S533)</f>
        <v/>
      </c>
      <c r="M27" s="13">
        <f>LAVORAZIONI!T533</f>
        <v/>
      </c>
      <c r="O27" s="7">
        <f>LAVORAZIONI!U533</f>
        <v/>
      </c>
      <c r="P27" s="37">
        <f>LAVORAZIONI!V533</f>
        <v/>
      </c>
      <c r="Q27" s="7">
        <f>LAVORAZIONI!W533</f>
        <v/>
      </c>
      <c r="R27" s="6">
        <f>LAVORAZIONI!X533</f>
        <v/>
      </c>
      <c r="S27" s="7">
        <f>LAVORAZIONI!Y533</f>
        <v/>
      </c>
      <c r="T27" s="6">
        <f>LAVORAZIONI!Z533</f>
        <v/>
      </c>
      <c r="U27" s="7">
        <f>LAVORAZIONI!AA533</f>
        <v/>
      </c>
      <c r="V27" s="6">
        <f>LAVORAZIONI!AB533</f>
        <v/>
      </c>
      <c r="W27" s="7">
        <f>LAVORAZIONI!AC533</f>
        <v/>
      </c>
      <c r="X27" s="6">
        <f>LAVORAZIONI!AD533</f>
        <v/>
      </c>
      <c r="Y27" s="7">
        <f>LAVORAZIONI!AE533</f>
        <v/>
      </c>
      <c r="Z27" s="6">
        <f>LAVORAZIONI!AF533</f>
        <v/>
      </c>
      <c r="AA27" s="7">
        <f>LAVORAZIONI!AG533</f>
        <v/>
      </c>
      <c r="AB27" s="6">
        <f>LAVORAZIONI!AH533</f>
        <v/>
      </c>
      <c r="AC27" s="7">
        <f>LAVORAZIONI!AI533</f>
        <v/>
      </c>
      <c r="AD27" s="13">
        <f>LAVORAZIONI!AJ533</f>
        <v/>
      </c>
    </row>
    <row r="28" ht="56" customHeight="1" s="35">
      <c r="B28" s="4">
        <f>LAVORAZIONI!G534</f>
        <v/>
      </c>
      <c r="C28" s="3">
        <f>LAVORAZIONI!A534</f>
        <v/>
      </c>
      <c r="D28" s="3">
        <f>LAVORAZIONI!K534</f>
        <v/>
      </c>
      <c r="E28" s="4">
        <f>LAVORAZIONI!H534</f>
        <v/>
      </c>
      <c r="F28" s="4">
        <f>LAVORAZIONI!M534</f>
        <v/>
      </c>
      <c r="G28" s="5">
        <f>LAVORAZIONI!N534</f>
        <v/>
      </c>
      <c r="H28" s="6">
        <f>LAVORAZIONI!O534</f>
        <v/>
      </c>
      <c r="I28" s="13">
        <f>LAVORAZIONI!P534</f>
        <v/>
      </c>
      <c r="J28" s="5">
        <f>IF(LAVORAZIONI!Q534="","",LAVORAZIONI!Q534)</f>
        <v/>
      </c>
      <c r="K28" s="6">
        <f>IF(LAVORAZIONI!R534="","",LAVORAZIONI!R534)</f>
        <v/>
      </c>
      <c r="L28" s="13">
        <f>IF(LAVORAZIONI!S534="","",LAVORAZIONI!S534)</f>
        <v/>
      </c>
      <c r="M28" s="13">
        <f>LAVORAZIONI!T534</f>
        <v/>
      </c>
      <c r="O28" s="7">
        <f>LAVORAZIONI!U534</f>
        <v/>
      </c>
      <c r="P28" s="37">
        <f>LAVORAZIONI!V534</f>
        <v/>
      </c>
      <c r="Q28" s="7">
        <f>LAVORAZIONI!W534</f>
        <v/>
      </c>
      <c r="R28" s="6">
        <f>LAVORAZIONI!X534</f>
        <v/>
      </c>
      <c r="S28" s="7">
        <f>LAVORAZIONI!Y534</f>
        <v/>
      </c>
      <c r="T28" s="6">
        <f>LAVORAZIONI!Z534</f>
        <v/>
      </c>
      <c r="U28" s="7">
        <f>LAVORAZIONI!AA534</f>
        <v/>
      </c>
      <c r="V28" s="6">
        <f>LAVORAZIONI!AB534</f>
        <v/>
      </c>
      <c r="W28" s="7">
        <f>LAVORAZIONI!AC534</f>
        <v/>
      </c>
      <c r="X28" s="6">
        <f>LAVORAZIONI!AD534</f>
        <v/>
      </c>
      <c r="Y28" s="7">
        <f>LAVORAZIONI!AE534</f>
        <v/>
      </c>
      <c r="Z28" s="6">
        <f>LAVORAZIONI!AF534</f>
        <v/>
      </c>
      <c r="AA28" s="7">
        <f>LAVORAZIONI!AG534</f>
        <v/>
      </c>
      <c r="AB28" s="6">
        <f>LAVORAZIONI!AH534</f>
        <v/>
      </c>
      <c r="AC28" s="7">
        <f>LAVORAZIONI!AI534</f>
        <v/>
      </c>
      <c r="AD28" s="13">
        <f>LAVORAZIONI!AJ534</f>
        <v/>
      </c>
    </row>
    <row r="29" ht="56" customHeight="1" s="35">
      <c r="B29" s="4">
        <f>LAVORAZIONI!G535</f>
        <v/>
      </c>
      <c r="C29" s="3">
        <f>LAVORAZIONI!A535</f>
        <v/>
      </c>
      <c r="D29" s="3">
        <f>LAVORAZIONI!K535</f>
        <v/>
      </c>
      <c r="E29" s="4">
        <f>LAVORAZIONI!H535</f>
        <v/>
      </c>
      <c r="F29" s="4">
        <f>LAVORAZIONI!M535</f>
        <v/>
      </c>
      <c r="G29" s="5">
        <f>LAVORAZIONI!N535</f>
        <v/>
      </c>
      <c r="H29" s="6">
        <f>LAVORAZIONI!O535</f>
        <v/>
      </c>
      <c r="I29" s="13">
        <f>LAVORAZIONI!P535</f>
        <v/>
      </c>
      <c r="J29" s="5">
        <f>IF(LAVORAZIONI!Q535="","",LAVORAZIONI!Q535)</f>
        <v/>
      </c>
      <c r="K29" s="6">
        <f>IF(LAVORAZIONI!R535="","",LAVORAZIONI!R535)</f>
        <v/>
      </c>
      <c r="L29" s="13">
        <f>IF(LAVORAZIONI!S535="","",LAVORAZIONI!S535)</f>
        <v/>
      </c>
      <c r="M29" s="13">
        <f>LAVORAZIONI!T535</f>
        <v/>
      </c>
      <c r="O29" s="7">
        <f>LAVORAZIONI!U535</f>
        <v/>
      </c>
      <c r="P29" s="37">
        <f>LAVORAZIONI!V535</f>
        <v/>
      </c>
      <c r="Q29" s="7">
        <f>LAVORAZIONI!W535</f>
        <v/>
      </c>
      <c r="R29" s="6">
        <f>LAVORAZIONI!X535</f>
        <v/>
      </c>
      <c r="S29" s="7">
        <f>LAVORAZIONI!Y535</f>
        <v/>
      </c>
      <c r="T29" s="6">
        <f>LAVORAZIONI!Z535</f>
        <v/>
      </c>
      <c r="U29" s="7">
        <f>LAVORAZIONI!AA535</f>
        <v/>
      </c>
      <c r="V29" s="6">
        <f>LAVORAZIONI!AB535</f>
        <v/>
      </c>
      <c r="W29" s="7">
        <f>LAVORAZIONI!AC535</f>
        <v/>
      </c>
      <c r="X29" s="6">
        <f>LAVORAZIONI!AD535</f>
        <v/>
      </c>
      <c r="Y29" s="7">
        <f>LAVORAZIONI!AE535</f>
        <v/>
      </c>
      <c r="Z29" s="6">
        <f>LAVORAZIONI!AF535</f>
        <v/>
      </c>
      <c r="AA29" s="7">
        <f>LAVORAZIONI!AG535</f>
        <v/>
      </c>
      <c r="AB29" s="6">
        <f>LAVORAZIONI!AH535</f>
        <v/>
      </c>
      <c r="AC29" s="7">
        <f>LAVORAZIONI!AI535</f>
        <v/>
      </c>
      <c r="AD29" s="13">
        <f>LAVORAZIONI!AJ535</f>
        <v/>
      </c>
    </row>
    <row r="30" ht="56" customHeight="1" s="35">
      <c r="B30" s="4">
        <f>LAVORAZIONI!G536</f>
        <v/>
      </c>
      <c r="C30" s="3">
        <f>LAVORAZIONI!A536</f>
        <v/>
      </c>
      <c r="D30" s="3">
        <f>LAVORAZIONI!K536</f>
        <v/>
      </c>
      <c r="E30" s="4">
        <f>LAVORAZIONI!H536</f>
        <v/>
      </c>
      <c r="F30" s="4">
        <f>LAVORAZIONI!M536</f>
        <v/>
      </c>
      <c r="G30" s="5">
        <f>LAVORAZIONI!N536</f>
        <v/>
      </c>
      <c r="H30" s="6">
        <f>LAVORAZIONI!O536</f>
        <v/>
      </c>
      <c r="I30" s="13">
        <f>LAVORAZIONI!P536</f>
        <v/>
      </c>
      <c r="J30" s="5">
        <f>IF(LAVORAZIONI!Q536="","",LAVORAZIONI!Q536)</f>
        <v/>
      </c>
      <c r="K30" s="6">
        <f>IF(LAVORAZIONI!R536="","",LAVORAZIONI!R536)</f>
        <v/>
      </c>
      <c r="L30" s="13">
        <f>IF(LAVORAZIONI!S536="","",LAVORAZIONI!S536)</f>
        <v/>
      </c>
      <c r="M30" s="13">
        <f>LAVORAZIONI!T536</f>
        <v/>
      </c>
      <c r="O30" s="7">
        <f>LAVORAZIONI!U536</f>
        <v/>
      </c>
      <c r="P30" s="37">
        <f>LAVORAZIONI!V536</f>
        <v/>
      </c>
      <c r="Q30" s="7">
        <f>LAVORAZIONI!W536</f>
        <v/>
      </c>
      <c r="R30" s="6">
        <f>LAVORAZIONI!X536</f>
        <v/>
      </c>
      <c r="S30" s="7">
        <f>LAVORAZIONI!Y536</f>
        <v/>
      </c>
      <c r="T30" s="6">
        <f>LAVORAZIONI!Z536</f>
        <v/>
      </c>
      <c r="U30" s="7">
        <f>LAVORAZIONI!AA536</f>
        <v/>
      </c>
      <c r="V30" s="6">
        <f>LAVORAZIONI!AB536</f>
        <v/>
      </c>
      <c r="W30" s="7">
        <f>LAVORAZIONI!AC536</f>
        <v/>
      </c>
      <c r="X30" s="6">
        <f>LAVORAZIONI!AD536</f>
        <v/>
      </c>
      <c r="Y30" s="7">
        <f>LAVORAZIONI!AE536</f>
        <v/>
      </c>
      <c r="Z30" s="6">
        <f>LAVORAZIONI!AF536</f>
        <v/>
      </c>
      <c r="AA30" s="7">
        <f>LAVORAZIONI!AG536</f>
        <v/>
      </c>
      <c r="AB30" s="6">
        <f>LAVORAZIONI!AH536</f>
        <v/>
      </c>
      <c r="AC30" s="7">
        <f>LAVORAZIONI!AI536</f>
        <v/>
      </c>
      <c r="AD30" s="13">
        <f>LAVORAZIONI!AJ536</f>
        <v/>
      </c>
    </row>
    <row r="31" ht="56" customHeight="1" s="35">
      <c r="B31" s="4">
        <f>LAVORAZIONI!G537</f>
        <v/>
      </c>
      <c r="C31" s="3">
        <f>LAVORAZIONI!A537</f>
        <v/>
      </c>
      <c r="D31" s="3">
        <f>LAVORAZIONI!K537</f>
        <v/>
      </c>
      <c r="E31" s="4">
        <f>LAVORAZIONI!H537</f>
        <v/>
      </c>
      <c r="F31" s="4">
        <f>LAVORAZIONI!M537</f>
        <v/>
      </c>
      <c r="G31" s="5">
        <f>LAVORAZIONI!N537</f>
        <v/>
      </c>
      <c r="H31" s="6">
        <f>LAVORAZIONI!O537</f>
        <v/>
      </c>
      <c r="I31" s="13">
        <f>LAVORAZIONI!P537</f>
        <v/>
      </c>
      <c r="J31" s="5">
        <f>IF(LAVORAZIONI!Q537="","",LAVORAZIONI!Q537)</f>
        <v/>
      </c>
      <c r="K31" s="6">
        <f>IF(LAVORAZIONI!R537="","",LAVORAZIONI!R537)</f>
        <v/>
      </c>
      <c r="L31" s="13">
        <f>IF(LAVORAZIONI!S537="","",LAVORAZIONI!S537)</f>
        <v/>
      </c>
      <c r="M31" s="13">
        <f>LAVORAZIONI!T537</f>
        <v/>
      </c>
      <c r="O31" s="7">
        <f>LAVORAZIONI!U537</f>
        <v/>
      </c>
      <c r="P31" s="37">
        <f>LAVORAZIONI!V537</f>
        <v/>
      </c>
      <c r="Q31" s="7">
        <f>LAVORAZIONI!W537</f>
        <v/>
      </c>
      <c r="R31" s="6">
        <f>LAVORAZIONI!X537</f>
        <v/>
      </c>
      <c r="S31" s="7">
        <f>LAVORAZIONI!Y537</f>
        <v/>
      </c>
      <c r="T31" s="6">
        <f>LAVORAZIONI!Z537</f>
        <v/>
      </c>
      <c r="U31" s="7">
        <f>LAVORAZIONI!AA537</f>
        <v/>
      </c>
      <c r="V31" s="6">
        <f>LAVORAZIONI!AB537</f>
        <v/>
      </c>
      <c r="W31" s="7">
        <f>LAVORAZIONI!AC537</f>
        <v/>
      </c>
      <c r="X31" s="6">
        <f>LAVORAZIONI!AD537</f>
        <v/>
      </c>
      <c r="Y31" s="7">
        <f>LAVORAZIONI!AE537</f>
        <v/>
      </c>
      <c r="Z31" s="6">
        <f>LAVORAZIONI!AF537</f>
        <v/>
      </c>
      <c r="AA31" s="7">
        <f>LAVORAZIONI!AG537</f>
        <v/>
      </c>
      <c r="AB31" s="6">
        <f>LAVORAZIONI!AH537</f>
        <v/>
      </c>
      <c r="AC31" s="7">
        <f>LAVORAZIONI!AI537</f>
        <v/>
      </c>
      <c r="AD31" s="13">
        <f>LAVORAZIONI!AJ537</f>
        <v/>
      </c>
    </row>
    <row r="32" ht="56" customHeight="1" s="35">
      <c r="B32" s="4">
        <f>LAVORAZIONI!G538</f>
        <v/>
      </c>
      <c r="C32" s="3">
        <f>LAVORAZIONI!A538</f>
        <v/>
      </c>
      <c r="D32" s="3">
        <f>LAVORAZIONI!K538</f>
        <v/>
      </c>
      <c r="E32" s="4">
        <f>LAVORAZIONI!H538</f>
        <v/>
      </c>
      <c r="F32" s="4">
        <f>LAVORAZIONI!M538</f>
        <v/>
      </c>
      <c r="G32" s="5">
        <f>LAVORAZIONI!N538</f>
        <v/>
      </c>
      <c r="H32" s="6">
        <f>LAVORAZIONI!O538</f>
        <v/>
      </c>
      <c r="I32" s="13">
        <f>LAVORAZIONI!P538</f>
        <v/>
      </c>
      <c r="J32" s="5">
        <f>IF(LAVORAZIONI!Q538="","",LAVORAZIONI!Q538)</f>
        <v/>
      </c>
      <c r="K32" s="6">
        <f>IF(LAVORAZIONI!R538="","",LAVORAZIONI!R538)</f>
        <v/>
      </c>
      <c r="L32" s="13">
        <f>IF(LAVORAZIONI!S538="","",LAVORAZIONI!S538)</f>
        <v/>
      </c>
      <c r="M32" s="13">
        <f>LAVORAZIONI!T538</f>
        <v/>
      </c>
      <c r="O32" s="7">
        <f>LAVORAZIONI!U538</f>
        <v/>
      </c>
      <c r="P32" s="37">
        <f>LAVORAZIONI!V538</f>
        <v/>
      </c>
      <c r="Q32" s="7">
        <f>LAVORAZIONI!W538</f>
        <v/>
      </c>
      <c r="R32" s="6">
        <f>LAVORAZIONI!X538</f>
        <v/>
      </c>
      <c r="S32" s="7">
        <f>LAVORAZIONI!Y538</f>
        <v/>
      </c>
      <c r="T32" s="6">
        <f>LAVORAZIONI!Z538</f>
        <v/>
      </c>
      <c r="U32" s="7">
        <f>LAVORAZIONI!AA538</f>
        <v/>
      </c>
      <c r="V32" s="6">
        <f>LAVORAZIONI!AB538</f>
        <v/>
      </c>
      <c r="W32" s="7">
        <f>LAVORAZIONI!AC538</f>
        <v/>
      </c>
      <c r="X32" s="6">
        <f>LAVORAZIONI!AD538</f>
        <v/>
      </c>
      <c r="Y32" s="7">
        <f>LAVORAZIONI!AE538</f>
        <v/>
      </c>
      <c r="Z32" s="6">
        <f>LAVORAZIONI!AF538</f>
        <v/>
      </c>
      <c r="AA32" s="7">
        <f>LAVORAZIONI!AG538</f>
        <v/>
      </c>
      <c r="AB32" s="6">
        <f>LAVORAZIONI!AH538</f>
        <v/>
      </c>
      <c r="AC32" s="7">
        <f>LAVORAZIONI!AI538</f>
        <v/>
      </c>
      <c r="AD32" s="13">
        <f>LAVORAZIONI!AJ538</f>
        <v/>
      </c>
    </row>
    <row r="33" ht="56" customHeight="1" s="35">
      <c r="B33" s="4">
        <f>LAVORAZIONI!G539</f>
        <v/>
      </c>
      <c r="C33" s="3">
        <f>LAVORAZIONI!A539</f>
        <v/>
      </c>
      <c r="D33" s="3">
        <f>LAVORAZIONI!K539</f>
        <v/>
      </c>
      <c r="E33" s="4">
        <f>LAVORAZIONI!H539</f>
        <v/>
      </c>
      <c r="F33" s="4">
        <f>LAVORAZIONI!M539</f>
        <v/>
      </c>
      <c r="G33" s="5">
        <f>LAVORAZIONI!N539</f>
        <v/>
      </c>
      <c r="H33" s="6">
        <f>LAVORAZIONI!O539</f>
        <v/>
      </c>
      <c r="I33" s="13">
        <f>LAVORAZIONI!P539</f>
        <v/>
      </c>
      <c r="J33" s="5">
        <f>IF(LAVORAZIONI!Q539="","",LAVORAZIONI!Q539)</f>
        <v/>
      </c>
      <c r="K33" s="6">
        <f>IF(LAVORAZIONI!R539="","",LAVORAZIONI!R539)</f>
        <v/>
      </c>
      <c r="L33" s="13">
        <f>IF(LAVORAZIONI!S539="","",LAVORAZIONI!S539)</f>
        <v/>
      </c>
      <c r="M33" s="13">
        <f>LAVORAZIONI!T539</f>
        <v/>
      </c>
      <c r="O33" s="7">
        <f>LAVORAZIONI!U539</f>
        <v/>
      </c>
      <c r="P33" s="37">
        <f>LAVORAZIONI!V539</f>
        <v/>
      </c>
      <c r="Q33" s="7">
        <f>LAVORAZIONI!W539</f>
        <v/>
      </c>
      <c r="R33" s="6">
        <f>LAVORAZIONI!X539</f>
        <v/>
      </c>
      <c r="S33" s="7">
        <f>LAVORAZIONI!Y539</f>
        <v/>
      </c>
      <c r="T33" s="6">
        <f>LAVORAZIONI!Z539</f>
        <v/>
      </c>
      <c r="U33" s="7">
        <f>LAVORAZIONI!AA539</f>
        <v/>
      </c>
      <c r="V33" s="6">
        <f>LAVORAZIONI!AB539</f>
        <v/>
      </c>
      <c r="W33" s="7">
        <f>LAVORAZIONI!AC539</f>
        <v/>
      </c>
      <c r="X33" s="6">
        <f>LAVORAZIONI!AD539</f>
        <v/>
      </c>
      <c r="Y33" s="7">
        <f>LAVORAZIONI!AE539</f>
        <v/>
      </c>
      <c r="Z33" s="6">
        <f>LAVORAZIONI!AF539</f>
        <v/>
      </c>
      <c r="AA33" s="7">
        <f>LAVORAZIONI!AG539</f>
        <v/>
      </c>
      <c r="AB33" s="6">
        <f>LAVORAZIONI!AH539</f>
        <v/>
      </c>
      <c r="AC33" s="7">
        <f>LAVORAZIONI!AI539</f>
        <v/>
      </c>
      <c r="AD33" s="13">
        <f>LAVORAZIONI!AJ539</f>
        <v/>
      </c>
    </row>
    <row r="34" ht="56" customHeight="1" s="35">
      <c r="B34" s="4">
        <f>LAVORAZIONI!G540</f>
        <v/>
      </c>
      <c r="C34" s="3">
        <f>LAVORAZIONI!A540</f>
        <v/>
      </c>
      <c r="D34" s="3">
        <f>LAVORAZIONI!K540</f>
        <v/>
      </c>
      <c r="E34" s="4">
        <f>LAVORAZIONI!H540</f>
        <v/>
      </c>
      <c r="F34" s="4">
        <f>LAVORAZIONI!M540</f>
        <v/>
      </c>
      <c r="G34" s="5">
        <f>LAVORAZIONI!N540</f>
        <v/>
      </c>
      <c r="H34" s="6">
        <f>LAVORAZIONI!O540</f>
        <v/>
      </c>
      <c r="I34" s="13">
        <f>LAVORAZIONI!P540</f>
        <v/>
      </c>
      <c r="J34" s="5">
        <f>IF(LAVORAZIONI!Q540="","",LAVORAZIONI!Q540)</f>
        <v/>
      </c>
      <c r="K34" s="6">
        <f>IF(LAVORAZIONI!R540="","",LAVORAZIONI!R540)</f>
        <v/>
      </c>
      <c r="L34" s="13">
        <f>IF(LAVORAZIONI!S540="","",LAVORAZIONI!S540)</f>
        <v/>
      </c>
      <c r="M34" s="13">
        <f>LAVORAZIONI!T540</f>
        <v/>
      </c>
      <c r="O34" s="7">
        <f>LAVORAZIONI!U540</f>
        <v/>
      </c>
      <c r="P34" s="37">
        <f>LAVORAZIONI!V540</f>
        <v/>
      </c>
      <c r="Q34" s="7">
        <f>LAVORAZIONI!W540</f>
        <v/>
      </c>
      <c r="R34" s="6">
        <f>LAVORAZIONI!X540</f>
        <v/>
      </c>
      <c r="S34" s="7">
        <f>LAVORAZIONI!Y540</f>
        <v/>
      </c>
      <c r="T34" s="6">
        <f>LAVORAZIONI!Z540</f>
        <v/>
      </c>
      <c r="U34" s="7">
        <f>LAVORAZIONI!AA540</f>
        <v/>
      </c>
      <c r="V34" s="6">
        <f>LAVORAZIONI!AB540</f>
        <v/>
      </c>
      <c r="W34" s="7">
        <f>LAVORAZIONI!AC540</f>
        <v/>
      </c>
      <c r="X34" s="6">
        <f>LAVORAZIONI!AD540</f>
        <v/>
      </c>
      <c r="Y34" s="7">
        <f>LAVORAZIONI!AE540</f>
        <v/>
      </c>
      <c r="Z34" s="6">
        <f>LAVORAZIONI!AF540</f>
        <v/>
      </c>
      <c r="AA34" s="7">
        <f>LAVORAZIONI!AG540</f>
        <v/>
      </c>
      <c r="AB34" s="6">
        <f>LAVORAZIONI!AH540</f>
        <v/>
      </c>
      <c r="AC34" s="7">
        <f>LAVORAZIONI!AI540</f>
        <v/>
      </c>
      <c r="AD34" s="13">
        <f>LAVORAZIONI!AJ540</f>
        <v/>
      </c>
    </row>
    <row r="35" ht="56" customHeight="1" s="35">
      <c r="B35" s="4">
        <f>LAVORAZIONI!G541</f>
        <v/>
      </c>
      <c r="C35" s="3">
        <f>LAVORAZIONI!A541</f>
        <v/>
      </c>
      <c r="D35" s="3">
        <f>LAVORAZIONI!K541</f>
        <v/>
      </c>
      <c r="E35" s="4">
        <f>LAVORAZIONI!H541</f>
        <v/>
      </c>
      <c r="F35" s="4">
        <f>LAVORAZIONI!M541</f>
        <v/>
      </c>
      <c r="G35" s="5">
        <f>LAVORAZIONI!N541</f>
        <v/>
      </c>
      <c r="H35" s="6">
        <f>LAVORAZIONI!O541</f>
        <v/>
      </c>
      <c r="I35" s="13">
        <f>LAVORAZIONI!P541</f>
        <v/>
      </c>
      <c r="J35" s="5">
        <f>IF(LAVORAZIONI!Q541="","",LAVORAZIONI!Q541)</f>
        <v/>
      </c>
      <c r="K35" s="6">
        <f>IF(LAVORAZIONI!R541="","",LAVORAZIONI!R541)</f>
        <v/>
      </c>
      <c r="L35" s="13">
        <f>IF(LAVORAZIONI!S541="","",LAVORAZIONI!S541)</f>
        <v/>
      </c>
      <c r="M35" s="13">
        <f>LAVORAZIONI!T541</f>
        <v/>
      </c>
      <c r="O35" s="7">
        <f>LAVORAZIONI!U541</f>
        <v/>
      </c>
      <c r="P35" s="37">
        <f>LAVORAZIONI!V541</f>
        <v/>
      </c>
      <c r="Q35" s="7">
        <f>LAVORAZIONI!W541</f>
        <v/>
      </c>
      <c r="R35" s="6">
        <f>LAVORAZIONI!X541</f>
        <v/>
      </c>
      <c r="S35" s="7">
        <f>LAVORAZIONI!Y541</f>
        <v/>
      </c>
      <c r="T35" s="6">
        <f>LAVORAZIONI!Z541</f>
        <v/>
      </c>
      <c r="U35" s="7">
        <f>LAVORAZIONI!AA541</f>
        <v/>
      </c>
      <c r="V35" s="6">
        <f>LAVORAZIONI!AB541</f>
        <v/>
      </c>
      <c r="W35" s="7">
        <f>LAVORAZIONI!AC541</f>
        <v/>
      </c>
      <c r="X35" s="6">
        <f>LAVORAZIONI!AD541</f>
        <v/>
      </c>
      <c r="Y35" s="7">
        <f>LAVORAZIONI!AE541</f>
        <v/>
      </c>
      <c r="Z35" s="6">
        <f>LAVORAZIONI!AF541</f>
        <v/>
      </c>
      <c r="AA35" s="7">
        <f>LAVORAZIONI!AG541</f>
        <v/>
      </c>
      <c r="AB35" s="6">
        <f>LAVORAZIONI!AH541</f>
        <v/>
      </c>
      <c r="AC35" s="7">
        <f>LAVORAZIONI!AI541</f>
        <v/>
      </c>
      <c r="AD35" s="13">
        <f>LAVORAZIONI!AJ541</f>
        <v/>
      </c>
    </row>
    <row r="36" ht="56" customHeight="1" s="35">
      <c r="B36" s="4">
        <f>LAVORAZIONI!G542</f>
        <v/>
      </c>
      <c r="C36" s="3">
        <f>LAVORAZIONI!A542</f>
        <v/>
      </c>
      <c r="D36" s="3">
        <f>LAVORAZIONI!K542</f>
        <v/>
      </c>
      <c r="E36" s="4">
        <f>LAVORAZIONI!H542</f>
        <v/>
      </c>
      <c r="F36" s="4">
        <f>LAVORAZIONI!M542</f>
        <v/>
      </c>
      <c r="G36" s="5">
        <f>LAVORAZIONI!N542</f>
        <v/>
      </c>
      <c r="H36" s="6">
        <f>LAVORAZIONI!O542</f>
        <v/>
      </c>
      <c r="I36" s="13">
        <f>LAVORAZIONI!P542</f>
        <v/>
      </c>
      <c r="J36" s="5">
        <f>IF(LAVORAZIONI!Q542="","",LAVORAZIONI!Q542)</f>
        <v/>
      </c>
      <c r="K36" s="6">
        <f>IF(LAVORAZIONI!R542="","",LAVORAZIONI!R542)</f>
        <v/>
      </c>
      <c r="L36" s="13">
        <f>IF(LAVORAZIONI!S542="","",LAVORAZIONI!S542)</f>
        <v/>
      </c>
      <c r="M36" s="13">
        <f>LAVORAZIONI!T542</f>
        <v/>
      </c>
      <c r="O36" s="7">
        <f>LAVORAZIONI!U542</f>
        <v/>
      </c>
      <c r="P36" s="37">
        <f>LAVORAZIONI!V542</f>
        <v/>
      </c>
      <c r="Q36" s="7">
        <f>LAVORAZIONI!W542</f>
        <v/>
      </c>
      <c r="R36" s="6">
        <f>LAVORAZIONI!X542</f>
        <v/>
      </c>
      <c r="S36" s="7">
        <f>LAVORAZIONI!Y542</f>
        <v/>
      </c>
      <c r="T36" s="6">
        <f>LAVORAZIONI!Z542</f>
        <v/>
      </c>
      <c r="U36" s="7">
        <f>LAVORAZIONI!AA542</f>
        <v/>
      </c>
      <c r="V36" s="6">
        <f>LAVORAZIONI!AB542</f>
        <v/>
      </c>
      <c r="W36" s="7">
        <f>LAVORAZIONI!AC542</f>
        <v/>
      </c>
      <c r="X36" s="6">
        <f>LAVORAZIONI!AD542</f>
        <v/>
      </c>
      <c r="Y36" s="7">
        <f>LAVORAZIONI!AE542</f>
        <v/>
      </c>
      <c r="Z36" s="6">
        <f>LAVORAZIONI!AF542</f>
        <v/>
      </c>
      <c r="AA36" s="7">
        <f>LAVORAZIONI!AG542</f>
        <v/>
      </c>
      <c r="AB36" s="6">
        <f>LAVORAZIONI!AH542</f>
        <v/>
      </c>
      <c r="AC36" s="7">
        <f>LAVORAZIONI!AI542</f>
        <v/>
      </c>
      <c r="AD36" s="13">
        <f>LAVORAZIONI!AJ542</f>
        <v/>
      </c>
    </row>
    <row r="37" ht="56" customHeight="1" s="35">
      <c r="B37" s="4">
        <f>LAVORAZIONI!G543</f>
        <v/>
      </c>
      <c r="C37" s="3">
        <f>LAVORAZIONI!A543</f>
        <v/>
      </c>
      <c r="D37" s="3">
        <f>LAVORAZIONI!K543</f>
        <v/>
      </c>
      <c r="E37" s="4">
        <f>LAVORAZIONI!H543</f>
        <v/>
      </c>
      <c r="F37" s="4">
        <f>LAVORAZIONI!M543</f>
        <v/>
      </c>
      <c r="G37" s="5">
        <f>LAVORAZIONI!N543</f>
        <v/>
      </c>
      <c r="H37" s="6">
        <f>LAVORAZIONI!O543</f>
        <v/>
      </c>
      <c r="I37" s="13">
        <f>LAVORAZIONI!P543</f>
        <v/>
      </c>
      <c r="J37" s="5">
        <f>IF(LAVORAZIONI!Q543="","",LAVORAZIONI!Q543)</f>
        <v/>
      </c>
      <c r="K37" s="6">
        <f>IF(LAVORAZIONI!R543="","",LAVORAZIONI!R543)</f>
        <v/>
      </c>
      <c r="L37" s="13">
        <f>IF(LAVORAZIONI!S543="","",LAVORAZIONI!S543)</f>
        <v/>
      </c>
      <c r="M37" s="13">
        <f>LAVORAZIONI!T543</f>
        <v/>
      </c>
      <c r="O37" s="7">
        <f>LAVORAZIONI!U543</f>
        <v/>
      </c>
      <c r="P37" s="37">
        <f>LAVORAZIONI!V543</f>
        <v/>
      </c>
      <c r="Q37" s="7">
        <f>LAVORAZIONI!W543</f>
        <v/>
      </c>
      <c r="R37" s="6">
        <f>LAVORAZIONI!X543</f>
        <v/>
      </c>
      <c r="S37" s="7">
        <f>LAVORAZIONI!Y543</f>
        <v/>
      </c>
      <c r="T37" s="6">
        <f>LAVORAZIONI!Z543</f>
        <v/>
      </c>
      <c r="U37" s="7">
        <f>LAVORAZIONI!AA543</f>
        <v/>
      </c>
      <c r="V37" s="6">
        <f>LAVORAZIONI!AB543</f>
        <v/>
      </c>
      <c r="W37" s="7">
        <f>LAVORAZIONI!AC543</f>
        <v/>
      </c>
      <c r="X37" s="6">
        <f>LAVORAZIONI!AD543</f>
        <v/>
      </c>
      <c r="Y37" s="7">
        <f>LAVORAZIONI!AE543</f>
        <v/>
      </c>
      <c r="Z37" s="6">
        <f>LAVORAZIONI!AF543</f>
        <v/>
      </c>
      <c r="AA37" s="7">
        <f>LAVORAZIONI!AG543</f>
        <v/>
      </c>
      <c r="AB37" s="6">
        <f>LAVORAZIONI!AH543</f>
        <v/>
      </c>
      <c r="AC37" s="7">
        <f>LAVORAZIONI!AI543</f>
        <v/>
      </c>
      <c r="AD37" s="13">
        <f>LAVORAZIONI!AJ543</f>
        <v/>
      </c>
    </row>
    <row r="38" ht="56" customHeight="1" s="35">
      <c r="B38" s="4">
        <f>LAVORAZIONI!G544</f>
        <v/>
      </c>
      <c r="C38" s="3">
        <f>LAVORAZIONI!A544</f>
        <v/>
      </c>
      <c r="D38" s="3">
        <f>LAVORAZIONI!K544</f>
        <v/>
      </c>
      <c r="E38" s="4">
        <f>LAVORAZIONI!H544</f>
        <v/>
      </c>
      <c r="F38" s="4">
        <f>LAVORAZIONI!M544</f>
        <v/>
      </c>
      <c r="G38" s="5">
        <f>LAVORAZIONI!N544</f>
        <v/>
      </c>
      <c r="H38" s="6">
        <f>LAVORAZIONI!O544</f>
        <v/>
      </c>
      <c r="I38" s="13">
        <f>LAVORAZIONI!P544</f>
        <v/>
      </c>
      <c r="J38" s="5">
        <f>IF(LAVORAZIONI!Q544="","",LAVORAZIONI!Q544)</f>
        <v/>
      </c>
      <c r="K38" s="6">
        <f>IF(LAVORAZIONI!R544="","",LAVORAZIONI!R544)</f>
        <v/>
      </c>
      <c r="L38" s="13">
        <f>IF(LAVORAZIONI!S544="","",LAVORAZIONI!S544)</f>
        <v/>
      </c>
      <c r="M38" s="13">
        <f>LAVORAZIONI!T544</f>
        <v/>
      </c>
      <c r="O38" s="7">
        <f>LAVORAZIONI!U544</f>
        <v/>
      </c>
      <c r="P38" s="37">
        <f>LAVORAZIONI!V544</f>
        <v/>
      </c>
      <c r="Q38" s="7">
        <f>LAVORAZIONI!W544</f>
        <v/>
      </c>
      <c r="R38" s="6">
        <f>LAVORAZIONI!X544</f>
        <v/>
      </c>
      <c r="S38" s="7">
        <f>LAVORAZIONI!Y544</f>
        <v/>
      </c>
      <c r="T38" s="6">
        <f>LAVORAZIONI!Z544</f>
        <v/>
      </c>
      <c r="U38" s="7">
        <f>LAVORAZIONI!AA544</f>
        <v/>
      </c>
      <c r="V38" s="6">
        <f>LAVORAZIONI!AB544</f>
        <v/>
      </c>
      <c r="W38" s="7">
        <f>LAVORAZIONI!AC544</f>
        <v/>
      </c>
      <c r="X38" s="6">
        <f>LAVORAZIONI!AD544</f>
        <v/>
      </c>
      <c r="Y38" s="7">
        <f>LAVORAZIONI!AE544</f>
        <v/>
      </c>
      <c r="Z38" s="6">
        <f>LAVORAZIONI!AF544</f>
        <v/>
      </c>
      <c r="AA38" s="7">
        <f>LAVORAZIONI!AG544</f>
        <v/>
      </c>
      <c r="AB38" s="6">
        <f>LAVORAZIONI!AH544</f>
        <v/>
      </c>
      <c r="AC38" s="7">
        <f>LAVORAZIONI!AI544</f>
        <v/>
      </c>
      <c r="AD38" s="13">
        <f>LAVORAZIONI!AJ544</f>
        <v/>
      </c>
    </row>
    <row r="39" ht="56" customHeight="1" s="35">
      <c r="B39" s="4">
        <f>LAVORAZIONI!G545</f>
        <v/>
      </c>
      <c r="C39" s="3">
        <f>LAVORAZIONI!A545</f>
        <v/>
      </c>
      <c r="D39" s="3">
        <f>LAVORAZIONI!K545</f>
        <v/>
      </c>
      <c r="E39" s="4">
        <f>LAVORAZIONI!H545</f>
        <v/>
      </c>
      <c r="F39" s="4">
        <f>LAVORAZIONI!M545</f>
        <v/>
      </c>
      <c r="G39" s="5">
        <f>LAVORAZIONI!N545</f>
        <v/>
      </c>
      <c r="H39" s="6">
        <f>LAVORAZIONI!O545</f>
        <v/>
      </c>
      <c r="I39" s="13">
        <f>LAVORAZIONI!P545</f>
        <v/>
      </c>
      <c r="J39" s="5">
        <f>IF(LAVORAZIONI!Q545="","",LAVORAZIONI!Q545)</f>
        <v/>
      </c>
      <c r="K39" s="6">
        <f>IF(LAVORAZIONI!R545="","",LAVORAZIONI!R545)</f>
        <v/>
      </c>
      <c r="L39" s="13">
        <f>IF(LAVORAZIONI!S545="","",LAVORAZIONI!S545)</f>
        <v/>
      </c>
      <c r="M39" s="13">
        <f>LAVORAZIONI!T545</f>
        <v/>
      </c>
      <c r="O39" s="7">
        <f>LAVORAZIONI!U545</f>
        <v/>
      </c>
      <c r="P39" s="37">
        <f>LAVORAZIONI!V545</f>
        <v/>
      </c>
      <c r="Q39" s="7">
        <f>LAVORAZIONI!W545</f>
        <v/>
      </c>
      <c r="R39" s="6">
        <f>LAVORAZIONI!X545</f>
        <v/>
      </c>
      <c r="S39" s="7">
        <f>LAVORAZIONI!Y545</f>
        <v/>
      </c>
      <c r="T39" s="6">
        <f>LAVORAZIONI!Z545</f>
        <v/>
      </c>
      <c r="U39" s="7">
        <f>LAVORAZIONI!AA545</f>
        <v/>
      </c>
      <c r="V39" s="6">
        <f>LAVORAZIONI!AB545</f>
        <v/>
      </c>
      <c r="W39" s="7">
        <f>LAVORAZIONI!AC545</f>
        <v/>
      </c>
      <c r="X39" s="6">
        <f>LAVORAZIONI!AD545</f>
        <v/>
      </c>
      <c r="Y39" s="7">
        <f>LAVORAZIONI!AE545</f>
        <v/>
      </c>
      <c r="Z39" s="6">
        <f>LAVORAZIONI!AF545</f>
        <v/>
      </c>
      <c r="AA39" s="7">
        <f>LAVORAZIONI!AG545</f>
        <v/>
      </c>
      <c r="AB39" s="6">
        <f>LAVORAZIONI!AH545</f>
        <v/>
      </c>
      <c r="AC39" s="7">
        <f>LAVORAZIONI!AI545</f>
        <v/>
      </c>
      <c r="AD39" s="13">
        <f>LAVORAZIONI!AJ545</f>
        <v/>
      </c>
    </row>
    <row r="40" ht="56" customHeight="1" s="35">
      <c r="B40" s="4">
        <f>LAVORAZIONI!G546</f>
        <v/>
      </c>
      <c r="C40" s="3">
        <f>LAVORAZIONI!A546</f>
        <v/>
      </c>
      <c r="D40" s="3">
        <f>LAVORAZIONI!K546</f>
        <v/>
      </c>
      <c r="E40" s="4">
        <f>LAVORAZIONI!H546</f>
        <v/>
      </c>
      <c r="F40" s="4">
        <f>LAVORAZIONI!M546</f>
        <v/>
      </c>
      <c r="G40" s="5">
        <f>LAVORAZIONI!N546</f>
        <v/>
      </c>
      <c r="H40" s="6">
        <f>LAVORAZIONI!O546</f>
        <v/>
      </c>
      <c r="I40" s="13">
        <f>LAVORAZIONI!P546</f>
        <v/>
      </c>
      <c r="J40" s="5">
        <f>IF(LAVORAZIONI!Q546="","",LAVORAZIONI!Q546)</f>
        <v/>
      </c>
      <c r="K40" s="6">
        <f>IF(LAVORAZIONI!R546="","",LAVORAZIONI!R546)</f>
        <v/>
      </c>
      <c r="L40" s="13">
        <f>IF(LAVORAZIONI!S546="","",LAVORAZIONI!S546)</f>
        <v/>
      </c>
      <c r="M40" s="13">
        <f>LAVORAZIONI!T546</f>
        <v/>
      </c>
      <c r="O40" s="7">
        <f>LAVORAZIONI!U546</f>
        <v/>
      </c>
      <c r="P40" s="37">
        <f>LAVORAZIONI!V546</f>
        <v/>
      </c>
      <c r="Q40" s="7">
        <f>LAVORAZIONI!W546</f>
        <v/>
      </c>
      <c r="R40" s="6">
        <f>LAVORAZIONI!X546</f>
        <v/>
      </c>
      <c r="S40" s="7">
        <f>LAVORAZIONI!Y546</f>
        <v/>
      </c>
      <c r="T40" s="6">
        <f>LAVORAZIONI!Z546</f>
        <v/>
      </c>
      <c r="U40" s="7">
        <f>LAVORAZIONI!AA546</f>
        <v/>
      </c>
      <c r="V40" s="6">
        <f>LAVORAZIONI!AB546</f>
        <v/>
      </c>
      <c r="W40" s="7">
        <f>LAVORAZIONI!AC546</f>
        <v/>
      </c>
      <c r="X40" s="6">
        <f>LAVORAZIONI!AD546</f>
        <v/>
      </c>
      <c r="Y40" s="7">
        <f>LAVORAZIONI!AE546</f>
        <v/>
      </c>
      <c r="Z40" s="6">
        <f>LAVORAZIONI!AF546</f>
        <v/>
      </c>
      <c r="AA40" s="7">
        <f>LAVORAZIONI!AG546</f>
        <v/>
      </c>
      <c r="AB40" s="6">
        <f>LAVORAZIONI!AH546</f>
        <v/>
      </c>
      <c r="AC40" s="7">
        <f>LAVORAZIONI!AI546</f>
        <v/>
      </c>
      <c r="AD40" s="13">
        <f>LAVORAZIONI!AJ546</f>
        <v/>
      </c>
    </row>
    <row r="41" ht="56" customHeight="1" s="35">
      <c r="B41" s="4">
        <f>LAVORAZIONI!G547</f>
        <v/>
      </c>
      <c r="C41" s="3">
        <f>LAVORAZIONI!A547</f>
        <v/>
      </c>
      <c r="D41" s="3">
        <f>LAVORAZIONI!K547</f>
        <v/>
      </c>
      <c r="E41" s="4">
        <f>LAVORAZIONI!H547</f>
        <v/>
      </c>
      <c r="F41" s="4">
        <f>LAVORAZIONI!M547</f>
        <v/>
      </c>
      <c r="G41" s="5">
        <f>LAVORAZIONI!N547</f>
        <v/>
      </c>
      <c r="H41" s="6">
        <f>LAVORAZIONI!O547</f>
        <v/>
      </c>
      <c r="I41" s="13">
        <f>LAVORAZIONI!P547</f>
        <v/>
      </c>
      <c r="J41" s="5">
        <f>IF(LAVORAZIONI!Q547="","",LAVORAZIONI!Q547)</f>
        <v/>
      </c>
      <c r="K41" s="6">
        <f>IF(LAVORAZIONI!R547="","",LAVORAZIONI!R547)</f>
        <v/>
      </c>
      <c r="L41" s="13">
        <f>IF(LAVORAZIONI!S547="","",LAVORAZIONI!S547)</f>
        <v/>
      </c>
      <c r="M41" s="13">
        <f>LAVORAZIONI!T547</f>
        <v/>
      </c>
      <c r="O41" s="7">
        <f>LAVORAZIONI!U547</f>
        <v/>
      </c>
      <c r="P41" s="37">
        <f>LAVORAZIONI!V547</f>
        <v/>
      </c>
      <c r="Q41" s="7">
        <f>LAVORAZIONI!W547</f>
        <v/>
      </c>
      <c r="R41" s="6">
        <f>LAVORAZIONI!X547</f>
        <v/>
      </c>
      <c r="S41" s="7">
        <f>LAVORAZIONI!Y547</f>
        <v/>
      </c>
      <c r="T41" s="6">
        <f>LAVORAZIONI!Z547</f>
        <v/>
      </c>
      <c r="U41" s="7">
        <f>LAVORAZIONI!AA547</f>
        <v/>
      </c>
      <c r="V41" s="6">
        <f>LAVORAZIONI!AB547</f>
        <v/>
      </c>
      <c r="W41" s="7">
        <f>LAVORAZIONI!AC547</f>
        <v/>
      </c>
      <c r="X41" s="6">
        <f>LAVORAZIONI!AD547</f>
        <v/>
      </c>
      <c r="Y41" s="7">
        <f>LAVORAZIONI!AE547</f>
        <v/>
      </c>
      <c r="Z41" s="6">
        <f>LAVORAZIONI!AF547</f>
        <v/>
      </c>
      <c r="AA41" s="7">
        <f>LAVORAZIONI!AG547</f>
        <v/>
      </c>
      <c r="AB41" s="6">
        <f>LAVORAZIONI!AH547</f>
        <v/>
      </c>
      <c r="AC41" s="7">
        <f>LAVORAZIONI!AI547</f>
        <v/>
      </c>
      <c r="AD41" s="13">
        <f>LAVORAZIONI!AJ547</f>
        <v/>
      </c>
    </row>
    <row r="42" ht="56" customHeight="1" s="35">
      <c r="B42" s="4">
        <f>LAVORAZIONI!G548</f>
        <v/>
      </c>
      <c r="C42" s="3">
        <f>LAVORAZIONI!A548</f>
        <v/>
      </c>
      <c r="D42" s="3">
        <f>LAVORAZIONI!K548</f>
        <v/>
      </c>
      <c r="E42" s="4">
        <f>LAVORAZIONI!H548</f>
        <v/>
      </c>
      <c r="F42" s="4">
        <f>LAVORAZIONI!M548</f>
        <v/>
      </c>
      <c r="G42" s="5">
        <f>LAVORAZIONI!N548</f>
        <v/>
      </c>
      <c r="H42" s="6">
        <f>LAVORAZIONI!O548</f>
        <v/>
      </c>
      <c r="I42" s="13">
        <f>LAVORAZIONI!P548</f>
        <v/>
      </c>
      <c r="J42" s="5">
        <f>IF(LAVORAZIONI!Q548="","",LAVORAZIONI!Q548)</f>
        <v/>
      </c>
      <c r="K42" s="6">
        <f>IF(LAVORAZIONI!R548="","",LAVORAZIONI!R548)</f>
        <v/>
      </c>
      <c r="L42" s="13">
        <f>IF(LAVORAZIONI!S548="","",LAVORAZIONI!S548)</f>
        <v/>
      </c>
      <c r="M42" s="13">
        <f>LAVORAZIONI!T548</f>
        <v/>
      </c>
      <c r="O42" s="7">
        <f>LAVORAZIONI!U548</f>
        <v/>
      </c>
      <c r="P42" s="37">
        <f>LAVORAZIONI!V548</f>
        <v/>
      </c>
      <c r="Q42" s="7">
        <f>LAVORAZIONI!W548</f>
        <v/>
      </c>
      <c r="R42" s="6">
        <f>LAVORAZIONI!X548</f>
        <v/>
      </c>
      <c r="S42" s="7">
        <f>LAVORAZIONI!Y548</f>
        <v/>
      </c>
      <c r="T42" s="6">
        <f>LAVORAZIONI!Z548</f>
        <v/>
      </c>
      <c r="U42" s="7">
        <f>LAVORAZIONI!AA548</f>
        <v/>
      </c>
      <c r="V42" s="6">
        <f>LAVORAZIONI!AB548</f>
        <v/>
      </c>
      <c r="W42" s="7">
        <f>LAVORAZIONI!AC548</f>
        <v/>
      </c>
      <c r="X42" s="6">
        <f>LAVORAZIONI!AD548</f>
        <v/>
      </c>
      <c r="Y42" s="7">
        <f>LAVORAZIONI!AE548</f>
        <v/>
      </c>
      <c r="Z42" s="6">
        <f>LAVORAZIONI!AF548</f>
        <v/>
      </c>
      <c r="AA42" s="7">
        <f>LAVORAZIONI!AG548</f>
        <v/>
      </c>
      <c r="AB42" s="6">
        <f>LAVORAZIONI!AH548</f>
        <v/>
      </c>
      <c r="AC42" s="7">
        <f>LAVORAZIONI!AI548</f>
        <v/>
      </c>
      <c r="AD42" s="13">
        <f>LAVORAZIONI!AJ548</f>
        <v/>
      </c>
    </row>
    <row r="43" ht="56" customHeight="1" s="35">
      <c r="B43" s="4">
        <f>LAVORAZIONI!G549</f>
        <v/>
      </c>
      <c r="C43" s="3">
        <f>LAVORAZIONI!A549</f>
        <v/>
      </c>
      <c r="D43" s="3">
        <f>LAVORAZIONI!K549</f>
        <v/>
      </c>
      <c r="E43" s="4">
        <f>LAVORAZIONI!H549</f>
        <v/>
      </c>
      <c r="F43" s="4">
        <f>LAVORAZIONI!M549</f>
        <v/>
      </c>
      <c r="G43" s="5">
        <f>LAVORAZIONI!N549</f>
        <v/>
      </c>
      <c r="H43" s="6">
        <f>LAVORAZIONI!O549</f>
        <v/>
      </c>
      <c r="I43" s="13">
        <f>LAVORAZIONI!P549</f>
        <v/>
      </c>
      <c r="J43" s="5">
        <f>IF(LAVORAZIONI!Q549="","",LAVORAZIONI!Q549)</f>
        <v/>
      </c>
      <c r="K43" s="6">
        <f>IF(LAVORAZIONI!R549="","",LAVORAZIONI!R549)</f>
        <v/>
      </c>
      <c r="L43" s="13">
        <f>IF(LAVORAZIONI!S549="","",LAVORAZIONI!S549)</f>
        <v/>
      </c>
      <c r="M43" s="13">
        <f>LAVORAZIONI!T549</f>
        <v/>
      </c>
      <c r="O43" s="7">
        <f>LAVORAZIONI!U549</f>
        <v/>
      </c>
      <c r="P43" s="37">
        <f>LAVORAZIONI!V549</f>
        <v/>
      </c>
      <c r="Q43" s="7">
        <f>LAVORAZIONI!W549</f>
        <v/>
      </c>
      <c r="R43" s="6">
        <f>LAVORAZIONI!X549</f>
        <v/>
      </c>
      <c r="S43" s="7">
        <f>LAVORAZIONI!Y549</f>
        <v/>
      </c>
      <c r="T43" s="6">
        <f>LAVORAZIONI!Z549</f>
        <v/>
      </c>
      <c r="U43" s="7">
        <f>LAVORAZIONI!AA549</f>
        <v/>
      </c>
      <c r="V43" s="6">
        <f>LAVORAZIONI!AB549</f>
        <v/>
      </c>
      <c r="W43" s="7">
        <f>LAVORAZIONI!AC549</f>
        <v/>
      </c>
      <c r="X43" s="6">
        <f>LAVORAZIONI!AD549</f>
        <v/>
      </c>
      <c r="Y43" s="7">
        <f>LAVORAZIONI!AE549</f>
        <v/>
      </c>
      <c r="Z43" s="6">
        <f>LAVORAZIONI!AF549</f>
        <v/>
      </c>
      <c r="AA43" s="7">
        <f>LAVORAZIONI!AG549</f>
        <v/>
      </c>
      <c r="AB43" s="6">
        <f>LAVORAZIONI!AH549</f>
        <v/>
      </c>
      <c r="AC43" s="7">
        <f>LAVORAZIONI!AI549</f>
        <v/>
      </c>
      <c r="AD43" s="13">
        <f>LAVORAZIONI!AJ549</f>
        <v/>
      </c>
    </row>
    <row r="44" ht="56" customHeight="1" s="35">
      <c r="B44" s="4">
        <f>LAVORAZIONI!G550</f>
        <v/>
      </c>
      <c r="C44" s="3">
        <f>LAVORAZIONI!A550</f>
        <v/>
      </c>
      <c r="D44" s="3">
        <f>LAVORAZIONI!K550</f>
        <v/>
      </c>
      <c r="E44" s="4">
        <f>LAVORAZIONI!H550</f>
        <v/>
      </c>
      <c r="F44" s="4">
        <f>LAVORAZIONI!M550</f>
        <v/>
      </c>
      <c r="G44" s="5">
        <f>LAVORAZIONI!N550</f>
        <v/>
      </c>
      <c r="H44" s="6">
        <f>LAVORAZIONI!O550</f>
        <v/>
      </c>
      <c r="I44" s="13">
        <f>LAVORAZIONI!P550</f>
        <v/>
      </c>
      <c r="J44" s="5">
        <f>IF(LAVORAZIONI!Q550="","",LAVORAZIONI!Q550)</f>
        <v/>
      </c>
      <c r="K44" s="6">
        <f>IF(LAVORAZIONI!R550="","",LAVORAZIONI!R550)</f>
        <v/>
      </c>
      <c r="L44" s="13">
        <f>IF(LAVORAZIONI!S550="","",LAVORAZIONI!S550)</f>
        <v/>
      </c>
      <c r="M44" s="13">
        <f>LAVORAZIONI!T550</f>
        <v/>
      </c>
      <c r="O44" s="7">
        <f>LAVORAZIONI!U550</f>
        <v/>
      </c>
      <c r="P44" s="37">
        <f>LAVORAZIONI!V550</f>
        <v/>
      </c>
      <c r="Q44" s="7">
        <f>LAVORAZIONI!W550</f>
        <v/>
      </c>
      <c r="R44" s="6">
        <f>LAVORAZIONI!X550</f>
        <v/>
      </c>
      <c r="S44" s="7">
        <f>LAVORAZIONI!Y550</f>
        <v/>
      </c>
      <c r="T44" s="6">
        <f>LAVORAZIONI!Z550</f>
        <v/>
      </c>
      <c r="U44" s="7">
        <f>LAVORAZIONI!AA550</f>
        <v/>
      </c>
      <c r="V44" s="6">
        <f>LAVORAZIONI!AB550</f>
        <v/>
      </c>
      <c r="W44" s="7">
        <f>LAVORAZIONI!AC550</f>
        <v/>
      </c>
      <c r="X44" s="6">
        <f>LAVORAZIONI!AD550</f>
        <v/>
      </c>
      <c r="Y44" s="7">
        <f>LAVORAZIONI!AE550</f>
        <v/>
      </c>
      <c r="Z44" s="6">
        <f>LAVORAZIONI!AF550</f>
        <v/>
      </c>
      <c r="AA44" s="7">
        <f>LAVORAZIONI!AG550</f>
        <v/>
      </c>
      <c r="AB44" s="6">
        <f>LAVORAZIONI!AH550</f>
        <v/>
      </c>
      <c r="AC44" s="7">
        <f>LAVORAZIONI!AI550</f>
        <v/>
      </c>
      <c r="AD44" s="13">
        <f>LAVORAZIONI!AJ550</f>
        <v/>
      </c>
    </row>
    <row r="45" ht="56" customHeight="1" s="35">
      <c r="B45" s="4">
        <f>LAVORAZIONI!G551</f>
        <v/>
      </c>
      <c r="C45" s="3">
        <f>LAVORAZIONI!A551</f>
        <v/>
      </c>
      <c r="D45" s="3">
        <f>LAVORAZIONI!K551</f>
        <v/>
      </c>
      <c r="E45" s="4">
        <f>LAVORAZIONI!H551</f>
        <v/>
      </c>
      <c r="F45" s="4">
        <f>LAVORAZIONI!M551</f>
        <v/>
      </c>
      <c r="G45" s="5">
        <f>LAVORAZIONI!N551</f>
        <v/>
      </c>
      <c r="H45" s="6">
        <f>LAVORAZIONI!O551</f>
        <v/>
      </c>
      <c r="I45" s="13">
        <f>LAVORAZIONI!P551</f>
        <v/>
      </c>
      <c r="J45" s="5">
        <f>IF(LAVORAZIONI!Q551="","",LAVORAZIONI!Q551)</f>
        <v/>
      </c>
      <c r="K45" s="6">
        <f>IF(LAVORAZIONI!R551="","",LAVORAZIONI!R551)</f>
        <v/>
      </c>
      <c r="L45" s="13">
        <f>IF(LAVORAZIONI!S551="","",LAVORAZIONI!S551)</f>
        <v/>
      </c>
      <c r="M45" s="13">
        <f>LAVORAZIONI!T551</f>
        <v/>
      </c>
      <c r="O45" s="7">
        <f>LAVORAZIONI!U551</f>
        <v/>
      </c>
      <c r="P45" s="37">
        <f>LAVORAZIONI!V551</f>
        <v/>
      </c>
      <c r="Q45" s="7">
        <f>LAVORAZIONI!W551</f>
        <v/>
      </c>
      <c r="R45" s="6">
        <f>LAVORAZIONI!X551</f>
        <v/>
      </c>
      <c r="S45" s="7">
        <f>LAVORAZIONI!Y551</f>
        <v/>
      </c>
      <c r="T45" s="6">
        <f>LAVORAZIONI!Z551</f>
        <v/>
      </c>
      <c r="U45" s="7">
        <f>LAVORAZIONI!AA551</f>
        <v/>
      </c>
      <c r="V45" s="6">
        <f>LAVORAZIONI!AB551</f>
        <v/>
      </c>
      <c r="W45" s="7">
        <f>LAVORAZIONI!AC551</f>
        <v/>
      </c>
      <c r="X45" s="6">
        <f>LAVORAZIONI!AD551</f>
        <v/>
      </c>
      <c r="Y45" s="7">
        <f>LAVORAZIONI!AE551</f>
        <v/>
      </c>
      <c r="Z45" s="6">
        <f>LAVORAZIONI!AF551</f>
        <v/>
      </c>
      <c r="AA45" s="7">
        <f>LAVORAZIONI!AG551</f>
        <v/>
      </c>
      <c r="AB45" s="6">
        <f>LAVORAZIONI!AH551</f>
        <v/>
      </c>
      <c r="AC45" s="7">
        <f>LAVORAZIONI!AI551</f>
        <v/>
      </c>
      <c r="AD45" s="13">
        <f>LAVORAZIONI!AJ551</f>
        <v/>
      </c>
    </row>
    <row r="46" ht="56" customHeight="1" s="35">
      <c r="B46" s="4">
        <f>LAVORAZIONI!G552</f>
        <v/>
      </c>
      <c r="C46" s="3">
        <f>LAVORAZIONI!A552</f>
        <v/>
      </c>
      <c r="D46" s="3">
        <f>LAVORAZIONI!K552</f>
        <v/>
      </c>
      <c r="E46" s="4">
        <f>LAVORAZIONI!H552</f>
        <v/>
      </c>
      <c r="F46" s="4">
        <f>LAVORAZIONI!M552</f>
        <v/>
      </c>
      <c r="G46" s="5">
        <f>LAVORAZIONI!N552</f>
        <v/>
      </c>
      <c r="H46" s="6">
        <f>LAVORAZIONI!O552</f>
        <v/>
      </c>
      <c r="I46" s="13">
        <f>LAVORAZIONI!P552</f>
        <v/>
      </c>
      <c r="J46" s="5">
        <f>IF(LAVORAZIONI!Q552="","",LAVORAZIONI!Q552)</f>
        <v/>
      </c>
      <c r="K46" s="6">
        <f>IF(LAVORAZIONI!R552="","",LAVORAZIONI!R552)</f>
        <v/>
      </c>
      <c r="L46" s="13">
        <f>IF(LAVORAZIONI!S552="","",LAVORAZIONI!S552)</f>
        <v/>
      </c>
      <c r="M46" s="13">
        <f>LAVORAZIONI!T552</f>
        <v/>
      </c>
      <c r="O46" s="7">
        <f>LAVORAZIONI!U552</f>
        <v/>
      </c>
      <c r="P46" s="37">
        <f>LAVORAZIONI!V552</f>
        <v/>
      </c>
      <c r="Q46" s="7">
        <f>LAVORAZIONI!W552</f>
        <v/>
      </c>
      <c r="R46" s="6">
        <f>LAVORAZIONI!X552</f>
        <v/>
      </c>
      <c r="S46" s="7">
        <f>LAVORAZIONI!Y552</f>
        <v/>
      </c>
      <c r="T46" s="6">
        <f>LAVORAZIONI!Z552</f>
        <v/>
      </c>
      <c r="U46" s="7">
        <f>LAVORAZIONI!AA552</f>
        <v/>
      </c>
      <c r="V46" s="6">
        <f>LAVORAZIONI!AB552</f>
        <v/>
      </c>
      <c r="W46" s="7">
        <f>LAVORAZIONI!AC552</f>
        <v/>
      </c>
      <c r="X46" s="6">
        <f>LAVORAZIONI!AD552</f>
        <v/>
      </c>
      <c r="Y46" s="7">
        <f>LAVORAZIONI!AE552</f>
        <v/>
      </c>
      <c r="Z46" s="6">
        <f>LAVORAZIONI!AF552</f>
        <v/>
      </c>
      <c r="AA46" s="7">
        <f>LAVORAZIONI!AG552</f>
        <v/>
      </c>
      <c r="AB46" s="6">
        <f>LAVORAZIONI!AH552</f>
        <v/>
      </c>
      <c r="AC46" s="7">
        <f>LAVORAZIONI!AI552</f>
        <v/>
      </c>
      <c r="AD46" s="13">
        <f>LAVORAZIONI!AJ552</f>
        <v/>
      </c>
    </row>
    <row r="47" ht="56" customHeight="1" s="35">
      <c r="B47" s="4">
        <f>LAVORAZIONI!G553</f>
        <v/>
      </c>
      <c r="C47" s="3">
        <f>LAVORAZIONI!A553</f>
        <v/>
      </c>
      <c r="D47" s="3">
        <f>LAVORAZIONI!K553</f>
        <v/>
      </c>
      <c r="E47" s="4">
        <f>LAVORAZIONI!H553</f>
        <v/>
      </c>
      <c r="F47" s="4">
        <f>LAVORAZIONI!M553</f>
        <v/>
      </c>
      <c r="G47" s="5">
        <f>LAVORAZIONI!N553</f>
        <v/>
      </c>
      <c r="H47" s="6">
        <f>LAVORAZIONI!O553</f>
        <v/>
      </c>
      <c r="I47" s="13">
        <f>LAVORAZIONI!P553</f>
        <v/>
      </c>
      <c r="J47" s="5">
        <f>IF(LAVORAZIONI!Q553="","",LAVORAZIONI!Q553)</f>
        <v/>
      </c>
      <c r="K47" s="6">
        <f>IF(LAVORAZIONI!R553="","",LAVORAZIONI!R553)</f>
        <v/>
      </c>
      <c r="L47" s="13">
        <f>IF(LAVORAZIONI!S553="","",LAVORAZIONI!S553)</f>
        <v/>
      </c>
      <c r="M47" s="13">
        <f>LAVORAZIONI!T553</f>
        <v/>
      </c>
      <c r="O47" s="7">
        <f>LAVORAZIONI!U553</f>
        <v/>
      </c>
      <c r="P47" s="37">
        <f>LAVORAZIONI!V553</f>
        <v/>
      </c>
      <c r="Q47" s="7">
        <f>LAVORAZIONI!W553</f>
        <v/>
      </c>
      <c r="R47" s="6">
        <f>LAVORAZIONI!X553</f>
        <v/>
      </c>
      <c r="S47" s="7">
        <f>LAVORAZIONI!Y553</f>
        <v/>
      </c>
      <c r="T47" s="6">
        <f>LAVORAZIONI!Z553</f>
        <v/>
      </c>
      <c r="U47" s="7">
        <f>LAVORAZIONI!AA553</f>
        <v/>
      </c>
      <c r="V47" s="6">
        <f>LAVORAZIONI!AB553</f>
        <v/>
      </c>
      <c r="W47" s="7">
        <f>LAVORAZIONI!AC553</f>
        <v/>
      </c>
      <c r="X47" s="6">
        <f>LAVORAZIONI!AD553</f>
        <v/>
      </c>
      <c r="Y47" s="7">
        <f>LAVORAZIONI!AE553</f>
        <v/>
      </c>
      <c r="Z47" s="6">
        <f>LAVORAZIONI!AF553</f>
        <v/>
      </c>
      <c r="AA47" s="7">
        <f>LAVORAZIONI!AG553</f>
        <v/>
      </c>
      <c r="AB47" s="6">
        <f>LAVORAZIONI!AH553</f>
        <v/>
      </c>
      <c r="AC47" s="7">
        <f>LAVORAZIONI!AI553</f>
        <v/>
      </c>
      <c r="AD47" s="13">
        <f>LAVORAZIONI!AJ553</f>
        <v/>
      </c>
    </row>
    <row r="48" ht="56" customHeight="1" s="35">
      <c r="B48" s="4">
        <f>LAVORAZIONI!G554</f>
        <v/>
      </c>
      <c r="C48" s="3">
        <f>LAVORAZIONI!A554</f>
        <v/>
      </c>
      <c r="D48" s="3">
        <f>LAVORAZIONI!K554</f>
        <v/>
      </c>
      <c r="E48" s="4">
        <f>LAVORAZIONI!H554</f>
        <v/>
      </c>
      <c r="F48" s="4">
        <f>LAVORAZIONI!M554</f>
        <v/>
      </c>
      <c r="G48" s="5">
        <f>LAVORAZIONI!N554</f>
        <v/>
      </c>
      <c r="H48" s="6">
        <f>LAVORAZIONI!O554</f>
        <v/>
      </c>
      <c r="I48" s="13">
        <f>LAVORAZIONI!P554</f>
        <v/>
      </c>
      <c r="J48" s="5">
        <f>IF(LAVORAZIONI!Q554="","",LAVORAZIONI!Q554)</f>
        <v/>
      </c>
      <c r="K48" s="6">
        <f>IF(LAVORAZIONI!R554="","",LAVORAZIONI!R554)</f>
        <v/>
      </c>
      <c r="L48" s="13">
        <f>IF(LAVORAZIONI!S554="","",LAVORAZIONI!S554)</f>
        <v/>
      </c>
      <c r="M48" s="13">
        <f>LAVORAZIONI!T554</f>
        <v/>
      </c>
      <c r="O48" s="7">
        <f>LAVORAZIONI!U554</f>
        <v/>
      </c>
      <c r="P48" s="37">
        <f>LAVORAZIONI!V554</f>
        <v/>
      </c>
      <c r="Q48" s="7">
        <f>LAVORAZIONI!W554</f>
        <v/>
      </c>
      <c r="R48" s="6">
        <f>LAVORAZIONI!X554</f>
        <v/>
      </c>
      <c r="S48" s="7">
        <f>LAVORAZIONI!Y554</f>
        <v/>
      </c>
      <c r="T48" s="6">
        <f>LAVORAZIONI!Z554</f>
        <v/>
      </c>
      <c r="U48" s="7">
        <f>LAVORAZIONI!AA554</f>
        <v/>
      </c>
      <c r="V48" s="6">
        <f>LAVORAZIONI!AB554</f>
        <v/>
      </c>
      <c r="W48" s="7">
        <f>LAVORAZIONI!AC554</f>
        <v/>
      </c>
      <c r="X48" s="6">
        <f>LAVORAZIONI!AD554</f>
        <v/>
      </c>
      <c r="Y48" s="7">
        <f>LAVORAZIONI!AE554</f>
        <v/>
      </c>
      <c r="Z48" s="6">
        <f>LAVORAZIONI!AF554</f>
        <v/>
      </c>
      <c r="AA48" s="7">
        <f>LAVORAZIONI!AG554</f>
        <v/>
      </c>
      <c r="AB48" s="6">
        <f>LAVORAZIONI!AH554</f>
        <v/>
      </c>
      <c r="AC48" s="7">
        <f>LAVORAZIONI!AI554</f>
        <v/>
      </c>
      <c r="AD48" s="13">
        <f>LAVORAZIONI!AJ554</f>
        <v/>
      </c>
    </row>
    <row r="49" ht="56" customHeight="1" s="35">
      <c r="B49" s="4">
        <f>LAVORAZIONI!G555</f>
        <v/>
      </c>
      <c r="C49" s="3">
        <f>LAVORAZIONI!A555</f>
        <v/>
      </c>
      <c r="D49" s="3">
        <f>LAVORAZIONI!K555</f>
        <v/>
      </c>
      <c r="E49" s="4">
        <f>LAVORAZIONI!H555</f>
        <v/>
      </c>
      <c r="F49" s="4">
        <f>LAVORAZIONI!M555</f>
        <v/>
      </c>
      <c r="G49" s="5">
        <f>LAVORAZIONI!N555</f>
        <v/>
      </c>
      <c r="H49" s="6">
        <f>LAVORAZIONI!O555</f>
        <v/>
      </c>
      <c r="I49" s="13">
        <f>LAVORAZIONI!P555</f>
        <v/>
      </c>
      <c r="J49" s="5">
        <f>IF(LAVORAZIONI!Q555="","",LAVORAZIONI!Q555)</f>
        <v/>
      </c>
      <c r="K49" s="6">
        <f>IF(LAVORAZIONI!R555="","",LAVORAZIONI!R555)</f>
        <v/>
      </c>
      <c r="L49" s="13">
        <f>IF(LAVORAZIONI!S555="","",LAVORAZIONI!S555)</f>
        <v/>
      </c>
      <c r="M49" s="13">
        <f>LAVORAZIONI!T555</f>
        <v/>
      </c>
      <c r="O49" s="7">
        <f>LAVORAZIONI!U555</f>
        <v/>
      </c>
      <c r="P49" s="37">
        <f>LAVORAZIONI!V555</f>
        <v/>
      </c>
      <c r="Q49" s="7">
        <f>LAVORAZIONI!W555</f>
        <v/>
      </c>
      <c r="R49" s="6">
        <f>LAVORAZIONI!X555</f>
        <v/>
      </c>
      <c r="S49" s="7">
        <f>LAVORAZIONI!Y555</f>
        <v/>
      </c>
      <c r="T49" s="6">
        <f>LAVORAZIONI!Z555</f>
        <v/>
      </c>
      <c r="U49" s="7">
        <f>LAVORAZIONI!AA555</f>
        <v/>
      </c>
      <c r="V49" s="6">
        <f>LAVORAZIONI!AB555</f>
        <v/>
      </c>
      <c r="W49" s="7">
        <f>LAVORAZIONI!AC555</f>
        <v/>
      </c>
      <c r="X49" s="6">
        <f>LAVORAZIONI!AD555</f>
        <v/>
      </c>
      <c r="Y49" s="7">
        <f>LAVORAZIONI!AE555</f>
        <v/>
      </c>
      <c r="Z49" s="6">
        <f>LAVORAZIONI!AF555</f>
        <v/>
      </c>
      <c r="AA49" s="7">
        <f>LAVORAZIONI!AG555</f>
        <v/>
      </c>
      <c r="AB49" s="6">
        <f>LAVORAZIONI!AH555</f>
        <v/>
      </c>
      <c r="AC49" s="7">
        <f>LAVORAZIONI!AI555</f>
        <v/>
      </c>
      <c r="AD49" s="13">
        <f>LAVORAZIONI!AJ555</f>
        <v/>
      </c>
    </row>
    <row r="50" ht="56" customHeight="1" s="35">
      <c r="B50" s="4">
        <f>LAVORAZIONI!G556</f>
        <v/>
      </c>
      <c r="C50" s="3">
        <f>LAVORAZIONI!A556</f>
        <v/>
      </c>
      <c r="D50" s="3">
        <f>LAVORAZIONI!K556</f>
        <v/>
      </c>
      <c r="E50" s="4">
        <f>LAVORAZIONI!H556</f>
        <v/>
      </c>
      <c r="F50" s="4">
        <f>LAVORAZIONI!M556</f>
        <v/>
      </c>
      <c r="G50" s="5">
        <f>LAVORAZIONI!N556</f>
        <v/>
      </c>
      <c r="H50" s="6">
        <f>LAVORAZIONI!O556</f>
        <v/>
      </c>
      <c r="I50" s="13">
        <f>LAVORAZIONI!P556</f>
        <v/>
      </c>
      <c r="J50" s="5">
        <f>IF(LAVORAZIONI!Q556="","",LAVORAZIONI!Q556)</f>
        <v/>
      </c>
      <c r="K50" s="6">
        <f>IF(LAVORAZIONI!R556="","",LAVORAZIONI!R556)</f>
        <v/>
      </c>
      <c r="L50" s="13">
        <f>IF(LAVORAZIONI!S556="","",LAVORAZIONI!S556)</f>
        <v/>
      </c>
      <c r="M50" s="13">
        <f>LAVORAZIONI!T556</f>
        <v/>
      </c>
      <c r="O50" s="7">
        <f>LAVORAZIONI!U556</f>
        <v/>
      </c>
      <c r="P50" s="37">
        <f>LAVORAZIONI!V556</f>
        <v/>
      </c>
      <c r="Q50" s="7">
        <f>LAVORAZIONI!W556</f>
        <v/>
      </c>
      <c r="R50" s="6">
        <f>LAVORAZIONI!X556</f>
        <v/>
      </c>
      <c r="S50" s="7">
        <f>LAVORAZIONI!Y556</f>
        <v/>
      </c>
      <c r="T50" s="6">
        <f>LAVORAZIONI!Z556</f>
        <v/>
      </c>
      <c r="U50" s="7">
        <f>LAVORAZIONI!AA556</f>
        <v/>
      </c>
      <c r="V50" s="6">
        <f>LAVORAZIONI!AB556</f>
        <v/>
      </c>
      <c r="W50" s="7">
        <f>LAVORAZIONI!AC556</f>
        <v/>
      </c>
      <c r="X50" s="6">
        <f>LAVORAZIONI!AD556</f>
        <v/>
      </c>
      <c r="Y50" s="7">
        <f>LAVORAZIONI!AE556</f>
        <v/>
      </c>
      <c r="Z50" s="6">
        <f>LAVORAZIONI!AF556</f>
        <v/>
      </c>
      <c r="AA50" s="7">
        <f>LAVORAZIONI!AG556</f>
        <v/>
      </c>
      <c r="AB50" s="6">
        <f>LAVORAZIONI!AH556</f>
        <v/>
      </c>
      <c r="AC50" s="7">
        <f>LAVORAZIONI!AI556</f>
        <v/>
      </c>
      <c r="AD50" s="13">
        <f>LAVORAZIONI!AJ556</f>
        <v/>
      </c>
    </row>
    <row r="51" ht="56" customHeight="1" s="35">
      <c r="B51" s="4">
        <f>LAVORAZIONI!G557</f>
        <v/>
      </c>
      <c r="C51" s="3">
        <f>LAVORAZIONI!A557</f>
        <v/>
      </c>
      <c r="D51" s="3">
        <f>LAVORAZIONI!K557</f>
        <v/>
      </c>
      <c r="E51" s="4">
        <f>LAVORAZIONI!H557</f>
        <v/>
      </c>
      <c r="F51" s="4">
        <f>LAVORAZIONI!M557</f>
        <v/>
      </c>
      <c r="G51" s="5">
        <f>LAVORAZIONI!N557</f>
        <v/>
      </c>
      <c r="H51" s="6">
        <f>LAVORAZIONI!O557</f>
        <v/>
      </c>
      <c r="I51" s="13">
        <f>LAVORAZIONI!P557</f>
        <v/>
      </c>
      <c r="J51" s="5">
        <f>IF(LAVORAZIONI!Q557="","",LAVORAZIONI!Q557)</f>
        <v/>
      </c>
      <c r="K51" s="6">
        <f>IF(LAVORAZIONI!R557="","",LAVORAZIONI!R557)</f>
        <v/>
      </c>
      <c r="L51" s="13">
        <f>IF(LAVORAZIONI!S557="","",LAVORAZIONI!S557)</f>
        <v/>
      </c>
      <c r="M51" s="13">
        <f>LAVORAZIONI!T557</f>
        <v/>
      </c>
      <c r="O51" s="7">
        <f>LAVORAZIONI!U557</f>
        <v/>
      </c>
      <c r="P51" s="37">
        <f>LAVORAZIONI!V557</f>
        <v/>
      </c>
      <c r="Q51" s="7">
        <f>LAVORAZIONI!W557</f>
        <v/>
      </c>
      <c r="R51" s="6">
        <f>LAVORAZIONI!X557</f>
        <v/>
      </c>
      <c r="S51" s="7">
        <f>LAVORAZIONI!Y557</f>
        <v/>
      </c>
      <c r="T51" s="6">
        <f>LAVORAZIONI!Z557</f>
        <v/>
      </c>
      <c r="U51" s="7">
        <f>LAVORAZIONI!AA557</f>
        <v/>
      </c>
      <c r="V51" s="6">
        <f>LAVORAZIONI!AB557</f>
        <v/>
      </c>
      <c r="W51" s="7">
        <f>LAVORAZIONI!AC557</f>
        <v/>
      </c>
      <c r="X51" s="6">
        <f>LAVORAZIONI!AD557</f>
        <v/>
      </c>
      <c r="Y51" s="7">
        <f>LAVORAZIONI!AE557</f>
        <v/>
      </c>
      <c r="Z51" s="6">
        <f>LAVORAZIONI!AF557</f>
        <v/>
      </c>
      <c r="AA51" s="7">
        <f>LAVORAZIONI!AG557</f>
        <v/>
      </c>
      <c r="AB51" s="6">
        <f>LAVORAZIONI!AH557</f>
        <v/>
      </c>
      <c r="AC51" s="7">
        <f>LAVORAZIONI!AI557</f>
        <v/>
      </c>
      <c r="AD51" s="13">
        <f>LAVORAZIONI!AJ557</f>
        <v/>
      </c>
    </row>
    <row r="52" ht="56" customHeight="1" s="35">
      <c r="B52" s="4">
        <f>LAVORAZIONI!G558</f>
        <v/>
      </c>
      <c r="C52" s="3">
        <f>LAVORAZIONI!A558</f>
        <v/>
      </c>
      <c r="D52" s="3">
        <f>LAVORAZIONI!K558</f>
        <v/>
      </c>
      <c r="E52" s="4">
        <f>LAVORAZIONI!H558</f>
        <v/>
      </c>
      <c r="F52" s="4">
        <f>LAVORAZIONI!M558</f>
        <v/>
      </c>
      <c r="G52" s="5">
        <f>LAVORAZIONI!N558</f>
        <v/>
      </c>
      <c r="H52" s="6">
        <f>LAVORAZIONI!O558</f>
        <v/>
      </c>
      <c r="I52" s="13">
        <f>LAVORAZIONI!P558</f>
        <v/>
      </c>
      <c r="J52" s="5">
        <f>IF(LAVORAZIONI!Q558="","",LAVORAZIONI!Q558)</f>
        <v/>
      </c>
      <c r="K52" s="6">
        <f>IF(LAVORAZIONI!R558="","",LAVORAZIONI!R558)</f>
        <v/>
      </c>
      <c r="L52" s="13">
        <f>IF(LAVORAZIONI!S558="","",LAVORAZIONI!S558)</f>
        <v/>
      </c>
      <c r="M52" s="13">
        <f>LAVORAZIONI!T558</f>
        <v/>
      </c>
      <c r="O52" s="7">
        <f>LAVORAZIONI!U558</f>
        <v/>
      </c>
      <c r="P52" s="37">
        <f>LAVORAZIONI!V558</f>
        <v/>
      </c>
      <c r="Q52" s="7">
        <f>LAVORAZIONI!W558</f>
        <v/>
      </c>
      <c r="R52" s="6">
        <f>LAVORAZIONI!X558</f>
        <v/>
      </c>
      <c r="S52" s="7">
        <f>LAVORAZIONI!Y558</f>
        <v/>
      </c>
      <c r="T52" s="6">
        <f>LAVORAZIONI!Z558</f>
        <v/>
      </c>
      <c r="U52" s="7">
        <f>LAVORAZIONI!AA558</f>
        <v/>
      </c>
      <c r="V52" s="6">
        <f>LAVORAZIONI!AB558</f>
        <v/>
      </c>
      <c r="W52" s="7">
        <f>LAVORAZIONI!AC558</f>
        <v/>
      </c>
      <c r="X52" s="6">
        <f>LAVORAZIONI!AD558</f>
        <v/>
      </c>
      <c r="Y52" s="7">
        <f>LAVORAZIONI!AE558</f>
        <v/>
      </c>
      <c r="Z52" s="6">
        <f>LAVORAZIONI!AF558</f>
        <v/>
      </c>
      <c r="AA52" s="7">
        <f>LAVORAZIONI!AG558</f>
        <v/>
      </c>
      <c r="AB52" s="6">
        <f>LAVORAZIONI!AH558</f>
        <v/>
      </c>
      <c r="AC52" s="7">
        <f>LAVORAZIONI!AI558</f>
        <v/>
      </c>
      <c r="AD52" s="13">
        <f>LAVORAZIONI!AJ558</f>
        <v/>
      </c>
    </row>
    <row r="53" ht="56" customHeight="1" s="35">
      <c r="B53" s="4">
        <f>LAVORAZIONI!G559</f>
        <v/>
      </c>
      <c r="C53" s="3">
        <f>LAVORAZIONI!A559</f>
        <v/>
      </c>
      <c r="D53" s="3">
        <f>LAVORAZIONI!K559</f>
        <v/>
      </c>
      <c r="E53" s="4">
        <f>LAVORAZIONI!H559</f>
        <v/>
      </c>
      <c r="F53" s="4">
        <f>LAVORAZIONI!M559</f>
        <v/>
      </c>
      <c r="G53" s="5">
        <f>LAVORAZIONI!N559</f>
        <v/>
      </c>
      <c r="H53" s="6">
        <f>LAVORAZIONI!O559</f>
        <v/>
      </c>
      <c r="I53" s="13">
        <f>LAVORAZIONI!P559</f>
        <v/>
      </c>
      <c r="J53" s="5">
        <f>IF(LAVORAZIONI!Q559="","",LAVORAZIONI!Q559)</f>
        <v/>
      </c>
      <c r="K53" s="6">
        <f>IF(LAVORAZIONI!R559="","",LAVORAZIONI!R559)</f>
        <v/>
      </c>
      <c r="L53" s="13">
        <f>IF(LAVORAZIONI!S559="","",LAVORAZIONI!S559)</f>
        <v/>
      </c>
      <c r="M53" s="13">
        <f>LAVORAZIONI!T559</f>
        <v/>
      </c>
      <c r="O53" s="7">
        <f>LAVORAZIONI!U559</f>
        <v/>
      </c>
      <c r="P53" s="37">
        <f>LAVORAZIONI!V559</f>
        <v/>
      </c>
      <c r="Q53" s="7">
        <f>LAVORAZIONI!W559</f>
        <v/>
      </c>
      <c r="R53" s="6">
        <f>LAVORAZIONI!X559</f>
        <v/>
      </c>
      <c r="S53" s="7">
        <f>LAVORAZIONI!Y559</f>
        <v/>
      </c>
      <c r="T53" s="6">
        <f>LAVORAZIONI!Z559</f>
        <v/>
      </c>
      <c r="U53" s="7">
        <f>LAVORAZIONI!AA559</f>
        <v/>
      </c>
      <c r="V53" s="6">
        <f>LAVORAZIONI!AB559</f>
        <v/>
      </c>
      <c r="W53" s="7">
        <f>LAVORAZIONI!AC559</f>
        <v/>
      </c>
      <c r="X53" s="6">
        <f>LAVORAZIONI!AD559</f>
        <v/>
      </c>
      <c r="Y53" s="7">
        <f>LAVORAZIONI!AE559</f>
        <v/>
      </c>
      <c r="Z53" s="6">
        <f>LAVORAZIONI!AF559</f>
        <v/>
      </c>
      <c r="AA53" s="7">
        <f>LAVORAZIONI!AG559</f>
        <v/>
      </c>
      <c r="AB53" s="6">
        <f>LAVORAZIONI!AH559</f>
        <v/>
      </c>
      <c r="AC53" s="7">
        <f>LAVORAZIONI!AI559</f>
        <v/>
      </c>
      <c r="AD53" s="13">
        <f>LAVORAZIONI!AJ559</f>
        <v/>
      </c>
    </row>
    <row r="54" ht="56" customHeight="1" s="35">
      <c r="B54" s="4">
        <f>LAVORAZIONI!G560</f>
        <v/>
      </c>
      <c r="C54" s="3">
        <f>LAVORAZIONI!A560</f>
        <v/>
      </c>
      <c r="D54" s="3">
        <f>LAVORAZIONI!K560</f>
        <v/>
      </c>
      <c r="E54" s="4">
        <f>LAVORAZIONI!H560</f>
        <v/>
      </c>
      <c r="F54" s="4">
        <f>LAVORAZIONI!M560</f>
        <v/>
      </c>
      <c r="G54" s="5">
        <f>LAVORAZIONI!N560</f>
        <v/>
      </c>
      <c r="H54" s="6">
        <f>LAVORAZIONI!O560</f>
        <v/>
      </c>
      <c r="I54" s="13">
        <f>LAVORAZIONI!P560</f>
        <v/>
      </c>
      <c r="J54" s="5">
        <f>IF(LAVORAZIONI!Q560="","",LAVORAZIONI!Q560)</f>
        <v/>
      </c>
      <c r="K54" s="6">
        <f>IF(LAVORAZIONI!R560="","",LAVORAZIONI!R560)</f>
        <v/>
      </c>
      <c r="L54" s="13">
        <f>IF(LAVORAZIONI!S560="","",LAVORAZIONI!S560)</f>
        <v/>
      </c>
      <c r="M54" s="13">
        <f>LAVORAZIONI!T560</f>
        <v/>
      </c>
      <c r="O54" s="7">
        <f>LAVORAZIONI!U560</f>
        <v/>
      </c>
      <c r="P54" s="37">
        <f>LAVORAZIONI!V560</f>
        <v/>
      </c>
      <c r="Q54" s="7">
        <f>LAVORAZIONI!W560</f>
        <v/>
      </c>
      <c r="R54" s="6">
        <f>LAVORAZIONI!X560</f>
        <v/>
      </c>
      <c r="S54" s="7">
        <f>LAVORAZIONI!Y560</f>
        <v/>
      </c>
      <c r="T54" s="6">
        <f>LAVORAZIONI!Z560</f>
        <v/>
      </c>
      <c r="U54" s="7">
        <f>LAVORAZIONI!AA560</f>
        <v/>
      </c>
      <c r="V54" s="6">
        <f>LAVORAZIONI!AB560</f>
        <v/>
      </c>
      <c r="W54" s="7">
        <f>LAVORAZIONI!AC560</f>
        <v/>
      </c>
      <c r="X54" s="6">
        <f>LAVORAZIONI!AD560</f>
        <v/>
      </c>
      <c r="Y54" s="7">
        <f>LAVORAZIONI!AE560</f>
        <v/>
      </c>
      <c r="Z54" s="6">
        <f>LAVORAZIONI!AF560</f>
        <v/>
      </c>
      <c r="AA54" s="7">
        <f>LAVORAZIONI!AG560</f>
        <v/>
      </c>
      <c r="AB54" s="6">
        <f>LAVORAZIONI!AH560</f>
        <v/>
      </c>
      <c r="AC54" s="7">
        <f>LAVORAZIONI!AI560</f>
        <v/>
      </c>
      <c r="AD54" s="13">
        <f>LAVORAZIONI!AJ560</f>
        <v/>
      </c>
    </row>
    <row r="55" ht="56" customHeight="1" s="35">
      <c r="B55" s="4">
        <f>LAVORAZIONI!G561</f>
        <v/>
      </c>
      <c r="C55" s="3">
        <f>LAVORAZIONI!A561</f>
        <v/>
      </c>
      <c r="D55" s="3">
        <f>LAVORAZIONI!K561</f>
        <v/>
      </c>
      <c r="E55" s="4">
        <f>LAVORAZIONI!H561</f>
        <v/>
      </c>
      <c r="F55" s="4">
        <f>LAVORAZIONI!M561</f>
        <v/>
      </c>
      <c r="G55" s="5">
        <f>LAVORAZIONI!N561</f>
        <v/>
      </c>
      <c r="H55" s="6">
        <f>LAVORAZIONI!O561</f>
        <v/>
      </c>
      <c r="I55" s="13">
        <f>LAVORAZIONI!P561</f>
        <v/>
      </c>
      <c r="J55" s="5">
        <f>IF(LAVORAZIONI!Q561="","",LAVORAZIONI!Q561)</f>
        <v/>
      </c>
      <c r="K55" s="6">
        <f>IF(LAVORAZIONI!R561="","",LAVORAZIONI!R561)</f>
        <v/>
      </c>
      <c r="L55" s="13">
        <f>IF(LAVORAZIONI!S561="","",LAVORAZIONI!S561)</f>
        <v/>
      </c>
      <c r="M55" s="13">
        <f>LAVORAZIONI!T561</f>
        <v/>
      </c>
      <c r="O55" s="7">
        <f>LAVORAZIONI!U561</f>
        <v/>
      </c>
      <c r="P55" s="37">
        <f>LAVORAZIONI!V561</f>
        <v/>
      </c>
      <c r="Q55" s="7">
        <f>LAVORAZIONI!W561</f>
        <v/>
      </c>
      <c r="R55" s="6">
        <f>LAVORAZIONI!X561</f>
        <v/>
      </c>
      <c r="S55" s="7">
        <f>LAVORAZIONI!Y561</f>
        <v/>
      </c>
      <c r="T55" s="6">
        <f>LAVORAZIONI!Z561</f>
        <v/>
      </c>
      <c r="U55" s="7">
        <f>LAVORAZIONI!AA561</f>
        <v/>
      </c>
      <c r="V55" s="6">
        <f>LAVORAZIONI!AB561</f>
        <v/>
      </c>
      <c r="W55" s="7">
        <f>LAVORAZIONI!AC561</f>
        <v/>
      </c>
      <c r="X55" s="6">
        <f>LAVORAZIONI!AD561</f>
        <v/>
      </c>
      <c r="Y55" s="7">
        <f>LAVORAZIONI!AE561</f>
        <v/>
      </c>
      <c r="Z55" s="6">
        <f>LAVORAZIONI!AF561</f>
        <v/>
      </c>
      <c r="AA55" s="7">
        <f>LAVORAZIONI!AG561</f>
        <v/>
      </c>
      <c r="AB55" s="6">
        <f>LAVORAZIONI!AH561</f>
        <v/>
      </c>
      <c r="AC55" s="7">
        <f>LAVORAZIONI!AI561</f>
        <v/>
      </c>
      <c r="AD55" s="13">
        <f>LAVORAZIONI!AJ561</f>
        <v/>
      </c>
    </row>
    <row r="56" ht="56" customHeight="1" s="35">
      <c r="B56" s="4">
        <f>LAVORAZIONI!G562</f>
        <v/>
      </c>
      <c r="C56" s="3">
        <f>LAVORAZIONI!A562</f>
        <v/>
      </c>
      <c r="D56" s="3">
        <f>LAVORAZIONI!K562</f>
        <v/>
      </c>
      <c r="E56" s="4">
        <f>LAVORAZIONI!H562</f>
        <v/>
      </c>
      <c r="F56" s="4">
        <f>LAVORAZIONI!M562</f>
        <v/>
      </c>
      <c r="G56" s="5">
        <f>LAVORAZIONI!N562</f>
        <v/>
      </c>
      <c r="H56" s="6">
        <f>LAVORAZIONI!O562</f>
        <v/>
      </c>
      <c r="I56" s="13">
        <f>LAVORAZIONI!P562</f>
        <v/>
      </c>
      <c r="J56" s="5">
        <f>IF(LAVORAZIONI!Q562="","",LAVORAZIONI!Q562)</f>
        <v/>
      </c>
      <c r="K56" s="6">
        <f>IF(LAVORAZIONI!R562="","",LAVORAZIONI!R562)</f>
        <v/>
      </c>
      <c r="L56" s="13">
        <f>IF(LAVORAZIONI!S562="","",LAVORAZIONI!S562)</f>
        <v/>
      </c>
      <c r="M56" s="13">
        <f>LAVORAZIONI!T562</f>
        <v/>
      </c>
      <c r="O56" s="7">
        <f>LAVORAZIONI!U562</f>
        <v/>
      </c>
      <c r="P56" s="37">
        <f>LAVORAZIONI!V562</f>
        <v/>
      </c>
      <c r="Q56" s="7">
        <f>LAVORAZIONI!W562</f>
        <v/>
      </c>
      <c r="R56" s="6">
        <f>LAVORAZIONI!X562</f>
        <v/>
      </c>
      <c r="S56" s="7">
        <f>LAVORAZIONI!Y562</f>
        <v/>
      </c>
      <c r="T56" s="6">
        <f>LAVORAZIONI!Z562</f>
        <v/>
      </c>
      <c r="U56" s="7">
        <f>LAVORAZIONI!AA562</f>
        <v/>
      </c>
      <c r="V56" s="6">
        <f>LAVORAZIONI!AB562</f>
        <v/>
      </c>
      <c r="W56" s="7">
        <f>LAVORAZIONI!AC562</f>
        <v/>
      </c>
      <c r="X56" s="6">
        <f>LAVORAZIONI!AD562</f>
        <v/>
      </c>
      <c r="Y56" s="7">
        <f>LAVORAZIONI!AE562</f>
        <v/>
      </c>
      <c r="Z56" s="6">
        <f>LAVORAZIONI!AF562</f>
        <v/>
      </c>
      <c r="AA56" s="7">
        <f>LAVORAZIONI!AG562</f>
        <v/>
      </c>
      <c r="AB56" s="6">
        <f>LAVORAZIONI!AH562</f>
        <v/>
      </c>
      <c r="AC56" s="7">
        <f>LAVORAZIONI!AI562</f>
        <v/>
      </c>
      <c r="AD56" s="13">
        <f>LAVORAZIONI!AJ562</f>
        <v/>
      </c>
    </row>
    <row r="57" ht="56" customHeight="1" s="35">
      <c r="B57" s="4">
        <f>LAVORAZIONI!G563</f>
        <v/>
      </c>
      <c r="C57" s="3">
        <f>LAVORAZIONI!A563</f>
        <v/>
      </c>
      <c r="D57" s="3">
        <f>LAVORAZIONI!K563</f>
        <v/>
      </c>
      <c r="E57" s="4">
        <f>LAVORAZIONI!H563</f>
        <v/>
      </c>
      <c r="F57" s="4">
        <f>LAVORAZIONI!M563</f>
        <v/>
      </c>
      <c r="G57" s="5">
        <f>LAVORAZIONI!N563</f>
        <v/>
      </c>
      <c r="H57" s="6">
        <f>LAVORAZIONI!O563</f>
        <v/>
      </c>
      <c r="I57" s="13">
        <f>LAVORAZIONI!P563</f>
        <v/>
      </c>
      <c r="J57" s="5">
        <f>IF(LAVORAZIONI!Q563="","",LAVORAZIONI!Q563)</f>
        <v/>
      </c>
      <c r="K57" s="6">
        <f>IF(LAVORAZIONI!R563="","",LAVORAZIONI!R563)</f>
        <v/>
      </c>
      <c r="L57" s="13">
        <f>IF(LAVORAZIONI!S563="","",LAVORAZIONI!S563)</f>
        <v/>
      </c>
      <c r="M57" s="13">
        <f>LAVORAZIONI!T563</f>
        <v/>
      </c>
      <c r="O57" s="7">
        <f>LAVORAZIONI!U563</f>
        <v/>
      </c>
      <c r="P57" s="37">
        <f>LAVORAZIONI!V563</f>
        <v/>
      </c>
      <c r="Q57" s="7">
        <f>LAVORAZIONI!W563</f>
        <v/>
      </c>
      <c r="R57" s="6">
        <f>LAVORAZIONI!X563</f>
        <v/>
      </c>
      <c r="S57" s="7">
        <f>LAVORAZIONI!Y563</f>
        <v/>
      </c>
      <c r="T57" s="6">
        <f>LAVORAZIONI!Z563</f>
        <v/>
      </c>
      <c r="U57" s="7">
        <f>LAVORAZIONI!AA563</f>
        <v/>
      </c>
      <c r="V57" s="6">
        <f>LAVORAZIONI!AB563</f>
        <v/>
      </c>
      <c r="W57" s="7">
        <f>LAVORAZIONI!AC563</f>
        <v/>
      </c>
      <c r="X57" s="6">
        <f>LAVORAZIONI!AD563</f>
        <v/>
      </c>
      <c r="Y57" s="7">
        <f>LAVORAZIONI!AE563</f>
        <v/>
      </c>
      <c r="Z57" s="6">
        <f>LAVORAZIONI!AF563</f>
        <v/>
      </c>
      <c r="AA57" s="7">
        <f>LAVORAZIONI!AG563</f>
        <v/>
      </c>
      <c r="AB57" s="6">
        <f>LAVORAZIONI!AH563</f>
        <v/>
      </c>
      <c r="AC57" s="7">
        <f>LAVORAZIONI!AI563</f>
        <v/>
      </c>
      <c r="AD57" s="13">
        <f>LAVORAZIONI!AJ563</f>
        <v/>
      </c>
    </row>
    <row r="58" ht="56" customHeight="1" s="35">
      <c r="B58" s="4">
        <f>LAVORAZIONI!G564</f>
        <v/>
      </c>
      <c r="C58" s="3">
        <f>LAVORAZIONI!A564</f>
        <v/>
      </c>
      <c r="D58" s="3">
        <f>LAVORAZIONI!K564</f>
        <v/>
      </c>
      <c r="E58" s="4">
        <f>LAVORAZIONI!H564</f>
        <v/>
      </c>
      <c r="F58" s="4">
        <f>LAVORAZIONI!M564</f>
        <v/>
      </c>
      <c r="G58" s="5">
        <f>LAVORAZIONI!N564</f>
        <v/>
      </c>
      <c r="H58" s="6">
        <f>LAVORAZIONI!O564</f>
        <v/>
      </c>
      <c r="I58" s="13">
        <f>LAVORAZIONI!P564</f>
        <v/>
      </c>
      <c r="J58" s="5">
        <f>IF(LAVORAZIONI!Q564="","",LAVORAZIONI!Q564)</f>
        <v/>
      </c>
      <c r="K58" s="6">
        <f>IF(LAVORAZIONI!R564="","",LAVORAZIONI!R564)</f>
        <v/>
      </c>
      <c r="L58" s="13">
        <f>IF(LAVORAZIONI!S564="","",LAVORAZIONI!S564)</f>
        <v/>
      </c>
      <c r="M58" s="13">
        <f>LAVORAZIONI!T564</f>
        <v/>
      </c>
      <c r="O58" s="7">
        <f>LAVORAZIONI!U564</f>
        <v/>
      </c>
      <c r="P58" s="37">
        <f>LAVORAZIONI!V564</f>
        <v/>
      </c>
      <c r="Q58" s="7">
        <f>LAVORAZIONI!W564</f>
        <v/>
      </c>
      <c r="R58" s="6">
        <f>LAVORAZIONI!X564</f>
        <v/>
      </c>
      <c r="S58" s="7">
        <f>LAVORAZIONI!Y564</f>
        <v/>
      </c>
      <c r="T58" s="6">
        <f>LAVORAZIONI!Z564</f>
        <v/>
      </c>
      <c r="U58" s="7">
        <f>LAVORAZIONI!AA564</f>
        <v/>
      </c>
      <c r="V58" s="6">
        <f>LAVORAZIONI!AB564</f>
        <v/>
      </c>
      <c r="W58" s="7">
        <f>LAVORAZIONI!AC564</f>
        <v/>
      </c>
      <c r="X58" s="6">
        <f>LAVORAZIONI!AD564</f>
        <v/>
      </c>
      <c r="Y58" s="7">
        <f>LAVORAZIONI!AE564</f>
        <v/>
      </c>
      <c r="Z58" s="6">
        <f>LAVORAZIONI!AF564</f>
        <v/>
      </c>
      <c r="AA58" s="7">
        <f>LAVORAZIONI!AG564</f>
        <v/>
      </c>
      <c r="AB58" s="6">
        <f>LAVORAZIONI!AH564</f>
        <v/>
      </c>
      <c r="AC58" s="7">
        <f>LAVORAZIONI!AI564</f>
        <v/>
      </c>
      <c r="AD58" s="13">
        <f>LAVORAZIONI!AJ564</f>
        <v/>
      </c>
    </row>
    <row r="59" ht="56" customHeight="1" s="35">
      <c r="B59" s="4">
        <f>LAVORAZIONI!G565</f>
        <v/>
      </c>
      <c r="C59" s="3">
        <f>LAVORAZIONI!A565</f>
        <v/>
      </c>
      <c r="D59" s="3">
        <f>LAVORAZIONI!K565</f>
        <v/>
      </c>
      <c r="E59" s="4">
        <f>LAVORAZIONI!H565</f>
        <v/>
      </c>
      <c r="F59" s="4">
        <f>LAVORAZIONI!M565</f>
        <v/>
      </c>
      <c r="G59" s="5">
        <f>LAVORAZIONI!N565</f>
        <v/>
      </c>
      <c r="H59" s="6">
        <f>LAVORAZIONI!O565</f>
        <v/>
      </c>
      <c r="I59" s="13">
        <f>LAVORAZIONI!P565</f>
        <v/>
      </c>
      <c r="J59" s="5">
        <f>IF(LAVORAZIONI!Q565="","",LAVORAZIONI!Q565)</f>
        <v/>
      </c>
      <c r="K59" s="6">
        <f>IF(LAVORAZIONI!R565="","",LAVORAZIONI!R565)</f>
        <v/>
      </c>
      <c r="L59" s="13">
        <f>IF(LAVORAZIONI!S565="","",LAVORAZIONI!S565)</f>
        <v/>
      </c>
      <c r="M59" s="13">
        <f>LAVORAZIONI!T565</f>
        <v/>
      </c>
      <c r="O59" s="7">
        <f>LAVORAZIONI!U565</f>
        <v/>
      </c>
      <c r="P59" s="37">
        <f>LAVORAZIONI!V565</f>
        <v/>
      </c>
      <c r="Q59" s="7">
        <f>LAVORAZIONI!W565</f>
        <v/>
      </c>
      <c r="R59" s="6">
        <f>LAVORAZIONI!X565</f>
        <v/>
      </c>
      <c r="S59" s="7">
        <f>LAVORAZIONI!Y565</f>
        <v/>
      </c>
      <c r="T59" s="6">
        <f>LAVORAZIONI!Z565</f>
        <v/>
      </c>
      <c r="U59" s="7">
        <f>LAVORAZIONI!AA565</f>
        <v/>
      </c>
      <c r="V59" s="6">
        <f>LAVORAZIONI!AB565</f>
        <v/>
      </c>
      <c r="W59" s="7">
        <f>LAVORAZIONI!AC565</f>
        <v/>
      </c>
      <c r="X59" s="6">
        <f>LAVORAZIONI!AD565</f>
        <v/>
      </c>
      <c r="Y59" s="7">
        <f>LAVORAZIONI!AE565</f>
        <v/>
      </c>
      <c r="Z59" s="6">
        <f>LAVORAZIONI!AF565</f>
        <v/>
      </c>
      <c r="AA59" s="7">
        <f>LAVORAZIONI!AG565</f>
        <v/>
      </c>
      <c r="AB59" s="6">
        <f>LAVORAZIONI!AH565</f>
        <v/>
      </c>
      <c r="AC59" s="7">
        <f>LAVORAZIONI!AI565</f>
        <v/>
      </c>
      <c r="AD59" s="13">
        <f>LAVORAZIONI!AJ565</f>
        <v/>
      </c>
    </row>
    <row r="60" ht="56" customHeight="1" s="35">
      <c r="B60" s="4">
        <f>LAVORAZIONI!G566</f>
        <v/>
      </c>
      <c r="C60" s="3">
        <f>LAVORAZIONI!A566</f>
        <v/>
      </c>
      <c r="D60" s="3">
        <f>LAVORAZIONI!K566</f>
        <v/>
      </c>
      <c r="E60" s="4">
        <f>LAVORAZIONI!H566</f>
        <v/>
      </c>
      <c r="F60" s="4">
        <f>LAVORAZIONI!M566</f>
        <v/>
      </c>
      <c r="G60" s="5">
        <f>LAVORAZIONI!N566</f>
        <v/>
      </c>
      <c r="H60" s="6">
        <f>LAVORAZIONI!O566</f>
        <v/>
      </c>
      <c r="I60" s="13">
        <f>LAVORAZIONI!P566</f>
        <v/>
      </c>
      <c r="J60" s="5">
        <f>IF(LAVORAZIONI!Q566="","",LAVORAZIONI!Q566)</f>
        <v/>
      </c>
      <c r="K60" s="6">
        <f>IF(LAVORAZIONI!R566="","",LAVORAZIONI!R566)</f>
        <v/>
      </c>
      <c r="L60" s="13">
        <f>IF(LAVORAZIONI!S566="","",LAVORAZIONI!S566)</f>
        <v/>
      </c>
      <c r="M60" s="13">
        <f>LAVORAZIONI!T566</f>
        <v/>
      </c>
      <c r="O60" s="7">
        <f>LAVORAZIONI!U566</f>
        <v/>
      </c>
      <c r="P60" s="37">
        <f>LAVORAZIONI!V566</f>
        <v/>
      </c>
      <c r="Q60" s="7">
        <f>LAVORAZIONI!W566</f>
        <v/>
      </c>
      <c r="R60" s="6">
        <f>LAVORAZIONI!X566</f>
        <v/>
      </c>
      <c r="S60" s="7">
        <f>LAVORAZIONI!Y566</f>
        <v/>
      </c>
      <c r="T60" s="6">
        <f>LAVORAZIONI!Z566</f>
        <v/>
      </c>
      <c r="U60" s="7">
        <f>LAVORAZIONI!AA566</f>
        <v/>
      </c>
      <c r="V60" s="6">
        <f>LAVORAZIONI!AB566</f>
        <v/>
      </c>
      <c r="W60" s="7">
        <f>LAVORAZIONI!AC566</f>
        <v/>
      </c>
      <c r="X60" s="6">
        <f>LAVORAZIONI!AD566</f>
        <v/>
      </c>
      <c r="Y60" s="7">
        <f>LAVORAZIONI!AE566</f>
        <v/>
      </c>
      <c r="Z60" s="6">
        <f>LAVORAZIONI!AF566</f>
        <v/>
      </c>
      <c r="AA60" s="7">
        <f>LAVORAZIONI!AG566</f>
        <v/>
      </c>
      <c r="AB60" s="6">
        <f>LAVORAZIONI!AH566</f>
        <v/>
      </c>
      <c r="AC60" s="7">
        <f>LAVORAZIONI!AI566</f>
        <v/>
      </c>
      <c r="AD60" s="13">
        <f>LAVORAZIONI!AJ566</f>
        <v/>
      </c>
    </row>
    <row r="61" ht="56" customHeight="1" s="35">
      <c r="B61" s="4">
        <f>LAVORAZIONI!G567</f>
        <v/>
      </c>
      <c r="C61" s="3">
        <f>LAVORAZIONI!A567</f>
        <v/>
      </c>
      <c r="D61" s="3">
        <f>LAVORAZIONI!K567</f>
        <v/>
      </c>
      <c r="E61" s="4">
        <f>LAVORAZIONI!H567</f>
        <v/>
      </c>
      <c r="F61" s="4">
        <f>LAVORAZIONI!M567</f>
        <v/>
      </c>
      <c r="G61" s="5">
        <f>LAVORAZIONI!N567</f>
        <v/>
      </c>
      <c r="H61" s="6">
        <f>LAVORAZIONI!O567</f>
        <v/>
      </c>
      <c r="I61" s="13">
        <f>LAVORAZIONI!P567</f>
        <v/>
      </c>
      <c r="J61" s="5">
        <f>IF(LAVORAZIONI!Q567="","",LAVORAZIONI!Q567)</f>
        <v/>
      </c>
      <c r="K61" s="6">
        <f>IF(LAVORAZIONI!R567="","",LAVORAZIONI!R567)</f>
        <v/>
      </c>
      <c r="L61" s="13">
        <f>IF(LAVORAZIONI!S567="","",LAVORAZIONI!S567)</f>
        <v/>
      </c>
      <c r="M61" s="13">
        <f>LAVORAZIONI!T567</f>
        <v/>
      </c>
      <c r="O61" s="7">
        <f>LAVORAZIONI!U567</f>
        <v/>
      </c>
      <c r="P61" s="37">
        <f>LAVORAZIONI!V567</f>
        <v/>
      </c>
      <c r="Q61" s="7">
        <f>LAVORAZIONI!W567</f>
        <v/>
      </c>
      <c r="R61" s="6">
        <f>LAVORAZIONI!X567</f>
        <v/>
      </c>
      <c r="S61" s="7">
        <f>LAVORAZIONI!Y567</f>
        <v/>
      </c>
      <c r="T61" s="6">
        <f>LAVORAZIONI!Z567</f>
        <v/>
      </c>
      <c r="U61" s="7">
        <f>LAVORAZIONI!AA567</f>
        <v/>
      </c>
      <c r="V61" s="6">
        <f>LAVORAZIONI!AB567</f>
        <v/>
      </c>
      <c r="W61" s="7">
        <f>LAVORAZIONI!AC567</f>
        <v/>
      </c>
      <c r="X61" s="6">
        <f>LAVORAZIONI!AD567</f>
        <v/>
      </c>
      <c r="Y61" s="7">
        <f>LAVORAZIONI!AE567</f>
        <v/>
      </c>
      <c r="Z61" s="6">
        <f>LAVORAZIONI!AF567</f>
        <v/>
      </c>
      <c r="AA61" s="7">
        <f>LAVORAZIONI!AG567</f>
        <v/>
      </c>
      <c r="AB61" s="6">
        <f>LAVORAZIONI!AH567</f>
        <v/>
      </c>
      <c r="AC61" s="7">
        <f>LAVORAZIONI!AI567</f>
        <v/>
      </c>
      <c r="AD61" s="13">
        <f>LAVORAZIONI!AJ567</f>
        <v/>
      </c>
    </row>
    <row r="62" ht="56" customHeight="1" s="35">
      <c r="B62" s="4">
        <f>LAVORAZIONI!G568</f>
        <v/>
      </c>
      <c r="C62" s="3">
        <f>LAVORAZIONI!A568</f>
        <v/>
      </c>
      <c r="D62" s="3">
        <f>LAVORAZIONI!K568</f>
        <v/>
      </c>
      <c r="E62" s="4">
        <f>LAVORAZIONI!H568</f>
        <v/>
      </c>
      <c r="F62" s="4">
        <f>LAVORAZIONI!M568</f>
        <v/>
      </c>
      <c r="G62" s="5">
        <f>LAVORAZIONI!N568</f>
        <v/>
      </c>
      <c r="H62" s="6">
        <f>LAVORAZIONI!O568</f>
        <v/>
      </c>
      <c r="I62" s="13">
        <f>LAVORAZIONI!P568</f>
        <v/>
      </c>
      <c r="J62" s="5">
        <f>IF(LAVORAZIONI!Q568="","",LAVORAZIONI!Q568)</f>
        <v/>
      </c>
      <c r="K62" s="6">
        <f>IF(LAVORAZIONI!R568="","",LAVORAZIONI!R568)</f>
        <v/>
      </c>
      <c r="L62" s="13">
        <f>IF(LAVORAZIONI!S568="","",LAVORAZIONI!S568)</f>
        <v/>
      </c>
      <c r="M62" s="13">
        <f>LAVORAZIONI!T568</f>
        <v/>
      </c>
      <c r="O62" s="7">
        <f>LAVORAZIONI!U568</f>
        <v/>
      </c>
      <c r="P62" s="37">
        <f>LAVORAZIONI!V568</f>
        <v/>
      </c>
      <c r="Q62" s="7">
        <f>LAVORAZIONI!W568</f>
        <v/>
      </c>
      <c r="R62" s="6">
        <f>LAVORAZIONI!X568</f>
        <v/>
      </c>
      <c r="S62" s="7">
        <f>LAVORAZIONI!Y568</f>
        <v/>
      </c>
      <c r="T62" s="6">
        <f>LAVORAZIONI!Z568</f>
        <v/>
      </c>
      <c r="U62" s="7">
        <f>LAVORAZIONI!AA568</f>
        <v/>
      </c>
      <c r="V62" s="6">
        <f>LAVORAZIONI!AB568</f>
        <v/>
      </c>
      <c r="W62" s="7">
        <f>LAVORAZIONI!AC568</f>
        <v/>
      </c>
      <c r="X62" s="6">
        <f>LAVORAZIONI!AD568</f>
        <v/>
      </c>
      <c r="Y62" s="7">
        <f>LAVORAZIONI!AE568</f>
        <v/>
      </c>
      <c r="Z62" s="6">
        <f>LAVORAZIONI!AF568</f>
        <v/>
      </c>
      <c r="AA62" s="7">
        <f>LAVORAZIONI!AG568</f>
        <v/>
      </c>
      <c r="AB62" s="6">
        <f>LAVORAZIONI!AH568</f>
        <v/>
      </c>
      <c r="AC62" s="7">
        <f>LAVORAZIONI!AI568</f>
        <v/>
      </c>
      <c r="AD62" s="13">
        <f>LAVORAZIONI!AJ568</f>
        <v/>
      </c>
    </row>
    <row r="63" ht="56" customHeight="1" s="35">
      <c r="B63" s="4">
        <f>LAVORAZIONI!G569</f>
        <v/>
      </c>
      <c r="C63" s="3">
        <f>LAVORAZIONI!A569</f>
        <v/>
      </c>
      <c r="D63" s="3">
        <f>LAVORAZIONI!K569</f>
        <v/>
      </c>
      <c r="E63" s="4">
        <f>LAVORAZIONI!H569</f>
        <v/>
      </c>
      <c r="F63" s="4">
        <f>LAVORAZIONI!M569</f>
        <v/>
      </c>
      <c r="G63" s="5">
        <f>LAVORAZIONI!N569</f>
        <v/>
      </c>
      <c r="H63" s="6">
        <f>LAVORAZIONI!O569</f>
        <v/>
      </c>
      <c r="I63" s="13">
        <f>LAVORAZIONI!P569</f>
        <v/>
      </c>
      <c r="J63" s="5">
        <f>IF(LAVORAZIONI!Q569="","",LAVORAZIONI!Q569)</f>
        <v/>
      </c>
      <c r="K63" s="6">
        <f>IF(LAVORAZIONI!R569="","",LAVORAZIONI!R569)</f>
        <v/>
      </c>
      <c r="L63" s="13">
        <f>IF(LAVORAZIONI!S569="","",LAVORAZIONI!S569)</f>
        <v/>
      </c>
      <c r="M63" s="13">
        <f>LAVORAZIONI!T569</f>
        <v/>
      </c>
      <c r="O63" s="7">
        <f>LAVORAZIONI!U569</f>
        <v/>
      </c>
      <c r="P63" s="37">
        <f>LAVORAZIONI!V569</f>
        <v/>
      </c>
      <c r="Q63" s="7">
        <f>LAVORAZIONI!W569</f>
        <v/>
      </c>
      <c r="R63" s="6">
        <f>LAVORAZIONI!X569</f>
        <v/>
      </c>
      <c r="S63" s="7">
        <f>LAVORAZIONI!Y569</f>
        <v/>
      </c>
      <c r="T63" s="6">
        <f>LAVORAZIONI!Z569</f>
        <v/>
      </c>
      <c r="U63" s="7">
        <f>LAVORAZIONI!AA569</f>
        <v/>
      </c>
      <c r="V63" s="6">
        <f>LAVORAZIONI!AB569</f>
        <v/>
      </c>
      <c r="W63" s="7">
        <f>LAVORAZIONI!AC569</f>
        <v/>
      </c>
      <c r="X63" s="6">
        <f>LAVORAZIONI!AD569</f>
        <v/>
      </c>
      <c r="Y63" s="7">
        <f>LAVORAZIONI!AE569</f>
        <v/>
      </c>
      <c r="Z63" s="6">
        <f>LAVORAZIONI!AF569</f>
        <v/>
      </c>
      <c r="AA63" s="7">
        <f>LAVORAZIONI!AG569</f>
        <v/>
      </c>
      <c r="AB63" s="6">
        <f>LAVORAZIONI!AH569</f>
        <v/>
      </c>
      <c r="AC63" s="7">
        <f>LAVORAZIONI!AI569</f>
        <v/>
      </c>
      <c r="AD63" s="13">
        <f>LAVORAZIONI!AJ569</f>
        <v/>
      </c>
    </row>
    <row r="64" ht="56" customHeight="1" s="35">
      <c r="B64" s="4">
        <f>LAVORAZIONI!G570</f>
        <v/>
      </c>
      <c r="C64" s="3">
        <f>LAVORAZIONI!A570</f>
        <v/>
      </c>
      <c r="D64" s="3">
        <f>LAVORAZIONI!K570</f>
        <v/>
      </c>
      <c r="E64" s="4">
        <f>LAVORAZIONI!H570</f>
        <v/>
      </c>
      <c r="F64" s="4">
        <f>LAVORAZIONI!M570</f>
        <v/>
      </c>
      <c r="G64" s="5">
        <f>LAVORAZIONI!N570</f>
        <v/>
      </c>
      <c r="H64" s="6">
        <f>LAVORAZIONI!O570</f>
        <v/>
      </c>
      <c r="I64" s="13">
        <f>LAVORAZIONI!P570</f>
        <v/>
      </c>
      <c r="J64" s="5">
        <f>IF(LAVORAZIONI!Q570="","",LAVORAZIONI!Q570)</f>
        <v/>
      </c>
      <c r="K64" s="6">
        <f>IF(LAVORAZIONI!R570="","",LAVORAZIONI!R570)</f>
        <v/>
      </c>
      <c r="L64" s="13">
        <f>IF(LAVORAZIONI!S570="","",LAVORAZIONI!S570)</f>
        <v/>
      </c>
      <c r="M64" s="13">
        <f>LAVORAZIONI!T570</f>
        <v/>
      </c>
      <c r="O64" s="7">
        <f>LAVORAZIONI!U570</f>
        <v/>
      </c>
      <c r="P64" s="37">
        <f>LAVORAZIONI!V570</f>
        <v/>
      </c>
      <c r="Q64" s="7">
        <f>LAVORAZIONI!W570</f>
        <v/>
      </c>
      <c r="R64" s="6">
        <f>LAVORAZIONI!X570</f>
        <v/>
      </c>
      <c r="S64" s="7">
        <f>LAVORAZIONI!Y570</f>
        <v/>
      </c>
      <c r="T64" s="6">
        <f>LAVORAZIONI!Z570</f>
        <v/>
      </c>
      <c r="U64" s="7">
        <f>LAVORAZIONI!AA570</f>
        <v/>
      </c>
      <c r="V64" s="6">
        <f>LAVORAZIONI!AB570</f>
        <v/>
      </c>
      <c r="W64" s="7">
        <f>LAVORAZIONI!AC570</f>
        <v/>
      </c>
      <c r="X64" s="6">
        <f>LAVORAZIONI!AD570</f>
        <v/>
      </c>
      <c r="Y64" s="7">
        <f>LAVORAZIONI!AE570</f>
        <v/>
      </c>
      <c r="Z64" s="6">
        <f>LAVORAZIONI!AF570</f>
        <v/>
      </c>
      <c r="AA64" s="7">
        <f>LAVORAZIONI!AG570</f>
        <v/>
      </c>
      <c r="AB64" s="6">
        <f>LAVORAZIONI!AH570</f>
        <v/>
      </c>
      <c r="AC64" s="7">
        <f>LAVORAZIONI!AI570</f>
        <v/>
      </c>
      <c r="AD64" s="13">
        <f>LAVORAZIONI!AJ570</f>
        <v/>
      </c>
    </row>
    <row r="65" ht="56" customHeight="1" s="35">
      <c r="B65" s="4">
        <f>LAVORAZIONI!G571</f>
        <v/>
      </c>
      <c r="C65" s="3">
        <f>LAVORAZIONI!A571</f>
        <v/>
      </c>
      <c r="D65" s="3">
        <f>LAVORAZIONI!K571</f>
        <v/>
      </c>
      <c r="E65" s="4">
        <f>LAVORAZIONI!H571</f>
        <v/>
      </c>
      <c r="F65" s="4">
        <f>LAVORAZIONI!M571</f>
        <v/>
      </c>
      <c r="G65" s="5">
        <f>LAVORAZIONI!N571</f>
        <v/>
      </c>
      <c r="H65" s="6">
        <f>LAVORAZIONI!O571</f>
        <v/>
      </c>
      <c r="I65" s="13">
        <f>LAVORAZIONI!P571</f>
        <v/>
      </c>
      <c r="J65" s="5">
        <f>IF(LAVORAZIONI!Q571="","",LAVORAZIONI!Q571)</f>
        <v/>
      </c>
      <c r="K65" s="6">
        <f>IF(LAVORAZIONI!R571="","",LAVORAZIONI!R571)</f>
        <v/>
      </c>
      <c r="L65" s="13">
        <f>IF(LAVORAZIONI!S571="","",LAVORAZIONI!S571)</f>
        <v/>
      </c>
      <c r="M65" s="13">
        <f>LAVORAZIONI!T571</f>
        <v/>
      </c>
      <c r="O65" s="7">
        <f>LAVORAZIONI!U571</f>
        <v/>
      </c>
      <c r="P65" s="37">
        <f>LAVORAZIONI!V571</f>
        <v/>
      </c>
      <c r="Q65" s="7">
        <f>LAVORAZIONI!W571</f>
        <v/>
      </c>
      <c r="R65" s="6">
        <f>LAVORAZIONI!X571</f>
        <v/>
      </c>
      <c r="S65" s="7">
        <f>LAVORAZIONI!Y571</f>
        <v/>
      </c>
      <c r="T65" s="6">
        <f>LAVORAZIONI!Z571</f>
        <v/>
      </c>
      <c r="U65" s="7">
        <f>LAVORAZIONI!AA571</f>
        <v/>
      </c>
      <c r="V65" s="6">
        <f>LAVORAZIONI!AB571</f>
        <v/>
      </c>
      <c r="W65" s="7">
        <f>LAVORAZIONI!AC571</f>
        <v/>
      </c>
      <c r="X65" s="6">
        <f>LAVORAZIONI!AD571</f>
        <v/>
      </c>
      <c r="Y65" s="7">
        <f>LAVORAZIONI!AE571</f>
        <v/>
      </c>
      <c r="Z65" s="6">
        <f>LAVORAZIONI!AF571</f>
        <v/>
      </c>
      <c r="AA65" s="7">
        <f>LAVORAZIONI!AG571</f>
        <v/>
      </c>
      <c r="AB65" s="6">
        <f>LAVORAZIONI!AH571</f>
        <v/>
      </c>
      <c r="AC65" s="7">
        <f>LAVORAZIONI!AI571</f>
        <v/>
      </c>
      <c r="AD65" s="13">
        <f>LAVORAZIONI!AJ571</f>
        <v/>
      </c>
    </row>
    <row r="66" ht="56" customHeight="1" s="35">
      <c r="B66" s="4">
        <f>LAVORAZIONI!G572</f>
        <v/>
      </c>
      <c r="C66" s="3">
        <f>LAVORAZIONI!A572</f>
        <v/>
      </c>
      <c r="D66" s="3">
        <f>LAVORAZIONI!K572</f>
        <v/>
      </c>
      <c r="E66" s="4">
        <f>LAVORAZIONI!H572</f>
        <v/>
      </c>
      <c r="F66" s="4">
        <f>LAVORAZIONI!M572</f>
        <v/>
      </c>
      <c r="G66" s="5">
        <f>LAVORAZIONI!N572</f>
        <v/>
      </c>
      <c r="H66" s="6">
        <f>LAVORAZIONI!O572</f>
        <v/>
      </c>
      <c r="I66" s="13">
        <f>LAVORAZIONI!P572</f>
        <v/>
      </c>
      <c r="J66" s="5">
        <f>IF(LAVORAZIONI!Q572="","",LAVORAZIONI!Q572)</f>
        <v/>
      </c>
      <c r="K66" s="6">
        <f>IF(LAVORAZIONI!R572="","",LAVORAZIONI!R572)</f>
        <v/>
      </c>
      <c r="L66" s="13">
        <f>IF(LAVORAZIONI!S572="","",LAVORAZIONI!S572)</f>
        <v/>
      </c>
      <c r="M66" s="13">
        <f>LAVORAZIONI!T572</f>
        <v/>
      </c>
      <c r="O66" s="7">
        <f>LAVORAZIONI!U572</f>
        <v/>
      </c>
      <c r="P66" s="37">
        <f>LAVORAZIONI!V572</f>
        <v/>
      </c>
      <c r="Q66" s="7">
        <f>LAVORAZIONI!W572</f>
        <v/>
      </c>
      <c r="R66" s="6">
        <f>LAVORAZIONI!X572</f>
        <v/>
      </c>
      <c r="S66" s="7">
        <f>LAVORAZIONI!Y572</f>
        <v/>
      </c>
      <c r="T66" s="6">
        <f>LAVORAZIONI!Z572</f>
        <v/>
      </c>
      <c r="U66" s="7">
        <f>LAVORAZIONI!AA572</f>
        <v/>
      </c>
      <c r="V66" s="6">
        <f>LAVORAZIONI!AB572</f>
        <v/>
      </c>
      <c r="W66" s="7">
        <f>LAVORAZIONI!AC572</f>
        <v/>
      </c>
      <c r="X66" s="6">
        <f>LAVORAZIONI!AD572</f>
        <v/>
      </c>
      <c r="Y66" s="7">
        <f>LAVORAZIONI!AE572</f>
        <v/>
      </c>
      <c r="Z66" s="6">
        <f>LAVORAZIONI!AF572</f>
        <v/>
      </c>
      <c r="AA66" s="7">
        <f>LAVORAZIONI!AG572</f>
        <v/>
      </c>
      <c r="AB66" s="6">
        <f>LAVORAZIONI!AH572</f>
        <v/>
      </c>
      <c r="AC66" s="7">
        <f>LAVORAZIONI!AI572</f>
        <v/>
      </c>
      <c r="AD66" s="13">
        <f>LAVORAZIONI!AJ572</f>
        <v/>
      </c>
    </row>
    <row r="67" ht="56" customHeight="1" s="35">
      <c r="B67" s="4">
        <f>LAVORAZIONI!G573</f>
        <v/>
      </c>
      <c r="C67" s="3">
        <f>LAVORAZIONI!A573</f>
        <v/>
      </c>
      <c r="D67" s="3">
        <f>LAVORAZIONI!K573</f>
        <v/>
      </c>
      <c r="E67" s="4">
        <f>LAVORAZIONI!H573</f>
        <v/>
      </c>
      <c r="F67" s="4">
        <f>LAVORAZIONI!M573</f>
        <v/>
      </c>
      <c r="G67" s="5">
        <f>LAVORAZIONI!N573</f>
        <v/>
      </c>
      <c r="H67" s="6">
        <f>LAVORAZIONI!O573</f>
        <v/>
      </c>
      <c r="I67" s="13">
        <f>LAVORAZIONI!P573</f>
        <v/>
      </c>
      <c r="J67" s="5">
        <f>IF(LAVORAZIONI!Q573="","",LAVORAZIONI!Q573)</f>
        <v/>
      </c>
      <c r="K67" s="6">
        <f>IF(LAVORAZIONI!R573="","",LAVORAZIONI!R573)</f>
        <v/>
      </c>
      <c r="L67" s="13">
        <f>IF(LAVORAZIONI!S573="","",LAVORAZIONI!S573)</f>
        <v/>
      </c>
      <c r="M67" s="13">
        <f>LAVORAZIONI!T573</f>
        <v/>
      </c>
      <c r="O67" s="7">
        <f>LAVORAZIONI!U573</f>
        <v/>
      </c>
      <c r="P67" s="37">
        <f>LAVORAZIONI!V573</f>
        <v/>
      </c>
      <c r="Q67" s="7">
        <f>LAVORAZIONI!W573</f>
        <v/>
      </c>
      <c r="R67" s="6">
        <f>LAVORAZIONI!X573</f>
        <v/>
      </c>
      <c r="S67" s="7">
        <f>LAVORAZIONI!Y573</f>
        <v/>
      </c>
      <c r="T67" s="6">
        <f>LAVORAZIONI!Z573</f>
        <v/>
      </c>
      <c r="U67" s="7">
        <f>LAVORAZIONI!AA573</f>
        <v/>
      </c>
      <c r="V67" s="6">
        <f>LAVORAZIONI!AB573</f>
        <v/>
      </c>
      <c r="W67" s="7">
        <f>LAVORAZIONI!AC573</f>
        <v/>
      </c>
      <c r="X67" s="6">
        <f>LAVORAZIONI!AD573</f>
        <v/>
      </c>
      <c r="Y67" s="7">
        <f>LAVORAZIONI!AE573</f>
        <v/>
      </c>
      <c r="Z67" s="6">
        <f>LAVORAZIONI!AF573</f>
        <v/>
      </c>
      <c r="AA67" s="7">
        <f>LAVORAZIONI!AG573</f>
        <v/>
      </c>
      <c r="AB67" s="6">
        <f>LAVORAZIONI!AH573</f>
        <v/>
      </c>
      <c r="AC67" s="7">
        <f>LAVORAZIONI!AI573</f>
        <v/>
      </c>
      <c r="AD67" s="13">
        <f>LAVORAZIONI!AJ573</f>
        <v/>
      </c>
    </row>
    <row r="68" ht="56" customHeight="1" s="35">
      <c r="B68" s="4">
        <f>LAVORAZIONI!G574</f>
        <v/>
      </c>
      <c r="C68" s="3">
        <f>LAVORAZIONI!A574</f>
        <v/>
      </c>
      <c r="D68" s="3">
        <f>LAVORAZIONI!K574</f>
        <v/>
      </c>
      <c r="E68" s="4">
        <f>LAVORAZIONI!H574</f>
        <v/>
      </c>
      <c r="F68" s="4">
        <f>LAVORAZIONI!M574</f>
        <v/>
      </c>
      <c r="G68" s="5">
        <f>LAVORAZIONI!N574</f>
        <v/>
      </c>
      <c r="H68" s="6">
        <f>LAVORAZIONI!O574</f>
        <v/>
      </c>
      <c r="I68" s="13">
        <f>LAVORAZIONI!P574</f>
        <v/>
      </c>
      <c r="J68" s="5">
        <f>IF(LAVORAZIONI!Q574="","",LAVORAZIONI!Q574)</f>
        <v/>
      </c>
      <c r="K68" s="6">
        <f>IF(LAVORAZIONI!R574="","",LAVORAZIONI!R574)</f>
        <v/>
      </c>
      <c r="L68" s="13">
        <f>IF(LAVORAZIONI!S574="","",LAVORAZIONI!S574)</f>
        <v/>
      </c>
      <c r="M68" s="13">
        <f>LAVORAZIONI!T574</f>
        <v/>
      </c>
      <c r="O68" s="7">
        <f>LAVORAZIONI!U574</f>
        <v/>
      </c>
      <c r="P68" s="37">
        <f>LAVORAZIONI!V574</f>
        <v/>
      </c>
      <c r="Q68" s="7">
        <f>LAVORAZIONI!W574</f>
        <v/>
      </c>
      <c r="R68" s="6">
        <f>LAVORAZIONI!X574</f>
        <v/>
      </c>
      <c r="S68" s="7">
        <f>LAVORAZIONI!Y574</f>
        <v/>
      </c>
      <c r="T68" s="6">
        <f>LAVORAZIONI!Z574</f>
        <v/>
      </c>
      <c r="U68" s="7">
        <f>LAVORAZIONI!AA574</f>
        <v/>
      </c>
      <c r="V68" s="6">
        <f>LAVORAZIONI!AB574</f>
        <v/>
      </c>
      <c r="W68" s="7">
        <f>LAVORAZIONI!AC574</f>
        <v/>
      </c>
      <c r="X68" s="6">
        <f>LAVORAZIONI!AD574</f>
        <v/>
      </c>
      <c r="Y68" s="7">
        <f>LAVORAZIONI!AE574</f>
        <v/>
      </c>
      <c r="Z68" s="6">
        <f>LAVORAZIONI!AF574</f>
        <v/>
      </c>
      <c r="AA68" s="7">
        <f>LAVORAZIONI!AG574</f>
        <v/>
      </c>
      <c r="AB68" s="6">
        <f>LAVORAZIONI!AH574</f>
        <v/>
      </c>
      <c r="AC68" s="7">
        <f>LAVORAZIONI!AI574</f>
        <v/>
      </c>
      <c r="AD68" s="13">
        <f>LAVORAZIONI!AJ574</f>
        <v/>
      </c>
    </row>
    <row r="69" ht="56" customHeight="1" s="35">
      <c r="B69" s="4">
        <f>LAVORAZIONI!G575</f>
        <v/>
      </c>
      <c r="C69" s="3">
        <f>LAVORAZIONI!A575</f>
        <v/>
      </c>
      <c r="D69" s="3">
        <f>LAVORAZIONI!K575</f>
        <v/>
      </c>
      <c r="E69" s="4">
        <f>LAVORAZIONI!H575</f>
        <v/>
      </c>
      <c r="F69" s="4">
        <f>LAVORAZIONI!M575</f>
        <v/>
      </c>
      <c r="G69" s="5">
        <f>LAVORAZIONI!N575</f>
        <v/>
      </c>
      <c r="H69" s="6">
        <f>LAVORAZIONI!O575</f>
        <v/>
      </c>
      <c r="I69" s="13">
        <f>LAVORAZIONI!P575</f>
        <v/>
      </c>
      <c r="J69" s="5">
        <f>IF(LAVORAZIONI!Q575="","",LAVORAZIONI!Q575)</f>
        <v/>
      </c>
      <c r="K69" s="6">
        <f>IF(LAVORAZIONI!R575="","",LAVORAZIONI!R575)</f>
        <v/>
      </c>
      <c r="L69" s="13">
        <f>IF(LAVORAZIONI!S575="","",LAVORAZIONI!S575)</f>
        <v/>
      </c>
      <c r="M69" s="13">
        <f>LAVORAZIONI!T575</f>
        <v/>
      </c>
      <c r="O69" s="7">
        <f>LAVORAZIONI!U575</f>
        <v/>
      </c>
      <c r="P69" s="37">
        <f>LAVORAZIONI!V575</f>
        <v/>
      </c>
      <c r="Q69" s="7">
        <f>LAVORAZIONI!W575</f>
        <v/>
      </c>
      <c r="R69" s="6">
        <f>LAVORAZIONI!X575</f>
        <v/>
      </c>
      <c r="S69" s="7">
        <f>LAVORAZIONI!Y575</f>
        <v/>
      </c>
      <c r="T69" s="6">
        <f>LAVORAZIONI!Z575</f>
        <v/>
      </c>
      <c r="U69" s="7">
        <f>LAVORAZIONI!AA575</f>
        <v/>
      </c>
      <c r="V69" s="6">
        <f>LAVORAZIONI!AB575</f>
        <v/>
      </c>
      <c r="W69" s="7">
        <f>LAVORAZIONI!AC575</f>
        <v/>
      </c>
      <c r="X69" s="6">
        <f>LAVORAZIONI!AD575</f>
        <v/>
      </c>
      <c r="Y69" s="7">
        <f>LAVORAZIONI!AE575</f>
        <v/>
      </c>
      <c r="Z69" s="6">
        <f>LAVORAZIONI!AF575</f>
        <v/>
      </c>
      <c r="AA69" s="7">
        <f>LAVORAZIONI!AG575</f>
        <v/>
      </c>
      <c r="AB69" s="6">
        <f>LAVORAZIONI!AH575</f>
        <v/>
      </c>
      <c r="AC69" s="7">
        <f>LAVORAZIONI!AI575</f>
        <v/>
      </c>
      <c r="AD69" s="13">
        <f>LAVORAZIONI!AJ575</f>
        <v/>
      </c>
    </row>
    <row r="70" ht="56" customHeight="1" s="35">
      <c r="B70" s="4">
        <f>LAVORAZIONI!G576</f>
        <v/>
      </c>
      <c r="C70" s="3">
        <f>LAVORAZIONI!A576</f>
        <v/>
      </c>
      <c r="D70" s="3">
        <f>LAVORAZIONI!K576</f>
        <v/>
      </c>
      <c r="E70" s="4">
        <f>LAVORAZIONI!H576</f>
        <v/>
      </c>
      <c r="F70" s="4">
        <f>LAVORAZIONI!M576</f>
        <v/>
      </c>
      <c r="G70" s="5">
        <f>LAVORAZIONI!N576</f>
        <v/>
      </c>
      <c r="H70" s="6">
        <f>LAVORAZIONI!O576</f>
        <v/>
      </c>
      <c r="I70" s="13">
        <f>LAVORAZIONI!P576</f>
        <v/>
      </c>
      <c r="J70" s="5">
        <f>IF(LAVORAZIONI!Q576="","",LAVORAZIONI!Q576)</f>
        <v/>
      </c>
      <c r="K70" s="6">
        <f>IF(LAVORAZIONI!R576="","",LAVORAZIONI!R576)</f>
        <v/>
      </c>
      <c r="L70" s="13">
        <f>IF(LAVORAZIONI!S576="","",LAVORAZIONI!S576)</f>
        <v/>
      </c>
      <c r="M70" s="13">
        <f>LAVORAZIONI!T576</f>
        <v/>
      </c>
      <c r="O70" s="7">
        <f>LAVORAZIONI!U576</f>
        <v/>
      </c>
      <c r="P70" s="37">
        <f>LAVORAZIONI!V576</f>
        <v/>
      </c>
      <c r="Q70" s="7">
        <f>LAVORAZIONI!W576</f>
        <v/>
      </c>
      <c r="R70" s="6">
        <f>LAVORAZIONI!X576</f>
        <v/>
      </c>
      <c r="S70" s="7">
        <f>LAVORAZIONI!Y576</f>
        <v/>
      </c>
      <c r="T70" s="6">
        <f>LAVORAZIONI!Z576</f>
        <v/>
      </c>
      <c r="U70" s="7">
        <f>LAVORAZIONI!AA576</f>
        <v/>
      </c>
      <c r="V70" s="6">
        <f>LAVORAZIONI!AB576</f>
        <v/>
      </c>
      <c r="W70" s="7">
        <f>LAVORAZIONI!AC576</f>
        <v/>
      </c>
      <c r="X70" s="6">
        <f>LAVORAZIONI!AD576</f>
        <v/>
      </c>
      <c r="Y70" s="7">
        <f>LAVORAZIONI!AE576</f>
        <v/>
      </c>
      <c r="Z70" s="6">
        <f>LAVORAZIONI!AF576</f>
        <v/>
      </c>
      <c r="AA70" s="7">
        <f>LAVORAZIONI!AG576</f>
        <v/>
      </c>
      <c r="AB70" s="6">
        <f>LAVORAZIONI!AH576</f>
        <v/>
      </c>
      <c r="AC70" s="7">
        <f>LAVORAZIONI!AI576</f>
        <v/>
      </c>
      <c r="AD70" s="13">
        <f>LAVORAZIONI!AJ576</f>
        <v/>
      </c>
    </row>
    <row r="71" ht="56" customHeight="1" s="35">
      <c r="B71" s="4">
        <f>LAVORAZIONI!G577</f>
        <v/>
      </c>
      <c r="C71" s="3">
        <f>LAVORAZIONI!A577</f>
        <v/>
      </c>
      <c r="D71" s="3">
        <f>LAVORAZIONI!K577</f>
        <v/>
      </c>
      <c r="E71" s="4">
        <f>LAVORAZIONI!H577</f>
        <v/>
      </c>
      <c r="F71" s="4">
        <f>LAVORAZIONI!M577</f>
        <v/>
      </c>
      <c r="G71" s="5">
        <f>LAVORAZIONI!N577</f>
        <v/>
      </c>
      <c r="H71" s="6">
        <f>LAVORAZIONI!O577</f>
        <v/>
      </c>
      <c r="I71" s="13">
        <f>LAVORAZIONI!P577</f>
        <v/>
      </c>
      <c r="J71" s="5">
        <f>IF(LAVORAZIONI!Q577="","",LAVORAZIONI!Q577)</f>
        <v/>
      </c>
      <c r="K71" s="6">
        <f>IF(LAVORAZIONI!R577="","",LAVORAZIONI!R577)</f>
        <v/>
      </c>
      <c r="L71" s="13">
        <f>IF(LAVORAZIONI!S577="","",LAVORAZIONI!S577)</f>
        <v/>
      </c>
      <c r="M71" s="13">
        <f>LAVORAZIONI!T577</f>
        <v/>
      </c>
      <c r="O71" s="7">
        <f>LAVORAZIONI!U577</f>
        <v/>
      </c>
      <c r="P71" s="37">
        <f>LAVORAZIONI!V577</f>
        <v/>
      </c>
      <c r="Q71" s="7">
        <f>LAVORAZIONI!W577</f>
        <v/>
      </c>
      <c r="R71" s="6">
        <f>LAVORAZIONI!X577</f>
        <v/>
      </c>
      <c r="S71" s="7">
        <f>LAVORAZIONI!Y577</f>
        <v/>
      </c>
      <c r="T71" s="6">
        <f>LAVORAZIONI!Z577</f>
        <v/>
      </c>
      <c r="U71" s="7">
        <f>LAVORAZIONI!AA577</f>
        <v/>
      </c>
      <c r="V71" s="6">
        <f>LAVORAZIONI!AB577</f>
        <v/>
      </c>
      <c r="W71" s="7">
        <f>LAVORAZIONI!AC577</f>
        <v/>
      </c>
      <c r="X71" s="6">
        <f>LAVORAZIONI!AD577</f>
        <v/>
      </c>
      <c r="Y71" s="7">
        <f>LAVORAZIONI!AE577</f>
        <v/>
      </c>
      <c r="Z71" s="6">
        <f>LAVORAZIONI!AF577</f>
        <v/>
      </c>
      <c r="AA71" s="7">
        <f>LAVORAZIONI!AG577</f>
        <v/>
      </c>
      <c r="AB71" s="6">
        <f>LAVORAZIONI!AH577</f>
        <v/>
      </c>
      <c r="AC71" s="7">
        <f>LAVORAZIONI!AI577</f>
        <v/>
      </c>
      <c r="AD71" s="13">
        <f>LAVORAZIONI!AJ577</f>
        <v/>
      </c>
    </row>
    <row r="72" ht="56" customHeight="1" s="35">
      <c r="B72" s="4">
        <f>LAVORAZIONI!G578</f>
        <v/>
      </c>
      <c r="C72" s="3">
        <f>LAVORAZIONI!A578</f>
        <v/>
      </c>
      <c r="D72" s="3">
        <f>LAVORAZIONI!K578</f>
        <v/>
      </c>
      <c r="E72" s="4">
        <f>LAVORAZIONI!H578</f>
        <v/>
      </c>
      <c r="F72" s="4">
        <f>LAVORAZIONI!M578</f>
        <v/>
      </c>
      <c r="G72" s="5">
        <f>LAVORAZIONI!N578</f>
        <v/>
      </c>
      <c r="H72" s="6">
        <f>LAVORAZIONI!O578</f>
        <v/>
      </c>
      <c r="I72" s="13">
        <f>LAVORAZIONI!P578</f>
        <v/>
      </c>
      <c r="J72" s="5">
        <f>IF(LAVORAZIONI!Q578="","",LAVORAZIONI!Q578)</f>
        <v/>
      </c>
      <c r="K72" s="6">
        <f>IF(LAVORAZIONI!R578="","",LAVORAZIONI!R578)</f>
        <v/>
      </c>
      <c r="L72" s="13">
        <f>IF(LAVORAZIONI!S578="","",LAVORAZIONI!S578)</f>
        <v/>
      </c>
      <c r="M72" s="13">
        <f>LAVORAZIONI!T578</f>
        <v/>
      </c>
      <c r="O72" s="7">
        <f>LAVORAZIONI!U578</f>
        <v/>
      </c>
      <c r="P72" s="37">
        <f>LAVORAZIONI!V578</f>
        <v/>
      </c>
      <c r="Q72" s="7">
        <f>LAVORAZIONI!W578</f>
        <v/>
      </c>
      <c r="R72" s="6">
        <f>LAVORAZIONI!X578</f>
        <v/>
      </c>
      <c r="S72" s="7">
        <f>LAVORAZIONI!Y578</f>
        <v/>
      </c>
      <c r="T72" s="6">
        <f>LAVORAZIONI!Z578</f>
        <v/>
      </c>
      <c r="U72" s="7">
        <f>LAVORAZIONI!AA578</f>
        <v/>
      </c>
      <c r="V72" s="6">
        <f>LAVORAZIONI!AB578</f>
        <v/>
      </c>
      <c r="W72" s="7">
        <f>LAVORAZIONI!AC578</f>
        <v/>
      </c>
      <c r="X72" s="6">
        <f>LAVORAZIONI!AD578</f>
        <v/>
      </c>
      <c r="Y72" s="7">
        <f>LAVORAZIONI!AE578</f>
        <v/>
      </c>
      <c r="Z72" s="6">
        <f>LAVORAZIONI!AF578</f>
        <v/>
      </c>
      <c r="AA72" s="7">
        <f>LAVORAZIONI!AG578</f>
        <v/>
      </c>
      <c r="AB72" s="6">
        <f>LAVORAZIONI!AH578</f>
        <v/>
      </c>
      <c r="AC72" s="7">
        <f>LAVORAZIONI!AI578</f>
        <v/>
      </c>
      <c r="AD72" s="13">
        <f>LAVORAZIONI!AJ578</f>
        <v/>
      </c>
    </row>
    <row r="73" ht="56" customHeight="1" s="35">
      <c r="B73" s="4">
        <f>LAVORAZIONI!G579</f>
        <v/>
      </c>
      <c r="C73" s="3">
        <f>LAVORAZIONI!A579</f>
        <v/>
      </c>
      <c r="D73" s="3">
        <f>LAVORAZIONI!K579</f>
        <v/>
      </c>
      <c r="E73" s="4">
        <f>LAVORAZIONI!H579</f>
        <v/>
      </c>
      <c r="F73" s="4">
        <f>LAVORAZIONI!M579</f>
        <v/>
      </c>
      <c r="G73" s="5">
        <f>LAVORAZIONI!N579</f>
        <v/>
      </c>
      <c r="H73" s="6">
        <f>LAVORAZIONI!O579</f>
        <v/>
      </c>
      <c r="I73" s="13">
        <f>LAVORAZIONI!P579</f>
        <v/>
      </c>
      <c r="J73" s="5">
        <f>IF(LAVORAZIONI!Q579="","",LAVORAZIONI!Q579)</f>
        <v/>
      </c>
      <c r="K73" s="6">
        <f>IF(LAVORAZIONI!R579="","",LAVORAZIONI!R579)</f>
        <v/>
      </c>
      <c r="L73" s="13">
        <f>IF(LAVORAZIONI!S579="","",LAVORAZIONI!S579)</f>
        <v/>
      </c>
      <c r="M73" s="13">
        <f>LAVORAZIONI!T579</f>
        <v/>
      </c>
      <c r="O73" s="7">
        <f>LAVORAZIONI!U579</f>
        <v/>
      </c>
      <c r="P73" s="37">
        <f>LAVORAZIONI!V579</f>
        <v/>
      </c>
      <c r="Q73" s="7">
        <f>LAVORAZIONI!W579</f>
        <v/>
      </c>
      <c r="R73" s="6">
        <f>LAVORAZIONI!X579</f>
        <v/>
      </c>
      <c r="S73" s="7">
        <f>LAVORAZIONI!Y579</f>
        <v/>
      </c>
      <c r="T73" s="6">
        <f>LAVORAZIONI!Z579</f>
        <v/>
      </c>
      <c r="U73" s="7">
        <f>LAVORAZIONI!AA579</f>
        <v/>
      </c>
      <c r="V73" s="6">
        <f>LAVORAZIONI!AB579</f>
        <v/>
      </c>
      <c r="W73" s="7">
        <f>LAVORAZIONI!AC579</f>
        <v/>
      </c>
      <c r="X73" s="6">
        <f>LAVORAZIONI!AD579</f>
        <v/>
      </c>
      <c r="Y73" s="7">
        <f>LAVORAZIONI!AE579</f>
        <v/>
      </c>
      <c r="Z73" s="6">
        <f>LAVORAZIONI!AF579</f>
        <v/>
      </c>
      <c r="AA73" s="7">
        <f>LAVORAZIONI!AG579</f>
        <v/>
      </c>
      <c r="AB73" s="6">
        <f>LAVORAZIONI!AH579</f>
        <v/>
      </c>
      <c r="AC73" s="7">
        <f>LAVORAZIONI!AI579</f>
        <v/>
      </c>
      <c r="AD73" s="13">
        <f>LAVORAZIONI!AJ579</f>
        <v/>
      </c>
    </row>
    <row r="74" ht="56" customHeight="1" s="35">
      <c r="B74" s="4">
        <f>LAVORAZIONI!G580</f>
        <v/>
      </c>
      <c r="C74" s="3">
        <f>LAVORAZIONI!A580</f>
        <v/>
      </c>
      <c r="D74" s="3">
        <f>LAVORAZIONI!K580</f>
        <v/>
      </c>
      <c r="E74" s="4">
        <f>LAVORAZIONI!H580</f>
        <v/>
      </c>
      <c r="F74" s="4">
        <f>LAVORAZIONI!M580</f>
        <v/>
      </c>
      <c r="G74" s="5">
        <f>LAVORAZIONI!N580</f>
        <v/>
      </c>
      <c r="H74" s="6">
        <f>LAVORAZIONI!O580</f>
        <v/>
      </c>
      <c r="I74" s="13">
        <f>LAVORAZIONI!P580</f>
        <v/>
      </c>
      <c r="J74" s="5">
        <f>IF(LAVORAZIONI!Q580="","",LAVORAZIONI!Q580)</f>
        <v/>
      </c>
      <c r="K74" s="6">
        <f>IF(LAVORAZIONI!R580="","",LAVORAZIONI!R580)</f>
        <v/>
      </c>
      <c r="L74" s="13">
        <f>IF(LAVORAZIONI!S580="","",LAVORAZIONI!S580)</f>
        <v/>
      </c>
      <c r="M74" s="13">
        <f>LAVORAZIONI!T580</f>
        <v/>
      </c>
      <c r="O74" s="7">
        <f>LAVORAZIONI!U580</f>
        <v/>
      </c>
      <c r="P74" s="37">
        <f>LAVORAZIONI!V580</f>
        <v/>
      </c>
      <c r="Q74" s="7">
        <f>LAVORAZIONI!W580</f>
        <v/>
      </c>
      <c r="R74" s="6">
        <f>LAVORAZIONI!X580</f>
        <v/>
      </c>
      <c r="S74" s="7">
        <f>LAVORAZIONI!Y580</f>
        <v/>
      </c>
      <c r="T74" s="6">
        <f>LAVORAZIONI!Z580</f>
        <v/>
      </c>
      <c r="U74" s="7">
        <f>LAVORAZIONI!AA580</f>
        <v/>
      </c>
      <c r="V74" s="6">
        <f>LAVORAZIONI!AB580</f>
        <v/>
      </c>
      <c r="W74" s="7">
        <f>LAVORAZIONI!AC580</f>
        <v/>
      </c>
      <c r="X74" s="6">
        <f>LAVORAZIONI!AD580</f>
        <v/>
      </c>
      <c r="Y74" s="7">
        <f>LAVORAZIONI!AE580</f>
        <v/>
      </c>
      <c r="Z74" s="6">
        <f>LAVORAZIONI!AF580</f>
        <v/>
      </c>
      <c r="AA74" s="7">
        <f>LAVORAZIONI!AG580</f>
        <v/>
      </c>
      <c r="AB74" s="6">
        <f>LAVORAZIONI!AH580</f>
        <v/>
      </c>
      <c r="AC74" s="7">
        <f>LAVORAZIONI!AI580</f>
        <v/>
      </c>
      <c r="AD74" s="13">
        <f>LAVORAZIONI!AJ580</f>
        <v/>
      </c>
    </row>
    <row r="75" ht="56" customHeight="1" s="35">
      <c r="B75" s="4">
        <f>LAVORAZIONI!G581</f>
        <v/>
      </c>
      <c r="C75" s="3">
        <f>LAVORAZIONI!A581</f>
        <v/>
      </c>
      <c r="D75" s="3">
        <f>LAVORAZIONI!K581</f>
        <v/>
      </c>
      <c r="E75" s="4">
        <f>LAVORAZIONI!H581</f>
        <v/>
      </c>
      <c r="F75" s="4">
        <f>LAVORAZIONI!M581</f>
        <v/>
      </c>
      <c r="G75" s="5">
        <f>LAVORAZIONI!N581</f>
        <v/>
      </c>
      <c r="H75" s="6">
        <f>LAVORAZIONI!O581</f>
        <v/>
      </c>
      <c r="I75" s="13">
        <f>LAVORAZIONI!P581</f>
        <v/>
      </c>
      <c r="J75" s="5">
        <f>IF(LAVORAZIONI!Q581="","",LAVORAZIONI!Q581)</f>
        <v/>
      </c>
      <c r="K75" s="6">
        <f>IF(LAVORAZIONI!R581="","",LAVORAZIONI!R581)</f>
        <v/>
      </c>
      <c r="L75" s="13">
        <f>IF(LAVORAZIONI!S581="","",LAVORAZIONI!S581)</f>
        <v/>
      </c>
      <c r="M75" s="13">
        <f>LAVORAZIONI!T581</f>
        <v/>
      </c>
      <c r="O75" s="7">
        <f>LAVORAZIONI!U581</f>
        <v/>
      </c>
      <c r="P75" s="37">
        <f>LAVORAZIONI!V581</f>
        <v/>
      </c>
      <c r="Q75" s="7">
        <f>LAVORAZIONI!W581</f>
        <v/>
      </c>
      <c r="R75" s="6">
        <f>LAVORAZIONI!X581</f>
        <v/>
      </c>
      <c r="S75" s="7">
        <f>LAVORAZIONI!Y581</f>
        <v/>
      </c>
      <c r="T75" s="6">
        <f>LAVORAZIONI!Z581</f>
        <v/>
      </c>
      <c r="U75" s="7">
        <f>LAVORAZIONI!AA581</f>
        <v/>
      </c>
      <c r="V75" s="6">
        <f>LAVORAZIONI!AB581</f>
        <v/>
      </c>
      <c r="W75" s="7">
        <f>LAVORAZIONI!AC581</f>
        <v/>
      </c>
      <c r="X75" s="6">
        <f>LAVORAZIONI!AD581</f>
        <v/>
      </c>
      <c r="Y75" s="7">
        <f>LAVORAZIONI!AE581</f>
        <v/>
      </c>
      <c r="Z75" s="6">
        <f>LAVORAZIONI!AF581</f>
        <v/>
      </c>
      <c r="AA75" s="7">
        <f>LAVORAZIONI!AG581</f>
        <v/>
      </c>
      <c r="AB75" s="6">
        <f>LAVORAZIONI!AH581</f>
        <v/>
      </c>
      <c r="AC75" s="7">
        <f>LAVORAZIONI!AI581</f>
        <v/>
      </c>
      <c r="AD75" s="13">
        <f>LAVORAZIONI!AJ581</f>
        <v/>
      </c>
    </row>
    <row r="76" ht="56" customHeight="1" s="35">
      <c r="B76" s="4">
        <f>LAVORAZIONI!G582</f>
        <v/>
      </c>
      <c r="C76" s="3">
        <f>LAVORAZIONI!A582</f>
        <v/>
      </c>
      <c r="D76" s="3">
        <f>LAVORAZIONI!K582</f>
        <v/>
      </c>
      <c r="E76" s="4">
        <f>LAVORAZIONI!H582</f>
        <v/>
      </c>
      <c r="F76" s="4">
        <f>LAVORAZIONI!M582</f>
        <v/>
      </c>
      <c r="G76" s="5">
        <f>LAVORAZIONI!N582</f>
        <v/>
      </c>
      <c r="H76" s="6">
        <f>LAVORAZIONI!O582</f>
        <v/>
      </c>
      <c r="I76" s="13">
        <f>LAVORAZIONI!P582</f>
        <v/>
      </c>
      <c r="J76" s="5">
        <f>IF(LAVORAZIONI!Q582="","",LAVORAZIONI!Q582)</f>
        <v/>
      </c>
      <c r="K76" s="6">
        <f>IF(LAVORAZIONI!R582="","",LAVORAZIONI!R582)</f>
        <v/>
      </c>
      <c r="L76" s="13">
        <f>IF(LAVORAZIONI!S582="","",LAVORAZIONI!S582)</f>
        <v/>
      </c>
      <c r="M76" s="13">
        <f>LAVORAZIONI!T582</f>
        <v/>
      </c>
      <c r="O76" s="7">
        <f>LAVORAZIONI!U582</f>
        <v/>
      </c>
      <c r="P76" s="37">
        <f>LAVORAZIONI!V582</f>
        <v/>
      </c>
      <c r="Q76" s="7">
        <f>LAVORAZIONI!W582</f>
        <v/>
      </c>
      <c r="R76" s="6">
        <f>LAVORAZIONI!X582</f>
        <v/>
      </c>
      <c r="S76" s="7">
        <f>LAVORAZIONI!Y582</f>
        <v/>
      </c>
      <c r="T76" s="6">
        <f>LAVORAZIONI!Z582</f>
        <v/>
      </c>
      <c r="U76" s="7">
        <f>LAVORAZIONI!AA582</f>
        <v/>
      </c>
      <c r="V76" s="6">
        <f>LAVORAZIONI!AB582</f>
        <v/>
      </c>
      <c r="W76" s="7">
        <f>LAVORAZIONI!AC582</f>
        <v/>
      </c>
      <c r="X76" s="6">
        <f>LAVORAZIONI!AD582</f>
        <v/>
      </c>
      <c r="Y76" s="7">
        <f>LAVORAZIONI!AE582</f>
        <v/>
      </c>
      <c r="Z76" s="6">
        <f>LAVORAZIONI!AF582</f>
        <v/>
      </c>
      <c r="AA76" s="7">
        <f>LAVORAZIONI!AG582</f>
        <v/>
      </c>
      <c r="AB76" s="6">
        <f>LAVORAZIONI!AH582</f>
        <v/>
      </c>
      <c r="AC76" s="7">
        <f>LAVORAZIONI!AI582</f>
        <v/>
      </c>
      <c r="AD76" s="13">
        <f>LAVORAZIONI!AJ582</f>
        <v/>
      </c>
    </row>
    <row r="77" ht="56" customHeight="1" s="35">
      <c r="B77" s="4">
        <f>LAVORAZIONI!G583</f>
        <v/>
      </c>
      <c r="C77" s="3">
        <f>LAVORAZIONI!A583</f>
        <v/>
      </c>
      <c r="D77" s="3">
        <f>LAVORAZIONI!K583</f>
        <v/>
      </c>
      <c r="E77" s="4">
        <f>LAVORAZIONI!H583</f>
        <v/>
      </c>
      <c r="F77" s="4">
        <f>LAVORAZIONI!M583</f>
        <v/>
      </c>
      <c r="G77" s="5">
        <f>LAVORAZIONI!N583</f>
        <v/>
      </c>
      <c r="H77" s="6">
        <f>LAVORAZIONI!O583</f>
        <v/>
      </c>
      <c r="I77" s="13">
        <f>LAVORAZIONI!P583</f>
        <v/>
      </c>
      <c r="J77" s="5">
        <f>IF(LAVORAZIONI!Q583="","",LAVORAZIONI!Q583)</f>
        <v/>
      </c>
      <c r="K77" s="6">
        <f>IF(LAVORAZIONI!R583="","",LAVORAZIONI!R583)</f>
        <v/>
      </c>
      <c r="L77" s="13">
        <f>IF(LAVORAZIONI!S583="","",LAVORAZIONI!S583)</f>
        <v/>
      </c>
      <c r="M77" s="13">
        <f>LAVORAZIONI!T583</f>
        <v/>
      </c>
      <c r="O77" s="7">
        <f>LAVORAZIONI!U583</f>
        <v/>
      </c>
      <c r="P77" s="37">
        <f>LAVORAZIONI!V583</f>
        <v/>
      </c>
      <c r="Q77" s="7">
        <f>LAVORAZIONI!W583</f>
        <v/>
      </c>
      <c r="R77" s="6">
        <f>LAVORAZIONI!X583</f>
        <v/>
      </c>
      <c r="S77" s="7">
        <f>LAVORAZIONI!Y583</f>
        <v/>
      </c>
      <c r="T77" s="6">
        <f>LAVORAZIONI!Z583</f>
        <v/>
      </c>
      <c r="U77" s="7">
        <f>LAVORAZIONI!AA583</f>
        <v/>
      </c>
      <c r="V77" s="6">
        <f>LAVORAZIONI!AB583</f>
        <v/>
      </c>
      <c r="W77" s="7">
        <f>LAVORAZIONI!AC583</f>
        <v/>
      </c>
      <c r="X77" s="6">
        <f>LAVORAZIONI!AD583</f>
        <v/>
      </c>
      <c r="Y77" s="7">
        <f>LAVORAZIONI!AE583</f>
        <v/>
      </c>
      <c r="Z77" s="6">
        <f>LAVORAZIONI!AF583</f>
        <v/>
      </c>
      <c r="AA77" s="7">
        <f>LAVORAZIONI!AG583</f>
        <v/>
      </c>
      <c r="AB77" s="6">
        <f>LAVORAZIONI!AH583</f>
        <v/>
      </c>
      <c r="AC77" s="7">
        <f>LAVORAZIONI!AI583</f>
        <v/>
      </c>
      <c r="AD77" s="13">
        <f>LAVORAZIONI!AJ583</f>
        <v/>
      </c>
    </row>
    <row r="78" ht="56" customHeight="1" s="35">
      <c r="B78" s="4">
        <f>LAVORAZIONI!G584</f>
        <v/>
      </c>
      <c r="C78" s="3">
        <f>LAVORAZIONI!A584</f>
        <v/>
      </c>
      <c r="D78" s="3">
        <f>LAVORAZIONI!K584</f>
        <v/>
      </c>
      <c r="E78" s="4">
        <f>LAVORAZIONI!H584</f>
        <v/>
      </c>
      <c r="F78" s="4">
        <f>LAVORAZIONI!M584</f>
        <v/>
      </c>
      <c r="G78" s="5">
        <f>LAVORAZIONI!N584</f>
        <v/>
      </c>
      <c r="H78" s="6">
        <f>LAVORAZIONI!O584</f>
        <v/>
      </c>
      <c r="I78" s="13">
        <f>LAVORAZIONI!P584</f>
        <v/>
      </c>
      <c r="J78" s="5">
        <f>IF(LAVORAZIONI!Q584="","",LAVORAZIONI!Q584)</f>
        <v/>
      </c>
      <c r="K78" s="6">
        <f>IF(LAVORAZIONI!R584="","",LAVORAZIONI!R584)</f>
        <v/>
      </c>
      <c r="L78" s="13">
        <f>IF(LAVORAZIONI!S584="","",LAVORAZIONI!S584)</f>
        <v/>
      </c>
      <c r="M78" s="13">
        <f>LAVORAZIONI!T584</f>
        <v/>
      </c>
      <c r="O78" s="7">
        <f>LAVORAZIONI!U584</f>
        <v/>
      </c>
      <c r="P78" s="37">
        <f>LAVORAZIONI!V584</f>
        <v/>
      </c>
      <c r="Q78" s="7">
        <f>LAVORAZIONI!W584</f>
        <v/>
      </c>
      <c r="R78" s="6">
        <f>LAVORAZIONI!X584</f>
        <v/>
      </c>
      <c r="S78" s="7">
        <f>LAVORAZIONI!Y584</f>
        <v/>
      </c>
      <c r="T78" s="6">
        <f>LAVORAZIONI!Z584</f>
        <v/>
      </c>
      <c r="U78" s="7">
        <f>LAVORAZIONI!AA584</f>
        <v/>
      </c>
      <c r="V78" s="6">
        <f>LAVORAZIONI!AB584</f>
        <v/>
      </c>
      <c r="W78" s="7">
        <f>LAVORAZIONI!AC584</f>
        <v/>
      </c>
      <c r="X78" s="6">
        <f>LAVORAZIONI!AD584</f>
        <v/>
      </c>
      <c r="Y78" s="7">
        <f>LAVORAZIONI!AE584</f>
        <v/>
      </c>
      <c r="Z78" s="6">
        <f>LAVORAZIONI!AF584</f>
        <v/>
      </c>
      <c r="AA78" s="7">
        <f>LAVORAZIONI!AG584</f>
        <v/>
      </c>
      <c r="AB78" s="6">
        <f>LAVORAZIONI!AH584</f>
        <v/>
      </c>
      <c r="AC78" s="7">
        <f>LAVORAZIONI!AI584</f>
        <v/>
      </c>
      <c r="AD78" s="13">
        <f>LAVORAZIONI!AJ584</f>
        <v/>
      </c>
    </row>
    <row r="79" ht="56" customHeight="1" s="35">
      <c r="B79" s="4">
        <f>LAVORAZIONI!G585</f>
        <v/>
      </c>
      <c r="C79" s="3">
        <f>LAVORAZIONI!A585</f>
        <v/>
      </c>
      <c r="D79" s="3">
        <f>LAVORAZIONI!K585</f>
        <v/>
      </c>
      <c r="E79" s="4">
        <f>LAVORAZIONI!H585</f>
        <v/>
      </c>
      <c r="F79" s="4">
        <f>LAVORAZIONI!M585</f>
        <v/>
      </c>
      <c r="G79" s="5">
        <f>LAVORAZIONI!N585</f>
        <v/>
      </c>
      <c r="H79" s="6">
        <f>LAVORAZIONI!O585</f>
        <v/>
      </c>
      <c r="I79" s="13">
        <f>LAVORAZIONI!P585</f>
        <v/>
      </c>
      <c r="J79" s="5">
        <f>IF(LAVORAZIONI!Q585="","",LAVORAZIONI!Q585)</f>
        <v/>
      </c>
      <c r="K79" s="6">
        <f>IF(LAVORAZIONI!R585="","",LAVORAZIONI!R585)</f>
        <v/>
      </c>
      <c r="L79" s="13">
        <f>IF(LAVORAZIONI!S585="","",LAVORAZIONI!S585)</f>
        <v/>
      </c>
      <c r="M79" s="13">
        <f>LAVORAZIONI!T585</f>
        <v/>
      </c>
      <c r="O79" s="7">
        <f>LAVORAZIONI!U585</f>
        <v/>
      </c>
      <c r="P79" s="37">
        <f>LAVORAZIONI!V585</f>
        <v/>
      </c>
      <c r="Q79" s="7">
        <f>LAVORAZIONI!W585</f>
        <v/>
      </c>
      <c r="R79" s="6">
        <f>LAVORAZIONI!X585</f>
        <v/>
      </c>
      <c r="S79" s="7">
        <f>LAVORAZIONI!Y585</f>
        <v/>
      </c>
      <c r="T79" s="6">
        <f>LAVORAZIONI!Z585</f>
        <v/>
      </c>
      <c r="U79" s="7">
        <f>LAVORAZIONI!AA585</f>
        <v/>
      </c>
      <c r="V79" s="6">
        <f>LAVORAZIONI!AB585</f>
        <v/>
      </c>
      <c r="W79" s="7">
        <f>LAVORAZIONI!AC585</f>
        <v/>
      </c>
      <c r="X79" s="6">
        <f>LAVORAZIONI!AD585</f>
        <v/>
      </c>
      <c r="Y79" s="7">
        <f>LAVORAZIONI!AE585</f>
        <v/>
      </c>
      <c r="Z79" s="6">
        <f>LAVORAZIONI!AF585</f>
        <v/>
      </c>
      <c r="AA79" s="7">
        <f>LAVORAZIONI!AG585</f>
        <v/>
      </c>
      <c r="AB79" s="6">
        <f>LAVORAZIONI!AH585</f>
        <v/>
      </c>
      <c r="AC79" s="7">
        <f>LAVORAZIONI!AI585</f>
        <v/>
      </c>
      <c r="AD79" s="13">
        <f>LAVORAZIONI!AJ585</f>
        <v/>
      </c>
    </row>
    <row r="80" ht="56" customHeight="1" s="35">
      <c r="B80" s="4">
        <f>LAVORAZIONI!G586</f>
        <v/>
      </c>
      <c r="C80" s="3">
        <f>LAVORAZIONI!A586</f>
        <v/>
      </c>
      <c r="D80" s="3">
        <f>LAVORAZIONI!K586</f>
        <v/>
      </c>
      <c r="E80" s="4">
        <f>LAVORAZIONI!H586</f>
        <v/>
      </c>
      <c r="F80" s="4">
        <f>LAVORAZIONI!M586</f>
        <v/>
      </c>
      <c r="G80" s="5">
        <f>LAVORAZIONI!N586</f>
        <v/>
      </c>
      <c r="H80" s="6">
        <f>LAVORAZIONI!O586</f>
        <v/>
      </c>
      <c r="I80" s="13">
        <f>LAVORAZIONI!P586</f>
        <v/>
      </c>
      <c r="J80" s="5">
        <f>IF(LAVORAZIONI!Q586="","",LAVORAZIONI!Q586)</f>
        <v/>
      </c>
      <c r="K80" s="6">
        <f>IF(LAVORAZIONI!R586="","",LAVORAZIONI!R586)</f>
        <v/>
      </c>
      <c r="L80" s="13">
        <f>IF(LAVORAZIONI!S586="","",LAVORAZIONI!S586)</f>
        <v/>
      </c>
      <c r="M80" s="13">
        <f>LAVORAZIONI!T586</f>
        <v/>
      </c>
      <c r="O80" s="7">
        <f>LAVORAZIONI!U586</f>
        <v/>
      </c>
      <c r="P80" s="37">
        <f>LAVORAZIONI!V586</f>
        <v/>
      </c>
      <c r="Q80" s="7">
        <f>LAVORAZIONI!W586</f>
        <v/>
      </c>
      <c r="R80" s="6">
        <f>LAVORAZIONI!X586</f>
        <v/>
      </c>
      <c r="S80" s="7">
        <f>LAVORAZIONI!Y586</f>
        <v/>
      </c>
      <c r="T80" s="6">
        <f>LAVORAZIONI!Z586</f>
        <v/>
      </c>
      <c r="U80" s="7">
        <f>LAVORAZIONI!AA586</f>
        <v/>
      </c>
      <c r="V80" s="6">
        <f>LAVORAZIONI!AB586</f>
        <v/>
      </c>
      <c r="W80" s="7">
        <f>LAVORAZIONI!AC586</f>
        <v/>
      </c>
      <c r="X80" s="6">
        <f>LAVORAZIONI!AD586</f>
        <v/>
      </c>
      <c r="Y80" s="7">
        <f>LAVORAZIONI!AE586</f>
        <v/>
      </c>
      <c r="Z80" s="6">
        <f>LAVORAZIONI!AF586</f>
        <v/>
      </c>
      <c r="AA80" s="7">
        <f>LAVORAZIONI!AG586</f>
        <v/>
      </c>
      <c r="AB80" s="6">
        <f>LAVORAZIONI!AH586</f>
        <v/>
      </c>
      <c r="AC80" s="7">
        <f>LAVORAZIONI!AI586</f>
        <v/>
      </c>
      <c r="AD80" s="13">
        <f>LAVORAZIONI!AJ586</f>
        <v/>
      </c>
    </row>
    <row r="81" ht="56" customHeight="1" s="35">
      <c r="B81" s="4">
        <f>LAVORAZIONI!G587</f>
        <v/>
      </c>
      <c r="C81" s="3">
        <f>LAVORAZIONI!A587</f>
        <v/>
      </c>
      <c r="D81" s="3">
        <f>LAVORAZIONI!K587</f>
        <v/>
      </c>
      <c r="E81" s="4">
        <f>LAVORAZIONI!H587</f>
        <v/>
      </c>
      <c r="F81" s="4">
        <f>LAVORAZIONI!M587</f>
        <v/>
      </c>
      <c r="G81" s="5">
        <f>LAVORAZIONI!N587</f>
        <v/>
      </c>
      <c r="H81" s="6">
        <f>LAVORAZIONI!O587</f>
        <v/>
      </c>
      <c r="I81" s="13">
        <f>LAVORAZIONI!P587</f>
        <v/>
      </c>
      <c r="J81" s="5">
        <f>IF(LAVORAZIONI!Q587="","",LAVORAZIONI!Q587)</f>
        <v/>
      </c>
      <c r="K81" s="6">
        <f>IF(LAVORAZIONI!R587="","",LAVORAZIONI!R587)</f>
        <v/>
      </c>
      <c r="L81" s="13">
        <f>IF(LAVORAZIONI!S587="","",LAVORAZIONI!S587)</f>
        <v/>
      </c>
      <c r="M81" s="13">
        <f>LAVORAZIONI!T587</f>
        <v/>
      </c>
      <c r="O81" s="7">
        <f>LAVORAZIONI!U587</f>
        <v/>
      </c>
      <c r="P81" s="37">
        <f>LAVORAZIONI!V587</f>
        <v/>
      </c>
      <c r="Q81" s="7">
        <f>LAVORAZIONI!W587</f>
        <v/>
      </c>
      <c r="R81" s="6">
        <f>LAVORAZIONI!X587</f>
        <v/>
      </c>
      <c r="S81" s="7">
        <f>LAVORAZIONI!Y587</f>
        <v/>
      </c>
      <c r="T81" s="6">
        <f>LAVORAZIONI!Z587</f>
        <v/>
      </c>
      <c r="U81" s="7">
        <f>LAVORAZIONI!AA587</f>
        <v/>
      </c>
      <c r="V81" s="6">
        <f>LAVORAZIONI!AB587</f>
        <v/>
      </c>
      <c r="W81" s="7">
        <f>LAVORAZIONI!AC587</f>
        <v/>
      </c>
      <c r="X81" s="6">
        <f>LAVORAZIONI!AD587</f>
        <v/>
      </c>
      <c r="Y81" s="7">
        <f>LAVORAZIONI!AE587</f>
        <v/>
      </c>
      <c r="Z81" s="6">
        <f>LAVORAZIONI!AF587</f>
        <v/>
      </c>
      <c r="AA81" s="7">
        <f>LAVORAZIONI!AG587</f>
        <v/>
      </c>
      <c r="AB81" s="6">
        <f>LAVORAZIONI!AH587</f>
        <v/>
      </c>
      <c r="AC81" s="7">
        <f>LAVORAZIONI!AI587</f>
        <v/>
      </c>
      <c r="AD81" s="13">
        <f>LAVORAZIONI!AJ587</f>
        <v/>
      </c>
    </row>
    <row r="82" ht="56" customHeight="1" s="35">
      <c r="B82" s="4">
        <f>LAVORAZIONI!G588</f>
        <v/>
      </c>
      <c r="C82" s="3">
        <f>LAVORAZIONI!A588</f>
        <v/>
      </c>
      <c r="D82" s="3">
        <f>LAVORAZIONI!K588</f>
        <v/>
      </c>
      <c r="E82" s="4">
        <f>LAVORAZIONI!H588</f>
        <v/>
      </c>
      <c r="F82" s="4">
        <f>LAVORAZIONI!M588</f>
        <v/>
      </c>
      <c r="G82" s="5">
        <f>LAVORAZIONI!N588</f>
        <v/>
      </c>
      <c r="H82" s="6">
        <f>LAVORAZIONI!O588</f>
        <v/>
      </c>
      <c r="I82" s="13">
        <f>LAVORAZIONI!P588</f>
        <v/>
      </c>
      <c r="J82" s="5">
        <f>IF(LAVORAZIONI!Q588="","",LAVORAZIONI!Q588)</f>
        <v/>
      </c>
      <c r="K82" s="6">
        <f>IF(LAVORAZIONI!R588="","",LAVORAZIONI!R588)</f>
        <v/>
      </c>
      <c r="L82" s="13">
        <f>IF(LAVORAZIONI!S588="","",LAVORAZIONI!S588)</f>
        <v/>
      </c>
      <c r="M82" s="13">
        <f>LAVORAZIONI!T588</f>
        <v/>
      </c>
      <c r="O82" s="7">
        <f>LAVORAZIONI!U588</f>
        <v/>
      </c>
      <c r="P82" s="37">
        <f>LAVORAZIONI!V588</f>
        <v/>
      </c>
      <c r="Q82" s="7">
        <f>LAVORAZIONI!W588</f>
        <v/>
      </c>
      <c r="R82" s="6">
        <f>LAVORAZIONI!X588</f>
        <v/>
      </c>
      <c r="S82" s="7">
        <f>LAVORAZIONI!Y588</f>
        <v/>
      </c>
      <c r="T82" s="6">
        <f>LAVORAZIONI!Z588</f>
        <v/>
      </c>
      <c r="U82" s="7">
        <f>LAVORAZIONI!AA588</f>
        <v/>
      </c>
      <c r="V82" s="6">
        <f>LAVORAZIONI!AB588</f>
        <v/>
      </c>
      <c r="W82" s="7">
        <f>LAVORAZIONI!AC588</f>
        <v/>
      </c>
      <c r="X82" s="6">
        <f>LAVORAZIONI!AD588</f>
        <v/>
      </c>
      <c r="Y82" s="7">
        <f>LAVORAZIONI!AE588</f>
        <v/>
      </c>
      <c r="Z82" s="6">
        <f>LAVORAZIONI!AF588</f>
        <v/>
      </c>
      <c r="AA82" s="7">
        <f>LAVORAZIONI!AG588</f>
        <v/>
      </c>
      <c r="AB82" s="6">
        <f>LAVORAZIONI!AH588</f>
        <v/>
      </c>
      <c r="AC82" s="7">
        <f>LAVORAZIONI!AI588</f>
        <v/>
      </c>
      <c r="AD82" s="13">
        <f>LAVORAZIONI!AJ588</f>
        <v/>
      </c>
    </row>
    <row r="83" ht="56" customHeight="1" s="35">
      <c r="B83" s="4">
        <f>LAVORAZIONI!G589</f>
        <v/>
      </c>
      <c r="C83" s="3">
        <f>LAVORAZIONI!A589</f>
        <v/>
      </c>
      <c r="D83" s="3">
        <f>LAVORAZIONI!K589</f>
        <v/>
      </c>
      <c r="E83" s="4">
        <f>LAVORAZIONI!H589</f>
        <v/>
      </c>
      <c r="F83" s="4">
        <f>LAVORAZIONI!M589</f>
        <v/>
      </c>
      <c r="G83" s="5">
        <f>LAVORAZIONI!N589</f>
        <v/>
      </c>
      <c r="H83" s="6">
        <f>LAVORAZIONI!O589</f>
        <v/>
      </c>
      <c r="I83" s="13">
        <f>LAVORAZIONI!P589</f>
        <v/>
      </c>
      <c r="J83" s="5">
        <f>IF(LAVORAZIONI!Q589="","",LAVORAZIONI!Q589)</f>
        <v/>
      </c>
      <c r="K83" s="6">
        <f>IF(LAVORAZIONI!R589="","",LAVORAZIONI!R589)</f>
        <v/>
      </c>
      <c r="L83" s="13">
        <f>IF(LAVORAZIONI!S589="","",LAVORAZIONI!S589)</f>
        <v/>
      </c>
      <c r="M83" s="13">
        <f>LAVORAZIONI!T589</f>
        <v/>
      </c>
      <c r="O83" s="7">
        <f>LAVORAZIONI!U589</f>
        <v/>
      </c>
      <c r="P83" s="37">
        <f>LAVORAZIONI!V589</f>
        <v/>
      </c>
      <c r="Q83" s="7">
        <f>LAVORAZIONI!W589</f>
        <v/>
      </c>
      <c r="R83" s="6">
        <f>LAVORAZIONI!X589</f>
        <v/>
      </c>
      <c r="S83" s="7">
        <f>LAVORAZIONI!Y589</f>
        <v/>
      </c>
      <c r="T83" s="6">
        <f>LAVORAZIONI!Z589</f>
        <v/>
      </c>
      <c r="U83" s="7">
        <f>LAVORAZIONI!AA589</f>
        <v/>
      </c>
      <c r="V83" s="6">
        <f>LAVORAZIONI!AB589</f>
        <v/>
      </c>
      <c r="W83" s="7">
        <f>LAVORAZIONI!AC589</f>
        <v/>
      </c>
      <c r="X83" s="6">
        <f>LAVORAZIONI!AD589</f>
        <v/>
      </c>
      <c r="Y83" s="7">
        <f>LAVORAZIONI!AE589</f>
        <v/>
      </c>
      <c r="Z83" s="6">
        <f>LAVORAZIONI!AF589</f>
        <v/>
      </c>
      <c r="AA83" s="7">
        <f>LAVORAZIONI!AG589</f>
        <v/>
      </c>
      <c r="AB83" s="6">
        <f>LAVORAZIONI!AH589</f>
        <v/>
      </c>
      <c r="AC83" s="7">
        <f>LAVORAZIONI!AI589</f>
        <v/>
      </c>
      <c r="AD83" s="13">
        <f>LAVORAZIONI!AJ589</f>
        <v/>
      </c>
    </row>
    <row r="84" ht="56" customHeight="1" s="35">
      <c r="B84" s="4">
        <f>LAVORAZIONI!G590</f>
        <v/>
      </c>
      <c r="C84" s="3">
        <f>LAVORAZIONI!A590</f>
        <v/>
      </c>
      <c r="D84" s="3">
        <f>LAVORAZIONI!K590</f>
        <v/>
      </c>
      <c r="E84" s="4">
        <f>LAVORAZIONI!H590</f>
        <v/>
      </c>
      <c r="F84" s="4">
        <f>LAVORAZIONI!M590</f>
        <v/>
      </c>
      <c r="G84" s="5">
        <f>LAVORAZIONI!N590</f>
        <v/>
      </c>
      <c r="H84" s="6">
        <f>LAVORAZIONI!O590</f>
        <v/>
      </c>
      <c r="I84" s="13">
        <f>LAVORAZIONI!P590</f>
        <v/>
      </c>
      <c r="J84" s="5">
        <f>IF(LAVORAZIONI!Q590="","",LAVORAZIONI!Q590)</f>
        <v/>
      </c>
      <c r="K84" s="6">
        <f>IF(LAVORAZIONI!R590="","",LAVORAZIONI!R590)</f>
        <v/>
      </c>
      <c r="L84" s="13">
        <f>IF(LAVORAZIONI!S590="","",LAVORAZIONI!S590)</f>
        <v/>
      </c>
      <c r="M84" s="13">
        <f>LAVORAZIONI!T590</f>
        <v/>
      </c>
      <c r="O84" s="7">
        <f>LAVORAZIONI!U590</f>
        <v/>
      </c>
      <c r="P84" s="37">
        <f>LAVORAZIONI!V590</f>
        <v/>
      </c>
      <c r="Q84" s="7">
        <f>LAVORAZIONI!W590</f>
        <v/>
      </c>
      <c r="R84" s="6">
        <f>LAVORAZIONI!X590</f>
        <v/>
      </c>
      <c r="S84" s="7">
        <f>LAVORAZIONI!Y590</f>
        <v/>
      </c>
      <c r="T84" s="6">
        <f>LAVORAZIONI!Z590</f>
        <v/>
      </c>
      <c r="U84" s="7">
        <f>LAVORAZIONI!AA590</f>
        <v/>
      </c>
      <c r="V84" s="6">
        <f>LAVORAZIONI!AB590</f>
        <v/>
      </c>
      <c r="W84" s="7">
        <f>LAVORAZIONI!AC590</f>
        <v/>
      </c>
      <c r="X84" s="6">
        <f>LAVORAZIONI!AD590</f>
        <v/>
      </c>
      <c r="Y84" s="7">
        <f>LAVORAZIONI!AE590</f>
        <v/>
      </c>
      <c r="Z84" s="6">
        <f>LAVORAZIONI!AF590</f>
        <v/>
      </c>
      <c r="AA84" s="7">
        <f>LAVORAZIONI!AG590</f>
        <v/>
      </c>
      <c r="AB84" s="6">
        <f>LAVORAZIONI!AH590</f>
        <v/>
      </c>
      <c r="AC84" s="7">
        <f>LAVORAZIONI!AI590</f>
        <v/>
      </c>
      <c r="AD84" s="13">
        <f>LAVORAZIONI!AJ590</f>
        <v/>
      </c>
    </row>
    <row r="85" ht="56" customHeight="1" s="35">
      <c r="B85" s="4">
        <f>LAVORAZIONI!G591</f>
        <v/>
      </c>
      <c r="C85" s="3">
        <f>LAVORAZIONI!A591</f>
        <v/>
      </c>
      <c r="D85" s="3">
        <f>LAVORAZIONI!K591</f>
        <v/>
      </c>
      <c r="E85" s="4">
        <f>LAVORAZIONI!H591</f>
        <v/>
      </c>
      <c r="F85" s="4">
        <f>LAVORAZIONI!M591</f>
        <v/>
      </c>
      <c r="G85" s="5">
        <f>LAVORAZIONI!N591</f>
        <v/>
      </c>
      <c r="H85" s="6">
        <f>LAVORAZIONI!O591</f>
        <v/>
      </c>
      <c r="I85" s="13">
        <f>LAVORAZIONI!P591</f>
        <v/>
      </c>
      <c r="J85" s="5">
        <f>IF(LAVORAZIONI!Q591="","",LAVORAZIONI!Q591)</f>
        <v/>
      </c>
      <c r="K85" s="6">
        <f>IF(LAVORAZIONI!R591="","",LAVORAZIONI!R591)</f>
        <v/>
      </c>
      <c r="L85" s="13">
        <f>IF(LAVORAZIONI!S591="","",LAVORAZIONI!S591)</f>
        <v/>
      </c>
      <c r="M85" s="13">
        <f>LAVORAZIONI!T591</f>
        <v/>
      </c>
      <c r="O85" s="7">
        <f>LAVORAZIONI!U591</f>
        <v/>
      </c>
      <c r="P85" s="37">
        <f>LAVORAZIONI!V591</f>
        <v/>
      </c>
      <c r="Q85" s="7">
        <f>LAVORAZIONI!W591</f>
        <v/>
      </c>
      <c r="R85" s="6">
        <f>LAVORAZIONI!X591</f>
        <v/>
      </c>
      <c r="S85" s="7">
        <f>LAVORAZIONI!Y591</f>
        <v/>
      </c>
      <c r="T85" s="6">
        <f>LAVORAZIONI!Z591</f>
        <v/>
      </c>
      <c r="U85" s="7">
        <f>LAVORAZIONI!AA591</f>
        <v/>
      </c>
      <c r="V85" s="6">
        <f>LAVORAZIONI!AB591</f>
        <v/>
      </c>
      <c r="W85" s="7">
        <f>LAVORAZIONI!AC591</f>
        <v/>
      </c>
      <c r="X85" s="6">
        <f>LAVORAZIONI!AD591</f>
        <v/>
      </c>
      <c r="Y85" s="7">
        <f>LAVORAZIONI!AE591</f>
        <v/>
      </c>
      <c r="Z85" s="6">
        <f>LAVORAZIONI!AF591</f>
        <v/>
      </c>
      <c r="AA85" s="7">
        <f>LAVORAZIONI!AG591</f>
        <v/>
      </c>
      <c r="AB85" s="6">
        <f>LAVORAZIONI!AH591</f>
        <v/>
      </c>
      <c r="AC85" s="7">
        <f>LAVORAZIONI!AI591</f>
        <v/>
      </c>
      <c r="AD85" s="13">
        <f>LAVORAZIONI!AJ591</f>
        <v/>
      </c>
    </row>
    <row r="86" ht="56" customHeight="1" s="35">
      <c r="B86" s="4">
        <f>LAVORAZIONI!G592</f>
        <v/>
      </c>
      <c r="C86" s="3">
        <f>LAVORAZIONI!A592</f>
        <v/>
      </c>
      <c r="D86" s="3">
        <f>LAVORAZIONI!K592</f>
        <v/>
      </c>
      <c r="E86" s="4">
        <f>LAVORAZIONI!H592</f>
        <v/>
      </c>
      <c r="F86" s="4">
        <f>LAVORAZIONI!M592</f>
        <v/>
      </c>
      <c r="G86" s="5">
        <f>LAVORAZIONI!N592</f>
        <v/>
      </c>
      <c r="H86" s="6">
        <f>LAVORAZIONI!O592</f>
        <v/>
      </c>
      <c r="I86" s="13">
        <f>LAVORAZIONI!P592</f>
        <v/>
      </c>
      <c r="J86" s="5">
        <f>IF(LAVORAZIONI!Q592="","",LAVORAZIONI!Q592)</f>
        <v/>
      </c>
      <c r="K86" s="6">
        <f>IF(LAVORAZIONI!R592="","",LAVORAZIONI!R592)</f>
        <v/>
      </c>
      <c r="L86" s="13">
        <f>IF(LAVORAZIONI!S592="","",LAVORAZIONI!S592)</f>
        <v/>
      </c>
      <c r="M86" s="13">
        <f>LAVORAZIONI!T592</f>
        <v/>
      </c>
      <c r="O86" s="7">
        <f>LAVORAZIONI!U592</f>
        <v/>
      </c>
      <c r="P86" s="37">
        <f>LAVORAZIONI!V592</f>
        <v/>
      </c>
      <c r="Q86" s="7">
        <f>LAVORAZIONI!W592</f>
        <v/>
      </c>
      <c r="R86" s="6">
        <f>LAVORAZIONI!X592</f>
        <v/>
      </c>
      <c r="S86" s="7">
        <f>LAVORAZIONI!Y592</f>
        <v/>
      </c>
      <c r="T86" s="6">
        <f>LAVORAZIONI!Z592</f>
        <v/>
      </c>
      <c r="U86" s="7">
        <f>LAVORAZIONI!AA592</f>
        <v/>
      </c>
      <c r="V86" s="6">
        <f>LAVORAZIONI!AB592</f>
        <v/>
      </c>
      <c r="W86" s="7">
        <f>LAVORAZIONI!AC592</f>
        <v/>
      </c>
      <c r="X86" s="6">
        <f>LAVORAZIONI!AD592</f>
        <v/>
      </c>
      <c r="Y86" s="7">
        <f>LAVORAZIONI!AE592</f>
        <v/>
      </c>
      <c r="Z86" s="6">
        <f>LAVORAZIONI!AF592</f>
        <v/>
      </c>
      <c r="AA86" s="7">
        <f>LAVORAZIONI!AG592</f>
        <v/>
      </c>
      <c r="AB86" s="6">
        <f>LAVORAZIONI!AH592</f>
        <v/>
      </c>
      <c r="AC86" s="7">
        <f>LAVORAZIONI!AI592</f>
        <v/>
      </c>
      <c r="AD86" s="13">
        <f>LAVORAZIONI!AJ592</f>
        <v/>
      </c>
    </row>
    <row r="87" ht="56" customHeight="1" s="35">
      <c r="B87" s="4">
        <f>LAVORAZIONI!G593</f>
        <v/>
      </c>
      <c r="C87" s="3">
        <f>LAVORAZIONI!A593</f>
        <v/>
      </c>
      <c r="D87" s="3">
        <f>LAVORAZIONI!K593</f>
        <v/>
      </c>
      <c r="E87" s="4">
        <f>LAVORAZIONI!H593</f>
        <v/>
      </c>
      <c r="F87" s="4">
        <f>LAVORAZIONI!M593</f>
        <v/>
      </c>
      <c r="G87" s="5">
        <f>LAVORAZIONI!N593</f>
        <v/>
      </c>
      <c r="H87" s="6">
        <f>LAVORAZIONI!O593</f>
        <v/>
      </c>
      <c r="I87" s="13">
        <f>LAVORAZIONI!P593</f>
        <v/>
      </c>
      <c r="J87" s="5">
        <f>IF(LAVORAZIONI!Q593="","",LAVORAZIONI!Q593)</f>
        <v/>
      </c>
      <c r="K87" s="6">
        <f>IF(LAVORAZIONI!R593="","",LAVORAZIONI!R593)</f>
        <v/>
      </c>
      <c r="L87" s="13">
        <f>IF(LAVORAZIONI!S593="","",LAVORAZIONI!S593)</f>
        <v/>
      </c>
      <c r="M87" s="13">
        <f>LAVORAZIONI!T593</f>
        <v/>
      </c>
      <c r="O87" s="7">
        <f>LAVORAZIONI!U593</f>
        <v/>
      </c>
      <c r="P87" s="37">
        <f>LAVORAZIONI!V593</f>
        <v/>
      </c>
      <c r="Q87" s="7">
        <f>LAVORAZIONI!W593</f>
        <v/>
      </c>
      <c r="R87" s="6">
        <f>LAVORAZIONI!X593</f>
        <v/>
      </c>
      <c r="S87" s="7">
        <f>LAVORAZIONI!Y593</f>
        <v/>
      </c>
      <c r="T87" s="6">
        <f>LAVORAZIONI!Z593</f>
        <v/>
      </c>
      <c r="U87" s="7">
        <f>LAVORAZIONI!AA593</f>
        <v/>
      </c>
      <c r="V87" s="6">
        <f>LAVORAZIONI!AB593</f>
        <v/>
      </c>
      <c r="W87" s="7">
        <f>LAVORAZIONI!AC593</f>
        <v/>
      </c>
      <c r="X87" s="6">
        <f>LAVORAZIONI!AD593</f>
        <v/>
      </c>
      <c r="Y87" s="7">
        <f>LAVORAZIONI!AE593</f>
        <v/>
      </c>
      <c r="Z87" s="6">
        <f>LAVORAZIONI!AF593</f>
        <v/>
      </c>
      <c r="AA87" s="7">
        <f>LAVORAZIONI!AG593</f>
        <v/>
      </c>
      <c r="AB87" s="6">
        <f>LAVORAZIONI!AH593</f>
        <v/>
      </c>
      <c r="AC87" s="7">
        <f>LAVORAZIONI!AI593</f>
        <v/>
      </c>
      <c r="AD87" s="13">
        <f>LAVORAZIONI!AJ593</f>
        <v/>
      </c>
    </row>
    <row r="88" ht="56" customHeight="1" s="35">
      <c r="B88" s="4">
        <f>LAVORAZIONI!G594</f>
        <v/>
      </c>
      <c r="C88" s="3">
        <f>LAVORAZIONI!A594</f>
        <v/>
      </c>
      <c r="D88" s="3">
        <f>LAVORAZIONI!K594</f>
        <v/>
      </c>
      <c r="E88" s="4">
        <f>LAVORAZIONI!H594</f>
        <v/>
      </c>
      <c r="F88" s="4">
        <f>LAVORAZIONI!M594</f>
        <v/>
      </c>
      <c r="G88" s="5">
        <f>LAVORAZIONI!N594</f>
        <v/>
      </c>
      <c r="H88" s="6">
        <f>LAVORAZIONI!O594</f>
        <v/>
      </c>
      <c r="I88" s="13">
        <f>LAVORAZIONI!P594</f>
        <v/>
      </c>
      <c r="J88" s="5">
        <f>IF(LAVORAZIONI!Q594="","",LAVORAZIONI!Q594)</f>
        <v/>
      </c>
      <c r="K88" s="6">
        <f>IF(LAVORAZIONI!R594="","",LAVORAZIONI!R594)</f>
        <v/>
      </c>
      <c r="L88" s="13">
        <f>IF(LAVORAZIONI!S594="","",LAVORAZIONI!S594)</f>
        <v/>
      </c>
      <c r="M88" s="13">
        <f>LAVORAZIONI!T594</f>
        <v/>
      </c>
      <c r="O88" s="7">
        <f>LAVORAZIONI!U594</f>
        <v/>
      </c>
      <c r="P88" s="37">
        <f>LAVORAZIONI!V594</f>
        <v/>
      </c>
      <c r="Q88" s="7">
        <f>LAVORAZIONI!W594</f>
        <v/>
      </c>
      <c r="R88" s="6">
        <f>LAVORAZIONI!X594</f>
        <v/>
      </c>
      <c r="S88" s="7">
        <f>LAVORAZIONI!Y594</f>
        <v/>
      </c>
      <c r="T88" s="6">
        <f>LAVORAZIONI!Z594</f>
        <v/>
      </c>
      <c r="U88" s="7">
        <f>LAVORAZIONI!AA594</f>
        <v/>
      </c>
      <c r="V88" s="6">
        <f>LAVORAZIONI!AB594</f>
        <v/>
      </c>
      <c r="W88" s="7">
        <f>LAVORAZIONI!AC594</f>
        <v/>
      </c>
      <c r="X88" s="6">
        <f>LAVORAZIONI!AD594</f>
        <v/>
      </c>
      <c r="Y88" s="7">
        <f>LAVORAZIONI!AE594</f>
        <v/>
      </c>
      <c r="Z88" s="6">
        <f>LAVORAZIONI!AF594</f>
        <v/>
      </c>
      <c r="AA88" s="7">
        <f>LAVORAZIONI!AG594</f>
        <v/>
      </c>
      <c r="AB88" s="6">
        <f>LAVORAZIONI!AH594</f>
        <v/>
      </c>
      <c r="AC88" s="7">
        <f>LAVORAZIONI!AI594</f>
        <v/>
      </c>
      <c r="AD88" s="13">
        <f>LAVORAZIONI!AJ594</f>
        <v/>
      </c>
    </row>
    <row r="89" ht="56" customHeight="1" s="35">
      <c r="B89" s="4">
        <f>LAVORAZIONI!G595</f>
        <v/>
      </c>
      <c r="C89" s="3">
        <f>LAVORAZIONI!A595</f>
        <v/>
      </c>
      <c r="D89" s="3">
        <f>LAVORAZIONI!K595</f>
        <v/>
      </c>
      <c r="E89" s="4">
        <f>LAVORAZIONI!H595</f>
        <v/>
      </c>
      <c r="F89" s="4">
        <f>LAVORAZIONI!M595</f>
        <v/>
      </c>
      <c r="G89" s="5">
        <f>LAVORAZIONI!N595</f>
        <v/>
      </c>
      <c r="H89" s="6">
        <f>LAVORAZIONI!O595</f>
        <v/>
      </c>
      <c r="I89" s="13">
        <f>LAVORAZIONI!P595</f>
        <v/>
      </c>
      <c r="J89" s="5">
        <f>IF(LAVORAZIONI!Q595="","",LAVORAZIONI!Q595)</f>
        <v/>
      </c>
      <c r="K89" s="6">
        <f>IF(LAVORAZIONI!R595="","",LAVORAZIONI!R595)</f>
        <v/>
      </c>
      <c r="L89" s="13">
        <f>IF(LAVORAZIONI!S595="","",LAVORAZIONI!S595)</f>
        <v/>
      </c>
      <c r="M89" s="13">
        <f>LAVORAZIONI!T595</f>
        <v/>
      </c>
      <c r="O89" s="7">
        <f>LAVORAZIONI!U595</f>
        <v/>
      </c>
      <c r="P89" s="37">
        <f>LAVORAZIONI!V595</f>
        <v/>
      </c>
      <c r="Q89" s="7">
        <f>LAVORAZIONI!W595</f>
        <v/>
      </c>
      <c r="R89" s="6">
        <f>LAVORAZIONI!X595</f>
        <v/>
      </c>
      <c r="S89" s="7">
        <f>LAVORAZIONI!Y595</f>
        <v/>
      </c>
      <c r="T89" s="6">
        <f>LAVORAZIONI!Z595</f>
        <v/>
      </c>
      <c r="U89" s="7">
        <f>LAVORAZIONI!AA595</f>
        <v/>
      </c>
      <c r="V89" s="6">
        <f>LAVORAZIONI!AB595</f>
        <v/>
      </c>
      <c r="W89" s="7">
        <f>LAVORAZIONI!AC595</f>
        <v/>
      </c>
      <c r="X89" s="6">
        <f>LAVORAZIONI!AD595</f>
        <v/>
      </c>
      <c r="Y89" s="7">
        <f>LAVORAZIONI!AE595</f>
        <v/>
      </c>
      <c r="Z89" s="6">
        <f>LAVORAZIONI!AF595</f>
        <v/>
      </c>
      <c r="AA89" s="7">
        <f>LAVORAZIONI!AG595</f>
        <v/>
      </c>
      <c r="AB89" s="6">
        <f>LAVORAZIONI!AH595</f>
        <v/>
      </c>
      <c r="AC89" s="7">
        <f>LAVORAZIONI!AI595</f>
        <v/>
      </c>
      <c r="AD89" s="13">
        <f>LAVORAZIONI!AJ595</f>
        <v/>
      </c>
    </row>
    <row r="90" ht="56" customHeight="1" s="35">
      <c r="B90" s="4">
        <f>LAVORAZIONI!G596</f>
        <v/>
      </c>
      <c r="C90" s="3">
        <f>LAVORAZIONI!A596</f>
        <v/>
      </c>
      <c r="D90" s="3">
        <f>LAVORAZIONI!K596</f>
        <v/>
      </c>
      <c r="E90" s="4">
        <f>LAVORAZIONI!H596</f>
        <v/>
      </c>
      <c r="F90" s="4">
        <f>LAVORAZIONI!M596</f>
        <v/>
      </c>
      <c r="G90" s="5">
        <f>LAVORAZIONI!N596</f>
        <v/>
      </c>
      <c r="H90" s="6">
        <f>LAVORAZIONI!O596</f>
        <v/>
      </c>
      <c r="I90" s="13">
        <f>LAVORAZIONI!P596</f>
        <v/>
      </c>
      <c r="J90" s="5">
        <f>IF(LAVORAZIONI!Q596="","",LAVORAZIONI!Q596)</f>
        <v/>
      </c>
      <c r="K90" s="6">
        <f>IF(LAVORAZIONI!R596="","",LAVORAZIONI!R596)</f>
        <v/>
      </c>
      <c r="L90" s="13">
        <f>IF(LAVORAZIONI!S596="","",LAVORAZIONI!S596)</f>
        <v/>
      </c>
      <c r="M90" s="13">
        <f>LAVORAZIONI!T596</f>
        <v/>
      </c>
      <c r="O90" s="7">
        <f>LAVORAZIONI!U596</f>
        <v/>
      </c>
      <c r="P90" s="37">
        <f>LAVORAZIONI!V596</f>
        <v/>
      </c>
      <c r="Q90" s="7">
        <f>LAVORAZIONI!W596</f>
        <v/>
      </c>
      <c r="R90" s="6">
        <f>LAVORAZIONI!X596</f>
        <v/>
      </c>
      <c r="S90" s="7">
        <f>LAVORAZIONI!Y596</f>
        <v/>
      </c>
      <c r="T90" s="6">
        <f>LAVORAZIONI!Z596</f>
        <v/>
      </c>
      <c r="U90" s="7">
        <f>LAVORAZIONI!AA596</f>
        <v/>
      </c>
      <c r="V90" s="6">
        <f>LAVORAZIONI!AB596</f>
        <v/>
      </c>
      <c r="W90" s="7">
        <f>LAVORAZIONI!AC596</f>
        <v/>
      </c>
      <c r="X90" s="6">
        <f>LAVORAZIONI!AD596</f>
        <v/>
      </c>
      <c r="Y90" s="7">
        <f>LAVORAZIONI!AE596</f>
        <v/>
      </c>
      <c r="Z90" s="6">
        <f>LAVORAZIONI!AF596</f>
        <v/>
      </c>
      <c r="AA90" s="7">
        <f>LAVORAZIONI!AG596</f>
        <v/>
      </c>
      <c r="AB90" s="6">
        <f>LAVORAZIONI!AH596</f>
        <v/>
      </c>
      <c r="AC90" s="7">
        <f>LAVORAZIONI!AI596</f>
        <v/>
      </c>
      <c r="AD90" s="13">
        <f>LAVORAZIONI!AJ596</f>
        <v/>
      </c>
    </row>
    <row r="91" ht="56" customHeight="1" s="35">
      <c r="B91" s="4">
        <f>LAVORAZIONI!G597</f>
        <v/>
      </c>
      <c r="C91" s="3">
        <f>LAVORAZIONI!A597</f>
        <v/>
      </c>
      <c r="D91" s="3">
        <f>LAVORAZIONI!K597</f>
        <v/>
      </c>
      <c r="E91" s="4">
        <f>LAVORAZIONI!H597</f>
        <v/>
      </c>
      <c r="F91" s="4">
        <f>LAVORAZIONI!M597</f>
        <v/>
      </c>
      <c r="G91" s="5">
        <f>LAVORAZIONI!N597</f>
        <v/>
      </c>
      <c r="H91" s="6">
        <f>LAVORAZIONI!O597</f>
        <v/>
      </c>
      <c r="I91" s="13">
        <f>LAVORAZIONI!P597</f>
        <v/>
      </c>
      <c r="J91" s="5">
        <f>IF(LAVORAZIONI!Q597="","",LAVORAZIONI!Q597)</f>
        <v/>
      </c>
      <c r="K91" s="6">
        <f>IF(LAVORAZIONI!R597="","",LAVORAZIONI!R597)</f>
        <v/>
      </c>
      <c r="L91" s="13">
        <f>IF(LAVORAZIONI!S597="","",LAVORAZIONI!S597)</f>
        <v/>
      </c>
      <c r="M91" s="13">
        <f>LAVORAZIONI!T597</f>
        <v/>
      </c>
      <c r="O91" s="7">
        <f>LAVORAZIONI!U597</f>
        <v/>
      </c>
      <c r="P91" s="37">
        <f>LAVORAZIONI!V597</f>
        <v/>
      </c>
      <c r="Q91" s="7">
        <f>LAVORAZIONI!W597</f>
        <v/>
      </c>
      <c r="R91" s="6">
        <f>LAVORAZIONI!X597</f>
        <v/>
      </c>
      <c r="S91" s="7">
        <f>LAVORAZIONI!Y597</f>
        <v/>
      </c>
      <c r="T91" s="6">
        <f>LAVORAZIONI!Z597</f>
        <v/>
      </c>
      <c r="U91" s="7">
        <f>LAVORAZIONI!AA597</f>
        <v/>
      </c>
      <c r="V91" s="6">
        <f>LAVORAZIONI!AB597</f>
        <v/>
      </c>
      <c r="W91" s="7">
        <f>LAVORAZIONI!AC597</f>
        <v/>
      </c>
      <c r="X91" s="6">
        <f>LAVORAZIONI!AD597</f>
        <v/>
      </c>
      <c r="Y91" s="7">
        <f>LAVORAZIONI!AE597</f>
        <v/>
      </c>
      <c r="Z91" s="6">
        <f>LAVORAZIONI!AF597</f>
        <v/>
      </c>
      <c r="AA91" s="7">
        <f>LAVORAZIONI!AG597</f>
        <v/>
      </c>
      <c r="AB91" s="6">
        <f>LAVORAZIONI!AH597</f>
        <v/>
      </c>
      <c r="AC91" s="7">
        <f>LAVORAZIONI!AI597</f>
        <v/>
      </c>
      <c r="AD91" s="13">
        <f>LAVORAZIONI!AJ597</f>
        <v/>
      </c>
    </row>
    <row r="92" ht="56" customHeight="1" s="35">
      <c r="B92" s="4">
        <f>LAVORAZIONI!G598</f>
        <v/>
      </c>
      <c r="C92" s="3">
        <f>LAVORAZIONI!A598</f>
        <v/>
      </c>
      <c r="D92" s="3">
        <f>LAVORAZIONI!K598</f>
        <v/>
      </c>
      <c r="E92" s="4">
        <f>LAVORAZIONI!H598</f>
        <v/>
      </c>
      <c r="F92" s="4">
        <f>LAVORAZIONI!M598</f>
        <v/>
      </c>
      <c r="G92" s="5">
        <f>LAVORAZIONI!N598</f>
        <v/>
      </c>
      <c r="H92" s="6">
        <f>LAVORAZIONI!O598</f>
        <v/>
      </c>
      <c r="I92" s="13">
        <f>LAVORAZIONI!P598</f>
        <v/>
      </c>
      <c r="J92" s="5">
        <f>IF(LAVORAZIONI!Q598="","",LAVORAZIONI!Q598)</f>
        <v/>
      </c>
      <c r="K92" s="6">
        <f>IF(LAVORAZIONI!R598="","",LAVORAZIONI!R598)</f>
        <v/>
      </c>
      <c r="L92" s="13">
        <f>IF(LAVORAZIONI!S598="","",LAVORAZIONI!S598)</f>
        <v/>
      </c>
      <c r="M92" s="13">
        <f>LAVORAZIONI!T598</f>
        <v/>
      </c>
      <c r="O92" s="7">
        <f>LAVORAZIONI!U598</f>
        <v/>
      </c>
      <c r="P92" s="37">
        <f>LAVORAZIONI!V598</f>
        <v/>
      </c>
      <c r="Q92" s="7">
        <f>LAVORAZIONI!W598</f>
        <v/>
      </c>
      <c r="R92" s="6">
        <f>LAVORAZIONI!X598</f>
        <v/>
      </c>
      <c r="S92" s="7">
        <f>LAVORAZIONI!Y598</f>
        <v/>
      </c>
      <c r="T92" s="6">
        <f>LAVORAZIONI!Z598</f>
        <v/>
      </c>
      <c r="U92" s="7">
        <f>LAVORAZIONI!AA598</f>
        <v/>
      </c>
      <c r="V92" s="6">
        <f>LAVORAZIONI!AB598</f>
        <v/>
      </c>
      <c r="W92" s="7">
        <f>LAVORAZIONI!AC598</f>
        <v/>
      </c>
      <c r="X92" s="6">
        <f>LAVORAZIONI!AD598</f>
        <v/>
      </c>
      <c r="Y92" s="7">
        <f>LAVORAZIONI!AE598</f>
        <v/>
      </c>
      <c r="Z92" s="6">
        <f>LAVORAZIONI!AF598</f>
        <v/>
      </c>
      <c r="AA92" s="7">
        <f>LAVORAZIONI!AG598</f>
        <v/>
      </c>
      <c r="AB92" s="6">
        <f>LAVORAZIONI!AH598</f>
        <v/>
      </c>
      <c r="AC92" s="7">
        <f>LAVORAZIONI!AI598</f>
        <v/>
      </c>
      <c r="AD92" s="13">
        <f>LAVORAZIONI!AJ598</f>
        <v/>
      </c>
    </row>
    <row r="93" ht="56" customHeight="1" s="35">
      <c r="B93" s="4">
        <f>LAVORAZIONI!G599</f>
        <v/>
      </c>
      <c r="C93" s="3">
        <f>LAVORAZIONI!A599</f>
        <v/>
      </c>
      <c r="D93" s="3">
        <f>LAVORAZIONI!K599</f>
        <v/>
      </c>
      <c r="E93" s="4">
        <f>LAVORAZIONI!H599</f>
        <v/>
      </c>
      <c r="F93" s="4">
        <f>LAVORAZIONI!M599</f>
        <v/>
      </c>
      <c r="G93" s="5">
        <f>LAVORAZIONI!N599</f>
        <v/>
      </c>
      <c r="H93" s="6">
        <f>LAVORAZIONI!O599</f>
        <v/>
      </c>
      <c r="I93" s="13">
        <f>LAVORAZIONI!P599</f>
        <v/>
      </c>
      <c r="J93" s="5">
        <f>IF(LAVORAZIONI!Q599="","",LAVORAZIONI!Q599)</f>
        <v/>
      </c>
      <c r="K93" s="6">
        <f>IF(LAVORAZIONI!R599="","",LAVORAZIONI!R599)</f>
        <v/>
      </c>
      <c r="L93" s="13">
        <f>IF(LAVORAZIONI!S599="","",LAVORAZIONI!S599)</f>
        <v/>
      </c>
      <c r="M93" s="13">
        <f>LAVORAZIONI!T599</f>
        <v/>
      </c>
      <c r="O93" s="7">
        <f>LAVORAZIONI!U599</f>
        <v/>
      </c>
      <c r="P93" s="37">
        <f>LAVORAZIONI!V599</f>
        <v/>
      </c>
      <c r="Q93" s="7">
        <f>LAVORAZIONI!W599</f>
        <v/>
      </c>
      <c r="R93" s="6">
        <f>LAVORAZIONI!X599</f>
        <v/>
      </c>
      <c r="S93" s="7">
        <f>LAVORAZIONI!Y599</f>
        <v/>
      </c>
      <c r="T93" s="6">
        <f>LAVORAZIONI!Z599</f>
        <v/>
      </c>
      <c r="U93" s="7">
        <f>LAVORAZIONI!AA599</f>
        <v/>
      </c>
      <c r="V93" s="6">
        <f>LAVORAZIONI!AB599</f>
        <v/>
      </c>
      <c r="W93" s="7">
        <f>LAVORAZIONI!AC599</f>
        <v/>
      </c>
      <c r="X93" s="6">
        <f>LAVORAZIONI!AD599</f>
        <v/>
      </c>
      <c r="Y93" s="7">
        <f>LAVORAZIONI!AE599</f>
        <v/>
      </c>
      <c r="Z93" s="6">
        <f>LAVORAZIONI!AF599</f>
        <v/>
      </c>
      <c r="AA93" s="7">
        <f>LAVORAZIONI!AG599</f>
        <v/>
      </c>
      <c r="AB93" s="6">
        <f>LAVORAZIONI!AH599</f>
        <v/>
      </c>
      <c r="AC93" s="7">
        <f>LAVORAZIONI!AI599</f>
        <v/>
      </c>
      <c r="AD93" s="13">
        <f>LAVORAZIONI!AJ599</f>
        <v/>
      </c>
    </row>
    <row r="94" ht="56" customHeight="1" s="35">
      <c r="B94" s="4">
        <f>LAVORAZIONI!G600</f>
        <v/>
      </c>
      <c r="C94" s="3">
        <f>LAVORAZIONI!A600</f>
        <v/>
      </c>
      <c r="D94" s="3">
        <f>LAVORAZIONI!K600</f>
        <v/>
      </c>
      <c r="E94" s="4">
        <f>LAVORAZIONI!H600</f>
        <v/>
      </c>
      <c r="F94" s="4">
        <f>LAVORAZIONI!M600</f>
        <v/>
      </c>
      <c r="G94" s="5">
        <f>LAVORAZIONI!N600</f>
        <v/>
      </c>
      <c r="H94" s="6">
        <f>LAVORAZIONI!O600</f>
        <v/>
      </c>
      <c r="I94" s="13">
        <f>LAVORAZIONI!P600</f>
        <v/>
      </c>
      <c r="J94" s="5">
        <f>IF(LAVORAZIONI!Q600="","",LAVORAZIONI!Q600)</f>
        <v/>
      </c>
      <c r="K94" s="6">
        <f>IF(LAVORAZIONI!R600="","",LAVORAZIONI!R600)</f>
        <v/>
      </c>
      <c r="L94" s="13">
        <f>IF(LAVORAZIONI!S600="","",LAVORAZIONI!S600)</f>
        <v/>
      </c>
      <c r="M94" s="13">
        <f>LAVORAZIONI!T600</f>
        <v/>
      </c>
      <c r="O94" s="7">
        <f>LAVORAZIONI!U600</f>
        <v/>
      </c>
      <c r="P94" s="37">
        <f>LAVORAZIONI!V600</f>
        <v/>
      </c>
      <c r="Q94" s="7">
        <f>LAVORAZIONI!W600</f>
        <v/>
      </c>
      <c r="R94" s="6">
        <f>LAVORAZIONI!X600</f>
        <v/>
      </c>
      <c r="S94" s="7">
        <f>LAVORAZIONI!Y600</f>
        <v/>
      </c>
      <c r="T94" s="6">
        <f>LAVORAZIONI!Z600</f>
        <v/>
      </c>
      <c r="U94" s="7">
        <f>LAVORAZIONI!AA600</f>
        <v/>
      </c>
      <c r="V94" s="6">
        <f>LAVORAZIONI!AB600</f>
        <v/>
      </c>
      <c r="W94" s="7">
        <f>LAVORAZIONI!AC600</f>
        <v/>
      </c>
      <c r="X94" s="6">
        <f>LAVORAZIONI!AD600</f>
        <v/>
      </c>
      <c r="Y94" s="7">
        <f>LAVORAZIONI!AE600</f>
        <v/>
      </c>
      <c r="Z94" s="6">
        <f>LAVORAZIONI!AF600</f>
        <v/>
      </c>
      <c r="AA94" s="7">
        <f>LAVORAZIONI!AG600</f>
        <v/>
      </c>
      <c r="AB94" s="6">
        <f>LAVORAZIONI!AH600</f>
        <v/>
      </c>
      <c r="AC94" s="7">
        <f>LAVORAZIONI!AI600</f>
        <v/>
      </c>
      <c r="AD94" s="13">
        <f>LAVORAZIONI!AJ600</f>
        <v/>
      </c>
    </row>
    <row r="95" ht="56" customHeight="1" s="35">
      <c r="B95" s="4">
        <f>LAVORAZIONI!G601</f>
        <v/>
      </c>
      <c r="C95" s="3">
        <f>LAVORAZIONI!A601</f>
        <v/>
      </c>
      <c r="D95" s="3">
        <f>LAVORAZIONI!K601</f>
        <v/>
      </c>
      <c r="E95" s="4">
        <f>LAVORAZIONI!H601</f>
        <v/>
      </c>
      <c r="F95" s="4">
        <f>LAVORAZIONI!M601</f>
        <v/>
      </c>
      <c r="G95" s="5">
        <f>LAVORAZIONI!N601</f>
        <v/>
      </c>
      <c r="H95" s="6">
        <f>LAVORAZIONI!O601</f>
        <v/>
      </c>
      <c r="I95" s="13">
        <f>LAVORAZIONI!P601</f>
        <v/>
      </c>
      <c r="J95" s="5">
        <f>IF(LAVORAZIONI!Q601="","",LAVORAZIONI!Q601)</f>
        <v/>
      </c>
      <c r="K95" s="6">
        <f>IF(LAVORAZIONI!R601="","",LAVORAZIONI!R601)</f>
        <v/>
      </c>
      <c r="L95" s="13">
        <f>IF(LAVORAZIONI!S601="","",LAVORAZIONI!S601)</f>
        <v/>
      </c>
      <c r="M95" s="13">
        <f>LAVORAZIONI!T601</f>
        <v/>
      </c>
      <c r="O95" s="7">
        <f>LAVORAZIONI!U601</f>
        <v/>
      </c>
      <c r="P95" s="37">
        <f>LAVORAZIONI!V601</f>
        <v/>
      </c>
      <c r="Q95" s="7">
        <f>LAVORAZIONI!W601</f>
        <v/>
      </c>
      <c r="R95" s="6">
        <f>LAVORAZIONI!X601</f>
        <v/>
      </c>
      <c r="S95" s="7">
        <f>LAVORAZIONI!Y601</f>
        <v/>
      </c>
      <c r="T95" s="6">
        <f>LAVORAZIONI!Z601</f>
        <v/>
      </c>
      <c r="U95" s="7">
        <f>LAVORAZIONI!AA601</f>
        <v/>
      </c>
      <c r="V95" s="6">
        <f>LAVORAZIONI!AB601</f>
        <v/>
      </c>
      <c r="W95" s="7">
        <f>LAVORAZIONI!AC601</f>
        <v/>
      </c>
      <c r="X95" s="6">
        <f>LAVORAZIONI!AD601</f>
        <v/>
      </c>
      <c r="Y95" s="7">
        <f>LAVORAZIONI!AE601</f>
        <v/>
      </c>
      <c r="Z95" s="6">
        <f>LAVORAZIONI!AF601</f>
        <v/>
      </c>
      <c r="AA95" s="7">
        <f>LAVORAZIONI!AG601</f>
        <v/>
      </c>
      <c r="AB95" s="6">
        <f>LAVORAZIONI!AH601</f>
        <v/>
      </c>
      <c r="AC95" s="7">
        <f>LAVORAZIONI!AI601</f>
        <v/>
      </c>
      <c r="AD95" s="13">
        <f>LAVORAZIONI!AJ601</f>
        <v/>
      </c>
    </row>
    <row r="96" ht="56" customHeight="1" s="35">
      <c r="B96" s="4">
        <f>LAVORAZIONI!G602</f>
        <v/>
      </c>
      <c r="C96" s="3">
        <f>LAVORAZIONI!A602</f>
        <v/>
      </c>
      <c r="D96" s="3">
        <f>LAVORAZIONI!K602</f>
        <v/>
      </c>
      <c r="E96" s="4">
        <f>LAVORAZIONI!H602</f>
        <v/>
      </c>
      <c r="F96" s="4">
        <f>LAVORAZIONI!M602</f>
        <v/>
      </c>
      <c r="G96" s="5">
        <f>LAVORAZIONI!N602</f>
        <v/>
      </c>
      <c r="H96" s="6">
        <f>LAVORAZIONI!O602</f>
        <v/>
      </c>
      <c r="I96" s="13">
        <f>LAVORAZIONI!P602</f>
        <v/>
      </c>
      <c r="J96" s="5">
        <f>IF(LAVORAZIONI!Q602="","",LAVORAZIONI!Q602)</f>
        <v/>
      </c>
      <c r="K96" s="6">
        <f>IF(LAVORAZIONI!R602="","",LAVORAZIONI!R602)</f>
        <v/>
      </c>
      <c r="L96" s="13">
        <f>IF(LAVORAZIONI!S602="","",LAVORAZIONI!S602)</f>
        <v/>
      </c>
      <c r="M96" s="13">
        <f>LAVORAZIONI!T602</f>
        <v/>
      </c>
      <c r="O96" s="7">
        <f>LAVORAZIONI!U602</f>
        <v/>
      </c>
      <c r="P96" s="37">
        <f>LAVORAZIONI!V602</f>
        <v/>
      </c>
      <c r="Q96" s="7">
        <f>LAVORAZIONI!W602</f>
        <v/>
      </c>
      <c r="R96" s="6">
        <f>LAVORAZIONI!X602</f>
        <v/>
      </c>
      <c r="S96" s="7">
        <f>LAVORAZIONI!Y602</f>
        <v/>
      </c>
      <c r="T96" s="6">
        <f>LAVORAZIONI!Z602</f>
        <v/>
      </c>
      <c r="U96" s="7">
        <f>LAVORAZIONI!AA602</f>
        <v/>
      </c>
      <c r="V96" s="6">
        <f>LAVORAZIONI!AB602</f>
        <v/>
      </c>
      <c r="W96" s="7">
        <f>LAVORAZIONI!AC602</f>
        <v/>
      </c>
      <c r="X96" s="6">
        <f>LAVORAZIONI!AD602</f>
        <v/>
      </c>
      <c r="Y96" s="7">
        <f>LAVORAZIONI!AE602</f>
        <v/>
      </c>
      <c r="Z96" s="6">
        <f>LAVORAZIONI!AF602</f>
        <v/>
      </c>
      <c r="AA96" s="7">
        <f>LAVORAZIONI!AG602</f>
        <v/>
      </c>
      <c r="AB96" s="6">
        <f>LAVORAZIONI!AH602</f>
        <v/>
      </c>
      <c r="AC96" s="7">
        <f>LAVORAZIONI!AI602</f>
        <v/>
      </c>
      <c r="AD96" s="13">
        <f>LAVORAZIONI!AJ602</f>
        <v/>
      </c>
    </row>
    <row r="97" ht="56" customHeight="1" s="35">
      <c r="B97" s="4">
        <f>LAVORAZIONI!G603</f>
        <v/>
      </c>
      <c r="C97" s="3">
        <f>LAVORAZIONI!A603</f>
        <v/>
      </c>
      <c r="D97" s="3">
        <f>LAVORAZIONI!K603</f>
        <v/>
      </c>
      <c r="E97" s="4">
        <f>LAVORAZIONI!H603</f>
        <v/>
      </c>
      <c r="F97" s="4">
        <f>LAVORAZIONI!M603</f>
        <v/>
      </c>
      <c r="G97" s="5">
        <f>LAVORAZIONI!N603</f>
        <v/>
      </c>
      <c r="H97" s="6">
        <f>LAVORAZIONI!O603</f>
        <v/>
      </c>
      <c r="I97" s="13">
        <f>LAVORAZIONI!P603</f>
        <v/>
      </c>
      <c r="J97" s="5">
        <f>IF(LAVORAZIONI!Q603="","",LAVORAZIONI!Q603)</f>
        <v/>
      </c>
      <c r="K97" s="6">
        <f>IF(LAVORAZIONI!R603="","",LAVORAZIONI!R603)</f>
        <v/>
      </c>
      <c r="L97" s="13">
        <f>IF(LAVORAZIONI!S603="","",LAVORAZIONI!S603)</f>
        <v/>
      </c>
      <c r="M97" s="13">
        <f>LAVORAZIONI!T603</f>
        <v/>
      </c>
      <c r="O97" s="7">
        <f>LAVORAZIONI!U603</f>
        <v/>
      </c>
      <c r="P97" s="37">
        <f>LAVORAZIONI!V603</f>
        <v/>
      </c>
      <c r="Q97" s="7">
        <f>LAVORAZIONI!W603</f>
        <v/>
      </c>
      <c r="R97" s="6">
        <f>LAVORAZIONI!X603</f>
        <v/>
      </c>
      <c r="S97" s="7">
        <f>LAVORAZIONI!Y603</f>
        <v/>
      </c>
      <c r="T97" s="6">
        <f>LAVORAZIONI!Z603</f>
        <v/>
      </c>
      <c r="U97" s="7">
        <f>LAVORAZIONI!AA603</f>
        <v/>
      </c>
      <c r="V97" s="6">
        <f>LAVORAZIONI!AB603</f>
        <v/>
      </c>
      <c r="W97" s="7">
        <f>LAVORAZIONI!AC603</f>
        <v/>
      </c>
      <c r="X97" s="6">
        <f>LAVORAZIONI!AD603</f>
        <v/>
      </c>
      <c r="Y97" s="7">
        <f>LAVORAZIONI!AE603</f>
        <v/>
      </c>
      <c r="Z97" s="6">
        <f>LAVORAZIONI!AF603</f>
        <v/>
      </c>
      <c r="AA97" s="7">
        <f>LAVORAZIONI!AG603</f>
        <v/>
      </c>
      <c r="AB97" s="6">
        <f>LAVORAZIONI!AH603</f>
        <v/>
      </c>
      <c r="AC97" s="7">
        <f>LAVORAZIONI!AI603</f>
        <v/>
      </c>
      <c r="AD97" s="13">
        <f>LAVORAZIONI!AJ603</f>
        <v/>
      </c>
    </row>
    <row r="98" ht="56" customHeight="1" s="35">
      <c r="B98" s="4">
        <f>LAVORAZIONI!G604</f>
        <v/>
      </c>
      <c r="C98" s="3">
        <f>LAVORAZIONI!A604</f>
        <v/>
      </c>
      <c r="D98" s="3">
        <f>LAVORAZIONI!K604</f>
        <v/>
      </c>
      <c r="E98" s="4">
        <f>LAVORAZIONI!H604</f>
        <v/>
      </c>
      <c r="F98" s="4">
        <f>LAVORAZIONI!M604</f>
        <v/>
      </c>
      <c r="G98" s="5">
        <f>LAVORAZIONI!N604</f>
        <v/>
      </c>
      <c r="H98" s="6">
        <f>LAVORAZIONI!O604</f>
        <v/>
      </c>
      <c r="I98" s="13">
        <f>LAVORAZIONI!P604</f>
        <v/>
      </c>
      <c r="J98" s="5">
        <f>IF(LAVORAZIONI!Q604="","",LAVORAZIONI!Q604)</f>
        <v/>
      </c>
      <c r="K98" s="6">
        <f>IF(LAVORAZIONI!R604="","",LAVORAZIONI!R604)</f>
        <v/>
      </c>
      <c r="L98" s="13">
        <f>IF(LAVORAZIONI!S604="","",LAVORAZIONI!S604)</f>
        <v/>
      </c>
      <c r="M98" s="13">
        <f>LAVORAZIONI!T604</f>
        <v/>
      </c>
      <c r="O98" s="7">
        <f>LAVORAZIONI!U604</f>
        <v/>
      </c>
      <c r="P98" s="37">
        <f>LAVORAZIONI!V604</f>
        <v/>
      </c>
      <c r="Q98" s="7">
        <f>LAVORAZIONI!W604</f>
        <v/>
      </c>
      <c r="R98" s="6">
        <f>LAVORAZIONI!X604</f>
        <v/>
      </c>
      <c r="S98" s="7">
        <f>LAVORAZIONI!Y604</f>
        <v/>
      </c>
      <c r="T98" s="6">
        <f>LAVORAZIONI!Z604</f>
        <v/>
      </c>
      <c r="U98" s="7">
        <f>LAVORAZIONI!AA604</f>
        <v/>
      </c>
      <c r="V98" s="6">
        <f>LAVORAZIONI!AB604</f>
        <v/>
      </c>
      <c r="W98" s="7">
        <f>LAVORAZIONI!AC604</f>
        <v/>
      </c>
      <c r="X98" s="6">
        <f>LAVORAZIONI!AD604</f>
        <v/>
      </c>
      <c r="Y98" s="7">
        <f>LAVORAZIONI!AE604</f>
        <v/>
      </c>
      <c r="Z98" s="6">
        <f>LAVORAZIONI!AF604</f>
        <v/>
      </c>
      <c r="AA98" s="7">
        <f>LAVORAZIONI!AG604</f>
        <v/>
      </c>
      <c r="AB98" s="6">
        <f>LAVORAZIONI!AH604</f>
        <v/>
      </c>
      <c r="AC98" s="7">
        <f>LAVORAZIONI!AI604</f>
        <v/>
      </c>
      <c r="AD98" s="13">
        <f>LAVORAZIONI!AJ604</f>
        <v/>
      </c>
    </row>
    <row r="99" ht="56" customHeight="1" s="35">
      <c r="B99" s="4">
        <f>LAVORAZIONI!G605</f>
        <v/>
      </c>
      <c r="C99" s="3">
        <f>LAVORAZIONI!A605</f>
        <v/>
      </c>
      <c r="D99" s="3">
        <f>LAVORAZIONI!K605</f>
        <v/>
      </c>
      <c r="E99" s="4">
        <f>LAVORAZIONI!H605</f>
        <v/>
      </c>
      <c r="F99" s="4">
        <f>LAVORAZIONI!M605</f>
        <v/>
      </c>
      <c r="G99" s="5">
        <f>LAVORAZIONI!N605</f>
        <v/>
      </c>
      <c r="H99" s="6">
        <f>LAVORAZIONI!O605</f>
        <v/>
      </c>
      <c r="I99" s="13">
        <f>LAVORAZIONI!P605</f>
        <v/>
      </c>
      <c r="J99" s="5">
        <f>IF(LAVORAZIONI!Q605="","",LAVORAZIONI!Q605)</f>
        <v/>
      </c>
      <c r="K99" s="6">
        <f>IF(LAVORAZIONI!R605="","",LAVORAZIONI!R605)</f>
        <v/>
      </c>
      <c r="L99" s="13">
        <f>IF(LAVORAZIONI!S605="","",LAVORAZIONI!S605)</f>
        <v/>
      </c>
      <c r="M99" s="13">
        <f>LAVORAZIONI!T605</f>
        <v/>
      </c>
      <c r="O99" s="7">
        <f>LAVORAZIONI!U605</f>
        <v/>
      </c>
      <c r="P99" s="37">
        <f>LAVORAZIONI!V605</f>
        <v/>
      </c>
      <c r="Q99" s="7">
        <f>LAVORAZIONI!W605</f>
        <v/>
      </c>
      <c r="R99" s="6">
        <f>LAVORAZIONI!X605</f>
        <v/>
      </c>
      <c r="S99" s="7">
        <f>LAVORAZIONI!Y605</f>
        <v/>
      </c>
      <c r="T99" s="6">
        <f>LAVORAZIONI!Z605</f>
        <v/>
      </c>
      <c r="U99" s="7">
        <f>LAVORAZIONI!AA605</f>
        <v/>
      </c>
      <c r="V99" s="6">
        <f>LAVORAZIONI!AB605</f>
        <v/>
      </c>
      <c r="W99" s="7">
        <f>LAVORAZIONI!AC605</f>
        <v/>
      </c>
      <c r="X99" s="6">
        <f>LAVORAZIONI!AD605</f>
        <v/>
      </c>
      <c r="Y99" s="7">
        <f>LAVORAZIONI!AE605</f>
        <v/>
      </c>
      <c r="Z99" s="6">
        <f>LAVORAZIONI!AF605</f>
        <v/>
      </c>
      <c r="AA99" s="7">
        <f>LAVORAZIONI!AG605</f>
        <v/>
      </c>
      <c r="AB99" s="6">
        <f>LAVORAZIONI!AH605</f>
        <v/>
      </c>
      <c r="AC99" s="7">
        <f>LAVORAZIONI!AI605</f>
        <v/>
      </c>
      <c r="AD99" s="13">
        <f>LAVORAZIONI!AJ605</f>
        <v/>
      </c>
    </row>
    <row r="100" ht="56" customHeight="1" s="35">
      <c r="B100" s="4">
        <f>LAVORAZIONI!G606</f>
        <v/>
      </c>
      <c r="C100" s="3">
        <f>LAVORAZIONI!A606</f>
        <v/>
      </c>
      <c r="D100" s="3">
        <f>LAVORAZIONI!K606</f>
        <v/>
      </c>
      <c r="E100" s="4">
        <f>LAVORAZIONI!H606</f>
        <v/>
      </c>
      <c r="F100" s="4">
        <f>LAVORAZIONI!M606</f>
        <v/>
      </c>
      <c r="G100" s="5">
        <f>LAVORAZIONI!N606</f>
        <v/>
      </c>
      <c r="H100" s="6">
        <f>LAVORAZIONI!O606</f>
        <v/>
      </c>
      <c r="I100" s="13">
        <f>LAVORAZIONI!P606</f>
        <v/>
      </c>
      <c r="J100" s="5">
        <f>IF(LAVORAZIONI!Q606="","",LAVORAZIONI!Q606)</f>
        <v/>
      </c>
      <c r="K100" s="6">
        <f>IF(LAVORAZIONI!R606="","",LAVORAZIONI!R606)</f>
        <v/>
      </c>
      <c r="L100" s="13">
        <f>IF(LAVORAZIONI!S606="","",LAVORAZIONI!S606)</f>
        <v/>
      </c>
      <c r="M100" s="13">
        <f>LAVORAZIONI!T606</f>
        <v/>
      </c>
      <c r="O100" s="7">
        <f>LAVORAZIONI!U606</f>
        <v/>
      </c>
      <c r="P100" s="37">
        <f>LAVORAZIONI!V606</f>
        <v/>
      </c>
      <c r="Q100" s="7">
        <f>LAVORAZIONI!W606</f>
        <v/>
      </c>
      <c r="R100" s="6">
        <f>LAVORAZIONI!X606</f>
        <v/>
      </c>
      <c r="S100" s="7">
        <f>LAVORAZIONI!Y606</f>
        <v/>
      </c>
      <c r="T100" s="6">
        <f>LAVORAZIONI!Z606</f>
        <v/>
      </c>
      <c r="U100" s="7">
        <f>LAVORAZIONI!AA606</f>
        <v/>
      </c>
      <c r="V100" s="6">
        <f>LAVORAZIONI!AB606</f>
        <v/>
      </c>
      <c r="W100" s="7">
        <f>LAVORAZIONI!AC606</f>
        <v/>
      </c>
      <c r="X100" s="6">
        <f>LAVORAZIONI!AD606</f>
        <v/>
      </c>
      <c r="Y100" s="7">
        <f>LAVORAZIONI!AE606</f>
        <v/>
      </c>
      <c r="Z100" s="6">
        <f>LAVORAZIONI!AF606</f>
        <v/>
      </c>
      <c r="AA100" s="7">
        <f>LAVORAZIONI!AG606</f>
        <v/>
      </c>
      <c r="AB100" s="6">
        <f>LAVORAZIONI!AH606</f>
        <v/>
      </c>
      <c r="AC100" s="7">
        <f>LAVORAZIONI!AI606</f>
        <v/>
      </c>
      <c r="AD100" s="13">
        <f>LAVORAZIONI!AJ606</f>
        <v/>
      </c>
    </row>
    <row r="101" ht="56" customHeight="1" s="35">
      <c r="B101" s="4">
        <f>LAVORAZIONI!G607</f>
        <v/>
      </c>
      <c r="C101" s="3">
        <f>LAVORAZIONI!A607</f>
        <v/>
      </c>
      <c r="D101" s="3">
        <f>LAVORAZIONI!K607</f>
        <v/>
      </c>
      <c r="E101" s="4">
        <f>LAVORAZIONI!H607</f>
        <v/>
      </c>
      <c r="F101" s="4">
        <f>LAVORAZIONI!M607</f>
        <v/>
      </c>
      <c r="G101" s="5">
        <f>LAVORAZIONI!N607</f>
        <v/>
      </c>
      <c r="H101" s="6">
        <f>LAVORAZIONI!O607</f>
        <v/>
      </c>
      <c r="I101" s="13">
        <f>LAVORAZIONI!P607</f>
        <v/>
      </c>
      <c r="J101" s="5">
        <f>IF(LAVORAZIONI!Q607="","",LAVORAZIONI!Q607)</f>
        <v/>
      </c>
      <c r="K101" s="6">
        <f>IF(LAVORAZIONI!R607="","",LAVORAZIONI!R607)</f>
        <v/>
      </c>
      <c r="L101" s="13">
        <f>IF(LAVORAZIONI!S607="","",LAVORAZIONI!S607)</f>
        <v/>
      </c>
      <c r="M101" s="13">
        <f>LAVORAZIONI!T607</f>
        <v/>
      </c>
      <c r="O101" s="7">
        <f>LAVORAZIONI!U607</f>
        <v/>
      </c>
      <c r="P101" s="37">
        <f>LAVORAZIONI!V607</f>
        <v/>
      </c>
      <c r="Q101" s="7">
        <f>LAVORAZIONI!W607</f>
        <v/>
      </c>
      <c r="R101" s="6">
        <f>LAVORAZIONI!X607</f>
        <v/>
      </c>
      <c r="S101" s="7">
        <f>LAVORAZIONI!Y607</f>
        <v/>
      </c>
      <c r="T101" s="6">
        <f>LAVORAZIONI!Z607</f>
        <v/>
      </c>
      <c r="U101" s="7">
        <f>LAVORAZIONI!AA607</f>
        <v/>
      </c>
      <c r="V101" s="6">
        <f>LAVORAZIONI!AB607</f>
        <v/>
      </c>
      <c r="W101" s="7">
        <f>LAVORAZIONI!AC607</f>
        <v/>
      </c>
      <c r="X101" s="6">
        <f>LAVORAZIONI!AD607</f>
        <v/>
      </c>
      <c r="Y101" s="7">
        <f>LAVORAZIONI!AE607</f>
        <v/>
      </c>
      <c r="Z101" s="6">
        <f>LAVORAZIONI!AF607</f>
        <v/>
      </c>
      <c r="AA101" s="7">
        <f>LAVORAZIONI!AG607</f>
        <v/>
      </c>
      <c r="AB101" s="6">
        <f>LAVORAZIONI!AH607</f>
        <v/>
      </c>
      <c r="AC101" s="7">
        <f>LAVORAZIONI!AI607</f>
        <v/>
      </c>
      <c r="AD101" s="13">
        <f>LAVORAZIONI!AJ607</f>
        <v/>
      </c>
    </row>
    <row r="102" ht="56" customHeight="1" s="35">
      <c r="B102" s="4">
        <f>LAVORAZIONI!G608</f>
        <v/>
      </c>
      <c r="C102" s="3">
        <f>LAVORAZIONI!A608</f>
        <v/>
      </c>
      <c r="D102" s="3">
        <f>LAVORAZIONI!K608</f>
        <v/>
      </c>
      <c r="E102" s="4">
        <f>LAVORAZIONI!H608</f>
        <v/>
      </c>
      <c r="F102" s="4">
        <f>LAVORAZIONI!M608</f>
        <v/>
      </c>
      <c r="G102" s="5">
        <f>LAVORAZIONI!N608</f>
        <v/>
      </c>
      <c r="H102" s="6">
        <f>LAVORAZIONI!O608</f>
        <v/>
      </c>
      <c r="I102" s="13">
        <f>LAVORAZIONI!P608</f>
        <v/>
      </c>
      <c r="J102" s="5">
        <f>IF(LAVORAZIONI!Q608="","",LAVORAZIONI!Q608)</f>
        <v/>
      </c>
      <c r="K102" s="6">
        <f>IF(LAVORAZIONI!R608="","",LAVORAZIONI!R608)</f>
        <v/>
      </c>
      <c r="L102" s="13">
        <f>IF(LAVORAZIONI!S608="","",LAVORAZIONI!S608)</f>
        <v/>
      </c>
      <c r="M102" s="13">
        <f>LAVORAZIONI!T608</f>
        <v/>
      </c>
      <c r="O102" s="7">
        <f>LAVORAZIONI!U608</f>
        <v/>
      </c>
      <c r="P102" s="37">
        <f>LAVORAZIONI!V608</f>
        <v/>
      </c>
      <c r="Q102" s="7">
        <f>LAVORAZIONI!W608</f>
        <v/>
      </c>
      <c r="R102" s="6">
        <f>LAVORAZIONI!X608</f>
        <v/>
      </c>
      <c r="S102" s="7">
        <f>LAVORAZIONI!Y608</f>
        <v/>
      </c>
      <c r="T102" s="6">
        <f>LAVORAZIONI!Z608</f>
        <v/>
      </c>
      <c r="U102" s="7">
        <f>LAVORAZIONI!AA608</f>
        <v/>
      </c>
      <c r="V102" s="6">
        <f>LAVORAZIONI!AB608</f>
        <v/>
      </c>
      <c r="W102" s="7">
        <f>LAVORAZIONI!AC608</f>
        <v/>
      </c>
      <c r="X102" s="6">
        <f>LAVORAZIONI!AD608</f>
        <v/>
      </c>
      <c r="Y102" s="7">
        <f>LAVORAZIONI!AE608</f>
        <v/>
      </c>
      <c r="Z102" s="6">
        <f>LAVORAZIONI!AF608</f>
        <v/>
      </c>
      <c r="AA102" s="7">
        <f>LAVORAZIONI!AG608</f>
        <v/>
      </c>
      <c r="AB102" s="6">
        <f>LAVORAZIONI!AH608</f>
        <v/>
      </c>
      <c r="AC102" s="7">
        <f>LAVORAZIONI!AI608</f>
        <v/>
      </c>
      <c r="AD102" s="13">
        <f>LAVORAZIONI!AJ608</f>
        <v/>
      </c>
    </row>
    <row r="103" ht="56" customHeight="1" s="35">
      <c r="D103" s="14" t="inlineStr">
        <is>
          <t>TOTALE ELETTRICHE SPECIALI</t>
        </is>
      </c>
      <c r="I103" s="10">
        <f>SUM(I5:I102)</f>
        <v/>
      </c>
      <c r="L103" s="10">
        <f>SUM(L5:L102)</f>
        <v/>
      </c>
      <c r="M103" s="10">
        <f>SUM(M5:M102)</f>
        <v/>
      </c>
      <c r="P103" s="38">
        <f>SUM(P5:P102)</f>
        <v/>
      </c>
      <c r="R103" s="10">
        <f>SUM(R5:R102)</f>
        <v/>
      </c>
      <c r="T103" s="10">
        <f>SUM(T5:T102)</f>
        <v/>
      </c>
      <c r="V103" s="10">
        <f>SUM(V5:V102)</f>
        <v/>
      </c>
      <c r="X103" s="10">
        <f>SUM(X5:X102)</f>
        <v/>
      </c>
      <c r="Z103" s="10">
        <f>SUM(Z5:Z102)</f>
        <v/>
      </c>
      <c r="AB103" s="10">
        <f>SUM(AB5:AB102)</f>
        <v/>
      </c>
      <c r="AD103" s="10">
        <f>SUM(AD5:AD102)</f>
        <v/>
      </c>
    </row>
    <row r="107" ht="56" customHeight="1" s="35">
      <c r="P107" s="40" t="n"/>
    </row>
  </sheetData>
  <mergeCells count="9">
    <mergeCell ref="AC3:AD3"/>
    <mergeCell ref="AA3:AB3"/>
    <mergeCell ref="O3:P3"/>
    <mergeCell ref="Q3:R3"/>
    <mergeCell ref="U3:V3"/>
    <mergeCell ref="Y3:Z3"/>
    <mergeCell ref="B2:L2"/>
    <mergeCell ref="W3:X3"/>
    <mergeCell ref="S3:T3"/>
  </mergeCells>
  <printOptions horizontalCentered="1" verticalCentered="1"/>
  <pageMargins left="0.75" right="0.75" top="1" bottom="1" header="0.511811023622047" footer="0.511811023622047"/>
  <pageSetup orientation="landscape" paperSize="9" scale="53" horizontalDpi="300" verticalDpi="300"/>
  <headerFooter>
    <oddHeader>&amp;C&amp;"Helvetica Oblique,Corsivo"&amp;11 &amp;K000000SAL APRILE 26 OPERE ELETTRICHE SPECIALI A SERVIZIO DELLE APPARECCHIATURE DI LABORATORIO</oddHeader>
    <oddFooter>&amp;L&amp;C&amp;R</oddFooter>
    <evenHeader/>
    <evenFooter/>
    <firstHeader/>
    <firstFooter/>
  </headerFooter>
  <rowBreaks count="1" manualBreakCount="1">
    <brk id="91" min="1" max="15" man="1"/>
  </rowBreaks>
</worksheet>
</file>

<file path=xl/worksheets/sheet8.xml><?xml version="1.0" encoding="utf-8"?>
<worksheet xmlns="http://schemas.openxmlformats.org/spreadsheetml/2006/main">
  <sheetPr>
    <outlinePr summaryBelow="1" summaryRight="1"/>
    <pageSetUpPr/>
  </sheetPr>
  <dimension ref="B2:X5"/>
  <sheetViews>
    <sheetView tabSelected="1" view="pageBreakPreview" zoomScaleNormal="100" workbookViewId="0">
      <selection activeCell="R37" sqref="R37"/>
    </sheetView>
  </sheetViews>
  <sheetFormatPr baseColWidth="10" defaultColWidth="8.6640625" defaultRowHeight="15"/>
  <cols>
    <col width="7" customWidth="1" style="35" min="2" max="2"/>
    <col width="14" customWidth="1" style="35" min="3" max="3"/>
    <col width="42" customWidth="1" style="35" min="4" max="4"/>
    <col width="8" customWidth="1" style="35" min="5" max="6"/>
    <col width="14" customWidth="1" style="35" min="7" max="7"/>
    <col width="1" customWidth="1" style="35" min="8" max="8"/>
    <col width="6" customWidth="1" style="35" min="9" max="9"/>
    <col width="13" customWidth="1" style="35" min="10" max="10"/>
    <col width="6" customWidth="1" style="35" min="11" max="11"/>
    <col width="13" customWidth="1" style="35" min="12" max="12"/>
    <col width="6" customWidth="1" style="35" min="13" max="13"/>
    <col width="13" customWidth="1" style="35" min="14" max="14"/>
    <col width="6" customWidth="1" style="35" min="15" max="15"/>
    <col width="13" customWidth="1" style="35" min="16" max="16"/>
    <col width="6" customWidth="1" style="35" min="17" max="17"/>
    <col width="13" customWidth="1" style="35" min="18" max="18"/>
    <col width="6" customWidth="1" style="35" min="19" max="19"/>
    <col width="13" customWidth="1" style="35" min="20" max="20"/>
    <col width="6" customWidth="1" style="35" min="21" max="21"/>
    <col width="13" customWidth="1" style="35" min="22" max="22"/>
    <col width="7" customWidth="1" style="35" min="23" max="23"/>
    <col width="14" customWidth="1" style="35" min="24" max="24"/>
  </cols>
  <sheetData>
    <row r="2" ht="27.75" customHeight="1" s="35">
      <c r="B2" s="33" t="inlineStr">
        <is>
          <t>ONERI DELLA SICUREZZA COME DA PSC</t>
        </is>
      </c>
      <c r="C2" s="44" t="n"/>
      <c r="D2" s="44" t="n"/>
      <c r="E2" s="44" t="n"/>
      <c r="F2" s="44" t="n"/>
      <c r="G2" s="23" t="n"/>
      <c r="H2" s="24" t="n"/>
      <c r="I2" s="25" t="n"/>
      <c r="J2" s="43" t="n"/>
      <c r="K2" s="25" t="n"/>
      <c r="L2" s="25" t="n"/>
    </row>
    <row r="3" ht="15" customHeight="1" s="35">
      <c r="B3" s="26" t="inlineStr">
        <is>
          <t>Nr.Ord.</t>
        </is>
      </c>
      <c r="C3" s="26" t="inlineStr">
        <is>
          <t>TARIFFA</t>
        </is>
      </c>
      <c r="D3" s="26" t="inlineStr">
        <is>
          <t>DESIGNAZIONE</t>
        </is>
      </c>
      <c r="G3" s="26" t="inlineStr">
        <is>
          <t>TOTALE</t>
        </is>
      </c>
      <c r="I3" s="28" t="inlineStr">
        <is>
          <t>SAL 01 APRILE</t>
        </is>
      </c>
      <c r="J3" s="20" t="n"/>
      <c r="K3" s="26" t="inlineStr">
        <is>
          <t>SAL 02 MAGGIO</t>
        </is>
      </c>
      <c r="L3" s="20" t="n"/>
      <c r="M3" s="26" t="inlineStr">
        <is>
          <t>SAL 03 GIUGNO</t>
        </is>
      </c>
      <c r="N3" s="20" t="n"/>
      <c r="O3" s="26" t="inlineStr">
        <is>
          <t>SAL 04 LUGLIO</t>
        </is>
      </c>
      <c r="P3" s="20" t="n"/>
      <c r="Q3" s="26" t="inlineStr">
        <is>
          <t>SAL 05 AGOSTO</t>
        </is>
      </c>
      <c r="R3" s="20" t="n"/>
      <c r="S3" s="26" t="inlineStr">
        <is>
          <t>SAL 06 SETTEMBRE</t>
        </is>
      </c>
      <c r="T3" s="20" t="n"/>
      <c r="U3" s="26" t="inlineStr">
        <is>
          <t>SAL 07 OTTOBRE</t>
        </is>
      </c>
      <c r="V3" s="20" t="n"/>
      <c r="W3" s="26" t="inlineStr">
        <is>
          <t>TOTALE COMPL.</t>
        </is>
      </c>
      <c r="X3" s="20" t="n"/>
    </row>
    <row r="4">
      <c r="I4" s="12" t="inlineStr">
        <is>
          <t>%</t>
        </is>
      </c>
      <c r="J4" s="36" t="inlineStr">
        <is>
          <t>TOTALE</t>
        </is>
      </c>
      <c r="K4" s="12" t="inlineStr">
        <is>
          <t>%</t>
        </is>
      </c>
      <c r="L4" s="12" t="inlineStr">
        <is>
          <t>TOTALE</t>
        </is>
      </c>
      <c r="M4" s="12" t="inlineStr">
        <is>
          <t>%</t>
        </is>
      </c>
      <c r="N4" s="12" t="inlineStr">
        <is>
          <t>TOTALE</t>
        </is>
      </c>
      <c r="O4" s="12" t="inlineStr">
        <is>
          <t>%</t>
        </is>
      </c>
      <c r="P4" s="12" t="inlineStr">
        <is>
          <t>TOTALE</t>
        </is>
      </c>
      <c r="Q4" s="12" t="inlineStr">
        <is>
          <t>%</t>
        </is>
      </c>
      <c r="R4" s="12" t="inlineStr">
        <is>
          <t>TOTALE</t>
        </is>
      </c>
      <c r="S4" s="12" t="inlineStr">
        <is>
          <t>%</t>
        </is>
      </c>
      <c r="T4" s="12" t="inlineStr">
        <is>
          <t>TOTALE</t>
        </is>
      </c>
      <c r="U4" s="12" t="inlineStr">
        <is>
          <t>%</t>
        </is>
      </c>
      <c r="V4" s="12" t="inlineStr">
        <is>
          <t>TOTALE</t>
        </is>
      </c>
      <c r="W4" s="12" t="inlineStr">
        <is>
          <t>%</t>
        </is>
      </c>
      <c r="X4" s="12" t="inlineStr">
        <is>
          <t>TOTALE</t>
        </is>
      </c>
    </row>
    <row r="5">
      <c r="B5" s="4" t="inlineStr">
        <is>
          <t>1</t>
        </is>
      </c>
      <c r="C5" s="4" t="inlineStr">
        <is>
          <t>PSC</t>
        </is>
      </c>
      <c r="D5" s="3" t="inlineStr">
        <is>
          <t>ONERI DELLA SICUREZZA COME DA PSC</t>
        </is>
      </c>
      <c r="G5" s="10" t="n">
        <v>51334.15</v>
      </c>
      <c r="I5" s="7" t="n">
        <v>0.15</v>
      </c>
      <c r="J5" s="37">
        <f>$G5*I5</f>
        <v/>
      </c>
      <c r="K5" s="7" t="n">
        <v>0</v>
      </c>
      <c r="L5" s="6">
        <f>$G5*K5</f>
        <v/>
      </c>
      <c r="M5" s="7" t="n">
        <v>0</v>
      </c>
      <c r="N5" s="6">
        <f>$G5*M5</f>
        <v/>
      </c>
      <c r="O5" s="7" t="n">
        <v>0</v>
      </c>
      <c r="P5" s="6">
        <f>$G5*O5</f>
        <v/>
      </c>
      <c r="Q5" s="7" t="n">
        <v>0</v>
      </c>
      <c r="R5" s="6">
        <f>$G5*Q5</f>
        <v/>
      </c>
      <c r="S5" s="7" t="n">
        <v>0</v>
      </c>
      <c r="T5" s="6">
        <f>$G5*S5</f>
        <v/>
      </c>
      <c r="U5" s="7" t="n">
        <v>0</v>
      </c>
      <c r="V5" s="6">
        <f>$G5*U5</f>
        <v/>
      </c>
      <c r="W5" s="7">
        <f>I5+K5+M5+O5+Q5+S5+U5</f>
        <v/>
      </c>
      <c r="X5" s="13">
        <f>J5+L5+N5+P5+R5+T5+V5</f>
        <v/>
      </c>
    </row>
  </sheetData>
  <mergeCells count="9">
    <mergeCell ref="O3:P3"/>
    <mergeCell ref="Q3:R3"/>
    <mergeCell ref="B2:F2"/>
    <mergeCell ref="U3:V3"/>
    <mergeCell ref="M3:N3"/>
    <mergeCell ref="W3:X3"/>
    <mergeCell ref="S3:T3"/>
    <mergeCell ref="K3:L3"/>
    <mergeCell ref="I3:J3"/>
  </mergeCells>
  <printOptions horizontalCentered="1" verticalCentered="1"/>
  <pageMargins left="0.75" right="0.75" top="1" bottom="1" header="0.511811023622047" footer="0.511811023622047"/>
  <pageSetup orientation="landscape" paperSize="9" horizontalDpi="300" verticalDpi="300"/>
  <headerFooter>
    <oddHeader>&amp;C&amp;K000000SAL APRILE 26 - SICUREZZA </oddHeader>
    <oddFooter>&amp;L&amp;C&amp;R</oddFooter>
    <evenHeader/>
    <evenFooter/>
    <firstHeader/>
    <firstFooter/>
  </headerFooter>
</worksheet>
</file>

<file path=xl/worksheets/sheet9.xml><?xml version="1.0" encoding="utf-8"?>
<worksheet xmlns="http://schemas.openxmlformats.org/spreadsheetml/2006/main">
  <sheetPr>
    <outlinePr summaryBelow="1" summaryRight="1"/>
    <pageSetUpPr/>
  </sheetPr>
  <dimension ref="A1:J13"/>
  <sheetViews>
    <sheetView zoomScaleNormal="100" workbookViewId="0">
      <selection activeCell="E21" sqref="E21"/>
    </sheetView>
  </sheetViews>
  <sheetFormatPr baseColWidth="10" defaultColWidth="8.6640625" defaultRowHeight="15"/>
  <cols>
    <col width="24" customWidth="1" style="35" min="1" max="1"/>
    <col width="16" customWidth="1" style="35" min="2" max="2"/>
    <col width="13" customWidth="1" style="35" min="3" max="9"/>
    <col width="16" customWidth="1" style="35" min="10" max="10"/>
  </cols>
  <sheetData>
    <row r="1" ht="27.75" customHeight="1" s="35">
      <c r="A1" s="27" t="inlineStr">
        <is>
          <t>TOTALE — RIEPILOGO AVANZAMENTO PER CATEGORIA × SAL</t>
        </is>
      </c>
      <c r="B1" s="44" t="n"/>
      <c r="C1" s="44" t="n"/>
      <c r="D1" s="44" t="n"/>
      <c r="E1" s="44" t="n"/>
      <c r="F1" s="44" t="n"/>
      <c r="G1" s="44" t="n"/>
      <c r="H1" s="44" t="n"/>
      <c r="I1" s="44" t="n"/>
      <c r="J1" s="20" t="n"/>
    </row>
    <row r="3" ht="36" customHeight="1" s="35">
      <c r="A3" s="29" t="inlineStr">
        <is>
          <t>CATEGORIA SAL</t>
        </is>
      </c>
      <c r="B3" s="29" t="inlineStr">
        <is>
          <t>PREVENTIVO</t>
        </is>
      </c>
      <c r="C3" s="29" t="inlineStr">
        <is>
          <t>SAL
01 APRILE</t>
        </is>
      </c>
      <c r="D3" s="29" t="inlineStr">
        <is>
          <t>SAL
02 MAGGIO</t>
        </is>
      </c>
      <c r="E3" s="29" t="inlineStr">
        <is>
          <t>SAL
03 GIUGNO</t>
        </is>
      </c>
      <c r="F3" s="29" t="inlineStr">
        <is>
          <t>SAL
04 LUGLIO</t>
        </is>
      </c>
      <c r="G3" s="29" t="inlineStr">
        <is>
          <t>SAL
05 AGOSTO</t>
        </is>
      </c>
      <c r="H3" s="29" t="inlineStr">
        <is>
          <t>SAL
06 SETTEMBRE</t>
        </is>
      </c>
      <c r="I3" s="29" t="inlineStr">
        <is>
          <t>SAL
07 OTTOBRE</t>
        </is>
      </c>
      <c r="J3" s="29" t="inlineStr">
        <is>
          <t>TOTALE</t>
        </is>
      </c>
    </row>
    <row r="4">
      <c r="A4" s="11" t="inlineStr">
        <is>
          <t>EDILI</t>
        </is>
      </c>
      <c r="B4" s="10">
        <f>SUMIFS(LAVORAZIONI!P:P,LAVORAZIONI!E:E,A4)</f>
        <v/>
      </c>
      <c r="C4" s="9">
        <f>SUMIFS(LAVORAZIONI!V:V,LAVORAZIONI!E:E,A4)</f>
        <v/>
      </c>
      <c r="D4" s="9">
        <f>SUMIFS(LAVORAZIONI!X:X,LAVORAZIONI!E:E,A4)</f>
        <v/>
      </c>
      <c r="E4" s="9">
        <f>SUMIFS(LAVORAZIONI!Z:Z,LAVORAZIONI!E:E,A4)</f>
        <v/>
      </c>
      <c r="F4" s="9">
        <f>SUMIFS(LAVORAZIONI!AB:AB,LAVORAZIONI!E:E,A4)</f>
        <v/>
      </c>
      <c r="G4" s="9">
        <f>SUMIFS(LAVORAZIONI!AD:AD,LAVORAZIONI!E:E,A4)</f>
        <v/>
      </c>
      <c r="H4" s="9">
        <f>SUMIFS(LAVORAZIONI!AF:AF,LAVORAZIONI!E:E,A4)</f>
        <v/>
      </c>
      <c r="I4" s="9">
        <f>SUMIFS(LAVORAZIONI!AH:AH,LAVORAZIONI!E:E,A4)</f>
        <v/>
      </c>
      <c r="J4" s="10">
        <f>SUM(C4:I4)</f>
        <v/>
      </c>
    </row>
    <row r="5">
      <c r="A5" s="11" t="inlineStr">
        <is>
          <t>EDILI SPECIALI</t>
        </is>
      </c>
      <c r="B5" s="10">
        <f>SUMIFS(LAVORAZIONI!P:P,LAVORAZIONI!E:E,A5)</f>
        <v/>
      </c>
      <c r="C5" s="9">
        <f>SUMIFS(LAVORAZIONI!V:V,LAVORAZIONI!E:E,A5)</f>
        <v/>
      </c>
      <c r="D5" s="9">
        <f>SUMIFS(LAVORAZIONI!X:X,LAVORAZIONI!E:E,A5)</f>
        <v/>
      </c>
      <c r="E5" s="9">
        <f>SUMIFS(LAVORAZIONI!Z:Z,LAVORAZIONI!E:E,A5)</f>
        <v/>
      </c>
      <c r="F5" s="9">
        <f>SUMIFS(LAVORAZIONI!AB:AB,LAVORAZIONI!E:E,A5)</f>
        <v/>
      </c>
      <c r="G5" s="9">
        <f>SUMIFS(LAVORAZIONI!AD:AD,LAVORAZIONI!E:E,A5)</f>
        <v/>
      </c>
      <c r="H5" s="9">
        <f>SUMIFS(LAVORAZIONI!AF:AF,LAVORAZIONI!E:E,A5)</f>
        <v/>
      </c>
      <c r="I5" s="9">
        <f>SUMIFS(LAVORAZIONI!AH:AH,LAVORAZIONI!E:E,A5)</f>
        <v/>
      </c>
      <c r="J5" s="10">
        <f>SUM(C5:I5)</f>
        <v/>
      </c>
    </row>
    <row r="6">
      <c r="A6" s="11" t="inlineStr">
        <is>
          <t>MECCANICHE</t>
        </is>
      </c>
      <c r="B6" s="10">
        <f>SUMIFS(LAVORAZIONI!P:P,LAVORAZIONI!E:E,A6)</f>
        <v/>
      </c>
      <c r="C6" s="9">
        <f>SUMIFS(LAVORAZIONI!V:V,LAVORAZIONI!E:E,A6)</f>
        <v/>
      </c>
      <c r="D6" s="9">
        <f>SUMIFS(LAVORAZIONI!X:X,LAVORAZIONI!E:E,A6)</f>
        <v/>
      </c>
      <c r="E6" s="9">
        <f>SUMIFS(LAVORAZIONI!Z:Z,LAVORAZIONI!E:E,A6)</f>
        <v/>
      </c>
      <c r="F6" s="9">
        <f>SUMIFS(LAVORAZIONI!AB:AB,LAVORAZIONI!E:E,A6)</f>
        <v/>
      </c>
      <c r="G6" s="9">
        <f>SUMIFS(LAVORAZIONI!AD:AD,LAVORAZIONI!E:E,A6)</f>
        <v/>
      </c>
      <c r="H6" s="9">
        <f>SUMIFS(LAVORAZIONI!AF:AF,LAVORAZIONI!E:E,A6)</f>
        <v/>
      </c>
      <c r="I6" s="9">
        <f>SUMIFS(LAVORAZIONI!AH:AH,LAVORAZIONI!E:E,A6)</f>
        <v/>
      </c>
      <c r="J6" s="10">
        <f>SUM(C6:I6)</f>
        <v/>
      </c>
    </row>
    <row r="7">
      <c r="A7" s="11" t="inlineStr">
        <is>
          <t>MECCANICHE SPECIALI</t>
        </is>
      </c>
      <c r="B7" s="10">
        <f>SUMIFS(LAVORAZIONI!P:P,LAVORAZIONI!E:E,A7)</f>
        <v/>
      </c>
      <c r="C7" s="9">
        <f>SUMIFS(LAVORAZIONI!V:V,LAVORAZIONI!E:E,A7)</f>
        <v/>
      </c>
      <c r="D7" s="9">
        <f>SUMIFS(LAVORAZIONI!X:X,LAVORAZIONI!E:E,A7)</f>
        <v/>
      </c>
      <c r="E7" s="9">
        <f>SUMIFS(LAVORAZIONI!Z:Z,LAVORAZIONI!E:E,A7)</f>
        <v/>
      </c>
      <c r="F7" s="9">
        <f>SUMIFS(LAVORAZIONI!AB:AB,LAVORAZIONI!E:E,A7)</f>
        <v/>
      </c>
      <c r="G7" s="9">
        <f>SUMIFS(LAVORAZIONI!AD:AD,LAVORAZIONI!E:E,A7)</f>
        <v/>
      </c>
      <c r="H7" s="9">
        <f>SUMIFS(LAVORAZIONI!AF:AF,LAVORAZIONI!E:E,A7)</f>
        <v/>
      </c>
      <c r="I7" s="9">
        <f>SUMIFS(LAVORAZIONI!AH:AH,LAVORAZIONI!E:E,A7)</f>
        <v/>
      </c>
      <c r="J7" s="10">
        <f>SUM(C7:I7)</f>
        <v/>
      </c>
    </row>
    <row r="8">
      <c r="A8" s="11" t="inlineStr">
        <is>
          <t>ELETTRICHE</t>
        </is>
      </c>
      <c r="B8" s="10">
        <f>SUMIFS(LAVORAZIONI!P:P,LAVORAZIONI!E:E,A8)</f>
        <v/>
      </c>
      <c r="C8" s="9">
        <f>SUMIFS(LAVORAZIONI!V:V,LAVORAZIONI!E:E,A8)</f>
        <v/>
      </c>
      <c r="D8" s="9">
        <f>SUMIFS(LAVORAZIONI!X:X,LAVORAZIONI!E:E,A8)</f>
        <v/>
      </c>
      <c r="E8" s="9">
        <f>SUMIFS(LAVORAZIONI!Z:Z,LAVORAZIONI!E:E,A8)</f>
        <v/>
      </c>
      <c r="F8" s="9">
        <f>SUMIFS(LAVORAZIONI!AB:AB,LAVORAZIONI!E:E,A8)</f>
        <v/>
      </c>
      <c r="G8" s="9">
        <f>SUMIFS(LAVORAZIONI!AD:AD,LAVORAZIONI!E:E,A8)</f>
        <v/>
      </c>
      <c r="H8" s="9">
        <f>SUMIFS(LAVORAZIONI!AF:AF,LAVORAZIONI!E:E,A8)</f>
        <v/>
      </c>
      <c r="I8" s="9">
        <f>SUMIFS(LAVORAZIONI!AH:AH,LAVORAZIONI!E:E,A8)</f>
        <v/>
      </c>
      <c r="J8" s="10">
        <f>SUM(C8:I8)</f>
        <v/>
      </c>
    </row>
    <row r="9">
      <c r="A9" s="11" t="inlineStr">
        <is>
          <t>ELETTRICHE SPECIALI</t>
        </is>
      </c>
      <c r="B9" s="10">
        <f>SUMIFS(LAVORAZIONI!P:P,LAVORAZIONI!E:E,A9)</f>
        <v/>
      </c>
      <c r="C9" s="9">
        <f>SUMIFS(LAVORAZIONI!V:V,LAVORAZIONI!E:E,A9)</f>
        <v/>
      </c>
      <c r="D9" s="9">
        <f>SUMIFS(LAVORAZIONI!X:X,LAVORAZIONI!E:E,A9)</f>
        <v/>
      </c>
      <c r="E9" s="9">
        <f>SUMIFS(LAVORAZIONI!Z:Z,LAVORAZIONI!E:E,A9)</f>
        <v/>
      </c>
      <c r="F9" s="9">
        <f>SUMIFS(LAVORAZIONI!AB:AB,LAVORAZIONI!E:E,A9)</f>
        <v/>
      </c>
      <c r="G9" s="9">
        <f>SUMIFS(LAVORAZIONI!AD:AD,LAVORAZIONI!E:E,A9)</f>
        <v/>
      </c>
      <c r="H9" s="9">
        <f>SUMIFS(LAVORAZIONI!AF:AF,LAVORAZIONI!E:E,A9)</f>
        <v/>
      </c>
      <c r="I9" s="9">
        <f>SUMIFS(LAVORAZIONI!AH:AH,LAVORAZIONI!E:E,A9)</f>
        <v/>
      </c>
      <c r="J9" s="10">
        <f>SUM(C9:I9)</f>
        <v/>
      </c>
    </row>
    <row r="10">
      <c r="A10" s="11" t="inlineStr">
        <is>
          <t>SICUREZZA</t>
        </is>
      </c>
      <c r="B10" s="10">
        <f>SICUREZZA!G5</f>
        <v/>
      </c>
      <c r="C10" s="9">
        <f>SICUREZZA!J5</f>
        <v/>
      </c>
      <c r="D10" s="9">
        <f>SICUREZZA!L5</f>
        <v/>
      </c>
      <c r="E10" s="9">
        <f>SICUREZZA!N5</f>
        <v/>
      </c>
      <c r="F10" s="9">
        <f>SICUREZZA!P5</f>
        <v/>
      </c>
      <c r="G10" s="9">
        <f>SICUREZZA!R5</f>
        <v/>
      </c>
      <c r="H10" s="9">
        <f>SICUREZZA!T5</f>
        <v/>
      </c>
      <c r="I10" s="9">
        <f>SICUREZZA!V5</f>
        <v/>
      </c>
      <c r="J10" s="10">
        <f>SUM(C10:I10)</f>
        <v/>
      </c>
    </row>
    <row r="11" ht="17" customHeight="1" s="35">
      <c r="A11" s="8" t="inlineStr">
        <is>
          <t>TOTALE COMPLESSIVO</t>
        </is>
      </c>
      <c r="B11" s="10">
        <f>SUM(B4:B10)</f>
        <v/>
      </c>
      <c r="C11" s="10">
        <f>SUM(C4:C10)</f>
        <v/>
      </c>
      <c r="D11" s="10">
        <f>SUM(D4:D10)</f>
        <v/>
      </c>
      <c r="E11" s="10">
        <f>SUM(E4:E10)</f>
        <v/>
      </c>
      <c r="F11" s="10">
        <f>SUM(F4:F10)</f>
        <v/>
      </c>
      <c r="G11" s="10">
        <f>SUM(G4:G10)</f>
        <v/>
      </c>
      <c r="H11" s="10">
        <f>SUM(H4:H10)</f>
        <v/>
      </c>
      <c r="I11" s="10">
        <f>SUM(I4:I10)</f>
        <v/>
      </c>
      <c r="J11" s="10">
        <f>SUM(J4:J10)</f>
        <v/>
      </c>
    </row>
    <row r="13" ht="16" customHeight="1" s="35">
      <c r="A13" s="15" t="inlineStr">
        <is>
          <t>CUMULATO %</t>
        </is>
      </c>
      <c r="C13" s="16">
        <f>IFERROR((C11)/$B$11,0)</f>
        <v/>
      </c>
      <c r="D13" s="16">
        <f>IFERROR((C11+D11)/$B$11,0)</f>
        <v/>
      </c>
      <c r="E13" s="16">
        <f>IFERROR((C11+D11+E11)/$B$11,0)</f>
        <v/>
      </c>
      <c r="F13" s="16">
        <f>IFERROR((C11+D11+E11+F11)/$B$11,0)</f>
        <v/>
      </c>
      <c r="G13" s="16">
        <f>IFERROR((C11+D11+E11+F11+G11)/$B$11,0)</f>
        <v/>
      </c>
      <c r="H13" s="16">
        <f>IFERROR((C11+D11+E11+F11+G11+H11)/$B$11,0)</f>
        <v/>
      </c>
      <c r="I13" s="16">
        <f>IFERROR((C11+D11+E11+F11+G11+H11+I11)/$B$11,0)</f>
        <v/>
      </c>
    </row>
  </sheetData>
  <mergeCells count="1">
    <mergeCell ref="A1:J1"/>
  </mergeCells>
  <pageMargins left="0.75" right="0.75" top="1" bottom="1" header="0.511811023622047" footer="0.511811023622047"/>
  <pageSetup orientation="portrait" paperSize="9" horizontalDpi="300" verticalDpi="3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language>en-US</dc:language>
  <dcterms:created xsi:type="dcterms:W3CDTF">2026-05-07T20:48:12Z</dcterms:created>
  <dcterms:modified xsi:type="dcterms:W3CDTF">2026-06-03T21:11:40Z</dcterms:modified>
  <cp:lastModifiedBy>Stefano Rampoldi</cp:lastModifiedBy>
  <cp:revision>0</cp:revision>
  <cp:lastPrinted>2026-06-03T13:36:31Z</cp:lastPrinted>
</cp:coreProperties>
</file>